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2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rinotakuya/BULL_data/master_excel/"/>
    </mc:Choice>
  </mc:AlternateContent>
  <bookViews>
    <workbookView xWindow="0" yWindow="460" windowWidth="28800" windowHeight="16500" tabRatio="895" activeTab="4"/>
  </bookViews>
  <sheets>
    <sheet name="output" sheetId="55" r:id="rId1"/>
    <sheet name="ER図" sheetId="36" r:id="rId2"/>
    <sheet name="開放条件" sheetId="41" r:id="rId3"/>
    <sheet name="達成条件" sheetId="42" r:id="rId4"/>
    <sheet name="missions" sheetId="35" r:id="rId5"/>
    <sheet name="weekly_mission_schedules" sheetId="51" r:id="rId6"/>
    <sheet name="weekly_mission_groups" sheetId="52" r:id="rId7"/>
    <sheet name="weekly_missions" sheetId="50" r:id="rId8"/>
    <sheet name="mission_unlock_criteria" sheetId="26" r:id="rId9"/>
    <sheet name="mission_ACH" sheetId="24" r:id="rId10"/>
    <sheet name="mission_ACH_criteria" sheetId="37" r:id="rId11"/>
  </sheets>
  <externalReferences>
    <externalReference r:id="rId12"/>
    <externalReference r:id="rId13"/>
    <externalReference r:id="rId14"/>
  </externalReferences>
  <definedNames>
    <definedName name="_xlnm._FilterDatabase" localSheetId="4" hidden="1">missions!$A$2:$O$248</definedName>
    <definedName name="_xlnm._FilterDatabase" localSheetId="6" hidden="1">weekly_mission_groups!$A$2:$G$2</definedName>
    <definedName name="_xlnm._FilterDatabase" localSheetId="5" hidden="1">weekly_mission_schedules!$A$2:$L$2</definedName>
    <definedName name="_xlnm._FilterDatabase" localSheetId="7" hidden="1">weekly_missions!$A$2:$O$2</definedName>
    <definedName name="achievement_criterion_id">missions!$E$2</definedName>
    <definedName name="weekly_achievement_criterion_id" localSheetId="6">weekly_mission_groups!#REF!</definedName>
    <definedName name="weekly_achievement_criterion_id" localSheetId="5">weekly_mission_schedules!$B:$B</definedName>
    <definedName name="weekly_achievement_criterion_id" localSheetId="7">weekly_missions!$B:$B</definedName>
    <definedName name="weekly_achievement_criterion_id">weekly_missions!$B:$B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189" i="37" l="1"/>
  <c r="H189" i="37"/>
  <c r="I499" i="35"/>
  <c r="J499" i="35"/>
  <c r="H499" i="35"/>
  <c r="I549" i="35"/>
  <c r="J549" i="35"/>
  <c r="H549" i="35"/>
  <c r="D189" i="37"/>
  <c r="C189" i="37"/>
  <c r="J188" i="37"/>
  <c r="H188" i="37"/>
  <c r="I548" i="35"/>
  <c r="J548" i="35"/>
  <c r="H548" i="35"/>
  <c r="D188" i="37"/>
  <c r="C188" i="37"/>
  <c r="A548" i="35"/>
  <c r="A549" i="35"/>
  <c r="L549" i="35"/>
  <c r="K549" i="35"/>
  <c r="J181" i="37"/>
  <c r="C181" i="37"/>
  <c r="F549" i="35"/>
  <c r="D3" i="26"/>
  <c r="G3" i="26"/>
  <c r="B3" i="26"/>
  <c r="D549" i="35"/>
  <c r="B549" i="35"/>
  <c r="L548" i="35"/>
  <c r="K548" i="35"/>
  <c r="F548" i="35"/>
  <c r="D548" i="35"/>
  <c r="B548" i="35"/>
  <c r="N468" i="37"/>
  <c r="M468" i="37"/>
  <c r="J468" i="37"/>
  <c r="H468" i="37"/>
  <c r="G468" i="37"/>
  <c r="J545" i="35"/>
  <c r="H545" i="35"/>
  <c r="J547" i="35"/>
  <c r="H547" i="35"/>
  <c r="D468" i="37"/>
  <c r="C468" i="37"/>
  <c r="N467" i="37"/>
  <c r="M467" i="37"/>
  <c r="J467" i="37"/>
  <c r="H467" i="37"/>
  <c r="G467" i="37"/>
  <c r="J544" i="35"/>
  <c r="H544" i="35"/>
  <c r="J546" i="35"/>
  <c r="H546" i="35"/>
  <c r="D467" i="37"/>
  <c r="C467" i="37"/>
  <c r="A546" i="35"/>
  <c r="A547" i="35"/>
  <c r="L547" i="35"/>
  <c r="I547" i="35"/>
  <c r="K547" i="35"/>
  <c r="G466" i="37"/>
  <c r="C466" i="37"/>
  <c r="F547" i="35"/>
  <c r="D116" i="26"/>
  <c r="B116" i="26"/>
  <c r="D126" i="26"/>
  <c r="B126" i="26"/>
  <c r="D547" i="35"/>
  <c r="B547" i="35"/>
  <c r="L546" i="35"/>
  <c r="I546" i="35"/>
  <c r="K546" i="35"/>
  <c r="G465" i="37"/>
  <c r="C465" i="37"/>
  <c r="F546" i="35"/>
  <c r="D546" i="35"/>
  <c r="B546" i="35"/>
  <c r="I223" i="35"/>
  <c r="J223" i="35"/>
  <c r="H223" i="35"/>
  <c r="N466" i="37"/>
  <c r="G480" i="37"/>
  <c r="C480" i="37"/>
  <c r="F223" i="35"/>
  <c r="M466" i="37"/>
  <c r="J466" i="37"/>
  <c r="H466" i="37"/>
  <c r="J543" i="35"/>
  <c r="H543" i="35"/>
  <c r="D466" i="37"/>
  <c r="N465" i="37"/>
  <c r="M465" i="37"/>
  <c r="J465" i="37"/>
  <c r="H465" i="37"/>
  <c r="J542" i="35"/>
  <c r="H542" i="35"/>
  <c r="D465" i="37"/>
  <c r="A544" i="35"/>
  <c r="A545" i="35"/>
  <c r="L545" i="35"/>
  <c r="I545" i="35"/>
  <c r="K545" i="35"/>
  <c r="G464" i="37"/>
  <c r="C464" i="37"/>
  <c r="F545" i="35"/>
  <c r="D106" i="26"/>
  <c r="B106" i="26"/>
  <c r="D545" i="35"/>
  <c r="B545" i="35"/>
  <c r="L544" i="35"/>
  <c r="I544" i="35"/>
  <c r="K544" i="35"/>
  <c r="G463" i="37"/>
  <c r="C463" i="37"/>
  <c r="F544" i="35"/>
  <c r="D544" i="35"/>
  <c r="B544" i="35"/>
  <c r="N464" i="37"/>
  <c r="M464" i="37"/>
  <c r="J464" i="37"/>
  <c r="H464" i="37"/>
  <c r="J541" i="35"/>
  <c r="H541" i="35"/>
  <c r="D464" i="37"/>
  <c r="N463" i="37"/>
  <c r="M463" i="37"/>
  <c r="J463" i="37"/>
  <c r="H463" i="37"/>
  <c r="J540" i="35"/>
  <c r="H540" i="35"/>
  <c r="D463" i="37"/>
  <c r="A542" i="35"/>
  <c r="A543" i="35"/>
  <c r="L543" i="35"/>
  <c r="I543" i="35"/>
  <c r="K543" i="35"/>
  <c r="G462" i="37"/>
  <c r="C462" i="37"/>
  <c r="F543" i="35"/>
  <c r="D96" i="26"/>
  <c r="B96" i="26"/>
  <c r="D543" i="35"/>
  <c r="B543" i="35"/>
  <c r="L542" i="35"/>
  <c r="I542" i="35"/>
  <c r="K542" i="35"/>
  <c r="G461" i="37"/>
  <c r="C461" i="37"/>
  <c r="F542" i="35"/>
  <c r="D542" i="35"/>
  <c r="B542" i="35"/>
  <c r="N462" i="37"/>
  <c r="M462" i="37"/>
  <c r="J462" i="37"/>
  <c r="H462" i="37"/>
  <c r="J539" i="35"/>
  <c r="H539" i="35"/>
  <c r="D462" i="37"/>
  <c r="N461" i="37"/>
  <c r="M461" i="37"/>
  <c r="J461" i="37"/>
  <c r="H461" i="37"/>
  <c r="J538" i="35"/>
  <c r="H538" i="35"/>
  <c r="D461" i="37"/>
  <c r="N460" i="37"/>
  <c r="M460" i="37"/>
  <c r="J460" i="37"/>
  <c r="H460" i="37"/>
  <c r="G460" i="37"/>
  <c r="J537" i="35"/>
  <c r="H537" i="35"/>
  <c r="D460" i="37"/>
  <c r="C460" i="37"/>
  <c r="N459" i="37"/>
  <c r="M459" i="37"/>
  <c r="J459" i="37"/>
  <c r="H459" i="37"/>
  <c r="G459" i="37"/>
  <c r="J536" i="35"/>
  <c r="H536" i="35"/>
  <c r="D459" i="37"/>
  <c r="C459" i="37"/>
  <c r="N458" i="37"/>
  <c r="M458" i="37"/>
  <c r="J458" i="37"/>
  <c r="H458" i="37"/>
  <c r="G458" i="37"/>
  <c r="D458" i="37"/>
  <c r="C458" i="37"/>
  <c r="G217" i="24"/>
  <c r="I217" i="24"/>
  <c r="D217" i="24"/>
  <c r="G216" i="24"/>
  <c r="I216" i="24"/>
  <c r="D216" i="24"/>
  <c r="G215" i="24"/>
  <c r="I215" i="24"/>
  <c r="D215" i="24"/>
  <c r="G214" i="24"/>
  <c r="I214" i="24"/>
  <c r="D214" i="24"/>
  <c r="G213" i="24"/>
  <c r="I213" i="24"/>
  <c r="D213" i="24"/>
  <c r="G212" i="24"/>
  <c r="I212" i="24"/>
  <c r="D212" i="24"/>
  <c r="G211" i="24"/>
  <c r="I211" i="24"/>
  <c r="D211" i="24"/>
  <c r="G210" i="24"/>
  <c r="I210" i="24"/>
  <c r="D210" i="24"/>
  <c r="A541" i="35"/>
  <c r="A540" i="35"/>
  <c r="G386" i="37"/>
  <c r="C386" i="37"/>
  <c r="G396" i="37"/>
  <c r="C396" i="37"/>
  <c r="F540" i="35"/>
  <c r="B540" i="35"/>
  <c r="L541" i="35"/>
  <c r="I541" i="35"/>
  <c r="K541" i="35"/>
  <c r="F541" i="35"/>
  <c r="D90" i="26"/>
  <c r="B90" i="26"/>
  <c r="D541" i="35"/>
  <c r="B541" i="35"/>
  <c r="L540" i="35"/>
  <c r="I540" i="35"/>
  <c r="K540" i="35"/>
  <c r="D540" i="35"/>
  <c r="G209" i="24"/>
  <c r="I209" i="24"/>
  <c r="D209" i="24"/>
  <c r="G208" i="24"/>
  <c r="I208" i="24"/>
  <c r="D208" i="24"/>
  <c r="A538" i="35"/>
  <c r="A539" i="35"/>
  <c r="L539" i="35"/>
  <c r="I539" i="35"/>
  <c r="K539" i="35"/>
  <c r="G457" i="37"/>
  <c r="C457" i="37"/>
  <c r="F539" i="35"/>
  <c r="D89" i="26"/>
  <c r="B89" i="26"/>
  <c r="D539" i="35"/>
  <c r="B539" i="35"/>
  <c r="L538" i="35"/>
  <c r="I538" i="35"/>
  <c r="K538" i="35"/>
  <c r="F538" i="35"/>
  <c r="D538" i="35"/>
  <c r="B538" i="35"/>
  <c r="G207" i="24"/>
  <c r="I207" i="24"/>
  <c r="D207" i="24"/>
  <c r="A537" i="35"/>
  <c r="L537" i="35"/>
  <c r="I537" i="35"/>
  <c r="K537" i="35"/>
  <c r="F537" i="35"/>
  <c r="D537" i="35"/>
  <c r="B537" i="35"/>
  <c r="G206" i="24"/>
  <c r="I206" i="24"/>
  <c r="D206" i="24"/>
  <c r="L536" i="35"/>
  <c r="I536" i="35"/>
  <c r="K536" i="35"/>
  <c r="I222" i="35"/>
  <c r="J222" i="35"/>
  <c r="H222" i="35"/>
  <c r="N457" i="37"/>
  <c r="G473" i="37"/>
  <c r="C473" i="37"/>
  <c r="F222" i="35"/>
  <c r="M457" i="37"/>
  <c r="J457" i="37"/>
  <c r="H457" i="37"/>
  <c r="I181" i="35"/>
  <c r="J181" i="35"/>
  <c r="H181" i="35"/>
  <c r="D457" i="37"/>
  <c r="G169" i="37"/>
  <c r="J169" i="37"/>
  <c r="C169" i="37"/>
  <c r="F481" i="35"/>
  <c r="G168" i="37"/>
  <c r="J168" i="37"/>
  <c r="C168" i="37"/>
  <c r="F480" i="35"/>
  <c r="G167" i="37"/>
  <c r="J167" i="37"/>
  <c r="C167" i="37"/>
  <c r="F479" i="35"/>
  <c r="G166" i="37"/>
  <c r="J166" i="37"/>
  <c r="C166" i="37"/>
  <c r="F478" i="35"/>
  <c r="J150" i="37"/>
  <c r="C150" i="37"/>
  <c r="F343" i="35"/>
  <c r="F276" i="35"/>
  <c r="F275" i="35"/>
  <c r="F274" i="35"/>
  <c r="G714" i="37"/>
  <c r="C714" i="37"/>
  <c r="F352" i="35"/>
  <c r="G713" i="37"/>
  <c r="C713" i="37"/>
  <c r="F351" i="35"/>
  <c r="G712" i="37"/>
  <c r="C712" i="37"/>
  <c r="F350" i="35"/>
  <c r="G711" i="37"/>
  <c r="C711" i="37"/>
  <c r="F349" i="35"/>
  <c r="G710" i="37"/>
  <c r="C710" i="37"/>
  <c r="F348" i="35"/>
  <c r="G709" i="37"/>
  <c r="C709" i="37"/>
  <c r="F347" i="35"/>
  <c r="G708" i="37"/>
  <c r="C708" i="37"/>
  <c r="F346" i="35"/>
  <c r="G707" i="37"/>
  <c r="C707" i="37"/>
  <c r="F345" i="35"/>
  <c r="G706" i="37"/>
  <c r="C706" i="37"/>
  <c r="F344" i="35"/>
  <c r="F5" i="35"/>
  <c r="A536" i="35"/>
  <c r="G380" i="37"/>
  <c r="C380" i="37"/>
  <c r="F536" i="35"/>
  <c r="D536" i="35"/>
  <c r="B536" i="35"/>
  <c r="J187" i="37"/>
  <c r="H187" i="37"/>
  <c r="I496" i="35"/>
  <c r="J496" i="35"/>
  <c r="H496" i="35"/>
  <c r="I535" i="35"/>
  <c r="J535" i="35"/>
  <c r="H535" i="35"/>
  <c r="D187" i="37"/>
  <c r="C187" i="37"/>
  <c r="A535" i="35"/>
  <c r="L535" i="35"/>
  <c r="K535" i="35"/>
  <c r="J178" i="37"/>
  <c r="C178" i="37"/>
  <c r="F535" i="35"/>
  <c r="D535" i="35"/>
  <c r="B535" i="35"/>
  <c r="D182" i="24"/>
  <c r="J513" i="35"/>
  <c r="H513" i="35"/>
  <c r="J514" i="35"/>
  <c r="H514" i="35"/>
  <c r="J515" i="35"/>
  <c r="H515" i="35"/>
  <c r="J516" i="35"/>
  <c r="H516" i="35"/>
  <c r="J517" i="35"/>
  <c r="H517" i="35"/>
  <c r="J518" i="35"/>
  <c r="H518" i="35"/>
  <c r="J519" i="35"/>
  <c r="H519" i="35"/>
  <c r="J520" i="35"/>
  <c r="H520" i="35"/>
  <c r="J521" i="35"/>
  <c r="H521" i="35"/>
  <c r="J522" i="35"/>
  <c r="H522" i="35"/>
  <c r="J523" i="35"/>
  <c r="H523" i="35"/>
  <c r="J524" i="35"/>
  <c r="H524" i="35"/>
  <c r="J525" i="35"/>
  <c r="H525" i="35"/>
  <c r="J526" i="35"/>
  <c r="H526" i="35"/>
  <c r="J527" i="35"/>
  <c r="H527" i="35"/>
  <c r="J528" i="35"/>
  <c r="H528" i="35"/>
  <c r="J529" i="35"/>
  <c r="H529" i="35"/>
  <c r="J530" i="35"/>
  <c r="H530" i="35"/>
  <c r="J531" i="35"/>
  <c r="H531" i="35"/>
  <c r="J532" i="35"/>
  <c r="H532" i="35"/>
  <c r="J533" i="35"/>
  <c r="H533" i="35"/>
  <c r="J534" i="35"/>
  <c r="H534" i="35"/>
  <c r="J512" i="35"/>
  <c r="H512" i="35"/>
  <c r="J511" i="35"/>
  <c r="H511" i="35"/>
  <c r="G182" i="24"/>
  <c r="G184" i="24"/>
  <c r="I184" i="24"/>
  <c r="G185" i="24"/>
  <c r="I185" i="24"/>
  <c r="G186" i="24"/>
  <c r="I186" i="24"/>
  <c r="G187" i="24"/>
  <c r="I187" i="24"/>
  <c r="G188" i="24"/>
  <c r="I188" i="24"/>
  <c r="G189" i="24"/>
  <c r="I189" i="24"/>
  <c r="G190" i="24"/>
  <c r="I190" i="24"/>
  <c r="G191" i="24"/>
  <c r="I191" i="24"/>
  <c r="G192" i="24"/>
  <c r="I192" i="24"/>
  <c r="G193" i="24"/>
  <c r="I193" i="24"/>
  <c r="G194" i="24"/>
  <c r="I194" i="24"/>
  <c r="G195" i="24"/>
  <c r="I195" i="24"/>
  <c r="G196" i="24"/>
  <c r="I196" i="24"/>
  <c r="G197" i="24"/>
  <c r="I197" i="24"/>
  <c r="G198" i="24"/>
  <c r="I198" i="24"/>
  <c r="G199" i="24"/>
  <c r="I199" i="24"/>
  <c r="G200" i="24"/>
  <c r="I200" i="24"/>
  <c r="G201" i="24"/>
  <c r="I201" i="24"/>
  <c r="G202" i="24"/>
  <c r="I202" i="24"/>
  <c r="G203" i="24"/>
  <c r="I203" i="24"/>
  <c r="G204" i="24"/>
  <c r="I204" i="24"/>
  <c r="G205" i="24"/>
  <c r="I205" i="24"/>
  <c r="G183" i="24"/>
  <c r="I183" i="24"/>
  <c r="D183" i="24"/>
  <c r="D184" i="24"/>
  <c r="D185" i="24"/>
  <c r="D186" i="24"/>
  <c r="D187" i="24"/>
  <c r="D188" i="24"/>
  <c r="D189" i="24"/>
  <c r="D190" i="24"/>
  <c r="D191" i="24"/>
  <c r="D192" i="24"/>
  <c r="D193" i="24"/>
  <c r="D194" i="24"/>
  <c r="D195" i="24"/>
  <c r="D196" i="24"/>
  <c r="D197" i="24"/>
  <c r="D198" i="24"/>
  <c r="D199" i="24"/>
  <c r="D200" i="24"/>
  <c r="D201" i="24"/>
  <c r="D202" i="24"/>
  <c r="D203" i="24"/>
  <c r="D204" i="24"/>
  <c r="D205" i="24"/>
  <c r="L511" i="35"/>
  <c r="I511" i="35"/>
  <c r="I182" i="24"/>
  <c r="D181" i="24"/>
  <c r="G181" i="24"/>
  <c r="A290" i="26"/>
  <c r="A291" i="26"/>
  <c r="A292" i="26"/>
  <c r="A293" i="26"/>
  <c r="A294" i="26"/>
  <c r="A295" i="26"/>
  <c r="A296" i="26"/>
  <c r="A297" i="26"/>
  <c r="A298" i="26"/>
  <c r="A299" i="26"/>
  <c r="A300" i="26"/>
  <c r="A301" i="26"/>
  <c r="A302" i="26"/>
  <c r="A303" i="26"/>
  <c r="A304" i="26"/>
  <c r="A305" i="26"/>
  <c r="A306" i="26"/>
  <c r="A307" i="26"/>
  <c r="A308" i="26"/>
  <c r="A309" i="26"/>
  <c r="A310" i="26"/>
  <c r="A311" i="26"/>
  <c r="D73" i="26"/>
  <c r="B73" i="26"/>
  <c r="E73" i="26"/>
  <c r="D74" i="26"/>
  <c r="B74" i="26"/>
  <c r="E74" i="26"/>
  <c r="D75" i="26"/>
  <c r="B75" i="26"/>
  <c r="E75" i="26"/>
  <c r="D76" i="26"/>
  <c r="B76" i="26"/>
  <c r="E76" i="26"/>
  <c r="D72" i="26"/>
  <c r="B72" i="26"/>
  <c r="E72" i="26"/>
  <c r="G76" i="26"/>
  <c r="G75" i="26"/>
  <c r="G74" i="26"/>
  <c r="G73" i="26"/>
  <c r="G72" i="26"/>
  <c r="H332" i="37"/>
  <c r="G332" i="37"/>
  <c r="H331" i="37"/>
  <c r="G331" i="37"/>
  <c r="H330" i="37"/>
  <c r="G330" i="37"/>
  <c r="H329" i="37"/>
  <c r="G329" i="37"/>
  <c r="H328" i="37"/>
  <c r="G328" i="37"/>
  <c r="H327" i="37"/>
  <c r="G327" i="37"/>
  <c r="H326" i="37"/>
  <c r="G326" i="37"/>
  <c r="H325" i="37"/>
  <c r="G325" i="37"/>
  <c r="H324" i="37"/>
  <c r="G324" i="37"/>
  <c r="H323" i="37"/>
  <c r="G323" i="37"/>
  <c r="H322" i="37"/>
  <c r="G322" i="37"/>
  <c r="H321" i="37"/>
  <c r="G321" i="37"/>
  <c r="H320" i="37"/>
  <c r="G320" i="37"/>
  <c r="H319" i="37"/>
  <c r="G319" i="37"/>
  <c r="H318" i="37"/>
  <c r="G318" i="37"/>
  <c r="H317" i="37"/>
  <c r="G317" i="37"/>
  <c r="H316" i="37"/>
  <c r="G316" i="37"/>
  <c r="H315" i="37"/>
  <c r="G315" i="37"/>
  <c r="H314" i="37"/>
  <c r="G314" i="37"/>
  <c r="H313" i="37"/>
  <c r="G313" i="37"/>
  <c r="H312" i="37"/>
  <c r="G312" i="37"/>
  <c r="H311" i="37"/>
  <c r="G311" i="37"/>
  <c r="H310" i="37"/>
  <c r="G310" i="37"/>
  <c r="H309" i="37"/>
  <c r="G309" i="37"/>
  <c r="I534" i="35"/>
  <c r="D332" i="37"/>
  <c r="I533" i="35"/>
  <c r="D331" i="37"/>
  <c r="I532" i="35"/>
  <c r="D330" i="37"/>
  <c r="I531" i="35"/>
  <c r="D329" i="37"/>
  <c r="I530" i="35"/>
  <c r="D328" i="37"/>
  <c r="I529" i="35"/>
  <c r="D327" i="37"/>
  <c r="I528" i="35"/>
  <c r="D326" i="37"/>
  <c r="I527" i="35"/>
  <c r="D325" i="37"/>
  <c r="I526" i="35"/>
  <c r="D324" i="37"/>
  <c r="I525" i="35"/>
  <c r="D323" i="37"/>
  <c r="I524" i="35"/>
  <c r="D322" i="37"/>
  <c r="I523" i="35"/>
  <c r="D321" i="37"/>
  <c r="I522" i="35"/>
  <c r="D320" i="37"/>
  <c r="I521" i="35"/>
  <c r="D319" i="37"/>
  <c r="I520" i="35"/>
  <c r="D318" i="37"/>
  <c r="I519" i="35"/>
  <c r="D317" i="37"/>
  <c r="I518" i="35"/>
  <c r="D316" i="37"/>
  <c r="I517" i="35"/>
  <c r="D315" i="37"/>
  <c r="I516" i="35"/>
  <c r="D314" i="37"/>
  <c r="I515" i="35"/>
  <c r="D313" i="37"/>
  <c r="I514" i="35"/>
  <c r="D312" i="37"/>
  <c r="I513" i="35"/>
  <c r="D311" i="37"/>
  <c r="I512" i="35"/>
  <c r="D310" i="37"/>
  <c r="D309" i="37"/>
  <c r="C332" i="37"/>
  <c r="C331" i="37"/>
  <c r="C330" i="37"/>
  <c r="C329" i="37"/>
  <c r="C328" i="37"/>
  <c r="C327" i="37"/>
  <c r="C326" i="37"/>
  <c r="C325" i="37"/>
  <c r="C324" i="37"/>
  <c r="C323" i="37"/>
  <c r="C322" i="37"/>
  <c r="C321" i="37"/>
  <c r="C320" i="37"/>
  <c r="C319" i="37"/>
  <c r="C318" i="37"/>
  <c r="C317" i="37"/>
  <c r="C316" i="37"/>
  <c r="C315" i="37"/>
  <c r="C314" i="37"/>
  <c r="C313" i="37"/>
  <c r="C333" i="37"/>
  <c r="F532" i="35"/>
  <c r="K532" i="35"/>
  <c r="L532" i="35"/>
  <c r="F533" i="35"/>
  <c r="K533" i="35"/>
  <c r="L533" i="35"/>
  <c r="F534" i="35"/>
  <c r="K534" i="35"/>
  <c r="L534" i="35"/>
  <c r="F531" i="35"/>
  <c r="K531" i="35"/>
  <c r="L531" i="35"/>
  <c r="A532" i="35"/>
  <c r="B532" i="35"/>
  <c r="D532" i="35"/>
  <c r="A533" i="35"/>
  <c r="B533" i="35"/>
  <c r="D533" i="35"/>
  <c r="A534" i="35"/>
  <c r="B534" i="35"/>
  <c r="D534" i="35"/>
  <c r="A531" i="35"/>
  <c r="B531" i="35"/>
  <c r="D531" i="35"/>
  <c r="A512" i="35"/>
  <c r="A513" i="35"/>
  <c r="A514" i="35"/>
  <c r="A515" i="35"/>
  <c r="A516" i="35"/>
  <c r="A517" i="35"/>
  <c r="A518" i="35"/>
  <c r="A519" i="35"/>
  <c r="A520" i="35"/>
  <c r="A521" i="35"/>
  <c r="A522" i="35"/>
  <c r="A523" i="35"/>
  <c r="A524" i="35"/>
  <c r="A525" i="35"/>
  <c r="A526" i="35"/>
  <c r="A527" i="35"/>
  <c r="A528" i="35"/>
  <c r="A529" i="35"/>
  <c r="A530" i="35"/>
  <c r="L530" i="35"/>
  <c r="K530" i="35"/>
  <c r="G199" i="37"/>
  <c r="C199" i="37"/>
  <c r="F530" i="35"/>
  <c r="D530" i="35"/>
  <c r="B530" i="35"/>
  <c r="L529" i="35"/>
  <c r="K529" i="35"/>
  <c r="F529" i="35"/>
  <c r="D529" i="35"/>
  <c r="B529" i="35"/>
  <c r="L528" i="35"/>
  <c r="K528" i="35"/>
  <c r="F528" i="35"/>
  <c r="D528" i="35"/>
  <c r="B528" i="35"/>
  <c r="L527" i="35"/>
  <c r="K527" i="35"/>
  <c r="F527" i="35"/>
  <c r="D527" i="35"/>
  <c r="B527" i="35"/>
  <c r="L526" i="35"/>
  <c r="K526" i="35"/>
  <c r="F526" i="35"/>
  <c r="D66" i="26"/>
  <c r="B66" i="26"/>
  <c r="D526" i="35"/>
  <c r="B526" i="35"/>
  <c r="L525" i="35"/>
  <c r="K525" i="35"/>
  <c r="F525" i="35"/>
  <c r="D525" i="35"/>
  <c r="B525" i="35"/>
  <c r="L524" i="35"/>
  <c r="K524" i="35"/>
  <c r="F524" i="35"/>
  <c r="D60" i="26"/>
  <c r="B60" i="26"/>
  <c r="D524" i="35"/>
  <c r="B524" i="35"/>
  <c r="L523" i="35"/>
  <c r="K523" i="35"/>
  <c r="F523" i="35"/>
  <c r="D56" i="26"/>
  <c r="B56" i="26"/>
  <c r="D523" i="35"/>
  <c r="B523" i="35"/>
  <c r="L522" i="35"/>
  <c r="K522" i="35"/>
  <c r="F522" i="35"/>
  <c r="D522" i="35"/>
  <c r="B522" i="35"/>
  <c r="L521" i="35"/>
  <c r="K521" i="35"/>
  <c r="F521" i="35"/>
  <c r="D52" i="26"/>
  <c r="B52" i="26"/>
  <c r="D521" i="35"/>
  <c r="B521" i="35"/>
  <c r="L520" i="35"/>
  <c r="K520" i="35"/>
  <c r="F520" i="35"/>
  <c r="D520" i="35"/>
  <c r="B520" i="35"/>
  <c r="L519" i="35"/>
  <c r="K519" i="35"/>
  <c r="F519" i="35"/>
  <c r="D48" i="26"/>
  <c r="B48" i="26"/>
  <c r="D519" i="35"/>
  <c r="B519" i="35"/>
  <c r="L518" i="35"/>
  <c r="K518" i="35"/>
  <c r="F518" i="35"/>
  <c r="D518" i="35"/>
  <c r="B518" i="35"/>
  <c r="L517" i="35"/>
  <c r="K517" i="35"/>
  <c r="F517" i="35"/>
  <c r="D517" i="35"/>
  <c r="B517" i="35"/>
  <c r="L516" i="35"/>
  <c r="K516" i="35"/>
  <c r="F516" i="35"/>
  <c r="D516" i="35"/>
  <c r="B516" i="35"/>
  <c r="L515" i="35"/>
  <c r="K515" i="35"/>
  <c r="F515" i="35"/>
  <c r="D515" i="35"/>
  <c r="B515" i="35"/>
  <c r="L514" i="35"/>
  <c r="K514" i="35"/>
  <c r="F514" i="35"/>
  <c r="D514" i="35"/>
  <c r="B514" i="35"/>
  <c r="L513" i="35"/>
  <c r="K513" i="35"/>
  <c r="F513" i="35"/>
  <c r="D513" i="35"/>
  <c r="B513" i="35"/>
  <c r="L512" i="35"/>
  <c r="K512" i="35"/>
  <c r="F512" i="35"/>
  <c r="D512" i="35"/>
  <c r="B512" i="35"/>
  <c r="F511" i="35"/>
  <c r="A511" i="35"/>
  <c r="K511" i="35"/>
  <c r="D46" i="26"/>
  <c r="B46" i="26"/>
  <c r="D511" i="35"/>
  <c r="B511" i="35"/>
  <c r="I508" i="35"/>
  <c r="J508" i="35"/>
  <c r="H508" i="35"/>
  <c r="J374" i="37"/>
  <c r="I374" i="37"/>
  <c r="H374" i="37"/>
  <c r="I501" i="35"/>
  <c r="J501" i="35"/>
  <c r="H501" i="35"/>
  <c r="I510" i="35"/>
  <c r="J510" i="35"/>
  <c r="H510" i="35"/>
  <c r="D374" i="37"/>
  <c r="C374" i="37"/>
  <c r="J373" i="37"/>
  <c r="I373" i="37"/>
  <c r="H373" i="37"/>
  <c r="I500" i="35"/>
  <c r="J500" i="35"/>
  <c r="H500" i="35"/>
  <c r="I509" i="35"/>
  <c r="J509" i="35"/>
  <c r="H509" i="35"/>
  <c r="D373" i="37"/>
  <c r="C373" i="37"/>
  <c r="J186" i="37"/>
  <c r="H186" i="37"/>
  <c r="D186" i="37"/>
  <c r="C186" i="37"/>
  <c r="J185" i="37"/>
  <c r="H185" i="37"/>
  <c r="I498" i="35"/>
  <c r="D155" i="24"/>
  <c r="K498" i="35"/>
  <c r="L498" i="35"/>
  <c r="H498" i="35"/>
  <c r="I507" i="35"/>
  <c r="D43" i="24"/>
  <c r="K507" i="35"/>
  <c r="L507" i="35"/>
  <c r="H507" i="35"/>
  <c r="D185" i="37"/>
  <c r="C185" i="37"/>
  <c r="J184" i="37"/>
  <c r="H184" i="37"/>
  <c r="I497" i="35"/>
  <c r="K497" i="35"/>
  <c r="L497" i="35"/>
  <c r="H497" i="35"/>
  <c r="I506" i="35"/>
  <c r="K506" i="35"/>
  <c r="L506" i="35"/>
  <c r="H506" i="35"/>
  <c r="D184" i="37"/>
  <c r="C184" i="37"/>
  <c r="A506" i="35"/>
  <c r="A507" i="35"/>
  <c r="A508" i="35"/>
  <c r="A509" i="35"/>
  <c r="A510" i="35"/>
  <c r="L510" i="35"/>
  <c r="K510" i="35"/>
  <c r="I370" i="37"/>
  <c r="C370" i="37"/>
  <c r="F510" i="35"/>
  <c r="D510" i="35"/>
  <c r="B510" i="35"/>
  <c r="L509" i="35"/>
  <c r="K509" i="35"/>
  <c r="I369" i="37"/>
  <c r="C369" i="37"/>
  <c r="F509" i="35"/>
  <c r="D509" i="35"/>
  <c r="B509" i="35"/>
  <c r="L508" i="35"/>
  <c r="K508" i="35"/>
  <c r="F508" i="35"/>
  <c r="D508" i="35"/>
  <c r="B508" i="35"/>
  <c r="J507" i="35"/>
  <c r="J180" i="37"/>
  <c r="C180" i="37"/>
  <c r="F507" i="35"/>
  <c r="D507" i="35"/>
  <c r="B507" i="35"/>
  <c r="J506" i="35"/>
  <c r="J179" i="37"/>
  <c r="C179" i="37"/>
  <c r="F506" i="35"/>
  <c r="D506" i="35"/>
  <c r="B506" i="35"/>
  <c r="I61" i="24"/>
  <c r="J183" i="37"/>
  <c r="H183" i="37"/>
  <c r="I505" i="35"/>
  <c r="J505" i="35"/>
  <c r="H505" i="35"/>
  <c r="D183" i="37"/>
  <c r="C183" i="37"/>
  <c r="J182" i="37"/>
  <c r="H182" i="37"/>
  <c r="I504" i="35"/>
  <c r="J504" i="35"/>
  <c r="K504" i="35"/>
  <c r="L504" i="35"/>
  <c r="H504" i="35"/>
  <c r="D182" i="37"/>
  <c r="C182" i="37"/>
  <c r="A504" i="35"/>
  <c r="A505" i="35"/>
  <c r="L505" i="35"/>
  <c r="K505" i="35"/>
  <c r="F505" i="35"/>
  <c r="D505" i="35"/>
  <c r="B505" i="35"/>
  <c r="F504" i="35"/>
  <c r="D504" i="35"/>
  <c r="B504" i="35"/>
  <c r="A502" i="35"/>
  <c r="A503" i="35"/>
  <c r="L503" i="35"/>
  <c r="I503" i="35"/>
  <c r="K503" i="35"/>
  <c r="J503" i="35"/>
  <c r="H503" i="35"/>
  <c r="C372" i="37"/>
  <c r="F503" i="35"/>
  <c r="D503" i="35"/>
  <c r="B503" i="35"/>
  <c r="L502" i="35"/>
  <c r="I502" i="35"/>
  <c r="K502" i="35"/>
  <c r="J502" i="35"/>
  <c r="H502" i="35"/>
  <c r="C371" i="37"/>
  <c r="F502" i="35"/>
  <c r="D502" i="35"/>
  <c r="B502" i="35"/>
  <c r="J372" i="37"/>
  <c r="H372" i="37"/>
  <c r="I95" i="35"/>
  <c r="J95" i="35"/>
  <c r="H95" i="35"/>
  <c r="D372" i="37"/>
  <c r="J371" i="37"/>
  <c r="H371" i="37"/>
  <c r="D371" i="37"/>
  <c r="J370" i="37"/>
  <c r="H370" i="37"/>
  <c r="I492" i="35"/>
  <c r="J492" i="35"/>
  <c r="H492" i="35"/>
  <c r="D370" i="37"/>
  <c r="J369" i="37"/>
  <c r="H369" i="37"/>
  <c r="I491" i="35"/>
  <c r="J491" i="35"/>
  <c r="H491" i="35"/>
  <c r="D369" i="37"/>
  <c r="A500" i="35"/>
  <c r="A501" i="35"/>
  <c r="L501" i="35"/>
  <c r="K501" i="35"/>
  <c r="I368" i="37"/>
  <c r="C368" i="37"/>
  <c r="F501" i="35"/>
  <c r="D501" i="35"/>
  <c r="B501" i="35"/>
  <c r="L500" i="35"/>
  <c r="K500" i="35"/>
  <c r="I367" i="37"/>
  <c r="C367" i="37"/>
  <c r="F500" i="35"/>
  <c r="D500" i="35"/>
  <c r="B500" i="35"/>
  <c r="H181" i="37"/>
  <c r="I494" i="35"/>
  <c r="J494" i="35"/>
  <c r="H494" i="35"/>
  <c r="D181" i="37"/>
  <c r="H180" i="37"/>
  <c r="D180" i="37"/>
  <c r="H179" i="37"/>
  <c r="D179" i="37"/>
  <c r="A499" i="35"/>
  <c r="L499" i="35"/>
  <c r="K499" i="35"/>
  <c r="J175" i="37"/>
  <c r="C175" i="37"/>
  <c r="F499" i="35"/>
  <c r="D499" i="35"/>
  <c r="B499" i="35"/>
  <c r="A497" i="35"/>
  <c r="A498" i="35"/>
  <c r="J498" i="35"/>
  <c r="F498" i="35"/>
  <c r="D498" i="35"/>
  <c r="B498" i="35"/>
  <c r="J497" i="35"/>
  <c r="F497" i="35"/>
  <c r="D497" i="35"/>
  <c r="B497" i="35"/>
  <c r="H178" i="37"/>
  <c r="I495" i="35"/>
  <c r="J495" i="35"/>
  <c r="H495" i="35"/>
  <c r="D178" i="37"/>
  <c r="A496" i="35"/>
  <c r="L496" i="35"/>
  <c r="K496" i="35"/>
  <c r="J177" i="37"/>
  <c r="C177" i="37"/>
  <c r="F496" i="35"/>
  <c r="D496" i="35"/>
  <c r="B496" i="35"/>
  <c r="A495" i="35"/>
  <c r="L495" i="35"/>
  <c r="K495" i="35"/>
  <c r="J173" i="37"/>
  <c r="C173" i="37"/>
  <c r="F495" i="35"/>
  <c r="D495" i="35"/>
  <c r="B495" i="35"/>
  <c r="H177" i="37"/>
  <c r="I488" i="35"/>
  <c r="J488" i="35"/>
  <c r="H488" i="35"/>
  <c r="D177" i="37"/>
  <c r="J176" i="37"/>
  <c r="H176" i="37"/>
  <c r="I490" i="35"/>
  <c r="J490" i="35"/>
  <c r="H490" i="35"/>
  <c r="D176" i="37"/>
  <c r="C176" i="37"/>
  <c r="A494" i="35"/>
  <c r="L494" i="35"/>
  <c r="K494" i="35"/>
  <c r="F494" i="35"/>
  <c r="D494" i="35"/>
  <c r="B494" i="35"/>
  <c r="J63" i="37"/>
  <c r="H63" i="37"/>
  <c r="I477" i="35"/>
  <c r="J477" i="35"/>
  <c r="H477" i="35"/>
  <c r="I493" i="35"/>
  <c r="J493" i="35"/>
  <c r="H493" i="35"/>
  <c r="D63" i="37"/>
  <c r="A493" i="35"/>
  <c r="L493" i="35"/>
  <c r="K493" i="35"/>
  <c r="F493" i="35"/>
  <c r="D493" i="35"/>
  <c r="B493" i="35"/>
  <c r="H175" i="37"/>
  <c r="K490" i="35"/>
  <c r="L490" i="35"/>
  <c r="D175" i="37"/>
  <c r="J174" i="37"/>
  <c r="H174" i="37"/>
  <c r="I486" i="35"/>
  <c r="K486" i="35"/>
  <c r="L486" i="35"/>
  <c r="H486" i="35"/>
  <c r="I489" i="35"/>
  <c r="K489" i="35"/>
  <c r="L489" i="35"/>
  <c r="H489" i="35"/>
  <c r="D174" i="37"/>
  <c r="C174" i="37"/>
  <c r="J368" i="37"/>
  <c r="H368" i="37"/>
  <c r="I484" i="35"/>
  <c r="J484" i="35"/>
  <c r="H484" i="35"/>
  <c r="D368" i="37"/>
  <c r="J367" i="37"/>
  <c r="H367" i="37"/>
  <c r="I483" i="35"/>
  <c r="J483" i="35"/>
  <c r="H483" i="35"/>
  <c r="D367" i="37"/>
  <c r="A489" i="35"/>
  <c r="A490" i="35"/>
  <c r="A491" i="35"/>
  <c r="A492" i="35"/>
  <c r="J172" i="37"/>
  <c r="C172" i="37"/>
  <c r="F490" i="35"/>
  <c r="D490" i="35"/>
  <c r="B490" i="35"/>
  <c r="J489" i="35"/>
  <c r="J171" i="37"/>
  <c r="C171" i="37"/>
  <c r="F489" i="35"/>
  <c r="D489" i="35"/>
  <c r="B489" i="35"/>
  <c r="L492" i="35"/>
  <c r="K492" i="35"/>
  <c r="I366" i="37"/>
  <c r="C366" i="37"/>
  <c r="F492" i="35"/>
  <c r="D492" i="35"/>
  <c r="B492" i="35"/>
  <c r="L491" i="35"/>
  <c r="K491" i="35"/>
  <c r="I365" i="37"/>
  <c r="C365" i="37"/>
  <c r="F491" i="35"/>
  <c r="D491" i="35"/>
  <c r="B491" i="35"/>
  <c r="D171" i="24"/>
  <c r="H173" i="37"/>
  <c r="I343" i="35"/>
  <c r="J343" i="35"/>
  <c r="H343" i="35"/>
  <c r="D173" i="37"/>
  <c r="F488" i="35"/>
  <c r="B488" i="35"/>
  <c r="C255" i="37"/>
  <c r="F487" i="35"/>
  <c r="B487" i="35"/>
  <c r="A488" i="35"/>
  <c r="L488" i="35"/>
  <c r="K488" i="35"/>
  <c r="D488" i="35"/>
  <c r="H255" i="37"/>
  <c r="I358" i="35"/>
  <c r="J358" i="35"/>
  <c r="H358" i="35"/>
  <c r="I487" i="35"/>
  <c r="J487" i="35"/>
  <c r="H487" i="35"/>
  <c r="D255" i="37"/>
  <c r="A487" i="35"/>
  <c r="L487" i="35"/>
  <c r="K487" i="35"/>
  <c r="D487" i="35"/>
  <c r="I485" i="35"/>
  <c r="K485" i="35"/>
  <c r="K484" i="35"/>
  <c r="K483" i="35"/>
  <c r="I482" i="35"/>
  <c r="K482" i="35"/>
  <c r="I481" i="35"/>
  <c r="K481" i="35"/>
  <c r="I480" i="35"/>
  <c r="K480" i="35"/>
  <c r="I479" i="35"/>
  <c r="K479" i="35"/>
  <c r="L485" i="35"/>
  <c r="H485" i="35"/>
  <c r="L479" i="35"/>
  <c r="H479" i="35"/>
  <c r="I478" i="35"/>
  <c r="K478" i="35"/>
  <c r="L478" i="35"/>
  <c r="H478" i="35"/>
  <c r="J481" i="35"/>
  <c r="H481" i="35"/>
  <c r="J482" i="35"/>
  <c r="H482" i="35"/>
  <c r="J480" i="35"/>
  <c r="H480" i="35"/>
  <c r="F485" i="35"/>
  <c r="H172" i="37"/>
  <c r="J486" i="35"/>
  <c r="D172" i="37"/>
  <c r="H171" i="37"/>
  <c r="J485" i="35"/>
  <c r="D171" i="37"/>
  <c r="A485" i="35"/>
  <c r="B485" i="35"/>
  <c r="D485" i="35"/>
  <c r="A486" i="35"/>
  <c r="F486" i="35"/>
  <c r="B486" i="35"/>
  <c r="D486" i="35"/>
  <c r="J366" i="37"/>
  <c r="H366" i="37"/>
  <c r="D366" i="37"/>
  <c r="J365" i="37"/>
  <c r="H365" i="37"/>
  <c r="D365" i="37"/>
  <c r="A483" i="35"/>
  <c r="A484" i="35"/>
  <c r="L484" i="35"/>
  <c r="I359" i="37"/>
  <c r="C359" i="37"/>
  <c r="F484" i="35"/>
  <c r="D484" i="35"/>
  <c r="B484" i="35"/>
  <c r="L483" i="35"/>
  <c r="I358" i="37"/>
  <c r="C358" i="37"/>
  <c r="F483" i="35"/>
  <c r="D483" i="35"/>
  <c r="B483" i="35"/>
  <c r="D309" i="26"/>
  <c r="G309" i="26"/>
  <c r="B309" i="26"/>
  <c r="E309" i="26"/>
  <c r="D310" i="26"/>
  <c r="G310" i="26"/>
  <c r="B310" i="26"/>
  <c r="E310" i="26"/>
  <c r="D311" i="26"/>
  <c r="G311" i="26"/>
  <c r="B311" i="26"/>
  <c r="E311" i="26"/>
  <c r="A478" i="35"/>
  <c r="D299" i="26"/>
  <c r="G299" i="26"/>
  <c r="B299" i="26"/>
  <c r="D308" i="26"/>
  <c r="G308" i="26"/>
  <c r="B308" i="26"/>
  <c r="E308" i="26"/>
  <c r="G302" i="26"/>
  <c r="D302" i="26"/>
  <c r="B302" i="26"/>
  <c r="D166" i="37"/>
  <c r="G170" i="37"/>
  <c r="J170" i="37"/>
  <c r="H170" i="37"/>
  <c r="I368" i="35"/>
  <c r="J368" i="35"/>
  <c r="H368" i="35"/>
  <c r="D170" i="37"/>
  <c r="C170" i="37"/>
  <c r="H169" i="37"/>
  <c r="D169" i="37"/>
  <c r="H168" i="37"/>
  <c r="D168" i="37"/>
  <c r="H167" i="37"/>
  <c r="D167" i="37"/>
  <c r="H166" i="37"/>
  <c r="I76" i="24"/>
  <c r="I75" i="24"/>
  <c r="I74" i="24"/>
  <c r="I73" i="24"/>
  <c r="I72" i="24"/>
  <c r="G153" i="37"/>
  <c r="J153" i="37"/>
  <c r="C153" i="37"/>
  <c r="B478" i="35"/>
  <c r="A479" i="35"/>
  <c r="A480" i="35"/>
  <c r="A481" i="35"/>
  <c r="A482" i="35"/>
  <c r="L482" i="35"/>
  <c r="G157" i="37"/>
  <c r="J157" i="37"/>
  <c r="C157" i="37"/>
  <c r="F482" i="35"/>
  <c r="D482" i="35"/>
  <c r="B482" i="35"/>
  <c r="L481" i="35"/>
  <c r="G156" i="37"/>
  <c r="J156" i="37"/>
  <c r="C156" i="37"/>
  <c r="D481" i="35"/>
  <c r="B481" i="35"/>
  <c r="L480" i="35"/>
  <c r="G155" i="37"/>
  <c r="J155" i="37"/>
  <c r="C155" i="37"/>
  <c r="D480" i="35"/>
  <c r="B480" i="35"/>
  <c r="J479" i="35"/>
  <c r="G154" i="37"/>
  <c r="J154" i="37"/>
  <c r="C154" i="37"/>
  <c r="D479" i="35"/>
  <c r="B479" i="35"/>
  <c r="J478" i="35"/>
  <c r="D478" i="35"/>
  <c r="J62" i="37"/>
  <c r="H62" i="37"/>
  <c r="I247" i="35"/>
  <c r="J247" i="35"/>
  <c r="H247" i="35"/>
  <c r="D62" i="37"/>
  <c r="A477" i="35"/>
  <c r="L477" i="35"/>
  <c r="K477" i="35"/>
  <c r="F477" i="35"/>
  <c r="D477" i="35"/>
  <c r="B477" i="35"/>
  <c r="I217" i="35"/>
  <c r="K217" i="35"/>
  <c r="J217" i="35"/>
  <c r="H217" i="35"/>
  <c r="I216" i="35"/>
  <c r="D34" i="24"/>
  <c r="K216" i="35"/>
  <c r="J216" i="35"/>
  <c r="L216" i="35"/>
  <c r="H216" i="35"/>
  <c r="I215" i="35"/>
  <c r="K215" i="35"/>
  <c r="J215" i="35"/>
  <c r="L215" i="35"/>
  <c r="H215" i="35"/>
  <c r="I214" i="35"/>
  <c r="D31" i="24"/>
  <c r="K214" i="35"/>
  <c r="J214" i="35"/>
  <c r="L214" i="35"/>
  <c r="H214" i="35"/>
  <c r="I213" i="35"/>
  <c r="K213" i="35"/>
  <c r="J213" i="35"/>
  <c r="H213" i="35"/>
  <c r="I212" i="35"/>
  <c r="D39" i="24"/>
  <c r="K212" i="35"/>
  <c r="J212" i="35"/>
  <c r="L212" i="35"/>
  <c r="H212" i="35"/>
  <c r="I211" i="35"/>
  <c r="K211" i="35"/>
  <c r="J211" i="35"/>
  <c r="L211" i="35"/>
  <c r="H211" i="35"/>
  <c r="I210" i="35"/>
  <c r="D36" i="24"/>
  <c r="K210" i="35"/>
  <c r="J210" i="35"/>
  <c r="L210" i="35"/>
  <c r="H210" i="35"/>
  <c r="I209" i="35"/>
  <c r="K209" i="35"/>
  <c r="J209" i="35"/>
  <c r="H209" i="35"/>
  <c r="I208" i="35"/>
  <c r="D33" i="24"/>
  <c r="K208" i="35"/>
  <c r="J208" i="35"/>
  <c r="L208" i="35"/>
  <c r="H208" i="35"/>
  <c r="I207" i="35"/>
  <c r="K207" i="35"/>
  <c r="J207" i="35"/>
  <c r="L207" i="35"/>
  <c r="H207" i="35"/>
  <c r="I206" i="35"/>
  <c r="D30" i="24"/>
  <c r="K206" i="35"/>
  <c r="J206" i="35"/>
  <c r="L206" i="35"/>
  <c r="H206" i="35"/>
  <c r="I205" i="35"/>
  <c r="K205" i="35"/>
  <c r="J205" i="35"/>
  <c r="H205" i="35"/>
  <c r="I204" i="35"/>
  <c r="D29" i="24"/>
  <c r="K204" i="35"/>
  <c r="J204" i="35"/>
  <c r="L204" i="35"/>
  <c r="H204" i="35"/>
  <c r="I203" i="35"/>
  <c r="K203" i="35"/>
  <c r="J203" i="35"/>
  <c r="L203" i="35"/>
  <c r="H203" i="35"/>
  <c r="I202" i="35"/>
  <c r="D27" i="24"/>
  <c r="K202" i="35"/>
  <c r="J202" i="35"/>
  <c r="L202" i="35"/>
  <c r="H202" i="35"/>
  <c r="I201" i="35"/>
  <c r="K201" i="35"/>
  <c r="J201" i="35"/>
  <c r="H201" i="35"/>
  <c r="I200" i="35"/>
  <c r="D26" i="24"/>
  <c r="K200" i="35"/>
  <c r="J200" i="35"/>
  <c r="L200" i="35"/>
  <c r="H200" i="35"/>
  <c r="I199" i="35"/>
  <c r="K199" i="35"/>
  <c r="J199" i="35"/>
  <c r="L199" i="35"/>
  <c r="H199" i="35"/>
  <c r="I198" i="35"/>
  <c r="D25" i="24"/>
  <c r="K198" i="35"/>
  <c r="J198" i="35"/>
  <c r="L198" i="35"/>
  <c r="H198" i="35"/>
  <c r="I197" i="35"/>
  <c r="K197" i="35"/>
  <c r="J197" i="35"/>
  <c r="H197" i="35"/>
  <c r="I416" i="35"/>
  <c r="K416" i="35"/>
  <c r="I476" i="35"/>
  <c r="K476" i="35"/>
  <c r="I475" i="35"/>
  <c r="D35" i="24"/>
  <c r="K475" i="35"/>
  <c r="I474" i="35"/>
  <c r="K474" i="35"/>
  <c r="I473" i="35"/>
  <c r="D32" i="24"/>
  <c r="K473" i="35"/>
  <c r="I472" i="35"/>
  <c r="K472" i="35"/>
  <c r="I471" i="35"/>
  <c r="D41" i="24"/>
  <c r="K471" i="35"/>
  <c r="I470" i="35"/>
  <c r="K470" i="35"/>
  <c r="I469" i="35"/>
  <c r="D38" i="24"/>
  <c r="K469" i="35"/>
  <c r="I468" i="35"/>
  <c r="K468" i="35"/>
  <c r="I467" i="35"/>
  <c r="K467" i="35"/>
  <c r="I466" i="35"/>
  <c r="K466" i="35"/>
  <c r="I465" i="35"/>
  <c r="K465" i="35"/>
  <c r="I464" i="35"/>
  <c r="K464" i="35"/>
  <c r="I463" i="35"/>
  <c r="K463" i="35"/>
  <c r="I462" i="35"/>
  <c r="K462" i="35"/>
  <c r="I461" i="35"/>
  <c r="K461" i="35"/>
  <c r="I460" i="35"/>
  <c r="K460" i="35"/>
  <c r="I459" i="35"/>
  <c r="K459" i="35"/>
  <c r="I458" i="35"/>
  <c r="K458" i="35"/>
  <c r="I457" i="35"/>
  <c r="K457" i="35"/>
  <c r="I456" i="35"/>
  <c r="K456" i="35"/>
  <c r="I455" i="35"/>
  <c r="K455" i="35"/>
  <c r="I454" i="35"/>
  <c r="K454" i="35"/>
  <c r="I453" i="35"/>
  <c r="K453" i="35"/>
  <c r="I452" i="35"/>
  <c r="K452" i="35"/>
  <c r="I451" i="35"/>
  <c r="K451" i="35"/>
  <c r="I450" i="35"/>
  <c r="K450" i="35"/>
  <c r="I449" i="35"/>
  <c r="K449" i="35"/>
  <c r="I448" i="35"/>
  <c r="K448" i="35"/>
  <c r="I447" i="35"/>
  <c r="D40" i="24"/>
  <c r="K447" i="35"/>
  <c r="I446" i="35"/>
  <c r="K446" i="35"/>
  <c r="I445" i="35"/>
  <c r="D37" i="24"/>
  <c r="K445" i="35"/>
  <c r="I444" i="35"/>
  <c r="K444" i="35"/>
  <c r="I443" i="35"/>
  <c r="K443" i="35"/>
  <c r="I442" i="35"/>
  <c r="K442" i="35"/>
  <c r="I441" i="35"/>
  <c r="K441" i="35"/>
  <c r="I440" i="35"/>
  <c r="K440" i="35"/>
  <c r="I439" i="35"/>
  <c r="K439" i="35"/>
  <c r="I438" i="35"/>
  <c r="K438" i="35"/>
  <c r="I437" i="35"/>
  <c r="K437" i="35"/>
  <c r="I436" i="35"/>
  <c r="K436" i="35"/>
  <c r="I435" i="35"/>
  <c r="K435" i="35"/>
  <c r="I434" i="35"/>
  <c r="K434" i="35"/>
  <c r="I433" i="35"/>
  <c r="K433" i="35"/>
  <c r="I432" i="35"/>
  <c r="K432" i="35"/>
  <c r="I431" i="35"/>
  <c r="K431" i="35"/>
  <c r="I430" i="35"/>
  <c r="K430" i="35"/>
  <c r="I429" i="35"/>
  <c r="K429" i="35"/>
  <c r="I428" i="35"/>
  <c r="K428" i="35"/>
  <c r="I427" i="35"/>
  <c r="K427" i="35"/>
  <c r="I426" i="35"/>
  <c r="K426" i="35"/>
  <c r="I425" i="35"/>
  <c r="K425" i="35"/>
  <c r="I424" i="35"/>
  <c r="K424" i="35"/>
  <c r="I423" i="35"/>
  <c r="K423" i="35"/>
  <c r="I422" i="35"/>
  <c r="K422" i="35"/>
  <c r="I421" i="35"/>
  <c r="K421" i="35"/>
  <c r="I420" i="35"/>
  <c r="K420" i="35"/>
  <c r="I419" i="35"/>
  <c r="K419" i="35"/>
  <c r="I417" i="35"/>
  <c r="K417" i="35"/>
  <c r="L476" i="35"/>
  <c r="J476" i="35"/>
  <c r="L475" i="35"/>
  <c r="J475" i="35"/>
  <c r="L474" i="35"/>
  <c r="J474" i="35"/>
  <c r="L473" i="35"/>
  <c r="J473" i="35"/>
  <c r="L472" i="35"/>
  <c r="J472" i="35"/>
  <c r="L471" i="35"/>
  <c r="J471" i="35"/>
  <c r="L470" i="35"/>
  <c r="J470" i="35"/>
  <c r="L469" i="35"/>
  <c r="J469" i="35"/>
  <c r="L468" i="35"/>
  <c r="J468" i="35"/>
  <c r="L467" i="35"/>
  <c r="J467" i="35"/>
  <c r="L466" i="35"/>
  <c r="J466" i="35"/>
  <c r="L465" i="35"/>
  <c r="J465" i="35"/>
  <c r="L464" i="35"/>
  <c r="J464" i="35"/>
  <c r="L463" i="35"/>
  <c r="J463" i="35"/>
  <c r="L462" i="35"/>
  <c r="J462" i="35"/>
  <c r="L461" i="35"/>
  <c r="J461" i="35"/>
  <c r="L460" i="35"/>
  <c r="J460" i="35"/>
  <c r="L459" i="35"/>
  <c r="J459" i="35"/>
  <c r="L458" i="35"/>
  <c r="J458" i="35"/>
  <c r="L457" i="35"/>
  <c r="J457" i="35"/>
  <c r="L456" i="35"/>
  <c r="J456" i="35"/>
  <c r="L455" i="35"/>
  <c r="J455" i="35"/>
  <c r="L454" i="35"/>
  <c r="J454" i="35"/>
  <c r="L453" i="35"/>
  <c r="J453" i="35"/>
  <c r="L452" i="35"/>
  <c r="J452" i="35"/>
  <c r="L451" i="35"/>
  <c r="J451" i="35"/>
  <c r="L450" i="35"/>
  <c r="J450" i="35"/>
  <c r="L449" i="35"/>
  <c r="J449" i="35"/>
  <c r="L448" i="35"/>
  <c r="J448" i="35"/>
  <c r="L447" i="35"/>
  <c r="J447" i="35"/>
  <c r="L446" i="35"/>
  <c r="J446" i="35"/>
  <c r="L445" i="35"/>
  <c r="J445" i="35"/>
  <c r="H476" i="35"/>
  <c r="H475" i="35"/>
  <c r="H474" i="35"/>
  <c r="H473" i="35"/>
  <c r="H472" i="35"/>
  <c r="H471" i="35"/>
  <c r="H470" i="35"/>
  <c r="H469" i="35"/>
  <c r="H468" i="35"/>
  <c r="H467" i="35"/>
  <c r="H466" i="35"/>
  <c r="H465" i="35"/>
  <c r="H464" i="35"/>
  <c r="H463" i="35"/>
  <c r="H462" i="35"/>
  <c r="H461" i="35"/>
  <c r="H460" i="35"/>
  <c r="H459" i="35"/>
  <c r="H458" i="35"/>
  <c r="H457" i="35"/>
  <c r="H456" i="35"/>
  <c r="H455" i="35"/>
  <c r="H454" i="35"/>
  <c r="H453" i="35"/>
  <c r="H452" i="35"/>
  <c r="H451" i="35"/>
  <c r="H450" i="35"/>
  <c r="H449" i="35"/>
  <c r="H448" i="35"/>
  <c r="H447" i="35"/>
  <c r="H446" i="35"/>
  <c r="H445" i="35"/>
  <c r="J444" i="35"/>
  <c r="H444" i="35"/>
  <c r="D23" i="24"/>
  <c r="L443" i="35"/>
  <c r="H443" i="35"/>
  <c r="L442" i="35"/>
  <c r="H442" i="35"/>
  <c r="L441" i="35"/>
  <c r="H441" i="35"/>
  <c r="J440" i="35"/>
  <c r="H440" i="35"/>
  <c r="L439" i="35"/>
  <c r="H439" i="35"/>
  <c r="L438" i="35"/>
  <c r="H438" i="35"/>
  <c r="L437" i="35"/>
  <c r="H437" i="35"/>
  <c r="J436" i="35"/>
  <c r="H436" i="35"/>
  <c r="L435" i="35"/>
  <c r="H435" i="35"/>
  <c r="L434" i="35"/>
  <c r="H434" i="35"/>
  <c r="L433" i="35"/>
  <c r="H433" i="35"/>
  <c r="J432" i="35"/>
  <c r="H432" i="35"/>
  <c r="L431" i="35"/>
  <c r="H431" i="35"/>
  <c r="L430" i="35"/>
  <c r="H430" i="35"/>
  <c r="L429" i="35"/>
  <c r="H429" i="35"/>
  <c r="J428" i="35"/>
  <c r="H428" i="35"/>
  <c r="L427" i="35"/>
  <c r="H427" i="35"/>
  <c r="L426" i="35"/>
  <c r="H426" i="35"/>
  <c r="L425" i="35"/>
  <c r="H425" i="35"/>
  <c r="J424" i="35"/>
  <c r="H424" i="35"/>
  <c r="L423" i="35"/>
  <c r="H423" i="35"/>
  <c r="L422" i="35"/>
  <c r="H422" i="35"/>
  <c r="L421" i="35"/>
  <c r="H421" i="35"/>
  <c r="J420" i="35"/>
  <c r="H420" i="35"/>
  <c r="L419" i="35"/>
  <c r="H419" i="35"/>
  <c r="L417" i="35"/>
  <c r="H417" i="35"/>
  <c r="J416" i="35"/>
  <c r="H416" i="35"/>
  <c r="I418" i="35"/>
  <c r="K418" i="35"/>
  <c r="L418" i="35"/>
  <c r="H418" i="35"/>
  <c r="G59" i="24"/>
  <c r="I59" i="24"/>
  <c r="G57" i="24"/>
  <c r="I57" i="24"/>
  <c r="G55" i="24"/>
  <c r="I55" i="24"/>
  <c r="G53" i="24"/>
  <c r="I53" i="24"/>
  <c r="G52" i="24"/>
  <c r="G54" i="24"/>
  <c r="G56" i="24"/>
  <c r="G58" i="24"/>
  <c r="D78" i="24"/>
  <c r="G172" i="24"/>
  <c r="I58" i="24"/>
  <c r="I56" i="24"/>
  <c r="I54" i="24"/>
  <c r="I52" i="24"/>
  <c r="G41" i="24"/>
  <c r="I41" i="24"/>
  <c r="G40" i="24"/>
  <c r="I40" i="24"/>
  <c r="G39" i="24"/>
  <c r="I39" i="24"/>
  <c r="G38" i="24"/>
  <c r="I38" i="24"/>
  <c r="G37" i="24"/>
  <c r="I37" i="24"/>
  <c r="G36" i="24"/>
  <c r="I36" i="24"/>
  <c r="G35" i="24"/>
  <c r="I35" i="24"/>
  <c r="G34" i="24"/>
  <c r="I34" i="24"/>
  <c r="G33" i="24"/>
  <c r="I33" i="24"/>
  <c r="G32" i="24"/>
  <c r="I32" i="24"/>
  <c r="G31" i="24"/>
  <c r="I31" i="24"/>
  <c r="G30" i="24"/>
  <c r="I30" i="24"/>
  <c r="G29" i="24"/>
  <c r="I29" i="24"/>
  <c r="D28" i="24"/>
  <c r="G28" i="24"/>
  <c r="I28" i="24"/>
  <c r="G27" i="24"/>
  <c r="I27" i="24"/>
  <c r="G26" i="24"/>
  <c r="I26" i="24"/>
  <c r="G25" i="24"/>
  <c r="I25" i="24"/>
  <c r="G85" i="24"/>
  <c r="I85" i="24"/>
  <c r="D85" i="24"/>
  <c r="L444" i="35"/>
  <c r="J443" i="35"/>
  <c r="J442" i="35"/>
  <c r="J441" i="35"/>
  <c r="L440" i="35"/>
  <c r="J439" i="35"/>
  <c r="J438" i="35"/>
  <c r="J437" i="35"/>
  <c r="G456" i="37"/>
  <c r="C456" i="37"/>
  <c r="F476" i="35"/>
  <c r="G455" i="37"/>
  <c r="C455" i="37"/>
  <c r="F475" i="35"/>
  <c r="G454" i="37"/>
  <c r="C454" i="37"/>
  <c r="F474" i="35"/>
  <c r="G453" i="37"/>
  <c r="C453" i="37"/>
  <c r="F473" i="35"/>
  <c r="G452" i="37"/>
  <c r="C452" i="37"/>
  <c r="F472" i="35"/>
  <c r="G451" i="37"/>
  <c r="C451" i="37"/>
  <c r="F471" i="35"/>
  <c r="G450" i="37"/>
  <c r="C450" i="37"/>
  <c r="F470" i="35"/>
  <c r="G449" i="37"/>
  <c r="C449" i="37"/>
  <c r="F469" i="35"/>
  <c r="G448" i="37"/>
  <c r="C448" i="37"/>
  <c r="F468" i="35"/>
  <c r="G447" i="37"/>
  <c r="C447" i="37"/>
  <c r="F467" i="35"/>
  <c r="G446" i="37"/>
  <c r="C446" i="37"/>
  <c r="F466" i="35"/>
  <c r="G445" i="37"/>
  <c r="C445" i="37"/>
  <c r="F465" i="35"/>
  <c r="G444" i="37"/>
  <c r="C444" i="37"/>
  <c r="F464" i="35"/>
  <c r="G443" i="37"/>
  <c r="C443" i="37"/>
  <c r="F463" i="35"/>
  <c r="G442" i="37"/>
  <c r="C442" i="37"/>
  <c r="F462" i="35"/>
  <c r="G441" i="37"/>
  <c r="C441" i="37"/>
  <c r="F461" i="35"/>
  <c r="G440" i="37"/>
  <c r="C440" i="37"/>
  <c r="F460" i="35"/>
  <c r="G439" i="37"/>
  <c r="C439" i="37"/>
  <c r="F459" i="35"/>
  <c r="G438" i="37"/>
  <c r="C438" i="37"/>
  <c r="F458" i="35"/>
  <c r="G437" i="37"/>
  <c r="C437" i="37"/>
  <c r="F457" i="35"/>
  <c r="G436" i="37"/>
  <c r="C436" i="37"/>
  <c r="F456" i="35"/>
  <c r="G435" i="37"/>
  <c r="C435" i="37"/>
  <c r="F455" i="35"/>
  <c r="G434" i="37"/>
  <c r="C434" i="37"/>
  <c r="F454" i="35"/>
  <c r="G433" i="37"/>
  <c r="C433" i="37"/>
  <c r="F453" i="35"/>
  <c r="G432" i="37"/>
  <c r="C432" i="37"/>
  <c r="F452" i="35"/>
  <c r="G431" i="37"/>
  <c r="C431" i="37"/>
  <c r="F451" i="35"/>
  <c r="G430" i="37"/>
  <c r="C430" i="37"/>
  <c r="F450" i="35"/>
  <c r="G429" i="37"/>
  <c r="C429" i="37"/>
  <c r="F449" i="35"/>
  <c r="G428" i="37"/>
  <c r="C428" i="37"/>
  <c r="F448" i="35"/>
  <c r="G427" i="37"/>
  <c r="C427" i="37"/>
  <c r="F447" i="35"/>
  <c r="G426" i="37"/>
  <c r="C426" i="37"/>
  <c r="F446" i="35"/>
  <c r="G425" i="37"/>
  <c r="C425" i="37"/>
  <c r="F445" i="35"/>
  <c r="G424" i="37"/>
  <c r="C424" i="37"/>
  <c r="F444" i="35"/>
  <c r="G423" i="37"/>
  <c r="C423" i="37"/>
  <c r="F443" i="35"/>
  <c r="G422" i="37"/>
  <c r="C422" i="37"/>
  <c r="F442" i="35"/>
  <c r="G421" i="37"/>
  <c r="C421" i="37"/>
  <c r="F441" i="35"/>
  <c r="G420" i="37"/>
  <c r="C420" i="37"/>
  <c r="F440" i="35"/>
  <c r="G419" i="37"/>
  <c r="C419" i="37"/>
  <c r="F439" i="35"/>
  <c r="G418" i="37"/>
  <c r="C418" i="37"/>
  <c r="F438" i="35"/>
  <c r="G417" i="37"/>
  <c r="C417" i="37"/>
  <c r="F437" i="35"/>
  <c r="D165" i="26"/>
  <c r="B165" i="26"/>
  <c r="D476" i="35"/>
  <c r="D164" i="26"/>
  <c r="B164" i="26"/>
  <c r="D475" i="35"/>
  <c r="D163" i="26"/>
  <c r="B163" i="26"/>
  <c r="D474" i="35"/>
  <c r="D162" i="26"/>
  <c r="B162" i="26"/>
  <c r="D473" i="35"/>
  <c r="D161" i="26"/>
  <c r="B161" i="26"/>
  <c r="D472" i="35"/>
  <c r="D160" i="26"/>
  <c r="B160" i="26"/>
  <c r="D471" i="35"/>
  <c r="D159" i="26"/>
  <c r="B159" i="26"/>
  <c r="D470" i="35"/>
  <c r="D158" i="26"/>
  <c r="B158" i="26"/>
  <c r="D469" i="35"/>
  <c r="D157" i="26"/>
  <c r="B157" i="26"/>
  <c r="D468" i="35"/>
  <c r="D156" i="26"/>
  <c r="B156" i="26"/>
  <c r="D467" i="35"/>
  <c r="D155" i="26"/>
  <c r="B155" i="26"/>
  <c r="D466" i="35"/>
  <c r="D154" i="26"/>
  <c r="B154" i="26"/>
  <c r="D465" i="35"/>
  <c r="D153" i="26"/>
  <c r="B153" i="26"/>
  <c r="D464" i="35"/>
  <c r="D152" i="26"/>
  <c r="B152" i="26"/>
  <c r="D463" i="35"/>
  <c r="D151" i="26"/>
  <c r="B151" i="26"/>
  <c r="D462" i="35"/>
  <c r="D150" i="26"/>
  <c r="B150" i="26"/>
  <c r="D461" i="35"/>
  <c r="D149" i="26"/>
  <c r="B149" i="26"/>
  <c r="D460" i="35"/>
  <c r="D148" i="26"/>
  <c r="B148" i="26"/>
  <c r="D459" i="35"/>
  <c r="D147" i="26"/>
  <c r="B147" i="26"/>
  <c r="D458" i="35"/>
  <c r="D146" i="26"/>
  <c r="B146" i="26"/>
  <c r="D457" i="35"/>
  <c r="D145" i="26"/>
  <c r="B145" i="26"/>
  <c r="D456" i="35"/>
  <c r="D144" i="26"/>
  <c r="B144" i="26"/>
  <c r="D455" i="35"/>
  <c r="D143" i="26"/>
  <c r="B143" i="26"/>
  <c r="D454" i="35"/>
  <c r="D142" i="26"/>
  <c r="B142" i="26"/>
  <c r="D453" i="35"/>
  <c r="D141" i="26"/>
  <c r="B141" i="26"/>
  <c r="D452" i="35"/>
  <c r="D140" i="26"/>
  <c r="B140" i="26"/>
  <c r="D451" i="35"/>
  <c r="D139" i="26"/>
  <c r="B139" i="26"/>
  <c r="D450" i="35"/>
  <c r="D138" i="26"/>
  <c r="B138" i="26"/>
  <c r="D449" i="35"/>
  <c r="D137" i="26"/>
  <c r="B137" i="26"/>
  <c r="D448" i="35"/>
  <c r="D136" i="26"/>
  <c r="B136" i="26"/>
  <c r="D447" i="35"/>
  <c r="D135" i="26"/>
  <c r="B135" i="26"/>
  <c r="D446" i="35"/>
  <c r="D134" i="26"/>
  <c r="B134" i="26"/>
  <c r="D445" i="35"/>
  <c r="D133" i="26"/>
  <c r="B133" i="26"/>
  <c r="D444" i="35"/>
  <c r="D132" i="26"/>
  <c r="B132" i="26"/>
  <c r="D443" i="35"/>
  <c r="D131" i="26"/>
  <c r="B131" i="26"/>
  <c r="D442" i="35"/>
  <c r="D130" i="26"/>
  <c r="B130" i="26"/>
  <c r="D441" i="35"/>
  <c r="D129" i="26"/>
  <c r="B129" i="26"/>
  <c r="D440" i="35"/>
  <c r="D128" i="26"/>
  <c r="B128" i="26"/>
  <c r="D439" i="35"/>
  <c r="D127" i="26"/>
  <c r="B127" i="26"/>
  <c r="D438" i="35"/>
  <c r="D437" i="35"/>
  <c r="B476" i="35"/>
  <c r="A437" i="35"/>
  <c r="A438" i="35"/>
  <c r="A439" i="35"/>
  <c r="A440" i="35"/>
  <c r="A441" i="35"/>
  <c r="A442" i="35"/>
  <c r="A443" i="35"/>
  <c r="A444" i="35"/>
  <c r="A445" i="35"/>
  <c r="A446" i="35"/>
  <c r="A447" i="35"/>
  <c r="A448" i="35"/>
  <c r="A449" i="35"/>
  <c r="A450" i="35"/>
  <c r="A451" i="35"/>
  <c r="A452" i="35"/>
  <c r="A453" i="35"/>
  <c r="A454" i="35"/>
  <c r="A455" i="35"/>
  <c r="A456" i="35"/>
  <c r="A457" i="35"/>
  <c r="A458" i="35"/>
  <c r="A459" i="35"/>
  <c r="A460" i="35"/>
  <c r="A461" i="35"/>
  <c r="A462" i="35"/>
  <c r="A463" i="35"/>
  <c r="A464" i="35"/>
  <c r="A465" i="35"/>
  <c r="A466" i="35"/>
  <c r="A467" i="35"/>
  <c r="A468" i="35"/>
  <c r="A469" i="35"/>
  <c r="A470" i="35"/>
  <c r="A471" i="35"/>
  <c r="A472" i="35"/>
  <c r="A473" i="35"/>
  <c r="A474" i="35"/>
  <c r="A475" i="35"/>
  <c r="A476" i="35"/>
  <c r="B475" i="35"/>
  <c r="B474" i="35"/>
  <c r="B473" i="35"/>
  <c r="B472" i="35"/>
  <c r="B471" i="35"/>
  <c r="B470" i="35"/>
  <c r="B469" i="35"/>
  <c r="B468" i="35"/>
  <c r="B467" i="35"/>
  <c r="B466" i="35"/>
  <c r="B465" i="35"/>
  <c r="B464" i="35"/>
  <c r="B463" i="35"/>
  <c r="B462" i="35"/>
  <c r="B461" i="35"/>
  <c r="B460" i="35"/>
  <c r="B459" i="35"/>
  <c r="B458" i="35"/>
  <c r="B457" i="35"/>
  <c r="B456" i="35"/>
  <c r="B455" i="35"/>
  <c r="B454" i="35"/>
  <c r="B453" i="35"/>
  <c r="B452" i="35"/>
  <c r="B451" i="35"/>
  <c r="B450" i="35"/>
  <c r="B449" i="35"/>
  <c r="B448" i="35"/>
  <c r="B447" i="35"/>
  <c r="B446" i="35"/>
  <c r="B445" i="35"/>
  <c r="B444" i="35"/>
  <c r="B443" i="35"/>
  <c r="B442" i="35"/>
  <c r="B441" i="35"/>
  <c r="B440" i="35"/>
  <c r="B439" i="35"/>
  <c r="B438" i="35"/>
  <c r="B437" i="35"/>
  <c r="J456" i="37"/>
  <c r="J455" i="37"/>
  <c r="J454" i="37"/>
  <c r="J453" i="37"/>
  <c r="J452" i="37"/>
  <c r="J451" i="37"/>
  <c r="J450" i="37"/>
  <c r="J449" i="37"/>
  <c r="J448" i="37"/>
  <c r="J447" i="37"/>
  <c r="J446" i="37"/>
  <c r="J445" i="37"/>
  <c r="J444" i="37"/>
  <c r="J443" i="37"/>
  <c r="J442" i="37"/>
  <c r="J441" i="37"/>
  <c r="J440" i="37"/>
  <c r="J439" i="37"/>
  <c r="J438" i="37"/>
  <c r="J437" i="37"/>
  <c r="J436" i="37"/>
  <c r="J435" i="37"/>
  <c r="J434" i="37"/>
  <c r="J433" i="37"/>
  <c r="J432" i="37"/>
  <c r="J431" i="37"/>
  <c r="J430" i="37"/>
  <c r="J429" i="37"/>
  <c r="J428" i="37"/>
  <c r="J427" i="37"/>
  <c r="J426" i="37"/>
  <c r="J425" i="37"/>
  <c r="J424" i="37"/>
  <c r="J423" i="37"/>
  <c r="J422" i="37"/>
  <c r="J421" i="37"/>
  <c r="J420" i="37"/>
  <c r="J419" i="37"/>
  <c r="J418" i="37"/>
  <c r="J417" i="37"/>
  <c r="H456" i="37"/>
  <c r="D456" i="37"/>
  <c r="H455" i="37"/>
  <c r="D455" i="37"/>
  <c r="H454" i="37"/>
  <c r="D454" i="37"/>
  <c r="H453" i="37"/>
  <c r="D453" i="37"/>
  <c r="H452" i="37"/>
  <c r="D452" i="37"/>
  <c r="H451" i="37"/>
  <c r="D451" i="37"/>
  <c r="H450" i="37"/>
  <c r="D450" i="37"/>
  <c r="H449" i="37"/>
  <c r="D449" i="37"/>
  <c r="H448" i="37"/>
  <c r="D448" i="37"/>
  <c r="H447" i="37"/>
  <c r="D447" i="37"/>
  <c r="H446" i="37"/>
  <c r="D446" i="37"/>
  <c r="H445" i="37"/>
  <c r="D445" i="37"/>
  <c r="H444" i="37"/>
  <c r="D444" i="37"/>
  <c r="H443" i="37"/>
  <c r="D443" i="37"/>
  <c r="H442" i="37"/>
  <c r="D442" i="37"/>
  <c r="H441" i="37"/>
  <c r="D441" i="37"/>
  <c r="H440" i="37"/>
  <c r="D440" i="37"/>
  <c r="H439" i="37"/>
  <c r="D439" i="37"/>
  <c r="H438" i="37"/>
  <c r="D438" i="37"/>
  <c r="H437" i="37"/>
  <c r="D437" i="37"/>
  <c r="H436" i="37"/>
  <c r="D436" i="37"/>
  <c r="H435" i="37"/>
  <c r="D435" i="37"/>
  <c r="H434" i="37"/>
  <c r="D434" i="37"/>
  <c r="H433" i="37"/>
  <c r="D433" i="37"/>
  <c r="H432" i="37"/>
  <c r="D432" i="37"/>
  <c r="H431" i="37"/>
  <c r="D431" i="37"/>
  <c r="H430" i="37"/>
  <c r="D430" i="37"/>
  <c r="H429" i="37"/>
  <c r="D429" i="37"/>
  <c r="H428" i="37"/>
  <c r="D428" i="37"/>
  <c r="H427" i="37"/>
  <c r="D427" i="37"/>
  <c r="H426" i="37"/>
  <c r="D426" i="37"/>
  <c r="H425" i="37"/>
  <c r="D425" i="37"/>
  <c r="H424" i="37"/>
  <c r="D424" i="37"/>
  <c r="H423" i="37"/>
  <c r="D423" i="37"/>
  <c r="H422" i="37"/>
  <c r="D422" i="37"/>
  <c r="H421" i="37"/>
  <c r="D421" i="37"/>
  <c r="H420" i="37"/>
  <c r="D420" i="37"/>
  <c r="H419" i="37"/>
  <c r="D419" i="37"/>
  <c r="H418" i="37"/>
  <c r="D418" i="37"/>
  <c r="H417" i="37"/>
  <c r="D417" i="37"/>
  <c r="G166" i="26"/>
  <c r="E166" i="26"/>
  <c r="D166" i="26"/>
  <c r="B166" i="26"/>
  <c r="G165" i="26"/>
  <c r="E165" i="26"/>
  <c r="G164" i="26"/>
  <c r="E164" i="26"/>
  <c r="G163" i="26"/>
  <c r="E163" i="26"/>
  <c r="G162" i="26"/>
  <c r="E162" i="26"/>
  <c r="G161" i="26"/>
  <c r="E161" i="26"/>
  <c r="G160" i="26"/>
  <c r="E160" i="26"/>
  <c r="G159" i="26"/>
  <c r="E159" i="26"/>
  <c r="G158" i="26"/>
  <c r="E158" i="26"/>
  <c r="G157" i="26"/>
  <c r="E157" i="26"/>
  <c r="G156" i="26"/>
  <c r="E156" i="26"/>
  <c r="G155" i="26"/>
  <c r="E155" i="26"/>
  <c r="G154" i="26"/>
  <c r="E154" i="26"/>
  <c r="G153" i="26"/>
  <c r="E153" i="26"/>
  <c r="G152" i="26"/>
  <c r="E152" i="26"/>
  <c r="G151" i="26"/>
  <c r="E151" i="26"/>
  <c r="G150" i="26"/>
  <c r="E150" i="26"/>
  <c r="G149" i="26"/>
  <c r="E149" i="26"/>
  <c r="G148" i="26"/>
  <c r="E148" i="26"/>
  <c r="G147" i="26"/>
  <c r="E147" i="26"/>
  <c r="G146" i="26"/>
  <c r="E146" i="26"/>
  <c r="G145" i="26"/>
  <c r="E145" i="26"/>
  <c r="G144" i="26"/>
  <c r="E144" i="26"/>
  <c r="G143" i="26"/>
  <c r="E143" i="26"/>
  <c r="G142" i="26"/>
  <c r="E142" i="26"/>
  <c r="G141" i="26"/>
  <c r="E141" i="26"/>
  <c r="G140" i="26"/>
  <c r="E140" i="26"/>
  <c r="G139" i="26"/>
  <c r="E139" i="26"/>
  <c r="G138" i="26"/>
  <c r="E138" i="26"/>
  <c r="G137" i="26"/>
  <c r="E137" i="26"/>
  <c r="G136" i="26"/>
  <c r="E136" i="26"/>
  <c r="G135" i="26"/>
  <c r="E135" i="26"/>
  <c r="G134" i="26"/>
  <c r="E134" i="26"/>
  <c r="G133" i="26"/>
  <c r="E133" i="26"/>
  <c r="G132" i="26"/>
  <c r="E132" i="26"/>
  <c r="G131" i="26"/>
  <c r="E131" i="26"/>
  <c r="G130" i="26"/>
  <c r="E130" i="26"/>
  <c r="G129" i="26"/>
  <c r="E129" i="26"/>
  <c r="G128" i="26"/>
  <c r="E128" i="26"/>
  <c r="G127" i="26"/>
  <c r="E127" i="26"/>
  <c r="A416" i="35"/>
  <c r="A417" i="35"/>
  <c r="A418" i="35"/>
  <c r="A419" i="35"/>
  <c r="A420" i="35"/>
  <c r="A421" i="35"/>
  <c r="A422" i="35"/>
  <c r="A423" i="35"/>
  <c r="A424" i="35"/>
  <c r="A425" i="35"/>
  <c r="A426" i="35"/>
  <c r="A427" i="35"/>
  <c r="A428" i="35"/>
  <c r="A429" i="35"/>
  <c r="A430" i="35"/>
  <c r="A431" i="35"/>
  <c r="A432" i="35"/>
  <c r="A433" i="35"/>
  <c r="A434" i="35"/>
  <c r="A435" i="35"/>
  <c r="A436" i="35"/>
  <c r="L436" i="35"/>
  <c r="G416" i="37"/>
  <c r="C416" i="37"/>
  <c r="F436" i="35"/>
  <c r="D125" i="26"/>
  <c r="B125" i="26"/>
  <c r="D436" i="35"/>
  <c r="B436" i="35"/>
  <c r="J435" i="35"/>
  <c r="G415" i="37"/>
  <c r="C415" i="37"/>
  <c r="F435" i="35"/>
  <c r="D124" i="26"/>
  <c r="B124" i="26"/>
  <c r="D435" i="35"/>
  <c r="B435" i="35"/>
  <c r="J434" i="35"/>
  <c r="G414" i="37"/>
  <c r="C414" i="37"/>
  <c r="F434" i="35"/>
  <c r="D123" i="26"/>
  <c r="B123" i="26"/>
  <c r="D434" i="35"/>
  <c r="B434" i="35"/>
  <c r="J433" i="35"/>
  <c r="G413" i="37"/>
  <c r="C413" i="37"/>
  <c r="F433" i="35"/>
  <c r="D122" i="26"/>
  <c r="B122" i="26"/>
  <c r="D433" i="35"/>
  <c r="B433" i="35"/>
  <c r="L432" i="35"/>
  <c r="G412" i="37"/>
  <c r="C412" i="37"/>
  <c r="F432" i="35"/>
  <c r="D121" i="26"/>
  <c r="B121" i="26"/>
  <c r="D432" i="35"/>
  <c r="B432" i="35"/>
  <c r="J431" i="35"/>
  <c r="G411" i="37"/>
  <c r="C411" i="37"/>
  <c r="F431" i="35"/>
  <c r="D120" i="26"/>
  <c r="B120" i="26"/>
  <c r="D431" i="35"/>
  <c r="B431" i="35"/>
  <c r="J430" i="35"/>
  <c r="G410" i="37"/>
  <c r="C410" i="37"/>
  <c r="F430" i="35"/>
  <c r="D119" i="26"/>
  <c r="B119" i="26"/>
  <c r="D430" i="35"/>
  <c r="B430" i="35"/>
  <c r="J429" i="35"/>
  <c r="G409" i="37"/>
  <c r="C409" i="37"/>
  <c r="F429" i="35"/>
  <c r="D118" i="26"/>
  <c r="B118" i="26"/>
  <c r="D429" i="35"/>
  <c r="B429" i="35"/>
  <c r="L428" i="35"/>
  <c r="G408" i="37"/>
  <c r="C408" i="37"/>
  <c r="F428" i="35"/>
  <c r="D117" i="26"/>
  <c r="B117" i="26"/>
  <c r="D428" i="35"/>
  <c r="B428" i="35"/>
  <c r="J427" i="35"/>
  <c r="G407" i="37"/>
  <c r="C407" i="37"/>
  <c r="F427" i="35"/>
  <c r="D427" i="35"/>
  <c r="B427" i="35"/>
  <c r="J426" i="35"/>
  <c r="G406" i="37"/>
  <c r="C406" i="37"/>
  <c r="F426" i="35"/>
  <c r="D115" i="26"/>
  <c r="B115" i="26"/>
  <c r="D426" i="35"/>
  <c r="B426" i="35"/>
  <c r="J425" i="35"/>
  <c r="G405" i="37"/>
  <c r="C405" i="37"/>
  <c r="F425" i="35"/>
  <c r="D114" i="26"/>
  <c r="B114" i="26"/>
  <c r="D425" i="35"/>
  <c r="B425" i="35"/>
  <c r="L424" i="35"/>
  <c r="G404" i="37"/>
  <c r="C404" i="37"/>
  <c r="F424" i="35"/>
  <c r="D113" i="26"/>
  <c r="B113" i="26"/>
  <c r="D424" i="35"/>
  <c r="B424" i="35"/>
  <c r="J423" i="35"/>
  <c r="G403" i="37"/>
  <c r="C403" i="37"/>
  <c r="F423" i="35"/>
  <c r="D112" i="26"/>
  <c r="B112" i="26"/>
  <c r="D423" i="35"/>
  <c r="B423" i="35"/>
  <c r="J422" i="35"/>
  <c r="G402" i="37"/>
  <c r="C402" i="37"/>
  <c r="F422" i="35"/>
  <c r="D111" i="26"/>
  <c r="B111" i="26"/>
  <c r="D422" i="35"/>
  <c r="B422" i="35"/>
  <c r="J421" i="35"/>
  <c r="G401" i="37"/>
  <c r="C401" i="37"/>
  <c r="F421" i="35"/>
  <c r="D110" i="26"/>
  <c r="B110" i="26"/>
  <c r="D421" i="35"/>
  <c r="B421" i="35"/>
  <c r="L420" i="35"/>
  <c r="G400" i="37"/>
  <c r="C400" i="37"/>
  <c r="F420" i="35"/>
  <c r="D109" i="26"/>
  <c r="B109" i="26"/>
  <c r="D420" i="35"/>
  <c r="B420" i="35"/>
  <c r="J419" i="35"/>
  <c r="G399" i="37"/>
  <c r="C399" i="37"/>
  <c r="F419" i="35"/>
  <c r="D108" i="26"/>
  <c r="B108" i="26"/>
  <c r="D419" i="35"/>
  <c r="B419" i="35"/>
  <c r="J418" i="35"/>
  <c r="G398" i="37"/>
  <c r="C398" i="37"/>
  <c r="F418" i="35"/>
  <c r="D107" i="26"/>
  <c r="B107" i="26"/>
  <c r="D418" i="35"/>
  <c r="B418" i="35"/>
  <c r="J417" i="35"/>
  <c r="G397" i="37"/>
  <c r="C397" i="37"/>
  <c r="F417" i="35"/>
  <c r="D417" i="35"/>
  <c r="B417" i="35"/>
  <c r="L416" i="35"/>
  <c r="F416" i="35"/>
  <c r="D105" i="26"/>
  <c r="B105" i="26"/>
  <c r="D416" i="35"/>
  <c r="B416" i="35"/>
  <c r="G31" i="26"/>
  <c r="G30" i="26"/>
  <c r="G29" i="26"/>
  <c r="E31" i="26"/>
  <c r="D31" i="26"/>
  <c r="E30" i="26"/>
  <c r="D30" i="26"/>
  <c r="E29" i="26"/>
  <c r="D29" i="26"/>
  <c r="B31" i="26"/>
  <c r="B30" i="26"/>
  <c r="B29" i="26"/>
  <c r="G191" i="37"/>
  <c r="G192" i="37"/>
  <c r="H191" i="37"/>
  <c r="H137" i="37"/>
  <c r="J158" i="37"/>
  <c r="C158" i="37"/>
  <c r="C360" i="37"/>
  <c r="F403" i="35"/>
  <c r="F401" i="35"/>
  <c r="D51" i="24"/>
  <c r="G51" i="24"/>
  <c r="I51" i="24"/>
  <c r="I69" i="24"/>
  <c r="D69" i="24"/>
  <c r="I70" i="24"/>
  <c r="D70" i="24"/>
  <c r="I408" i="35"/>
  <c r="A408" i="35"/>
  <c r="A409" i="35"/>
  <c r="A410" i="35"/>
  <c r="A411" i="35"/>
  <c r="A412" i="35"/>
  <c r="A413" i="35"/>
  <c r="A414" i="35"/>
  <c r="A415" i="35"/>
  <c r="L415" i="35"/>
  <c r="I415" i="35"/>
  <c r="K415" i="35"/>
  <c r="J415" i="35"/>
  <c r="H415" i="35"/>
  <c r="J165" i="37"/>
  <c r="C165" i="37"/>
  <c r="F415" i="35"/>
  <c r="D415" i="35"/>
  <c r="B415" i="35"/>
  <c r="L414" i="35"/>
  <c r="I414" i="35"/>
  <c r="K414" i="35"/>
  <c r="J414" i="35"/>
  <c r="H414" i="35"/>
  <c r="J164" i="37"/>
  <c r="C164" i="37"/>
  <c r="F414" i="35"/>
  <c r="D414" i="35"/>
  <c r="B414" i="35"/>
  <c r="L413" i="35"/>
  <c r="I413" i="35"/>
  <c r="K413" i="35"/>
  <c r="J413" i="35"/>
  <c r="J163" i="37"/>
  <c r="C163" i="37"/>
  <c r="F413" i="35"/>
  <c r="D413" i="35"/>
  <c r="B413" i="35"/>
  <c r="L412" i="35"/>
  <c r="I412" i="35"/>
  <c r="K412" i="35"/>
  <c r="J412" i="35"/>
  <c r="H412" i="35"/>
  <c r="J162" i="37"/>
  <c r="C162" i="37"/>
  <c r="F412" i="35"/>
  <c r="D412" i="35"/>
  <c r="B412" i="35"/>
  <c r="L411" i="35"/>
  <c r="I411" i="35"/>
  <c r="K411" i="35"/>
  <c r="J411" i="35"/>
  <c r="H411" i="35"/>
  <c r="J161" i="37"/>
  <c r="C161" i="37"/>
  <c r="F411" i="35"/>
  <c r="D411" i="35"/>
  <c r="B411" i="35"/>
  <c r="L410" i="35"/>
  <c r="I410" i="35"/>
  <c r="K410" i="35"/>
  <c r="J410" i="35"/>
  <c r="J160" i="37"/>
  <c r="C160" i="37"/>
  <c r="F410" i="35"/>
  <c r="D410" i="35"/>
  <c r="B410" i="35"/>
  <c r="L409" i="35"/>
  <c r="I409" i="35"/>
  <c r="K409" i="35"/>
  <c r="J409" i="35"/>
  <c r="J159" i="37"/>
  <c r="C159" i="37"/>
  <c r="F409" i="35"/>
  <c r="D409" i="35"/>
  <c r="B409" i="35"/>
  <c r="L408" i="35"/>
  <c r="K408" i="35"/>
  <c r="J408" i="35"/>
  <c r="F408" i="35"/>
  <c r="D408" i="35"/>
  <c r="B408" i="35"/>
  <c r="H165" i="37"/>
  <c r="D165" i="37"/>
  <c r="H164" i="37"/>
  <c r="D164" i="37"/>
  <c r="H163" i="37"/>
  <c r="D163" i="37"/>
  <c r="H162" i="37"/>
  <c r="D162" i="37"/>
  <c r="H161" i="37"/>
  <c r="D161" i="37"/>
  <c r="H160" i="37"/>
  <c r="D160" i="37"/>
  <c r="H159" i="37"/>
  <c r="D159" i="37"/>
  <c r="H158" i="37"/>
  <c r="D158" i="37"/>
  <c r="J364" i="37"/>
  <c r="I364" i="37"/>
  <c r="H364" i="37"/>
  <c r="I361" i="35"/>
  <c r="J361" i="35"/>
  <c r="H361" i="35"/>
  <c r="I407" i="35"/>
  <c r="J407" i="35"/>
  <c r="H407" i="35"/>
  <c r="D364" i="37"/>
  <c r="C364" i="37"/>
  <c r="J363" i="37"/>
  <c r="I363" i="37"/>
  <c r="H363" i="37"/>
  <c r="I360" i="35"/>
  <c r="J360" i="35"/>
  <c r="H360" i="35"/>
  <c r="I406" i="35"/>
  <c r="J406" i="35"/>
  <c r="H406" i="35"/>
  <c r="D363" i="37"/>
  <c r="C363" i="37"/>
  <c r="A407" i="35"/>
  <c r="A406" i="35"/>
  <c r="L407" i="35"/>
  <c r="K407" i="35"/>
  <c r="F407" i="35"/>
  <c r="D407" i="35"/>
  <c r="B407" i="35"/>
  <c r="L406" i="35"/>
  <c r="K406" i="35"/>
  <c r="F406" i="35"/>
  <c r="D406" i="35"/>
  <c r="B406" i="35"/>
  <c r="D50" i="24"/>
  <c r="G50" i="24"/>
  <c r="I50" i="24"/>
  <c r="J362" i="37"/>
  <c r="H362" i="37"/>
  <c r="I405" i="35"/>
  <c r="J405" i="35"/>
  <c r="K405" i="35"/>
  <c r="L405" i="35"/>
  <c r="D362" i="37"/>
  <c r="C362" i="37"/>
  <c r="J361" i="37"/>
  <c r="H361" i="37"/>
  <c r="I404" i="35"/>
  <c r="J404" i="35"/>
  <c r="K404" i="35"/>
  <c r="L404" i="35"/>
  <c r="D361" i="37"/>
  <c r="C361" i="37"/>
  <c r="J360" i="37"/>
  <c r="H360" i="37"/>
  <c r="D360" i="37"/>
  <c r="A405" i="35"/>
  <c r="F405" i="35"/>
  <c r="D405" i="35"/>
  <c r="B405" i="35"/>
  <c r="A403" i="35"/>
  <c r="A404" i="35"/>
  <c r="F404" i="35"/>
  <c r="D404" i="35"/>
  <c r="B404" i="35"/>
  <c r="L403" i="35"/>
  <c r="I403" i="35"/>
  <c r="K403" i="35"/>
  <c r="J403" i="35"/>
  <c r="D403" i="35"/>
  <c r="B403" i="35"/>
  <c r="A361" i="35"/>
  <c r="A362" i="35"/>
  <c r="A363" i="35"/>
  <c r="A364" i="35"/>
  <c r="A365" i="35"/>
  <c r="A366" i="35"/>
  <c r="A367" i="35"/>
  <c r="A368" i="35"/>
  <c r="A369" i="35"/>
  <c r="A370" i="35"/>
  <c r="A371" i="35"/>
  <c r="A372" i="35"/>
  <c r="A373" i="35"/>
  <c r="A374" i="35"/>
  <c r="A375" i="35"/>
  <c r="A376" i="35"/>
  <c r="A377" i="35"/>
  <c r="A378" i="35"/>
  <c r="A379" i="35"/>
  <c r="A380" i="35"/>
  <c r="A381" i="35"/>
  <c r="A382" i="35"/>
  <c r="A383" i="35"/>
  <c r="A384" i="35"/>
  <c r="A385" i="35"/>
  <c r="A386" i="35"/>
  <c r="A387" i="35"/>
  <c r="A388" i="35"/>
  <c r="A389" i="35"/>
  <c r="A390" i="35"/>
  <c r="A391" i="35"/>
  <c r="A392" i="35"/>
  <c r="A393" i="35"/>
  <c r="A394" i="35"/>
  <c r="A395" i="35"/>
  <c r="A396" i="35"/>
  <c r="A397" i="35"/>
  <c r="A398" i="35"/>
  <c r="A399" i="35"/>
  <c r="A400" i="35"/>
  <c r="A401" i="35"/>
  <c r="A402" i="35"/>
  <c r="B401" i="35"/>
  <c r="F402" i="35"/>
  <c r="B402" i="35"/>
  <c r="J191" i="37"/>
  <c r="D402" i="35"/>
  <c r="D401" i="35"/>
  <c r="G194" i="37"/>
  <c r="C194" i="37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A37" i="35"/>
  <c r="A38" i="35"/>
  <c r="A39" i="35"/>
  <c r="A40" i="35"/>
  <c r="A41" i="35"/>
  <c r="A42" i="35"/>
  <c r="A44" i="35"/>
  <c r="A45" i="35"/>
  <c r="A46" i="35"/>
  <c r="A47" i="35"/>
  <c r="A48" i="35"/>
  <c r="A49" i="35"/>
  <c r="A50" i="35"/>
  <c r="A51" i="35"/>
  <c r="A52" i="35"/>
  <c r="A53" i="35"/>
  <c r="A54" i="35"/>
  <c r="A55" i="35"/>
  <c r="A56" i="35"/>
  <c r="A57" i="35"/>
  <c r="A58" i="35"/>
  <c r="A59" i="35"/>
  <c r="A60" i="35"/>
  <c r="A61" i="35"/>
  <c r="A62" i="35"/>
  <c r="A63" i="35"/>
  <c r="A64" i="35"/>
  <c r="A65" i="35"/>
  <c r="A66" i="35"/>
  <c r="A67" i="35"/>
  <c r="A68" i="35"/>
  <c r="A69" i="35"/>
  <c r="A70" i="35"/>
  <c r="A71" i="35"/>
  <c r="A72" i="35"/>
  <c r="A73" i="35"/>
  <c r="A74" i="35"/>
  <c r="A75" i="35"/>
  <c r="A76" i="35"/>
  <c r="A77" i="35"/>
  <c r="A78" i="35"/>
  <c r="A79" i="35"/>
  <c r="A80" i="35"/>
  <c r="A81" i="35"/>
  <c r="A82" i="35"/>
  <c r="A83" i="35"/>
  <c r="A84" i="35"/>
  <c r="A85" i="35"/>
  <c r="A86" i="35"/>
  <c r="A87" i="35"/>
  <c r="A88" i="35"/>
  <c r="A89" i="35"/>
  <c r="A90" i="35"/>
  <c r="A91" i="35"/>
  <c r="A92" i="35"/>
  <c r="A93" i="35"/>
  <c r="A94" i="35"/>
  <c r="A95" i="35"/>
  <c r="A96" i="35"/>
  <c r="A97" i="35"/>
  <c r="A98" i="35"/>
  <c r="A99" i="35"/>
  <c r="A100" i="35"/>
  <c r="A101" i="35"/>
  <c r="A102" i="35"/>
  <c r="A103" i="35"/>
  <c r="A104" i="35"/>
  <c r="A105" i="35"/>
  <c r="A106" i="35"/>
  <c r="A107" i="35"/>
  <c r="A108" i="35"/>
  <c r="A109" i="35"/>
  <c r="A111" i="35"/>
  <c r="A112" i="35"/>
  <c r="A113" i="35"/>
  <c r="A292" i="35"/>
  <c r="A293" i="35"/>
  <c r="A294" i="35"/>
  <c r="A295" i="35"/>
  <c r="A296" i="35"/>
  <c r="A297" i="35"/>
  <c r="A298" i="35"/>
  <c r="A299" i="35"/>
  <c r="A300" i="35"/>
  <c r="A301" i="35"/>
  <c r="A302" i="35"/>
  <c r="A303" i="35"/>
  <c r="A304" i="35"/>
  <c r="A305" i="35"/>
  <c r="A306" i="35"/>
  <c r="A307" i="35"/>
  <c r="A308" i="35"/>
  <c r="A309" i="35"/>
  <c r="A310" i="35"/>
  <c r="A311" i="35"/>
  <c r="A313" i="35"/>
  <c r="I401" i="35"/>
  <c r="I402" i="35"/>
  <c r="J402" i="35"/>
  <c r="H402" i="35"/>
  <c r="L402" i="35"/>
  <c r="K402" i="35"/>
  <c r="D191" i="37"/>
  <c r="J192" i="37"/>
  <c r="H192" i="37"/>
  <c r="D192" i="37"/>
  <c r="D4" i="26"/>
  <c r="G4" i="26"/>
  <c r="B4" i="26"/>
  <c r="D32" i="26"/>
  <c r="G32" i="26"/>
  <c r="B32" i="26"/>
  <c r="I71" i="24"/>
  <c r="D71" i="24"/>
  <c r="L401" i="35"/>
  <c r="J151" i="37"/>
  <c r="C151" i="37"/>
  <c r="J401" i="35"/>
  <c r="K401" i="35"/>
  <c r="F333" i="35"/>
  <c r="B333" i="35"/>
  <c r="L400" i="35"/>
  <c r="I400" i="35"/>
  <c r="K400" i="35"/>
  <c r="J400" i="35"/>
  <c r="H400" i="35"/>
  <c r="G196" i="37"/>
  <c r="C196" i="37"/>
  <c r="G198" i="37"/>
  <c r="C198" i="37"/>
  <c r="F400" i="35"/>
  <c r="D289" i="26"/>
  <c r="G289" i="26"/>
  <c r="B289" i="26"/>
  <c r="D400" i="35"/>
  <c r="B400" i="35"/>
  <c r="N198" i="37"/>
  <c r="M198" i="37"/>
  <c r="J198" i="37"/>
  <c r="H198" i="37"/>
  <c r="I6" i="35"/>
  <c r="J6" i="35"/>
  <c r="H6" i="35"/>
  <c r="D198" i="37"/>
  <c r="G306" i="26"/>
  <c r="G305" i="26"/>
  <c r="D306" i="26"/>
  <c r="B306" i="26"/>
  <c r="D49" i="24"/>
  <c r="G49" i="24"/>
  <c r="I49" i="24"/>
  <c r="D48" i="24"/>
  <c r="G48" i="24"/>
  <c r="I48" i="24"/>
  <c r="G27" i="37"/>
  <c r="J27" i="37"/>
  <c r="C27" i="37"/>
  <c r="F394" i="35"/>
  <c r="B394" i="35"/>
  <c r="D28" i="26"/>
  <c r="G28" i="26"/>
  <c r="B28" i="26"/>
  <c r="D39" i="26"/>
  <c r="G39" i="26"/>
  <c r="B39" i="26"/>
  <c r="D394" i="35"/>
  <c r="I394" i="35"/>
  <c r="J394" i="35"/>
  <c r="H394" i="35"/>
  <c r="K394" i="35"/>
  <c r="L394" i="35"/>
  <c r="L399" i="35"/>
  <c r="I399" i="35"/>
  <c r="K399" i="35"/>
  <c r="J399" i="35"/>
  <c r="H399" i="35"/>
  <c r="G35" i="37"/>
  <c r="J35" i="37"/>
  <c r="C35" i="37"/>
  <c r="F399" i="35"/>
  <c r="D44" i="26"/>
  <c r="G44" i="26"/>
  <c r="B44" i="26"/>
  <c r="D399" i="35"/>
  <c r="B399" i="35"/>
  <c r="L398" i="35"/>
  <c r="I398" i="35"/>
  <c r="K398" i="35"/>
  <c r="J398" i="35"/>
  <c r="H398" i="35"/>
  <c r="G34" i="37"/>
  <c r="J34" i="37"/>
  <c r="C34" i="37"/>
  <c r="F398" i="35"/>
  <c r="D43" i="26"/>
  <c r="G43" i="26"/>
  <c r="B43" i="26"/>
  <c r="D398" i="35"/>
  <c r="B398" i="35"/>
  <c r="L397" i="35"/>
  <c r="I397" i="35"/>
  <c r="K397" i="35"/>
  <c r="J397" i="35"/>
  <c r="H397" i="35"/>
  <c r="G33" i="37"/>
  <c r="J33" i="37"/>
  <c r="C33" i="37"/>
  <c r="F397" i="35"/>
  <c r="D42" i="26"/>
  <c r="G42" i="26"/>
  <c r="B42" i="26"/>
  <c r="D397" i="35"/>
  <c r="B397" i="35"/>
  <c r="L396" i="35"/>
  <c r="I396" i="35"/>
  <c r="K396" i="35"/>
  <c r="J396" i="35"/>
  <c r="H396" i="35"/>
  <c r="G32" i="37"/>
  <c r="J32" i="37"/>
  <c r="C32" i="37"/>
  <c r="F396" i="35"/>
  <c r="D41" i="26"/>
  <c r="G41" i="26"/>
  <c r="B41" i="26"/>
  <c r="D396" i="35"/>
  <c r="B396" i="35"/>
  <c r="L395" i="35"/>
  <c r="I395" i="35"/>
  <c r="K395" i="35"/>
  <c r="J395" i="35"/>
  <c r="H395" i="35"/>
  <c r="G31" i="37"/>
  <c r="J31" i="37"/>
  <c r="C31" i="37"/>
  <c r="F395" i="35"/>
  <c r="D40" i="26"/>
  <c r="G40" i="26"/>
  <c r="B40" i="26"/>
  <c r="D395" i="35"/>
  <c r="B395" i="35"/>
  <c r="G30" i="37"/>
  <c r="J30" i="37"/>
  <c r="C30" i="37"/>
  <c r="G29" i="37"/>
  <c r="J29" i="37"/>
  <c r="C29" i="37"/>
  <c r="D38" i="26"/>
  <c r="G38" i="26"/>
  <c r="B38" i="26"/>
  <c r="G28" i="37"/>
  <c r="J28" i="37"/>
  <c r="C28" i="37"/>
  <c r="D37" i="26"/>
  <c r="G37" i="26"/>
  <c r="B37" i="26"/>
  <c r="L393" i="35"/>
  <c r="I393" i="35"/>
  <c r="K393" i="35"/>
  <c r="J393" i="35"/>
  <c r="H393" i="35"/>
  <c r="G26" i="37"/>
  <c r="J26" i="37"/>
  <c r="C26" i="37"/>
  <c r="F393" i="35"/>
  <c r="D27" i="26"/>
  <c r="G27" i="26"/>
  <c r="B27" i="26"/>
  <c r="D393" i="35"/>
  <c r="B393" i="35"/>
  <c r="L392" i="35"/>
  <c r="I392" i="35"/>
  <c r="K392" i="35"/>
  <c r="J392" i="35"/>
  <c r="H392" i="35"/>
  <c r="G25" i="37"/>
  <c r="J25" i="37"/>
  <c r="C25" i="37"/>
  <c r="F392" i="35"/>
  <c r="D26" i="26"/>
  <c r="G26" i="26"/>
  <c r="B26" i="26"/>
  <c r="D392" i="35"/>
  <c r="B392" i="35"/>
  <c r="L391" i="35"/>
  <c r="I391" i="35"/>
  <c r="K391" i="35"/>
  <c r="J391" i="35"/>
  <c r="H391" i="35"/>
  <c r="G24" i="37"/>
  <c r="J24" i="37"/>
  <c r="C24" i="37"/>
  <c r="F391" i="35"/>
  <c r="D25" i="26"/>
  <c r="G25" i="26"/>
  <c r="B25" i="26"/>
  <c r="D391" i="35"/>
  <c r="B391" i="35"/>
  <c r="L390" i="35"/>
  <c r="I390" i="35"/>
  <c r="K390" i="35"/>
  <c r="J390" i="35"/>
  <c r="H390" i="35"/>
  <c r="G23" i="37"/>
  <c r="J23" i="37"/>
  <c r="C23" i="37"/>
  <c r="F390" i="35"/>
  <c r="D24" i="26"/>
  <c r="G24" i="26"/>
  <c r="B24" i="26"/>
  <c r="D390" i="35"/>
  <c r="B390" i="35"/>
  <c r="L389" i="35"/>
  <c r="I389" i="35"/>
  <c r="K389" i="35"/>
  <c r="J389" i="35"/>
  <c r="H389" i="35"/>
  <c r="G22" i="37"/>
  <c r="J22" i="37"/>
  <c r="C22" i="37"/>
  <c r="F389" i="35"/>
  <c r="D23" i="26"/>
  <c r="G23" i="26"/>
  <c r="B23" i="26"/>
  <c r="D389" i="35"/>
  <c r="B389" i="35"/>
  <c r="L388" i="35"/>
  <c r="I388" i="35"/>
  <c r="K388" i="35"/>
  <c r="J388" i="35"/>
  <c r="H388" i="35"/>
  <c r="G21" i="37"/>
  <c r="J21" i="37"/>
  <c r="C21" i="37"/>
  <c r="F388" i="35"/>
  <c r="D22" i="26"/>
  <c r="G22" i="26"/>
  <c r="B22" i="26"/>
  <c r="D388" i="35"/>
  <c r="B388" i="35"/>
  <c r="L387" i="35"/>
  <c r="I387" i="35"/>
  <c r="K387" i="35"/>
  <c r="J387" i="35"/>
  <c r="H387" i="35"/>
  <c r="G20" i="37"/>
  <c r="J20" i="37"/>
  <c r="C20" i="37"/>
  <c r="F387" i="35"/>
  <c r="D21" i="26"/>
  <c r="G21" i="26"/>
  <c r="B21" i="26"/>
  <c r="D387" i="35"/>
  <c r="B387" i="35"/>
  <c r="L386" i="35"/>
  <c r="I386" i="35"/>
  <c r="K386" i="35"/>
  <c r="J386" i="35"/>
  <c r="H386" i="35"/>
  <c r="G19" i="37"/>
  <c r="J19" i="37"/>
  <c r="C19" i="37"/>
  <c r="F386" i="35"/>
  <c r="D20" i="26"/>
  <c r="G20" i="26"/>
  <c r="B20" i="26"/>
  <c r="D386" i="35"/>
  <c r="B386" i="35"/>
  <c r="L385" i="35"/>
  <c r="I385" i="35"/>
  <c r="K385" i="35"/>
  <c r="J385" i="35"/>
  <c r="H385" i="35"/>
  <c r="G18" i="37"/>
  <c r="J18" i="37"/>
  <c r="C18" i="37"/>
  <c r="F385" i="35"/>
  <c r="D19" i="26"/>
  <c r="G19" i="26"/>
  <c r="B19" i="26"/>
  <c r="D385" i="35"/>
  <c r="B385" i="35"/>
  <c r="L384" i="35"/>
  <c r="I384" i="35"/>
  <c r="K384" i="35"/>
  <c r="J384" i="35"/>
  <c r="H384" i="35"/>
  <c r="G17" i="37"/>
  <c r="J17" i="37"/>
  <c r="C17" i="37"/>
  <c r="F384" i="35"/>
  <c r="D18" i="26"/>
  <c r="G18" i="26"/>
  <c r="B18" i="26"/>
  <c r="D384" i="35"/>
  <c r="B384" i="35"/>
  <c r="L383" i="35"/>
  <c r="I383" i="35"/>
  <c r="K383" i="35"/>
  <c r="J383" i="35"/>
  <c r="H383" i="35"/>
  <c r="G16" i="37"/>
  <c r="J16" i="37"/>
  <c r="C16" i="37"/>
  <c r="F383" i="35"/>
  <c r="D17" i="26"/>
  <c r="G17" i="26"/>
  <c r="B17" i="26"/>
  <c r="D383" i="35"/>
  <c r="B383" i="35"/>
  <c r="L382" i="35"/>
  <c r="I382" i="35"/>
  <c r="K382" i="35"/>
  <c r="J382" i="35"/>
  <c r="H382" i="35"/>
  <c r="G15" i="37"/>
  <c r="J15" i="37"/>
  <c r="C15" i="37"/>
  <c r="F382" i="35"/>
  <c r="D16" i="26"/>
  <c r="G16" i="26"/>
  <c r="B16" i="26"/>
  <c r="D382" i="35"/>
  <c r="B382" i="35"/>
  <c r="L381" i="35"/>
  <c r="I381" i="35"/>
  <c r="K381" i="35"/>
  <c r="J381" i="35"/>
  <c r="H381" i="35"/>
  <c r="G14" i="37"/>
  <c r="J14" i="37"/>
  <c r="C14" i="37"/>
  <c r="F381" i="35"/>
  <c r="D15" i="26"/>
  <c r="G15" i="26"/>
  <c r="B15" i="26"/>
  <c r="D381" i="35"/>
  <c r="B381" i="35"/>
  <c r="L380" i="35"/>
  <c r="I380" i="35"/>
  <c r="K380" i="35"/>
  <c r="J380" i="35"/>
  <c r="H380" i="35"/>
  <c r="G13" i="37"/>
  <c r="J13" i="37"/>
  <c r="C13" i="37"/>
  <c r="F380" i="35"/>
  <c r="D14" i="26"/>
  <c r="G14" i="26"/>
  <c r="B14" i="26"/>
  <c r="D380" i="35"/>
  <c r="B380" i="35"/>
  <c r="L379" i="35"/>
  <c r="I379" i="35"/>
  <c r="K379" i="35"/>
  <c r="J379" i="35"/>
  <c r="H379" i="35"/>
  <c r="G12" i="37"/>
  <c r="J12" i="37"/>
  <c r="C12" i="37"/>
  <c r="F379" i="35"/>
  <c r="D13" i="26"/>
  <c r="G13" i="26"/>
  <c r="B13" i="26"/>
  <c r="D379" i="35"/>
  <c r="B379" i="35"/>
  <c r="L378" i="35"/>
  <c r="I378" i="35"/>
  <c r="K378" i="35"/>
  <c r="J378" i="35"/>
  <c r="H378" i="35"/>
  <c r="G11" i="37"/>
  <c r="J11" i="37"/>
  <c r="C11" i="37"/>
  <c r="F378" i="35"/>
  <c r="D12" i="26"/>
  <c r="G12" i="26"/>
  <c r="B12" i="26"/>
  <c r="D378" i="35"/>
  <c r="B378" i="35"/>
  <c r="L377" i="35"/>
  <c r="I377" i="35"/>
  <c r="K377" i="35"/>
  <c r="J377" i="35"/>
  <c r="H377" i="35"/>
  <c r="G10" i="37"/>
  <c r="J10" i="37"/>
  <c r="C10" i="37"/>
  <c r="F377" i="35"/>
  <c r="D11" i="26"/>
  <c r="G11" i="26"/>
  <c r="B11" i="26"/>
  <c r="D377" i="35"/>
  <c r="B377" i="35"/>
  <c r="L376" i="35"/>
  <c r="I376" i="35"/>
  <c r="K376" i="35"/>
  <c r="J376" i="35"/>
  <c r="H376" i="35"/>
  <c r="G9" i="37"/>
  <c r="J9" i="37"/>
  <c r="C9" i="37"/>
  <c r="F376" i="35"/>
  <c r="D10" i="26"/>
  <c r="G10" i="26"/>
  <c r="B10" i="26"/>
  <c r="D376" i="35"/>
  <c r="B376" i="35"/>
  <c r="L375" i="35"/>
  <c r="I375" i="35"/>
  <c r="K375" i="35"/>
  <c r="J375" i="35"/>
  <c r="H375" i="35"/>
  <c r="G8" i="37"/>
  <c r="J8" i="37"/>
  <c r="C8" i="37"/>
  <c r="F375" i="35"/>
  <c r="D9" i="26"/>
  <c r="G9" i="26"/>
  <c r="B9" i="26"/>
  <c r="D375" i="35"/>
  <c r="B375" i="35"/>
  <c r="L374" i="35"/>
  <c r="I374" i="35"/>
  <c r="K374" i="35"/>
  <c r="J374" i="35"/>
  <c r="H374" i="35"/>
  <c r="G7" i="37"/>
  <c r="J7" i="37"/>
  <c r="C7" i="37"/>
  <c r="F374" i="35"/>
  <c r="D8" i="26"/>
  <c r="G8" i="26"/>
  <c r="B8" i="26"/>
  <c r="D374" i="35"/>
  <c r="B374" i="35"/>
  <c r="L373" i="35"/>
  <c r="I373" i="35"/>
  <c r="K373" i="35"/>
  <c r="J373" i="35"/>
  <c r="H373" i="35"/>
  <c r="G6" i="37"/>
  <c r="J6" i="37"/>
  <c r="C6" i="37"/>
  <c r="F373" i="35"/>
  <c r="D7" i="26"/>
  <c r="G7" i="26"/>
  <c r="B7" i="26"/>
  <c r="D373" i="35"/>
  <c r="B373" i="35"/>
  <c r="L372" i="35"/>
  <c r="I372" i="35"/>
  <c r="K372" i="35"/>
  <c r="J372" i="35"/>
  <c r="H372" i="35"/>
  <c r="G5" i="37"/>
  <c r="J5" i="37"/>
  <c r="C5" i="37"/>
  <c r="F372" i="35"/>
  <c r="D6" i="26"/>
  <c r="G6" i="26"/>
  <c r="B6" i="26"/>
  <c r="D372" i="35"/>
  <c r="B372" i="35"/>
  <c r="L371" i="35"/>
  <c r="I371" i="35"/>
  <c r="K371" i="35"/>
  <c r="J371" i="35"/>
  <c r="H371" i="35"/>
  <c r="G4" i="37"/>
  <c r="J4" i="37"/>
  <c r="C4" i="37"/>
  <c r="F371" i="35"/>
  <c r="D5" i="26"/>
  <c r="G5" i="26"/>
  <c r="B5" i="26"/>
  <c r="D371" i="35"/>
  <c r="B371" i="35"/>
  <c r="L370" i="35"/>
  <c r="I370" i="35"/>
  <c r="K370" i="35"/>
  <c r="J370" i="35"/>
  <c r="H370" i="35"/>
  <c r="G3" i="37"/>
  <c r="J3" i="37"/>
  <c r="C3" i="37"/>
  <c r="F370" i="35"/>
  <c r="D370" i="35"/>
  <c r="B370" i="35"/>
  <c r="L369" i="35"/>
  <c r="I369" i="35"/>
  <c r="K369" i="35"/>
  <c r="J369" i="35"/>
  <c r="H369" i="35"/>
  <c r="G2" i="37"/>
  <c r="J2" i="37"/>
  <c r="C2" i="37"/>
  <c r="F369" i="35"/>
  <c r="D369" i="35"/>
  <c r="B369" i="35"/>
  <c r="I363" i="35"/>
  <c r="I362" i="35"/>
  <c r="I68" i="24"/>
  <c r="D68" i="24"/>
  <c r="I67" i="24"/>
  <c r="D67" i="24"/>
  <c r="I66" i="24"/>
  <c r="D66" i="24"/>
  <c r="I65" i="24"/>
  <c r="D65" i="24"/>
  <c r="D151" i="37"/>
  <c r="D152" i="37"/>
  <c r="H157" i="37"/>
  <c r="D157" i="37"/>
  <c r="H156" i="37"/>
  <c r="D156" i="37"/>
  <c r="H155" i="37"/>
  <c r="D155" i="37"/>
  <c r="H154" i="37"/>
  <c r="D154" i="37"/>
  <c r="H153" i="37"/>
  <c r="D153" i="37"/>
  <c r="J152" i="37"/>
  <c r="H152" i="37"/>
  <c r="C152" i="37"/>
  <c r="H151" i="37"/>
  <c r="I341" i="35"/>
  <c r="J341" i="35"/>
  <c r="H341" i="35"/>
  <c r="D148" i="37"/>
  <c r="G148" i="37"/>
  <c r="H148" i="37"/>
  <c r="J148" i="37"/>
  <c r="L368" i="35"/>
  <c r="K368" i="35"/>
  <c r="F368" i="35"/>
  <c r="D368" i="35"/>
  <c r="B368" i="35"/>
  <c r="L367" i="35"/>
  <c r="I367" i="35"/>
  <c r="K367" i="35"/>
  <c r="J367" i="35"/>
  <c r="F367" i="35"/>
  <c r="D367" i="35"/>
  <c r="B367" i="35"/>
  <c r="L366" i="35"/>
  <c r="I366" i="35"/>
  <c r="K366" i="35"/>
  <c r="J366" i="35"/>
  <c r="F366" i="35"/>
  <c r="D366" i="35"/>
  <c r="B366" i="35"/>
  <c r="L365" i="35"/>
  <c r="I365" i="35"/>
  <c r="K365" i="35"/>
  <c r="J365" i="35"/>
  <c r="F365" i="35"/>
  <c r="D365" i="35"/>
  <c r="B365" i="35"/>
  <c r="L364" i="35"/>
  <c r="I364" i="35"/>
  <c r="K364" i="35"/>
  <c r="J364" i="35"/>
  <c r="F364" i="35"/>
  <c r="D364" i="35"/>
  <c r="B364" i="35"/>
  <c r="L363" i="35"/>
  <c r="K363" i="35"/>
  <c r="J363" i="35"/>
  <c r="F363" i="35"/>
  <c r="D363" i="35"/>
  <c r="B363" i="35"/>
  <c r="L362" i="35"/>
  <c r="K362" i="35"/>
  <c r="J362" i="35"/>
  <c r="F362" i="35"/>
  <c r="D362" i="35"/>
  <c r="B362" i="35"/>
  <c r="J359" i="37"/>
  <c r="H359" i="37"/>
  <c r="D359" i="37"/>
  <c r="J358" i="37"/>
  <c r="H358" i="37"/>
  <c r="D358" i="37"/>
  <c r="L361" i="35"/>
  <c r="K361" i="35"/>
  <c r="F361" i="35"/>
  <c r="D361" i="35"/>
  <c r="B361" i="35"/>
  <c r="L360" i="35"/>
  <c r="K360" i="35"/>
  <c r="F360" i="35"/>
  <c r="D360" i="35"/>
  <c r="B360" i="35"/>
  <c r="J193" i="37"/>
  <c r="J190" i="37"/>
  <c r="H190" i="37"/>
  <c r="I359" i="35"/>
  <c r="J359" i="35"/>
  <c r="H359" i="35"/>
  <c r="D190" i="37"/>
  <c r="F359" i="35"/>
  <c r="B359" i="35"/>
  <c r="L359" i="35"/>
  <c r="K359" i="35"/>
  <c r="D33" i="26"/>
  <c r="G33" i="26"/>
  <c r="B33" i="26"/>
  <c r="D34" i="26"/>
  <c r="G34" i="26"/>
  <c r="B34" i="26"/>
  <c r="D35" i="26"/>
  <c r="G35" i="26"/>
  <c r="B35" i="26"/>
  <c r="D36" i="26"/>
  <c r="G36" i="26"/>
  <c r="B36" i="26"/>
  <c r="D45" i="26"/>
  <c r="G45" i="26"/>
  <c r="B45" i="26"/>
  <c r="D47" i="26"/>
  <c r="B47" i="26"/>
  <c r="D49" i="26"/>
  <c r="B49" i="26"/>
  <c r="D50" i="26"/>
  <c r="B50" i="26"/>
  <c r="D51" i="26"/>
  <c r="B51" i="26"/>
  <c r="D53" i="26"/>
  <c r="B53" i="26"/>
  <c r="D54" i="26"/>
  <c r="B54" i="26"/>
  <c r="D55" i="26"/>
  <c r="B55" i="26"/>
  <c r="D57" i="26"/>
  <c r="B57" i="26"/>
  <c r="D58" i="26"/>
  <c r="B58" i="26"/>
  <c r="D59" i="26"/>
  <c r="B59" i="26"/>
  <c r="D61" i="26"/>
  <c r="B61" i="26"/>
  <c r="D62" i="26"/>
  <c r="B62" i="26"/>
  <c r="D63" i="26"/>
  <c r="B63" i="26"/>
  <c r="D64" i="26"/>
  <c r="B64" i="26"/>
  <c r="D65" i="26"/>
  <c r="B65" i="26"/>
  <c r="D67" i="26"/>
  <c r="B67" i="26"/>
  <c r="D68" i="26"/>
  <c r="B68" i="26"/>
  <c r="D69" i="26"/>
  <c r="B69" i="26"/>
  <c r="D70" i="26"/>
  <c r="B70" i="26"/>
  <c r="D71" i="26"/>
  <c r="B71" i="26"/>
  <c r="D77" i="26"/>
  <c r="B77" i="26"/>
  <c r="D78" i="26"/>
  <c r="B78" i="26"/>
  <c r="D79" i="26"/>
  <c r="B79" i="26"/>
  <c r="D80" i="26"/>
  <c r="B80" i="26"/>
  <c r="D81" i="26"/>
  <c r="B81" i="26"/>
  <c r="D82" i="26"/>
  <c r="B82" i="26"/>
  <c r="D83" i="26"/>
  <c r="B83" i="26"/>
  <c r="D84" i="26"/>
  <c r="B84" i="26"/>
  <c r="D85" i="26"/>
  <c r="B85" i="26"/>
  <c r="D86" i="26"/>
  <c r="B86" i="26"/>
  <c r="D87" i="26"/>
  <c r="B87" i="26"/>
  <c r="D88" i="26"/>
  <c r="B88" i="26"/>
  <c r="D91" i="26"/>
  <c r="B91" i="26"/>
  <c r="D92" i="26"/>
  <c r="B92" i="26"/>
  <c r="D93" i="26"/>
  <c r="B93" i="26"/>
  <c r="D94" i="26"/>
  <c r="B94" i="26"/>
  <c r="D95" i="26"/>
  <c r="B95" i="26"/>
  <c r="D97" i="26"/>
  <c r="B97" i="26"/>
  <c r="D98" i="26"/>
  <c r="B98" i="26"/>
  <c r="D99" i="26"/>
  <c r="B99" i="26"/>
  <c r="D100" i="26"/>
  <c r="B100" i="26"/>
  <c r="D101" i="26"/>
  <c r="B101" i="26"/>
  <c r="D102" i="26"/>
  <c r="B102" i="26"/>
  <c r="D103" i="26"/>
  <c r="B103" i="26"/>
  <c r="D104" i="26"/>
  <c r="B104" i="26"/>
  <c r="D167" i="26"/>
  <c r="B167" i="26"/>
  <c r="D168" i="26"/>
  <c r="B168" i="26"/>
  <c r="D169" i="26"/>
  <c r="B169" i="26"/>
  <c r="D170" i="26"/>
  <c r="B170" i="26"/>
  <c r="D171" i="26"/>
  <c r="B171" i="26"/>
  <c r="D172" i="26"/>
  <c r="B172" i="26"/>
  <c r="D173" i="26"/>
  <c r="B173" i="26"/>
  <c r="D174" i="26"/>
  <c r="B174" i="26"/>
  <c r="D175" i="26"/>
  <c r="B175" i="26"/>
  <c r="D176" i="26"/>
  <c r="B176" i="26"/>
  <c r="D177" i="26"/>
  <c r="B177" i="26"/>
  <c r="D178" i="26"/>
  <c r="B178" i="26"/>
  <c r="D179" i="26"/>
  <c r="B179" i="26"/>
  <c r="D180" i="26"/>
  <c r="B180" i="26"/>
  <c r="D181" i="26"/>
  <c r="B181" i="26"/>
  <c r="D182" i="26"/>
  <c r="B182" i="26"/>
  <c r="D183" i="26"/>
  <c r="B183" i="26"/>
  <c r="D184" i="26"/>
  <c r="B184" i="26"/>
  <c r="D185" i="26"/>
  <c r="B185" i="26"/>
  <c r="D186" i="26"/>
  <c r="B186" i="26"/>
  <c r="D187" i="26"/>
  <c r="B187" i="26"/>
  <c r="D188" i="26"/>
  <c r="B188" i="26"/>
  <c r="D189" i="26"/>
  <c r="B189" i="26"/>
  <c r="D190" i="26"/>
  <c r="B190" i="26"/>
  <c r="D191" i="26"/>
  <c r="B191" i="26"/>
  <c r="D192" i="26"/>
  <c r="B192" i="26"/>
  <c r="D193" i="26"/>
  <c r="B193" i="26"/>
  <c r="D194" i="26"/>
  <c r="B194" i="26"/>
  <c r="D195" i="26"/>
  <c r="B195" i="26"/>
  <c r="D196" i="26"/>
  <c r="B196" i="26"/>
  <c r="D197" i="26"/>
  <c r="B197" i="26"/>
  <c r="D198" i="26"/>
  <c r="B198" i="26"/>
  <c r="D199" i="26"/>
  <c r="B199" i="26"/>
  <c r="D200" i="26"/>
  <c r="B200" i="26"/>
  <c r="D201" i="26"/>
  <c r="B201" i="26"/>
  <c r="D202" i="26"/>
  <c r="B202" i="26"/>
  <c r="D203" i="26"/>
  <c r="B203" i="26"/>
  <c r="D204" i="26"/>
  <c r="B204" i="26"/>
  <c r="D205" i="26"/>
  <c r="B205" i="26"/>
  <c r="D206" i="26"/>
  <c r="B206" i="26"/>
  <c r="D207" i="26"/>
  <c r="B207" i="26"/>
  <c r="D208" i="26"/>
  <c r="B208" i="26"/>
  <c r="D209" i="26"/>
  <c r="B209" i="26"/>
  <c r="D210" i="26"/>
  <c r="B210" i="26"/>
  <c r="D211" i="26"/>
  <c r="B211" i="26"/>
  <c r="D212" i="26"/>
  <c r="B212" i="26"/>
  <c r="D213" i="26"/>
  <c r="B213" i="26"/>
  <c r="D214" i="26"/>
  <c r="B214" i="26"/>
  <c r="D215" i="26"/>
  <c r="B215" i="26"/>
  <c r="D216" i="26"/>
  <c r="B216" i="26"/>
  <c r="D217" i="26"/>
  <c r="B217" i="26"/>
  <c r="D218" i="26"/>
  <c r="B218" i="26"/>
  <c r="D219" i="26"/>
  <c r="B219" i="26"/>
  <c r="D220" i="26"/>
  <c r="B220" i="26"/>
  <c r="D221" i="26"/>
  <c r="B221" i="26"/>
  <c r="D222" i="26"/>
  <c r="B222" i="26"/>
  <c r="D223" i="26"/>
  <c r="B223" i="26"/>
  <c r="D224" i="26"/>
  <c r="B224" i="26"/>
  <c r="D225" i="26"/>
  <c r="B225" i="26"/>
  <c r="D226" i="26"/>
  <c r="B226" i="26"/>
  <c r="D227" i="26"/>
  <c r="B227" i="26"/>
  <c r="D228" i="26"/>
  <c r="B228" i="26"/>
  <c r="D229" i="26"/>
  <c r="B229" i="26"/>
  <c r="D230" i="26"/>
  <c r="B230" i="26"/>
  <c r="D231" i="26"/>
  <c r="B231" i="26"/>
  <c r="D232" i="26"/>
  <c r="B232" i="26"/>
  <c r="D233" i="26"/>
  <c r="B233" i="26"/>
  <c r="D234" i="26"/>
  <c r="B234" i="26"/>
  <c r="D235" i="26"/>
  <c r="B235" i="26"/>
  <c r="D236" i="26"/>
  <c r="B236" i="26"/>
  <c r="D237" i="26"/>
  <c r="B237" i="26"/>
  <c r="D238" i="26"/>
  <c r="B238" i="26"/>
  <c r="D239" i="26"/>
  <c r="B239" i="26"/>
  <c r="D240" i="26"/>
  <c r="B240" i="26"/>
  <c r="D241" i="26"/>
  <c r="B241" i="26"/>
  <c r="D242" i="26"/>
  <c r="B242" i="26"/>
  <c r="D243" i="26"/>
  <c r="B243" i="26"/>
  <c r="D244" i="26"/>
  <c r="B244" i="26"/>
  <c r="D245" i="26"/>
  <c r="B245" i="26"/>
  <c r="D246" i="26"/>
  <c r="B246" i="26"/>
  <c r="D247" i="26"/>
  <c r="B247" i="26"/>
  <c r="D248" i="26"/>
  <c r="B248" i="26"/>
  <c r="D249" i="26"/>
  <c r="B249" i="26"/>
  <c r="D250" i="26"/>
  <c r="B250" i="26"/>
  <c r="D251" i="26"/>
  <c r="B251" i="26"/>
  <c r="D252" i="26"/>
  <c r="B252" i="26"/>
  <c r="D253" i="26"/>
  <c r="B253" i="26"/>
  <c r="D254" i="26"/>
  <c r="B254" i="26"/>
  <c r="D255" i="26"/>
  <c r="B255" i="26"/>
  <c r="D256" i="26"/>
  <c r="B256" i="26"/>
  <c r="D257" i="26"/>
  <c r="B257" i="26"/>
  <c r="D258" i="26"/>
  <c r="B258" i="26"/>
  <c r="D259" i="26"/>
  <c r="B259" i="26"/>
  <c r="D260" i="26"/>
  <c r="B260" i="26"/>
  <c r="D261" i="26"/>
  <c r="B261" i="26"/>
  <c r="D262" i="26"/>
  <c r="B262" i="26"/>
  <c r="D263" i="26"/>
  <c r="B263" i="26"/>
  <c r="D264" i="26"/>
  <c r="B264" i="26"/>
  <c r="D265" i="26"/>
  <c r="B265" i="26"/>
  <c r="D266" i="26"/>
  <c r="B266" i="26"/>
  <c r="D267" i="26"/>
  <c r="B267" i="26"/>
  <c r="D268" i="26"/>
  <c r="B268" i="26"/>
  <c r="D269" i="26"/>
  <c r="B269" i="26"/>
  <c r="D270" i="26"/>
  <c r="B270" i="26"/>
  <c r="D271" i="26"/>
  <c r="B271" i="26"/>
  <c r="D272" i="26"/>
  <c r="B272" i="26"/>
  <c r="D273" i="26"/>
  <c r="B273" i="26"/>
  <c r="D274" i="26"/>
  <c r="B274" i="26"/>
  <c r="D275" i="26"/>
  <c r="B275" i="26"/>
  <c r="D276" i="26"/>
  <c r="B276" i="26"/>
  <c r="D277" i="26"/>
  <c r="B277" i="26"/>
  <c r="D278" i="26"/>
  <c r="B278" i="26"/>
  <c r="D279" i="26"/>
  <c r="B279" i="26"/>
  <c r="D280" i="26"/>
  <c r="B280" i="26"/>
  <c r="D281" i="26"/>
  <c r="B281" i="26"/>
  <c r="D282" i="26"/>
  <c r="B282" i="26"/>
  <c r="D283" i="26"/>
  <c r="B283" i="26"/>
  <c r="D284" i="26"/>
  <c r="B284" i="26"/>
  <c r="D285" i="26"/>
  <c r="B285" i="26"/>
  <c r="D286" i="26"/>
  <c r="B286" i="26"/>
  <c r="D287" i="26"/>
  <c r="B287" i="26"/>
  <c r="D288" i="26"/>
  <c r="B288" i="26"/>
  <c r="D290" i="26"/>
  <c r="G290" i="26"/>
  <c r="B290" i="26"/>
  <c r="D291" i="26"/>
  <c r="G291" i="26"/>
  <c r="B291" i="26"/>
  <c r="D292" i="26"/>
  <c r="G292" i="26"/>
  <c r="B292" i="26"/>
  <c r="D293" i="26"/>
  <c r="G293" i="26"/>
  <c r="B293" i="26"/>
  <c r="D294" i="26"/>
  <c r="G294" i="26"/>
  <c r="B294" i="26"/>
  <c r="D295" i="26"/>
  <c r="G295" i="26"/>
  <c r="B295" i="26"/>
  <c r="D296" i="26"/>
  <c r="G296" i="26"/>
  <c r="B296" i="26"/>
  <c r="D297" i="26"/>
  <c r="G297" i="26"/>
  <c r="B297" i="26"/>
  <c r="D298" i="26"/>
  <c r="G298" i="26"/>
  <c r="B298" i="26"/>
  <c r="D300" i="26"/>
  <c r="G300" i="26"/>
  <c r="B300" i="26"/>
  <c r="D301" i="26"/>
  <c r="G301" i="26"/>
  <c r="B301" i="26"/>
  <c r="D303" i="26"/>
  <c r="G303" i="26"/>
  <c r="B303" i="26"/>
  <c r="D304" i="26"/>
  <c r="G304" i="26"/>
  <c r="B304" i="26"/>
  <c r="D305" i="26"/>
  <c r="B305" i="26"/>
  <c r="D307" i="26"/>
  <c r="G307" i="26"/>
  <c r="B307" i="26"/>
  <c r="D359" i="35"/>
  <c r="H150" i="37"/>
  <c r="D150" i="37"/>
  <c r="I342" i="35"/>
  <c r="D42" i="24"/>
  <c r="K342" i="35"/>
  <c r="L342" i="35"/>
  <c r="H342" i="35"/>
  <c r="L343" i="35"/>
  <c r="K343" i="35"/>
  <c r="J121" i="37"/>
  <c r="C121" i="37"/>
  <c r="D343" i="35"/>
  <c r="B343" i="35"/>
  <c r="F314" i="35"/>
  <c r="B314" i="35"/>
  <c r="D273" i="35"/>
  <c r="J705" i="37"/>
  <c r="G163" i="24"/>
  <c r="E117" i="50"/>
  <c r="F224" i="52"/>
  <c r="C117" i="50"/>
  <c r="E224" i="52"/>
  <c r="A224" i="52"/>
  <c r="G115" i="24"/>
  <c r="E116" i="50"/>
  <c r="F223" i="52"/>
  <c r="C116" i="50"/>
  <c r="E223" i="52"/>
  <c r="A223" i="52"/>
  <c r="G166" i="24"/>
  <c r="E111" i="50"/>
  <c r="F222" i="52"/>
  <c r="G661" i="37"/>
  <c r="C661" i="37"/>
  <c r="C111" i="50"/>
  <c r="E222" i="52"/>
  <c r="A222" i="52"/>
  <c r="D154" i="24"/>
  <c r="G154" i="24"/>
  <c r="E109" i="50"/>
  <c r="F221" i="52"/>
  <c r="G659" i="37"/>
  <c r="C659" i="37"/>
  <c r="C109" i="50"/>
  <c r="E221" i="52"/>
  <c r="A221" i="52"/>
  <c r="D133" i="24"/>
  <c r="G133" i="24"/>
  <c r="E102" i="50"/>
  <c r="F220" i="52"/>
  <c r="G652" i="37"/>
  <c r="C652" i="37"/>
  <c r="C102" i="50"/>
  <c r="E220" i="52"/>
  <c r="A220" i="52"/>
  <c r="D153" i="24"/>
  <c r="G153" i="24"/>
  <c r="E99" i="50"/>
  <c r="F219" i="52"/>
  <c r="G649" i="37"/>
  <c r="C649" i="37"/>
  <c r="C99" i="50"/>
  <c r="E219" i="52"/>
  <c r="A219" i="52"/>
  <c r="D143" i="24"/>
  <c r="G143" i="24"/>
  <c r="E95" i="50"/>
  <c r="F218" i="52"/>
  <c r="G645" i="37"/>
  <c r="C645" i="37"/>
  <c r="C95" i="50"/>
  <c r="E218" i="52"/>
  <c r="A218" i="52"/>
  <c r="D152" i="24"/>
  <c r="G152" i="24"/>
  <c r="E89" i="50"/>
  <c r="F217" i="52"/>
  <c r="G639" i="37"/>
  <c r="C639" i="37"/>
  <c r="C89" i="50"/>
  <c r="E217" i="52"/>
  <c r="A217" i="52"/>
  <c r="D151" i="24"/>
  <c r="G151" i="24"/>
  <c r="E85" i="50"/>
  <c r="F216" i="52"/>
  <c r="G635" i="37"/>
  <c r="C635" i="37"/>
  <c r="C85" i="50"/>
  <c r="E216" i="52"/>
  <c r="A216" i="52"/>
  <c r="E81" i="50"/>
  <c r="F215" i="52"/>
  <c r="G631" i="37"/>
  <c r="C631" i="37"/>
  <c r="C81" i="50"/>
  <c r="E215" i="52"/>
  <c r="A215" i="52"/>
  <c r="D147" i="24"/>
  <c r="G147" i="24"/>
  <c r="E77" i="50"/>
  <c r="F214" i="52"/>
  <c r="G627" i="37"/>
  <c r="C627" i="37"/>
  <c r="C77" i="50"/>
  <c r="E214" i="52"/>
  <c r="A214" i="52"/>
  <c r="E68" i="50"/>
  <c r="F213" i="52"/>
  <c r="G618" i="37"/>
  <c r="C618" i="37"/>
  <c r="C68" i="50"/>
  <c r="E213" i="52"/>
  <c r="A213" i="52"/>
  <c r="D138" i="24"/>
  <c r="G138" i="24"/>
  <c r="E62" i="50"/>
  <c r="F212" i="52"/>
  <c r="G612" i="37"/>
  <c r="C612" i="37"/>
  <c r="C62" i="50"/>
  <c r="E212" i="52"/>
  <c r="A212" i="52"/>
  <c r="E59" i="50"/>
  <c r="F211" i="52"/>
  <c r="G609" i="37"/>
  <c r="C609" i="37"/>
  <c r="C59" i="50"/>
  <c r="E211" i="52"/>
  <c r="A211" i="52"/>
  <c r="E56" i="50"/>
  <c r="F210" i="52"/>
  <c r="G691" i="37"/>
  <c r="C691" i="37"/>
  <c r="C56" i="50"/>
  <c r="E210" i="52"/>
  <c r="A210" i="52"/>
  <c r="E55" i="50"/>
  <c r="F209" i="52"/>
  <c r="G690" i="37"/>
  <c r="C690" i="37"/>
  <c r="C55" i="50"/>
  <c r="E209" i="52"/>
  <c r="A209" i="52"/>
  <c r="G112" i="24"/>
  <c r="E54" i="50"/>
  <c r="F208" i="52"/>
  <c r="G689" i="37"/>
  <c r="C689" i="37"/>
  <c r="C54" i="50"/>
  <c r="E208" i="52"/>
  <c r="A208" i="52"/>
  <c r="F207" i="52"/>
  <c r="E207" i="52"/>
  <c r="A207" i="52"/>
  <c r="F206" i="52"/>
  <c r="E206" i="52"/>
  <c r="A206" i="52"/>
  <c r="F205" i="52"/>
  <c r="E205" i="52"/>
  <c r="A205" i="52"/>
  <c r="E108" i="50"/>
  <c r="F204" i="52"/>
  <c r="G658" i="37"/>
  <c r="C658" i="37"/>
  <c r="C108" i="50"/>
  <c r="E204" i="52"/>
  <c r="A204" i="52"/>
  <c r="E104" i="50"/>
  <c r="F203" i="52"/>
  <c r="G654" i="37"/>
  <c r="C654" i="37"/>
  <c r="C104" i="50"/>
  <c r="E203" i="52"/>
  <c r="A203" i="52"/>
  <c r="E98" i="50"/>
  <c r="F202" i="52"/>
  <c r="G648" i="37"/>
  <c r="C648" i="37"/>
  <c r="C98" i="50"/>
  <c r="E202" i="52"/>
  <c r="A202" i="52"/>
  <c r="E96" i="50"/>
  <c r="F201" i="52"/>
  <c r="G646" i="37"/>
  <c r="C646" i="37"/>
  <c r="C96" i="50"/>
  <c r="E201" i="52"/>
  <c r="A201" i="52"/>
  <c r="E91" i="50"/>
  <c r="F200" i="52"/>
  <c r="G641" i="37"/>
  <c r="C641" i="37"/>
  <c r="C91" i="50"/>
  <c r="E200" i="52"/>
  <c r="A200" i="52"/>
  <c r="F199" i="52"/>
  <c r="E199" i="52"/>
  <c r="A199" i="52"/>
  <c r="E80" i="50"/>
  <c r="F198" i="52"/>
  <c r="G630" i="37"/>
  <c r="C630" i="37"/>
  <c r="C80" i="50"/>
  <c r="E198" i="52"/>
  <c r="A198" i="52"/>
  <c r="E75" i="50"/>
  <c r="F197" i="52"/>
  <c r="G625" i="37"/>
  <c r="C625" i="37"/>
  <c r="C75" i="50"/>
  <c r="E197" i="52"/>
  <c r="A197" i="52"/>
  <c r="E70" i="50"/>
  <c r="F196" i="52"/>
  <c r="G620" i="37"/>
  <c r="C620" i="37"/>
  <c r="C70" i="50"/>
  <c r="E196" i="52"/>
  <c r="A196" i="52"/>
  <c r="E61" i="50"/>
  <c r="F195" i="52"/>
  <c r="G611" i="37"/>
  <c r="C611" i="37"/>
  <c r="C61" i="50"/>
  <c r="E195" i="52"/>
  <c r="A195" i="52"/>
  <c r="E58" i="50"/>
  <c r="F194" i="52"/>
  <c r="G608" i="37"/>
  <c r="C608" i="37"/>
  <c r="C58" i="50"/>
  <c r="E194" i="52"/>
  <c r="A194" i="52"/>
  <c r="F193" i="52"/>
  <c r="E193" i="52"/>
  <c r="A193" i="52"/>
  <c r="F192" i="52"/>
  <c r="E192" i="52"/>
  <c r="A192" i="52"/>
  <c r="F191" i="52"/>
  <c r="E191" i="52"/>
  <c r="A191" i="52"/>
  <c r="F190" i="52"/>
  <c r="E190" i="52"/>
  <c r="A190" i="52"/>
  <c r="F189" i="52"/>
  <c r="E189" i="52"/>
  <c r="A189" i="52"/>
  <c r="F188" i="52"/>
  <c r="E188" i="52"/>
  <c r="A188" i="52"/>
  <c r="E107" i="50"/>
  <c r="F187" i="52"/>
  <c r="G657" i="37"/>
  <c r="C657" i="37"/>
  <c r="C107" i="50"/>
  <c r="E187" i="52"/>
  <c r="A187" i="52"/>
  <c r="E103" i="50"/>
  <c r="F186" i="52"/>
  <c r="G653" i="37"/>
  <c r="C653" i="37"/>
  <c r="C103" i="50"/>
  <c r="E186" i="52"/>
  <c r="A186" i="52"/>
  <c r="E100" i="50"/>
  <c r="F185" i="52"/>
  <c r="G650" i="37"/>
  <c r="C650" i="37"/>
  <c r="C100" i="50"/>
  <c r="E185" i="52"/>
  <c r="A185" i="52"/>
  <c r="E93" i="50"/>
  <c r="F184" i="52"/>
  <c r="G643" i="37"/>
  <c r="C643" i="37"/>
  <c r="C93" i="50"/>
  <c r="E184" i="52"/>
  <c r="A184" i="52"/>
  <c r="E90" i="50"/>
  <c r="F183" i="52"/>
  <c r="G640" i="37"/>
  <c r="C640" i="37"/>
  <c r="C90" i="50"/>
  <c r="E183" i="52"/>
  <c r="A183" i="52"/>
  <c r="F182" i="52"/>
  <c r="E182" i="52"/>
  <c r="A182" i="52"/>
  <c r="E82" i="50"/>
  <c r="F181" i="52"/>
  <c r="G632" i="37"/>
  <c r="C632" i="37"/>
  <c r="C82" i="50"/>
  <c r="E181" i="52"/>
  <c r="A181" i="52"/>
  <c r="F180" i="52"/>
  <c r="E180" i="52"/>
  <c r="A180" i="52"/>
  <c r="E69" i="50"/>
  <c r="F179" i="52"/>
  <c r="G619" i="37"/>
  <c r="C619" i="37"/>
  <c r="C69" i="50"/>
  <c r="E179" i="52"/>
  <c r="A179" i="52"/>
  <c r="E63" i="50"/>
  <c r="F178" i="52"/>
  <c r="G613" i="37"/>
  <c r="C613" i="37"/>
  <c r="C63" i="50"/>
  <c r="E178" i="52"/>
  <c r="A178" i="52"/>
  <c r="E57" i="50"/>
  <c r="F177" i="52"/>
  <c r="G607" i="37"/>
  <c r="C607" i="37"/>
  <c r="C57" i="50"/>
  <c r="E177" i="52"/>
  <c r="A177" i="52"/>
  <c r="F176" i="52"/>
  <c r="E176" i="52"/>
  <c r="A176" i="52"/>
  <c r="F175" i="52"/>
  <c r="E175" i="52"/>
  <c r="A175" i="52"/>
  <c r="F174" i="52"/>
  <c r="E174" i="52"/>
  <c r="A174" i="52"/>
  <c r="D88" i="51"/>
  <c r="D87" i="51"/>
  <c r="D86" i="51"/>
  <c r="E83" i="51"/>
  <c r="C40" i="51"/>
  <c r="C41" i="51"/>
  <c r="C42" i="51"/>
  <c r="C43" i="51"/>
  <c r="C44" i="51"/>
  <c r="C45" i="51"/>
  <c r="C46" i="51"/>
  <c r="C47" i="51"/>
  <c r="C48" i="51"/>
  <c r="C49" i="51"/>
  <c r="C50" i="51"/>
  <c r="C51" i="51"/>
  <c r="C52" i="51"/>
  <c r="C53" i="51"/>
  <c r="C54" i="51"/>
  <c r="C55" i="51"/>
  <c r="C56" i="51"/>
  <c r="C57" i="51"/>
  <c r="C58" i="51"/>
  <c r="C59" i="51"/>
  <c r="C60" i="51"/>
  <c r="C61" i="51"/>
  <c r="C62" i="51"/>
  <c r="C63" i="51"/>
  <c r="C64" i="51"/>
  <c r="C65" i="51"/>
  <c r="C66" i="51"/>
  <c r="C67" i="51"/>
  <c r="C68" i="51"/>
  <c r="C69" i="51"/>
  <c r="C70" i="51"/>
  <c r="C71" i="51"/>
  <c r="C72" i="51"/>
  <c r="C73" i="51"/>
  <c r="C74" i="51"/>
  <c r="C75" i="51"/>
  <c r="C76" i="51"/>
  <c r="C77" i="51"/>
  <c r="C78" i="51"/>
  <c r="C79" i="51"/>
  <c r="C80" i="51"/>
  <c r="C81" i="51"/>
  <c r="C82" i="51"/>
  <c r="C83" i="51"/>
  <c r="B40" i="51"/>
  <c r="B41" i="51"/>
  <c r="B42" i="51"/>
  <c r="B43" i="51"/>
  <c r="B44" i="51"/>
  <c r="B45" i="51"/>
  <c r="B46" i="51"/>
  <c r="B47" i="51"/>
  <c r="B48" i="51"/>
  <c r="B49" i="51"/>
  <c r="B50" i="51"/>
  <c r="B51" i="51"/>
  <c r="B52" i="51"/>
  <c r="B53" i="51"/>
  <c r="B54" i="51"/>
  <c r="B55" i="51"/>
  <c r="B56" i="51"/>
  <c r="B57" i="51"/>
  <c r="B58" i="51"/>
  <c r="B59" i="51"/>
  <c r="B60" i="51"/>
  <c r="B61" i="51"/>
  <c r="B62" i="51"/>
  <c r="B63" i="51"/>
  <c r="B64" i="51"/>
  <c r="B65" i="51"/>
  <c r="B66" i="51"/>
  <c r="B67" i="51"/>
  <c r="B68" i="51"/>
  <c r="B69" i="51"/>
  <c r="B70" i="51"/>
  <c r="B71" i="51"/>
  <c r="B72" i="51"/>
  <c r="B73" i="51"/>
  <c r="B74" i="51"/>
  <c r="B75" i="51"/>
  <c r="B76" i="51"/>
  <c r="B77" i="51"/>
  <c r="B78" i="51"/>
  <c r="B79" i="51"/>
  <c r="B80" i="51"/>
  <c r="B81" i="51"/>
  <c r="B82" i="51"/>
  <c r="B83" i="51"/>
  <c r="H117" i="50"/>
  <c r="G117" i="50"/>
  <c r="F117" i="50"/>
  <c r="N705" i="37"/>
  <c r="M705" i="37"/>
  <c r="H705" i="37"/>
  <c r="G705" i="37"/>
  <c r="D705" i="37"/>
  <c r="D704" i="37"/>
  <c r="G704" i="37"/>
  <c r="H704" i="37"/>
  <c r="J704" i="37"/>
  <c r="M704" i="37"/>
  <c r="N704" i="37"/>
  <c r="L223" i="35"/>
  <c r="L222" i="35"/>
  <c r="K223" i="35"/>
  <c r="K222" i="35"/>
  <c r="D223" i="35"/>
  <c r="D222" i="35"/>
  <c r="I224" i="35"/>
  <c r="J224" i="35"/>
  <c r="H224" i="35"/>
  <c r="K224" i="35"/>
  <c r="L224" i="35"/>
  <c r="G470" i="37"/>
  <c r="C470" i="37"/>
  <c r="F219" i="35"/>
  <c r="I219" i="35"/>
  <c r="J219" i="35"/>
  <c r="H219" i="35"/>
  <c r="K219" i="35"/>
  <c r="L219" i="35"/>
  <c r="G471" i="37"/>
  <c r="C471" i="37"/>
  <c r="F220" i="35"/>
  <c r="I220" i="35"/>
  <c r="J220" i="35"/>
  <c r="H220" i="35"/>
  <c r="K220" i="35"/>
  <c r="L220" i="35"/>
  <c r="G472" i="37"/>
  <c r="C472" i="37"/>
  <c r="F221" i="35"/>
  <c r="I221" i="35"/>
  <c r="J221" i="35"/>
  <c r="H221" i="35"/>
  <c r="K221" i="35"/>
  <c r="L221" i="35"/>
  <c r="G485" i="37"/>
  <c r="C485" i="37"/>
  <c r="F224" i="35"/>
  <c r="G490" i="37"/>
  <c r="C490" i="37"/>
  <c r="F225" i="35"/>
  <c r="I225" i="35"/>
  <c r="J225" i="35"/>
  <c r="H225" i="35"/>
  <c r="K225" i="35"/>
  <c r="L225" i="35"/>
  <c r="J226" i="35"/>
  <c r="J227" i="35"/>
  <c r="J228" i="35"/>
  <c r="J229" i="35"/>
  <c r="I218" i="35"/>
  <c r="J218" i="35"/>
  <c r="H218" i="35"/>
  <c r="I226" i="35"/>
  <c r="H226" i="35"/>
  <c r="I227" i="35"/>
  <c r="H227" i="35"/>
  <c r="I228" i="35"/>
  <c r="H228" i="35"/>
  <c r="I229" i="35"/>
  <c r="H229" i="35"/>
  <c r="I230" i="35"/>
  <c r="J230" i="35"/>
  <c r="H230" i="35"/>
  <c r="I231" i="35"/>
  <c r="J231" i="35"/>
  <c r="H231" i="35"/>
  <c r="G495" i="37"/>
  <c r="C495" i="37"/>
  <c r="F226" i="35"/>
  <c r="G500" i="37"/>
  <c r="C500" i="37"/>
  <c r="F227" i="35"/>
  <c r="B220" i="35"/>
  <c r="B221" i="35"/>
  <c r="B222" i="35"/>
  <c r="B223" i="35"/>
  <c r="B224" i="35"/>
  <c r="B225" i="35"/>
  <c r="B226" i="35"/>
  <c r="G170" i="26"/>
  <c r="E170" i="26"/>
  <c r="D221" i="35"/>
  <c r="D220" i="35"/>
  <c r="D476" i="37"/>
  <c r="D474" i="37"/>
  <c r="D471" i="37"/>
  <c r="G169" i="26"/>
  <c r="E169" i="26"/>
  <c r="N472" i="37"/>
  <c r="M472" i="37"/>
  <c r="J472" i="37"/>
  <c r="H472" i="37"/>
  <c r="D472" i="37"/>
  <c r="N471" i="37"/>
  <c r="M471" i="37"/>
  <c r="J471" i="37"/>
  <c r="H471" i="37"/>
  <c r="E307" i="26"/>
  <c r="E306" i="26"/>
  <c r="E305" i="26"/>
  <c r="D46" i="24"/>
  <c r="E82" i="51"/>
  <c r="D159" i="24"/>
  <c r="G159" i="24"/>
  <c r="E87" i="50"/>
  <c r="F294" i="52"/>
  <c r="G637" i="37"/>
  <c r="C637" i="37"/>
  <c r="C87" i="50"/>
  <c r="E294" i="52"/>
  <c r="A294" i="52"/>
  <c r="G155" i="24"/>
  <c r="E84" i="50"/>
  <c r="F293" i="52"/>
  <c r="G634" i="37"/>
  <c r="C634" i="37"/>
  <c r="C84" i="50"/>
  <c r="E293" i="52"/>
  <c r="A293" i="52"/>
  <c r="D156" i="24"/>
  <c r="G156" i="24"/>
  <c r="E79" i="50"/>
  <c r="F292" i="52"/>
  <c r="G629" i="37"/>
  <c r="C629" i="37"/>
  <c r="C79" i="50"/>
  <c r="E292" i="52"/>
  <c r="A292" i="52"/>
  <c r="D158" i="24"/>
  <c r="G158" i="24"/>
  <c r="E73" i="50"/>
  <c r="F291" i="52"/>
  <c r="G623" i="37"/>
  <c r="C623" i="37"/>
  <c r="C73" i="50"/>
  <c r="E291" i="52"/>
  <c r="A291" i="52"/>
  <c r="D157" i="24"/>
  <c r="G157" i="24"/>
  <c r="E72" i="50"/>
  <c r="F290" i="52"/>
  <c r="G622" i="37"/>
  <c r="C622" i="37"/>
  <c r="C72" i="50"/>
  <c r="E290" i="52"/>
  <c r="A290" i="52"/>
  <c r="D144" i="24"/>
  <c r="G144" i="24"/>
  <c r="E67" i="50"/>
  <c r="F289" i="52"/>
  <c r="G617" i="37"/>
  <c r="C617" i="37"/>
  <c r="C67" i="50"/>
  <c r="E289" i="52"/>
  <c r="A289" i="52"/>
  <c r="D134" i="24"/>
  <c r="G134" i="24"/>
  <c r="E66" i="50"/>
  <c r="F288" i="52"/>
  <c r="G616" i="37"/>
  <c r="C616" i="37"/>
  <c r="C66" i="50"/>
  <c r="E288" i="52"/>
  <c r="A288" i="52"/>
  <c r="D139" i="24"/>
  <c r="G139" i="24"/>
  <c r="E65" i="50"/>
  <c r="F287" i="52"/>
  <c r="G615" i="37"/>
  <c r="C615" i="37"/>
  <c r="C65" i="50"/>
  <c r="E287" i="52"/>
  <c r="A287" i="52"/>
  <c r="D148" i="24"/>
  <c r="G148" i="24"/>
  <c r="E60" i="50"/>
  <c r="F286" i="52"/>
  <c r="G610" i="37"/>
  <c r="C610" i="37"/>
  <c r="C60" i="50"/>
  <c r="E286" i="52"/>
  <c r="A286" i="52"/>
  <c r="G169" i="24"/>
  <c r="E43" i="50"/>
  <c r="F285" i="52"/>
  <c r="G688" i="37"/>
  <c r="C688" i="37"/>
  <c r="C43" i="50"/>
  <c r="E285" i="52"/>
  <c r="A285" i="52"/>
  <c r="E36" i="50"/>
  <c r="F284" i="52"/>
  <c r="G681" i="37"/>
  <c r="C681" i="37"/>
  <c r="C36" i="50"/>
  <c r="E284" i="52"/>
  <c r="A284" i="52"/>
  <c r="G171" i="24"/>
  <c r="E35" i="50"/>
  <c r="F283" i="52"/>
  <c r="G680" i="37"/>
  <c r="C680" i="37"/>
  <c r="C35" i="50"/>
  <c r="E283" i="52"/>
  <c r="A283" i="52"/>
  <c r="G118" i="24"/>
  <c r="E34" i="50"/>
  <c r="F282" i="52"/>
  <c r="G679" i="37"/>
  <c r="C679" i="37"/>
  <c r="C34" i="50"/>
  <c r="E282" i="52"/>
  <c r="A282" i="52"/>
  <c r="E33" i="50"/>
  <c r="F281" i="52"/>
  <c r="G678" i="37"/>
  <c r="C678" i="37"/>
  <c r="C33" i="50"/>
  <c r="E281" i="52"/>
  <c r="A281" i="52"/>
  <c r="E25" i="50"/>
  <c r="F280" i="52"/>
  <c r="G670" i="37"/>
  <c r="C670" i="37"/>
  <c r="C25" i="50"/>
  <c r="E280" i="52"/>
  <c r="A280" i="52"/>
  <c r="E24" i="50"/>
  <c r="F279" i="52"/>
  <c r="G669" i="37"/>
  <c r="C669" i="37"/>
  <c r="C24" i="50"/>
  <c r="E279" i="52"/>
  <c r="A279" i="52"/>
  <c r="D342" i="35"/>
  <c r="I336" i="35"/>
  <c r="D140" i="24"/>
  <c r="K336" i="35"/>
  <c r="L336" i="35"/>
  <c r="H336" i="35"/>
  <c r="D143" i="37"/>
  <c r="G143" i="37"/>
  <c r="J143" i="37"/>
  <c r="J139" i="37"/>
  <c r="I332" i="35"/>
  <c r="K332" i="35"/>
  <c r="I334" i="35"/>
  <c r="K334" i="35"/>
  <c r="L332" i="35"/>
  <c r="H332" i="35"/>
  <c r="L334" i="35"/>
  <c r="H334" i="35"/>
  <c r="F342" i="35"/>
  <c r="B342" i="35"/>
  <c r="J149" i="37"/>
  <c r="H149" i="37"/>
  <c r="D149" i="37"/>
  <c r="J342" i="35"/>
  <c r="F341" i="35"/>
  <c r="B341" i="35"/>
  <c r="F338" i="35"/>
  <c r="B338" i="35"/>
  <c r="G145" i="37"/>
  <c r="J145" i="37"/>
  <c r="H145" i="37"/>
  <c r="I338" i="35"/>
  <c r="J338" i="35"/>
  <c r="H338" i="35"/>
  <c r="D145" i="37"/>
  <c r="L341" i="35"/>
  <c r="K341" i="35"/>
  <c r="D341" i="35"/>
  <c r="L338" i="35"/>
  <c r="K338" i="35"/>
  <c r="D338" i="35"/>
  <c r="H72" i="37"/>
  <c r="D135" i="24"/>
  <c r="G140" i="24"/>
  <c r="I140" i="24"/>
  <c r="G135" i="24"/>
  <c r="I135" i="24"/>
  <c r="I337" i="35"/>
  <c r="K337" i="35"/>
  <c r="L337" i="35"/>
  <c r="H337" i="35"/>
  <c r="D144" i="37"/>
  <c r="L340" i="35"/>
  <c r="I340" i="35"/>
  <c r="K340" i="35"/>
  <c r="J340" i="35"/>
  <c r="H340" i="35"/>
  <c r="F340" i="35"/>
  <c r="D340" i="35"/>
  <c r="B340" i="35"/>
  <c r="L339" i="35"/>
  <c r="I339" i="35"/>
  <c r="K339" i="35"/>
  <c r="J339" i="35"/>
  <c r="H339" i="35"/>
  <c r="F339" i="35"/>
  <c r="D339" i="35"/>
  <c r="B339" i="35"/>
  <c r="F336" i="35"/>
  <c r="B336" i="35"/>
  <c r="G147" i="37"/>
  <c r="J147" i="37"/>
  <c r="H147" i="37"/>
  <c r="D147" i="37"/>
  <c r="G146" i="37"/>
  <c r="J146" i="37"/>
  <c r="H146" i="37"/>
  <c r="D146" i="37"/>
  <c r="G144" i="37"/>
  <c r="J144" i="37"/>
  <c r="H144" i="37"/>
  <c r="H143" i="37"/>
  <c r="J337" i="35"/>
  <c r="F337" i="35"/>
  <c r="D337" i="35"/>
  <c r="B337" i="35"/>
  <c r="J336" i="35"/>
  <c r="D336" i="35"/>
  <c r="J142" i="37"/>
  <c r="H142" i="37"/>
  <c r="I335" i="35"/>
  <c r="J335" i="35"/>
  <c r="H335" i="35"/>
  <c r="D142" i="37"/>
  <c r="J141" i="37"/>
  <c r="H141" i="37"/>
  <c r="D141" i="37"/>
  <c r="L335" i="35"/>
  <c r="K335" i="35"/>
  <c r="F335" i="35"/>
  <c r="D335" i="35"/>
  <c r="B335" i="35"/>
  <c r="J334" i="35"/>
  <c r="F334" i="35"/>
  <c r="D334" i="35"/>
  <c r="B334" i="35"/>
  <c r="J140" i="37"/>
  <c r="H140" i="37"/>
  <c r="I333" i="35"/>
  <c r="J333" i="35"/>
  <c r="H333" i="35"/>
  <c r="D140" i="37"/>
  <c r="D139" i="37"/>
  <c r="H139" i="37"/>
  <c r="J332" i="35"/>
  <c r="D11" i="24"/>
  <c r="L333" i="35"/>
  <c r="K333" i="35"/>
  <c r="D333" i="35"/>
  <c r="F332" i="35"/>
  <c r="D332" i="35"/>
  <c r="B332" i="35"/>
  <c r="J61" i="37"/>
  <c r="H61" i="37"/>
  <c r="D61" i="37"/>
  <c r="L247" i="35"/>
  <c r="K247" i="35"/>
  <c r="F247" i="35"/>
  <c r="D247" i="35"/>
  <c r="B247" i="35"/>
  <c r="G571" i="37"/>
  <c r="C571" i="37"/>
  <c r="F243" i="35"/>
  <c r="B243" i="35"/>
  <c r="G220" i="37"/>
  <c r="C220" i="37"/>
  <c r="I11" i="35"/>
  <c r="J11" i="35"/>
  <c r="H11" i="35"/>
  <c r="D220" i="37"/>
  <c r="H220" i="37"/>
  <c r="J220" i="37"/>
  <c r="D221" i="37"/>
  <c r="H221" i="37"/>
  <c r="J221" i="37"/>
  <c r="D323" i="35"/>
  <c r="F321" i="35"/>
  <c r="F323" i="35"/>
  <c r="F324" i="35"/>
  <c r="B324" i="35"/>
  <c r="J134" i="37"/>
  <c r="J133" i="37"/>
  <c r="C138" i="37"/>
  <c r="C137" i="37"/>
  <c r="G193" i="37"/>
  <c r="C193" i="37"/>
  <c r="J138" i="37"/>
  <c r="H138" i="37"/>
  <c r="I331" i="35"/>
  <c r="J331" i="35"/>
  <c r="H331" i="35"/>
  <c r="D138" i="37"/>
  <c r="J137" i="37"/>
  <c r="I330" i="35"/>
  <c r="J330" i="35"/>
  <c r="H330" i="35"/>
  <c r="D137" i="37"/>
  <c r="L331" i="35"/>
  <c r="K331" i="35"/>
  <c r="F331" i="35"/>
  <c r="D331" i="35"/>
  <c r="B331" i="35"/>
  <c r="L330" i="35"/>
  <c r="K330" i="35"/>
  <c r="F330" i="35"/>
  <c r="D330" i="35"/>
  <c r="B330" i="35"/>
  <c r="J136" i="37"/>
  <c r="I325" i="35"/>
  <c r="K325" i="35"/>
  <c r="L325" i="35"/>
  <c r="H325" i="35"/>
  <c r="J129" i="37"/>
  <c r="F322" i="35"/>
  <c r="D324" i="35"/>
  <c r="F327" i="35"/>
  <c r="B327" i="35"/>
  <c r="J131" i="37"/>
  <c r="J128" i="37"/>
  <c r="J126" i="37"/>
  <c r="I316" i="35"/>
  <c r="J316" i="35"/>
  <c r="H316" i="35"/>
  <c r="D123" i="37"/>
  <c r="H136" i="37"/>
  <c r="I329" i="35"/>
  <c r="J329" i="35"/>
  <c r="H329" i="35"/>
  <c r="D136" i="37"/>
  <c r="J135" i="37"/>
  <c r="H135" i="37"/>
  <c r="I328" i="35"/>
  <c r="J328" i="35"/>
  <c r="H328" i="35"/>
  <c r="D135" i="37"/>
  <c r="H134" i="37"/>
  <c r="I327" i="35"/>
  <c r="J327" i="35"/>
  <c r="H327" i="35"/>
  <c r="D134" i="37"/>
  <c r="H133" i="37"/>
  <c r="I326" i="35"/>
  <c r="J326" i="35"/>
  <c r="H326" i="35"/>
  <c r="D133" i="37"/>
  <c r="J132" i="37"/>
  <c r="H132" i="37"/>
  <c r="J325" i="35"/>
  <c r="D132" i="37"/>
  <c r="H131" i="37"/>
  <c r="I324" i="35"/>
  <c r="J324" i="35"/>
  <c r="K324" i="35"/>
  <c r="L324" i="35"/>
  <c r="H324" i="35"/>
  <c r="D131" i="37"/>
  <c r="J130" i="37"/>
  <c r="H130" i="37"/>
  <c r="I323" i="35"/>
  <c r="J323" i="35"/>
  <c r="K323" i="35"/>
  <c r="L323" i="35"/>
  <c r="H323" i="35"/>
  <c r="D130" i="37"/>
  <c r="H129" i="37"/>
  <c r="I322" i="35"/>
  <c r="J322" i="35"/>
  <c r="K322" i="35"/>
  <c r="L322" i="35"/>
  <c r="H322" i="35"/>
  <c r="D129" i="37"/>
  <c r="H128" i="37"/>
  <c r="I321" i="35"/>
  <c r="J321" i="35"/>
  <c r="K321" i="35"/>
  <c r="L321" i="35"/>
  <c r="H321" i="35"/>
  <c r="D128" i="37"/>
  <c r="J127" i="37"/>
  <c r="H127" i="37"/>
  <c r="I320" i="35"/>
  <c r="J320" i="35"/>
  <c r="D150" i="24"/>
  <c r="K320" i="35"/>
  <c r="L320" i="35"/>
  <c r="H320" i="35"/>
  <c r="D127" i="37"/>
  <c r="H126" i="37"/>
  <c r="I319" i="35"/>
  <c r="J319" i="35"/>
  <c r="D180" i="24"/>
  <c r="K319" i="35"/>
  <c r="L319" i="35"/>
  <c r="H319" i="35"/>
  <c r="D126" i="37"/>
  <c r="J125" i="37"/>
  <c r="H125" i="37"/>
  <c r="I318" i="35"/>
  <c r="J318" i="35"/>
  <c r="K318" i="35"/>
  <c r="L318" i="35"/>
  <c r="H318" i="35"/>
  <c r="D125" i="37"/>
  <c r="J124" i="37"/>
  <c r="H124" i="37"/>
  <c r="I317" i="35"/>
  <c r="J317" i="35"/>
  <c r="K317" i="35"/>
  <c r="L317" i="35"/>
  <c r="H317" i="35"/>
  <c r="D124" i="37"/>
  <c r="J123" i="37"/>
  <c r="H123" i="37"/>
  <c r="I315" i="35"/>
  <c r="D149" i="24"/>
  <c r="K315" i="35"/>
  <c r="L315" i="35"/>
  <c r="H315" i="35"/>
  <c r="J315" i="35"/>
  <c r="J122" i="37"/>
  <c r="F315" i="35"/>
  <c r="B315" i="35"/>
  <c r="D315" i="35"/>
  <c r="D122" i="37"/>
  <c r="I314" i="35"/>
  <c r="J314" i="35"/>
  <c r="H314" i="35"/>
  <c r="D121" i="37"/>
  <c r="H122" i="37"/>
  <c r="I313" i="35"/>
  <c r="K313" i="35"/>
  <c r="L313" i="35"/>
  <c r="H313" i="35"/>
  <c r="I312" i="35"/>
  <c r="J312" i="35"/>
  <c r="H312" i="35"/>
  <c r="L329" i="35"/>
  <c r="K329" i="35"/>
  <c r="F329" i="35"/>
  <c r="D329" i="35"/>
  <c r="B329" i="35"/>
  <c r="L328" i="35"/>
  <c r="K328" i="35"/>
  <c r="F328" i="35"/>
  <c r="D328" i="35"/>
  <c r="B328" i="35"/>
  <c r="L327" i="35"/>
  <c r="K327" i="35"/>
  <c r="D327" i="35"/>
  <c r="L326" i="35"/>
  <c r="K326" i="35"/>
  <c r="F326" i="35"/>
  <c r="D326" i="35"/>
  <c r="B326" i="35"/>
  <c r="F325" i="35"/>
  <c r="D325" i="35"/>
  <c r="B325" i="35"/>
  <c r="B323" i="35"/>
  <c r="D322" i="35"/>
  <c r="B322" i="35"/>
  <c r="D321" i="35"/>
  <c r="B321" i="35"/>
  <c r="F320" i="35"/>
  <c r="D320" i="35"/>
  <c r="B320" i="35"/>
  <c r="F319" i="35"/>
  <c r="D319" i="35"/>
  <c r="B319" i="35"/>
  <c r="F318" i="35"/>
  <c r="D318" i="35"/>
  <c r="B318" i="35"/>
  <c r="F317" i="35"/>
  <c r="D317" i="35"/>
  <c r="B317" i="35"/>
  <c r="L316" i="35"/>
  <c r="K316" i="35"/>
  <c r="F316" i="35"/>
  <c r="D316" i="35"/>
  <c r="B316" i="35"/>
  <c r="C341" i="37"/>
  <c r="G180" i="24"/>
  <c r="I180" i="24"/>
  <c r="G150" i="24"/>
  <c r="I150" i="24"/>
  <c r="I181" i="24"/>
  <c r="G149" i="24"/>
  <c r="I149" i="24"/>
  <c r="D176" i="24"/>
  <c r="I48" i="35"/>
  <c r="J48" i="35"/>
  <c r="H48" i="35"/>
  <c r="D271" i="37"/>
  <c r="C254" i="37"/>
  <c r="D254" i="37"/>
  <c r="F358" i="35"/>
  <c r="B358" i="35"/>
  <c r="H254" i="37"/>
  <c r="D358" i="35"/>
  <c r="K358" i="35"/>
  <c r="L358" i="35"/>
  <c r="I357" i="35"/>
  <c r="J357" i="35"/>
  <c r="H357" i="35"/>
  <c r="D253" i="37"/>
  <c r="C253" i="37"/>
  <c r="F357" i="35"/>
  <c r="B357" i="35"/>
  <c r="D357" i="35"/>
  <c r="K357" i="35"/>
  <c r="L357" i="35"/>
  <c r="I103" i="35"/>
  <c r="J103" i="35"/>
  <c r="H103" i="35"/>
  <c r="H253" i="37"/>
  <c r="J253" i="37"/>
  <c r="H121" i="37"/>
  <c r="L314" i="35"/>
  <c r="K314" i="35"/>
  <c r="D314" i="35"/>
  <c r="D56" i="37"/>
  <c r="J60" i="37"/>
  <c r="H60" i="37"/>
  <c r="D60" i="37"/>
  <c r="J120" i="37"/>
  <c r="H120" i="37"/>
  <c r="I311" i="35"/>
  <c r="K311" i="35"/>
  <c r="L311" i="35"/>
  <c r="H311" i="35"/>
  <c r="D120" i="37"/>
  <c r="C120" i="37"/>
  <c r="J313" i="35"/>
  <c r="J118" i="37"/>
  <c r="C118" i="37"/>
  <c r="F313" i="35"/>
  <c r="D313" i="35"/>
  <c r="B313" i="35"/>
  <c r="J119" i="37"/>
  <c r="H119" i="37"/>
  <c r="D119" i="37"/>
  <c r="C119" i="37"/>
  <c r="L312" i="35"/>
  <c r="K312" i="35"/>
  <c r="F312" i="35"/>
  <c r="D312" i="35"/>
  <c r="B312" i="35"/>
  <c r="J109" i="37"/>
  <c r="C109" i="37"/>
  <c r="J117" i="37"/>
  <c r="I302" i="35"/>
  <c r="J302" i="35"/>
  <c r="H302" i="35"/>
  <c r="D109" i="37"/>
  <c r="J311" i="35"/>
  <c r="J79" i="37"/>
  <c r="C79" i="37"/>
  <c r="F311" i="35"/>
  <c r="D311" i="35"/>
  <c r="B311" i="35"/>
  <c r="L310" i="35"/>
  <c r="I310" i="35"/>
  <c r="K310" i="35"/>
  <c r="J310" i="35"/>
  <c r="H310" i="35"/>
  <c r="J78" i="37"/>
  <c r="C78" i="37"/>
  <c r="C117" i="37"/>
  <c r="F310" i="35"/>
  <c r="D310" i="35"/>
  <c r="B310" i="35"/>
  <c r="L309" i="35"/>
  <c r="I309" i="35"/>
  <c r="K309" i="35"/>
  <c r="J309" i="35"/>
  <c r="H309" i="35"/>
  <c r="J77" i="37"/>
  <c r="C77" i="37"/>
  <c r="J116" i="37"/>
  <c r="C116" i="37"/>
  <c r="F309" i="35"/>
  <c r="D309" i="35"/>
  <c r="B309" i="35"/>
  <c r="L308" i="35"/>
  <c r="I308" i="35"/>
  <c r="K308" i="35"/>
  <c r="J308" i="35"/>
  <c r="H308" i="35"/>
  <c r="J76" i="37"/>
  <c r="C76" i="37"/>
  <c r="J115" i="37"/>
  <c r="C115" i="37"/>
  <c r="F308" i="35"/>
  <c r="D308" i="35"/>
  <c r="B308" i="35"/>
  <c r="L307" i="35"/>
  <c r="I307" i="35"/>
  <c r="K307" i="35"/>
  <c r="J307" i="35"/>
  <c r="H307" i="35"/>
  <c r="J75" i="37"/>
  <c r="C75" i="37"/>
  <c r="J114" i="37"/>
  <c r="C114" i="37"/>
  <c r="F307" i="35"/>
  <c r="D307" i="35"/>
  <c r="B307" i="35"/>
  <c r="L306" i="35"/>
  <c r="I306" i="35"/>
  <c r="K306" i="35"/>
  <c r="J306" i="35"/>
  <c r="H306" i="35"/>
  <c r="J74" i="37"/>
  <c r="C74" i="37"/>
  <c r="J113" i="37"/>
  <c r="C113" i="37"/>
  <c r="F306" i="35"/>
  <c r="D306" i="35"/>
  <c r="B306" i="35"/>
  <c r="L305" i="35"/>
  <c r="I305" i="35"/>
  <c r="K305" i="35"/>
  <c r="J305" i="35"/>
  <c r="H305" i="35"/>
  <c r="J73" i="37"/>
  <c r="C73" i="37"/>
  <c r="J112" i="37"/>
  <c r="C112" i="37"/>
  <c r="F305" i="35"/>
  <c r="D305" i="35"/>
  <c r="B305" i="35"/>
  <c r="L304" i="35"/>
  <c r="I304" i="35"/>
  <c r="K304" i="35"/>
  <c r="J304" i="35"/>
  <c r="H304" i="35"/>
  <c r="J72" i="37"/>
  <c r="C72" i="37"/>
  <c r="J111" i="37"/>
  <c r="C111" i="37"/>
  <c r="F304" i="35"/>
  <c r="D304" i="35"/>
  <c r="B304" i="35"/>
  <c r="L303" i="35"/>
  <c r="I303" i="35"/>
  <c r="K303" i="35"/>
  <c r="J303" i="35"/>
  <c r="H303" i="35"/>
  <c r="J71" i="37"/>
  <c r="C71" i="37"/>
  <c r="J110" i="37"/>
  <c r="C110" i="37"/>
  <c r="F303" i="35"/>
  <c r="D303" i="35"/>
  <c r="B303" i="35"/>
  <c r="L302" i="35"/>
  <c r="K302" i="35"/>
  <c r="J70" i="37"/>
  <c r="C70" i="37"/>
  <c r="F302" i="35"/>
  <c r="D302" i="35"/>
  <c r="B302" i="35"/>
  <c r="H118" i="37"/>
  <c r="I266" i="35"/>
  <c r="K266" i="35"/>
  <c r="L266" i="35"/>
  <c r="H266" i="35"/>
  <c r="D118" i="37"/>
  <c r="H117" i="37"/>
  <c r="I265" i="35"/>
  <c r="K265" i="35"/>
  <c r="L265" i="35"/>
  <c r="H265" i="35"/>
  <c r="D117" i="37"/>
  <c r="H116" i="37"/>
  <c r="I264" i="35"/>
  <c r="K264" i="35"/>
  <c r="L264" i="35"/>
  <c r="H264" i="35"/>
  <c r="D116" i="37"/>
  <c r="H115" i="37"/>
  <c r="I263" i="35"/>
  <c r="K263" i="35"/>
  <c r="L263" i="35"/>
  <c r="H263" i="35"/>
  <c r="D115" i="37"/>
  <c r="H114" i="37"/>
  <c r="I262" i="35"/>
  <c r="J262" i="35"/>
  <c r="H262" i="35"/>
  <c r="D114" i="37"/>
  <c r="H113" i="37"/>
  <c r="I261" i="35"/>
  <c r="J261" i="35"/>
  <c r="H261" i="35"/>
  <c r="D113" i="37"/>
  <c r="H112" i="37"/>
  <c r="I260" i="35"/>
  <c r="J260" i="35"/>
  <c r="H260" i="35"/>
  <c r="D112" i="37"/>
  <c r="H111" i="37"/>
  <c r="I259" i="35"/>
  <c r="J259" i="35"/>
  <c r="H259" i="35"/>
  <c r="D111" i="37"/>
  <c r="H110" i="37"/>
  <c r="I258" i="35"/>
  <c r="J258" i="35"/>
  <c r="H258" i="35"/>
  <c r="D110" i="37"/>
  <c r="H109" i="37"/>
  <c r="I257" i="35"/>
  <c r="J257" i="35"/>
  <c r="H257" i="35"/>
  <c r="J108" i="37"/>
  <c r="H108" i="37"/>
  <c r="I300" i="35"/>
  <c r="J300" i="35"/>
  <c r="H300" i="35"/>
  <c r="I301" i="35"/>
  <c r="J301" i="35"/>
  <c r="H301" i="35"/>
  <c r="D108" i="37"/>
  <c r="L301" i="35"/>
  <c r="K301" i="35"/>
  <c r="F301" i="35"/>
  <c r="D301" i="35"/>
  <c r="B301" i="35"/>
  <c r="C357" i="37"/>
  <c r="D59" i="37"/>
  <c r="H59" i="37"/>
  <c r="J59" i="37"/>
  <c r="G104" i="37"/>
  <c r="J104" i="37"/>
  <c r="G105" i="37"/>
  <c r="J105" i="37"/>
  <c r="G106" i="37"/>
  <c r="J106" i="37"/>
  <c r="G107" i="37"/>
  <c r="J107" i="37"/>
  <c r="G103" i="37"/>
  <c r="J103" i="37"/>
  <c r="J100" i="37"/>
  <c r="C100" i="37"/>
  <c r="I293" i="35"/>
  <c r="H100" i="37"/>
  <c r="J101" i="37"/>
  <c r="C101" i="37"/>
  <c r="I294" i="35"/>
  <c r="H101" i="37"/>
  <c r="J102" i="37"/>
  <c r="C102" i="37"/>
  <c r="I295" i="35"/>
  <c r="H102" i="37"/>
  <c r="I296" i="35"/>
  <c r="D77" i="24"/>
  <c r="K296" i="35"/>
  <c r="L296" i="35"/>
  <c r="H296" i="35"/>
  <c r="D103" i="37"/>
  <c r="H103" i="37"/>
  <c r="I297" i="35"/>
  <c r="K297" i="35"/>
  <c r="L297" i="35"/>
  <c r="H297" i="35"/>
  <c r="D104" i="37"/>
  <c r="H104" i="37"/>
  <c r="I298" i="35"/>
  <c r="K298" i="35"/>
  <c r="L298" i="35"/>
  <c r="H298" i="35"/>
  <c r="D105" i="37"/>
  <c r="H105" i="37"/>
  <c r="I299" i="35"/>
  <c r="K299" i="35"/>
  <c r="L299" i="35"/>
  <c r="H299" i="35"/>
  <c r="D106" i="37"/>
  <c r="H106" i="37"/>
  <c r="D107" i="37"/>
  <c r="H107" i="37"/>
  <c r="J99" i="37"/>
  <c r="H99" i="37"/>
  <c r="I292" i="35"/>
  <c r="C99" i="37"/>
  <c r="G77" i="24"/>
  <c r="I77" i="24"/>
  <c r="I60" i="24"/>
  <c r="I62" i="24"/>
  <c r="I63" i="24"/>
  <c r="I64" i="24"/>
  <c r="D47" i="24"/>
  <c r="F292" i="35"/>
  <c r="B292" i="35"/>
  <c r="D292" i="35"/>
  <c r="J292" i="35"/>
  <c r="K292" i="35"/>
  <c r="L292" i="35"/>
  <c r="F293" i="35"/>
  <c r="B293" i="35"/>
  <c r="D293" i="35"/>
  <c r="J293" i="35"/>
  <c r="K293" i="35"/>
  <c r="L293" i="35"/>
  <c r="F294" i="35"/>
  <c r="B294" i="35"/>
  <c r="D294" i="35"/>
  <c r="J294" i="35"/>
  <c r="K294" i="35"/>
  <c r="L294" i="35"/>
  <c r="F295" i="35"/>
  <c r="B295" i="35"/>
  <c r="D295" i="35"/>
  <c r="J295" i="35"/>
  <c r="K295" i="35"/>
  <c r="L295" i="35"/>
  <c r="F296" i="35"/>
  <c r="B296" i="35"/>
  <c r="D296" i="35"/>
  <c r="J296" i="35"/>
  <c r="F297" i="35"/>
  <c r="B297" i="35"/>
  <c r="D297" i="35"/>
  <c r="J297" i="35"/>
  <c r="F298" i="35"/>
  <c r="B298" i="35"/>
  <c r="D298" i="35"/>
  <c r="J298" i="35"/>
  <c r="F299" i="35"/>
  <c r="B299" i="35"/>
  <c r="D299" i="35"/>
  <c r="J299" i="35"/>
  <c r="F300" i="35"/>
  <c r="B300" i="35"/>
  <c r="D300" i="35"/>
  <c r="K300" i="35"/>
  <c r="L300" i="35"/>
  <c r="I113" i="35"/>
  <c r="K113" i="35"/>
  <c r="L113" i="35"/>
  <c r="H113" i="35"/>
  <c r="I114" i="35"/>
  <c r="J114" i="35"/>
  <c r="H114" i="35"/>
  <c r="D357" i="37"/>
  <c r="H357" i="37"/>
  <c r="J357" i="37"/>
  <c r="F114" i="35"/>
  <c r="B114" i="35"/>
  <c r="D114" i="35"/>
  <c r="K114" i="35"/>
  <c r="L114" i="35"/>
  <c r="I290" i="35"/>
  <c r="J290" i="35"/>
  <c r="H290" i="35"/>
  <c r="I291" i="35"/>
  <c r="J291" i="35"/>
  <c r="H291" i="35"/>
  <c r="D98" i="37"/>
  <c r="H98" i="37"/>
  <c r="J98" i="37"/>
  <c r="F291" i="35"/>
  <c r="B291" i="35"/>
  <c r="D291" i="35"/>
  <c r="K291" i="35"/>
  <c r="L291" i="35"/>
  <c r="I355" i="37"/>
  <c r="C355" i="37"/>
  <c r="I111" i="35"/>
  <c r="J111" i="35"/>
  <c r="H111" i="35"/>
  <c r="I112" i="35"/>
  <c r="K112" i="35"/>
  <c r="L112" i="35"/>
  <c r="H112" i="35"/>
  <c r="D355" i="37"/>
  <c r="H355" i="37"/>
  <c r="J355" i="37"/>
  <c r="I356" i="37"/>
  <c r="C356" i="37"/>
  <c r="D356" i="37"/>
  <c r="H356" i="37"/>
  <c r="J356" i="37"/>
  <c r="F112" i="35"/>
  <c r="B112" i="35"/>
  <c r="D112" i="35"/>
  <c r="J112" i="35"/>
  <c r="F113" i="35"/>
  <c r="B113" i="35"/>
  <c r="D113" i="35"/>
  <c r="J113" i="35"/>
  <c r="D57" i="51"/>
  <c r="D60" i="51"/>
  <c r="D63" i="51"/>
  <c r="D66" i="51"/>
  <c r="D69" i="51"/>
  <c r="D72" i="51"/>
  <c r="E69" i="51"/>
  <c r="E70" i="51"/>
  <c r="I285" i="35"/>
  <c r="K285" i="35"/>
  <c r="L285" i="35"/>
  <c r="H285" i="35"/>
  <c r="D92" i="37"/>
  <c r="D179" i="24"/>
  <c r="G179" i="24"/>
  <c r="E134" i="50"/>
  <c r="I179" i="24"/>
  <c r="G178" i="24"/>
  <c r="E133" i="50"/>
  <c r="F278" i="52"/>
  <c r="G730" i="37"/>
  <c r="C730" i="37"/>
  <c r="C133" i="50"/>
  <c r="G731" i="37"/>
  <c r="C731" i="37"/>
  <c r="C134" i="50"/>
  <c r="E278" i="52"/>
  <c r="A278" i="52"/>
  <c r="A269" i="52"/>
  <c r="G721" i="37"/>
  <c r="C721" i="37"/>
  <c r="C124" i="50"/>
  <c r="G722" i="37"/>
  <c r="C722" i="37"/>
  <c r="C125" i="50"/>
  <c r="E269" i="52"/>
  <c r="G170" i="24"/>
  <c r="E124" i="50"/>
  <c r="G43" i="24"/>
  <c r="E125" i="50"/>
  <c r="F269" i="52"/>
  <c r="A270" i="52"/>
  <c r="G723" i="37"/>
  <c r="C723" i="37"/>
  <c r="C126" i="50"/>
  <c r="E270" i="52"/>
  <c r="E126" i="50"/>
  <c r="F270" i="52"/>
  <c r="A271" i="52"/>
  <c r="G724" i="37"/>
  <c r="C724" i="37"/>
  <c r="C127" i="50"/>
  <c r="E271" i="52"/>
  <c r="G96" i="24"/>
  <c r="E127" i="50"/>
  <c r="F271" i="52"/>
  <c r="A272" i="52"/>
  <c r="G725" i="37"/>
  <c r="C725" i="37"/>
  <c r="C128" i="50"/>
  <c r="E272" i="52"/>
  <c r="D173" i="24"/>
  <c r="G173" i="24"/>
  <c r="E128" i="50"/>
  <c r="F272" i="52"/>
  <c r="A273" i="52"/>
  <c r="G726" i="37"/>
  <c r="C726" i="37"/>
  <c r="C129" i="50"/>
  <c r="E273" i="52"/>
  <c r="G174" i="24"/>
  <c r="E129" i="50"/>
  <c r="F273" i="52"/>
  <c r="A274" i="52"/>
  <c r="G727" i="37"/>
  <c r="C727" i="37"/>
  <c r="C130" i="50"/>
  <c r="E274" i="52"/>
  <c r="D175" i="24"/>
  <c r="G175" i="24"/>
  <c r="E130" i="50"/>
  <c r="F274" i="52"/>
  <c r="A275" i="52"/>
  <c r="G728" i="37"/>
  <c r="C728" i="37"/>
  <c r="C131" i="50"/>
  <c r="E275" i="52"/>
  <c r="G176" i="24"/>
  <c r="E131" i="50"/>
  <c r="F275" i="52"/>
  <c r="A276" i="52"/>
  <c r="G729" i="37"/>
  <c r="C729" i="37"/>
  <c r="C132" i="50"/>
  <c r="E276" i="52"/>
  <c r="D177" i="24"/>
  <c r="G177" i="24"/>
  <c r="E132" i="50"/>
  <c r="F276" i="52"/>
  <c r="A277" i="52"/>
  <c r="E277" i="52"/>
  <c r="F277" i="52"/>
  <c r="F134" i="50"/>
  <c r="G134" i="50"/>
  <c r="H134" i="50"/>
  <c r="F132" i="50"/>
  <c r="G132" i="50"/>
  <c r="H132" i="50"/>
  <c r="F133" i="50"/>
  <c r="G133" i="50"/>
  <c r="H133" i="50"/>
  <c r="D730" i="37"/>
  <c r="H730" i="37"/>
  <c r="J730" i="37"/>
  <c r="M730" i="37"/>
  <c r="N730" i="37"/>
  <c r="D731" i="37"/>
  <c r="H731" i="37"/>
  <c r="J731" i="37"/>
  <c r="M731" i="37"/>
  <c r="N731" i="37"/>
  <c r="D723" i="37"/>
  <c r="H723" i="37"/>
  <c r="J723" i="37"/>
  <c r="M723" i="37"/>
  <c r="N723" i="37"/>
  <c r="D724" i="37"/>
  <c r="H724" i="37"/>
  <c r="J724" i="37"/>
  <c r="M724" i="37"/>
  <c r="N724" i="37"/>
  <c r="D725" i="37"/>
  <c r="H725" i="37"/>
  <c r="J725" i="37"/>
  <c r="M725" i="37"/>
  <c r="N725" i="37"/>
  <c r="D726" i="37"/>
  <c r="H726" i="37"/>
  <c r="J726" i="37"/>
  <c r="M726" i="37"/>
  <c r="N726" i="37"/>
  <c r="D727" i="37"/>
  <c r="H727" i="37"/>
  <c r="J727" i="37"/>
  <c r="M727" i="37"/>
  <c r="N727" i="37"/>
  <c r="D728" i="37"/>
  <c r="H728" i="37"/>
  <c r="J728" i="37"/>
  <c r="M728" i="37"/>
  <c r="N728" i="37"/>
  <c r="D729" i="37"/>
  <c r="H729" i="37"/>
  <c r="J729" i="37"/>
  <c r="M729" i="37"/>
  <c r="N729" i="37"/>
  <c r="H131" i="50"/>
  <c r="G131" i="50"/>
  <c r="F131" i="50"/>
  <c r="H130" i="50"/>
  <c r="G130" i="50"/>
  <c r="F130" i="50"/>
  <c r="G720" i="37"/>
  <c r="C720" i="37"/>
  <c r="H129" i="50"/>
  <c r="G129" i="50"/>
  <c r="F129" i="50"/>
  <c r="G719" i="37"/>
  <c r="C719" i="37"/>
  <c r="H128" i="50"/>
  <c r="G128" i="50"/>
  <c r="F128" i="50"/>
  <c r="G718" i="37"/>
  <c r="C718" i="37"/>
  <c r="H127" i="50"/>
  <c r="G127" i="50"/>
  <c r="F127" i="50"/>
  <c r="G717" i="37"/>
  <c r="C717" i="37"/>
  <c r="H126" i="50"/>
  <c r="G126" i="50"/>
  <c r="F126" i="50"/>
  <c r="G716" i="37"/>
  <c r="C716" i="37"/>
  <c r="H125" i="50"/>
  <c r="G125" i="50"/>
  <c r="F125" i="50"/>
  <c r="G715" i="37"/>
  <c r="C715" i="37"/>
  <c r="D722" i="37"/>
  <c r="I178" i="24"/>
  <c r="D178" i="24"/>
  <c r="I177" i="24"/>
  <c r="I176" i="24"/>
  <c r="I175" i="24"/>
  <c r="I174" i="24"/>
  <c r="D174" i="24"/>
  <c r="I173" i="24"/>
  <c r="H722" i="37"/>
  <c r="J722" i="37"/>
  <c r="M722" i="37"/>
  <c r="N722" i="37"/>
  <c r="D170" i="24"/>
  <c r="I172" i="24"/>
  <c r="D67" i="51"/>
  <c r="F268" i="52"/>
  <c r="E268" i="52"/>
  <c r="A268" i="52"/>
  <c r="E123" i="50"/>
  <c r="F267" i="52"/>
  <c r="C123" i="50"/>
  <c r="E267" i="52"/>
  <c r="A267" i="52"/>
  <c r="E122" i="50"/>
  <c r="F266" i="52"/>
  <c r="C122" i="50"/>
  <c r="E266" i="52"/>
  <c r="A266" i="52"/>
  <c r="E121" i="50"/>
  <c r="F265" i="52"/>
  <c r="C121" i="50"/>
  <c r="E265" i="52"/>
  <c r="A265" i="52"/>
  <c r="G168" i="24"/>
  <c r="E120" i="50"/>
  <c r="F264" i="52"/>
  <c r="C120" i="50"/>
  <c r="E264" i="52"/>
  <c r="A264" i="52"/>
  <c r="G167" i="24"/>
  <c r="E119" i="50"/>
  <c r="F263" i="52"/>
  <c r="C119" i="50"/>
  <c r="E263" i="52"/>
  <c r="A263" i="52"/>
  <c r="E118" i="50"/>
  <c r="F262" i="52"/>
  <c r="C118" i="50"/>
  <c r="E262" i="52"/>
  <c r="A262" i="52"/>
  <c r="D717" i="37"/>
  <c r="H717" i="37"/>
  <c r="J717" i="37"/>
  <c r="F3" i="35"/>
  <c r="B3" i="35"/>
  <c r="F4" i="35"/>
  <c r="B4" i="35"/>
  <c r="D4" i="35"/>
  <c r="B5" i="35"/>
  <c r="D5" i="35"/>
  <c r="F6" i="35"/>
  <c r="B6" i="35"/>
  <c r="F7" i="35"/>
  <c r="B7" i="35"/>
  <c r="D7" i="35"/>
  <c r="G217" i="37"/>
  <c r="C217" i="37"/>
  <c r="F8" i="35"/>
  <c r="B8" i="35"/>
  <c r="D8" i="35"/>
  <c r="G218" i="37"/>
  <c r="C218" i="37"/>
  <c r="F9" i="35"/>
  <c r="B9" i="35"/>
  <c r="D9" i="35"/>
  <c r="G219" i="37"/>
  <c r="C219" i="37"/>
  <c r="F10" i="35"/>
  <c r="B10" i="35"/>
  <c r="D10" i="35"/>
  <c r="F11" i="35"/>
  <c r="B11" i="35"/>
  <c r="D11" i="35"/>
  <c r="G222" i="37"/>
  <c r="C222" i="37"/>
  <c r="F12" i="35"/>
  <c r="B12" i="35"/>
  <c r="D12" i="35"/>
  <c r="C223" i="37"/>
  <c r="F13" i="35"/>
  <c r="B13" i="35"/>
  <c r="D13" i="35"/>
  <c r="C224" i="37"/>
  <c r="F14" i="35"/>
  <c r="B14" i="35"/>
  <c r="D14" i="35"/>
  <c r="F15" i="35"/>
  <c r="B15" i="35"/>
  <c r="D15" i="35"/>
  <c r="C226" i="37"/>
  <c r="F16" i="35"/>
  <c r="B16" i="35"/>
  <c r="D16" i="35"/>
  <c r="C227" i="37"/>
  <c r="F17" i="35"/>
  <c r="B17" i="35"/>
  <c r="D17" i="35"/>
  <c r="J228" i="37"/>
  <c r="C228" i="37"/>
  <c r="F18" i="35"/>
  <c r="B18" i="35"/>
  <c r="D18" i="35"/>
  <c r="C229" i="37"/>
  <c r="F19" i="35"/>
  <c r="B19" i="35"/>
  <c r="D19" i="35"/>
  <c r="C230" i="37"/>
  <c r="F20" i="35"/>
  <c r="B20" i="35"/>
  <c r="D20" i="35"/>
  <c r="C231" i="37"/>
  <c r="F21" i="35"/>
  <c r="B21" i="35"/>
  <c r="D21" i="35"/>
  <c r="C232" i="37"/>
  <c r="F22" i="35"/>
  <c r="B22" i="35"/>
  <c r="D22" i="35"/>
  <c r="F23" i="35"/>
  <c r="B23" i="35"/>
  <c r="D23" i="35"/>
  <c r="F24" i="35"/>
  <c r="B24" i="35"/>
  <c r="D24" i="35"/>
  <c r="F25" i="35"/>
  <c r="B25" i="35"/>
  <c r="D25" i="35"/>
  <c r="F26" i="35"/>
  <c r="B26" i="35"/>
  <c r="D26" i="35"/>
  <c r="F27" i="35"/>
  <c r="B27" i="35"/>
  <c r="D27" i="35"/>
  <c r="F28" i="35"/>
  <c r="B28" i="35"/>
  <c r="D28" i="35"/>
  <c r="F29" i="35"/>
  <c r="B29" i="35"/>
  <c r="D29" i="35"/>
  <c r="F30" i="35"/>
  <c r="B30" i="35"/>
  <c r="D30" i="35"/>
  <c r="F31" i="35"/>
  <c r="B31" i="35"/>
  <c r="D31" i="35"/>
  <c r="F32" i="35"/>
  <c r="B32" i="35"/>
  <c r="D32" i="35"/>
  <c r="F33" i="35"/>
  <c r="B33" i="35"/>
  <c r="D33" i="35"/>
  <c r="F34" i="35"/>
  <c r="B34" i="35"/>
  <c r="D34" i="35"/>
  <c r="F35" i="35"/>
  <c r="B35" i="35"/>
  <c r="D35" i="35"/>
  <c r="F36" i="35"/>
  <c r="B36" i="35"/>
  <c r="D36" i="35"/>
  <c r="F37" i="35"/>
  <c r="B37" i="35"/>
  <c r="D37" i="35"/>
  <c r="F38" i="35"/>
  <c r="B38" i="35"/>
  <c r="D38" i="35"/>
  <c r="F39" i="35"/>
  <c r="B39" i="35"/>
  <c r="D39" i="35"/>
  <c r="F40" i="35"/>
  <c r="B40" i="35"/>
  <c r="D40" i="35"/>
  <c r="F41" i="35"/>
  <c r="B41" i="35"/>
  <c r="D41" i="35"/>
  <c r="F42" i="35"/>
  <c r="B42" i="35"/>
  <c r="D42" i="35"/>
  <c r="F43" i="35"/>
  <c r="B43" i="35"/>
  <c r="D43" i="35"/>
  <c r="F44" i="35"/>
  <c r="B44" i="35"/>
  <c r="D44" i="35"/>
  <c r="F45" i="35"/>
  <c r="B45" i="35"/>
  <c r="D45" i="35"/>
  <c r="F46" i="35"/>
  <c r="B46" i="35"/>
  <c r="D46" i="35"/>
  <c r="F47" i="35"/>
  <c r="B47" i="35"/>
  <c r="D47" i="35"/>
  <c r="F48" i="35"/>
  <c r="B48" i="35"/>
  <c r="D48" i="35"/>
  <c r="F49" i="35"/>
  <c r="B49" i="35"/>
  <c r="D49" i="35"/>
  <c r="F50" i="35"/>
  <c r="B50" i="35"/>
  <c r="D50" i="35"/>
  <c r="F51" i="35"/>
  <c r="B51" i="35"/>
  <c r="D51" i="35"/>
  <c r="F52" i="35"/>
  <c r="B52" i="35"/>
  <c r="D52" i="35"/>
  <c r="F53" i="35"/>
  <c r="B53" i="35"/>
  <c r="D53" i="35"/>
  <c r="F54" i="35"/>
  <c r="B54" i="35"/>
  <c r="D54" i="35"/>
  <c r="F55" i="35"/>
  <c r="B55" i="35"/>
  <c r="D55" i="35"/>
  <c r="F56" i="35"/>
  <c r="B56" i="35"/>
  <c r="D56" i="35"/>
  <c r="F57" i="35"/>
  <c r="B57" i="35"/>
  <c r="D57" i="35"/>
  <c r="F58" i="35"/>
  <c r="B58" i="35"/>
  <c r="D58" i="35"/>
  <c r="F59" i="35"/>
  <c r="B59" i="35"/>
  <c r="D59" i="35"/>
  <c r="F60" i="35"/>
  <c r="B60" i="35"/>
  <c r="D60" i="35"/>
  <c r="F61" i="35"/>
  <c r="B61" i="35"/>
  <c r="D61" i="35"/>
  <c r="F62" i="35"/>
  <c r="B62" i="35"/>
  <c r="D62" i="35"/>
  <c r="F63" i="35"/>
  <c r="B63" i="35"/>
  <c r="D63" i="35"/>
  <c r="F64" i="35"/>
  <c r="B64" i="35"/>
  <c r="D64" i="35"/>
  <c r="F65" i="35"/>
  <c r="B65" i="35"/>
  <c r="D65" i="35"/>
  <c r="F66" i="35"/>
  <c r="B66" i="35"/>
  <c r="D66" i="35"/>
  <c r="F67" i="35"/>
  <c r="B67" i="35"/>
  <c r="D67" i="35"/>
  <c r="F68" i="35"/>
  <c r="B68" i="35"/>
  <c r="D68" i="35"/>
  <c r="F69" i="35"/>
  <c r="B69" i="35"/>
  <c r="D69" i="35"/>
  <c r="F70" i="35"/>
  <c r="B70" i="35"/>
  <c r="D70" i="35"/>
  <c r="F71" i="35"/>
  <c r="B71" i="35"/>
  <c r="D71" i="35"/>
  <c r="F72" i="35"/>
  <c r="B72" i="35"/>
  <c r="D72" i="35"/>
  <c r="F73" i="35"/>
  <c r="B73" i="35"/>
  <c r="D73" i="35"/>
  <c r="F74" i="35"/>
  <c r="B74" i="35"/>
  <c r="D74" i="35"/>
  <c r="F75" i="35"/>
  <c r="B75" i="35"/>
  <c r="D75" i="35"/>
  <c r="C233" i="37"/>
  <c r="F76" i="35"/>
  <c r="B76" i="35"/>
  <c r="D76" i="35"/>
  <c r="C234" i="37"/>
  <c r="F77" i="35"/>
  <c r="B77" i="35"/>
  <c r="D77" i="35"/>
  <c r="C235" i="37"/>
  <c r="F78" i="35"/>
  <c r="B78" i="35"/>
  <c r="D78" i="35"/>
  <c r="C236" i="37"/>
  <c r="F79" i="35"/>
  <c r="B79" i="35"/>
  <c r="D79" i="35"/>
  <c r="C237" i="37"/>
  <c r="F80" i="35"/>
  <c r="B80" i="35"/>
  <c r="D80" i="35"/>
  <c r="C334" i="37"/>
  <c r="F81" i="35"/>
  <c r="B81" i="35"/>
  <c r="D81" i="35"/>
  <c r="C335" i="37"/>
  <c r="F82" i="35"/>
  <c r="B82" i="35"/>
  <c r="D82" i="35"/>
  <c r="C336" i="37"/>
  <c r="F83" i="35"/>
  <c r="B83" i="35"/>
  <c r="D83" i="35"/>
  <c r="C337" i="37"/>
  <c r="F84" i="35"/>
  <c r="B84" i="35"/>
  <c r="D84" i="35"/>
  <c r="C338" i="37"/>
  <c r="F85" i="35"/>
  <c r="B85" i="35"/>
  <c r="D85" i="35"/>
  <c r="C339" i="37"/>
  <c r="F86" i="35"/>
  <c r="B86" i="35"/>
  <c r="D86" i="35"/>
  <c r="C340" i="37"/>
  <c r="F87" i="35"/>
  <c r="B87" i="35"/>
  <c r="D87" i="35"/>
  <c r="F88" i="35"/>
  <c r="B88" i="35"/>
  <c r="D88" i="35"/>
  <c r="C342" i="37"/>
  <c r="F89" i="35"/>
  <c r="B89" i="35"/>
  <c r="D89" i="35"/>
  <c r="C343" i="37"/>
  <c r="F90" i="35"/>
  <c r="B90" i="35"/>
  <c r="D90" i="35"/>
  <c r="C344" i="37"/>
  <c r="F91" i="35"/>
  <c r="B91" i="35"/>
  <c r="D91" i="35"/>
  <c r="C345" i="37"/>
  <c r="F92" i="35"/>
  <c r="B92" i="35"/>
  <c r="D92" i="35"/>
  <c r="D93" i="35"/>
  <c r="C240" i="37"/>
  <c r="F93" i="35"/>
  <c r="D94" i="35"/>
  <c r="C241" i="37"/>
  <c r="F94" i="35"/>
  <c r="D95" i="35"/>
  <c r="C242" i="37"/>
  <c r="F95" i="35"/>
  <c r="D96" i="35"/>
  <c r="C243" i="37"/>
  <c r="F96" i="35"/>
  <c r="D97" i="35"/>
  <c r="C244" i="37"/>
  <c r="F97" i="35"/>
  <c r="D98" i="35"/>
  <c r="C245" i="37"/>
  <c r="F98" i="35"/>
  <c r="D99" i="35"/>
  <c r="C246" i="37"/>
  <c r="F99" i="35"/>
  <c r="D100" i="35"/>
  <c r="C247" i="37"/>
  <c r="F100" i="35"/>
  <c r="C248" i="37"/>
  <c r="F101" i="35"/>
  <c r="B101" i="35"/>
  <c r="D101" i="35"/>
  <c r="F102" i="35"/>
  <c r="B102" i="35"/>
  <c r="D102" i="35"/>
  <c r="C346" i="37"/>
  <c r="F103" i="35"/>
  <c r="B103" i="35"/>
  <c r="D103" i="35"/>
  <c r="I347" i="37"/>
  <c r="C347" i="37"/>
  <c r="F104" i="35"/>
  <c r="B104" i="35"/>
  <c r="D104" i="35"/>
  <c r="I348" i="37"/>
  <c r="C348" i="37"/>
  <c r="F105" i="35"/>
  <c r="B105" i="35"/>
  <c r="D105" i="35"/>
  <c r="I349" i="37"/>
  <c r="C349" i="37"/>
  <c r="F106" i="35"/>
  <c r="B106" i="35"/>
  <c r="D106" i="35"/>
  <c r="I350" i="37"/>
  <c r="C350" i="37"/>
  <c r="F107" i="35"/>
  <c r="B107" i="35"/>
  <c r="D107" i="35"/>
  <c r="F108" i="35"/>
  <c r="B108" i="35"/>
  <c r="D108" i="35"/>
  <c r="F109" i="35"/>
  <c r="B109" i="35"/>
  <c r="D109" i="35"/>
  <c r="I353" i="37"/>
  <c r="C353" i="37"/>
  <c r="F110" i="35"/>
  <c r="B110" i="35"/>
  <c r="D110" i="35"/>
  <c r="I354" i="37"/>
  <c r="C354" i="37"/>
  <c r="F111" i="35"/>
  <c r="B111" i="35"/>
  <c r="D111" i="35"/>
  <c r="F115" i="35"/>
  <c r="B115" i="35"/>
  <c r="D115" i="35"/>
  <c r="F116" i="35"/>
  <c r="B116" i="35"/>
  <c r="D116" i="35"/>
  <c r="F117" i="35"/>
  <c r="B117" i="35"/>
  <c r="D117" i="35"/>
  <c r="F118" i="35"/>
  <c r="B118" i="35"/>
  <c r="D118" i="35"/>
  <c r="F119" i="35"/>
  <c r="B119" i="35"/>
  <c r="D119" i="35"/>
  <c r="F120" i="35"/>
  <c r="B120" i="35"/>
  <c r="D120" i="35"/>
  <c r="F121" i="35"/>
  <c r="B121" i="35"/>
  <c r="D121" i="35"/>
  <c r="F122" i="35"/>
  <c r="B122" i="35"/>
  <c r="D122" i="35"/>
  <c r="F123" i="35"/>
  <c r="B123" i="35"/>
  <c r="D123" i="35"/>
  <c r="F124" i="35"/>
  <c r="B124" i="35"/>
  <c r="D124" i="35"/>
  <c r="F125" i="35"/>
  <c r="B125" i="35"/>
  <c r="D125" i="35"/>
  <c r="F126" i="35"/>
  <c r="B126" i="35"/>
  <c r="D126" i="35"/>
  <c r="F127" i="35"/>
  <c r="B127" i="35"/>
  <c r="D127" i="35"/>
  <c r="F128" i="35"/>
  <c r="B128" i="35"/>
  <c r="D128" i="35"/>
  <c r="F129" i="35"/>
  <c r="B129" i="35"/>
  <c r="D129" i="35"/>
  <c r="F130" i="35"/>
  <c r="B130" i="35"/>
  <c r="D130" i="35"/>
  <c r="F131" i="35"/>
  <c r="B131" i="35"/>
  <c r="D131" i="35"/>
  <c r="F132" i="35"/>
  <c r="B132" i="35"/>
  <c r="D132" i="35"/>
  <c r="F133" i="35"/>
  <c r="B133" i="35"/>
  <c r="D133" i="35"/>
  <c r="F134" i="35"/>
  <c r="B134" i="35"/>
  <c r="D134" i="35"/>
  <c r="F135" i="35"/>
  <c r="B135" i="35"/>
  <c r="D135" i="35"/>
  <c r="F136" i="35"/>
  <c r="B136" i="35"/>
  <c r="D136" i="35"/>
  <c r="F137" i="35"/>
  <c r="B137" i="35"/>
  <c r="D137" i="35"/>
  <c r="F138" i="35"/>
  <c r="B138" i="35"/>
  <c r="D138" i="35"/>
  <c r="F139" i="35"/>
  <c r="B139" i="35"/>
  <c r="D139" i="35"/>
  <c r="F140" i="35"/>
  <c r="B140" i="35"/>
  <c r="D140" i="35"/>
  <c r="F141" i="35"/>
  <c r="B141" i="35"/>
  <c r="D141" i="35"/>
  <c r="F142" i="35"/>
  <c r="B142" i="35"/>
  <c r="D142" i="35"/>
  <c r="F143" i="35"/>
  <c r="B143" i="35"/>
  <c r="D143" i="35"/>
  <c r="F144" i="35"/>
  <c r="B144" i="35"/>
  <c r="D144" i="35"/>
  <c r="F145" i="35"/>
  <c r="B145" i="35"/>
  <c r="D145" i="35"/>
  <c r="F146" i="35"/>
  <c r="B146" i="35"/>
  <c r="D146" i="35"/>
  <c r="F147" i="35"/>
  <c r="B147" i="35"/>
  <c r="D147" i="35"/>
  <c r="F148" i="35"/>
  <c r="B148" i="35"/>
  <c r="D148" i="35"/>
  <c r="F149" i="35"/>
  <c r="B149" i="35"/>
  <c r="D149" i="35"/>
  <c r="G200" i="37"/>
  <c r="C200" i="37"/>
  <c r="F150" i="35"/>
  <c r="B150" i="35"/>
  <c r="D150" i="35"/>
  <c r="G201" i="37"/>
  <c r="C201" i="37"/>
  <c r="F151" i="35"/>
  <c r="B151" i="35"/>
  <c r="D151" i="35"/>
  <c r="G202" i="37"/>
  <c r="C202" i="37"/>
  <c r="F152" i="35"/>
  <c r="B152" i="35"/>
  <c r="D152" i="35"/>
  <c r="G203" i="37"/>
  <c r="C203" i="37"/>
  <c r="F153" i="35"/>
  <c r="B153" i="35"/>
  <c r="D153" i="35"/>
  <c r="G204" i="37"/>
  <c r="C204" i="37"/>
  <c r="F154" i="35"/>
  <c r="B154" i="35"/>
  <c r="D154" i="35"/>
  <c r="G205" i="37"/>
  <c r="C205" i="37"/>
  <c r="F155" i="35"/>
  <c r="B155" i="35"/>
  <c r="D155" i="35"/>
  <c r="G206" i="37"/>
  <c r="C206" i="37"/>
  <c r="F156" i="35"/>
  <c r="B156" i="35"/>
  <c r="D156" i="35"/>
  <c r="G207" i="37"/>
  <c r="C207" i="37"/>
  <c r="F157" i="35"/>
  <c r="B157" i="35"/>
  <c r="D157" i="35"/>
  <c r="F158" i="35"/>
  <c r="B158" i="35"/>
  <c r="D158" i="35"/>
  <c r="F159" i="35"/>
  <c r="B159" i="35"/>
  <c r="D159" i="35"/>
  <c r="F160" i="35"/>
  <c r="B160" i="35"/>
  <c r="D160" i="35"/>
  <c r="F161" i="35"/>
  <c r="B161" i="35"/>
  <c r="D161" i="35"/>
  <c r="F162" i="35"/>
  <c r="B162" i="35"/>
  <c r="D162" i="35"/>
  <c r="F163" i="35"/>
  <c r="B163" i="35"/>
  <c r="D163" i="35"/>
  <c r="F164" i="35"/>
  <c r="B164" i="35"/>
  <c r="D164" i="35"/>
  <c r="F165" i="35"/>
  <c r="B165" i="35"/>
  <c r="D165" i="35"/>
  <c r="F166" i="35"/>
  <c r="B166" i="35"/>
  <c r="D166" i="35"/>
  <c r="F167" i="35"/>
  <c r="B167" i="35"/>
  <c r="D167" i="35"/>
  <c r="F168" i="35"/>
  <c r="B168" i="35"/>
  <c r="D168" i="35"/>
  <c r="F169" i="35"/>
  <c r="B169" i="35"/>
  <c r="D169" i="35"/>
  <c r="F170" i="35"/>
  <c r="B170" i="35"/>
  <c r="D170" i="35"/>
  <c r="G209" i="37"/>
  <c r="C209" i="37"/>
  <c r="F171" i="35"/>
  <c r="B171" i="35"/>
  <c r="D171" i="35"/>
  <c r="G210" i="37"/>
  <c r="C210" i="37"/>
  <c r="F172" i="35"/>
  <c r="B172" i="35"/>
  <c r="D172" i="35"/>
  <c r="G211" i="37"/>
  <c r="C211" i="37"/>
  <c r="F173" i="35"/>
  <c r="B173" i="35"/>
  <c r="D173" i="35"/>
  <c r="G212" i="37"/>
  <c r="C212" i="37"/>
  <c r="F174" i="35"/>
  <c r="B174" i="35"/>
  <c r="D174" i="35"/>
  <c r="G213" i="37"/>
  <c r="C213" i="37"/>
  <c r="F175" i="35"/>
  <c r="B175" i="35"/>
  <c r="D175" i="35"/>
  <c r="G214" i="37"/>
  <c r="C214" i="37"/>
  <c r="F176" i="35"/>
  <c r="B176" i="35"/>
  <c r="D176" i="35"/>
  <c r="G215" i="37"/>
  <c r="C215" i="37"/>
  <c r="F177" i="35"/>
  <c r="B177" i="35"/>
  <c r="D177" i="35"/>
  <c r="G377" i="37"/>
  <c r="C377" i="37"/>
  <c r="F178" i="35"/>
  <c r="B178" i="35"/>
  <c r="D178" i="35"/>
  <c r="G378" i="37"/>
  <c r="C378" i="37"/>
  <c r="F179" i="35"/>
  <c r="B179" i="35"/>
  <c r="D179" i="35"/>
  <c r="G379" i="37"/>
  <c r="C379" i="37"/>
  <c r="F180" i="35"/>
  <c r="B180" i="35"/>
  <c r="D180" i="35"/>
  <c r="F181" i="35"/>
  <c r="B181" i="35"/>
  <c r="D181" i="35"/>
  <c r="G381" i="37"/>
  <c r="C381" i="37"/>
  <c r="F182" i="35"/>
  <c r="B182" i="35"/>
  <c r="D182" i="35"/>
  <c r="G382" i="37"/>
  <c r="C382" i="37"/>
  <c r="F183" i="35"/>
  <c r="B183" i="35"/>
  <c r="D183" i="35"/>
  <c r="G383" i="37"/>
  <c r="C383" i="37"/>
  <c r="F184" i="35"/>
  <c r="B184" i="35"/>
  <c r="D184" i="35"/>
  <c r="G384" i="37"/>
  <c r="C384" i="37"/>
  <c r="F185" i="35"/>
  <c r="B185" i="35"/>
  <c r="D185" i="35"/>
  <c r="G385" i="37"/>
  <c r="C385" i="37"/>
  <c r="F186" i="35"/>
  <c r="B186" i="35"/>
  <c r="D186" i="35"/>
  <c r="F187" i="35"/>
  <c r="B187" i="35"/>
  <c r="D187" i="35"/>
  <c r="G387" i="37"/>
  <c r="C387" i="37"/>
  <c r="F188" i="35"/>
  <c r="B188" i="35"/>
  <c r="D188" i="35"/>
  <c r="G388" i="37"/>
  <c r="C388" i="37"/>
  <c r="F189" i="35"/>
  <c r="B189" i="35"/>
  <c r="D189" i="35"/>
  <c r="G389" i="37"/>
  <c r="C389" i="37"/>
  <c r="F190" i="35"/>
  <c r="B190" i="35"/>
  <c r="D190" i="35"/>
  <c r="G390" i="37"/>
  <c r="C390" i="37"/>
  <c r="F191" i="35"/>
  <c r="B191" i="35"/>
  <c r="D191" i="35"/>
  <c r="G391" i="37"/>
  <c r="C391" i="37"/>
  <c r="F192" i="35"/>
  <c r="B192" i="35"/>
  <c r="D192" i="35"/>
  <c r="G392" i="37"/>
  <c r="C392" i="37"/>
  <c r="F193" i="35"/>
  <c r="B193" i="35"/>
  <c r="D193" i="35"/>
  <c r="G393" i="37"/>
  <c r="C393" i="37"/>
  <c r="F194" i="35"/>
  <c r="B194" i="35"/>
  <c r="D194" i="35"/>
  <c r="G394" i="37"/>
  <c r="C394" i="37"/>
  <c r="F195" i="35"/>
  <c r="B195" i="35"/>
  <c r="D195" i="35"/>
  <c r="G395" i="37"/>
  <c r="C395" i="37"/>
  <c r="F196" i="35"/>
  <c r="B196" i="35"/>
  <c r="D196" i="35"/>
  <c r="F197" i="35"/>
  <c r="B197" i="35"/>
  <c r="D197" i="35"/>
  <c r="F198" i="35"/>
  <c r="B198" i="35"/>
  <c r="D198" i="35"/>
  <c r="F199" i="35"/>
  <c r="B199" i="35"/>
  <c r="D199" i="35"/>
  <c r="F200" i="35"/>
  <c r="B200" i="35"/>
  <c r="D200" i="35"/>
  <c r="F201" i="35"/>
  <c r="B201" i="35"/>
  <c r="D201" i="35"/>
  <c r="F202" i="35"/>
  <c r="B202" i="35"/>
  <c r="D202" i="35"/>
  <c r="F203" i="35"/>
  <c r="B203" i="35"/>
  <c r="D203" i="35"/>
  <c r="F204" i="35"/>
  <c r="B204" i="35"/>
  <c r="D204" i="35"/>
  <c r="F205" i="35"/>
  <c r="B205" i="35"/>
  <c r="D205" i="35"/>
  <c r="F206" i="35"/>
  <c r="B206" i="35"/>
  <c r="D206" i="35"/>
  <c r="F207" i="35"/>
  <c r="B207" i="35"/>
  <c r="D207" i="35"/>
  <c r="F208" i="35"/>
  <c r="B208" i="35"/>
  <c r="D208" i="35"/>
  <c r="F209" i="35"/>
  <c r="B209" i="35"/>
  <c r="D209" i="35"/>
  <c r="F210" i="35"/>
  <c r="B210" i="35"/>
  <c r="D210" i="35"/>
  <c r="F211" i="35"/>
  <c r="B211" i="35"/>
  <c r="D211" i="35"/>
  <c r="F212" i="35"/>
  <c r="B212" i="35"/>
  <c r="D212" i="35"/>
  <c r="F213" i="35"/>
  <c r="B213" i="35"/>
  <c r="D213" i="35"/>
  <c r="F214" i="35"/>
  <c r="B214" i="35"/>
  <c r="D214" i="35"/>
  <c r="F215" i="35"/>
  <c r="B215" i="35"/>
  <c r="D215" i="35"/>
  <c r="F216" i="35"/>
  <c r="B216" i="35"/>
  <c r="D216" i="35"/>
  <c r="F217" i="35"/>
  <c r="B217" i="35"/>
  <c r="D217" i="35"/>
  <c r="F218" i="35"/>
  <c r="B218" i="35"/>
  <c r="D218" i="35"/>
  <c r="B219" i="35"/>
  <c r="D219" i="35"/>
  <c r="G474" i="37"/>
  <c r="C474" i="37"/>
  <c r="G475" i="37"/>
  <c r="C475" i="37"/>
  <c r="G478" i="37"/>
  <c r="C478" i="37"/>
  <c r="D224" i="35"/>
  <c r="D225" i="35"/>
  <c r="D226" i="35"/>
  <c r="B227" i="35"/>
  <c r="D227" i="35"/>
  <c r="G505" i="37"/>
  <c r="C505" i="37"/>
  <c r="F228" i="35"/>
  <c r="B228" i="35"/>
  <c r="D228" i="35"/>
  <c r="G510" i="37"/>
  <c r="C510" i="37"/>
  <c r="F229" i="35"/>
  <c r="B229" i="35"/>
  <c r="D229" i="35"/>
  <c r="F230" i="35"/>
  <c r="B230" i="35"/>
  <c r="D230" i="35"/>
  <c r="G516" i="37"/>
  <c r="C516" i="37"/>
  <c r="F231" i="35"/>
  <c r="B231" i="35"/>
  <c r="D231" i="35"/>
  <c r="G521" i="37"/>
  <c r="C521" i="37"/>
  <c r="F232" i="35"/>
  <c r="B232" i="35"/>
  <c r="D232" i="35"/>
  <c r="G526" i="37"/>
  <c r="C526" i="37"/>
  <c r="F233" i="35"/>
  <c r="B233" i="35"/>
  <c r="D233" i="35"/>
  <c r="G531" i="37"/>
  <c r="C531" i="37"/>
  <c r="F234" i="35"/>
  <c r="B234" i="35"/>
  <c r="D234" i="35"/>
  <c r="G536" i="37"/>
  <c r="C536" i="37"/>
  <c r="F235" i="35"/>
  <c r="B235" i="35"/>
  <c r="D235" i="35"/>
  <c r="G541" i="37"/>
  <c r="C541" i="37"/>
  <c r="F236" i="35"/>
  <c r="B236" i="35"/>
  <c r="D236" i="35"/>
  <c r="G546" i="37"/>
  <c r="C546" i="37"/>
  <c r="F237" i="35"/>
  <c r="B237" i="35"/>
  <c r="D237" i="35"/>
  <c r="G549" i="37"/>
  <c r="C549" i="37"/>
  <c r="F238" i="35"/>
  <c r="B238" i="35"/>
  <c r="D238" i="35"/>
  <c r="G551" i="37"/>
  <c r="C551" i="37"/>
  <c r="F239" i="35"/>
  <c r="B239" i="35"/>
  <c r="D239" i="35"/>
  <c r="G556" i="37"/>
  <c r="C556" i="37"/>
  <c r="F240" i="35"/>
  <c r="B240" i="35"/>
  <c r="D240" i="35"/>
  <c r="G561" i="37"/>
  <c r="C561" i="37"/>
  <c r="F241" i="35"/>
  <c r="B241" i="35"/>
  <c r="D241" i="35"/>
  <c r="G566" i="37"/>
  <c r="C566" i="37"/>
  <c r="F242" i="35"/>
  <c r="B242" i="35"/>
  <c r="D242" i="35"/>
  <c r="D243" i="35"/>
  <c r="G576" i="37"/>
  <c r="C576" i="37"/>
  <c r="F244" i="35"/>
  <c r="B244" i="35"/>
  <c r="D244" i="35"/>
  <c r="G581" i="37"/>
  <c r="C581" i="37"/>
  <c r="F245" i="35"/>
  <c r="B245" i="35"/>
  <c r="D245" i="35"/>
  <c r="G586" i="37"/>
  <c r="C586" i="37"/>
  <c r="F246" i="35"/>
  <c r="B246" i="35"/>
  <c r="D246" i="35"/>
  <c r="F248" i="35"/>
  <c r="B248" i="35"/>
  <c r="D248" i="35"/>
  <c r="F249" i="35"/>
  <c r="B249" i="35"/>
  <c r="D249" i="35"/>
  <c r="J64" i="37"/>
  <c r="C64" i="37"/>
  <c r="F250" i="35"/>
  <c r="B250" i="35"/>
  <c r="D250" i="35"/>
  <c r="J65" i="37"/>
  <c r="C65" i="37"/>
  <c r="F251" i="35"/>
  <c r="B251" i="35"/>
  <c r="D251" i="35"/>
  <c r="J66" i="37"/>
  <c r="C66" i="37"/>
  <c r="F252" i="35"/>
  <c r="B252" i="35"/>
  <c r="D252" i="35"/>
  <c r="J67" i="37"/>
  <c r="C67" i="37"/>
  <c r="F253" i="35"/>
  <c r="B253" i="35"/>
  <c r="D253" i="35"/>
  <c r="J68" i="37"/>
  <c r="C68" i="37"/>
  <c r="F254" i="35"/>
  <c r="B254" i="35"/>
  <c r="D254" i="35"/>
  <c r="G375" i="37"/>
  <c r="C375" i="37"/>
  <c r="F255" i="35"/>
  <c r="B255" i="35"/>
  <c r="D255" i="35"/>
  <c r="G376" i="37"/>
  <c r="C376" i="37"/>
  <c r="F256" i="35"/>
  <c r="B256" i="35"/>
  <c r="D256" i="35"/>
  <c r="F257" i="35"/>
  <c r="B257" i="35"/>
  <c r="D257" i="35"/>
  <c r="F258" i="35"/>
  <c r="B258" i="35"/>
  <c r="D258" i="35"/>
  <c r="F259" i="35"/>
  <c r="B259" i="35"/>
  <c r="D259" i="35"/>
  <c r="F260" i="35"/>
  <c r="B260" i="35"/>
  <c r="D260" i="35"/>
  <c r="F261" i="35"/>
  <c r="B261" i="35"/>
  <c r="D261" i="35"/>
  <c r="F262" i="35"/>
  <c r="B262" i="35"/>
  <c r="D262" i="35"/>
  <c r="F263" i="35"/>
  <c r="B263" i="35"/>
  <c r="D263" i="35"/>
  <c r="F264" i="35"/>
  <c r="B264" i="35"/>
  <c r="D264" i="35"/>
  <c r="F265" i="35"/>
  <c r="B265" i="35"/>
  <c r="D265" i="35"/>
  <c r="F266" i="35"/>
  <c r="B266" i="35"/>
  <c r="D266" i="35"/>
  <c r="C238" i="37"/>
  <c r="F267" i="35"/>
  <c r="B267" i="35"/>
  <c r="D267" i="35"/>
  <c r="C239" i="37"/>
  <c r="F268" i="35"/>
  <c r="B268" i="35"/>
  <c r="D268" i="35"/>
  <c r="J80" i="37"/>
  <c r="C80" i="37"/>
  <c r="F269" i="35"/>
  <c r="B269" i="35"/>
  <c r="D269" i="35"/>
  <c r="J81" i="37"/>
  <c r="C81" i="37"/>
  <c r="F270" i="35"/>
  <c r="B270" i="35"/>
  <c r="D270" i="35"/>
  <c r="J82" i="37"/>
  <c r="C82" i="37"/>
  <c r="F271" i="35"/>
  <c r="B271" i="35"/>
  <c r="D271" i="35"/>
  <c r="J83" i="37"/>
  <c r="C83" i="37"/>
  <c r="F272" i="35"/>
  <c r="B272" i="35"/>
  <c r="D272" i="35"/>
  <c r="J84" i="37"/>
  <c r="C84" i="37"/>
  <c r="F273" i="35"/>
  <c r="B273" i="35"/>
  <c r="B274" i="35"/>
  <c r="D274" i="35"/>
  <c r="B275" i="35"/>
  <c r="C275" i="35"/>
  <c r="D275" i="35"/>
  <c r="B276" i="35"/>
  <c r="C276" i="35"/>
  <c r="D276" i="35"/>
  <c r="F277" i="35"/>
  <c r="B277" i="35"/>
  <c r="C277" i="35"/>
  <c r="D277" i="35"/>
  <c r="F278" i="35"/>
  <c r="B278" i="35"/>
  <c r="D278" i="35"/>
  <c r="J86" i="37"/>
  <c r="C86" i="37"/>
  <c r="F279" i="35"/>
  <c r="B279" i="35"/>
  <c r="D279" i="35"/>
  <c r="J87" i="37"/>
  <c r="C87" i="37"/>
  <c r="F280" i="35"/>
  <c r="B280" i="35"/>
  <c r="D280" i="35"/>
  <c r="J88" i="37"/>
  <c r="C88" i="37"/>
  <c r="F281" i="35"/>
  <c r="B281" i="35"/>
  <c r="D281" i="35"/>
  <c r="J89" i="37"/>
  <c r="C89" i="37"/>
  <c r="F282" i="35"/>
  <c r="B282" i="35"/>
  <c r="D282" i="35"/>
  <c r="J90" i="37"/>
  <c r="C90" i="37"/>
  <c r="F283" i="35"/>
  <c r="B283" i="35"/>
  <c r="D283" i="35"/>
  <c r="J91" i="37"/>
  <c r="C91" i="37"/>
  <c r="F284" i="35"/>
  <c r="B284" i="35"/>
  <c r="D284" i="35"/>
  <c r="F285" i="35"/>
  <c r="B285" i="35"/>
  <c r="D285" i="35"/>
  <c r="F286" i="35"/>
  <c r="B286" i="35"/>
  <c r="D286" i="35"/>
  <c r="F287" i="35"/>
  <c r="B287" i="35"/>
  <c r="D287" i="35"/>
  <c r="F288" i="35"/>
  <c r="B288" i="35"/>
  <c r="D288" i="35"/>
  <c r="F289" i="35"/>
  <c r="B289" i="35"/>
  <c r="D289" i="35"/>
  <c r="F290" i="35"/>
  <c r="B290" i="35"/>
  <c r="D290" i="35"/>
  <c r="B344" i="35"/>
  <c r="B345" i="35"/>
  <c r="C345" i="35"/>
  <c r="D345" i="35"/>
  <c r="B346" i="35"/>
  <c r="C346" i="35"/>
  <c r="D346" i="35"/>
  <c r="B347" i="35"/>
  <c r="C347" i="35"/>
  <c r="D347" i="35"/>
  <c r="B348" i="35"/>
  <c r="C348" i="35"/>
  <c r="D348" i="35"/>
  <c r="B349" i="35"/>
  <c r="C349" i="35"/>
  <c r="D349" i="35"/>
  <c r="B350" i="35"/>
  <c r="C350" i="35"/>
  <c r="D350" i="35"/>
  <c r="B351" i="35"/>
  <c r="C351" i="35"/>
  <c r="D351" i="35"/>
  <c r="B352" i="35"/>
  <c r="C352" i="35"/>
  <c r="D352" i="35"/>
  <c r="C249" i="37"/>
  <c r="F353" i="35"/>
  <c r="B353" i="35"/>
  <c r="D353" i="35"/>
  <c r="C250" i="37"/>
  <c r="F354" i="35"/>
  <c r="B354" i="35"/>
  <c r="D354" i="35"/>
  <c r="C251" i="37"/>
  <c r="F355" i="35"/>
  <c r="B355" i="35"/>
  <c r="D355" i="35"/>
  <c r="C252" i="37"/>
  <c r="F356" i="35"/>
  <c r="B356" i="35"/>
  <c r="D356" i="35"/>
  <c r="D3" i="35"/>
  <c r="M717" i="37"/>
  <c r="N717" i="37"/>
  <c r="D718" i="37"/>
  <c r="H718" i="37"/>
  <c r="J718" i="37"/>
  <c r="M718" i="37"/>
  <c r="N718" i="37"/>
  <c r="D719" i="37"/>
  <c r="H719" i="37"/>
  <c r="J719" i="37"/>
  <c r="M719" i="37"/>
  <c r="N719" i="37"/>
  <c r="D720" i="37"/>
  <c r="H720" i="37"/>
  <c r="J720" i="37"/>
  <c r="M720" i="37"/>
  <c r="N720" i="37"/>
  <c r="D721" i="37"/>
  <c r="H721" i="37"/>
  <c r="J721" i="37"/>
  <c r="M721" i="37"/>
  <c r="N721" i="37"/>
  <c r="D716" i="37"/>
  <c r="H716" i="37"/>
  <c r="J716" i="37"/>
  <c r="M716" i="37"/>
  <c r="N716" i="37"/>
  <c r="D715" i="37"/>
  <c r="I352" i="35"/>
  <c r="J352" i="35"/>
  <c r="H352" i="35"/>
  <c r="H715" i="37"/>
  <c r="J715" i="37"/>
  <c r="M715" i="37"/>
  <c r="N715" i="37"/>
  <c r="G664" i="37"/>
  <c r="C664" i="37"/>
  <c r="C19" i="50"/>
  <c r="I170" i="24"/>
  <c r="I168" i="24"/>
  <c r="D168" i="24"/>
  <c r="D167" i="24"/>
  <c r="I167" i="24"/>
  <c r="E22" i="50"/>
  <c r="F118" i="50"/>
  <c r="G118" i="50"/>
  <c r="H118" i="50"/>
  <c r="G667" i="37"/>
  <c r="C667" i="37"/>
  <c r="F119" i="50"/>
  <c r="G119" i="50"/>
  <c r="H119" i="50"/>
  <c r="F120" i="50"/>
  <c r="G120" i="50"/>
  <c r="H120" i="50"/>
  <c r="F121" i="50"/>
  <c r="G121" i="50"/>
  <c r="H121" i="50"/>
  <c r="F122" i="50"/>
  <c r="G122" i="50"/>
  <c r="H122" i="50"/>
  <c r="F123" i="50"/>
  <c r="G123" i="50"/>
  <c r="H123" i="50"/>
  <c r="F124" i="50"/>
  <c r="G124" i="50"/>
  <c r="H124" i="50"/>
  <c r="D123" i="24"/>
  <c r="G123" i="24"/>
  <c r="E38" i="50"/>
  <c r="J58" i="37"/>
  <c r="J57" i="37"/>
  <c r="H58" i="37"/>
  <c r="D58" i="37"/>
  <c r="J97" i="37"/>
  <c r="H97" i="37"/>
  <c r="I287" i="35"/>
  <c r="J287" i="35"/>
  <c r="H287" i="35"/>
  <c r="D97" i="37"/>
  <c r="L290" i="35"/>
  <c r="K290" i="35"/>
  <c r="D57" i="37"/>
  <c r="H57" i="37"/>
  <c r="E45" i="26"/>
  <c r="H308" i="37"/>
  <c r="G308" i="37"/>
  <c r="I74" i="35"/>
  <c r="J74" i="35"/>
  <c r="H74" i="35"/>
  <c r="I108" i="35"/>
  <c r="K108" i="35"/>
  <c r="L108" i="35"/>
  <c r="H108" i="35"/>
  <c r="I109" i="35"/>
  <c r="K109" i="35"/>
  <c r="L109" i="35"/>
  <c r="H109" i="35"/>
  <c r="I70" i="35"/>
  <c r="J70" i="35"/>
  <c r="H70" i="35"/>
  <c r="D308" i="37"/>
  <c r="G77" i="26"/>
  <c r="E77" i="26"/>
  <c r="I157" i="35"/>
  <c r="J157" i="35"/>
  <c r="H157" i="35"/>
  <c r="J109" i="35"/>
  <c r="J108" i="35"/>
  <c r="I289" i="35"/>
  <c r="J289" i="35"/>
  <c r="H289" i="35"/>
  <c r="J354" i="37"/>
  <c r="H354" i="37"/>
  <c r="D354" i="37"/>
  <c r="J353" i="37"/>
  <c r="H353" i="37"/>
  <c r="I110" i="35"/>
  <c r="J110" i="35"/>
  <c r="H110" i="35"/>
  <c r="D353" i="37"/>
  <c r="L111" i="35"/>
  <c r="K111" i="35"/>
  <c r="L110" i="35"/>
  <c r="K110" i="35"/>
  <c r="I351" i="37"/>
  <c r="C351" i="37"/>
  <c r="I352" i="37"/>
  <c r="C352" i="37"/>
  <c r="I106" i="35"/>
  <c r="J106" i="35"/>
  <c r="H106" i="35"/>
  <c r="H351" i="37"/>
  <c r="J351" i="37"/>
  <c r="I107" i="35"/>
  <c r="J107" i="35"/>
  <c r="H107" i="35"/>
  <c r="J352" i="37"/>
  <c r="H352" i="37"/>
  <c r="I288" i="35"/>
  <c r="J288" i="35"/>
  <c r="H288" i="35"/>
  <c r="H96" i="37"/>
  <c r="J96" i="37"/>
  <c r="K289" i="35"/>
  <c r="L289" i="35"/>
  <c r="K107" i="35"/>
  <c r="L107" i="35"/>
  <c r="J349" i="37"/>
  <c r="H349" i="37"/>
  <c r="D349" i="37"/>
  <c r="J350" i="37"/>
  <c r="H350" i="37"/>
  <c r="D350" i="37"/>
  <c r="I105" i="35"/>
  <c r="J105" i="35"/>
  <c r="H105" i="35"/>
  <c r="D348" i="37"/>
  <c r="H348" i="37"/>
  <c r="J348" i="37"/>
  <c r="K106" i="35"/>
  <c r="L106" i="35"/>
  <c r="L288" i="35"/>
  <c r="K288" i="35"/>
  <c r="J95" i="37"/>
  <c r="H95" i="37"/>
  <c r="J56" i="37"/>
  <c r="G47" i="24"/>
  <c r="I47" i="24"/>
  <c r="H56" i="37"/>
  <c r="H43" i="37"/>
  <c r="G43" i="37"/>
  <c r="J43" i="37"/>
  <c r="I169" i="35"/>
  <c r="J169" i="35"/>
  <c r="H169" i="35"/>
  <c r="D55" i="51"/>
  <c r="E50" i="51"/>
  <c r="E61" i="51"/>
  <c r="E48" i="51"/>
  <c r="E86" i="50"/>
  <c r="H637" i="37"/>
  <c r="J637" i="37"/>
  <c r="G636" i="37"/>
  <c r="C636" i="37"/>
  <c r="F87" i="50"/>
  <c r="G87" i="50"/>
  <c r="H87" i="50"/>
  <c r="G638" i="37"/>
  <c r="C638" i="37"/>
  <c r="C88" i="50"/>
  <c r="E88" i="50"/>
  <c r="F88" i="50"/>
  <c r="G88" i="50"/>
  <c r="H88" i="50"/>
  <c r="E83" i="50"/>
  <c r="H634" i="37"/>
  <c r="J634" i="37"/>
  <c r="G633" i="37"/>
  <c r="C633" i="37"/>
  <c r="F84" i="50"/>
  <c r="G84" i="50"/>
  <c r="H84" i="50"/>
  <c r="E78" i="50"/>
  <c r="H629" i="37"/>
  <c r="J629" i="37"/>
  <c r="G628" i="37"/>
  <c r="C628" i="37"/>
  <c r="F79" i="50"/>
  <c r="G79" i="50"/>
  <c r="H79" i="50"/>
  <c r="H623" i="37"/>
  <c r="J623" i="37"/>
  <c r="F73" i="50"/>
  <c r="G73" i="50"/>
  <c r="H73" i="50"/>
  <c r="E71" i="50"/>
  <c r="H622" i="37"/>
  <c r="J622" i="37"/>
  <c r="G621" i="37"/>
  <c r="C621" i="37"/>
  <c r="F72" i="50"/>
  <c r="G72" i="50"/>
  <c r="H72" i="50"/>
  <c r="H617" i="37"/>
  <c r="J617" i="37"/>
  <c r="F67" i="50"/>
  <c r="G67" i="50"/>
  <c r="H67" i="50"/>
  <c r="F66" i="50"/>
  <c r="G66" i="50"/>
  <c r="H66" i="50"/>
  <c r="H616" i="37"/>
  <c r="J616" i="37"/>
  <c r="A246" i="52"/>
  <c r="C22" i="50"/>
  <c r="E246" i="52"/>
  <c r="F246" i="52"/>
  <c r="A247" i="52"/>
  <c r="G668" i="37"/>
  <c r="C668" i="37"/>
  <c r="C23" i="50"/>
  <c r="E247" i="52"/>
  <c r="G116" i="24"/>
  <c r="E23" i="50"/>
  <c r="F247" i="52"/>
  <c r="A248" i="52"/>
  <c r="G677" i="37"/>
  <c r="C677" i="37"/>
  <c r="C32" i="50"/>
  <c r="E248" i="52"/>
  <c r="G117" i="24"/>
  <c r="E32" i="50"/>
  <c r="F248" i="52"/>
  <c r="A249" i="52"/>
  <c r="E249" i="52"/>
  <c r="F249" i="52"/>
  <c r="A250" i="52"/>
  <c r="E250" i="52"/>
  <c r="F250" i="52"/>
  <c r="A251" i="52"/>
  <c r="E251" i="52"/>
  <c r="F251" i="52"/>
  <c r="A252" i="52"/>
  <c r="E252" i="52"/>
  <c r="F252" i="52"/>
  <c r="A253" i="52"/>
  <c r="E253" i="52"/>
  <c r="F253" i="52"/>
  <c r="A254" i="52"/>
  <c r="E254" i="52"/>
  <c r="F254" i="52"/>
  <c r="A255" i="52"/>
  <c r="C71" i="50"/>
  <c r="E255" i="52"/>
  <c r="F255" i="52"/>
  <c r="A256" i="52"/>
  <c r="C78" i="50"/>
  <c r="E256" i="52"/>
  <c r="F256" i="52"/>
  <c r="A257" i="52"/>
  <c r="C83" i="50"/>
  <c r="E257" i="52"/>
  <c r="F257" i="52"/>
  <c r="A258" i="52"/>
  <c r="C86" i="50"/>
  <c r="E258" i="52"/>
  <c r="F258" i="52"/>
  <c r="A259" i="52"/>
  <c r="G624" i="37"/>
  <c r="C624" i="37"/>
  <c r="C74" i="50"/>
  <c r="E259" i="52"/>
  <c r="E74" i="50"/>
  <c r="F259" i="52"/>
  <c r="A260" i="52"/>
  <c r="G642" i="37"/>
  <c r="C642" i="37"/>
  <c r="C92" i="50"/>
  <c r="E260" i="52"/>
  <c r="E92" i="50"/>
  <c r="F260" i="52"/>
  <c r="A261" i="52"/>
  <c r="G647" i="37"/>
  <c r="C647" i="37"/>
  <c r="C97" i="50"/>
  <c r="E261" i="52"/>
  <c r="E97" i="50"/>
  <c r="F261" i="52"/>
  <c r="G651" i="37"/>
  <c r="C651" i="37"/>
  <c r="C101" i="50"/>
  <c r="E101" i="50"/>
  <c r="G656" i="37"/>
  <c r="C656" i="37"/>
  <c r="C106" i="50"/>
  <c r="E106" i="50"/>
  <c r="G660" i="37"/>
  <c r="C660" i="37"/>
  <c r="C110" i="50"/>
  <c r="E110" i="50"/>
  <c r="G662" i="37"/>
  <c r="C662" i="37"/>
  <c r="C112" i="50"/>
  <c r="E112" i="50"/>
  <c r="G663" i="37"/>
  <c r="C663" i="37"/>
  <c r="C113" i="50"/>
  <c r="E113" i="50"/>
  <c r="H678" i="37"/>
  <c r="J678" i="37"/>
  <c r="F33" i="50"/>
  <c r="G33" i="50"/>
  <c r="H33" i="50"/>
  <c r="H670" i="37"/>
  <c r="J670" i="37"/>
  <c r="F25" i="50"/>
  <c r="G25" i="50"/>
  <c r="H25" i="50"/>
  <c r="H669" i="37"/>
  <c r="J669" i="37"/>
  <c r="F24" i="50"/>
  <c r="G24" i="50"/>
  <c r="H24" i="50"/>
  <c r="I104" i="35"/>
  <c r="J104" i="35"/>
  <c r="H104" i="35"/>
  <c r="K105" i="35"/>
  <c r="L105" i="35"/>
  <c r="D347" i="37"/>
  <c r="H347" i="37"/>
  <c r="J347" i="37"/>
  <c r="K104" i="35"/>
  <c r="L104" i="35"/>
  <c r="K287" i="35"/>
  <c r="L287" i="35"/>
  <c r="I286" i="35"/>
  <c r="J286" i="35"/>
  <c r="H286" i="35"/>
  <c r="H94" i="37"/>
  <c r="J94" i="37"/>
  <c r="K103" i="35"/>
  <c r="L103" i="35"/>
  <c r="I93" i="35"/>
  <c r="J93" i="35"/>
  <c r="H93" i="35"/>
  <c r="D346" i="37"/>
  <c r="H346" i="37"/>
  <c r="J346" i="37"/>
  <c r="I102" i="35"/>
  <c r="J102" i="35"/>
  <c r="H102" i="35"/>
  <c r="K102" i="35"/>
  <c r="L102" i="35"/>
  <c r="I100" i="35"/>
  <c r="J100" i="35"/>
  <c r="H100" i="35"/>
  <c r="I101" i="35"/>
  <c r="J101" i="35"/>
  <c r="H101" i="35"/>
  <c r="D248" i="37"/>
  <c r="H248" i="37"/>
  <c r="J248" i="37"/>
  <c r="K101" i="35"/>
  <c r="L101" i="35"/>
  <c r="J93" i="37"/>
  <c r="H93" i="37"/>
  <c r="I284" i="35"/>
  <c r="K284" i="35"/>
  <c r="L284" i="35"/>
  <c r="H284" i="35"/>
  <c r="K286" i="35"/>
  <c r="L286" i="35"/>
  <c r="J243" i="37"/>
  <c r="I99" i="35"/>
  <c r="J99" i="35"/>
  <c r="H99" i="35"/>
  <c r="D247" i="37"/>
  <c r="H247" i="37"/>
  <c r="J247" i="37"/>
  <c r="K100" i="35"/>
  <c r="L100" i="35"/>
  <c r="D246" i="37"/>
  <c r="H246" i="37"/>
  <c r="J246" i="37"/>
  <c r="K99" i="35"/>
  <c r="L99" i="35"/>
  <c r="I96" i="35"/>
  <c r="J96" i="35"/>
  <c r="K96" i="35"/>
  <c r="L96" i="35"/>
  <c r="H96" i="35"/>
  <c r="D243" i="37"/>
  <c r="H243" i="37"/>
  <c r="I97" i="35"/>
  <c r="J97" i="35"/>
  <c r="H97" i="35"/>
  <c r="D244" i="37"/>
  <c r="H244" i="37"/>
  <c r="J244" i="37"/>
  <c r="I98" i="35"/>
  <c r="J98" i="35"/>
  <c r="H98" i="35"/>
  <c r="D245" i="37"/>
  <c r="H245" i="37"/>
  <c r="J245" i="37"/>
  <c r="K98" i="35"/>
  <c r="L98" i="35"/>
  <c r="K97" i="35"/>
  <c r="L97" i="35"/>
  <c r="J92" i="37"/>
  <c r="J285" i="35"/>
  <c r="H92" i="37"/>
  <c r="I75" i="35"/>
  <c r="J75" i="35"/>
  <c r="H75" i="35"/>
  <c r="D240" i="37"/>
  <c r="H240" i="37"/>
  <c r="J240" i="37"/>
  <c r="I81" i="35"/>
  <c r="J81" i="35"/>
  <c r="H81" i="35"/>
  <c r="I94" i="35"/>
  <c r="J94" i="35"/>
  <c r="H94" i="35"/>
  <c r="D241" i="37"/>
  <c r="H241" i="37"/>
  <c r="J241" i="37"/>
  <c r="I82" i="35"/>
  <c r="J82" i="35"/>
  <c r="H82" i="35"/>
  <c r="D242" i="37"/>
  <c r="H242" i="37"/>
  <c r="J242" i="37"/>
  <c r="K93" i="35"/>
  <c r="L93" i="35"/>
  <c r="K94" i="35"/>
  <c r="L94" i="35"/>
  <c r="K95" i="35"/>
  <c r="L95" i="35"/>
  <c r="I58" i="35"/>
  <c r="J58" i="35"/>
  <c r="H58" i="35"/>
  <c r="K58" i="35"/>
  <c r="L58" i="35"/>
  <c r="I59" i="35"/>
  <c r="J59" i="35"/>
  <c r="H59" i="35"/>
  <c r="K59" i="35"/>
  <c r="L59" i="35"/>
  <c r="I60" i="35"/>
  <c r="J60" i="35"/>
  <c r="H60" i="35"/>
  <c r="K60" i="35"/>
  <c r="L60" i="35"/>
  <c r="I61" i="35"/>
  <c r="J61" i="35"/>
  <c r="H61" i="35"/>
  <c r="K61" i="35"/>
  <c r="L61" i="35"/>
  <c r="I62" i="35"/>
  <c r="J62" i="35"/>
  <c r="H62" i="35"/>
  <c r="K62" i="35"/>
  <c r="L62" i="35"/>
  <c r="I63" i="35"/>
  <c r="J63" i="35"/>
  <c r="H63" i="35"/>
  <c r="K63" i="35"/>
  <c r="L63" i="35"/>
  <c r="I64" i="35"/>
  <c r="J64" i="35"/>
  <c r="H64" i="35"/>
  <c r="K64" i="35"/>
  <c r="L64" i="35"/>
  <c r="I65" i="35"/>
  <c r="J65" i="35"/>
  <c r="H65" i="35"/>
  <c r="K65" i="35"/>
  <c r="L65" i="35"/>
  <c r="I66" i="35"/>
  <c r="J66" i="35"/>
  <c r="H66" i="35"/>
  <c r="K66" i="35"/>
  <c r="L66" i="35"/>
  <c r="I67" i="35"/>
  <c r="J67" i="35"/>
  <c r="H67" i="35"/>
  <c r="K67" i="35"/>
  <c r="L67" i="35"/>
  <c r="I68" i="35"/>
  <c r="J68" i="35"/>
  <c r="H68" i="35"/>
  <c r="K68" i="35"/>
  <c r="L68" i="35"/>
  <c r="I69" i="35"/>
  <c r="J69" i="35"/>
  <c r="H69" i="35"/>
  <c r="K69" i="35"/>
  <c r="L69" i="35"/>
  <c r="K70" i="35"/>
  <c r="L70" i="35"/>
  <c r="I71" i="35"/>
  <c r="J71" i="35"/>
  <c r="H71" i="35"/>
  <c r="K71" i="35"/>
  <c r="L71" i="35"/>
  <c r="I72" i="35"/>
  <c r="J72" i="35"/>
  <c r="H72" i="35"/>
  <c r="K72" i="35"/>
  <c r="L72" i="35"/>
  <c r="I73" i="35"/>
  <c r="J73" i="35"/>
  <c r="H73" i="35"/>
  <c r="K73" i="35"/>
  <c r="L73" i="35"/>
  <c r="K74" i="35"/>
  <c r="L74" i="35"/>
  <c r="I57" i="35"/>
  <c r="J57" i="35"/>
  <c r="H57" i="35"/>
  <c r="K57" i="35"/>
  <c r="L57" i="35"/>
  <c r="D290" i="37"/>
  <c r="G290" i="37"/>
  <c r="H290" i="37"/>
  <c r="D291" i="37"/>
  <c r="G291" i="37"/>
  <c r="H291" i="37"/>
  <c r="D292" i="37"/>
  <c r="G292" i="37"/>
  <c r="H292" i="37"/>
  <c r="D293" i="37"/>
  <c r="G293" i="37"/>
  <c r="H293" i="37"/>
  <c r="D294" i="37"/>
  <c r="G294" i="37"/>
  <c r="H294" i="37"/>
  <c r="D295" i="37"/>
  <c r="G295" i="37"/>
  <c r="H295" i="37"/>
  <c r="D296" i="37"/>
  <c r="G296" i="37"/>
  <c r="H296" i="37"/>
  <c r="D297" i="37"/>
  <c r="G297" i="37"/>
  <c r="H297" i="37"/>
  <c r="D298" i="37"/>
  <c r="G298" i="37"/>
  <c r="H298" i="37"/>
  <c r="D299" i="37"/>
  <c r="G299" i="37"/>
  <c r="H299" i="37"/>
  <c r="D300" i="37"/>
  <c r="G300" i="37"/>
  <c r="H300" i="37"/>
  <c r="D301" i="37"/>
  <c r="G301" i="37"/>
  <c r="H301" i="37"/>
  <c r="D302" i="37"/>
  <c r="G302" i="37"/>
  <c r="H302" i="37"/>
  <c r="D303" i="37"/>
  <c r="G303" i="37"/>
  <c r="H303" i="37"/>
  <c r="D304" i="37"/>
  <c r="G304" i="37"/>
  <c r="H304" i="37"/>
  <c r="D305" i="37"/>
  <c r="G305" i="37"/>
  <c r="H305" i="37"/>
  <c r="D306" i="37"/>
  <c r="G306" i="37"/>
  <c r="H306" i="37"/>
  <c r="D307" i="37"/>
  <c r="G307" i="37"/>
  <c r="H307" i="37"/>
  <c r="H345" i="37"/>
  <c r="L92" i="35"/>
  <c r="I92" i="35"/>
  <c r="K92" i="35"/>
  <c r="J92" i="35"/>
  <c r="H92" i="35"/>
  <c r="J345" i="37"/>
  <c r="I268" i="35"/>
  <c r="J268" i="35"/>
  <c r="H268" i="35"/>
  <c r="D345" i="37"/>
  <c r="I89" i="35"/>
  <c r="J89" i="35"/>
  <c r="H89" i="35"/>
  <c r="I90" i="35"/>
  <c r="J90" i="35"/>
  <c r="H90" i="35"/>
  <c r="D343" i="37"/>
  <c r="J344" i="37"/>
  <c r="H344" i="37"/>
  <c r="I91" i="35"/>
  <c r="J91" i="35"/>
  <c r="H91" i="35"/>
  <c r="D344" i="37"/>
  <c r="J343" i="37"/>
  <c r="H343" i="37"/>
  <c r="I88" i="35"/>
  <c r="J88" i="35"/>
  <c r="H88" i="35"/>
  <c r="L91" i="35"/>
  <c r="K91" i="35"/>
  <c r="L90" i="35"/>
  <c r="K90" i="35"/>
  <c r="H91" i="37"/>
  <c r="H90" i="37"/>
  <c r="I283" i="35"/>
  <c r="J283" i="35"/>
  <c r="H283" i="35"/>
  <c r="L283" i="35"/>
  <c r="K283" i="35"/>
  <c r="J284" i="35"/>
  <c r="L282" i="35"/>
  <c r="I282" i="35"/>
  <c r="K282" i="35"/>
  <c r="J282" i="35"/>
  <c r="H282" i="35"/>
  <c r="I281" i="35"/>
  <c r="J281" i="35"/>
  <c r="H281" i="35"/>
  <c r="I280" i="35"/>
  <c r="J280" i="35"/>
  <c r="H280" i="35"/>
  <c r="I279" i="35"/>
  <c r="J279" i="35"/>
  <c r="H279" i="35"/>
  <c r="J85" i="37"/>
  <c r="L281" i="35"/>
  <c r="K281" i="35"/>
  <c r="L280" i="35"/>
  <c r="K280" i="35"/>
  <c r="L279" i="35"/>
  <c r="K279" i="35"/>
  <c r="H89" i="37"/>
  <c r="H88" i="37"/>
  <c r="H87" i="37"/>
  <c r="H86" i="37"/>
  <c r="J279" i="37"/>
  <c r="H279" i="37"/>
  <c r="G279" i="37"/>
  <c r="I52" i="35"/>
  <c r="J52" i="35"/>
  <c r="H52" i="35"/>
  <c r="I56" i="35"/>
  <c r="J56" i="35"/>
  <c r="H56" i="35"/>
  <c r="D279" i="37"/>
  <c r="J278" i="37"/>
  <c r="H278" i="37"/>
  <c r="G278" i="37"/>
  <c r="I51" i="35"/>
  <c r="J51" i="35"/>
  <c r="H51" i="35"/>
  <c r="I55" i="35"/>
  <c r="J55" i="35"/>
  <c r="H55" i="35"/>
  <c r="D278" i="37"/>
  <c r="J277" i="37"/>
  <c r="H277" i="37"/>
  <c r="G277" i="37"/>
  <c r="I50" i="35"/>
  <c r="J50" i="35"/>
  <c r="H50" i="35"/>
  <c r="I54" i="35"/>
  <c r="J54" i="35"/>
  <c r="H54" i="35"/>
  <c r="D277" i="37"/>
  <c r="J276" i="37"/>
  <c r="H276" i="37"/>
  <c r="G276" i="37"/>
  <c r="I49" i="35"/>
  <c r="J49" i="35"/>
  <c r="H49" i="35"/>
  <c r="I53" i="35"/>
  <c r="J53" i="35"/>
  <c r="H53" i="35"/>
  <c r="D276" i="37"/>
  <c r="J275" i="37"/>
  <c r="H275" i="37"/>
  <c r="G275" i="37"/>
  <c r="I32" i="35"/>
  <c r="J32" i="35"/>
  <c r="H32" i="35"/>
  <c r="D275" i="37"/>
  <c r="J274" i="37"/>
  <c r="H274" i="37"/>
  <c r="G274" i="37"/>
  <c r="I31" i="35"/>
  <c r="J31" i="35"/>
  <c r="H31" i="35"/>
  <c r="D274" i="37"/>
  <c r="J273" i="37"/>
  <c r="H273" i="37"/>
  <c r="G273" i="37"/>
  <c r="I30" i="35"/>
  <c r="J30" i="35"/>
  <c r="H30" i="35"/>
  <c r="D273" i="37"/>
  <c r="J272" i="37"/>
  <c r="H272" i="37"/>
  <c r="G272" i="37"/>
  <c r="I29" i="35"/>
  <c r="J29" i="35"/>
  <c r="H29" i="35"/>
  <c r="D272" i="37"/>
  <c r="J271" i="37"/>
  <c r="H271" i="37"/>
  <c r="G271" i="37"/>
  <c r="I28" i="35"/>
  <c r="J28" i="35"/>
  <c r="H28" i="35"/>
  <c r="J270" i="37"/>
  <c r="H270" i="37"/>
  <c r="G270" i="37"/>
  <c r="I27" i="35"/>
  <c r="J27" i="35"/>
  <c r="H27" i="35"/>
  <c r="I47" i="35"/>
  <c r="J47" i="35"/>
  <c r="H47" i="35"/>
  <c r="D270" i="37"/>
  <c r="J269" i="37"/>
  <c r="H269" i="37"/>
  <c r="G269" i="37"/>
  <c r="I26" i="35"/>
  <c r="J26" i="35"/>
  <c r="H26" i="35"/>
  <c r="I46" i="35"/>
  <c r="J46" i="35"/>
  <c r="H46" i="35"/>
  <c r="D269" i="37"/>
  <c r="J268" i="37"/>
  <c r="H268" i="37"/>
  <c r="G268" i="37"/>
  <c r="I25" i="35"/>
  <c r="J25" i="35"/>
  <c r="H25" i="35"/>
  <c r="I45" i="35"/>
  <c r="J45" i="35"/>
  <c r="H45" i="35"/>
  <c r="D268" i="37"/>
  <c r="J267" i="37"/>
  <c r="H267" i="37"/>
  <c r="G267" i="37"/>
  <c r="I24" i="35"/>
  <c r="J24" i="35"/>
  <c r="H24" i="35"/>
  <c r="I44" i="35"/>
  <c r="J44" i="35"/>
  <c r="H44" i="35"/>
  <c r="D267" i="37"/>
  <c r="J266" i="37"/>
  <c r="H266" i="37"/>
  <c r="G266" i="37"/>
  <c r="I23" i="35"/>
  <c r="J23" i="35"/>
  <c r="H23" i="35"/>
  <c r="I43" i="35"/>
  <c r="J43" i="35"/>
  <c r="H43" i="35"/>
  <c r="D266" i="37"/>
  <c r="L56" i="35"/>
  <c r="K56" i="35"/>
  <c r="L55" i="35"/>
  <c r="K55" i="35"/>
  <c r="L54" i="35"/>
  <c r="K54" i="35"/>
  <c r="L53" i="35"/>
  <c r="K53" i="35"/>
  <c r="L52" i="35"/>
  <c r="K52" i="35"/>
  <c r="L51" i="35"/>
  <c r="K51" i="35"/>
  <c r="L50" i="35"/>
  <c r="K50" i="35"/>
  <c r="L49" i="35"/>
  <c r="K49" i="35"/>
  <c r="L48" i="35"/>
  <c r="K48" i="35"/>
  <c r="L47" i="35"/>
  <c r="K47" i="35"/>
  <c r="L46" i="35"/>
  <c r="K46" i="35"/>
  <c r="L45" i="35"/>
  <c r="K45" i="35"/>
  <c r="L44" i="35"/>
  <c r="K44" i="35"/>
  <c r="L43" i="35"/>
  <c r="K43" i="35"/>
  <c r="G114" i="24"/>
  <c r="E114" i="50"/>
  <c r="H116" i="50"/>
  <c r="G116" i="50"/>
  <c r="F116" i="50"/>
  <c r="D56" i="51"/>
  <c r="D59" i="51"/>
  <c r="D62" i="51"/>
  <c r="D65" i="51"/>
  <c r="D68" i="51"/>
  <c r="D71" i="51"/>
  <c r="D74" i="51"/>
  <c r="D75" i="51"/>
  <c r="D76" i="51"/>
  <c r="D77" i="51"/>
  <c r="D78" i="51"/>
  <c r="D79" i="51"/>
  <c r="D80" i="51"/>
  <c r="D81" i="51"/>
  <c r="D89" i="51"/>
  <c r="D90" i="51"/>
  <c r="D91" i="51"/>
  <c r="D92" i="51"/>
  <c r="D93" i="51"/>
  <c r="D94" i="51"/>
  <c r="D95" i="51"/>
  <c r="D96" i="51"/>
  <c r="D97" i="51"/>
  <c r="D98" i="51"/>
  <c r="D99" i="51"/>
  <c r="D100" i="51"/>
  <c r="D101" i="51"/>
  <c r="D102" i="51"/>
  <c r="D103" i="51"/>
  <c r="D104" i="51"/>
  <c r="D105" i="51"/>
  <c r="D106" i="51"/>
  <c r="D107" i="51"/>
  <c r="D108" i="51"/>
  <c r="D109" i="51"/>
  <c r="D110" i="51"/>
  <c r="D111" i="51"/>
  <c r="D112" i="51"/>
  <c r="D113" i="51"/>
  <c r="D114" i="51"/>
  <c r="D115" i="51"/>
  <c r="D116" i="51"/>
  <c r="D117" i="51"/>
  <c r="D118" i="51"/>
  <c r="D119" i="51"/>
  <c r="D120" i="51"/>
  <c r="D121" i="51"/>
  <c r="D122" i="51"/>
  <c r="D123" i="51"/>
  <c r="D124" i="51"/>
  <c r="D125" i="51"/>
  <c r="D126" i="51"/>
  <c r="D127" i="51"/>
  <c r="D128" i="51"/>
  <c r="D129" i="51"/>
  <c r="D130" i="51"/>
  <c r="D131" i="51"/>
  <c r="D132" i="51"/>
  <c r="D133" i="51"/>
  <c r="D134" i="51"/>
  <c r="D135" i="51"/>
  <c r="D136" i="51"/>
  <c r="D137" i="51"/>
  <c r="D138" i="51"/>
  <c r="D139" i="51"/>
  <c r="D140" i="51"/>
  <c r="D141" i="51"/>
  <c r="D142" i="51"/>
  <c r="D143" i="51"/>
  <c r="D144" i="51"/>
  <c r="D145" i="51"/>
  <c r="D146" i="51"/>
  <c r="D147" i="51"/>
  <c r="D148" i="51"/>
  <c r="D149" i="51"/>
  <c r="D150" i="51"/>
  <c r="D151" i="51"/>
  <c r="D152" i="51"/>
  <c r="D153" i="51"/>
  <c r="D154" i="51"/>
  <c r="D155" i="51"/>
  <c r="D156" i="51"/>
  <c r="D157" i="51"/>
  <c r="D158" i="51"/>
  <c r="D159" i="51"/>
  <c r="D160" i="51"/>
  <c r="D161" i="51"/>
  <c r="D162" i="51"/>
  <c r="D163" i="51"/>
  <c r="D164" i="51"/>
  <c r="D165" i="51"/>
  <c r="D166" i="51"/>
  <c r="D167" i="51"/>
  <c r="D168" i="51"/>
  <c r="D169" i="51"/>
  <c r="D170" i="51"/>
  <c r="D171" i="51"/>
  <c r="D172" i="51"/>
  <c r="D173" i="51"/>
  <c r="D174" i="51"/>
  <c r="D175" i="51"/>
  <c r="D176" i="51"/>
  <c r="D177" i="51"/>
  <c r="D178" i="51"/>
  <c r="D179" i="51"/>
  <c r="D180" i="51"/>
  <c r="D181" i="51"/>
  <c r="D182" i="51"/>
  <c r="D183" i="51"/>
  <c r="D184" i="51"/>
  <c r="D185" i="51"/>
  <c r="D186" i="51"/>
  <c r="D187" i="51"/>
  <c r="D188" i="51"/>
  <c r="D189" i="51"/>
  <c r="D190" i="51"/>
  <c r="D191" i="51"/>
  <c r="D192" i="51"/>
  <c r="D193" i="51"/>
  <c r="D194" i="51"/>
  <c r="D195" i="51"/>
  <c r="D196" i="51"/>
  <c r="D197" i="51"/>
  <c r="D198" i="51"/>
  <c r="D199" i="51"/>
  <c r="D200" i="51"/>
  <c r="G161" i="24"/>
  <c r="E115" i="50"/>
  <c r="F173" i="52"/>
  <c r="C115" i="50"/>
  <c r="E173" i="52"/>
  <c r="A173" i="52"/>
  <c r="F172" i="52"/>
  <c r="C114" i="50"/>
  <c r="E172" i="52"/>
  <c r="A172" i="52"/>
  <c r="F171" i="52"/>
  <c r="E171" i="52"/>
  <c r="A171" i="52"/>
  <c r="F170" i="52"/>
  <c r="E170" i="52"/>
  <c r="A170" i="52"/>
  <c r="F169" i="52"/>
  <c r="E169" i="52"/>
  <c r="A169" i="52"/>
  <c r="F168" i="52"/>
  <c r="E168" i="52"/>
  <c r="A168" i="52"/>
  <c r="F167" i="52"/>
  <c r="E167" i="52"/>
  <c r="A167" i="52"/>
  <c r="F166" i="52"/>
  <c r="E166" i="52"/>
  <c r="A166" i="52"/>
  <c r="F165" i="52"/>
  <c r="E165" i="52"/>
  <c r="A165" i="52"/>
  <c r="F164" i="52"/>
  <c r="E164" i="52"/>
  <c r="A164" i="52"/>
  <c r="F163" i="52"/>
  <c r="E163" i="52"/>
  <c r="A163" i="52"/>
  <c r="F162" i="52"/>
  <c r="E162" i="52"/>
  <c r="A162" i="52"/>
  <c r="F161" i="52"/>
  <c r="E161" i="52"/>
  <c r="A161" i="52"/>
  <c r="F160" i="52"/>
  <c r="E160" i="52"/>
  <c r="A160" i="52"/>
  <c r="F159" i="52"/>
  <c r="E159" i="52"/>
  <c r="A159" i="52"/>
  <c r="F158" i="52"/>
  <c r="E158" i="52"/>
  <c r="A158" i="52"/>
  <c r="F157" i="52"/>
  <c r="E157" i="52"/>
  <c r="A157" i="52"/>
  <c r="F156" i="52"/>
  <c r="E156" i="52"/>
  <c r="A156" i="52"/>
  <c r="F155" i="52"/>
  <c r="E155" i="52"/>
  <c r="A155" i="52"/>
  <c r="F154" i="52"/>
  <c r="E154" i="52"/>
  <c r="A154" i="52"/>
  <c r="F153" i="52"/>
  <c r="E153" i="52"/>
  <c r="A153" i="52"/>
  <c r="F152" i="52"/>
  <c r="E152" i="52"/>
  <c r="A152" i="52"/>
  <c r="F151" i="52"/>
  <c r="E151" i="52"/>
  <c r="A151" i="52"/>
  <c r="F150" i="52"/>
  <c r="E150" i="52"/>
  <c r="A150" i="52"/>
  <c r="F149" i="52"/>
  <c r="E149" i="52"/>
  <c r="A149" i="52"/>
  <c r="F148" i="52"/>
  <c r="E148" i="52"/>
  <c r="A148" i="52"/>
  <c r="F147" i="52"/>
  <c r="E147" i="52"/>
  <c r="A147" i="52"/>
  <c r="F146" i="52"/>
  <c r="E146" i="52"/>
  <c r="A146" i="52"/>
  <c r="F145" i="52"/>
  <c r="E145" i="52"/>
  <c r="A145" i="52"/>
  <c r="F144" i="52"/>
  <c r="E144" i="52"/>
  <c r="A144" i="52"/>
  <c r="F143" i="52"/>
  <c r="E143" i="52"/>
  <c r="A143" i="52"/>
  <c r="F142" i="52"/>
  <c r="E142" i="52"/>
  <c r="A142" i="52"/>
  <c r="F141" i="52"/>
  <c r="E141" i="52"/>
  <c r="A141" i="52"/>
  <c r="F140" i="52"/>
  <c r="E140" i="52"/>
  <c r="A140" i="52"/>
  <c r="F139" i="52"/>
  <c r="E139" i="52"/>
  <c r="A139" i="52"/>
  <c r="F138" i="52"/>
  <c r="E138" i="52"/>
  <c r="A138" i="52"/>
  <c r="F137" i="52"/>
  <c r="E137" i="52"/>
  <c r="A137" i="52"/>
  <c r="F136" i="52"/>
  <c r="E136" i="52"/>
  <c r="A136" i="52"/>
  <c r="F135" i="52"/>
  <c r="E135" i="52"/>
  <c r="A135" i="52"/>
  <c r="F134" i="52"/>
  <c r="E134" i="52"/>
  <c r="A134" i="52"/>
  <c r="F133" i="52"/>
  <c r="E133" i="52"/>
  <c r="A133" i="52"/>
  <c r="F132" i="52"/>
  <c r="E132" i="52"/>
  <c r="A132" i="52"/>
  <c r="F131" i="52"/>
  <c r="E131" i="52"/>
  <c r="A131" i="52"/>
  <c r="F130" i="52"/>
  <c r="E130" i="52"/>
  <c r="A130" i="52"/>
  <c r="F129" i="52"/>
  <c r="E129" i="52"/>
  <c r="A129" i="52"/>
  <c r="F128" i="52"/>
  <c r="E128" i="52"/>
  <c r="A128" i="52"/>
  <c r="F127" i="52"/>
  <c r="E127" i="52"/>
  <c r="A127" i="52"/>
  <c r="F126" i="52"/>
  <c r="E126" i="52"/>
  <c r="A126" i="52"/>
  <c r="F125" i="52"/>
  <c r="E125" i="52"/>
  <c r="A125" i="52"/>
  <c r="F124" i="52"/>
  <c r="E124" i="52"/>
  <c r="A124" i="52"/>
  <c r="F123" i="52"/>
  <c r="E123" i="52"/>
  <c r="A123" i="52"/>
  <c r="G46" i="24"/>
  <c r="I46" i="24"/>
  <c r="I274" i="35"/>
  <c r="D45" i="24"/>
  <c r="K274" i="35"/>
  <c r="L274" i="35"/>
  <c r="H274" i="35"/>
  <c r="I277" i="35"/>
  <c r="K277" i="35"/>
  <c r="L277" i="35"/>
  <c r="H277" i="35"/>
  <c r="G42" i="37"/>
  <c r="J42" i="37"/>
  <c r="H42" i="37"/>
  <c r="I276" i="35"/>
  <c r="K276" i="35"/>
  <c r="L276" i="35"/>
  <c r="H276" i="35"/>
  <c r="G41" i="37"/>
  <c r="J41" i="37"/>
  <c r="H41" i="37"/>
  <c r="I275" i="35"/>
  <c r="K275" i="35"/>
  <c r="L275" i="35"/>
  <c r="H275" i="35"/>
  <c r="G40" i="37"/>
  <c r="J40" i="37"/>
  <c r="H40" i="37"/>
  <c r="E304" i="26"/>
  <c r="E303" i="26"/>
  <c r="E302" i="26"/>
  <c r="J252" i="37"/>
  <c r="H252" i="37"/>
  <c r="I355" i="35"/>
  <c r="J355" i="35"/>
  <c r="H355" i="35"/>
  <c r="I356" i="35"/>
  <c r="J356" i="35"/>
  <c r="H356" i="35"/>
  <c r="L356" i="35"/>
  <c r="K356" i="35"/>
  <c r="J251" i="37"/>
  <c r="H251" i="37"/>
  <c r="L355" i="35"/>
  <c r="K355" i="35"/>
  <c r="L89" i="35"/>
  <c r="K89" i="35"/>
  <c r="L88" i="35"/>
  <c r="K88" i="35"/>
  <c r="J342" i="37"/>
  <c r="H342" i="37"/>
  <c r="D342" i="37"/>
  <c r="J341" i="37"/>
  <c r="H341" i="37"/>
  <c r="D341" i="37"/>
  <c r="H85" i="37"/>
  <c r="I278" i="35"/>
  <c r="K278" i="35"/>
  <c r="L278" i="35"/>
  <c r="H278" i="35"/>
  <c r="E33" i="26"/>
  <c r="J278" i="35"/>
  <c r="E301" i="26"/>
  <c r="E300" i="26"/>
  <c r="E299" i="26"/>
  <c r="H36" i="37"/>
  <c r="G39" i="37"/>
  <c r="J39" i="37"/>
  <c r="H39" i="37"/>
  <c r="G38" i="37"/>
  <c r="J38" i="37"/>
  <c r="H38" i="37"/>
  <c r="G37" i="37"/>
  <c r="J37" i="37"/>
  <c r="H37" i="37"/>
  <c r="G36" i="37"/>
  <c r="J36" i="37"/>
  <c r="G45" i="24"/>
  <c r="I45" i="24"/>
  <c r="J277" i="35"/>
  <c r="J276" i="35"/>
  <c r="J275" i="35"/>
  <c r="J274" i="35"/>
  <c r="D24" i="24"/>
  <c r="I171" i="24"/>
  <c r="F245" i="52"/>
  <c r="F244" i="52"/>
  <c r="F243" i="52"/>
  <c r="F242" i="52"/>
  <c r="F241" i="52"/>
  <c r="F240" i="52"/>
  <c r="F239" i="52"/>
  <c r="F238" i="52"/>
  <c r="F237" i="52"/>
  <c r="F236" i="52"/>
  <c r="F235" i="52"/>
  <c r="F234" i="52"/>
  <c r="F233" i="52"/>
  <c r="F232" i="52"/>
  <c r="F231" i="52"/>
  <c r="F230" i="52"/>
  <c r="F229" i="52"/>
  <c r="F228" i="52"/>
  <c r="F227" i="52"/>
  <c r="F226" i="52"/>
  <c r="F225" i="52"/>
  <c r="E245" i="52"/>
  <c r="E244" i="52"/>
  <c r="E243" i="52"/>
  <c r="E242" i="52"/>
  <c r="E241" i="52"/>
  <c r="E240" i="52"/>
  <c r="E239" i="52"/>
  <c r="E238" i="52"/>
  <c r="E237" i="52"/>
  <c r="E236" i="52"/>
  <c r="E235" i="52"/>
  <c r="E234" i="52"/>
  <c r="E233" i="52"/>
  <c r="E232" i="52"/>
  <c r="E231" i="52"/>
  <c r="E230" i="52"/>
  <c r="E229" i="52"/>
  <c r="E228" i="52"/>
  <c r="E227" i="52"/>
  <c r="E226" i="52"/>
  <c r="E225" i="52"/>
  <c r="A245" i="52"/>
  <c r="A244" i="52"/>
  <c r="A243" i="52"/>
  <c r="A242" i="52"/>
  <c r="A241" i="52"/>
  <c r="A240" i="52"/>
  <c r="A239" i="52"/>
  <c r="A238" i="52"/>
  <c r="A237" i="52"/>
  <c r="A236" i="52"/>
  <c r="A235" i="52"/>
  <c r="A234" i="52"/>
  <c r="A233" i="52"/>
  <c r="A232" i="52"/>
  <c r="A231" i="52"/>
  <c r="A230" i="52"/>
  <c r="A229" i="52"/>
  <c r="A228" i="52"/>
  <c r="A227" i="52"/>
  <c r="A226" i="52"/>
  <c r="A225" i="52"/>
  <c r="H43" i="50"/>
  <c r="G43" i="50"/>
  <c r="F43" i="50"/>
  <c r="D125" i="24"/>
  <c r="G125" i="24"/>
  <c r="H36" i="50"/>
  <c r="G36" i="50"/>
  <c r="F36" i="50"/>
  <c r="D121" i="24"/>
  <c r="G121" i="24"/>
  <c r="H35" i="50"/>
  <c r="G35" i="50"/>
  <c r="F35" i="50"/>
  <c r="H34" i="50"/>
  <c r="G34" i="50"/>
  <c r="F34" i="50"/>
  <c r="H32" i="50"/>
  <c r="G32" i="50"/>
  <c r="F32" i="50"/>
  <c r="H23" i="50"/>
  <c r="G23" i="50"/>
  <c r="F23" i="50"/>
  <c r="D129" i="24"/>
  <c r="G129" i="24"/>
  <c r="H22" i="50"/>
  <c r="G22" i="50"/>
  <c r="F22" i="50"/>
  <c r="H92" i="50"/>
  <c r="G92" i="50"/>
  <c r="F92" i="50"/>
  <c r="H97" i="50"/>
  <c r="G97" i="50"/>
  <c r="F97" i="50"/>
  <c r="H101" i="50"/>
  <c r="G101" i="50"/>
  <c r="F101" i="50"/>
  <c r="H106" i="50"/>
  <c r="G106" i="50"/>
  <c r="F106" i="50"/>
  <c r="H110" i="50"/>
  <c r="G110" i="50"/>
  <c r="F110" i="50"/>
  <c r="H113" i="50"/>
  <c r="G113" i="50"/>
  <c r="F113" i="50"/>
  <c r="H112" i="50"/>
  <c r="G112" i="50"/>
  <c r="F112" i="50"/>
  <c r="H60" i="50"/>
  <c r="G60" i="50"/>
  <c r="F60" i="50"/>
  <c r="H65" i="50"/>
  <c r="G65" i="50"/>
  <c r="F65" i="50"/>
  <c r="H71" i="50"/>
  <c r="G71" i="50"/>
  <c r="F71" i="50"/>
  <c r="H78" i="50"/>
  <c r="G78" i="50"/>
  <c r="F78" i="50"/>
  <c r="H83" i="50"/>
  <c r="G83" i="50"/>
  <c r="F83" i="50"/>
  <c r="H86" i="50"/>
  <c r="G86" i="50"/>
  <c r="F86" i="50"/>
  <c r="I169" i="24"/>
  <c r="D169" i="24"/>
  <c r="I118" i="24"/>
  <c r="D118" i="24"/>
  <c r="I117" i="24"/>
  <c r="D117" i="24"/>
  <c r="I116" i="24"/>
  <c r="D116" i="24"/>
  <c r="I115" i="24"/>
  <c r="D115" i="24"/>
  <c r="J610" i="37"/>
  <c r="H610" i="37"/>
  <c r="J615" i="37"/>
  <c r="H615" i="37"/>
  <c r="J621" i="37"/>
  <c r="H621" i="37"/>
  <c r="J628" i="37"/>
  <c r="H628" i="37"/>
  <c r="J633" i="37"/>
  <c r="H633" i="37"/>
  <c r="J638" i="37"/>
  <c r="H638" i="37"/>
  <c r="J636" i="37"/>
  <c r="H636" i="37"/>
  <c r="J647" i="37"/>
  <c r="H647" i="37"/>
  <c r="J651" i="37"/>
  <c r="H651" i="37"/>
  <c r="J656" i="37"/>
  <c r="H656" i="37"/>
  <c r="J660" i="37"/>
  <c r="H660" i="37"/>
  <c r="J662" i="37"/>
  <c r="H662" i="37"/>
  <c r="J663" i="37"/>
  <c r="H663" i="37"/>
  <c r="J642" i="37"/>
  <c r="H642" i="37"/>
  <c r="J688" i="37"/>
  <c r="H688" i="37"/>
  <c r="E42" i="50"/>
  <c r="J681" i="37"/>
  <c r="H681" i="37"/>
  <c r="J680" i="37"/>
  <c r="H680" i="37"/>
  <c r="J679" i="37"/>
  <c r="H679" i="37"/>
  <c r="J677" i="37"/>
  <c r="H677" i="37"/>
  <c r="J668" i="37"/>
  <c r="H668" i="37"/>
  <c r="J667" i="37"/>
  <c r="H667" i="37"/>
  <c r="I354" i="35"/>
  <c r="J354" i="35"/>
  <c r="H354" i="35"/>
  <c r="K354" i="35"/>
  <c r="L354" i="35"/>
  <c r="H250" i="37"/>
  <c r="J250" i="37"/>
  <c r="I86" i="35"/>
  <c r="J86" i="35"/>
  <c r="H86" i="35"/>
  <c r="K86" i="35"/>
  <c r="L86" i="35"/>
  <c r="I87" i="35"/>
  <c r="J87" i="35"/>
  <c r="H87" i="35"/>
  <c r="K87" i="35"/>
  <c r="L87" i="35"/>
  <c r="I85" i="35"/>
  <c r="J85" i="35"/>
  <c r="H85" i="35"/>
  <c r="D339" i="37"/>
  <c r="H339" i="37"/>
  <c r="J339" i="37"/>
  <c r="D340" i="37"/>
  <c r="H340" i="37"/>
  <c r="J340" i="37"/>
  <c r="I269" i="35"/>
  <c r="J269" i="35"/>
  <c r="H269" i="35"/>
  <c r="K269" i="35"/>
  <c r="L269" i="35"/>
  <c r="I270" i="35"/>
  <c r="J270" i="35"/>
  <c r="H270" i="35"/>
  <c r="K270" i="35"/>
  <c r="L270" i="35"/>
  <c r="I271" i="35"/>
  <c r="J271" i="35"/>
  <c r="H271" i="35"/>
  <c r="K271" i="35"/>
  <c r="L271" i="35"/>
  <c r="I272" i="35"/>
  <c r="J272" i="35"/>
  <c r="K272" i="35"/>
  <c r="L272" i="35"/>
  <c r="H272" i="35"/>
  <c r="I273" i="35"/>
  <c r="J273" i="35"/>
  <c r="K273" i="35"/>
  <c r="L273" i="35"/>
  <c r="H273" i="35"/>
  <c r="H80" i="37"/>
  <c r="H81" i="37"/>
  <c r="H82" i="37"/>
  <c r="H83" i="37"/>
  <c r="H84" i="37"/>
  <c r="K85" i="35"/>
  <c r="L85" i="35"/>
  <c r="I84" i="35"/>
  <c r="J84" i="35"/>
  <c r="H84" i="35"/>
  <c r="D338" i="37"/>
  <c r="H338" i="37"/>
  <c r="J338" i="37"/>
  <c r="K84" i="35"/>
  <c r="L84" i="35"/>
  <c r="I83" i="35"/>
  <c r="J83" i="35"/>
  <c r="H83" i="35"/>
  <c r="D337" i="37"/>
  <c r="H337" i="37"/>
  <c r="J337" i="37"/>
  <c r="L353" i="35"/>
  <c r="I353" i="35"/>
  <c r="K353" i="35"/>
  <c r="J353" i="35"/>
  <c r="H353" i="35"/>
  <c r="J249" i="37"/>
  <c r="H249" i="37"/>
  <c r="D334" i="37"/>
  <c r="D336" i="37"/>
  <c r="J336" i="37"/>
  <c r="H336" i="37"/>
  <c r="L83" i="35"/>
  <c r="K83" i="35"/>
  <c r="J335" i="37"/>
  <c r="J334" i="37"/>
  <c r="L82" i="35"/>
  <c r="K82" i="35"/>
  <c r="L81" i="35"/>
  <c r="K81" i="35"/>
  <c r="D335" i="37"/>
  <c r="H335" i="37"/>
  <c r="H334" i="37"/>
  <c r="L80" i="35"/>
  <c r="I80" i="35"/>
  <c r="K80" i="35"/>
  <c r="J80" i="35"/>
  <c r="H80" i="35"/>
  <c r="H237" i="37"/>
  <c r="I17" i="35"/>
  <c r="J17" i="35"/>
  <c r="H17" i="35"/>
  <c r="D237" i="37"/>
  <c r="H226" i="37"/>
  <c r="J236" i="37"/>
  <c r="H236" i="37"/>
  <c r="I79" i="35"/>
  <c r="J79" i="35"/>
  <c r="H79" i="35"/>
  <c r="D236" i="37"/>
  <c r="I76" i="35"/>
  <c r="J76" i="35"/>
  <c r="H76" i="35"/>
  <c r="D233" i="37"/>
  <c r="I77" i="35"/>
  <c r="J77" i="35"/>
  <c r="H77" i="35"/>
  <c r="D234" i="37"/>
  <c r="I78" i="35"/>
  <c r="J78" i="35"/>
  <c r="H78" i="35"/>
  <c r="D235" i="37"/>
  <c r="H233" i="37"/>
  <c r="H234" i="37"/>
  <c r="H235" i="37"/>
  <c r="K76" i="35"/>
  <c r="L76" i="35"/>
  <c r="K77" i="35"/>
  <c r="L77" i="35"/>
  <c r="K78" i="35"/>
  <c r="L78" i="35"/>
  <c r="K79" i="35"/>
  <c r="L79" i="35"/>
  <c r="H333" i="37"/>
  <c r="H239" i="37"/>
  <c r="K75" i="35"/>
  <c r="D333" i="37"/>
  <c r="J333" i="37"/>
  <c r="L75" i="35"/>
  <c r="L42" i="35"/>
  <c r="I42" i="35"/>
  <c r="K42" i="35"/>
  <c r="J42" i="35"/>
  <c r="H42" i="35"/>
  <c r="L41" i="35"/>
  <c r="I41" i="35"/>
  <c r="K41" i="35"/>
  <c r="J41" i="35"/>
  <c r="H41" i="35"/>
  <c r="L40" i="35"/>
  <c r="I40" i="35"/>
  <c r="K40" i="35"/>
  <c r="J40" i="35"/>
  <c r="H40" i="35"/>
  <c r="L39" i="35"/>
  <c r="I39" i="35"/>
  <c r="K39" i="35"/>
  <c r="J39" i="35"/>
  <c r="H39" i="35"/>
  <c r="L38" i="35"/>
  <c r="I38" i="35"/>
  <c r="K38" i="35"/>
  <c r="J38" i="35"/>
  <c r="H38" i="35"/>
  <c r="L37" i="35"/>
  <c r="I37" i="35"/>
  <c r="K37" i="35"/>
  <c r="J37" i="35"/>
  <c r="H37" i="35"/>
  <c r="L36" i="35"/>
  <c r="I36" i="35"/>
  <c r="K36" i="35"/>
  <c r="J36" i="35"/>
  <c r="H36" i="35"/>
  <c r="L35" i="35"/>
  <c r="I35" i="35"/>
  <c r="K35" i="35"/>
  <c r="J35" i="35"/>
  <c r="H35" i="35"/>
  <c r="L34" i="35"/>
  <c r="I34" i="35"/>
  <c r="K34" i="35"/>
  <c r="J34" i="35"/>
  <c r="H34" i="35"/>
  <c r="L33" i="35"/>
  <c r="I33" i="35"/>
  <c r="K33" i="35"/>
  <c r="J33" i="35"/>
  <c r="H33" i="35"/>
  <c r="J289" i="37"/>
  <c r="H289" i="37"/>
  <c r="G289" i="37"/>
  <c r="D289" i="37"/>
  <c r="J288" i="37"/>
  <c r="H288" i="37"/>
  <c r="G288" i="37"/>
  <c r="D288" i="37"/>
  <c r="J287" i="37"/>
  <c r="H287" i="37"/>
  <c r="G287" i="37"/>
  <c r="D287" i="37"/>
  <c r="J286" i="37"/>
  <c r="H286" i="37"/>
  <c r="G286" i="37"/>
  <c r="D286" i="37"/>
  <c r="J285" i="37"/>
  <c r="H285" i="37"/>
  <c r="G285" i="37"/>
  <c r="D285" i="37"/>
  <c r="J284" i="37"/>
  <c r="H284" i="37"/>
  <c r="G284" i="37"/>
  <c r="D284" i="37"/>
  <c r="J283" i="37"/>
  <c r="H283" i="37"/>
  <c r="G283" i="37"/>
  <c r="D283" i="37"/>
  <c r="J282" i="37"/>
  <c r="H282" i="37"/>
  <c r="G282" i="37"/>
  <c r="D282" i="37"/>
  <c r="J281" i="37"/>
  <c r="H281" i="37"/>
  <c r="G281" i="37"/>
  <c r="D281" i="37"/>
  <c r="J280" i="37"/>
  <c r="H280" i="37"/>
  <c r="G280" i="37"/>
  <c r="D280" i="37"/>
  <c r="G256" i="37"/>
  <c r="G257" i="37"/>
  <c r="G258" i="37"/>
  <c r="G259" i="37"/>
  <c r="G260" i="37"/>
  <c r="G261" i="37"/>
  <c r="G262" i="37"/>
  <c r="G263" i="37"/>
  <c r="G264" i="37"/>
  <c r="G265" i="37"/>
  <c r="D257" i="37"/>
  <c r="H257" i="37"/>
  <c r="J257" i="37"/>
  <c r="D258" i="37"/>
  <c r="H258" i="37"/>
  <c r="J258" i="37"/>
  <c r="D259" i="37"/>
  <c r="H259" i="37"/>
  <c r="J259" i="37"/>
  <c r="D260" i="37"/>
  <c r="H260" i="37"/>
  <c r="J260" i="37"/>
  <c r="D261" i="37"/>
  <c r="H261" i="37"/>
  <c r="J261" i="37"/>
  <c r="D262" i="37"/>
  <c r="H262" i="37"/>
  <c r="J262" i="37"/>
  <c r="D263" i="37"/>
  <c r="H263" i="37"/>
  <c r="J263" i="37"/>
  <c r="D264" i="37"/>
  <c r="H264" i="37"/>
  <c r="J264" i="37"/>
  <c r="D265" i="37"/>
  <c r="H265" i="37"/>
  <c r="J265" i="37"/>
  <c r="J256" i="37"/>
  <c r="H256" i="37"/>
  <c r="D256" i="37"/>
  <c r="K24" i="35"/>
  <c r="L24" i="35"/>
  <c r="K25" i="35"/>
  <c r="L25" i="35"/>
  <c r="K26" i="35"/>
  <c r="L26" i="35"/>
  <c r="K27" i="35"/>
  <c r="L27" i="35"/>
  <c r="K28" i="35"/>
  <c r="L28" i="35"/>
  <c r="K29" i="35"/>
  <c r="L29" i="35"/>
  <c r="K30" i="35"/>
  <c r="L30" i="35"/>
  <c r="K31" i="35"/>
  <c r="L31" i="35"/>
  <c r="K32" i="35"/>
  <c r="L32" i="35"/>
  <c r="K23" i="35"/>
  <c r="L23" i="35"/>
  <c r="H231" i="37"/>
  <c r="H230" i="37"/>
  <c r="H232" i="37"/>
  <c r="H229" i="37"/>
  <c r="D227" i="37"/>
  <c r="I18" i="35"/>
  <c r="D44" i="24"/>
  <c r="K18" i="35"/>
  <c r="L18" i="35"/>
  <c r="H18" i="35"/>
  <c r="D228" i="37"/>
  <c r="H228" i="37"/>
  <c r="I19" i="35"/>
  <c r="K19" i="35"/>
  <c r="L19" i="35"/>
  <c r="H19" i="35"/>
  <c r="D229" i="37"/>
  <c r="I20" i="35"/>
  <c r="K20" i="35"/>
  <c r="L20" i="35"/>
  <c r="H20" i="35"/>
  <c r="D230" i="37"/>
  <c r="I21" i="35"/>
  <c r="K21" i="35"/>
  <c r="L21" i="35"/>
  <c r="H21" i="35"/>
  <c r="D231" i="37"/>
  <c r="I22" i="35"/>
  <c r="K22" i="35"/>
  <c r="L22" i="35"/>
  <c r="H22" i="35"/>
  <c r="D232" i="37"/>
  <c r="J18" i="35"/>
  <c r="J19" i="35"/>
  <c r="J20" i="35"/>
  <c r="J21" i="35"/>
  <c r="J22" i="35"/>
  <c r="G44" i="24"/>
  <c r="I44" i="24"/>
  <c r="K17" i="35"/>
  <c r="H227" i="37"/>
  <c r="L17" i="35"/>
  <c r="I16" i="35"/>
  <c r="J16" i="35"/>
  <c r="H16" i="35"/>
  <c r="D226" i="37"/>
  <c r="J226" i="37"/>
  <c r="K16" i="35"/>
  <c r="L16" i="35"/>
  <c r="J225" i="37"/>
  <c r="H225" i="37"/>
  <c r="I15" i="35"/>
  <c r="J15" i="35"/>
  <c r="H15" i="35"/>
  <c r="D225" i="37"/>
  <c r="L15" i="35"/>
  <c r="K15" i="35"/>
  <c r="I344" i="35"/>
  <c r="D14" i="24"/>
  <c r="K344" i="35"/>
  <c r="L344" i="35"/>
  <c r="H344" i="35"/>
  <c r="J344" i="35"/>
  <c r="I345" i="35"/>
  <c r="J345" i="35"/>
  <c r="H345" i="35"/>
  <c r="K345" i="35"/>
  <c r="L345" i="35"/>
  <c r="I346" i="35"/>
  <c r="K346" i="35"/>
  <c r="L346" i="35"/>
  <c r="H346" i="35"/>
  <c r="J346" i="35"/>
  <c r="I347" i="35"/>
  <c r="J347" i="35"/>
  <c r="H347" i="35"/>
  <c r="K347" i="35"/>
  <c r="L347" i="35"/>
  <c r="I348" i="35"/>
  <c r="K348" i="35"/>
  <c r="L348" i="35"/>
  <c r="H348" i="35"/>
  <c r="J348" i="35"/>
  <c r="I349" i="35"/>
  <c r="K349" i="35"/>
  <c r="L349" i="35"/>
  <c r="H349" i="35"/>
  <c r="J349" i="35"/>
  <c r="I350" i="35"/>
  <c r="J350" i="35"/>
  <c r="H350" i="35"/>
  <c r="K350" i="35"/>
  <c r="L350" i="35"/>
  <c r="I351" i="35"/>
  <c r="J351" i="35"/>
  <c r="H351" i="35"/>
  <c r="K351" i="35"/>
  <c r="L351" i="35"/>
  <c r="K352" i="35"/>
  <c r="L352" i="35"/>
  <c r="E298" i="26"/>
  <c r="E297" i="26"/>
  <c r="E296" i="26"/>
  <c r="E295" i="26"/>
  <c r="E294" i="26"/>
  <c r="E293" i="26"/>
  <c r="E292" i="26"/>
  <c r="E291" i="26"/>
  <c r="E290" i="26"/>
  <c r="I43" i="24"/>
  <c r="G14" i="24"/>
  <c r="I14" i="24"/>
  <c r="I255" i="35"/>
  <c r="J255" i="35"/>
  <c r="H255" i="35"/>
  <c r="K255" i="35"/>
  <c r="L255" i="35"/>
  <c r="I256" i="35"/>
  <c r="J256" i="35"/>
  <c r="H256" i="35"/>
  <c r="K256" i="35"/>
  <c r="L256" i="35"/>
  <c r="N714" i="37"/>
  <c r="M714" i="37"/>
  <c r="J714" i="37"/>
  <c r="H714" i="37"/>
  <c r="N713" i="37"/>
  <c r="M713" i="37"/>
  <c r="J713" i="37"/>
  <c r="H713" i="37"/>
  <c r="N712" i="37"/>
  <c r="M712" i="37"/>
  <c r="J712" i="37"/>
  <c r="H712" i="37"/>
  <c r="N711" i="37"/>
  <c r="M711" i="37"/>
  <c r="J711" i="37"/>
  <c r="H711" i="37"/>
  <c r="N710" i="37"/>
  <c r="M710" i="37"/>
  <c r="J710" i="37"/>
  <c r="H710" i="37"/>
  <c r="N707" i="37"/>
  <c r="M707" i="37"/>
  <c r="J707" i="37"/>
  <c r="H707" i="37"/>
  <c r="N706" i="37"/>
  <c r="M706" i="37"/>
  <c r="J706" i="37"/>
  <c r="H706" i="37"/>
  <c r="N708" i="37"/>
  <c r="M708" i="37"/>
  <c r="J708" i="37"/>
  <c r="H708" i="37"/>
  <c r="N709" i="37"/>
  <c r="M709" i="37"/>
  <c r="J709" i="37"/>
  <c r="H709" i="37"/>
  <c r="C84" i="51"/>
  <c r="C85" i="51"/>
  <c r="C86" i="51"/>
  <c r="C87" i="51"/>
  <c r="C88" i="51"/>
  <c r="C89" i="51"/>
  <c r="C90" i="51"/>
  <c r="C91" i="51"/>
  <c r="C92" i="51"/>
  <c r="C93" i="51"/>
  <c r="C94" i="51"/>
  <c r="C95" i="51"/>
  <c r="C96" i="51"/>
  <c r="C97" i="51"/>
  <c r="C98" i="51"/>
  <c r="C99" i="51"/>
  <c r="C100" i="51"/>
  <c r="C101" i="51"/>
  <c r="C102" i="51"/>
  <c r="C103" i="51"/>
  <c r="C104" i="51"/>
  <c r="C105" i="51"/>
  <c r="C106" i="51"/>
  <c r="C107" i="51"/>
  <c r="C108" i="51"/>
  <c r="C109" i="51"/>
  <c r="C110" i="51"/>
  <c r="C111" i="51"/>
  <c r="C112" i="51"/>
  <c r="C113" i="51"/>
  <c r="C114" i="51"/>
  <c r="C115" i="51"/>
  <c r="C116" i="51"/>
  <c r="C117" i="51"/>
  <c r="C118" i="51"/>
  <c r="C119" i="51"/>
  <c r="C120" i="51"/>
  <c r="C121" i="51"/>
  <c r="C122" i="51"/>
  <c r="C123" i="51"/>
  <c r="C124" i="51"/>
  <c r="C125" i="51"/>
  <c r="C126" i="51"/>
  <c r="C127" i="51"/>
  <c r="C128" i="51"/>
  <c r="C129" i="51"/>
  <c r="C130" i="51"/>
  <c r="C131" i="51"/>
  <c r="C132" i="51"/>
  <c r="C133" i="51"/>
  <c r="C134" i="51"/>
  <c r="C135" i="51"/>
  <c r="C136" i="51"/>
  <c r="C137" i="51"/>
  <c r="C138" i="51"/>
  <c r="C139" i="51"/>
  <c r="C140" i="51"/>
  <c r="C141" i="51"/>
  <c r="C142" i="51"/>
  <c r="C143" i="51"/>
  <c r="C144" i="51"/>
  <c r="C145" i="51"/>
  <c r="C146" i="51"/>
  <c r="C147" i="51"/>
  <c r="C148" i="51"/>
  <c r="C149" i="51"/>
  <c r="C150" i="51"/>
  <c r="C151" i="51"/>
  <c r="C152" i="51"/>
  <c r="C153" i="51"/>
  <c r="C154" i="51"/>
  <c r="C155" i="51"/>
  <c r="C156" i="51"/>
  <c r="C157" i="51"/>
  <c r="C158" i="51"/>
  <c r="C159" i="51"/>
  <c r="C160" i="51"/>
  <c r="C161" i="51"/>
  <c r="C162" i="51"/>
  <c r="C163" i="51"/>
  <c r="C164" i="51"/>
  <c r="C165" i="51"/>
  <c r="C166" i="51"/>
  <c r="C167" i="51"/>
  <c r="C168" i="51"/>
  <c r="C169" i="51"/>
  <c r="C170" i="51"/>
  <c r="C171" i="51"/>
  <c r="C172" i="51"/>
  <c r="C173" i="51"/>
  <c r="C174" i="51"/>
  <c r="C175" i="51"/>
  <c r="C176" i="51"/>
  <c r="C177" i="51"/>
  <c r="C178" i="51"/>
  <c r="C179" i="51"/>
  <c r="C180" i="51"/>
  <c r="C181" i="51"/>
  <c r="C182" i="51"/>
  <c r="C183" i="51"/>
  <c r="C184" i="51"/>
  <c r="C185" i="51"/>
  <c r="C186" i="51"/>
  <c r="C187" i="51"/>
  <c r="C188" i="51"/>
  <c r="C189" i="51"/>
  <c r="C190" i="51"/>
  <c r="C191" i="51"/>
  <c r="C192" i="51"/>
  <c r="C193" i="51"/>
  <c r="C194" i="51"/>
  <c r="C195" i="51"/>
  <c r="C196" i="51"/>
  <c r="C197" i="51"/>
  <c r="C198" i="51"/>
  <c r="C199" i="51"/>
  <c r="C200" i="51"/>
  <c r="B84" i="51"/>
  <c r="B85" i="51"/>
  <c r="B86" i="51"/>
  <c r="B87" i="51"/>
  <c r="B88" i="51"/>
  <c r="B89" i="51"/>
  <c r="B90" i="51"/>
  <c r="B91" i="51"/>
  <c r="B92" i="51"/>
  <c r="B93" i="51"/>
  <c r="B94" i="51"/>
  <c r="B95" i="51"/>
  <c r="B96" i="51"/>
  <c r="B97" i="51"/>
  <c r="B98" i="51"/>
  <c r="B99" i="51"/>
  <c r="B100" i="51"/>
  <c r="B101" i="51"/>
  <c r="B102" i="51"/>
  <c r="B103" i="51"/>
  <c r="B104" i="51"/>
  <c r="B105" i="51"/>
  <c r="B106" i="51"/>
  <c r="B107" i="51"/>
  <c r="B108" i="51"/>
  <c r="B109" i="51"/>
  <c r="B110" i="51"/>
  <c r="B111" i="51"/>
  <c r="B112" i="51"/>
  <c r="B113" i="51"/>
  <c r="B114" i="51"/>
  <c r="B115" i="51"/>
  <c r="B116" i="51"/>
  <c r="B117" i="51"/>
  <c r="B118" i="51"/>
  <c r="B119" i="51"/>
  <c r="B120" i="51"/>
  <c r="B121" i="51"/>
  <c r="B122" i="51"/>
  <c r="B123" i="51"/>
  <c r="B124" i="51"/>
  <c r="B125" i="51"/>
  <c r="B126" i="51"/>
  <c r="B127" i="51"/>
  <c r="B128" i="51"/>
  <c r="B129" i="51"/>
  <c r="B130" i="51"/>
  <c r="B131" i="51"/>
  <c r="B132" i="51"/>
  <c r="B133" i="51"/>
  <c r="B134" i="51"/>
  <c r="B135" i="51"/>
  <c r="B136" i="51"/>
  <c r="B137" i="51"/>
  <c r="B138" i="51"/>
  <c r="B139" i="51"/>
  <c r="B140" i="51"/>
  <c r="B141" i="51"/>
  <c r="B142" i="51"/>
  <c r="B143" i="51"/>
  <c r="B144" i="51"/>
  <c r="B145" i="51"/>
  <c r="B146" i="51"/>
  <c r="B147" i="51"/>
  <c r="B148" i="51"/>
  <c r="B149" i="51"/>
  <c r="B150" i="51"/>
  <c r="B151" i="51"/>
  <c r="B152" i="51"/>
  <c r="B153" i="51"/>
  <c r="B154" i="51"/>
  <c r="B155" i="51"/>
  <c r="B156" i="51"/>
  <c r="B157" i="51"/>
  <c r="B158" i="51"/>
  <c r="B159" i="51"/>
  <c r="B160" i="51"/>
  <c r="B161" i="51"/>
  <c r="B162" i="51"/>
  <c r="B163" i="51"/>
  <c r="B164" i="51"/>
  <c r="B165" i="51"/>
  <c r="B166" i="51"/>
  <c r="B167" i="51"/>
  <c r="B168" i="51"/>
  <c r="B169" i="51"/>
  <c r="B170" i="51"/>
  <c r="B171" i="51"/>
  <c r="B172" i="51"/>
  <c r="B173" i="51"/>
  <c r="B174" i="51"/>
  <c r="B175" i="51"/>
  <c r="B176" i="51"/>
  <c r="B177" i="51"/>
  <c r="B178" i="51"/>
  <c r="B179" i="51"/>
  <c r="B180" i="51"/>
  <c r="B181" i="51"/>
  <c r="B182" i="51"/>
  <c r="B183" i="51"/>
  <c r="B184" i="51"/>
  <c r="B185" i="51"/>
  <c r="B186" i="51"/>
  <c r="B187" i="51"/>
  <c r="B188" i="51"/>
  <c r="B189" i="51"/>
  <c r="B190" i="51"/>
  <c r="B191" i="51"/>
  <c r="B192" i="51"/>
  <c r="B193" i="51"/>
  <c r="B194" i="51"/>
  <c r="B195" i="51"/>
  <c r="B196" i="51"/>
  <c r="B197" i="51"/>
  <c r="B198" i="51"/>
  <c r="B199" i="51"/>
  <c r="B200" i="51"/>
  <c r="F122" i="52"/>
  <c r="E122" i="52"/>
  <c r="A122" i="52"/>
  <c r="F121" i="52"/>
  <c r="E121" i="52"/>
  <c r="A121" i="52"/>
  <c r="F120" i="52"/>
  <c r="E120" i="52"/>
  <c r="A120" i="52"/>
  <c r="F119" i="52"/>
  <c r="E119" i="52"/>
  <c r="A119" i="52"/>
  <c r="F118" i="52"/>
  <c r="E118" i="52"/>
  <c r="A118" i="52"/>
  <c r="F117" i="52"/>
  <c r="E117" i="52"/>
  <c r="A117" i="52"/>
  <c r="F116" i="52"/>
  <c r="E116" i="52"/>
  <c r="A116" i="52"/>
  <c r="F115" i="52"/>
  <c r="E115" i="52"/>
  <c r="A115" i="52"/>
  <c r="F114" i="52"/>
  <c r="E114" i="52"/>
  <c r="A114" i="52"/>
  <c r="F113" i="52"/>
  <c r="E113" i="52"/>
  <c r="A113" i="52"/>
  <c r="E64" i="50"/>
  <c r="F112" i="52"/>
  <c r="G614" i="37"/>
  <c r="C614" i="37"/>
  <c r="C64" i="50"/>
  <c r="E112" i="52"/>
  <c r="A112" i="52"/>
  <c r="F111" i="52"/>
  <c r="E111" i="52"/>
  <c r="A111" i="52"/>
  <c r="F110" i="52"/>
  <c r="E110" i="52"/>
  <c r="A110" i="52"/>
  <c r="F109" i="52"/>
  <c r="E109" i="52"/>
  <c r="A109" i="52"/>
  <c r="F108" i="52"/>
  <c r="E108" i="52"/>
  <c r="A108" i="52"/>
  <c r="F107" i="52"/>
  <c r="E107" i="52"/>
  <c r="A107" i="52"/>
  <c r="F106" i="52"/>
  <c r="E106" i="52"/>
  <c r="A106" i="52"/>
  <c r="F105" i="52"/>
  <c r="E105" i="52"/>
  <c r="A105" i="52"/>
  <c r="F104" i="52"/>
  <c r="E104" i="52"/>
  <c r="A104" i="52"/>
  <c r="F103" i="52"/>
  <c r="E103" i="52"/>
  <c r="A103" i="52"/>
  <c r="F102" i="52"/>
  <c r="E102" i="52"/>
  <c r="A102" i="52"/>
  <c r="F101" i="52"/>
  <c r="E101" i="52"/>
  <c r="A101" i="52"/>
  <c r="F100" i="52"/>
  <c r="E100" i="52"/>
  <c r="A100" i="52"/>
  <c r="E94" i="50"/>
  <c r="F99" i="52"/>
  <c r="G644" i="37"/>
  <c r="C644" i="37"/>
  <c r="C94" i="50"/>
  <c r="E99" i="52"/>
  <c r="A99" i="52"/>
  <c r="F98" i="52"/>
  <c r="E98" i="52"/>
  <c r="A98" i="52"/>
  <c r="F97" i="52"/>
  <c r="E97" i="52"/>
  <c r="A97" i="52"/>
  <c r="F96" i="52"/>
  <c r="E96" i="52"/>
  <c r="A96" i="52"/>
  <c r="F95" i="52"/>
  <c r="E95" i="52"/>
  <c r="A95" i="52"/>
  <c r="F94" i="52"/>
  <c r="E94" i="52"/>
  <c r="A94" i="52"/>
  <c r="F93" i="52"/>
  <c r="E93" i="52"/>
  <c r="A93" i="52"/>
  <c r="F92" i="52"/>
  <c r="E92" i="52"/>
  <c r="A92" i="52"/>
  <c r="F91" i="52"/>
  <c r="E91" i="52"/>
  <c r="A91" i="52"/>
  <c r="F90" i="52"/>
  <c r="E90" i="52"/>
  <c r="A90" i="52"/>
  <c r="F89" i="52"/>
  <c r="E89" i="52"/>
  <c r="A89" i="52"/>
  <c r="N703" i="37"/>
  <c r="M703" i="37"/>
  <c r="J703" i="37"/>
  <c r="H703" i="37"/>
  <c r="G703" i="37"/>
  <c r="E51" i="50"/>
  <c r="N702" i="37"/>
  <c r="M702" i="37"/>
  <c r="J702" i="37"/>
  <c r="H702" i="37"/>
  <c r="G702" i="37"/>
  <c r="D13" i="24"/>
  <c r="G13" i="24"/>
  <c r="E50" i="50"/>
  <c r="H115" i="50"/>
  <c r="G115" i="50"/>
  <c r="F115" i="50"/>
  <c r="H114" i="50"/>
  <c r="G114" i="50"/>
  <c r="F114" i="50"/>
  <c r="D127" i="24"/>
  <c r="G127" i="24"/>
  <c r="G697" i="37"/>
  <c r="J697" i="37"/>
  <c r="C697" i="37"/>
  <c r="G696" i="37"/>
  <c r="J696" i="37"/>
  <c r="C696" i="37"/>
  <c r="G693" i="37"/>
  <c r="J693" i="37"/>
  <c r="C693" i="37"/>
  <c r="H111" i="50"/>
  <c r="G111" i="50"/>
  <c r="F111" i="50"/>
  <c r="D119" i="24"/>
  <c r="G119" i="24"/>
  <c r="G692" i="37"/>
  <c r="J692" i="37"/>
  <c r="C692" i="37"/>
  <c r="H109" i="50"/>
  <c r="G109" i="50"/>
  <c r="F109" i="50"/>
  <c r="G694" i="37"/>
  <c r="J694" i="37"/>
  <c r="C694" i="37"/>
  <c r="G655" i="37"/>
  <c r="C655" i="37"/>
  <c r="H108" i="50"/>
  <c r="G108" i="50"/>
  <c r="F108" i="50"/>
  <c r="G687" i="37"/>
  <c r="C687" i="37"/>
  <c r="H107" i="50"/>
  <c r="G107" i="50"/>
  <c r="F107" i="50"/>
  <c r="G686" i="37"/>
  <c r="C686" i="37"/>
  <c r="H105" i="50"/>
  <c r="G105" i="50"/>
  <c r="F105" i="50"/>
  <c r="E105" i="50"/>
  <c r="G685" i="37"/>
  <c r="C685" i="37"/>
  <c r="C105" i="50"/>
  <c r="H104" i="50"/>
  <c r="G104" i="50"/>
  <c r="F104" i="50"/>
  <c r="G684" i="37"/>
  <c r="C684" i="37"/>
  <c r="H103" i="50"/>
  <c r="G103" i="50"/>
  <c r="F103" i="50"/>
  <c r="G683" i="37"/>
  <c r="C683" i="37"/>
  <c r="H102" i="50"/>
  <c r="G102" i="50"/>
  <c r="F102" i="50"/>
  <c r="G682" i="37"/>
  <c r="C682" i="37"/>
  <c r="H100" i="50"/>
  <c r="G100" i="50"/>
  <c r="F100" i="50"/>
  <c r="G676" i="37"/>
  <c r="C676" i="37"/>
  <c r="H99" i="50"/>
  <c r="G99" i="50"/>
  <c r="F99" i="50"/>
  <c r="G675" i="37"/>
  <c r="C675" i="37"/>
  <c r="H98" i="50"/>
  <c r="G98" i="50"/>
  <c r="F98" i="50"/>
  <c r="G674" i="37"/>
  <c r="C674" i="37"/>
  <c r="H96" i="50"/>
  <c r="G96" i="50"/>
  <c r="F96" i="50"/>
  <c r="G673" i="37"/>
  <c r="C673" i="37"/>
  <c r="H95" i="50"/>
  <c r="G95" i="50"/>
  <c r="F95" i="50"/>
  <c r="G672" i="37"/>
  <c r="C672" i="37"/>
  <c r="H94" i="50"/>
  <c r="G94" i="50"/>
  <c r="F94" i="50"/>
  <c r="G671" i="37"/>
  <c r="C671" i="37"/>
  <c r="H93" i="50"/>
  <c r="G93" i="50"/>
  <c r="F93" i="50"/>
  <c r="G666" i="37"/>
  <c r="C666" i="37"/>
  <c r="H91" i="50"/>
  <c r="G91" i="50"/>
  <c r="F91" i="50"/>
  <c r="G665" i="37"/>
  <c r="C665" i="37"/>
  <c r="H90" i="50"/>
  <c r="G90" i="50"/>
  <c r="F90" i="50"/>
  <c r="H89" i="50"/>
  <c r="G89" i="50"/>
  <c r="F89" i="50"/>
  <c r="G23" i="24"/>
  <c r="G606" i="37"/>
  <c r="C606" i="37"/>
  <c r="H85" i="50"/>
  <c r="G85" i="50"/>
  <c r="F85" i="50"/>
  <c r="G605" i="37"/>
  <c r="C605" i="37"/>
  <c r="H82" i="50"/>
  <c r="G82" i="50"/>
  <c r="F82" i="50"/>
  <c r="G604" i="37"/>
  <c r="C604" i="37"/>
  <c r="H81" i="50"/>
  <c r="G81" i="50"/>
  <c r="F81" i="50"/>
  <c r="G603" i="37"/>
  <c r="C603" i="37"/>
  <c r="G626" i="37"/>
  <c r="C626" i="37"/>
  <c r="H80" i="50"/>
  <c r="G80" i="50"/>
  <c r="F80" i="50"/>
  <c r="G602" i="37"/>
  <c r="C602" i="37"/>
  <c r="H77" i="50"/>
  <c r="G77" i="50"/>
  <c r="F77" i="50"/>
  <c r="G601" i="37"/>
  <c r="C601" i="37"/>
  <c r="H76" i="50"/>
  <c r="G76" i="50"/>
  <c r="F76" i="50"/>
  <c r="E76" i="50"/>
  <c r="G600" i="37"/>
  <c r="C600" i="37"/>
  <c r="C76" i="50"/>
  <c r="H75" i="50"/>
  <c r="G75" i="50"/>
  <c r="F75" i="50"/>
  <c r="G599" i="37"/>
  <c r="C599" i="37"/>
  <c r="H74" i="50"/>
  <c r="G74" i="50"/>
  <c r="F74" i="50"/>
  <c r="G598" i="37"/>
  <c r="C598" i="37"/>
  <c r="H70" i="50"/>
  <c r="G70" i="50"/>
  <c r="F70" i="50"/>
  <c r="G597" i="37"/>
  <c r="C597" i="37"/>
  <c r="H69" i="50"/>
  <c r="G69" i="50"/>
  <c r="F69" i="50"/>
  <c r="G596" i="37"/>
  <c r="C596" i="37"/>
  <c r="H68" i="50"/>
  <c r="G68" i="50"/>
  <c r="F68" i="50"/>
  <c r="G595" i="37"/>
  <c r="C595" i="37"/>
  <c r="H64" i="50"/>
  <c r="G64" i="50"/>
  <c r="F64" i="50"/>
  <c r="G594" i="37"/>
  <c r="C594" i="37"/>
  <c r="H63" i="50"/>
  <c r="G63" i="50"/>
  <c r="F63" i="50"/>
  <c r="G593" i="37"/>
  <c r="C593" i="37"/>
  <c r="H62" i="50"/>
  <c r="G62" i="50"/>
  <c r="F62" i="50"/>
  <c r="G592" i="37"/>
  <c r="C592" i="37"/>
  <c r="H61" i="50"/>
  <c r="G61" i="50"/>
  <c r="F61" i="50"/>
  <c r="G591" i="37"/>
  <c r="C591" i="37"/>
  <c r="N661" i="37"/>
  <c r="M661" i="37"/>
  <c r="J661" i="37"/>
  <c r="H661" i="37"/>
  <c r="N659" i="37"/>
  <c r="M659" i="37"/>
  <c r="J659" i="37"/>
  <c r="H659" i="37"/>
  <c r="N658" i="37"/>
  <c r="M658" i="37"/>
  <c r="J658" i="37"/>
  <c r="H658" i="37"/>
  <c r="N657" i="37"/>
  <c r="M657" i="37"/>
  <c r="J657" i="37"/>
  <c r="H657" i="37"/>
  <c r="N655" i="37"/>
  <c r="M655" i="37"/>
  <c r="J655" i="37"/>
  <c r="H655" i="37"/>
  <c r="N654" i="37"/>
  <c r="M654" i="37"/>
  <c r="J654" i="37"/>
  <c r="H654" i="37"/>
  <c r="N653" i="37"/>
  <c r="M653" i="37"/>
  <c r="J653" i="37"/>
  <c r="H653" i="37"/>
  <c r="N652" i="37"/>
  <c r="M652" i="37"/>
  <c r="J652" i="37"/>
  <c r="H652" i="37"/>
  <c r="N650" i="37"/>
  <c r="M650" i="37"/>
  <c r="J650" i="37"/>
  <c r="H650" i="37"/>
  <c r="N649" i="37"/>
  <c r="M649" i="37"/>
  <c r="J649" i="37"/>
  <c r="H649" i="37"/>
  <c r="N648" i="37"/>
  <c r="M648" i="37"/>
  <c r="J648" i="37"/>
  <c r="H648" i="37"/>
  <c r="N646" i="37"/>
  <c r="M646" i="37"/>
  <c r="J646" i="37"/>
  <c r="H646" i="37"/>
  <c r="N645" i="37"/>
  <c r="M645" i="37"/>
  <c r="J645" i="37"/>
  <c r="H645" i="37"/>
  <c r="N644" i="37"/>
  <c r="M644" i="37"/>
  <c r="J644" i="37"/>
  <c r="H644" i="37"/>
  <c r="N643" i="37"/>
  <c r="M643" i="37"/>
  <c r="J643" i="37"/>
  <c r="H643" i="37"/>
  <c r="N641" i="37"/>
  <c r="M641" i="37"/>
  <c r="J641" i="37"/>
  <c r="H641" i="37"/>
  <c r="N640" i="37"/>
  <c r="M640" i="37"/>
  <c r="J640" i="37"/>
  <c r="H640" i="37"/>
  <c r="N639" i="37"/>
  <c r="M639" i="37"/>
  <c r="J639" i="37"/>
  <c r="H639" i="37"/>
  <c r="N635" i="37"/>
  <c r="M635" i="37"/>
  <c r="J635" i="37"/>
  <c r="H635" i="37"/>
  <c r="N632" i="37"/>
  <c r="M632" i="37"/>
  <c r="J632" i="37"/>
  <c r="H632" i="37"/>
  <c r="N631" i="37"/>
  <c r="M631" i="37"/>
  <c r="J631" i="37"/>
  <c r="H631" i="37"/>
  <c r="N630" i="37"/>
  <c r="M630" i="37"/>
  <c r="J630" i="37"/>
  <c r="H630" i="37"/>
  <c r="N627" i="37"/>
  <c r="M627" i="37"/>
  <c r="J627" i="37"/>
  <c r="H627" i="37"/>
  <c r="N626" i="37"/>
  <c r="M626" i="37"/>
  <c r="J626" i="37"/>
  <c r="H626" i="37"/>
  <c r="N625" i="37"/>
  <c r="M625" i="37"/>
  <c r="J625" i="37"/>
  <c r="H625" i="37"/>
  <c r="N624" i="37"/>
  <c r="M624" i="37"/>
  <c r="J624" i="37"/>
  <c r="H624" i="37"/>
  <c r="N614" i="37"/>
  <c r="M614" i="37"/>
  <c r="J614" i="37"/>
  <c r="H614" i="37"/>
  <c r="N620" i="37"/>
  <c r="M620" i="37"/>
  <c r="J620" i="37"/>
  <c r="H620" i="37"/>
  <c r="N619" i="37"/>
  <c r="M619" i="37"/>
  <c r="J619" i="37"/>
  <c r="H619" i="37"/>
  <c r="N618" i="37"/>
  <c r="M618" i="37"/>
  <c r="J618" i="37"/>
  <c r="H618" i="37"/>
  <c r="N613" i="37"/>
  <c r="M613" i="37"/>
  <c r="J613" i="37"/>
  <c r="H613" i="37"/>
  <c r="N612" i="37"/>
  <c r="M612" i="37"/>
  <c r="J612" i="37"/>
  <c r="H612" i="37"/>
  <c r="N611" i="37"/>
  <c r="M611" i="37"/>
  <c r="J611" i="37"/>
  <c r="H611" i="37"/>
  <c r="H59" i="50"/>
  <c r="G59" i="50"/>
  <c r="F59" i="50"/>
  <c r="H58" i="50"/>
  <c r="G58" i="50"/>
  <c r="F58" i="50"/>
  <c r="H57" i="50"/>
  <c r="G57" i="50"/>
  <c r="F57" i="50"/>
  <c r="N609" i="37"/>
  <c r="M609" i="37"/>
  <c r="J609" i="37"/>
  <c r="H609" i="37"/>
  <c r="N608" i="37"/>
  <c r="M608" i="37"/>
  <c r="J608" i="37"/>
  <c r="H608" i="37"/>
  <c r="N607" i="37"/>
  <c r="M607" i="37"/>
  <c r="J607" i="37"/>
  <c r="H607" i="37"/>
  <c r="E3" i="50"/>
  <c r="H56" i="50"/>
  <c r="G56" i="50"/>
  <c r="F56" i="50"/>
  <c r="N691" i="37"/>
  <c r="M691" i="37"/>
  <c r="J691" i="37"/>
  <c r="H691" i="37"/>
  <c r="E37" i="50"/>
  <c r="N690" i="37"/>
  <c r="M690" i="37"/>
  <c r="J690" i="37"/>
  <c r="H690" i="37"/>
  <c r="N689" i="37"/>
  <c r="M689" i="37"/>
  <c r="J689" i="37"/>
  <c r="H689" i="37"/>
  <c r="E26" i="50"/>
  <c r="E19" i="50"/>
  <c r="H55" i="50"/>
  <c r="G55" i="50"/>
  <c r="F55" i="50"/>
  <c r="H54" i="50"/>
  <c r="G54" i="50"/>
  <c r="F54" i="50"/>
  <c r="E18" i="50"/>
  <c r="F88" i="52"/>
  <c r="C18" i="50"/>
  <c r="E88" i="52"/>
  <c r="A88" i="52"/>
  <c r="E17" i="50"/>
  <c r="F87" i="52"/>
  <c r="C17" i="50"/>
  <c r="E87" i="52"/>
  <c r="A87" i="52"/>
  <c r="F86" i="52"/>
  <c r="E86" i="52"/>
  <c r="A86" i="52"/>
  <c r="F85" i="52"/>
  <c r="E85" i="52"/>
  <c r="A85" i="52"/>
  <c r="E11" i="50"/>
  <c r="F84" i="52"/>
  <c r="C11" i="50"/>
  <c r="E84" i="52"/>
  <c r="A84" i="52"/>
  <c r="E5" i="50"/>
  <c r="F83" i="52"/>
  <c r="C5" i="50"/>
  <c r="E83" i="52"/>
  <c r="A83" i="52"/>
  <c r="F82" i="52"/>
  <c r="C42" i="50"/>
  <c r="E82" i="52"/>
  <c r="A82" i="52"/>
  <c r="E31" i="50"/>
  <c r="F81" i="52"/>
  <c r="C31" i="50"/>
  <c r="E81" i="52"/>
  <c r="A81" i="52"/>
  <c r="F80" i="52"/>
  <c r="E80" i="52"/>
  <c r="A80" i="52"/>
  <c r="F79" i="52"/>
  <c r="E79" i="52"/>
  <c r="A79" i="52"/>
  <c r="F78" i="52"/>
  <c r="E78" i="52"/>
  <c r="A78" i="52"/>
  <c r="F77" i="52"/>
  <c r="E77" i="52"/>
  <c r="A77" i="52"/>
  <c r="F76" i="52"/>
  <c r="E76" i="52"/>
  <c r="A76" i="52"/>
  <c r="F75" i="52"/>
  <c r="E75" i="52"/>
  <c r="A75" i="52"/>
  <c r="E21" i="50"/>
  <c r="F74" i="52"/>
  <c r="C21" i="50"/>
  <c r="E74" i="52"/>
  <c r="A74" i="52"/>
  <c r="E53" i="50"/>
  <c r="F73" i="52"/>
  <c r="C53" i="50"/>
  <c r="E73" i="52"/>
  <c r="A73" i="52"/>
  <c r="F72" i="52"/>
  <c r="C50" i="50"/>
  <c r="E72" i="52"/>
  <c r="A72" i="52"/>
  <c r="I115" i="35"/>
  <c r="J115" i="35"/>
  <c r="K115" i="35"/>
  <c r="L115" i="35"/>
  <c r="H115" i="35"/>
  <c r="I116" i="35"/>
  <c r="J116" i="35"/>
  <c r="H116" i="35"/>
  <c r="I117" i="35"/>
  <c r="J117" i="35"/>
  <c r="H117" i="35"/>
  <c r="I118" i="35"/>
  <c r="J118" i="35"/>
  <c r="H118" i="35"/>
  <c r="I119" i="35"/>
  <c r="J119" i="35"/>
  <c r="H119" i="35"/>
  <c r="I120" i="35"/>
  <c r="J120" i="35"/>
  <c r="K120" i="35"/>
  <c r="L120" i="35"/>
  <c r="H120" i="35"/>
  <c r="I121" i="35"/>
  <c r="J121" i="35"/>
  <c r="H121" i="35"/>
  <c r="I122" i="35"/>
  <c r="J122" i="35"/>
  <c r="H122" i="35"/>
  <c r="I123" i="35"/>
  <c r="J123" i="35"/>
  <c r="H123" i="35"/>
  <c r="I124" i="35"/>
  <c r="J124" i="35"/>
  <c r="H124" i="35"/>
  <c r="I125" i="35"/>
  <c r="J125" i="35"/>
  <c r="H125" i="35"/>
  <c r="I126" i="35"/>
  <c r="J126" i="35"/>
  <c r="H126" i="35"/>
  <c r="I127" i="35"/>
  <c r="J127" i="35"/>
  <c r="H127" i="35"/>
  <c r="I128" i="35"/>
  <c r="J128" i="35"/>
  <c r="H128" i="35"/>
  <c r="I129" i="35"/>
  <c r="J129" i="35"/>
  <c r="H129" i="35"/>
  <c r="I130" i="35"/>
  <c r="J130" i="35"/>
  <c r="H130" i="35"/>
  <c r="I131" i="35"/>
  <c r="J131" i="35"/>
  <c r="H131" i="35"/>
  <c r="I132" i="35"/>
  <c r="J132" i="35"/>
  <c r="H132" i="35"/>
  <c r="I133" i="35"/>
  <c r="J133" i="35"/>
  <c r="H133" i="35"/>
  <c r="I134" i="35"/>
  <c r="J134" i="35"/>
  <c r="H134" i="35"/>
  <c r="I135" i="35"/>
  <c r="J135" i="35"/>
  <c r="H135" i="35"/>
  <c r="I136" i="35"/>
  <c r="J136" i="35"/>
  <c r="H136" i="35"/>
  <c r="I137" i="35"/>
  <c r="J137" i="35"/>
  <c r="H137" i="35"/>
  <c r="I138" i="35"/>
  <c r="J138" i="35"/>
  <c r="H138" i="35"/>
  <c r="I139" i="35"/>
  <c r="J139" i="35"/>
  <c r="H139" i="35"/>
  <c r="I140" i="35"/>
  <c r="J140" i="35"/>
  <c r="H140" i="35"/>
  <c r="I141" i="35"/>
  <c r="K141" i="35"/>
  <c r="L141" i="35"/>
  <c r="J141" i="35"/>
  <c r="H141" i="35"/>
  <c r="I142" i="35"/>
  <c r="K142" i="35"/>
  <c r="L142" i="35"/>
  <c r="J142" i="35"/>
  <c r="H142" i="35"/>
  <c r="I143" i="35"/>
  <c r="K143" i="35"/>
  <c r="L143" i="35"/>
  <c r="J143" i="35"/>
  <c r="H143" i="35"/>
  <c r="I144" i="35"/>
  <c r="J144" i="35"/>
  <c r="H144" i="35"/>
  <c r="I145" i="35"/>
  <c r="J145" i="35"/>
  <c r="H145" i="35"/>
  <c r="I146" i="35"/>
  <c r="J146" i="35"/>
  <c r="H146" i="35"/>
  <c r="I147" i="35"/>
  <c r="J147" i="35"/>
  <c r="H147" i="35"/>
  <c r="I148" i="35"/>
  <c r="J148" i="35"/>
  <c r="K148" i="35"/>
  <c r="L148" i="35"/>
  <c r="H148" i="35"/>
  <c r="I158" i="35"/>
  <c r="D4" i="24"/>
  <c r="K158" i="35"/>
  <c r="L158" i="35"/>
  <c r="H158" i="35"/>
  <c r="I159" i="35"/>
  <c r="D6" i="24"/>
  <c r="K159" i="35"/>
  <c r="L159" i="35"/>
  <c r="H159" i="35"/>
  <c r="I160" i="35"/>
  <c r="D5" i="24"/>
  <c r="K160" i="35"/>
  <c r="L160" i="35"/>
  <c r="H160" i="35"/>
  <c r="I161" i="35"/>
  <c r="D3" i="24"/>
  <c r="K161" i="35"/>
  <c r="L161" i="35"/>
  <c r="H161" i="35"/>
  <c r="I162" i="35"/>
  <c r="J162" i="35"/>
  <c r="H162" i="35"/>
  <c r="I163" i="35"/>
  <c r="J163" i="35"/>
  <c r="H163" i="35"/>
  <c r="I164" i="35"/>
  <c r="J164" i="35"/>
  <c r="H164" i="35"/>
  <c r="I165" i="35"/>
  <c r="J165" i="35"/>
  <c r="H165" i="35"/>
  <c r="I166" i="35"/>
  <c r="J166" i="35"/>
  <c r="H166" i="35"/>
  <c r="I167" i="35"/>
  <c r="J167" i="35"/>
  <c r="H167" i="35"/>
  <c r="I168" i="35"/>
  <c r="J168" i="35"/>
  <c r="H168" i="35"/>
  <c r="I249" i="35"/>
  <c r="J249" i="35"/>
  <c r="H249" i="35"/>
  <c r="I250" i="35"/>
  <c r="J250" i="35"/>
  <c r="H250" i="35"/>
  <c r="I251" i="35"/>
  <c r="K251" i="35"/>
  <c r="L251" i="35"/>
  <c r="H251" i="35"/>
  <c r="I252" i="35"/>
  <c r="D7" i="24"/>
  <c r="K252" i="35"/>
  <c r="L252" i="35"/>
  <c r="H252" i="35"/>
  <c r="I253" i="35"/>
  <c r="K253" i="35"/>
  <c r="L253" i="35"/>
  <c r="H253" i="35"/>
  <c r="I254" i="35"/>
  <c r="D8" i="24"/>
  <c r="K254" i="35"/>
  <c r="L254" i="35"/>
  <c r="H254" i="35"/>
  <c r="I3" i="35"/>
  <c r="J3" i="35"/>
  <c r="H3" i="35"/>
  <c r="D193" i="37"/>
  <c r="I4" i="35"/>
  <c r="J4" i="35"/>
  <c r="H4" i="35"/>
  <c r="D194" i="37"/>
  <c r="I5" i="35"/>
  <c r="D9" i="24"/>
  <c r="K5" i="35"/>
  <c r="L5" i="35"/>
  <c r="H5" i="35"/>
  <c r="D195" i="37"/>
  <c r="D196" i="37"/>
  <c r="I7" i="35"/>
  <c r="J7" i="35"/>
  <c r="H7" i="35"/>
  <c r="D197" i="37"/>
  <c r="I149" i="35"/>
  <c r="J149" i="35"/>
  <c r="H149" i="35"/>
  <c r="I150" i="35"/>
  <c r="J150" i="35"/>
  <c r="H150" i="35"/>
  <c r="I151" i="35"/>
  <c r="J151" i="35"/>
  <c r="H151" i="35"/>
  <c r="I152" i="35"/>
  <c r="J152" i="35"/>
  <c r="H152" i="35"/>
  <c r="I153" i="35"/>
  <c r="J153" i="35"/>
  <c r="H153" i="35"/>
  <c r="I154" i="35"/>
  <c r="J154" i="35"/>
  <c r="H154" i="35"/>
  <c r="I155" i="35"/>
  <c r="J155" i="35"/>
  <c r="H155" i="35"/>
  <c r="I156" i="35"/>
  <c r="J156" i="35"/>
  <c r="H156" i="35"/>
  <c r="I170" i="35"/>
  <c r="J170" i="35"/>
  <c r="H170" i="35"/>
  <c r="I171" i="35"/>
  <c r="J171" i="35"/>
  <c r="H171" i="35"/>
  <c r="I172" i="35"/>
  <c r="J172" i="35"/>
  <c r="H172" i="35"/>
  <c r="I173" i="35"/>
  <c r="J173" i="35"/>
  <c r="H173" i="35"/>
  <c r="I174" i="35"/>
  <c r="J174" i="35"/>
  <c r="H174" i="35"/>
  <c r="I175" i="35"/>
  <c r="J175" i="35"/>
  <c r="H175" i="35"/>
  <c r="I176" i="35"/>
  <c r="J176" i="35"/>
  <c r="H176" i="35"/>
  <c r="I177" i="35"/>
  <c r="J177" i="35"/>
  <c r="H177" i="35"/>
  <c r="I248" i="35"/>
  <c r="J248" i="35"/>
  <c r="H248" i="35"/>
  <c r="I8" i="35"/>
  <c r="J8" i="35"/>
  <c r="H8" i="35"/>
  <c r="D217" i="37"/>
  <c r="I9" i="35"/>
  <c r="J9" i="35"/>
  <c r="H9" i="35"/>
  <c r="D218" i="37"/>
  <c r="I10" i="35"/>
  <c r="J10" i="35"/>
  <c r="H10" i="35"/>
  <c r="D219" i="37"/>
  <c r="I12" i="35"/>
  <c r="J12" i="35"/>
  <c r="H12" i="35"/>
  <c r="D222" i="37"/>
  <c r="I13" i="35"/>
  <c r="J13" i="35"/>
  <c r="H13" i="35"/>
  <c r="D223" i="37"/>
  <c r="I14" i="35"/>
  <c r="J14" i="35"/>
  <c r="H14" i="35"/>
  <c r="D224" i="37"/>
  <c r="I267" i="35"/>
  <c r="J267" i="35"/>
  <c r="H267" i="35"/>
  <c r="I178" i="35"/>
  <c r="J178" i="35"/>
  <c r="H178" i="35"/>
  <c r="I179" i="35"/>
  <c r="K179" i="35"/>
  <c r="L179" i="35"/>
  <c r="H179" i="35"/>
  <c r="I180" i="35"/>
  <c r="K180" i="35"/>
  <c r="L180" i="35"/>
  <c r="H180" i="35"/>
  <c r="I182" i="35"/>
  <c r="K182" i="35"/>
  <c r="L182" i="35"/>
  <c r="H182" i="35"/>
  <c r="I183" i="35"/>
  <c r="K183" i="35"/>
  <c r="L183" i="35"/>
  <c r="H183" i="35"/>
  <c r="I184" i="35"/>
  <c r="K184" i="35"/>
  <c r="L184" i="35"/>
  <c r="H184" i="35"/>
  <c r="I185" i="35"/>
  <c r="J185" i="35"/>
  <c r="H185" i="35"/>
  <c r="I186" i="35"/>
  <c r="K186" i="35"/>
  <c r="L186" i="35"/>
  <c r="H186" i="35"/>
  <c r="I187" i="35"/>
  <c r="K187" i="35"/>
  <c r="L187" i="35"/>
  <c r="H187" i="35"/>
  <c r="I188" i="35"/>
  <c r="K188" i="35"/>
  <c r="L188" i="35"/>
  <c r="H188" i="35"/>
  <c r="I189" i="35"/>
  <c r="J189" i="35"/>
  <c r="H189" i="35"/>
  <c r="I190" i="35"/>
  <c r="K190" i="35"/>
  <c r="L190" i="35"/>
  <c r="H190" i="35"/>
  <c r="I191" i="35"/>
  <c r="K191" i="35"/>
  <c r="L191" i="35"/>
  <c r="H191" i="35"/>
  <c r="I192" i="35"/>
  <c r="K192" i="35"/>
  <c r="L192" i="35"/>
  <c r="H192" i="35"/>
  <c r="I193" i="35"/>
  <c r="J193" i="35"/>
  <c r="H193" i="35"/>
  <c r="I194" i="35"/>
  <c r="K194" i="35"/>
  <c r="L194" i="35"/>
  <c r="H194" i="35"/>
  <c r="I195" i="35"/>
  <c r="K195" i="35"/>
  <c r="L195" i="35"/>
  <c r="H195" i="35"/>
  <c r="I196" i="35"/>
  <c r="K196" i="35"/>
  <c r="L196" i="35"/>
  <c r="H196" i="35"/>
  <c r="G476" i="37"/>
  <c r="C476" i="37"/>
  <c r="G477" i="37"/>
  <c r="C477" i="37"/>
  <c r="G479" i="37"/>
  <c r="C479" i="37"/>
  <c r="G481" i="37"/>
  <c r="C481" i="37"/>
  <c r="G482" i="37"/>
  <c r="C482" i="37"/>
  <c r="G483" i="37"/>
  <c r="C483" i="37"/>
  <c r="G484" i="37"/>
  <c r="C484" i="37"/>
  <c r="G486" i="37"/>
  <c r="C486" i="37"/>
  <c r="G487" i="37"/>
  <c r="C487" i="37"/>
  <c r="G488" i="37"/>
  <c r="C488" i="37"/>
  <c r="G489" i="37"/>
  <c r="C489" i="37"/>
  <c r="G491" i="37"/>
  <c r="C491" i="37"/>
  <c r="G492" i="37"/>
  <c r="C492" i="37"/>
  <c r="G493" i="37"/>
  <c r="C493" i="37"/>
  <c r="G494" i="37"/>
  <c r="C494" i="37"/>
  <c r="G496" i="37"/>
  <c r="C496" i="37"/>
  <c r="G497" i="37"/>
  <c r="C497" i="37"/>
  <c r="G498" i="37"/>
  <c r="C498" i="37"/>
  <c r="G499" i="37"/>
  <c r="C499" i="37"/>
  <c r="G501" i="37"/>
  <c r="C501" i="37"/>
  <c r="G502" i="37"/>
  <c r="C502" i="37"/>
  <c r="G503" i="37"/>
  <c r="C503" i="37"/>
  <c r="G504" i="37"/>
  <c r="C504" i="37"/>
  <c r="G506" i="37"/>
  <c r="C506" i="37"/>
  <c r="G507" i="37"/>
  <c r="C507" i="37"/>
  <c r="G508" i="37"/>
  <c r="C508" i="37"/>
  <c r="G509" i="37"/>
  <c r="C509" i="37"/>
  <c r="G511" i="37"/>
  <c r="C511" i="37"/>
  <c r="G513" i="37"/>
  <c r="C513" i="37"/>
  <c r="G514" i="37"/>
  <c r="C514" i="37"/>
  <c r="G515" i="37"/>
  <c r="C515" i="37"/>
  <c r="G517" i="37"/>
  <c r="C517" i="37"/>
  <c r="G518" i="37"/>
  <c r="C518" i="37"/>
  <c r="G519" i="37"/>
  <c r="C519" i="37"/>
  <c r="G520" i="37"/>
  <c r="C520" i="37"/>
  <c r="I232" i="35"/>
  <c r="J232" i="35"/>
  <c r="H232" i="35"/>
  <c r="G522" i="37"/>
  <c r="C522" i="37"/>
  <c r="G523" i="37"/>
  <c r="C523" i="37"/>
  <c r="G524" i="37"/>
  <c r="C524" i="37"/>
  <c r="G525" i="37"/>
  <c r="C525" i="37"/>
  <c r="I233" i="35"/>
  <c r="J233" i="35"/>
  <c r="H233" i="35"/>
  <c r="G527" i="37"/>
  <c r="C527" i="37"/>
  <c r="G528" i="37"/>
  <c r="C528" i="37"/>
  <c r="G529" i="37"/>
  <c r="C529" i="37"/>
  <c r="G530" i="37"/>
  <c r="C530" i="37"/>
  <c r="I234" i="35"/>
  <c r="J234" i="35"/>
  <c r="H234" i="35"/>
  <c r="G532" i="37"/>
  <c r="C532" i="37"/>
  <c r="G533" i="37"/>
  <c r="C533" i="37"/>
  <c r="G534" i="37"/>
  <c r="C534" i="37"/>
  <c r="G535" i="37"/>
  <c r="C535" i="37"/>
  <c r="I235" i="35"/>
  <c r="J235" i="35"/>
  <c r="H235" i="35"/>
  <c r="G537" i="37"/>
  <c r="C537" i="37"/>
  <c r="G538" i="37"/>
  <c r="C538" i="37"/>
  <c r="G539" i="37"/>
  <c r="C539" i="37"/>
  <c r="G540" i="37"/>
  <c r="C540" i="37"/>
  <c r="I236" i="35"/>
  <c r="J236" i="35"/>
  <c r="H236" i="35"/>
  <c r="G542" i="37"/>
  <c r="C542" i="37"/>
  <c r="G543" i="37"/>
  <c r="C543" i="37"/>
  <c r="G544" i="37"/>
  <c r="C544" i="37"/>
  <c r="G545" i="37"/>
  <c r="C545" i="37"/>
  <c r="I237" i="35"/>
  <c r="J237" i="35"/>
  <c r="H237" i="35"/>
  <c r="G547" i="37"/>
  <c r="C547" i="37"/>
  <c r="G548" i="37"/>
  <c r="C548" i="37"/>
  <c r="I238" i="35"/>
  <c r="J238" i="35"/>
  <c r="H238" i="35"/>
  <c r="G550" i="37"/>
  <c r="C550" i="37"/>
  <c r="I239" i="35"/>
  <c r="J239" i="35"/>
  <c r="H239" i="35"/>
  <c r="G552" i="37"/>
  <c r="C552" i="37"/>
  <c r="G553" i="37"/>
  <c r="C553" i="37"/>
  <c r="G554" i="37"/>
  <c r="C554" i="37"/>
  <c r="G555" i="37"/>
  <c r="C555" i="37"/>
  <c r="I240" i="35"/>
  <c r="J240" i="35"/>
  <c r="H240" i="35"/>
  <c r="G557" i="37"/>
  <c r="C557" i="37"/>
  <c r="G558" i="37"/>
  <c r="C558" i="37"/>
  <c r="G559" i="37"/>
  <c r="C559" i="37"/>
  <c r="G560" i="37"/>
  <c r="C560" i="37"/>
  <c r="I241" i="35"/>
  <c r="J241" i="35"/>
  <c r="H241" i="35"/>
  <c r="G562" i="37"/>
  <c r="C562" i="37"/>
  <c r="G563" i="37"/>
  <c r="C563" i="37"/>
  <c r="G564" i="37"/>
  <c r="C564" i="37"/>
  <c r="G565" i="37"/>
  <c r="C565" i="37"/>
  <c r="I242" i="35"/>
  <c r="J242" i="35"/>
  <c r="H242" i="35"/>
  <c r="G567" i="37"/>
  <c r="C567" i="37"/>
  <c r="G568" i="37"/>
  <c r="C568" i="37"/>
  <c r="G569" i="37"/>
  <c r="C569" i="37"/>
  <c r="G570" i="37"/>
  <c r="C570" i="37"/>
  <c r="I243" i="35"/>
  <c r="J243" i="35"/>
  <c r="H243" i="35"/>
  <c r="G572" i="37"/>
  <c r="C572" i="37"/>
  <c r="G573" i="37"/>
  <c r="C573" i="37"/>
  <c r="G574" i="37"/>
  <c r="C574" i="37"/>
  <c r="G575" i="37"/>
  <c r="C575" i="37"/>
  <c r="I244" i="35"/>
  <c r="J244" i="35"/>
  <c r="H244" i="35"/>
  <c r="G577" i="37"/>
  <c r="C577" i="37"/>
  <c r="G578" i="37"/>
  <c r="C578" i="37"/>
  <c r="G579" i="37"/>
  <c r="C579" i="37"/>
  <c r="G580" i="37"/>
  <c r="C580" i="37"/>
  <c r="I245" i="35"/>
  <c r="J245" i="35"/>
  <c r="H245" i="35"/>
  <c r="G582" i="37"/>
  <c r="C582" i="37"/>
  <c r="G583" i="37"/>
  <c r="C583" i="37"/>
  <c r="G584" i="37"/>
  <c r="C584" i="37"/>
  <c r="G585" i="37"/>
  <c r="C585" i="37"/>
  <c r="I246" i="35"/>
  <c r="J246" i="35"/>
  <c r="H246" i="35"/>
  <c r="G587" i="37"/>
  <c r="C587" i="37"/>
  <c r="G588" i="37"/>
  <c r="C588" i="37"/>
  <c r="G589" i="37"/>
  <c r="C589" i="37"/>
  <c r="G590" i="37"/>
  <c r="C590" i="37"/>
  <c r="E4" i="50"/>
  <c r="E6" i="50"/>
  <c r="E7" i="50"/>
  <c r="E8" i="50"/>
  <c r="E9" i="50"/>
  <c r="E10" i="50"/>
  <c r="E12" i="50"/>
  <c r="E13" i="50"/>
  <c r="E14" i="50"/>
  <c r="E15" i="50"/>
  <c r="E16" i="50"/>
  <c r="E20" i="50"/>
  <c r="E27" i="50"/>
  <c r="E28" i="50"/>
  <c r="E29" i="50"/>
  <c r="E30" i="50"/>
  <c r="E39" i="50"/>
  <c r="E40" i="50"/>
  <c r="E41" i="50"/>
  <c r="E45" i="50"/>
  <c r="E46" i="50"/>
  <c r="E44" i="50"/>
  <c r="G695" i="37"/>
  <c r="J695" i="37"/>
  <c r="C695" i="37"/>
  <c r="E49" i="50"/>
  <c r="E47" i="50"/>
  <c r="E48" i="50"/>
  <c r="E52" i="50"/>
  <c r="I159" i="24"/>
  <c r="I158" i="24"/>
  <c r="I157" i="24"/>
  <c r="I156" i="24"/>
  <c r="I155" i="24"/>
  <c r="I154" i="24"/>
  <c r="I153" i="24"/>
  <c r="I152" i="24"/>
  <c r="I161" i="24"/>
  <c r="D161" i="24"/>
  <c r="I166" i="24"/>
  <c r="G165" i="24"/>
  <c r="I165" i="24"/>
  <c r="G164" i="24"/>
  <c r="I164" i="24"/>
  <c r="I163" i="24"/>
  <c r="G162" i="24"/>
  <c r="I162" i="24"/>
  <c r="G160" i="24"/>
  <c r="I160" i="24"/>
  <c r="D166" i="24"/>
  <c r="I114" i="24"/>
  <c r="D114" i="24"/>
  <c r="I112" i="24"/>
  <c r="D112" i="24"/>
  <c r="D163" i="24"/>
  <c r="L150" i="35"/>
  <c r="L149" i="35"/>
  <c r="L147" i="35"/>
  <c r="L146" i="35"/>
  <c r="L145" i="35"/>
  <c r="L144" i="35"/>
  <c r="E40" i="26"/>
  <c r="E41" i="26"/>
  <c r="E42" i="26"/>
  <c r="E43" i="26"/>
  <c r="E44" i="26"/>
  <c r="K146" i="35"/>
  <c r="K144" i="35"/>
  <c r="K147" i="35"/>
  <c r="K145" i="35"/>
  <c r="H31" i="37"/>
  <c r="H32" i="37"/>
  <c r="H33" i="37"/>
  <c r="H34" i="37"/>
  <c r="H35" i="37"/>
  <c r="H29" i="37"/>
  <c r="M29" i="37"/>
  <c r="N29" i="37"/>
  <c r="A36" i="51"/>
  <c r="A37" i="51"/>
  <c r="A38" i="51"/>
  <c r="A39" i="51"/>
  <c r="A40" i="51"/>
  <c r="A41" i="51"/>
  <c r="A42" i="51"/>
  <c r="A43" i="51"/>
  <c r="A44" i="51"/>
  <c r="A45" i="51"/>
  <c r="A46" i="51"/>
  <c r="A47" i="51"/>
  <c r="A50" i="51"/>
  <c r="A51" i="51"/>
  <c r="A52" i="51"/>
  <c r="A53" i="51"/>
  <c r="A54" i="51"/>
  <c r="A55" i="51"/>
  <c r="A56" i="51"/>
  <c r="A57" i="51"/>
  <c r="E57" i="51"/>
  <c r="A58" i="51"/>
  <c r="E58" i="51"/>
  <c r="A59" i="51"/>
  <c r="E59" i="51"/>
  <c r="A60" i="51"/>
  <c r="E60" i="51"/>
  <c r="A61" i="51"/>
  <c r="A62" i="51"/>
  <c r="E62" i="51"/>
  <c r="A63" i="51"/>
  <c r="E63" i="51"/>
  <c r="A64" i="51"/>
  <c r="E64" i="51"/>
  <c r="A65" i="51"/>
  <c r="E65" i="51"/>
  <c r="A66" i="51"/>
  <c r="E66" i="51"/>
  <c r="A67" i="51"/>
  <c r="E67" i="51"/>
  <c r="A68" i="51"/>
  <c r="E68" i="51"/>
  <c r="A69" i="51"/>
  <c r="A70" i="51"/>
  <c r="A71" i="51"/>
  <c r="E71" i="51"/>
  <c r="A72" i="51"/>
  <c r="E72" i="51"/>
  <c r="A73" i="51"/>
  <c r="E73" i="51"/>
  <c r="A74" i="51"/>
  <c r="E74" i="51"/>
  <c r="A75" i="51"/>
  <c r="E75" i="51"/>
  <c r="A76" i="51"/>
  <c r="E76" i="51"/>
  <c r="A77" i="51"/>
  <c r="E77" i="51"/>
  <c r="A78" i="51"/>
  <c r="E78" i="51"/>
  <c r="A79" i="51"/>
  <c r="E79" i="51"/>
  <c r="A80" i="51"/>
  <c r="E80" i="51"/>
  <c r="A81" i="51"/>
  <c r="E81" i="51"/>
  <c r="A82" i="51"/>
  <c r="A83" i="51"/>
  <c r="A84" i="51"/>
  <c r="E84" i="51"/>
  <c r="A85" i="51"/>
  <c r="E85" i="51"/>
  <c r="A86" i="51"/>
  <c r="E86" i="51"/>
  <c r="A87" i="51"/>
  <c r="E87" i="51"/>
  <c r="A88" i="51"/>
  <c r="E88" i="51"/>
  <c r="A89" i="51"/>
  <c r="E89" i="51"/>
  <c r="A90" i="51"/>
  <c r="E90" i="51"/>
  <c r="A91" i="51"/>
  <c r="E91" i="51"/>
  <c r="A92" i="51"/>
  <c r="E92" i="51"/>
  <c r="A93" i="51"/>
  <c r="E93" i="51"/>
  <c r="A94" i="51"/>
  <c r="E94" i="51"/>
  <c r="A95" i="51"/>
  <c r="E95" i="51"/>
  <c r="A96" i="51"/>
  <c r="E96" i="51"/>
  <c r="A97" i="51"/>
  <c r="E97" i="51"/>
  <c r="A98" i="51"/>
  <c r="E98" i="51"/>
  <c r="A99" i="51"/>
  <c r="E99" i="51"/>
  <c r="A100" i="51"/>
  <c r="E100" i="51"/>
  <c r="A101" i="51"/>
  <c r="E101" i="51"/>
  <c r="A102" i="51"/>
  <c r="E102" i="51"/>
  <c r="A103" i="51"/>
  <c r="E103" i="51"/>
  <c r="A104" i="51"/>
  <c r="E104" i="51"/>
  <c r="A105" i="51"/>
  <c r="E105" i="51"/>
  <c r="A106" i="51"/>
  <c r="E106" i="51"/>
  <c r="A107" i="51"/>
  <c r="E107" i="51"/>
  <c r="A108" i="51"/>
  <c r="E108" i="51"/>
  <c r="A109" i="51"/>
  <c r="E109" i="51"/>
  <c r="A110" i="51"/>
  <c r="E110" i="51"/>
  <c r="A111" i="51"/>
  <c r="E111" i="51"/>
  <c r="A112" i="51"/>
  <c r="E112" i="51"/>
  <c r="A113" i="51"/>
  <c r="E113" i="51"/>
  <c r="A114" i="51"/>
  <c r="E114" i="51"/>
  <c r="A115" i="51"/>
  <c r="E115" i="51"/>
  <c r="A116" i="51"/>
  <c r="E116" i="51"/>
  <c r="A117" i="51"/>
  <c r="E117" i="51"/>
  <c r="A118" i="51"/>
  <c r="E118" i="51"/>
  <c r="A119" i="51"/>
  <c r="E119" i="51"/>
  <c r="A120" i="51"/>
  <c r="E120" i="51"/>
  <c r="A121" i="51"/>
  <c r="E121" i="51"/>
  <c r="A122" i="51"/>
  <c r="E122" i="51"/>
  <c r="A123" i="51"/>
  <c r="E123" i="51"/>
  <c r="A124" i="51"/>
  <c r="E124" i="51"/>
  <c r="A125" i="51"/>
  <c r="E125" i="51"/>
  <c r="A126" i="51"/>
  <c r="E126" i="51"/>
  <c r="A127" i="51"/>
  <c r="E127" i="51"/>
  <c r="A128" i="51"/>
  <c r="E128" i="51"/>
  <c r="A129" i="51"/>
  <c r="E129" i="51"/>
  <c r="A130" i="51"/>
  <c r="E130" i="51"/>
  <c r="A131" i="51"/>
  <c r="E131" i="51"/>
  <c r="A132" i="51"/>
  <c r="E132" i="51"/>
  <c r="A133" i="51"/>
  <c r="E133" i="51"/>
  <c r="A134" i="51"/>
  <c r="E134" i="51"/>
  <c r="A135" i="51"/>
  <c r="E135" i="51"/>
  <c r="A136" i="51"/>
  <c r="E136" i="51"/>
  <c r="A137" i="51"/>
  <c r="E137" i="51"/>
  <c r="A138" i="51"/>
  <c r="E138" i="51"/>
  <c r="A139" i="51"/>
  <c r="E139" i="51"/>
  <c r="A140" i="51"/>
  <c r="E140" i="51"/>
  <c r="A141" i="51"/>
  <c r="E141" i="51"/>
  <c r="A142" i="51"/>
  <c r="E142" i="51"/>
  <c r="A143" i="51"/>
  <c r="E143" i="51"/>
  <c r="A144" i="51"/>
  <c r="E144" i="51"/>
  <c r="A145" i="51"/>
  <c r="E145" i="51"/>
  <c r="A146" i="51"/>
  <c r="E146" i="51"/>
  <c r="A147" i="51"/>
  <c r="E147" i="51"/>
  <c r="A148" i="51"/>
  <c r="E148" i="51"/>
  <c r="A149" i="51"/>
  <c r="E149" i="51"/>
  <c r="A150" i="51"/>
  <c r="E150" i="51"/>
  <c r="A151" i="51"/>
  <c r="E151" i="51"/>
  <c r="A152" i="51"/>
  <c r="E152" i="51"/>
  <c r="A153" i="51"/>
  <c r="E153" i="51"/>
  <c r="A154" i="51"/>
  <c r="E154" i="51"/>
  <c r="A155" i="51"/>
  <c r="E155" i="51"/>
  <c r="A156" i="51"/>
  <c r="E156" i="51"/>
  <c r="A157" i="51"/>
  <c r="E157" i="51"/>
  <c r="A158" i="51"/>
  <c r="E158" i="51"/>
  <c r="A159" i="51"/>
  <c r="E159" i="51"/>
  <c r="A160" i="51"/>
  <c r="E160" i="51"/>
  <c r="A161" i="51"/>
  <c r="E161" i="51"/>
  <c r="A162" i="51"/>
  <c r="E162" i="51"/>
  <c r="A163" i="51"/>
  <c r="E163" i="51"/>
  <c r="A164" i="51"/>
  <c r="E164" i="51"/>
  <c r="A165" i="51"/>
  <c r="E165" i="51"/>
  <c r="A166" i="51"/>
  <c r="E166" i="51"/>
  <c r="A167" i="51"/>
  <c r="E167" i="51"/>
  <c r="A168" i="51"/>
  <c r="E168" i="51"/>
  <c r="A169" i="51"/>
  <c r="E169" i="51"/>
  <c r="A170" i="51"/>
  <c r="E170" i="51"/>
  <c r="A171" i="51"/>
  <c r="E171" i="51"/>
  <c r="A172" i="51"/>
  <c r="E172" i="51"/>
  <c r="A173" i="51"/>
  <c r="E173" i="51"/>
  <c r="A174" i="51"/>
  <c r="E174" i="51"/>
  <c r="A175" i="51"/>
  <c r="E175" i="51"/>
  <c r="A176" i="51"/>
  <c r="E176" i="51"/>
  <c r="A177" i="51"/>
  <c r="E177" i="51"/>
  <c r="A178" i="51"/>
  <c r="E178" i="51"/>
  <c r="A179" i="51"/>
  <c r="E179" i="51"/>
  <c r="A180" i="51"/>
  <c r="E180" i="51"/>
  <c r="A181" i="51"/>
  <c r="E181" i="51"/>
  <c r="A182" i="51"/>
  <c r="E182" i="51"/>
  <c r="A183" i="51"/>
  <c r="E183" i="51"/>
  <c r="A184" i="51"/>
  <c r="E184" i="51"/>
  <c r="A185" i="51"/>
  <c r="E185" i="51"/>
  <c r="A186" i="51"/>
  <c r="E186" i="51"/>
  <c r="A187" i="51"/>
  <c r="E187" i="51"/>
  <c r="A188" i="51"/>
  <c r="E188" i="51"/>
  <c r="A189" i="51"/>
  <c r="E189" i="51"/>
  <c r="A190" i="51"/>
  <c r="E190" i="51"/>
  <c r="A191" i="51"/>
  <c r="E191" i="51"/>
  <c r="A192" i="51"/>
  <c r="E192" i="51"/>
  <c r="A193" i="51"/>
  <c r="E193" i="51"/>
  <c r="A194" i="51"/>
  <c r="E194" i="51"/>
  <c r="A195" i="51"/>
  <c r="E195" i="51"/>
  <c r="A196" i="51"/>
  <c r="E196" i="51"/>
  <c r="A197" i="51"/>
  <c r="E197" i="51"/>
  <c r="A198" i="51"/>
  <c r="E198" i="51"/>
  <c r="A199" i="51"/>
  <c r="E199" i="51"/>
  <c r="A200" i="51"/>
  <c r="E200" i="51"/>
  <c r="E46" i="51"/>
  <c r="E47" i="51"/>
  <c r="E49" i="51"/>
  <c r="E51" i="51"/>
  <c r="E52" i="51"/>
  <c r="E53" i="51"/>
  <c r="E54" i="51"/>
  <c r="E55" i="51"/>
  <c r="E56" i="51"/>
  <c r="H70" i="37"/>
  <c r="H71" i="37"/>
  <c r="H73" i="37"/>
  <c r="H74" i="37"/>
  <c r="H75" i="37"/>
  <c r="H76" i="37"/>
  <c r="H77" i="37"/>
  <c r="H78" i="37"/>
  <c r="H79" i="37"/>
  <c r="L262" i="35"/>
  <c r="L261" i="35"/>
  <c r="L260" i="35"/>
  <c r="L259" i="35"/>
  <c r="L258" i="35"/>
  <c r="L257" i="35"/>
  <c r="K262" i="35"/>
  <c r="K261" i="35"/>
  <c r="K260" i="35"/>
  <c r="K259" i="35"/>
  <c r="K258" i="35"/>
  <c r="K257" i="35"/>
  <c r="J266" i="35"/>
  <c r="J265" i="35"/>
  <c r="J264" i="35"/>
  <c r="J263" i="35"/>
  <c r="J224" i="37"/>
  <c r="J223" i="37"/>
  <c r="H224" i="37"/>
  <c r="H223" i="37"/>
  <c r="L14" i="35"/>
  <c r="L13" i="35"/>
  <c r="K14" i="35"/>
  <c r="K13" i="35"/>
  <c r="E36" i="51"/>
  <c r="E37" i="51"/>
  <c r="E38" i="51"/>
  <c r="E39" i="51"/>
  <c r="E40" i="51"/>
  <c r="E41" i="51"/>
  <c r="E42" i="51"/>
  <c r="E43" i="51"/>
  <c r="E44" i="51"/>
  <c r="E45" i="51"/>
  <c r="H222" i="37"/>
  <c r="J238" i="37"/>
  <c r="J239" i="37"/>
  <c r="H238" i="37"/>
  <c r="L268" i="35"/>
  <c r="K268" i="35"/>
  <c r="L267" i="35"/>
  <c r="K267" i="35"/>
  <c r="G78" i="24"/>
  <c r="I78" i="24"/>
  <c r="G42" i="24"/>
  <c r="E32" i="26"/>
  <c r="J69" i="37"/>
  <c r="H69" i="37"/>
  <c r="M375" i="37"/>
  <c r="M376" i="37"/>
  <c r="J375" i="37"/>
  <c r="J376" i="37"/>
  <c r="H375" i="37"/>
  <c r="H376" i="37"/>
  <c r="E210" i="26"/>
  <c r="J222" i="37"/>
  <c r="J219" i="37"/>
  <c r="J252" i="35"/>
  <c r="J253" i="35"/>
  <c r="J254" i="35"/>
  <c r="G7" i="24"/>
  <c r="G8" i="24"/>
  <c r="G6" i="24"/>
  <c r="G5" i="24"/>
  <c r="I6" i="24"/>
  <c r="I7" i="24"/>
  <c r="I8" i="24"/>
  <c r="H64" i="37"/>
  <c r="H65" i="37"/>
  <c r="H66" i="37"/>
  <c r="H67" i="37"/>
  <c r="H68" i="37"/>
  <c r="J251" i="35"/>
  <c r="L249" i="35"/>
  <c r="L250" i="35"/>
  <c r="K249" i="35"/>
  <c r="K250" i="35"/>
  <c r="D20" i="24"/>
  <c r="L238" i="35"/>
  <c r="K238" i="35"/>
  <c r="G86" i="24"/>
  <c r="I86" i="24"/>
  <c r="D86" i="24"/>
  <c r="K246" i="35"/>
  <c r="L246" i="35"/>
  <c r="M216" i="37"/>
  <c r="L514" i="37"/>
  <c r="L515" i="37"/>
  <c r="L516" i="37"/>
  <c r="L517" i="37"/>
  <c r="L518" i="37"/>
  <c r="L519" i="37"/>
  <c r="L520" i="37"/>
  <c r="L521" i="37"/>
  <c r="L522" i="37"/>
  <c r="L523" i="37"/>
  <c r="L524" i="37"/>
  <c r="L525" i="37"/>
  <c r="L526" i="37"/>
  <c r="L527" i="37"/>
  <c r="L528" i="37"/>
  <c r="L529" i="37"/>
  <c r="L530" i="37"/>
  <c r="L531" i="37"/>
  <c r="L532" i="37"/>
  <c r="L533" i="37"/>
  <c r="L534" i="37"/>
  <c r="L535" i="37"/>
  <c r="L536" i="37"/>
  <c r="L537" i="37"/>
  <c r="L538" i="37"/>
  <c r="L539" i="37"/>
  <c r="L540" i="37"/>
  <c r="L541" i="37"/>
  <c r="L542" i="37"/>
  <c r="L543" i="37"/>
  <c r="L544" i="37"/>
  <c r="L545" i="37"/>
  <c r="L546" i="37"/>
  <c r="L547" i="37"/>
  <c r="L548" i="37"/>
  <c r="L549" i="37"/>
  <c r="L550" i="37"/>
  <c r="L551" i="37"/>
  <c r="L552" i="37"/>
  <c r="L553" i="37"/>
  <c r="L554" i="37"/>
  <c r="L555" i="37"/>
  <c r="L556" i="37"/>
  <c r="L557" i="37"/>
  <c r="L558" i="37"/>
  <c r="L559" i="37"/>
  <c r="L560" i="37"/>
  <c r="L561" i="37"/>
  <c r="L562" i="37"/>
  <c r="L563" i="37"/>
  <c r="L564" i="37"/>
  <c r="L565" i="37"/>
  <c r="L566" i="37"/>
  <c r="L567" i="37"/>
  <c r="L568" i="37"/>
  <c r="L569" i="37"/>
  <c r="L570" i="37"/>
  <c r="L571" i="37"/>
  <c r="L572" i="37"/>
  <c r="L573" i="37"/>
  <c r="L574" i="37"/>
  <c r="L575" i="37"/>
  <c r="L576" i="37"/>
  <c r="L577" i="37"/>
  <c r="L578" i="37"/>
  <c r="L579" i="37"/>
  <c r="L580" i="37"/>
  <c r="L581" i="37"/>
  <c r="L582" i="37"/>
  <c r="L583" i="37"/>
  <c r="L584" i="37"/>
  <c r="L585" i="37"/>
  <c r="L586" i="37"/>
  <c r="L587" i="37"/>
  <c r="L588" i="37"/>
  <c r="L589" i="37"/>
  <c r="J512" i="37"/>
  <c r="H512" i="37"/>
  <c r="G512" i="37"/>
  <c r="L230" i="35"/>
  <c r="K230" i="35"/>
  <c r="L12" i="35"/>
  <c r="K12" i="35"/>
  <c r="M2" i="37"/>
  <c r="L11" i="35"/>
  <c r="K11" i="35"/>
  <c r="E35" i="51"/>
  <c r="E34" i="51"/>
  <c r="E33" i="51"/>
  <c r="E32" i="51"/>
  <c r="E31" i="51"/>
  <c r="E30" i="51"/>
  <c r="E29" i="51"/>
  <c r="E26" i="51"/>
  <c r="E10" i="55"/>
  <c r="K10" i="35"/>
  <c r="L10" i="35"/>
  <c r="H219" i="37"/>
  <c r="D18" i="24"/>
  <c r="M218" i="37"/>
  <c r="M4" i="37"/>
  <c r="N604" i="37"/>
  <c r="M604" i="37"/>
  <c r="J606" i="37"/>
  <c r="H606" i="37"/>
  <c r="H18" i="50"/>
  <c r="G18" i="50"/>
  <c r="F18" i="50"/>
  <c r="M606" i="37"/>
  <c r="F71" i="52"/>
  <c r="E71" i="52"/>
  <c r="A71" i="52"/>
  <c r="F62" i="52"/>
  <c r="E62" i="52"/>
  <c r="A62" i="52"/>
  <c r="F53" i="52"/>
  <c r="M603" i="37"/>
  <c r="C15" i="50"/>
  <c r="E53" i="52"/>
  <c r="A53" i="52"/>
  <c r="F70" i="52"/>
  <c r="M605" i="37"/>
  <c r="E70" i="52"/>
  <c r="A70" i="52"/>
  <c r="F69" i="52"/>
  <c r="M599" i="37"/>
  <c r="E69" i="52"/>
  <c r="A69" i="52"/>
  <c r="F68" i="52"/>
  <c r="M593" i="37"/>
  <c r="E68" i="52"/>
  <c r="A68" i="52"/>
  <c r="F67" i="52"/>
  <c r="M687" i="37"/>
  <c r="E67" i="52"/>
  <c r="A67" i="52"/>
  <c r="F66" i="52"/>
  <c r="M676" i="37"/>
  <c r="E66" i="52"/>
  <c r="A66" i="52"/>
  <c r="F65" i="52"/>
  <c r="M666" i="37"/>
  <c r="E65" i="52"/>
  <c r="A65" i="52"/>
  <c r="F64" i="52"/>
  <c r="E64" i="52"/>
  <c r="A64" i="52"/>
  <c r="F63" i="52"/>
  <c r="M698" i="37"/>
  <c r="E63" i="52"/>
  <c r="A63" i="52"/>
  <c r="F61" i="52"/>
  <c r="C16" i="50"/>
  <c r="E61" i="52"/>
  <c r="A61" i="52"/>
  <c r="F60" i="52"/>
  <c r="M598" i="37"/>
  <c r="C10" i="50"/>
  <c r="E60" i="52"/>
  <c r="A60" i="52"/>
  <c r="F59" i="52"/>
  <c r="M592" i="37"/>
  <c r="C4" i="50"/>
  <c r="E59" i="52"/>
  <c r="A59" i="52"/>
  <c r="F58" i="52"/>
  <c r="M686" i="37"/>
  <c r="C41" i="50"/>
  <c r="E58" i="52"/>
  <c r="A58" i="52"/>
  <c r="F57" i="52"/>
  <c r="M675" i="37"/>
  <c r="C30" i="50"/>
  <c r="E57" i="52"/>
  <c r="A57" i="52"/>
  <c r="F56" i="52"/>
  <c r="M665" i="37"/>
  <c r="C20" i="50"/>
  <c r="E56" i="52"/>
  <c r="A56" i="52"/>
  <c r="F55" i="52"/>
  <c r="C52" i="50"/>
  <c r="E55" i="52"/>
  <c r="A55" i="52"/>
  <c r="F54" i="52"/>
  <c r="E54" i="52"/>
  <c r="A54" i="52"/>
  <c r="F52" i="52"/>
  <c r="E52" i="52"/>
  <c r="A52" i="52"/>
  <c r="F51" i="52"/>
  <c r="M597" i="37"/>
  <c r="C9" i="50"/>
  <c r="E51" i="52"/>
  <c r="A51" i="52"/>
  <c r="F50" i="52"/>
  <c r="M591" i="37"/>
  <c r="C3" i="50"/>
  <c r="E50" i="52"/>
  <c r="A50" i="52"/>
  <c r="F49" i="52"/>
  <c r="M685" i="37"/>
  <c r="C40" i="50"/>
  <c r="E49" i="52"/>
  <c r="A49" i="52"/>
  <c r="F48" i="52"/>
  <c r="M674" i="37"/>
  <c r="C29" i="50"/>
  <c r="E48" i="52"/>
  <c r="A48" i="52"/>
  <c r="F47" i="52"/>
  <c r="M664" i="37"/>
  <c r="E47" i="52"/>
  <c r="A47" i="52"/>
  <c r="F46" i="52"/>
  <c r="M699" i="37"/>
  <c r="C51" i="50"/>
  <c r="E46" i="52"/>
  <c r="A46" i="52"/>
  <c r="F45" i="52"/>
  <c r="E45" i="52"/>
  <c r="A45" i="52"/>
  <c r="E27" i="51"/>
  <c r="E28" i="51"/>
  <c r="E23" i="51"/>
  <c r="E24" i="51"/>
  <c r="E25" i="51"/>
  <c r="E20" i="51"/>
  <c r="E21" i="51"/>
  <c r="E22" i="51"/>
  <c r="E17" i="51"/>
  <c r="E18" i="51"/>
  <c r="E19" i="51"/>
  <c r="N699" i="37"/>
  <c r="J701" i="37"/>
  <c r="N698" i="37"/>
  <c r="J700" i="37"/>
  <c r="N697" i="37"/>
  <c r="M697" i="37"/>
  <c r="J699" i="37"/>
  <c r="N696" i="37"/>
  <c r="M696" i="37"/>
  <c r="J698" i="37"/>
  <c r="N695" i="37"/>
  <c r="M695" i="37"/>
  <c r="N694" i="37"/>
  <c r="M694" i="37"/>
  <c r="N693" i="37"/>
  <c r="M693" i="37"/>
  <c r="N692" i="37"/>
  <c r="M692" i="37"/>
  <c r="N687" i="37"/>
  <c r="N686" i="37"/>
  <c r="N685" i="37"/>
  <c r="J687" i="37"/>
  <c r="N684" i="37"/>
  <c r="M684" i="37"/>
  <c r="J686" i="37"/>
  <c r="N683" i="37"/>
  <c r="M683" i="37"/>
  <c r="J685" i="37"/>
  <c r="N682" i="37"/>
  <c r="M682" i="37"/>
  <c r="J684" i="37"/>
  <c r="N676" i="37"/>
  <c r="J683" i="37"/>
  <c r="N675" i="37"/>
  <c r="J682" i="37"/>
  <c r="N674" i="37"/>
  <c r="J676" i="37"/>
  <c r="N673" i="37"/>
  <c r="M673" i="37"/>
  <c r="J675" i="37"/>
  <c r="N672" i="37"/>
  <c r="M672" i="37"/>
  <c r="J674" i="37"/>
  <c r="N671" i="37"/>
  <c r="M671" i="37"/>
  <c r="J673" i="37"/>
  <c r="N666" i="37"/>
  <c r="J672" i="37"/>
  <c r="N665" i="37"/>
  <c r="J671" i="37"/>
  <c r="N664" i="37"/>
  <c r="J666" i="37"/>
  <c r="N606" i="37"/>
  <c r="J665" i="37"/>
  <c r="N605" i="37"/>
  <c r="J664" i="37"/>
  <c r="N603" i="37"/>
  <c r="J605" i="37"/>
  <c r="N602" i="37"/>
  <c r="M602" i="37"/>
  <c r="J604" i="37"/>
  <c r="N601" i="37"/>
  <c r="M601" i="37"/>
  <c r="J603" i="37"/>
  <c r="N600" i="37"/>
  <c r="M600" i="37"/>
  <c r="J602" i="37"/>
  <c r="N599" i="37"/>
  <c r="J601" i="37"/>
  <c r="N598" i="37"/>
  <c r="J600" i="37"/>
  <c r="N597" i="37"/>
  <c r="J599" i="37"/>
  <c r="N596" i="37"/>
  <c r="M596" i="37"/>
  <c r="J598" i="37"/>
  <c r="N595" i="37"/>
  <c r="M595" i="37"/>
  <c r="J597" i="37"/>
  <c r="N594" i="37"/>
  <c r="M594" i="37"/>
  <c r="J596" i="37"/>
  <c r="N593" i="37"/>
  <c r="J595" i="37"/>
  <c r="N592" i="37"/>
  <c r="J594" i="37"/>
  <c r="N591" i="37"/>
  <c r="J593" i="37"/>
  <c r="N590" i="37"/>
  <c r="M590" i="37"/>
  <c r="J592" i="37"/>
  <c r="N589" i="37"/>
  <c r="M589" i="37"/>
  <c r="J591" i="37"/>
  <c r="N588" i="37"/>
  <c r="M588" i="37"/>
  <c r="J590" i="37"/>
  <c r="N587" i="37"/>
  <c r="M587" i="37"/>
  <c r="J589" i="37"/>
  <c r="N586" i="37"/>
  <c r="M586" i="37"/>
  <c r="J588" i="37"/>
  <c r="D16" i="24"/>
  <c r="N585" i="37"/>
  <c r="M585" i="37"/>
  <c r="J587" i="37"/>
  <c r="N584" i="37"/>
  <c r="M584" i="37"/>
  <c r="J586" i="37"/>
  <c r="N583" i="37"/>
  <c r="M583" i="37"/>
  <c r="J585" i="37"/>
  <c r="N582" i="37"/>
  <c r="M582" i="37"/>
  <c r="J584" i="37"/>
  <c r="N581" i="37"/>
  <c r="M581" i="37"/>
  <c r="J583" i="37"/>
  <c r="N580" i="37"/>
  <c r="M580" i="37"/>
  <c r="J582" i="37"/>
  <c r="N579" i="37"/>
  <c r="M579" i="37"/>
  <c r="J581" i="37"/>
  <c r="N578" i="37"/>
  <c r="M578" i="37"/>
  <c r="J580" i="37"/>
  <c r="N577" i="37"/>
  <c r="M577" i="37"/>
  <c r="J579" i="37"/>
  <c r="N576" i="37"/>
  <c r="M576" i="37"/>
  <c r="J578" i="37"/>
  <c r="N575" i="37"/>
  <c r="M575" i="37"/>
  <c r="J577" i="37"/>
  <c r="N574" i="37"/>
  <c r="M574" i="37"/>
  <c r="J576" i="37"/>
  <c r="N573" i="37"/>
  <c r="M573" i="37"/>
  <c r="J575" i="37"/>
  <c r="N572" i="37"/>
  <c r="M572" i="37"/>
  <c r="J574" i="37"/>
  <c r="N571" i="37"/>
  <c r="M571" i="37"/>
  <c r="J573" i="37"/>
  <c r="N570" i="37"/>
  <c r="M570" i="37"/>
  <c r="J572" i="37"/>
  <c r="N569" i="37"/>
  <c r="M569" i="37"/>
  <c r="J571" i="37"/>
  <c r="N568" i="37"/>
  <c r="M568" i="37"/>
  <c r="J570" i="37"/>
  <c r="N567" i="37"/>
  <c r="M567" i="37"/>
  <c r="J569" i="37"/>
  <c r="N566" i="37"/>
  <c r="M566" i="37"/>
  <c r="J568" i="37"/>
  <c r="N565" i="37"/>
  <c r="M565" i="37"/>
  <c r="J567" i="37"/>
  <c r="N564" i="37"/>
  <c r="M564" i="37"/>
  <c r="J566" i="37"/>
  <c r="N563" i="37"/>
  <c r="M563" i="37"/>
  <c r="J565" i="37"/>
  <c r="N562" i="37"/>
  <c r="M562" i="37"/>
  <c r="J564" i="37"/>
  <c r="N561" i="37"/>
  <c r="M561" i="37"/>
  <c r="J563" i="37"/>
  <c r="N560" i="37"/>
  <c r="M560" i="37"/>
  <c r="J562" i="37"/>
  <c r="N559" i="37"/>
  <c r="M559" i="37"/>
  <c r="J561" i="37"/>
  <c r="N558" i="37"/>
  <c r="M558" i="37"/>
  <c r="J560" i="37"/>
  <c r="N557" i="37"/>
  <c r="M557" i="37"/>
  <c r="J559" i="37"/>
  <c r="N556" i="37"/>
  <c r="M556" i="37"/>
  <c r="J558" i="37"/>
  <c r="N555" i="37"/>
  <c r="M555" i="37"/>
  <c r="J557" i="37"/>
  <c r="N554" i="37"/>
  <c r="M554" i="37"/>
  <c r="J556" i="37"/>
  <c r="N553" i="37"/>
  <c r="M553" i="37"/>
  <c r="J555" i="37"/>
  <c r="N552" i="37"/>
  <c r="M552" i="37"/>
  <c r="J554" i="37"/>
  <c r="N551" i="37"/>
  <c r="M551" i="37"/>
  <c r="J553" i="37"/>
  <c r="N550" i="37"/>
  <c r="M550" i="37"/>
  <c r="J552" i="37"/>
  <c r="N549" i="37"/>
  <c r="M549" i="37"/>
  <c r="J551" i="37"/>
  <c r="N548" i="37"/>
  <c r="M548" i="37"/>
  <c r="J550" i="37"/>
  <c r="N547" i="37"/>
  <c r="M547" i="37"/>
  <c r="J549" i="37"/>
  <c r="N546" i="37"/>
  <c r="M546" i="37"/>
  <c r="J548" i="37"/>
  <c r="N545" i="37"/>
  <c r="M545" i="37"/>
  <c r="J547" i="37"/>
  <c r="N544" i="37"/>
  <c r="M544" i="37"/>
  <c r="J546" i="37"/>
  <c r="N543" i="37"/>
  <c r="M543" i="37"/>
  <c r="J545" i="37"/>
  <c r="N542" i="37"/>
  <c r="M542" i="37"/>
  <c r="J544" i="37"/>
  <c r="N541" i="37"/>
  <c r="M541" i="37"/>
  <c r="J543" i="37"/>
  <c r="N540" i="37"/>
  <c r="M540" i="37"/>
  <c r="J542" i="37"/>
  <c r="N539" i="37"/>
  <c r="M539" i="37"/>
  <c r="J541" i="37"/>
  <c r="N538" i="37"/>
  <c r="M538" i="37"/>
  <c r="J540" i="37"/>
  <c r="N537" i="37"/>
  <c r="M537" i="37"/>
  <c r="J539" i="37"/>
  <c r="N536" i="37"/>
  <c r="M536" i="37"/>
  <c r="J538" i="37"/>
  <c r="N535" i="37"/>
  <c r="M535" i="37"/>
  <c r="J537" i="37"/>
  <c r="N534" i="37"/>
  <c r="M534" i="37"/>
  <c r="J536" i="37"/>
  <c r="N533" i="37"/>
  <c r="M533" i="37"/>
  <c r="J535" i="37"/>
  <c r="N532" i="37"/>
  <c r="M532" i="37"/>
  <c r="J534" i="37"/>
  <c r="N531" i="37"/>
  <c r="M531" i="37"/>
  <c r="J533" i="37"/>
  <c r="N530" i="37"/>
  <c r="M530" i="37"/>
  <c r="J532" i="37"/>
  <c r="N529" i="37"/>
  <c r="M529" i="37"/>
  <c r="J531" i="37"/>
  <c r="N528" i="37"/>
  <c r="M528" i="37"/>
  <c r="J530" i="37"/>
  <c r="N527" i="37"/>
  <c r="M527" i="37"/>
  <c r="J529" i="37"/>
  <c r="N526" i="37"/>
  <c r="M526" i="37"/>
  <c r="J528" i="37"/>
  <c r="N525" i="37"/>
  <c r="M525" i="37"/>
  <c r="J527" i="37"/>
  <c r="N524" i="37"/>
  <c r="M524" i="37"/>
  <c r="J526" i="37"/>
  <c r="N523" i="37"/>
  <c r="M523" i="37"/>
  <c r="J525" i="37"/>
  <c r="N522" i="37"/>
  <c r="M522" i="37"/>
  <c r="J524" i="37"/>
  <c r="N521" i="37"/>
  <c r="M521" i="37"/>
  <c r="J523" i="37"/>
  <c r="N520" i="37"/>
  <c r="M520" i="37"/>
  <c r="J522" i="37"/>
  <c r="N519" i="37"/>
  <c r="M519" i="37"/>
  <c r="J521" i="37"/>
  <c r="N518" i="37"/>
  <c r="M518" i="37"/>
  <c r="J520" i="37"/>
  <c r="N517" i="37"/>
  <c r="M517" i="37"/>
  <c r="J519" i="37"/>
  <c r="N516" i="37"/>
  <c r="M516" i="37"/>
  <c r="J518" i="37"/>
  <c r="N515" i="37"/>
  <c r="M515" i="37"/>
  <c r="J517" i="37"/>
  <c r="N514" i="37"/>
  <c r="M514" i="37"/>
  <c r="J516" i="37"/>
  <c r="N513" i="37"/>
  <c r="M513" i="37"/>
  <c r="J515" i="37"/>
  <c r="N512" i="37"/>
  <c r="M512" i="37"/>
  <c r="J514" i="37"/>
  <c r="N511" i="37"/>
  <c r="M511" i="37"/>
  <c r="J513" i="37"/>
  <c r="N509" i="37"/>
  <c r="M509" i="37"/>
  <c r="J511" i="37"/>
  <c r="N508" i="37"/>
  <c r="M508" i="37"/>
  <c r="J510" i="37"/>
  <c r="N507" i="37"/>
  <c r="M507" i="37"/>
  <c r="J509" i="37"/>
  <c r="N506" i="37"/>
  <c r="M506" i="37"/>
  <c r="J508" i="37"/>
  <c r="N505" i="37"/>
  <c r="M505" i="37"/>
  <c r="J507" i="37"/>
  <c r="N504" i="37"/>
  <c r="M504" i="37"/>
  <c r="J506" i="37"/>
  <c r="N503" i="37"/>
  <c r="M503" i="37"/>
  <c r="J505" i="37"/>
  <c r="N502" i="37"/>
  <c r="M502" i="37"/>
  <c r="J504" i="37"/>
  <c r="N501" i="37"/>
  <c r="M501" i="37"/>
  <c r="J503" i="37"/>
  <c r="N500" i="37"/>
  <c r="M500" i="37"/>
  <c r="J502" i="37"/>
  <c r="N499" i="37"/>
  <c r="M499" i="37"/>
  <c r="J501" i="37"/>
  <c r="N498" i="37"/>
  <c r="M498" i="37"/>
  <c r="J500" i="37"/>
  <c r="N497" i="37"/>
  <c r="M497" i="37"/>
  <c r="J499" i="37"/>
  <c r="N496" i="37"/>
  <c r="M496" i="37"/>
  <c r="J498" i="37"/>
  <c r="N495" i="37"/>
  <c r="M495" i="37"/>
  <c r="J497" i="37"/>
  <c r="N494" i="37"/>
  <c r="M494" i="37"/>
  <c r="J496" i="37"/>
  <c r="N493" i="37"/>
  <c r="M493" i="37"/>
  <c r="J495" i="37"/>
  <c r="N492" i="37"/>
  <c r="M492" i="37"/>
  <c r="J494" i="37"/>
  <c r="N491" i="37"/>
  <c r="M491" i="37"/>
  <c r="J493" i="37"/>
  <c r="N490" i="37"/>
  <c r="M490" i="37"/>
  <c r="J492" i="37"/>
  <c r="N489" i="37"/>
  <c r="M489" i="37"/>
  <c r="J491" i="37"/>
  <c r="N488" i="37"/>
  <c r="M488" i="37"/>
  <c r="J490" i="37"/>
  <c r="N487" i="37"/>
  <c r="M487" i="37"/>
  <c r="J489" i="37"/>
  <c r="N486" i="37"/>
  <c r="M486" i="37"/>
  <c r="J488" i="37"/>
  <c r="N485" i="37"/>
  <c r="M485" i="37"/>
  <c r="J487" i="37"/>
  <c r="N484" i="37"/>
  <c r="M484" i="37"/>
  <c r="J486" i="37"/>
  <c r="N483" i="37"/>
  <c r="M483" i="37"/>
  <c r="J485" i="37"/>
  <c r="N482" i="37"/>
  <c r="M482" i="37"/>
  <c r="J484" i="37"/>
  <c r="N481" i="37"/>
  <c r="M481" i="37"/>
  <c r="J483" i="37"/>
  <c r="N480" i="37"/>
  <c r="M480" i="37"/>
  <c r="J482" i="37"/>
  <c r="N479" i="37"/>
  <c r="M479" i="37"/>
  <c r="J481" i="37"/>
  <c r="N478" i="37"/>
  <c r="M478" i="37"/>
  <c r="J480" i="37"/>
  <c r="N477" i="37"/>
  <c r="M477" i="37"/>
  <c r="J479" i="37"/>
  <c r="N476" i="37"/>
  <c r="M476" i="37"/>
  <c r="J478" i="37"/>
  <c r="N475" i="37"/>
  <c r="M475" i="37"/>
  <c r="J477" i="37"/>
  <c r="N474" i="37"/>
  <c r="M474" i="37"/>
  <c r="J476" i="37"/>
  <c r="N473" i="37"/>
  <c r="M473" i="37"/>
  <c r="J475" i="37"/>
  <c r="N470" i="37"/>
  <c r="M470" i="37"/>
  <c r="J474" i="37"/>
  <c r="N469" i="37"/>
  <c r="M469" i="37"/>
  <c r="J473" i="37"/>
  <c r="N416" i="37"/>
  <c r="M416" i="37"/>
  <c r="J470" i="37"/>
  <c r="N415" i="37"/>
  <c r="M415" i="37"/>
  <c r="J469" i="37"/>
  <c r="N414" i="37"/>
  <c r="M414" i="37"/>
  <c r="J416" i="37"/>
  <c r="N413" i="37"/>
  <c r="M413" i="37"/>
  <c r="J415" i="37"/>
  <c r="N412" i="37"/>
  <c r="M412" i="37"/>
  <c r="J414" i="37"/>
  <c r="N411" i="37"/>
  <c r="M411" i="37"/>
  <c r="J413" i="37"/>
  <c r="N410" i="37"/>
  <c r="M410" i="37"/>
  <c r="J412" i="37"/>
  <c r="N409" i="37"/>
  <c r="M409" i="37"/>
  <c r="J411" i="37"/>
  <c r="N408" i="37"/>
  <c r="M408" i="37"/>
  <c r="J410" i="37"/>
  <c r="N407" i="37"/>
  <c r="M407" i="37"/>
  <c r="J409" i="37"/>
  <c r="N406" i="37"/>
  <c r="M406" i="37"/>
  <c r="J408" i="37"/>
  <c r="N405" i="37"/>
  <c r="M405" i="37"/>
  <c r="J407" i="37"/>
  <c r="N404" i="37"/>
  <c r="M404" i="37"/>
  <c r="J406" i="37"/>
  <c r="N403" i="37"/>
  <c r="M403" i="37"/>
  <c r="J405" i="37"/>
  <c r="N402" i="37"/>
  <c r="M402" i="37"/>
  <c r="J404" i="37"/>
  <c r="N401" i="37"/>
  <c r="M401" i="37"/>
  <c r="J403" i="37"/>
  <c r="N400" i="37"/>
  <c r="M400" i="37"/>
  <c r="J402" i="37"/>
  <c r="N399" i="37"/>
  <c r="M399" i="37"/>
  <c r="J401" i="37"/>
  <c r="N398" i="37"/>
  <c r="M398" i="37"/>
  <c r="J400" i="37"/>
  <c r="N397" i="37"/>
  <c r="M397" i="37"/>
  <c r="J399" i="37"/>
  <c r="N396" i="37"/>
  <c r="M396" i="37"/>
  <c r="J398" i="37"/>
  <c r="N395" i="37"/>
  <c r="M395" i="37"/>
  <c r="J397" i="37"/>
  <c r="N394" i="37"/>
  <c r="M394" i="37"/>
  <c r="J396" i="37"/>
  <c r="N393" i="37"/>
  <c r="M393" i="37"/>
  <c r="J395" i="37"/>
  <c r="N392" i="37"/>
  <c r="M392" i="37"/>
  <c r="J394" i="37"/>
  <c r="N391" i="37"/>
  <c r="M391" i="37"/>
  <c r="J393" i="37"/>
  <c r="N390" i="37"/>
  <c r="M390" i="37"/>
  <c r="J392" i="37"/>
  <c r="N389" i="37"/>
  <c r="M389" i="37"/>
  <c r="J391" i="37"/>
  <c r="N388" i="37"/>
  <c r="M388" i="37"/>
  <c r="J390" i="37"/>
  <c r="N387" i="37"/>
  <c r="M387" i="37"/>
  <c r="J389" i="37"/>
  <c r="N386" i="37"/>
  <c r="M386" i="37"/>
  <c r="J388" i="37"/>
  <c r="N385" i="37"/>
  <c r="M385" i="37"/>
  <c r="J387" i="37"/>
  <c r="N384" i="37"/>
  <c r="M384" i="37"/>
  <c r="J386" i="37"/>
  <c r="N383" i="37"/>
  <c r="M383" i="37"/>
  <c r="J385" i="37"/>
  <c r="N382" i="37"/>
  <c r="M382" i="37"/>
  <c r="J384" i="37"/>
  <c r="N381" i="37"/>
  <c r="M381" i="37"/>
  <c r="J383" i="37"/>
  <c r="N380" i="37"/>
  <c r="M380" i="37"/>
  <c r="J382" i="37"/>
  <c r="N379" i="37"/>
  <c r="M379" i="37"/>
  <c r="J381" i="37"/>
  <c r="N378" i="37"/>
  <c r="M378" i="37"/>
  <c r="J380" i="37"/>
  <c r="N377" i="37"/>
  <c r="M377" i="37"/>
  <c r="J379" i="37"/>
  <c r="N376" i="37"/>
  <c r="J378" i="37"/>
  <c r="N375" i="37"/>
  <c r="J377" i="37"/>
  <c r="N218" i="37"/>
  <c r="J218" i="37"/>
  <c r="N217" i="37"/>
  <c r="M217" i="37"/>
  <c r="J217" i="37"/>
  <c r="N216" i="37"/>
  <c r="J216" i="37"/>
  <c r="N215" i="37"/>
  <c r="M215" i="37"/>
  <c r="J215" i="37"/>
  <c r="N214" i="37"/>
  <c r="J214" i="37"/>
  <c r="N213" i="37"/>
  <c r="J213" i="37"/>
  <c r="N212" i="37"/>
  <c r="J212" i="37"/>
  <c r="N211" i="37"/>
  <c r="J211" i="37"/>
  <c r="N210" i="37"/>
  <c r="J210" i="37"/>
  <c r="N209" i="37"/>
  <c r="J209" i="37"/>
  <c r="N208" i="37"/>
  <c r="J208" i="37"/>
  <c r="N207" i="37"/>
  <c r="M207" i="37"/>
  <c r="J207" i="37"/>
  <c r="N206" i="37"/>
  <c r="M206" i="37"/>
  <c r="J206" i="37"/>
  <c r="N205" i="37"/>
  <c r="M205" i="37"/>
  <c r="J205" i="37"/>
  <c r="N204" i="37"/>
  <c r="M204" i="37"/>
  <c r="J204" i="37"/>
  <c r="N203" i="37"/>
  <c r="M203" i="37"/>
  <c r="J203" i="37"/>
  <c r="N202" i="37"/>
  <c r="M202" i="37"/>
  <c r="J202" i="37"/>
  <c r="N201" i="37"/>
  <c r="M201" i="37"/>
  <c r="J201" i="37"/>
  <c r="N200" i="37"/>
  <c r="M200" i="37"/>
  <c r="J200" i="37"/>
  <c r="N199" i="37"/>
  <c r="M199" i="37"/>
  <c r="J199" i="37"/>
  <c r="N197" i="37"/>
  <c r="M197" i="37"/>
  <c r="J197" i="37"/>
  <c r="N196" i="37"/>
  <c r="M196" i="37"/>
  <c r="J196" i="37"/>
  <c r="N195" i="37"/>
  <c r="M195" i="37"/>
  <c r="J195" i="37"/>
  <c r="N194" i="37"/>
  <c r="M194" i="37"/>
  <c r="J194" i="37"/>
  <c r="N193" i="37"/>
  <c r="M193" i="37"/>
  <c r="N55" i="37"/>
  <c r="M55" i="37"/>
  <c r="N54" i="37"/>
  <c r="M54" i="37"/>
  <c r="N53" i="37"/>
  <c r="M53" i="37"/>
  <c r="N52" i="37"/>
  <c r="M52" i="37"/>
  <c r="N51" i="37"/>
  <c r="M51" i="37"/>
  <c r="N50" i="37"/>
  <c r="M50" i="37"/>
  <c r="N49" i="37"/>
  <c r="M49" i="37"/>
  <c r="N48" i="37"/>
  <c r="M48" i="37"/>
  <c r="N47" i="37"/>
  <c r="M47" i="37"/>
  <c r="N46" i="37"/>
  <c r="M46" i="37"/>
  <c r="N45" i="37"/>
  <c r="M45" i="37"/>
  <c r="N44" i="37"/>
  <c r="M44" i="37"/>
  <c r="N30" i="37"/>
  <c r="M30" i="37"/>
  <c r="N28" i="37"/>
  <c r="M28" i="37"/>
  <c r="N27" i="37"/>
  <c r="M27" i="37"/>
  <c r="N26" i="37"/>
  <c r="M26" i="37"/>
  <c r="N25" i="37"/>
  <c r="M25" i="37"/>
  <c r="N24" i="37"/>
  <c r="M24" i="37"/>
  <c r="N23" i="37"/>
  <c r="M23" i="37"/>
  <c r="N22" i="37"/>
  <c r="M22" i="37"/>
  <c r="N21" i="37"/>
  <c r="M21" i="37"/>
  <c r="N20" i="37"/>
  <c r="M20" i="37"/>
  <c r="N19" i="37"/>
  <c r="M19" i="37"/>
  <c r="N18" i="37"/>
  <c r="M18" i="37"/>
  <c r="N17" i="37"/>
  <c r="M17" i="37"/>
  <c r="N16" i="37"/>
  <c r="M16" i="37"/>
  <c r="N15" i="37"/>
  <c r="M15" i="37"/>
  <c r="N14" i="37"/>
  <c r="M14" i="37"/>
  <c r="N13" i="37"/>
  <c r="M13" i="37"/>
  <c r="N12" i="37"/>
  <c r="M12" i="37"/>
  <c r="N11" i="37"/>
  <c r="M11" i="37"/>
  <c r="N10" i="37"/>
  <c r="M10" i="37"/>
  <c r="N9" i="37"/>
  <c r="M9" i="37"/>
  <c r="N8" i="37"/>
  <c r="M8" i="37"/>
  <c r="N7" i="37"/>
  <c r="M7" i="37"/>
  <c r="N6" i="37"/>
  <c r="M6" i="37"/>
  <c r="N5" i="37"/>
  <c r="M5" i="37"/>
  <c r="N4" i="37"/>
  <c r="N3" i="37"/>
  <c r="M3" i="37"/>
  <c r="N2" i="37"/>
  <c r="E9" i="55"/>
  <c r="E8" i="55"/>
  <c r="E7" i="55"/>
  <c r="E6" i="55"/>
  <c r="E5" i="55"/>
  <c r="E4" i="55"/>
  <c r="E3" i="55"/>
  <c r="E2" i="55"/>
  <c r="D165" i="24"/>
  <c r="D164" i="24"/>
  <c r="D162" i="24"/>
  <c r="D160" i="24"/>
  <c r="D146" i="24"/>
  <c r="D145" i="24"/>
  <c r="D142" i="24"/>
  <c r="D141" i="24"/>
  <c r="D137" i="24"/>
  <c r="D136" i="24"/>
  <c r="D132" i="24"/>
  <c r="D131" i="24"/>
  <c r="D130" i="24"/>
  <c r="D128" i="24"/>
  <c r="D126" i="24"/>
  <c r="D124" i="24"/>
  <c r="D122" i="24"/>
  <c r="D120" i="24"/>
  <c r="D113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4" i="24"/>
  <c r="D83" i="24"/>
  <c r="D82" i="24"/>
  <c r="D81" i="24"/>
  <c r="D80" i="24"/>
  <c r="D79" i="24"/>
  <c r="D22" i="24"/>
  <c r="D21" i="24"/>
  <c r="D19" i="24"/>
  <c r="D17" i="24"/>
  <c r="D15" i="24"/>
  <c r="D12" i="24"/>
  <c r="D10" i="24"/>
  <c r="H30" i="37"/>
  <c r="H28" i="37"/>
  <c r="E39" i="26"/>
  <c r="E38" i="26"/>
  <c r="E37" i="26"/>
  <c r="H27" i="37"/>
  <c r="H26" i="37"/>
  <c r="H25" i="37"/>
  <c r="H24" i="37"/>
  <c r="H23" i="37"/>
  <c r="E28" i="26"/>
  <c r="E27" i="26"/>
  <c r="E26" i="26"/>
  <c r="E25" i="26"/>
  <c r="E24" i="26"/>
  <c r="L140" i="35"/>
  <c r="K140" i="35"/>
  <c r="L139" i="35"/>
  <c r="K139" i="35"/>
  <c r="L138" i="35"/>
  <c r="K138" i="35"/>
  <c r="L137" i="35"/>
  <c r="K137" i="35"/>
  <c r="L136" i="35"/>
  <c r="K136" i="35"/>
  <c r="E16" i="51"/>
  <c r="E15" i="51"/>
  <c r="E14" i="51"/>
  <c r="E13" i="51"/>
  <c r="E12" i="51"/>
  <c r="F44" i="52"/>
  <c r="E44" i="52"/>
  <c r="A44" i="52"/>
  <c r="F43" i="52"/>
  <c r="E43" i="52"/>
  <c r="A43" i="52"/>
  <c r="F42" i="52"/>
  <c r="E42" i="52"/>
  <c r="A42" i="52"/>
  <c r="F41" i="52"/>
  <c r="E41" i="52"/>
  <c r="A41" i="52"/>
  <c r="F40" i="52"/>
  <c r="E40" i="52"/>
  <c r="A40" i="52"/>
  <c r="F39" i="52"/>
  <c r="E39" i="52"/>
  <c r="A39" i="52"/>
  <c r="F38" i="52"/>
  <c r="E38" i="52"/>
  <c r="A38" i="52"/>
  <c r="G12" i="24"/>
  <c r="F37" i="52"/>
  <c r="E37" i="52"/>
  <c r="A37" i="52"/>
  <c r="F36" i="52"/>
  <c r="E36" i="52"/>
  <c r="A36" i="52"/>
  <c r="F35" i="52"/>
  <c r="E35" i="52"/>
  <c r="A35" i="52"/>
  <c r="F34" i="52"/>
  <c r="E34" i="52"/>
  <c r="A34" i="52"/>
  <c r="F33" i="52"/>
  <c r="E33" i="52"/>
  <c r="A33" i="52"/>
  <c r="F32" i="52"/>
  <c r="E32" i="52"/>
  <c r="A32" i="52"/>
  <c r="F31" i="52"/>
  <c r="E31" i="52"/>
  <c r="A31" i="52"/>
  <c r="F30" i="52"/>
  <c r="E30" i="52"/>
  <c r="A30" i="52"/>
  <c r="F29" i="52"/>
  <c r="E29" i="52"/>
  <c r="A29" i="52"/>
  <c r="H50" i="50"/>
  <c r="G50" i="50"/>
  <c r="F50" i="50"/>
  <c r="H53" i="50"/>
  <c r="G53" i="50"/>
  <c r="F53" i="50"/>
  <c r="H52" i="50"/>
  <c r="G52" i="50"/>
  <c r="F52" i="50"/>
  <c r="H42" i="50"/>
  <c r="G42" i="50"/>
  <c r="F42" i="50"/>
  <c r="H41" i="50"/>
  <c r="G41" i="50"/>
  <c r="F41" i="50"/>
  <c r="H40" i="50"/>
  <c r="G40" i="50"/>
  <c r="F40" i="50"/>
  <c r="H31" i="50"/>
  <c r="G31" i="50"/>
  <c r="F31" i="50"/>
  <c r="H30" i="50"/>
  <c r="G30" i="50"/>
  <c r="F30" i="50"/>
  <c r="H29" i="50"/>
  <c r="G29" i="50"/>
  <c r="F29" i="50"/>
  <c r="H21" i="50"/>
  <c r="G21" i="50"/>
  <c r="F21" i="50"/>
  <c r="H20" i="50"/>
  <c r="G20" i="50"/>
  <c r="F20" i="50"/>
  <c r="H19" i="50"/>
  <c r="G19" i="50"/>
  <c r="F19" i="50"/>
  <c r="H17" i="50"/>
  <c r="G17" i="50"/>
  <c r="F17" i="50"/>
  <c r="H16" i="50"/>
  <c r="G16" i="50"/>
  <c r="F16" i="50"/>
  <c r="H15" i="50"/>
  <c r="G15" i="50"/>
  <c r="F15" i="50"/>
  <c r="H8" i="50"/>
  <c r="G8" i="50"/>
  <c r="F8" i="50"/>
  <c r="C8" i="50"/>
  <c r="H7" i="50"/>
  <c r="G7" i="50"/>
  <c r="F7" i="50"/>
  <c r="C7" i="50"/>
  <c r="H6" i="50"/>
  <c r="G6" i="50"/>
  <c r="F6" i="50"/>
  <c r="C6" i="50"/>
  <c r="H5" i="50"/>
  <c r="G5" i="50"/>
  <c r="F5" i="50"/>
  <c r="H4" i="50"/>
  <c r="G4" i="50"/>
  <c r="F4" i="50"/>
  <c r="H3" i="50"/>
  <c r="G3" i="50"/>
  <c r="F3" i="50"/>
  <c r="H698" i="37"/>
  <c r="G698" i="37"/>
  <c r="H701" i="37"/>
  <c r="G701" i="37"/>
  <c r="H700" i="37"/>
  <c r="G700" i="37"/>
  <c r="G699" i="37"/>
  <c r="H699" i="37"/>
  <c r="H687" i="37"/>
  <c r="H686" i="37"/>
  <c r="H685" i="37"/>
  <c r="H676" i="37"/>
  <c r="H675" i="37"/>
  <c r="H674" i="37"/>
  <c r="H666" i="37"/>
  <c r="H665" i="37"/>
  <c r="H664" i="37"/>
  <c r="H605" i="37"/>
  <c r="H604" i="37"/>
  <c r="H603" i="37"/>
  <c r="H593" i="37"/>
  <c r="H592" i="37"/>
  <c r="H591" i="37"/>
  <c r="H599" i="37"/>
  <c r="H598" i="37"/>
  <c r="H597" i="37"/>
  <c r="H51" i="50"/>
  <c r="G51" i="50"/>
  <c r="F51" i="50"/>
  <c r="F25" i="52"/>
  <c r="C37" i="50"/>
  <c r="E25" i="52"/>
  <c r="A25" i="52"/>
  <c r="F24" i="52"/>
  <c r="C26" i="50"/>
  <c r="E24" i="52"/>
  <c r="A24" i="52"/>
  <c r="F23" i="52"/>
  <c r="E23" i="52"/>
  <c r="A23" i="52"/>
  <c r="F21" i="52"/>
  <c r="C44" i="50"/>
  <c r="E21" i="52"/>
  <c r="A21" i="52"/>
  <c r="F27" i="52"/>
  <c r="C12" i="50"/>
  <c r="E27" i="52"/>
  <c r="A27" i="52"/>
  <c r="F22" i="52"/>
  <c r="E22" i="52"/>
  <c r="A22" i="52"/>
  <c r="C47" i="50"/>
  <c r="F28" i="52"/>
  <c r="E28" i="52"/>
  <c r="A28" i="52"/>
  <c r="F26" i="52"/>
  <c r="E26" i="52"/>
  <c r="A26" i="52"/>
  <c r="L169" i="35"/>
  <c r="K169" i="35"/>
  <c r="H55" i="37"/>
  <c r="H54" i="37"/>
  <c r="L168" i="35"/>
  <c r="K168" i="35"/>
  <c r="E11" i="51"/>
  <c r="E10" i="51"/>
  <c r="E9" i="51"/>
  <c r="E8" i="51"/>
  <c r="E7" i="51"/>
  <c r="E6" i="51"/>
  <c r="E5" i="51"/>
  <c r="E4" i="51"/>
  <c r="E3" i="51"/>
  <c r="I151" i="24"/>
  <c r="I148" i="24"/>
  <c r="I147" i="24"/>
  <c r="G146" i="24"/>
  <c r="I146" i="24"/>
  <c r="G145" i="24"/>
  <c r="I145" i="24"/>
  <c r="I144" i="24"/>
  <c r="I143" i="24"/>
  <c r="G142" i="24"/>
  <c r="I142" i="24"/>
  <c r="G141" i="24"/>
  <c r="I141" i="24"/>
  <c r="I139" i="24"/>
  <c r="I138" i="24"/>
  <c r="G137" i="24"/>
  <c r="I137" i="24"/>
  <c r="G136" i="24"/>
  <c r="I136" i="24"/>
  <c r="I134" i="24"/>
  <c r="I133" i="24"/>
  <c r="G132" i="24"/>
  <c r="I132" i="24"/>
  <c r="G131" i="24"/>
  <c r="I131" i="24"/>
  <c r="G130" i="24"/>
  <c r="I130" i="24"/>
  <c r="I129" i="24"/>
  <c r="G128" i="24"/>
  <c r="I128" i="24"/>
  <c r="I127" i="24"/>
  <c r="G126" i="24"/>
  <c r="I126" i="24"/>
  <c r="I125" i="24"/>
  <c r="G124" i="24"/>
  <c r="I124" i="24"/>
  <c r="I123" i="24"/>
  <c r="G122" i="24"/>
  <c r="I122" i="24"/>
  <c r="I121" i="24"/>
  <c r="G120" i="24"/>
  <c r="I120" i="24"/>
  <c r="I119" i="24"/>
  <c r="G24" i="24"/>
  <c r="I24" i="24"/>
  <c r="I23" i="24"/>
  <c r="G22" i="24"/>
  <c r="I22" i="24"/>
  <c r="G21" i="24"/>
  <c r="I21" i="24"/>
  <c r="G20" i="24"/>
  <c r="I20" i="24"/>
  <c r="G19" i="24"/>
  <c r="I19" i="24"/>
  <c r="G18" i="24"/>
  <c r="I18" i="24"/>
  <c r="G17" i="24"/>
  <c r="I17" i="24"/>
  <c r="G16" i="24"/>
  <c r="I16" i="24"/>
  <c r="G15" i="24"/>
  <c r="I15" i="24"/>
  <c r="I13" i="24"/>
  <c r="I12" i="24"/>
  <c r="G11" i="24"/>
  <c r="I11" i="24"/>
  <c r="G10" i="24"/>
  <c r="I10" i="24"/>
  <c r="G9" i="24"/>
  <c r="I9" i="24"/>
  <c r="I5" i="24"/>
  <c r="G4" i="24"/>
  <c r="I4" i="24"/>
  <c r="F8" i="52"/>
  <c r="E8" i="52"/>
  <c r="A8" i="52"/>
  <c r="F44" i="50"/>
  <c r="G44" i="50"/>
  <c r="H44" i="50"/>
  <c r="F45" i="50"/>
  <c r="G45" i="50"/>
  <c r="H45" i="50"/>
  <c r="F46" i="50"/>
  <c r="G46" i="50"/>
  <c r="H46" i="50"/>
  <c r="C46" i="50"/>
  <c r="C45" i="50"/>
  <c r="A13" i="52"/>
  <c r="C38" i="50"/>
  <c r="E13" i="52"/>
  <c r="F13" i="52"/>
  <c r="C48" i="50"/>
  <c r="A19" i="52"/>
  <c r="C49" i="50"/>
  <c r="E19" i="52"/>
  <c r="F19" i="52"/>
  <c r="F20" i="52"/>
  <c r="F18" i="52"/>
  <c r="F17" i="52"/>
  <c r="F16" i="52"/>
  <c r="F15" i="52"/>
  <c r="F14" i="52"/>
  <c r="F12" i="52"/>
  <c r="F11" i="52"/>
  <c r="F10" i="52"/>
  <c r="F9" i="52"/>
  <c r="F7" i="52"/>
  <c r="F6" i="52"/>
  <c r="F5" i="52"/>
  <c r="F4" i="52"/>
  <c r="F3" i="52"/>
  <c r="E20" i="52"/>
  <c r="C39" i="50"/>
  <c r="E18" i="52"/>
  <c r="C28" i="50"/>
  <c r="E17" i="52"/>
  <c r="C14" i="50"/>
  <c r="E16" i="52"/>
  <c r="E15" i="52"/>
  <c r="E14" i="52"/>
  <c r="E12" i="52"/>
  <c r="C27" i="50"/>
  <c r="E11" i="52"/>
  <c r="C13" i="50"/>
  <c r="E10" i="52"/>
  <c r="E9" i="52"/>
  <c r="E7" i="52"/>
  <c r="E6" i="52"/>
  <c r="E5" i="52"/>
  <c r="E4" i="52"/>
  <c r="E3" i="52"/>
  <c r="G288" i="26"/>
  <c r="G287" i="26"/>
  <c r="G286" i="26"/>
  <c r="G285" i="26"/>
  <c r="G284" i="26"/>
  <c r="G283" i="26"/>
  <c r="G282" i="26"/>
  <c r="G281" i="26"/>
  <c r="G280" i="26"/>
  <c r="G279" i="26"/>
  <c r="G278" i="26"/>
  <c r="G277" i="26"/>
  <c r="G276" i="26"/>
  <c r="G275" i="26"/>
  <c r="G274" i="26"/>
  <c r="G273" i="26"/>
  <c r="G272" i="26"/>
  <c r="G271" i="26"/>
  <c r="G270" i="26"/>
  <c r="G269" i="26"/>
  <c r="G268" i="26"/>
  <c r="G267" i="26"/>
  <c r="G266" i="26"/>
  <c r="G265" i="26"/>
  <c r="G264" i="26"/>
  <c r="G263" i="26"/>
  <c r="G262" i="26"/>
  <c r="G261" i="26"/>
  <c r="G260" i="26"/>
  <c r="G259" i="26"/>
  <c r="G258" i="26"/>
  <c r="G257" i="26"/>
  <c r="G256" i="26"/>
  <c r="G255" i="26"/>
  <c r="G254" i="26"/>
  <c r="G253" i="26"/>
  <c r="G252" i="26"/>
  <c r="G251" i="26"/>
  <c r="G250" i="26"/>
  <c r="G249" i="26"/>
  <c r="G248" i="26"/>
  <c r="G247" i="26"/>
  <c r="G246" i="26"/>
  <c r="G245" i="26"/>
  <c r="G244" i="26"/>
  <c r="G243" i="26"/>
  <c r="G242" i="26"/>
  <c r="G241" i="26"/>
  <c r="G240" i="26"/>
  <c r="G239" i="26"/>
  <c r="G238" i="26"/>
  <c r="G237" i="26"/>
  <c r="G236" i="26"/>
  <c r="G235" i="26"/>
  <c r="G234" i="26"/>
  <c r="G233" i="26"/>
  <c r="G232" i="26"/>
  <c r="G231" i="26"/>
  <c r="G230" i="26"/>
  <c r="G229" i="26"/>
  <c r="G228" i="26"/>
  <c r="G227" i="26"/>
  <c r="G226" i="26"/>
  <c r="G225" i="26"/>
  <c r="G224" i="26"/>
  <c r="G223" i="26"/>
  <c r="G222" i="26"/>
  <c r="G221" i="26"/>
  <c r="G220" i="26"/>
  <c r="G219" i="26"/>
  <c r="G218" i="26"/>
  <c r="G217" i="26"/>
  <c r="G216" i="26"/>
  <c r="G215" i="26"/>
  <c r="G214" i="26"/>
  <c r="G213" i="26"/>
  <c r="G212" i="26"/>
  <c r="G211" i="26"/>
  <c r="G209" i="26"/>
  <c r="G208" i="26"/>
  <c r="G207" i="26"/>
  <c r="G206" i="26"/>
  <c r="G205" i="26"/>
  <c r="G204" i="26"/>
  <c r="G203" i="26"/>
  <c r="G202" i="26"/>
  <c r="G201" i="26"/>
  <c r="G200" i="26"/>
  <c r="G199" i="26"/>
  <c r="G198" i="26"/>
  <c r="G197" i="26"/>
  <c r="G196" i="26"/>
  <c r="G195" i="26"/>
  <c r="G194" i="26"/>
  <c r="G193" i="26"/>
  <c r="G192" i="26"/>
  <c r="G191" i="26"/>
  <c r="G190" i="26"/>
  <c r="G189" i="26"/>
  <c r="G188" i="26"/>
  <c r="G187" i="26"/>
  <c r="G186" i="26"/>
  <c r="G185" i="26"/>
  <c r="G184" i="26"/>
  <c r="G183" i="26"/>
  <c r="G182" i="26"/>
  <c r="G181" i="26"/>
  <c r="G180" i="26"/>
  <c r="G179" i="26"/>
  <c r="G178" i="26"/>
  <c r="G177" i="26"/>
  <c r="G176" i="26"/>
  <c r="G175" i="26"/>
  <c r="G174" i="26"/>
  <c r="G173" i="26"/>
  <c r="G172" i="26"/>
  <c r="G171" i="26"/>
  <c r="G168" i="26"/>
  <c r="G167" i="26"/>
  <c r="G126" i="26"/>
  <c r="G125" i="26"/>
  <c r="G124" i="26"/>
  <c r="G123" i="26"/>
  <c r="G122" i="26"/>
  <c r="G121" i="26"/>
  <c r="G120" i="26"/>
  <c r="G119" i="26"/>
  <c r="G118" i="26"/>
  <c r="G117" i="26"/>
  <c r="G116" i="26"/>
  <c r="G115" i="26"/>
  <c r="G114" i="26"/>
  <c r="G113" i="26"/>
  <c r="G112" i="26"/>
  <c r="G111" i="26"/>
  <c r="G110" i="26"/>
  <c r="G109" i="26"/>
  <c r="G108" i="26"/>
  <c r="G107" i="26"/>
  <c r="G106" i="26"/>
  <c r="G105" i="26"/>
  <c r="G104" i="26"/>
  <c r="G103" i="26"/>
  <c r="G102" i="26"/>
  <c r="G101" i="26"/>
  <c r="G100" i="26"/>
  <c r="G99" i="26"/>
  <c r="G98" i="26"/>
  <c r="G97" i="26"/>
  <c r="G96" i="26"/>
  <c r="G95" i="26"/>
  <c r="G94" i="26"/>
  <c r="G93" i="26"/>
  <c r="G92" i="26"/>
  <c r="G91" i="26"/>
  <c r="G90" i="26"/>
  <c r="G89" i="26"/>
  <c r="G88" i="26"/>
  <c r="G87" i="26"/>
  <c r="G86" i="26"/>
  <c r="G85" i="26"/>
  <c r="G84" i="26"/>
  <c r="G83" i="26"/>
  <c r="G82" i="26"/>
  <c r="G81" i="26"/>
  <c r="G80" i="26"/>
  <c r="G79" i="26"/>
  <c r="G78" i="26"/>
  <c r="G71" i="26"/>
  <c r="G70" i="26"/>
  <c r="G69" i="26"/>
  <c r="G68" i="26"/>
  <c r="G67" i="26"/>
  <c r="G66" i="26"/>
  <c r="G65" i="26"/>
  <c r="G64" i="26"/>
  <c r="G63" i="26"/>
  <c r="G62" i="26"/>
  <c r="G61" i="26"/>
  <c r="G60" i="26"/>
  <c r="G59" i="26"/>
  <c r="G58" i="26"/>
  <c r="G57" i="26"/>
  <c r="G56" i="26"/>
  <c r="G55" i="26"/>
  <c r="G54" i="26"/>
  <c r="G53" i="26"/>
  <c r="G52" i="26"/>
  <c r="G51" i="26"/>
  <c r="G50" i="26"/>
  <c r="G49" i="26"/>
  <c r="G48" i="26"/>
  <c r="G47" i="26"/>
  <c r="G46" i="26"/>
  <c r="A18" i="52"/>
  <c r="A12" i="52"/>
  <c r="A6" i="52"/>
  <c r="H28" i="50"/>
  <c r="G28" i="50"/>
  <c r="F28" i="50"/>
  <c r="H27" i="50"/>
  <c r="G27" i="50"/>
  <c r="F27" i="50"/>
  <c r="H26" i="50"/>
  <c r="G26" i="50"/>
  <c r="F26" i="50"/>
  <c r="H673" i="37"/>
  <c r="H672" i="37"/>
  <c r="H671" i="37"/>
  <c r="F10" i="50"/>
  <c r="G10" i="50"/>
  <c r="H10" i="50"/>
  <c r="F11" i="50"/>
  <c r="G11" i="50"/>
  <c r="H11" i="50"/>
  <c r="F13" i="50"/>
  <c r="G13" i="50"/>
  <c r="H13" i="50"/>
  <c r="F14" i="50"/>
  <c r="G14" i="50"/>
  <c r="H14" i="50"/>
  <c r="H683" i="37"/>
  <c r="H684" i="37"/>
  <c r="H601" i="37"/>
  <c r="H602" i="37"/>
  <c r="H595" i="37"/>
  <c r="H596" i="37"/>
  <c r="A4" i="52"/>
  <c r="A3" i="52"/>
  <c r="A9" i="52"/>
  <c r="A15" i="52"/>
  <c r="A7" i="52"/>
  <c r="A5" i="52"/>
  <c r="A10" i="52"/>
  <c r="A11" i="52"/>
  <c r="A14" i="52"/>
  <c r="A16" i="52"/>
  <c r="A17" i="52"/>
  <c r="A20" i="52"/>
  <c r="H39" i="50"/>
  <c r="G39" i="50"/>
  <c r="F39" i="50"/>
  <c r="H38" i="50"/>
  <c r="G38" i="50"/>
  <c r="F38" i="50"/>
  <c r="H37" i="50"/>
  <c r="G37" i="50"/>
  <c r="F37" i="50"/>
  <c r="H12" i="50"/>
  <c r="G12" i="50"/>
  <c r="F12" i="50"/>
  <c r="H9" i="50"/>
  <c r="G9" i="50"/>
  <c r="F9" i="50"/>
  <c r="F47" i="50"/>
  <c r="G47" i="50"/>
  <c r="H47" i="50"/>
  <c r="F48" i="50"/>
  <c r="G48" i="50"/>
  <c r="H48" i="50"/>
  <c r="F49" i="50"/>
  <c r="G49" i="50"/>
  <c r="H49" i="50"/>
  <c r="H694" i="37"/>
  <c r="H693" i="37"/>
  <c r="H697" i="37"/>
  <c r="H696" i="37"/>
  <c r="H695" i="37"/>
  <c r="H692" i="37"/>
  <c r="G113" i="24"/>
  <c r="G111" i="24"/>
  <c r="G110" i="24"/>
  <c r="G109" i="24"/>
  <c r="H414" i="37"/>
  <c r="H415" i="37"/>
  <c r="H416" i="37"/>
  <c r="H408" i="37"/>
  <c r="H409" i="37"/>
  <c r="H410" i="37"/>
  <c r="H411" i="37"/>
  <c r="H412" i="37"/>
  <c r="H413" i="37"/>
  <c r="H397" i="37"/>
  <c r="H398" i="37"/>
  <c r="H399" i="37"/>
  <c r="H400" i="37"/>
  <c r="H401" i="37"/>
  <c r="H402" i="37"/>
  <c r="H403" i="37"/>
  <c r="H404" i="37"/>
  <c r="H405" i="37"/>
  <c r="H406" i="37"/>
  <c r="H407" i="37"/>
  <c r="H390" i="37"/>
  <c r="H391" i="37"/>
  <c r="H392" i="37"/>
  <c r="H393" i="37"/>
  <c r="H394" i="37"/>
  <c r="H395" i="37"/>
  <c r="H396" i="37"/>
  <c r="E125" i="26"/>
  <c r="E126" i="26"/>
  <c r="E119" i="26"/>
  <c r="E120" i="26"/>
  <c r="E121" i="26"/>
  <c r="E122" i="26"/>
  <c r="E123" i="26"/>
  <c r="E124" i="26"/>
  <c r="E108" i="26"/>
  <c r="E109" i="26"/>
  <c r="E110" i="26"/>
  <c r="E111" i="26"/>
  <c r="E112" i="26"/>
  <c r="E113" i="26"/>
  <c r="E114" i="26"/>
  <c r="E115" i="26"/>
  <c r="E116" i="26"/>
  <c r="E117" i="26"/>
  <c r="E118" i="26"/>
  <c r="E101" i="26"/>
  <c r="E102" i="26"/>
  <c r="E103" i="26"/>
  <c r="E104" i="26"/>
  <c r="E105" i="26"/>
  <c r="E106" i="26"/>
  <c r="E107" i="26"/>
  <c r="J191" i="35"/>
  <c r="J192" i="35"/>
  <c r="K193" i="35"/>
  <c r="L193" i="35"/>
  <c r="J194" i="35"/>
  <c r="J195" i="35"/>
  <c r="J196" i="35"/>
  <c r="L197" i="35"/>
  <c r="L201" i="35"/>
  <c r="L205" i="35"/>
  <c r="L209" i="35"/>
  <c r="L213" i="35"/>
  <c r="L217" i="35"/>
  <c r="G3" i="24"/>
  <c r="I3" i="24"/>
  <c r="J161" i="35"/>
  <c r="J160" i="35"/>
  <c r="J159" i="35"/>
  <c r="H218" i="37"/>
  <c r="L9" i="35"/>
  <c r="K9" i="35"/>
  <c r="E36" i="26"/>
  <c r="E35" i="26"/>
  <c r="E34" i="26"/>
  <c r="E100" i="26"/>
  <c r="E99" i="26"/>
  <c r="G97" i="24"/>
  <c r="I97" i="24"/>
  <c r="L171" i="35"/>
  <c r="K171" i="35"/>
  <c r="L170" i="35"/>
  <c r="K170" i="35"/>
  <c r="G208" i="37"/>
  <c r="E79" i="26"/>
  <c r="E78" i="26"/>
  <c r="H209" i="37"/>
  <c r="H208" i="37"/>
  <c r="G195" i="37"/>
  <c r="H594" i="37"/>
  <c r="H600" i="37"/>
  <c r="H682" i="37"/>
  <c r="G84" i="24"/>
  <c r="G98" i="24"/>
  <c r="G99" i="24"/>
  <c r="G100" i="24"/>
  <c r="G101" i="24"/>
  <c r="G102" i="24"/>
  <c r="G103" i="24"/>
  <c r="G104" i="24"/>
  <c r="G105" i="24"/>
  <c r="G106" i="24"/>
  <c r="G107" i="24"/>
  <c r="G108" i="24"/>
  <c r="G87" i="24"/>
  <c r="G88" i="24"/>
  <c r="G89" i="24"/>
  <c r="G90" i="24"/>
  <c r="G91" i="24"/>
  <c r="G92" i="24"/>
  <c r="G93" i="24"/>
  <c r="G94" i="24"/>
  <c r="G95" i="24"/>
  <c r="I90" i="24"/>
  <c r="I91" i="24"/>
  <c r="I92" i="24"/>
  <c r="E86" i="26"/>
  <c r="E289" i="26"/>
  <c r="I84" i="24"/>
  <c r="E283" i="26"/>
  <c r="E284" i="26"/>
  <c r="E285" i="26"/>
  <c r="E286" i="26"/>
  <c r="E287" i="26"/>
  <c r="E288" i="26"/>
  <c r="H590" i="37"/>
  <c r="G216" i="37"/>
  <c r="H589" i="37"/>
  <c r="K231" i="35"/>
  <c r="L231" i="35"/>
  <c r="H586" i="37"/>
  <c r="H587" i="37"/>
  <c r="H588" i="37"/>
  <c r="E98" i="26"/>
  <c r="J190" i="35"/>
  <c r="L189" i="35"/>
  <c r="K189" i="35"/>
  <c r="J188" i="35"/>
  <c r="J187" i="35"/>
  <c r="J186" i="35"/>
  <c r="L185" i="35"/>
  <c r="K185" i="35"/>
  <c r="J184" i="35"/>
  <c r="J183" i="35"/>
  <c r="J182" i="35"/>
  <c r="L181" i="35"/>
  <c r="K181" i="35"/>
  <c r="J180" i="35"/>
  <c r="J179" i="35"/>
  <c r="L178" i="35"/>
  <c r="K178" i="35"/>
  <c r="I95" i="24"/>
  <c r="I93" i="24"/>
  <c r="I88" i="24"/>
  <c r="I87" i="24"/>
  <c r="L177" i="35"/>
  <c r="K177" i="35"/>
  <c r="L176" i="35"/>
  <c r="K176" i="35"/>
  <c r="L175" i="35"/>
  <c r="K175" i="35"/>
  <c r="L174" i="35"/>
  <c r="K174" i="35"/>
  <c r="L173" i="35"/>
  <c r="K173" i="35"/>
  <c r="L172" i="35"/>
  <c r="K172" i="35"/>
  <c r="G81" i="24"/>
  <c r="I81" i="24"/>
  <c r="K149" i="35"/>
  <c r="K150" i="35"/>
  <c r="K151" i="35"/>
  <c r="L151" i="35"/>
  <c r="K152" i="35"/>
  <c r="L152" i="35"/>
  <c r="K153" i="35"/>
  <c r="L153" i="35"/>
  <c r="K154" i="35"/>
  <c r="L154" i="35"/>
  <c r="K155" i="35"/>
  <c r="L155" i="35"/>
  <c r="K156" i="35"/>
  <c r="L156" i="35"/>
  <c r="K157" i="35"/>
  <c r="L157" i="35"/>
  <c r="E55" i="26"/>
  <c r="E51" i="26"/>
  <c r="E52" i="26"/>
  <c r="E53" i="26"/>
  <c r="H202" i="37"/>
  <c r="L7" i="35"/>
  <c r="K7" i="35"/>
  <c r="G197" i="37"/>
  <c r="L6" i="35"/>
  <c r="K6" i="35"/>
  <c r="J5" i="35"/>
  <c r="L4" i="35"/>
  <c r="K4" i="35"/>
  <c r="L3" i="35"/>
  <c r="K3" i="35"/>
  <c r="E46" i="26"/>
  <c r="H377" i="37"/>
  <c r="H378" i="37"/>
  <c r="H379" i="37"/>
  <c r="H380" i="37"/>
  <c r="H381" i="37"/>
  <c r="H382" i="37"/>
  <c r="H383" i="37"/>
  <c r="H384" i="37"/>
  <c r="H385" i="37"/>
  <c r="H386" i="37"/>
  <c r="H387" i="37"/>
  <c r="H388" i="37"/>
  <c r="H389" i="37"/>
  <c r="H217" i="37"/>
  <c r="H216" i="37"/>
  <c r="K248" i="35"/>
  <c r="L248" i="35"/>
  <c r="H215" i="37"/>
  <c r="H214" i="37"/>
  <c r="H213" i="37"/>
  <c r="H212" i="37"/>
  <c r="H211" i="37"/>
  <c r="H210" i="37"/>
  <c r="H197" i="37"/>
  <c r="H207" i="37"/>
  <c r="H206" i="37"/>
  <c r="H205" i="37"/>
  <c r="H204" i="37"/>
  <c r="H203" i="37"/>
  <c r="H201" i="37"/>
  <c r="H200" i="37"/>
  <c r="H199" i="37"/>
  <c r="H196" i="37"/>
  <c r="H195" i="37"/>
  <c r="H194" i="37"/>
  <c r="H193" i="37"/>
  <c r="E71" i="26"/>
  <c r="E47" i="26"/>
  <c r="E70" i="26"/>
  <c r="E69" i="26"/>
  <c r="E68" i="26"/>
  <c r="E67" i="26"/>
  <c r="E66" i="26"/>
  <c r="E65" i="26"/>
  <c r="E64" i="26"/>
  <c r="E63" i="26"/>
  <c r="E62" i="26"/>
  <c r="E61" i="26"/>
  <c r="E60" i="26"/>
  <c r="E59" i="26"/>
  <c r="E58" i="26"/>
  <c r="E57" i="26"/>
  <c r="E56" i="26"/>
  <c r="E54" i="26"/>
  <c r="E50" i="26"/>
  <c r="E49" i="26"/>
  <c r="E48" i="26"/>
  <c r="H44" i="37"/>
  <c r="H45" i="37"/>
  <c r="H46" i="37"/>
  <c r="H47" i="37"/>
  <c r="H48" i="37"/>
  <c r="H49" i="37"/>
  <c r="H50" i="37"/>
  <c r="H51" i="37"/>
  <c r="H52" i="37"/>
  <c r="H53" i="37"/>
  <c r="K162" i="35"/>
  <c r="L162" i="35"/>
  <c r="K163" i="35"/>
  <c r="L163" i="35"/>
  <c r="K164" i="35"/>
  <c r="L164" i="35"/>
  <c r="K165" i="35"/>
  <c r="L165" i="35"/>
  <c r="K166" i="35"/>
  <c r="L166" i="35"/>
  <c r="K167" i="35"/>
  <c r="L167" i="35"/>
  <c r="E23" i="26"/>
  <c r="E3" i="26"/>
  <c r="E4" i="26"/>
  <c r="E5" i="26"/>
  <c r="E6" i="26"/>
  <c r="E7" i="26"/>
  <c r="E8" i="26"/>
  <c r="E9" i="26"/>
  <c r="E10" i="26"/>
  <c r="E11" i="26"/>
  <c r="E12" i="26"/>
  <c r="E13" i="26"/>
  <c r="E14" i="26"/>
  <c r="E15" i="26"/>
  <c r="E16" i="26"/>
  <c r="E17" i="26"/>
  <c r="E18" i="26"/>
  <c r="K116" i="35"/>
  <c r="L116" i="35"/>
  <c r="K117" i="35"/>
  <c r="L117" i="35"/>
  <c r="K118" i="35"/>
  <c r="L118" i="35"/>
  <c r="K119" i="35"/>
  <c r="L119" i="35"/>
  <c r="K121" i="35"/>
  <c r="L121" i="35"/>
  <c r="K122" i="35"/>
  <c r="L122" i="35"/>
  <c r="K123" i="35"/>
  <c r="L123" i="35"/>
  <c r="K124" i="35"/>
  <c r="L124" i="35"/>
  <c r="K125" i="35"/>
  <c r="L125" i="35"/>
  <c r="K126" i="35"/>
  <c r="L126" i="35"/>
  <c r="K127" i="35"/>
  <c r="L127" i="35"/>
  <c r="K128" i="35"/>
  <c r="L128" i="35"/>
  <c r="K129" i="35"/>
  <c r="L129" i="35"/>
  <c r="K130" i="35"/>
  <c r="L130" i="35"/>
  <c r="K131" i="35"/>
  <c r="L131" i="35"/>
  <c r="K132" i="35"/>
  <c r="L132" i="35"/>
  <c r="K133" i="35"/>
  <c r="L133" i="35"/>
  <c r="K134" i="35"/>
  <c r="L134" i="35"/>
  <c r="K135" i="35"/>
  <c r="L135" i="35"/>
  <c r="J158" i="35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9" i="37"/>
  <c r="H8" i="37"/>
  <c r="H7" i="37"/>
  <c r="H6" i="37"/>
  <c r="H5" i="37"/>
  <c r="H4" i="37"/>
  <c r="H3" i="37"/>
  <c r="H2" i="37"/>
  <c r="G469" i="37"/>
  <c r="G83" i="24"/>
  <c r="G82" i="24"/>
  <c r="G80" i="24"/>
  <c r="G79" i="24"/>
  <c r="K245" i="35"/>
  <c r="L245" i="35"/>
  <c r="K244" i="35"/>
  <c r="L244" i="35"/>
  <c r="K243" i="35"/>
  <c r="L243" i="35"/>
  <c r="K242" i="35"/>
  <c r="L242" i="35"/>
  <c r="K241" i="35"/>
  <c r="L241" i="35"/>
  <c r="K240" i="35"/>
  <c r="L240" i="35"/>
  <c r="K239" i="35"/>
  <c r="L239" i="35"/>
  <c r="K237" i="35"/>
  <c r="L237" i="35"/>
  <c r="K236" i="35"/>
  <c r="L236" i="35"/>
  <c r="K235" i="35"/>
  <c r="L235" i="35"/>
  <c r="K234" i="35"/>
  <c r="L234" i="35"/>
  <c r="K233" i="35"/>
  <c r="L233" i="35"/>
  <c r="K232" i="35"/>
  <c r="L232" i="35"/>
  <c r="K229" i="35"/>
  <c r="L229" i="35"/>
  <c r="K228" i="35"/>
  <c r="L228" i="35"/>
  <c r="K227" i="35"/>
  <c r="L227" i="35"/>
  <c r="K226" i="35"/>
  <c r="L226" i="35"/>
  <c r="I113" i="24"/>
  <c r="I111" i="24"/>
  <c r="I110" i="24"/>
  <c r="I109" i="24"/>
  <c r="I96" i="24"/>
  <c r="I94" i="24"/>
  <c r="I89" i="24"/>
  <c r="I108" i="24"/>
  <c r="I107" i="24"/>
  <c r="I106" i="24"/>
  <c r="I105" i="24"/>
  <c r="I104" i="24"/>
  <c r="I103" i="24"/>
  <c r="I102" i="24"/>
  <c r="I101" i="24"/>
  <c r="I100" i="24"/>
  <c r="I99" i="24"/>
  <c r="I98" i="24"/>
  <c r="I83" i="24"/>
  <c r="I82" i="24"/>
  <c r="I80" i="24"/>
  <c r="I79" i="24"/>
  <c r="L8" i="35"/>
  <c r="K8" i="35"/>
  <c r="L218" i="35"/>
  <c r="K218" i="35"/>
  <c r="H585" i="37"/>
  <c r="H584" i="37"/>
  <c r="H583" i="37"/>
  <c r="H582" i="37"/>
  <c r="H581" i="37"/>
  <c r="H580" i="37"/>
  <c r="H579" i="37"/>
  <c r="H578" i="37"/>
  <c r="H577" i="37"/>
  <c r="H576" i="37"/>
  <c r="H575" i="37"/>
  <c r="H574" i="37"/>
  <c r="H573" i="37"/>
  <c r="H572" i="37"/>
  <c r="H571" i="37"/>
  <c r="H570" i="37"/>
  <c r="H569" i="37"/>
  <c r="H568" i="37"/>
  <c r="H567" i="37"/>
  <c r="H566" i="37"/>
  <c r="H565" i="37"/>
  <c r="H564" i="37"/>
  <c r="H563" i="37"/>
  <c r="H562" i="37"/>
  <c r="H561" i="37"/>
  <c r="H560" i="37"/>
  <c r="H559" i="37"/>
  <c r="H558" i="37"/>
  <c r="H557" i="37"/>
  <c r="H556" i="37"/>
  <c r="H555" i="37"/>
  <c r="H554" i="37"/>
  <c r="H553" i="37"/>
  <c r="H552" i="37"/>
  <c r="H551" i="37"/>
  <c r="H550" i="37"/>
  <c r="H549" i="37"/>
  <c r="H548" i="37"/>
  <c r="H547" i="37"/>
  <c r="H546" i="37"/>
  <c r="H545" i="37"/>
  <c r="H544" i="37"/>
  <c r="H543" i="37"/>
  <c r="H542" i="37"/>
  <c r="H541" i="37"/>
  <c r="H540" i="37"/>
  <c r="H539" i="37"/>
  <c r="H538" i="37"/>
  <c r="H537" i="37"/>
  <c r="H536" i="37"/>
  <c r="H535" i="37"/>
  <c r="H534" i="37"/>
  <c r="H533" i="37"/>
  <c r="H532" i="37"/>
  <c r="H531" i="37"/>
  <c r="H530" i="37"/>
  <c r="H529" i="37"/>
  <c r="H528" i="37"/>
  <c r="H527" i="37"/>
  <c r="H526" i="37"/>
  <c r="H525" i="37"/>
  <c r="H524" i="37"/>
  <c r="H523" i="37"/>
  <c r="H522" i="37"/>
  <c r="H521" i="37"/>
  <c r="H520" i="37"/>
  <c r="H519" i="37"/>
  <c r="H518" i="37"/>
  <c r="H517" i="37"/>
  <c r="H516" i="37"/>
  <c r="H515" i="37"/>
  <c r="H514" i="37"/>
  <c r="H513" i="37"/>
  <c r="H511" i="37"/>
  <c r="H510" i="37"/>
  <c r="H509" i="37"/>
  <c r="H508" i="37"/>
  <c r="H507" i="37"/>
  <c r="H506" i="37"/>
  <c r="H505" i="37"/>
  <c r="H504" i="37"/>
  <c r="H503" i="37"/>
  <c r="H502" i="37"/>
  <c r="H501" i="37"/>
  <c r="H500" i="37"/>
  <c r="H499" i="37"/>
  <c r="H498" i="37"/>
  <c r="H497" i="37"/>
  <c r="H496" i="37"/>
  <c r="H495" i="37"/>
  <c r="H494" i="37"/>
  <c r="H493" i="37"/>
  <c r="H492" i="37"/>
  <c r="H491" i="37"/>
  <c r="H490" i="37"/>
  <c r="H489" i="37"/>
  <c r="H488" i="37"/>
  <c r="H487" i="37"/>
  <c r="H486" i="37"/>
  <c r="H485" i="37"/>
  <c r="H484" i="37"/>
  <c r="H483" i="37"/>
  <c r="H482" i="37"/>
  <c r="H481" i="37"/>
  <c r="H480" i="37"/>
  <c r="H479" i="37"/>
  <c r="H478" i="37"/>
  <c r="H477" i="37"/>
  <c r="H476" i="37"/>
  <c r="H475" i="37"/>
  <c r="H474" i="37"/>
  <c r="H473" i="37"/>
  <c r="H470" i="37"/>
  <c r="H469" i="37"/>
  <c r="E282" i="26"/>
  <c r="E281" i="26"/>
  <c r="E280" i="26"/>
  <c r="E279" i="26"/>
  <c r="E278" i="26"/>
  <c r="E277" i="26"/>
  <c r="E276" i="26"/>
  <c r="E275" i="26"/>
  <c r="E274" i="26"/>
  <c r="E273" i="26"/>
  <c r="E272" i="26"/>
  <c r="E271" i="26"/>
  <c r="E270" i="26"/>
  <c r="E269" i="26"/>
  <c r="E268" i="26"/>
  <c r="E267" i="26"/>
  <c r="E266" i="26"/>
  <c r="E265" i="26"/>
  <c r="E264" i="26"/>
  <c r="E263" i="26"/>
  <c r="E262" i="26"/>
  <c r="E261" i="26"/>
  <c r="E260" i="26"/>
  <c r="E259" i="26"/>
  <c r="E258" i="26"/>
  <c r="E257" i="26"/>
  <c r="E256" i="26"/>
  <c r="E255" i="26"/>
  <c r="E254" i="26"/>
  <c r="E253" i="26"/>
  <c r="E252" i="26"/>
  <c r="E251" i="26"/>
  <c r="E250" i="26"/>
  <c r="E249" i="26"/>
  <c r="E248" i="26"/>
  <c r="E247" i="26"/>
  <c r="E246" i="26"/>
  <c r="E245" i="26"/>
  <c r="E244" i="26"/>
  <c r="E243" i="26"/>
  <c r="E242" i="26"/>
  <c r="E241" i="26"/>
  <c r="E240" i="26"/>
  <c r="E239" i="26"/>
  <c r="E238" i="26"/>
  <c r="E237" i="26"/>
  <c r="E236" i="26"/>
  <c r="E235" i="26"/>
  <c r="E234" i="26"/>
  <c r="E233" i="26"/>
  <c r="E232" i="26"/>
  <c r="E231" i="26"/>
  <c r="E230" i="26"/>
  <c r="E229" i="26"/>
  <c r="E228" i="26"/>
  <c r="E227" i="26"/>
  <c r="E226" i="26"/>
  <c r="E225" i="26"/>
  <c r="E224" i="26"/>
  <c r="E223" i="26"/>
  <c r="E222" i="26"/>
  <c r="E221" i="26"/>
  <c r="E220" i="26"/>
  <c r="E219" i="26"/>
  <c r="E218" i="26"/>
  <c r="E217" i="26"/>
  <c r="E216" i="26"/>
  <c r="E215" i="26"/>
  <c r="E214" i="26"/>
  <c r="E213" i="26"/>
  <c r="E212" i="26"/>
  <c r="E211" i="26"/>
  <c r="E209" i="26"/>
  <c r="E208" i="26"/>
  <c r="E207" i="26"/>
  <c r="E206" i="26"/>
  <c r="E205" i="26"/>
  <c r="E204" i="26"/>
  <c r="E203" i="26"/>
  <c r="E202" i="26"/>
  <c r="E201" i="26"/>
  <c r="E200" i="26"/>
  <c r="E199" i="26"/>
  <c r="E198" i="26"/>
  <c r="E197" i="26"/>
  <c r="E196" i="26"/>
  <c r="E195" i="26"/>
  <c r="E194" i="26"/>
  <c r="E193" i="26"/>
  <c r="E192" i="26"/>
  <c r="E191" i="26"/>
  <c r="E190" i="26"/>
  <c r="E189" i="26"/>
  <c r="E188" i="26"/>
  <c r="E187" i="26"/>
  <c r="E186" i="26"/>
  <c r="E185" i="26"/>
  <c r="E184" i="26"/>
  <c r="E183" i="26"/>
  <c r="E182" i="26"/>
  <c r="E181" i="26"/>
  <c r="E180" i="26"/>
  <c r="E179" i="26"/>
  <c r="E178" i="26"/>
  <c r="E177" i="26"/>
  <c r="E176" i="26"/>
  <c r="E175" i="26"/>
  <c r="E174" i="26"/>
  <c r="E173" i="26"/>
  <c r="E172" i="26"/>
  <c r="E171" i="26"/>
  <c r="E168" i="26"/>
  <c r="E167" i="26"/>
  <c r="E97" i="26"/>
  <c r="E96" i="26"/>
  <c r="E95" i="26"/>
  <c r="E94" i="26"/>
  <c r="E93" i="26"/>
  <c r="E92" i="26"/>
  <c r="E91" i="26"/>
  <c r="E90" i="26"/>
  <c r="E89" i="26"/>
  <c r="E88" i="26"/>
  <c r="E87" i="26"/>
  <c r="E85" i="26"/>
  <c r="E84" i="26"/>
  <c r="E83" i="26"/>
  <c r="E82" i="26"/>
  <c r="E81" i="26"/>
  <c r="E80" i="26"/>
  <c r="E22" i="26"/>
  <c r="E21" i="26"/>
  <c r="E20" i="26"/>
  <c r="E19" i="26"/>
  <c r="M210" i="37"/>
  <c r="M211" i="37"/>
  <c r="M212" i="37"/>
  <c r="M213" i="37"/>
  <c r="M214" i="37"/>
  <c r="M209" i="37"/>
  <c r="M208" i="37"/>
  <c r="D701" i="37"/>
  <c r="D700" i="37"/>
  <c r="D699" i="37"/>
  <c r="D698" i="37"/>
  <c r="D697" i="37"/>
  <c r="D696" i="37"/>
  <c r="D695" i="37"/>
  <c r="D694" i="37"/>
  <c r="D693" i="37"/>
  <c r="D692" i="37"/>
  <c r="D687" i="37"/>
  <c r="D686" i="37"/>
  <c r="D685" i="37"/>
  <c r="D684" i="37"/>
  <c r="D683" i="37"/>
  <c r="D682" i="37"/>
  <c r="D676" i="37"/>
  <c r="D675" i="37"/>
  <c r="D674" i="37"/>
  <c r="D673" i="37"/>
  <c r="D672" i="37"/>
  <c r="D671" i="37"/>
  <c r="D666" i="37"/>
  <c r="D665" i="37"/>
  <c r="D664" i="37"/>
  <c r="D606" i="37"/>
  <c r="D605" i="37"/>
  <c r="D604" i="37"/>
  <c r="D603" i="37"/>
  <c r="D602" i="37"/>
  <c r="D601" i="37"/>
  <c r="D600" i="37"/>
  <c r="D599" i="37"/>
  <c r="D598" i="37"/>
  <c r="D597" i="37"/>
  <c r="D596" i="37"/>
  <c r="D595" i="37"/>
  <c r="D594" i="37"/>
  <c r="D593" i="37"/>
  <c r="D592" i="37"/>
  <c r="D591" i="37"/>
  <c r="D590" i="37"/>
  <c r="D589" i="37"/>
  <c r="D588" i="37"/>
  <c r="D587" i="37"/>
  <c r="D586" i="37"/>
  <c r="D585" i="37"/>
  <c r="D584" i="37"/>
  <c r="D583" i="37"/>
  <c r="D582" i="37"/>
  <c r="D581" i="37"/>
  <c r="D580" i="37"/>
  <c r="D579" i="37"/>
  <c r="D578" i="37"/>
  <c r="D577" i="37"/>
  <c r="D576" i="37"/>
  <c r="D575" i="37"/>
  <c r="D574" i="37"/>
  <c r="D573" i="37"/>
  <c r="D572" i="37"/>
  <c r="D571" i="37"/>
  <c r="D570" i="37"/>
  <c r="D569" i="37"/>
  <c r="D568" i="37"/>
  <c r="D567" i="37"/>
  <c r="D566" i="37"/>
  <c r="D565" i="37"/>
  <c r="D564" i="37"/>
  <c r="D563" i="37"/>
  <c r="D562" i="37"/>
  <c r="D561" i="37"/>
  <c r="D560" i="37"/>
  <c r="D559" i="37"/>
  <c r="D558" i="37"/>
  <c r="D557" i="37"/>
  <c r="D556" i="37"/>
  <c r="D555" i="37"/>
  <c r="D554" i="37"/>
  <c r="D553" i="37"/>
  <c r="D552" i="37"/>
  <c r="D551" i="37"/>
  <c r="D550" i="37"/>
  <c r="D549" i="37"/>
  <c r="D548" i="37"/>
  <c r="D547" i="37"/>
  <c r="D546" i="37"/>
  <c r="D545" i="37"/>
  <c r="D544" i="37"/>
  <c r="D543" i="37"/>
  <c r="D542" i="37"/>
  <c r="D541" i="37"/>
  <c r="D540" i="37"/>
  <c r="D539" i="37"/>
  <c r="D538" i="37"/>
  <c r="D537" i="37"/>
  <c r="D536" i="37"/>
  <c r="D535" i="37"/>
  <c r="D534" i="37"/>
  <c r="D533" i="37"/>
  <c r="D532" i="37"/>
  <c r="D531" i="37"/>
  <c r="D530" i="37"/>
  <c r="D529" i="37"/>
  <c r="D528" i="37"/>
  <c r="D527" i="37"/>
  <c r="D526" i="37"/>
  <c r="D525" i="37"/>
  <c r="D524" i="37"/>
  <c r="D523" i="37"/>
  <c r="D522" i="37"/>
  <c r="D521" i="37"/>
  <c r="D520" i="37"/>
  <c r="D519" i="37"/>
  <c r="D518" i="37"/>
  <c r="D517" i="37"/>
  <c r="D516" i="37"/>
  <c r="D515" i="37"/>
  <c r="D514" i="37"/>
  <c r="D513" i="37"/>
  <c r="D512" i="37"/>
  <c r="D511" i="37"/>
  <c r="D510" i="37"/>
  <c r="D509" i="37"/>
  <c r="D508" i="37"/>
  <c r="D507" i="37"/>
  <c r="D506" i="37"/>
  <c r="D505" i="37"/>
  <c r="D504" i="37"/>
  <c r="D503" i="37"/>
  <c r="D502" i="37"/>
  <c r="D501" i="37"/>
  <c r="D500" i="37"/>
  <c r="D499" i="37"/>
  <c r="D498" i="37"/>
  <c r="D497" i="37"/>
  <c r="D496" i="37"/>
  <c r="D495" i="37"/>
  <c r="D494" i="37"/>
  <c r="D493" i="37"/>
  <c r="D492" i="37"/>
  <c r="D491" i="37"/>
  <c r="D490" i="37"/>
  <c r="D489" i="37"/>
  <c r="D488" i="37"/>
  <c r="D487" i="37"/>
  <c r="D486" i="37"/>
  <c r="D485" i="37"/>
  <c r="D484" i="37"/>
  <c r="D483" i="37"/>
  <c r="D482" i="37"/>
  <c r="D481" i="37"/>
  <c r="D480" i="37"/>
  <c r="D479" i="37"/>
  <c r="D478" i="37"/>
  <c r="D477" i="37"/>
  <c r="D475" i="37"/>
  <c r="D473" i="37"/>
  <c r="D470" i="37"/>
  <c r="D469" i="37"/>
  <c r="D416" i="37"/>
  <c r="D415" i="37"/>
  <c r="D414" i="37"/>
  <c r="D413" i="37"/>
  <c r="D412" i="37"/>
  <c r="D411" i="37"/>
  <c r="D410" i="37"/>
  <c r="D409" i="37"/>
  <c r="D408" i="37"/>
  <c r="D407" i="37"/>
  <c r="D406" i="37"/>
  <c r="D405" i="37"/>
  <c r="D404" i="37"/>
  <c r="D403" i="37"/>
  <c r="D402" i="37"/>
  <c r="D401" i="37"/>
  <c r="D400" i="37"/>
  <c r="D399" i="37"/>
  <c r="D398" i="37"/>
  <c r="D397" i="37"/>
  <c r="D396" i="37"/>
  <c r="D395" i="37"/>
  <c r="D394" i="37"/>
  <c r="D393" i="37"/>
  <c r="D392" i="37"/>
  <c r="D391" i="37"/>
  <c r="D390" i="37"/>
  <c r="D389" i="37"/>
  <c r="D388" i="37"/>
  <c r="D387" i="37"/>
  <c r="D386" i="37"/>
  <c r="D385" i="37"/>
  <c r="D384" i="37"/>
  <c r="D383" i="37"/>
  <c r="D382" i="37"/>
  <c r="D381" i="37"/>
  <c r="D380" i="37"/>
  <c r="D379" i="37"/>
  <c r="D378" i="37"/>
  <c r="D377" i="37"/>
  <c r="D376" i="37"/>
  <c r="D375" i="37"/>
  <c r="D239" i="37"/>
  <c r="D238" i="37"/>
  <c r="D216" i="37"/>
  <c r="D215" i="37"/>
  <c r="D214" i="37"/>
  <c r="D213" i="37"/>
  <c r="D212" i="37"/>
  <c r="D211" i="37"/>
  <c r="D210" i="37"/>
  <c r="D209" i="37"/>
  <c r="D208" i="37"/>
  <c r="D207" i="37"/>
  <c r="D206" i="37"/>
  <c r="D205" i="37"/>
  <c r="D204" i="37"/>
  <c r="D203" i="37"/>
  <c r="D202" i="37"/>
  <c r="D201" i="37"/>
  <c r="D200" i="37"/>
  <c r="D199" i="37"/>
  <c r="D79" i="37"/>
  <c r="D78" i="37"/>
  <c r="D77" i="37"/>
  <c r="D76" i="37"/>
  <c r="D75" i="37"/>
  <c r="D74" i="37"/>
  <c r="D73" i="37"/>
  <c r="D72" i="37"/>
  <c r="D71" i="37"/>
  <c r="D70" i="37"/>
  <c r="D68" i="37"/>
  <c r="D67" i="37"/>
  <c r="D66" i="37"/>
  <c r="D65" i="37"/>
  <c r="D64" i="37"/>
  <c r="D55" i="37"/>
  <c r="D54" i="37"/>
  <c r="D53" i="37"/>
  <c r="D52" i="37"/>
  <c r="D51" i="37"/>
  <c r="D50" i="37"/>
  <c r="D49" i="37"/>
  <c r="D48" i="37"/>
  <c r="D47" i="37"/>
  <c r="D46" i="37"/>
  <c r="D45" i="37"/>
  <c r="D44" i="37"/>
  <c r="D35" i="37"/>
  <c r="D34" i="37"/>
  <c r="D33" i="37"/>
  <c r="D32" i="37"/>
  <c r="D31" i="37"/>
  <c r="D30" i="37"/>
  <c r="D29" i="37"/>
  <c r="D28" i="37"/>
  <c r="D27" i="37"/>
  <c r="D26" i="37"/>
  <c r="D25" i="37"/>
  <c r="D24" i="37"/>
  <c r="D23" i="37"/>
  <c r="D22" i="37"/>
  <c r="D21" i="37"/>
  <c r="D20" i="37"/>
  <c r="D19" i="37"/>
  <c r="D18" i="37"/>
  <c r="D17" i="37"/>
  <c r="D16" i="37"/>
  <c r="D15" i="37"/>
  <c r="D14" i="37"/>
  <c r="D13" i="37"/>
  <c r="D12" i="37"/>
  <c r="D11" i="37"/>
  <c r="D10" i="37"/>
  <c r="D9" i="37"/>
  <c r="D8" i="37"/>
  <c r="D7" i="37"/>
  <c r="D6" i="37"/>
  <c r="D5" i="37"/>
  <c r="D4" i="37"/>
  <c r="D3" i="37"/>
  <c r="D2" i="37"/>
  <c r="D689" i="37"/>
  <c r="D690" i="37"/>
  <c r="D691" i="37"/>
  <c r="D607" i="37"/>
  <c r="D608" i="37"/>
  <c r="D609" i="37"/>
  <c r="D611" i="37"/>
  <c r="D612" i="37"/>
  <c r="D613" i="37"/>
  <c r="D618" i="37"/>
  <c r="D619" i="37"/>
  <c r="D620" i="37"/>
  <c r="D614" i="37"/>
  <c r="D624" i="37"/>
  <c r="D625" i="37"/>
  <c r="D626" i="37"/>
  <c r="D627" i="37"/>
  <c r="D630" i="37"/>
  <c r="D631" i="37"/>
  <c r="D632" i="37"/>
  <c r="D635" i="37"/>
  <c r="D639" i="37"/>
  <c r="D640" i="37"/>
  <c r="D641" i="37"/>
  <c r="D643" i="37"/>
  <c r="D644" i="37"/>
  <c r="D645" i="37"/>
  <c r="D646" i="37"/>
  <c r="D648" i="37"/>
  <c r="D649" i="37"/>
  <c r="D650" i="37"/>
  <c r="D652" i="37"/>
  <c r="D653" i="37"/>
  <c r="D654" i="37"/>
  <c r="D655" i="37"/>
  <c r="D657" i="37"/>
  <c r="D658" i="37"/>
  <c r="D659" i="37"/>
  <c r="D661" i="37"/>
  <c r="D702" i="37"/>
  <c r="D703" i="37"/>
  <c r="D709" i="37"/>
  <c r="D708" i="37"/>
  <c r="D706" i="37"/>
  <c r="D707" i="37"/>
  <c r="D710" i="37"/>
  <c r="D711" i="37"/>
  <c r="D712" i="37"/>
  <c r="D713" i="37"/>
  <c r="D714" i="37"/>
  <c r="D249" i="37"/>
  <c r="D84" i="37"/>
  <c r="D83" i="37"/>
  <c r="D82" i="37"/>
  <c r="D81" i="37"/>
  <c r="D80" i="37"/>
  <c r="D250" i="37"/>
  <c r="D667" i="37"/>
  <c r="D668" i="37"/>
  <c r="D677" i="37"/>
  <c r="D679" i="37"/>
  <c r="D680" i="37"/>
  <c r="D681" i="37"/>
  <c r="D688" i="37"/>
  <c r="D642" i="37"/>
  <c r="D663" i="37"/>
  <c r="D662" i="37"/>
  <c r="D660" i="37"/>
  <c r="D656" i="37"/>
  <c r="D651" i="37"/>
  <c r="D647" i="37"/>
  <c r="D636" i="37"/>
  <c r="D638" i="37"/>
  <c r="D633" i="37"/>
  <c r="D628" i="37"/>
  <c r="D621" i="37"/>
  <c r="D615" i="37"/>
  <c r="D610" i="37"/>
  <c r="D36" i="37"/>
  <c r="D37" i="37"/>
  <c r="D38" i="37"/>
  <c r="D39" i="37"/>
  <c r="D85" i="37"/>
  <c r="D69" i="37"/>
  <c r="D251" i="37"/>
  <c r="D252" i="37"/>
  <c r="D41" i="37"/>
  <c r="D42" i="37"/>
  <c r="D43" i="37"/>
  <c r="D40" i="37"/>
  <c r="D86" i="37"/>
  <c r="D87" i="37"/>
  <c r="D88" i="37"/>
  <c r="D89" i="37"/>
  <c r="D91" i="37"/>
  <c r="D90" i="37"/>
  <c r="D93" i="37"/>
  <c r="D94" i="37"/>
  <c r="D669" i="37"/>
  <c r="D670" i="37"/>
  <c r="D678" i="37"/>
  <c r="D616" i="37"/>
  <c r="D617" i="37"/>
  <c r="D622" i="37"/>
  <c r="D623" i="37"/>
  <c r="D629" i="37"/>
  <c r="D634" i="37"/>
  <c r="D637" i="37"/>
  <c r="D95" i="37"/>
  <c r="D96" i="37"/>
  <c r="D352" i="37"/>
  <c r="D351" i="37"/>
  <c r="D344" i="35"/>
  <c r="D6" i="35"/>
</calcChain>
</file>

<file path=xl/comments1.xml><?xml version="1.0" encoding="utf-8"?>
<comments xmlns="http://schemas.openxmlformats.org/spreadsheetml/2006/main">
  <authors>
    <author>鷲見 政明</author>
  </authors>
  <commentList>
    <comment ref="H10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　・ja
　・en　
　・kr
　・zhHant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A2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1000：教育
2000：進捗アチーブメント
3000：ランクアチーブメント
4000：フレンド人数アチーブメント
5000：図鑑アチーブメント
6000：通算ログインボーナス
7000：通算クエストクリアボーナス
8000：通算マルチプレイボーナス
9000：その他</t>
        </r>
      </text>
    </comment>
    <comment ref="C2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ミッション開放条件ID</t>
        </r>
      </text>
    </comment>
    <comment ref="E2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ミッション達成条件ID</t>
        </r>
      </text>
    </comment>
    <comment ref="G2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ミッション達成報酬ID</t>
        </r>
      </text>
    </comment>
    <comment ref="M2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並び順優先度（数字が大きいほど上に表示）</t>
        </r>
      </text>
    </comment>
  </commentList>
</comments>
</file>

<file path=xl/comments3.xml><?xml version="1.0" encoding="utf-8"?>
<comments xmlns="http://schemas.openxmlformats.org/spreadsheetml/2006/main">
  <authors>
    <author>吉澤 曜祐</author>
    <author>Microsoft Office ユーザー</author>
  </authors>
  <commentList>
    <comment ref="D8" authorId="0">
      <text>
        <r>
          <rPr>
            <b/>
            <sz val="10"/>
            <color indexed="81"/>
            <rFont val="ＭＳ Ｐゴシック"/>
            <family val="3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新シリーズ開始</t>
        </r>
      </text>
    </comment>
    <comment ref="D40" authorId="1">
      <text>
        <r>
          <rPr>
            <b/>
            <sz val="11"/>
            <color indexed="81"/>
            <rFont val="ＭＳ Ｐゴシック"/>
            <family val="3"/>
            <charset val="128"/>
          </rPr>
          <t>新シリーズ開始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C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開放条件の種類</t>
        </r>
      </text>
    </comment>
    <comment ref="F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開放条件の閾値もしくは対象となる値</t>
        </r>
      </text>
    </comment>
    <comment ref="H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開放となる数</t>
        </r>
      </text>
    </comment>
    <comment ref="C2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開放条件の種類</t>
        </r>
      </text>
    </comment>
    <comment ref="F2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開放条件の閾値もしくは対象となる値</t>
        </r>
      </text>
    </comment>
    <comment ref="H2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開放となる数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F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条件の種類</t>
        </r>
      </text>
    </comment>
    <comment ref="I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達成となる閾値もしくは対象の値</t>
        </r>
      </text>
    </commen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次のミッションID</t>
        </r>
      </text>
    </comment>
  </commentList>
</comments>
</file>

<file path=xl/sharedStrings.xml><?xml version="1.0" encoding="utf-8"?>
<sst xmlns="http://schemas.openxmlformats.org/spreadsheetml/2006/main" count="9813" uniqueCount="2719">
  <si>
    <t>unlock_criterion_id</t>
    <phoneticPr fontId="5"/>
  </si>
  <si>
    <t>unlock_criterion_type</t>
    <phoneticPr fontId="5"/>
  </si>
  <si>
    <t>unlock_criterion_value</t>
    <phoneticPr fontId="5"/>
  </si>
  <si>
    <t>unlock_criterion_id</t>
    <phoneticPr fontId="5"/>
  </si>
  <si>
    <t>achievement_id</t>
    <phoneticPr fontId="5"/>
  </si>
  <si>
    <t>achievement_criterion_id</t>
    <phoneticPr fontId="5"/>
  </si>
  <si>
    <t>weekly_mission_id</t>
    <phoneticPr fontId="5"/>
  </si>
  <si>
    <t>達成条件</t>
    <rPh sb="0" eb="4">
      <t>タッセイジョウケン</t>
    </rPh>
    <phoneticPr fontId="5"/>
  </si>
  <si>
    <t>報酬</t>
    <rPh sb="0" eb="2">
      <t>ホウシュウ</t>
    </rPh>
    <phoneticPr fontId="5"/>
  </si>
  <si>
    <t>開放条件</t>
    <rPh sb="0" eb="4">
      <t>カイホウジョウケン</t>
    </rPh>
    <phoneticPr fontId="5"/>
  </si>
  <si>
    <t>quest_clear</t>
  </si>
  <si>
    <t>player_rank</t>
  </si>
  <si>
    <t>プレイヤーランク</t>
  </si>
  <si>
    <t>pictorial_book</t>
  </si>
  <si>
    <t>図鑑数</t>
  </si>
  <si>
    <t>ミッションID</t>
  </si>
  <si>
    <t>quest_clear_count</t>
  </si>
  <si>
    <t>通算クエストクリア回数</t>
  </si>
  <si>
    <t>login_count</t>
  </si>
  <si>
    <t>ログイン回数</t>
  </si>
  <si>
    <t>friend_count</t>
  </si>
  <si>
    <t>フレンド数</t>
  </si>
  <si>
    <t>multiplay_count</t>
  </si>
  <si>
    <t>マルチプレイプレイ回数</t>
  </si>
  <si>
    <t>unlock_criterion_count</t>
    <phoneticPr fontId="5"/>
  </si>
  <si>
    <t>mission_clear</t>
    <phoneticPr fontId="5"/>
  </si>
  <si>
    <t>specific_quest_clear</t>
  </si>
  <si>
    <t>unit_level</t>
  </si>
  <si>
    <r>
      <rPr>
        <sz val="10"/>
        <rFont val="ＭＳ Ｐゴシック"/>
        <family val="3"/>
        <charset val="128"/>
      </rPr>
      <t>レベル</t>
    </r>
  </si>
  <si>
    <t>unit_evolution_count</t>
  </si>
  <si>
    <r>
      <rPr>
        <sz val="10"/>
        <rFont val="ＭＳ Ｐゴシック"/>
        <family val="3"/>
        <charset val="128"/>
      </rPr>
      <t>回数</t>
    </r>
  </si>
  <si>
    <t>specific_unit_aquired_count</t>
  </si>
  <si>
    <r>
      <rPr>
        <sz val="10"/>
        <rFont val="ＭＳ Ｐゴシック"/>
        <family val="3"/>
        <charset val="128"/>
      </rPr>
      <t>ユニット</t>
    </r>
    <r>
      <rPr>
        <sz val="10"/>
        <rFont val="Lucida Grande"/>
        <family val="2"/>
      </rPr>
      <t>ID</t>
    </r>
  </si>
  <si>
    <r>
      <rPr>
        <sz val="10"/>
        <rFont val="ＭＳ Ｐゴシック"/>
        <family val="3"/>
        <charset val="128"/>
      </rPr>
      <t>プレイヤーランク</t>
    </r>
  </si>
  <si>
    <t>unit_kind_count</t>
  </si>
  <si>
    <r>
      <rPr>
        <sz val="10"/>
        <rFont val="ＭＳ Ｐゴシック"/>
        <family val="3"/>
        <charset val="128"/>
      </rPr>
      <t>ユニットの種類数</t>
    </r>
  </si>
  <si>
    <t>total_clear_count</t>
  </si>
  <si>
    <r>
      <rPr>
        <sz val="10"/>
        <rFont val="ＭＳ Ｐゴシック"/>
        <family val="3"/>
        <charset val="128"/>
      </rPr>
      <t>通算クリア回数</t>
    </r>
  </si>
  <si>
    <t>review_completed</t>
  </si>
  <si>
    <r>
      <rPr>
        <sz val="10"/>
        <rFont val="ＭＳ Ｐゴシック"/>
        <family val="3"/>
        <charset val="128"/>
      </rPr>
      <t>フレンド数</t>
    </r>
  </si>
  <si>
    <r>
      <rPr>
        <sz val="10"/>
        <rFont val="ＭＳ Ｐゴシック"/>
        <family val="3"/>
        <charset val="128"/>
      </rPr>
      <t>マルチプレイプレイ回数</t>
    </r>
  </si>
  <si>
    <t>rare_gacha_completed</t>
  </si>
  <si>
    <t>tutorial_completed</t>
  </si>
  <si>
    <r>
      <rPr>
        <sz val="10"/>
        <rFont val="ＭＳ Ｐゴシック"/>
        <family val="3"/>
        <charset val="128"/>
      </rPr>
      <t>該当のクエスト(99-9)</t>
    </r>
    <phoneticPr fontId="5"/>
  </si>
  <si>
    <t>該当のクエスト(99-9)</t>
    <phoneticPr fontId="5"/>
  </si>
  <si>
    <t>unit_aquired_count</t>
    <phoneticPr fontId="5"/>
  </si>
  <si>
    <t>ユニット数</t>
    <rPh sb="4" eb="5">
      <t>スウ</t>
    </rPh>
    <phoneticPr fontId="5"/>
  </si>
  <si>
    <t>P0001</t>
    <phoneticPr fontId="5"/>
  </si>
  <si>
    <t>P0005</t>
    <phoneticPr fontId="5"/>
  </si>
  <si>
    <t>P0001</t>
    <phoneticPr fontId="5"/>
  </si>
  <si>
    <t>F0005</t>
    <phoneticPr fontId="5"/>
  </si>
  <si>
    <t>F0010</t>
    <phoneticPr fontId="5"/>
  </si>
  <si>
    <t>E0001</t>
    <phoneticPr fontId="5"/>
  </si>
  <si>
    <t>E0002</t>
    <phoneticPr fontId="5"/>
  </si>
  <si>
    <t>E0003</t>
  </si>
  <si>
    <t>E0004</t>
  </si>
  <si>
    <t>E0005</t>
  </si>
  <si>
    <t>unit_enhance_count</t>
    <phoneticPr fontId="5"/>
  </si>
  <si>
    <r>
      <rPr>
        <sz val="10"/>
        <rFont val="ＭＳ Ｐゴシック"/>
        <family val="3"/>
        <charset val="128"/>
      </rPr>
      <t>ログイン回数</t>
    </r>
    <phoneticPr fontId="5"/>
  </si>
  <si>
    <t>unit_enhance_count</t>
    <phoneticPr fontId="5"/>
  </si>
  <si>
    <t>weekdays_quest_clear</t>
    <phoneticPr fontId="5"/>
  </si>
  <si>
    <t>O0001</t>
    <phoneticPr fontId="5"/>
  </si>
  <si>
    <t>O0001</t>
    <phoneticPr fontId="5"/>
  </si>
  <si>
    <t>language</t>
    <phoneticPr fontId="5"/>
  </si>
  <si>
    <t>title</t>
    <phoneticPr fontId="5"/>
  </si>
  <si>
    <t>next_id</t>
    <phoneticPr fontId="5"/>
  </si>
  <si>
    <t>L0003</t>
  </si>
  <si>
    <t>L0007</t>
  </si>
  <si>
    <t>L0010</t>
  </si>
  <si>
    <t>L0014</t>
  </si>
  <si>
    <t>L0020</t>
  </si>
  <si>
    <t>L0025</t>
  </si>
  <si>
    <t>L0030</t>
  </si>
  <si>
    <t>L0040</t>
  </si>
  <si>
    <t>L0002</t>
  </si>
  <si>
    <t>L0050</t>
  </si>
  <si>
    <t>L0060</t>
  </si>
  <si>
    <t>L0070</t>
  </si>
  <si>
    <t>L0080</t>
  </si>
  <si>
    <t>L0090</t>
  </si>
  <si>
    <t>L0100</t>
  </si>
  <si>
    <t>L0110</t>
  </si>
  <si>
    <t>L0120</t>
  </si>
  <si>
    <t>L0130</t>
  </si>
  <si>
    <t>L0140</t>
  </si>
  <si>
    <t>L0150</t>
  </si>
  <si>
    <t>L0160</t>
  </si>
  <si>
    <t>L0170</t>
  </si>
  <si>
    <t>L0180</t>
  </si>
  <si>
    <t>L0190</t>
  </si>
  <si>
    <t>L0200</t>
  </si>
  <si>
    <t>L0210</t>
  </si>
  <si>
    <t>L0220</t>
  </si>
  <si>
    <t>L0230</t>
  </si>
  <si>
    <t>L0240</t>
  </si>
  <si>
    <t>L0250</t>
  </si>
  <si>
    <t>L0260</t>
  </si>
  <si>
    <t>L0270</t>
  </si>
  <si>
    <t>L0280</t>
  </si>
  <si>
    <t>L0290</t>
  </si>
  <si>
    <t>L0300</t>
  </si>
  <si>
    <t>L0310</t>
  </si>
  <si>
    <t>L0320</t>
  </si>
  <si>
    <t>L0330</t>
  </si>
  <si>
    <t>L0340</t>
  </si>
  <si>
    <t>L0350</t>
  </si>
  <si>
    <t>L0360</t>
  </si>
  <si>
    <t>P0005</t>
    <phoneticPr fontId="5"/>
  </si>
  <si>
    <t>K0050</t>
  </si>
  <si>
    <t>K0075</t>
  </si>
  <si>
    <t>K0100</t>
  </si>
  <si>
    <t>K0125</t>
  </si>
  <si>
    <t>K0150</t>
  </si>
  <si>
    <t>K0175</t>
  </si>
  <si>
    <t>K0200</t>
  </si>
  <si>
    <t>K0225</t>
  </si>
  <si>
    <t>K0250</t>
  </si>
  <si>
    <t>K0275</t>
  </si>
  <si>
    <t>L0002</t>
    <phoneticPr fontId="5"/>
  </si>
  <si>
    <t>P0001</t>
    <phoneticPr fontId="5"/>
  </si>
  <si>
    <t>P0002</t>
  </si>
  <si>
    <t>L0370</t>
  </si>
  <si>
    <t>L0380</t>
  </si>
  <si>
    <t>L0390</t>
  </si>
  <si>
    <t>L0400</t>
  </si>
  <si>
    <t>L0410</t>
  </si>
  <si>
    <t>L0420</t>
  </si>
  <si>
    <t>L0430</t>
  </si>
  <si>
    <t>L0440</t>
  </si>
  <si>
    <t>L0450</t>
  </si>
  <si>
    <t>L0460</t>
  </si>
  <si>
    <t>L0470</t>
  </si>
  <si>
    <t>L0480</t>
  </si>
  <si>
    <t>L0490</t>
  </si>
  <si>
    <t>L0500</t>
  </si>
  <si>
    <t>L0510</t>
  </si>
  <si>
    <t>L0520</t>
  </si>
  <si>
    <t>L0530</t>
  </si>
  <si>
    <t>L0540</t>
  </si>
  <si>
    <t>L0550</t>
  </si>
  <si>
    <t>L0560</t>
  </si>
  <si>
    <t>L0570</t>
  </si>
  <si>
    <t>L0580</t>
  </si>
  <si>
    <t>L0590</t>
  </si>
  <si>
    <t>L0600</t>
  </si>
  <si>
    <t>L0610</t>
  </si>
  <si>
    <t>L0620</t>
  </si>
  <si>
    <t>L0630</t>
  </si>
  <si>
    <t>L0640</t>
  </si>
  <si>
    <t>L0650</t>
  </si>
  <si>
    <t>L0660</t>
  </si>
  <si>
    <t>L0670</t>
  </si>
  <si>
    <t>L0680</t>
  </si>
  <si>
    <t>L0690</t>
  </si>
  <si>
    <t>L0700</t>
  </si>
  <si>
    <t>L0710</t>
  </si>
  <si>
    <t>L0720</t>
  </si>
  <si>
    <t>L0730</t>
  </si>
  <si>
    <t>L0740</t>
  </si>
  <si>
    <t>L0750</t>
  </si>
  <si>
    <t>L0760</t>
  </si>
  <si>
    <t>L0770</t>
  </si>
  <si>
    <t>L0780</t>
  </si>
  <si>
    <t>L0790</t>
  </si>
  <si>
    <t>L0800</t>
  </si>
  <si>
    <t>L0810</t>
  </si>
  <si>
    <t>L0820</t>
  </si>
  <si>
    <t>L0830</t>
  </si>
  <si>
    <t>L0840</t>
  </si>
  <si>
    <t>L0850</t>
  </si>
  <si>
    <t>L0860</t>
  </si>
  <si>
    <t>L0870</t>
  </si>
  <si>
    <t>L0880</t>
  </si>
  <si>
    <t>L0890</t>
  </si>
  <si>
    <t>L0900</t>
  </si>
  <si>
    <t>L0910</t>
  </si>
  <si>
    <t>L0920</t>
  </si>
  <si>
    <t>L0930</t>
  </si>
  <si>
    <t>L0940</t>
  </si>
  <si>
    <t>L0950</t>
  </si>
  <si>
    <t>L0960</t>
  </si>
  <si>
    <t>L0970</t>
  </si>
  <si>
    <t>L0980</t>
  </si>
  <si>
    <t>L0990</t>
  </si>
  <si>
    <t>L1000</t>
  </si>
  <si>
    <t>L1010</t>
  </si>
  <si>
    <t>L1020</t>
  </si>
  <si>
    <t>L1030</t>
  </si>
  <si>
    <t>L1040</t>
  </si>
  <si>
    <t>L1050</t>
  </si>
  <si>
    <t>L1060</t>
  </si>
  <si>
    <t>L1070</t>
  </si>
  <si>
    <t>L1080</t>
  </si>
  <si>
    <t>F0020</t>
  </si>
  <si>
    <t>F0020</t>
    <phoneticPr fontId="5"/>
  </si>
  <si>
    <t>F0030</t>
  </si>
  <si>
    <t>F0030</t>
    <phoneticPr fontId="5"/>
  </si>
  <si>
    <t>F0040</t>
  </si>
  <si>
    <t>F0040</t>
    <phoneticPr fontId="5"/>
  </si>
  <si>
    <t>F0050</t>
  </si>
  <si>
    <t>F0050</t>
    <phoneticPr fontId="5"/>
  </si>
  <si>
    <t>F0010</t>
  </si>
  <si>
    <t>F0010</t>
    <phoneticPr fontId="5"/>
  </si>
  <si>
    <t>F0005</t>
  </si>
  <si>
    <t>B0003</t>
  </si>
  <si>
    <t>M0001</t>
  </si>
  <si>
    <t>R0010</t>
  </si>
  <si>
    <t>R0015</t>
  </si>
  <si>
    <t>R0020</t>
  </si>
  <si>
    <t>R0030</t>
  </si>
  <si>
    <t>R0040</t>
  </si>
  <si>
    <t>R0050</t>
  </si>
  <si>
    <t>R0060</t>
  </si>
  <si>
    <t>R0070</t>
  </si>
  <si>
    <t>R0080</t>
  </si>
  <si>
    <t>R0090</t>
  </si>
  <si>
    <t>R0110</t>
  </si>
  <si>
    <t>R0120</t>
  </si>
  <si>
    <t>B0001</t>
  </si>
  <si>
    <t>B0002</t>
  </si>
  <si>
    <t>B0004</t>
  </si>
  <si>
    <t>B0005</t>
  </si>
  <si>
    <t>B0006</t>
  </si>
  <si>
    <t>B0007</t>
  </si>
  <si>
    <t>B0008</t>
  </si>
  <si>
    <t>B0009</t>
  </si>
  <si>
    <t>B0010</t>
  </si>
  <si>
    <t>detail</t>
  </si>
  <si>
    <t>detail</t>
    <phoneticPr fontId="5"/>
  </si>
  <si>
    <t>achievement_id</t>
  </si>
  <si>
    <t>language</t>
  </si>
  <si>
    <t>title</t>
  </si>
  <si>
    <t>message</t>
  </si>
  <si>
    <t>P0001</t>
  </si>
  <si>
    <t>P0003</t>
  </si>
  <si>
    <t>P0005</t>
  </si>
  <si>
    <t>P0010</t>
  </si>
  <si>
    <t>B0020</t>
  </si>
  <si>
    <t>WB005</t>
  </si>
  <si>
    <t>WB010</t>
  </si>
  <si>
    <t>ミッション達成報酬</t>
    <rPh sb="5" eb="7">
      <t>タッセイ</t>
    </rPh>
    <rPh sb="7" eb="9">
      <t>ホウシュウ</t>
    </rPh>
    <phoneticPr fontId="5"/>
  </si>
  <si>
    <t>achievement_criterion_id</t>
  </si>
  <si>
    <t>achievement_criterion_id</t>
    <phoneticPr fontId="5"/>
  </si>
  <si>
    <t>priority</t>
    <phoneticPr fontId="5"/>
  </si>
  <si>
    <t>achievement_type</t>
  </si>
  <si>
    <t>achievement_value</t>
  </si>
  <si>
    <t>achievement_count</t>
  </si>
  <si>
    <t>unit</t>
  </si>
  <si>
    <t>polygon</t>
  </si>
  <si>
    <t>bit</t>
  </si>
  <si>
    <t>link</t>
  </si>
  <si>
    <t>character_id</t>
    <phoneticPr fontId="5"/>
  </si>
  <si>
    <t>title</t>
    <phoneticPr fontId="5"/>
  </si>
  <si>
    <t>detail</t>
    <phoneticPr fontId="5"/>
  </si>
  <si>
    <t>message</t>
    <phoneticPr fontId="5"/>
  </si>
  <si>
    <t>detail</t>
    <phoneticPr fontId="5"/>
  </si>
  <si>
    <t>achievement_type</t>
    <phoneticPr fontId="5"/>
  </si>
  <si>
    <t>achievement_value</t>
    <phoneticPr fontId="5"/>
  </si>
  <si>
    <t>achievement_count</t>
    <phoneticPr fontId="5"/>
  </si>
  <si>
    <t>name</t>
    <phoneticPr fontId="5"/>
  </si>
  <si>
    <t>ユニット名</t>
    <rPh sb="4" eb="5">
      <t>メイ</t>
    </rPh>
    <phoneticPr fontId="5"/>
  </si>
  <si>
    <t>achievement_id</t>
    <phoneticPr fontId="5"/>
  </si>
  <si>
    <t>achievement_criterion_value</t>
  </si>
  <si>
    <t>プレイヤーランクが x に到達</t>
    <rPh sb="13" eb="15">
      <t>トウタツ</t>
    </rPh>
    <phoneticPr fontId="5"/>
  </si>
  <si>
    <t>ユニット図鑑数が x に到達</t>
    <rPh sb="4" eb="6">
      <t>ズカン</t>
    </rPh>
    <rPh sb="6" eb="7">
      <t>スウ</t>
    </rPh>
    <rPh sb="12" eb="14">
      <t>トウタツ</t>
    </rPh>
    <phoneticPr fontId="5"/>
  </si>
  <si>
    <t>クエストを通算 x 回クリア</t>
    <rPh sb="5" eb="7">
      <t>ツウサン</t>
    </rPh>
    <rPh sb="10" eb="11">
      <t>カイ</t>
    </rPh>
    <phoneticPr fontId="5"/>
  </si>
  <si>
    <t>フレンド数が x 人に到達</t>
    <rPh sb="9" eb="10">
      <t>ニン</t>
    </rPh>
    <rPh sb="11" eb="13">
      <t>トウタツ</t>
    </rPh>
    <phoneticPr fontId="5"/>
  </si>
  <si>
    <t>マルチクエストのプレイ回数が x 回に到達</t>
    <rPh sb="11" eb="13">
      <t>カイスウ</t>
    </rPh>
    <rPh sb="19" eb="21">
      <t>トウタツ</t>
    </rPh>
    <phoneticPr fontId="5"/>
  </si>
  <si>
    <t>開放条件指定</t>
    <rPh sb="0" eb="4">
      <t>カイホウジョウケン</t>
    </rPh>
    <rPh sb="4" eb="6">
      <t>シテイ</t>
    </rPh>
    <phoneticPr fontId="5"/>
  </si>
  <si>
    <t>開放条件指定</t>
    <rPh sb="0" eb="6">
      <t>カイホウジョウケンシテイ</t>
    </rPh>
    <phoneticPr fontId="5"/>
  </si>
  <si>
    <t>開放条件内容</t>
    <rPh sb="0" eb="6">
      <t>カイホウジョウケンナイヨウ</t>
    </rPh>
    <phoneticPr fontId="5"/>
  </si>
  <si>
    <t>achievement_criterion_type</t>
  </si>
  <si>
    <t>achievement_criterion_type</t>
    <phoneticPr fontId="5"/>
  </si>
  <si>
    <t>達成条件指定</t>
    <rPh sb="0" eb="6">
      <t>タッセイジョウケンシテイ</t>
    </rPh>
    <phoneticPr fontId="5"/>
  </si>
  <si>
    <t>達成条件内容</t>
    <rPh sb="0" eb="2">
      <t>タッセイ</t>
    </rPh>
    <rPh sb="2" eb="4">
      <t>タッセイジョウケン</t>
    </rPh>
    <rPh sb="4" eb="6">
      <t>ナイヨウ</t>
    </rPh>
    <phoneticPr fontId="5"/>
  </si>
  <si>
    <t>開放条件内容</t>
    <phoneticPr fontId="5"/>
  </si>
  <si>
    <t>mission_id</t>
    <phoneticPr fontId="5"/>
  </si>
  <si>
    <t>title</t>
    <phoneticPr fontId="5"/>
  </si>
  <si>
    <t>達成条件内容</t>
    <rPh sb="0" eb="6">
      <t>タッセイジョウケンナイヨウ</t>
    </rPh>
    <phoneticPr fontId="5"/>
  </si>
  <si>
    <t>detail</t>
    <phoneticPr fontId="5"/>
  </si>
  <si>
    <t>ユニット名</t>
    <rPh sb="4" eb="5">
      <t>メイ</t>
    </rPh>
    <phoneticPr fontId="5"/>
  </si>
  <si>
    <t>title</t>
    <phoneticPr fontId="5"/>
  </si>
  <si>
    <t>detail</t>
    <phoneticPr fontId="5"/>
  </si>
  <si>
    <t>報酬</t>
    <rPh sb="0" eb="2">
      <t>ホウシュウ</t>
    </rPh>
    <phoneticPr fontId="5"/>
  </si>
  <si>
    <t>title</t>
    <phoneticPr fontId="5"/>
  </si>
  <si>
    <t>title</t>
    <phoneticPr fontId="5"/>
  </si>
  <si>
    <t>達成条件</t>
    <rPh sb="0" eb="4">
      <t>タッセイジョウケンナイヨウ</t>
    </rPh>
    <phoneticPr fontId="5"/>
  </si>
  <si>
    <t>開放条件</t>
    <rPh sb="0" eb="4">
      <t>カイホウジョウケン</t>
    </rPh>
    <phoneticPr fontId="5"/>
  </si>
  <si>
    <t>報酬内容</t>
    <rPh sb="0" eb="2">
      <t>ホウシュウ</t>
    </rPh>
    <rPh sb="2" eb="4">
      <t>ナイヨウ</t>
    </rPh>
    <phoneticPr fontId="5"/>
  </si>
  <si>
    <t>挑戦内容</t>
    <rPh sb="0" eb="2">
      <t>チョウセン</t>
    </rPh>
    <rPh sb="2" eb="4">
      <t>ナイヨウ</t>
    </rPh>
    <phoneticPr fontId="5"/>
  </si>
  <si>
    <r>
      <rPr>
        <sz val="10"/>
        <rFont val="ＭＳ Ｐゴシック"/>
        <family val="3"/>
        <charset val="128"/>
      </rPr>
      <t xml:space="preserve">ユニットを </t>
    </r>
    <r>
      <rPr>
        <sz val="10"/>
        <rFont val="Lucida Grande"/>
        <family val="2"/>
      </rPr>
      <t>Lv.</t>
    </r>
    <r>
      <rPr>
        <sz val="10"/>
        <rFont val="ＭＳ Ｐゴシック"/>
        <family val="3"/>
        <charset val="128"/>
      </rPr>
      <t>x まで育てよう！</t>
    </r>
    <phoneticPr fontId="5"/>
  </si>
  <si>
    <t>ユニットを x 回以上強化しよう！</t>
    <rPh sb="8" eb="9">
      <t>カイ</t>
    </rPh>
    <rPh sb="9" eb="11">
      <t>イジョウ</t>
    </rPh>
    <rPh sb="11" eb="13">
      <t>キョウカ</t>
    </rPh>
    <phoneticPr fontId="5"/>
  </si>
  <si>
    <t>プレイヤーランクを x まで上げよう！</t>
    <rPh sb="14" eb="15">
      <t>ア</t>
    </rPh>
    <phoneticPr fontId="5"/>
  </si>
  <si>
    <r>
      <rPr>
        <sz val="10"/>
        <rFont val="ＭＳ Ｐゴシック"/>
        <family val="3"/>
        <charset val="128"/>
      </rPr>
      <t xml:space="preserve">ユニットを </t>
    </r>
    <r>
      <rPr>
        <sz val="10"/>
        <rFont val="Lucida Grande"/>
        <family val="2"/>
      </rPr>
      <t xml:space="preserve">x </t>
    </r>
    <r>
      <rPr>
        <sz val="10"/>
        <rFont val="ＭＳ Ｐゴシック"/>
        <family val="3"/>
        <charset val="128"/>
      </rPr>
      <t>種類手に入れよう！</t>
    </r>
    <rPh sb="10" eb="11">
      <t>テ</t>
    </rPh>
    <rPh sb="12" eb="13">
      <t>イ</t>
    </rPh>
    <phoneticPr fontId="5"/>
  </si>
  <si>
    <r>
      <rPr>
        <sz val="10"/>
        <rFont val="ＭＳ Ｐゴシック"/>
        <family val="3"/>
        <charset val="128"/>
      </rPr>
      <t xml:space="preserve">ユニットを </t>
    </r>
    <r>
      <rPr>
        <sz val="10"/>
        <rFont val="Lucida Grande"/>
        <family val="2"/>
      </rPr>
      <t xml:space="preserve">x </t>
    </r>
    <r>
      <rPr>
        <sz val="10"/>
        <rFont val="ＭＳ Ｐゴシック"/>
        <family val="3"/>
        <charset val="128"/>
      </rPr>
      <t>体手に入れよう！</t>
    </r>
    <rPh sb="8" eb="9">
      <t>タイ</t>
    </rPh>
    <rPh sb="9" eb="10">
      <t>テ</t>
    </rPh>
    <rPh sb="11" eb="12">
      <t>イ</t>
    </rPh>
    <phoneticPr fontId="5"/>
  </si>
  <si>
    <t>クエストを通算 x 回クリアしよう！</t>
    <phoneticPr fontId="5"/>
  </si>
  <si>
    <t>レビューを書いてみよう！</t>
    <phoneticPr fontId="5"/>
  </si>
  <si>
    <t>フレンドを x 人つくろう！</t>
    <phoneticPr fontId="5"/>
  </si>
  <si>
    <t>マルチプレイを x 回プレイしよう！</t>
    <phoneticPr fontId="5"/>
  </si>
  <si>
    <t>レアガチャを引いてみよう！</t>
    <phoneticPr fontId="5"/>
  </si>
  <si>
    <t>チュートリアルをクリアしよう！</t>
    <phoneticPr fontId="5"/>
  </si>
  <si>
    <t>曜日クエストをクリアしよう！</t>
    <rPh sb="0" eb="2">
      <t>ヨウビ</t>
    </rPh>
    <phoneticPr fontId="5"/>
  </si>
  <si>
    <t>ユニットを x 回以上覚醒しよう！</t>
    <rPh sb="11" eb="13">
      <t>カクセイ</t>
    </rPh>
    <phoneticPr fontId="5"/>
  </si>
  <si>
    <t>unlock_criterion_id</t>
  </si>
  <si>
    <t>achievement_criterion_id</t>
    <phoneticPr fontId="5"/>
  </si>
  <si>
    <t>weekly_mission_id</t>
  </si>
  <si>
    <t>unlock_criterion_type</t>
  </si>
  <si>
    <t>unlock_criterion_value</t>
  </si>
  <si>
    <t>achievement_criterion_count</t>
  </si>
  <si>
    <t>next_id</t>
  </si>
  <si>
    <t>specific_quest_clear</t>
    <phoneticPr fontId="5"/>
  </si>
  <si>
    <t>2-3</t>
  </si>
  <si>
    <t>4-3</t>
  </si>
  <si>
    <t>5-3</t>
  </si>
  <si>
    <t>6-5</t>
  </si>
  <si>
    <t>7-5</t>
  </si>
  <si>
    <t>8-5</t>
  </si>
  <si>
    <t>9-5</t>
  </si>
  <si>
    <t>10-5</t>
  </si>
  <si>
    <t>11-5</t>
  </si>
  <si>
    <t>12-5</t>
  </si>
  <si>
    <t>13-5</t>
  </si>
  <si>
    <t>14-5</t>
  </si>
  <si>
    <t>15-5</t>
  </si>
  <si>
    <t>16-5</t>
  </si>
  <si>
    <t>17-5</t>
  </si>
  <si>
    <t>18-5</t>
  </si>
  <si>
    <t>19-5</t>
  </si>
  <si>
    <t>20-5</t>
  </si>
  <si>
    <t>21-5</t>
  </si>
  <si>
    <t>1-3</t>
    <phoneticPr fontId="5"/>
  </si>
  <si>
    <t>Q0001</t>
    <phoneticPr fontId="5"/>
  </si>
  <si>
    <t>Q0002</t>
    <phoneticPr fontId="5"/>
  </si>
  <si>
    <t>Q0003</t>
  </si>
  <si>
    <t>Q0004</t>
  </si>
  <si>
    <t>Q0005</t>
  </si>
  <si>
    <t>Q0006</t>
  </si>
  <si>
    <t>Q0007</t>
  </si>
  <si>
    <t>Q0008</t>
  </si>
  <si>
    <t>Q0009</t>
  </si>
  <si>
    <t>Q0010</t>
  </si>
  <si>
    <t>Q0011</t>
  </si>
  <si>
    <t>Q0012</t>
  </si>
  <si>
    <t>Q0013</t>
  </si>
  <si>
    <t>Q0014</t>
  </si>
  <si>
    <t>Q0015</t>
  </si>
  <si>
    <t>Q0016</t>
  </si>
  <si>
    <t>Q0017</t>
  </si>
  <si>
    <t>Q0018</t>
  </si>
  <si>
    <t>Q0019</t>
  </si>
  <si>
    <t>Q0020</t>
  </si>
  <si>
    <t>Q0021</t>
  </si>
  <si>
    <t>NULL</t>
    <phoneticPr fontId="5"/>
  </si>
  <si>
    <t>P0002</t>
    <phoneticPr fontId="5"/>
  </si>
  <si>
    <t>Q0001</t>
    <phoneticPr fontId="5"/>
  </si>
  <si>
    <t>0-2</t>
    <phoneticPr fontId="5"/>
  </si>
  <si>
    <t>10015-1</t>
  </si>
  <si>
    <t>10020-1</t>
  </si>
  <si>
    <t>10030-1</t>
  </si>
  <si>
    <t>10040-1</t>
  </si>
  <si>
    <t>10050-1</t>
  </si>
  <si>
    <t>RQ001</t>
    <phoneticPr fontId="5"/>
  </si>
  <si>
    <t>RQ002</t>
    <phoneticPr fontId="5"/>
  </si>
  <si>
    <t>RQ003</t>
  </si>
  <si>
    <t>RQ004</t>
  </si>
  <si>
    <t>RQ005</t>
  </si>
  <si>
    <t>RQ006</t>
  </si>
  <si>
    <t>RQ007</t>
  </si>
  <si>
    <t>RQ008</t>
  </si>
  <si>
    <t>RQ009</t>
  </si>
  <si>
    <t>RQ010</t>
  </si>
  <si>
    <t>R0008</t>
  </si>
  <si>
    <t>R0008</t>
    <phoneticPr fontId="5"/>
  </si>
  <si>
    <t>R0001</t>
    <phoneticPr fontId="5"/>
  </si>
  <si>
    <t>R0002</t>
  </si>
  <si>
    <t>R0003</t>
  </si>
  <si>
    <t>R0004</t>
  </si>
  <si>
    <t>R0005</t>
  </si>
  <si>
    <t>R0006</t>
  </si>
  <si>
    <t>R0007</t>
  </si>
  <si>
    <t>K0001</t>
    <phoneticPr fontId="5"/>
  </si>
  <si>
    <t>K0002</t>
  </si>
  <si>
    <t>K0003</t>
  </si>
  <si>
    <t>K0004</t>
  </si>
  <si>
    <t>K0005</t>
  </si>
  <si>
    <t>K0006</t>
  </si>
  <si>
    <t>K0007</t>
  </si>
  <si>
    <t>K0008</t>
  </si>
  <si>
    <t>K0009</t>
  </si>
  <si>
    <t>K0010</t>
  </si>
  <si>
    <t>K0011</t>
  </si>
  <si>
    <t>K0012</t>
  </si>
  <si>
    <t>K0013</t>
  </si>
  <si>
    <t>R0005</t>
    <phoneticPr fontId="5"/>
  </si>
  <si>
    <t>R0009</t>
  </si>
  <si>
    <t>R0025</t>
  </si>
  <si>
    <t>R0035</t>
  </si>
  <si>
    <t>R0045</t>
  </si>
  <si>
    <t>P0003</t>
    <phoneticPr fontId="5"/>
  </si>
  <si>
    <t>P0004</t>
    <phoneticPr fontId="5"/>
  </si>
  <si>
    <t>P0005</t>
    <phoneticPr fontId="5"/>
  </si>
  <si>
    <t>P0004</t>
    <phoneticPr fontId="5"/>
  </si>
  <si>
    <t>L0001</t>
    <phoneticPr fontId="5"/>
  </si>
  <si>
    <t>L0002</t>
    <phoneticPr fontId="5"/>
  </si>
  <si>
    <t>L0005</t>
  </si>
  <si>
    <t>L0007</t>
    <phoneticPr fontId="5"/>
  </si>
  <si>
    <t>L0002</t>
    <phoneticPr fontId="5"/>
  </si>
  <si>
    <t>L0004</t>
  </si>
  <si>
    <t>L0006</t>
  </si>
  <si>
    <t>L0010</t>
    <phoneticPr fontId="5"/>
  </si>
  <si>
    <t>L0015</t>
    <phoneticPr fontId="5"/>
  </si>
  <si>
    <t>K0300</t>
    <phoneticPr fontId="5"/>
  </si>
  <si>
    <t>L1090</t>
  </si>
  <si>
    <t>L1110</t>
  </si>
  <si>
    <t>L1100</t>
  </si>
  <si>
    <t>L1140</t>
  </si>
  <si>
    <t>L1120</t>
  </si>
  <si>
    <t>L1130</t>
  </si>
  <si>
    <t>U01251</t>
  </si>
  <si>
    <t>U01251</t>
    <phoneticPr fontId="5"/>
  </si>
  <si>
    <t>U03331</t>
  </si>
  <si>
    <t>U01171</t>
  </si>
  <si>
    <t>U01181</t>
  </si>
  <si>
    <t>U01191</t>
  </si>
  <si>
    <t>U01211</t>
  </si>
  <si>
    <t>U01221</t>
  </si>
  <si>
    <t>U01231</t>
  </si>
  <si>
    <t>U01241</t>
  </si>
  <si>
    <t>U01193</t>
    <phoneticPr fontId="5"/>
  </si>
  <si>
    <t>U01213</t>
    <phoneticPr fontId="5"/>
  </si>
  <si>
    <t>U01223</t>
    <phoneticPr fontId="5"/>
  </si>
  <si>
    <t>U01233</t>
    <phoneticPr fontId="5"/>
  </si>
  <si>
    <t>U01253</t>
    <phoneticPr fontId="5"/>
  </si>
  <si>
    <t>Q0001</t>
  </si>
  <si>
    <t>L0500</t>
    <phoneticPr fontId="5"/>
  </si>
  <si>
    <t>P0020</t>
    <phoneticPr fontId="5"/>
  </si>
  <si>
    <t>mission_clear</t>
    <phoneticPr fontId="5"/>
  </si>
  <si>
    <t>pictorial_book</t>
    <phoneticPr fontId="5"/>
  </si>
  <si>
    <t>K0010</t>
    <phoneticPr fontId="5"/>
  </si>
  <si>
    <t>WL002</t>
    <phoneticPr fontId="5"/>
  </si>
  <si>
    <t>WL004</t>
    <phoneticPr fontId="5"/>
  </si>
  <si>
    <t>WL006</t>
    <phoneticPr fontId="5"/>
  </si>
  <si>
    <t>WL010</t>
    <phoneticPr fontId="5"/>
  </si>
  <si>
    <t>WB025</t>
    <phoneticPr fontId="5"/>
  </si>
  <si>
    <t>WB050</t>
    <phoneticPr fontId="5"/>
  </si>
  <si>
    <t>WU1211</t>
    <phoneticPr fontId="5"/>
  </si>
  <si>
    <t>WU1213</t>
  </si>
  <si>
    <t>WU1221</t>
  </si>
  <si>
    <t>WU1223</t>
  </si>
  <si>
    <t>WU1231</t>
  </si>
  <si>
    <t>WU1233</t>
  </si>
  <si>
    <t>WU1251</t>
  </si>
  <si>
    <t>WU1215</t>
    <phoneticPr fontId="5"/>
  </si>
  <si>
    <t>WU1225</t>
  </si>
  <si>
    <t>WU1235</t>
  </si>
  <si>
    <t>WU3331</t>
  </si>
  <si>
    <t>WU3341</t>
  </si>
  <si>
    <t>7</t>
    <phoneticPr fontId="16"/>
  </si>
  <si>
    <t>F0001</t>
    <phoneticPr fontId="5"/>
  </si>
  <si>
    <t>F0003</t>
    <phoneticPr fontId="5"/>
  </si>
  <si>
    <t>F0001</t>
    <phoneticPr fontId="5"/>
  </si>
  <si>
    <t>F0003</t>
    <phoneticPr fontId="5"/>
  </si>
  <si>
    <t>F0001</t>
    <phoneticPr fontId="5"/>
  </si>
  <si>
    <t>F0003</t>
    <phoneticPr fontId="5"/>
  </si>
  <si>
    <t>L0030</t>
    <phoneticPr fontId="5"/>
  </si>
  <si>
    <t>ユニットを強化してみよう！</t>
    <rPh sb="5" eb="7">
      <t>キョウカ</t>
    </rPh>
    <phoneticPr fontId="5"/>
  </si>
  <si>
    <t>ユニットを覚醒してみよう！</t>
    <rPh sb="5" eb="7">
      <t>カクセイ</t>
    </rPh>
    <phoneticPr fontId="5"/>
  </si>
  <si>
    <t>誰かとフレンドになろう！</t>
    <rPh sb="0" eb="1">
      <t>ダレ</t>
    </rPh>
    <phoneticPr fontId="5"/>
  </si>
  <si>
    <t>マルチプレイをプレイしてみよう！</t>
    <phoneticPr fontId="5"/>
  </si>
  <si>
    <t>明日もログインしよう！</t>
    <rPh sb="0" eb="2">
      <t>アシタ</t>
    </rPh>
    <phoneticPr fontId="5"/>
  </si>
  <si>
    <t>1-3</t>
    <phoneticPr fontId="5"/>
  </si>
  <si>
    <t>2-3</t>
    <phoneticPr fontId="5"/>
  </si>
  <si>
    <t>4-3</t>
    <phoneticPr fontId="5"/>
  </si>
  <si>
    <t>5-3</t>
    <phoneticPr fontId="5"/>
  </si>
  <si>
    <t>6-5</t>
    <phoneticPr fontId="5"/>
  </si>
  <si>
    <t>7-5</t>
    <phoneticPr fontId="5"/>
  </si>
  <si>
    <t>8-5</t>
    <phoneticPr fontId="5"/>
  </si>
  <si>
    <t>9-5</t>
    <phoneticPr fontId="5"/>
  </si>
  <si>
    <t>10-5</t>
    <phoneticPr fontId="5"/>
  </si>
  <si>
    <t>11-5</t>
    <phoneticPr fontId="5"/>
  </si>
  <si>
    <t>12-5</t>
    <phoneticPr fontId="5"/>
  </si>
  <si>
    <t>13-5</t>
    <phoneticPr fontId="5"/>
  </si>
  <si>
    <t>14-5</t>
    <phoneticPr fontId="5"/>
  </si>
  <si>
    <t>15-5</t>
    <phoneticPr fontId="5"/>
  </si>
  <si>
    <t>16-5</t>
    <phoneticPr fontId="5"/>
  </si>
  <si>
    <t>17-5</t>
    <phoneticPr fontId="5"/>
  </si>
  <si>
    <t>18-5</t>
    <phoneticPr fontId="5"/>
  </si>
  <si>
    <t>19-5</t>
    <phoneticPr fontId="5"/>
  </si>
  <si>
    <t>20-5</t>
    <phoneticPr fontId="5"/>
  </si>
  <si>
    <t>K0025</t>
    <phoneticPr fontId="5"/>
  </si>
  <si>
    <t>K0025</t>
    <phoneticPr fontId="5"/>
  </si>
  <si>
    <t>K0325</t>
    <phoneticPr fontId="5"/>
  </si>
  <si>
    <t>K0350</t>
    <phoneticPr fontId="5"/>
  </si>
  <si>
    <t>K0010</t>
    <phoneticPr fontId="5"/>
  </si>
  <si>
    <t>Q9001</t>
    <phoneticPr fontId="5"/>
  </si>
  <si>
    <t>Q9002</t>
    <phoneticPr fontId="5"/>
  </si>
  <si>
    <t>1-4</t>
    <phoneticPr fontId="5"/>
  </si>
  <si>
    <t>Q9002</t>
    <phoneticPr fontId="5"/>
  </si>
  <si>
    <t>Q9003</t>
    <phoneticPr fontId="5"/>
  </si>
  <si>
    <t>4-4</t>
    <phoneticPr fontId="5"/>
  </si>
  <si>
    <t>Q9003</t>
    <phoneticPr fontId="5"/>
  </si>
  <si>
    <t>ID</t>
    <phoneticPr fontId="5"/>
  </si>
  <si>
    <t>detail</t>
    <phoneticPr fontId="5"/>
  </si>
  <si>
    <t>mission_unlock_criteria</t>
    <phoneticPr fontId="5"/>
  </si>
  <si>
    <t>表示優先度</t>
    <rPh sb="0" eb="5">
      <t>ヒョウジユウセンド</t>
    </rPh>
    <phoneticPr fontId="5"/>
  </si>
  <si>
    <t>ID</t>
    <phoneticPr fontId="5"/>
  </si>
  <si>
    <t>報酬</t>
    <rPh sb="0" eb="2">
      <t>ホウシュウ</t>
    </rPh>
    <phoneticPr fontId="5"/>
  </si>
  <si>
    <t>ID</t>
    <phoneticPr fontId="5"/>
  </si>
  <si>
    <t>報酬種別</t>
    <rPh sb="0" eb="4">
      <t>ホウシュウシュベツ</t>
    </rPh>
    <phoneticPr fontId="5"/>
  </si>
  <si>
    <t>報酬個数</t>
    <rPh sb="0" eb="4">
      <t>ホウシュウコスウ</t>
    </rPh>
    <phoneticPr fontId="5"/>
  </si>
  <si>
    <t>説明</t>
    <rPh sb="0" eb="2">
      <t>セツメイ</t>
    </rPh>
    <phoneticPr fontId="5"/>
  </si>
  <si>
    <t>詳細</t>
    <rPh sb="0" eb="2">
      <t>ショウサイ</t>
    </rPh>
    <phoneticPr fontId="5"/>
  </si>
  <si>
    <t>10008-1</t>
    <phoneticPr fontId="5"/>
  </si>
  <si>
    <t>10010-1</t>
    <phoneticPr fontId="5"/>
  </si>
  <si>
    <t>10025-1</t>
  </si>
  <si>
    <t>10035-1</t>
  </si>
  <si>
    <t>10045-1</t>
  </si>
  <si>
    <t>R0055</t>
  </si>
  <si>
    <t>R0065</t>
  </si>
  <si>
    <t>R0075</t>
  </si>
  <si>
    <t>R0085</t>
  </si>
  <si>
    <t>R0095</t>
  </si>
  <si>
    <t>R0100</t>
  </si>
  <si>
    <t>R0105</t>
  </si>
  <si>
    <t>R0115</t>
  </si>
  <si>
    <t>R0025</t>
    <phoneticPr fontId="5"/>
  </si>
  <si>
    <t>ID</t>
    <phoneticPr fontId="5"/>
  </si>
  <si>
    <t>criteria</t>
    <phoneticPr fontId="5"/>
  </si>
  <si>
    <t>value</t>
    <phoneticPr fontId="5"/>
  </si>
  <si>
    <t>指定</t>
    <rPh sb="0" eb="2">
      <t>シテイ</t>
    </rPh>
    <phoneticPr fontId="5"/>
  </si>
  <si>
    <t>回数</t>
    <rPh sb="0" eb="2">
      <t>カイスウ</t>
    </rPh>
    <phoneticPr fontId="5"/>
  </si>
  <si>
    <t>タイプ</t>
    <phoneticPr fontId="5"/>
  </si>
  <si>
    <t>mission_unlock_criteria</t>
    <phoneticPr fontId="5"/>
  </si>
  <si>
    <t>M1003</t>
    <phoneticPr fontId="5"/>
  </si>
  <si>
    <t>O0002</t>
    <phoneticPr fontId="5"/>
  </si>
  <si>
    <t>follow_completed</t>
    <phoneticPr fontId="5"/>
  </si>
  <si>
    <t>公式ツイッターをフォローしよう！</t>
    <rPh sb="0" eb="2">
      <t>コウシキ</t>
    </rPh>
    <phoneticPr fontId="5"/>
  </si>
  <si>
    <t>U03331</t>
    <phoneticPr fontId="5"/>
  </si>
  <si>
    <t>U01077</t>
    <phoneticPr fontId="5"/>
  </si>
  <si>
    <t>U01079</t>
    <phoneticPr fontId="5"/>
  </si>
  <si>
    <t>U01081</t>
    <phoneticPr fontId="5"/>
  </si>
  <si>
    <t>U01083</t>
    <phoneticPr fontId="5"/>
  </si>
  <si>
    <t>NULL</t>
  </si>
  <si>
    <t>通算 x 日ログインしよう！</t>
    <rPh sb="5" eb="6">
      <t>ニチ</t>
    </rPh>
    <phoneticPr fontId="5"/>
  </si>
  <si>
    <t>通算ログインが x 日に到達</t>
    <rPh sb="10" eb="11">
      <t>ニチ</t>
    </rPh>
    <rPh sb="12" eb="14">
      <t>トウタツ</t>
    </rPh>
    <phoneticPr fontId="5"/>
  </si>
  <si>
    <t>weekly_mission_schedule_id</t>
  </si>
  <si>
    <t>weekly_mission_schedule_id</t>
    <phoneticPr fontId="5"/>
  </si>
  <si>
    <t>start_date</t>
  </si>
  <si>
    <t>start_date</t>
    <phoneticPr fontId="5"/>
  </si>
  <si>
    <t>end_date</t>
  </si>
  <si>
    <t>end_date</t>
    <phoneticPr fontId="5"/>
  </si>
  <si>
    <t>開始日時</t>
    <rPh sb="0" eb="4">
      <t>カイシニチジ</t>
    </rPh>
    <phoneticPr fontId="5"/>
  </si>
  <si>
    <t>終了日時</t>
    <rPh sb="0" eb="4">
      <t>シュウリョウニチジ</t>
    </rPh>
    <phoneticPr fontId="5"/>
  </si>
  <si>
    <t>weekly_mission_group_id</t>
  </si>
  <si>
    <t>weekly_mission_group_id</t>
    <phoneticPr fontId="5"/>
  </si>
  <si>
    <t>グループ</t>
    <phoneticPr fontId="5"/>
  </si>
  <si>
    <t>priority</t>
    <phoneticPr fontId="5"/>
  </si>
  <si>
    <t>優先度</t>
    <rPh sb="0" eb="3">
      <t>ユウセンド</t>
    </rPh>
    <phoneticPr fontId="5"/>
  </si>
  <si>
    <t>グループ概要</t>
    <rPh sb="4" eb="6">
      <t>ガイヨウ</t>
    </rPh>
    <phoneticPr fontId="5"/>
  </si>
  <si>
    <t>ミッション内容</t>
    <rPh sb="5" eb="7">
      <t>ナイヨウ</t>
    </rPh>
    <phoneticPr fontId="5"/>
  </si>
  <si>
    <t>概要</t>
    <rPh sb="0" eb="2">
      <t>ガイヨウ</t>
    </rPh>
    <phoneticPr fontId="5"/>
  </si>
  <si>
    <t>ID</t>
    <phoneticPr fontId="5"/>
  </si>
  <si>
    <t>temp_id</t>
    <phoneticPr fontId="5"/>
  </si>
  <si>
    <t>グループ概要</t>
    <phoneticPr fontId="5"/>
  </si>
  <si>
    <t>detail</t>
    <phoneticPr fontId="5"/>
  </si>
  <si>
    <t>weekly_mission_id</t>
    <phoneticPr fontId="5"/>
  </si>
  <si>
    <t>weekly_mission_group_id</t>
    <phoneticPr fontId="5"/>
  </si>
  <si>
    <t>weekly_mission_id</t>
    <phoneticPr fontId="5"/>
  </si>
  <si>
    <t>priority</t>
    <phoneticPr fontId="5"/>
  </si>
  <si>
    <t>K0325</t>
  </si>
  <si>
    <t>K0350</t>
  </si>
  <si>
    <t>K0375</t>
  </si>
  <si>
    <t>K0400</t>
  </si>
  <si>
    <t>K0425</t>
  </si>
  <si>
    <t>K0450</t>
  </si>
  <si>
    <t>K0014</t>
  </si>
  <si>
    <t>K0015</t>
  </si>
  <si>
    <t>K0016</t>
  </si>
  <si>
    <t>K0017</t>
  </si>
  <si>
    <t>K0018</t>
  </si>
  <si>
    <t>K0019</t>
  </si>
  <si>
    <t>K0475</t>
  </si>
  <si>
    <t>K0020</t>
  </si>
  <si>
    <t>K0500</t>
  </si>
  <si>
    <t>K0021</t>
  </si>
  <si>
    <t>K0525</t>
  </si>
  <si>
    <t>K0022</t>
  </si>
  <si>
    <t>K0550</t>
  </si>
  <si>
    <t>K0023</t>
  </si>
  <si>
    <t>K0575</t>
  </si>
  <si>
    <t>K0024</t>
  </si>
  <si>
    <t>K0600</t>
  </si>
  <si>
    <t>K0025</t>
  </si>
  <si>
    <t>K0625</t>
  </si>
  <si>
    <t>K0026</t>
  </si>
  <si>
    <t>K0650</t>
  </si>
  <si>
    <t>K0027</t>
  </si>
  <si>
    <t>K0675</t>
  </si>
  <si>
    <t>K0028</t>
  </si>
  <si>
    <t>K0700</t>
  </si>
  <si>
    <t>K0029</t>
  </si>
  <si>
    <t>K0725</t>
  </si>
  <si>
    <t>K0030</t>
  </si>
  <si>
    <t>K0750</t>
  </si>
  <si>
    <t>K0031</t>
  </si>
  <si>
    <t>K0775</t>
  </si>
  <si>
    <t>K0032</t>
  </si>
  <si>
    <t>K0800</t>
  </si>
  <si>
    <t>K0033</t>
  </si>
  <si>
    <t>K0825</t>
  </si>
  <si>
    <t>K0034</t>
  </si>
  <si>
    <t>K0850</t>
  </si>
  <si>
    <t>K0035</t>
  </si>
  <si>
    <t>K0875</t>
  </si>
  <si>
    <t>K0036</t>
  </si>
  <si>
    <t>K0900</t>
  </si>
  <si>
    <t>K0037</t>
  </si>
  <si>
    <t>K0925</t>
  </si>
  <si>
    <t>K0038</t>
  </si>
  <si>
    <t>K0950</t>
  </si>
  <si>
    <t>K0039</t>
  </si>
  <si>
    <t>K0975</t>
  </si>
  <si>
    <t>K0040</t>
  </si>
  <si>
    <t>K1000</t>
  </si>
  <si>
    <t>3</t>
    <phoneticPr fontId="16"/>
  </si>
  <si>
    <t>3</t>
    <phoneticPr fontId="16"/>
  </si>
  <si>
    <t>WU1212</t>
    <phoneticPr fontId="5"/>
  </si>
  <si>
    <t>WU1222</t>
    <phoneticPr fontId="5"/>
  </si>
  <si>
    <t>WU1232</t>
    <phoneticPr fontId="5"/>
  </si>
  <si>
    <t>WU3361</t>
    <phoneticPr fontId="5"/>
  </si>
  <si>
    <t>WU3371</t>
  </si>
  <si>
    <t>WU3381</t>
  </si>
  <si>
    <t>WU3401</t>
  </si>
  <si>
    <t>WU3411</t>
  </si>
  <si>
    <t>WU3421</t>
  </si>
  <si>
    <t>WU3441</t>
  </si>
  <si>
    <t>WU3451</t>
  </si>
  <si>
    <t>WU3461</t>
  </si>
  <si>
    <t>WL071</t>
    <phoneticPr fontId="5"/>
  </si>
  <si>
    <t>WL072</t>
  </si>
  <si>
    <t>WL073</t>
  </si>
  <si>
    <t>20</t>
    <phoneticPr fontId="16"/>
  </si>
  <si>
    <t>WC021</t>
    <phoneticPr fontId="5"/>
  </si>
  <si>
    <t>WC022</t>
    <phoneticPr fontId="5"/>
  </si>
  <si>
    <t>WC023</t>
    <phoneticPr fontId="5"/>
  </si>
  <si>
    <t>20</t>
    <phoneticPr fontId="16"/>
  </si>
  <si>
    <t>WC022</t>
    <phoneticPr fontId="5"/>
  </si>
  <si>
    <t>WM021</t>
    <phoneticPr fontId="5"/>
  </si>
  <si>
    <t>WM022</t>
    <phoneticPr fontId="5"/>
  </si>
  <si>
    <t>WM023</t>
    <phoneticPr fontId="5"/>
  </si>
  <si>
    <t>WM021</t>
    <phoneticPr fontId="5"/>
  </si>
  <si>
    <t>WM023</t>
    <phoneticPr fontId="5"/>
  </si>
  <si>
    <t>WL031</t>
    <phoneticPr fontId="5"/>
  </si>
  <si>
    <t>WL032</t>
    <phoneticPr fontId="5"/>
  </si>
  <si>
    <t>WL033</t>
    <phoneticPr fontId="5"/>
  </si>
  <si>
    <t>3</t>
    <phoneticPr fontId="16"/>
  </si>
  <si>
    <t>WL032</t>
    <phoneticPr fontId="5"/>
  </si>
  <si>
    <t>WG201</t>
    <phoneticPr fontId="5"/>
  </si>
  <si>
    <t>WG202</t>
    <phoneticPr fontId="5"/>
  </si>
  <si>
    <t>WG203</t>
    <phoneticPr fontId="5"/>
  </si>
  <si>
    <t>WG301</t>
    <phoneticPr fontId="5"/>
  </si>
  <si>
    <t>WG302</t>
    <phoneticPr fontId="5"/>
  </si>
  <si>
    <t>WG303</t>
    <phoneticPr fontId="5"/>
  </si>
  <si>
    <t>WG201</t>
    <phoneticPr fontId="5"/>
  </si>
  <si>
    <t>WG202</t>
    <phoneticPr fontId="5"/>
  </si>
  <si>
    <t>WG203</t>
    <phoneticPr fontId="5"/>
  </si>
  <si>
    <t>WG301</t>
    <phoneticPr fontId="5"/>
  </si>
  <si>
    <t>WG302</t>
    <phoneticPr fontId="5"/>
  </si>
  <si>
    <t>WG303</t>
    <phoneticPr fontId="5"/>
  </si>
  <si>
    <t>name</t>
    <phoneticPr fontId="5"/>
  </si>
  <si>
    <t>ミッション 【x】 をクリア</t>
    <phoneticPr fontId="5"/>
  </si>
  <si>
    <t>detail</t>
    <phoneticPr fontId="5"/>
  </si>
  <si>
    <t>クエスト 【x】 をクリア</t>
    <phoneticPr fontId="5"/>
  </si>
  <si>
    <t>クエスト 【x】 をクリアしよう！</t>
    <phoneticPr fontId="5"/>
  </si>
  <si>
    <t>1003</t>
    <phoneticPr fontId="5"/>
  </si>
  <si>
    <t>WU3321</t>
    <phoneticPr fontId="5"/>
  </si>
  <si>
    <t>title</t>
    <phoneticPr fontId="5"/>
  </si>
  <si>
    <t>シリーズ1-1</t>
    <phoneticPr fontId="5"/>
  </si>
  <si>
    <t>シリーズ1-2</t>
  </si>
  <si>
    <t>シリーズ1-3</t>
  </si>
  <si>
    <t>RQ011</t>
    <phoneticPr fontId="5"/>
  </si>
  <si>
    <t>R0055</t>
    <phoneticPr fontId="5"/>
  </si>
  <si>
    <t>RQ011</t>
    <phoneticPr fontId="5"/>
  </si>
  <si>
    <t>10055-1</t>
    <phoneticPr fontId="5"/>
  </si>
  <si>
    <t>RQ012</t>
  </si>
  <si>
    <t>10060-1</t>
    <phoneticPr fontId="5"/>
  </si>
  <si>
    <t>R0060</t>
    <phoneticPr fontId="5"/>
  </si>
  <si>
    <t>RQ012</t>
    <phoneticPr fontId="5"/>
  </si>
  <si>
    <t>シリーズ2-1</t>
    <phoneticPr fontId="5"/>
  </si>
  <si>
    <t>WC024</t>
    <phoneticPr fontId="5"/>
  </si>
  <si>
    <t>WC025</t>
    <phoneticPr fontId="5"/>
  </si>
  <si>
    <t>WC026</t>
    <phoneticPr fontId="5"/>
  </si>
  <si>
    <t>5</t>
    <phoneticPr fontId="16"/>
  </si>
  <si>
    <t>WM024</t>
    <phoneticPr fontId="5"/>
  </si>
  <si>
    <t>WM025</t>
    <phoneticPr fontId="5"/>
  </si>
  <si>
    <t>WM026</t>
    <phoneticPr fontId="5"/>
  </si>
  <si>
    <t>1</t>
    <phoneticPr fontId="16"/>
  </si>
  <si>
    <t>1</t>
    <phoneticPr fontId="16"/>
  </si>
  <si>
    <t>WL004</t>
    <phoneticPr fontId="5"/>
  </si>
  <si>
    <t>WL005</t>
    <phoneticPr fontId="5"/>
  </si>
  <si>
    <t>WL006</t>
    <phoneticPr fontId="5"/>
  </si>
  <si>
    <t>WC004</t>
    <phoneticPr fontId="5"/>
  </si>
  <si>
    <t>WC005</t>
    <phoneticPr fontId="5"/>
  </si>
  <si>
    <t>WC006</t>
    <phoneticPr fontId="5"/>
  </si>
  <si>
    <t>WL034</t>
    <phoneticPr fontId="5"/>
  </si>
  <si>
    <t>WL035</t>
    <phoneticPr fontId="5"/>
  </si>
  <si>
    <t>WL074</t>
    <phoneticPr fontId="5"/>
  </si>
  <si>
    <t>WL075</t>
    <phoneticPr fontId="5"/>
  </si>
  <si>
    <t>specific_quest_clear</t>
    <phoneticPr fontId="5"/>
  </si>
  <si>
    <t>11006-3</t>
    <phoneticPr fontId="5"/>
  </si>
  <si>
    <t>WGC004</t>
    <phoneticPr fontId="5"/>
  </si>
  <si>
    <t>12001-2</t>
    <phoneticPr fontId="5"/>
  </si>
  <si>
    <t>土日限定クエスト：ゴールドカジノ【上級】 をクリアしよう！</t>
    <rPh sb="0" eb="4">
      <t>ドニチゲンテイ</t>
    </rPh>
    <rPh sb="17" eb="19">
      <t>ジョウキュウ</t>
    </rPh>
    <phoneticPr fontId="5"/>
  </si>
  <si>
    <t>ゲリラクエスト：メタルダックを捕獲せよ！ 【上級】 をクリアしよう！</t>
    <phoneticPr fontId="5"/>
  </si>
  <si>
    <t>WGC005</t>
    <phoneticPr fontId="5"/>
  </si>
  <si>
    <t>WGC006</t>
    <phoneticPr fontId="5"/>
  </si>
  <si>
    <t>WC004</t>
    <phoneticPr fontId="5"/>
  </si>
  <si>
    <t>WC024</t>
    <phoneticPr fontId="5"/>
  </si>
  <si>
    <t>WM024</t>
    <phoneticPr fontId="5"/>
  </si>
  <si>
    <t>WM025</t>
    <phoneticPr fontId="5"/>
  </si>
  <si>
    <t>WM026</t>
    <phoneticPr fontId="5"/>
  </si>
  <si>
    <t>WL005</t>
    <phoneticPr fontId="5"/>
  </si>
  <si>
    <t>WL006</t>
    <phoneticPr fontId="5"/>
  </si>
  <si>
    <t>WL076</t>
    <phoneticPr fontId="5"/>
  </si>
  <si>
    <t>WGC004</t>
    <phoneticPr fontId="5"/>
  </si>
  <si>
    <t>WGC005</t>
    <phoneticPr fontId="5"/>
  </si>
  <si>
    <t>WGC006</t>
    <phoneticPr fontId="5"/>
  </si>
  <si>
    <t>WU1213</t>
    <phoneticPr fontId="5"/>
  </si>
  <si>
    <t>WU1223</t>
    <phoneticPr fontId="5"/>
  </si>
  <si>
    <t>WU1233</t>
    <phoneticPr fontId="5"/>
  </si>
  <si>
    <t>WU1233</t>
    <phoneticPr fontId="5"/>
  </si>
  <si>
    <t>WU1213</t>
    <phoneticPr fontId="5"/>
  </si>
  <si>
    <t>WU1223</t>
    <phoneticPr fontId="5"/>
  </si>
  <si>
    <t>WU1223</t>
    <phoneticPr fontId="5"/>
  </si>
  <si>
    <t>シリーズ2-2</t>
    <phoneticPr fontId="5"/>
  </si>
  <si>
    <t>シリーズ2-3</t>
    <phoneticPr fontId="5"/>
  </si>
  <si>
    <t>WGQ000</t>
    <phoneticPr fontId="5"/>
  </si>
  <si>
    <t>U01193</t>
    <phoneticPr fontId="5"/>
  </si>
  <si>
    <t>weekly_mission_group_id</t>
    <phoneticPr fontId="5"/>
  </si>
  <si>
    <t>Q0022</t>
  </si>
  <si>
    <t>Q0023</t>
  </si>
  <si>
    <t>Q0024</t>
  </si>
  <si>
    <t>Q0025</t>
  </si>
  <si>
    <t>Q0026</t>
  </si>
  <si>
    <t>21-5</t>
    <phoneticPr fontId="5"/>
  </si>
  <si>
    <t>22-5</t>
    <phoneticPr fontId="5"/>
  </si>
  <si>
    <t>23-5</t>
    <phoneticPr fontId="5"/>
  </si>
  <si>
    <t>24-5</t>
    <phoneticPr fontId="5"/>
  </si>
  <si>
    <t>25-5</t>
    <phoneticPr fontId="5"/>
  </si>
  <si>
    <t>22-5</t>
    <phoneticPr fontId="5"/>
  </si>
  <si>
    <t>23-5</t>
    <phoneticPr fontId="5"/>
  </si>
  <si>
    <t>24-5</t>
    <phoneticPr fontId="5"/>
  </si>
  <si>
    <t>25-5</t>
    <phoneticPr fontId="5"/>
  </si>
  <si>
    <t>26-5</t>
    <phoneticPr fontId="5"/>
  </si>
  <si>
    <t>U01251</t>
    <phoneticPr fontId="5"/>
  </si>
  <si>
    <t>Q9024</t>
    <phoneticPr fontId="5"/>
  </si>
  <si>
    <t>Q9025</t>
    <phoneticPr fontId="5"/>
  </si>
  <si>
    <t>Q9026</t>
  </si>
  <si>
    <t>24-3</t>
    <phoneticPr fontId="5"/>
  </si>
  <si>
    <t>25-3</t>
    <phoneticPr fontId="5"/>
  </si>
  <si>
    <t>26-3</t>
    <phoneticPr fontId="5"/>
  </si>
  <si>
    <t>Q9026</t>
    <phoneticPr fontId="5"/>
  </si>
  <si>
    <t>24-3</t>
    <phoneticPr fontId="5"/>
  </si>
  <si>
    <t>25-3</t>
    <phoneticPr fontId="5"/>
  </si>
  <si>
    <t>26-3</t>
    <phoneticPr fontId="5"/>
  </si>
  <si>
    <t>クエスト x をクリアしよう！</t>
    <phoneticPr fontId="5"/>
  </si>
  <si>
    <t>出力flg</t>
    <rPh sb="0" eb="2">
      <t>シュツリョク</t>
    </rPh>
    <phoneticPr fontId="16"/>
  </si>
  <si>
    <t>接頭語</t>
    <rPh sb="0" eb="3">
      <t>セットウゴ</t>
    </rPh>
    <phoneticPr fontId="16"/>
  </si>
  <si>
    <t>識別子</t>
    <rPh sb="0" eb="3">
      <t>シキベツシ</t>
    </rPh>
    <phoneticPr fontId="16"/>
  </si>
  <si>
    <t>形式</t>
    <rPh sb="0" eb="2">
      <t>ケイシキ</t>
    </rPh>
    <phoneticPr fontId="16"/>
  </si>
  <si>
    <t>出力ファイル名</t>
    <rPh sb="0" eb="2">
      <t>シュツリョク</t>
    </rPh>
    <rPh sb="6" eb="7">
      <t>メイ</t>
    </rPh>
    <phoneticPr fontId="16"/>
  </si>
  <si>
    <t>入力シート名</t>
    <rPh sb="0" eb="2">
      <t>ニュウリョク</t>
    </rPh>
    <rPh sb="5" eb="6">
      <t>メイ</t>
    </rPh>
    <phoneticPr fontId="16"/>
  </si>
  <si>
    <t>出力データ</t>
    <rPh sb="0" eb="2">
      <t>シュツリョク</t>
    </rPh>
    <phoneticPr fontId="16"/>
  </si>
  <si>
    <t>.csv</t>
    <phoneticPr fontId="16"/>
  </si>
  <si>
    <t>old</t>
    <phoneticPr fontId="16"/>
  </si>
  <si>
    <t>.csv</t>
    <phoneticPr fontId="16"/>
  </si>
  <si>
    <t>.csv</t>
    <phoneticPr fontId="16"/>
  </si>
  <si>
    <t>old</t>
    <phoneticPr fontId="16"/>
  </si>
  <si>
    <t>.csv</t>
    <phoneticPr fontId="16"/>
  </si>
  <si>
    <t>old</t>
    <phoneticPr fontId="16"/>
  </si>
  <si>
    <t>.csv</t>
    <phoneticPr fontId="16"/>
  </si>
  <si>
    <t>old</t>
    <phoneticPr fontId="16"/>
  </si>
  <si>
    <t>.csv</t>
    <phoneticPr fontId="16"/>
  </si>
  <si>
    <t>missions</t>
  </si>
  <si>
    <t>weekly_mission_schedules</t>
  </si>
  <si>
    <t>weekly_mission_groups</t>
  </si>
  <si>
    <t>weekly_missions</t>
  </si>
  <si>
    <t>mission_unlock_criteria</t>
  </si>
  <si>
    <t>mission_ACH</t>
  </si>
  <si>
    <t>mission_ACH_i18n</t>
    <phoneticPr fontId="5"/>
  </si>
  <si>
    <t>mission_ACH_criteria</t>
    <phoneticPr fontId="16"/>
  </si>
  <si>
    <t>language</t>
    <phoneticPr fontId="5"/>
  </si>
  <si>
    <t>ja</t>
    <phoneticPr fontId="5"/>
  </si>
  <si>
    <t>language</t>
    <phoneticPr fontId="5"/>
  </si>
  <si>
    <t>mission_ACH_criteria</t>
  </si>
  <si>
    <t>2015-08-17 00:00:00</t>
    <phoneticPr fontId="5"/>
  </si>
  <si>
    <t>2015-08-24 02:00:00</t>
    <phoneticPr fontId="5"/>
  </si>
  <si>
    <t>2015-08-31 02:00:00</t>
    <phoneticPr fontId="5"/>
  </si>
  <si>
    <t>2015-08-24 01:59:59</t>
  </si>
  <si>
    <t>2015-08-31 01:59:59</t>
  </si>
  <si>
    <t>2015-09-07 01:59:59</t>
  </si>
  <si>
    <t>2015-09-07 02:00:00</t>
  </si>
  <si>
    <t>2015-09-14 01:59:59</t>
  </si>
  <si>
    <t>2015-09-14 02:00:00</t>
  </si>
  <si>
    <t>2015-09-21 01:59:59</t>
  </si>
  <si>
    <t>2015-09-21 02:00:00</t>
  </si>
  <si>
    <t>2015-09-28 01:59:59</t>
  </si>
  <si>
    <t>2015-09-28 02:00:00</t>
  </si>
  <si>
    <t>2015-10-05 01:59:59</t>
  </si>
  <si>
    <t>2015-10-05 02:00:00</t>
  </si>
  <si>
    <t>2015-10-12 01:59:59</t>
  </si>
  <si>
    <t>2015-10-12 02:00:00</t>
  </si>
  <si>
    <t>2015-10-19 01:59:59</t>
  </si>
  <si>
    <t>2015-10-19 02:00:00</t>
  </si>
  <si>
    <t>2015-10-26 01:59:59</t>
  </si>
  <si>
    <t>2015-10-26 02:00:00</t>
  </si>
  <si>
    <t>2015-11-02 01:59:59</t>
  </si>
  <si>
    <t>2015-11-02 02:00:00</t>
  </si>
  <si>
    <t>2015-11-09 01:59:59</t>
  </si>
  <si>
    <t>2015-11-09 02:00:00</t>
  </si>
  <si>
    <t>2015-11-16 01:59:59</t>
  </si>
  <si>
    <t>2015-11-16 02:00:00</t>
  </si>
  <si>
    <t>2015-11-23 01:59:59</t>
  </si>
  <si>
    <t>2015-11-23 2:00:00</t>
    <phoneticPr fontId="5"/>
  </si>
  <si>
    <t>2015-11-30 2:00:00</t>
    <phoneticPr fontId="5"/>
  </si>
  <si>
    <t>2015-12-07 2:00:00</t>
    <phoneticPr fontId="5"/>
  </si>
  <si>
    <t>2015-12-14 2:00:00</t>
    <phoneticPr fontId="5"/>
  </si>
  <si>
    <t>2015-12-21 2:00:00</t>
    <phoneticPr fontId="5"/>
  </si>
  <si>
    <t>2015-12-28 2:00:00</t>
    <phoneticPr fontId="5"/>
  </si>
  <si>
    <t>2016-01-04 2:00:00</t>
    <phoneticPr fontId="5"/>
  </si>
  <si>
    <t>2016-01-11 2:00:00</t>
    <phoneticPr fontId="5"/>
  </si>
  <si>
    <t>2016-01-18 2:00:00</t>
    <phoneticPr fontId="5"/>
  </si>
  <si>
    <t>2016-01-25 2:00:00</t>
    <phoneticPr fontId="5"/>
  </si>
  <si>
    <t>2016-02-01 2:00:00</t>
    <phoneticPr fontId="5"/>
  </si>
  <si>
    <t>2016-02-08 2:00:00</t>
    <phoneticPr fontId="5"/>
  </si>
  <si>
    <t>2015-11-30 1:59:59</t>
    <phoneticPr fontId="5"/>
  </si>
  <si>
    <t>2015-12-07 1:59:59</t>
    <phoneticPr fontId="5"/>
  </si>
  <si>
    <t>2015-12-14 1:59:59</t>
    <phoneticPr fontId="5"/>
  </si>
  <si>
    <t>2015-12-21 1:59:59</t>
    <phoneticPr fontId="5"/>
  </si>
  <si>
    <t>2015-12-28 1:59:59</t>
    <phoneticPr fontId="5"/>
  </si>
  <si>
    <t>2016-01-04 1:59:59</t>
    <phoneticPr fontId="5"/>
  </si>
  <si>
    <t>2016-01-11 1:59:59</t>
    <phoneticPr fontId="5"/>
  </si>
  <si>
    <t>2016-01-18 1:59:59</t>
    <phoneticPr fontId="5"/>
  </si>
  <si>
    <t>2016-01-25 1:59:59</t>
    <phoneticPr fontId="5"/>
  </si>
  <si>
    <t>2016-02-01 1:59:59</t>
    <phoneticPr fontId="5"/>
  </si>
  <si>
    <t>2016-02-08 1:59:59</t>
    <phoneticPr fontId="5"/>
  </si>
  <si>
    <t>2016-02-15 1:59:59</t>
    <phoneticPr fontId="5"/>
  </si>
  <si>
    <t>attack_plus</t>
    <phoneticPr fontId="5"/>
  </si>
  <si>
    <t>bug</t>
    <phoneticPr fontId="5"/>
  </si>
  <si>
    <t>defense_plus</t>
    <phoneticPr fontId="5"/>
  </si>
  <si>
    <t>heal_plus</t>
    <phoneticPr fontId="5"/>
  </si>
  <si>
    <t>hp_plus</t>
    <phoneticPr fontId="5"/>
  </si>
  <si>
    <t>level</t>
    <phoneticPr fontId="5"/>
  </si>
  <si>
    <t>skill_level</t>
    <phoneticPr fontId="5"/>
  </si>
  <si>
    <t>U01243</t>
    <phoneticPr fontId="5"/>
  </si>
  <si>
    <t>シリーズ3-1</t>
    <phoneticPr fontId="5"/>
  </si>
  <si>
    <t>シリーズ3-2</t>
    <phoneticPr fontId="5"/>
  </si>
  <si>
    <t>シリーズ3-3</t>
    <phoneticPr fontId="5"/>
  </si>
  <si>
    <t>WM030</t>
    <phoneticPr fontId="5"/>
  </si>
  <si>
    <t>30</t>
    <phoneticPr fontId="16"/>
  </si>
  <si>
    <t>O0002</t>
    <phoneticPr fontId="5"/>
  </si>
  <si>
    <t>O0003</t>
    <phoneticPr fontId="5"/>
  </si>
  <si>
    <t>join_community_completed</t>
  </si>
  <si>
    <t>join_community_completed</t>
    <phoneticPr fontId="5"/>
  </si>
  <si>
    <t>NULL</t>
    <phoneticPr fontId="5"/>
  </si>
  <si>
    <t>message</t>
    <phoneticPr fontId="5"/>
  </si>
  <si>
    <t>mission_ACH_criteria_i18</t>
    <phoneticPr fontId="5"/>
  </si>
  <si>
    <t>message</t>
    <phoneticPr fontId="5"/>
  </si>
  <si>
    <t>.tmp</t>
    <phoneticPr fontId="16"/>
  </si>
  <si>
    <t>Lobi公認グループに入ろう！</t>
    <rPh sb="4" eb="6">
      <t>コウニン</t>
    </rPh>
    <rPh sb="11" eb="12">
      <t>ハイ</t>
    </rPh>
    <phoneticPr fontId="5"/>
  </si>
  <si>
    <t>1.下のボタンから公認グループに入る
2.Lobi内で届く特典通知より受け取る</t>
    <rPh sb="2" eb="3">
      <t>シタ</t>
    </rPh>
    <rPh sb="9" eb="11">
      <t>コウニン</t>
    </rPh>
    <rPh sb="16" eb="17">
      <t>ハイ</t>
    </rPh>
    <rPh sb="25" eb="26">
      <t>ナイ</t>
    </rPh>
    <rPh sb="27" eb="28">
      <t>トド</t>
    </rPh>
    <rPh sb="29" eb="31">
      <t>トクテン</t>
    </rPh>
    <rPh sb="31" eb="33">
      <t>ツウチ</t>
    </rPh>
    <rPh sb="35" eb="36">
      <t>ウ</t>
    </rPh>
    <rPh sb="37" eb="38">
      <t>ト</t>
    </rPh>
    <phoneticPr fontId="5"/>
  </si>
  <si>
    <t>2016-02-15 2:00:00</t>
    <phoneticPr fontId="5"/>
  </si>
  <si>
    <t>2016-02-22 1:59:59</t>
    <phoneticPr fontId="5"/>
  </si>
  <si>
    <t>2016-02-22 2:00:00</t>
    <phoneticPr fontId="5"/>
  </si>
  <si>
    <t>2016-02-29 1:59:59</t>
    <phoneticPr fontId="5"/>
  </si>
  <si>
    <t>2016-02-29 2:00:00</t>
    <phoneticPr fontId="5"/>
  </si>
  <si>
    <t>2016-03-07 1:59:59</t>
    <phoneticPr fontId="5"/>
  </si>
  <si>
    <t>2016-03-07 2:00:00</t>
    <phoneticPr fontId="5"/>
  </si>
  <si>
    <t>2016-03-14 1:59:59</t>
    <phoneticPr fontId="5"/>
  </si>
  <si>
    <t>2016-03-14 2:00:00</t>
    <phoneticPr fontId="5"/>
  </si>
  <si>
    <t>2016-03-21 1:59:59</t>
    <phoneticPr fontId="5"/>
  </si>
  <si>
    <t>2016-03-21 2:00:00</t>
    <phoneticPr fontId="5"/>
  </si>
  <si>
    <t>2016-03-28 1:59:59</t>
    <phoneticPr fontId="5"/>
  </si>
  <si>
    <t>2016-03-28 2:00:00</t>
    <phoneticPr fontId="5"/>
  </si>
  <si>
    <t>2016-04-04 1:59:59</t>
    <phoneticPr fontId="5"/>
  </si>
  <si>
    <t>achievement_criterion_id</t>
    <phoneticPr fontId="5"/>
  </si>
  <si>
    <t>O0004</t>
    <phoneticPr fontId="5"/>
  </si>
  <si>
    <t>ja</t>
    <phoneticPr fontId="5"/>
  </si>
  <si>
    <t>NULL</t>
    <phoneticPr fontId="5"/>
  </si>
  <si>
    <t>unconditional_completed</t>
  </si>
  <si>
    <t>O0005</t>
    <phoneticPr fontId="5"/>
  </si>
  <si>
    <t>ja</t>
    <phoneticPr fontId="5"/>
  </si>
  <si>
    <t>NULL</t>
    <phoneticPr fontId="5"/>
  </si>
  <si>
    <t>Q0001</t>
    <phoneticPr fontId="5"/>
  </si>
  <si>
    <t>P0001</t>
    <phoneticPr fontId="5"/>
  </si>
  <si>
    <t>unconditional_completed</t>
    <phoneticPr fontId="5"/>
  </si>
  <si>
    <t>unconditional_completed</t>
    <phoneticPr fontId="5"/>
  </si>
  <si>
    <t>O0006</t>
    <phoneticPr fontId="5"/>
  </si>
  <si>
    <t>backup_completed</t>
  </si>
  <si>
    <t>backup_completed</t>
    <phoneticPr fontId="5"/>
  </si>
  <si>
    <t>バックアップしよう！</t>
    <phoneticPr fontId="5"/>
  </si>
  <si>
    <t>Q0001</t>
    <phoneticPr fontId="5"/>
  </si>
  <si>
    <t>P0001</t>
    <phoneticPr fontId="5"/>
  </si>
  <si>
    <t>NULL</t>
    <phoneticPr fontId="5"/>
  </si>
  <si>
    <t>O0003</t>
    <phoneticPr fontId="5"/>
  </si>
  <si>
    <t>O0004</t>
    <phoneticPr fontId="5"/>
  </si>
  <si>
    <t>O0006</t>
    <phoneticPr fontId="5"/>
  </si>
  <si>
    <t>バックアップしよう！</t>
    <phoneticPr fontId="5"/>
  </si>
  <si>
    <t>P0010</t>
    <phoneticPr fontId="5"/>
  </si>
  <si>
    <t>P0010</t>
    <phoneticPr fontId="5"/>
  </si>
  <si>
    <t>P0020</t>
    <phoneticPr fontId="5"/>
  </si>
  <si>
    <t>L0365</t>
    <phoneticPr fontId="5"/>
  </si>
  <si>
    <t>L0365</t>
    <phoneticPr fontId="5"/>
  </si>
  <si>
    <t>P0005</t>
    <phoneticPr fontId="5"/>
  </si>
  <si>
    <t>ja</t>
    <phoneticPr fontId="5"/>
  </si>
  <si>
    <t>login_count</t>
    <phoneticPr fontId="5"/>
  </si>
  <si>
    <t>365</t>
    <phoneticPr fontId="5"/>
  </si>
  <si>
    <t>L0350</t>
    <phoneticPr fontId="5"/>
  </si>
  <si>
    <t>通算 365 日ログインしよう！</t>
    <rPh sb="0" eb="2">
      <t>ツウサン</t>
    </rPh>
    <rPh sb="7" eb="8">
      <t>ニチ</t>
    </rPh>
    <phoneticPr fontId="5"/>
  </si>
  <si>
    <t>L0380</t>
    <phoneticPr fontId="5"/>
  </si>
  <si>
    <t>L1100</t>
    <phoneticPr fontId="5"/>
  </si>
  <si>
    <t>P0050</t>
    <phoneticPr fontId="5"/>
  </si>
  <si>
    <t>P0005</t>
    <phoneticPr fontId="5"/>
  </si>
  <si>
    <t>P0050</t>
    <phoneticPr fontId="5"/>
  </si>
  <si>
    <t>polygon</t>
    <phoneticPr fontId="5"/>
  </si>
  <si>
    <t>ja</t>
    <phoneticPr fontId="5"/>
  </si>
  <si>
    <t>NULL</t>
    <phoneticPr fontId="5"/>
  </si>
  <si>
    <t>login_count</t>
    <phoneticPr fontId="5"/>
  </si>
  <si>
    <t>ja</t>
    <phoneticPr fontId="5"/>
  </si>
  <si>
    <t>NULL</t>
    <phoneticPr fontId="5"/>
  </si>
  <si>
    <t>P0050</t>
    <phoneticPr fontId="5"/>
  </si>
  <si>
    <t>NULL</t>
    <phoneticPr fontId="5"/>
  </si>
  <si>
    <t>Q0001</t>
    <phoneticPr fontId="5"/>
  </si>
  <si>
    <t>Q0001</t>
    <phoneticPr fontId="5"/>
  </si>
  <si>
    <t>CQ0001</t>
    <phoneticPr fontId="5"/>
  </si>
  <si>
    <t>CQ0002</t>
  </si>
  <si>
    <t>CQ0003</t>
  </si>
  <si>
    <t>CQ0004</t>
  </si>
  <si>
    <t>CQ0005</t>
  </si>
  <si>
    <t>CQ0006</t>
  </si>
  <si>
    <t>P0001</t>
    <phoneticPr fontId="5"/>
  </si>
  <si>
    <t>ja</t>
    <phoneticPr fontId="5"/>
  </si>
  <si>
    <t>ja</t>
    <phoneticPr fontId="5"/>
  </si>
  <si>
    <t>39001-2</t>
  </si>
  <si>
    <t>39001-3</t>
  </si>
  <si>
    <t>39001-4</t>
  </si>
  <si>
    <t>39001-5</t>
  </si>
  <si>
    <t>49001-1</t>
    <phoneticPr fontId="5"/>
  </si>
  <si>
    <t>U01251</t>
    <phoneticPr fontId="5"/>
  </si>
  <si>
    <t>U05531</t>
    <phoneticPr fontId="5"/>
  </si>
  <si>
    <t>U05551</t>
    <phoneticPr fontId="5"/>
  </si>
  <si>
    <t>U05551</t>
    <phoneticPr fontId="5"/>
  </si>
  <si>
    <t>U05531</t>
    <phoneticPr fontId="5"/>
  </si>
  <si>
    <t>begin_date</t>
    <phoneticPr fontId="5"/>
  </si>
  <si>
    <t>expired_date</t>
    <phoneticPr fontId="5"/>
  </si>
  <si>
    <t>NULL</t>
    <phoneticPr fontId="5"/>
  </si>
  <si>
    <t>2016-02-12 14:59:59</t>
    <phoneticPr fontId="5"/>
  </si>
  <si>
    <t>CQ0006</t>
    <phoneticPr fontId="5"/>
  </si>
  <si>
    <t>75</t>
    <phoneticPr fontId="5"/>
  </si>
  <si>
    <t>NULL</t>
    <phoneticPr fontId="5"/>
  </si>
  <si>
    <t>NULL</t>
    <phoneticPr fontId="5"/>
  </si>
  <si>
    <t>初音ミクコラボをLINEで友だちに教えてあげよう！</t>
    <rPh sb="0" eb="2">
      <t>ハツネ</t>
    </rPh>
    <phoneticPr fontId="5"/>
  </si>
  <si>
    <t>初音ミクコラボをLINEで友だちに教えてあげよう！</t>
    <rPh sb="0" eb="2">
      <t>ハツネ</t>
    </rPh>
    <rPh sb="13" eb="14">
      <t>トモダチ</t>
    </rPh>
    <rPh sb="17" eb="18">
      <t>オシ</t>
    </rPh>
    <phoneticPr fontId="5"/>
  </si>
  <si>
    <t>初音ミクコラボをTwitterでツイートしよう！</t>
    <rPh sb="0" eb="2">
      <t>ハツネ</t>
    </rPh>
    <phoneticPr fontId="5"/>
  </si>
  <si>
    <t>2016-01-29 15:00:00</t>
    <phoneticPr fontId="5"/>
  </si>
  <si>
    <t>2016-01-29 15:00:00</t>
    <phoneticPr fontId="5"/>
  </si>
  <si>
    <t>L0050</t>
    <phoneticPr fontId="5"/>
  </si>
  <si>
    <t>L0100</t>
    <phoneticPr fontId="5"/>
  </si>
  <si>
    <t>L0150</t>
    <phoneticPr fontId="5"/>
  </si>
  <si>
    <t>L0200</t>
    <phoneticPr fontId="5"/>
  </si>
  <si>
    <t>L0250</t>
    <phoneticPr fontId="5"/>
  </si>
  <si>
    <t>L0300</t>
    <phoneticPr fontId="5"/>
  </si>
  <si>
    <t>L0350</t>
    <phoneticPr fontId="5"/>
  </si>
  <si>
    <t>L0400</t>
    <phoneticPr fontId="5"/>
  </si>
  <si>
    <t>L0450</t>
    <phoneticPr fontId="5"/>
  </si>
  <si>
    <t>L0500</t>
    <phoneticPr fontId="5"/>
  </si>
  <si>
    <t>L0600</t>
    <phoneticPr fontId="5"/>
  </si>
  <si>
    <t>L0365</t>
    <phoneticPr fontId="5"/>
  </si>
  <si>
    <t>L0550</t>
    <phoneticPr fontId="5"/>
  </si>
  <si>
    <t>L0650</t>
    <phoneticPr fontId="5"/>
  </si>
  <si>
    <t>L0700</t>
    <phoneticPr fontId="5"/>
  </si>
  <si>
    <t>L0730</t>
    <phoneticPr fontId="5"/>
  </si>
  <si>
    <t>L0750</t>
    <phoneticPr fontId="5"/>
  </si>
  <si>
    <t>L0800</t>
    <phoneticPr fontId="5"/>
  </si>
  <si>
    <t>L0850</t>
    <phoneticPr fontId="5"/>
  </si>
  <si>
    <t>L0900</t>
    <phoneticPr fontId="5"/>
  </si>
  <si>
    <t>L0950</t>
    <phoneticPr fontId="5"/>
  </si>
  <si>
    <t>L1000</t>
    <phoneticPr fontId="5"/>
  </si>
  <si>
    <t>L1050</t>
    <phoneticPr fontId="5"/>
  </si>
  <si>
    <t>365</t>
    <phoneticPr fontId="5"/>
  </si>
  <si>
    <t>unit_bug</t>
    <phoneticPr fontId="5"/>
  </si>
  <si>
    <t>ja</t>
    <phoneticPr fontId="5"/>
  </si>
  <si>
    <t>ja</t>
    <phoneticPr fontId="5"/>
  </si>
  <si>
    <t>NULL</t>
    <phoneticPr fontId="5"/>
  </si>
  <si>
    <t>NULL</t>
    <phoneticPr fontId="5"/>
  </si>
  <si>
    <t>unit_bug</t>
    <phoneticPr fontId="5"/>
  </si>
  <si>
    <t>unit_bug</t>
    <phoneticPr fontId="5"/>
  </si>
  <si>
    <t>P0001</t>
    <phoneticPr fontId="5"/>
  </si>
  <si>
    <t>Q0001</t>
    <phoneticPr fontId="5"/>
  </si>
  <si>
    <t>P0001</t>
    <phoneticPr fontId="5"/>
  </si>
  <si>
    <t>BG0002</t>
    <phoneticPr fontId="5"/>
  </si>
  <si>
    <t>BG0002</t>
    <phoneticPr fontId="5"/>
  </si>
  <si>
    <t>BG0001</t>
    <phoneticPr fontId="5"/>
  </si>
  <si>
    <t>バグレベル</t>
    <phoneticPr fontId="5"/>
  </si>
  <si>
    <t>1</t>
    <phoneticPr fontId="5"/>
  </si>
  <si>
    <t>CQ0007</t>
    <phoneticPr fontId="5"/>
  </si>
  <si>
    <t>11218-1</t>
    <phoneticPr fontId="5"/>
  </si>
  <si>
    <t>U05711</t>
    <phoneticPr fontId="5"/>
  </si>
  <si>
    <t>ハッピー！</t>
    <phoneticPr fontId="5"/>
  </si>
  <si>
    <t>Q1000</t>
    <phoneticPr fontId="5"/>
  </si>
  <si>
    <t>セーラー服のハッピーが
アナタのもとにやってきました！</t>
    <rPh sb="4" eb="5">
      <t>フク</t>
    </rPh>
    <phoneticPr fontId="5"/>
  </si>
  <si>
    <t>セーラー服のハッピーが
アナタのもとにやってきました！</t>
    <phoneticPr fontId="5"/>
  </si>
  <si>
    <t>クエスト 幸せのカタチ をクリアしよう！</t>
    <phoneticPr fontId="5"/>
  </si>
  <si>
    <t>クエスト 幼女増殖！！ をクリアしよう！</t>
    <phoneticPr fontId="5"/>
  </si>
  <si>
    <t>クエスト 紅き侵入者 をクリアしよう！</t>
    <phoneticPr fontId="5"/>
  </si>
  <si>
    <t>クエスト イブとトモダチと狼男 をクリアしよう！</t>
    <phoneticPr fontId="5"/>
  </si>
  <si>
    <t>クエスト 陸と海 をクリアしよう！</t>
    <phoneticPr fontId="5"/>
  </si>
  <si>
    <t>クエスト 大地の杖 をクリアしよう！</t>
    <phoneticPr fontId="5"/>
  </si>
  <si>
    <t>クエスト 二人の関係は？ をクリアしよう！</t>
    <phoneticPr fontId="5"/>
  </si>
  <si>
    <t>クエスト 迅雷 をクリアしよう！</t>
    <phoneticPr fontId="5"/>
  </si>
  <si>
    <t>クエスト 噛み合わない二柱 をクリアしよう！</t>
    <phoneticPr fontId="5"/>
  </si>
  <si>
    <t>クエスト 美女と美獣 をクリアしよう！</t>
    <phoneticPr fontId="5"/>
  </si>
  <si>
    <t>クエスト 東と西の女神 をクリアしよう！</t>
    <phoneticPr fontId="5"/>
  </si>
  <si>
    <t>幸せのカタチ</t>
    <phoneticPr fontId="5"/>
  </si>
  <si>
    <t>幼女増殖！！</t>
    <phoneticPr fontId="5"/>
  </si>
  <si>
    <t>静かなる混乱</t>
    <phoneticPr fontId="5"/>
  </si>
  <si>
    <t>紅き侵入者</t>
    <phoneticPr fontId="5"/>
  </si>
  <si>
    <t>イブとトモダチと狼男</t>
    <phoneticPr fontId="5"/>
  </si>
  <si>
    <t>陸と海</t>
    <phoneticPr fontId="5"/>
  </si>
  <si>
    <t>二人の関係は？</t>
    <phoneticPr fontId="5"/>
  </si>
  <si>
    <t>大地の杖</t>
    <phoneticPr fontId="5"/>
  </si>
  <si>
    <t>迅雷</t>
    <phoneticPr fontId="5"/>
  </si>
  <si>
    <t>噛み合わない二柱</t>
    <phoneticPr fontId="5"/>
  </si>
  <si>
    <t>美女と美獣</t>
    <phoneticPr fontId="5"/>
  </si>
  <si>
    <t>東と西の女神</t>
    <phoneticPr fontId="5"/>
  </si>
  <si>
    <t>2016-02-12 23:59:59</t>
    <phoneticPr fontId="5"/>
  </si>
  <si>
    <t>2016-02-12 23:59:59</t>
    <phoneticPr fontId="5"/>
  </si>
  <si>
    <t>2970-01-01 23:59:59</t>
    <phoneticPr fontId="5"/>
  </si>
  <si>
    <t>O0024</t>
    <phoneticPr fontId="5"/>
  </si>
  <si>
    <t>O0025</t>
    <phoneticPr fontId="5"/>
  </si>
  <si>
    <t>BG0001</t>
    <phoneticPr fontId="5"/>
  </si>
  <si>
    <t>2016-02-22 00:00:00</t>
    <phoneticPr fontId="5"/>
  </si>
  <si>
    <t>2016-03-06 14:59:59</t>
    <phoneticPr fontId="5"/>
  </si>
  <si>
    <t>200万DL突破をLINEで友だちに教えてあげよう！</t>
    <rPh sb="3" eb="4">
      <t>マン</t>
    </rPh>
    <rPh sb="6" eb="8">
      <t>トッp</t>
    </rPh>
    <rPh sb="14" eb="15">
      <t>トm</t>
    </rPh>
    <rPh sb="18" eb="25">
      <t>オシ</t>
    </rPh>
    <phoneticPr fontId="5"/>
  </si>
  <si>
    <t>200万DL突破をTwitterでツイートしよう！</t>
    <rPh sb="3" eb="4">
      <t>マン</t>
    </rPh>
    <rPh sb="6" eb="9">
      <t>トッp</t>
    </rPh>
    <phoneticPr fontId="5"/>
  </si>
  <si>
    <t>2016-04-04 2:00:00</t>
    <phoneticPr fontId="5"/>
  </si>
  <si>
    <t>2016-04-11 1:59:59</t>
    <phoneticPr fontId="5"/>
  </si>
  <si>
    <t>2016-04-11 2:00:00</t>
    <phoneticPr fontId="5"/>
  </si>
  <si>
    <t>2016-04-18 2:00:00</t>
    <phoneticPr fontId="5"/>
  </si>
  <si>
    <t>2016-04-25 2:00:00</t>
    <phoneticPr fontId="5"/>
  </si>
  <si>
    <t>2016-04-18 1:59:59</t>
    <phoneticPr fontId="5"/>
  </si>
  <si>
    <t>2016-04-25 1:59:59</t>
    <phoneticPr fontId="5"/>
  </si>
  <si>
    <t>2016-05-02 1:59:59</t>
    <phoneticPr fontId="5"/>
  </si>
  <si>
    <t>デュラララ!!×2 結コラボをTwitterでツイートしよう！</t>
    <phoneticPr fontId="5"/>
  </si>
  <si>
    <t>デュラララ!!×2 結コラボをLINEで友だちに教えてあげよう！</t>
    <rPh sb="20" eb="21">
      <t>トモダチ</t>
    </rPh>
    <rPh sb="24" eb="25">
      <t>オシ</t>
    </rPh>
    <phoneticPr fontId="5"/>
  </si>
  <si>
    <t>Q0001</t>
    <phoneticPr fontId="5"/>
  </si>
  <si>
    <t>Q0001</t>
    <phoneticPr fontId="5"/>
  </si>
  <si>
    <t>O0007</t>
    <phoneticPr fontId="5"/>
  </si>
  <si>
    <t>O0008</t>
    <phoneticPr fontId="5"/>
  </si>
  <si>
    <t>P0001</t>
    <phoneticPr fontId="5"/>
  </si>
  <si>
    <t>2016-05-10 23:59:59</t>
    <phoneticPr fontId="5"/>
  </si>
  <si>
    <t>O0007</t>
    <phoneticPr fontId="5"/>
  </si>
  <si>
    <t>O0008</t>
    <phoneticPr fontId="5"/>
  </si>
  <si>
    <t>ja</t>
    <phoneticPr fontId="5"/>
  </si>
  <si>
    <t>ja</t>
    <phoneticPr fontId="5"/>
  </si>
  <si>
    <t>NULL</t>
    <phoneticPr fontId="5"/>
  </si>
  <si>
    <t>NULL</t>
    <phoneticPr fontId="5"/>
  </si>
  <si>
    <t>NULL</t>
    <phoneticPr fontId="5"/>
  </si>
  <si>
    <t>Q0001</t>
    <phoneticPr fontId="5"/>
  </si>
  <si>
    <t>Q0001</t>
    <phoneticPr fontId="5"/>
  </si>
  <si>
    <t>Q0001</t>
    <phoneticPr fontId="5"/>
  </si>
  <si>
    <t>CQ0008</t>
  </si>
  <si>
    <t>CQ0008</t>
    <phoneticPr fontId="5"/>
  </si>
  <si>
    <t>CQ0009</t>
  </si>
  <si>
    <t>CQ0009</t>
    <phoneticPr fontId="5"/>
  </si>
  <si>
    <t>CQ0010</t>
  </si>
  <si>
    <t>CQ0010</t>
    <phoneticPr fontId="5"/>
  </si>
  <si>
    <t>CQ0011</t>
  </si>
  <si>
    <t>CQ0011</t>
    <phoneticPr fontId="5"/>
  </si>
  <si>
    <t>CQ0012</t>
  </si>
  <si>
    <t>CQ0012</t>
    <phoneticPr fontId="5"/>
  </si>
  <si>
    <t>CQ0013</t>
  </si>
  <si>
    <t>CQ0013</t>
    <phoneticPr fontId="5"/>
  </si>
  <si>
    <t>CQ0014</t>
  </si>
  <si>
    <t>CQ0014</t>
    <phoneticPr fontId="5"/>
  </si>
  <si>
    <t>CQ0015</t>
  </si>
  <si>
    <t>CQ0015</t>
    <phoneticPr fontId="5"/>
  </si>
  <si>
    <t>CQ0016</t>
  </si>
  <si>
    <t>CQ0016</t>
    <phoneticPr fontId="5"/>
  </si>
  <si>
    <t>CQ0017</t>
  </si>
  <si>
    <t>CQ0017</t>
    <phoneticPr fontId="5"/>
  </si>
  <si>
    <t>P0001</t>
    <phoneticPr fontId="5"/>
  </si>
  <si>
    <t>P0001</t>
    <phoneticPr fontId="5"/>
  </si>
  <si>
    <t>P0001</t>
    <phoneticPr fontId="5"/>
  </si>
  <si>
    <t>U01251</t>
    <phoneticPr fontId="5"/>
  </si>
  <si>
    <t>U01251</t>
    <phoneticPr fontId="5"/>
  </si>
  <si>
    <t>39002-1</t>
    <phoneticPr fontId="5"/>
  </si>
  <si>
    <t>39002-2</t>
    <phoneticPr fontId="5"/>
  </si>
  <si>
    <t>39002-3</t>
    <phoneticPr fontId="5"/>
  </si>
  <si>
    <t>39003-1</t>
    <phoneticPr fontId="5"/>
  </si>
  <si>
    <t>39003-2</t>
    <phoneticPr fontId="5"/>
  </si>
  <si>
    <t>39003-3</t>
    <phoneticPr fontId="5"/>
  </si>
  <si>
    <t>39002-4</t>
    <phoneticPr fontId="5"/>
  </si>
  <si>
    <t>39003-4</t>
    <phoneticPr fontId="5"/>
  </si>
  <si>
    <t>49002-1</t>
    <phoneticPr fontId="5"/>
  </si>
  <si>
    <t>2016-04-26 15:00:00</t>
    <phoneticPr fontId="5"/>
  </si>
  <si>
    <t>2970-01-01 00:00:00</t>
    <phoneticPr fontId="5"/>
  </si>
  <si>
    <t>twitter://post?message=%E3%80%90%E4%BB%8A%E3%81%A0%E3%81%91%EF%BC%81%E3%80%91%E7%89%B9%E5%88%A5%E8%A8%98%E5%BF%B5%E3%83%A6%E3%83%8B%E3%83%83%E3%83%88%E3%80%8C%E3%83%A1%E3%83%93%E3%82%A6%E3%82%B9%E3%80%8D%E7%99%BB%E5%A0%B4%E4%B8%AD%EF%BC%81%0A200%E4%B8%87DL%E7%AA%81%E7%A0%B4%E3%81%AE%E8%B6%85%E7%B5%B6%E5%BF%AB%E6%84%9F%EF%BC%94%E4%BA%BA%E5%8D%94%E5%8A%9B%E3%83%91%E3%82%BA%E3%83%ABRPG%E3%80%8C%E3%82%AF%E3%83%A9%E3%83%83%E3%82%B7%E3%83%A5%E3%83%95%E3%82%A3%E3%83%BC%E3%83%90%E3%83%BC%E3%80%8D%E3%82%92%E4%BB%8A%E3%81%99%E3%81%90%E4%B8%80%E7%B7%92%E3%81%AB%E9%81%8A%E3%81%BC%E3%81%86%EF%BC%81%0A%23%E3%82%AF%E3%83%A9%E3%83%83%E3%82%B7%E3%83%A5%E3%83%95%E3%82%A3%E3%83%BC%E3%83%90%E3%83%BC%0Ahttp%3A%2F%2Fcrashfever.com%2Finstall%20</t>
    <phoneticPr fontId="5"/>
  </si>
  <si>
    <t>line://msg/text/%E3%80%90%E4%BB%8A%E3%81%A0%E3%81%91%EF%BC%81%E3%80%91%E7%89%B9%E5%88%A5%E8%A8%98%E5%BF%B5%E3%83%A6%E3%83%8B%E3%83%83%E3%83%88%E3%80%8C%E3%83%A1%E3%83%93%E3%82%A6%E3%82%B9%E3%80%8D%E7%99%BB%E5%A0%B4%E4%B8%AD%EF%BC%81%0A200%E4%B8%87DL%E7%AA%81%E7%A0%B4%E3%81%AE%E8%B6%85%E7%B5%B6%E5%BF%AB%E6%84%9F%EF%BC%94%E4%BA%BA%E5%8D%94%E5%8A%9B%E3%83%91%E3%82%BA%E3%83%ABRPG%E3%80%8C%E3%82%AF%E3%83%A9%E3%83%83%E3%82%B7%E3%83%A5%E3%83%95%E3%82%A3%E3%83%BC%E3%83%90%E3%83%BC%E3%80%8D%E3%82%92%E4%BB%8A%E3%81%99%E3%81%90%E4%B8%80%E7%B7%92%E3%81%AB%E9%81%8A%E3%81%BC%E3%81%86%EF%BC%81%0Ahttp%3A%2F%2Fcrashfever.com%2Finstall%20</t>
    <phoneticPr fontId="5"/>
  </si>
  <si>
    <t>Q9027</t>
  </si>
  <si>
    <t>Q9027</t>
    <phoneticPr fontId="5"/>
  </si>
  <si>
    <t>Q9028</t>
  </si>
  <si>
    <t>Q9028</t>
    <phoneticPr fontId="5"/>
  </si>
  <si>
    <t>Q9029</t>
  </si>
  <si>
    <t>Q9030</t>
  </si>
  <si>
    <t>Q9031</t>
  </si>
  <si>
    <t>ja</t>
    <phoneticPr fontId="5"/>
  </si>
  <si>
    <t>ja</t>
    <phoneticPr fontId="5"/>
  </si>
  <si>
    <t>ja</t>
    <phoneticPr fontId="5"/>
  </si>
  <si>
    <t>ja</t>
    <phoneticPr fontId="5"/>
  </si>
  <si>
    <t>ja</t>
    <phoneticPr fontId="5"/>
  </si>
  <si>
    <t>P0001</t>
    <phoneticPr fontId="5"/>
  </si>
  <si>
    <t>15027-3</t>
    <phoneticPr fontId="5"/>
  </si>
  <si>
    <t>15028-3</t>
    <phoneticPr fontId="5"/>
  </si>
  <si>
    <t>15029-3</t>
    <phoneticPr fontId="5"/>
  </si>
  <si>
    <t>15030-3</t>
    <phoneticPr fontId="5"/>
  </si>
  <si>
    <t>15031-3</t>
    <phoneticPr fontId="5"/>
  </si>
  <si>
    <t>15027-3</t>
    <phoneticPr fontId="5"/>
  </si>
  <si>
    <t>15028-3</t>
    <phoneticPr fontId="5"/>
  </si>
  <si>
    <t>15029-3</t>
    <phoneticPr fontId="5"/>
  </si>
  <si>
    <t>15030-3</t>
    <phoneticPr fontId="5"/>
  </si>
  <si>
    <t>2016-01-29 00:00:00</t>
    <phoneticPr fontId="5"/>
  </si>
  <si>
    <t>2016-04-26 00:00:00</t>
    <phoneticPr fontId="5"/>
  </si>
  <si>
    <t>2016-04-26 00:00:00</t>
    <phoneticPr fontId="5"/>
  </si>
  <si>
    <t>デュラララ!!×2 コラボをLINEで友だちに教えてあげよう！</t>
    <rPh sb="19" eb="20">
      <t>トモダチ</t>
    </rPh>
    <rPh sb="23" eb="24">
      <t>オシ</t>
    </rPh>
    <phoneticPr fontId="5"/>
  </si>
  <si>
    <t>WL005</t>
    <phoneticPr fontId="5"/>
  </si>
  <si>
    <t>WB030</t>
    <phoneticPr fontId="5"/>
  </si>
  <si>
    <t>WB060</t>
    <phoneticPr fontId="5"/>
  </si>
  <si>
    <t>WP001</t>
    <phoneticPr fontId="5"/>
  </si>
  <si>
    <t>polygon</t>
    <phoneticPr fontId="5"/>
  </si>
  <si>
    <t>週間ミッション達成報酬</t>
    <rPh sb="7" eb="9">
      <t>タッセイ</t>
    </rPh>
    <rPh sb="9" eb="11">
      <t>ホウシュウ</t>
    </rPh>
    <phoneticPr fontId="5"/>
  </si>
  <si>
    <t>WL003</t>
    <phoneticPr fontId="5"/>
  </si>
  <si>
    <t>WU6071</t>
    <phoneticPr fontId="5"/>
  </si>
  <si>
    <t>WU6081</t>
    <phoneticPr fontId="5"/>
  </si>
  <si>
    <t>WU6091</t>
    <phoneticPr fontId="5"/>
  </si>
  <si>
    <t>WU6121</t>
    <phoneticPr fontId="5"/>
  </si>
  <si>
    <t>シリーズ4-1</t>
    <phoneticPr fontId="5"/>
  </si>
  <si>
    <t>3日ログイン</t>
    <phoneticPr fontId="5"/>
  </si>
  <si>
    <t>5日ログイン</t>
    <phoneticPr fontId="5"/>
  </si>
  <si>
    <t>7日ログイン</t>
    <phoneticPr fontId="5"/>
  </si>
  <si>
    <t>クエスト3回</t>
    <phoneticPr fontId="5"/>
  </si>
  <si>
    <t>クエスト5回</t>
    <phoneticPr fontId="5"/>
  </si>
  <si>
    <t>クエスト10回</t>
    <phoneticPr fontId="5"/>
  </si>
  <si>
    <t>クエスト15回</t>
    <phoneticPr fontId="5"/>
  </si>
  <si>
    <t>クエスト20回</t>
    <phoneticPr fontId="5"/>
  </si>
  <si>
    <t>クエスト30回</t>
    <phoneticPr fontId="5"/>
  </si>
  <si>
    <t>マルチ3回</t>
  </si>
  <si>
    <t>マルチ5回</t>
  </si>
  <si>
    <t>マルチ10回</t>
  </si>
  <si>
    <t>マルチ15回</t>
  </si>
  <si>
    <t>マルチ20回</t>
  </si>
  <si>
    <t>マルチ30回</t>
  </si>
  <si>
    <t>ゲリラ</t>
    <phoneticPr fontId="5"/>
  </si>
  <si>
    <t>カジノ</t>
    <phoneticPr fontId="5"/>
  </si>
  <si>
    <t>5</t>
    <phoneticPr fontId="16"/>
  </si>
  <si>
    <t>WL005</t>
    <phoneticPr fontId="5"/>
  </si>
  <si>
    <t>WP001</t>
    <phoneticPr fontId="5"/>
  </si>
  <si>
    <t>WC4051</t>
  </si>
  <si>
    <t>WC4052</t>
  </si>
  <si>
    <t>WC4030</t>
    <phoneticPr fontId="5"/>
  </si>
  <si>
    <t>WC4031</t>
  </si>
  <si>
    <t>WC4032</t>
  </si>
  <si>
    <t>WC4050</t>
    <phoneticPr fontId="5"/>
  </si>
  <si>
    <t>WC4053</t>
  </si>
  <si>
    <t>WC4100</t>
    <phoneticPr fontId="5"/>
  </si>
  <si>
    <t>WC4101</t>
  </si>
  <si>
    <t>WC4102</t>
  </si>
  <si>
    <t>WC4150</t>
    <phoneticPr fontId="5"/>
  </si>
  <si>
    <t>WC4151</t>
  </si>
  <si>
    <t>WC4152</t>
  </si>
  <si>
    <t>WC4153</t>
  </si>
  <si>
    <t>WC4200</t>
    <phoneticPr fontId="5"/>
  </si>
  <si>
    <t>WC4201</t>
  </si>
  <si>
    <t>WC4202</t>
  </si>
  <si>
    <t>WC4300</t>
    <phoneticPr fontId="5"/>
  </si>
  <si>
    <t>5</t>
    <phoneticPr fontId="16"/>
  </si>
  <si>
    <t>5</t>
    <phoneticPr fontId="16"/>
  </si>
  <si>
    <t>10</t>
    <phoneticPr fontId="16"/>
  </si>
  <si>
    <t>10</t>
    <phoneticPr fontId="16"/>
  </si>
  <si>
    <t>10</t>
    <phoneticPr fontId="16"/>
  </si>
  <si>
    <t>15</t>
    <phoneticPr fontId="16"/>
  </si>
  <si>
    <t>15</t>
    <phoneticPr fontId="16"/>
  </si>
  <si>
    <t>15</t>
    <phoneticPr fontId="16"/>
  </si>
  <si>
    <t>20</t>
    <phoneticPr fontId="16"/>
  </si>
  <si>
    <t>30</t>
    <phoneticPr fontId="16"/>
  </si>
  <si>
    <t>WM4030</t>
  </si>
  <si>
    <t>WM4031</t>
  </si>
  <si>
    <t>WM4032</t>
  </si>
  <si>
    <t>WM4050</t>
  </si>
  <si>
    <t>WM4051</t>
  </si>
  <si>
    <t>WM4052</t>
  </si>
  <si>
    <t>WM4053</t>
  </si>
  <si>
    <t>WM4100</t>
  </si>
  <si>
    <t>WM4101</t>
  </si>
  <si>
    <t>WM4102</t>
  </si>
  <si>
    <t>WM4150</t>
  </si>
  <si>
    <t>WM4151</t>
  </si>
  <si>
    <t>WM4152</t>
  </si>
  <si>
    <t>WM4153</t>
  </si>
  <si>
    <t>WM4200</t>
  </si>
  <si>
    <t>WM4201</t>
  </si>
  <si>
    <t>WM4202</t>
  </si>
  <si>
    <t>3</t>
    <phoneticPr fontId="16"/>
  </si>
  <si>
    <t>WL4030</t>
    <phoneticPr fontId="5"/>
  </si>
  <si>
    <t>WL4050</t>
    <phoneticPr fontId="5"/>
  </si>
  <si>
    <t>WL4070</t>
    <phoneticPr fontId="5"/>
  </si>
  <si>
    <t>WL4030</t>
    <phoneticPr fontId="5"/>
  </si>
  <si>
    <t>WU3381</t>
    <phoneticPr fontId="5"/>
  </si>
  <si>
    <t>WU3421</t>
    <phoneticPr fontId="5"/>
  </si>
  <si>
    <t>WU3461</t>
    <phoneticPr fontId="5"/>
  </si>
  <si>
    <t>WP001</t>
    <phoneticPr fontId="5"/>
  </si>
  <si>
    <t>シリーズ4-2</t>
    <phoneticPr fontId="5"/>
  </si>
  <si>
    <t>赤</t>
    <rPh sb="0" eb="1">
      <t>アカ</t>
    </rPh>
    <phoneticPr fontId="5"/>
  </si>
  <si>
    <t>緑</t>
    <rPh sb="0" eb="1">
      <t>ミドリ</t>
    </rPh>
    <phoneticPr fontId="5"/>
  </si>
  <si>
    <t>青</t>
    <rPh sb="0" eb="1">
      <t>アオ</t>
    </rPh>
    <phoneticPr fontId="5"/>
  </si>
  <si>
    <t>黄</t>
    <rPh sb="0" eb="1">
      <t>🌴</t>
    </rPh>
    <phoneticPr fontId="5"/>
  </si>
  <si>
    <t>x</t>
    <phoneticPr fontId="5"/>
  </si>
  <si>
    <t>シリーズ4-3</t>
    <phoneticPr fontId="5"/>
  </si>
  <si>
    <t>x</t>
    <phoneticPr fontId="5"/>
  </si>
  <si>
    <t>o</t>
    <phoneticPr fontId="5"/>
  </si>
  <si>
    <t>x</t>
    <phoneticPr fontId="5"/>
  </si>
  <si>
    <t>x</t>
    <phoneticPr fontId="5"/>
  </si>
  <si>
    <t>x</t>
    <phoneticPr fontId="5"/>
  </si>
  <si>
    <t>o</t>
    <phoneticPr fontId="5"/>
  </si>
  <si>
    <t>x</t>
    <phoneticPr fontId="5"/>
  </si>
  <si>
    <t>x</t>
    <phoneticPr fontId="5"/>
  </si>
  <si>
    <t>x</t>
    <phoneticPr fontId="5"/>
  </si>
  <si>
    <t>o</t>
    <phoneticPr fontId="5"/>
  </si>
  <si>
    <t>o</t>
    <phoneticPr fontId="5"/>
  </si>
  <si>
    <t>x</t>
    <phoneticPr fontId="5"/>
  </si>
  <si>
    <t>x</t>
    <phoneticPr fontId="5"/>
  </si>
  <si>
    <t>o</t>
    <phoneticPr fontId="5"/>
  </si>
  <si>
    <t>o</t>
    <phoneticPr fontId="5"/>
  </si>
  <si>
    <t>WQ4000</t>
    <phoneticPr fontId="5"/>
  </si>
  <si>
    <t>WQ4001</t>
    <phoneticPr fontId="5"/>
  </si>
  <si>
    <t>WQ4000</t>
    <phoneticPr fontId="5"/>
  </si>
  <si>
    <t>WQ4001</t>
    <phoneticPr fontId="5"/>
  </si>
  <si>
    <t>BUG02</t>
    <phoneticPr fontId="5"/>
  </si>
  <si>
    <t>unit_bug</t>
    <phoneticPr fontId="5"/>
  </si>
  <si>
    <t>2</t>
    <phoneticPr fontId="5"/>
  </si>
  <si>
    <t>バグ x のユニットをつくろう！</t>
    <phoneticPr fontId="5"/>
  </si>
  <si>
    <t>5</t>
    <phoneticPr fontId="5"/>
  </si>
  <si>
    <t>15</t>
    <phoneticPr fontId="5"/>
  </si>
  <si>
    <t>30</t>
    <phoneticPr fontId="5"/>
  </si>
  <si>
    <t>45</t>
    <phoneticPr fontId="5"/>
  </si>
  <si>
    <t>60</t>
    <phoneticPr fontId="5"/>
  </si>
  <si>
    <t>75</t>
    <phoneticPr fontId="5"/>
  </si>
  <si>
    <t>90</t>
    <phoneticPr fontId="5"/>
  </si>
  <si>
    <t>99</t>
    <phoneticPr fontId="5"/>
  </si>
  <si>
    <t>BUG05</t>
    <phoneticPr fontId="5"/>
  </si>
  <si>
    <t>BUG15</t>
    <phoneticPr fontId="5"/>
  </si>
  <si>
    <t>BUG30</t>
    <phoneticPr fontId="5"/>
  </si>
  <si>
    <t>BUG45</t>
    <phoneticPr fontId="5"/>
  </si>
  <si>
    <t>BUG60</t>
    <phoneticPr fontId="5"/>
  </si>
  <si>
    <t>BUG75</t>
    <phoneticPr fontId="5"/>
  </si>
  <si>
    <t>BUG90</t>
    <phoneticPr fontId="5"/>
  </si>
  <si>
    <t>BUG99</t>
    <phoneticPr fontId="5"/>
  </si>
  <si>
    <t>U01201</t>
    <phoneticPr fontId="5"/>
  </si>
  <si>
    <t>U06101</t>
    <phoneticPr fontId="5"/>
  </si>
  <si>
    <t>L0005</t>
    <phoneticPr fontId="5"/>
  </si>
  <si>
    <t>U08371</t>
    <phoneticPr fontId="5"/>
  </si>
  <si>
    <t>P0005</t>
    <phoneticPr fontId="5"/>
  </si>
  <si>
    <t>P0010</t>
    <phoneticPr fontId="5"/>
  </si>
  <si>
    <t>2970-01-01 23:59:59</t>
  </si>
  <si>
    <t>line://msg/text/%E4%B8%96%E7%95%8C%E3%81%A7%E6%9C%80%E3%82%82%E6%B0%97%E6%8C%81%E3%81%A1%E3%82%A4%E3%82%A4%EF%BC%814%E4%BA%BA%E5%8D%94%E5%8A%9B%E3%83%91%E3%82%BA%E3%83%ABRPG%E5%A7%8B%E3%82%81%E3%82%88%E3%81%86%EF%BC%81%0D%0A%E8%B6%85%E7%B5%B6%E5%BF%AB%E6%84%9F%E3%83%91%E3%82%BA%E3%83%ABRPG%E3%80%8C%E3%82%AF%E3%83%A9%E3%83%83%E3%82%B7%E3%83%A5%E3%83%95%E3%82%A3%E3%83%BC%E3%83%90%E3%83%BC%E3%80%8D%0D%0A%E3%80%8C%E3%83%87%E3%83%A5%E3%83%A9%E3%83%A9%E3%83%A9%21%21%C3%972%E3%80%8D%E3%82%B3%E3%83%A9%E3%83%9C%E9%96%8B%E5%82%AC%E4%B8%AD%EF%BC%81%0D%0A%E3%82%A4%E3%83%B3%E3%82%B9%E3%83%88%E3%83%BC%E3%83%AB%E3%81%AF%E3%81%93%E3%81%A1%E3%82%89%E2%86%93%E2%86%93%0D%0Ahttp%3A%2F%2Fcrashfever.com%2Finstall%20</t>
    <phoneticPr fontId="5"/>
  </si>
  <si>
    <t>10002</t>
    <phoneticPr fontId="5"/>
  </si>
  <si>
    <t>10005</t>
    <phoneticPr fontId="5"/>
  </si>
  <si>
    <t>10015</t>
    <phoneticPr fontId="5"/>
  </si>
  <si>
    <t>10030</t>
    <phoneticPr fontId="5"/>
  </si>
  <si>
    <t>10045</t>
    <phoneticPr fontId="5"/>
  </si>
  <si>
    <t>10060</t>
    <phoneticPr fontId="5"/>
  </si>
  <si>
    <t>10075</t>
    <phoneticPr fontId="5"/>
  </si>
  <si>
    <t>10090</t>
    <phoneticPr fontId="5"/>
  </si>
  <si>
    <t>10099</t>
    <phoneticPr fontId="5"/>
  </si>
  <si>
    <t>O0009</t>
    <phoneticPr fontId="5"/>
  </si>
  <si>
    <t>ja</t>
    <phoneticPr fontId="5"/>
  </si>
  <si>
    <t>unconditional_completed</t>
    <phoneticPr fontId="5"/>
  </si>
  <si>
    <t>https://game8.jp/games/303?utm_source=CrushFeverApp&amp;utm_medium=refferal&amp;utm_campaign=CrufMission</t>
    <phoneticPr fontId="5"/>
  </si>
  <si>
    <t>P0001</t>
    <phoneticPr fontId="5"/>
  </si>
  <si>
    <t>2016-05-14 00:00:00</t>
    <phoneticPr fontId="5"/>
  </si>
  <si>
    <t>2016-05-29 23:59:59</t>
    <phoneticPr fontId="5"/>
  </si>
  <si>
    <t>O0010</t>
    <phoneticPr fontId="5"/>
  </si>
  <si>
    <t>ja</t>
    <phoneticPr fontId="5"/>
  </si>
  <si>
    <t>O0010</t>
    <phoneticPr fontId="5"/>
  </si>
  <si>
    <t>TVCMキャンペーンをLINEで友達に教えよう！</t>
    <rPh sb="16" eb="18">
      <t>トモダチニ</t>
    </rPh>
    <rPh sb="19" eb="20">
      <t>オシエ</t>
    </rPh>
    <phoneticPr fontId="5"/>
  </si>
  <si>
    <t>O0011</t>
    <phoneticPr fontId="5"/>
  </si>
  <si>
    <t>O0011</t>
    <phoneticPr fontId="5"/>
  </si>
  <si>
    <t>U08781</t>
  </si>
  <si>
    <t>U08781</t>
    <phoneticPr fontId="5"/>
  </si>
  <si>
    <t>O0012</t>
  </si>
  <si>
    <t>O0013</t>
  </si>
  <si>
    <t>O0014</t>
  </si>
  <si>
    <t>O0015</t>
  </si>
  <si>
    <t>O0016</t>
  </si>
  <si>
    <t>11224-1</t>
    <phoneticPr fontId="5"/>
  </si>
  <si>
    <t>https://www.youtube.com/watch?v=Fd5pvekYymY</t>
  </si>
  <si>
    <t>https://www.youtube.com/watch?v=k7E9o9gEcpY</t>
    <phoneticPr fontId="5"/>
  </si>
  <si>
    <t>https://www.youtube.com/watch?v=zhngda1mcQg</t>
    <phoneticPr fontId="5"/>
  </si>
  <si>
    <t>https://www.youtube.com/watch?v=YbBAZ0vVzQY</t>
    <phoneticPr fontId="5"/>
  </si>
  <si>
    <t>攻略情報をチェックしよう！</t>
    <rPh sb="0" eb="2">
      <t>コウリャク</t>
    </rPh>
    <rPh sb="2" eb="4">
      <t>ジョウホウ</t>
    </rPh>
    <phoneticPr fontId="5"/>
  </si>
  <si>
    <t>攻略情報をチェックしよう！</t>
    <phoneticPr fontId="5"/>
  </si>
  <si>
    <t>攻略情報をチェックしよう！</t>
    <phoneticPr fontId="5"/>
  </si>
  <si>
    <t>twitter://post?message=%E3%80%90%E3%83%96%E3%83%83%E5%BF%AB%E6%84%9F%E3%83%BC%E2%99%AA%E3%80%91%E3%82%AF%E3%83%A9%E3%83%83%E3%82%B7%E3%83%A5%E3%83%95%E3%82%A3%E3%83%BC%E3%83%90%E3%83%BCTVCM%E5%85%A8%E5%9B%BD%E6%94%BE%E9%80%81%E8%A8%98%E5%BF%B5%E2%98%85%E3%82%82%E3%82%8C%E3%81%AA%E3%81%8F%E5%85%A8%E5%93%A1%E3%83%9D%E3%83%AA%E3%82%B4%E3%83%B3%E5%A4%A7%E9%87%8F%E9%85%8D%E5%B8%83%E4%B8%AD%21%21%20CM%E3%81%A7%E3%81%8A%E9%A6%B4%E6%9F%93%E3%81%BF%22%E3%82%A6%E3%82%B6%E3%83%AA%E3%83%BC%E3%83%9E%E3%83%B3%22%E8%A5%B2%E6%9D%A5%E3%82%AF%E3%82%A8%E3%82%B9%E3%83%88%E9%96%8B%E5%82%AC%E3%80%90%E3%81%9F%E3%82%81%E3%81%A6%E3%80%81%E3%81%9F%E3%82%81%E3%81%A6%E3%80%81%E4%B8%80%E6%B0%97%E3%81%AB%E3%83%96%E3%83%83%E5%A3%8A%E3%81%9B%21%21%21%E3%80%91%20%0D%0Ahttp%3A%2F%2Fcrashfever.com%2Finstall%20%23%E3%82%AF%E3%83%A9%E3%83%95%E3%82%A3</t>
    <phoneticPr fontId="5"/>
  </si>
  <si>
    <t>TVCM「既読スルー」篇を観よう！</t>
    <rPh sb="13" eb="14">
      <t>ミヨウ</t>
    </rPh>
    <phoneticPr fontId="5"/>
  </si>
  <si>
    <t>TVCM「ニャンニャン」篇を観よう！</t>
    <phoneticPr fontId="5"/>
  </si>
  <si>
    <t>TVCM「オレまだ係長」篇を観よう！</t>
    <phoneticPr fontId="5"/>
  </si>
  <si>
    <t>2016-05-13 9:00:00</t>
    <phoneticPr fontId="5"/>
  </si>
  <si>
    <t>2016-05-20 23:59:59</t>
    <phoneticPr fontId="5"/>
  </si>
  <si>
    <t>R0030</t>
    <phoneticPr fontId="5"/>
  </si>
  <si>
    <t>R0040</t>
    <phoneticPr fontId="5"/>
  </si>
  <si>
    <t>R0050</t>
    <phoneticPr fontId="5"/>
  </si>
  <si>
    <t>R0075</t>
    <phoneticPr fontId="5"/>
  </si>
  <si>
    <t>R0100</t>
    <phoneticPr fontId="5"/>
  </si>
  <si>
    <t>R0125</t>
    <phoneticPr fontId="5"/>
  </si>
  <si>
    <t>R0031</t>
    <phoneticPr fontId="5"/>
  </si>
  <si>
    <t>R0041</t>
    <phoneticPr fontId="5"/>
  </si>
  <si>
    <t>R0051</t>
    <phoneticPr fontId="5"/>
  </si>
  <si>
    <t>R0076</t>
    <phoneticPr fontId="5"/>
  </si>
  <si>
    <t>R0101</t>
    <phoneticPr fontId="5"/>
  </si>
  <si>
    <t>R0150</t>
    <phoneticPr fontId="5"/>
  </si>
  <si>
    <t>R0175</t>
    <phoneticPr fontId="5"/>
  </si>
  <si>
    <t>R0200</t>
    <phoneticPr fontId="5"/>
  </si>
  <si>
    <t>R0300</t>
    <phoneticPr fontId="5"/>
  </si>
  <si>
    <t>R0126</t>
    <phoneticPr fontId="5"/>
  </si>
  <si>
    <t>R0151</t>
    <phoneticPr fontId="5"/>
  </si>
  <si>
    <t>R0176</t>
    <phoneticPr fontId="5"/>
  </si>
  <si>
    <t>R0201</t>
    <phoneticPr fontId="5"/>
  </si>
  <si>
    <t>R0301</t>
    <phoneticPr fontId="5"/>
  </si>
  <si>
    <t>R0150</t>
    <phoneticPr fontId="5"/>
  </si>
  <si>
    <t>R0175</t>
    <phoneticPr fontId="5"/>
  </si>
  <si>
    <t>R0300</t>
    <phoneticPr fontId="5"/>
  </si>
  <si>
    <t>2016-05-24 00:00:00</t>
    <phoneticPr fontId="5"/>
  </si>
  <si>
    <t>2016-05-30 23:59:59</t>
    <phoneticPr fontId="5"/>
  </si>
  <si>
    <t>TVCMランクミッション（5/20まで）
プレイヤーランクを30まで上げよう！</t>
    <rPh sb="34" eb="35">
      <t>アゲヨウ</t>
    </rPh>
    <phoneticPr fontId="5"/>
  </si>
  <si>
    <t>TVCMランクミッション（5/20まで）
プレイヤーランクを40まで上げよう！</t>
    <rPh sb="34" eb="35">
      <t>アゲヨウ</t>
    </rPh>
    <phoneticPr fontId="5"/>
  </si>
  <si>
    <t>TVCMランクミッション（5/20まで）
プレイヤーランクを50まで上げよう！</t>
    <rPh sb="34" eb="35">
      <t>アゲヨウ</t>
    </rPh>
    <phoneticPr fontId="5"/>
  </si>
  <si>
    <t>TVCMランクミッション（5/20まで）
プレイヤーランクを75まで上げよう！</t>
    <rPh sb="34" eb="35">
      <t>アゲヨウ</t>
    </rPh>
    <phoneticPr fontId="5"/>
  </si>
  <si>
    <t>TVCMランクミッション（5/20まで）
プレイヤーランクを125まで上げよう！</t>
    <rPh sb="35" eb="36">
      <t>アゲヨウ</t>
    </rPh>
    <phoneticPr fontId="5"/>
  </si>
  <si>
    <t>TVCMランクミッション（5/20まで）
プレイヤーランクを100まで上げよう！</t>
    <rPh sb="35" eb="36">
      <t>アゲヨウ</t>
    </rPh>
    <phoneticPr fontId="5"/>
  </si>
  <si>
    <t>TVCMランクミッション（5/20まで）
プレイヤーランクを150まで上げよう！</t>
    <rPh sb="35" eb="36">
      <t>アゲヨウ</t>
    </rPh>
    <phoneticPr fontId="5"/>
  </si>
  <si>
    <t>TVCMランクミッション（5/20まで）
プレイヤーランクを175まで上げよう！</t>
    <rPh sb="35" eb="36">
      <t>アゲヨウ</t>
    </rPh>
    <phoneticPr fontId="5"/>
  </si>
  <si>
    <t>TVCMランクミッション（5/20まで）
プレイヤーランクを200まで上げよう！</t>
    <rPh sb="35" eb="36">
      <t>アゲヨウ</t>
    </rPh>
    <phoneticPr fontId="5"/>
  </si>
  <si>
    <t>TVCMランクミッション（5/20まで）
プレイヤーランクを300まで上げよう！</t>
    <rPh sb="35" eb="36">
      <t>アゲヨウ</t>
    </rPh>
    <phoneticPr fontId="5"/>
  </si>
  <si>
    <t>TVCMランクミッション（5/30まで）
プレイヤーランクを30まで上げよう！</t>
    <rPh sb="34" eb="35">
      <t>アゲヨウ</t>
    </rPh>
    <phoneticPr fontId="5"/>
  </si>
  <si>
    <t>TVCMランクミッション（5/30まで）
プレイヤーランクを40まで上げよう！</t>
    <rPh sb="34" eb="35">
      <t>アゲヨウ</t>
    </rPh>
    <phoneticPr fontId="5"/>
  </si>
  <si>
    <t>TVCMランクミッション（5/30まで）
プレイヤーランクを50まで上げよう！</t>
    <rPh sb="34" eb="35">
      <t>アゲヨウ</t>
    </rPh>
    <phoneticPr fontId="5"/>
  </si>
  <si>
    <t>TVCMランクミッション（5/30まで）
プレイヤーランクを75まで上げよう！</t>
    <rPh sb="34" eb="35">
      <t>アゲヨウ</t>
    </rPh>
    <phoneticPr fontId="5"/>
  </si>
  <si>
    <t>TVCMランクミッション（5/30まで）
プレイヤーランクを100まで上げよう！</t>
    <rPh sb="35" eb="36">
      <t>アゲヨウ</t>
    </rPh>
    <phoneticPr fontId="5"/>
  </si>
  <si>
    <t>TVCMランクミッション（5/30まで）
プレイヤーランクを125まで上げよう！</t>
    <rPh sb="35" eb="36">
      <t>アゲヨウ</t>
    </rPh>
    <phoneticPr fontId="5"/>
  </si>
  <si>
    <t>TVCMランクミッション（5/30まで）
プレイヤーランクを150まで上げよう！</t>
    <rPh sb="35" eb="36">
      <t>アゲヨウ</t>
    </rPh>
    <phoneticPr fontId="5"/>
  </si>
  <si>
    <t>TVCMランクミッション（5/30まで）
プレイヤーランクを175まで上げよう！</t>
    <rPh sb="35" eb="36">
      <t>アゲヨウ</t>
    </rPh>
    <phoneticPr fontId="5"/>
  </si>
  <si>
    <t>TVCMランクミッション（5/30まで）
プレイヤーランクを200まで上げよう！</t>
    <rPh sb="35" eb="36">
      <t>アゲヨウ</t>
    </rPh>
    <phoneticPr fontId="5"/>
  </si>
  <si>
    <t>TVCMランクミッション（5/30まで）
プレイヤーランクを300まで上げよう！</t>
    <rPh sb="35" eb="36">
      <t>アゲヨウ</t>
    </rPh>
    <phoneticPr fontId="5"/>
  </si>
  <si>
    <t>O0026</t>
    <phoneticPr fontId="5"/>
  </si>
  <si>
    <t>ja</t>
    <phoneticPr fontId="5"/>
  </si>
  <si>
    <t>O0026</t>
    <phoneticPr fontId="5"/>
  </si>
  <si>
    <t>Q0001</t>
    <phoneticPr fontId="5"/>
  </si>
  <si>
    <t>P0001</t>
    <phoneticPr fontId="5"/>
  </si>
  <si>
    <t>2016-05-16 00:00:00</t>
    <phoneticPr fontId="5"/>
  </si>
  <si>
    <t>2016-05-30 23:59:59</t>
    <phoneticPr fontId="5"/>
  </si>
  <si>
    <t>TVCM「酔っ払Ride On！」篇を観よう！</t>
    <phoneticPr fontId="5"/>
  </si>
  <si>
    <t>「ベルゼブブ襲来！」 攻略動画を観よう！</t>
    <phoneticPr fontId="5"/>
  </si>
  <si>
    <t>https://game8.jp/archives/59863?utm_source=CrushFeverMission&amp;utm_medium=refferal&amp;utm_campaign=CrufMission1#hl_5</t>
    <phoneticPr fontId="5"/>
  </si>
  <si>
    <t>2016-05-20 00:00:00</t>
    <phoneticPr fontId="5"/>
  </si>
  <si>
    <t>2016-05-24 23:59:59</t>
    <phoneticPr fontId="5"/>
  </si>
  <si>
    <t>O0017</t>
  </si>
  <si>
    <t>O0018</t>
  </si>
  <si>
    <t>O0019</t>
  </si>
  <si>
    <t>O0020</t>
  </si>
  <si>
    <t>https://www.youtube.com/watch?v=Wziv9VBOFQQ</t>
    <phoneticPr fontId="5"/>
  </si>
  <si>
    <t>Web限定CM「調子はどうだい？」篇を観よう！</t>
    <rPh sb="3" eb="5">
      <t>ゲンテイ</t>
    </rPh>
    <phoneticPr fontId="5"/>
  </si>
  <si>
    <t>Web限定CM「遅延行為だよ〜！」篇を観よう！</t>
    <rPh sb="3" eb="5">
      <t>ゲンテイ</t>
    </rPh>
    <phoneticPr fontId="5"/>
  </si>
  <si>
    <t>Web限定CM「車掌」篇を観よう！</t>
    <rPh sb="3" eb="5">
      <t>ゲンテイ</t>
    </rPh>
    <phoneticPr fontId="5"/>
  </si>
  <si>
    <t>https://www.youtube.com/watch?v=T-3XyWYH1TQ</t>
    <phoneticPr fontId="5"/>
  </si>
  <si>
    <t>https://www.youtube.com/watch?v=d8oH0XXHTzw</t>
    <phoneticPr fontId="5"/>
  </si>
  <si>
    <t>O0020</t>
    <phoneticPr fontId="5"/>
  </si>
  <si>
    <t>TVCMキャンペーンをTwitterでツイートしよう！</t>
    <phoneticPr fontId="5"/>
  </si>
  <si>
    <t>O0017</t>
    <phoneticPr fontId="5"/>
  </si>
  <si>
    <t>TVCMキャンペーンをもっとTwitterでツイートしよう！</t>
    <phoneticPr fontId="5"/>
  </si>
  <si>
    <t>TVCMキャンペーンをもっとLINEで友達に教えよう！</t>
    <rPh sb="19" eb="21">
      <t>トモダチニ</t>
    </rPh>
    <rPh sb="22" eb="23">
      <t>オシエ</t>
    </rPh>
    <phoneticPr fontId="5"/>
  </si>
  <si>
    <t>O0021</t>
    <phoneticPr fontId="5"/>
  </si>
  <si>
    <t>O0021</t>
    <phoneticPr fontId="5"/>
  </si>
  <si>
    <t>20000</t>
    <phoneticPr fontId="5"/>
  </si>
  <si>
    <t>O0027</t>
    <phoneticPr fontId="5"/>
  </si>
  <si>
    <t>O0028</t>
    <phoneticPr fontId="5"/>
  </si>
  <si>
    <t>2016-06-08 23:59:59</t>
    <phoneticPr fontId="5"/>
  </si>
  <si>
    <t>2016-05-25 00:00:00</t>
    <phoneticPr fontId="5"/>
  </si>
  <si>
    <t>O0029</t>
    <phoneticPr fontId="5"/>
  </si>
  <si>
    <t>O0029</t>
    <phoneticPr fontId="5"/>
  </si>
  <si>
    <t>クラフィFacebook公式ページに
「いいね！」をしよう！</t>
    <phoneticPr fontId="5"/>
  </si>
  <si>
    <t>https://www.facebook.com/CrashFeverJP/</t>
    <phoneticPr fontId="5"/>
  </si>
  <si>
    <t>O0027</t>
    <phoneticPr fontId="5"/>
  </si>
  <si>
    <t>O0028</t>
    <phoneticPr fontId="5"/>
  </si>
  <si>
    <t>AppStoreセールスTOP10ランクインをTwitterでツイートしよう！</t>
    <rPh sb="22" eb="23">
      <t>トッp</t>
    </rPh>
    <phoneticPr fontId="5"/>
  </si>
  <si>
    <t>AppStoreセールスTOP10ランクインをLINEで友だちに教えてあげよう！</t>
    <rPh sb="28" eb="29">
      <t>トm</t>
    </rPh>
    <rPh sb="32" eb="39">
      <t>オシ</t>
    </rPh>
    <phoneticPr fontId="5"/>
  </si>
  <si>
    <t>line://msg/text/%E3%80%90AppStore%E3%82%BB%E3%83%BC%E3%83%AB%E3%82%B9TOP10%E3%83%A9%E3%83%B3%E3%82%AF%E3%82%A4%E3%83%B3%EF%BC%81%E3%80%91%E3%83%86%E3%83%AC%E3%83%93CM%E3%81%A7%E3%82%82%E8%A9%B1%E9%A1%8C%E3%81%AE%E5%A4%A7%E4%BA%BA%E6%B0%97%E3%83%91%E3%82%BA%E3%83%AB%E3%82%B2%E3%83%BC%E3%83%A0%E3%80%8E%E3%82%AF%E3%83%A9%E3%83%83%E3%82%B7%E3%83%A5%E3%83%95%E3%82%A3%E3%83%BC%E3%83%90%E3%83%BC%E3%80%8F%E3%81%8C%E3%83%9D%E3%83%AA%E3%82%B4%E3%83%B3%E5%A4%A7%E9%87%8F%E9%85%8D%E5%B8%83%E4%B8%AD%EF%BC%81%E6%B5%81%E8%A1%8C%E3%81%AE%E6%B3%A2%E3%81%AB%E4%B9%97%E3%82%8A%E9%81%85%E3%82%8C%E3%82%8B%E3%81%AA%EF%BC%81%E3%80%90%E3%83%96%E3%83%83%E5%BF%AB%E6%84%9F%E3%83%BC%E2%99%AA%E3%80%91http%3A%2F%2Fcrashfever.com%2Finstall%23%E3%82%AF%E3%83%A9%E3%83%95%E3%82%A3</t>
    <phoneticPr fontId="5"/>
  </si>
  <si>
    <t>「ルシファー襲来！」 攻略動画を観よう！</t>
    <phoneticPr fontId="5"/>
  </si>
  <si>
    <t>https://game8.jp/archives/59885?utm_source=CrushFeverMission&amp;utm_medium=refferal&amp;utm_campaign=CrufMission2#hl_5</t>
    <phoneticPr fontId="5"/>
  </si>
  <si>
    <t>G8002</t>
    <phoneticPr fontId="5"/>
  </si>
  <si>
    <t>P0001</t>
    <phoneticPr fontId="5"/>
  </si>
  <si>
    <t>2016-06-10 23:59:59</t>
    <phoneticPr fontId="5"/>
  </si>
  <si>
    <t>2016-05-25 00:00:00</t>
    <phoneticPr fontId="5"/>
  </si>
  <si>
    <t>O0030</t>
    <phoneticPr fontId="5"/>
  </si>
  <si>
    <t>O0030</t>
    <phoneticPr fontId="5"/>
  </si>
  <si>
    <t>サンリオキャラクターズコラボをTwitterでツイートしよう！</t>
    <phoneticPr fontId="5"/>
  </si>
  <si>
    <t>O0031</t>
    <phoneticPr fontId="5"/>
  </si>
  <si>
    <t>サンリオキャラクターズコラボをLINEで友だちに教えてあげよう！</t>
    <phoneticPr fontId="5"/>
  </si>
  <si>
    <t>O0031</t>
    <phoneticPr fontId="5"/>
  </si>
  <si>
    <t>2016-06-26 23:59:59</t>
    <phoneticPr fontId="5"/>
  </si>
  <si>
    <t>CQ0018</t>
    <phoneticPr fontId="5"/>
  </si>
  <si>
    <t>CQ0020</t>
  </si>
  <si>
    <t>CQ0019</t>
    <phoneticPr fontId="5"/>
  </si>
  <si>
    <t>CQ0020</t>
    <phoneticPr fontId="5"/>
  </si>
  <si>
    <t>CQ0021</t>
  </si>
  <si>
    <t>CQ0021</t>
    <phoneticPr fontId="5"/>
  </si>
  <si>
    <t>CQ0022</t>
  </si>
  <si>
    <t>CQ0022</t>
    <phoneticPr fontId="5"/>
  </si>
  <si>
    <t>49003-1</t>
    <phoneticPr fontId="5"/>
  </si>
  <si>
    <t>39004-1</t>
    <phoneticPr fontId="5"/>
  </si>
  <si>
    <t>39004-2</t>
    <phoneticPr fontId="5"/>
  </si>
  <si>
    <t>39004-3</t>
    <phoneticPr fontId="5"/>
  </si>
  <si>
    <t>39004-4</t>
    <phoneticPr fontId="5"/>
  </si>
  <si>
    <t>49004-2</t>
    <phoneticPr fontId="5"/>
  </si>
  <si>
    <t>O0025</t>
    <phoneticPr fontId="5"/>
  </si>
  <si>
    <t>CQ0018</t>
    <phoneticPr fontId="5"/>
  </si>
  <si>
    <t>CQ0019</t>
    <phoneticPr fontId="5"/>
  </si>
  <si>
    <t>U01251</t>
    <phoneticPr fontId="5"/>
  </si>
  <si>
    <t>U01251</t>
    <phoneticPr fontId="5"/>
  </si>
  <si>
    <t>2016-06-13 00:00:00</t>
    <phoneticPr fontId="5"/>
  </si>
  <si>
    <t>x をクリアしよう！</t>
    <phoneticPr fontId="5"/>
  </si>
  <si>
    <t>line://msg/text/%E3%80%90%E3%82%AF%E3%83%A9%E3%83%83%E3%82%B7%E3%83%A5%E3%83%95%E3%82%A3%E3%83%BC%E3%83%90%E3%83%BC%E3%80%91%E3%80%8A%E3%82%B5%E3%83%B3%E3%83%AA%E3%82%AA%E3%82%AD%E3%83%A3%E3%83%A9%E3%82%AF%E3%82%BF%E3%83%BC%E3%82%BA%E3%80%8B%E6%9C%9F%E9%96%93%E9%99%90%E5%AE%9A%E3%82%B3%E3%83%A9%E3%83%9C%E5%AE%9F%E6%96%BD%E4%B8%AD%EF%BC%81%E4%BB%8A%E3%81%A0%E3%81%91%E3%80%8C%E3%82%82%E3%82%8C%E3%81%AA%E3%81%8F%E5%85%A8%E5%93%A1%E3%81%AB%E3%80%8D%E2%98%855%E3%81%BE%E3%81%A7%E8%A6%9A%E9%86%92%E3%81%A7%E3%81%8D%E3%82%8B%E3%80%8E%E3%83%8F%E3%83%AD%E3%83%BC%E3%82%AD%E3%83%86%E3%82%A3%E3%80%8F%E3%82%92%E3%83%97%E3%83%AC%E3%82%BC%E3%83%B3%E3%83%88%20http%3A%2F%2Fcrashfever.com%2Finstall</t>
    <phoneticPr fontId="5"/>
  </si>
  <si>
    <t>400万DL突破をTwitterでツイートしよう！</t>
    <rPh sb="3" eb="4">
      <t>マン</t>
    </rPh>
    <rPh sb="6" eb="9">
      <t>トッp</t>
    </rPh>
    <phoneticPr fontId="5"/>
  </si>
  <si>
    <t>400万DL突破をLINEで友だちに教えてあげよう！</t>
    <rPh sb="3" eb="4">
      <t>マン</t>
    </rPh>
    <rPh sb="6" eb="8">
      <t>トッp</t>
    </rPh>
    <rPh sb="14" eb="15">
      <t>トm</t>
    </rPh>
    <rPh sb="18" eb="25">
      <t>オシ</t>
    </rPh>
    <phoneticPr fontId="5"/>
  </si>
  <si>
    <t>twitter://post?message=%E3%80%90%E3%82%AF%E3%83%A9%E3%83%83%E3%82%B7%E3%83%A5%E3%83%95%E3%82%A3%E3%83%BC%E3%83%90%E3%83%BC%E3%80%91%E3%80%8A%E3%82%B5%E3%83%B3%E3%83%AA%E3%82%AA%E3%82%AD%E3%83%A3%E3%83%A9%E3%82%AF%E3%82%BF%E3%83%BC%E3%82%BA%E3%80%8B%E6%9C%9F%E9%96%93%E9%99%90%E5%AE%9A%E3%82%B3%E3%83%A9%E3%83%9C%E5%AE%9F%E6%96%BD%E4%B8%AD%EF%BC%81%E4%BB%8A%E3%81%A0%E3%81%91%E3%80%8C%E3%82%82%E3%82%8C%E3%81%AA%E3%81%8F%E5%85%A8%E5%93%A1%E3%81%AB%E3%80%8D%E2%98%855%E3%81%BE%E3%81%A7%E8%A6%9A%E9%86%92%E3%81%A7%E3%81%8D%E3%82%8B%E3%80%8E%E3%83%8F%E3%83%AD%E3%83%BC%E3%82%AD%E3%83%86%E3%82%A3%E3%80%8F%E3%82%92%E3%83%97%E3%83%AC%E3%82%BC%E3%83%B3%E3%83%88%EF%BC%81%20http%3A%2F%2Fcrashfever.com%2Finstall%20%20pic.twitter.com%2FpTX8B9Gr6r%20%23%E3%82%AF%E3%83%A9%E3%83%95%E3%82%A3</t>
    <phoneticPr fontId="5"/>
  </si>
  <si>
    <t>O0032</t>
    <phoneticPr fontId="5"/>
  </si>
  <si>
    <t>O0033</t>
  </si>
  <si>
    <t>O0033</t>
    <phoneticPr fontId="5"/>
  </si>
  <si>
    <t>O0032</t>
    <phoneticPr fontId="5"/>
  </si>
  <si>
    <t>G8002</t>
    <phoneticPr fontId="5"/>
  </si>
  <si>
    <t>G8003</t>
    <phoneticPr fontId="5"/>
  </si>
  <si>
    <t>G8003</t>
    <phoneticPr fontId="5"/>
  </si>
  <si>
    <t>2016-06-23 15:00:00</t>
    <phoneticPr fontId="5"/>
  </si>
  <si>
    <t>2016-06-30 23:59:59</t>
    <phoneticPr fontId="5"/>
  </si>
  <si>
    <t>https://game8.jp/archives/68791?utm_source=CrushFeverMission&amp;utm_medium=refferal&amp;utm_campaign=CrufMission3</t>
    <phoneticPr fontId="5"/>
  </si>
  <si>
    <t>line://msg/text/%E3%80%90%E3%81%A4%E3%81%84%E3%81%AB400%E4%B8%87%E3%83%80%E3%82%A6%E3%83%B3%E3%83%AD%E3%83%BC%E3%83%89%E7%AA%81%E7%A0%B4%EF%BC%81%E3%80%91%E3%82%AF%E3%83%A9%E3%83%83%E3%82%B7%E3%83%A5%E3%83%95%E3%82%A3%E3%83%BC%E3%83%90%E3%83%BC%E2%98%85%E8%A8%98%E5%BF%B5%E3%82%AD%E3%83%A3%E3%83%B3%E3%83%9A%E3%83%BC%E3%83%B3%E5%AE%9F%E6%96%BD%E4%B8%AD%EF%BC%81%E6%84%9F%E8%AC%9D%E3%82%92%E8%BE%BC%E3%82%81%E3%81%A6%EF%BC%81%E4%BB%8A%E3%81%A0%E3%81%91%E5%85%A8%E5%93%A1%E3%81%AB%E3%83%9D%E3%83%AA%E3%82%B4%E3%83%B3%E9%85%8D%E5%B8%83%EF%BC%86%E7%89%B9%E5%88%A5%E8%A8%98%E5%BF%B5%E3%82%AF%E3%82%A8%E3%82%B9%E3%83%88%E5%AE%9F%E6%96%BD%E4%B8%AD%EF%BC%81%E4%BB%8A%E3%81%99%E3%81%90%E3%82%A4%E3%83%B3%E3%82%B9%E3%83%88%E3%83%BC%E3%83%AB%EF%BC%81%EF%BC%81%20http%3A%2F%2Fcrashfever.com%2Finstall</t>
    <phoneticPr fontId="5"/>
  </si>
  <si>
    <t>twitter://post?message=%E3%80%90%E3%81%A4%E3%81%84%E3%81%AB400%E4%B8%87%E3%83%80%E3%82%A6%E3%83%B3%E3%83%AD%E3%83%BC%E3%83%89%E7%AA%81%E7%A0%B4%EF%BC%81%E3%80%91%E3%82%AF%E3%83%A9%E3%83%83%E3%82%B7%E3%83%A5%E3%83%95%E3%82%A3%E3%83%BC%E3%83%90%E3%83%BC%E2%98%85%E8%A8%98%E5%BF%B5%E3%82%AD%E3%83%A3%E3%83%B3%E3%83%9A%E3%83%BC%E3%83%B3%E5%AE%9F%E6%96%BD%E4%B8%AD%EF%BC%81%E6%84%9F%E8%AC%9D%E3%82%92%E8%BE%BC%E3%82%81%E3%81%A6%EF%BC%81%E4%BB%8A%E3%81%A0%E3%81%91%E5%85%A8%E5%93%A1%E3%81%AB%E3%83%9D%E3%83%AA%E3%82%B4%E3%83%B3%E9%85%8D%E5%B8%83%EF%BC%86%E7%89%B9%E5%88%A5%E8%A8%98%E5%BF%B5%E3%82%AF%E3%82%A8%E3%82%B9%E3%83%88%E5%AE%9F%E6%96%BD%E4%B8%AD%EF%BC%81%E4%BB%8A%E3%81%99%E3%81%90%E3%82%A4%E3%83%B3%E3%82%B9%E3%83%88%E3%83%BC%E3%83%AB%EF%BC%81%EF%BC%81%20http%3A%2F%2Fcrashfever.com%2Finstall%20%23%E3%82%AF%E3%83%A9%E3%83%95%E3%82%A3</t>
    <phoneticPr fontId="5"/>
  </si>
  <si>
    <t>2016-06-30 23:59:59</t>
    <phoneticPr fontId="5"/>
  </si>
  <si>
    <t>「第二回さいかわ総選挙」に投票しよう！(6/30まで)</t>
    <phoneticPr fontId="5"/>
  </si>
  <si>
    <t>1.Game8の投票ページへジャンプ！
2.ページ下部のコメント欄から投票！</t>
    <phoneticPr fontId="5"/>
  </si>
  <si>
    <t>2</t>
    <phoneticPr fontId="16"/>
  </si>
  <si>
    <t>3</t>
    <phoneticPr fontId="16"/>
  </si>
  <si>
    <t>4</t>
    <phoneticPr fontId="16"/>
  </si>
  <si>
    <t>5</t>
  </si>
  <si>
    <t>6</t>
  </si>
  <si>
    <t>WL077</t>
  </si>
  <si>
    <t>WL077</t>
    <phoneticPr fontId="5"/>
  </si>
  <si>
    <t>WL007</t>
  </si>
  <si>
    <t>WL021</t>
    <phoneticPr fontId="5"/>
  </si>
  <si>
    <t>WL036</t>
    <phoneticPr fontId="5"/>
  </si>
  <si>
    <t>WL037</t>
    <phoneticPr fontId="5"/>
  </si>
  <si>
    <t>WL041</t>
    <phoneticPr fontId="5"/>
  </si>
  <si>
    <t>WL051</t>
    <phoneticPr fontId="5"/>
  </si>
  <si>
    <t>WL061</t>
  </si>
  <si>
    <t>WM4032</t>
    <phoneticPr fontId="5"/>
  </si>
  <si>
    <t>WM4033</t>
  </si>
  <si>
    <t>WM4053</t>
    <phoneticPr fontId="5"/>
  </si>
  <si>
    <t>WM4054</t>
  </si>
  <si>
    <t>WM4054</t>
    <phoneticPr fontId="5"/>
  </si>
  <si>
    <t>WM4103</t>
  </si>
  <si>
    <t>WM4154</t>
  </si>
  <si>
    <t>WM4203</t>
  </si>
  <si>
    <t>WM4300</t>
    <phoneticPr fontId="5"/>
  </si>
  <si>
    <t>WM4301</t>
    <phoneticPr fontId="5"/>
  </si>
  <si>
    <t>WM4400</t>
    <phoneticPr fontId="5"/>
  </si>
  <si>
    <t>40</t>
    <phoneticPr fontId="16"/>
  </si>
  <si>
    <t>20</t>
    <phoneticPr fontId="16"/>
  </si>
  <si>
    <t>15</t>
    <phoneticPr fontId="16"/>
  </si>
  <si>
    <t>10</t>
    <phoneticPr fontId="16"/>
  </si>
  <si>
    <t>5</t>
    <phoneticPr fontId="16"/>
  </si>
  <si>
    <t>WC4033</t>
  </si>
  <si>
    <t>WC4054</t>
  </si>
  <si>
    <t>WC4103</t>
  </si>
  <si>
    <t>WC4154</t>
  </si>
  <si>
    <t>WC4203</t>
  </si>
  <si>
    <t>WC4301</t>
    <phoneticPr fontId="5"/>
  </si>
  <si>
    <t>WC4400</t>
    <phoneticPr fontId="5"/>
  </si>
  <si>
    <t>3</t>
    <phoneticPr fontId="16"/>
  </si>
  <si>
    <t>15</t>
    <phoneticPr fontId="16"/>
  </si>
  <si>
    <t>20</t>
    <phoneticPr fontId="16"/>
  </si>
  <si>
    <t>40</t>
    <phoneticPr fontId="16"/>
  </si>
  <si>
    <t>WB100</t>
    <phoneticPr fontId="5"/>
  </si>
  <si>
    <t>WB200</t>
    <phoneticPr fontId="5"/>
  </si>
  <si>
    <t>WB400</t>
  </si>
  <si>
    <t>WC4301</t>
    <phoneticPr fontId="5"/>
  </si>
  <si>
    <t>WC4400</t>
    <phoneticPr fontId="5"/>
  </si>
  <si>
    <t>WM4301</t>
    <phoneticPr fontId="5"/>
  </si>
  <si>
    <t>WM4400</t>
    <phoneticPr fontId="5"/>
  </si>
  <si>
    <t>WL007</t>
    <phoneticPr fontId="5"/>
  </si>
  <si>
    <t>WL021</t>
    <phoneticPr fontId="5"/>
  </si>
  <si>
    <t>WL036</t>
    <phoneticPr fontId="5"/>
  </si>
  <si>
    <t>WL031</t>
    <phoneticPr fontId="5"/>
  </si>
  <si>
    <t>WL041</t>
    <phoneticPr fontId="5"/>
  </si>
  <si>
    <t>週間ミッション強化</t>
    <phoneticPr fontId="5"/>
  </si>
  <si>
    <t>WB100</t>
    <phoneticPr fontId="5"/>
  </si>
  <si>
    <t>WB200</t>
    <phoneticPr fontId="5"/>
  </si>
  <si>
    <t>WB300</t>
    <phoneticPr fontId="5"/>
  </si>
  <si>
    <t>WB400</t>
    <phoneticPr fontId="5"/>
  </si>
  <si>
    <t>WP004</t>
    <phoneticPr fontId="5"/>
  </si>
  <si>
    <t>WP001</t>
    <phoneticPr fontId="5"/>
  </si>
  <si>
    <t>WP004</t>
    <phoneticPr fontId="5"/>
  </si>
  <si>
    <t>WU8372</t>
    <phoneticPr fontId="5"/>
  </si>
  <si>
    <t>WU6121</t>
    <phoneticPr fontId="5"/>
  </si>
  <si>
    <t>WU6131</t>
    <phoneticPr fontId="5"/>
  </si>
  <si>
    <t>WU6131</t>
    <phoneticPr fontId="5"/>
  </si>
  <si>
    <t>WU6131</t>
    <phoneticPr fontId="5"/>
  </si>
  <si>
    <t>WU6111</t>
    <phoneticPr fontId="5"/>
  </si>
  <si>
    <t>WU6111</t>
    <phoneticPr fontId="5"/>
  </si>
  <si>
    <t>WU6111</t>
    <phoneticPr fontId="5"/>
  </si>
  <si>
    <t>WU6101</t>
    <phoneticPr fontId="5"/>
  </si>
  <si>
    <t>WU6141</t>
    <phoneticPr fontId="5"/>
  </si>
  <si>
    <t>WU3431</t>
    <phoneticPr fontId="5"/>
  </si>
  <si>
    <t>WU3431</t>
    <phoneticPr fontId="5"/>
  </si>
  <si>
    <t>WU3351</t>
    <phoneticPr fontId="5"/>
  </si>
  <si>
    <t>WU3351</t>
    <phoneticPr fontId="5"/>
  </si>
  <si>
    <t>WU3471</t>
    <phoneticPr fontId="5"/>
  </si>
  <si>
    <t>WU3471</t>
    <phoneticPr fontId="5"/>
  </si>
  <si>
    <t>WU3391</t>
    <phoneticPr fontId="5"/>
  </si>
  <si>
    <t>WU3391</t>
    <phoneticPr fontId="5"/>
  </si>
  <si>
    <t>WU6101</t>
    <phoneticPr fontId="5"/>
  </si>
  <si>
    <t>WU6141</t>
    <phoneticPr fontId="5"/>
  </si>
  <si>
    <t>WP004</t>
    <phoneticPr fontId="5"/>
  </si>
  <si>
    <t>Q9032</t>
  </si>
  <si>
    <t>Q9033</t>
  </si>
  <si>
    <t>Q9034</t>
  </si>
  <si>
    <t>Q9035</t>
  </si>
  <si>
    <t>U10431</t>
  </si>
  <si>
    <t>U10431</t>
    <phoneticPr fontId="5"/>
  </si>
  <si>
    <t>2016-07-16 14:59:59</t>
    <phoneticPr fontId="5"/>
  </si>
  <si>
    <t>specific_unit_aquired_count</t>
    <phoneticPr fontId="5"/>
  </si>
  <si>
    <t>1043</t>
    <phoneticPr fontId="5"/>
  </si>
  <si>
    <t>ユニット【彦星】を 1 体ゲットしよう！</t>
    <phoneticPr fontId="5"/>
  </si>
  <si>
    <t>ユニット 【x】 を y 体ゲットしよう！</t>
    <phoneticPr fontId="5"/>
  </si>
  <si>
    <t>ユニット【彦星】を 10 体ゲットしよう！</t>
    <phoneticPr fontId="5"/>
  </si>
  <si>
    <t>ユニット【彦星】を 25 体ゲットしよう！</t>
    <phoneticPr fontId="5"/>
  </si>
  <si>
    <t>ユニット【彦星】を 50 体ゲットしよう！</t>
    <phoneticPr fontId="5"/>
  </si>
  <si>
    <t>9027</t>
    <phoneticPr fontId="5"/>
  </si>
  <si>
    <t>2016-07-06 15:00:00</t>
    <phoneticPr fontId="5"/>
  </si>
  <si>
    <t>9028</t>
    <phoneticPr fontId="5"/>
  </si>
  <si>
    <t>9029</t>
    <phoneticPr fontId="5"/>
  </si>
  <si>
    <t>2016-07-06 15:00:00</t>
    <phoneticPr fontId="5"/>
  </si>
  <si>
    <t>U08371</t>
    <phoneticPr fontId="5"/>
  </si>
  <si>
    <t>2016-08-13 14:59:59</t>
    <phoneticPr fontId="5"/>
  </si>
  <si>
    <t>Q1001</t>
    <phoneticPr fontId="5"/>
  </si>
  <si>
    <t>11226-6</t>
    <phoneticPr fontId="5"/>
  </si>
  <si>
    <t>CQ0023</t>
    <phoneticPr fontId="5"/>
  </si>
  <si>
    <t>Q1001</t>
    <phoneticPr fontId="5"/>
  </si>
  <si>
    <t>O0034</t>
  </si>
  <si>
    <t>O0035</t>
  </si>
  <si>
    <t>2016-07-06 15:00:00</t>
    <phoneticPr fontId="5"/>
  </si>
  <si>
    <t>O0034</t>
    <phoneticPr fontId="5"/>
  </si>
  <si>
    <t>O0035</t>
    <phoneticPr fontId="5"/>
  </si>
  <si>
    <t>クラフィ1周年をTwitterでツイートしよう！</t>
    <rPh sb="7" eb="8">
      <t>トッp</t>
    </rPh>
    <phoneticPr fontId="5"/>
  </si>
  <si>
    <t>G8004</t>
  </si>
  <si>
    <t>G8004</t>
    <phoneticPr fontId="5"/>
  </si>
  <si>
    <t>https://game8.jp/archives/73849?utm_source=CrushFeverMission&amp;utm_medium=refferal&amp;utm_campaign=CrufMission4</t>
    <phoneticPr fontId="5"/>
  </si>
  <si>
    <t>2016-07-08 00:00:00</t>
    <phoneticPr fontId="5"/>
  </si>
  <si>
    <t>「★6覚醒実装して欲しいユニットは？」に投票しよう！(7/14まで)</t>
    <phoneticPr fontId="5"/>
  </si>
  <si>
    <t>クラフィ1周年をLINEで友だちに教えてあげよう！</t>
    <rPh sb="13" eb="14">
      <t>トm</t>
    </rPh>
    <rPh sb="17" eb="24">
      <t>オシ</t>
    </rPh>
    <phoneticPr fontId="5"/>
  </si>
  <si>
    <t>1.Game8の投票ページへジャンプ！
2.ページ下部のコメント欄より投票！</t>
    <phoneticPr fontId="5"/>
  </si>
  <si>
    <t>G8005</t>
    <phoneticPr fontId="5"/>
  </si>
  <si>
    <t>「ゼウス襲来！」 攻略動画を観よう！</t>
    <phoneticPr fontId="5"/>
  </si>
  <si>
    <t>https://game8.jp/archives/71145?utm_source=CrushFeverMission&amp;utm_medium=refferal&amp;utm_campaign=CrufMission5#hl_5</t>
    <phoneticPr fontId="5"/>
  </si>
  <si>
    <t>G8005</t>
    <phoneticPr fontId="5"/>
  </si>
  <si>
    <t>2016-07-14 23:59:59</t>
    <phoneticPr fontId="5"/>
  </si>
  <si>
    <t>2016-07-10 00:00:00</t>
    <phoneticPr fontId="5"/>
  </si>
  <si>
    <t>2016-07-23 23:59:59</t>
    <phoneticPr fontId="5"/>
  </si>
  <si>
    <t>9034</t>
    <phoneticPr fontId="5"/>
  </si>
  <si>
    <t>9035</t>
    <phoneticPr fontId="5"/>
  </si>
  <si>
    <t>9036</t>
    <phoneticPr fontId="5"/>
  </si>
  <si>
    <t>1053</t>
    <phoneticPr fontId="5"/>
  </si>
  <si>
    <t>U10531</t>
    <phoneticPr fontId="5"/>
  </si>
  <si>
    <t>Q9035</t>
    <phoneticPr fontId="5"/>
  </si>
  <si>
    <t>Q9036</t>
    <phoneticPr fontId="5"/>
  </si>
  <si>
    <t>Q9037</t>
    <phoneticPr fontId="5"/>
  </si>
  <si>
    <t>Q9038</t>
    <phoneticPr fontId="5"/>
  </si>
  <si>
    <t>Q9039</t>
    <phoneticPr fontId="5"/>
  </si>
  <si>
    <t>【常夏の眩獣 麒麟】を 1体ゲットしよう！</t>
    <phoneticPr fontId="5"/>
  </si>
  <si>
    <t>【常夏の眩獣 麒麟】を 10体ゲットしよう！</t>
    <phoneticPr fontId="5"/>
  </si>
  <si>
    <t>【常夏の眩獣 麒麟】を 25体ゲットしよう！</t>
    <phoneticPr fontId="5"/>
  </si>
  <si>
    <t>【常夏の眩獣 麒麟】を 50体ゲットしよう！</t>
    <phoneticPr fontId="5"/>
  </si>
  <si>
    <t>シリーズ5-1</t>
    <phoneticPr fontId="5"/>
  </si>
  <si>
    <t>シリーズ5-2</t>
    <phoneticPr fontId="5"/>
  </si>
  <si>
    <t>シリーズ5-3</t>
    <phoneticPr fontId="5"/>
  </si>
  <si>
    <t>WQ4002</t>
    <phoneticPr fontId="5"/>
  </si>
  <si>
    <t>12001-3</t>
    <phoneticPr fontId="5"/>
  </si>
  <si>
    <t>ゲリラクエスト：【超級】メタルダックを捕獲せよ！をクリアしよう！</t>
    <phoneticPr fontId="5"/>
  </si>
  <si>
    <t>土日限定クエスト：【上級】ゴールドカジノ をクリアしよう！</t>
    <rPh sb="0" eb="4">
      <t>ドニチゲンテイ</t>
    </rPh>
    <phoneticPr fontId="5"/>
  </si>
  <si>
    <t>WB100</t>
    <phoneticPr fontId="5"/>
  </si>
  <si>
    <t>RA0025</t>
    <phoneticPr fontId="5"/>
  </si>
  <si>
    <t>RA0050</t>
    <phoneticPr fontId="5"/>
  </si>
  <si>
    <t>RA0075</t>
    <phoneticPr fontId="5"/>
  </si>
  <si>
    <t>RA0100</t>
    <phoneticPr fontId="5"/>
  </si>
  <si>
    <t>RA0125</t>
    <phoneticPr fontId="5"/>
  </si>
  <si>
    <t>RA0150</t>
    <phoneticPr fontId="5"/>
  </si>
  <si>
    <t>RA0175</t>
    <phoneticPr fontId="5"/>
  </si>
  <si>
    <t>RA0200</t>
    <phoneticPr fontId="5"/>
  </si>
  <si>
    <t>RA0225</t>
    <phoneticPr fontId="5"/>
  </si>
  <si>
    <t>RA0250</t>
    <phoneticPr fontId="5"/>
  </si>
  <si>
    <t>P0010</t>
    <phoneticPr fontId="5"/>
  </si>
  <si>
    <t>RA0275</t>
    <phoneticPr fontId="5"/>
  </si>
  <si>
    <t>RA0300</t>
    <phoneticPr fontId="5"/>
  </si>
  <si>
    <t>RA0325</t>
    <phoneticPr fontId="5"/>
  </si>
  <si>
    <t>RA0350</t>
    <phoneticPr fontId="5"/>
  </si>
  <si>
    <t>RA0025</t>
    <phoneticPr fontId="5"/>
  </si>
  <si>
    <t>RA0050</t>
    <phoneticPr fontId="5"/>
  </si>
  <si>
    <t>RA0125</t>
    <phoneticPr fontId="5"/>
  </si>
  <si>
    <t>RA0175</t>
    <phoneticPr fontId="5"/>
  </si>
  <si>
    <t>RA0225</t>
    <phoneticPr fontId="5"/>
  </si>
  <si>
    <t>RA0250</t>
    <phoneticPr fontId="5"/>
  </si>
  <si>
    <t>RA0275</t>
    <phoneticPr fontId="5"/>
  </si>
  <si>
    <t>RA0300</t>
    <phoneticPr fontId="5"/>
  </si>
  <si>
    <t>RA0325</t>
    <phoneticPr fontId="5"/>
  </si>
  <si>
    <t>RA0350</t>
    <phoneticPr fontId="5"/>
  </si>
  <si>
    <t>１周年ランクミッション（8/5まで）
プレイヤーランクを50まで上げよう！</t>
    <rPh sb="32" eb="33">
      <t>アゲヨウ</t>
    </rPh>
    <phoneticPr fontId="5"/>
  </si>
  <si>
    <t>１周年ランクミッション（8/5まで）
プレイヤーランクを75まで上げよう！</t>
    <rPh sb="32" eb="33">
      <t>アゲヨウ</t>
    </rPh>
    <phoneticPr fontId="5"/>
  </si>
  <si>
    <t>１周年ランクミッション（8/5まで）
プレイヤーランクを100まで上げよう！</t>
    <rPh sb="33" eb="34">
      <t>アゲヨウ</t>
    </rPh>
    <phoneticPr fontId="5"/>
  </si>
  <si>
    <t>１周年ランクミッション（8/5まで）
プレイヤーランクを125まで上げよう！</t>
    <rPh sb="33" eb="34">
      <t>アゲヨウ</t>
    </rPh>
    <phoneticPr fontId="5"/>
  </si>
  <si>
    <t>１周年ランクミッション（8/5まで）
プレイヤーランクを150まで上げよう！</t>
    <rPh sb="33" eb="34">
      <t>アゲヨウ</t>
    </rPh>
    <phoneticPr fontId="5"/>
  </si>
  <si>
    <t>１周年ランクミッション（8/5まで）
プレイヤーランクを175まで上げよう！</t>
    <rPh sb="33" eb="34">
      <t>アゲヨウ</t>
    </rPh>
    <phoneticPr fontId="5"/>
  </si>
  <si>
    <t>１周年ランクミッション（8/5まで）
プレイヤーランクを200まで上げよう！</t>
    <rPh sb="33" eb="34">
      <t>アゲヨウ</t>
    </rPh>
    <phoneticPr fontId="5"/>
  </si>
  <si>
    <t>１周年ランクミッション（8/5まで）
プレイヤーランクを300まで上げよう！</t>
    <rPh sb="33" eb="34">
      <t>アゲヨウ</t>
    </rPh>
    <phoneticPr fontId="5"/>
  </si>
  <si>
    <t>１周年ランクミッション（8/5まで）
プレイヤーランクを350まで上げよう！</t>
    <rPh sb="33" eb="34">
      <t>アゲヨウ</t>
    </rPh>
    <phoneticPr fontId="5"/>
  </si>
  <si>
    <t>１周年ランクミッション（8/5まで）
プレイヤーランクを325まで上げよう！</t>
    <rPh sb="33" eb="34">
      <t>アゲヨウ</t>
    </rPh>
    <phoneticPr fontId="5"/>
  </si>
  <si>
    <t>１周年ランクミッション（8/5まで）
プレイヤーランクを275まで上げよう！</t>
    <rPh sb="33" eb="34">
      <t>アゲヨウ</t>
    </rPh>
    <phoneticPr fontId="5"/>
  </si>
  <si>
    <t>１周年ランクミッション（8/5まで）
プレイヤーランクを250まで上げよう！</t>
    <rPh sb="33" eb="34">
      <t>アゲヨウ</t>
    </rPh>
    <phoneticPr fontId="5"/>
  </si>
  <si>
    <t>１周年ランクミッション（8/5まで）
プレイヤーランクを225まで上げよう！</t>
    <rPh sb="33" eb="34">
      <t>アゲヨウ</t>
    </rPh>
    <phoneticPr fontId="5"/>
  </si>
  <si>
    <t>１周年ランクミッション（8/5まで）
プレイヤーランクを25まで上げよう！</t>
    <rPh sb="32" eb="33">
      <t>アゲヨウ</t>
    </rPh>
    <phoneticPr fontId="5"/>
  </si>
  <si>
    <t>2016-08-05 23:59:59</t>
    <phoneticPr fontId="5"/>
  </si>
  <si>
    <t>2016-07-22 15:45:00</t>
    <phoneticPr fontId="5"/>
  </si>
  <si>
    <t>2016-07-30 22:30:00</t>
    <phoneticPr fontId="5"/>
  </si>
  <si>
    <t>2016-07-30 22:30:00</t>
    <phoneticPr fontId="5"/>
  </si>
  <si>
    <t>CQ0023</t>
    <phoneticPr fontId="5"/>
  </si>
  <si>
    <t>CQ0024</t>
    <phoneticPr fontId="5"/>
  </si>
  <si>
    <t>CQ0025</t>
    <phoneticPr fontId="5"/>
  </si>
  <si>
    <t>CQ0026</t>
  </si>
  <si>
    <t>CQ0026</t>
    <phoneticPr fontId="5"/>
  </si>
  <si>
    <t>CQ0027</t>
  </si>
  <si>
    <t>CQ0027</t>
    <phoneticPr fontId="5"/>
  </si>
  <si>
    <t>39006-1</t>
    <phoneticPr fontId="5"/>
  </si>
  <si>
    <t>39006-2</t>
    <phoneticPr fontId="5"/>
  </si>
  <si>
    <t>39006-3</t>
    <phoneticPr fontId="5"/>
  </si>
  <si>
    <t>39006-4</t>
    <phoneticPr fontId="5"/>
  </si>
  <si>
    <t>CQ0024</t>
    <phoneticPr fontId="5"/>
  </si>
  <si>
    <t>CQ0025</t>
    <phoneticPr fontId="5"/>
  </si>
  <si>
    <t>U01251</t>
    <phoneticPr fontId="5"/>
  </si>
  <si>
    <t>CQ0028</t>
    <phoneticPr fontId="5"/>
  </si>
  <si>
    <t>CQ0029</t>
    <phoneticPr fontId="5"/>
  </si>
  <si>
    <t>CQ0028</t>
    <phoneticPr fontId="5"/>
  </si>
  <si>
    <t>49006-1</t>
    <phoneticPr fontId="5"/>
  </si>
  <si>
    <t>twitter://post?message=%E3%80%901%E5%91%A8%E5%B9%B4%E6%84%9F%E8%AC%9D%E7%A5%AD%EF%BC%81%E3%80%91%E3%82%AF%E3%83%A9%E3%83%83%E3%82%B7%E3%83%A5%E3%83%95%E3%82%A3%E3%83%BC%E3%83%90%E3%83%BC%E2%98%86%E6%BF%80%E3%82%A2%E3%83%84%E8%A8%98%E5%BF%B5%E3%82%AD%E3%83%A3%E3%83%B3%E3%83%9A%E3%83%BC%E3%83%B3%E4%B8%AD%EF%BC%81%E4%BB%8A%E3%81%A0%E3%81%91%E3%83%9D%E3%83%AA%E3%82%B4%E3%83%B3%E5%A4%A7%E9%87%8F%E9%85%8D%E5%B8%83%EF%BC%86%E7%89%B9%E5%88%A5%E8%A8%98%E5%BF%B5%E3%82%AF%E3%82%A8%E3%82%B9%E3%83%88%E5%AE%9F%E6%96%BD%E4%B8%AD%EF%BC%81%EF%BC%81%E3%80%90%E3%82%AF%E3%83%A9%E3%83%95%E3%82%A3%E3%81%AE%E5%A4%8F%E3%80%91crashfever.com%2Finstall%20%23%E3%82%AF%E3%83%A9%E3%83%95%E3%82%A3</t>
    <phoneticPr fontId="5"/>
  </si>
  <si>
    <t>line://msg/text/%E3%80%901%E5%91%A8%E5%B9%B4%E6%84%9F%E8%AC%9D%E7%A5%AD%EF%BC%81%E3%80%91%E3%82%AF%E3%83%A9%E3%83%83%E3%82%B7%E3%83%A5%E3%83%95%E3%82%A3%E3%83%BC%E3%83%90%E3%83%BC%E2%98%86%E6%BF%80%E3%82%A2%E3%83%84%E8%A8%98%E5%BF%B5%E3%82%AD%E3%83%A3%E3%83%B3%E3%83%9A%E3%83%BC%E3%83%B3%E4%B8%AD%EF%BC%81%E4%BB%8A%E3%81%A0%E3%81%91%E3%83%9D%E3%83%AA%E3%82%B4%E3%83%B3%E5%A4%A7%E9%87%8F%E9%85%8D%E5%B8%83%EF%BC%86%E7%89%B9%E5%88%A5%E8%A8%98%E5%BF%B5%E3%82%AF%E3%82%A8%E3%82%B9%E3%83%88%E5%AE%9F%E6%96%BD%E4%B8%AD%EF%BC%81%EF%BC%81%E3%80%90%E3%82%AF%E3%83%A9%E3%83%95%E3%82%A3%E3%81%AE%E5%A4%8F%E3%80%91crashfever.com%2Finstall</t>
    <phoneticPr fontId="5"/>
  </si>
  <si>
    <t>49006-2</t>
    <phoneticPr fontId="5"/>
  </si>
  <si>
    <t>2016-08-24 23:59:59</t>
    <phoneticPr fontId="5"/>
  </si>
  <si>
    <t>O0036</t>
    <phoneticPr fontId="5"/>
  </si>
  <si>
    <t>O0037</t>
    <phoneticPr fontId="5"/>
  </si>
  <si>
    <t>2016-08-10 00:00:00</t>
    <phoneticPr fontId="5"/>
  </si>
  <si>
    <t>進撃の巨人コラボをTwitterでツイートしよう！</t>
    <rPh sb="8" eb="9">
      <t>トッp</t>
    </rPh>
    <phoneticPr fontId="5"/>
  </si>
  <si>
    <t>進撃の巨人コラボをLINEで友だちに教えてあげよう！</t>
    <rPh sb="14" eb="15">
      <t>トm</t>
    </rPh>
    <rPh sb="18" eb="25">
      <t>オシ</t>
    </rPh>
    <phoneticPr fontId="5"/>
  </si>
  <si>
    <t>twitter://post?message=%E3%80%90%E3%82%AF%E3%83%A9%E3%83%83%E3%82%B7%E3%83%A5%E3%83%95%E3%82%A3%E3%83%BC%E3%83%90%E3%83%BC%C3%97%E9%80%B2%E6%92%83%E3%81%AE%E5%B7%A8%E4%BA%BA%E3%80%91%E6%9C%9F%E9%96%93%E9%99%90%E5%AE%9A%E3%82%B3%E3%83%A9%E3%83%9C%E5%AE%9F%E6%96%BD%E4%B8%AD%EF%BC%81%E4%BB%8A%E3%81%A0%E3%81%91%E5%85%A8%E5%93%A1%E3%81%AB%E3%80%8E%E3%83%AA%E3%83%B4%E3%82%A1%E3%82%A4%20%E3%81%8A%E6%8E%83%E9%99%A4ver%E3%80%8F%E3%82%92%E3%83%97%E3%83%AC%E3%82%BC%E3%83%B3%E3%83%88%EF%BC%86%E6%AF%8E%E6%97%A5%E3%83%9D%E3%83%AA%E3%82%B4%E3%83%B3%E9%85%8D%E5%B8%83%E4%B8%AD%EF%BC%81%E5%B7%A8%E4%BA%BA%E3%82%92%E9%A7%86%E9%80%90%E3%81%97%E3%82%88%E3%81%86%EF%BC%81%E3%81%9D%E3%81%AE%E6%8C%87%E5%85%88%E3%81%AB%E5%AD%98%E5%9C%A8-ID-%E3%82%92%E3%81%8B%E3%81%91%E3%81%A6%20http%3A%2F%2Fcrashfever.com%2Finstall%20%23shingeki%20%23%E3%82%AF%E3%83%A9%E3%83%95%E3%82%A3</t>
    <phoneticPr fontId="5"/>
  </si>
  <si>
    <t>O0036</t>
    <phoneticPr fontId="5"/>
  </si>
  <si>
    <t>2016-08-10 00:00:00</t>
    <phoneticPr fontId="5"/>
  </si>
  <si>
    <t>2016-08-10 00:00:00</t>
    <phoneticPr fontId="5"/>
  </si>
  <si>
    <t>follow_completed</t>
    <phoneticPr fontId="5"/>
  </si>
  <si>
    <t>O0037</t>
    <phoneticPr fontId="5"/>
  </si>
  <si>
    <t>O0038</t>
    <phoneticPr fontId="5"/>
  </si>
  <si>
    <t>unconditional_completed</t>
    <phoneticPr fontId="5"/>
  </si>
  <si>
    <t>公式ラインアカウントと友達になろう！</t>
    <phoneticPr fontId="5"/>
  </si>
  <si>
    <t>memo</t>
    <phoneticPr fontId="5"/>
  </si>
  <si>
    <t>RA1005</t>
    <phoneticPr fontId="5"/>
  </si>
  <si>
    <t>RA1010</t>
    <phoneticPr fontId="5"/>
  </si>
  <si>
    <t>RA1015</t>
    <phoneticPr fontId="5"/>
  </si>
  <si>
    <t>RA1020</t>
    <phoneticPr fontId="5"/>
  </si>
  <si>
    <t>RA1025</t>
    <phoneticPr fontId="5"/>
  </si>
  <si>
    <t>RA1030</t>
    <phoneticPr fontId="5"/>
  </si>
  <si>
    <t>RA1040</t>
    <phoneticPr fontId="5"/>
  </si>
  <si>
    <t>RA1050</t>
    <phoneticPr fontId="5"/>
  </si>
  <si>
    <t>RA1075</t>
    <phoneticPr fontId="5"/>
  </si>
  <si>
    <t>RA1100</t>
    <phoneticPr fontId="5"/>
  </si>
  <si>
    <t>RA1125</t>
    <phoneticPr fontId="5"/>
  </si>
  <si>
    <t>RA1150</t>
    <phoneticPr fontId="5"/>
  </si>
  <si>
    <t>RA1175</t>
    <phoneticPr fontId="5"/>
  </si>
  <si>
    <t>RA1200</t>
    <phoneticPr fontId="5"/>
  </si>
  <si>
    <t>RA1250</t>
    <phoneticPr fontId="5"/>
  </si>
  <si>
    <t>RA1300</t>
    <phoneticPr fontId="5"/>
  </si>
  <si>
    <t>RA1350</t>
    <phoneticPr fontId="5"/>
  </si>
  <si>
    <t>RA1400</t>
    <phoneticPr fontId="5"/>
  </si>
  <si>
    <t>TVCMランクミッション
プレイヤーランクを5まで上げよう！</t>
    <rPh sb="25" eb="26">
      <t>アゲヨウ</t>
    </rPh>
    <phoneticPr fontId="5"/>
  </si>
  <si>
    <t>TVCMランクミッション
プレイヤーランクを10まで上げよう！</t>
    <rPh sb="26" eb="27">
      <t>アゲヨウ</t>
    </rPh>
    <phoneticPr fontId="5"/>
  </si>
  <si>
    <t>P0005</t>
    <phoneticPr fontId="5"/>
  </si>
  <si>
    <t>8/26(金) 15:00 ～ 9/11(日) 23:59</t>
  </si>
  <si>
    <t>2016-08-26 15:00:00</t>
    <phoneticPr fontId="5"/>
  </si>
  <si>
    <t>2016-09-11 14:59:59</t>
    <phoneticPr fontId="5"/>
  </si>
  <si>
    <t>P0010</t>
    <phoneticPr fontId="5"/>
  </si>
  <si>
    <t>TVCM「帰り道の期待感」篇を観よう！</t>
    <phoneticPr fontId="5"/>
  </si>
  <si>
    <t>TVCM「渡り廊下の期待感」篇を観よう！</t>
    <phoneticPr fontId="5"/>
  </si>
  <si>
    <t>TVCM「世界観」篇を観よう！</t>
    <phoneticPr fontId="5"/>
  </si>
  <si>
    <t>O0039</t>
    <phoneticPr fontId="5"/>
  </si>
  <si>
    <t>O0040</t>
    <phoneticPr fontId="5"/>
  </si>
  <si>
    <t>O0041</t>
    <phoneticPr fontId="5"/>
  </si>
  <si>
    <t>2016-08-10 00:00:00</t>
    <phoneticPr fontId="5"/>
  </si>
  <si>
    <t>2016-08-27 00:00:00</t>
    <phoneticPr fontId="5"/>
  </si>
  <si>
    <t>https://youtu.be/kZ5t443J25g</t>
  </si>
  <si>
    <t>https://youtu.be/yd_u9p2ncU8</t>
  </si>
  <si>
    <t>https://youtu.be/At2-WmN90xk</t>
  </si>
  <si>
    <t>O0039</t>
    <phoneticPr fontId="5"/>
  </si>
  <si>
    <t>O0040</t>
    <phoneticPr fontId="5"/>
  </si>
  <si>
    <t>CQ0029</t>
    <phoneticPr fontId="5"/>
  </si>
  <si>
    <t>CQ0030</t>
    <phoneticPr fontId="5"/>
  </si>
  <si>
    <t>2016-09-11 14:59:59</t>
    <phoneticPr fontId="5"/>
  </si>
  <si>
    <t>O0042</t>
    <phoneticPr fontId="5"/>
  </si>
  <si>
    <t>O0045</t>
    <phoneticPr fontId="5"/>
  </si>
  <si>
    <t>O0043</t>
    <phoneticPr fontId="5"/>
  </si>
  <si>
    <t>O0045</t>
    <phoneticPr fontId="5"/>
  </si>
  <si>
    <t>TVCMキャンペーンをLINEで友達に教えよう！</t>
  </si>
  <si>
    <t>LINEスタンプをチェックしよう！</t>
  </si>
  <si>
    <t>LINEスタンプをチェックしよう！</t>
    <phoneticPr fontId="5"/>
  </si>
  <si>
    <t>http://line.me/S/sticker/1311929</t>
  </si>
  <si>
    <t>TVCMキャンペーンをTwitterでツイートしよう！</t>
  </si>
  <si>
    <t>11227-2</t>
    <phoneticPr fontId="5"/>
  </si>
  <si>
    <t>https://line.me/R/ti/p/%40crashfever</t>
    <phoneticPr fontId="5"/>
  </si>
  <si>
    <t>公式LINEアカウントと友達になろう！</t>
    <phoneticPr fontId="5"/>
  </si>
  <si>
    <t>line://msg/text/%E3%83%86%E3%83%AC%E3%83%93CM%E5%85%A8%E5%9B%BD%E6%94%BE%E9%80%81%E8%A8%98%E5%BF%B5%E3%82%AD%E3%83%A3%E3%83%B3%E3%83%9A%E3%83%BC%E3%83%B3%E4%B8%AD%EF%BC%81%0D%0A%E4%BB%8A%E3%80%81%E6%9C%80%E5%BC%B7%E3%81%AE%E3%83%96%E3%83%83%E5%A3%8A%E3%81%97%E3%82%B2%E3%83%BC%E3%83%A0%E2%98%85%E3%82%AF%E3%83%A9%E3%83%83%E3%82%B7%E3%83%A5%E3%83%95%E3%82%A3%E3%83%BC%E3%83%90%E3%83%BC%E3%81%8C%E8%B6%85%E3%82%A2%E3%83%84%E3%82%A4%EF%BC%81%0D%0A%E4%BB%8A%E3%81%AA%E3%82%89%E5%85%A8%E5%93%A1%E3%81%AB%E3%83%9D%E3%83%AA%E3%82%B4%E3%83%B3%E5%A4%A7%E9%87%8F%E9%85%8D%E5%B8%83%EF%BC%86%E3%81%8A%E9%A6%B4%E6%9F%93%E3%81%BF%22%E3%82%A6%E3%82%B6%E3%83%AA%E3%83%BC%E3%83%9E%E3%83%B3%22%E8%A5%B2%E6%9D%A5%E3%82%AF%E3%82%A8%E3%82%B9%E3%83%88%E3%82%82%E9%96%8B%E5%82%AC%EF%BC%81%EF%BC%81%0D%0A%E4%B8%80%E7%B7%92%E3%81%AB%E3%83%97%E3%83%AC%E3%82%A4%E3%81%97%E3%82%88%E3%81%86%EF%BC%81%EF%BC%81%EF%BC%81%E3%83%96%E3%83%83%E5%BF%AB%E6%84%9F%E3%83%BC%E2%99%AA%0D%0Ahttp%3A%2F%2Fcrashfever.com%2Finstall</t>
    <phoneticPr fontId="5"/>
  </si>
  <si>
    <t>line://msg/text/%E3%80%90%E5%85%A8%E5%9B%BDTVCM%E8%A8%98%E5%BF%B5%E2%98%85%E8%B6%85%E3%83%95%E3%82%A7%E3%82%B9%E9%96%8B%E5%82%AC%E4%B8%AD%E3%80%91%E3%82%AF%E3%83%A9%E3%83%83%E3%82%B7%E3%83%A5%E3%83%95%E3%82%A3%E3%83%BC%E3%83%90%E3%83%BC%E3%81%8C%E8%AA%87%E3%82%8B%E8%B6%85%E5%A4%A7%E4%BA%BA%E6%B0%97%E3%83%95%E3%82%A7%E3%82%B9%E9%99%90%E5%AE%9A%E6%9C%80%E5%BC%B7%E3%83%A6%E3%83%8B%E3%83%83%E3%83%88%E9%81%94%E3%81%8C%E4%B8%80%E5%90%8C%E3%81%AB%E5%8B%A2%E6%8F%83%E3%81%84%21%21%E3%80%8A%E3%82%AF%E3%83%A9%E3%83%95%E3%82%A3%E5%8F%B2%E4%B8%8A%E6%9C%80%E9%AB%98%E3%81%AE%E9%99%90%E5%AE%9A%E3%83%95%E3%82%A7%E3%82%B9%E3%80%8B%E3%82%92%E7%B5%B6%E5%AF%BE%E3%81%AB%E8%A6%8B%E9%80%83%E3%81%99%E3%81%AA%21%21%E3%80%90%E3%83%96%E3%83%83%E5%BF%AB%E6%84%9F%E3%83%BC%E2%99%AA%E3%80%91%20http%3A%2F%2Fcrashfever.com%2Finstall</t>
    <phoneticPr fontId="5"/>
  </si>
  <si>
    <t>twitter://post?message=%E3%80%90%E5%85%A8%E5%9B%BDTVCM%E8%A8%98%E5%BF%B5%E2%98%85%E8%B6%85%E3%83%95%E3%82%A7%E3%82%B9%E9%96%8B%E5%82%AC%E4%B8%AD%E3%80%91%E3%82%AF%E3%83%A9%E3%83%83%E3%82%B7%E3%83%A5%E3%83%95%E3%82%A3%E3%83%BC%E3%83%90%E3%83%BC%E3%81%8C%E8%AA%87%E3%82%8B%E8%B6%85%E5%A4%A7%E4%BA%BA%E6%B0%97%E3%83%95%E3%82%A7%E3%82%B9%E9%99%90%E5%AE%9A%E6%9C%80%E5%BC%B7%E3%83%A6%E3%83%8B%E3%83%83%E3%83%88%E9%81%94%E3%81%8C%E4%B8%80%E5%90%8C%E3%81%AB%E5%8B%A2%E6%8F%83%E3%81%84%21%21%E3%80%8A%E3%82%AF%E3%83%A9%E3%83%95%E3%82%A3%E5%8F%B2%E4%B8%8A%E6%9C%80%E9%AB%98%E3%81%AE%E9%99%90%E5%AE%9A%E3%83%95%E3%82%A7%E3%82%B9%E3%80%8B%E3%82%92%E7%B5%B6%E5%AF%BE%E3%81%AB%E8%A6%8B%E9%80%83%E3%81%99%E3%81%AA%21%21%E3%80%90%E3%83%96%E3%83%83%E5%BF%AB%E6%84%9F%E3%83%BC%E2%99%AA%E3%80%91%20http%3A%2F%2Fcrashfever.com%2Finstall%20%23%E3%82%AF%E3%83%A9%E3%83%95%E3%82%A3</t>
    <phoneticPr fontId="5"/>
  </si>
  <si>
    <t>line://msg/text/%E3%80%90%E4%B8%80%E6%B0%97%E3%81%AB%E3%83%96%E3%83%83%E5%BF%AB%E6%84%9F%26%2312316%3B%21%E3%80%91%E3%82%AF%E3%83%A9%E3%83%83%E3%82%B7%E3%83%A5%E3%83%95%E3%82%A3%E3%83%BC%E3%83%90%E3%83%BCTVCM%E7%AC%AC2%E5%BC%BE%E5%85%A8%E5%9B%BD%E6%94%BE%E9%80%81%E8%A8%98%E5%BF%B5%EF%BC%81%E3%82%82%E3%82%8C%E3%81%AA%E3%81%8F%E6%AF%8E%E6%97%A51%E5%9B%9E%E3%83%AC%E3%82%A2%E3%82%AC%E3%83%81%E3%83%A3%E7%84%A1%E6%96%99%EF%BC%81%E3%81%82%E3%81%AECM%E3%81%AE%E6%9C%9F%E5%BE%85%E6%84%9F%E4%BD%93%E9%A8%93%E5%9E%8B%E3%82%AF%E3%82%A8%E3%82%B9%E3%83%88%E9%96%8B%E5%82%AC%EF%BC%81%EF%BC%9F%E3%81%95%E3%82%89%E3%81%AB%E4%BB%8A%E3%81%A0%E3%81%91%E6%9C%80%E9%AB%98%E3%83%AC%E3%82%A2%E8%A6%9A%E9%86%92%E5%8F%AF%E8%83%BD%E3%83%A6%E3%83%8B%E3%83%83%E3%83%88%E8%B2%B0%E3%81%88%E3%82%8B%EF%BC%81%E4%BB%96%E3%83%A2%E3%83%AA%E3%83%A2%E3%83%AA%21%21%E3%80%90%E5%8B%98%E9%81%95%E3%81%84%E3%81%98%E3%82%83%E3%81%AA%E3%81%84%E3%82%88%E3%80%91http%3A%2F%2Fcrashfever.com%2Finstall</t>
    <phoneticPr fontId="5"/>
  </si>
  <si>
    <t>O0046</t>
    <phoneticPr fontId="5"/>
  </si>
  <si>
    <t>O0046</t>
    <phoneticPr fontId="5"/>
  </si>
  <si>
    <t>公式ツイッターをフォローしよう！</t>
  </si>
  <si>
    <t>公式ツイッターをフォローしよう！</t>
    <phoneticPr fontId="5"/>
  </si>
  <si>
    <t>2016-08-26 23:59:59</t>
    <phoneticPr fontId="5"/>
  </si>
  <si>
    <t>2000-1-1  15:00:34</t>
    <phoneticPr fontId="5"/>
  </si>
  <si>
    <t>YouTube公式チャンネルに登録しよう</t>
  </si>
  <si>
    <t>YouTube公式チャンネルに登録しよう</t>
    <phoneticPr fontId="5"/>
  </si>
  <si>
    <t>O0047</t>
    <phoneticPr fontId="5"/>
  </si>
  <si>
    <t>O0047</t>
    <phoneticPr fontId="5"/>
  </si>
  <si>
    <t>http://www.youtube.com/channel/UC5D-9vrJL7It17mhLF66EOQ?sub_confirmation=1</t>
    <phoneticPr fontId="5"/>
  </si>
  <si>
    <t>twitter://post?message=%E4%B8%96%E7%95%8C%E3%81%A7%E6%9C%80%E3%82%82%E6%B0%97%E6%8C%81%E3%81%A1%E3%82%A4%E3%82%A4%EF%BC%814%E4%BA%BA%E5%8D%94%E5%8A%9B%E3%83%91%E3%82%BA%E3%83%ABRPG%E5%A7%8B%E3%82%81%E3%82%88%E3%81%86%EF%BC%81%0D%0A%E8%B6%85%E7%B5%B6%E5%BF%AB%E6%84%9F%E3%83%91%E3%82%BA%E3%83%ABRPG%E3%80%8C%E3%82%AF%E3%83%A9%E3%83%83%E3%82%B7%E3%83%A5%E3%83%95%E3%82%A3%E3%83%BC%E3%83%90%E3%83%BC%E3%80%8D%0D%0A%E3%80%8C%E3%83%87%E3%83%A5%E3%83%A9%E3%83%A9%E3%83%A9%21%21%C3%972%E3%80%8D%E3%82%B3%E3%83%A9%E3%83%9C%E9%96%8B%E5%82%AC%E4%B8%AD%EF%BC%81%0D%0A%E3%82%A4%E3%83%B3%E3%82%B9%E3%83%88%E3%83%BC%E3%83%AB%E3%81%AF%E3%81%93%E3%81%A1%E3%82%89%E2%86%93%E2%86%93%0D%0Ahttp%3A%2F%2Fcrashfever.com%2Finstall%20%0D%0A%23%E3%82%AF%E3%83%A9%E3%83%83%E3%82%B7%E3%83%A5%E3%83%95%E3%82%A3%E3%83%BC%E3%83%90%E3%83%BC%E3%80%80%23%E3%83%87%E3%83%A5%E3%83%A9%E3%83%A9%E3%83%A9</t>
    <phoneticPr fontId="5"/>
  </si>
  <si>
    <t>twitter://post?message=%E3%80%90%E4%B8%80%E6%B0%97%E3%81%AB%E3%83%96%E3%83%83%E5%BF%AB%E6%84%9F%E3%83%BC%E2%99%AA%E3%80%91%E3%82%AF%E3%83%A9%E3%83%83%E3%82%B7%E3%83%A5%E3%83%95%E3%82%A3%E3%83%BC%E3%83%90%E3%83%BCTVCM%E7%AC%AC2%E5%BC%BE%E5%85%A8%E5%9B%BD%E6%94%BE%E9%80%81%E8%A8%98%E5%BF%B5%EF%BC%81%E3%82%82%E3%82%8C%E3%81%AA%E3%81%8F%E6%AF%8E%E6%97%A51%E5%9B%9E%E3%83%AC%E3%82%A2%E3%82%AC%E3%83%81%E3%83%A3%E7%84%A1%E6%96%99%EF%BC%81%E3%81%82%E3%81%AECM%E3%81%AE%E6%9C%9F%E5%BE%85%E6%84%9F%E4%BD%93%E9%A8%93%E5%9E%8B%E3%82%AF%E3%82%A8%E3%82%B9%E3%83%88%E9%96%8B%E5%82%AC%EF%BC%81%EF%BC%9F%E3%81%95%E3%82%89%E3%81%AB%E4%BB%8A%E3%81%A0%E3%81%91%E6%9C%80%E9%AB%98%E3%83%AC%E3%82%A2%E8%A6%9A%E9%86%92%E5%8F%AF%E8%83%BD%E3%83%A6%E3%83%8B%E3%83%83%E3%83%88%E8%B2%B0%E3%81%88%E3%82%8B%EF%BC%81%E4%BB%96%E3%83%A2%E3%83%AA%E3%83%A2%E3%83%AA%21%21%E3%80%90%E5%8B%98%E9%81%95%E3%81%84%E3%81%98%E3%82%83%E3%81%AA%E3%81%84%E3%82%88%E3%80%91http%3A%2F%2Fcrashfever.com%2Finstall%20%23%E3%82%AF%E3%83%A9%E3%83%95%E3%82%A3</t>
    <phoneticPr fontId="5"/>
  </si>
  <si>
    <t>WU8372</t>
  </si>
  <si>
    <t>WU8372</t>
    <phoneticPr fontId="5"/>
  </si>
  <si>
    <t>【TVCM放送記念クエスト】
…勘違いじゃないよ をクリアしよう！</t>
    <phoneticPr fontId="5"/>
  </si>
  <si>
    <t>begin_date</t>
    <phoneticPr fontId="5"/>
  </si>
  <si>
    <t>expired_date</t>
    <phoneticPr fontId="5"/>
  </si>
  <si>
    <t>TVCMランクミッション
プレイヤーランクを15まで上げよう！</t>
  </si>
  <si>
    <t>TVCMランクミッション
プレイヤーランクを20まで上げよう！</t>
  </si>
  <si>
    <t>TVCMランクミッション
プレイヤーランクを25まで上げよう！</t>
  </si>
  <si>
    <t>TVCMランクミッション
プレイヤーランクを30まで上げよう！</t>
  </si>
  <si>
    <t>TVCMランクミッション
プレイヤーランクを40まで上げよう！</t>
  </si>
  <si>
    <t>TVCMランクミッション
プレイヤーランクを50まで上げよう！</t>
  </si>
  <si>
    <t>TVCMランクミッション
プレイヤーランクを75まで上げよう！</t>
  </si>
  <si>
    <t>TVCMランクミッション
プレイヤーランクを100まで上げよう！</t>
  </si>
  <si>
    <t>TVCMランクミッション
プレイヤーランクを125まで上げよう！</t>
  </si>
  <si>
    <t>TVCMランクミッション
プレイヤーランクを150まで上げよう！</t>
  </si>
  <si>
    <t>TVCMランクミッション
プレイヤーランクを175まで上げよう！</t>
  </si>
  <si>
    <t>TVCMランクミッション
プレイヤーランクを200まで上げよう！</t>
  </si>
  <si>
    <t>TVCMランクミッション
プレイヤーランクを250まで上げよう！</t>
  </si>
  <si>
    <t>TVCMランクミッション
プレイヤーランクを300まで上げよう！</t>
  </si>
  <si>
    <t>TVCMランクミッション
プレイヤーランクを350まで上げよう！</t>
  </si>
  <si>
    <t>TVCMランクミッション
プレイヤーランクを400まで上げよう！</t>
  </si>
  <si>
    <t>CQ0031</t>
    <phoneticPr fontId="5"/>
  </si>
  <si>
    <t>2016-09-02 15:00:00</t>
    <phoneticPr fontId="5"/>
  </si>
  <si>
    <t>2016-09-05 23:59:59</t>
    <phoneticPr fontId="5"/>
  </si>
  <si>
    <t>player_rank</t>
    <phoneticPr fontId="5"/>
  </si>
  <si>
    <t>R0005</t>
    <phoneticPr fontId="5"/>
  </si>
  <si>
    <t>CQ0031</t>
    <phoneticPr fontId="5"/>
  </si>
  <si>
    <t>60015-1</t>
    <phoneticPr fontId="5"/>
  </si>
  <si>
    <t>ラグランジュチャレンジ をクリアしよう！</t>
    <phoneticPr fontId="5"/>
  </si>
  <si>
    <t>O0048</t>
    <phoneticPr fontId="5"/>
  </si>
  <si>
    <t>2016-09-09 15:00:00</t>
    <phoneticPr fontId="5"/>
  </si>
  <si>
    <t>2016-09-19 14:59:59</t>
    <phoneticPr fontId="5"/>
  </si>
  <si>
    <t>O0048</t>
    <phoneticPr fontId="5"/>
  </si>
  <si>
    <t>チャットアンケートに投票しよう！</t>
    <phoneticPr fontId="5"/>
  </si>
  <si>
    <t>20000</t>
    <phoneticPr fontId="5"/>
  </si>
  <si>
    <t>https://game8.jp/archives/84717?utm_source=CrushFeverMission&amp;utm_medium=refferal&amp;utm_campaign=CrufMission6</t>
    <phoneticPr fontId="5"/>
  </si>
  <si>
    <t>twitter://post?message=%e3%80%90App%20Store%e3%82%bb%e3%83%bc%e3%83%ab%e3%82%b9TOP10%e3%83%a9%e3%83%b3%e3%82%af%e3%82%a4%e3%83%b3%ef%bc%81%e3%80%91%e3%83%86%e3%83%ac%e3%83%93CM%e3%81%a7%e3%82%82%e8%a9%b1%e9%a1%8c%e3%81%ae%e5%a4%a7%e4%ba%ba%e6%b0%97%e3%83%91%e3%82%ba%e3%83%ab%e3%82%b2%e3%83%bc%e3%83%a0%e3%80%8e%e3%82%af%e3%83%a9%e3%83%83%e3%82%b7%e3%83%a5%e3%83%95%e3%82%a3%e3%83%bc%e3%83%90%e3%83%bc%e3%80%8f%e3%81%8c%e3%83%9d%e3%83%aa%e3%82%b4%e3%83%b3%e5%a4%a7%e9%87%8f%e9%85%8d%e5%b8%83%e4%b8%ad%ef%bc%81%e6%b5%81%e8%a1%8c%e3%81%ae%e6%b3%a2%e3%81%ab%e4%b9%97%e3%82%8a%e9%81%85%e3%82%8c%e3%82%8b%e3%81%aa%ef%bc%81%e3%80%90%e3%83%96%e3%83%83%e5%bf%ab%e6%84%9f%e3%83%bc%e2%99%aa%e3%80%91%20http%3a%2f%2fcrashfever%2ecom%2finstall%20%23%e3%82%af%e3%83%a9%e3%83%95%e3%82%a3</t>
    <phoneticPr fontId="5"/>
  </si>
  <si>
    <t>O0049</t>
    <phoneticPr fontId="5"/>
  </si>
  <si>
    <t>O0049</t>
    <phoneticPr fontId="5"/>
  </si>
  <si>
    <t>P0010</t>
    <phoneticPr fontId="5"/>
  </si>
  <si>
    <t>2016-09-13 15:00:00</t>
    <phoneticPr fontId="5"/>
  </si>
  <si>
    <t>2016-09-20 14:59:59</t>
    <phoneticPr fontId="5"/>
  </si>
  <si>
    <t>台湾AppStoreセールス1位をTwitterでツイートしよう！</t>
    <phoneticPr fontId="5"/>
  </si>
  <si>
    <t>twitter://post?message=%E3%80%90%E5%8F%B0%E6%B9%BEApp%20Store%E5%A3%B2%E4%B8%8A%E3%83%A9%E3%83%B3%E3%82%AD%E3%83%B3%E3%82%B0%E7%AC%AC%EF%BC%91%E4%BD%8D%EF%BC%81%E3%80%91%E3%83%96%E3%83%83%E5%BF%AB%E6%84%9F%E3%81%A7%E3%81%8A%E9%A6%B4%E6%9F%93%E3%81%BF%E3%80%8E%E3%82%AF%E3%83%A9%E3%83%83%E3%82%B7%E3%83%A5%E3%83%95%E3%82%A3%E3%83%BC%E3%83%90%E3%83%BC%E3%80%8F%E3%81%8C%E5%8F%B0%E6%B9%BE%E3%81%A7%E3%82%82%E8%B6%85%E7%B5%B6%E4%BA%BA%E6%B0%97%E6%B2%B8%E9%A8%B0%E4%B8%AD%EF%BC%81%E3%81%93%E3%81%AE%E3%83%93%E3%83%83%E3%82%B0%E3%82%A6%E3%82%A7%E3%83%BC%E3%83%96%E3%81%AB%E4%B9%97%E3%82%8B%E3%81%97%E3%81%8B%E3%81%AA%E3%81%84%EF%BC%81%EF%BC%9F%E3%80%90%E5%8B%98%E9%81%95%E3%81%84%E3%81%98%E3%82%83%E3%81%AA%E3%81%84%E3%82%88%EF%BC%9F%E3%80%91%20http%3A%2F%2Fcrashfever.com%2Finstall%20%23%E3%82%AF%E3%83%A9%E3%83%95%E3%82%A3</t>
    <phoneticPr fontId="5"/>
  </si>
  <si>
    <t>CQ0032</t>
    <phoneticPr fontId="5"/>
  </si>
  <si>
    <t>60016-1</t>
    <phoneticPr fontId="5"/>
  </si>
  <si>
    <t>CQ0032</t>
    <phoneticPr fontId="5"/>
  </si>
  <si>
    <t>2016-09-14 15:00:00</t>
    <phoneticPr fontId="5"/>
  </si>
  <si>
    <t>2016-09-20 23:59:59</t>
    <phoneticPr fontId="5"/>
  </si>
  <si>
    <t>O0050</t>
    <phoneticPr fontId="5"/>
  </si>
  <si>
    <t>P0001</t>
    <phoneticPr fontId="5"/>
  </si>
  <si>
    <t>2016-09-23 15:00:00</t>
    <phoneticPr fontId="5"/>
  </si>
  <si>
    <t>2016-10-02 14:59:59</t>
    <phoneticPr fontId="5"/>
  </si>
  <si>
    <t>O0050</t>
    <phoneticPr fontId="5"/>
  </si>
  <si>
    <t>O0051</t>
    <phoneticPr fontId="5"/>
  </si>
  <si>
    <t>O0051</t>
    <phoneticPr fontId="5"/>
  </si>
  <si>
    <t>WL008</t>
    <phoneticPr fontId="5"/>
  </si>
  <si>
    <t>WU6071</t>
    <phoneticPr fontId="5"/>
  </si>
  <si>
    <t>WU6081</t>
    <phoneticPr fontId="5"/>
  </si>
  <si>
    <t>WU6081</t>
    <phoneticPr fontId="5"/>
  </si>
  <si>
    <t>WL008</t>
    <phoneticPr fontId="5"/>
  </si>
  <si>
    <t>1</t>
    <phoneticPr fontId="16"/>
  </si>
  <si>
    <t>WU6091</t>
    <phoneticPr fontId="5"/>
  </si>
  <si>
    <t>WL022</t>
    <phoneticPr fontId="5"/>
  </si>
  <si>
    <t>WL022</t>
    <phoneticPr fontId="5"/>
  </si>
  <si>
    <t>2</t>
    <phoneticPr fontId="16"/>
  </si>
  <si>
    <t>WL038</t>
    <phoneticPr fontId="5"/>
  </si>
  <si>
    <t>WU6071</t>
    <phoneticPr fontId="5"/>
  </si>
  <si>
    <t>WL037</t>
    <phoneticPr fontId="5"/>
  </si>
  <si>
    <t>WL038</t>
    <phoneticPr fontId="5"/>
  </si>
  <si>
    <t>WU3351</t>
    <phoneticPr fontId="5"/>
  </si>
  <si>
    <t>7</t>
    <phoneticPr fontId="16"/>
  </si>
  <si>
    <t>WC4070</t>
    <phoneticPr fontId="5"/>
  </si>
  <si>
    <t>WC4090</t>
    <phoneticPr fontId="5"/>
  </si>
  <si>
    <t>WC4070</t>
    <phoneticPr fontId="5"/>
  </si>
  <si>
    <t>WC4090</t>
    <phoneticPr fontId="5"/>
  </si>
  <si>
    <t>9</t>
    <phoneticPr fontId="16"/>
  </si>
  <si>
    <t>WU3431</t>
    <phoneticPr fontId="5"/>
  </si>
  <si>
    <t>WC4110</t>
    <phoneticPr fontId="5"/>
  </si>
  <si>
    <t>WC4110</t>
    <phoneticPr fontId="5"/>
  </si>
  <si>
    <t>11</t>
    <phoneticPr fontId="16"/>
  </si>
  <si>
    <t>WC4130</t>
    <phoneticPr fontId="5"/>
  </si>
  <si>
    <t>WU6131</t>
    <phoneticPr fontId="5"/>
  </si>
  <si>
    <t>WC4130</t>
    <phoneticPr fontId="5"/>
  </si>
  <si>
    <t>13</t>
    <phoneticPr fontId="16"/>
  </si>
  <si>
    <t>WC4155</t>
    <phoneticPr fontId="5"/>
  </si>
  <si>
    <t>WU6111</t>
    <phoneticPr fontId="5"/>
  </si>
  <si>
    <t>WC4155</t>
    <phoneticPr fontId="5"/>
  </si>
  <si>
    <t>WC4204</t>
    <phoneticPr fontId="5"/>
  </si>
  <si>
    <t>WU6101</t>
    <phoneticPr fontId="5"/>
  </si>
  <si>
    <t>WC4203</t>
    <phoneticPr fontId="5"/>
  </si>
  <si>
    <t>WC4204</t>
    <phoneticPr fontId="5"/>
  </si>
  <si>
    <t>WC4302</t>
    <phoneticPr fontId="5"/>
  </si>
  <si>
    <t>WU6141</t>
    <phoneticPr fontId="5"/>
  </si>
  <si>
    <t>WC4302</t>
    <phoneticPr fontId="5"/>
  </si>
  <si>
    <t>週間ミッション強化</t>
    <phoneticPr fontId="5"/>
  </si>
  <si>
    <t>twitter://post?message=</t>
    <phoneticPr fontId="5"/>
  </si>
  <si>
    <t>line://msg/text/</t>
  </si>
  <si>
    <t>全世界600万DL突破をTwitterでツイートしよう！</t>
    <phoneticPr fontId="5"/>
  </si>
  <si>
    <t>line://msg/text/%E3%80%90%E3%82%AF%E3%83%A9%E3%83%83%E3%82%B7%E3%83%A5%E3%83%95%E3%82%A3%E3%83%BC%E3%83%90%E3%83%BC%C3%97%E9%80%B2%E6%92%83%E3%81%AE%E5%B7%A8%E4%BA%BA%E3%80%91%E6%9C%9F%E9%96%93%E9%99%90%E5%AE%9A%E3%82%B3%E3%83%A9%E3%83%9C%E5%AE%9F%E6%96%BD%E4%B8%AD%EF%BC%81%E4%BB%8A%E3%81%A0%E3%81%91%E5%85%A8%E5%93%A1%E3%81%AB%E3%80%8E%E3%83%AA%E3%83%B4%E3%82%A1%E3%82%A4%20%E3%81%8A%E6%8E%83%E9%99%A4ver%E3%80%8F%E3%82%92%E3%83%97%E3%83%AC%E3%82%BC%E3%83%B3%E3%83%88%EF%BC%86%E6%AF%8E%E6%97%A5%E3%83%9D%E3%83%AA%E3%82%B4%E3%83%B3%E9%85%8D%E5%B8%83%E4%B8%AD%EF%BC%81%E5%B7%A8%E4%BA%BA%E3%82%92%E9%A7%86%E9%80%90%E3%81%97%E3%82%88%E3%81%86%EF%BC%81%E3%81%9D%E3%81%AE%E6%8C%87%E5%85%88%E3%81%AB%E5%AD%98%E5%9C%A8-ID-%E3%82%92%E3%81%8B%E3%81%91%E3%81%A6%20http%3A%2F%2Fcrashfever.com%2Finstall</t>
    <phoneticPr fontId="5"/>
  </si>
  <si>
    <t>%E3%80%90%E5%85%A8%E4%B8%96%E7%95%8C600%E4%B8%87DL%E7%AA%81%E7%A0%B4%E8%A8%98%E5%BF%B5%E2%98%86%E5%A4%A7%E6%84%9F%E8%AC%9D%E7%A5%AD%E3%80%91%E3%82%AF%E3%83%A9%E3%83%83%E3%82%B7%E3%83%A5%E3%83%95%E3%82%A3%E3%83%BC%E3%83%90%E3%83%BC%E3%80%8A%E6%AF%8E%E6%97%A5%E3%83%AC%E3%82%A2%E3%82%AC%E3%83%81%E3%83%A3%E7%84%A1%E6%96%99%E3%80%8B%E3%81%97%E3%81%8B%E3%82%82%EF%BC%81%E6%97%A5%E6%9B%BF%E3%82%8F%E3%82%8A%E3%81%A7%E5%AC%89%E3%81%97%E3%81%84%E7%89%B9%E5%85%B8%E3%82%82%E3%82%B2%E3%83%83%E3%83%88%EF%BC%81%E3%81%93%E3%81%93%E3%81%8B%E3%82%89%E4%BB%8A%E3%81%99%E3%81%90%E7%84%A1%E6%96%99%E3%81%A7%E3%83%AC%E3%82%A2%E3%82%AC%E3%83%81%E3%83%A3%E3%82%92%E5%9B%9E%E3%81%9D%E3%81%86%E2%86%92%20http%3A%2F%2Fcrashfever.com%2Fletsplay%20%23%E3%82%AF%E3%83%A9%E3%83%95%E3%82%A3</t>
  </si>
  <si>
    <t>全世界600万DL突破をLINEでタイムライン投稿しよう！</t>
    <phoneticPr fontId="5"/>
  </si>
  <si>
    <t>tutorial_completed</t>
    <phoneticPr fontId="5"/>
  </si>
  <si>
    <t>achievement_criterion_type</t>
    <phoneticPr fontId="5"/>
  </si>
  <si>
    <t>Q0001</t>
    <phoneticPr fontId="5"/>
  </si>
  <si>
    <t>BUG15</t>
    <phoneticPr fontId="5"/>
  </si>
  <si>
    <t>CQ0033</t>
    <phoneticPr fontId="5"/>
  </si>
  <si>
    <t>60017-1</t>
    <phoneticPr fontId="5"/>
  </si>
  <si>
    <t>CQ0033</t>
    <phoneticPr fontId="5"/>
  </si>
  <si>
    <t>2016-10-07 15:00:00</t>
    <phoneticPr fontId="5"/>
  </si>
  <si>
    <t>2016-10-10 23:59:59</t>
    <phoneticPr fontId="5"/>
  </si>
  <si>
    <t>シュレディンガーチャレンジ をクリアしよう！</t>
    <phoneticPr fontId="5"/>
  </si>
  <si>
    <t>ユークリッドチャレンジ をクリアしよう！</t>
    <phoneticPr fontId="5"/>
  </si>
  <si>
    <t>O0052</t>
  </si>
  <si>
    <t>O0053</t>
  </si>
  <si>
    <t>O0052</t>
    <phoneticPr fontId="5"/>
  </si>
  <si>
    <t>O0053</t>
    <phoneticPr fontId="5"/>
  </si>
  <si>
    <t>顔合わせリセットをTwitterでツイートしよう！</t>
    <rPh sb="0" eb="2">
      <t>カ</t>
    </rPh>
    <phoneticPr fontId="5"/>
  </si>
  <si>
    <t>顔合わせリセットをLINEでタイムライン投稿しよう！</t>
    <rPh sb="20" eb="22">
      <t>トウコ</t>
    </rPh>
    <phoneticPr fontId="5"/>
  </si>
  <si>
    <t>2016-09-23 15:00:00</t>
    <phoneticPr fontId="5"/>
  </si>
  <si>
    <t>2016-10-20 14:59:59</t>
    <phoneticPr fontId="5"/>
  </si>
  <si>
    <t>%E3%82%AF%E3%83%A9%E3%83%83%E3%82%B7%E3%83%A5%E3%83%95%E3%82%A3%E3%83%BC%E3%83%90%E3%83%BC%E2%98%86%E5%85%A8%E3%83%A6%E3%83%BC%E3%82%B6%E3%83%BC%E5%BE%85%E6%9C%9B%E3%81%AE%E3%80%8A%E9%A1%94%E5%90%88%E3%82%8F%E3%81%9B%E3%83%9C%E3%83%BC%E3%83%8A%E3%82%B9%E3%80%8B%E3%82%92%E3%83%AA%E3%82%BB%E3%83%83%E3%83%88%EF%BC%81%E3%83%9D%E3%83%AA%E3%82%B4%E3%83%B3%E3%80%90%E6%9C%80%E5%A4%A7140%E5%80%8B%EF%BC%88%E3%83%AC%E3%82%A2%E3%82%AC%E3%83%81%E3%83%A328%E5%9B%9E%E5%88%86%EF%BC%89%E3%80%91%E3%82%92%E3%83%97%E3%83%AC%E3%82%BC%E3%83%B3%E3%83%88%EF%BC%81%E4%BB%8A%E3%81%99%E3%81%90%E5%8F%8B%E3%81%A0%E3%81%A1%E3%81%A8%E3%83%9E%E3%83%AB%E3%83%81%E3%83%97%E3%83%AC%E3%82%A4%E3%82%92%E3%81%97%E3%81%A6%E5%A4%A7%E9%87%8F%E3%81%AE%E3%83%9D%E3%83%AA%E3%82%B4%E3%83%B3%E3%82%92%E3%82%B2%E3%83%83%E3%83%88%E3%81%97%E3%82%88%E3%81%86%E2%86%92%20http%3A%2F%2Fcrashfever.com%2Fletsplay%2F%20%23%E3%82%AF%E3%83%A9%E3%83%95%E3%82%A3</t>
  </si>
  <si>
    <t>%E3%82%AF%E3%83%A9%E3%83%83%E3%82%B7%E3%83%A5%E3%83%95%E3%82%A3%E3%83%BC%E3%83%90%E3%83%BC%E2%98%86%E5%85%A8%E3%83%A6%E3%83%BC%E3%82%B6%E3%83%BC%E5%BE%85%E6%9C%9B%E3%81%AE%E3%80%8A%E9%A1%94%E5%90%88%E3%82%8F%E3%81%9B%E3%83%9C%E3%83%BC%E3%83%8A%E3%82%B9%E3%80%8B%E3%82%92%E3%83%AA%E3%82%BB%E3%83%83%E3%83%88%EF%BC%81%E3%83%9D%E3%83%AA%E3%82%B4%E3%83%B3%E3%80%90%E6%9C%80%E5%A4%A7140%E5%80%8B%EF%BC%88%E3%83%AC%E3%82%A2%E3%82%AC%E3%83%81%E3%83%A328%E5%9B%9E%E5%88%86%EF%BC%89%E3%80%91%E3%82%92%E3%83%97%E3%83%AC%E3%82%BC%E3%83%B3%E3%83%88%EF%BC%81%E4%BB%8A%E3%81%99%E3%81%90%E5%8F%8B%E3%81%A0%E3%81%A1%E3%81%A8%E3%83%9E%E3%83%AB%E3%83%81%E3%83%97%E3%83%AC%E3%82%A4%E3%82%92%E3%81%97%E3%81%A6%E5%A4%A7%E9%87%8F%E3%81%AE%E3%83%9D%E3%83%AA%E3%82%B4%E3%83%B3%E3%82%92%E3%82%B2%E3%83%83%E3%83%88%E3%81%97%E3%82%88%E3%81%86%E2%86%92%20http%3A%2F%2Fcrashfever.com%2Fletsplay%2F%20</t>
  </si>
  <si>
    <t>2016-10-13 04:00:00</t>
    <phoneticPr fontId="5"/>
  </si>
  <si>
    <t>2016-10-13 04:00:00</t>
    <phoneticPr fontId="5"/>
  </si>
  <si>
    <t>チューリングチャレンジ をクリアしよう！</t>
    <phoneticPr fontId="5"/>
  </si>
  <si>
    <t>60018-1</t>
    <phoneticPr fontId="5"/>
  </si>
  <si>
    <t>CQ0034</t>
    <phoneticPr fontId="5"/>
  </si>
  <si>
    <t>2016-10-21 15:00:00</t>
    <phoneticPr fontId="5"/>
  </si>
  <si>
    <t>2016-10-27 23:59:59</t>
    <phoneticPr fontId="5"/>
  </si>
  <si>
    <t>O0054</t>
    <phoneticPr fontId="5"/>
  </si>
  <si>
    <t>O0055</t>
    <phoneticPr fontId="5"/>
  </si>
  <si>
    <t>ハロウィンイベント開催をTwitterでツイートしよう！</t>
    <rPh sb="9" eb="11">
      <t>カ</t>
    </rPh>
    <phoneticPr fontId="5"/>
  </si>
  <si>
    <t>ハロウィンイベント開催をLINEでタイムライン投稿しよう！</t>
    <rPh sb="9" eb="11">
      <t>カ</t>
    </rPh>
    <rPh sb="23" eb="25">
      <t>トウコ</t>
    </rPh>
    <phoneticPr fontId="5"/>
  </si>
  <si>
    <t>%E3%83%8F%E3%83%AD%E3%82%A6%E3%82%A3%E3%83%B3%E3%81%8C%E3%82%AF%E3%83%A9%E3%83%83%E3%82%B7%E3%83%A5%E3%83%95%E3%82%A3%E3%83%BC%E3%83%90%E3%83%BC%E3%81%AB%E3%82%84%E3%81%A3%E3%81%A6%E3%81%8D%E3%81%9F%EF%BC%81%E3%81%8A%E8%8F%93%E5%AD%90%E3%83%81%E3%82%B1%E3%83%83%E3%83%88%E3%82%92%E9%9B%86%E3%82%81%E3%81%A6%E3%80%90%E7%84%A1%E6%96%99%E3%81%A710%E9%80%A3%E3%82%AC%E3%83%81%E3%83%A3%E3%80%91%E3%82%92%E5%9B%9E%E3%81%9D%E3%81%86%EF%BC%81%E3%83%8F%E3%83%AD%E3%82%A6%E3%82%A3%E3%83%B3%E9%99%90%E5%AE%9A%E3%82%B3%E3%82%B9%E3%83%97%E3%83%AC%E3%83%BB%E3%82%B9%E3%83%9A%E3%82%B7%E3%83%A3%E3%83%AB%E3%83%A6%E3%83%8B%E3%83%83%E3%83%88%E3%82%82%E7%99%BB%E5%A0%B4%E4%B8%AD%E2%98%86%E3%81%8A%E8%8F%93%E5%AD%90%E3%83%81%E3%82%B1%E3%83%83%E3%83%88%E3%81%AE%E5%8F%97%E3%81%91%E5%8F%96%E3%82%8A%E3%81%AF%E3%81%93%E3%81%A1%E3%82%89%E2%86%92%20http%3A%2F%2Fcrashfever.com%2Fletsplay%2F%20%23%E3%82%AF%E3%83%A9%E3%83%95%E3%82%A3</t>
    <phoneticPr fontId="5"/>
  </si>
  <si>
    <t>%E3%83%8F%E3%83%AD%E3%82%A6%E3%82%A3%E3%83%B3%E3%81%8C%E3%82%AF%E3%83%A9%E3%83%83%E3%82%B7%E3%83%A5%E3%83%95%E3%82%A3%E3%83%BC%E3%83%90%E3%83%BC%E3%81%AB%E3%82%84%E3%81%A3%E3%81%A6%E3%81%8D%E3%81%9F%EF%BC%81%E3%81%8A%E8%8F%93%E5%AD%90%E3%83%81%E3%82%B1%E3%83%83%E3%83%88%E3%82%92%E9%9B%86%E3%82%81%E3%81%A6%E3%80%90%E7%84%A1%E6%96%99%E3%81%A710%E9%80%A3%E3%82%AC%E3%83%81%E3%83%A3%E3%80%91%E3%82%92%E5%9B%9E%E3%81%9D%E3%81%86%EF%BC%81%E3%83%8F%E3%83%AD%E3%82%A6%E3%82%A3%E3%83%B3%E9%99%90%E5%AE%9A%E3%82%B3%E3%82%B9%E3%83%97%E3%83%AC%E3%83%BB%E3%82%B9%E3%83%9A%E3%82%B7%E3%83%A3%E3%83%AB%E3%83%A6%E3%83%8B%E3%83%83%E3%83%88%E3%82%82%E7%99%BB%E5%A0%B4%E4%B8%AD%E2%98%86%E3%81%8A%E8%8F%93%E5%AD%90%E3%83%81%E3%82%B1%E3%83%83%E3%83%88%E3%81%AE%E5%8F%97%E3%81%91%E5%8F%96%E3%82%8A%E3%81%AF%E3%81%93%E3%81%A1%E3%82%89%E2%86%92%20http%3A%2F%2Fcrashfever.com%2Fletsplay%2F</t>
    <phoneticPr fontId="5"/>
  </si>
  <si>
    <t>U11141</t>
    <phoneticPr fontId="5"/>
  </si>
  <si>
    <t>QTOW1</t>
    <phoneticPr fontId="5"/>
  </si>
  <si>
    <t>O0043</t>
    <phoneticPr fontId="5"/>
  </si>
  <si>
    <t>2016-10-27 15:00:00</t>
    <phoneticPr fontId="5"/>
  </si>
  <si>
    <t>2016-11-01 14:59:59</t>
    <phoneticPr fontId="5"/>
  </si>
  <si>
    <t>O0058</t>
    <phoneticPr fontId="5"/>
  </si>
  <si>
    <t>O0059</t>
    <phoneticPr fontId="5"/>
  </si>
  <si>
    <t>O0058</t>
    <phoneticPr fontId="5"/>
  </si>
  <si>
    <t>O0059</t>
    <phoneticPr fontId="5"/>
  </si>
  <si>
    <t>%E3%83%8F%E3%83%AD%E3%82%A6%E3%82%A3%E3%83%B3%E3%81%8C%E3%82%AF%E3%83%A9%E3%83%83%E3%82%B7%E3%83%A5%E3%83%95%E3%82%A3%E3%83%BC%E3%83%90%E3%83%BC%E3%81%AB%E3%82%84%E3%81%A3%E3%81%A6%E3%81%8D%E3%81%9F%EF%BC%81%E4%BB%8A%E3%81%A0%E3%81%91%E2%98%86%E3%83%8F%E3%83%AD%E3%82%A6%E3%82%A3%E3%83%B3%E9%99%90%E5%AE%9A%E3%83%A6%E3%83%8B%E3%83%83%E3%83%88%E3%82%84%E3%82%B3%E3%82%B9%E3%83%97%E3%83%AC%E3%83%A6%E3%83%8B%E3%83%83%E3%83%88%E3%81%8C%E5%87%BA%E7%8F%BE%E3%81%99%E3%82%8B%E3%80%8A%E3%82%B9%E3%83%9A%E3%82%B7%E3%83%A3%E3%83%AB%E3%83%8F%E3%83%AD%E3%82%A6%E3%82%A3%E3%83%B3%E3%82%AC%E3%83%81%E3%83%A3%E3%80%8B%E3%81%8C%E6%AF%8E%E6%97%A5%EF%BC%91%E5%9B%9E%E7%84%A1%E6%96%99%EF%BC%81%E4%BB%8A%E3%81%99%E3%81%90%E5%9B%9E%E3%81%97%E3%81%A6%E3%81%BF%E3%82%88%E3%81%86%E2%86%92%20http%3A%2F%2Fcrashfever.com%2Fletsplay%2F%20%23%E3%82%AF%E3%83%A9%E3%83%95%E3%82%A3</t>
    <phoneticPr fontId="5"/>
  </si>
  <si>
    <t>%E3%80%90%E5%85%A8%E4%B8%96%E7%95%8C600%E4%B8%87DL%E7%AA%81%E7%A0%B4%E8%A8%98%E5%BF%B5%E2%98%86%E5%A4%A7%E6%84%9F%E8%AC%9D%E7%A5%AD%E3%80%91%E3%82%AF%E3%83%A9%E3%83%83%E3%82%B7%E3%83%A5%E3%83%95%E3%82%A3%E3%83%BC%E3%83%90%E3%83%BC%E3%80%8A%E6%AF%8E%E6%97%A5%E3%83%AC%E3%82%A2%E3%82%AC%E3%83%81%E3%83%A3%E7%84%A1%E6%96%99%E3%80%8B%E3%81%97%E3%81%8B%E3%82%82%EF%BC%81%E6%97%A5%E6%9B%BF%E3%82%8F%E3%82%8A%E3%81%A7%E5%AC%89%E3%81%97%E3%81%84%E7%89%B9%E5%85%B8%E3%82%82%E3%82%B2%E3%83%83%E3%83%88%EF%BC%81%E3%81%93%E3%81%93%E3%81%8B%E3%82%89%E4%BB%8A%E3%81%99%E3%81%90%E7%84%A1%E6%96%99%E3%81%A7%E3%83%AC%E3%82%A2%E3%82%AC%E3%83%81%E3%83%A3%E3%82%92%E5%9B%9E%E3%81%9D%E3%81%86%E2%86%92%20http%3A%2F%2Fcrashfever.com%2Fletsplay</t>
    <phoneticPr fontId="5"/>
  </si>
  <si>
    <t>%E3%83%8F%E3%83%AD%E3%82%A6%E3%82%A3%E3%83%B3%E3%81%8C%E3%82%AF%E3%83%A9%E3%83%83%E3%82%B7%E3%83%A5%E3%83%95%E3%82%A3%E3%83%BC%E3%83%90%E3%83%BC%E3%81%AB%E3%82%84%E3%81%A3%E3%81%A6%E3%81%8D%E3%81%9F%EF%BC%81%E4%BB%8A%E3%81%A0%E3%81%91%E2%98%86%E3%83%8F%E3%83%AD%E3%82%A6%E3%82%A3%E3%83%B3%E9%99%90%E5%AE%9A%E3%83%A6%E3%83%8B%E3%83%83%E3%83%88%E3%82%84%E3%82%B3%E3%82%B9%E3%83%97%E3%83%AC%E3%83%A6%E3%83%8B%E3%83%83%E3%83%88%E3%81%8C%E5%87%BA%E7%8F%BE%E3%81%99%E3%82%8B%E3%80%8A%E3%82%B9%E3%83%9A%E3%82%B7%E3%83%A3%E3%83%AB%E3%83%8F%E3%83%AD%E3%82%A6%E3%82%A3%E3%83%B3%E3%82%AC%E3%83%81%E3%83%A3%E3%80%8B%E3%81%8C%E6%AF%8E%E6%97%A5%EF%BC%91%E5%9B%9E%E7%84%A1%E6%96%99%EF%BC%81%E4%BB%8A%E3%81%99%E3%81%90%E5%9B%9E%E3%81%97%E3%81%A6%E3%81%BF%E3%82%88%E3%81%86%E2%86%92%20http%3A%2F%2Fcrashfever.com%2Fletsplay</t>
    <phoneticPr fontId="5"/>
  </si>
  <si>
    <t>CQ0034</t>
    <phoneticPr fontId="5"/>
  </si>
  <si>
    <t>R2000</t>
    <phoneticPr fontId="5"/>
  </si>
  <si>
    <t>2000</t>
    <phoneticPr fontId="5"/>
  </si>
  <si>
    <t>プレイヤーランクを2000まで上げよう！</t>
    <phoneticPr fontId="5"/>
  </si>
  <si>
    <t>2000-1-2  15:00:34</t>
    <phoneticPr fontId="5"/>
  </si>
  <si>
    <t>RA9999</t>
    <phoneticPr fontId="5"/>
  </si>
  <si>
    <t>65535-1</t>
    <phoneticPr fontId="5"/>
  </si>
  <si>
    <t>Q9999</t>
    <phoneticPr fontId="5"/>
  </si>
  <si>
    <t>13300-1</t>
    <phoneticPr fontId="5"/>
  </si>
  <si>
    <t>タワーオブザクイーン1階をクリアしよう！</t>
    <phoneticPr fontId="5"/>
  </si>
  <si>
    <t>QTOW2</t>
    <phoneticPr fontId="5"/>
  </si>
  <si>
    <t>ここは使わない</t>
    <rPh sb="3" eb="4">
      <t>ツカワn</t>
    </rPh>
    <phoneticPr fontId="5"/>
  </si>
  <si>
    <t>2016-11-04 15:00:00</t>
    <phoneticPr fontId="5"/>
  </si>
  <si>
    <t>2016-11-07 23:59:59</t>
    <phoneticPr fontId="5"/>
  </si>
  <si>
    <t>CQ0035</t>
  </si>
  <si>
    <t>60020-1</t>
    <phoneticPr fontId="5"/>
  </si>
  <si>
    <t>CQ0035</t>
    <phoneticPr fontId="5"/>
  </si>
  <si>
    <t>QTOW3</t>
    <phoneticPr fontId="5"/>
  </si>
  <si>
    <t>13301-1</t>
    <phoneticPr fontId="5"/>
  </si>
  <si>
    <t>WP002</t>
    <phoneticPr fontId="5"/>
  </si>
  <si>
    <t>WP003</t>
  </si>
  <si>
    <t>WP003</t>
    <phoneticPr fontId="5"/>
  </si>
  <si>
    <t>WP005</t>
  </si>
  <si>
    <t>WP002</t>
    <phoneticPr fontId="5"/>
  </si>
  <si>
    <t>WP004</t>
  </si>
  <si>
    <t>WL010</t>
    <phoneticPr fontId="5"/>
  </si>
  <si>
    <t>1</t>
  </si>
  <si>
    <t>1</t>
    <phoneticPr fontId="5"/>
  </si>
  <si>
    <t>WL010</t>
    <phoneticPr fontId="5"/>
  </si>
  <si>
    <t>WL020</t>
    <phoneticPr fontId="5"/>
  </si>
  <si>
    <t>2</t>
    <phoneticPr fontId="5"/>
  </si>
  <si>
    <t>WL030</t>
  </si>
  <si>
    <t>3</t>
  </si>
  <si>
    <t>WL040</t>
  </si>
  <si>
    <t>4</t>
  </si>
  <si>
    <t>WL050</t>
  </si>
  <si>
    <t>WL060</t>
  </si>
  <si>
    <t>WL070</t>
  </si>
  <si>
    <t>WL020</t>
    <phoneticPr fontId="5"/>
  </si>
  <si>
    <t>WP005</t>
    <phoneticPr fontId="5"/>
  </si>
  <si>
    <t>6</t>
    <phoneticPr fontId="5"/>
  </si>
  <si>
    <t>7</t>
    <phoneticPr fontId="5"/>
  </si>
  <si>
    <t>全世界700万DL記念ミッション</t>
    <rPh sb="0" eb="3">
      <t>ゼn</t>
    </rPh>
    <rPh sb="6" eb="7">
      <t>マn</t>
    </rPh>
    <rPh sb="9" eb="11">
      <t>キネn</t>
    </rPh>
    <phoneticPr fontId="5"/>
  </si>
  <si>
    <t>total_clear_count</t>
    <phoneticPr fontId="5"/>
  </si>
  <si>
    <t>1</t>
    <phoneticPr fontId="5"/>
  </si>
  <si>
    <t>マスターキー</t>
    <phoneticPr fontId="5"/>
  </si>
  <si>
    <t>WI500</t>
    <phoneticPr fontId="5"/>
  </si>
  <si>
    <t>WU6102</t>
    <phoneticPr fontId="5"/>
  </si>
  <si>
    <t>WB1000</t>
    <phoneticPr fontId="5"/>
  </si>
  <si>
    <t>WU6122</t>
    <phoneticPr fontId="5"/>
  </si>
  <si>
    <t>WU6132</t>
    <phoneticPr fontId="5"/>
  </si>
  <si>
    <t>WU6112</t>
    <phoneticPr fontId="5"/>
  </si>
  <si>
    <t>WB2000</t>
    <phoneticPr fontId="5"/>
  </si>
  <si>
    <t>WC5000</t>
    <phoneticPr fontId="5"/>
  </si>
  <si>
    <t>WC5001</t>
    <phoneticPr fontId="5"/>
  </si>
  <si>
    <t>WC5002</t>
  </si>
  <si>
    <t>WC5003</t>
  </si>
  <si>
    <t>WC5004</t>
  </si>
  <si>
    <t>WC5005</t>
  </si>
  <si>
    <t>WC5006</t>
  </si>
  <si>
    <t>WC5007</t>
  </si>
  <si>
    <t>WC5008</t>
  </si>
  <si>
    <t>WC5009</t>
  </si>
  <si>
    <t>3</t>
    <phoneticPr fontId="5"/>
  </si>
  <si>
    <t>5</t>
    <phoneticPr fontId="5"/>
  </si>
  <si>
    <t>7</t>
    <phoneticPr fontId="5"/>
  </si>
  <si>
    <t>10</t>
    <phoneticPr fontId="5"/>
  </si>
  <si>
    <t>13</t>
    <phoneticPr fontId="5"/>
  </si>
  <si>
    <t>16</t>
    <phoneticPr fontId="5"/>
  </si>
  <si>
    <t>20</t>
    <phoneticPr fontId="5"/>
  </si>
  <si>
    <t>25</t>
    <phoneticPr fontId="5"/>
  </si>
  <si>
    <t>30</t>
    <phoneticPr fontId="5"/>
  </si>
  <si>
    <t>WU8373</t>
    <phoneticPr fontId="5"/>
  </si>
  <si>
    <t>item</t>
    <phoneticPr fontId="5"/>
  </si>
  <si>
    <t>O0060</t>
    <phoneticPr fontId="5"/>
  </si>
  <si>
    <t>O0061</t>
    <phoneticPr fontId="5"/>
  </si>
  <si>
    <t>U08371</t>
    <phoneticPr fontId="5"/>
  </si>
  <si>
    <t>U08371</t>
    <phoneticPr fontId="5"/>
  </si>
  <si>
    <t>U08371</t>
    <phoneticPr fontId="5"/>
  </si>
  <si>
    <t>2016-11-23 15:00:00</t>
    <phoneticPr fontId="5"/>
  </si>
  <si>
    <t>2016-11-23 15:00:00</t>
    <phoneticPr fontId="5"/>
  </si>
  <si>
    <t>O0060</t>
    <phoneticPr fontId="5"/>
  </si>
  <si>
    <t>O0061</t>
    <phoneticPr fontId="5"/>
  </si>
  <si>
    <t>全世界700万DL突破をTwitterでツイートしよう！</t>
    <phoneticPr fontId="5"/>
  </si>
  <si>
    <t>全世界700万DL突破をLINEでタイムライン投稿しよう！</t>
    <phoneticPr fontId="5"/>
  </si>
  <si>
    <t>%E3%80%90%E5%85%A8%E4%B8%96%E7%95%8C700%E4%B8%87%E3%83%80%E3%82%A6%E3%83%B3%E3%83%AD%E3%83%BC%E3%83%89%E7%AA%81%E7%A0%B4%EF%BC%81%E3%80%91%E3%82%AF%E3%83%A9%E3%83%83%E3%82%B7%E3%83%A5%E3%83%95%E3%82%A3%E3%83%BC%E3%83%90%E3%83%BC%E2%98%85%E8%A8%98%E5%BF%B5%E3%82%AD%E3%83%A3%E3%83%B3%E3%83%9A%E3%83%BC%E3%83%B3%E5%AE%9F%E6%96%BD%E4%B8%AD%EF%BC%81%E3%83%95%E3%82%A7%E3%82%B9%E9%99%90%E7%A2%BA%E5%AE%9A%E3%82%AC%E3%83%81%E3%83%A3%E3%81%A4%E3%81%84%E3%81%AB%EF%BC%81%EF%BD%B7%EF%BE%80%E2%94%81%28%EF%BE%9F%E2%88%80%EF%BE%9F%29%E2%94%81%21%20%E4%BB%8A%E3%81%A0%E3%81%91%E6%AF%8E%E6%97%A51%E5%9B%9E%E3%83%AC%E3%82%A2%E3%82%AC%E3%83%81%E3%83%A3%E7%84%A1%E6%96%99%EF%BC%81%E8%82%B2%E6%88%90%E7%B4%A0%E6%9D%90%E3%82%82%E5%A4%A7%E9%96%8B%E6%94%BE%E4%B8%AD%EF%BC%81http%3A%2F%2Fcrashfever.com%2Fletsplay</t>
    <phoneticPr fontId="5"/>
  </si>
  <si>
    <t>%E3%80%90%E5%85%A8%E4%B8%96%E7%95%8C700%E4%B8%87%E3%83%80%E3%82%A6%E3%83%B3%E3%83%AD%E3%83%BC%E3%83%89%E7%AA%81%E7%A0%B4%EF%BC%81%E3%80%91%E3%82%AF%E3%83%A9%E3%83%83%E3%82%B7%E3%83%A5%E3%83%95%E3%82%A3%E3%83%BC%E3%83%90%E3%83%BC%E2%98%85%E8%A8%98%E5%BF%B5%E3%82%AD%E3%83%A3%E3%83%B3%E3%83%9A%E3%83%BC%E3%83%B3%E5%AE%9F%E6%96%BD%E4%B8%AD%EF%BC%81%E3%83%95%E3%82%A7%E3%82%B9%E9%99%90%E7%A2%BA%E5%AE%9A%E3%82%AC%E3%83%81%E3%83%A3%E3%81%A4%E3%81%84%E3%81%AB%EF%BC%81%EF%BD%B7%EF%BE%80%E2%94%81%28%EF%BE%9F%E2%88%80%EF%BE%9F%29%E2%94%81%21%20%E4%BB%8A%E3%81%A0%E3%81%91%E6%AF%8E%E6%97%A51%E5%9B%9E%E3%83%AC%E3%82%A2%E3%82%AC%E3%83%81%E3%83%A3%E7%84%A1%E6%96%99%EF%BC%81%E8%82%B2%E6%88%90%E7%B4%A0%E6%9D%90%E3%82%82%E5%A4%A7%E9%96%8B%E6%94%BE%E4%B8%AD%EF%BC%81http%3A%2F%2Fcrashfever.com%2Fletsplay%20%23%E3%82%AF%E3%83%A9%E3%83%95%E3%82%A3</t>
    <phoneticPr fontId="5"/>
  </si>
  <si>
    <t>CQ0036</t>
    <phoneticPr fontId="5"/>
  </si>
  <si>
    <t>2016-12-06 15:00:00</t>
    <phoneticPr fontId="5"/>
  </si>
  <si>
    <t>2016-12-12 23:59:59</t>
    <phoneticPr fontId="5"/>
  </si>
  <si>
    <t>CQ0036</t>
    <phoneticPr fontId="5"/>
  </si>
  <si>
    <t>ヘンペルチャレンジ をクリアしよう！</t>
    <phoneticPr fontId="5"/>
  </si>
  <si>
    <t>60019-1</t>
    <phoneticPr fontId="5"/>
  </si>
  <si>
    <t>2016-12-09 15:00:00</t>
    <phoneticPr fontId="5"/>
  </si>
  <si>
    <t>2016-12-16 14:59:59</t>
    <phoneticPr fontId="5"/>
  </si>
  <si>
    <t>P0005</t>
    <phoneticPr fontId="5"/>
  </si>
  <si>
    <t>O0062</t>
    <phoneticPr fontId="5"/>
  </si>
  <si>
    <t>CQ0037</t>
  </si>
  <si>
    <t>CQ0038</t>
  </si>
  <si>
    <t>CQ0039</t>
  </si>
  <si>
    <t>CQ0040</t>
  </si>
  <si>
    <t>CQ0041</t>
  </si>
  <si>
    <t>CQ0042</t>
  </si>
  <si>
    <t>CQ0043</t>
  </si>
  <si>
    <t>CQ0044</t>
  </si>
  <si>
    <t>CQ0045</t>
  </si>
  <si>
    <t>I70203</t>
  </si>
  <si>
    <t>I70209</t>
  </si>
  <si>
    <t>I70209</t>
    <phoneticPr fontId="5"/>
  </si>
  <si>
    <t>I70215</t>
  </si>
  <si>
    <t>I70215</t>
    <phoneticPr fontId="5"/>
  </si>
  <si>
    <t>I70230</t>
  </si>
  <si>
    <t>I70230</t>
    <phoneticPr fontId="5"/>
  </si>
  <si>
    <t>ウィンターチケット × 3</t>
    <phoneticPr fontId="5"/>
  </si>
  <si>
    <t>ウィンターチケット × 9</t>
    <phoneticPr fontId="5"/>
  </si>
  <si>
    <t>ウィンターチケット × 15</t>
    <phoneticPr fontId="5"/>
  </si>
  <si>
    <t>ウィンターチケット × 30</t>
    <phoneticPr fontId="5"/>
  </si>
  <si>
    <t>U12841</t>
  </si>
  <si>
    <t>U12841</t>
    <phoneticPr fontId="5"/>
  </si>
  <si>
    <t>U08371</t>
    <phoneticPr fontId="5"/>
  </si>
  <si>
    <t>47004-1</t>
    <phoneticPr fontId="5"/>
  </si>
  <si>
    <t>47004-2</t>
    <phoneticPr fontId="5"/>
  </si>
  <si>
    <t>47004-3</t>
    <phoneticPr fontId="5"/>
  </si>
  <si>
    <t>47004-4</t>
    <phoneticPr fontId="5"/>
  </si>
  <si>
    <t>ユニット【マシン・シュプール】を 10 体ゲットしよう！</t>
  </si>
  <si>
    <t>ユニット【マシン・シュプール】を 25 体ゲットしよう！</t>
  </si>
  <si>
    <t>ユニット【マシン・シュプール】を 50 体ゲットしよう！</t>
  </si>
  <si>
    <t>ユニット【マシン・シュプール】を 75 体ゲットしよう！</t>
  </si>
  <si>
    <t>1284</t>
    <phoneticPr fontId="5"/>
  </si>
  <si>
    <t>ウィンターチケット x 3</t>
    <phoneticPr fontId="5"/>
  </si>
  <si>
    <t>ウィンターチケット x 9</t>
  </si>
  <si>
    <t>ウィンターチケット x 9</t>
    <phoneticPr fontId="5"/>
  </si>
  <si>
    <t>ウィンターチケット x 30</t>
  </si>
  <si>
    <t>ウィンターチケット x 30</t>
    <phoneticPr fontId="5"/>
  </si>
  <si>
    <t>ウィンターチケット x 15</t>
  </si>
  <si>
    <t>ウィンターチケット x 15</t>
    <phoneticPr fontId="5"/>
  </si>
  <si>
    <t>P0010</t>
    <phoneticPr fontId="5"/>
  </si>
  <si>
    <t>2016-12-12 15:00:00</t>
    <phoneticPr fontId="5"/>
  </si>
  <si>
    <t>2016-12-19 14:59:59</t>
    <phoneticPr fontId="5"/>
  </si>
  <si>
    <t>QTOW4</t>
    <phoneticPr fontId="5"/>
  </si>
  <si>
    <t>13302-1</t>
    <phoneticPr fontId="5"/>
  </si>
  <si>
    <t>2016-12-19 14:59:58</t>
  </si>
  <si>
    <t>2016-12-20 14:59:59</t>
    <phoneticPr fontId="5"/>
  </si>
  <si>
    <t>https://twitter.com/CrashFever_PR/status/807058714704236544</t>
    <phoneticPr fontId="5"/>
  </si>
  <si>
    <t>台湾/香港ベストゲーム選出記念ツイートをリツイートしよう！</t>
    <phoneticPr fontId="5"/>
  </si>
  <si>
    <t>2016-11-30 14:59:59</t>
    <phoneticPr fontId="5"/>
  </si>
  <si>
    <t>CQ0046</t>
    <phoneticPr fontId="5"/>
  </si>
  <si>
    <t>ユニット【マシン・シュプール】を 85 体ゲットしよう！</t>
    <phoneticPr fontId="5"/>
  </si>
  <si>
    <t>マリアチャレンジ をクリアしよう！</t>
    <phoneticPr fontId="5"/>
  </si>
  <si>
    <t>1284</t>
    <phoneticPr fontId="5"/>
  </si>
  <si>
    <t>60025-1</t>
    <phoneticPr fontId="5"/>
  </si>
  <si>
    <t>CQ0046</t>
    <phoneticPr fontId="5"/>
  </si>
  <si>
    <t>2016-12-19 15:00:00</t>
    <phoneticPr fontId="5"/>
  </si>
  <si>
    <t>2016-12-27 23:59:59</t>
    <phoneticPr fontId="5"/>
  </si>
  <si>
    <t>CQ0047</t>
  </si>
  <si>
    <t>CQ0048</t>
  </si>
  <si>
    <t>CQ0049</t>
  </si>
  <si>
    <t>CQ0050</t>
  </si>
  <si>
    <t>CQ0051</t>
  </si>
  <si>
    <t>CQ0052</t>
  </si>
  <si>
    <t>CQ0053</t>
  </si>
  <si>
    <t>CQ0054</t>
  </si>
  <si>
    <t>CQ0055</t>
  </si>
  <si>
    <t>CQ0056</t>
  </si>
  <si>
    <t>2016-12-26 15:00:00</t>
    <phoneticPr fontId="5"/>
  </si>
  <si>
    <t>2017-01-08 14:59:59</t>
    <phoneticPr fontId="5"/>
  </si>
  <si>
    <t>2016-12-31 14:59:59</t>
    <phoneticPr fontId="5"/>
  </si>
  <si>
    <t>2016-12-26 15:00:00</t>
    <phoneticPr fontId="5"/>
  </si>
  <si>
    <t>39010-1</t>
    <phoneticPr fontId="5"/>
  </si>
  <si>
    <t>39010-2</t>
    <phoneticPr fontId="5"/>
  </si>
  <si>
    <t>39010-3</t>
    <phoneticPr fontId="5"/>
  </si>
  <si>
    <t>39010-4</t>
    <phoneticPr fontId="5"/>
  </si>
  <si>
    <t>39011-1</t>
    <phoneticPr fontId="5"/>
  </si>
  <si>
    <t>39011-2</t>
    <phoneticPr fontId="5"/>
  </si>
  <si>
    <t>39011-3</t>
    <phoneticPr fontId="5"/>
  </si>
  <si>
    <t>39011-4</t>
    <phoneticPr fontId="5"/>
  </si>
  <si>
    <t>49013-1</t>
    <phoneticPr fontId="5"/>
  </si>
  <si>
    <t>49012-1</t>
    <phoneticPr fontId="5"/>
  </si>
  <si>
    <t>2017-01-03 15:00:00</t>
    <phoneticPr fontId="5"/>
  </si>
  <si>
    <t>CQ0057</t>
  </si>
  <si>
    <t>2017-01-06 15:00:00</t>
    <phoneticPr fontId="5"/>
  </si>
  <si>
    <t>2017-01-10 23:59:59</t>
    <phoneticPr fontId="5"/>
  </si>
  <si>
    <t>CQ0057</t>
    <phoneticPr fontId="5"/>
  </si>
  <si>
    <t>60027-1</t>
    <phoneticPr fontId="5"/>
  </si>
  <si>
    <t>CQ0058</t>
    <phoneticPr fontId="5"/>
  </si>
  <si>
    <t>CQ0058</t>
    <phoneticPr fontId="5"/>
  </si>
  <si>
    <t>QTOW5</t>
    <phoneticPr fontId="5"/>
  </si>
  <si>
    <t>CQ0059</t>
    <phoneticPr fontId="5"/>
  </si>
  <si>
    <t>CQ0059</t>
    <phoneticPr fontId="5"/>
  </si>
  <si>
    <t>2017-01-20 15:00:00</t>
    <phoneticPr fontId="5"/>
  </si>
  <si>
    <t>2017-01-26 23:59:59</t>
    <phoneticPr fontId="5"/>
  </si>
  <si>
    <t>https://game8.jp/archives/118081</t>
    <phoneticPr fontId="5"/>
  </si>
  <si>
    <t>「上方修正・超覚醒して欲しいユニット」に投票しよう！</t>
    <rPh sb="20" eb="22">
      <t>トウヒョ</t>
    </rPh>
    <phoneticPr fontId="5"/>
  </si>
  <si>
    <t>G8006</t>
    <phoneticPr fontId="5"/>
  </si>
  <si>
    <t>2017-01-27 14:59:59</t>
    <phoneticPr fontId="5"/>
  </si>
  <si>
    <t>G8007</t>
  </si>
  <si>
    <t>「クラフィ公式ニコ生」を見よう！</t>
    <phoneticPr fontId="5"/>
  </si>
  <si>
    <t>G8007</t>
    <phoneticPr fontId="5"/>
  </si>
  <si>
    <t>2017-01-22 19:30:00</t>
    <phoneticPr fontId="5"/>
  </si>
  <si>
    <t>2017-01-22 22:00:00</t>
    <phoneticPr fontId="5"/>
  </si>
  <si>
    <t>https://live.nicovideo.jp/watch/lv287332252</t>
    <phoneticPr fontId="5"/>
  </si>
  <si>
    <t>CQ0060</t>
    <phoneticPr fontId="5"/>
  </si>
  <si>
    <t>WU3481</t>
    <phoneticPr fontId="5"/>
  </si>
  <si>
    <t>MK553</t>
    <phoneticPr fontId="5"/>
  </si>
  <si>
    <t>WU3491</t>
    <phoneticPr fontId="5"/>
  </si>
  <si>
    <t>MK555</t>
    <phoneticPr fontId="5"/>
  </si>
  <si>
    <t>CQ0061</t>
  </si>
  <si>
    <t>CQ0062</t>
  </si>
  <si>
    <t>CQ0063</t>
  </si>
  <si>
    <t>CQ0064</t>
  </si>
  <si>
    <t>CQ0065</t>
  </si>
  <si>
    <t>CQ0066</t>
  </si>
  <si>
    <t>CQ0067</t>
  </si>
  <si>
    <t>CQ0068</t>
  </si>
  <si>
    <t>CQ0069</t>
  </si>
  <si>
    <t>CQ0070</t>
  </si>
  <si>
    <t>CQ0071</t>
  </si>
  <si>
    <t>CQ0072</t>
  </si>
  <si>
    <t>CQ0073</t>
  </si>
  <si>
    <t>CQ0074</t>
  </si>
  <si>
    <t>2017-01-26 15:00:00</t>
    <phoneticPr fontId="5"/>
  </si>
  <si>
    <t>2017-02-10 23:59:59</t>
    <phoneticPr fontId="5"/>
  </si>
  <si>
    <t>39008-1</t>
    <phoneticPr fontId="5"/>
  </si>
  <si>
    <t>60026-1</t>
    <phoneticPr fontId="5"/>
  </si>
  <si>
    <t>CQ0075</t>
  </si>
  <si>
    <t>CQ0076</t>
  </si>
  <si>
    <t>39008-2</t>
    <phoneticPr fontId="5"/>
  </si>
  <si>
    <t>39008-3</t>
    <phoneticPr fontId="5"/>
  </si>
  <si>
    <t>39008-4</t>
    <phoneticPr fontId="5"/>
  </si>
  <si>
    <t>39008-5</t>
    <phoneticPr fontId="5"/>
  </si>
  <si>
    <t>49008-1</t>
    <phoneticPr fontId="5"/>
  </si>
  <si>
    <t>39009-1</t>
    <phoneticPr fontId="5"/>
  </si>
  <si>
    <t>39009-2</t>
    <phoneticPr fontId="5"/>
  </si>
  <si>
    <t>39009-3</t>
  </si>
  <si>
    <t>39009-4</t>
  </si>
  <si>
    <t>39009-5</t>
  </si>
  <si>
    <t>WB300</t>
    <phoneticPr fontId="5"/>
  </si>
  <si>
    <t>WU6101</t>
  </si>
  <si>
    <t>CQ0066</t>
    <phoneticPr fontId="5"/>
  </si>
  <si>
    <t>49009-1</t>
    <phoneticPr fontId="5"/>
  </si>
  <si>
    <t>49010-1</t>
    <phoneticPr fontId="5"/>
  </si>
  <si>
    <t>49011-1</t>
    <phoneticPr fontId="5"/>
  </si>
  <si>
    <t>59001-1</t>
    <phoneticPr fontId="5"/>
  </si>
  <si>
    <t>CQ0075</t>
    <phoneticPr fontId="5"/>
  </si>
  <si>
    <t>CQ0076</t>
    <phoneticPr fontId="5"/>
  </si>
  <si>
    <t>デュラララ!!×2 コラボをTwitterでツイートしよう！</t>
    <phoneticPr fontId="5"/>
  </si>
  <si>
    <t>初音ミクコラボをTwitterでツイートしよう！</t>
    <rPh sb="0" eb="2">
      <t>ハt</t>
    </rPh>
    <phoneticPr fontId="5"/>
  </si>
  <si>
    <t>twitter://post?message=%E3%80%90%E5%88%9D%E9%9F%B3%E3%83%9F%E3%82%AF%C3%97%E3%82%AF%E3%83%A9%E3%83%83%E3%82%B7%E3%83%A5%E3%83%95%E3%82%A3%E3%83%BC%E3%83%90%E3%83%BC%E3%80%91%E3%82%B3%E3%83%A9%E3%83%9C%E9%96%8B%E5%82%AC%E4%B8%AD%EF%BC%81%E4%BB%8A%E3%81%A0%E3%81%91%E3%80%8E%E9%9B%AA%E3%83%9F%E3%82%AF%E3%80%8F%E3%81%AA%E3%81%A9%E3%81%AE%E3%82%B3%E3%83%A9%E3%83%9C%E3%83%A6%E3%83%8B%E3%83%83%E3%83%88%E3%82%84%E3%83%9D%E3%83%AA%E3%82%B4%E3%83%B3%E5%90%88%E8%A8%8839%E5%80%8B%E3%81%8C%E3%82%B2%E3%83%83%E3%83%88%E3%81%A7%E3%81%8D%E3%81%A1%E3%82%83%E3%81%86%E2%99%AA%E3%83%9F%E3%82%AF%E8%89%B2%E3%81%AB%E6%9F%93%E3%81%BE%E3%81%A3%E3%81%9F%E3%82%AF%E3%83%A9%E3%83%83%E3%82%B7%E3%83%A5%E3%83%95%E3%82%A3%E3%83%BC%E3%83%90%E3%83%BC%E3%81%AE%E4%B8%96%E7%95%8C%E3%81%B8%EF%BC%81%E3%80%90%E3%83%96%E3%83%83%E5%BF%AB%E6%84%9F%E2%99%AA%E3%80%91http%3A%2F%2Fcrashfever.com%2Fletsplay%0D%0A%23%E3%82%AF%E3%83%A9%E3%83%95%E3%82%A3</t>
    <phoneticPr fontId="5"/>
  </si>
  <si>
    <r>
      <t>【初級】雪の歌姫</t>
    </r>
    <r>
      <rPr>
        <sz val="12"/>
        <color rgb="FF454545"/>
        <rFont val="Helvetica Neue"/>
        <family val="2"/>
      </rPr>
      <t xml:space="preserve"> </t>
    </r>
    <r>
      <rPr>
        <sz val="12"/>
        <color rgb="FF454545"/>
        <rFont val=".Hiragino Kaku Gothic Interface"/>
        <family val="2"/>
      </rPr>
      <t>をクリアしよう！</t>
    </r>
    <phoneticPr fontId="5"/>
  </si>
  <si>
    <r>
      <t>【中級】雪の歌姫</t>
    </r>
    <r>
      <rPr>
        <sz val="12"/>
        <color rgb="FF454545"/>
        <rFont val="Helvetica Neue"/>
        <family val="2"/>
      </rPr>
      <t xml:space="preserve"> </t>
    </r>
    <r>
      <rPr>
        <sz val="12"/>
        <color rgb="FF454545"/>
        <rFont val=".Hiragino Kaku Gothic Interface"/>
        <family val="2"/>
      </rPr>
      <t>をクリアしよう！</t>
    </r>
    <phoneticPr fontId="5"/>
  </si>
  <si>
    <r>
      <t>【超絶級】雪の歌姫</t>
    </r>
    <r>
      <rPr>
        <sz val="12"/>
        <color rgb="FF454545"/>
        <rFont val="Helvetica Neue"/>
        <family val="2"/>
      </rPr>
      <t xml:space="preserve"> </t>
    </r>
    <r>
      <rPr>
        <sz val="12"/>
        <color rgb="FF454545"/>
        <rFont val=".Hiragino Kaku Gothic Interface"/>
        <family val="2"/>
      </rPr>
      <t>をクリアしよう！</t>
    </r>
    <phoneticPr fontId="5"/>
  </si>
  <si>
    <r>
      <t>【初級】星空の歌姫</t>
    </r>
    <r>
      <rPr>
        <sz val="12"/>
        <color rgb="FF454545"/>
        <rFont val="Helvetica Neue"/>
        <family val="2"/>
      </rPr>
      <t xml:space="preserve"> </t>
    </r>
    <r>
      <rPr>
        <sz val="12"/>
        <color rgb="FF454545"/>
        <rFont val=".Hiragino Kaku Gothic Interface"/>
        <family val="2"/>
      </rPr>
      <t>をクリアしよう！</t>
    </r>
    <phoneticPr fontId="5"/>
  </si>
  <si>
    <r>
      <t>【中級】星空の歌姫</t>
    </r>
    <r>
      <rPr>
        <sz val="12"/>
        <color rgb="FF454545"/>
        <rFont val="Helvetica Neue"/>
        <family val="2"/>
      </rPr>
      <t xml:space="preserve"> </t>
    </r>
    <r>
      <rPr>
        <sz val="12"/>
        <color rgb="FF454545"/>
        <rFont val=".Hiragino Kaku Gothic Interface"/>
        <family val="2"/>
      </rPr>
      <t>をクリアしよう！</t>
    </r>
    <phoneticPr fontId="5"/>
  </si>
  <si>
    <r>
      <t>【上級】星空の歌姫</t>
    </r>
    <r>
      <rPr>
        <sz val="12"/>
        <color rgb="FF454545"/>
        <rFont val="Helvetica Neue"/>
        <family val="2"/>
      </rPr>
      <t xml:space="preserve"> </t>
    </r>
    <r>
      <rPr>
        <sz val="12"/>
        <color rgb="FF454545"/>
        <rFont val=".Hiragino Kaku Gothic Interface"/>
        <family val="2"/>
      </rPr>
      <t>をクリアしよう！</t>
    </r>
    <phoneticPr fontId="5"/>
  </si>
  <si>
    <r>
      <t>【超級】星空の歌姫</t>
    </r>
    <r>
      <rPr>
        <sz val="12"/>
        <color rgb="FF454545"/>
        <rFont val="Helvetica Neue"/>
        <family val="2"/>
      </rPr>
      <t xml:space="preserve"> </t>
    </r>
    <r>
      <rPr>
        <sz val="12"/>
        <color rgb="FF454545"/>
        <rFont val=".Hiragino Kaku Gothic Interface"/>
        <family val="2"/>
      </rPr>
      <t>をクリアしよう！</t>
    </r>
    <phoneticPr fontId="5"/>
  </si>
  <si>
    <r>
      <t>【超絶級】星空の歌姫</t>
    </r>
    <r>
      <rPr>
        <sz val="12"/>
        <color rgb="FF454545"/>
        <rFont val="Helvetica Neue"/>
        <family val="2"/>
      </rPr>
      <t xml:space="preserve"> </t>
    </r>
    <r>
      <rPr>
        <sz val="12"/>
        <color rgb="FF454545"/>
        <rFont val=".Hiragino Kaku Gothic Interface"/>
        <family val="2"/>
      </rPr>
      <t>をクリアしよう！</t>
    </r>
    <phoneticPr fontId="5"/>
  </si>
  <si>
    <r>
      <t>【ウィザード級】熱唱！初音ミク</t>
    </r>
    <r>
      <rPr>
        <sz val="12"/>
        <color rgb="FF454545"/>
        <rFont val="Helvetica Neue"/>
        <family val="2"/>
      </rPr>
      <t xml:space="preserve">V3 </t>
    </r>
    <r>
      <rPr>
        <sz val="12"/>
        <color rgb="FF454545"/>
        <rFont val=".Hiragino Kaku Gothic Interface"/>
        <family val="2"/>
      </rPr>
      <t>をクリアしよう！</t>
    </r>
    <phoneticPr fontId="5"/>
  </si>
  <si>
    <r>
      <t>【ウィザード級】電子音協奏曲</t>
    </r>
    <r>
      <rPr>
        <sz val="12"/>
        <color rgb="FF454545"/>
        <rFont val="Helvetica Neue"/>
        <family val="2"/>
      </rPr>
      <t xml:space="preserve"> </t>
    </r>
    <r>
      <rPr>
        <sz val="12"/>
        <color rgb="FF454545"/>
        <rFont val=".Hiragino Kaku Gothic Interface"/>
        <family val="2"/>
      </rPr>
      <t>をクリアしよう！</t>
    </r>
    <phoneticPr fontId="5"/>
  </si>
  <si>
    <r>
      <t>【ｳｨｻﾞ】走り抜けろ！</t>
    </r>
    <r>
      <rPr>
        <sz val="12"/>
        <color rgb="FF454545"/>
        <rFont val="Helvetica Neue"/>
        <family val="2"/>
      </rPr>
      <t xml:space="preserve">ALICE GP </t>
    </r>
    <r>
      <rPr>
        <sz val="12"/>
        <color rgb="FF454545"/>
        <rFont val=".Hiragino Kaku Gothic Interface"/>
        <family val="2"/>
      </rPr>
      <t>をクリアしよう！</t>
    </r>
    <phoneticPr fontId="5"/>
  </si>
  <si>
    <r>
      <t>【ｳｨｻﾞ】秘密のイベント潜入作戦</t>
    </r>
    <r>
      <rPr>
        <sz val="12"/>
        <color rgb="FF454545"/>
        <rFont val="Helvetica Neue"/>
        <family val="2"/>
      </rPr>
      <t xml:space="preserve"> </t>
    </r>
    <r>
      <rPr>
        <sz val="12"/>
        <color rgb="FF454545"/>
        <rFont val=".Hiragino Kaku Gothic Interface"/>
        <family val="2"/>
      </rPr>
      <t>をクリアしよう！</t>
    </r>
    <phoneticPr fontId="5"/>
  </si>
  <si>
    <r>
      <t>【超ウィザード級】電子歌姫の堕天使</t>
    </r>
    <r>
      <rPr>
        <sz val="12"/>
        <color rgb="FF454545"/>
        <rFont val="Helvetica Neue"/>
        <family val="2"/>
      </rPr>
      <t xml:space="preserve"> </t>
    </r>
    <r>
      <rPr>
        <sz val="12"/>
        <color rgb="FF454545"/>
        <rFont val=".Hiragino Kaku Gothic Interface"/>
        <family val="2"/>
      </rPr>
      <t>をクリアしよう！</t>
    </r>
    <phoneticPr fontId="5"/>
  </si>
  <si>
    <r>
      <t>【超級】雪の歌姫</t>
    </r>
    <r>
      <rPr>
        <sz val="12"/>
        <color rgb="FF454545"/>
        <rFont val="Helvetica Neue"/>
        <family val="2"/>
      </rPr>
      <t xml:space="preserve"> </t>
    </r>
    <r>
      <rPr>
        <sz val="12"/>
        <color rgb="FF454545"/>
        <rFont val=".Hiragino Kaku Gothic Interface"/>
        <family val="2"/>
      </rPr>
      <t>をクリアしよう！</t>
    </r>
    <phoneticPr fontId="5"/>
  </si>
  <si>
    <r>
      <t>【上級】雪の歌姫</t>
    </r>
    <r>
      <rPr>
        <sz val="12"/>
        <color rgb="FF454545"/>
        <rFont val="Helvetica Neue"/>
        <family val="2"/>
      </rPr>
      <t xml:space="preserve"> </t>
    </r>
    <r>
      <rPr>
        <sz val="12"/>
        <color rgb="FF454545"/>
        <rFont val=".Hiragino Kaku Gothic Interface"/>
        <family val="2"/>
      </rPr>
      <t>をクリアしよう！</t>
    </r>
    <phoneticPr fontId="5"/>
  </si>
  <si>
    <t>初音ミクコラボをLINEのタイムライン投稿しよう！</t>
    <rPh sb="0" eb="2">
      <t>ハt</t>
    </rPh>
    <phoneticPr fontId="5"/>
  </si>
  <si>
    <t>line://msg/text/%E3%80%90%E5%88%9D%E9%9F%B3%E3%83%9F%E3%82%AF%C3%97%E3%82%AF%E3%83%A9%E3%83%83%E3%82%B7%E3%83%A5%E3%83%95%E3%82%A3%E3%83%BC%E3%83%90%E3%83%BC%E3%80%91%E3%82%B3%E3%83%A9%E3%83%9C%E9%96%8B%E5%82%AC%E4%B8%AD%EF%BC%81%E4%BB%8A%E3%81%A0%E3%81%91%E3%80%8E%E9%9B%AA%E3%83%9F%E3%82%AF%E3%80%8F%E3%81%AA%E3%81%A9%E3%81%AE%E3%82%B3%E3%83%A9%E3%83%9C%E3%83%A6%E3%83%8B%E3%83%83%E3%83%88%E3%82%84%E3%83%9D%E3%83%AA%E3%82%B4%E3%83%B3%E5%90%88%E8%A8%8839%E5%80%8B%E3%81%8C%E3%82%B2%E3%83%83%E3%83%88%E3%81%A7%E3%81%8D%E3%81%A1%E3%82%83%E3%81%86%E2%99%AA%E3%83%9F%E3%82%AF%E8%89%B2%E3%81%AB%E6%9F%93%E3%81%BE%E3%81%A3%E3%81%9F%E3%82%AF%E3%83%A9%E3%83%83%E3%82%B7%E3%83%A5%E3%83%95%E3%82%A3%E3%83%BC%E3%83%90%E3%83%BC%E3%81%AE%E4%B8%96%E7%95%8C%E3%81%B8%EF%BC%81%E3%80%90%E3%83%96%E3%83%83%E5%BF%AB%E6%84%9F%E2%99%AA%E3%80%91http%3A%2F%2Fcrashfever.com%2Fletsplay</t>
    <phoneticPr fontId="5"/>
  </si>
  <si>
    <t>QTOW6</t>
    <phoneticPr fontId="5"/>
  </si>
  <si>
    <t>CQ0077</t>
    <phoneticPr fontId="5"/>
  </si>
  <si>
    <t>CQ0078</t>
  </si>
  <si>
    <t>47007-1</t>
    <phoneticPr fontId="5"/>
  </si>
  <si>
    <t>CQ0078</t>
    <phoneticPr fontId="5"/>
  </si>
  <si>
    <t>47007-2</t>
    <phoneticPr fontId="5"/>
  </si>
  <si>
    <t>CQ0079</t>
  </si>
  <si>
    <t>CQ0080</t>
  </si>
  <si>
    <t>47008-1</t>
    <phoneticPr fontId="5"/>
  </si>
  <si>
    <t>47008-2</t>
    <phoneticPr fontId="5"/>
  </si>
  <si>
    <t>CQ0081</t>
  </si>
  <si>
    <t>CQ0081</t>
    <phoneticPr fontId="5"/>
  </si>
  <si>
    <t>CQ0082</t>
  </si>
  <si>
    <t>CQ0082</t>
    <phoneticPr fontId="5"/>
  </si>
  <si>
    <t>1364</t>
    <phoneticPr fontId="5"/>
  </si>
  <si>
    <t>CQ0083</t>
  </si>
  <si>
    <t>1351</t>
    <phoneticPr fontId="5"/>
  </si>
  <si>
    <t>WU3352</t>
    <phoneticPr fontId="5"/>
  </si>
  <si>
    <t>WU3392</t>
    <phoneticPr fontId="5"/>
  </si>
  <si>
    <t>CQ0084</t>
    <phoneticPr fontId="5"/>
  </si>
  <si>
    <t>CQ0085</t>
    <phoneticPr fontId="5"/>
  </si>
  <si>
    <t>CQ0086</t>
    <phoneticPr fontId="5"/>
  </si>
  <si>
    <t>CQ0087</t>
  </si>
  <si>
    <t>11228-1</t>
    <phoneticPr fontId="5"/>
  </si>
  <si>
    <t>CQ0087</t>
    <phoneticPr fontId="5"/>
  </si>
  <si>
    <t>2017-02-14 15:00:00</t>
    <phoneticPr fontId="5"/>
  </si>
  <si>
    <t>2017-02-13 15:00:00</t>
    <phoneticPr fontId="5"/>
  </si>
  <si>
    <t>2017-02-21 14:59:59</t>
    <phoneticPr fontId="5"/>
  </si>
  <si>
    <t>←なぜかこのIDだと入らない…</t>
    <rPh sb="10" eb="11">
      <t>ハイラn</t>
    </rPh>
    <phoneticPr fontId="5"/>
  </si>
  <si>
    <t>クエスト 静かなる混乱 をクリアしよう！</t>
    <phoneticPr fontId="5"/>
  </si>
  <si>
    <t>ユニット【百菓の甘味家パティ】を10体ゲットしよう！</t>
    <phoneticPr fontId="5"/>
  </si>
  <si>
    <t>ユニット【百菓の甘味家パティ】を20体ゲットしよう！</t>
    <phoneticPr fontId="5"/>
  </si>
  <si>
    <t>ユニット【百菓の甘味家パティ】を30体ゲットしよう！</t>
    <phoneticPr fontId="5"/>
  </si>
  <si>
    <t>ユニット【甘頬の魔糖菓プラリーヌ】を10体ゲットしよう！</t>
    <phoneticPr fontId="5"/>
  </si>
  <si>
    <t>ユニット【甘頬の魔糖菓プラリーヌ】を20体ゲットしよう！</t>
    <phoneticPr fontId="5"/>
  </si>
  <si>
    <t>ユニット【甘頬の魔糖菓プラリーヌ】を30体ゲットしよう！</t>
    <phoneticPr fontId="5"/>
  </si>
  <si>
    <t>【上級】ツンデレ少女の恋心 をクリアしよう！</t>
  </si>
  <si>
    <t>【ウィザード級】ツンデレ少女の恋心 をクリアしよう！</t>
  </si>
  <si>
    <t>【上級】ふんわり少女の恋心 をクリアしよう！</t>
    <phoneticPr fontId="5"/>
  </si>
  <si>
    <t>【ウィザード級】ふんわり少女の恋心 をクリアしよう！</t>
  </si>
  <si>
    <t>11226-6</t>
    <phoneticPr fontId="5"/>
  </si>
  <si>
    <t>9115</t>
    <phoneticPr fontId="5"/>
  </si>
  <si>
    <t>9116</t>
    <phoneticPr fontId="5"/>
  </si>
  <si>
    <t>9117</t>
    <phoneticPr fontId="5"/>
  </si>
  <si>
    <t>使用済みmission_id</t>
    <rPh sb="0" eb="3">
      <t>シヨウz</t>
    </rPh>
    <phoneticPr fontId="5"/>
  </si>
  <si>
    <t>L0003</t>
    <phoneticPr fontId="5"/>
  </si>
  <si>
    <t>L0004</t>
    <phoneticPr fontId="5"/>
  </si>
  <si>
    <t>4</t>
    <phoneticPr fontId="5"/>
  </si>
  <si>
    <t>L0006</t>
    <phoneticPr fontId="5"/>
  </si>
  <si>
    <t>achievement_criterion_value</t>
    <phoneticPr fontId="5"/>
  </si>
  <si>
    <t>WQ4003</t>
    <phoneticPr fontId="5"/>
  </si>
  <si>
    <t>11006-4</t>
    <phoneticPr fontId="5"/>
  </si>
  <si>
    <t>土日限定クエスト：【超級】ゴールドカジノ をクリアしよう！</t>
    <rPh sb="0" eb="4">
      <t>ドニチゲンテイ</t>
    </rPh>
    <rPh sb="10" eb="11">
      <t>チョ</t>
    </rPh>
    <phoneticPr fontId="5"/>
  </si>
  <si>
    <t>シリーズ6-1</t>
    <phoneticPr fontId="5"/>
  </si>
  <si>
    <t>シリーズ6-2</t>
    <phoneticPr fontId="5"/>
  </si>
  <si>
    <t>シリーズ6-3</t>
    <phoneticPr fontId="5"/>
  </si>
  <si>
    <t>2017-02-27 15:00:00</t>
    <phoneticPr fontId="5"/>
  </si>
  <si>
    <t>2017-03-06 14:59:59</t>
    <phoneticPr fontId="5"/>
  </si>
  <si>
    <t>CQ0088</t>
    <phoneticPr fontId="5"/>
  </si>
  <si>
    <t>60028-1</t>
    <phoneticPr fontId="5"/>
  </si>
  <si>
    <t>2017-03-03 15:00:00</t>
    <phoneticPr fontId="5"/>
  </si>
  <si>
    <t>2017-03-06 23:59:59</t>
    <phoneticPr fontId="5"/>
  </si>
  <si>
    <t>2017-03-02 15:00:00</t>
    <phoneticPr fontId="5"/>
  </si>
  <si>
    <t>2017-03-03 23:59:59</t>
    <phoneticPr fontId="5"/>
  </si>
  <si>
    <t>CQ9999</t>
    <phoneticPr fontId="5"/>
  </si>
  <si>
    <t>achievement_criterion_count検証ミッション</t>
    <rPh sb="27" eb="29">
      <t>ケンショ</t>
    </rPh>
    <phoneticPr fontId="5"/>
  </si>
  <si>
    <t>65525-1</t>
    <phoneticPr fontId="5"/>
  </si>
  <si>
    <t>O0063</t>
    <phoneticPr fontId="5"/>
  </si>
  <si>
    <t>O0064</t>
    <phoneticPr fontId="5"/>
  </si>
  <si>
    <t>achievement_criterion_count</t>
    <phoneticPr fontId="5"/>
  </si>
  <si>
    <t>ホワイトデーイベント開催をTwitterでツイートしよう！</t>
    <rPh sb="10" eb="12">
      <t>カ</t>
    </rPh>
    <phoneticPr fontId="5"/>
  </si>
  <si>
    <t>ホワイトデーイベント開催をLINEでタイムライン投稿しよう！</t>
    <rPh sb="10" eb="12">
      <t>カ</t>
    </rPh>
    <rPh sb="24" eb="26">
      <t>トウコ</t>
    </rPh>
    <phoneticPr fontId="5"/>
  </si>
  <si>
    <t>%E3%83%9B%E3%83%AF%E3%82%A4%E3%83%88%E3%83%87%E3%83%BC%E3%82%AD%E3%83%A3%E3%83%B3%E3%83%9A%E3%83%BC%E3%83%B3%E5%AE%9F%E6%96%BD%E4%B8%AD%E2%99%AA%E4%BB%8A%E3%81%AA%E3%82%89%E3%80%901%E6%97%A51%E5%9B%9E%E7%84%A1%E6%96%99%E3%82%AC%E3%83%81%E3%83%A3%E3%80%91%E3%81%8C%E5%9B%9E%E3%81%9B%E3%81%A1%E3%82%83%E3%81%86%E2%98%86%E3%83%9B%E3%83%AF%E3%82%A4%E3%83%88%E3%83%87%E3%83%BC%E9%99%90%E5%AE%9A%E3%83%A6%E3%83%8B%E3%83%83%E3%83%88%E3%81%8C%E6%89%8B%E3%81%AB%E5%85%A5%E3%82%8B%E3%83%81%E3%83%A3%E3%83%B3%E3%82%B9%EF%BC%81%E3%82%AF%E3%83%A9%E3%83%83%E3%82%B7%E3%83%A5%E3%83%95%E3%82%A3%E3%83%BC%E3%83%90%E3%83%BC%E3%81%AE%E3%82%A4%E3%83%B3%E3%82%B9%E3%83%88%E3%83%BC%E3%83%AB%E3%81%AF%E3%81%93%E3%81%A1%E3%82%89%E2%99%AA%E2%86%92%20http%3A%2F%2Fcrashfever.com%2Fletsplay%2F%20%23%E3%82%AF%E3%83%A9%E3%83%95%E3%82%A3</t>
    <phoneticPr fontId="5"/>
  </si>
  <si>
    <t>%E3%83%9B%E3%83%AF%E3%82%A4%E3%83%88%E3%83%87%E3%83%BC%E3%82%AD%E3%83%A3%E3%83%B3%E3%83%9A%E3%83%BC%E3%83%B3%E5%AE%9F%E6%96%BD%E4%B8%AD%E2%99%AA%E4%BB%8A%E3%81%AA%E3%82%89%E3%80%901%E6%97%A51%E5%9B%9E%E7%84%A1%E6%96%99%E3%82%AC%E3%83%81%E3%83%A3%E3%80%91%E3%81%8C%E5%9B%9E%E3%81%9B%E3%81%A1%E3%82%83%E3%81%86%E2%98%86%E3%83%9B%E3%83%AF%E3%82%A4%E3%83%88%E3%83%87%E3%83%BC%E9%99%90%E5%AE%9A%E3%83%A6%E3%83%8B%E3%83%83%E3%83%88%E3%81%8C%E6%89%8B%E3%81%AB%E5%85%A5%E3%82%8B%E3%83%81%E3%83%A3%E3%83%B3%E3%82%B9%EF%BC%81%E3%82%AF%E3%83%A9%E3%83%83%E3%82%B7%E3%83%A5%E3%83%95%E3%82%A3%E3%83%BC%E3%83%90%E3%83%BC%E3%81%AE%E3%82%A4%E3%83%B3%E3%82%B9%E3%83%88%E3%83%BC%E3%83%AB%E3%81%AF%E3%81%93%E3%81%A1%E3%82%89%E2%99%AA%E2%86%92%20http%3A%2F%2Fcrashfever.com%2Fletsplay</t>
  </si>
  <si>
    <t>2017-03-09 15:00:00</t>
    <phoneticPr fontId="5"/>
  </si>
  <si>
    <t>2017-03-15 14:59:59</t>
    <phoneticPr fontId="5"/>
  </si>
  <si>
    <t>CQ0088</t>
    <phoneticPr fontId="5"/>
  </si>
  <si>
    <t>CQ0089</t>
  </si>
  <si>
    <t>47010-1</t>
    <phoneticPr fontId="5"/>
  </si>
  <si>
    <t>47010-2</t>
    <phoneticPr fontId="5"/>
  </si>
  <si>
    <t>CQ0090</t>
  </si>
  <si>
    <t>CQ0091</t>
  </si>
  <si>
    <t>CQ0092</t>
  </si>
  <si>
    <t>CQ0093</t>
  </si>
  <si>
    <t>CQ0094</t>
  </si>
  <si>
    <t>CQ0095</t>
  </si>
  <si>
    <t>1407</t>
    <phoneticPr fontId="5"/>
  </si>
  <si>
    <t>I70303</t>
  </si>
  <si>
    <t>I70303</t>
    <phoneticPr fontId="5"/>
  </si>
  <si>
    <t>ホワイトデーチケット x 3</t>
    <phoneticPr fontId="5"/>
  </si>
  <si>
    <t>ホワイトデーチケット x 9</t>
    <phoneticPr fontId="5"/>
  </si>
  <si>
    <t>ホワイトデーチケット x 15</t>
    <phoneticPr fontId="5"/>
  </si>
  <si>
    <t>ホワイトデーチケット x 30</t>
    <phoneticPr fontId="5"/>
  </si>
  <si>
    <t>I70309</t>
  </si>
  <si>
    <t>I70309</t>
    <phoneticPr fontId="5"/>
  </si>
  <si>
    <t>I70315</t>
  </si>
  <si>
    <t>I70315</t>
    <phoneticPr fontId="5"/>
  </si>
  <si>
    <t>I70330</t>
  </si>
  <si>
    <t>I70330</t>
    <phoneticPr fontId="5"/>
  </si>
  <si>
    <t>ホワイトデーチケット × 3</t>
    <phoneticPr fontId="5"/>
  </si>
  <si>
    <t>ホワイトデーチケット × 30</t>
    <phoneticPr fontId="5"/>
  </si>
  <si>
    <t>ホワイトデーチケット × 15</t>
    <phoneticPr fontId="5"/>
  </si>
  <si>
    <t>ホワイトデーチケット × 9</t>
    <phoneticPr fontId="5"/>
  </si>
  <si>
    <t>2017-03-16 14:59:59</t>
    <phoneticPr fontId="5"/>
  </si>
  <si>
    <t>2970-01-01 00:00:00</t>
  </si>
  <si>
    <t>U06321</t>
  </si>
  <si>
    <t>U06321</t>
    <phoneticPr fontId="5"/>
  </si>
  <si>
    <t>U06331</t>
    <phoneticPr fontId="5"/>
  </si>
  <si>
    <t>3-4</t>
    <phoneticPr fontId="5"/>
  </si>
  <si>
    <t>U06331</t>
  </si>
  <si>
    <t>E0006</t>
    <phoneticPr fontId="5"/>
  </si>
  <si>
    <t>Q9024</t>
  </si>
  <si>
    <t>Q9025</t>
  </si>
  <si>
    <t>2017-03-21 11:00:00</t>
    <phoneticPr fontId="5"/>
  </si>
  <si>
    <t>2017-04-04 10:59:59</t>
    <phoneticPr fontId="5"/>
  </si>
  <si>
    <t>にゃんこワクワクチケット x 10</t>
    <phoneticPr fontId="5"/>
  </si>
  <si>
    <t>CQ2222</t>
    <phoneticPr fontId="5"/>
  </si>
  <si>
    <t>Nyanko:001</t>
    <phoneticPr fontId="5"/>
  </si>
  <si>
    <t>CQ2223</t>
    <phoneticPr fontId="5"/>
  </si>
  <si>
    <t>Nyanko:002</t>
    <phoneticPr fontId="5"/>
  </si>
  <si>
    <t>other_applications_mission_completed</t>
    <phoneticPr fontId="5"/>
  </si>
  <si>
    <t>「にゃんこ大戦争」で『恋するウィルス』をクリアしよう！</t>
  </si>
  <si>
    <t>「にゃんこ大戦争」で『収束する光』をクリアしよう！</t>
  </si>
  <si>
    <t>Q0004</t>
    <phoneticPr fontId="5"/>
  </si>
  <si>
    <t>E0005</t>
    <phoneticPr fontId="5"/>
  </si>
  <si>
    <t>3-3</t>
    <phoneticPr fontId="5"/>
  </si>
  <si>
    <t>O0065</t>
  </si>
  <si>
    <t>O0065</t>
    <phoneticPr fontId="5"/>
  </si>
  <si>
    <t>O0066</t>
  </si>
  <si>
    <t>O0066</t>
    <phoneticPr fontId="5"/>
  </si>
  <si>
    <t>O0067</t>
  </si>
  <si>
    <t>O0067</t>
    <phoneticPr fontId="5"/>
  </si>
  <si>
    <t>ponos-battlecats4://ponos/crashfever1-jp</t>
    <phoneticPr fontId="5"/>
  </si>
  <si>
    <t>ponos-battlecats4://ponos/crashfever2-jp</t>
    <phoneticPr fontId="5"/>
  </si>
  <si>
    <t>ponos-battlecats4://ponos/crashfever3-jp</t>
    <phoneticPr fontId="5"/>
  </si>
  <si>
    <t>U15041</t>
    <phoneticPr fontId="5"/>
  </si>
  <si>
    <t>にゃんこ大戦争用アイテム</t>
    <phoneticPr fontId="5"/>
  </si>
  <si>
    <t>O0068</t>
    <phoneticPr fontId="5"/>
  </si>
  <si>
    <t>O0069</t>
    <phoneticPr fontId="5"/>
  </si>
  <si>
    <t>にゃんこ大戦争コラボをTwitterでツイートしよう！</t>
    <phoneticPr fontId="5"/>
  </si>
  <si>
    <t>にゃんこ大戦争コラボをLINEでタイムライン投稿しよう！</t>
    <rPh sb="22" eb="24">
      <t>トウコ</t>
    </rPh>
    <phoneticPr fontId="5"/>
  </si>
  <si>
    <t>CQ0096</t>
  </si>
  <si>
    <t>CQ0097</t>
  </si>
  <si>
    <t>CQ0098</t>
  </si>
  <si>
    <t>CQ0099</t>
  </si>
  <si>
    <t>CQ0100</t>
  </si>
  <si>
    <t>CQ0101</t>
  </si>
  <si>
    <t>CQ0102</t>
  </si>
  <si>
    <t>CQ0103</t>
  </si>
  <si>
    <t>39012-1</t>
    <phoneticPr fontId="5"/>
  </si>
  <si>
    <t>39012-2</t>
    <phoneticPr fontId="5"/>
  </si>
  <si>
    <t>39012-3</t>
    <phoneticPr fontId="5"/>
  </si>
  <si>
    <t>39012-4</t>
    <phoneticPr fontId="5"/>
  </si>
  <si>
    <t>39012-5</t>
    <phoneticPr fontId="5"/>
  </si>
  <si>
    <t>49014-1</t>
    <phoneticPr fontId="5"/>
  </si>
  <si>
    <t>49014-2</t>
    <phoneticPr fontId="5"/>
  </si>
  <si>
    <t>59002-1</t>
    <phoneticPr fontId="5"/>
  </si>
  <si>
    <t>I70410</t>
    <phoneticPr fontId="5"/>
  </si>
  <si>
    <t>I70405</t>
    <phoneticPr fontId="5"/>
  </si>
  <si>
    <t>I70407</t>
    <phoneticPr fontId="5"/>
  </si>
  <si>
    <t>P0003</t>
    <phoneticPr fontId="5"/>
  </si>
  <si>
    <t>にゃんこワクワクチケット x 5</t>
    <phoneticPr fontId="5"/>
  </si>
  <si>
    <t>にゃんこワクワクチケット x 7</t>
    <phoneticPr fontId="5"/>
  </si>
  <si>
    <t>U15471</t>
    <phoneticPr fontId="5"/>
  </si>
  <si>
    <t>「にゃんこ大戦争」で『ハッピー100』がもらえるよ【1回のみ】</t>
    <phoneticPr fontId="5"/>
  </si>
  <si>
    <t>Q0027</t>
  </si>
  <si>
    <t>Q0027</t>
    <phoneticPr fontId="5"/>
  </si>
  <si>
    <t>Q0028</t>
  </si>
  <si>
    <t>Q0028</t>
    <phoneticPr fontId="5"/>
  </si>
  <si>
    <t>Q0029</t>
  </si>
  <si>
    <t>Q0029</t>
    <phoneticPr fontId="5"/>
  </si>
  <si>
    <t>「にゃんこ大戦争」で『XP30000』がもらえるよ【1回のみ】</t>
    <phoneticPr fontId="5"/>
  </si>
  <si>
    <t>「にゃんこ大戦争」で『にゃんこチケット3枚』がもらえるよ【1回のみ】</t>
    <rPh sb="20" eb="21">
      <t>マ</t>
    </rPh>
    <phoneticPr fontId="5"/>
  </si>
  <si>
    <t>%E3%80%90%E3%81%AB%E3%82%83%E3%82%93%E3%81%93%E5%A4%A7%E6%88%A6%E4%BA%89%C3%97%E3%82%AF%E3%83%A9%E3%83%83%E3%82%B7%E3%83%A5%E3%83%95%E3%82%A3%E3%83%BC%E3%83%90%E3%83%BC%E3%80%91%E3%81%AB%E3%82%83%E3%82%93%E3%81%93%E9%81%94%E3%81%8C%E3%82%AF%E3%83%A9%E3%83%95%E3%82%A3%E3%81%AE%E4%B8%96%E7%95%8C%E3%81%AB%E9%80%B2%E8%BB%8D%EF%BC%81%EF%BC%9F%E4%BB%8A%E3%81%AA%E3%82%89%E3%81%82%E3%81%AE%E3%80%8C%E3%81%AB%E3%82%83%E3%82%93%E3%81%93%E3%80%8D%E9%81%94%E3%81%8C%E3%82%AF%E3%82%A8%E3%82%B9%E3%83%88%E3%81%A7%E6%89%8B%E3%81%AB%E5%85%A5%E3%82%8B%E2%99%AA%E3%80%90%E9%80%B2%E8%BB%8D%E3%81%AB%E3%82%83%EF%BC%81%E3%80%91%E3%82%AF%E3%83%A9%E3%83%83%E3%82%B7%E3%83%A5%E3%83%95%E3%82%A3%E3%83%BC%E3%83%90%E3%83%BC%E3%81%AE%E3%82%A4%E3%83%B3%E3%82%B9%E3%83%88%E3%83%BC%E3%83%AB%E3%81%AF%E3%81%93%E3%81%A1%E3%82%89%E2%99%AA%E2%86%92%20http%3A%2F%2Fcrashfever.com%2Fletsplay%2F%20%23%E3%82%AF%E3%83%A9%E3%83%95%E3%82%A3</t>
    <phoneticPr fontId="5"/>
  </si>
  <si>
    <t>%E3%80%90%E3%81%AB%E3%82%83%E3%82%93%E3%81%93%E5%A4%A7%E6%88%A6%E4%BA%89%C3%97%E3%82%AF%E3%83%A9%E3%83%83%E3%82%B7%E3%83%A5%E3%83%95%E3%82%A3%E3%83%BC%E3%83%90%E3%83%BC%E3%80%91%E3%81%AB%E3%82%83%E3%82%93%E3%81%93%E9%81%94%E3%81%8C%E3%82%AF%E3%83%A9%E3%83%95%E3%82%A3%E3%81%AE%E4%B8%96%E7%95%8C%E3%81%AB%E9%80%B2%E8%BB%8D%EF%BC%81%EF%BC%9F%E4%BB%8A%E3%81%AA%E3%82%89%E3%81%82%E3%81%AE%E3%80%8C%E3%81%AB%E3%82%83%E3%82%93%E3%81%93%E3%80%8D%E9%81%94%E3%81%8C%E3%82%AF%E3%82%A8%E3%82%B9%E3%83%88%E3%81%A7%E6%89%8B%E3%81%AB%E5%85%A5%E3%82%8B%E2%99%AA%E3%80%90%E9%80%B2%E8%BB%8D%E3%81%AB%E3%82%83%EF%BC%81%E3%80%91%E3%82%AF%E3%83%A9%E3%83%83%E3%82%B7%E3%83%A5%E3%83%95%E3%82%A3%E3%83%BC%E3%83%90%E3%83%BC%E3%81%AE%E3%82%A4%E3%83%B3%E3%82%B9%E3%83%88%E3%83%BC%E3%83%AB%E3%81%AF%E3%81%93%E3%81%A1%E3%82%89%E2%99%AA%E2%86%92%20http%3A%2F%2Fcrashfever.com%2Fletsplay%2F</t>
    <phoneticPr fontId="5"/>
  </si>
  <si>
    <t>「挑戦する」でにゃんこ大戦争が起動！
※このミッション自体は達成できません</t>
    <rPh sb="15" eb="17">
      <t>キド</t>
    </rPh>
    <phoneticPr fontId="5"/>
  </si>
  <si>
    <t>K1025</t>
  </si>
  <si>
    <t>K1050</t>
  </si>
  <si>
    <t>K1075</t>
  </si>
  <si>
    <t>K1100</t>
  </si>
  <si>
    <t>K1125</t>
  </si>
  <si>
    <t>K1150</t>
  </si>
  <si>
    <t>K1175</t>
  </si>
  <si>
    <t>K1200</t>
  </si>
  <si>
    <t>K1225</t>
  </si>
  <si>
    <t>K1250</t>
  </si>
  <si>
    <t>K1275</t>
  </si>
  <si>
    <t>K1300</t>
  </si>
  <si>
    <t>K1325</t>
  </si>
  <si>
    <t>K1350</t>
  </si>
  <si>
    <t>K1375</t>
  </si>
  <si>
    <t>K1400</t>
  </si>
  <si>
    <t>K1425</t>
  </si>
  <si>
    <t>K1450</t>
  </si>
  <si>
    <t>K1475</t>
  </si>
  <si>
    <t>K1500</t>
  </si>
  <si>
    <t>K1525</t>
  </si>
  <si>
    <t>K1550</t>
  </si>
  <si>
    <t>K1575</t>
  </si>
  <si>
    <t>K1600</t>
  </si>
  <si>
    <t>K1625</t>
  </si>
  <si>
    <t>K1650</t>
  </si>
  <si>
    <t>K1675</t>
  </si>
  <si>
    <t>K1700</t>
  </si>
  <si>
    <t>K1725</t>
  </si>
  <si>
    <t>K1750</t>
  </si>
  <si>
    <t>K1775</t>
  </si>
  <si>
    <t>K1800</t>
  </si>
  <si>
    <t>K1825</t>
  </si>
  <si>
    <t>K1850</t>
  </si>
  <si>
    <t>K1875</t>
  </si>
  <si>
    <t>K1900</t>
  </si>
  <si>
    <t>K1925</t>
  </si>
  <si>
    <t>K1950</t>
  </si>
  <si>
    <t>K1975</t>
  </si>
  <si>
    <t>K2000</t>
  </si>
  <si>
    <t>K0041</t>
  </si>
  <si>
    <t>K0042</t>
  </si>
  <si>
    <t>K0043</t>
  </si>
  <si>
    <t>K0044</t>
  </si>
  <si>
    <t>K0045</t>
  </si>
  <si>
    <t>K0046</t>
  </si>
  <si>
    <t>K0047</t>
  </si>
  <si>
    <t>K0048</t>
  </si>
  <si>
    <t>K0049</t>
  </si>
  <si>
    <t>K0051</t>
  </si>
  <si>
    <t>K0052</t>
  </si>
  <si>
    <t>K0053</t>
  </si>
  <si>
    <t>K0054</t>
  </si>
  <si>
    <t>K0055</t>
  </si>
  <si>
    <t>K0056</t>
  </si>
  <si>
    <t>K0057</t>
  </si>
  <si>
    <t>K0058</t>
  </si>
  <si>
    <t>K0059</t>
  </si>
  <si>
    <t>K0060</t>
  </si>
  <si>
    <t>K0061</t>
  </si>
  <si>
    <t>K0062</t>
  </si>
  <si>
    <t>K0063</t>
  </si>
  <si>
    <t>K0064</t>
  </si>
  <si>
    <t>K0065</t>
  </si>
  <si>
    <t>K0066</t>
  </si>
  <si>
    <t>K0067</t>
  </si>
  <si>
    <t>K0068</t>
  </si>
  <si>
    <t>K0069</t>
  </si>
  <si>
    <t>K0070</t>
  </si>
  <si>
    <t>K0071</t>
  </si>
  <si>
    <t>K0072</t>
  </si>
  <si>
    <t>K0073</t>
  </si>
  <si>
    <t>K0074</t>
  </si>
  <si>
    <t>K0076</t>
  </si>
  <si>
    <t>K0077</t>
  </si>
  <si>
    <t>K0078</t>
  </si>
  <si>
    <t>K0079</t>
  </si>
  <si>
    <t>K0080</t>
  </si>
  <si>
    <t>P0025</t>
  </si>
  <si>
    <t>P0025</t>
    <phoneticPr fontId="5"/>
  </si>
  <si>
    <t>P0050</t>
  </si>
  <si>
    <t>U06072</t>
  </si>
  <si>
    <t>U06072</t>
    <phoneticPr fontId="5"/>
  </si>
  <si>
    <t>U06082</t>
  </si>
  <si>
    <t>U06082</t>
    <phoneticPr fontId="5"/>
  </si>
  <si>
    <t>U06092</t>
  </si>
  <si>
    <t>U06092</t>
    <phoneticPr fontId="5"/>
  </si>
  <si>
    <t>U06102</t>
  </si>
  <si>
    <t>U06102</t>
    <phoneticPr fontId="5"/>
  </si>
  <si>
    <t>U06111</t>
  </si>
  <si>
    <t>U06111</t>
    <phoneticPr fontId="5"/>
  </si>
  <si>
    <t>U06112</t>
  </si>
  <si>
    <t>U06112</t>
    <phoneticPr fontId="5"/>
  </si>
  <si>
    <t>U06113</t>
    <phoneticPr fontId="5"/>
  </si>
  <si>
    <t>U06121</t>
  </si>
  <si>
    <t>U06121</t>
    <phoneticPr fontId="5"/>
  </si>
  <si>
    <t>U06122</t>
  </si>
  <si>
    <t>U06122</t>
    <phoneticPr fontId="5"/>
  </si>
  <si>
    <t>U06123</t>
    <phoneticPr fontId="5"/>
  </si>
  <si>
    <t>U06131</t>
  </si>
  <si>
    <t>U06131</t>
    <phoneticPr fontId="5"/>
  </si>
  <si>
    <t>U06132</t>
    <phoneticPr fontId="5"/>
  </si>
  <si>
    <t>U06133</t>
    <phoneticPr fontId="5"/>
  </si>
  <si>
    <t>U06141</t>
  </si>
  <si>
    <t>U06141</t>
    <phoneticPr fontId="5"/>
  </si>
  <si>
    <t>U06142</t>
    <phoneticPr fontId="5"/>
  </si>
  <si>
    <t>U06143</t>
    <phoneticPr fontId="5"/>
  </si>
  <si>
    <t>I00101</t>
  </si>
  <si>
    <t>I00101</t>
    <phoneticPr fontId="5"/>
  </si>
  <si>
    <t>I00201</t>
  </si>
  <si>
    <t>I00201</t>
    <phoneticPr fontId="5"/>
  </si>
  <si>
    <t>I00301</t>
  </si>
  <si>
    <t>I00301</t>
    <phoneticPr fontId="5"/>
  </si>
  <si>
    <t>I00401</t>
  </si>
  <si>
    <t>I00401</t>
    <phoneticPr fontId="5"/>
  </si>
  <si>
    <t>ビットキー</t>
    <phoneticPr fontId="5"/>
  </si>
  <si>
    <t>経験値キー</t>
    <phoneticPr fontId="5"/>
  </si>
  <si>
    <t>限界突破キー</t>
    <phoneticPr fontId="5"/>
  </si>
  <si>
    <t>I00102</t>
    <phoneticPr fontId="5"/>
  </si>
  <si>
    <t>I00202</t>
  </si>
  <si>
    <t>I00202</t>
    <phoneticPr fontId="5"/>
  </si>
  <si>
    <t>I00302</t>
    <phoneticPr fontId="5"/>
  </si>
  <si>
    <t>I00402</t>
    <phoneticPr fontId="5"/>
  </si>
  <si>
    <t>QTOW7</t>
    <phoneticPr fontId="5"/>
  </si>
  <si>
    <t>2017-03-27 15:00:00</t>
    <phoneticPr fontId="5"/>
  </si>
  <si>
    <t>2017-04-03 14:59:59</t>
    <phoneticPr fontId="5"/>
  </si>
  <si>
    <t>13400-1</t>
    <phoneticPr fontId="5"/>
  </si>
  <si>
    <t>I70501</t>
    <phoneticPr fontId="5"/>
  </si>
  <si>
    <t>I70503</t>
    <phoneticPr fontId="5"/>
  </si>
  <si>
    <t>I70505</t>
    <phoneticPr fontId="5"/>
  </si>
  <si>
    <t>I70507</t>
    <phoneticPr fontId="5"/>
  </si>
  <si>
    <t>I70510</t>
    <phoneticPr fontId="5"/>
  </si>
  <si>
    <t>桜の花びら x 3</t>
    <phoneticPr fontId="5"/>
  </si>
  <si>
    <t>桜の花びら x 1</t>
    <rPh sb="0" eb="1">
      <t>サクr</t>
    </rPh>
    <phoneticPr fontId="5"/>
  </si>
  <si>
    <t>桜の花びら x 5</t>
    <phoneticPr fontId="5"/>
  </si>
  <si>
    <t>桜の花びら x 7</t>
    <phoneticPr fontId="5"/>
  </si>
  <si>
    <t>桜の花びら x 10</t>
    <phoneticPr fontId="5"/>
  </si>
  <si>
    <t>CQ0104</t>
    <phoneticPr fontId="5"/>
  </si>
  <si>
    <t>CQ0105</t>
    <phoneticPr fontId="5"/>
  </si>
  <si>
    <t>CQ0106</t>
    <phoneticPr fontId="5"/>
  </si>
  <si>
    <t>CQ0107</t>
    <phoneticPr fontId="5"/>
  </si>
  <si>
    <t>CQ0108</t>
    <phoneticPr fontId="5"/>
  </si>
  <si>
    <t>1497</t>
  </si>
  <si>
    <t>2017-04-05 15:00:00</t>
    <phoneticPr fontId="5"/>
  </si>
  <si>
    <t>2017-04-12 14:59:59</t>
    <phoneticPr fontId="5"/>
  </si>
  <si>
    <t>30118</t>
    <phoneticPr fontId="5"/>
  </si>
  <si>
    <t>M30118</t>
    <phoneticPr fontId="5"/>
  </si>
  <si>
    <t>30119</t>
    <phoneticPr fontId="5"/>
  </si>
  <si>
    <t>30120</t>
    <phoneticPr fontId="5"/>
  </si>
  <si>
    <t>30121</t>
    <phoneticPr fontId="5"/>
  </si>
  <si>
    <t>M30119</t>
    <phoneticPr fontId="5"/>
  </si>
  <si>
    <t>M30120</t>
    <phoneticPr fontId="5"/>
  </si>
  <si>
    <t>M30121</t>
    <phoneticPr fontId="5"/>
  </si>
  <si>
    <t>O0070</t>
    <phoneticPr fontId="5"/>
  </si>
  <si>
    <t>O0071</t>
    <phoneticPr fontId="5"/>
  </si>
  <si>
    <t>花見キャンペーンをTwitterでツイートしよう！</t>
    <rPh sb="0" eb="2">
      <t>ハナm</t>
    </rPh>
    <phoneticPr fontId="5"/>
  </si>
  <si>
    <t>花見キャンペーンをLINEでタイムライン投稿しよう！</t>
    <rPh sb="0" eb="2">
      <t>ハナm</t>
    </rPh>
    <rPh sb="20" eb="22">
      <t>トウコ</t>
    </rPh>
    <phoneticPr fontId="5"/>
  </si>
  <si>
    <t>CQ0109</t>
    <phoneticPr fontId="5"/>
  </si>
  <si>
    <t>CQ0110</t>
    <phoneticPr fontId="5"/>
  </si>
  <si>
    <t>47012-1</t>
    <phoneticPr fontId="5"/>
  </si>
  <si>
    <t>47012-2</t>
    <phoneticPr fontId="5"/>
  </si>
  <si>
    <t>P0002</t>
    <phoneticPr fontId="5"/>
  </si>
  <si>
    <t>桜の花びら</t>
    <rPh sb="0" eb="1">
      <t>サクラノ</t>
    </rPh>
    <phoneticPr fontId="5"/>
  </si>
  <si>
    <t>%E3%81%8A%E8%8A%B1%E8%A6%8B%E3%82%AD%E3%83%A3%E3%83%B3%E3%83%9A%E3%83%BC%E3%83%B3%E5%AE%9F%E6%96%BD%E4%B8%AD%E2%99%AA%E3%80%90%E3%81%BF%E3%82%93%E3%81%AA%E3%81%A7%E5%8D%94%E5%8A%9B%EF%BC%81%E3%80%91%E3%82%B5%E3%82%AF%E3%83%A9%E3%82%92%E6%BA%80%E9%96%8B%E3%81%AB%E3%81%97%E3%81%A6%E8%B1%AA%E8%8F%AF%E5%A0%B1%E9%85%AC%E3%82%92%E3%82%B2%E3%83%83%E3%83%88%E3%81%97%E3%82%88%E3%81%86%EF%BC%81%E3%82%AF%E3%83%A9%E3%83%83%E3%82%B7%E3%83%A5%E3%83%95%E3%82%A3%E3%83%BC%E3%83%90%E3%83%BC%E3%81%AE%E3%82%A4%E3%83%B3%E3%82%B9%E3%83%88%E3%83%BC%E3%83%AB%E3%81%AF%E3%81%93%E3%81%A1%E3%82%89%E2%99%AA%E2%86%92%20http%3A%2F%2Fcrashfever.com%2Fletsplay%2F%20%23%E3%82%AF%E3%83%A9%E3%83%95%E3%82%A3</t>
  </si>
  <si>
    <t>%E3%81%8A%E8%8A%B1%E8%A6%8B%E3%82%AD%E3%83%A3%E3%83%B3%E3%83%9A%E3%83%BC%E3%83%B3%E5%AE%9F%E6%96%BD%E4%B8%AD%E2%99%AA%E3%80%90%E3%81%BF%E3%82%93%E3%81%AA%E3%81%A7%E5%8D%94%E5%8A%9B%EF%BC%81%E3%80%91%E3%82%B5%E3%82%AF%E3%83%A9%E3%82%92%E6%BA%80%E9%96%8B%E3%81%AB%E3%81%97%E3%81%A6%E8%B1%AA%E8%8F%AF%E5%A0%B1%E9%85%AC%E3%82%92%E3%82%B2%E3%83%83%E3%83%88%E3%81%97%E3%82%88%E3%81%86%EF%BC%81%E3%82%AF%E3%83%A9%E3%83%83%E3%82%B7%E3%83%A5%E3%83%95%E3%82%A3%E3%83%BC%E3%83%90%E3%83%BC%E3%81%AE%E3%82%A4%E3%83%B3%E3%82%B9%E3%83%88%E3%83%BC%E3%83%AB%E3%81%AF%E3%81%93%E3%81%A1%E3%82%89%E2%99%AA%E2%86%92%20http%3A%2F%2Fcrashfever.com%2Fletsplay%2F</t>
  </si>
  <si>
    <t>G8008</t>
    <phoneticPr fontId="5"/>
  </si>
  <si>
    <t>「第１回クラフィユニット人気投票アンケート」に投票しよう！</t>
    <rPh sb="23" eb="25">
      <t>トウヒョ</t>
    </rPh>
    <phoneticPr fontId="5"/>
  </si>
  <si>
    <t>https://game8.jp/archives/140857</t>
    <phoneticPr fontId="5"/>
  </si>
  <si>
    <t>2017-04-10 15:00:00</t>
    <phoneticPr fontId="5"/>
  </si>
  <si>
    <t>2017-04-17 14:59:59</t>
    <phoneticPr fontId="5"/>
  </si>
  <si>
    <t>CQ0111</t>
    <phoneticPr fontId="5"/>
  </si>
  <si>
    <t>60029-1</t>
    <phoneticPr fontId="5"/>
  </si>
  <si>
    <t>2017-04-21 15:00:00</t>
    <phoneticPr fontId="5"/>
  </si>
  <si>
    <t>2017-04-24 23:59:59</t>
    <phoneticPr fontId="5"/>
  </si>
  <si>
    <t>2017-04-25 15:00:00</t>
    <phoneticPr fontId="5"/>
  </si>
  <si>
    <t>2017-05-08 14:59:59</t>
    <phoneticPr fontId="5"/>
  </si>
  <si>
    <t>1000億BKキャンペーンをTwitterでツイートしよう！</t>
    <rPh sb="4" eb="5">
      <t>oku</t>
    </rPh>
    <phoneticPr fontId="5"/>
  </si>
  <si>
    <t>1000億BKキャンペーンをLINEでタイムライン投稿しよう！</t>
    <rPh sb="25" eb="27">
      <t>トウコ</t>
    </rPh>
    <phoneticPr fontId="5"/>
  </si>
  <si>
    <t>O0072</t>
    <phoneticPr fontId="5"/>
  </si>
  <si>
    <t>O0073</t>
    <phoneticPr fontId="5"/>
  </si>
  <si>
    <t>CQ0112</t>
    <phoneticPr fontId="5"/>
  </si>
  <si>
    <t>CQ0113</t>
    <phoneticPr fontId="5"/>
  </si>
  <si>
    <t>47013-1</t>
    <phoneticPr fontId="5"/>
  </si>
  <si>
    <t>47013-2</t>
    <phoneticPr fontId="5"/>
  </si>
  <si>
    <t>%E3%80%90%E5%85%A8%E4%B8%96%E7%95%8C1000%E5%84%84%E3%83%91%E3%83%8D%E3%83%AB%E3%83%96%E3%83%83%E5%A3%8A%E3%81%97%E8%A8%98%E5%BF%B5%EF%BC%81%E3%80%91%E4%BB%8A%E3%81%AA%E3%82%89%E3%80%8E%E3%83%AD%E3%82%B0%E3%82%A4%E3%83%B3%E3%81%99%E3%82%8B%E3%81%A0%E3%81%91%E3%80%8F%E3%81%A7%E3%80%9010%E9%80%A3%E3%83%AC%E3%82%A2%E3%82%AC%E3%83%81%E3%83%A3%E3%80%91%E3%81%8C1%E5%9B%9E%E7%84%A1%E6%96%99%EF%BC%81%EF%BC%81%E3%80%8E1000%E5%84%84BK%E3%82%AD%E3%83%A3%E3%83%B3%E3%83%9A%E3%83%BC%E3%83%B3%E3%80%8F%E9%96%8B%E5%82%AC%E4%B8%AD%EF%BC%81%E3%81%95%E3%82%89%E3%81%AB%E3%82%AB%E3%83%AF%E3%82%A4%E3%82%A4%E9%99%90%E5%AE%9A%E3%82%AD%E3%83%A3%E3%83%A9%E3%82%82%E7%99%BB%E5%A0%B4%EF%BC%81%E3%82%82%E3%81%A1%E3%82%8D%E3%82%93%E7%84%A1%E6%96%99%E3%80%9010%E9%80%A3%E3%83%AC%E3%82%A2%E3%82%AC%E3%83%81%E3%83%A3%E3%80%91%E3%81%A7%E3%82%82%E9%81%8B%E3%81%8C%E8%89%AF%E3%81%91%E3%82%8C%E3%81%B0%E3%82%B2%E3%83%83%E3%83%88%E3%81%A7%E3%81%8D%E3%81%A1%E3%82%83%E3%81%86%EF%BC%81%E3%82%A4%E3%83%B3%E3%82%B9%E3%83%88%E3%83%BC%E3%83%AB%E3%81%AF%E3%81%93%E3%81%A1%E3%82%89%E2%99%AA%E2%86%92%20http%3A%2F%2Fcrashfever.com%2Fletsplay%2F</t>
    <phoneticPr fontId="5"/>
  </si>
  <si>
    <t>%E3%80%90%E5%85%A8%E4%B8%96%E7%95%8C1000%E5%84%84%E3%83%91%E3%83%8D%E3%83%AB%E3%83%96%E3%83%83%E5%A3%8A%E3%81%97%E8%A8%98%E5%BF%B5%EF%BC%81%E3%80%91%E4%BB%8A%E3%81%AA%E3%82%89%E3%80%8E%E3%83%AD%E3%82%B0%E3%82%A4%E3%83%B3%E3%81%99%E3%82%8B%E3%81%A0%E3%81%91%E3%80%8F%E3%81%A7%E3%80%9010%E9%80%A3%E3%82%AC%E3%83%81%E3%83%A3%E3%80%91%E3%81%8C1%E5%9B%9E%E7%84%A1%E6%96%99%EF%BC%81%EF%BC%81%E3%80%8E1000%E5%84%84BK%E3%82%AD%E3%83%A3%E3%83%B3%E3%83%9A%E3%83%BC%E3%83%B3%E3%80%8F%E9%96%8B%E5%82%AC%E4%B8%AD%EF%BC%81%E3%81%95%E3%82%89%E3%81%AB%E9%99%90%E5%AE%9A%E3%82%AD%E3%83%A3%E3%83%A9%E3%82%82%E7%99%BB%E5%A0%B4%EF%BC%81%E3%82%A4%E3%83%B3%E3%82%B9%E3%83%88%E3%83%BC%E3%83%AB%E3%81%AF%E3%81%93%E3%81%A1%E3%82%89%E2%99%AA%E2%86%92http%3A%2F%2Fcrashfever.com%2Fletsplay%2F%20%23%E3%82%AF%E3%83%A9%E3%83%95%E3%82%A3</t>
    <phoneticPr fontId="5"/>
  </si>
  <si>
    <t>QTOW8</t>
    <phoneticPr fontId="5"/>
  </si>
  <si>
    <t>2017-04-29 15:00:00</t>
    <phoneticPr fontId="5"/>
  </si>
  <si>
    <t>2017-05-05 14:59:59</t>
    <phoneticPr fontId="5"/>
  </si>
  <si>
    <t>CQ0113</t>
    <phoneticPr fontId="5"/>
  </si>
  <si>
    <t>CQ0114</t>
    <phoneticPr fontId="5"/>
  </si>
  <si>
    <t>47013-4</t>
    <phoneticPr fontId="5"/>
  </si>
  <si>
    <t>2017-05-02 15:00:00</t>
    <phoneticPr fontId="5"/>
  </si>
  <si>
    <t>CQ0115</t>
    <phoneticPr fontId="5"/>
  </si>
  <si>
    <t>60031-1</t>
    <phoneticPr fontId="5"/>
  </si>
  <si>
    <t>2017-05-05 15:00:00</t>
    <phoneticPr fontId="5"/>
  </si>
  <si>
    <t>2017-05-08 23:59:59</t>
    <phoneticPr fontId="5"/>
  </si>
  <si>
    <t>CQ0116</t>
    <phoneticPr fontId="5"/>
  </si>
  <si>
    <t>60030-1</t>
    <phoneticPr fontId="5"/>
  </si>
  <si>
    <t>2017-05-17 15:00:00</t>
    <phoneticPr fontId="5"/>
  </si>
  <si>
    <t>2017-05-22 23:59:59</t>
    <phoneticPr fontId="5"/>
  </si>
  <si>
    <t>49015-1</t>
    <phoneticPr fontId="5"/>
  </si>
  <si>
    <t>49015-2</t>
  </si>
  <si>
    <t>49015-3</t>
  </si>
  <si>
    <t>CQ0117</t>
    <phoneticPr fontId="5"/>
  </si>
  <si>
    <t>CQ0118</t>
    <phoneticPr fontId="5"/>
  </si>
  <si>
    <t>CQ0119</t>
    <phoneticPr fontId="5"/>
  </si>
  <si>
    <t>2017-05-22 15:00:00</t>
    <phoneticPr fontId="5"/>
  </si>
  <si>
    <t>2017-05-29 14:59:59</t>
    <phoneticPr fontId="5"/>
  </si>
  <si>
    <t>O0074</t>
  </si>
  <si>
    <t>O0075</t>
  </si>
  <si>
    <t>O0074</t>
    <phoneticPr fontId="5"/>
  </si>
  <si>
    <t>O0075</t>
    <phoneticPr fontId="5"/>
  </si>
  <si>
    <t>鋼の錬金術師コラボをLINEでタイムライン投稿しよう！</t>
    <rPh sb="21" eb="23">
      <t>トウコ</t>
    </rPh>
    <phoneticPr fontId="5"/>
  </si>
  <si>
    <t>鋼の錬金術師コラボをTwitterでツイートしよう！</t>
    <phoneticPr fontId="5"/>
  </si>
  <si>
    <t>%E3%80%90%E9%8B%BC%E3%81%AE%E9%8C%AC%E9%87%91%E8%A1%93%E5%B8%AB%C3%97%E3%82%AF%E3%83%A9%E3%83%83%E3%82%B7%E3%83%A5%E3%83%95%E3%82%A3%E3%83%BC%E3%83%90%E3%83%BC%E3%80%91%E3%82%A8%E3%83%AB%E3%83%AA%E3%83%83%E3%82%AF%E5%85%84%E5%BC%9F%E3%82%84%E3%83%9E%E3%82%B9%E3%82%BF%E3%83%B3%E3%82%B0%E5%A4%A7%E4%BD%90%E3%81%8C%E3%82%AF%E3%83%A9%E3%83%95%E3%82%A3%E3%81%AB%E7%99%BB%E5%A0%B4%EF%BC%81%E3%81%95%E3%82%89%E3%81%AB%E9%99%90%E5%AE%9A%E3%82%B3%E3%83%A9%E3%83%9C%E3%82%AF%E3%82%A8%E3%82%B9%E3%83%88%E3%82%92%E9%96%8B%E5%82%AC%E4%B8%AD%EF%BC%81%EF%BC%81%E4%BB%8A%E3%81%99%E3%81%90%E3%83%97%E3%83%AC%E3%82%A4%E2%99%AA%E2%86%92%20http%3A%2F%2Fcrashfever.com%2Fletsplay%2F%20%23%E3%82%AF%E3%83%A9%E3%83%95%E3%82%A3</t>
  </si>
  <si>
    <t>%E3%80%90%E9%8B%BC%E3%81%AE%E9%8C%AC%E9%87%91%E8%A1%93%E5%B8%AB%C3%97%E3%82%AF%E3%83%A9%E3%83%83%E3%82%B7%E3%83%A5%E3%83%95%E3%82%A3%E3%83%BC%E3%83%90%E3%83%BC%E3%80%91%E3%82%A8%E3%83%AB%E3%83%AA%E3%83%83%E3%82%AF%E5%85%84%E5%BC%9F%E3%82%84%E3%83%9E%E3%82%B9%E3%82%BF%E3%83%B3%E3%82%B0%E5%A4%A7%E4%BD%90%E3%81%8C%E3%82%AF%E3%83%A9%E3%83%95%E3%82%A3%E3%81%AB%E7%99%BB%E5%A0%B4%EF%BC%81%E3%81%95%E3%82%89%E3%81%AB%E9%99%90%E5%AE%9A%E3%82%B3%E3%83%A9%E3%83%9C%E3%82%AF%E3%82%A8%E3%82%B9%E3%83%88%E3%82%92%E9%96%8B%E5%82%AC%E4%B8%AD%EF%BC%81%EF%BC%81%E4%BB%8A%E3%81%99%E3%81%90%E3%83%97%E3%83%AC%E3%82%A4%E2%99%AA%E2%86%92%20http%3A%2F%2Fcrashfever.com%2Fletsplay%2F</t>
  </si>
  <si>
    <t>O0076</t>
  </si>
  <si>
    <t>O0077</t>
  </si>
  <si>
    <t>O0076</t>
    <phoneticPr fontId="5"/>
  </si>
  <si>
    <t>O0077</t>
    <phoneticPr fontId="5"/>
  </si>
  <si>
    <t>サントラ第一弾の情報をチェックしよう！</t>
    <rPh sb="4" eb="7">
      <t>ダイイチダンノ</t>
    </rPh>
    <rPh sb="8" eb="10">
      <t>ジョウホウ</t>
    </rPh>
    <phoneticPr fontId="5"/>
  </si>
  <si>
    <t>サントラ第二弾の情報をチェックしよう！</t>
    <rPh sb="4" eb="7">
      <t>ダイニダン</t>
    </rPh>
    <rPh sb="8" eb="10">
      <t>ジョウホウ</t>
    </rPh>
    <phoneticPr fontId="5"/>
  </si>
  <si>
    <t>http://wonderpla.net/info/20160516/</t>
    <phoneticPr fontId="5"/>
  </si>
  <si>
    <t>2017-05-26 15:00:00</t>
    <phoneticPr fontId="5"/>
  </si>
  <si>
    <t>2017-06-08 14:59:59</t>
    <phoneticPr fontId="5"/>
  </si>
  <si>
    <t>2017-05-31 15:00:00</t>
    <phoneticPr fontId="5"/>
  </si>
  <si>
    <t>CQ0120</t>
    <phoneticPr fontId="5"/>
  </si>
  <si>
    <t>CQ0121</t>
    <phoneticPr fontId="5"/>
  </si>
  <si>
    <t>47004-4</t>
    <phoneticPr fontId="5"/>
  </si>
  <si>
    <t>47006-2</t>
    <phoneticPr fontId="5"/>
  </si>
  <si>
    <t>2017-06-02 14:59:59</t>
    <phoneticPr fontId="5"/>
  </si>
  <si>
    <t>2017-06-01 15:00:00</t>
    <phoneticPr fontId="5"/>
  </si>
  <si>
    <t>ウィンターチケット x 5</t>
    <phoneticPr fontId="5"/>
  </si>
  <si>
    <t>I70205</t>
    <phoneticPr fontId="5"/>
  </si>
  <si>
    <t>ウィンターチケット</t>
  </si>
  <si>
    <t>CQ0122</t>
  </si>
  <si>
    <t>CQ0123</t>
  </si>
  <si>
    <t>CQ0124</t>
  </si>
  <si>
    <t>47014-1</t>
    <phoneticPr fontId="5"/>
  </si>
  <si>
    <t>47014-2</t>
  </si>
  <si>
    <t>47014-3</t>
  </si>
  <si>
    <t>CQ0122</t>
    <phoneticPr fontId="5"/>
  </si>
  <si>
    <t>O0078</t>
    <phoneticPr fontId="5"/>
  </si>
  <si>
    <t>O0079</t>
    <phoneticPr fontId="5"/>
  </si>
  <si>
    <t>2017-05-30 15:00:00</t>
    <phoneticPr fontId="5"/>
  </si>
  <si>
    <t>2017-06-12 14:59:59</t>
    <phoneticPr fontId="5"/>
  </si>
  <si>
    <t>全世界800万DL突破をTwitterでツイートしよう！</t>
    <phoneticPr fontId="5"/>
  </si>
  <si>
    <t>全世界800万DL突破をLINEでタイムライン投稿しよう！</t>
    <rPh sb="23" eb="25">
      <t>トウコ</t>
    </rPh>
    <phoneticPr fontId="5"/>
  </si>
  <si>
    <t>RT0001</t>
  </si>
  <si>
    <t>RT0002</t>
  </si>
  <si>
    <t>RT0003</t>
  </si>
  <si>
    <t>RT0004</t>
  </si>
  <si>
    <t>RT0010</t>
  </si>
  <si>
    <t>RT0011</t>
  </si>
  <si>
    <t>RT0030</t>
  </si>
  <si>
    <t>RT0031</t>
  </si>
  <si>
    <t>RT0050</t>
  </si>
  <si>
    <t>RT0051</t>
  </si>
  <si>
    <t>RT0070</t>
  </si>
  <si>
    <t>RT0071</t>
  </si>
  <si>
    <t>RT0100</t>
  </si>
  <si>
    <t>RT0101</t>
  </si>
  <si>
    <t>RT0150</t>
  </si>
  <si>
    <t>RT0151</t>
  </si>
  <si>
    <t>RT0200</t>
  </si>
  <si>
    <t>RT0201</t>
  </si>
  <si>
    <t>RT0250</t>
  </si>
  <si>
    <t>RT0251</t>
  </si>
  <si>
    <t>RT0300</t>
  </si>
  <si>
    <t>RT0301</t>
  </si>
  <si>
    <t>RT0400</t>
  </si>
  <si>
    <t>RT0401</t>
  </si>
  <si>
    <t>10</t>
    <phoneticPr fontId="5"/>
  </si>
  <si>
    <t>30</t>
  </si>
  <si>
    <t>50</t>
  </si>
  <si>
    <t>70</t>
  </si>
  <si>
    <t>100</t>
  </si>
  <si>
    <t>150</t>
  </si>
  <si>
    <t>200</t>
  </si>
  <si>
    <t>250</t>
  </si>
  <si>
    <t>300</t>
  </si>
  <si>
    <t>400</t>
  </si>
  <si>
    <t>R0125</t>
    <phoneticPr fontId="5"/>
  </si>
  <si>
    <t>150</t>
    <phoneticPr fontId="5"/>
  </si>
  <si>
    <t>200</t>
    <phoneticPr fontId="5"/>
  </si>
  <si>
    <t>250</t>
    <phoneticPr fontId="5"/>
  </si>
  <si>
    <t>300</t>
    <phoneticPr fontId="5"/>
  </si>
  <si>
    <t>400</t>
    <phoneticPr fontId="5"/>
  </si>
  <si>
    <t>R0150</t>
    <phoneticPr fontId="5"/>
  </si>
  <si>
    <t>R0200</t>
    <phoneticPr fontId="5"/>
  </si>
  <si>
    <t>R0250</t>
    <phoneticPr fontId="5"/>
  </si>
  <si>
    <t>R0300</t>
    <phoneticPr fontId="5"/>
  </si>
  <si>
    <t>R0400</t>
    <phoneticPr fontId="5"/>
  </si>
  <si>
    <t>R0010</t>
    <phoneticPr fontId="5"/>
  </si>
  <si>
    <t>R0030</t>
    <phoneticPr fontId="5"/>
  </si>
  <si>
    <t>R0070</t>
    <phoneticPr fontId="5"/>
  </si>
  <si>
    <t>R0100</t>
    <phoneticPr fontId="5"/>
  </si>
  <si>
    <t>T00001</t>
    <phoneticPr fontId="5"/>
  </si>
  <si>
    <t>T00002</t>
  </si>
  <si>
    <t>T00003</t>
  </si>
  <si>
    <t>T00004</t>
  </si>
  <si>
    <t>T00005</t>
  </si>
  <si>
    <t>T00006</t>
  </si>
  <si>
    <t>T00007</t>
  </si>
  <si>
    <t>T00008</t>
  </si>
  <si>
    <t>T00009</t>
  </si>
  <si>
    <t>T00010</t>
  </si>
  <si>
    <t>T00011</t>
  </si>
  <si>
    <t>T00012</t>
  </si>
  <si>
    <t>T00013</t>
  </si>
  <si>
    <t>T00014</t>
  </si>
  <si>
    <t>T00015</t>
  </si>
  <si>
    <t>T00016</t>
  </si>
  <si>
    <t>T00017</t>
  </si>
  <si>
    <t>T00018</t>
  </si>
  <si>
    <t>T00019</t>
  </si>
  <si>
    <t>T00020</t>
  </si>
  <si>
    <t>T00021</t>
  </si>
  <si>
    <t>T00022</t>
  </si>
  <si>
    <t>T00023</t>
  </si>
  <si>
    <t>T00024</t>
  </si>
  <si>
    <t>チュートリアルをクリアしよう！</t>
  </si>
  <si>
    <t>U08371</t>
  </si>
  <si>
    <t>%E3%80%90%E5%85%A8%E4%B8%96%E7%95%8C800%E4%B8%87%E3%83%80%E3%82%A6%E3%83%B3%E3%83%AD%E3%83%BC%E3%83%89%E7%AA%81%E7%A0%B4%EF%BC%81%E3%80%91%E3%82%AF%E3%83%A9%E3%83%83%E3%82%B7%E3%83%A5%E3%83%95%E3%82%A3%E3%83%BC%E3%83%90%E3%83%BC%E2%98%85%E8%A8%98%E5%BF%B5%E3%82%AD%E3%83%A3%E3%83%B3%E3%83%9A%E3%83%BC%E3%83%B3%E5%AE%9F%E6%96%BD%E4%B8%AD%EF%BC%81%E6%96%B0%E6%A9%9F%E8%83%BD%E3%80%8C%E3%83%9E%E3%83%AB%E3%83%81%E3%83%AB%E3%83%BC%E3%83%A0%E3%80%8D%E3%82%84%E3%81%9D%E3%81%AE%E4%BB%96%E3%82%AD%E3%83%A3%E3%83%B3%E3%83%9A%E3%83%BC%E3%83%B3%E7%9B%9B%E3%82%8A%E3%81%A0%E3%81%8F%E3%81%95%E3%82%93%EF%BC%81%EF%BC%81%E6%9C%9F%E9%96%93%E4%B8%AD%E3%80%81%E8%A8%98%E5%BF%B5%E3%83%AD%E3%82%B0%E3%83%9C%E3%81%A7%E3%82%A2%E3%82%A4%E3%83%86%E3%83%A0%E3%81%96%E3%81%8F%E3%81%96%E3%81%8F%E3%82%82%E3%82%89%E3%81%88%E3%82%8B%EF%BC%81%EF%BC%81%E4%BB%8A%E3%81%99%E3%81%90%E3%83%97%E3%83%AC%E3%82%A4%E2%99%AA%E2%86%92%20http%3A%2F%2Fcrashfever.com%2Fletsplay%2F%20%23%E3%82%AF%E3%83%A9%E3%83%95%E3%82%A3</t>
  </si>
  <si>
    <t>%E3%80%90%E5%85%A8%E4%B8%96%E7%95%8C800%E4%B8%87%E3%83%80%E3%82%A6%E3%83%B3%E3%83%AD%E3%83%BC%E3%83%89%E7%AA%81%E7%A0%B4%EF%BC%81%E3%80%91%E3%82%AF%E3%83%A9%E3%83%83%E3%82%B7%E3%83%A5%E3%83%95%E3%82%A3%E3%83%BC%E3%83%90%E3%83%BC%E2%98%85%E8%A8%98%E5%BF%B5%E3%82%AD%E3%83%A3%E3%83%B3%E3%83%9A%E3%83%BC%E3%83%B3%E5%AE%9F%E6%96%BD%E4%B8%AD%EF%BC%81%E6%96%B0%E6%A9%9F%E8%83%BD%E3%80%8C%E3%83%9E%E3%83%AB%E3%83%81%E3%83%AB%E3%83%BC%E3%83%A0%E3%80%8D%E3%82%84%E3%81%9D%E3%81%AE%E4%BB%96%E3%82%AD%E3%83%A3%E3%83%B3%E3%83%9A%E3%83%BC%E3%83%B3%E7%9B%9B%E3%82%8A%E3%81%A0%E3%81%8F%E3%81%95%E3%82%93%EF%BC%81%EF%BC%81%E6%9C%9F%E9%96%93%E4%B8%AD%E3%80%81%E8%A8%98%E5%BF%B5%E3%83%AD%E3%82%B0%E3%83%9C%E3%81%A7%E3%82%A2%E3%82%A4%E3%83%86%E3%83%A0%E3%81%96%E3%81%8F%E3%81%96%E3%81%8F%E3%82%82%E3%82%89%E3%81%88%E3%82%8B%EF%BC%81%EF%BC%81%E4%BB%8A%E3%81%99%E3%81%90%E3%83%97%E3%83%AC%E3%82%A4%E2%99%AA%E2%86%92%20http%3A%2F%2Fcrashfever.com%2Fletsplay%2F</t>
  </si>
  <si>
    <t>http://wonderpla.net/info/20170531/</t>
  </si>
  <si>
    <t>CQ0125</t>
    <phoneticPr fontId="5"/>
  </si>
  <si>
    <t>60032-1</t>
    <phoneticPr fontId="5"/>
  </si>
  <si>
    <t>2017-06-09 15:00:00</t>
    <phoneticPr fontId="5"/>
  </si>
  <si>
    <t>2017-06-12 23:59:59</t>
    <phoneticPr fontId="5"/>
  </si>
  <si>
    <t>K0080</t>
    <phoneticPr fontId="5"/>
  </si>
  <si>
    <t>K0004T</t>
    <phoneticPr fontId="5"/>
  </si>
  <si>
    <t>T00025</t>
    <phoneticPr fontId="5"/>
  </si>
  <si>
    <t>T00026</t>
    <phoneticPr fontId="5"/>
  </si>
  <si>
    <t>K0100</t>
    <phoneticPr fontId="5"/>
  </si>
  <si>
    <t>K0010</t>
    <phoneticPr fontId="5"/>
  </si>
  <si>
    <t>T00027</t>
    <phoneticPr fontId="5"/>
  </si>
  <si>
    <t>T00028</t>
    <phoneticPr fontId="5"/>
  </si>
  <si>
    <t>K0250</t>
    <phoneticPr fontId="5"/>
  </si>
  <si>
    <t>T00029</t>
    <phoneticPr fontId="5"/>
  </si>
  <si>
    <t>T00030</t>
    <phoneticPr fontId="5"/>
  </si>
  <si>
    <t>T00031</t>
    <phoneticPr fontId="5"/>
  </si>
  <si>
    <t>T00032</t>
    <phoneticPr fontId="5"/>
  </si>
  <si>
    <t>T00033</t>
    <phoneticPr fontId="5"/>
  </si>
  <si>
    <t>T00034</t>
    <phoneticPr fontId="5"/>
  </si>
  <si>
    <t>T00035</t>
    <phoneticPr fontId="5"/>
  </si>
  <si>
    <t>T00036</t>
    <phoneticPr fontId="5"/>
  </si>
  <si>
    <t>K0005T</t>
    <phoneticPr fontId="5"/>
  </si>
  <si>
    <t>K0006T</t>
    <phoneticPr fontId="5"/>
  </si>
  <si>
    <t>K0007T</t>
    <phoneticPr fontId="5"/>
  </si>
  <si>
    <t>K0008T</t>
    <phoneticPr fontId="5"/>
  </si>
  <si>
    <t>K0009T</t>
    <phoneticPr fontId="5"/>
  </si>
  <si>
    <t>500</t>
    <phoneticPr fontId="5"/>
  </si>
  <si>
    <t>K0500</t>
    <phoneticPr fontId="5"/>
  </si>
  <si>
    <t>K0010T</t>
    <phoneticPr fontId="5"/>
  </si>
  <si>
    <t>K0011T</t>
    <phoneticPr fontId="5"/>
  </si>
  <si>
    <t>750</t>
    <phoneticPr fontId="5"/>
  </si>
  <si>
    <t>K0750</t>
    <phoneticPr fontId="5"/>
  </si>
  <si>
    <t>K0012T</t>
    <phoneticPr fontId="5"/>
  </si>
  <si>
    <t>K0013T</t>
    <phoneticPr fontId="5"/>
  </si>
  <si>
    <t>1000</t>
    <phoneticPr fontId="5"/>
  </si>
  <si>
    <t>K1000</t>
    <phoneticPr fontId="5"/>
  </si>
  <si>
    <t>K0014T</t>
    <phoneticPr fontId="5"/>
  </si>
  <si>
    <t>K0015T</t>
    <phoneticPr fontId="5"/>
  </si>
  <si>
    <t>1250</t>
    <phoneticPr fontId="5"/>
  </si>
  <si>
    <t>CQ0126</t>
    <phoneticPr fontId="5"/>
  </si>
  <si>
    <t>CQ0127</t>
    <phoneticPr fontId="5"/>
  </si>
  <si>
    <t>2017-06-13 15:00:00</t>
    <phoneticPr fontId="5"/>
  </si>
  <si>
    <t>2017-06-20 14:59:59</t>
    <phoneticPr fontId="5"/>
  </si>
  <si>
    <t>47015-3</t>
    <phoneticPr fontId="5"/>
  </si>
  <si>
    <t>47016-3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</si>
</sst>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[Red]\(0\)"/>
    <numFmt numFmtId="177" formatCode="yyyy\-mm\-dd\ hh:mm:ss"/>
    <numFmt numFmtId="178" formatCode="yyyy\-mm\-dd\ h:mm:ss"/>
  </numFmts>
  <fonts count="53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0"/>
      <name val="Lucida Grande"/>
      <family val="2"/>
    </font>
    <font>
      <sz val="12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0"/>
      <color indexed="8"/>
      <name val="Arial"/>
      <family val="2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0"/>
      <color rgb="FF000000"/>
      <name val="Helvetica Neue"/>
      <family val="2"/>
    </font>
    <font>
      <sz val="10"/>
      <color rgb="FF000000"/>
      <name val="ＭＳ Ｐゴシック"/>
      <family val="3"/>
      <charset val="128"/>
      <scheme val="major"/>
    </font>
    <font>
      <b/>
      <sz val="11"/>
      <color indexed="81"/>
      <name val="ＭＳ Ｐゴシック"/>
      <family val="3"/>
      <charset val="128"/>
    </font>
    <font>
      <sz val="14"/>
      <color rgb="FF4D4D4D"/>
      <name val="Helvetica Neue"/>
      <family val="2"/>
    </font>
    <font>
      <sz val="12"/>
      <color rgb="FF454545"/>
      <name val=".Hiragino Kaku Gothic Interface"/>
      <family val="2"/>
    </font>
    <font>
      <sz val="12"/>
      <color rgb="FF454545"/>
      <name val="Helvetica Neue"/>
      <family val="2"/>
    </font>
    <font>
      <sz val="12"/>
      <color rgb="FF454545"/>
      <name val="ＭＳ Ｐゴシック"/>
      <family val="3"/>
      <charset val="128"/>
      <scheme val="minor"/>
    </font>
    <font>
      <sz val="10"/>
      <color rgb="FF454545"/>
      <name val="ＭＳ Ｐゴシック"/>
      <family val="3"/>
      <charset val="128"/>
      <scheme val="major"/>
    </font>
  </fonts>
  <fills count="3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555">
    <xf numFmtId="0" fontId="0" fillId="0" borderId="0"/>
    <xf numFmtId="0" fontId="12" fillId="0" borderId="0" applyNumberFormat="0" applyFill="0" applyBorder="0" applyAlignment="0" applyProtection="0"/>
    <xf numFmtId="0" fontId="9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4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21" fillId="9" borderId="17" applyNumberFormat="0" applyAlignment="0" applyProtection="0"/>
    <xf numFmtId="0" fontId="22" fillId="10" borderId="0" applyNumberFormat="0" applyBorder="0" applyAlignment="0" applyProtection="0"/>
    <xf numFmtId="0" fontId="23" fillId="11" borderId="18" applyNumberFormat="0" applyAlignment="0" applyProtection="0"/>
    <xf numFmtId="0" fontId="24" fillId="0" borderId="0" applyNumberFormat="0" applyFill="0" applyBorder="0" applyAlignment="0" applyProtection="0"/>
    <xf numFmtId="0" fontId="25" fillId="12" borderId="0" applyNumberFormat="0" applyBorder="0" applyAlignment="0" applyProtection="0"/>
    <xf numFmtId="0" fontId="26" fillId="13" borderId="19" applyNumberFormat="0" applyAlignment="0" applyProtection="0"/>
    <xf numFmtId="0" fontId="27" fillId="0" borderId="0" applyNumberFormat="0" applyFill="0" applyBorder="0" applyAlignment="0" applyProtection="0"/>
    <xf numFmtId="0" fontId="28" fillId="0" borderId="20" applyNumberFormat="0" applyFill="0" applyAlignment="0" applyProtection="0"/>
    <xf numFmtId="0" fontId="29" fillId="0" borderId="21" applyNumberFormat="0" applyFill="0" applyAlignment="0" applyProtection="0"/>
    <xf numFmtId="0" fontId="30" fillId="0" borderId="22" applyNumberFormat="0" applyFill="0" applyAlignment="0" applyProtection="0"/>
    <xf numFmtId="0" fontId="30" fillId="0" borderId="0" applyNumberFormat="0" applyFill="0" applyBorder="0" applyAlignment="0" applyProtection="0"/>
    <xf numFmtId="0" fontId="31" fillId="11" borderId="0" applyNumberFormat="0" applyBorder="0" applyAlignment="0" applyProtection="0"/>
    <xf numFmtId="0" fontId="31" fillId="10" borderId="0" applyNumberFormat="0" applyBorder="0" applyAlignment="0" applyProtection="0"/>
    <xf numFmtId="0" fontId="31" fillId="14" borderId="0" applyNumberFormat="0" applyBorder="0" applyAlignment="0" applyProtection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31" fillId="9" borderId="0" applyNumberFormat="0" applyBorder="0" applyAlignment="0" applyProtection="0"/>
    <xf numFmtId="0" fontId="31" fillId="11" borderId="0" applyNumberFormat="0" applyBorder="0" applyAlignment="0" applyProtection="0"/>
    <xf numFmtId="0" fontId="31" fillId="16" borderId="0" applyNumberFormat="0" applyBorder="0" applyAlignment="0" applyProtection="0"/>
    <xf numFmtId="0" fontId="31" fillId="14" borderId="0" applyNumberFormat="0" applyBorder="0" applyAlignment="0" applyProtection="0"/>
    <xf numFmtId="0" fontId="31" fillId="11" borderId="0" applyNumberFormat="0" applyBorder="0" applyAlignment="0" applyProtection="0"/>
    <xf numFmtId="0" fontId="31" fillId="17" borderId="0" applyNumberFormat="0" applyBorder="0" applyAlignment="0" applyProtection="0"/>
    <xf numFmtId="0" fontId="31" fillId="10" borderId="0" applyNumberFormat="0" applyBorder="0" applyAlignment="0" applyProtection="0"/>
    <xf numFmtId="0" fontId="32" fillId="18" borderId="0" applyNumberFormat="0" applyBorder="0" applyAlignment="0" applyProtection="0"/>
    <xf numFmtId="0" fontId="32" fillId="16" borderId="0" applyNumberFormat="0" applyBorder="0" applyAlignment="0" applyProtection="0"/>
    <xf numFmtId="0" fontId="32" fillId="14" borderId="0" applyNumberFormat="0" applyBorder="0" applyAlignment="0" applyProtection="0"/>
    <xf numFmtId="0" fontId="32" fillId="11" borderId="0" applyNumberFormat="0" applyBorder="0" applyAlignment="0" applyProtection="0"/>
    <xf numFmtId="0" fontId="32" fillId="18" borderId="0" applyNumberFormat="0" applyBorder="0" applyAlignment="0" applyProtection="0"/>
    <xf numFmtId="0" fontId="32" fillId="10" borderId="0" applyNumberFormat="0" applyBorder="0" applyAlignment="0" applyProtection="0"/>
    <xf numFmtId="0" fontId="24" fillId="0" borderId="0" applyNumberFormat="0" applyFill="0" applyBorder="0" applyAlignment="0" applyProtection="0"/>
    <xf numFmtId="0" fontId="3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14" borderId="0" applyNumberFormat="0" applyBorder="0" applyAlignment="0" applyProtection="0"/>
    <xf numFmtId="0" fontId="32" fillId="20" borderId="0" applyNumberFormat="0" applyBorder="0" applyAlignment="0" applyProtection="0"/>
    <xf numFmtId="0" fontId="32" fillId="18" borderId="0" applyNumberFormat="0" applyBorder="0" applyAlignment="0" applyProtection="0"/>
    <xf numFmtId="0" fontId="32" fillId="16" borderId="0" applyNumberFormat="0" applyBorder="0" applyAlignment="0" applyProtection="0"/>
    <xf numFmtId="0" fontId="33" fillId="21" borderId="0" applyNumberFormat="0" applyBorder="0" applyAlignment="0" applyProtection="0"/>
    <xf numFmtId="0" fontId="22" fillId="10" borderId="0" applyNumberFormat="0" applyBorder="0" applyAlignment="0" applyProtection="0"/>
    <xf numFmtId="0" fontId="34" fillId="0" borderId="0"/>
    <xf numFmtId="0" fontId="35" fillId="0" borderId="23" applyNumberFormat="0" applyFill="0" applyAlignment="0" applyProtection="0"/>
    <xf numFmtId="0" fontId="36" fillId="11" borderId="24" applyNumberFormat="0" applyAlignment="0" applyProtection="0"/>
    <xf numFmtId="0" fontId="36" fillId="22" borderId="24" applyNumberFormat="0" applyAlignment="0" applyProtection="0"/>
    <xf numFmtId="0" fontId="23" fillId="10" borderId="18" applyNumberFormat="0" applyAlignment="0" applyProtection="0"/>
    <xf numFmtId="0" fontId="37" fillId="0" borderId="25" applyNumberFormat="0" applyFill="0" applyAlignment="0" applyProtection="0"/>
    <xf numFmtId="0" fontId="38" fillId="22" borderId="18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26" applyNumberFormat="0" applyFill="0" applyAlignment="0" applyProtection="0"/>
    <xf numFmtId="38" fontId="3" fillId="0" borderId="0" applyFont="0" applyFill="0" applyBorder="0" applyAlignment="0" applyProtection="0">
      <alignment vertical="center"/>
    </xf>
    <xf numFmtId="0" fontId="41" fillId="23" borderId="0" applyNumberFormat="0" applyBorder="0" applyAlignment="0" applyProtection="0"/>
    <xf numFmtId="0" fontId="42" fillId="24" borderId="0" applyNumberFormat="0" applyBorder="0" applyAlignment="0" applyProtection="0"/>
    <xf numFmtId="0" fontId="43" fillId="24" borderId="0" applyNumberFormat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167">
    <xf numFmtId="0" fontId="0" fillId="0" borderId="0" xfId="0"/>
    <xf numFmtId="0" fontId="10" fillId="0" borderId="0" xfId="2" applyFont="1" applyAlignment="1">
      <alignment vertical="center"/>
    </xf>
    <xf numFmtId="0" fontId="10" fillId="0" borderId="1" xfId="2" applyFont="1" applyBorder="1" applyAlignment="1">
      <alignment vertical="center"/>
    </xf>
    <xf numFmtId="0" fontId="10" fillId="2" borderId="1" xfId="2" applyFont="1" applyFill="1" applyBorder="1" applyAlignment="1">
      <alignment horizontal="center" vertical="center"/>
    </xf>
    <xf numFmtId="0" fontId="10" fillId="3" borderId="1" xfId="2" applyFont="1" applyFill="1" applyBorder="1" applyAlignment="1">
      <alignment horizontal="center" vertical="center"/>
    </xf>
    <xf numFmtId="0" fontId="10" fillId="4" borderId="1" xfId="2" applyFont="1" applyFill="1" applyBorder="1" applyAlignment="1">
      <alignment horizontal="center" vertical="center"/>
    </xf>
    <xf numFmtId="176" fontId="10" fillId="0" borderId="1" xfId="2" quotePrefix="1" applyNumberFormat="1" applyFont="1" applyBorder="1" applyAlignment="1">
      <alignment vertical="center"/>
    </xf>
    <xf numFmtId="176" fontId="10" fillId="0" borderId="0" xfId="2" applyNumberFormat="1" applyFont="1" applyAlignment="1">
      <alignment vertical="center"/>
    </xf>
    <xf numFmtId="0" fontId="10" fillId="0" borderId="2" xfId="2" applyFont="1" applyBorder="1" applyAlignment="1">
      <alignment vertical="center"/>
    </xf>
    <xf numFmtId="0" fontId="10" fillId="3" borderId="2" xfId="2" applyFont="1" applyFill="1" applyBorder="1" applyAlignment="1">
      <alignment horizontal="center" vertical="center"/>
    </xf>
    <xf numFmtId="0" fontId="10" fillId="3" borderId="3" xfId="2" applyFont="1" applyFill="1" applyBorder="1" applyAlignment="1">
      <alignment horizontal="center" vertical="center"/>
    </xf>
    <xf numFmtId="0" fontId="10" fillId="2" borderId="3" xfId="2" applyFont="1" applyFill="1" applyBorder="1" applyAlignment="1">
      <alignment horizontal="center" vertical="center"/>
    </xf>
    <xf numFmtId="0" fontId="10" fillId="2" borderId="1" xfId="2" applyFont="1" applyFill="1" applyBorder="1" applyAlignment="1">
      <alignment horizontal="center" vertical="center"/>
    </xf>
    <xf numFmtId="0" fontId="10" fillId="0" borderId="0" xfId="2" applyFont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176" fontId="10" fillId="0" borderId="1" xfId="2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0" fontId="10" fillId="0" borderId="0" xfId="2" applyNumberFormat="1" applyFont="1" applyAlignment="1">
      <alignment vertical="center"/>
    </xf>
    <xf numFmtId="0" fontId="10" fillId="3" borderId="4" xfId="2" applyFont="1" applyFill="1" applyBorder="1" applyAlignment="1">
      <alignment horizontal="center" vertical="center"/>
    </xf>
    <xf numFmtId="0" fontId="10" fillId="3" borderId="5" xfId="2" applyFont="1" applyFill="1" applyBorder="1" applyAlignment="1">
      <alignment horizontal="center" vertical="center"/>
    </xf>
    <xf numFmtId="0" fontId="11" fillId="0" borderId="1" xfId="2" applyFont="1" applyFill="1" applyBorder="1" applyAlignment="1">
      <alignment vertical="center"/>
    </xf>
    <xf numFmtId="0" fontId="10" fillId="0" borderId="1" xfId="2" applyFont="1" applyBorder="1" applyAlignment="1">
      <alignment horizontal="left" vertical="center"/>
    </xf>
    <xf numFmtId="0" fontId="10" fillId="3" borderId="7" xfId="2" applyFont="1" applyFill="1" applyBorder="1" applyAlignment="1">
      <alignment horizontal="center" vertical="center"/>
    </xf>
    <xf numFmtId="0" fontId="10" fillId="2" borderId="2" xfId="2" applyFont="1" applyFill="1" applyBorder="1" applyAlignment="1">
      <alignment horizontal="center" vertical="center"/>
    </xf>
    <xf numFmtId="0" fontId="10" fillId="2" borderId="1" xfId="2" applyFont="1" applyFill="1" applyBorder="1" applyAlignment="1">
      <alignment horizontal="center" vertical="center"/>
    </xf>
    <xf numFmtId="0" fontId="10" fillId="2" borderId="1" xfId="2" applyFont="1" applyFill="1" applyBorder="1" applyAlignment="1">
      <alignment vertical="center"/>
    </xf>
    <xf numFmtId="0" fontId="10" fillId="0" borderId="1" xfId="2" applyFont="1" applyFill="1" applyBorder="1" applyAlignment="1">
      <alignment vertical="center"/>
    </xf>
    <xf numFmtId="176" fontId="10" fillId="0" borderId="1" xfId="2" quotePrefix="1" applyNumberFormat="1" applyFont="1" applyFill="1" applyBorder="1" applyAlignment="1">
      <alignment vertical="center"/>
    </xf>
    <xf numFmtId="0" fontId="10" fillId="0" borderId="0" xfId="2" applyFont="1" applyFill="1" applyAlignment="1">
      <alignment vertical="center"/>
    </xf>
    <xf numFmtId="0" fontId="10" fillId="0" borderId="0" xfId="2" applyFont="1" applyFill="1" applyAlignment="1">
      <alignment horizontal="center" vertical="center"/>
    </xf>
    <xf numFmtId="0" fontId="10" fillId="2" borderId="2" xfId="2" applyFont="1" applyFill="1" applyBorder="1" applyAlignment="1">
      <alignment vertical="center"/>
    </xf>
    <xf numFmtId="0" fontId="0" fillId="0" borderId="1" xfId="0" applyFill="1" applyBorder="1" applyAlignment="1">
      <alignment horizontal="left" vertical="center" wrapText="1"/>
    </xf>
    <xf numFmtId="0" fontId="10" fillId="3" borderId="10" xfId="2" applyFont="1" applyFill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0" fillId="3" borderId="0" xfId="0" applyFill="1" applyAlignment="1">
      <alignment vertical="center"/>
    </xf>
    <xf numFmtId="0" fontId="10" fillId="5" borderId="1" xfId="2" applyFont="1" applyFill="1" applyBorder="1" applyAlignment="1">
      <alignment horizontal="center" vertical="center"/>
    </xf>
    <xf numFmtId="49" fontId="11" fillId="0" borderId="12" xfId="0" applyNumberFormat="1" applyFont="1" applyBorder="1" applyAlignment="1"/>
    <xf numFmtId="49" fontId="11" fillId="0" borderId="13" xfId="0" applyNumberFormat="1" applyFont="1" applyBorder="1" applyAlignment="1"/>
    <xf numFmtId="0" fontId="10" fillId="0" borderId="1" xfId="2" applyFont="1" applyFill="1" applyBorder="1" applyAlignment="1">
      <alignment vertical="center" wrapText="1"/>
    </xf>
    <xf numFmtId="0" fontId="15" fillId="0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0" fontId="10" fillId="2" borderId="5" xfId="2" applyFont="1" applyFill="1" applyBorder="1" applyAlignment="1">
      <alignment horizontal="center" vertical="center"/>
    </xf>
    <xf numFmtId="0" fontId="10" fillId="2" borderId="4" xfId="2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left" vertical="center"/>
    </xf>
    <xf numFmtId="0" fontId="0" fillId="3" borderId="0" xfId="0" applyFill="1" applyBorder="1" applyAlignment="1">
      <alignment vertical="center"/>
    </xf>
    <xf numFmtId="0" fontId="10" fillId="3" borderId="0" xfId="2" applyFont="1" applyFill="1" applyBorder="1" applyAlignment="1">
      <alignment horizontal="center" vertical="center"/>
    </xf>
    <xf numFmtId="0" fontId="10" fillId="3" borderId="15" xfId="2" applyFont="1" applyFill="1" applyBorder="1" applyAlignment="1">
      <alignment horizontal="center" vertical="center"/>
    </xf>
    <xf numFmtId="0" fontId="10" fillId="0" borderId="2" xfId="2" applyFont="1" applyFill="1" applyBorder="1" applyAlignment="1">
      <alignment vertical="center"/>
    </xf>
    <xf numFmtId="0" fontId="10" fillId="3" borderId="11" xfId="2" applyFont="1" applyFill="1" applyBorder="1" applyAlignment="1">
      <alignment horizontal="center" vertical="center"/>
    </xf>
    <xf numFmtId="0" fontId="18" fillId="6" borderId="0" xfId="1141" applyFont="1" applyFill="1" applyAlignment="1">
      <alignment vertical="center"/>
    </xf>
    <xf numFmtId="0" fontId="18" fillId="6" borderId="0" xfId="1141" applyFont="1" applyFill="1" applyAlignment="1">
      <alignment horizontal="center" vertical="center"/>
    </xf>
    <xf numFmtId="0" fontId="11" fillId="0" borderId="2" xfId="2" applyFont="1" applyFill="1" applyBorder="1" applyAlignment="1">
      <alignment vertical="center"/>
    </xf>
    <xf numFmtId="176" fontId="10" fillId="0" borderId="1" xfId="2" applyNumberFormat="1" applyFont="1" applyFill="1" applyBorder="1" applyAlignment="1">
      <alignment vertical="center"/>
    </xf>
    <xf numFmtId="0" fontId="17" fillId="2" borderId="6" xfId="0" applyFont="1" applyFill="1" applyBorder="1" applyAlignment="1">
      <alignment vertical="center"/>
    </xf>
    <xf numFmtId="49" fontId="17" fillId="0" borderId="14" xfId="0" applyNumberFormat="1" applyFont="1" applyBorder="1" applyAlignment="1">
      <alignment vertical="center"/>
    </xf>
    <xf numFmtId="49" fontId="10" fillId="0" borderId="1" xfId="2" applyNumberFormat="1" applyFont="1" applyBorder="1" applyAlignment="1">
      <alignment vertical="center"/>
    </xf>
    <xf numFmtId="49" fontId="10" fillId="0" borderId="1" xfId="2" quotePrefix="1" applyNumberFormat="1" applyFont="1" applyBorder="1" applyAlignment="1">
      <alignment vertical="center"/>
    </xf>
    <xf numFmtId="49" fontId="14" fillId="0" borderId="13" xfId="2" applyNumberFormat="1" applyFont="1" applyBorder="1" applyAlignment="1"/>
    <xf numFmtId="49" fontId="14" fillId="0" borderId="12" xfId="2" applyNumberFormat="1" applyFont="1" applyBorder="1" applyAlignment="1"/>
    <xf numFmtId="49" fontId="0" fillId="0" borderId="1" xfId="0" applyNumberFormat="1" applyBorder="1" applyAlignment="1">
      <alignment vertical="center"/>
    </xf>
    <xf numFmtId="49" fontId="10" fillId="0" borderId="1" xfId="2" quotePrefix="1" applyNumberFormat="1" applyFont="1" applyFill="1" applyBorder="1" applyAlignment="1">
      <alignment vertical="center"/>
    </xf>
    <xf numFmtId="0" fontId="10" fillId="7" borderId="2" xfId="2" applyFont="1" applyFill="1" applyBorder="1" applyAlignment="1">
      <alignment vertical="center"/>
    </xf>
    <xf numFmtId="0" fontId="19" fillId="8" borderId="1" xfId="2257" applyFont="1" applyFill="1" applyBorder="1"/>
    <xf numFmtId="0" fontId="3" fillId="8" borderId="1" xfId="2257" applyFill="1" applyBorder="1"/>
    <xf numFmtId="0" fontId="3" fillId="0" borderId="0" xfId="2257"/>
    <xf numFmtId="0" fontId="3" fillId="0" borderId="1" xfId="2257" applyBorder="1"/>
    <xf numFmtId="0" fontId="3" fillId="0" borderId="1" xfId="2257" applyFont="1" applyFill="1" applyBorder="1"/>
    <xf numFmtId="0" fontId="20" fillId="0" borderId="1" xfId="2259" applyFont="1" applyFill="1" applyBorder="1" applyAlignment="1">
      <alignment horizontal="center"/>
    </xf>
    <xf numFmtId="0" fontId="0" fillId="0" borderId="1" xfId="2258" applyNumberFormat="1" applyFont="1" applyFill="1" applyBorder="1" applyAlignment="1">
      <alignment horizontal="left"/>
    </xf>
    <xf numFmtId="0" fontId="10" fillId="3" borderId="1" xfId="2" applyFont="1" applyFill="1" applyBorder="1" applyAlignment="1">
      <alignment horizontal="center" vertical="center"/>
    </xf>
    <xf numFmtId="0" fontId="10" fillId="0" borderId="1" xfId="2" applyFont="1" applyFill="1" applyBorder="1" applyAlignment="1">
      <alignment horizontal="center" vertical="center"/>
    </xf>
    <xf numFmtId="0" fontId="10" fillId="5" borderId="0" xfId="2" applyFont="1" applyFill="1" applyBorder="1" applyAlignment="1">
      <alignment horizontal="center" vertical="center"/>
    </xf>
    <xf numFmtId="0" fontId="2" fillId="0" borderId="1" xfId="2257" applyFont="1" applyBorder="1"/>
    <xf numFmtId="0" fontId="10" fillId="0" borderId="0" xfId="2" applyFont="1" applyFill="1" applyBorder="1" applyAlignment="1">
      <alignment horizontal="center" vertical="center"/>
    </xf>
    <xf numFmtId="0" fontId="45" fillId="0" borderId="1" xfId="0" applyFont="1" applyBorder="1" applyAlignment="1">
      <alignment vertical="center"/>
    </xf>
    <xf numFmtId="0" fontId="10" fillId="25" borderId="1" xfId="2" applyFont="1" applyFill="1" applyBorder="1" applyAlignment="1">
      <alignment vertical="center"/>
    </xf>
    <xf numFmtId="0" fontId="10" fillId="25" borderId="2" xfId="2" applyFont="1" applyFill="1" applyBorder="1" applyAlignment="1">
      <alignment vertical="center"/>
    </xf>
    <xf numFmtId="0" fontId="10" fillId="0" borderId="6" xfId="2" applyFont="1" applyBorder="1" applyAlignment="1">
      <alignment horizontal="left" vertical="center"/>
    </xf>
    <xf numFmtId="0" fontId="45" fillId="0" borderId="1" xfId="0" applyFont="1" applyBorder="1" applyAlignment="1">
      <alignment horizontal="left" vertical="center"/>
    </xf>
    <xf numFmtId="0" fontId="15" fillId="0" borderId="1" xfId="2" applyFont="1" applyBorder="1" applyAlignment="1">
      <alignment horizontal="left" vertical="center"/>
    </xf>
    <xf numFmtId="0" fontId="44" fillId="0" borderId="8" xfId="0" applyFont="1" applyBorder="1" applyAlignment="1">
      <alignment vertical="center"/>
    </xf>
    <xf numFmtId="0" fontId="44" fillId="0" borderId="1" xfId="0" applyFont="1" applyBorder="1" applyAlignment="1">
      <alignment vertical="center"/>
    </xf>
    <xf numFmtId="49" fontId="17" fillId="0" borderId="6" xfId="0" applyNumberFormat="1" applyFont="1" applyBorder="1" applyAlignment="1">
      <alignment vertical="center"/>
    </xf>
    <xf numFmtId="0" fontId="45" fillId="0" borderId="1" xfId="0" applyFont="1" applyBorder="1" applyAlignment="1">
      <alignment vertical="center" wrapText="1"/>
    </xf>
    <xf numFmtId="49" fontId="0" fillId="0" borderId="12" xfId="2" applyNumberFormat="1" applyFont="1" applyBorder="1" applyAlignment="1"/>
    <xf numFmtId="0" fontId="10" fillId="3" borderId="1" xfId="2" applyFont="1" applyFill="1" applyBorder="1" applyAlignment="1">
      <alignment vertical="center"/>
    </xf>
    <xf numFmtId="0" fontId="10" fillId="0" borderId="1" xfId="2" quotePrefix="1" applyFont="1" applyBorder="1" applyAlignment="1">
      <alignment vertical="center"/>
    </xf>
    <xf numFmtId="0" fontId="46" fillId="0" borderId="1" xfId="0" applyFont="1" applyBorder="1" applyAlignment="1">
      <alignment vertical="center"/>
    </xf>
    <xf numFmtId="0" fontId="17" fillId="25" borderId="6" xfId="0" applyFont="1" applyFill="1" applyBorder="1" applyAlignment="1">
      <alignment vertical="center"/>
    </xf>
    <xf numFmtId="0" fontId="44" fillId="25" borderId="1" xfId="0" applyFont="1" applyFill="1" applyBorder="1" applyAlignment="1">
      <alignment vertical="center"/>
    </xf>
    <xf numFmtId="49" fontId="11" fillId="0" borderId="27" xfId="0" applyNumberFormat="1" applyFont="1" applyBorder="1" applyAlignment="1"/>
    <xf numFmtId="49" fontId="11" fillId="0" borderId="1" xfId="0" applyNumberFormat="1" applyFont="1" applyBorder="1" applyAlignment="1"/>
    <xf numFmtId="0" fontId="10" fillId="4" borderId="2" xfId="2" applyFont="1" applyFill="1" applyBorder="1" applyAlignment="1">
      <alignment vertical="center"/>
    </xf>
    <xf numFmtId="0" fontId="10" fillId="5" borderId="2" xfId="2" applyFont="1" applyFill="1" applyBorder="1" applyAlignment="1">
      <alignment vertical="center"/>
    </xf>
    <xf numFmtId="177" fontId="10" fillId="0" borderId="1" xfId="2" quotePrefix="1" applyNumberFormat="1" applyFont="1" applyFill="1" applyBorder="1" applyAlignment="1">
      <alignment vertical="center"/>
    </xf>
    <xf numFmtId="178" fontId="10" fillId="2" borderId="1" xfId="2" applyNumberFormat="1" applyFont="1" applyFill="1" applyBorder="1" applyAlignment="1">
      <alignment vertical="center"/>
    </xf>
    <xf numFmtId="178" fontId="10" fillId="0" borderId="0" xfId="2" applyNumberFormat="1" applyFont="1" applyAlignment="1">
      <alignment vertical="center"/>
    </xf>
    <xf numFmtId="0" fontId="10" fillId="26" borderId="1" xfId="2" applyFont="1" applyFill="1" applyBorder="1" applyAlignment="1">
      <alignment vertical="center"/>
    </xf>
    <xf numFmtId="0" fontId="10" fillId="26" borderId="2" xfId="2" applyFont="1" applyFill="1" applyBorder="1" applyAlignment="1">
      <alignment vertical="center"/>
    </xf>
    <xf numFmtId="0" fontId="10" fillId="26" borderId="1" xfId="2" quotePrefix="1" applyFont="1" applyFill="1" applyBorder="1" applyAlignment="1">
      <alignment vertical="center"/>
    </xf>
    <xf numFmtId="0" fontId="10" fillId="26" borderId="0" xfId="2" applyFont="1" applyFill="1" applyAlignment="1">
      <alignment vertical="center"/>
    </xf>
    <xf numFmtId="0" fontId="10" fillId="0" borderId="6" xfId="2" applyFont="1" applyBorder="1" applyAlignment="1">
      <alignment vertical="center"/>
    </xf>
    <xf numFmtId="0" fontId="10" fillId="0" borderId="1" xfId="2" quotePrefix="1" applyFont="1" applyFill="1" applyBorder="1" applyAlignment="1">
      <alignment vertical="center"/>
    </xf>
    <xf numFmtId="0" fontId="12" fillId="0" borderId="1" xfId="2532" applyBorder="1" applyAlignment="1">
      <alignment vertical="center" wrapText="1"/>
    </xf>
    <xf numFmtId="0" fontId="10" fillId="25" borderId="1" xfId="2" applyFont="1" applyFill="1" applyBorder="1" applyAlignment="1">
      <alignment vertical="center" wrapText="1"/>
    </xf>
    <xf numFmtId="49" fontId="12" fillId="0" borderId="1" xfId="2532" applyNumberFormat="1" applyBorder="1" applyAlignment="1">
      <alignment vertical="center"/>
    </xf>
    <xf numFmtId="0" fontId="10" fillId="0" borderId="1" xfId="2" applyNumberFormat="1" applyFont="1" applyBorder="1" applyAlignment="1">
      <alignment vertical="center"/>
    </xf>
    <xf numFmtId="0" fontId="10" fillId="27" borderId="1" xfId="2" applyFont="1" applyFill="1" applyBorder="1" applyAlignment="1">
      <alignment vertical="center"/>
    </xf>
    <xf numFmtId="0" fontId="10" fillId="27" borderId="1" xfId="2" applyFont="1" applyFill="1" applyBorder="1" applyAlignment="1">
      <alignment horizontal="center" vertical="center"/>
    </xf>
    <xf numFmtId="176" fontId="10" fillId="27" borderId="1" xfId="2" applyNumberFormat="1" applyFont="1" applyFill="1" applyBorder="1" applyAlignment="1">
      <alignment vertical="center"/>
    </xf>
    <xf numFmtId="0" fontId="48" fillId="0" borderId="0" xfId="0" applyFont="1"/>
    <xf numFmtId="0" fontId="12" fillId="0" borderId="1" xfId="2532" applyBorder="1"/>
    <xf numFmtId="22" fontId="10" fillId="0" borderId="1" xfId="2" quotePrefix="1" applyNumberFormat="1" applyFont="1" applyBorder="1" applyAlignment="1">
      <alignment vertical="center"/>
    </xf>
    <xf numFmtId="0" fontId="12" fillId="0" borderId="1" xfId="2532" applyBorder="1" applyAlignment="1">
      <alignment wrapText="1"/>
    </xf>
    <xf numFmtId="0" fontId="10" fillId="28" borderId="2" xfId="2" applyFont="1" applyFill="1" applyBorder="1" applyAlignment="1">
      <alignment vertical="center"/>
    </xf>
    <xf numFmtId="0" fontId="10" fillId="28" borderId="1" xfId="2" applyFont="1" applyFill="1" applyBorder="1" applyAlignment="1">
      <alignment vertical="center"/>
    </xf>
    <xf numFmtId="0" fontId="10" fillId="29" borderId="1" xfId="2" applyFont="1" applyFill="1" applyBorder="1" applyAlignment="1">
      <alignment vertical="center"/>
    </xf>
    <xf numFmtId="176" fontId="17" fillId="0" borderId="14" xfId="0" applyNumberFormat="1" applyFont="1" applyBorder="1" applyAlignment="1">
      <alignment vertical="center"/>
    </xf>
    <xf numFmtId="0" fontId="10" fillId="30" borderId="1" xfId="2" quotePrefix="1" applyFont="1" applyFill="1" applyBorder="1" applyAlignment="1">
      <alignment vertical="center"/>
    </xf>
    <xf numFmtId="0" fontId="10" fillId="31" borderId="1" xfId="2" applyFont="1" applyFill="1" applyBorder="1" applyAlignment="1">
      <alignment vertical="center"/>
    </xf>
    <xf numFmtId="0" fontId="10" fillId="31" borderId="2" xfId="2" applyFont="1" applyFill="1" applyBorder="1" applyAlignment="1">
      <alignment vertical="center"/>
    </xf>
    <xf numFmtId="22" fontId="10" fillId="31" borderId="1" xfId="2" quotePrefix="1" applyNumberFormat="1" applyFont="1" applyFill="1" applyBorder="1" applyAlignment="1">
      <alignment vertical="center"/>
    </xf>
    <xf numFmtId="0" fontId="10" fillId="31" borderId="0" xfId="2" applyFont="1" applyFill="1" applyAlignment="1">
      <alignment vertical="center"/>
    </xf>
    <xf numFmtId="0" fontId="10" fillId="32" borderId="0" xfId="2" applyFont="1" applyFill="1" applyAlignment="1">
      <alignment vertical="center"/>
    </xf>
    <xf numFmtId="0" fontId="11" fillId="32" borderId="1" xfId="2" applyFont="1" applyFill="1" applyBorder="1" applyAlignment="1">
      <alignment vertical="center"/>
    </xf>
    <xf numFmtId="0" fontId="10" fillId="33" borderId="1" xfId="2" applyFont="1" applyFill="1" applyBorder="1" applyAlignment="1">
      <alignment vertical="center"/>
    </xf>
    <xf numFmtId="0" fontId="10" fillId="25" borderId="1" xfId="2" applyFont="1" applyFill="1" applyBorder="1" applyAlignment="1">
      <alignment horizontal="center" vertical="center"/>
    </xf>
    <xf numFmtId="0" fontId="10" fillId="32" borderId="1" xfId="2" applyFont="1" applyFill="1" applyBorder="1" applyAlignment="1">
      <alignment vertical="center"/>
    </xf>
    <xf numFmtId="0" fontId="10" fillId="34" borderId="1" xfId="2" applyFont="1" applyFill="1" applyBorder="1" applyAlignment="1">
      <alignment vertical="center"/>
    </xf>
    <xf numFmtId="0" fontId="11" fillId="34" borderId="1" xfId="2" applyFont="1" applyFill="1" applyBorder="1" applyAlignment="1">
      <alignment vertical="center"/>
    </xf>
    <xf numFmtId="0" fontId="49" fillId="25" borderId="0" xfId="0" applyFont="1" applyFill="1"/>
    <xf numFmtId="0" fontId="49" fillId="25" borderId="4" xfId="0" applyFont="1" applyFill="1" applyBorder="1"/>
    <xf numFmtId="0" fontId="49" fillId="25" borderId="2" xfId="0" applyFont="1" applyFill="1" applyBorder="1"/>
    <xf numFmtId="0" fontId="49" fillId="25" borderId="1" xfId="0" applyFont="1" applyFill="1" applyBorder="1"/>
    <xf numFmtId="0" fontId="10" fillId="35" borderId="1" xfId="2" applyFont="1" applyFill="1" applyBorder="1" applyAlignment="1">
      <alignment vertical="center"/>
    </xf>
    <xf numFmtId="0" fontId="11" fillId="31" borderId="1" xfId="2" applyFont="1" applyFill="1" applyBorder="1" applyAlignment="1">
      <alignment vertical="center"/>
    </xf>
    <xf numFmtId="0" fontId="10" fillId="36" borderId="1" xfId="2" applyFont="1" applyFill="1" applyBorder="1" applyAlignment="1">
      <alignment vertical="center"/>
    </xf>
    <xf numFmtId="0" fontId="11" fillId="36" borderId="1" xfId="2" applyFont="1" applyFill="1" applyBorder="1" applyAlignment="1">
      <alignment vertical="center"/>
    </xf>
    <xf numFmtId="0" fontId="1" fillId="25" borderId="1" xfId="2" applyFont="1" applyFill="1" applyBorder="1" applyAlignment="1">
      <alignment vertical="center"/>
    </xf>
    <xf numFmtId="0" fontId="51" fillId="25" borderId="0" xfId="0" applyFont="1" applyFill="1"/>
    <xf numFmtId="0" fontId="51" fillId="25" borderId="1" xfId="0" applyFont="1" applyFill="1" applyBorder="1"/>
    <xf numFmtId="0" fontId="10" fillId="35" borderId="4" xfId="2" applyFont="1" applyFill="1" applyBorder="1" applyAlignment="1">
      <alignment vertical="center"/>
    </xf>
    <xf numFmtId="0" fontId="10" fillId="0" borderId="0" xfId="2" applyFont="1" applyFill="1" applyBorder="1" applyAlignment="1">
      <alignment vertical="center"/>
    </xf>
    <xf numFmtId="0" fontId="10" fillId="5" borderId="0" xfId="2" applyFont="1" applyFill="1" applyAlignment="1">
      <alignment vertical="center"/>
    </xf>
    <xf numFmtId="0" fontId="10" fillId="8" borderId="1" xfId="2" applyFont="1" applyFill="1" applyBorder="1" applyAlignment="1">
      <alignment vertical="center"/>
    </xf>
    <xf numFmtId="0" fontId="10" fillId="8" borderId="2" xfId="2" applyFont="1" applyFill="1" applyBorder="1" applyAlignment="1">
      <alignment vertical="center"/>
    </xf>
    <xf numFmtId="0" fontId="10" fillId="8" borderId="1" xfId="2" quotePrefix="1" applyFont="1" applyFill="1" applyBorder="1" applyAlignment="1">
      <alignment vertical="center"/>
    </xf>
    <xf numFmtId="49" fontId="17" fillId="32" borderId="6" xfId="0" applyNumberFormat="1" applyFont="1" applyFill="1" applyBorder="1" applyAlignment="1">
      <alignment vertical="center"/>
    </xf>
    <xf numFmtId="0" fontId="15" fillId="31" borderId="1" xfId="0" applyFont="1" applyFill="1" applyBorder="1" applyAlignment="1">
      <alignment horizontal="left" vertical="center"/>
    </xf>
    <xf numFmtId="0" fontId="11" fillId="37" borderId="1" xfId="2" applyFont="1" applyFill="1" applyBorder="1" applyAlignment="1">
      <alignment vertical="center"/>
    </xf>
    <xf numFmtId="0" fontId="52" fillId="25" borderId="1" xfId="0" applyFont="1" applyFill="1" applyBorder="1"/>
    <xf numFmtId="0" fontId="52" fillId="25" borderId="0" xfId="0" applyFont="1" applyFill="1"/>
    <xf numFmtId="176" fontId="10" fillId="25" borderId="1" xfId="2" applyNumberFormat="1" applyFont="1" applyFill="1" applyBorder="1" applyAlignment="1">
      <alignment vertical="center"/>
    </xf>
    <xf numFmtId="0" fontId="10" fillId="2" borderId="3" xfId="2" applyFont="1" applyFill="1" applyBorder="1" applyAlignment="1">
      <alignment horizontal="center" vertical="center"/>
    </xf>
    <xf numFmtId="0" fontId="10" fillId="2" borderId="11" xfId="2" applyFont="1" applyFill="1" applyBorder="1" applyAlignment="1">
      <alignment horizontal="center" vertical="center"/>
    </xf>
    <xf numFmtId="0" fontId="10" fillId="2" borderId="7" xfId="2" applyFont="1" applyFill="1" applyBorder="1" applyAlignment="1">
      <alignment horizontal="center" vertical="center"/>
    </xf>
    <xf numFmtId="0" fontId="10" fillId="0" borderId="4" xfId="2" applyFont="1" applyFill="1" applyBorder="1" applyAlignment="1">
      <alignment horizontal="center" vertical="center"/>
    </xf>
    <xf numFmtId="0" fontId="10" fillId="0" borderId="16" xfId="2" applyFont="1" applyFill="1" applyBorder="1" applyAlignment="1">
      <alignment horizontal="center" vertical="center"/>
    </xf>
    <xf numFmtId="0" fontId="10" fillId="0" borderId="2" xfId="2" applyFont="1" applyFill="1" applyBorder="1" applyAlignment="1">
      <alignment horizontal="center" vertical="center"/>
    </xf>
    <xf numFmtId="0" fontId="10" fillId="0" borderId="1" xfId="2" applyNumberFormat="1" applyFont="1" applyBorder="1" applyAlignment="1">
      <alignment horizontal="center" vertical="center"/>
    </xf>
    <xf numFmtId="0" fontId="10" fillId="0" borderId="4" xfId="2" applyNumberFormat="1" applyFont="1" applyBorder="1" applyAlignment="1">
      <alignment horizontal="center" vertical="center"/>
    </xf>
    <xf numFmtId="0" fontId="10" fillId="0" borderId="16" xfId="2" applyNumberFormat="1" applyFont="1" applyBorder="1" applyAlignment="1">
      <alignment horizontal="center" vertical="center"/>
    </xf>
    <xf numFmtId="0" fontId="10" fillId="0" borderId="2" xfId="2" applyNumberFormat="1" applyFont="1" applyBorder="1" applyAlignment="1">
      <alignment horizontal="center" vertical="center"/>
    </xf>
    <xf numFmtId="0" fontId="10" fillId="2" borderId="8" xfId="2" applyFont="1" applyFill="1" applyBorder="1" applyAlignment="1">
      <alignment horizontal="center" vertical="center"/>
    </xf>
    <xf numFmtId="0" fontId="10" fillId="2" borderId="9" xfId="2" applyFont="1" applyFill="1" applyBorder="1" applyAlignment="1">
      <alignment horizontal="center" vertical="center"/>
    </xf>
    <xf numFmtId="0" fontId="10" fillId="2" borderId="6" xfId="2" applyFont="1" applyFill="1" applyBorder="1" applyAlignment="1">
      <alignment horizontal="center" vertical="center"/>
    </xf>
  </cellXfs>
  <cellStyles count="2555">
    <cellStyle name="20% - ANZg1" xfId="2271"/>
    <cellStyle name="20% - ANZg2" xfId="2272"/>
    <cellStyle name="20% - ANZg3" xfId="2273"/>
    <cellStyle name="20% - ANZg4" xfId="2274"/>
    <cellStyle name="20% - ANZg5" xfId="2275"/>
    <cellStyle name="20% - ANZg6" xfId="2276"/>
    <cellStyle name="40% - ANZg1" xfId="2277"/>
    <cellStyle name="40% - ANZg2" xfId="2278"/>
    <cellStyle name="40% - ANZg3" xfId="2279"/>
    <cellStyle name="40% - ANZg4" xfId="2280"/>
    <cellStyle name="40% - ANZg5" xfId="2281"/>
    <cellStyle name="40% - ANZg6" xfId="2282"/>
    <cellStyle name="60% - ANZg1" xfId="2283"/>
    <cellStyle name="60% - ANZg2" xfId="2284"/>
    <cellStyle name="60% - ANZg3" xfId="2285"/>
    <cellStyle name="60% - ANZg4" xfId="2286"/>
    <cellStyle name="60% - ANZg5" xfId="2287"/>
    <cellStyle name="60% - ANZg6" xfId="2288"/>
    <cellStyle name="Excel Built-in Normal" xfId="2298"/>
    <cellStyle name="^Cg" xfId="2266"/>
    <cellStyle name="`FbN Z" xfId="2265"/>
    <cellStyle name="ANZg 1" xfId="2290"/>
    <cellStyle name="ANZg 2" xfId="2291"/>
    <cellStyle name="ANZg 3" xfId="2292"/>
    <cellStyle name="ANZg 4" xfId="2293"/>
    <cellStyle name="ANZg 5" xfId="2294"/>
    <cellStyle name="ANZg 6" xfId="2295"/>
    <cellStyle name="" xfId="2260"/>
    <cellStyle name="N Z" xfId="2299"/>
    <cellStyle name="_" xfId="2261"/>
    <cellStyle name="«¢" xfId="2264"/>
    <cellStyle name="vZ" xfId="2304"/>
    <cellStyle name="x÷" xfId="2306"/>
    <cellStyle name="x¶" xfId="2305"/>
    <cellStyle name="ýo_ 1" xfId="2307"/>
    <cellStyle name="©oµ 1" xfId="2267"/>
    <cellStyle name="©oµ 2" xfId="2268"/>
    <cellStyle name="©oµ 3" xfId="2269"/>
    <cellStyle name="©oµ 4" xfId="2270"/>
    <cellStyle name="v" xfId="2303"/>
    <cellStyle name="o_" xfId="2300"/>
    <cellStyle name="oÍ" xfId="2301"/>
    <cellStyle name="__÷" xfId="2263"/>
    <cellStyle name="à¾¶" xfId="2289"/>
    <cellStyle name="__" xfId="2262"/>
    <cellStyle name="üÍ" xfId="2302"/>
    <cellStyle name="Ê" xfId="2297"/>
    <cellStyle name="Ç¢" xfId="229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/>
    <cellStyle name="桁区切り 2" xfId="2308"/>
    <cellStyle name="標準" xfId="0" builtinId="0"/>
    <cellStyle name="標準 2" xfId="2"/>
    <cellStyle name="標準 3" xfId="2257"/>
    <cellStyle name="標準 4" xfId="1141"/>
    <cellStyle name="標準 4 2" xfId="2258"/>
    <cellStyle name="標準 5" xfId="2259"/>
    <cellStyle name="無題1" xfId="231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4" builtinId="9" hidden="1"/>
    <cellStyle name="表示済みのハイパーリンク" xfId="2535" builtinId="9" hidden="1"/>
    <cellStyle name="表示済みのハイパーリンク" xfId="2536" builtinId="9" hidden="1"/>
    <cellStyle name="表示済みのハイパーリンク" xfId="2537" builtinId="9" hidden="1"/>
    <cellStyle name="表示済みのハイパーリンク" xfId="2538" builtinId="9" hidden="1"/>
    <cellStyle name="表示済みのハイパーリンク" xfId="2539" builtinId="9" hidden="1"/>
    <cellStyle name="表示済みのハイパーリンク" xfId="2540" builtinId="9" hidden="1"/>
    <cellStyle name="表示済みのハイパーリンク" xfId="2541" builtinId="9" hidden="1"/>
    <cellStyle name="表示済みのハイパーリンク" xfId="2542" builtinId="9" hidden="1"/>
    <cellStyle name="表示済みのハイパーリンク" xfId="2543" builtinId="9" hidden="1"/>
    <cellStyle name="表示済みのハイパーリンク" xfId="2544" builtinId="9" hidden="1"/>
    <cellStyle name="表示済みのハイパーリンク" xfId="2545" builtinId="9" hidden="1"/>
    <cellStyle name="表示済みのハイパーリンク" xfId="2546" builtinId="9" hidden="1"/>
    <cellStyle name="表示済みのハイパーリンク" xfId="2547" builtinId="9" hidden="1"/>
    <cellStyle name="表示済みのハイパーリンク" xfId="2548" builtinId="9" hidden="1"/>
    <cellStyle name="表示済みのハイパーリンク" xfId="2549" builtinId="9" hidden="1"/>
    <cellStyle name="表示済みのハイパーリンク" xfId="2550" builtinId="9" hidden="1"/>
    <cellStyle name="表示済みのハイパーリンク" xfId="2551" builtinId="9" hidden="1"/>
    <cellStyle name="表示済みのハイパーリンク" xfId="2552" builtinId="9" hidden="1"/>
    <cellStyle name="表示済みのハイパーリンク" xfId="2553" builtinId="9" hidden="1"/>
    <cellStyle name="表示済みのハイパーリンク" xfId="2554" builtinId="9" hidden="1"/>
    <cellStyle name="赤字強調" xfId="2310"/>
    <cellStyle name="青字強調" xfId="2309"/>
  </cellStyles>
  <dxfs count="7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12</xdr:row>
      <xdr:rowOff>12700</xdr:rowOff>
    </xdr:from>
    <xdr:ext cx="13331791" cy="5580502"/>
    <xdr:sp macro="" textlink="">
      <xdr:nvSpPr>
        <xdr:cNvPr id="2" name="テキスト ボックス 1"/>
        <xdr:cNvSpPr txBox="1"/>
      </xdr:nvSpPr>
      <xdr:spPr>
        <a:xfrm>
          <a:off x="1930400" y="2298700"/>
          <a:ext cx="13331791" cy="5580502"/>
        </a:xfrm>
        <a:prstGeom prst="rect">
          <a:avLst/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2800"/>
            <a:t>3/6〜</a:t>
          </a:r>
          <a:r>
            <a:rPr kumimoji="1" lang="ja-JP" altLang="en-US" sz="2800"/>
            <a:t>以下のルールを徹底してください。</a:t>
          </a:r>
          <a:endParaRPr kumimoji="1" lang="en-US" altLang="ja-JP" sz="2800"/>
        </a:p>
        <a:p>
          <a:endParaRPr kumimoji="1" lang="en-US" altLang="ja-JP" sz="2800"/>
        </a:p>
        <a:p>
          <a:r>
            <a:rPr kumimoji="1" lang="ja-JP" altLang="en-US" sz="2800"/>
            <a:t>・ミッション</a:t>
          </a:r>
          <a:r>
            <a:rPr kumimoji="1" lang="en-US" altLang="ja-JP" sz="2800"/>
            <a:t>ID</a:t>
          </a:r>
          <a:r>
            <a:rPr kumimoji="1" lang="ja-JP" altLang="en-US" sz="2800"/>
            <a:t>を設定する場合は</a:t>
          </a:r>
          <a:endParaRPr kumimoji="1" lang="en-US" altLang="ja-JP" sz="2800"/>
        </a:p>
        <a:p>
          <a:r>
            <a:rPr kumimoji="1" lang="ja-JP" altLang="en-US" sz="2800">
              <a:solidFill>
                <a:srgbClr val="FF0000"/>
              </a:solidFill>
            </a:rPr>
            <a:t>　</a:t>
          </a:r>
          <a:r>
            <a:rPr kumimoji="1" lang="en-US" altLang="ja-JP" sz="2800">
              <a:solidFill>
                <a:srgbClr val="FF0000"/>
              </a:solidFill>
            </a:rPr>
            <a:t>30000〜</a:t>
          </a:r>
          <a:r>
            <a:rPr kumimoji="1" lang="ja-JP" altLang="en-US" sz="2800"/>
            <a:t>新規で設定する。ただし、</a:t>
          </a:r>
          <a:r>
            <a:rPr kumimoji="1" lang="en-US" altLang="ja-JP" sz="2800">
              <a:solidFill>
                <a:srgbClr val="FF0000"/>
              </a:solidFill>
            </a:rPr>
            <a:t>80002</a:t>
          </a:r>
          <a:r>
            <a:rPr kumimoji="1" lang="ja-JP" altLang="en-US" sz="2800">
              <a:solidFill>
                <a:srgbClr val="FF0000"/>
              </a:solidFill>
            </a:rPr>
            <a:t>、</a:t>
          </a:r>
          <a:r>
            <a:rPr kumimoji="1" lang="en-US" altLang="ja-JP" sz="2800">
              <a:solidFill>
                <a:srgbClr val="FF0000"/>
              </a:solidFill>
            </a:rPr>
            <a:t>99999</a:t>
          </a:r>
          <a:r>
            <a:rPr kumimoji="1" lang="ja-JP" altLang="en-US" sz="2800"/>
            <a:t>のみ怪しいので、こちらは使用しない。</a:t>
          </a:r>
          <a:endParaRPr kumimoji="1" lang="en-US" altLang="ja-JP" sz="2800"/>
        </a:p>
        <a:p>
          <a:endParaRPr kumimoji="1" lang="en-US" altLang="ja-JP" sz="2800"/>
        </a:p>
        <a:p>
          <a:r>
            <a:rPr kumimoji="1" lang="ja-JP" altLang="en-US" sz="2800"/>
            <a:t>・ミッション</a:t>
          </a:r>
          <a:r>
            <a:rPr kumimoji="1" lang="en-US" altLang="ja-JP" sz="2800"/>
            <a:t>ID</a:t>
          </a:r>
          <a:r>
            <a:rPr kumimoji="1" lang="ja-JP" altLang="en-US" sz="2800"/>
            <a:t>を削除する場合は、</a:t>
          </a:r>
          <a:endParaRPr kumimoji="1" lang="en-US" altLang="ja-JP" sz="2800"/>
        </a:p>
        <a:p>
          <a:r>
            <a:rPr kumimoji="1" lang="ja-JP" altLang="en-US" sz="2800"/>
            <a:t>　開始日と終了日に</a:t>
          </a:r>
          <a:r>
            <a:rPr kumimoji="1" lang="en-US" altLang="ja-JP" sz="2800"/>
            <a:t>2999</a:t>
          </a:r>
          <a:r>
            <a:rPr kumimoji="1" lang="ja-JP" altLang="en-US" sz="2800"/>
            <a:t>年等の未来日を設定する。</a:t>
          </a:r>
          <a:endParaRPr kumimoji="1" lang="en-US" altLang="ja-JP" sz="2800"/>
        </a:p>
        <a:p>
          <a:r>
            <a:rPr kumimoji="1" lang="ja-JP" altLang="en-US" sz="2800">
              <a:solidFill>
                <a:srgbClr val="FF0000"/>
              </a:solidFill>
            </a:rPr>
            <a:t>　設定したものを削除するのは</a:t>
          </a:r>
          <a:r>
            <a:rPr kumimoji="1" lang="en-US" altLang="ja-JP" sz="2800">
              <a:solidFill>
                <a:srgbClr val="FF0000"/>
              </a:solidFill>
            </a:rPr>
            <a:t>NG</a:t>
          </a:r>
        </a:p>
        <a:p>
          <a:endParaRPr kumimoji="1" lang="en-US" altLang="ja-JP" sz="2800">
            <a:solidFill>
              <a:srgbClr val="FF0000"/>
            </a:solidFill>
          </a:endParaRPr>
        </a:p>
        <a:p>
          <a:r>
            <a:rPr kumimoji="1" lang="ja-JP" altLang="en-US" sz="2800">
              <a:solidFill>
                <a:schemeClr val="tx1"/>
              </a:solidFill>
            </a:rPr>
            <a:t>・</a:t>
          </a:r>
          <a:r>
            <a:rPr kumimoji="1" lang="en-US" altLang="ja-JP" sz="2800">
              <a:solidFill>
                <a:schemeClr val="tx1"/>
              </a:solidFill>
            </a:rPr>
            <a:t>mission_ACH_criteria</a:t>
          </a:r>
          <a:r>
            <a:rPr kumimoji="1" lang="ja-JP" altLang="en-US" sz="2800">
              <a:solidFill>
                <a:schemeClr val="tx1"/>
              </a:solidFill>
            </a:rPr>
            <a:t>の</a:t>
          </a:r>
          <a:r>
            <a:rPr kumimoji="1" lang="en-US" altLang="ja-JP" sz="2800">
              <a:solidFill>
                <a:schemeClr val="tx1"/>
              </a:solidFill>
            </a:rPr>
            <a:t>achievement_criterion_count</a:t>
          </a:r>
          <a:r>
            <a:rPr kumimoji="1" lang="ja-JP" altLang="en-US" sz="2800">
              <a:solidFill>
                <a:schemeClr val="tx1"/>
              </a:solidFill>
            </a:rPr>
            <a:t>の値には</a:t>
          </a:r>
          <a:r>
            <a:rPr kumimoji="1" lang="en-US" altLang="ja-JP" sz="2800">
              <a:solidFill>
                <a:srgbClr val="FF0000"/>
              </a:solidFill>
            </a:rPr>
            <a:t>NULL</a:t>
          </a:r>
          <a:r>
            <a:rPr kumimoji="1" lang="ja-JP" altLang="en-US" sz="2800">
              <a:solidFill>
                <a:schemeClr val="tx1"/>
              </a:solidFill>
            </a:rPr>
            <a:t>は使用しない。　</a:t>
          </a:r>
          <a:endParaRPr kumimoji="1" lang="en-US" altLang="ja-JP" sz="2800">
            <a:solidFill>
              <a:schemeClr val="tx1"/>
            </a:solidFill>
          </a:endParaRPr>
        </a:p>
        <a:p>
          <a:r>
            <a:rPr kumimoji="1" lang="ja-JP" altLang="en-US" sz="2800">
              <a:solidFill>
                <a:srgbClr val="FF0000"/>
              </a:solidFill>
            </a:rPr>
            <a:t>　必ず、数値を設定すること。</a:t>
          </a:r>
          <a:endParaRPr kumimoji="1" lang="en-US" altLang="ja-JP" sz="2800">
            <a:solidFill>
              <a:srgbClr val="FF0000"/>
            </a:solidFill>
          </a:endParaRPr>
        </a:p>
        <a:p>
          <a:r>
            <a:rPr kumimoji="1" lang="ja-JP" altLang="en-US" sz="2800">
              <a:solidFill>
                <a:srgbClr val="FF0000"/>
              </a:solidFill>
            </a:rPr>
            <a:t>　（すでに設定されているものそのままで</a:t>
          </a:r>
          <a:r>
            <a:rPr kumimoji="1" lang="en-US" altLang="ja-JP" sz="2800">
              <a:solidFill>
                <a:srgbClr val="FF0000"/>
              </a:solidFill>
            </a:rPr>
            <a:t>OK</a:t>
          </a:r>
          <a:r>
            <a:rPr kumimoji="1" lang="ja-JP" altLang="en-US" sz="2800">
              <a:solidFill>
                <a:srgbClr val="FF0000"/>
              </a:solidFill>
            </a:rPr>
            <a:t>）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114300</xdr:rowOff>
    </xdr:from>
    <xdr:to>
      <xdr:col>14</xdr:col>
      <xdr:colOff>228600</xdr:colOff>
      <xdr:row>71</xdr:row>
      <xdr:rowOff>63500</xdr:rowOff>
    </xdr:to>
    <xdr:pic>
      <xdr:nvPicPr>
        <xdr:cNvPr id="33107" name="図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03300"/>
          <a:ext cx="14808200" cy="11684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itles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方法"/>
      <sheetName val="output"/>
      <sheetName val="titles_data"/>
    </sheetNames>
    <sheetDataSet>
      <sheetData sheetId="0"/>
      <sheetData sheetId="1"/>
      <sheetData sheetId="2">
        <row r="1">
          <cell r="A1" t="str">
            <v>title_id</v>
          </cell>
          <cell r="B1" t="str">
            <v>arrangement</v>
          </cell>
          <cell r="C1" t="str">
            <v>type</v>
          </cell>
          <cell r="D1" t="str">
            <v>language</v>
          </cell>
          <cell r="E1" t="str">
            <v>title</v>
          </cell>
        </row>
        <row r="2">
          <cell r="A2">
            <v>110011</v>
          </cell>
          <cell r="B2" t="str">
            <v>1st</v>
          </cell>
          <cell r="C2" t="str">
            <v>normal</v>
          </cell>
          <cell r="D2" t="str">
            <v>ja</v>
          </cell>
          <cell r="E2" t="str">
            <v>歩き始めた</v>
          </cell>
        </row>
        <row r="3">
          <cell r="A3">
            <v>110012</v>
          </cell>
          <cell r="B3" t="str">
            <v>2nd</v>
          </cell>
          <cell r="C3" t="str">
            <v>normal</v>
          </cell>
          <cell r="D3" t="str">
            <v>ja</v>
          </cell>
          <cell r="E3" t="str">
            <v>クラフィっ子</v>
          </cell>
        </row>
        <row r="4">
          <cell r="A4">
            <v>110021</v>
          </cell>
          <cell r="B4" t="str">
            <v>1st</v>
          </cell>
          <cell r="C4" t="str">
            <v>normal</v>
          </cell>
          <cell r="D4" t="str">
            <v>ja</v>
          </cell>
          <cell r="E4" t="str">
            <v>新人</v>
          </cell>
        </row>
        <row r="5">
          <cell r="A5">
            <v>110022</v>
          </cell>
          <cell r="B5" t="str">
            <v>2nd</v>
          </cell>
          <cell r="C5" t="str">
            <v>normal</v>
          </cell>
          <cell r="D5" t="str">
            <v>ja</v>
          </cell>
          <cell r="E5" t="str">
            <v>ひよっこクラファー</v>
          </cell>
        </row>
        <row r="6">
          <cell r="A6">
            <v>110031</v>
          </cell>
          <cell r="B6" t="str">
            <v>1st</v>
          </cell>
          <cell r="C6" t="str">
            <v>normal</v>
          </cell>
          <cell r="D6" t="str">
            <v>ja</v>
          </cell>
          <cell r="E6" t="str">
            <v>上を目指す</v>
          </cell>
        </row>
        <row r="7">
          <cell r="A7">
            <v>110032</v>
          </cell>
          <cell r="B7" t="str">
            <v>2nd</v>
          </cell>
          <cell r="C7" t="str">
            <v>normal</v>
          </cell>
          <cell r="D7" t="str">
            <v>ja</v>
          </cell>
          <cell r="E7" t="str">
            <v>アマクラファー</v>
          </cell>
        </row>
        <row r="8">
          <cell r="A8">
            <v>110041</v>
          </cell>
          <cell r="B8" t="str">
            <v>1st</v>
          </cell>
          <cell r="C8" t="str">
            <v>normal</v>
          </cell>
          <cell r="D8" t="str">
            <v>ja</v>
          </cell>
          <cell r="E8" t="str">
            <v>一般</v>
          </cell>
        </row>
        <row r="9">
          <cell r="A9">
            <v>110042</v>
          </cell>
          <cell r="B9" t="str">
            <v>2nd</v>
          </cell>
          <cell r="C9" t="str">
            <v>normal</v>
          </cell>
          <cell r="D9" t="str">
            <v>ja</v>
          </cell>
          <cell r="E9" t="str">
            <v>クラファー</v>
          </cell>
        </row>
        <row r="10">
          <cell r="A10">
            <v>110051</v>
          </cell>
          <cell r="B10" t="str">
            <v>1st</v>
          </cell>
          <cell r="C10" t="str">
            <v>normal</v>
          </cell>
          <cell r="D10" t="str">
            <v>ja</v>
          </cell>
          <cell r="E10" t="str">
            <v>立派な</v>
          </cell>
        </row>
        <row r="11">
          <cell r="A11">
            <v>110052</v>
          </cell>
          <cell r="B11" t="str">
            <v>2nd</v>
          </cell>
          <cell r="C11" t="str">
            <v>normal</v>
          </cell>
          <cell r="D11" t="str">
            <v>ja</v>
          </cell>
          <cell r="E11" t="str">
            <v>クラファー先輩</v>
          </cell>
        </row>
        <row r="12">
          <cell r="A12">
            <v>110061</v>
          </cell>
          <cell r="B12" t="str">
            <v>1st</v>
          </cell>
          <cell r="C12" t="str">
            <v>normal</v>
          </cell>
          <cell r="D12" t="str">
            <v>ja</v>
          </cell>
          <cell r="E12" t="str">
            <v>ハイスペック</v>
          </cell>
        </row>
        <row r="13">
          <cell r="A13">
            <v>110062</v>
          </cell>
          <cell r="B13" t="str">
            <v>2nd</v>
          </cell>
          <cell r="C13" t="str">
            <v>normal</v>
          </cell>
          <cell r="D13" t="str">
            <v>ja</v>
          </cell>
          <cell r="E13" t="str">
            <v>クラファー先生</v>
          </cell>
        </row>
        <row r="14">
          <cell r="A14">
            <v>110071</v>
          </cell>
          <cell r="B14" t="str">
            <v>1st</v>
          </cell>
          <cell r="C14" t="str">
            <v>normal</v>
          </cell>
          <cell r="D14" t="str">
            <v>ja</v>
          </cell>
          <cell r="E14" t="str">
            <v>憧れの</v>
          </cell>
        </row>
        <row r="15">
          <cell r="A15">
            <v>110072</v>
          </cell>
          <cell r="B15" t="str">
            <v>2nd</v>
          </cell>
          <cell r="C15" t="str">
            <v>normal</v>
          </cell>
          <cell r="D15" t="str">
            <v>ja</v>
          </cell>
          <cell r="E15" t="str">
            <v>プロクラファー</v>
          </cell>
        </row>
        <row r="16">
          <cell r="A16">
            <v>110081</v>
          </cell>
          <cell r="B16" t="str">
            <v>1st</v>
          </cell>
          <cell r="C16" t="str">
            <v>normal</v>
          </cell>
          <cell r="D16" t="str">
            <v>ja</v>
          </cell>
          <cell r="E16" t="str">
            <v>カリスマ</v>
          </cell>
        </row>
        <row r="17">
          <cell r="A17">
            <v>110082</v>
          </cell>
          <cell r="B17" t="str">
            <v>2nd</v>
          </cell>
          <cell r="C17" t="str">
            <v>normal</v>
          </cell>
          <cell r="D17" t="str">
            <v>ja</v>
          </cell>
          <cell r="E17" t="str">
            <v>クラファー名人</v>
          </cell>
        </row>
        <row r="18">
          <cell r="A18">
            <v>110091</v>
          </cell>
          <cell r="B18" t="str">
            <v>1st</v>
          </cell>
          <cell r="C18" t="str">
            <v>normal</v>
          </cell>
          <cell r="D18" t="str">
            <v>ja</v>
          </cell>
          <cell r="E18" t="str">
            <v>伝説の</v>
          </cell>
        </row>
        <row r="19">
          <cell r="A19">
            <v>110092</v>
          </cell>
          <cell r="B19" t="str">
            <v>2nd</v>
          </cell>
          <cell r="C19" t="str">
            <v>normal</v>
          </cell>
          <cell r="D19" t="str">
            <v>ja</v>
          </cell>
          <cell r="E19" t="str">
            <v>クラファー王</v>
          </cell>
        </row>
        <row r="20">
          <cell r="A20">
            <v>110101</v>
          </cell>
          <cell r="B20" t="str">
            <v>1st</v>
          </cell>
          <cell r="C20" t="str">
            <v>normal</v>
          </cell>
          <cell r="D20" t="str">
            <v>ja</v>
          </cell>
          <cell r="E20" t="str">
            <v>超越的な</v>
          </cell>
        </row>
        <row r="21">
          <cell r="A21">
            <v>110102</v>
          </cell>
          <cell r="B21" t="str">
            <v>2nd</v>
          </cell>
          <cell r="C21" t="str">
            <v>normal</v>
          </cell>
          <cell r="D21" t="str">
            <v>ja</v>
          </cell>
          <cell r="E21" t="str">
            <v>クラファー狂</v>
          </cell>
        </row>
        <row r="22">
          <cell r="A22">
            <v>110111</v>
          </cell>
          <cell r="B22" t="str">
            <v>1st</v>
          </cell>
          <cell r="C22" t="str">
            <v>normal</v>
          </cell>
          <cell r="D22" t="str">
            <v>ja</v>
          </cell>
          <cell r="E22" t="str">
            <v>偉大な</v>
          </cell>
        </row>
        <row r="23">
          <cell r="A23">
            <v>110112</v>
          </cell>
          <cell r="B23" t="str">
            <v>2nd</v>
          </cell>
          <cell r="C23" t="str">
            <v>normal</v>
          </cell>
          <cell r="D23" t="str">
            <v>ja</v>
          </cell>
          <cell r="E23" t="str">
            <v>クラファー帝</v>
          </cell>
        </row>
        <row r="24">
          <cell r="A24">
            <v>110121</v>
          </cell>
          <cell r="B24" t="str">
            <v>1st</v>
          </cell>
          <cell r="C24" t="str">
            <v>normal</v>
          </cell>
          <cell r="D24" t="str">
            <v>ja</v>
          </cell>
          <cell r="E24" t="str">
            <v>マスターオブ</v>
          </cell>
        </row>
        <row r="25">
          <cell r="A25">
            <v>110122</v>
          </cell>
          <cell r="B25" t="str">
            <v>2nd</v>
          </cell>
          <cell r="C25" t="str">
            <v>normal</v>
          </cell>
          <cell r="D25" t="str">
            <v>ja</v>
          </cell>
          <cell r="E25" t="str">
            <v>クラファー仙人</v>
          </cell>
        </row>
        <row r="26">
          <cell r="A26">
            <v>120011</v>
          </cell>
          <cell r="B26" t="str">
            <v>1st</v>
          </cell>
          <cell r="C26" t="str">
            <v>normal</v>
          </cell>
          <cell r="D26" t="str">
            <v>ja</v>
          </cell>
          <cell r="E26" t="str">
            <v>集め始めた</v>
          </cell>
        </row>
        <row r="27">
          <cell r="A27">
            <v>120012</v>
          </cell>
          <cell r="B27" t="str">
            <v>2nd</v>
          </cell>
          <cell r="C27" t="str">
            <v>normal</v>
          </cell>
          <cell r="D27" t="str">
            <v>ja</v>
          </cell>
          <cell r="E27" t="str">
            <v>ファン</v>
          </cell>
        </row>
        <row r="28">
          <cell r="A28">
            <v>120021</v>
          </cell>
          <cell r="B28" t="str">
            <v>1st</v>
          </cell>
          <cell r="C28" t="str">
            <v>normal</v>
          </cell>
          <cell r="D28" t="str">
            <v>ja</v>
          </cell>
          <cell r="E28" t="str">
            <v>巷で噂の</v>
          </cell>
        </row>
        <row r="29">
          <cell r="A29">
            <v>120022</v>
          </cell>
          <cell r="B29" t="str">
            <v>2nd</v>
          </cell>
          <cell r="C29" t="str">
            <v>normal</v>
          </cell>
          <cell r="D29" t="str">
            <v>ja</v>
          </cell>
          <cell r="E29" t="str">
            <v>マニア</v>
          </cell>
        </row>
        <row r="30">
          <cell r="A30">
            <v>120031</v>
          </cell>
          <cell r="B30" t="str">
            <v>1st</v>
          </cell>
          <cell r="C30" t="str">
            <v>normal</v>
          </cell>
          <cell r="D30" t="str">
            <v>ja</v>
          </cell>
          <cell r="E30" t="str">
            <v>手当たり次第の</v>
          </cell>
        </row>
        <row r="31">
          <cell r="A31">
            <v>120032</v>
          </cell>
          <cell r="B31" t="str">
            <v>2nd</v>
          </cell>
          <cell r="C31" t="str">
            <v>normal</v>
          </cell>
          <cell r="D31" t="str">
            <v>ja</v>
          </cell>
          <cell r="E31" t="str">
            <v>コレクター</v>
          </cell>
        </row>
        <row r="32">
          <cell r="A32">
            <v>120041</v>
          </cell>
          <cell r="B32" t="str">
            <v>1st</v>
          </cell>
          <cell r="C32" t="str">
            <v>normal</v>
          </cell>
          <cell r="D32" t="str">
            <v>ja</v>
          </cell>
          <cell r="E32" t="str">
            <v>博識の</v>
          </cell>
        </row>
        <row r="33">
          <cell r="A33">
            <v>120042</v>
          </cell>
          <cell r="B33" t="str">
            <v>2nd</v>
          </cell>
          <cell r="C33" t="str">
            <v>normal</v>
          </cell>
          <cell r="D33" t="str">
            <v>ja</v>
          </cell>
          <cell r="E33" t="str">
            <v>マイスター</v>
          </cell>
        </row>
        <row r="34">
          <cell r="A34">
            <v>120051</v>
          </cell>
          <cell r="B34" t="str">
            <v>1st</v>
          </cell>
          <cell r="C34" t="str">
            <v>normal</v>
          </cell>
          <cell r="D34" t="str">
            <v>ja</v>
          </cell>
          <cell r="E34" t="str">
            <v>知りすぎた</v>
          </cell>
        </row>
        <row r="35">
          <cell r="A35">
            <v>120052</v>
          </cell>
          <cell r="B35" t="str">
            <v>2nd</v>
          </cell>
          <cell r="C35" t="str">
            <v>normal</v>
          </cell>
          <cell r="D35" t="str">
            <v>ja</v>
          </cell>
          <cell r="E35" t="str">
            <v>プロフェッサー</v>
          </cell>
        </row>
        <row r="36">
          <cell r="A36">
            <v>120061</v>
          </cell>
          <cell r="B36" t="str">
            <v>1st</v>
          </cell>
          <cell r="C36" t="str">
            <v>normal</v>
          </cell>
          <cell r="D36" t="str">
            <v>ja</v>
          </cell>
          <cell r="E36" t="str">
            <v>果て無き道の</v>
          </cell>
        </row>
        <row r="37">
          <cell r="A37">
            <v>120062</v>
          </cell>
          <cell r="B37" t="str">
            <v>2nd</v>
          </cell>
          <cell r="C37" t="str">
            <v>normal</v>
          </cell>
          <cell r="D37" t="str">
            <v>ja</v>
          </cell>
          <cell r="E37" t="str">
            <v>インデックス</v>
          </cell>
        </row>
        <row r="38">
          <cell r="A38">
            <v>510011</v>
          </cell>
          <cell r="B38" t="str">
            <v>1st</v>
          </cell>
          <cell r="C38" t="str">
            <v>limited</v>
          </cell>
          <cell r="D38" t="str">
            <v>ja</v>
          </cell>
          <cell r="E38" t="str">
            <v>祝★800万DL記念！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/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38101_1</v>
          </cell>
        </row>
        <row r="668">
          <cell r="A668" t="str">
            <v>38101_2</v>
          </cell>
        </row>
        <row r="669">
          <cell r="A669" t="str">
            <v>38101_3</v>
          </cell>
        </row>
        <row r="670">
          <cell r="A670" t="str">
            <v>39001_1</v>
          </cell>
        </row>
        <row r="671">
          <cell r="A671" t="str">
            <v>39001_2</v>
          </cell>
        </row>
        <row r="672">
          <cell r="A672" t="str">
            <v>39001_3</v>
          </cell>
        </row>
        <row r="673">
          <cell r="A673" t="str">
            <v>39001_4</v>
          </cell>
        </row>
        <row r="674">
          <cell r="A674" t="str">
            <v>39001_5</v>
          </cell>
        </row>
        <row r="675">
          <cell r="A675" t="str">
            <v>39002_1</v>
          </cell>
        </row>
        <row r="676">
          <cell r="A676" t="str">
            <v>39002_2</v>
          </cell>
        </row>
        <row r="677">
          <cell r="A677" t="str">
            <v>39002_3</v>
          </cell>
        </row>
        <row r="678">
          <cell r="A678" t="str">
            <v>39002_4</v>
          </cell>
        </row>
        <row r="679">
          <cell r="A679" t="str">
            <v>39003_1</v>
          </cell>
        </row>
        <row r="680">
          <cell r="A680" t="str">
            <v>39003_2</v>
          </cell>
        </row>
        <row r="681">
          <cell r="A681" t="str">
            <v>39003_3</v>
          </cell>
        </row>
        <row r="682">
          <cell r="A682" t="str">
            <v>39003_4</v>
          </cell>
        </row>
        <row r="683">
          <cell r="A683" t="str">
            <v>39004_1</v>
          </cell>
        </row>
        <row r="684">
          <cell r="A684" t="str">
            <v>39004_2</v>
          </cell>
        </row>
        <row r="685">
          <cell r="A685" t="str">
            <v>39004_3</v>
          </cell>
        </row>
        <row r="686">
          <cell r="A686" t="str">
            <v>39004_4</v>
          </cell>
        </row>
        <row r="687">
          <cell r="A687" t="str">
            <v>39005_1</v>
          </cell>
        </row>
        <row r="688">
          <cell r="A688" t="str">
            <v>39005_2</v>
          </cell>
        </row>
        <row r="689">
          <cell r="A689" t="str">
            <v>39005_3</v>
          </cell>
        </row>
        <row r="690">
          <cell r="A690" t="str">
            <v>39005_4</v>
          </cell>
        </row>
        <row r="691">
          <cell r="A691" t="str">
            <v>39005_5</v>
          </cell>
        </row>
        <row r="692">
          <cell r="A692" t="str">
            <v>39006_1</v>
          </cell>
        </row>
        <row r="693">
          <cell r="A693" t="str">
            <v>39006_2</v>
          </cell>
        </row>
        <row r="694">
          <cell r="A694" t="str">
            <v>39006_3</v>
          </cell>
        </row>
        <row r="695">
          <cell r="A695" t="str">
            <v>39006_4</v>
          </cell>
        </row>
        <row r="696">
          <cell r="A696" t="str">
            <v>39007_1</v>
          </cell>
        </row>
        <row r="697">
          <cell r="A697" t="str">
            <v>39007_2</v>
          </cell>
        </row>
        <row r="698">
          <cell r="A698" t="str">
            <v>39007_3</v>
          </cell>
        </row>
        <row r="699">
          <cell r="A699" t="str">
            <v>39007_4</v>
          </cell>
        </row>
        <row r="700">
          <cell r="A700" t="str">
            <v>39008_1</v>
          </cell>
        </row>
        <row r="701">
          <cell r="A701" t="str">
            <v>39008_2</v>
          </cell>
        </row>
        <row r="702">
          <cell r="A702" t="str">
            <v>39008_3</v>
          </cell>
        </row>
        <row r="703">
          <cell r="A703" t="str">
            <v>39008_4</v>
          </cell>
        </row>
        <row r="704">
          <cell r="A704" t="str">
            <v>39008_5</v>
          </cell>
        </row>
        <row r="705">
          <cell r="A705" t="str">
            <v>39009_1</v>
          </cell>
        </row>
        <row r="706">
          <cell r="A706" t="str">
            <v>39009_2</v>
          </cell>
        </row>
        <row r="707">
          <cell r="A707" t="str">
            <v>39009_3</v>
          </cell>
        </row>
        <row r="708">
          <cell r="A708" t="str">
            <v>39009_4</v>
          </cell>
        </row>
        <row r="709">
          <cell r="A709" t="str">
            <v>39009_5</v>
          </cell>
        </row>
        <row r="710">
          <cell r="A710" t="str">
            <v>39010_1</v>
          </cell>
        </row>
        <row r="711">
          <cell r="A711" t="str">
            <v>39010_2</v>
          </cell>
        </row>
        <row r="712">
          <cell r="A712" t="str">
            <v>39010_3</v>
          </cell>
        </row>
        <row r="713">
          <cell r="A713" t="str">
            <v>39010_4</v>
          </cell>
        </row>
        <row r="714">
          <cell r="A714" t="str">
            <v>39011_1</v>
          </cell>
        </row>
        <row r="715">
          <cell r="A715" t="str">
            <v>39011_2</v>
          </cell>
        </row>
        <row r="716">
          <cell r="A716" t="str">
            <v>39011_3</v>
          </cell>
        </row>
        <row r="717">
          <cell r="A717" t="str">
            <v>39011_4</v>
          </cell>
        </row>
        <row r="718">
          <cell r="A718" t="str">
            <v>39012_1</v>
          </cell>
        </row>
        <row r="719">
          <cell r="A719" t="str">
            <v>39012_2</v>
          </cell>
        </row>
        <row r="720">
          <cell r="A720" t="str">
            <v>39012_3</v>
          </cell>
        </row>
        <row r="721">
          <cell r="A721" t="str">
            <v>39012_4</v>
          </cell>
        </row>
        <row r="722">
          <cell r="A722" t="str">
            <v>39012_5</v>
          </cell>
        </row>
        <row r="723">
          <cell r="A723" t="str">
            <v>39013_1</v>
          </cell>
        </row>
        <row r="724">
          <cell r="A724" t="str">
            <v>39013_2</v>
          </cell>
        </row>
        <row r="725">
          <cell r="A725" t="str">
            <v>39013_3</v>
          </cell>
        </row>
        <row r="726">
          <cell r="A726" t="str">
            <v>39013_4</v>
          </cell>
        </row>
        <row r="727">
          <cell r="A727" t="str">
            <v>39014_1</v>
          </cell>
        </row>
        <row r="728">
          <cell r="A728" t="str">
            <v>39014_2</v>
          </cell>
        </row>
        <row r="729">
          <cell r="A729" t="str">
            <v>40001_1</v>
          </cell>
        </row>
        <row r="730">
          <cell r="A730" t="str">
            <v>40002_1</v>
          </cell>
        </row>
        <row r="731">
          <cell r="A731" t="str">
            <v>40002_2</v>
          </cell>
        </row>
        <row r="732">
          <cell r="A732" t="str">
            <v>40002_3</v>
          </cell>
        </row>
        <row r="733">
          <cell r="A733" t="str">
            <v>40003_1</v>
          </cell>
        </row>
        <row r="734">
          <cell r="A734" t="str">
            <v>40004_1</v>
          </cell>
        </row>
        <row r="735">
          <cell r="A735" t="str">
            <v>40005_1</v>
          </cell>
        </row>
        <row r="736">
          <cell r="A736" t="str">
            <v>40006_1</v>
          </cell>
        </row>
        <row r="737">
          <cell r="A737" t="str">
            <v>40007_1</v>
          </cell>
        </row>
        <row r="738">
          <cell r="A738" t="str">
            <v>40008_1</v>
          </cell>
        </row>
        <row r="739">
          <cell r="A739" t="str">
            <v>40009_1</v>
          </cell>
        </row>
        <row r="740">
          <cell r="A740" t="str">
            <v>40010_1</v>
          </cell>
        </row>
        <row r="741">
          <cell r="A741" t="str">
            <v>40011_1</v>
          </cell>
        </row>
        <row r="742">
          <cell r="A742" t="str">
            <v>40012_1</v>
          </cell>
        </row>
        <row r="743">
          <cell r="A743" t="str">
            <v>40013_1</v>
          </cell>
        </row>
        <row r="744">
          <cell r="A744" t="str">
            <v>40014_1</v>
          </cell>
        </row>
        <row r="745">
          <cell r="A745" t="str">
            <v>40015_1</v>
          </cell>
        </row>
        <row r="746">
          <cell r="A746" t="str">
            <v>40016_1</v>
          </cell>
        </row>
        <row r="747">
          <cell r="A747" t="str">
            <v>40016_2</v>
          </cell>
        </row>
        <row r="748">
          <cell r="A748" t="str">
            <v>40017_1</v>
          </cell>
        </row>
        <row r="749">
          <cell r="A749" t="str">
            <v>40017_2</v>
          </cell>
        </row>
        <row r="750">
          <cell r="A750" t="str">
            <v>40017_3</v>
          </cell>
        </row>
        <row r="751">
          <cell r="A751" t="str">
            <v>40018_1</v>
          </cell>
        </row>
        <row r="752">
          <cell r="A752" t="str">
            <v>40018_2</v>
          </cell>
        </row>
        <row r="753">
          <cell r="A753" t="str">
            <v>40018_3</v>
          </cell>
        </row>
        <row r="754">
          <cell r="A754" t="str">
            <v>40019_1</v>
          </cell>
        </row>
        <row r="755">
          <cell r="A755" t="str">
            <v>40019_2</v>
          </cell>
        </row>
        <row r="756">
          <cell r="A756" t="str">
            <v>40019_3</v>
          </cell>
        </row>
        <row r="757">
          <cell r="A757" t="str">
            <v>40021_1</v>
          </cell>
        </row>
        <row r="758">
          <cell r="A758" t="str">
            <v>40021_2</v>
          </cell>
        </row>
        <row r="759">
          <cell r="A759" t="str">
            <v>40022_1</v>
          </cell>
        </row>
        <row r="760">
          <cell r="A760" t="str">
            <v>40022_2</v>
          </cell>
        </row>
        <row r="761">
          <cell r="A761" t="str">
            <v>40023_1</v>
          </cell>
        </row>
        <row r="762">
          <cell r="A762" t="str">
            <v>40023_2</v>
          </cell>
        </row>
        <row r="763">
          <cell r="A763" t="str">
            <v>40024_1</v>
          </cell>
        </row>
        <row r="764">
          <cell r="A764" t="str">
            <v>40024_2</v>
          </cell>
        </row>
        <row r="765">
          <cell r="A765" t="str">
            <v>40025_1</v>
          </cell>
        </row>
        <row r="766">
          <cell r="A766" t="str">
            <v>40025_2</v>
          </cell>
        </row>
        <row r="767">
          <cell r="A767" t="str">
            <v>40026_1</v>
          </cell>
        </row>
        <row r="768">
          <cell r="A768" t="str">
            <v>40026_2</v>
          </cell>
        </row>
        <row r="769">
          <cell r="A769" t="str">
            <v>40027_1</v>
          </cell>
        </row>
        <row r="770">
          <cell r="A770" t="str">
            <v>40027_2</v>
          </cell>
        </row>
        <row r="771">
          <cell r="A771" t="str">
            <v>40028_1</v>
          </cell>
        </row>
        <row r="772">
          <cell r="A772" t="str">
            <v>40028_2</v>
          </cell>
        </row>
        <row r="773">
          <cell r="A773" t="str">
            <v>40029_1</v>
          </cell>
        </row>
        <row r="774">
          <cell r="A774" t="str">
            <v>40029_2</v>
          </cell>
        </row>
        <row r="775">
          <cell r="A775" t="str">
            <v>40030_1</v>
          </cell>
        </row>
        <row r="776">
          <cell r="A776" t="str">
            <v>40030_2</v>
          </cell>
        </row>
        <row r="777">
          <cell r="A777" t="str">
            <v>40031_1</v>
          </cell>
        </row>
        <row r="778">
          <cell r="A778" t="str">
            <v>40031_2</v>
          </cell>
        </row>
        <row r="779">
          <cell r="A779" t="str">
            <v>40032_1</v>
          </cell>
        </row>
        <row r="780">
          <cell r="A780" t="str">
            <v>40032_2</v>
          </cell>
        </row>
        <row r="781">
          <cell r="A781" t="str">
            <v>40033_1</v>
          </cell>
        </row>
        <row r="782">
          <cell r="A782" t="str">
            <v>40033_2</v>
          </cell>
        </row>
        <row r="783">
          <cell r="A783" t="str">
            <v>40034_1</v>
          </cell>
        </row>
        <row r="784">
          <cell r="A784" t="str">
            <v>40034_2</v>
          </cell>
        </row>
        <row r="785">
          <cell r="A785" t="str">
            <v>40035_1</v>
          </cell>
        </row>
        <row r="786">
          <cell r="A786" t="str">
            <v>40035_2</v>
          </cell>
        </row>
        <row r="787">
          <cell r="A787" t="str">
            <v>40036_1</v>
          </cell>
        </row>
        <row r="788">
          <cell r="A788" t="str">
            <v>40036_2</v>
          </cell>
        </row>
        <row r="789">
          <cell r="A789" t="str">
            <v>40037_1</v>
          </cell>
        </row>
        <row r="790">
          <cell r="A790" t="str">
            <v>40037_2</v>
          </cell>
        </row>
        <row r="791">
          <cell r="A791" t="str">
            <v>40038_1</v>
          </cell>
        </row>
        <row r="792">
          <cell r="A792" t="str">
            <v>40038_2</v>
          </cell>
        </row>
        <row r="793">
          <cell r="A793" t="str">
            <v>40039_1</v>
          </cell>
        </row>
        <row r="794">
          <cell r="A794" t="str">
            <v>40039_2</v>
          </cell>
        </row>
        <row r="795">
          <cell r="A795" t="str">
            <v>40040_1</v>
          </cell>
        </row>
        <row r="796">
          <cell r="A796" t="str">
            <v>40040_2</v>
          </cell>
        </row>
        <row r="797">
          <cell r="A797" t="str">
            <v>40041_1</v>
          </cell>
        </row>
        <row r="798">
          <cell r="A798" t="str">
            <v>40041_2</v>
          </cell>
        </row>
        <row r="799">
          <cell r="A799" t="str">
            <v>40042_1</v>
          </cell>
        </row>
        <row r="800">
          <cell r="A800" t="str">
            <v>40042_2</v>
          </cell>
        </row>
        <row r="801">
          <cell r="A801" t="str">
            <v>40043_1</v>
          </cell>
        </row>
        <row r="802">
          <cell r="A802" t="str">
            <v>40043_2</v>
          </cell>
        </row>
        <row r="803">
          <cell r="A803" t="str">
            <v>40044_1</v>
          </cell>
        </row>
        <row r="804">
          <cell r="A804" t="str">
            <v>40044_2</v>
          </cell>
        </row>
        <row r="805">
          <cell r="A805" t="str">
            <v>40045_1</v>
          </cell>
        </row>
        <row r="806">
          <cell r="A806" t="str">
            <v>40045_2</v>
          </cell>
        </row>
        <row r="807">
          <cell r="A807" t="str">
            <v>40046_1</v>
          </cell>
        </row>
        <row r="808">
          <cell r="A808" t="str">
            <v>40046_2</v>
          </cell>
        </row>
        <row r="809">
          <cell r="A809" t="str">
            <v>41001_1</v>
          </cell>
        </row>
        <row r="810">
          <cell r="A810" t="str">
            <v>41001_2</v>
          </cell>
        </row>
        <row r="811">
          <cell r="A811" t="str">
            <v>41001_3</v>
          </cell>
        </row>
        <row r="812">
          <cell r="A812" t="str">
            <v>41001_4</v>
          </cell>
        </row>
        <row r="813">
          <cell r="A813" t="str">
            <v>41002_1</v>
          </cell>
        </row>
        <row r="814">
          <cell r="A814" t="str">
            <v>41002_2</v>
          </cell>
        </row>
        <row r="815">
          <cell r="A815" t="str">
            <v>41002_3</v>
          </cell>
        </row>
        <row r="816">
          <cell r="A816" t="str">
            <v>41002_4</v>
          </cell>
        </row>
        <row r="817">
          <cell r="A817" t="str">
            <v>41003_1</v>
          </cell>
        </row>
        <row r="818">
          <cell r="A818" t="str">
            <v>41003_2</v>
          </cell>
        </row>
        <row r="819">
          <cell r="A819" t="str">
            <v>41003_3</v>
          </cell>
        </row>
        <row r="820">
          <cell r="A820" t="str">
            <v>41003_4</v>
          </cell>
        </row>
        <row r="821">
          <cell r="A821" t="str">
            <v>41004_1</v>
          </cell>
        </row>
        <row r="822">
          <cell r="A822" t="str">
            <v>41004_2</v>
          </cell>
        </row>
        <row r="823">
          <cell r="A823" t="str">
            <v>41004_3</v>
          </cell>
        </row>
        <row r="824">
          <cell r="A824" t="str">
            <v>41005_1</v>
          </cell>
        </row>
        <row r="825">
          <cell r="A825" t="str">
            <v>41005_2</v>
          </cell>
        </row>
        <row r="826">
          <cell r="A826" t="str">
            <v>41005_3</v>
          </cell>
        </row>
        <row r="827">
          <cell r="A827" t="str">
            <v>41006_1</v>
          </cell>
        </row>
        <row r="828">
          <cell r="A828" t="str">
            <v>41006_2</v>
          </cell>
        </row>
        <row r="829">
          <cell r="A829" t="str">
            <v>41006_3</v>
          </cell>
        </row>
        <row r="830">
          <cell r="A830" t="str">
            <v>41007_1</v>
          </cell>
        </row>
        <row r="831">
          <cell r="A831" t="str">
            <v>41007_2</v>
          </cell>
        </row>
        <row r="832">
          <cell r="A832" t="str">
            <v>41007_3</v>
          </cell>
        </row>
        <row r="833">
          <cell r="A833" t="str">
            <v>41008_1</v>
          </cell>
        </row>
        <row r="834">
          <cell r="A834" t="str">
            <v>41008_2</v>
          </cell>
        </row>
        <row r="835">
          <cell r="A835" t="str">
            <v>41008_3</v>
          </cell>
        </row>
        <row r="836">
          <cell r="A836" t="str">
            <v>41009_1</v>
          </cell>
        </row>
        <row r="837">
          <cell r="A837" t="str">
            <v>41009_2</v>
          </cell>
        </row>
        <row r="838">
          <cell r="A838" t="str">
            <v>41009_3</v>
          </cell>
        </row>
        <row r="839">
          <cell r="A839" t="str">
            <v>41010_1</v>
          </cell>
        </row>
        <row r="840">
          <cell r="A840" t="str">
            <v>41010_2</v>
          </cell>
        </row>
        <row r="841">
          <cell r="A841" t="str">
            <v>41010_3</v>
          </cell>
        </row>
        <row r="842">
          <cell r="A842" t="str">
            <v>41011_1</v>
          </cell>
        </row>
        <row r="843">
          <cell r="A843" t="str">
            <v>41011_2</v>
          </cell>
        </row>
        <row r="844">
          <cell r="A844" t="str">
            <v>41012_1</v>
          </cell>
        </row>
        <row r="845">
          <cell r="A845" t="str">
            <v>41012_2</v>
          </cell>
        </row>
        <row r="846">
          <cell r="A846" t="str">
            <v>41013_1</v>
          </cell>
        </row>
        <row r="847">
          <cell r="A847" t="str">
            <v>41013_2</v>
          </cell>
        </row>
        <row r="848">
          <cell r="A848" t="str">
            <v>41014_1</v>
          </cell>
        </row>
        <row r="849">
          <cell r="A849" t="str">
            <v>41014_2</v>
          </cell>
        </row>
        <row r="850">
          <cell r="A850" t="str">
            <v>41015_1</v>
          </cell>
        </row>
        <row r="851">
          <cell r="A851" t="str">
            <v>41015_2</v>
          </cell>
        </row>
        <row r="852">
          <cell r="A852" t="str">
            <v>47001_1</v>
          </cell>
        </row>
        <row r="853">
          <cell r="A853" t="str">
            <v>47001_2</v>
          </cell>
        </row>
        <row r="854">
          <cell r="A854" t="str">
            <v>47002_1</v>
          </cell>
        </row>
        <row r="855">
          <cell r="A855" t="str">
            <v>47002_2</v>
          </cell>
        </row>
        <row r="856">
          <cell r="A856" t="str">
            <v>47003_1</v>
          </cell>
        </row>
        <row r="857">
          <cell r="A857" t="str">
            <v>47003_2</v>
          </cell>
        </row>
        <row r="858">
          <cell r="A858" t="str">
            <v>47003_3</v>
          </cell>
        </row>
        <row r="859">
          <cell r="A859" t="str">
            <v>47003_4</v>
          </cell>
        </row>
        <row r="860">
          <cell r="A860" t="str">
            <v>47004_1</v>
          </cell>
        </row>
        <row r="861">
          <cell r="A861" t="str">
            <v>47004_2</v>
          </cell>
        </row>
        <row r="862">
          <cell r="A862" t="str">
            <v>47004_3</v>
          </cell>
        </row>
        <row r="863">
          <cell r="A863" t="str">
            <v>47004_4</v>
          </cell>
        </row>
        <row r="864">
          <cell r="A864" t="str">
            <v>47005_1</v>
          </cell>
        </row>
        <row r="865">
          <cell r="A865" t="str">
            <v>47006_1</v>
          </cell>
        </row>
        <row r="866">
          <cell r="A866" t="str">
            <v>47006_2</v>
          </cell>
        </row>
        <row r="867">
          <cell r="A867" t="str">
            <v>47007_1</v>
          </cell>
        </row>
        <row r="868">
          <cell r="A868" t="str">
            <v>47007_2</v>
          </cell>
        </row>
        <row r="869">
          <cell r="A869" t="str">
            <v>47008_1</v>
          </cell>
        </row>
        <row r="870">
          <cell r="A870" t="str">
            <v>47008_2</v>
          </cell>
        </row>
        <row r="871">
          <cell r="A871" t="str">
            <v>47009_1</v>
          </cell>
        </row>
        <row r="872">
          <cell r="A872" t="str">
            <v>47009_2</v>
          </cell>
        </row>
        <row r="873">
          <cell r="A873" t="str">
            <v>47010_1</v>
          </cell>
        </row>
        <row r="874">
          <cell r="A874" t="str">
            <v>47010_2</v>
          </cell>
        </row>
        <row r="875">
          <cell r="A875" t="str">
            <v>47011_1</v>
          </cell>
        </row>
        <row r="876">
          <cell r="A876" t="str">
            <v>47012_1</v>
          </cell>
        </row>
        <row r="877">
          <cell r="A877" t="str">
            <v>47012_2</v>
          </cell>
        </row>
        <row r="878">
          <cell r="A878" t="str">
            <v>47013_1</v>
          </cell>
        </row>
        <row r="879">
          <cell r="A879" t="str">
            <v>47013_2</v>
          </cell>
        </row>
        <row r="880">
          <cell r="A880" t="str">
            <v>47013_3</v>
          </cell>
        </row>
        <row r="881">
          <cell r="A881" t="str">
            <v>47013_4</v>
          </cell>
        </row>
        <row r="882">
          <cell r="A882" t="str">
            <v>47014_1</v>
          </cell>
        </row>
        <row r="883">
          <cell r="A883" t="str">
            <v>47014_2</v>
          </cell>
        </row>
        <row r="884">
          <cell r="A884" t="str">
            <v>47014_3</v>
          </cell>
        </row>
        <row r="885">
          <cell r="A885" t="str">
            <v>47015_1</v>
          </cell>
        </row>
        <row r="886">
          <cell r="A886" t="str">
            <v>47015_2</v>
          </cell>
        </row>
        <row r="887">
          <cell r="A887" t="str">
            <v>47015_3</v>
          </cell>
        </row>
        <row r="888">
          <cell r="A888" t="str">
            <v>47016_1</v>
          </cell>
        </row>
        <row r="889">
          <cell r="A889" t="str">
            <v>47016_2</v>
          </cell>
        </row>
        <row r="890">
          <cell r="A890" t="str">
            <v>47016_3</v>
          </cell>
        </row>
        <row r="891">
          <cell r="A891" t="str">
            <v>48001_1</v>
          </cell>
        </row>
        <row r="892">
          <cell r="A892" t="str">
            <v>48002_1</v>
          </cell>
        </row>
        <row r="893">
          <cell r="A893" t="str">
            <v>48002_2</v>
          </cell>
        </row>
        <row r="894">
          <cell r="A894" t="str">
            <v>48002_3</v>
          </cell>
        </row>
        <row r="895">
          <cell r="A895" t="str">
            <v>48003_1</v>
          </cell>
        </row>
        <row r="896">
          <cell r="A896" t="str">
            <v>48003_2</v>
          </cell>
        </row>
        <row r="897">
          <cell r="A897" t="str">
            <v>48004_1</v>
          </cell>
        </row>
        <row r="898">
          <cell r="A898" t="str">
            <v>48004_2</v>
          </cell>
        </row>
        <row r="899">
          <cell r="A899" t="str">
            <v>48005_1</v>
          </cell>
        </row>
        <row r="900">
          <cell r="A900" t="str">
            <v>48005_2</v>
          </cell>
        </row>
        <row r="901">
          <cell r="A901" t="str">
            <v>48006_1</v>
          </cell>
        </row>
        <row r="902">
          <cell r="A902" t="str">
            <v>48006_2</v>
          </cell>
        </row>
        <row r="903">
          <cell r="A903" t="str">
            <v>48007_1</v>
          </cell>
        </row>
        <row r="904">
          <cell r="A904" t="str">
            <v>48007_2</v>
          </cell>
        </row>
        <row r="905">
          <cell r="A905" t="str">
            <v>48008_1</v>
          </cell>
        </row>
        <row r="906">
          <cell r="A906" t="str">
            <v>48008_2</v>
          </cell>
        </row>
        <row r="907">
          <cell r="A907" t="str">
            <v>48009_1</v>
          </cell>
        </row>
        <row r="908">
          <cell r="A908" t="str">
            <v>48009_2</v>
          </cell>
        </row>
        <row r="909">
          <cell r="A909" t="str">
            <v>48010_1</v>
          </cell>
        </row>
        <row r="910">
          <cell r="A910" t="str">
            <v>48011_1</v>
          </cell>
        </row>
        <row r="911">
          <cell r="A911" t="str">
            <v>48011_2</v>
          </cell>
        </row>
        <row r="912">
          <cell r="A912" t="str">
            <v>48012_1</v>
          </cell>
        </row>
        <row r="913">
          <cell r="A913" t="str">
            <v>48012_2</v>
          </cell>
        </row>
        <row r="914">
          <cell r="A914" t="str">
            <v>48013_1</v>
          </cell>
        </row>
        <row r="915">
          <cell r="A915" t="str">
            <v>48013_2</v>
          </cell>
        </row>
        <row r="916">
          <cell r="A916" t="str">
            <v>48014_1</v>
          </cell>
        </row>
        <row r="917">
          <cell r="A917" t="str">
            <v>48014_2</v>
          </cell>
        </row>
        <row r="918">
          <cell r="A918" t="str">
            <v>48015_1</v>
          </cell>
        </row>
        <row r="919">
          <cell r="A919" t="str">
            <v>48015_2</v>
          </cell>
        </row>
        <row r="920">
          <cell r="A920" t="str">
            <v>48016_1</v>
          </cell>
        </row>
        <row r="921">
          <cell r="A921" t="str">
            <v>48016_2</v>
          </cell>
        </row>
        <row r="922">
          <cell r="A922" t="str">
            <v>48101_1</v>
          </cell>
        </row>
        <row r="923">
          <cell r="A923" t="str">
            <v>48101_2</v>
          </cell>
        </row>
        <row r="924">
          <cell r="A924" t="str">
            <v>48501_1</v>
          </cell>
        </row>
        <row r="925">
          <cell r="A925" t="str">
            <v>48501_2</v>
          </cell>
        </row>
        <row r="926">
          <cell r="A926" t="str">
            <v>48502_1</v>
          </cell>
        </row>
        <row r="927">
          <cell r="A927" t="str">
            <v>48502_2</v>
          </cell>
        </row>
        <row r="928">
          <cell r="A928" t="str">
            <v>48503_1</v>
          </cell>
        </row>
        <row r="929">
          <cell r="A929" t="str">
            <v>48503_2</v>
          </cell>
        </row>
        <row r="930">
          <cell r="A930" t="str">
            <v>48504_1</v>
          </cell>
        </row>
        <row r="931">
          <cell r="A931" t="str">
            <v>48504_2</v>
          </cell>
        </row>
        <row r="932">
          <cell r="A932" t="str">
            <v>48701_1</v>
          </cell>
        </row>
        <row r="933">
          <cell r="A933" t="str">
            <v>48701_2</v>
          </cell>
        </row>
        <row r="934">
          <cell r="A934" t="str">
            <v>48702_1</v>
          </cell>
        </row>
        <row r="935">
          <cell r="A935" t="str">
            <v>48702_2</v>
          </cell>
        </row>
        <row r="936">
          <cell r="A936" t="str">
            <v>48703_1</v>
          </cell>
        </row>
        <row r="937">
          <cell r="A937" t="str">
            <v>49001_1</v>
          </cell>
        </row>
        <row r="938">
          <cell r="A938" t="str">
            <v>49002_1</v>
          </cell>
        </row>
        <row r="939">
          <cell r="A939" t="str">
            <v>49002_2</v>
          </cell>
        </row>
        <row r="940">
          <cell r="A940" t="str">
            <v>49003_1</v>
          </cell>
        </row>
        <row r="941">
          <cell r="A941" t="str">
            <v>49003_2</v>
          </cell>
        </row>
        <row r="942">
          <cell r="A942" t="str">
            <v>49004_1</v>
          </cell>
        </row>
        <row r="943">
          <cell r="A943" t="str">
            <v>49004_2</v>
          </cell>
        </row>
        <row r="944">
          <cell r="A944" t="str">
            <v>49004_3</v>
          </cell>
        </row>
        <row r="945">
          <cell r="A945" t="str">
            <v>49005_1</v>
          </cell>
        </row>
        <row r="946">
          <cell r="A946" t="str">
            <v>49006_1</v>
          </cell>
        </row>
        <row r="947">
          <cell r="A947" t="str">
            <v>49006_2</v>
          </cell>
        </row>
        <row r="948">
          <cell r="A948" t="str">
            <v>49007_1</v>
          </cell>
        </row>
        <row r="949">
          <cell r="A949" t="str">
            <v>49007_2</v>
          </cell>
        </row>
        <row r="950">
          <cell r="A950" t="str">
            <v>49007_3</v>
          </cell>
        </row>
        <row r="951">
          <cell r="A951" t="str">
            <v>49008_1</v>
          </cell>
        </row>
        <row r="952">
          <cell r="A952" t="str">
            <v>49009_1</v>
          </cell>
        </row>
        <row r="953">
          <cell r="A953" t="str">
            <v>49010_1</v>
          </cell>
        </row>
        <row r="954">
          <cell r="A954" t="str">
            <v>49011_1</v>
          </cell>
        </row>
        <row r="955">
          <cell r="A955" t="str">
            <v>49012_1</v>
          </cell>
        </row>
        <row r="956">
          <cell r="A956" t="str">
            <v>49013_1</v>
          </cell>
        </row>
        <row r="957">
          <cell r="A957" t="str">
            <v>49014_1</v>
          </cell>
        </row>
        <row r="958">
          <cell r="A958" t="str">
            <v>49014_2</v>
          </cell>
        </row>
        <row r="959">
          <cell r="A959" t="str">
            <v>49015_1</v>
          </cell>
        </row>
        <row r="960">
          <cell r="A960" t="str">
            <v>49015_2</v>
          </cell>
        </row>
        <row r="961">
          <cell r="A961" t="str">
            <v>49015_3</v>
          </cell>
        </row>
        <row r="962">
          <cell r="A962" t="str">
            <v>49016_1</v>
          </cell>
        </row>
        <row r="963">
          <cell r="A963" t="str">
            <v>49016_2</v>
          </cell>
        </row>
        <row r="964">
          <cell r="A964" t="str">
            <v>50001_1</v>
          </cell>
        </row>
        <row r="965">
          <cell r="A965" t="str">
            <v>50002_1</v>
          </cell>
        </row>
        <row r="966">
          <cell r="A966" t="str">
            <v>50003_1</v>
          </cell>
        </row>
        <row r="967">
          <cell r="A967" t="str">
            <v>50004_1</v>
          </cell>
        </row>
        <row r="968">
          <cell r="A968" t="str">
            <v>50005_1</v>
          </cell>
        </row>
        <row r="969">
          <cell r="A969" t="str">
            <v>50006_1</v>
          </cell>
        </row>
        <row r="970">
          <cell r="A970" t="str">
            <v>50007_1</v>
          </cell>
        </row>
        <row r="971">
          <cell r="A971" t="str">
            <v>50008_1</v>
          </cell>
        </row>
        <row r="972">
          <cell r="A972" t="str">
            <v>50009_1</v>
          </cell>
        </row>
        <row r="973">
          <cell r="A973" t="str">
            <v>50010_1</v>
          </cell>
        </row>
        <row r="974">
          <cell r="A974" t="str">
            <v>50011_1</v>
          </cell>
        </row>
        <row r="975">
          <cell r="A975" t="str">
            <v>50012_1</v>
          </cell>
        </row>
        <row r="976">
          <cell r="A976" t="str">
            <v>50013_1</v>
          </cell>
        </row>
        <row r="977">
          <cell r="A977" t="str">
            <v>50014_1</v>
          </cell>
        </row>
        <row r="978">
          <cell r="A978" t="str">
            <v>50015_1</v>
          </cell>
        </row>
        <row r="979">
          <cell r="A979" t="str">
            <v>50016_1</v>
          </cell>
        </row>
        <row r="980">
          <cell r="A980" t="str">
            <v>51001_1</v>
          </cell>
        </row>
        <row r="981">
          <cell r="A981" t="str">
            <v>51002_1</v>
          </cell>
        </row>
        <row r="982">
          <cell r="A982" t="str">
            <v>58001_1</v>
          </cell>
        </row>
        <row r="983">
          <cell r="A983" t="str">
            <v>58002_1</v>
          </cell>
        </row>
        <row r="984">
          <cell r="A984" t="str">
            <v>58003_1</v>
          </cell>
        </row>
        <row r="985">
          <cell r="A985" t="str">
            <v>58101_1</v>
          </cell>
        </row>
        <row r="986">
          <cell r="A986" t="str">
            <v>59001_1</v>
          </cell>
        </row>
        <row r="987">
          <cell r="A987" t="str">
            <v>59002_1</v>
          </cell>
        </row>
        <row r="988">
          <cell r="A988" t="str">
            <v>59003_1</v>
          </cell>
        </row>
        <row r="989">
          <cell r="A989" t="str">
            <v>59003_2</v>
          </cell>
        </row>
        <row r="990">
          <cell r="A990" t="str">
            <v>60001_1</v>
          </cell>
        </row>
        <row r="991">
          <cell r="A991" t="str">
            <v>60002_1</v>
          </cell>
        </row>
        <row r="992">
          <cell r="A992" t="str">
            <v>60002_2</v>
          </cell>
        </row>
        <row r="993">
          <cell r="A993" t="str">
            <v>60003_1</v>
          </cell>
        </row>
        <row r="994">
          <cell r="A994" t="str">
            <v>60003_2</v>
          </cell>
        </row>
        <row r="995">
          <cell r="A995" t="str">
            <v>60003_3</v>
          </cell>
        </row>
        <row r="996">
          <cell r="A996" t="str">
            <v>60004_1</v>
          </cell>
        </row>
        <row r="997">
          <cell r="A997" t="str">
            <v>60005_1</v>
          </cell>
        </row>
        <row r="998">
          <cell r="A998" t="str">
            <v>60006_1</v>
          </cell>
        </row>
        <row r="999">
          <cell r="A999" t="str">
            <v>60006_2</v>
          </cell>
        </row>
        <row r="1000">
          <cell r="A1000" t="str">
            <v>60006_3</v>
          </cell>
        </row>
        <row r="1001">
          <cell r="A1001" t="str">
            <v>60007_1</v>
          </cell>
        </row>
        <row r="1002">
          <cell r="A1002" t="str">
            <v>60007_2</v>
          </cell>
        </row>
        <row r="1003">
          <cell r="A1003" t="str">
            <v>60007_3</v>
          </cell>
        </row>
        <row r="1004">
          <cell r="A1004" t="str">
            <v>60010_1</v>
          </cell>
        </row>
        <row r="1005">
          <cell r="A1005" t="str">
            <v>60011_1</v>
          </cell>
        </row>
        <row r="1006">
          <cell r="A1006" t="str">
            <v>60011_2</v>
          </cell>
        </row>
        <row r="1007">
          <cell r="A1007" t="str">
            <v>60012_1</v>
          </cell>
        </row>
        <row r="1008">
          <cell r="A1008" t="str">
            <v>60013_1</v>
          </cell>
        </row>
        <row r="1009">
          <cell r="A1009" t="str">
            <v>60013_2</v>
          </cell>
        </row>
        <row r="1010">
          <cell r="A1010" t="str">
            <v>60013_3</v>
          </cell>
        </row>
        <row r="1011">
          <cell r="A1011" t="str">
            <v>60014_1</v>
          </cell>
        </row>
        <row r="1012">
          <cell r="A1012" t="str">
            <v>60015_1</v>
          </cell>
        </row>
        <row r="1013">
          <cell r="A1013" t="str">
            <v>60016_1</v>
          </cell>
        </row>
        <row r="1014">
          <cell r="A1014" t="str">
            <v>60017_1</v>
          </cell>
        </row>
        <row r="1015">
          <cell r="A1015" t="str">
            <v>60018_1</v>
          </cell>
        </row>
        <row r="1016">
          <cell r="A1016" t="str">
            <v>60019_1</v>
          </cell>
        </row>
        <row r="1017">
          <cell r="A1017" t="str">
            <v>60020_1</v>
          </cell>
        </row>
        <row r="1018">
          <cell r="A1018" t="str">
            <v>60021_3</v>
          </cell>
        </row>
        <row r="1019">
          <cell r="A1019" t="str">
            <v>60022_3</v>
          </cell>
        </row>
        <row r="1020">
          <cell r="A1020" t="str">
            <v>60023_3</v>
          </cell>
        </row>
        <row r="1021">
          <cell r="A1021" t="str">
            <v>60024_3</v>
          </cell>
        </row>
        <row r="1022">
          <cell r="A1022" t="str">
            <v>60025_1</v>
          </cell>
        </row>
        <row r="1023">
          <cell r="A1023" t="str">
            <v>60026_1</v>
          </cell>
        </row>
        <row r="1024">
          <cell r="A1024" t="str">
            <v>61011_1</v>
          </cell>
        </row>
        <row r="1025">
          <cell r="A1025" t="str">
            <v>60027_1</v>
          </cell>
        </row>
        <row r="1026">
          <cell r="A1026" t="str">
            <v>60028_1</v>
          </cell>
        </row>
        <row r="1027">
          <cell r="A1027" t="str">
            <v>60029_1</v>
          </cell>
        </row>
        <row r="1028">
          <cell r="A1028" t="str">
            <v>60030_1</v>
          </cell>
        </row>
        <row r="1029">
          <cell r="A1029" t="str">
            <v>60031_1</v>
          </cell>
        </row>
        <row r="1030">
          <cell r="A1030" t="str">
            <v>60032_1</v>
          </cell>
        </row>
        <row r="1031">
          <cell r="A1031" t="str">
            <v>61001_1</v>
          </cell>
        </row>
        <row r="1032">
          <cell r="A1032" t="str">
            <v>61001_2</v>
          </cell>
        </row>
        <row r="1033">
          <cell r="A1033" t="str">
            <v>61001_3</v>
          </cell>
        </row>
        <row r="1034">
          <cell r="A1034" t="str">
            <v>61001_4</v>
          </cell>
        </row>
        <row r="1035">
          <cell r="A1035" t="str">
            <v>61001_5</v>
          </cell>
        </row>
        <row r="1036">
          <cell r="A1036" t="str">
            <v>61001_6</v>
          </cell>
        </row>
        <row r="1037">
          <cell r="A1037" t="str">
            <v>61001_7</v>
          </cell>
        </row>
        <row r="1038">
          <cell r="A1038" t="str">
            <v>65523_1</v>
          </cell>
        </row>
        <row r="1039">
          <cell r="A1039" t="str">
            <v>65523_2</v>
          </cell>
        </row>
        <row r="1040">
          <cell r="A1040" t="str">
            <v>65523_3</v>
          </cell>
        </row>
        <row r="1041">
          <cell r="A1041" t="str">
            <v>65524_1</v>
          </cell>
        </row>
        <row r="1042">
          <cell r="A1042" t="str">
            <v>65524_2</v>
          </cell>
        </row>
        <row r="1043">
          <cell r="A1043" t="str">
            <v>65525_1</v>
          </cell>
        </row>
        <row r="1044">
          <cell r="A1044" t="str">
            <v>65526_1</v>
          </cell>
        </row>
        <row r="1045">
          <cell r="A1045" t="str">
            <v>65526_2</v>
          </cell>
        </row>
        <row r="1046">
          <cell r="A1046" t="str">
            <v>65527_1</v>
          </cell>
        </row>
        <row r="1047">
          <cell r="A1047" t="str">
            <v>65528_1</v>
          </cell>
        </row>
        <row r="1048">
          <cell r="A1048" t="str">
            <v>65529_1</v>
          </cell>
        </row>
        <row r="1049">
          <cell r="A1049" t="str">
            <v>65530_1</v>
          </cell>
        </row>
        <row r="1050">
          <cell r="A1050" t="str">
            <v>65531_1</v>
          </cell>
        </row>
        <row r="1051">
          <cell r="A1051" t="str">
            <v>65531_2</v>
          </cell>
        </row>
        <row r="1052">
          <cell r="A1052" t="str">
            <v>65532_1</v>
          </cell>
        </row>
        <row r="1053">
          <cell r="A1053" t="str">
            <v>65532_2</v>
          </cell>
        </row>
        <row r="1054">
          <cell r="A1054" t="str">
            <v>65533_1</v>
          </cell>
        </row>
        <row r="1055">
          <cell r="A1055" t="str">
            <v>65533_2</v>
          </cell>
        </row>
        <row r="1056">
          <cell r="A1056" t="str">
            <v>65534_1</v>
          </cell>
        </row>
        <row r="1057">
          <cell r="A1057" t="str">
            <v>65535_1</v>
          </cell>
        </row>
        <row r="1058">
          <cell r="A1058" t="str">
            <v>65535_2</v>
          </cell>
        </row>
        <row r="1059">
          <cell r="A1059" t="str">
            <v>65535_3</v>
          </cell>
        </row>
        <row r="1060">
          <cell r="A1060" t="str">
            <v>65535_4</v>
          </cell>
        </row>
        <row r="1061">
          <cell r="A1061" t="str">
            <v>65535_5</v>
          </cell>
        </row>
        <row r="1062">
          <cell r="A1062" t="str">
            <v>65535_6</v>
          </cell>
        </row>
        <row r="1063">
          <cell r="A1063" t="str">
            <v>65535_7</v>
          </cell>
        </row>
        <row r="1064">
          <cell r="A1064" t="str">
            <v>65535_8</v>
          </cell>
        </row>
        <row r="1065">
          <cell r="A1065" t="str">
            <v>65535_9</v>
          </cell>
        </row>
        <row r="1066">
          <cell r="A1066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1697</v>
          </cell>
        </row>
        <row r="1587">
          <cell r="A1587">
            <v>1698</v>
          </cell>
        </row>
        <row r="1588">
          <cell r="A1588">
            <v>1699</v>
          </cell>
        </row>
        <row r="1589">
          <cell r="A1589">
            <v>1700</v>
          </cell>
        </row>
        <row r="1590">
          <cell r="A1590">
            <v>1701</v>
          </cell>
        </row>
        <row r="1591">
          <cell r="A1591">
            <v>1702</v>
          </cell>
        </row>
        <row r="1592">
          <cell r="A1592">
            <v>1703</v>
          </cell>
        </row>
        <row r="1593">
          <cell r="A1593">
            <v>1704</v>
          </cell>
        </row>
        <row r="1594">
          <cell r="A1594">
            <v>1705</v>
          </cell>
        </row>
        <row r="1595">
          <cell r="A1595">
            <v>1706</v>
          </cell>
        </row>
        <row r="1596">
          <cell r="A1596">
            <v>1707</v>
          </cell>
        </row>
        <row r="1597">
          <cell r="A1597">
            <v>1708</v>
          </cell>
        </row>
        <row r="1598">
          <cell r="A1598">
            <v>1709</v>
          </cell>
        </row>
        <row r="1599">
          <cell r="A1599">
            <v>1710</v>
          </cell>
        </row>
        <row r="1600">
          <cell r="A1600">
            <v>1711</v>
          </cell>
        </row>
        <row r="1601">
          <cell r="A1601">
            <v>1712</v>
          </cell>
        </row>
        <row r="1602">
          <cell r="A1602">
            <v>1713</v>
          </cell>
        </row>
        <row r="1603">
          <cell r="A1603">
            <v>1714</v>
          </cell>
        </row>
        <row r="1604">
          <cell r="A1604">
            <v>1715</v>
          </cell>
        </row>
        <row r="1605">
          <cell r="A1605">
            <v>1716</v>
          </cell>
        </row>
        <row r="1606">
          <cell r="A1606">
            <v>1717</v>
          </cell>
        </row>
        <row r="1607">
          <cell r="A1607">
            <v>1718</v>
          </cell>
        </row>
        <row r="1608">
          <cell r="A1608">
            <v>1719</v>
          </cell>
        </row>
        <row r="1609">
          <cell r="A1609">
            <v>5001</v>
          </cell>
        </row>
        <row r="1610">
          <cell r="A1610">
            <v>5002</v>
          </cell>
        </row>
        <row r="1611">
          <cell r="A1611">
            <v>5003</v>
          </cell>
        </row>
        <row r="1612">
          <cell r="A1612">
            <v>5004</v>
          </cell>
        </row>
        <row r="1613">
          <cell r="A1613">
            <v>5005</v>
          </cell>
        </row>
        <row r="1614">
          <cell r="A1614">
            <v>5006</v>
          </cell>
        </row>
        <row r="1615">
          <cell r="A1615">
            <v>5007</v>
          </cell>
        </row>
        <row r="1616">
          <cell r="A1616">
            <v>5008</v>
          </cell>
        </row>
        <row r="1617">
          <cell r="A1617">
            <v>5009</v>
          </cell>
        </row>
        <row r="1618">
          <cell r="A1618">
            <v>5010</v>
          </cell>
        </row>
        <row r="1619">
          <cell r="A1619">
            <v>5011</v>
          </cell>
        </row>
        <row r="1620">
          <cell r="A1620">
            <v>5012</v>
          </cell>
        </row>
        <row r="1621">
          <cell r="A1621">
            <v>6001</v>
          </cell>
        </row>
        <row r="1622">
          <cell r="A1622">
            <v>6002</v>
          </cell>
        </row>
        <row r="1623">
          <cell r="A1623">
            <v>6003</v>
          </cell>
        </row>
        <row r="1624">
          <cell r="A1624">
            <v>6004</v>
          </cell>
        </row>
        <row r="1625">
          <cell r="A1625">
            <v>6005</v>
          </cell>
        </row>
        <row r="1626">
          <cell r="A1626">
            <v>6006</v>
          </cell>
        </row>
        <row r="1627">
          <cell r="A1627">
            <v>6007</v>
          </cell>
        </row>
        <row r="1628">
          <cell r="A1628">
            <v>6008</v>
          </cell>
        </row>
        <row r="1629">
          <cell r="A1629">
            <v>6009</v>
          </cell>
        </row>
        <row r="1630">
          <cell r="A1630">
            <v>6010</v>
          </cell>
        </row>
        <row r="1631">
          <cell r="A1631">
            <v>6011</v>
          </cell>
        </row>
        <row r="1632">
          <cell r="A1632">
            <v>6012</v>
          </cell>
        </row>
        <row r="1633">
          <cell r="A1633">
            <v>6013</v>
          </cell>
        </row>
        <row r="1634">
          <cell r="A1634">
            <v>6014</v>
          </cell>
        </row>
        <row r="1635">
          <cell r="A1635">
            <v>6015</v>
          </cell>
        </row>
        <row r="1636">
          <cell r="A1636">
            <v>6016</v>
          </cell>
        </row>
        <row r="1637">
          <cell r="A1637">
            <v>6017</v>
          </cell>
        </row>
        <row r="1638">
          <cell r="A1638">
            <v>6018</v>
          </cell>
        </row>
        <row r="1639">
          <cell r="A1639">
            <v>6019</v>
          </cell>
        </row>
        <row r="1640">
          <cell r="A1640">
            <v>6020</v>
          </cell>
        </row>
        <row r="1641">
          <cell r="A1641">
            <v>8001</v>
          </cell>
        </row>
        <row r="1642">
          <cell r="A1642">
            <v>8002</v>
          </cell>
        </row>
        <row r="1643">
          <cell r="A1643">
            <v>8003</v>
          </cell>
        </row>
        <row r="1644">
          <cell r="A1644">
            <v>8004</v>
          </cell>
        </row>
        <row r="1645">
          <cell r="A1645">
            <v>8005</v>
          </cell>
        </row>
        <row r="1646">
          <cell r="A1646">
            <v>8006</v>
          </cell>
        </row>
        <row r="1647">
          <cell r="A1647">
            <v>8007</v>
          </cell>
        </row>
        <row r="1648">
          <cell r="A1648">
            <v>8008</v>
          </cell>
        </row>
        <row r="1649">
          <cell r="A1649">
            <v>8009</v>
          </cell>
        </row>
        <row r="1650">
          <cell r="A1650">
            <v>8010</v>
          </cell>
        </row>
        <row r="1651">
          <cell r="A1651">
            <v>8011</v>
          </cell>
        </row>
        <row r="1652">
          <cell r="A1652">
            <v>8012</v>
          </cell>
        </row>
        <row r="1653">
          <cell r="A1653">
            <v>8013</v>
          </cell>
        </row>
        <row r="1654">
          <cell r="A1654">
            <v>8014</v>
          </cell>
        </row>
        <row r="1655">
          <cell r="A1655">
            <v>8015</v>
          </cell>
        </row>
        <row r="1656">
          <cell r="A1656">
            <v>8016</v>
          </cell>
        </row>
        <row r="1657">
          <cell r="A1657">
            <v>8017</v>
          </cell>
        </row>
        <row r="1658">
          <cell r="A1658">
            <v>8018</v>
          </cell>
        </row>
        <row r="1659">
          <cell r="A1659">
            <v>8019</v>
          </cell>
        </row>
        <row r="1660">
          <cell r="A1660">
            <v>8020</v>
          </cell>
        </row>
        <row r="1661">
          <cell r="A1661">
            <v>8021</v>
          </cell>
        </row>
        <row r="1662">
          <cell r="A1662">
            <v>8022</v>
          </cell>
        </row>
        <row r="1663">
          <cell r="A1663">
            <v>8023</v>
          </cell>
        </row>
        <row r="1664">
          <cell r="A1664">
            <v>8024</v>
          </cell>
        </row>
        <row r="1665">
          <cell r="A1665">
            <v>8025</v>
          </cell>
        </row>
        <row r="1666">
          <cell r="A1666">
            <v>8026</v>
          </cell>
        </row>
        <row r="1667">
          <cell r="A1667">
            <v>8027</v>
          </cell>
        </row>
        <row r="1668">
          <cell r="A1668">
            <v>8028</v>
          </cell>
        </row>
        <row r="1669">
          <cell r="A1669">
            <v>8029</v>
          </cell>
        </row>
        <row r="1670">
          <cell r="A1670">
            <v>8030</v>
          </cell>
        </row>
        <row r="1671">
          <cell r="A1671">
            <v>8031</v>
          </cell>
        </row>
        <row r="1672">
          <cell r="A1672">
            <v>8032</v>
          </cell>
        </row>
        <row r="1673">
          <cell r="A1673">
            <v>8033</v>
          </cell>
        </row>
        <row r="1674">
          <cell r="A1674">
            <v>8034</v>
          </cell>
        </row>
        <row r="1675">
          <cell r="A1675">
            <v>8035</v>
          </cell>
        </row>
        <row r="1676">
          <cell r="A1676">
            <v>8036</v>
          </cell>
        </row>
        <row r="1677">
          <cell r="A1677">
            <v>8037</v>
          </cell>
        </row>
        <row r="1678">
          <cell r="A1678">
            <v>8038</v>
          </cell>
        </row>
        <row r="1679">
          <cell r="A1679">
            <v>8039</v>
          </cell>
        </row>
        <row r="1680">
          <cell r="A1680">
            <v>8040</v>
          </cell>
        </row>
        <row r="1681">
          <cell r="A1681">
            <v>8041</v>
          </cell>
        </row>
        <row r="1682">
          <cell r="A1682">
            <v>8042</v>
          </cell>
        </row>
        <row r="1683">
          <cell r="A1683">
            <v>8043</v>
          </cell>
        </row>
        <row r="1684">
          <cell r="A1684">
            <v>8044</v>
          </cell>
        </row>
        <row r="1685">
          <cell r="A1685">
            <v>8045</v>
          </cell>
        </row>
        <row r="1686">
          <cell r="A1686">
            <v>8046</v>
          </cell>
        </row>
        <row r="1687">
          <cell r="A1687">
            <v>8047</v>
          </cell>
        </row>
        <row r="1688">
          <cell r="A1688">
            <v>8048</v>
          </cell>
        </row>
        <row r="1689">
          <cell r="A1689">
            <v>8049</v>
          </cell>
        </row>
        <row r="1690">
          <cell r="A1690">
            <v>8050</v>
          </cell>
        </row>
        <row r="1691">
          <cell r="A1691">
            <v>8051</v>
          </cell>
        </row>
        <row r="1692">
          <cell r="A1692">
            <v>8052</v>
          </cell>
        </row>
        <row r="1693">
          <cell r="A1693">
            <v>8053</v>
          </cell>
        </row>
        <row r="1694">
          <cell r="A1694">
            <v>8054</v>
          </cell>
        </row>
        <row r="1695">
          <cell r="A1695">
            <v>8055</v>
          </cell>
        </row>
        <row r="1696">
          <cell r="A1696">
            <v>8056</v>
          </cell>
        </row>
        <row r="1697">
          <cell r="A1697">
            <v>8057</v>
          </cell>
        </row>
        <row r="1698">
          <cell r="A1698">
            <v>8058</v>
          </cell>
        </row>
        <row r="1699">
          <cell r="A1699">
            <v>8059</v>
          </cell>
        </row>
        <row r="1700">
          <cell r="A1700">
            <v>8060</v>
          </cell>
        </row>
        <row r="1701">
          <cell r="A1701">
            <v>8061</v>
          </cell>
        </row>
        <row r="1702">
          <cell r="A1702">
            <v>8062</v>
          </cell>
        </row>
        <row r="1703">
          <cell r="A1703">
            <v>8063</v>
          </cell>
        </row>
        <row r="1704">
          <cell r="A1704">
            <v>8064</v>
          </cell>
        </row>
        <row r="1705">
          <cell r="A1705">
            <v>8065</v>
          </cell>
        </row>
        <row r="1706">
          <cell r="A1706">
            <v>8066</v>
          </cell>
        </row>
        <row r="1707">
          <cell r="A1707">
            <v>8067</v>
          </cell>
        </row>
        <row r="1708">
          <cell r="A1708">
            <v>8068</v>
          </cell>
        </row>
        <row r="1709">
          <cell r="A1709">
            <v>8069</v>
          </cell>
        </row>
        <row r="1710">
          <cell r="A1710">
            <v>8070</v>
          </cell>
        </row>
        <row r="1711">
          <cell r="A1711">
            <v>8071</v>
          </cell>
        </row>
        <row r="1712">
          <cell r="A1712">
            <v>8072</v>
          </cell>
        </row>
        <row r="1713">
          <cell r="A1713">
            <v>8073</v>
          </cell>
        </row>
        <row r="1714">
          <cell r="A1714">
            <v>8074</v>
          </cell>
        </row>
        <row r="1715">
          <cell r="A1715">
            <v>8075</v>
          </cell>
        </row>
        <row r="1716">
          <cell r="A1716">
            <v>8076</v>
          </cell>
        </row>
        <row r="1717">
          <cell r="A1717">
            <v>8077</v>
          </cell>
        </row>
        <row r="1718">
          <cell r="A1718">
            <v>8078</v>
          </cell>
        </row>
        <row r="1719">
          <cell r="A1719">
            <v>8079</v>
          </cell>
        </row>
        <row r="1720">
          <cell r="A1720">
            <v>8080</v>
          </cell>
        </row>
        <row r="1721">
          <cell r="A1721">
            <v>8081</v>
          </cell>
        </row>
        <row r="1722">
          <cell r="A1722">
            <v>8082</v>
          </cell>
        </row>
        <row r="1723">
          <cell r="A1723">
            <v>8083</v>
          </cell>
        </row>
        <row r="1724">
          <cell r="A1724">
            <v>8084</v>
          </cell>
        </row>
        <row r="1725">
          <cell r="A1725">
            <v>8085</v>
          </cell>
        </row>
        <row r="1726">
          <cell r="A1726">
            <v>8086</v>
          </cell>
        </row>
        <row r="1727">
          <cell r="A1727">
            <v>8087</v>
          </cell>
        </row>
        <row r="1728">
          <cell r="A1728">
            <v>8088</v>
          </cell>
        </row>
        <row r="1729">
          <cell r="A1729">
            <v>8089</v>
          </cell>
        </row>
        <row r="1730">
          <cell r="A1730">
            <v>8090</v>
          </cell>
        </row>
        <row r="1731">
          <cell r="A1731">
            <v>8095</v>
          </cell>
        </row>
        <row r="1732">
          <cell r="A1732">
            <v>8096</v>
          </cell>
        </row>
        <row r="1733">
          <cell r="A1733">
            <v>8097</v>
          </cell>
        </row>
        <row r="1734">
          <cell r="A1734">
            <v>8098</v>
          </cell>
        </row>
        <row r="1735">
          <cell r="A1735">
            <v>8099</v>
          </cell>
        </row>
        <row r="1736">
          <cell r="A1736">
            <v>8100</v>
          </cell>
        </row>
        <row r="1737">
          <cell r="A1737">
            <v>8101</v>
          </cell>
        </row>
        <row r="1738">
          <cell r="A1738">
            <v>8102</v>
          </cell>
        </row>
        <row r="1739">
          <cell r="A1739">
            <v>8103</v>
          </cell>
        </row>
        <row r="1740">
          <cell r="A1740">
            <v>8104</v>
          </cell>
        </row>
        <row r="1741">
          <cell r="A1741">
            <v>8105</v>
          </cell>
        </row>
        <row r="1742">
          <cell r="A1742">
            <v>8106</v>
          </cell>
        </row>
        <row r="1743">
          <cell r="A1743">
            <v>8111</v>
          </cell>
        </row>
        <row r="1744">
          <cell r="A1744">
            <v>8112</v>
          </cell>
        </row>
        <row r="1745">
          <cell r="A1745">
            <v>8113</v>
          </cell>
        </row>
        <row r="1746">
          <cell r="A1746">
            <v>8114</v>
          </cell>
        </row>
        <row r="1747">
          <cell r="A1747">
            <v>8115</v>
          </cell>
        </row>
        <row r="1748">
          <cell r="A1748">
            <v>8116</v>
          </cell>
        </row>
        <row r="1749">
          <cell r="A1749">
            <v>8117</v>
          </cell>
        </row>
        <row r="1750">
          <cell r="A1750">
            <v>8118</v>
          </cell>
        </row>
        <row r="1751">
          <cell r="A1751">
            <v>8119</v>
          </cell>
        </row>
        <row r="1752">
          <cell r="A1752">
            <v>8120</v>
          </cell>
        </row>
        <row r="1753">
          <cell r="A1753">
            <v>8121</v>
          </cell>
        </row>
        <row r="1754">
          <cell r="A1754">
            <v>8122</v>
          </cell>
        </row>
        <row r="1755">
          <cell r="A1755">
            <v>8123</v>
          </cell>
        </row>
        <row r="1756">
          <cell r="A1756">
            <v>8124</v>
          </cell>
        </row>
        <row r="1757">
          <cell r="A1757">
            <v>8125</v>
          </cell>
        </row>
        <row r="1758">
          <cell r="A1758">
            <v>8126</v>
          </cell>
        </row>
        <row r="1759">
          <cell r="A1759">
            <v>8127</v>
          </cell>
        </row>
        <row r="1760">
          <cell r="A1760">
            <v>8128</v>
          </cell>
        </row>
        <row r="1761">
          <cell r="A1761">
            <v>8129</v>
          </cell>
        </row>
        <row r="1762">
          <cell r="A1762">
            <v>8130</v>
          </cell>
        </row>
        <row r="1763">
          <cell r="A1763">
            <v>8131</v>
          </cell>
        </row>
        <row r="1764">
          <cell r="A1764">
            <v>8132</v>
          </cell>
        </row>
        <row r="1765">
          <cell r="A1765">
            <v>8133</v>
          </cell>
        </row>
        <row r="1766">
          <cell r="A1766">
            <v>8134</v>
          </cell>
        </row>
        <row r="1767">
          <cell r="A1767">
            <v>8135</v>
          </cell>
        </row>
        <row r="1768">
          <cell r="A1768">
            <v>8136</v>
          </cell>
        </row>
        <row r="1769">
          <cell r="A1769">
            <v>8137</v>
          </cell>
        </row>
        <row r="1770">
          <cell r="A1770">
            <v>8138</v>
          </cell>
        </row>
        <row r="1771">
          <cell r="A1771">
            <v>9001</v>
          </cell>
        </row>
        <row r="1772">
          <cell r="A1772">
            <v>9002</v>
          </cell>
        </row>
        <row r="1773">
          <cell r="A1773">
            <v>9003</v>
          </cell>
        </row>
        <row r="1774">
          <cell r="A1774">
            <v>9004</v>
          </cell>
        </row>
        <row r="1775">
          <cell r="A1775">
            <v>9005</v>
          </cell>
        </row>
        <row r="1776">
          <cell r="A1776">
            <v>9006</v>
          </cell>
        </row>
        <row r="1777">
          <cell r="A1777">
            <v>9007</v>
          </cell>
        </row>
        <row r="1778">
          <cell r="A1778">
            <v>9008</v>
          </cell>
        </row>
        <row r="1779">
          <cell r="A1779">
            <v>9009</v>
          </cell>
        </row>
        <row r="1780">
          <cell r="A1780">
            <v>9010</v>
          </cell>
        </row>
        <row r="1781">
          <cell r="A1781">
            <v>9011</v>
          </cell>
        </row>
        <row r="1782">
          <cell r="A1782">
            <v>9012</v>
          </cell>
        </row>
        <row r="1783">
          <cell r="A1783">
            <v>10001</v>
          </cell>
        </row>
        <row r="1784">
          <cell r="A1784">
            <v>10002</v>
          </cell>
        </row>
        <row r="1785">
          <cell r="A1785">
            <v>10003</v>
          </cell>
        </row>
        <row r="1786">
          <cell r="A1786">
            <v>10004</v>
          </cell>
        </row>
        <row r="1787">
          <cell r="A1787">
            <v>10005</v>
          </cell>
        </row>
        <row r="1788">
          <cell r="A1788">
            <v>10006</v>
          </cell>
        </row>
        <row r="1789">
          <cell r="A1789">
            <v>10007</v>
          </cell>
        </row>
        <row r="1790">
          <cell r="A1790">
            <v>10008</v>
          </cell>
        </row>
        <row r="1791">
          <cell r="A1791">
            <v>10009</v>
          </cell>
        </row>
        <row r="1792">
          <cell r="A1792">
            <v>10010</v>
          </cell>
        </row>
        <row r="1793">
          <cell r="A1793">
            <v>10011</v>
          </cell>
        </row>
        <row r="1794">
          <cell r="A1794">
            <v>10012</v>
          </cell>
        </row>
        <row r="1795">
          <cell r="A1795">
            <v>10013</v>
          </cell>
        </row>
        <row r="1796">
          <cell r="A1796">
            <v>10014</v>
          </cell>
        </row>
        <row r="1797">
          <cell r="A1797">
            <v>10015</v>
          </cell>
        </row>
        <row r="1798">
          <cell r="A1798">
            <v>10016</v>
          </cell>
        </row>
        <row r="1799">
          <cell r="A1799">
            <v>10017</v>
          </cell>
        </row>
        <row r="1800">
          <cell r="A1800">
            <v>10018</v>
          </cell>
        </row>
        <row r="1801">
          <cell r="A1801">
            <v>10019</v>
          </cell>
        </row>
        <row r="1802">
          <cell r="A1802">
            <v>10020</v>
          </cell>
        </row>
        <row r="1803">
          <cell r="A1803">
            <v>10021</v>
          </cell>
        </row>
        <row r="1804">
          <cell r="A1804">
            <v>10022</v>
          </cell>
        </row>
        <row r="1805">
          <cell r="A1805">
            <v>10023</v>
          </cell>
        </row>
        <row r="1806">
          <cell r="A1806">
            <v>10024</v>
          </cell>
        </row>
        <row r="1807">
          <cell r="A1807">
            <v>10025</v>
          </cell>
        </row>
        <row r="1808">
          <cell r="A1808">
            <v>10026</v>
          </cell>
        </row>
        <row r="1809">
          <cell r="A1809">
            <v>10027</v>
          </cell>
        </row>
        <row r="1810">
          <cell r="A1810">
            <v>10028</v>
          </cell>
        </row>
        <row r="1811">
          <cell r="A1811">
            <v>10029</v>
          </cell>
        </row>
        <row r="1812">
          <cell r="A1812">
            <v>10030</v>
          </cell>
        </row>
        <row r="1813">
          <cell r="A1813">
            <v>10031</v>
          </cell>
        </row>
        <row r="1814">
          <cell r="A1814">
            <v>10032</v>
          </cell>
        </row>
        <row r="1815">
          <cell r="A1815">
            <v>10033</v>
          </cell>
        </row>
        <row r="1816">
          <cell r="A1816">
            <v>10034</v>
          </cell>
        </row>
        <row r="1817">
          <cell r="A1817">
            <v>10035</v>
          </cell>
        </row>
        <row r="1818">
          <cell r="A1818">
            <v>10036</v>
          </cell>
        </row>
        <row r="1819">
          <cell r="A1819">
            <v>10037</v>
          </cell>
        </row>
        <row r="1820">
          <cell r="A1820">
            <v>10038</v>
          </cell>
        </row>
        <row r="1821">
          <cell r="A1821">
            <v>10039</v>
          </cell>
        </row>
        <row r="1822">
          <cell r="A1822">
            <v>10040</v>
          </cell>
        </row>
        <row r="1823">
          <cell r="A1823">
            <v>10041</v>
          </cell>
        </row>
        <row r="1824">
          <cell r="A1824">
            <v>10042</v>
          </cell>
        </row>
        <row r="1825">
          <cell r="A1825">
            <v>10043</v>
          </cell>
        </row>
        <row r="1826">
          <cell r="A1826">
            <v>10044</v>
          </cell>
        </row>
        <row r="1827">
          <cell r="A1827">
            <v>10045</v>
          </cell>
        </row>
        <row r="1828">
          <cell r="A1828">
            <v>10046</v>
          </cell>
        </row>
        <row r="1829">
          <cell r="A1829">
            <v>10047</v>
          </cell>
        </row>
        <row r="1830">
          <cell r="A1830">
            <v>10048</v>
          </cell>
        </row>
        <row r="1831">
          <cell r="A1831">
            <v>10049</v>
          </cell>
        </row>
        <row r="1832">
          <cell r="A1832">
            <v>10050</v>
          </cell>
        </row>
        <row r="1833">
          <cell r="A1833">
            <v>10051</v>
          </cell>
        </row>
        <row r="1834">
          <cell r="A1834">
            <v>10052</v>
          </cell>
        </row>
        <row r="1835">
          <cell r="A1835">
            <v>10053</v>
          </cell>
        </row>
        <row r="1836">
          <cell r="A1836">
            <v>10054</v>
          </cell>
        </row>
        <row r="1837">
          <cell r="A1837">
            <v>10055</v>
          </cell>
        </row>
        <row r="1838">
          <cell r="A1838">
            <v>10056</v>
          </cell>
        </row>
        <row r="1839">
          <cell r="A1839">
            <v>10057</v>
          </cell>
        </row>
        <row r="1840">
          <cell r="A1840">
            <v>10058</v>
          </cell>
        </row>
        <row r="1841">
          <cell r="A1841">
            <v>10059</v>
          </cell>
        </row>
        <row r="1842">
          <cell r="A1842">
            <v>10060</v>
          </cell>
        </row>
        <row r="1843">
          <cell r="A1843">
            <v>10061</v>
          </cell>
        </row>
        <row r="1844">
          <cell r="A1844">
            <v>10062</v>
          </cell>
        </row>
        <row r="1845">
          <cell r="A1845">
            <v>10063</v>
          </cell>
        </row>
        <row r="1846">
          <cell r="A1846">
            <v>10064</v>
          </cell>
        </row>
        <row r="1847">
          <cell r="A1847">
            <v>10065</v>
          </cell>
        </row>
        <row r="1848">
          <cell r="A1848">
            <v>10066</v>
          </cell>
        </row>
        <row r="1849">
          <cell r="A1849">
            <v>10067</v>
          </cell>
        </row>
        <row r="1850">
          <cell r="A1850">
            <v>10068</v>
          </cell>
        </row>
        <row r="1851">
          <cell r="A1851">
            <v>10069</v>
          </cell>
        </row>
        <row r="1852">
          <cell r="A1852">
            <v>10070</v>
          </cell>
        </row>
        <row r="1853">
          <cell r="A1853">
            <v>10071</v>
          </cell>
        </row>
        <row r="1854">
          <cell r="A1854">
            <v>10072</v>
          </cell>
        </row>
        <row r="1855">
          <cell r="A1855">
            <v>10073</v>
          </cell>
        </row>
        <row r="1856">
          <cell r="A1856">
            <v>10074</v>
          </cell>
        </row>
        <row r="1857">
          <cell r="A1857">
            <v>10075</v>
          </cell>
        </row>
        <row r="1858">
          <cell r="A1858">
            <v>10076</v>
          </cell>
        </row>
        <row r="1859">
          <cell r="A1859">
            <v>10077</v>
          </cell>
        </row>
        <row r="1860">
          <cell r="A1860">
            <v>10078</v>
          </cell>
        </row>
        <row r="1861">
          <cell r="A1861">
            <v>10079</v>
          </cell>
        </row>
        <row r="1862">
          <cell r="A1862">
            <v>10080</v>
          </cell>
        </row>
        <row r="1863">
          <cell r="A1863">
            <v>10081</v>
          </cell>
        </row>
        <row r="1864">
          <cell r="A1864">
            <v>10082</v>
          </cell>
        </row>
        <row r="1865">
          <cell r="A1865">
            <v>10083</v>
          </cell>
        </row>
        <row r="1866">
          <cell r="A1866">
            <v>10084</v>
          </cell>
        </row>
        <row r="1867">
          <cell r="A1867">
            <v>10085</v>
          </cell>
        </row>
        <row r="1868">
          <cell r="A1868">
            <v>10086</v>
          </cell>
        </row>
        <row r="1869">
          <cell r="A1869">
            <v>10087</v>
          </cell>
        </row>
        <row r="1870">
          <cell r="A1870">
            <v>10088</v>
          </cell>
        </row>
        <row r="1871">
          <cell r="A1871">
            <v>10089</v>
          </cell>
        </row>
        <row r="1872">
          <cell r="A1872">
            <v>10090</v>
          </cell>
        </row>
        <row r="1873">
          <cell r="A1873">
            <v>10101</v>
          </cell>
        </row>
        <row r="1874">
          <cell r="A1874">
            <v>10102</v>
          </cell>
        </row>
        <row r="1875">
          <cell r="A1875">
            <v>10103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1" Type="http://schemas.openxmlformats.org/officeDocument/2006/relationships/hyperlink" Target="https://game8.jp/archives/84717?utm_source=CrushFeverMission&amp;utm_medium=refferal&amp;utm_campaign=CrufMission6" TargetMode="External"/><Relationship Id="rId12" Type="http://schemas.openxmlformats.org/officeDocument/2006/relationships/hyperlink" Target="https://twitter.com/CrashFever_PR/status/807058714704236544" TargetMode="External"/><Relationship Id="rId13" Type="http://schemas.openxmlformats.org/officeDocument/2006/relationships/hyperlink" Target="https://game8.jp/archives/118081" TargetMode="External"/><Relationship Id="rId14" Type="http://schemas.openxmlformats.org/officeDocument/2006/relationships/hyperlink" Target="https://live.nicovideo.jp/watch/lv287332252" TargetMode="External"/><Relationship Id="rId15" Type="http://schemas.openxmlformats.org/officeDocument/2006/relationships/hyperlink" Target="https://game8.jp/archives/140857" TargetMode="External"/><Relationship Id="rId16" Type="http://schemas.openxmlformats.org/officeDocument/2006/relationships/hyperlink" Target="http://wonderpla.net/info/20160516/" TargetMode="External"/><Relationship Id="rId17" Type="http://schemas.openxmlformats.org/officeDocument/2006/relationships/vmlDrawing" Target="../drawings/vmlDrawing5.vml"/><Relationship Id="rId18" Type="http://schemas.openxmlformats.org/officeDocument/2006/relationships/comments" Target="../comments5.xml"/><Relationship Id="rId1" Type="http://schemas.openxmlformats.org/officeDocument/2006/relationships/hyperlink" Target="https://game8.jp/games/303?utm_source=CrushFeverApp&amp;utm_medium=refferal&amp;utm_campaign=CrufMission" TargetMode="External"/><Relationship Id="rId2" Type="http://schemas.openxmlformats.org/officeDocument/2006/relationships/hyperlink" Target="https://game8.jp/archives/59863?utm_source=CrushFeverMission&amp;utm_medium=refferal&amp;utm_campaign=CrufMission1" TargetMode="External"/><Relationship Id="rId3" Type="http://schemas.openxmlformats.org/officeDocument/2006/relationships/hyperlink" Target="https://www.youtube.com/watch?v=Wziv9VBOFQQ" TargetMode="External"/><Relationship Id="rId4" Type="http://schemas.openxmlformats.org/officeDocument/2006/relationships/hyperlink" Target="https://www.facebook.com/CrashFeverJP/" TargetMode="External"/><Relationship Id="rId5" Type="http://schemas.openxmlformats.org/officeDocument/2006/relationships/hyperlink" Target="https://game8.jp/archives/71145?utm_source=CrushFeverMission&amp;utm_medium=refferal&amp;utm_campaign=CrufMission5" TargetMode="External"/><Relationship Id="rId6" Type="http://schemas.openxmlformats.org/officeDocument/2006/relationships/hyperlink" Target="https://line.me/R/ti/p/%40crashfever" TargetMode="External"/><Relationship Id="rId7" Type="http://schemas.openxmlformats.org/officeDocument/2006/relationships/hyperlink" Target="https://youtu.be/kZ5t443J25g" TargetMode="External"/><Relationship Id="rId8" Type="http://schemas.openxmlformats.org/officeDocument/2006/relationships/hyperlink" Target="https://youtu.be/yd_u9p2ncU8" TargetMode="External"/><Relationship Id="rId9" Type="http://schemas.openxmlformats.org/officeDocument/2006/relationships/hyperlink" Target="https://youtu.be/At2-WmN90xk" TargetMode="External"/><Relationship Id="rId10" Type="http://schemas.openxmlformats.org/officeDocument/2006/relationships/hyperlink" Target="http://www.youtube.com/channel/UC5D-9vrJL7It17mhLF66EOQ?sub_confirmation=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Q10"/>
  <sheetViews>
    <sheetView workbookViewId="0">
      <selection activeCell="G8" sqref="G8"/>
    </sheetView>
  </sheetViews>
  <sheetFormatPr baseColWidth="12" defaultRowHeight="15" x14ac:dyDescent="0.15"/>
  <cols>
    <col min="1" max="1" width="13" style="65"/>
    <col min="2" max="2" width="17.19921875" style="65" bestFit="1" customWidth="1"/>
    <col min="3" max="4" width="13" style="65"/>
    <col min="5" max="5" width="20.3984375" style="65" bestFit="1" customWidth="1"/>
    <col min="6" max="6" width="33.19921875" style="65" customWidth="1"/>
    <col min="7" max="16384" width="13" style="65"/>
  </cols>
  <sheetData>
    <row r="1" spans="1:17" x14ac:dyDescent="0.15">
      <c r="A1" s="63" t="s">
        <v>766</v>
      </c>
      <c r="B1" s="63" t="s">
        <v>767</v>
      </c>
      <c r="C1" s="63" t="s">
        <v>768</v>
      </c>
      <c r="D1" s="63" t="s">
        <v>769</v>
      </c>
      <c r="E1" s="63" t="s">
        <v>770</v>
      </c>
      <c r="F1" s="63" t="s">
        <v>771</v>
      </c>
      <c r="G1" s="63" t="s">
        <v>772</v>
      </c>
      <c r="H1" s="64"/>
      <c r="I1" s="64"/>
      <c r="J1" s="64"/>
      <c r="K1" s="64"/>
      <c r="L1" s="64"/>
      <c r="M1" s="64"/>
      <c r="N1" s="64"/>
    </row>
    <row r="2" spans="1:17" x14ac:dyDescent="0.15">
      <c r="A2" s="66" t="s">
        <v>774</v>
      </c>
      <c r="B2" s="66" t="s">
        <v>783</v>
      </c>
      <c r="C2" s="66"/>
      <c r="D2" s="66" t="s">
        <v>773</v>
      </c>
      <c r="E2" s="64" t="str">
        <f t="shared" ref="E2:E7" si="0">B2&amp;C2&amp;D2</f>
        <v>missions.csv</v>
      </c>
      <c r="F2" s="66" t="s">
        <v>783</v>
      </c>
      <c r="G2" s="45" t="s">
        <v>276</v>
      </c>
      <c r="H2" s="45" t="s">
        <v>0</v>
      </c>
      <c r="I2" s="45" t="s">
        <v>304</v>
      </c>
      <c r="J2" s="45" t="s">
        <v>4</v>
      </c>
      <c r="K2" s="45" t="s">
        <v>243</v>
      </c>
      <c r="L2" s="86" t="s">
        <v>953</v>
      </c>
      <c r="M2" s="86" t="s">
        <v>954</v>
      </c>
      <c r="N2" s="66"/>
    </row>
    <row r="3" spans="1:17" x14ac:dyDescent="0.15">
      <c r="A3" s="66" t="s">
        <v>774</v>
      </c>
      <c r="B3" s="66" t="s">
        <v>784</v>
      </c>
      <c r="C3" s="66"/>
      <c r="D3" s="66" t="s">
        <v>775</v>
      </c>
      <c r="E3" s="64" t="str">
        <f t="shared" si="0"/>
        <v>weekly_mission_schedules.csv</v>
      </c>
      <c r="F3" s="66" t="s">
        <v>784</v>
      </c>
      <c r="G3" s="45" t="s">
        <v>545</v>
      </c>
      <c r="H3" s="45" t="s">
        <v>547</v>
      </c>
      <c r="I3" s="45" t="s">
        <v>549</v>
      </c>
      <c r="J3" s="35" t="s">
        <v>553</v>
      </c>
      <c r="K3" s="67"/>
      <c r="L3" s="67"/>
      <c r="M3" s="66"/>
      <c r="N3" s="66"/>
    </row>
    <row r="4" spans="1:17" x14ac:dyDescent="0.15">
      <c r="A4" s="66" t="s">
        <v>774</v>
      </c>
      <c r="B4" s="66" t="s">
        <v>785</v>
      </c>
      <c r="C4" s="66"/>
      <c r="D4" s="66" t="s">
        <v>776</v>
      </c>
      <c r="E4" s="64" t="str">
        <f t="shared" si="0"/>
        <v>weekly_mission_groups.csv</v>
      </c>
      <c r="F4" s="66" t="s">
        <v>785</v>
      </c>
      <c r="G4" s="45" t="s">
        <v>566</v>
      </c>
      <c r="H4" s="45" t="s">
        <v>567</v>
      </c>
      <c r="I4" s="35" t="s">
        <v>568</v>
      </c>
      <c r="J4" s="67"/>
      <c r="K4" s="67"/>
      <c r="L4" s="66"/>
      <c r="M4" s="66"/>
      <c r="N4" s="66"/>
    </row>
    <row r="5" spans="1:17" x14ac:dyDescent="0.15">
      <c r="A5" s="66" t="s">
        <v>777</v>
      </c>
      <c r="B5" s="66" t="s">
        <v>786</v>
      </c>
      <c r="C5" s="66"/>
      <c r="D5" s="66" t="s">
        <v>778</v>
      </c>
      <c r="E5" s="64" t="str">
        <f t="shared" si="0"/>
        <v>weekly_missions.csv</v>
      </c>
      <c r="F5" s="66" t="s">
        <v>786</v>
      </c>
      <c r="G5" s="45" t="s">
        <v>305</v>
      </c>
      <c r="H5" s="45" t="s">
        <v>241</v>
      </c>
      <c r="I5" s="45" t="s">
        <v>229</v>
      </c>
      <c r="J5" s="66"/>
      <c r="K5" s="66"/>
      <c r="L5" s="66"/>
      <c r="M5" s="66"/>
      <c r="N5" s="66"/>
    </row>
    <row r="6" spans="1:17" x14ac:dyDescent="0.15">
      <c r="A6" s="66" t="s">
        <v>779</v>
      </c>
      <c r="B6" s="66" t="s">
        <v>787</v>
      </c>
      <c r="C6" s="66"/>
      <c r="D6" s="66" t="s">
        <v>780</v>
      </c>
      <c r="E6" s="64" t="str">
        <f t="shared" si="0"/>
        <v>mission_unlock_criteria.csv</v>
      </c>
      <c r="F6" s="66" t="s">
        <v>787</v>
      </c>
      <c r="G6" s="45" t="s">
        <v>303</v>
      </c>
      <c r="H6" s="45" t="s">
        <v>306</v>
      </c>
      <c r="I6" s="45" t="s">
        <v>307</v>
      </c>
      <c r="J6" s="45" t="s">
        <v>24</v>
      </c>
      <c r="K6" s="68"/>
      <c r="L6" s="68"/>
      <c r="M6" s="69"/>
      <c r="N6" s="69"/>
    </row>
    <row r="7" spans="1:17" x14ac:dyDescent="0.15">
      <c r="A7" s="66" t="s">
        <v>781</v>
      </c>
      <c r="B7" s="66" t="s">
        <v>788</v>
      </c>
      <c r="C7" s="66"/>
      <c r="D7" s="66" t="s">
        <v>782</v>
      </c>
      <c r="E7" s="64" t="str">
        <f t="shared" si="0"/>
        <v>mission_ACH.csv</v>
      </c>
      <c r="F7" s="66" t="s">
        <v>788</v>
      </c>
      <c r="G7" s="45" t="s">
        <v>229</v>
      </c>
      <c r="H7" s="45" t="s">
        <v>244</v>
      </c>
      <c r="I7" s="45" t="s">
        <v>245</v>
      </c>
      <c r="J7" s="45" t="s">
        <v>246</v>
      </c>
      <c r="K7" s="70" t="s">
        <v>847</v>
      </c>
      <c r="L7" s="70" t="s">
        <v>848</v>
      </c>
      <c r="M7" s="70" t="s">
        <v>849</v>
      </c>
      <c r="N7" s="70" t="s">
        <v>850</v>
      </c>
      <c r="O7" s="70" t="s">
        <v>851</v>
      </c>
      <c r="P7" s="70" t="s">
        <v>852</v>
      </c>
      <c r="Q7" s="70" t="s">
        <v>853</v>
      </c>
    </row>
    <row r="8" spans="1:17" x14ac:dyDescent="0.15">
      <c r="A8" s="66" t="s">
        <v>781</v>
      </c>
      <c r="B8" s="66" t="s">
        <v>789</v>
      </c>
      <c r="C8" s="66"/>
      <c r="D8" s="66" t="s">
        <v>782</v>
      </c>
      <c r="E8" s="64" t="str">
        <f t="shared" ref="E8:E9" si="1">B8&amp;C8&amp;D8</f>
        <v>mission_ACH_i18n.csv</v>
      </c>
      <c r="F8" s="66" t="s">
        <v>788</v>
      </c>
      <c r="G8" s="45" t="s">
        <v>229</v>
      </c>
      <c r="H8" s="45" t="s">
        <v>230</v>
      </c>
      <c r="I8" s="45" t="s">
        <v>231</v>
      </c>
      <c r="J8" s="45" t="s">
        <v>227</v>
      </c>
      <c r="K8" s="45" t="s">
        <v>232</v>
      </c>
      <c r="L8" s="69"/>
      <c r="M8" s="66"/>
      <c r="N8" s="66"/>
    </row>
    <row r="9" spans="1:17" x14ac:dyDescent="0.15">
      <c r="A9" s="66" t="s">
        <v>781</v>
      </c>
      <c r="B9" s="66" t="s">
        <v>790</v>
      </c>
      <c r="C9" s="66"/>
      <c r="D9" s="66" t="s">
        <v>782</v>
      </c>
      <c r="E9" s="64" t="str">
        <f t="shared" si="1"/>
        <v>mission_ACH_criteria.csv</v>
      </c>
      <c r="F9" s="66" t="s">
        <v>794</v>
      </c>
      <c r="G9" s="45" t="s">
        <v>241</v>
      </c>
      <c r="H9" s="45" t="s">
        <v>271</v>
      </c>
      <c r="I9" s="45" t="s">
        <v>262</v>
      </c>
      <c r="J9" s="45" t="s">
        <v>308</v>
      </c>
      <c r="K9" s="45" t="s">
        <v>309</v>
      </c>
      <c r="L9" s="69"/>
      <c r="M9" s="66"/>
      <c r="N9" s="66"/>
    </row>
    <row r="10" spans="1:17" x14ac:dyDescent="0.15">
      <c r="A10" s="66" t="s">
        <v>781</v>
      </c>
      <c r="B10" s="73" t="s">
        <v>866</v>
      </c>
      <c r="C10" s="66"/>
      <c r="D10" s="73" t="s">
        <v>868</v>
      </c>
      <c r="E10" s="64" t="str">
        <f>B10&amp;C10&amp;D10</f>
        <v>mission_ACH_criteria_i18.tmp</v>
      </c>
      <c r="F10" s="66" t="s">
        <v>794</v>
      </c>
      <c r="G10" s="46" t="s">
        <v>5</v>
      </c>
      <c r="H10" s="46" t="s">
        <v>63</v>
      </c>
      <c r="I10" s="46" t="s">
        <v>64</v>
      </c>
      <c r="J10" s="46" t="s">
        <v>228</v>
      </c>
      <c r="K10" s="74" t="s">
        <v>867</v>
      </c>
      <c r="L10" s="69"/>
      <c r="M10" s="66"/>
      <c r="N10" s="66"/>
    </row>
  </sheetData>
  <phoneticPr fontId="5"/>
  <pageMargins left="0.7" right="0.7" top="0.75" bottom="0.75" header="0.3" footer="0.3"/>
  <pageSetup paperSize="9" orientation="portrait" horizontalDpi="4294967292" verticalDpi="4294967292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90"/>
  </sheetPr>
  <dimension ref="A1"/>
  <sheetViews>
    <sheetView showGridLines="0" topLeftCell="A6" workbookViewId="0">
      <selection activeCell="O13" sqref="O13"/>
    </sheetView>
  </sheetViews>
  <sheetFormatPr baseColWidth="12" defaultColWidth="13.59765625" defaultRowHeight="14" x14ac:dyDescent="0.15"/>
  <sheetData/>
  <phoneticPr fontId="5"/>
  <pageMargins left="0.75" right="0.75" top="1" bottom="1" header="0.3" footer="0.3"/>
  <pageSetup paperSize="9" orientation="portrait" horizontalDpi="4294967292" verticalDpi="429496729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theme="6"/>
  </sheetPr>
  <dimension ref="A1:C10"/>
  <sheetViews>
    <sheetView showGridLines="0" workbookViewId="0">
      <pane ySplit="1" topLeftCell="A2" activePane="bottomLeft" state="frozen"/>
      <selection activeCell="B6" sqref="B6"/>
      <selection pane="bottomLeft" activeCell="A3" sqref="A3"/>
    </sheetView>
  </sheetViews>
  <sheetFormatPr baseColWidth="12" defaultColWidth="12.796875" defaultRowHeight="21" customHeight="1" x14ac:dyDescent="0.15"/>
  <cols>
    <col min="1" max="1" width="18.59765625" style="1" bestFit="1" customWidth="1"/>
    <col min="2" max="2" width="40.796875" style="1" customWidth="1"/>
    <col min="3" max="3" width="41.3984375" style="1" customWidth="1"/>
    <col min="4" max="16384" width="12.796875" style="1"/>
  </cols>
  <sheetData>
    <row r="1" spans="1:3" ht="21" customHeight="1" x14ac:dyDescent="0.15">
      <c r="A1" s="5" t="s">
        <v>1</v>
      </c>
      <c r="B1" s="12" t="s">
        <v>9</v>
      </c>
      <c r="C1" s="12" t="s">
        <v>268</v>
      </c>
    </row>
    <row r="2" spans="1:3" ht="21" customHeight="1" x14ac:dyDescent="0.15">
      <c r="A2" s="14" t="s">
        <v>10</v>
      </c>
      <c r="B2" s="14" t="s">
        <v>672</v>
      </c>
      <c r="C2" s="14" t="s">
        <v>44</v>
      </c>
    </row>
    <row r="3" spans="1:3" ht="21" customHeight="1" x14ac:dyDescent="0.15">
      <c r="A3" s="14" t="s">
        <v>1782</v>
      </c>
      <c r="B3" s="14" t="s">
        <v>263</v>
      </c>
      <c r="C3" s="14" t="s">
        <v>12</v>
      </c>
    </row>
    <row r="4" spans="1:3" ht="21" customHeight="1" x14ac:dyDescent="0.15">
      <c r="A4" s="14" t="s">
        <v>13</v>
      </c>
      <c r="B4" s="14" t="s">
        <v>264</v>
      </c>
      <c r="C4" s="14" t="s">
        <v>14</v>
      </c>
    </row>
    <row r="5" spans="1:3" ht="21" customHeight="1" x14ac:dyDescent="0.15">
      <c r="A5" s="14" t="s">
        <v>25</v>
      </c>
      <c r="B5" s="14" t="s">
        <v>670</v>
      </c>
      <c r="C5" s="14" t="s">
        <v>15</v>
      </c>
    </row>
    <row r="6" spans="1:3" ht="21" customHeight="1" x14ac:dyDescent="0.15">
      <c r="A6" s="14" t="s">
        <v>16</v>
      </c>
      <c r="B6" s="14" t="s">
        <v>265</v>
      </c>
      <c r="C6" s="14" t="s">
        <v>17</v>
      </c>
    </row>
    <row r="7" spans="1:3" ht="21" customHeight="1" x14ac:dyDescent="0.15">
      <c r="A7" s="14" t="s">
        <v>18</v>
      </c>
      <c r="B7" s="14" t="s">
        <v>544</v>
      </c>
      <c r="C7" s="14" t="s">
        <v>19</v>
      </c>
    </row>
    <row r="8" spans="1:3" ht="21" customHeight="1" x14ac:dyDescent="0.15">
      <c r="A8" s="14" t="s">
        <v>20</v>
      </c>
      <c r="B8" s="14" t="s">
        <v>266</v>
      </c>
      <c r="C8" s="14" t="s">
        <v>21</v>
      </c>
    </row>
    <row r="9" spans="1:3" ht="21" customHeight="1" x14ac:dyDescent="0.15">
      <c r="A9" s="14" t="s">
        <v>22</v>
      </c>
      <c r="B9" s="14" t="s">
        <v>267</v>
      </c>
      <c r="C9" s="14" t="s">
        <v>23</v>
      </c>
    </row>
    <row r="10" spans="1:3" ht="21" customHeight="1" x14ac:dyDescent="0.15">
      <c r="A10" s="88" t="s">
        <v>990</v>
      </c>
      <c r="B10" s="80" t="s">
        <v>1250</v>
      </c>
      <c r="C10" s="78" t="s">
        <v>1003</v>
      </c>
    </row>
  </sheetData>
  <phoneticPr fontId="5"/>
  <pageMargins left="0.75" right="0.75" top="1" bottom="1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theme="6"/>
  </sheetPr>
  <dimension ref="A1:C27"/>
  <sheetViews>
    <sheetView showGridLines="0" workbookViewId="0">
      <pane ySplit="1" topLeftCell="A2" activePane="bottomLeft" state="frozen"/>
      <selection activeCell="B6" sqref="B6"/>
      <selection pane="bottomLeft" activeCell="B10" sqref="B10"/>
    </sheetView>
  </sheetViews>
  <sheetFormatPr baseColWidth="12" defaultColWidth="12.796875" defaultRowHeight="21" customHeight="1" x14ac:dyDescent="0.15"/>
  <cols>
    <col min="1" max="1" width="25.19921875" style="13" customWidth="1"/>
    <col min="2" max="2" width="44.19921875" style="13" customWidth="1"/>
    <col min="3" max="3" width="41.3984375" style="13" customWidth="1"/>
    <col min="4" max="16384" width="12.796875" style="13"/>
  </cols>
  <sheetData>
    <row r="1" spans="1:3" ht="21" customHeight="1" x14ac:dyDescent="0.15">
      <c r="A1" s="5" t="s">
        <v>272</v>
      </c>
      <c r="B1" s="12" t="s">
        <v>7</v>
      </c>
      <c r="C1" s="12" t="s">
        <v>273</v>
      </c>
    </row>
    <row r="2" spans="1:3" ht="21" customHeight="1" x14ac:dyDescent="0.15">
      <c r="A2" s="17" t="s">
        <v>26</v>
      </c>
      <c r="B2" s="17" t="s">
        <v>673</v>
      </c>
      <c r="C2" s="17" t="s">
        <v>43</v>
      </c>
    </row>
    <row r="3" spans="1:3" ht="21" customHeight="1" x14ac:dyDescent="0.15">
      <c r="A3" s="17" t="s">
        <v>27</v>
      </c>
      <c r="B3" s="16" t="s">
        <v>290</v>
      </c>
      <c r="C3" s="17" t="s">
        <v>28</v>
      </c>
    </row>
    <row r="4" spans="1:3" ht="21" customHeight="1" x14ac:dyDescent="0.15">
      <c r="A4" s="13" t="s">
        <v>59</v>
      </c>
      <c r="B4" s="17" t="s">
        <v>291</v>
      </c>
      <c r="C4" s="17" t="s">
        <v>30</v>
      </c>
    </row>
    <row r="5" spans="1:3" ht="21" customHeight="1" x14ac:dyDescent="0.15">
      <c r="A5" s="17" t="s">
        <v>29</v>
      </c>
      <c r="B5" s="17" t="s">
        <v>302</v>
      </c>
      <c r="C5" s="17" t="s">
        <v>30</v>
      </c>
    </row>
    <row r="6" spans="1:3" ht="21" customHeight="1" x14ac:dyDescent="0.15">
      <c r="A6" s="17" t="s">
        <v>1548</v>
      </c>
      <c r="B6" s="17" t="s">
        <v>1551</v>
      </c>
      <c r="C6" s="17" t="s">
        <v>32</v>
      </c>
    </row>
    <row r="7" spans="1:3" ht="21" customHeight="1" x14ac:dyDescent="0.15">
      <c r="A7" s="17" t="s">
        <v>11</v>
      </c>
      <c r="B7" s="17" t="s">
        <v>292</v>
      </c>
      <c r="C7" s="17" t="s">
        <v>33</v>
      </c>
    </row>
    <row r="8" spans="1:3" ht="21" customHeight="1" x14ac:dyDescent="0.15">
      <c r="A8" s="17" t="s">
        <v>34</v>
      </c>
      <c r="B8" s="16" t="s">
        <v>293</v>
      </c>
      <c r="C8" s="17" t="s">
        <v>35</v>
      </c>
    </row>
    <row r="9" spans="1:3" ht="21" customHeight="1" x14ac:dyDescent="0.15">
      <c r="A9" s="17" t="s">
        <v>45</v>
      </c>
      <c r="B9" s="16" t="s">
        <v>294</v>
      </c>
      <c r="C9" s="17" t="s">
        <v>46</v>
      </c>
    </row>
    <row r="10" spans="1:3" ht="21" customHeight="1" x14ac:dyDescent="0.15">
      <c r="A10" s="17" t="s">
        <v>18</v>
      </c>
      <c r="B10" s="17" t="s">
        <v>543</v>
      </c>
      <c r="C10" s="17" t="s">
        <v>58</v>
      </c>
    </row>
    <row r="11" spans="1:3" ht="21" customHeight="1" x14ac:dyDescent="0.15">
      <c r="A11" s="17" t="s">
        <v>36</v>
      </c>
      <c r="B11" s="17" t="s">
        <v>295</v>
      </c>
      <c r="C11" s="17" t="s">
        <v>37</v>
      </c>
    </row>
    <row r="12" spans="1:3" ht="21" customHeight="1" x14ac:dyDescent="0.15">
      <c r="A12" s="17" t="s">
        <v>38</v>
      </c>
      <c r="B12" s="17" t="s">
        <v>296</v>
      </c>
      <c r="C12" s="16"/>
    </row>
    <row r="13" spans="1:3" ht="21" customHeight="1" x14ac:dyDescent="0.15">
      <c r="A13" s="17" t="s">
        <v>535</v>
      </c>
      <c r="B13" s="17" t="s">
        <v>536</v>
      </c>
      <c r="C13" s="16"/>
    </row>
    <row r="14" spans="1:3" ht="21" customHeight="1" x14ac:dyDescent="0.15">
      <c r="A14" s="17" t="s">
        <v>20</v>
      </c>
      <c r="B14" s="17" t="s">
        <v>297</v>
      </c>
      <c r="C14" s="17" t="s">
        <v>39</v>
      </c>
    </row>
    <row r="15" spans="1:3" ht="21" customHeight="1" x14ac:dyDescent="0.15">
      <c r="A15" s="17" t="s">
        <v>22</v>
      </c>
      <c r="B15" s="17" t="s">
        <v>298</v>
      </c>
      <c r="C15" s="17" t="s">
        <v>40</v>
      </c>
    </row>
    <row r="16" spans="1:3" ht="21" customHeight="1" x14ac:dyDescent="0.15">
      <c r="A16" s="17" t="s">
        <v>41</v>
      </c>
      <c r="B16" s="17" t="s">
        <v>299</v>
      </c>
      <c r="C16" s="16"/>
    </row>
    <row r="17" spans="1:3" ht="21" customHeight="1" x14ac:dyDescent="0.15">
      <c r="A17" s="17" t="s">
        <v>42</v>
      </c>
      <c r="B17" s="17" t="s">
        <v>300</v>
      </c>
      <c r="C17" s="16"/>
    </row>
    <row r="18" spans="1:3" ht="21" customHeight="1" x14ac:dyDescent="0.15">
      <c r="A18" s="22" t="s">
        <v>60</v>
      </c>
      <c r="B18" s="22" t="s">
        <v>301</v>
      </c>
      <c r="C18" s="22"/>
    </row>
    <row r="19" spans="1:3" ht="21" customHeight="1" x14ac:dyDescent="0.15">
      <c r="A19" s="22" t="s">
        <v>862</v>
      </c>
      <c r="B19" s="22" t="s">
        <v>869</v>
      </c>
      <c r="C19" s="22"/>
    </row>
    <row r="20" spans="1:3" ht="21" customHeight="1" x14ac:dyDescent="0.15">
      <c r="A20" s="80" t="s">
        <v>889</v>
      </c>
      <c r="B20" s="82" t="s">
        <v>963</v>
      </c>
      <c r="C20" s="22"/>
    </row>
    <row r="21" spans="1:3" ht="21" customHeight="1" x14ac:dyDescent="0.15">
      <c r="A21" s="80" t="s">
        <v>896</v>
      </c>
      <c r="B21" s="82" t="s">
        <v>962</v>
      </c>
      <c r="C21" s="22"/>
    </row>
    <row r="22" spans="1:3" ht="21" customHeight="1" x14ac:dyDescent="0.15">
      <c r="A22" s="80" t="s">
        <v>889</v>
      </c>
      <c r="B22" s="82" t="s">
        <v>1053</v>
      </c>
      <c r="C22" s="78"/>
    </row>
    <row r="23" spans="1:3" ht="21" customHeight="1" x14ac:dyDescent="0.15">
      <c r="A23" s="80" t="s">
        <v>889</v>
      </c>
      <c r="B23" s="82" t="s">
        <v>1054</v>
      </c>
      <c r="C23" s="78"/>
    </row>
    <row r="24" spans="1:3" ht="21" customHeight="1" x14ac:dyDescent="0.15">
      <c r="A24" s="81" t="s">
        <v>898</v>
      </c>
      <c r="B24" s="80" t="s">
        <v>900</v>
      </c>
      <c r="C24" s="78"/>
    </row>
    <row r="25" spans="1:3" ht="21" customHeight="1" x14ac:dyDescent="0.15">
      <c r="A25" s="88" t="s">
        <v>990</v>
      </c>
      <c r="B25" s="80" t="s">
        <v>1250</v>
      </c>
      <c r="C25" s="78" t="s">
        <v>1003</v>
      </c>
    </row>
    <row r="26" spans="1:3" ht="21" customHeight="1" x14ac:dyDescent="0.15">
      <c r="A26" s="17" t="s">
        <v>1685</v>
      </c>
      <c r="B26" s="17" t="s">
        <v>1686</v>
      </c>
      <c r="C26" s="22"/>
    </row>
    <row r="27" spans="1:3" ht="21" customHeight="1" x14ac:dyDescent="0.15">
      <c r="A27" s="80"/>
      <c r="B27" s="82"/>
      <c r="C27" s="22"/>
    </row>
  </sheetData>
  <phoneticPr fontId="5"/>
  <pageMargins left="0.75" right="0.75" top="1" bottom="1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  <outlinePr summaryBelow="0" summaryRight="0"/>
  </sheetPr>
  <dimension ref="A1:Q549"/>
  <sheetViews>
    <sheetView showGridLines="0" tabSelected="1" workbookViewId="0">
      <pane xSplit="2" ySplit="2" topLeftCell="C530" activePane="bottomRight" state="frozen"/>
      <selection pane="topRight" activeCell="D1" sqref="D1"/>
      <selection pane="bottomLeft" activeCell="A4" sqref="A4"/>
      <selection pane="bottomRight" activeCell="G548" sqref="G548"/>
    </sheetView>
  </sheetViews>
  <sheetFormatPr baseColWidth="12" defaultColWidth="12.796875" defaultRowHeight="21" customHeight="1" outlineLevelCol="1" x14ac:dyDescent="0.15"/>
  <cols>
    <col min="1" max="1" width="17.3984375" style="1" customWidth="1"/>
    <col min="2" max="2" width="65.59765625" style="1" customWidth="1" outlineLevel="1"/>
    <col min="3" max="3" width="21.59765625" style="7" customWidth="1"/>
    <col min="4" max="4" width="45.796875" style="1" customWidth="1" outlineLevel="1"/>
    <col min="5" max="5" width="28.19921875" style="7" bestFit="1" customWidth="1"/>
    <col min="6" max="6" width="53.19921875" style="1" customWidth="1" outlineLevel="1"/>
    <col min="7" max="7" width="18.59765625" style="7" customWidth="1"/>
    <col min="8" max="8" width="25.3984375" style="1" customWidth="1" outlineLevel="1"/>
    <col min="9" max="9" width="14" style="1" customWidth="1" outlineLevel="1"/>
    <col min="10" max="10" width="14.3984375" style="1" customWidth="1" outlineLevel="1"/>
    <col min="11" max="11" width="18.3984375" style="1" customWidth="1" outlineLevel="1"/>
    <col min="12" max="12" width="14.796875" style="1" customWidth="1" outlineLevel="1"/>
    <col min="13" max="13" width="12.796875" style="1"/>
    <col min="14" max="15" width="19.19921875" style="1" bestFit="1" customWidth="1"/>
    <col min="16" max="16" width="21.796875" style="29" customWidth="1"/>
    <col min="17" max="16384" width="12.796875" style="29"/>
  </cols>
  <sheetData>
    <row r="1" spans="1:16" s="34" customFormat="1" ht="21" customHeight="1" x14ac:dyDescent="0.15">
      <c r="A1" s="20" t="s">
        <v>501</v>
      </c>
      <c r="B1" s="42" t="s">
        <v>502</v>
      </c>
      <c r="C1" s="20" t="s">
        <v>287</v>
      </c>
      <c r="D1" s="43" t="s">
        <v>503</v>
      </c>
      <c r="E1" s="20" t="s">
        <v>286</v>
      </c>
      <c r="F1" s="25" t="s">
        <v>278</v>
      </c>
      <c r="G1" s="19" t="s">
        <v>283</v>
      </c>
      <c r="H1" s="154" t="s">
        <v>288</v>
      </c>
      <c r="I1" s="155"/>
      <c r="J1" s="155"/>
      <c r="K1" s="155"/>
      <c r="L1" s="156"/>
      <c r="M1" s="19" t="s">
        <v>504</v>
      </c>
    </row>
    <row r="2" spans="1:16" s="1" customFormat="1" ht="21" customHeight="1" x14ac:dyDescent="0.15">
      <c r="A2" s="10" t="s">
        <v>276</v>
      </c>
      <c r="B2" s="11" t="s">
        <v>289</v>
      </c>
      <c r="C2" s="10" t="s">
        <v>3</v>
      </c>
      <c r="D2" s="24" t="s">
        <v>275</v>
      </c>
      <c r="E2" s="10" t="s">
        <v>242</v>
      </c>
      <c r="F2" s="25" t="s">
        <v>279</v>
      </c>
      <c r="G2" s="9" t="s">
        <v>4</v>
      </c>
      <c r="H2" s="24" t="s">
        <v>284</v>
      </c>
      <c r="I2" s="3" t="s">
        <v>256</v>
      </c>
      <c r="J2" s="3" t="s">
        <v>257</v>
      </c>
      <c r="K2" s="25" t="s">
        <v>280</v>
      </c>
      <c r="L2" s="3" t="s">
        <v>258</v>
      </c>
      <c r="M2" s="9" t="s">
        <v>243</v>
      </c>
      <c r="N2" s="86" t="s">
        <v>1761</v>
      </c>
      <c r="O2" s="86" t="s">
        <v>1762</v>
      </c>
      <c r="P2" s="76" t="s">
        <v>2215</v>
      </c>
    </row>
    <row r="3" spans="1:16" s="1" customFormat="1" ht="21" customHeight="1" x14ac:dyDescent="0.15">
      <c r="A3" s="27">
        <v>1001</v>
      </c>
      <c r="B3" s="26" t="str">
        <f t="shared" ref="B3:B7" ca="1" si="0">F3</f>
        <v>チュートリアルをクリアしよう！</v>
      </c>
      <c r="C3" s="27" t="s">
        <v>1862</v>
      </c>
      <c r="D3" s="31" t="str">
        <f ca="1">VLOOKUP($C3,OFFSET(mission_unlock_criteria!$A$2,0,0,COUNTA(mission_unlock_criteria!$A:$A),MATCH(D$2,mission_unlock_criteria!$2:$2,0)-MATCH($C$2,mission_unlock_criteria!$2:$2,0)+1),MATCH(D$2,mission_unlock_criteria!$2:$2,0)-MATCH($C$2,mission_unlock_criteria!$2:$2,0)+1,FALSE)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" s="27" t="s">
        <v>52</v>
      </c>
      <c r="F3" s="31" t="str">
        <f ca="1">VLOOKUP($E3,OFFSET(mission_ACH_criteria!$A$1,0,0,COUNTA(mission_ACH_criteria!$A:$A),MATCH(F$2,mission_ACH_criteria!$1:$1,0)-MATCH($E$2,mission_ACH_criteria!$1:$1,0)+1),MATCH(F$2,mission_ACH_criteria!$1:$1,0)-MATCH($E$2,mission_ACH_criteria!$1:$1,0)+1,FALSE)</f>
        <v>チュートリアルをクリアしよう！</v>
      </c>
      <c r="G3" s="27" t="s">
        <v>48</v>
      </c>
      <c r="H3" s="31" t="str">
        <f t="shared" ref="H3:H7" ca="1" si="1">IF(I3="unit",K3&amp;" x "&amp;L3,IF(I3="polygon","ポリゴン x "&amp;J3,IF(I3="bit","ビット x "&amp;J3,IF(I3="link","リンク x "&amp;J3))))</f>
        <v>ポリゴン x 5</v>
      </c>
      <c r="I3" s="31" t="str">
        <f ca="1">VLOOKUP($G3,OFFSET(mission_ACH!$A$2,0,0,COUNTA($A:$A),MATCH(I$2,mission_ACH!$2:$2,0)-MATCH($G$2,mission_ACH!$2:$2,0)+1),MATCH(I$2,mission_ACH!$2:$2,0)-MATCH($G$2,mission_ACH!$2:$2,0)+1,FALSE)</f>
        <v>polygon</v>
      </c>
      <c r="J3" s="31">
        <f ca="1">VLOOKUP($G3,OFFSET(mission_ACH!$A$2,0,0,COUNTA($A:$A),MATCH(J$2,mission_ACH!$2:$2,0)-MATCH($G$2,mission_ACH!$2:$2,0)+1),MATCH(J$2,mission_ACH!$2:$2,0)-MATCH($G$2,mission_ACH!$2:$2,0)+1,FALSE)</f>
        <v>5</v>
      </c>
      <c r="K3" s="31" t="str">
        <f ca="1">IF(I3="unit",VLOOKUP($G3,OFFSET(mission_ACH!$A$2,0,0,COUNTA($A:$A),MATCH(K$2,mission_ACH!$2:$2,0)-MATCH($G$2,mission_ACH!$2:$2,0)+1),MATCH(K$2,mission_ACH!$2:$2,0)-MATCH($G$2,mission_ACH!$2:$2,0)+1,FALSE),"")</f>
        <v/>
      </c>
      <c r="L3" s="31">
        <f ca="1">VLOOKUP($G3,OFFSET(mission_ACH!$A$2,0,0,COUNTA($A:$A),MATCH(L$2,mission_ACH!$2:$2,0)-MATCH($G$2,mission_ACH!$2:$2,0)+1),MATCH(L$2,mission_ACH!$2:$2,0)-MATCH($G$2,mission_ACH!$2:$2,0)+1,FALSE)</f>
        <v>0</v>
      </c>
      <c r="M3" s="27">
        <v>1000</v>
      </c>
      <c r="N3" s="2" t="s">
        <v>955</v>
      </c>
      <c r="O3" s="2" t="s">
        <v>955</v>
      </c>
    </row>
    <row r="4" spans="1:16" s="1" customFormat="1" ht="21" customHeight="1" x14ac:dyDescent="0.15">
      <c r="A4" s="27">
        <v>1002</v>
      </c>
      <c r="B4" s="26" t="str">
        <f t="shared" ca="1" si="0"/>
        <v>レアガチャを引いてみよう！</v>
      </c>
      <c r="C4" s="27" t="s">
        <v>433</v>
      </c>
      <c r="D4" s="31" t="str">
        <f ca="1">VLOOKUP($C4,OFFSET(mission_unlock_criteria!$A$2,0,0,COUNTA(mission_unlock_criteria!$A:$A),MATCH(D$2,mission_unlock_criteria!$2:$2,0)-MATCH($C$2,mission_unlock_criteria!$2:$2,0)+1),MATCH(D$2,mission_unlock_criteria!$2:$2,0)-MATCH($C$2,mission_unlock_criteria!$2:$2,0)+1,FALSE)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" s="27" t="s">
        <v>53</v>
      </c>
      <c r="F4" s="31" t="str">
        <f ca="1">VLOOKUP($E4,OFFSET(mission_ACH_criteria!$A$1,0,0,COUNTA(mission_ACH_criteria!$A:$A),MATCH(F$2,mission_ACH_criteria!$1:$1,0)-MATCH($E$2,mission_ACH_criteria!$1:$1,0)+1),MATCH(F$2,mission_ACH_criteria!$1:$1,0)-MATCH($E$2,mission_ACH_criteria!$1:$1,0)+1,FALSE)</f>
        <v>レアガチャを引いてみよう！</v>
      </c>
      <c r="G4" s="27" t="s">
        <v>47</v>
      </c>
      <c r="H4" s="31" t="str">
        <f t="shared" ca="1" si="1"/>
        <v>ポリゴン x 1</v>
      </c>
      <c r="I4" s="31" t="str">
        <f ca="1">VLOOKUP($G4,OFFSET(mission_ACH!$A$2,0,0,COUNTA($A:$A),MATCH(I$2,mission_ACH!$2:$2,0)-MATCH($G$2,mission_ACH!$2:$2,0)+1),MATCH(I$2,mission_ACH!$2:$2,0)-MATCH($G$2,mission_ACH!$2:$2,0)+1,FALSE)</f>
        <v>polygon</v>
      </c>
      <c r="J4" s="31">
        <f ca="1">VLOOKUP($G4,OFFSET(mission_ACH!$A$2,0,0,COUNTA($A:$A),MATCH(J$2,mission_ACH!$2:$2,0)-MATCH($G$2,mission_ACH!$2:$2,0)+1),MATCH(J$2,mission_ACH!$2:$2,0)-MATCH($G$2,mission_ACH!$2:$2,0)+1,FALSE)</f>
        <v>1</v>
      </c>
      <c r="K4" s="31" t="str">
        <f ca="1">IF(I4="unit",VLOOKUP($G4,OFFSET(mission_ACH!$A$2,0,0,COUNTA($A:$A),MATCH(K$2,mission_ACH!$2:$2,0)-MATCH($G$2,mission_ACH!$2:$2,0)+1),MATCH(K$2,mission_ACH!$2:$2,0)-MATCH($G$2,mission_ACH!$2:$2,0)+1,FALSE),"")</f>
        <v/>
      </c>
      <c r="L4" s="31">
        <f ca="1">VLOOKUP($G4,OFFSET(mission_ACH!$A$2,0,0,COUNTA($A:$A),MATCH(L$2,mission_ACH!$2:$2,0)-MATCH($G$2,mission_ACH!$2:$2,0)+1),MATCH(L$2,mission_ACH!$2:$2,0)-MATCH($G$2,mission_ACH!$2:$2,0)+1,FALSE)</f>
        <v>0</v>
      </c>
      <c r="M4" s="27">
        <v>999</v>
      </c>
      <c r="N4" s="2" t="s">
        <v>955</v>
      </c>
      <c r="O4" s="2" t="s">
        <v>955</v>
      </c>
    </row>
    <row r="5" spans="1:16" s="1" customFormat="1" ht="21" customHeight="1" x14ac:dyDescent="0.15">
      <c r="A5" s="27">
        <v>1003</v>
      </c>
      <c r="B5" s="26" t="str">
        <f t="shared" ca="1" si="0"/>
        <v>ユニットを強化してみよう！</v>
      </c>
      <c r="C5" s="27" t="s">
        <v>494</v>
      </c>
      <c r="D5" s="31" t="str">
        <f ca="1">VLOOKUP($C5,OFFSET(mission_unlock_criteria!$A$2,0,0,COUNTA(mission_unlock_criteria!$A:$A),MATCH(D$2,mission_unlock_criteria!$2:$2,0)-MATCH($C$2,mission_unlock_criteria!$2:$2,0)+1),MATCH(D$2,mission_unlock_criteria!$2:$2,0)-MATCH($C$2,mission_unlock_criteria!$2:$2,0)+1,FALSE)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【1-4. 【1回のみ】ボーナスステージ】 をクリア</v>
      </c>
      <c r="E5" s="27" t="s">
        <v>54</v>
      </c>
      <c r="F5" s="31" t="str">
        <f ca="1">VLOOKUP($E5,OFFSET(mission_ACH_criteria!$A$1,0,0,COUNTA(mission_ACH_criteria!$A:$A),MATCH(F$2,mission_ACH_criteria!$1:$1,0)-MATCH($E$2,mission_ACH_criteria!$1:$1,0)+1),MATCH(F$2,mission_ACH_criteria!$1:$1,0)-MATCH($E$2,mission_ACH_criteria!$1:$1,0)+1,FALSE)</f>
        <v>ユニットを強化してみよう！</v>
      </c>
      <c r="G5" s="27" t="s">
        <v>420</v>
      </c>
      <c r="H5" s="31" t="str">
        <f t="shared" ca="1" si="1"/>
        <v>炎のメタルチック x 1</v>
      </c>
      <c r="I5" s="31" t="str">
        <f ca="1">VLOOKUP($G5,OFFSET(mission_ACH!$A$2,0,0,COUNTA($A:$A),MATCH(I$2,mission_ACH!$2:$2,0)-MATCH($G$2,mission_ACH!$2:$2,0)+1),MATCH(I$2,mission_ACH!$2:$2,0)-MATCH($G$2,mission_ACH!$2:$2,0)+1,FALSE)</f>
        <v>unit</v>
      </c>
      <c r="J5" s="31">
        <f ca="1">VLOOKUP($G5,OFFSET(mission_ACH!$A$2,0,0,COUNTA($A:$A),MATCH(J$2,mission_ACH!$2:$2,0)-MATCH($G$2,mission_ACH!$2:$2,0)+1),MATCH(J$2,mission_ACH!$2:$2,0)-MATCH($G$2,mission_ACH!$2:$2,0)+1,FALSE)</f>
        <v>333</v>
      </c>
      <c r="K5" s="31" t="str">
        <f ca="1">IF(I5="unit",VLOOKUP($G5,OFFSET(mission_ACH!$A$2,0,0,COUNTA($A:$A),MATCH(K$2,mission_ACH!$2:$2,0)-MATCH($G$2,mission_ACH!$2:$2,0)+1),MATCH(K$2,mission_ACH!$2:$2,0)-MATCH($G$2,mission_ACH!$2:$2,0)+1,FALSE),"")</f>
        <v>炎のメタルチック</v>
      </c>
      <c r="L5" s="31">
        <f ca="1">VLOOKUP($G5,OFFSET(mission_ACH!$A$2,0,0,COUNTA($A:$A),MATCH(L$2,mission_ACH!$2:$2,0)-MATCH($G$2,mission_ACH!$2:$2,0)+1),MATCH(L$2,mission_ACH!$2:$2,0)-MATCH($G$2,mission_ACH!$2:$2,0)+1,FALSE)</f>
        <v>1</v>
      </c>
      <c r="M5" s="27">
        <v>999</v>
      </c>
      <c r="N5" s="2" t="s">
        <v>955</v>
      </c>
      <c r="O5" s="2" t="s">
        <v>955</v>
      </c>
    </row>
    <row r="6" spans="1:16" s="123" customFormat="1" ht="21" customHeight="1" x14ac:dyDescent="0.15">
      <c r="A6" s="120">
        <v>1015</v>
      </c>
      <c r="B6" s="120" t="str">
        <f t="shared" ca="1" si="0"/>
        <v>ユニットを Lv.15 まで育てよう！</v>
      </c>
      <c r="C6" s="120" t="s">
        <v>533</v>
      </c>
      <c r="D6" s="121" t="str">
        <f ca="1">VLOOKUP($C6,OFFSET(mission_unlock_criteria!$A$2,0,0,COUNTA(mission_unlock_criteria!$A:$A),MATCH(D$2,mission_unlock_criteria!$2:$2,0)-MATCH($C$2,mission_unlock_criteria!$2:$2,0)+1),MATCH(D$2,mission_unlock_criteria!$2:$2,0)-MATCH($C$2,mission_unlock_criteria!$2:$2,0)+1,FALSE)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ミッション 【ユニットを強化してみよう！】 をクリア</v>
      </c>
      <c r="E6" s="120" t="s">
        <v>55</v>
      </c>
      <c r="F6" s="121" t="str">
        <f ca="1">VLOOKUP($E6,OFFSET(mission_ACH_criteria!$A$1,0,0,COUNTA(mission_ACH_criteria!$A:$A),MATCH(F$2,mission_ACH_criteria!$1:$1,0)-MATCH($E$2,mission_ACH_criteria!$1:$1,0)+1),MATCH(F$2,mission_ACH_criteria!$1:$1,0)-MATCH($E$2,mission_ACH_criteria!$1:$1,0)+1,FALSE)</f>
        <v>ユニットを Lv.15 まで育てよう！</v>
      </c>
      <c r="G6" s="120" t="s">
        <v>47</v>
      </c>
      <c r="H6" s="121" t="str">
        <f t="shared" ca="1" si="1"/>
        <v>ポリゴン x 1</v>
      </c>
      <c r="I6" s="121" t="str">
        <f ca="1">VLOOKUP($G6,OFFSET(mission_ACH!$A$2,0,0,COUNTA($A:$A),MATCH(I$2,mission_ACH!$2:$2,0)-MATCH($G$2,mission_ACH!$2:$2,0)+1),MATCH(I$2,mission_ACH!$2:$2,0)-MATCH($G$2,mission_ACH!$2:$2,0)+1,FALSE)</f>
        <v>polygon</v>
      </c>
      <c r="J6" s="121">
        <f ca="1">VLOOKUP($G6,OFFSET(mission_ACH!$A$2,0,0,COUNTA($A:$A),MATCH(J$2,mission_ACH!$2:$2,0)-MATCH($G$2,mission_ACH!$2:$2,0)+1),MATCH(J$2,mission_ACH!$2:$2,0)-MATCH($G$2,mission_ACH!$2:$2,0)+1,FALSE)</f>
        <v>1</v>
      </c>
      <c r="K6" s="121" t="str">
        <f ca="1">IF(I6="unit",VLOOKUP($G6,OFFSET(mission_ACH!$A$2,0,0,COUNTA($A:$A),MATCH(K$2,mission_ACH!$2:$2,0)-MATCH($G$2,mission_ACH!$2:$2,0)+1),MATCH(K$2,mission_ACH!$2:$2,0)-MATCH($G$2,mission_ACH!$2:$2,0)+1,FALSE),"")</f>
        <v/>
      </c>
      <c r="L6" s="121">
        <f ca="1">VLOOKUP($G6,OFFSET(mission_ACH!$A$2,0,0,COUNTA($A:$A),MATCH(L$2,mission_ACH!$2:$2,0)-MATCH($G$2,mission_ACH!$2:$2,0)+1),MATCH(L$2,mission_ACH!$2:$2,0)-MATCH($G$2,mission_ACH!$2:$2,0)+1,FALSE)</f>
        <v>0</v>
      </c>
      <c r="M6" s="120">
        <v>76</v>
      </c>
      <c r="N6" s="120" t="s">
        <v>2275</v>
      </c>
      <c r="O6" s="120" t="s">
        <v>2275</v>
      </c>
    </row>
    <row r="7" spans="1:16" s="1" customFormat="1" ht="21" customHeight="1" x14ac:dyDescent="0.15">
      <c r="A7" s="27">
        <v>1025</v>
      </c>
      <c r="B7" s="26" t="str">
        <f t="shared" ca="1" si="0"/>
        <v>ユニットを覚醒してみよう！</v>
      </c>
      <c r="C7" s="27" t="s">
        <v>497</v>
      </c>
      <c r="D7" s="31" t="str">
        <f ca="1">VLOOKUP($C7,OFFSET(mission_unlock_criteria!$A$2,0,0,COUNTA(mission_unlock_criteria!$A:$A),MATCH(D$2,mission_unlock_criteria!$2:$2,0)-MATCH($C$2,mission_unlock_criteria!$2:$2,0)+1),MATCH(D$2,mission_unlock_criteria!$2:$2,0)-MATCH($C$2,mission_unlock_criteria!$2:$2,0)+1,FALSE)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【3-4. 【1回のみ】ボーナスステージ】 をクリア</v>
      </c>
      <c r="E7" s="27" t="s">
        <v>56</v>
      </c>
      <c r="F7" s="31" t="str">
        <f ca="1">VLOOKUP($E7,OFFSET(mission_ACH_criteria!$A$1,0,0,COUNTA(mission_ACH_criteria!$A:$A),MATCH(F$2,mission_ACH_criteria!$1:$1,0)-MATCH($E$2,mission_ACH_criteria!$1:$1,0)+1),MATCH(F$2,mission_ACH_criteria!$1:$1,0)-MATCH($E$2,mission_ACH_criteria!$1:$1,0)+1,FALSE)</f>
        <v>ユニットを覚醒してみよう！</v>
      </c>
      <c r="G7" s="27" t="s">
        <v>47</v>
      </c>
      <c r="H7" s="31" t="str">
        <f t="shared" ca="1" si="1"/>
        <v>ポリゴン x 1</v>
      </c>
      <c r="I7" s="31" t="str">
        <f ca="1">VLOOKUP($G7,OFFSET(mission_ACH!$A$2,0,0,COUNTA($A:$A),MATCH(I$2,mission_ACH!$2:$2,0)-MATCH($G$2,mission_ACH!$2:$2,0)+1),MATCH(I$2,mission_ACH!$2:$2,0)-MATCH($G$2,mission_ACH!$2:$2,0)+1,FALSE)</f>
        <v>polygon</v>
      </c>
      <c r="J7" s="31">
        <f ca="1">VLOOKUP($G7,OFFSET(mission_ACH!$A$2,0,0,COUNTA($A:$A),MATCH(J$2,mission_ACH!$2:$2,0)-MATCH($G$2,mission_ACH!$2:$2,0)+1),MATCH(J$2,mission_ACH!$2:$2,0)-MATCH($G$2,mission_ACH!$2:$2,0)+1,FALSE)</f>
        <v>1</v>
      </c>
      <c r="K7" s="31" t="str">
        <f ca="1">IF(I7="unit",VLOOKUP($G7,OFFSET(mission_ACH!$A$2,0,0,COUNTA($A:$A),MATCH(K$2,mission_ACH!$2:$2,0)-MATCH($G$2,mission_ACH!$2:$2,0)+1),MATCH(K$2,mission_ACH!$2:$2,0)-MATCH($G$2,mission_ACH!$2:$2,0)+1,FALSE),"")</f>
        <v/>
      </c>
      <c r="L7" s="31">
        <f ca="1">VLOOKUP($G7,OFFSET(mission_ACH!$A$2,0,0,COUNTA($A:$A),MATCH(L$2,mission_ACH!$2:$2,0)-MATCH($G$2,mission_ACH!$2:$2,0)+1),MATCH(L$2,mission_ACH!$2:$2,0)-MATCH($G$2,mission_ACH!$2:$2,0)+1,FALSE)</f>
        <v>0</v>
      </c>
      <c r="M7" s="27">
        <v>75</v>
      </c>
      <c r="N7" s="2" t="s">
        <v>955</v>
      </c>
      <c r="O7" s="2" t="s">
        <v>955</v>
      </c>
    </row>
    <row r="8" spans="1:16" s="1" customFormat="1" ht="21" customHeight="1" x14ac:dyDescent="0.15">
      <c r="A8" s="27">
        <v>1050</v>
      </c>
      <c r="B8" s="26" t="str">
        <f t="shared" ref="B8:B10" ca="1" si="2">F8</f>
        <v>レビューを書いてみよう！</v>
      </c>
      <c r="C8" s="27" t="s">
        <v>500</v>
      </c>
      <c r="D8" s="31" t="str">
        <f ca="1">VLOOKUP($C8,OFFSET(mission_unlock_criteria!$A$2,0,0,COUNTA(mission_unlock_criteria!$A:$A),MATCH(D$2,mission_unlock_criteria!$2:$2,0)-MATCH($C$2,mission_unlock_criteria!$2:$2,0)+1),MATCH(D$2,mission_unlock_criteria!$2:$2,0)-MATCH($C$2,mission_unlock_criteria!$2:$2,0)+1,FALSE)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【4-4. 【1回のみ】ボーナスステージ】 をクリア</v>
      </c>
      <c r="E8" s="27" t="s">
        <v>62</v>
      </c>
      <c r="F8" s="31" t="str">
        <f ca="1">VLOOKUP($E8,OFFSET(mission_ACH_criteria!$A$1,0,0,COUNTA(mission_ACH_criteria!$A:$A),MATCH(F$2,mission_ACH_criteria!$1:$1,0)-MATCH($E$2,mission_ACH_criteria!$1:$1,0)+1),MATCH(F$2,mission_ACH_criteria!$1:$1,0)-MATCH($E$2,mission_ACH_criteria!$1:$1,0)+1,FALSE)</f>
        <v>レビューを書いてみよう！</v>
      </c>
      <c r="G8" s="27" t="s">
        <v>49</v>
      </c>
      <c r="H8" s="31" t="str">
        <f t="shared" ref="H8" ca="1" si="3">IF(I8="unit",K8&amp;" x "&amp;L8,IF(I8="polygon","ポリゴン x "&amp;J8,IF(I8="bit","ビット x "&amp;J8,IF(I8="link","リンク x "&amp;J8))))</f>
        <v>ポリゴン x 1</v>
      </c>
      <c r="I8" s="31" t="str">
        <f ca="1">VLOOKUP($G8,OFFSET(mission_ACH!$A$2,0,0,COUNTA($A:$A),MATCH(I$2,mission_ACH!$2:$2,0)-MATCH($G$2,mission_ACH!$2:$2,0)+1),MATCH(I$2,mission_ACH!$2:$2,0)-MATCH($G$2,mission_ACH!$2:$2,0)+1,FALSE)</f>
        <v>polygon</v>
      </c>
      <c r="J8" s="31">
        <f ca="1">VLOOKUP($G8,OFFSET(mission_ACH!$A$2,0,0,COUNTA($A:$A),MATCH(J$2,mission_ACH!$2:$2,0)-MATCH($G$2,mission_ACH!$2:$2,0)+1),MATCH(J$2,mission_ACH!$2:$2,0)-MATCH($G$2,mission_ACH!$2:$2,0)+1,FALSE)</f>
        <v>1</v>
      </c>
      <c r="K8" s="31" t="str">
        <f ca="1">IF(I8="unit",VLOOKUP($G8,OFFSET(mission_ACH!$A$2,0,0,COUNTA($A:$A),MATCH(K$2,mission_ACH!$2:$2,0)-MATCH($G$2,mission_ACH!$2:$2,0)+1),MATCH(K$2,mission_ACH!$2:$2,0)-MATCH($G$2,mission_ACH!$2:$2,0)+1,FALSE),"")</f>
        <v/>
      </c>
      <c r="L8" s="31">
        <f ca="1">VLOOKUP($G8,OFFSET(mission_ACH!$A$2,0,0,COUNTA($A:$A),MATCH(L$2,mission_ACH!$2:$2,0)-MATCH($G$2,mission_ACH!$2:$2,0)+1),MATCH(L$2,mission_ACH!$2:$2,0)-MATCH($G$2,mission_ACH!$2:$2,0)+1,FALSE)</f>
        <v>0</v>
      </c>
      <c r="M8" s="27">
        <v>5</v>
      </c>
      <c r="N8" s="2" t="s">
        <v>955</v>
      </c>
      <c r="O8" s="2" t="s">
        <v>955</v>
      </c>
    </row>
    <row r="9" spans="1:16" s="1" customFormat="1" ht="21" customHeight="1" x14ac:dyDescent="0.15">
      <c r="A9" s="27">
        <v>1055</v>
      </c>
      <c r="B9" s="26" t="str">
        <f t="shared" ca="1" si="2"/>
        <v>公式ツイッターをフォローしよう！</v>
      </c>
      <c r="C9" s="27" t="s">
        <v>66</v>
      </c>
      <c r="D9" s="31" t="str">
        <f ca="1">VLOOKUP($C9,OFFSET(mission_unlock_criteria!$A$2,0,0,COUNTA(mission_unlock_criteria!$A:$A),MATCH(D$2,mission_unlock_criteria!$2:$2,0)-MATCH($C$2,mission_unlock_criteria!$2:$2,0)+1),MATCH(D$2,mission_unlock_criteria!$2:$2,0)-MATCH($C$2,mission_unlock_criteria!$2:$2,0)+1,FALSE)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通算ログインが 3 日に到達</v>
      </c>
      <c r="E9" s="2" t="s">
        <v>860</v>
      </c>
      <c r="F9" s="31" t="str">
        <f ca="1">VLOOKUP($E9,OFFSET(mission_ACH_criteria!$A$1,0,0,COUNTA(mission_ACH_criteria!$A:$A),MATCH(F$2,mission_ACH_criteria!$1:$1,0)-MATCH($E$2,mission_ACH_criteria!$1:$1,0)+1),MATCH(F$2,mission_ACH_criteria!$1:$1,0)-MATCH($E$2,mission_ACH_criteria!$1:$1,0)+1,FALSE)</f>
        <v>公式ツイッターをフォローしよう！</v>
      </c>
      <c r="G9" s="27" t="s">
        <v>49</v>
      </c>
      <c r="H9" s="31" t="str">
        <f ca="1">IF(I9="unit",K9&amp;" x "&amp;L9,IF(I9="polygon","ポリゴン x "&amp;J9,IF(I9="bit","ビット x "&amp;J9,IF(I9="link","リンク x "&amp;J9))))</f>
        <v>ポリゴン x 1</v>
      </c>
      <c r="I9" s="31" t="str">
        <f ca="1">VLOOKUP($G9,OFFSET(mission_ACH!$A$2,0,0,COUNTA($A:$A),MATCH(I$2,mission_ACH!$2:$2,0)-MATCH($G$2,mission_ACH!$2:$2,0)+1),MATCH(I$2,mission_ACH!$2:$2,0)-MATCH($G$2,mission_ACH!$2:$2,0)+1,FALSE)</f>
        <v>polygon</v>
      </c>
      <c r="J9" s="31">
        <f ca="1">VLOOKUP($G9,OFFSET(mission_ACH!$A$2,0,0,COUNTA($A:$A),MATCH(J$2,mission_ACH!$2:$2,0)-MATCH($G$2,mission_ACH!$2:$2,0)+1),MATCH(J$2,mission_ACH!$2:$2,0)-MATCH($G$2,mission_ACH!$2:$2,0)+1,FALSE)</f>
        <v>1</v>
      </c>
      <c r="K9" s="31" t="str">
        <f ca="1">IF(I9="unit",VLOOKUP($G9,OFFSET(mission_ACH!$A$2,0,0,COUNTA($A:$A),MATCH(K$2,mission_ACH!$2:$2,0)-MATCH($G$2,mission_ACH!$2:$2,0)+1),MATCH(K$2,mission_ACH!$2:$2,0)-MATCH($G$2,mission_ACH!$2:$2,0)+1,FALSE),"")</f>
        <v/>
      </c>
      <c r="L9" s="31">
        <f ca="1">VLOOKUP($G9,OFFSET(mission_ACH!$A$2,0,0,COUNTA($A:$A),MATCH(L$2,mission_ACH!$2:$2,0)-MATCH($G$2,mission_ACH!$2:$2,0)+1),MATCH(L$2,mission_ACH!$2:$2,0)-MATCH($G$2,mission_ACH!$2:$2,0)+1,FALSE)</f>
        <v>0</v>
      </c>
      <c r="M9" s="27">
        <v>5</v>
      </c>
      <c r="N9" s="113" t="s">
        <v>1750</v>
      </c>
      <c r="O9" s="87" t="s">
        <v>1749</v>
      </c>
    </row>
    <row r="10" spans="1:16" s="1" customFormat="1" ht="21" customHeight="1" x14ac:dyDescent="0.15">
      <c r="A10" s="27">
        <v>1056</v>
      </c>
      <c r="B10" s="26" t="str">
        <f t="shared" ca="1" si="2"/>
        <v>Lobi公認グループに入ろう！</v>
      </c>
      <c r="C10" s="27" t="s">
        <v>433</v>
      </c>
      <c r="D10" s="31" t="str">
        <f ca="1">VLOOKUP($C10,OFFSET(mission_unlock_criteria!$A$2,0,0,COUNTA(mission_unlock_criteria!$A:$A),MATCH(D$2,mission_unlock_criteria!$2:$2,0)-MATCH($C$2,mission_unlock_criteria!$2:$2,0)+1),MATCH(D$2,mission_unlock_criteria!$2:$2,0)-MATCH($C$2,mission_unlock_criteria!$2:$2,0)+1,FALSE)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10" s="2" t="s">
        <v>904</v>
      </c>
      <c r="F10" s="31" t="str">
        <f ca="1">VLOOKUP($E10,OFFSET(mission_ACH_criteria!$A$1,0,0,COUNTA(mission_ACH_criteria!$A:$A),MATCH(F$2,mission_ACH_criteria!$1:$1,0)-MATCH($E$2,mission_ACH_criteria!$1:$1,0)+1),MATCH(F$2,mission_ACH_criteria!$1:$1,0)-MATCH($E$2,mission_ACH_criteria!$1:$1,0)+1,FALSE)</f>
        <v>Lobi公認グループに入ろう！</v>
      </c>
      <c r="G10" s="27" t="s">
        <v>47</v>
      </c>
      <c r="H10" s="31" t="str">
        <f ca="1">IF(I10="unit",K10&amp;" x "&amp;L10,IF(I10="polygon","ポリゴン x "&amp;J10,IF(I10="bit","ビット x "&amp;J10,IF(I10="link","リンク x "&amp;J10))))</f>
        <v>ポリゴン x 1</v>
      </c>
      <c r="I10" s="31" t="str">
        <f ca="1">VLOOKUP($G10,OFFSET(mission_ACH!$A$2,0,0,COUNTA($A:$A),MATCH(I$2,mission_ACH!$2:$2,0)-MATCH($G$2,mission_ACH!$2:$2,0)+1),MATCH(I$2,mission_ACH!$2:$2,0)-MATCH($G$2,mission_ACH!$2:$2,0)+1,FALSE)</f>
        <v>polygon</v>
      </c>
      <c r="J10" s="31">
        <f ca="1">VLOOKUP($G10,OFFSET(mission_ACH!$A$2,0,0,COUNTA($A:$A),MATCH(J$2,mission_ACH!$2:$2,0)-MATCH($G$2,mission_ACH!$2:$2,0)+1),MATCH(J$2,mission_ACH!$2:$2,0)-MATCH($G$2,mission_ACH!$2:$2,0)+1,FALSE)</f>
        <v>1</v>
      </c>
      <c r="K10" s="31" t="str">
        <f ca="1">IF(I10="unit",VLOOKUP($G10,OFFSET(mission_ACH!$A$2,0,0,COUNTA($A:$A),MATCH(K$2,mission_ACH!$2:$2,0)-MATCH($G$2,mission_ACH!$2:$2,0)+1),MATCH(K$2,mission_ACH!$2:$2,0)-MATCH($G$2,mission_ACH!$2:$2,0)+1,FALSE),"")</f>
        <v/>
      </c>
      <c r="L10" s="31">
        <f ca="1">VLOOKUP($G10,OFFSET(mission_ACH!$A$2,0,0,COUNTA($A:$A),MATCH(L$2,mission_ACH!$2:$2,0)-MATCH($G$2,mission_ACH!$2:$2,0)+1),MATCH(L$2,mission_ACH!$2:$2,0)-MATCH($G$2,mission_ACH!$2:$2,0)+1,FALSE)</f>
        <v>0</v>
      </c>
      <c r="M10" s="27">
        <v>5</v>
      </c>
      <c r="N10" s="2" t="s">
        <v>955</v>
      </c>
      <c r="O10" s="2" t="s">
        <v>955</v>
      </c>
    </row>
    <row r="11" spans="1:16" s="1" customFormat="1" ht="21" customHeight="1" x14ac:dyDescent="0.15">
      <c r="A11" s="27">
        <v>1057</v>
      </c>
      <c r="B11" s="26" t="str">
        <f ca="1">F11</f>
        <v>初音ミクコラボをTwitterでツイートしよう！</v>
      </c>
      <c r="C11" s="27" t="s">
        <v>893</v>
      </c>
      <c r="D11" s="31" t="str">
        <f ca="1">VLOOKUP($C11,OFFSET(mission_unlock_criteria!$A$2,0,0,COUNTA(mission_unlock_criteria!$A:$A),MATCH(D$2,mission_unlock_criteria!$2:$2,0)-MATCH($C$2,mission_unlock_criteria!$2:$2,0)+1),MATCH(D$2,mission_unlock_criteria!$2:$2,0)-MATCH($C$2,mission_unlock_criteria!$2:$2,0)+1,FALSE)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11" s="2" t="s">
        <v>905</v>
      </c>
      <c r="F11" s="31" t="str">
        <f ca="1">VLOOKUP($E11,OFFSET(mission_ACH_criteria!$A$1,0,0,COUNTA(mission_ACH_criteria!$A:$A),MATCH(F$2,mission_ACH_criteria!$1:$1,0)-MATCH($E$2,mission_ACH_criteria!$1:$1,0)+1),MATCH(F$2,mission_ACH_criteria!$1:$1,0)-MATCH($E$2,mission_ACH_criteria!$1:$1,0)+1,FALSE)</f>
        <v>初音ミクコラボをTwitterでツイートしよう！</v>
      </c>
      <c r="G11" s="27" t="s">
        <v>894</v>
      </c>
      <c r="H11" s="31" t="str">
        <f t="shared" ref="H11:H16" ca="1" si="4">IF(I11="unit",K11&amp;" x "&amp;L11,IF(I11="polygon","ポリゴン x "&amp;J11,IF(I11="bit","ビット x "&amp;J11,IF(I11="link","リンク x "&amp;J11))))</f>
        <v>ポリゴン x 1</v>
      </c>
      <c r="I11" s="31" t="str">
        <f ca="1">VLOOKUP($G11,OFFSET(mission_ACH!$A$2,0,0,COUNTA($A:$A),MATCH(I$2,mission_ACH!$2:$2,0)-MATCH($G$2,mission_ACH!$2:$2,0)+1),MATCH(I$2,mission_ACH!$2:$2,0)-MATCH($G$2,mission_ACH!$2:$2,0)+1,FALSE)</f>
        <v>polygon</v>
      </c>
      <c r="J11" s="31">
        <f ca="1">VLOOKUP($G11,OFFSET(mission_ACH!$A$2,0,0,COUNTA($A:$A),MATCH(J$2,mission_ACH!$2:$2,0)-MATCH($G$2,mission_ACH!$2:$2,0)+1),MATCH(J$2,mission_ACH!$2:$2,0)-MATCH($G$2,mission_ACH!$2:$2,0)+1,FALSE)</f>
        <v>1</v>
      </c>
      <c r="K11" s="31" t="str">
        <f ca="1">IF(I11="unit",VLOOKUP($G11,OFFSET(mission_ACH!$A$2,0,0,COUNTA($A:$A),MATCH(K$2,mission_ACH!$2:$2,0)-MATCH($G$2,mission_ACH!$2:$2,0)+1),MATCH(K$2,mission_ACH!$2:$2,0)-MATCH($G$2,mission_ACH!$2:$2,0)+1,FALSE),"")</f>
        <v/>
      </c>
      <c r="L11" s="31">
        <f ca="1">VLOOKUP($G11,OFFSET(mission_ACH!$A$2,0,0,COUNTA($A:$A),MATCH(L$2,mission_ACH!$2:$2,0)-MATCH($G$2,mission_ACH!$2:$2,0)+1),MATCH(L$2,mission_ACH!$2:$2,0)-MATCH($G$2,mission_ACH!$2:$2,0)+1,FALSE)</f>
        <v>0</v>
      </c>
      <c r="M11" s="27">
        <v>50</v>
      </c>
      <c r="N11" s="87" t="s">
        <v>1131</v>
      </c>
      <c r="O11" s="87" t="s">
        <v>1036</v>
      </c>
    </row>
    <row r="12" spans="1:16" s="1" customFormat="1" ht="21" customHeight="1" x14ac:dyDescent="0.15">
      <c r="A12" s="27">
        <v>1059</v>
      </c>
      <c r="B12" s="26" t="str">
        <f t="shared" ref="B12:B17" ca="1" si="5">F12</f>
        <v>バックアップしよう！</v>
      </c>
      <c r="C12" s="27" t="s">
        <v>901</v>
      </c>
      <c r="D12" s="31" t="str">
        <f ca="1">VLOOKUP($C12,OFFSET(mission_unlock_criteria!$A$2,0,0,COUNTA(mission_unlock_criteria!$A:$A),MATCH(D$2,mission_unlock_criteria!$2:$2,0)-MATCH($C$2,mission_unlock_criteria!$2:$2,0)+1),MATCH(D$2,mission_unlock_criteria!$2:$2,0)-MATCH($C$2,mission_unlock_criteria!$2:$2,0)+1,FALSE)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12" s="2" t="s">
        <v>906</v>
      </c>
      <c r="F12" s="31" t="str">
        <f ca="1">VLOOKUP($E12,OFFSET(mission_ACH_criteria!$A$1,0,0,COUNTA(mission_ACH_criteria!$A:$A),MATCH(F$2,mission_ACH_criteria!$1:$1,0)-MATCH($E$2,mission_ACH_criteria!$1:$1,0)+1),MATCH(F$2,mission_ACH_criteria!$1:$1,0)-MATCH($E$2,mission_ACH_criteria!$1:$1,0)+1,FALSE)</f>
        <v>バックアップしよう！</v>
      </c>
      <c r="G12" s="27" t="s">
        <v>902</v>
      </c>
      <c r="H12" s="31" t="str">
        <f t="shared" ca="1" si="4"/>
        <v>ポリゴン x 1</v>
      </c>
      <c r="I12" s="31" t="str">
        <f ca="1">VLOOKUP($G12,OFFSET(mission_ACH!$A$2,0,0,COUNTA($A:$A),MATCH(I$2,mission_ACH!$2:$2,0)-MATCH($G$2,mission_ACH!$2:$2,0)+1),MATCH(I$2,mission_ACH!$2:$2,0)-MATCH($G$2,mission_ACH!$2:$2,0)+1,FALSE)</f>
        <v>polygon</v>
      </c>
      <c r="J12" s="31">
        <f ca="1">VLOOKUP($G12,OFFSET(mission_ACH!$A$2,0,0,COUNTA($A:$A),MATCH(J$2,mission_ACH!$2:$2,0)-MATCH($G$2,mission_ACH!$2:$2,0)+1),MATCH(J$2,mission_ACH!$2:$2,0)-MATCH($G$2,mission_ACH!$2:$2,0)+1,FALSE)</f>
        <v>1</v>
      </c>
      <c r="K12" s="31" t="str">
        <f ca="1">IF(I12="unit",VLOOKUP($G12,OFFSET(mission_ACH!$A$2,0,0,COUNTA($A:$A),MATCH(K$2,mission_ACH!$2:$2,0)-MATCH($G$2,mission_ACH!$2:$2,0)+1),MATCH(K$2,mission_ACH!$2:$2,0)-MATCH($G$2,mission_ACH!$2:$2,0)+1,FALSE),"")</f>
        <v/>
      </c>
      <c r="L12" s="31">
        <f ca="1">VLOOKUP($G12,OFFSET(mission_ACH!$A$2,0,0,COUNTA($A:$A),MATCH(L$2,mission_ACH!$2:$2,0)-MATCH($G$2,mission_ACH!$2:$2,0)+1),MATCH(L$2,mission_ACH!$2:$2,0)-MATCH($G$2,mission_ACH!$2:$2,0)+1,FALSE)</f>
        <v>0</v>
      </c>
      <c r="M12" s="27">
        <v>5</v>
      </c>
      <c r="N12" s="2" t="s">
        <v>955</v>
      </c>
      <c r="O12" s="2" t="s">
        <v>955</v>
      </c>
      <c r="P12" s="144">
        <v>1058</v>
      </c>
    </row>
    <row r="13" spans="1:16" s="1" customFormat="1" ht="21" customHeight="1" x14ac:dyDescent="0.15">
      <c r="A13" s="27">
        <v>1060</v>
      </c>
      <c r="B13" s="26" t="str">
        <f t="shared" ca="1" si="5"/>
        <v>デュラララ!!×2 コラボをTwitterでツイートしよう！</v>
      </c>
      <c r="C13" s="27" t="s">
        <v>1055</v>
      </c>
      <c r="D13" s="31" t="str">
        <f ca="1">VLOOKUP($C13,OFFSET(mission_unlock_criteria!$A$2,0,0,COUNTA(mission_unlock_criteria!$A:$A),MATCH(D$2,mission_unlock_criteria!$2:$2,0)-MATCH($C$2,mission_unlock_criteria!$2:$2,0)+1),MATCH(D$2,mission_unlock_criteria!$2:$2,0)-MATCH($C$2,mission_unlock_criteria!$2:$2,0)+1,FALSE)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13" s="2" t="s">
        <v>1057</v>
      </c>
      <c r="F13" s="31" t="str">
        <f ca="1">VLOOKUP($E13,OFFSET(mission_ACH_criteria!$A$1,0,0,COUNTA(mission_ACH_criteria!$A:$A),MATCH(F$2,mission_ACH_criteria!$1:$1,0)-MATCH($E$2,mission_ACH_criteria!$1:$1,0)+1),MATCH(F$2,mission_ACH_criteria!$1:$1,0)-MATCH($E$2,mission_ACH_criteria!$1:$1,0)+1,FALSE)</f>
        <v>デュラララ!!×2 コラボをTwitterでツイートしよう！</v>
      </c>
      <c r="G13" s="27" t="s">
        <v>1059</v>
      </c>
      <c r="H13" s="31" t="str">
        <f t="shared" ca="1" si="4"/>
        <v>ポリゴン x 1</v>
      </c>
      <c r="I13" s="31" t="str">
        <f ca="1">VLOOKUP($G13,OFFSET(mission_ACH!$A$2,0,0,COUNTA($A:$A),MATCH(I$2,mission_ACH!$2:$2,0)-MATCH($G$2,mission_ACH!$2:$2,0)+1),MATCH(I$2,mission_ACH!$2:$2,0)-MATCH($G$2,mission_ACH!$2:$2,0)+1,FALSE)</f>
        <v>polygon</v>
      </c>
      <c r="J13" s="31">
        <f ca="1">VLOOKUP($G13,OFFSET(mission_ACH!$A$2,0,0,COUNTA($A:$A),MATCH(J$2,mission_ACH!$2:$2,0)-MATCH($G$2,mission_ACH!$2:$2,0)+1),MATCH(J$2,mission_ACH!$2:$2,0)-MATCH($G$2,mission_ACH!$2:$2,0)+1,FALSE)</f>
        <v>1</v>
      </c>
      <c r="K13" s="31" t="str">
        <f ca="1">IF(I13="unit",VLOOKUP($G13,OFFSET(mission_ACH!$A$2,0,0,COUNTA($A:$A),MATCH(K$2,mission_ACH!$2:$2,0)-MATCH($G$2,mission_ACH!$2:$2,0)+1),MATCH(K$2,mission_ACH!$2:$2,0)-MATCH($G$2,mission_ACH!$2:$2,0)+1,FALSE),"")</f>
        <v/>
      </c>
      <c r="L13" s="31">
        <f ca="1">VLOOKUP($G13,OFFSET(mission_ACH!$A$2,0,0,COUNTA($A:$A),MATCH(L$2,mission_ACH!$2:$2,0)-MATCH($G$2,mission_ACH!$2:$2,0)+1),MATCH(L$2,mission_ACH!$2:$2,0)-MATCH($G$2,mission_ACH!$2:$2,0)+1,FALSE)</f>
        <v>0</v>
      </c>
      <c r="M13" s="27">
        <v>90</v>
      </c>
      <c r="N13" s="87" t="s">
        <v>1132</v>
      </c>
      <c r="O13" s="87" t="s">
        <v>1060</v>
      </c>
    </row>
    <row r="14" spans="1:16" s="1" customFormat="1" ht="21" customHeight="1" x14ac:dyDescent="0.15">
      <c r="A14" s="27">
        <v>1061</v>
      </c>
      <c r="B14" s="26" t="str">
        <f t="shared" ca="1" si="5"/>
        <v>デュラララ!!×2 コラボをLINEで友だちに教えてあげよう！</v>
      </c>
      <c r="C14" s="27" t="s">
        <v>1056</v>
      </c>
      <c r="D14" s="31" t="str">
        <f ca="1">VLOOKUP($C14,OFFSET(mission_unlock_criteria!$A$2,0,0,COUNTA(mission_unlock_criteria!$A:$A),MATCH(D$2,mission_unlock_criteria!$2:$2,0)-MATCH($C$2,mission_unlock_criteria!$2:$2,0)+1),MATCH(D$2,mission_unlock_criteria!$2:$2,0)-MATCH($C$2,mission_unlock_criteria!$2:$2,0)+1,FALSE)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14" s="2" t="s">
        <v>1058</v>
      </c>
      <c r="F14" s="31" t="str">
        <f ca="1">VLOOKUP($E14,OFFSET(mission_ACH_criteria!$A$1,0,0,COUNTA(mission_ACH_criteria!$A:$A),MATCH(F$2,mission_ACH_criteria!$1:$1,0)-MATCH($E$2,mission_ACH_criteria!$1:$1,0)+1),MATCH(F$2,mission_ACH_criteria!$1:$1,0)-MATCH($E$2,mission_ACH_criteria!$1:$1,0)+1,FALSE)</f>
        <v>デュラララ!!×2 コラボをLINEで友だちに教えてあげよう！</v>
      </c>
      <c r="G14" s="27" t="s">
        <v>1059</v>
      </c>
      <c r="H14" s="31" t="str">
        <f t="shared" ca="1" si="4"/>
        <v>ポリゴン x 1</v>
      </c>
      <c r="I14" s="31" t="str">
        <f ca="1">VLOOKUP($G14,OFFSET(mission_ACH!$A$2,0,0,COUNTA($A:$A),MATCH(I$2,mission_ACH!$2:$2,0)-MATCH($G$2,mission_ACH!$2:$2,0)+1),MATCH(I$2,mission_ACH!$2:$2,0)-MATCH($G$2,mission_ACH!$2:$2,0)+1,FALSE)</f>
        <v>polygon</v>
      </c>
      <c r="J14" s="31">
        <f ca="1">VLOOKUP($G14,OFFSET(mission_ACH!$A$2,0,0,COUNTA($A:$A),MATCH(J$2,mission_ACH!$2:$2,0)-MATCH($G$2,mission_ACH!$2:$2,0)+1),MATCH(J$2,mission_ACH!$2:$2,0)-MATCH($G$2,mission_ACH!$2:$2,0)+1,FALSE)</f>
        <v>1</v>
      </c>
      <c r="K14" s="31" t="str">
        <f ca="1">IF(I14="unit",VLOOKUP($G14,OFFSET(mission_ACH!$A$2,0,0,COUNTA($A:$A),MATCH(K$2,mission_ACH!$2:$2,0)-MATCH($G$2,mission_ACH!$2:$2,0)+1),MATCH(K$2,mission_ACH!$2:$2,0)-MATCH($G$2,mission_ACH!$2:$2,0)+1,FALSE),"")</f>
        <v/>
      </c>
      <c r="L14" s="31">
        <f ca="1">VLOOKUP($G14,OFFSET(mission_ACH!$A$2,0,0,COUNTA($A:$A),MATCH(L$2,mission_ACH!$2:$2,0)-MATCH($G$2,mission_ACH!$2:$2,0)+1),MATCH(L$2,mission_ACH!$2:$2,0)-MATCH($G$2,mission_ACH!$2:$2,0)+1,FALSE)</f>
        <v>0</v>
      </c>
      <c r="M14" s="27">
        <v>90</v>
      </c>
      <c r="N14" s="87" t="s">
        <v>1133</v>
      </c>
      <c r="O14" s="87" t="s">
        <v>1060</v>
      </c>
    </row>
    <row r="15" spans="1:16" s="1" customFormat="1" ht="21" customHeight="1" x14ac:dyDescent="0.15">
      <c r="A15" s="27">
        <v>1062</v>
      </c>
      <c r="B15" s="26" t="str">
        <f t="shared" ca="1" si="5"/>
        <v>攻略情報をチェックしよう！</v>
      </c>
      <c r="C15" s="27" t="s">
        <v>1056</v>
      </c>
      <c r="D15" s="31" t="str">
        <f ca="1">VLOOKUP($C15,OFFSET(mission_unlock_criteria!$A$2,0,0,COUNTA(mission_unlock_criteria!$A:$A),MATCH(D$2,mission_unlock_criteria!$2:$2,0)-MATCH($C$2,mission_unlock_criteria!$2:$2,0)+1),MATCH(D$2,mission_unlock_criteria!$2:$2,0)-MATCH($C$2,mission_unlock_criteria!$2:$2,0)+1,FALSE)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15" s="2" t="s">
        <v>1284</v>
      </c>
      <c r="F15" s="31" t="str">
        <f ca="1">VLOOKUP($E15,OFFSET(mission_ACH_criteria!$A$1,0,0,COUNTA(mission_ACH_criteria!$A:$A),MATCH(F$2,mission_ACH_criteria!$1:$1,0)-MATCH($E$2,mission_ACH_criteria!$1:$1,0)+1),MATCH(F$2,mission_ACH_criteria!$1:$1,0)-MATCH($E$2,mission_ACH_criteria!$1:$1,0)+1,FALSE)</f>
        <v>攻略情報をチェックしよう！</v>
      </c>
      <c r="G15" s="27" t="s">
        <v>1059</v>
      </c>
      <c r="H15" s="31" t="str">
        <f t="shared" ca="1" si="4"/>
        <v>ポリゴン x 1</v>
      </c>
      <c r="I15" s="31" t="str">
        <f ca="1">VLOOKUP($G15,OFFSET(mission_ACH!$A$2,0,0,COUNTA($A:$A),MATCH(I$2,mission_ACH!$2:$2,0)-MATCH($G$2,mission_ACH!$2:$2,0)+1),MATCH(I$2,mission_ACH!$2:$2,0)-MATCH($G$2,mission_ACH!$2:$2,0)+1,FALSE)</f>
        <v>polygon</v>
      </c>
      <c r="J15" s="31">
        <f ca="1">VLOOKUP($G15,OFFSET(mission_ACH!$A$2,0,0,COUNTA($A:$A),MATCH(J$2,mission_ACH!$2:$2,0)-MATCH($G$2,mission_ACH!$2:$2,0)+1),MATCH(J$2,mission_ACH!$2:$2,0)-MATCH($G$2,mission_ACH!$2:$2,0)+1,FALSE)</f>
        <v>1</v>
      </c>
      <c r="K15" s="31" t="str">
        <f ca="1">IF(I15="unit",VLOOKUP($G15,OFFSET(mission_ACH!$A$2,0,0,COUNTA($A:$A),MATCH(K$2,mission_ACH!$2:$2,0)-MATCH($G$2,mission_ACH!$2:$2,0)+1),MATCH(K$2,mission_ACH!$2:$2,0)-MATCH($G$2,mission_ACH!$2:$2,0)+1,FALSE),"")</f>
        <v/>
      </c>
      <c r="L15" s="31">
        <f ca="1">VLOOKUP($G15,OFFSET(mission_ACH!$A$2,0,0,COUNTA($A:$A),MATCH(L$2,mission_ACH!$2:$2,0)-MATCH($G$2,mission_ACH!$2:$2,0)+1),MATCH(L$2,mission_ACH!$2:$2,0)-MATCH($G$2,mission_ACH!$2:$2,0)+1,FALSE)</f>
        <v>0</v>
      </c>
      <c r="M15" s="27">
        <v>5</v>
      </c>
      <c r="N15" s="87" t="s">
        <v>1316</v>
      </c>
      <c r="O15" s="87" t="s">
        <v>1273</v>
      </c>
    </row>
    <row r="16" spans="1:16" s="1" customFormat="1" ht="21" customHeight="1" x14ac:dyDescent="0.15">
      <c r="A16" s="27">
        <v>1063</v>
      </c>
      <c r="B16" s="26" t="str">
        <f t="shared" ca="1" si="5"/>
        <v>TVCMキャンペーンをTwitterでツイートしよう！</v>
      </c>
      <c r="C16" s="27" t="s">
        <v>331</v>
      </c>
      <c r="D16" s="31" t="str">
        <f ca="1">VLOOKUP($C16,OFFSET(mission_unlock_criteria!$A$2,0,0,COUNTA(mission_unlock_criteria!$A:$A),MATCH(D$2,mission_unlock_criteria!$2:$2,0)-MATCH($C$2,mission_unlock_criteria!$2:$2,0)+1),MATCH(D$2,mission_unlock_criteria!$2:$2,0)-MATCH($C$2,mission_unlock_criteria!$2:$2,0)+1,FALSE)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16" s="2" t="s">
        <v>1293</v>
      </c>
      <c r="F16" s="31" t="str">
        <f ca="1">VLOOKUP($E16,OFFSET(mission_ACH_criteria!$A$1,0,0,COUNTA(mission_ACH_criteria!$A:$A),MATCH(F$2,mission_ACH_criteria!$1:$1,0)-MATCH($E$2,mission_ACH_criteria!$1:$1,0)+1),MATCH(F$2,mission_ACH_criteria!$1:$1,0)-MATCH($E$2,mission_ACH_criteria!$1:$1,0)+1,FALSE)</f>
        <v>TVCMキャンペーンをTwitterでツイートしよう！</v>
      </c>
      <c r="G16" s="27" t="s">
        <v>1288</v>
      </c>
      <c r="H16" s="31" t="str">
        <f t="shared" ca="1" si="4"/>
        <v>ポリゴン x 1</v>
      </c>
      <c r="I16" s="31" t="str">
        <f ca="1">VLOOKUP($G16,OFFSET(mission_ACH!$A$2,0,0,COUNTA($A:$A),MATCH(I$2,mission_ACH!$2:$2,0)-MATCH($G$2,mission_ACH!$2:$2,0)+1),MATCH(I$2,mission_ACH!$2:$2,0)-MATCH($G$2,mission_ACH!$2:$2,0)+1,FALSE)</f>
        <v>polygon</v>
      </c>
      <c r="J16" s="31">
        <f ca="1">VLOOKUP($G16,OFFSET(mission_ACH!$A$2,0,0,COUNTA($A:$A),MATCH(J$2,mission_ACH!$2:$2,0)-MATCH($G$2,mission_ACH!$2:$2,0)+1),MATCH(J$2,mission_ACH!$2:$2,0)-MATCH($G$2,mission_ACH!$2:$2,0)+1,FALSE)</f>
        <v>1</v>
      </c>
      <c r="K16" s="31" t="str">
        <f ca="1">IF(I16="unit",VLOOKUP($G16,OFFSET(mission_ACH!$A$2,0,0,COUNTA($A:$A),MATCH(K$2,mission_ACH!$2:$2,0)-MATCH($G$2,mission_ACH!$2:$2,0)+1),MATCH(K$2,mission_ACH!$2:$2,0)-MATCH($G$2,mission_ACH!$2:$2,0)+1,FALSE),"")</f>
        <v/>
      </c>
      <c r="L16" s="31">
        <f ca="1">VLOOKUP($G16,OFFSET(mission_ACH!$A$2,0,0,COUNTA($A:$A),MATCH(L$2,mission_ACH!$2:$2,0)-MATCH($G$2,mission_ACH!$2:$2,0)+1),MATCH(L$2,mission_ACH!$2:$2,0)-MATCH($G$2,mission_ACH!$2:$2,0)+1,FALSE)</f>
        <v>0</v>
      </c>
      <c r="M16" s="27">
        <v>90</v>
      </c>
      <c r="N16" s="87" t="s">
        <v>1289</v>
      </c>
      <c r="O16" s="87" t="s">
        <v>1290</v>
      </c>
    </row>
    <row r="17" spans="1:15" s="1" customFormat="1" ht="21" customHeight="1" x14ac:dyDescent="0.15">
      <c r="A17" s="27">
        <v>1064</v>
      </c>
      <c r="B17" s="26" t="str">
        <f t="shared" ca="1" si="5"/>
        <v>TVCMキャンペーンをLINEで友達に教えよう！</v>
      </c>
      <c r="C17" s="27" t="s">
        <v>331</v>
      </c>
      <c r="D17" s="31" t="str">
        <f ca="1">VLOOKUP($C17,OFFSET(mission_unlock_criteria!$A$2,0,0,COUNTA(mission_unlock_criteria!$A:$A),MATCH(D$2,mission_unlock_criteria!$2:$2,0)-MATCH($C$2,mission_unlock_criteria!$2:$2,0)+1),MATCH(D$2,mission_unlock_criteria!$2:$2,0)-MATCH($C$2,mission_unlock_criteria!$2:$2,0)+1,FALSE)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17" s="2" t="s">
        <v>1296</v>
      </c>
      <c r="F17" s="31" t="str">
        <f ca="1">VLOOKUP($E17,OFFSET(mission_ACH_criteria!$A$1,0,0,COUNTA(mission_ACH_criteria!$A:$A),MATCH(F$2,mission_ACH_criteria!$1:$1,0)-MATCH($E$2,mission_ACH_criteria!$1:$1,0)+1),MATCH(F$2,mission_ACH_criteria!$1:$1,0)-MATCH($E$2,mission_ACH_criteria!$1:$1,0)+1,FALSE)</f>
        <v>TVCMキャンペーンをLINEで友達に教えよう！</v>
      </c>
      <c r="G17" s="27" t="s">
        <v>1288</v>
      </c>
      <c r="H17" s="31" t="str">
        <f t="shared" ref="H17" ca="1" si="6">IF(I17="unit",K17&amp;" x "&amp;L17,IF(I17="polygon","ポリゴン x "&amp;J17,IF(I17="bit","ビット x "&amp;J17,IF(I17="link","リンク x "&amp;J17))))</f>
        <v>ポリゴン x 1</v>
      </c>
      <c r="I17" s="31" t="str">
        <f ca="1">VLOOKUP($G17,OFFSET(mission_ACH!$A$2,0,0,COUNTA($A:$A),MATCH(I$2,mission_ACH!$2:$2,0)-MATCH($G$2,mission_ACH!$2:$2,0)+1),MATCH(I$2,mission_ACH!$2:$2,0)-MATCH($G$2,mission_ACH!$2:$2,0)+1,FALSE)</f>
        <v>polygon</v>
      </c>
      <c r="J17" s="31">
        <f ca="1">VLOOKUP($G17,OFFSET(mission_ACH!$A$2,0,0,COUNTA($A:$A),MATCH(J$2,mission_ACH!$2:$2,0)-MATCH($G$2,mission_ACH!$2:$2,0)+1),MATCH(J$2,mission_ACH!$2:$2,0)-MATCH($G$2,mission_ACH!$2:$2,0)+1,FALSE)</f>
        <v>1</v>
      </c>
      <c r="K17" s="31" t="str">
        <f ca="1">IF(I17="unit",VLOOKUP($G17,OFFSET(mission_ACH!$A$2,0,0,COUNTA($A:$A),MATCH(K$2,mission_ACH!$2:$2,0)-MATCH($G$2,mission_ACH!$2:$2,0)+1),MATCH(K$2,mission_ACH!$2:$2,0)-MATCH($G$2,mission_ACH!$2:$2,0)+1,FALSE),"")</f>
        <v/>
      </c>
      <c r="L17" s="31">
        <f ca="1">VLOOKUP($G17,OFFSET(mission_ACH!$A$2,0,0,COUNTA($A:$A),MATCH(L$2,mission_ACH!$2:$2,0)-MATCH($G$2,mission_ACH!$2:$2,0)+1),MATCH(L$2,mission_ACH!$2:$2,0)-MATCH($G$2,mission_ACH!$2:$2,0)+1,FALSE)</f>
        <v>0</v>
      </c>
      <c r="M17" s="27">
        <v>90</v>
      </c>
      <c r="N17" s="87" t="s">
        <v>1289</v>
      </c>
      <c r="O17" s="87" t="s">
        <v>1290</v>
      </c>
    </row>
    <row r="18" spans="1:15" ht="21" customHeight="1" x14ac:dyDescent="0.15">
      <c r="A18" s="27">
        <f>A17+1</f>
        <v>1065</v>
      </c>
      <c r="B18" s="26" t="str">
        <f t="shared" ref="B18:B32" ca="1" si="7">F18</f>
        <v>クエスト 【超ウザード級】ウザリーマン襲来 をクリアしよう！</v>
      </c>
      <c r="C18" s="27" t="s">
        <v>893</v>
      </c>
      <c r="D18" s="31" t="str">
        <f ca="1">VLOOKUP($C18,OFFSET(mission_unlock_criteria!$A$2,0,0,COUNTA(mission_unlock_criteria!$A:$A),MATCH(D$2,mission_unlock_criteria!$2:$2,0)-MATCH($C$2,mission_unlock_criteria!$2:$2,0)+1),MATCH(D$2,mission_unlock_criteria!$2:$2,0)-MATCH($C$2,mission_unlock_criteria!$2:$2,0)+1,FALSE)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18" s="2" t="s">
        <v>1299</v>
      </c>
      <c r="F18" s="31" t="str">
        <f ca="1">VLOOKUP($E18,OFFSET(mission_ACH_criteria!$A$1,0,0,COUNTA(mission_ACH_criteria!$A:$A),MATCH(F$2,mission_ACH_criteria!$1:$1,0)-MATCH($E$2,mission_ACH_criteria!$1:$1,0)+1),MATCH(F$2,mission_ACH_criteria!$1:$1,0)-MATCH($E$2,mission_ACH_criteria!$1:$1,0)+1,FALSE)</f>
        <v>クエスト 【超ウザード級】ウザリーマン襲来 をクリアしよう！</v>
      </c>
      <c r="G18" s="27" t="s">
        <v>1297</v>
      </c>
      <c r="H18" s="31" t="str">
        <f t="shared" ref="H18:H22" ca="1" si="8">IF(I18="unit",K18&amp;" x "&amp;L18,IF(I18="polygon","ポリゴン x "&amp;J18,IF(I18="bit","ビット x "&amp;J18,IF(I18="link","リンク x "&amp;J18))))</f>
        <v>イグニス x 1</v>
      </c>
      <c r="I18" s="31" t="str">
        <f ca="1">VLOOKUP($G18,OFFSET(mission_ACH!$A$2,0,0,COUNTA($A:$A),MATCH(I$2,mission_ACH!$2:$2,0)-MATCH($G$2,mission_ACH!$2:$2,0)+1),MATCH(I$2,mission_ACH!$2:$2,0)-MATCH($G$2,mission_ACH!$2:$2,0)+1,FALSE)</f>
        <v>unit</v>
      </c>
      <c r="J18" s="31">
        <f ca="1">VLOOKUP($G18,OFFSET(mission_ACH!$A$2,0,0,COUNTA($A:$A),MATCH(J$2,mission_ACH!$2:$2,0)-MATCH($G$2,mission_ACH!$2:$2,0)+1),MATCH(J$2,mission_ACH!$2:$2,0)-MATCH($G$2,mission_ACH!$2:$2,0)+1,FALSE)</f>
        <v>878</v>
      </c>
      <c r="K18" s="31" t="str">
        <f ca="1">IF(I18="unit",VLOOKUP($G18,OFFSET(mission_ACH!$A$2,0,0,COUNTA($A:$A),MATCH(K$2,mission_ACH!$2:$2,0)-MATCH($G$2,mission_ACH!$2:$2,0)+1),MATCH(K$2,mission_ACH!$2:$2,0)-MATCH($G$2,mission_ACH!$2:$2,0)+1,FALSE),"")</f>
        <v>イグニス</v>
      </c>
      <c r="L18" s="31">
        <f ca="1">VLOOKUP($G18,OFFSET(mission_ACH!$A$2,0,0,COUNTA($A:$A),MATCH(L$2,mission_ACH!$2:$2,0)-MATCH($G$2,mission_ACH!$2:$2,0)+1),MATCH(L$2,mission_ACH!$2:$2,0)-MATCH($G$2,mission_ACH!$2:$2,0)+1,FALSE)</f>
        <v>1</v>
      </c>
      <c r="M18" s="27">
        <v>90</v>
      </c>
      <c r="N18" s="87" t="s">
        <v>1289</v>
      </c>
      <c r="O18" s="87" t="s">
        <v>1290</v>
      </c>
    </row>
    <row r="19" spans="1:15" ht="21" customHeight="1" x14ac:dyDescent="0.15">
      <c r="A19" s="27">
        <f t="shared" ref="A19:A22" si="9">A18+1</f>
        <v>1066</v>
      </c>
      <c r="B19" s="26" t="str">
        <f t="shared" ca="1" si="7"/>
        <v>TVCM「既読スルー」篇を観よう！</v>
      </c>
      <c r="C19" s="27" t="s">
        <v>893</v>
      </c>
      <c r="D19" s="31" t="str">
        <f ca="1">VLOOKUP($C19,OFFSET(mission_unlock_criteria!$A$2,0,0,COUNTA(mission_unlock_criteria!$A:$A),MATCH(D$2,mission_unlock_criteria!$2:$2,0)-MATCH($C$2,mission_unlock_criteria!$2:$2,0)+1),MATCH(D$2,mission_unlock_criteria!$2:$2,0)-MATCH($C$2,mission_unlock_criteria!$2:$2,0)+1,FALSE)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19" s="2" t="s">
        <v>1300</v>
      </c>
      <c r="F19" s="31" t="str">
        <f ca="1">VLOOKUP($E19,OFFSET(mission_ACH_criteria!$A$1,0,0,COUNTA(mission_ACH_criteria!$A:$A),MATCH(F$2,mission_ACH_criteria!$1:$1,0)-MATCH($E$2,mission_ACH_criteria!$1:$1,0)+1),MATCH(F$2,mission_ACH_criteria!$1:$1,0)-MATCH($E$2,mission_ACH_criteria!$1:$1,0)+1,FALSE)</f>
        <v>TVCM「既読スルー」篇を観よう！</v>
      </c>
      <c r="G19" s="27" t="s">
        <v>1297</v>
      </c>
      <c r="H19" s="31" t="str">
        <f t="shared" ca="1" si="8"/>
        <v>イグニス x 1</v>
      </c>
      <c r="I19" s="31" t="str">
        <f ca="1">VLOOKUP($G19,OFFSET(mission_ACH!$A$2,0,0,COUNTA($A:$A),MATCH(I$2,mission_ACH!$2:$2,0)-MATCH($G$2,mission_ACH!$2:$2,0)+1),MATCH(I$2,mission_ACH!$2:$2,0)-MATCH($G$2,mission_ACH!$2:$2,0)+1,FALSE)</f>
        <v>unit</v>
      </c>
      <c r="J19" s="31">
        <f ca="1">VLOOKUP($G19,OFFSET(mission_ACH!$A$2,0,0,COUNTA($A:$A),MATCH(J$2,mission_ACH!$2:$2,0)-MATCH($G$2,mission_ACH!$2:$2,0)+1),MATCH(J$2,mission_ACH!$2:$2,0)-MATCH($G$2,mission_ACH!$2:$2,0)+1,FALSE)</f>
        <v>878</v>
      </c>
      <c r="K19" s="31" t="str">
        <f ca="1">IF(I19="unit",VLOOKUP($G19,OFFSET(mission_ACH!$A$2,0,0,COUNTA($A:$A),MATCH(K$2,mission_ACH!$2:$2,0)-MATCH($G$2,mission_ACH!$2:$2,0)+1),MATCH(K$2,mission_ACH!$2:$2,0)-MATCH($G$2,mission_ACH!$2:$2,0)+1,FALSE),"")</f>
        <v>イグニス</v>
      </c>
      <c r="L19" s="31">
        <f ca="1">VLOOKUP($G19,OFFSET(mission_ACH!$A$2,0,0,COUNTA($A:$A),MATCH(L$2,mission_ACH!$2:$2,0)-MATCH($G$2,mission_ACH!$2:$2,0)+1),MATCH(L$2,mission_ACH!$2:$2,0)-MATCH($G$2,mission_ACH!$2:$2,0)+1,FALSE)</f>
        <v>1</v>
      </c>
      <c r="M19" s="27">
        <v>90</v>
      </c>
      <c r="N19" s="87" t="s">
        <v>1289</v>
      </c>
      <c r="O19" s="87" t="s">
        <v>1290</v>
      </c>
    </row>
    <row r="20" spans="1:15" ht="21" customHeight="1" x14ac:dyDescent="0.15">
      <c r="A20" s="27">
        <f t="shared" si="9"/>
        <v>1067</v>
      </c>
      <c r="B20" s="26" t="str">
        <f t="shared" ca="1" si="7"/>
        <v>TVCM「ニャンニャン」篇を観よう！</v>
      </c>
      <c r="C20" s="27" t="s">
        <v>893</v>
      </c>
      <c r="D20" s="31" t="str">
        <f ca="1">VLOOKUP($C20,OFFSET(mission_unlock_criteria!$A$2,0,0,COUNTA(mission_unlock_criteria!$A:$A),MATCH(D$2,mission_unlock_criteria!$2:$2,0)-MATCH($C$2,mission_unlock_criteria!$2:$2,0)+1),MATCH(D$2,mission_unlock_criteria!$2:$2,0)-MATCH($C$2,mission_unlock_criteria!$2:$2,0)+1,FALSE)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0" s="2" t="s">
        <v>1301</v>
      </c>
      <c r="F20" s="31" t="str">
        <f ca="1">VLOOKUP($E20,OFFSET(mission_ACH_criteria!$A$1,0,0,COUNTA(mission_ACH_criteria!$A:$A),MATCH(F$2,mission_ACH_criteria!$1:$1,0)-MATCH($E$2,mission_ACH_criteria!$1:$1,0)+1),MATCH(F$2,mission_ACH_criteria!$1:$1,0)-MATCH($E$2,mission_ACH_criteria!$1:$1,0)+1,FALSE)</f>
        <v>TVCM「ニャンニャン」篇を観よう！</v>
      </c>
      <c r="G20" s="27" t="s">
        <v>1297</v>
      </c>
      <c r="H20" s="31" t="str">
        <f t="shared" ca="1" si="8"/>
        <v>イグニス x 1</v>
      </c>
      <c r="I20" s="31" t="str">
        <f ca="1">VLOOKUP($G20,OFFSET(mission_ACH!$A$2,0,0,COUNTA($A:$A),MATCH(I$2,mission_ACH!$2:$2,0)-MATCH($G$2,mission_ACH!$2:$2,0)+1),MATCH(I$2,mission_ACH!$2:$2,0)-MATCH($G$2,mission_ACH!$2:$2,0)+1,FALSE)</f>
        <v>unit</v>
      </c>
      <c r="J20" s="31">
        <f ca="1">VLOOKUP($G20,OFFSET(mission_ACH!$A$2,0,0,COUNTA($A:$A),MATCH(J$2,mission_ACH!$2:$2,0)-MATCH($G$2,mission_ACH!$2:$2,0)+1),MATCH(J$2,mission_ACH!$2:$2,0)-MATCH($G$2,mission_ACH!$2:$2,0)+1,FALSE)</f>
        <v>878</v>
      </c>
      <c r="K20" s="31" t="str">
        <f ca="1">IF(I20="unit",VLOOKUP($G20,OFFSET(mission_ACH!$A$2,0,0,COUNTA($A:$A),MATCH(K$2,mission_ACH!$2:$2,0)-MATCH($G$2,mission_ACH!$2:$2,0)+1),MATCH(K$2,mission_ACH!$2:$2,0)-MATCH($G$2,mission_ACH!$2:$2,0)+1,FALSE),"")</f>
        <v>イグニス</v>
      </c>
      <c r="L20" s="31">
        <f ca="1">VLOOKUP($G20,OFFSET(mission_ACH!$A$2,0,0,COUNTA($A:$A),MATCH(L$2,mission_ACH!$2:$2,0)-MATCH($G$2,mission_ACH!$2:$2,0)+1),MATCH(L$2,mission_ACH!$2:$2,0)-MATCH($G$2,mission_ACH!$2:$2,0)+1,FALSE)</f>
        <v>1</v>
      </c>
      <c r="M20" s="27">
        <v>90</v>
      </c>
      <c r="N20" s="87" t="s">
        <v>1289</v>
      </c>
      <c r="O20" s="87" t="s">
        <v>1290</v>
      </c>
    </row>
    <row r="21" spans="1:15" ht="21" customHeight="1" x14ac:dyDescent="0.15">
      <c r="A21" s="27">
        <f t="shared" si="9"/>
        <v>1068</v>
      </c>
      <c r="B21" s="26" t="str">
        <f t="shared" ca="1" si="7"/>
        <v>TVCM「酔っ払Ride On！」篇を観よう！</v>
      </c>
      <c r="C21" s="27" t="s">
        <v>893</v>
      </c>
      <c r="D21" s="31" t="str">
        <f ca="1">VLOOKUP($C21,OFFSET(mission_unlock_criteria!$A$2,0,0,COUNTA(mission_unlock_criteria!$A:$A),MATCH(D$2,mission_unlock_criteria!$2:$2,0)-MATCH($C$2,mission_unlock_criteria!$2:$2,0)+1),MATCH(D$2,mission_unlock_criteria!$2:$2,0)-MATCH($C$2,mission_unlock_criteria!$2:$2,0)+1,FALSE)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1" s="2" t="s">
        <v>1302</v>
      </c>
      <c r="F21" s="31" t="str">
        <f ca="1">VLOOKUP($E21,OFFSET(mission_ACH_criteria!$A$1,0,0,COUNTA(mission_ACH_criteria!$A:$A),MATCH(F$2,mission_ACH_criteria!$1:$1,0)-MATCH($E$2,mission_ACH_criteria!$1:$1,0)+1),MATCH(F$2,mission_ACH_criteria!$1:$1,0)-MATCH($E$2,mission_ACH_criteria!$1:$1,0)+1,FALSE)</f>
        <v>TVCM「酔っ払Ride On！」篇を観よう！</v>
      </c>
      <c r="G21" s="27" t="s">
        <v>1297</v>
      </c>
      <c r="H21" s="31" t="str">
        <f t="shared" ca="1" si="8"/>
        <v>イグニス x 1</v>
      </c>
      <c r="I21" s="31" t="str">
        <f ca="1">VLOOKUP($G21,OFFSET(mission_ACH!$A$2,0,0,COUNTA($A:$A),MATCH(I$2,mission_ACH!$2:$2,0)-MATCH($G$2,mission_ACH!$2:$2,0)+1),MATCH(I$2,mission_ACH!$2:$2,0)-MATCH($G$2,mission_ACH!$2:$2,0)+1,FALSE)</f>
        <v>unit</v>
      </c>
      <c r="J21" s="31">
        <f ca="1">VLOOKUP($G21,OFFSET(mission_ACH!$A$2,0,0,COUNTA($A:$A),MATCH(J$2,mission_ACH!$2:$2,0)-MATCH($G$2,mission_ACH!$2:$2,0)+1),MATCH(J$2,mission_ACH!$2:$2,0)-MATCH($G$2,mission_ACH!$2:$2,0)+1,FALSE)</f>
        <v>878</v>
      </c>
      <c r="K21" s="31" t="str">
        <f ca="1">IF(I21="unit",VLOOKUP($G21,OFFSET(mission_ACH!$A$2,0,0,COUNTA($A:$A),MATCH(K$2,mission_ACH!$2:$2,0)-MATCH($G$2,mission_ACH!$2:$2,0)+1),MATCH(K$2,mission_ACH!$2:$2,0)-MATCH($G$2,mission_ACH!$2:$2,0)+1,FALSE),"")</f>
        <v>イグニス</v>
      </c>
      <c r="L21" s="31">
        <f ca="1">VLOOKUP($G21,OFFSET(mission_ACH!$A$2,0,0,COUNTA($A:$A),MATCH(L$2,mission_ACH!$2:$2,0)-MATCH($G$2,mission_ACH!$2:$2,0)+1),MATCH(L$2,mission_ACH!$2:$2,0)-MATCH($G$2,mission_ACH!$2:$2,0)+1,FALSE)</f>
        <v>1</v>
      </c>
      <c r="M21" s="27">
        <v>90</v>
      </c>
      <c r="N21" s="87" t="s">
        <v>1289</v>
      </c>
      <c r="O21" s="87" t="s">
        <v>1290</v>
      </c>
    </row>
    <row r="22" spans="1:15" ht="21" customHeight="1" x14ac:dyDescent="0.15">
      <c r="A22" s="27">
        <f t="shared" si="9"/>
        <v>1069</v>
      </c>
      <c r="B22" s="26" t="str">
        <f t="shared" ca="1" si="7"/>
        <v>TVCM「オレまだ係長」篇を観よう！</v>
      </c>
      <c r="C22" s="27" t="s">
        <v>893</v>
      </c>
      <c r="D22" s="31" t="str">
        <f ca="1">VLOOKUP($C22,OFFSET(mission_unlock_criteria!$A$2,0,0,COUNTA(mission_unlock_criteria!$A:$A),MATCH(D$2,mission_unlock_criteria!$2:$2,0)-MATCH($C$2,mission_unlock_criteria!$2:$2,0)+1),MATCH(D$2,mission_unlock_criteria!$2:$2,0)-MATCH($C$2,mission_unlock_criteria!$2:$2,0)+1,FALSE)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2" s="2" t="s">
        <v>1303</v>
      </c>
      <c r="F22" s="31" t="str">
        <f ca="1">VLOOKUP($E22,OFFSET(mission_ACH_criteria!$A$1,0,0,COUNTA(mission_ACH_criteria!$A:$A),MATCH(F$2,mission_ACH_criteria!$1:$1,0)-MATCH($E$2,mission_ACH_criteria!$1:$1,0)+1),MATCH(F$2,mission_ACH_criteria!$1:$1,0)-MATCH($E$2,mission_ACH_criteria!$1:$1,0)+1,FALSE)</f>
        <v>TVCM「オレまだ係長」篇を観よう！</v>
      </c>
      <c r="G22" s="27" t="s">
        <v>1297</v>
      </c>
      <c r="H22" s="31" t="str">
        <f t="shared" ca="1" si="8"/>
        <v>イグニス x 1</v>
      </c>
      <c r="I22" s="31" t="str">
        <f ca="1">VLOOKUP($G22,OFFSET(mission_ACH!$A$2,0,0,COUNTA($A:$A),MATCH(I$2,mission_ACH!$2:$2,0)-MATCH($G$2,mission_ACH!$2:$2,0)+1),MATCH(I$2,mission_ACH!$2:$2,0)-MATCH($G$2,mission_ACH!$2:$2,0)+1,FALSE)</f>
        <v>unit</v>
      </c>
      <c r="J22" s="31">
        <f ca="1">VLOOKUP($G22,OFFSET(mission_ACH!$A$2,0,0,COUNTA($A:$A),MATCH(J$2,mission_ACH!$2:$2,0)-MATCH($G$2,mission_ACH!$2:$2,0)+1),MATCH(J$2,mission_ACH!$2:$2,0)-MATCH($G$2,mission_ACH!$2:$2,0)+1,FALSE)</f>
        <v>878</v>
      </c>
      <c r="K22" s="31" t="str">
        <f ca="1">IF(I22="unit",VLOOKUP($G22,OFFSET(mission_ACH!$A$2,0,0,COUNTA($A:$A),MATCH(K$2,mission_ACH!$2:$2,0)-MATCH($G$2,mission_ACH!$2:$2,0)+1),MATCH(K$2,mission_ACH!$2:$2,0)-MATCH($G$2,mission_ACH!$2:$2,0)+1,FALSE),"")</f>
        <v>イグニス</v>
      </c>
      <c r="L22" s="31">
        <f ca="1">VLOOKUP($G22,OFFSET(mission_ACH!$A$2,0,0,COUNTA($A:$A),MATCH(L$2,mission_ACH!$2:$2,0)-MATCH($G$2,mission_ACH!$2:$2,0)+1),MATCH(L$2,mission_ACH!$2:$2,0)-MATCH($G$2,mission_ACH!$2:$2,0)+1,FALSE)</f>
        <v>1</v>
      </c>
      <c r="M22" s="27">
        <v>90</v>
      </c>
      <c r="N22" s="87" t="s">
        <v>1289</v>
      </c>
      <c r="O22" s="87" t="s">
        <v>1290</v>
      </c>
    </row>
    <row r="23" spans="1:15" ht="21" customHeight="1" x14ac:dyDescent="0.15">
      <c r="A23" s="27">
        <f>A22+1</f>
        <v>1070</v>
      </c>
      <c r="B23" s="26" t="str">
        <f t="shared" ca="1" si="7"/>
        <v>TVCMランクミッション（5/20まで）_x000D_プレイヤーランクを30まで上げよう！</v>
      </c>
      <c r="C23" s="27" t="s">
        <v>331</v>
      </c>
      <c r="D23" s="31" t="str">
        <f ca="1">VLOOKUP($C23,OFFSET(mission_unlock_criteria!$A$2,0,0,COUNTA(mission_unlock_criteria!$A:$A),MATCH(D$2,mission_unlock_criteria!$2:$2,0)-MATCH($C$2,mission_unlock_criteria!$2:$2,0)+1),MATCH(D$2,mission_unlock_criteria!$2:$2,0)-MATCH($C$2,mission_unlock_criteria!$2:$2,0)+1,FALSE)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3" s="2" t="s">
        <v>1318</v>
      </c>
      <c r="F23" s="31" t="str">
        <f ca="1">VLOOKUP($E23,OFFSET(mission_ACH_criteria!$A$1,0,0,COUNTA(mission_ACH_criteria!$A:$A),MATCH(F$2,mission_ACH_criteria!$1:$1,0)-MATCH($E$2,mission_ACH_criteria!$1:$1,0)+1),MATCH(F$2,mission_ACH_criteria!$1:$1,0)-MATCH($E$2,mission_ACH_criteria!$1:$1,0)+1,FALSE)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TVCMランクミッション（5/20まで）_x000D_プレイヤーランクを30まで上げよう！</v>
      </c>
      <c r="G23" s="27" t="s">
        <v>107</v>
      </c>
      <c r="H23" s="31" t="str">
        <f t="shared" ref="H23" ca="1" si="10">IF(I23="unit",K23&amp;" x "&amp;L23,IF(I23="polygon","ポリゴン x "&amp;J23,IF(I23="bit","ビット x "&amp;J23,IF(I23="link","リンク x "&amp;J23))))</f>
        <v>ポリゴン x 5</v>
      </c>
      <c r="I23" s="31" t="str">
        <f ca="1">VLOOKUP($G23,OFFSET(mission_ACH!$A$2,0,0,COUNTA($A:$A),MATCH(I$2,mission_ACH!$2:$2,0)-MATCH($G$2,mission_ACH!$2:$2,0)+1),MATCH(I$2,mission_ACH!$2:$2,0)-MATCH($G$2,mission_ACH!$2:$2,0)+1,FALSE)</f>
        <v>polygon</v>
      </c>
      <c r="J23" s="31">
        <f ca="1">VLOOKUP($G23,OFFSET(mission_ACH!$A$2,0,0,COUNTA($A:$A),MATCH(J$2,mission_ACH!$2:$2,0)-MATCH($G$2,mission_ACH!$2:$2,0)+1),MATCH(J$2,mission_ACH!$2:$2,0)-MATCH($G$2,mission_ACH!$2:$2,0)+1,FALSE)</f>
        <v>5</v>
      </c>
      <c r="K23" s="31" t="str">
        <f ca="1">IF(I23="unit",VLOOKUP($G23,OFFSET(mission_ACH!$A$2,0,0,COUNTA($A:$A),MATCH(K$2,mission_ACH!$2:$2,0)-MATCH($G$2,mission_ACH!$2:$2,0)+1),MATCH(K$2,mission_ACH!$2:$2,0)-MATCH($G$2,mission_ACH!$2:$2,0)+1,FALSE),"")</f>
        <v/>
      </c>
      <c r="L23" s="31">
        <f ca="1">VLOOKUP($G23,OFFSET(mission_ACH!$A$2,0,0,COUNTA($A:$A),MATCH(L$2,mission_ACH!$2:$2,0)-MATCH($G$2,mission_ACH!$2:$2,0)+1),MATCH(L$2,mission_ACH!$2:$2,0)-MATCH($G$2,mission_ACH!$2:$2,0)+1,FALSE)</f>
        <v>0</v>
      </c>
      <c r="M23" s="27">
        <v>90</v>
      </c>
      <c r="N23" s="87" t="s">
        <v>1289</v>
      </c>
      <c r="O23" s="87" t="s">
        <v>1317</v>
      </c>
    </row>
    <row r="24" spans="1:15" ht="21" customHeight="1" x14ac:dyDescent="0.15">
      <c r="A24" s="27">
        <f t="shared" ref="A24:A32" si="11">A23+1</f>
        <v>1071</v>
      </c>
      <c r="B24" s="26" t="str">
        <f t="shared" ca="1" si="7"/>
        <v>TVCMランクミッション（5/20まで）_x000D_プレイヤーランクを40まで上げよう！</v>
      </c>
      <c r="C24" s="27" t="s">
        <v>331</v>
      </c>
      <c r="D24" s="31" t="str">
        <f ca="1">VLOOKUP($C24,OFFSET(mission_unlock_criteria!$A$2,0,0,COUNTA(mission_unlock_criteria!$A:$A),MATCH(D$2,mission_unlock_criteria!$2:$2,0)-MATCH($C$2,mission_unlock_criteria!$2:$2,0)+1),MATCH(D$2,mission_unlock_criteria!$2:$2,0)-MATCH($C$2,mission_unlock_criteria!$2:$2,0)+1,FALSE)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4" s="2" t="s">
        <v>1319</v>
      </c>
      <c r="F24" s="31" t="str">
        <f ca="1">VLOOKUP($E24,OFFSET(mission_ACH_criteria!$A$1,0,0,COUNTA(mission_ACH_criteria!$A:$A),MATCH(F$2,mission_ACH_criteria!$1:$1,0)-MATCH($E$2,mission_ACH_criteria!$1:$1,0)+1),MATCH(F$2,mission_ACH_criteria!$1:$1,0)-MATCH($E$2,mission_ACH_criteria!$1:$1,0)+1,FALSE)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TVCMランクミッション（5/20まで）_x000D_プレイヤーランクを40まで上げよう！</v>
      </c>
      <c r="G24" s="27" t="s">
        <v>107</v>
      </c>
      <c r="H24" s="31" t="str">
        <f t="shared" ref="H24:H33" ca="1" si="12">IF(I24="unit",K24&amp;" x "&amp;L24,IF(I24="polygon","ポリゴン x "&amp;J24,IF(I24="bit","ビット x "&amp;J24,IF(I24="link","リンク x "&amp;J24))))</f>
        <v>ポリゴン x 5</v>
      </c>
      <c r="I24" s="31" t="str">
        <f ca="1">VLOOKUP($G24,OFFSET(mission_ACH!$A$2,0,0,COUNTA($A:$A),MATCH(I$2,mission_ACH!$2:$2,0)-MATCH($G$2,mission_ACH!$2:$2,0)+1),MATCH(I$2,mission_ACH!$2:$2,0)-MATCH($G$2,mission_ACH!$2:$2,0)+1,FALSE)</f>
        <v>polygon</v>
      </c>
      <c r="J24" s="31">
        <f ca="1">VLOOKUP($G24,OFFSET(mission_ACH!$A$2,0,0,COUNTA($A:$A),MATCH(J$2,mission_ACH!$2:$2,0)-MATCH($G$2,mission_ACH!$2:$2,0)+1),MATCH(J$2,mission_ACH!$2:$2,0)-MATCH($G$2,mission_ACH!$2:$2,0)+1,FALSE)</f>
        <v>5</v>
      </c>
      <c r="K24" s="31" t="str">
        <f ca="1">IF(I24="unit",VLOOKUP($G24,OFFSET(mission_ACH!$A$2,0,0,COUNTA($A:$A),MATCH(K$2,mission_ACH!$2:$2,0)-MATCH($G$2,mission_ACH!$2:$2,0)+1),MATCH(K$2,mission_ACH!$2:$2,0)-MATCH($G$2,mission_ACH!$2:$2,0)+1,FALSE),"")</f>
        <v/>
      </c>
      <c r="L24" s="31">
        <f ca="1">VLOOKUP($G24,OFFSET(mission_ACH!$A$2,0,0,COUNTA($A:$A),MATCH(L$2,mission_ACH!$2:$2,0)-MATCH($G$2,mission_ACH!$2:$2,0)+1),MATCH(L$2,mission_ACH!$2:$2,0)-MATCH($G$2,mission_ACH!$2:$2,0)+1,FALSE)</f>
        <v>0</v>
      </c>
      <c r="M24" s="27">
        <v>90</v>
      </c>
      <c r="N24" s="87" t="s">
        <v>1289</v>
      </c>
      <c r="O24" s="87" t="s">
        <v>1317</v>
      </c>
    </row>
    <row r="25" spans="1:15" ht="21" customHeight="1" x14ac:dyDescent="0.15">
      <c r="A25" s="27">
        <f t="shared" si="11"/>
        <v>1072</v>
      </c>
      <c r="B25" s="26" t="str">
        <f t="shared" ca="1" si="7"/>
        <v>TVCMランクミッション（5/20まで）_x000D_プレイヤーランクを50まで上げよう！</v>
      </c>
      <c r="C25" s="27" t="s">
        <v>331</v>
      </c>
      <c r="D25" s="31" t="str">
        <f ca="1">VLOOKUP($C25,OFFSET(mission_unlock_criteria!$A$2,0,0,COUNTA(mission_unlock_criteria!$A:$A),MATCH(D$2,mission_unlock_criteria!$2:$2,0)-MATCH($C$2,mission_unlock_criteria!$2:$2,0)+1),MATCH(D$2,mission_unlock_criteria!$2:$2,0)-MATCH($C$2,mission_unlock_criteria!$2:$2,0)+1,FALSE)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5" s="2" t="s">
        <v>1320</v>
      </c>
      <c r="F25" s="31" t="str">
        <f ca="1">VLOOKUP($E25,OFFSET(mission_ACH_criteria!$A$1,0,0,COUNTA(mission_ACH_criteria!$A:$A),MATCH(F$2,mission_ACH_criteria!$1:$1,0)-MATCH($E$2,mission_ACH_criteria!$1:$1,0)+1),MATCH(F$2,mission_ACH_criteria!$1:$1,0)-MATCH($E$2,mission_ACH_criteria!$1:$1,0)+1,FALSE)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TVCMランクミッション（5/20まで）_x000D_プレイヤーランクを50まで上げよう！</v>
      </c>
      <c r="G25" s="27" t="s">
        <v>107</v>
      </c>
      <c r="H25" s="31" t="str">
        <f t="shared" ca="1" si="12"/>
        <v>ポリゴン x 5</v>
      </c>
      <c r="I25" s="31" t="str">
        <f ca="1">VLOOKUP($G25,OFFSET(mission_ACH!$A$2,0,0,COUNTA($A:$A),MATCH(I$2,mission_ACH!$2:$2,0)-MATCH($G$2,mission_ACH!$2:$2,0)+1),MATCH(I$2,mission_ACH!$2:$2,0)-MATCH($G$2,mission_ACH!$2:$2,0)+1,FALSE)</f>
        <v>polygon</v>
      </c>
      <c r="J25" s="31">
        <f ca="1">VLOOKUP($G25,OFFSET(mission_ACH!$A$2,0,0,COUNTA($A:$A),MATCH(J$2,mission_ACH!$2:$2,0)-MATCH($G$2,mission_ACH!$2:$2,0)+1),MATCH(J$2,mission_ACH!$2:$2,0)-MATCH($G$2,mission_ACH!$2:$2,0)+1,FALSE)</f>
        <v>5</v>
      </c>
      <c r="K25" s="31" t="str">
        <f ca="1">IF(I25="unit",VLOOKUP($G25,OFFSET(mission_ACH!$A$2,0,0,COUNTA($A:$A),MATCH(K$2,mission_ACH!$2:$2,0)-MATCH($G$2,mission_ACH!$2:$2,0)+1),MATCH(K$2,mission_ACH!$2:$2,0)-MATCH($G$2,mission_ACH!$2:$2,0)+1,FALSE),"")</f>
        <v/>
      </c>
      <c r="L25" s="31">
        <f ca="1">VLOOKUP($G25,OFFSET(mission_ACH!$A$2,0,0,COUNTA($A:$A),MATCH(L$2,mission_ACH!$2:$2,0)-MATCH($G$2,mission_ACH!$2:$2,0)+1),MATCH(L$2,mission_ACH!$2:$2,0)-MATCH($G$2,mission_ACH!$2:$2,0)+1,FALSE)</f>
        <v>0</v>
      </c>
      <c r="M25" s="27">
        <v>90</v>
      </c>
      <c r="N25" s="87" t="s">
        <v>1289</v>
      </c>
      <c r="O25" s="87" t="s">
        <v>1317</v>
      </c>
    </row>
    <row r="26" spans="1:15" ht="21" customHeight="1" x14ac:dyDescent="0.15">
      <c r="A26" s="27">
        <f t="shared" si="11"/>
        <v>1073</v>
      </c>
      <c r="B26" s="26" t="str">
        <f t="shared" ca="1" si="7"/>
        <v>TVCMランクミッション（5/20まで）_x000D_プレイヤーランクを75まで上げよう！</v>
      </c>
      <c r="C26" s="27" t="s">
        <v>331</v>
      </c>
      <c r="D26" s="31" t="str">
        <f ca="1">VLOOKUP($C26,OFFSET(mission_unlock_criteria!$A$2,0,0,COUNTA(mission_unlock_criteria!$A:$A),MATCH(D$2,mission_unlock_criteria!$2:$2,0)-MATCH($C$2,mission_unlock_criteria!$2:$2,0)+1),MATCH(D$2,mission_unlock_criteria!$2:$2,0)-MATCH($C$2,mission_unlock_criteria!$2:$2,0)+1,FALSE)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6" s="2" t="s">
        <v>1321</v>
      </c>
      <c r="F26" s="31" t="str">
        <f ca="1">VLOOKUP($E26,OFFSET(mission_ACH_criteria!$A$1,0,0,COUNTA(mission_ACH_criteria!$A:$A),MATCH(F$2,mission_ACH_criteria!$1:$1,0)-MATCH($E$2,mission_ACH_criteria!$1:$1,0)+1),MATCH(F$2,mission_ACH_criteria!$1:$1,0)-MATCH($E$2,mission_ACH_criteria!$1:$1,0)+1,FALSE)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TVCMランクミッション（5/20まで）_x000D_プレイヤーランクを75まで上げよう！</v>
      </c>
      <c r="G26" s="27" t="s">
        <v>107</v>
      </c>
      <c r="H26" s="31" t="str">
        <f t="shared" ca="1" si="12"/>
        <v>ポリゴン x 5</v>
      </c>
      <c r="I26" s="31" t="str">
        <f ca="1">VLOOKUP($G26,OFFSET(mission_ACH!$A$2,0,0,COUNTA($A:$A),MATCH(I$2,mission_ACH!$2:$2,0)-MATCH($G$2,mission_ACH!$2:$2,0)+1),MATCH(I$2,mission_ACH!$2:$2,0)-MATCH($G$2,mission_ACH!$2:$2,0)+1,FALSE)</f>
        <v>polygon</v>
      </c>
      <c r="J26" s="31">
        <f ca="1">VLOOKUP($G26,OFFSET(mission_ACH!$A$2,0,0,COUNTA($A:$A),MATCH(J$2,mission_ACH!$2:$2,0)-MATCH($G$2,mission_ACH!$2:$2,0)+1),MATCH(J$2,mission_ACH!$2:$2,0)-MATCH($G$2,mission_ACH!$2:$2,0)+1,FALSE)</f>
        <v>5</v>
      </c>
      <c r="K26" s="31" t="str">
        <f ca="1">IF(I26="unit",VLOOKUP($G26,OFFSET(mission_ACH!$A$2,0,0,COUNTA($A:$A),MATCH(K$2,mission_ACH!$2:$2,0)-MATCH($G$2,mission_ACH!$2:$2,0)+1),MATCH(K$2,mission_ACH!$2:$2,0)-MATCH($G$2,mission_ACH!$2:$2,0)+1,FALSE),"")</f>
        <v/>
      </c>
      <c r="L26" s="31">
        <f ca="1">VLOOKUP($G26,OFFSET(mission_ACH!$A$2,0,0,COUNTA($A:$A),MATCH(L$2,mission_ACH!$2:$2,0)-MATCH($G$2,mission_ACH!$2:$2,0)+1),MATCH(L$2,mission_ACH!$2:$2,0)-MATCH($G$2,mission_ACH!$2:$2,0)+1,FALSE)</f>
        <v>0</v>
      </c>
      <c r="M26" s="27">
        <v>90</v>
      </c>
      <c r="N26" s="87" t="s">
        <v>1289</v>
      </c>
      <c r="O26" s="87" t="s">
        <v>1317</v>
      </c>
    </row>
    <row r="27" spans="1:15" ht="21" customHeight="1" x14ac:dyDescent="0.15">
      <c r="A27" s="27">
        <f t="shared" si="11"/>
        <v>1074</v>
      </c>
      <c r="B27" s="26" t="str">
        <f t="shared" ca="1" si="7"/>
        <v>TVCMランクミッション（5/20まで）_x000D_プレイヤーランクを100まで上げよう！</v>
      </c>
      <c r="C27" s="27" t="s">
        <v>331</v>
      </c>
      <c r="D27" s="31" t="str">
        <f ca="1">VLOOKUP($C27,OFFSET(mission_unlock_criteria!$A$2,0,0,COUNTA(mission_unlock_criteria!$A:$A),MATCH(D$2,mission_unlock_criteria!$2:$2,0)-MATCH($C$2,mission_unlock_criteria!$2:$2,0)+1),MATCH(D$2,mission_unlock_criteria!$2:$2,0)-MATCH($C$2,mission_unlock_criteria!$2:$2,0)+1,FALSE)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7" s="2" t="s">
        <v>1322</v>
      </c>
      <c r="F27" s="31" t="str">
        <f ca="1">VLOOKUP($E27,OFFSET(mission_ACH_criteria!$A$1,0,0,COUNTA(mission_ACH_criteria!$A:$A),MATCH(F$2,mission_ACH_criteria!$1:$1,0)-MATCH($E$2,mission_ACH_criteria!$1:$1,0)+1),MATCH(F$2,mission_ACH_criteria!$1:$1,0)-MATCH($E$2,mission_ACH_criteria!$1:$1,0)+1,FALSE)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TVCMランクミッション（5/20まで）_x000D_プレイヤーランクを100まで上げよう！</v>
      </c>
      <c r="G27" s="27" t="s">
        <v>107</v>
      </c>
      <c r="H27" s="31" t="str">
        <f t="shared" ca="1" si="12"/>
        <v>ポリゴン x 5</v>
      </c>
      <c r="I27" s="31" t="str">
        <f ca="1">VLOOKUP($G27,OFFSET(mission_ACH!$A$2,0,0,COUNTA($A:$A),MATCH(I$2,mission_ACH!$2:$2,0)-MATCH($G$2,mission_ACH!$2:$2,0)+1),MATCH(I$2,mission_ACH!$2:$2,0)-MATCH($G$2,mission_ACH!$2:$2,0)+1,FALSE)</f>
        <v>polygon</v>
      </c>
      <c r="J27" s="31">
        <f ca="1">VLOOKUP($G27,OFFSET(mission_ACH!$A$2,0,0,COUNTA($A:$A),MATCH(J$2,mission_ACH!$2:$2,0)-MATCH($G$2,mission_ACH!$2:$2,0)+1),MATCH(J$2,mission_ACH!$2:$2,0)-MATCH($G$2,mission_ACH!$2:$2,0)+1,FALSE)</f>
        <v>5</v>
      </c>
      <c r="K27" s="31" t="str">
        <f ca="1">IF(I27="unit",VLOOKUP($G27,OFFSET(mission_ACH!$A$2,0,0,COUNTA($A:$A),MATCH(K$2,mission_ACH!$2:$2,0)-MATCH($G$2,mission_ACH!$2:$2,0)+1),MATCH(K$2,mission_ACH!$2:$2,0)-MATCH($G$2,mission_ACH!$2:$2,0)+1,FALSE),"")</f>
        <v/>
      </c>
      <c r="L27" s="31">
        <f ca="1">VLOOKUP($G27,OFFSET(mission_ACH!$A$2,0,0,COUNTA($A:$A),MATCH(L$2,mission_ACH!$2:$2,0)-MATCH($G$2,mission_ACH!$2:$2,0)+1),MATCH(L$2,mission_ACH!$2:$2,0)-MATCH($G$2,mission_ACH!$2:$2,0)+1,FALSE)</f>
        <v>0</v>
      </c>
      <c r="M27" s="27">
        <v>90</v>
      </c>
      <c r="N27" s="87" t="s">
        <v>1289</v>
      </c>
      <c r="O27" s="87" t="s">
        <v>1317</v>
      </c>
    </row>
    <row r="28" spans="1:15" ht="21" customHeight="1" x14ac:dyDescent="0.15">
      <c r="A28" s="27">
        <f t="shared" si="11"/>
        <v>1075</v>
      </c>
      <c r="B28" s="26" t="str">
        <f t="shared" ca="1" si="7"/>
        <v>TVCMランクミッション（5/20まで）_x000D_プレイヤーランクを125まで上げよう！</v>
      </c>
      <c r="C28" s="27" t="s">
        <v>331</v>
      </c>
      <c r="D28" s="31" t="str">
        <f ca="1">VLOOKUP($C28,OFFSET(mission_unlock_criteria!$A$2,0,0,COUNTA(mission_unlock_criteria!$A:$A),MATCH(D$2,mission_unlock_criteria!$2:$2,0)-MATCH($C$2,mission_unlock_criteria!$2:$2,0)+1),MATCH(D$2,mission_unlock_criteria!$2:$2,0)-MATCH($C$2,mission_unlock_criteria!$2:$2,0)+1,FALSE)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8" s="2" t="s">
        <v>1323</v>
      </c>
      <c r="F28" s="31" t="str">
        <f ca="1">VLOOKUP($E28,OFFSET(mission_ACH_criteria!$A$1,0,0,COUNTA(mission_ACH_criteria!$A:$A),MATCH(F$2,mission_ACH_criteria!$1:$1,0)-MATCH($E$2,mission_ACH_criteria!$1:$1,0)+1),MATCH(F$2,mission_ACH_criteria!$1:$1,0)-MATCH($E$2,mission_ACH_criteria!$1:$1,0)+1,FALSE)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TVCMランクミッション（5/20まで）_x000D_プレイヤーランクを125まで上げよう！</v>
      </c>
      <c r="G28" s="27" t="s">
        <v>107</v>
      </c>
      <c r="H28" s="31" t="str">
        <f t="shared" ca="1" si="12"/>
        <v>ポリゴン x 5</v>
      </c>
      <c r="I28" s="31" t="str">
        <f ca="1">VLOOKUP($G28,OFFSET(mission_ACH!$A$2,0,0,COUNTA($A:$A),MATCH(I$2,mission_ACH!$2:$2,0)-MATCH($G$2,mission_ACH!$2:$2,0)+1),MATCH(I$2,mission_ACH!$2:$2,0)-MATCH($G$2,mission_ACH!$2:$2,0)+1,FALSE)</f>
        <v>polygon</v>
      </c>
      <c r="J28" s="31">
        <f ca="1">VLOOKUP($G28,OFFSET(mission_ACH!$A$2,0,0,COUNTA($A:$A),MATCH(J$2,mission_ACH!$2:$2,0)-MATCH($G$2,mission_ACH!$2:$2,0)+1),MATCH(J$2,mission_ACH!$2:$2,0)-MATCH($G$2,mission_ACH!$2:$2,0)+1,FALSE)</f>
        <v>5</v>
      </c>
      <c r="K28" s="31" t="str">
        <f ca="1">IF(I28="unit",VLOOKUP($G28,OFFSET(mission_ACH!$A$2,0,0,COUNTA($A:$A),MATCH(K$2,mission_ACH!$2:$2,0)-MATCH($G$2,mission_ACH!$2:$2,0)+1),MATCH(K$2,mission_ACH!$2:$2,0)-MATCH($G$2,mission_ACH!$2:$2,0)+1,FALSE),"")</f>
        <v/>
      </c>
      <c r="L28" s="31">
        <f ca="1">VLOOKUP($G28,OFFSET(mission_ACH!$A$2,0,0,COUNTA($A:$A),MATCH(L$2,mission_ACH!$2:$2,0)-MATCH($G$2,mission_ACH!$2:$2,0)+1),MATCH(L$2,mission_ACH!$2:$2,0)-MATCH($G$2,mission_ACH!$2:$2,0)+1,FALSE)</f>
        <v>0</v>
      </c>
      <c r="M28" s="27">
        <v>90</v>
      </c>
      <c r="N28" s="87" t="s">
        <v>1289</v>
      </c>
      <c r="O28" s="87" t="s">
        <v>1317</v>
      </c>
    </row>
    <row r="29" spans="1:15" ht="21" customHeight="1" x14ac:dyDescent="0.15">
      <c r="A29" s="27">
        <f t="shared" si="11"/>
        <v>1076</v>
      </c>
      <c r="B29" s="26" t="str">
        <f t="shared" ca="1" si="7"/>
        <v>TVCMランクミッション（5/20まで）_x000D_プレイヤーランクを150まで上げよう！</v>
      </c>
      <c r="C29" s="27" t="s">
        <v>331</v>
      </c>
      <c r="D29" s="31" t="str">
        <f ca="1">VLOOKUP($C29,OFFSET(mission_unlock_criteria!$A$2,0,0,COUNTA(mission_unlock_criteria!$A:$A),MATCH(D$2,mission_unlock_criteria!$2:$2,0)-MATCH($C$2,mission_unlock_criteria!$2:$2,0)+1),MATCH(D$2,mission_unlock_criteria!$2:$2,0)-MATCH($C$2,mission_unlock_criteria!$2:$2,0)+1,FALSE)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9" s="2" t="s">
        <v>1338</v>
      </c>
      <c r="F29" s="31" t="str">
        <f ca="1">VLOOKUP($E29,OFFSET(mission_ACH_criteria!$A$1,0,0,COUNTA(mission_ACH_criteria!$A:$A),MATCH(F$2,mission_ACH_criteria!$1:$1,0)-MATCH($E$2,mission_ACH_criteria!$1:$1,0)+1),MATCH(F$2,mission_ACH_criteria!$1:$1,0)-MATCH($E$2,mission_ACH_criteria!$1:$1,0)+1,FALSE)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TVCMランクミッション（5/20まで）_x000D_プレイヤーランクを150まで上げよう！</v>
      </c>
      <c r="G29" s="27" t="s">
        <v>107</v>
      </c>
      <c r="H29" s="31" t="str">
        <f t="shared" ca="1" si="12"/>
        <v>ポリゴン x 5</v>
      </c>
      <c r="I29" s="31" t="str">
        <f ca="1">VLOOKUP($G29,OFFSET(mission_ACH!$A$2,0,0,COUNTA($A:$A),MATCH(I$2,mission_ACH!$2:$2,0)-MATCH($G$2,mission_ACH!$2:$2,0)+1),MATCH(I$2,mission_ACH!$2:$2,0)-MATCH($G$2,mission_ACH!$2:$2,0)+1,FALSE)</f>
        <v>polygon</v>
      </c>
      <c r="J29" s="31">
        <f ca="1">VLOOKUP($G29,OFFSET(mission_ACH!$A$2,0,0,COUNTA($A:$A),MATCH(J$2,mission_ACH!$2:$2,0)-MATCH($G$2,mission_ACH!$2:$2,0)+1),MATCH(J$2,mission_ACH!$2:$2,0)-MATCH($G$2,mission_ACH!$2:$2,0)+1,FALSE)</f>
        <v>5</v>
      </c>
      <c r="K29" s="31" t="str">
        <f ca="1">IF(I29="unit",VLOOKUP($G29,OFFSET(mission_ACH!$A$2,0,0,COUNTA($A:$A),MATCH(K$2,mission_ACH!$2:$2,0)-MATCH($G$2,mission_ACH!$2:$2,0)+1),MATCH(K$2,mission_ACH!$2:$2,0)-MATCH($G$2,mission_ACH!$2:$2,0)+1,FALSE),"")</f>
        <v/>
      </c>
      <c r="L29" s="31">
        <f ca="1">VLOOKUP($G29,OFFSET(mission_ACH!$A$2,0,0,COUNTA($A:$A),MATCH(L$2,mission_ACH!$2:$2,0)-MATCH($G$2,mission_ACH!$2:$2,0)+1),MATCH(L$2,mission_ACH!$2:$2,0)-MATCH($G$2,mission_ACH!$2:$2,0)+1,FALSE)</f>
        <v>0</v>
      </c>
      <c r="M29" s="27">
        <v>90</v>
      </c>
      <c r="N29" s="87" t="s">
        <v>1289</v>
      </c>
      <c r="O29" s="87" t="s">
        <v>1317</v>
      </c>
    </row>
    <row r="30" spans="1:15" ht="21" customHeight="1" x14ac:dyDescent="0.15">
      <c r="A30" s="27">
        <f t="shared" si="11"/>
        <v>1077</v>
      </c>
      <c r="B30" s="26" t="str">
        <f t="shared" ca="1" si="7"/>
        <v>TVCMランクミッション（5/20まで）_x000D_プレイヤーランクを175まで上げよう！</v>
      </c>
      <c r="C30" s="27" t="s">
        <v>331</v>
      </c>
      <c r="D30" s="31" t="str">
        <f ca="1">VLOOKUP($C30,OFFSET(mission_unlock_criteria!$A$2,0,0,COUNTA(mission_unlock_criteria!$A:$A),MATCH(D$2,mission_unlock_criteria!$2:$2,0)-MATCH($C$2,mission_unlock_criteria!$2:$2,0)+1),MATCH(D$2,mission_unlock_criteria!$2:$2,0)-MATCH($C$2,mission_unlock_criteria!$2:$2,0)+1,FALSE)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0" s="2" t="s">
        <v>1339</v>
      </c>
      <c r="F30" s="31" t="str">
        <f ca="1">VLOOKUP($E30,OFFSET(mission_ACH_criteria!$A$1,0,0,COUNTA(mission_ACH_criteria!$A:$A),MATCH(F$2,mission_ACH_criteria!$1:$1,0)-MATCH($E$2,mission_ACH_criteria!$1:$1,0)+1),MATCH(F$2,mission_ACH_criteria!$1:$1,0)-MATCH($E$2,mission_ACH_criteria!$1:$1,0)+1,FALSE)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TVCMランクミッション（5/20まで）_x000D_プレイヤーランクを175まで上げよう！</v>
      </c>
      <c r="G30" s="27" t="s">
        <v>107</v>
      </c>
      <c r="H30" s="31" t="str">
        <f t="shared" ca="1" si="12"/>
        <v>ポリゴン x 5</v>
      </c>
      <c r="I30" s="31" t="str">
        <f ca="1">VLOOKUP($G30,OFFSET(mission_ACH!$A$2,0,0,COUNTA($A:$A),MATCH(I$2,mission_ACH!$2:$2,0)-MATCH($G$2,mission_ACH!$2:$2,0)+1),MATCH(I$2,mission_ACH!$2:$2,0)-MATCH($G$2,mission_ACH!$2:$2,0)+1,FALSE)</f>
        <v>polygon</v>
      </c>
      <c r="J30" s="31">
        <f ca="1">VLOOKUP($G30,OFFSET(mission_ACH!$A$2,0,0,COUNTA($A:$A),MATCH(J$2,mission_ACH!$2:$2,0)-MATCH($G$2,mission_ACH!$2:$2,0)+1),MATCH(J$2,mission_ACH!$2:$2,0)-MATCH($G$2,mission_ACH!$2:$2,0)+1,FALSE)</f>
        <v>5</v>
      </c>
      <c r="K30" s="31" t="str">
        <f ca="1">IF(I30="unit",VLOOKUP($G30,OFFSET(mission_ACH!$A$2,0,0,COUNTA($A:$A),MATCH(K$2,mission_ACH!$2:$2,0)-MATCH($G$2,mission_ACH!$2:$2,0)+1),MATCH(K$2,mission_ACH!$2:$2,0)-MATCH($G$2,mission_ACH!$2:$2,0)+1,FALSE),"")</f>
        <v/>
      </c>
      <c r="L30" s="31">
        <f ca="1">VLOOKUP($G30,OFFSET(mission_ACH!$A$2,0,0,COUNTA($A:$A),MATCH(L$2,mission_ACH!$2:$2,0)-MATCH($G$2,mission_ACH!$2:$2,0)+1),MATCH(L$2,mission_ACH!$2:$2,0)-MATCH($G$2,mission_ACH!$2:$2,0)+1,FALSE)</f>
        <v>0</v>
      </c>
      <c r="M30" s="27">
        <v>90</v>
      </c>
      <c r="N30" s="87" t="s">
        <v>1289</v>
      </c>
      <c r="O30" s="87" t="s">
        <v>1317</v>
      </c>
    </row>
    <row r="31" spans="1:15" ht="21" customHeight="1" x14ac:dyDescent="0.15">
      <c r="A31" s="27">
        <f t="shared" si="11"/>
        <v>1078</v>
      </c>
      <c r="B31" s="26" t="str">
        <f t="shared" ca="1" si="7"/>
        <v>TVCMランクミッション（5/20まで）_x000D_プレイヤーランクを200まで上げよう！</v>
      </c>
      <c r="C31" s="27" t="s">
        <v>331</v>
      </c>
      <c r="D31" s="31" t="str">
        <f ca="1">VLOOKUP($C31,OFFSET(mission_unlock_criteria!$A$2,0,0,COUNTA(mission_unlock_criteria!$A:$A),MATCH(D$2,mission_unlock_criteria!$2:$2,0)-MATCH($C$2,mission_unlock_criteria!$2:$2,0)+1),MATCH(D$2,mission_unlock_criteria!$2:$2,0)-MATCH($C$2,mission_unlock_criteria!$2:$2,0)+1,FALSE)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1" s="2" t="s">
        <v>1331</v>
      </c>
      <c r="F31" s="31" t="str">
        <f ca="1">VLOOKUP($E31,OFFSET(mission_ACH_criteria!$A$1,0,0,COUNTA(mission_ACH_criteria!$A:$A),MATCH(F$2,mission_ACH_criteria!$1:$1,0)-MATCH($E$2,mission_ACH_criteria!$1:$1,0)+1),MATCH(F$2,mission_ACH_criteria!$1:$1,0)-MATCH($E$2,mission_ACH_criteria!$1:$1,0)+1,FALSE)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TVCMランクミッション（5/20まで）_x000D_プレイヤーランクを200まで上げよう！</v>
      </c>
      <c r="G31" s="27" t="s">
        <v>107</v>
      </c>
      <c r="H31" s="31" t="str">
        <f t="shared" ca="1" si="12"/>
        <v>ポリゴン x 5</v>
      </c>
      <c r="I31" s="31" t="str">
        <f ca="1">VLOOKUP($G31,OFFSET(mission_ACH!$A$2,0,0,COUNTA($A:$A),MATCH(I$2,mission_ACH!$2:$2,0)-MATCH($G$2,mission_ACH!$2:$2,0)+1),MATCH(I$2,mission_ACH!$2:$2,0)-MATCH($G$2,mission_ACH!$2:$2,0)+1,FALSE)</f>
        <v>polygon</v>
      </c>
      <c r="J31" s="31">
        <f ca="1">VLOOKUP($G31,OFFSET(mission_ACH!$A$2,0,0,COUNTA($A:$A),MATCH(J$2,mission_ACH!$2:$2,0)-MATCH($G$2,mission_ACH!$2:$2,0)+1),MATCH(J$2,mission_ACH!$2:$2,0)-MATCH($G$2,mission_ACH!$2:$2,0)+1,FALSE)</f>
        <v>5</v>
      </c>
      <c r="K31" s="31" t="str">
        <f ca="1">IF(I31="unit",VLOOKUP($G31,OFFSET(mission_ACH!$A$2,0,0,COUNTA($A:$A),MATCH(K$2,mission_ACH!$2:$2,0)-MATCH($G$2,mission_ACH!$2:$2,0)+1),MATCH(K$2,mission_ACH!$2:$2,0)-MATCH($G$2,mission_ACH!$2:$2,0)+1,FALSE),"")</f>
        <v/>
      </c>
      <c r="L31" s="31">
        <f ca="1">VLOOKUP($G31,OFFSET(mission_ACH!$A$2,0,0,COUNTA($A:$A),MATCH(L$2,mission_ACH!$2:$2,0)-MATCH($G$2,mission_ACH!$2:$2,0)+1),MATCH(L$2,mission_ACH!$2:$2,0)-MATCH($G$2,mission_ACH!$2:$2,0)+1,FALSE)</f>
        <v>0</v>
      </c>
      <c r="M31" s="27">
        <v>90</v>
      </c>
      <c r="N31" s="87" t="s">
        <v>1289</v>
      </c>
      <c r="O31" s="87" t="s">
        <v>1317</v>
      </c>
    </row>
    <row r="32" spans="1:15" ht="21" customHeight="1" x14ac:dyDescent="0.15">
      <c r="A32" s="27">
        <f t="shared" si="11"/>
        <v>1079</v>
      </c>
      <c r="B32" s="26" t="str">
        <f t="shared" ca="1" si="7"/>
        <v>TVCMランクミッション（5/20まで）_x000D_プレイヤーランクを300まで上げよう！</v>
      </c>
      <c r="C32" s="27" t="s">
        <v>331</v>
      </c>
      <c r="D32" s="31" t="str">
        <f ca="1">VLOOKUP($C32,OFFSET(mission_unlock_criteria!$A$2,0,0,COUNTA(mission_unlock_criteria!$A:$A),MATCH(D$2,mission_unlock_criteria!$2:$2,0)-MATCH($C$2,mission_unlock_criteria!$2:$2,0)+1),MATCH(D$2,mission_unlock_criteria!$2:$2,0)-MATCH($C$2,mission_unlock_criteria!$2:$2,0)+1,FALSE)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2" s="2" t="s">
        <v>1340</v>
      </c>
      <c r="F32" s="31" t="str">
        <f ca="1">VLOOKUP($E32,OFFSET(mission_ACH_criteria!$A$1,0,0,COUNTA(mission_ACH_criteria!$A:$A),MATCH(F$2,mission_ACH_criteria!$1:$1,0)-MATCH($E$2,mission_ACH_criteria!$1:$1,0)+1),MATCH(F$2,mission_ACH_criteria!$1:$1,0)-MATCH($E$2,mission_ACH_criteria!$1:$1,0)+1,FALSE)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TVCMランクミッション（5/20まで）_x000D_プレイヤーランクを300まで上げよう！</v>
      </c>
      <c r="G32" s="27" t="s">
        <v>107</v>
      </c>
      <c r="H32" s="31" t="str">
        <f t="shared" ca="1" si="12"/>
        <v>ポリゴン x 5</v>
      </c>
      <c r="I32" s="31" t="str">
        <f ca="1">VLOOKUP($G32,OFFSET(mission_ACH!$A$2,0,0,COUNTA($A:$A),MATCH(I$2,mission_ACH!$2:$2,0)-MATCH($G$2,mission_ACH!$2:$2,0)+1),MATCH(I$2,mission_ACH!$2:$2,0)-MATCH($G$2,mission_ACH!$2:$2,0)+1,FALSE)</f>
        <v>polygon</v>
      </c>
      <c r="J32" s="31">
        <f ca="1">VLOOKUP($G32,OFFSET(mission_ACH!$A$2,0,0,COUNTA($A:$A),MATCH(J$2,mission_ACH!$2:$2,0)-MATCH($G$2,mission_ACH!$2:$2,0)+1),MATCH(J$2,mission_ACH!$2:$2,0)-MATCH($G$2,mission_ACH!$2:$2,0)+1,FALSE)</f>
        <v>5</v>
      </c>
      <c r="K32" s="31" t="str">
        <f ca="1">IF(I32="unit",VLOOKUP($G32,OFFSET(mission_ACH!$A$2,0,0,COUNTA($A:$A),MATCH(K$2,mission_ACH!$2:$2,0)-MATCH($G$2,mission_ACH!$2:$2,0)+1),MATCH(K$2,mission_ACH!$2:$2,0)-MATCH($G$2,mission_ACH!$2:$2,0)+1,FALSE),"")</f>
        <v/>
      </c>
      <c r="L32" s="31">
        <f ca="1">VLOOKUP($G32,OFFSET(mission_ACH!$A$2,0,0,COUNTA($A:$A),MATCH(L$2,mission_ACH!$2:$2,0)-MATCH($G$2,mission_ACH!$2:$2,0)+1),MATCH(L$2,mission_ACH!$2:$2,0)-MATCH($G$2,mission_ACH!$2:$2,0)+1,FALSE)</f>
        <v>0</v>
      </c>
      <c r="M32" s="27">
        <v>90</v>
      </c>
      <c r="N32" s="87" t="s">
        <v>1289</v>
      </c>
      <c r="O32" s="87" t="s">
        <v>1317</v>
      </c>
    </row>
    <row r="33" spans="1:15" ht="21" customHeight="1" x14ac:dyDescent="0.15">
      <c r="A33" s="27">
        <f>A32+1</f>
        <v>1080</v>
      </c>
      <c r="B33" s="26" t="str">
        <f t="shared" ref="B33:B52" ca="1" si="13">F33</f>
        <v>TVCMランクミッション（5/30まで）_x000D_プレイヤーランクを30まで上げよう！</v>
      </c>
      <c r="C33" s="27" t="s">
        <v>331</v>
      </c>
      <c r="D33" s="31" t="str">
        <f ca="1">VLOOKUP($C33,OFFSET(mission_unlock_criteria!$A$2,0,0,COUNTA(mission_unlock_criteria!$A:$A),MATCH(D$2,mission_unlock_criteria!$2:$2,0)-MATCH($C$2,mission_unlock_criteria!$2:$2,0)+1),MATCH(D$2,mission_unlock_criteria!$2:$2,0)-MATCH($C$2,mission_unlock_criteria!$2:$2,0)+1,FALSE)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3" s="2" t="s">
        <v>1324</v>
      </c>
      <c r="F33" s="31" t="str">
        <f ca="1">VLOOKUP($E33,OFFSET(mission_ACH_criteria!$A$1,0,0,COUNTA(mission_ACH_criteria!$A:$A),MATCH(F$2,mission_ACH_criteria!$1:$1,0)-MATCH($E$2,mission_ACH_criteria!$1:$1,0)+1),MATCH(F$2,mission_ACH_criteria!$1:$1,0)-MATCH($E$2,mission_ACH_criteria!$1:$1,0)+1,FALSE)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TVCMランクミッション（5/30まで）_x000D_プレイヤーランクを30まで上げよう！</v>
      </c>
      <c r="G33" s="27" t="s">
        <v>107</v>
      </c>
      <c r="H33" s="31" t="str">
        <f t="shared" ca="1" si="12"/>
        <v>ポリゴン x 5</v>
      </c>
      <c r="I33" s="31" t="str">
        <f ca="1">VLOOKUP($G33,OFFSET(mission_ACH!$A$2,0,0,COUNTA($A:$A),MATCH(I$2,mission_ACH!$2:$2,0)-MATCH($G$2,mission_ACH!$2:$2,0)+1),MATCH(I$2,mission_ACH!$2:$2,0)-MATCH($G$2,mission_ACH!$2:$2,0)+1,FALSE)</f>
        <v>polygon</v>
      </c>
      <c r="J33" s="31">
        <f ca="1">VLOOKUP($G33,OFFSET(mission_ACH!$A$2,0,0,COUNTA($A:$A),MATCH(J$2,mission_ACH!$2:$2,0)-MATCH($G$2,mission_ACH!$2:$2,0)+1),MATCH(J$2,mission_ACH!$2:$2,0)-MATCH($G$2,mission_ACH!$2:$2,0)+1,FALSE)</f>
        <v>5</v>
      </c>
      <c r="K33" s="31" t="str">
        <f ca="1">IF(I33="unit",VLOOKUP($G33,OFFSET(mission_ACH!$A$2,0,0,COUNTA($A:$A),MATCH(K$2,mission_ACH!$2:$2,0)-MATCH($G$2,mission_ACH!$2:$2,0)+1),MATCH(K$2,mission_ACH!$2:$2,0)-MATCH($G$2,mission_ACH!$2:$2,0)+1,FALSE),"")</f>
        <v/>
      </c>
      <c r="L33" s="31">
        <f ca="1">VLOOKUP($G33,OFFSET(mission_ACH!$A$2,0,0,COUNTA($A:$A),MATCH(L$2,mission_ACH!$2:$2,0)-MATCH($G$2,mission_ACH!$2:$2,0)+1),MATCH(L$2,mission_ACH!$2:$2,0)-MATCH($G$2,mission_ACH!$2:$2,0)+1,FALSE)</f>
        <v>0</v>
      </c>
      <c r="M33" s="27">
        <v>90</v>
      </c>
      <c r="N33" s="87" t="s">
        <v>1341</v>
      </c>
      <c r="O33" s="87" t="s">
        <v>1342</v>
      </c>
    </row>
    <row r="34" spans="1:15" ht="21" customHeight="1" x14ac:dyDescent="0.15">
      <c r="A34" s="27">
        <f t="shared" ref="A34:A41" si="14">A33+1</f>
        <v>1081</v>
      </c>
      <c r="B34" s="26" t="str">
        <f t="shared" ca="1" si="13"/>
        <v>TVCMランクミッション（5/30まで）_x000D_プレイヤーランクを40まで上げよう！</v>
      </c>
      <c r="C34" s="27" t="s">
        <v>331</v>
      </c>
      <c r="D34" s="31" t="str">
        <f ca="1">VLOOKUP($C34,OFFSET(mission_unlock_criteria!$A$2,0,0,COUNTA(mission_unlock_criteria!$A:$A),MATCH(D$2,mission_unlock_criteria!$2:$2,0)-MATCH($C$2,mission_unlock_criteria!$2:$2,0)+1),MATCH(D$2,mission_unlock_criteria!$2:$2,0)-MATCH($C$2,mission_unlock_criteria!$2:$2,0)+1,FALSE)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4" s="2" t="s">
        <v>1325</v>
      </c>
      <c r="F34" s="31" t="str">
        <f ca="1">VLOOKUP($E34,OFFSET(mission_ACH_criteria!$A$1,0,0,COUNTA(mission_ACH_criteria!$A:$A),MATCH(F$2,mission_ACH_criteria!$1:$1,0)-MATCH($E$2,mission_ACH_criteria!$1:$1,0)+1),MATCH(F$2,mission_ACH_criteria!$1:$1,0)-MATCH($E$2,mission_ACH_criteria!$1:$1,0)+1,FALSE)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TVCMランクミッション（5/30まで）_x000D_プレイヤーランクを40まで上げよう！</v>
      </c>
      <c r="G34" s="27" t="s">
        <v>107</v>
      </c>
      <c r="H34" s="31" t="str">
        <f t="shared" ref="H34:H52" ca="1" si="15">IF(I34="unit",K34&amp;" x "&amp;L34,IF(I34="polygon","ポリゴン x "&amp;J34,IF(I34="bit","ビット x "&amp;J34,IF(I34="link","リンク x "&amp;J34))))</f>
        <v>ポリゴン x 5</v>
      </c>
      <c r="I34" s="31" t="str">
        <f ca="1">VLOOKUP($G34,OFFSET(mission_ACH!$A$2,0,0,COUNTA($A:$A),MATCH(I$2,mission_ACH!$2:$2,0)-MATCH($G$2,mission_ACH!$2:$2,0)+1),MATCH(I$2,mission_ACH!$2:$2,0)-MATCH($G$2,mission_ACH!$2:$2,0)+1,FALSE)</f>
        <v>polygon</v>
      </c>
      <c r="J34" s="31">
        <f ca="1">VLOOKUP($G34,OFFSET(mission_ACH!$A$2,0,0,COUNTA($A:$A),MATCH(J$2,mission_ACH!$2:$2,0)-MATCH($G$2,mission_ACH!$2:$2,0)+1),MATCH(J$2,mission_ACH!$2:$2,0)-MATCH($G$2,mission_ACH!$2:$2,0)+1,FALSE)</f>
        <v>5</v>
      </c>
      <c r="K34" s="31" t="str">
        <f ca="1">IF(I34="unit",VLOOKUP($G34,OFFSET(mission_ACH!$A$2,0,0,COUNTA($A:$A),MATCH(K$2,mission_ACH!$2:$2,0)-MATCH($G$2,mission_ACH!$2:$2,0)+1),MATCH(K$2,mission_ACH!$2:$2,0)-MATCH($G$2,mission_ACH!$2:$2,0)+1,FALSE),"")</f>
        <v/>
      </c>
      <c r="L34" s="31">
        <f ca="1">VLOOKUP($G34,OFFSET(mission_ACH!$A$2,0,0,COUNTA($A:$A),MATCH(L$2,mission_ACH!$2:$2,0)-MATCH($G$2,mission_ACH!$2:$2,0)+1),MATCH(L$2,mission_ACH!$2:$2,0)-MATCH($G$2,mission_ACH!$2:$2,0)+1,FALSE)</f>
        <v>0</v>
      </c>
      <c r="M34" s="27">
        <v>90</v>
      </c>
      <c r="N34" s="87" t="s">
        <v>1341</v>
      </c>
      <c r="O34" s="87" t="s">
        <v>1342</v>
      </c>
    </row>
    <row r="35" spans="1:15" ht="21" customHeight="1" x14ac:dyDescent="0.15">
      <c r="A35" s="27">
        <f t="shared" si="14"/>
        <v>1082</v>
      </c>
      <c r="B35" s="26" t="str">
        <f t="shared" ca="1" si="13"/>
        <v>TVCMランクミッション（5/30まで）_x000D_プレイヤーランクを50まで上げよう！</v>
      </c>
      <c r="C35" s="27" t="s">
        <v>331</v>
      </c>
      <c r="D35" s="31" t="str">
        <f ca="1">VLOOKUP($C35,OFFSET(mission_unlock_criteria!$A$2,0,0,COUNTA(mission_unlock_criteria!$A:$A),MATCH(D$2,mission_unlock_criteria!$2:$2,0)-MATCH($C$2,mission_unlock_criteria!$2:$2,0)+1),MATCH(D$2,mission_unlock_criteria!$2:$2,0)-MATCH($C$2,mission_unlock_criteria!$2:$2,0)+1,FALSE)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5" s="2" t="s">
        <v>1326</v>
      </c>
      <c r="F35" s="31" t="str">
        <f ca="1">VLOOKUP($E35,OFFSET(mission_ACH_criteria!$A$1,0,0,COUNTA(mission_ACH_criteria!$A:$A),MATCH(F$2,mission_ACH_criteria!$1:$1,0)-MATCH($E$2,mission_ACH_criteria!$1:$1,0)+1),MATCH(F$2,mission_ACH_criteria!$1:$1,0)-MATCH($E$2,mission_ACH_criteria!$1:$1,0)+1,FALSE)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TVCMランクミッション（5/30まで）_x000D_プレイヤーランクを50まで上げよう！</v>
      </c>
      <c r="G35" s="27" t="s">
        <v>107</v>
      </c>
      <c r="H35" s="31" t="str">
        <f t="shared" ca="1" si="15"/>
        <v>ポリゴン x 5</v>
      </c>
      <c r="I35" s="31" t="str">
        <f ca="1">VLOOKUP($G35,OFFSET(mission_ACH!$A$2,0,0,COUNTA($A:$A),MATCH(I$2,mission_ACH!$2:$2,0)-MATCH($G$2,mission_ACH!$2:$2,0)+1),MATCH(I$2,mission_ACH!$2:$2,0)-MATCH($G$2,mission_ACH!$2:$2,0)+1,FALSE)</f>
        <v>polygon</v>
      </c>
      <c r="J35" s="31">
        <f ca="1">VLOOKUP($G35,OFFSET(mission_ACH!$A$2,0,0,COUNTA($A:$A),MATCH(J$2,mission_ACH!$2:$2,0)-MATCH($G$2,mission_ACH!$2:$2,0)+1),MATCH(J$2,mission_ACH!$2:$2,0)-MATCH($G$2,mission_ACH!$2:$2,0)+1,FALSE)</f>
        <v>5</v>
      </c>
      <c r="K35" s="31" t="str">
        <f ca="1">IF(I35="unit",VLOOKUP($G35,OFFSET(mission_ACH!$A$2,0,0,COUNTA($A:$A),MATCH(K$2,mission_ACH!$2:$2,0)-MATCH($G$2,mission_ACH!$2:$2,0)+1),MATCH(K$2,mission_ACH!$2:$2,0)-MATCH($G$2,mission_ACH!$2:$2,0)+1,FALSE),"")</f>
        <v/>
      </c>
      <c r="L35" s="31">
        <f ca="1">VLOOKUP($G35,OFFSET(mission_ACH!$A$2,0,0,COUNTA($A:$A),MATCH(L$2,mission_ACH!$2:$2,0)-MATCH($G$2,mission_ACH!$2:$2,0)+1),MATCH(L$2,mission_ACH!$2:$2,0)-MATCH($G$2,mission_ACH!$2:$2,0)+1,FALSE)</f>
        <v>0</v>
      </c>
      <c r="M35" s="27">
        <v>90</v>
      </c>
      <c r="N35" s="87" t="s">
        <v>1341</v>
      </c>
      <c r="O35" s="87" t="s">
        <v>1342</v>
      </c>
    </row>
    <row r="36" spans="1:15" ht="21" customHeight="1" x14ac:dyDescent="0.15">
      <c r="A36" s="27">
        <f t="shared" si="14"/>
        <v>1083</v>
      </c>
      <c r="B36" s="26" t="str">
        <f t="shared" ca="1" si="13"/>
        <v>TVCMランクミッション（5/30まで）_x000D_プレイヤーランクを75まで上げよう！</v>
      </c>
      <c r="C36" s="27" t="s">
        <v>331</v>
      </c>
      <c r="D36" s="31" t="str">
        <f ca="1">VLOOKUP($C36,OFFSET(mission_unlock_criteria!$A$2,0,0,COUNTA(mission_unlock_criteria!$A:$A),MATCH(D$2,mission_unlock_criteria!$2:$2,0)-MATCH($C$2,mission_unlock_criteria!$2:$2,0)+1),MATCH(D$2,mission_unlock_criteria!$2:$2,0)-MATCH($C$2,mission_unlock_criteria!$2:$2,0)+1,FALSE)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6" s="2" t="s">
        <v>1327</v>
      </c>
      <c r="F36" s="31" t="str">
        <f ca="1">VLOOKUP($E36,OFFSET(mission_ACH_criteria!$A$1,0,0,COUNTA(mission_ACH_criteria!$A:$A),MATCH(F$2,mission_ACH_criteria!$1:$1,0)-MATCH($E$2,mission_ACH_criteria!$1:$1,0)+1),MATCH(F$2,mission_ACH_criteria!$1:$1,0)-MATCH($E$2,mission_ACH_criteria!$1:$1,0)+1,FALSE)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TVCMランクミッション（5/30まで）_x000D_プレイヤーランクを75まで上げよう！</v>
      </c>
      <c r="G36" s="27" t="s">
        <v>107</v>
      </c>
      <c r="H36" s="31" t="str">
        <f t="shared" ca="1" si="15"/>
        <v>ポリゴン x 5</v>
      </c>
      <c r="I36" s="31" t="str">
        <f ca="1">VLOOKUP($G36,OFFSET(mission_ACH!$A$2,0,0,COUNTA($A:$A),MATCH(I$2,mission_ACH!$2:$2,0)-MATCH($G$2,mission_ACH!$2:$2,0)+1),MATCH(I$2,mission_ACH!$2:$2,0)-MATCH($G$2,mission_ACH!$2:$2,0)+1,FALSE)</f>
        <v>polygon</v>
      </c>
      <c r="J36" s="31">
        <f ca="1">VLOOKUP($G36,OFFSET(mission_ACH!$A$2,0,0,COUNTA($A:$A),MATCH(J$2,mission_ACH!$2:$2,0)-MATCH($G$2,mission_ACH!$2:$2,0)+1),MATCH(J$2,mission_ACH!$2:$2,0)-MATCH($G$2,mission_ACH!$2:$2,0)+1,FALSE)</f>
        <v>5</v>
      </c>
      <c r="K36" s="31" t="str">
        <f ca="1">IF(I36="unit",VLOOKUP($G36,OFFSET(mission_ACH!$A$2,0,0,COUNTA($A:$A),MATCH(K$2,mission_ACH!$2:$2,0)-MATCH($G$2,mission_ACH!$2:$2,0)+1),MATCH(K$2,mission_ACH!$2:$2,0)-MATCH($G$2,mission_ACH!$2:$2,0)+1,FALSE),"")</f>
        <v/>
      </c>
      <c r="L36" s="31">
        <f ca="1">VLOOKUP($G36,OFFSET(mission_ACH!$A$2,0,0,COUNTA($A:$A),MATCH(L$2,mission_ACH!$2:$2,0)-MATCH($G$2,mission_ACH!$2:$2,0)+1),MATCH(L$2,mission_ACH!$2:$2,0)-MATCH($G$2,mission_ACH!$2:$2,0)+1,FALSE)</f>
        <v>0</v>
      </c>
      <c r="M36" s="27">
        <v>90</v>
      </c>
      <c r="N36" s="87" t="s">
        <v>1341</v>
      </c>
      <c r="O36" s="87" t="s">
        <v>1342</v>
      </c>
    </row>
    <row r="37" spans="1:15" ht="21" customHeight="1" x14ac:dyDescent="0.15">
      <c r="A37" s="27">
        <f t="shared" si="14"/>
        <v>1084</v>
      </c>
      <c r="B37" s="26" t="str">
        <f t="shared" ca="1" si="13"/>
        <v>TVCMランクミッション（5/30まで）_x000D_プレイヤーランクを100まで上げよう！</v>
      </c>
      <c r="C37" s="27" t="s">
        <v>331</v>
      </c>
      <c r="D37" s="31" t="str">
        <f ca="1">VLOOKUP($C37,OFFSET(mission_unlock_criteria!$A$2,0,0,COUNTA(mission_unlock_criteria!$A:$A),MATCH(D$2,mission_unlock_criteria!$2:$2,0)-MATCH($C$2,mission_unlock_criteria!$2:$2,0)+1),MATCH(D$2,mission_unlock_criteria!$2:$2,0)-MATCH($C$2,mission_unlock_criteria!$2:$2,0)+1,FALSE)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7" s="2" t="s">
        <v>1328</v>
      </c>
      <c r="F37" s="31" t="str">
        <f ca="1">VLOOKUP($E37,OFFSET(mission_ACH_criteria!$A$1,0,0,COUNTA(mission_ACH_criteria!$A:$A),MATCH(F$2,mission_ACH_criteria!$1:$1,0)-MATCH($E$2,mission_ACH_criteria!$1:$1,0)+1),MATCH(F$2,mission_ACH_criteria!$1:$1,0)-MATCH($E$2,mission_ACH_criteria!$1:$1,0)+1,FALSE)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TVCMランクミッション（5/30まで）_x000D_プレイヤーランクを100まで上げよう！</v>
      </c>
      <c r="G37" s="27" t="s">
        <v>107</v>
      </c>
      <c r="H37" s="31" t="str">
        <f t="shared" ca="1" si="15"/>
        <v>ポリゴン x 5</v>
      </c>
      <c r="I37" s="31" t="str">
        <f ca="1">VLOOKUP($G37,OFFSET(mission_ACH!$A$2,0,0,COUNTA($A:$A),MATCH(I$2,mission_ACH!$2:$2,0)-MATCH($G$2,mission_ACH!$2:$2,0)+1),MATCH(I$2,mission_ACH!$2:$2,0)-MATCH($G$2,mission_ACH!$2:$2,0)+1,FALSE)</f>
        <v>polygon</v>
      </c>
      <c r="J37" s="31">
        <f ca="1">VLOOKUP($G37,OFFSET(mission_ACH!$A$2,0,0,COUNTA($A:$A),MATCH(J$2,mission_ACH!$2:$2,0)-MATCH($G$2,mission_ACH!$2:$2,0)+1),MATCH(J$2,mission_ACH!$2:$2,0)-MATCH($G$2,mission_ACH!$2:$2,0)+1,FALSE)</f>
        <v>5</v>
      </c>
      <c r="K37" s="31" t="str">
        <f ca="1">IF(I37="unit",VLOOKUP($G37,OFFSET(mission_ACH!$A$2,0,0,COUNTA($A:$A),MATCH(K$2,mission_ACH!$2:$2,0)-MATCH($G$2,mission_ACH!$2:$2,0)+1),MATCH(K$2,mission_ACH!$2:$2,0)-MATCH($G$2,mission_ACH!$2:$2,0)+1,FALSE),"")</f>
        <v/>
      </c>
      <c r="L37" s="31">
        <f ca="1">VLOOKUP($G37,OFFSET(mission_ACH!$A$2,0,0,COUNTA($A:$A),MATCH(L$2,mission_ACH!$2:$2,0)-MATCH($G$2,mission_ACH!$2:$2,0)+1),MATCH(L$2,mission_ACH!$2:$2,0)-MATCH($G$2,mission_ACH!$2:$2,0)+1,FALSE)</f>
        <v>0</v>
      </c>
      <c r="M37" s="27">
        <v>90</v>
      </c>
      <c r="N37" s="87" t="s">
        <v>1341</v>
      </c>
      <c r="O37" s="87" t="s">
        <v>1342</v>
      </c>
    </row>
    <row r="38" spans="1:15" ht="21" customHeight="1" x14ac:dyDescent="0.15">
      <c r="A38" s="27">
        <f t="shared" si="14"/>
        <v>1085</v>
      </c>
      <c r="B38" s="26" t="str">
        <f t="shared" ca="1" si="13"/>
        <v>TVCMランクミッション（5/30まで）_x000D_プレイヤーランクを125まで上げよう！</v>
      </c>
      <c r="C38" s="27" t="s">
        <v>331</v>
      </c>
      <c r="D38" s="31" t="str">
        <f ca="1">VLOOKUP($C38,OFFSET(mission_unlock_criteria!$A$2,0,0,COUNTA(mission_unlock_criteria!$A:$A),MATCH(D$2,mission_unlock_criteria!$2:$2,0)-MATCH($C$2,mission_unlock_criteria!$2:$2,0)+1),MATCH(D$2,mission_unlock_criteria!$2:$2,0)-MATCH($C$2,mission_unlock_criteria!$2:$2,0)+1,FALSE)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8" s="2" t="s">
        <v>1333</v>
      </c>
      <c r="F38" s="31" t="str">
        <f ca="1">VLOOKUP($E38,OFFSET(mission_ACH_criteria!$A$1,0,0,COUNTA(mission_ACH_criteria!$A:$A),MATCH(F$2,mission_ACH_criteria!$1:$1,0)-MATCH($E$2,mission_ACH_criteria!$1:$1,0)+1),MATCH(F$2,mission_ACH_criteria!$1:$1,0)-MATCH($E$2,mission_ACH_criteria!$1:$1,0)+1,FALSE)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TVCMランクミッション（5/30まで）_x000D_プレイヤーランクを125まで上げよう！</v>
      </c>
      <c r="G38" s="27" t="s">
        <v>107</v>
      </c>
      <c r="H38" s="31" t="str">
        <f t="shared" ca="1" si="15"/>
        <v>ポリゴン x 5</v>
      </c>
      <c r="I38" s="31" t="str">
        <f ca="1">VLOOKUP($G38,OFFSET(mission_ACH!$A$2,0,0,COUNTA($A:$A),MATCH(I$2,mission_ACH!$2:$2,0)-MATCH($G$2,mission_ACH!$2:$2,0)+1),MATCH(I$2,mission_ACH!$2:$2,0)-MATCH($G$2,mission_ACH!$2:$2,0)+1,FALSE)</f>
        <v>polygon</v>
      </c>
      <c r="J38" s="31">
        <f ca="1">VLOOKUP($G38,OFFSET(mission_ACH!$A$2,0,0,COUNTA($A:$A),MATCH(J$2,mission_ACH!$2:$2,0)-MATCH($G$2,mission_ACH!$2:$2,0)+1),MATCH(J$2,mission_ACH!$2:$2,0)-MATCH($G$2,mission_ACH!$2:$2,0)+1,FALSE)</f>
        <v>5</v>
      </c>
      <c r="K38" s="31" t="str">
        <f ca="1">IF(I38="unit",VLOOKUP($G38,OFFSET(mission_ACH!$A$2,0,0,COUNTA($A:$A),MATCH(K$2,mission_ACH!$2:$2,0)-MATCH($G$2,mission_ACH!$2:$2,0)+1),MATCH(K$2,mission_ACH!$2:$2,0)-MATCH($G$2,mission_ACH!$2:$2,0)+1,FALSE),"")</f>
        <v/>
      </c>
      <c r="L38" s="31">
        <f ca="1">VLOOKUP($G38,OFFSET(mission_ACH!$A$2,0,0,COUNTA($A:$A),MATCH(L$2,mission_ACH!$2:$2,0)-MATCH($G$2,mission_ACH!$2:$2,0)+1),MATCH(L$2,mission_ACH!$2:$2,0)-MATCH($G$2,mission_ACH!$2:$2,0)+1,FALSE)</f>
        <v>0</v>
      </c>
      <c r="M38" s="27">
        <v>90</v>
      </c>
      <c r="N38" s="87" t="s">
        <v>1341</v>
      </c>
      <c r="O38" s="87" t="s">
        <v>1342</v>
      </c>
    </row>
    <row r="39" spans="1:15" ht="21" customHeight="1" x14ac:dyDescent="0.15">
      <c r="A39" s="27">
        <f t="shared" si="14"/>
        <v>1086</v>
      </c>
      <c r="B39" s="26" t="str">
        <f t="shared" ca="1" si="13"/>
        <v>TVCMランクミッション（5/30まで）_x000D_プレイヤーランクを150まで上げよう！</v>
      </c>
      <c r="C39" s="27" t="s">
        <v>331</v>
      </c>
      <c r="D39" s="31" t="str">
        <f ca="1">VLOOKUP($C39,OFFSET(mission_unlock_criteria!$A$2,0,0,COUNTA(mission_unlock_criteria!$A:$A),MATCH(D$2,mission_unlock_criteria!$2:$2,0)-MATCH($C$2,mission_unlock_criteria!$2:$2,0)+1),MATCH(D$2,mission_unlock_criteria!$2:$2,0)-MATCH($C$2,mission_unlock_criteria!$2:$2,0)+1,FALSE)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9" s="2" t="s">
        <v>1334</v>
      </c>
      <c r="F39" s="31" t="str">
        <f ca="1">VLOOKUP($E39,OFFSET(mission_ACH_criteria!$A$1,0,0,COUNTA(mission_ACH_criteria!$A:$A),MATCH(F$2,mission_ACH_criteria!$1:$1,0)-MATCH($E$2,mission_ACH_criteria!$1:$1,0)+1),MATCH(F$2,mission_ACH_criteria!$1:$1,0)-MATCH($E$2,mission_ACH_criteria!$1:$1,0)+1,FALSE)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TVCMランクミッション（5/30まで）_x000D_プレイヤーランクを150まで上げよう！</v>
      </c>
      <c r="G39" s="27" t="s">
        <v>107</v>
      </c>
      <c r="H39" s="31" t="str">
        <f t="shared" ca="1" si="15"/>
        <v>ポリゴン x 5</v>
      </c>
      <c r="I39" s="31" t="str">
        <f ca="1">VLOOKUP($G39,OFFSET(mission_ACH!$A$2,0,0,COUNTA($A:$A),MATCH(I$2,mission_ACH!$2:$2,0)-MATCH($G$2,mission_ACH!$2:$2,0)+1),MATCH(I$2,mission_ACH!$2:$2,0)-MATCH($G$2,mission_ACH!$2:$2,0)+1,FALSE)</f>
        <v>polygon</v>
      </c>
      <c r="J39" s="31">
        <f ca="1">VLOOKUP($G39,OFFSET(mission_ACH!$A$2,0,0,COUNTA($A:$A),MATCH(J$2,mission_ACH!$2:$2,0)-MATCH($G$2,mission_ACH!$2:$2,0)+1),MATCH(J$2,mission_ACH!$2:$2,0)-MATCH($G$2,mission_ACH!$2:$2,0)+1,FALSE)</f>
        <v>5</v>
      </c>
      <c r="K39" s="31" t="str">
        <f ca="1">IF(I39="unit",VLOOKUP($G39,OFFSET(mission_ACH!$A$2,0,0,COUNTA($A:$A),MATCH(K$2,mission_ACH!$2:$2,0)-MATCH($G$2,mission_ACH!$2:$2,0)+1),MATCH(K$2,mission_ACH!$2:$2,0)-MATCH($G$2,mission_ACH!$2:$2,0)+1,FALSE),"")</f>
        <v/>
      </c>
      <c r="L39" s="31">
        <f ca="1">VLOOKUP($G39,OFFSET(mission_ACH!$A$2,0,0,COUNTA($A:$A),MATCH(L$2,mission_ACH!$2:$2,0)-MATCH($G$2,mission_ACH!$2:$2,0)+1),MATCH(L$2,mission_ACH!$2:$2,0)-MATCH($G$2,mission_ACH!$2:$2,0)+1,FALSE)</f>
        <v>0</v>
      </c>
      <c r="M39" s="27">
        <v>90</v>
      </c>
      <c r="N39" s="87" t="s">
        <v>1341</v>
      </c>
      <c r="O39" s="87" t="s">
        <v>1342</v>
      </c>
    </row>
    <row r="40" spans="1:15" ht="21" customHeight="1" x14ac:dyDescent="0.15">
      <c r="A40" s="27">
        <f t="shared" si="14"/>
        <v>1087</v>
      </c>
      <c r="B40" s="26" t="str">
        <f t="shared" ca="1" si="13"/>
        <v>TVCMランクミッション（5/30まで）_x000D_プレイヤーランクを175まで上げよう！</v>
      </c>
      <c r="C40" s="27" t="s">
        <v>331</v>
      </c>
      <c r="D40" s="31" t="str">
        <f ca="1">VLOOKUP($C40,OFFSET(mission_unlock_criteria!$A$2,0,0,COUNTA(mission_unlock_criteria!$A:$A),MATCH(D$2,mission_unlock_criteria!$2:$2,0)-MATCH($C$2,mission_unlock_criteria!$2:$2,0)+1),MATCH(D$2,mission_unlock_criteria!$2:$2,0)-MATCH($C$2,mission_unlock_criteria!$2:$2,0)+1,FALSE)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0" s="2" t="s">
        <v>1335</v>
      </c>
      <c r="F40" s="31" t="str">
        <f ca="1">VLOOKUP($E40,OFFSET(mission_ACH_criteria!$A$1,0,0,COUNTA(mission_ACH_criteria!$A:$A),MATCH(F$2,mission_ACH_criteria!$1:$1,0)-MATCH($E$2,mission_ACH_criteria!$1:$1,0)+1),MATCH(F$2,mission_ACH_criteria!$1:$1,0)-MATCH($E$2,mission_ACH_criteria!$1:$1,0)+1,FALSE)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TVCMランクミッション（5/30まで）_x000D_プレイヤーランクを175まで上げよう！</v>
      </c>
      <c r="G40" s="27" t="s">
        <v>107</v>
      </c>
      <c r="H40" s="31" t="str">
        <f t="shared" ca="1" si="15"/>
        <v>ポリゴン x 5</v>
      </c>
      <c r="I40" s="31" t="str">
        <f ca="1">VLOOKUP($G40,OFFSET(mission_ACH!$A$2,0,0,COUNTA($A:$A),MATCH(I$2,mission_ACH!$2:$2,0)-MATCH($G$2,mission_ACH!$2:$2,0)+1),MATCH(I$2,mission_ACH!$2:$2,0)-MATCH($G$2,mission_ACH!$2:$2,0)+1,FALSE)</f>
        <v>polygon</v>
      </c>
      <c r="J40" s="31">
        <f ca="1">VLOOKUP($G40,OFFSET(mission_ACH!$A$2,0,0,COUNTA($A:$A),MATCH(J$2,mission_ACH!$2:$2,0)-MATCH($G$2,mission_ACH!$2:$2,0)+1),MATCH(J$2,mission_ACH!$2:$2,0)-MATCH($G$2,mission_ACH!$2:$2,0)+1,FALSE)</f>
        <v>5</v>
      </c>
      <c r="K40" s="31" t="str">
        <f ca="1">IF(I40="unit",VLOOKUP($G40,OFFSET(mission_ACH!$A$2,0,0,COUNTA($A:$A),MATCH(K$2,mission_ACH!$2:$2,0)-MATCH($G$2,mission_ACH!$2:$2,0)+1),MATCH(K$2,mission_ACH!$2:$2,0)-MATCH($G$2,mission_ACH!$2:$2,0)+1,FALSE),"")</f>
        <v/>
      </c>
      <c r="L40" s="31">
        <f ca="1">VLOOKUP($G40,OFFSET(mission_ACH!$A$2,0,0,COUNTA($A:$A),MATCH(L$2,mission_ACH!$2:$2,0)-MATCH($G$2,mission_ACH!$2:$2,0)+1),MATCH(L$2,mission_ACH!$2:$2,0)-MATCH($G$2,mission_ACH!$2:$2,0)+1,FALSE)</f>
        <v>0</v>
      </c>
      <c r="M40" s="27">
        <v>90</v>
      </c>
      <c r="N40" s="87" t="s">
        <v>1341</v>
      </c>
      <c r="O40" s="87" t="s">
        <v>1342</v>
      </c>
    </row>
    <row r="41" spans="1:15" ht="21" customHeight="1" x14ac:dyDescent="0.15">
      <c r="A41" s="27">
        <f t="shared" si="14"/>
        <v>1088</v>
      </c>
      <c r="B41" s="26" t="str">
        <f t="shared" ca="1" si="13"/>
        <v>TVCMランクミッション（5/30まで）_x000D_プレイヤーランクを200まで上げよう！</v>
      </c>
      <c r="C41" s="27" t="s">
        <v>331</v>
      </c>
      <c r="D41" s="31" t="str">
        <f ca="1">VLOOKUP($C41,OFFSET(mission_unlock_criteria!$A$2,0,0,COUNTA(mission_unlock_criteria!$A:$A),MATCH(D$2,mission_unlock_criteria!$2:$2,0)-MATCH($C$2,mission_unlock_criteria!$2:$2,0)+1),MATCH(D$2,mission_unlock_criteria!$2:$2,0)-MATCH($C$2,mission_unlock_criteria!$2:$2,0)+1,FALSE)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1" s="2" t="s">
        <v>1336</v>
      </c>
      <c r="F41" s="31" t="str">
        <f ca="1">VLOOKUP($E41,OFFSET(mission_ACH_criteria!$A$1,0,0,COUNTA(mission_ACH_criteria!$A:$A),MATCH(F$2,mission_ACH_criteria!$1:$1,0)-MATCH($E$2,mission_ACH_criteria!$1:$1,0)+1),MATCH(F$2,mission_ACH_criteria!$1:$1,0)-MATCH($E$2,mission_ACH_criteria!$1:$1,0)+1,FALSE)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TVCMランクミッション（5/30まで）_x000D_プレイヤーランクを200まで上げよう！</v>
      </c>
      <c r="G41" s="27" t="s">
        <v>107</v>
      </c>
      <c r="H41" s="31" t="str">
        <f t="shared" ca="1" si="15"/>
        <v>ポリゴン x 5</v>
      </c>
      <c r="I41" s="31" t="str">
        <f ca="1">VLOOKUP($G41,OFFSET(mission_ACH!$A$2,0,0,COUNTA($A:$A),MATCH(I$2,mission_ACH!$2:$2,0)-MATCH($G$2,mission_ACH!$2:$2,0)+1),MATCH(I$2,mission_ACH!$2:$2,0)-MATCH($G$2,mission_ACH!$2:$2,0)+1,FALSE)</f>
        <v>polygon</v>
      </c>
      <c r="J41" s="31">
        <f ca="1">VLOOKUP($G41,OFFSET(mission_ACH!$A$2,0,0,COUNTA($A:$A),MATCH(J$2,mission_ACH!$2:$2,0)-MATCH($G$2,mission_ACH!$2:$2,0)+1),MATCH(J$2,mission_ACH!$2:$2,0)-MATCH($G$2,mission_ACH!$2:$2,0)+1,FALSE)</f>
        <v>5</v>
      </c>
      <c r="K41" s="31" t="str">
        <f ca="1">IF(I41="unit",VLOOKUP($G41,OFFSET(mission_ACH!$A$2,0,0,COUNTA($A:$A),MATCH(K$2,mission_ACH!$2:$2,0)-MATCH($G$2,mission_ACH!$2:$2,0)+1),MATCH(K$2,mission_ACH!$2:$2,0)-MATCH($G$2,mission_ACH!$2:$2,0)+1,FALSE),"")</f>
        <v/>
      </c>
      <c r="L41" s="31">
        <f ca="1">VLOOKUP($G41,OFFSET(mission_ACH!$A$2,0,0,COUNTA($A:$A),MATCH(L$2,mission_ACH!$2:$2,0)-MATCH($G$2,mission_ACH!$2:$2,0)+1),MATCH(L$2,mission_ACH!$2:$2,0)-MATCH($G$2,mission_ACH!$2:$2,0)+1,FALSE)</f>
        <v>0</v>
      </c>
      <c r="M41" s="27">
        <v>90</v>
      </c>
      <c r="N41" s="87" t="s">
        <v>1341</v>
      </c>
      <c r="O41" s="87" t="s">
        <v>1342</v>
      </c>
    </row>
    <row r="42" spans="1:15" ht="21" customHeight="1" x14ac:dyDescent="0.15">
      <c r="A42" s="27">
        <f>A41+1</f>
        <v>1089</v>
      </c>
      <c r="B42" s="26" t="str">
        <f t="shared" ca="1" si="13"/>
        <v>TVCMランクミッション（5/30まで）_x000D_プレイヤーランクを300まで上げよう！</v>
      </c>
      <c r="C42" s="27" t="s">
        <v>331</v>
      </c>
      <c r="D42" s="31" t="str">
        <f ca="1">VLOOKUP($C42,OFFSET(mission_unlock_criteria!$A$2,0,0,COUNTA(mission_unlock_criteria!$A:$A),MATCH(D$2,mission_unlock_criteria!$2:$2,0)-MATCH($C$2,mission_unlock_criteria!$2:$2,0)+1),MATCH(D$2,mission_unlock_criteria!$2:$2,0)-MATCH($C$2,mission_unlock_criteria!$2:$2,0)+1,FALSE)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2" s="2" t="s">
        <v>1337</v>
      </c>
      <c r="F42" s="31" t="str">
        <f ca="1">VLOOKUP($E42,OFFSET(mission_ACH_criteria!$A$1,0,0,COUNTA(mission_ACH_criteria!$A:$A),MATCH(F$2,mission_ACH_criteria!$1:$1,0)-MATCH($E$2,mission_ACH_criteria!$1:$1,0)+1),MATCH(F$2,mission_ACH_criteria!$1:$1,0)-MATCH($E$2,mission_ACH_criteria!$1:$1,0)+1,FALSE)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TVCMランクミッション（5/30まで）_x000D_プレイヤーランクを300まで上げよう！</v>
      </c>
      <c r="G42" s="27" t="s">
        <v>107</v>
      </c>
      <c r="H42" s="31" t="str">
        <f t="shared" ca="1" si="15"/>
        <v>ポリゴン x 5</v>
      </c>
      <c r="I42" s="31" t="str">
        <f ca="1">VLOOKUP($G42,OFFSET(mission_ACH!$A$2,0,0,COUNTA($A:$A),MATCH(I$2,mission_ACH!$2:$2,0)-MATCH($G$2,mission_ACH!$2:$2,0)+1),MATCH(I$2,mission_ACH!$2:$2,0)-MATCH($G$2,mission_ACH!$2:$2,0)+1,FALSE)</f>
        <v>polygon</v>
      </c>
      <c r="J42" s="31">
        <f ca="1">VLOOKUP($G42,OFFSET(mission_ACH!$A$2,0,0,COUNTA($A:$A),MATCH(J$2,mission_ACH!$2:$2,0)-MATCH($G$2,mission_ACH!$2:$2,0)+1),MATCH(J$2,mission_ACH!$2:$2,0)-MATCH($G$2,mission_ACH!$2:$2,0)+1,FALSE)</f>
        <v>5</v>
      </c>
      <c r="K42" s="31" t="str">
        <f ca="1">IF(I42="unit",VLOOKUP($G42,OFFSET(mission_ACH!$A$2,0,0,COUNTA($A:$A),MATCH(K$2,mission_ACH!$2:$2,0)-MATCH($G$2,mission_ACH!$2:$2,0)+1),MATCH(K$2,mission_ACH!$2:$2,0)-MATCH($G$2,mission_ACH!$2:$2,0)+1,FALSE),"")</f>
        <v/>
      </c>
      <c r="L42" s="31">
        <f ca="1">VLOOKUP($G42,OFFSET(mission_ACH!$A$2,0,0,COUNTA($A:$A),MATCH(L$2,mission_ACH!$2:$2,0)-MATCH($G$2,mission_ACH!$2:$2,0)+1),MATCH(L$2,mission_ACH!$2:$2,0)-MATCH($G$2,mission_ACH!$2:$2,0)+1,FALSE)</f>
        <v>0</v>
      </c>
      <c r="M42" s="27">
        <v>90</v>
      </c>
      <c r="N42" s="87" t="s">
        <v>1341</v>
      </c>
      <c r="O42" s="87" t="s">
        <v>1342</v>
      </c>
    </row>
    <row r="43" spans="1:15" ht="21" customHeight="1" x14ac:dyDescent="0.15">
      <c r="A43" s="27">
        <v>20001</v>
      </c>
      <c r="B43" s="26" t="str">
        <f t="shared" ca="1" si="13"/>
        <v>１周年ランクミッション（8/5まで）_x000D_プレイヤーランクを25まで上げよう！</v>
      </c>
      <c r="C43" s="27" t="s">
        <v>331</v>
      </c>
      <c r="D43" s="31" t="str">
        <f ca="1">VLOOKUP($C43,OFFSET(mission_unlock_criteria!$A$2,0,0,COUNTA(mission_unlock_criteria!$A:$A),MATCH(D$2,mission_unlock_criteria!$2:$2,0)-MATCH($C$2,mission_unlock_criteria!$2:$2,0)+1),MATCH(D$2,mission_unlock_criteria!$2:$2,0)-MATCH($C$2,mission_unlock_criteria!$2:$2,0)+1,FALSE)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3" s="2" t="s">
        <v>1608</v>
      </c>
      <c r="F43" s="31" t="str">
        <f ca="1">VLOOKUP($E43,OFFSET(mission_ACH_criteria!$A$1,0,0,COUNTA(mission_ACH_criteria!$A:$A),MATCH(F$2,mission_ACH_criteria!$1:$1,0)-MATCH($E$2,mission_ACH_criteria!$1:$1,0)+1),MATCH(F$2,mission_ACH_criteria!$1:$1,0)-MATCH($E$2,mission_ACH_criteria!$1:$1,0)+1,FALSE)</f>
        <v>１周年ランクミッション（8/5まで）_x000D_プレイヤーランクを25まで上げよう！</v>
      </c>
      <c r="G43" s="27" t="s">
        <v>1618</v>
      </c>
      <c r="H43" s="31" t="str">
        <f t="shared" ca="1" si="15"/>
        <v>ポリゴン x 10</v>
      </c>
      <c r="I43" s="31" t="str">
        <f ca="1">VLOOKUP($G43,OFFSET(mission_ACH!$A$2,0,0,COUNTA($A:$A),MATCH(I$2,mission_ACH!$2:$2,0)-MATCH($G$2,mission_ACH!$2:$2,0)+1),MATCH(I$2,mission_ACH!$2:$2,0)-MATCH($G$2,mission_ACH!$2:$2,0)+1,FALSE)</f>
        <v>polygon</v>
      </c>
      <c r="J43" s="31">
        <f ca="1">VLOOKUP($G43,OFFSET(mission_ACH!$A$2,0,0,COUNTA($A:$A),MATCH(J$2,mission_ACH!$2:$2,0)-MATCH($G$2,mission_ACH!$2:$2,0)+1),MATCH(J$2,mission_ACH!$2:$2,0)-MATCH($G$2,mission_ACH!$2:$2,0)+1,FALSE)</f>
        <v>10</v>
      </c>
      <c r="K43" s="31" t="str">
        <f ca="1">IF(I43="unit",VLOOKUP($G43,OFFSET(mission_ACH!$A$2,0,0,COUNTA($A:$A),MATCH(K$2,mission_ACH!$2:$2,0)-MATCH($G$2,mission_ACH!$2:$2,0)+1),MATCH(K$2,mission_ACH!$2:$2,0)-MATCH($G$2,mission_ACH!$2:$2,0)+1,FALSE),"")</f>
        <v/>
      </c>
      <c r="L43" s="31">
        <f ca="1">VLOOKUP($G43,OFFSET(mission_ACH!$A$2,0,0,COUNTA($A:$A),MATCH(L$2,mission_ACH!$2:$2,0)-MATCH($G$2,mission_ACH!$2:$2,0)+1),MATCH(L$2,mission_ACH!$2:$2,0)-MATCH($G$2,mission_ACH!$2:$2,0)+1,FALSE)</f>
        <v>0</v>
      </c>
      <c r="M43" s="27">
        <v>90</v>
      </c>
      <c r="N43" s="87" t="s">
        <v>1648</v>
      </c>
      <c r="O43" s="87" t="s">
        <v>1647</v>
      </c>
    </row>
    <row r="44" spans="1:15" ht="21" customHeight="1" x14ac:dyDescent="0.15">
      <c r="A44" s="27">
        <f>A43+1</f>
        <v>20002</v>
      </c>
      <c r="B44" s="26" t="str">
        <f t="shared" ca="1" si="13"/>
        <v>１周年ランクミッション（8/5まで）_x000D_プレイヤーランクを50まで上げよう！</v>
      </c>
      <c r="C44" s="27" t="s">
        <v>331</v>
      </c>
      <c r="D44" s="31" t="str">
        <f ca="1">VLOOKUP($C44,OFFSET(mission_unlock_criteria!$A$2,0,0,COUNTA(mission_unlock_criteria!$A:$A),MATCH(D$2,mission_unlock_criteria!$2:$2,0)-MATCH($C$2,mission_unlock_criteria!$2:$2,0)+1),MATCH(D$2,mission_unlock_criteria!$2:$2,0)-MATCH($C$2,mission_unlock_criteria!$2:$2,0)+1,FALSE)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4" s="2" t="s">
        <v>1609</v>
      </c>
      <c r="F44" s="31" t="str">
        <f ca="1">VLOOKUP($E44,OFFSET(mission_ACH_criteria!$A$1,0,0,COUNTA(mission_ACH_criteria!$A:$A),MATCH(F$2,mission_ACH_criteria!$1:$1,0)-MATCH($E$2,mission_ACH_criteria!$1:$1,0)+1),MATCH(F$2,mission_ACH_criteria!$1:$1,0)-MATCH($E$2,mission_ACH_criteria!$1:$1,0)+1,FALSE)</f>
        <v>１周年ランクミッション（8/5まで）_x000D_プレイヤーランクを50まで上げよう！</v>
      </c>
      <c r="G44" s="27" t="s">
        <v>1618</v>
      </c>
      <c r="H44" s="31" t="str">
        <f t="shared" ca="1" si="15"/>
        <v>ポリゴン x 10</v>
      </c>
      <c r="I44" s="31" t="str">
        <f ca="1">VLOOKUP($G44,OFFSET(mission_ACH!$A$2,0,0,COUNTA($A:$A),MATCH(I$2,mission_ACH!$2:$2,0)-MATCH($G$2,mission_ACH!$2:$2,0)+1),MATCH(I$2,mission_ACH!$2:$2,0)-MATCH($G$2,mission_ACH!$2:$2,0)+1,FALSE)</f>
        <v>polygon</v>
      </c>
      <c r="J44" s="31">
        <f ca="1">VLOOKUP($G44,OFFSET(mission_ACH!$A$2,0,0,COUNTA($A:$A),MATCH(J$2,mission_ACH!$2:$2,0)-MATCH($G$2,mission_ACH!$2:$2,0)+1),MATCH(J$2,mission_ACH!$2:$2,0)-MATCH($G$2,mission_ACH!$2:$2,0)+1,FALSE)</f>
        <v>10</v>
      </c>
      <c r="K44" s="31" t="str">
        <f ca="1">IF(I44="unit",VLOOKUP($G44,OFFSET(mission_ACH!$A$2,0,0,COUNTA($A:$A),MATCH(K$2,mission_ACH!$2:$2,0)-MATCH($G$2,mission_ACH!$2:$2,0)+1),MATCH(K$2,mission_ACH!$2:$2,0)-MATCH($G$2,mission_ACH!$2:$2,0)+1,FALSE),"")</f>
        <v/>
      </c>
      <c r="L44" s="31">
        <f ca="1">VLOOKUP($G44,OFFSET(mission_ACH!$A$2,0,0,COUNTA($A:$A),MATCH(L$2,mission_ACH!$2:$2,0)-MATCH($G$2,mission_ACH!$2:$2,0)+1),MATCH(L$2,mission_ACH!$2:$2,0)-MATCH($G$2,mission_ACH!$2:$2,0)+1,FALSE)</f>
        <v>0</v>
      </c>
      <c r="M44" s="27">
        <v>90</v>
      </c>
      <c r="N44" s="87" t="s">
        <v>1648</v>
      </c>
      <c r="O44" s="87" t="s">
        <v>1647</v>
      </c>
    </row>
    <row r="45" spans="1:15" ht="21" customHeight="1" x14ac:dyDescent="0.15">
      <c r="A45" s="27">
        <f t="shared" ref="A45:A74" si="16">A44+1</f>
        <v>20003</v>
      </c>
      <c r="B45" s="26" t="str">
        <f t="shared" ca="1" si="13"/>
        <v>１周年ランクミッション（8/5まで）_x000D_プレイヤーランクを75まで上げよう！</v>
      </c>
      <c r="C45" s="27" t="s">
        <v>331</v>
      </c>
      <c r="D45" s="31" t="str">
        <f ca="1">VLOOKUP($C45,OFFSET(mission_unlock_criteria!$A$2,0,0,COUNTA(mission_unlock_criteria!$A:$A),MATCH(D$2,mission_unlock_criteria!$2:$2,0)-MATCH($C$2,mission_unlock_criteria!$2:$2,0)+1),MATCH(D$2,mission_unlock_criteria!$2:$2,0)-MATCH($C$2,mission_unlock_criteria!$2:$2,0)+1,FALSE)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5" s="2" t="s">
        <v>1610</v>
      </c>
      <c r="F45" s="31" t="str">
        <f ca="1">VLOOKUP($E45,OFFSET(mission_ACH_criteria!$A$1,0,0,COUNTA(mission_ACH_criteria!$A:$A),MATCH(F$2,mission_ACH_criteria!$1:$1,0)-MATCH($E$2,mission_ACH_criteria!$1:$1,0)+1),MATCH(F$2,mission_ACH_criteria!$1:$1,0)-MATCH($E$2,mission_ACH_criteria!$1:$1,0)+1,FALSE)</f>
        <v>１周年ランクミッション（8/5まで）_x000D_プレイヤーランクを75まで上げよう！</v>
      </c>
      <c r="G45" s="27" t="s">
        <v>1618</v>
      </c>
      <c r="H45" s="31" t="str">
        <f t="shared" ca="1" si="15"/>
        <v>ポリゴン x 10</v>
      </c>
      <c r="I45" s="31" t="str">
        <f ca="1">VLOOKUP($G45,OFFSET(mission_ACH!$A$2,0,0,COUNTA($A:$A),MATCH(I$2,mission_ACH!$2:$2,0)-MATCH($G$2,mission_ACH!$2:$2,0)+1),MATCH(I$2,mission_ACH!$2:$2,0)-MATCH($G$2,mission_ACH!$2:$2,0)+1,FALSE)</f>
        <v>polygon</v>
      </c>
      <c r="J45" s="31">
        <f ca="1">VLOOKUP($G45,OFFSET(mission_ACH!$A$2,0,0,COUNTA($A:$A),MATCH(J$2,mission_ACH!$2:$2,0)-MATCH($G$2,mission_ACH!$2:$2,0)+1),MATCH(J$2,mission_ACH!$2:$2,0)-MATCH($G$2,mission_ACH!$2:$2,0)+1,FALSE)</f>
        <v>10</v>
      </c>
      <c r="K45" s="31" t="str">
        <f ca="1">IF(I45="unit",VLOOKUP($G45,OFFSET(mission_ACH!$A$2,0,0,COUNTA($A:$A),MATCH(K$2,mission_ACH!$2:$2,0)-MATCH($G$2,mission_ACH!$2:$2,0)+1),MATCH(K$2,mission_ACH!$2:$2,0)-MATCH($G$2,mission_ACH!$2:$2,0)+1,FALSE),"")</f>
        <v/>
      </c>
      <c r="L45" s="31">
        <f ca="1">VLOOKUP($G45,OFFSET(mission_ACH!$A$2,0,0,COUNTA($A:$A),MATCH(L$2,mission_ACH!$2:$2,0)-MATCH($G$2,mission_ACH!$2:$2,0)+1),MATCH(L$2,mission_ACH!$2:$2,0)-MATCH($G$2,mission_ACH!$2:$2,0)+1,FALSE)</f>
        <v>0</v>
      </c>
      <c r="M45" s="27">
        <v>90</v>
      </c>
      <c r="N45" s="87" t="s">
        <v>1648</v>
      </c>
      <c r="O45" s="87" t="s">
        <v>1647</v>
      </c>
    </row>
    <row r="46" spans="1:15" ht="21" customHeight="1" x14ac:dyDescent="0.15">
      <c r="A46" s="27">
        <f t="shared" si="16"/>
        <v>20004</v>
      </c>
      <c r="B46" s="26" t="str">
        <f t="shared" ca="1" si="13"/>
        <v>１周年ランクミッション（8/5まで）_x000D_プレイヤーランクを100まで上げよう！</v>
      </c>
      <c r="C46" s="27" t="s">
        <v>331</v>
      </c>
      <c r="D46" s="31" t="str">
        <f ca="1">VLOOKUP($C46,OFFSET(mission_unlock_criteria!$A$2,0,0,COUNTA(mission_unlock_criteria!$A:$A),MATCH(D$2,mission_unlock_criteria!$2:$2,0)-MATCH($C$2,mission_unlock_criteria!$2:$2,0)+1),MATCH(D$2,mission_unlock_criteria!$2:$2,0)-MATCH($C$2,mission_unlock_criteria!$2:$2,0)+1,FALSE)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6" s="2" t="s">
        <v>1611</v>
      </c>
      <c r="F46" s="31" t="str">
        <f ca="1">VLOOKUP($E46,OFFSET(mission_ACH_criteria!$A$1,0,0,COUNTA(mission_ACH_criteria!$A:$A),MATCH(F$2,mission_ACH_criteria!$1:$1,0)-MATCH($E$2,mission_ACH_criteria!$1:$1,0)+1),MATCH(F$2,mission_ACH_criteria!$1:$1,0)-MATCH($E$2,mission_ACH_criteria!$1:$1,0)+1,FALSE)</f>
        <v>１周年ランクミッション（8/5まで）_x000D_プレイヤーランクを100まで上げよう！</v>
      </c>
      <c r="G46" s="27" t="s">
        <v>1618</v>
      </c>
      <c r="H46" s="31" t="str">
        <f t="shared" ca="1" si="15"/>
        <v>ポリゴン x 10</v>
      </c>
      <c r="I46" s="31" t="str">
        <f ca="1">VLOOKUP($G46,OFFSET(mission_ACH!$A$2,0,0,COUNTA($A:$A),MATCH(I$2,mission_ACH!$2:$2,0)-MATCH($G$2,mission_ACH!$2:$2,0)+1),MATCH(I$2,mission_ACH!$2:$2,0)-MATCH($G$2,mission_ACH!$2:$2,0)+1,FALSE)</f>
        <v>polygon</v>
      </c>
      <c r="J46" s="31">
        <f ca="1">VLOOKUP($G46,OFFSET(mission_ACH!$A$2,0,0,COUNTA($A:$A),MATCH(J$2,mission_ACH!$2:$2,0)-MATCH($G$2,mission_ACH!$2:$2,0)+1),MATCH(J$2,mission_ACH!$2:$2,0)-MATCH($G$2,mission_ACH!$2:$2,0)+1,FALSE)</f>
        <v>10</v>
      </c>
      <c r="K46" s="31" t="str">
        <f ca="1">IF(I46="unit",VLOOKUP($G46,OFFSET(mission_ACH!$A$2,0,0,COUNTA($A:$A),MATCH(K$2,mission_ACH!$2:$2,0)-MATCH($G$2,mission_ACH!$2:$2,0)+1),MATCH(K$2,mission_ACH!$2:$2,0)-MATCH($G$2,mission_ACH!$2:$2,0)+1,FALSE),"")</f>
        <v/>
      </c>
      <c r="L46" s="31">
        <f ca="1">VLOOKUP($G46,OFFSET(mission_ACH!$A$2,0,0,COUNTA($A:$A),MATCH(L$2,mission_ACH!$2:$2,0)-MATCH($G$2,mission_ACH!$2:$2,0)+1),MATCH(L$2,mission_ACH!$2:$2,0)-MATCH($G$2,mission_ACH!$2:$2,0)+1,FALSE)</f>
        <v>0</v>
      </c>
      <c r="M46" s="27">
        <v>90</v>
      </c>
      <c r="N46" s="87" t="s">
        <v>1648</v>
      </c>
      <c r="O46" s="87" t="s">
        <v>1647</v>
      </c>
    </row>
    <row r="47" spans="1:15" ht="21" customHeight="1" x14ac:dyDescent="0.15">
      <c r="A47" s="27">
        <f t="shared" si="16"/>
        <v>20005</v>
      </c>
      <c r="B47" s="26" t="str">
        <f t="shared" ca="1" si="13"/>
        <v>１周年ランクミッション（8/5まで）_x000D_プレイヤーランクを125まで上げよう！</v>
      </c>
      <c r="C47" s="27" t="s">
        <v>331</v>
      </c>
      <c r="D47" s="31" t="str">
        <f ca="1">VLOOKUP($C47,OFFSET(mission_unlock_criteria!$A$2,0,0,COUNTA(mission_unlock_criteria!$A:$A),MATCH(D$2,mission_unlock_criteria!$2:$2,0)-MATCH($C$2,mission_unlock_criteria!$2:$2,0)+1),MATCH(D$2,mission_unlock_criteria!$2:$2,0)-MATCH($C$2,mission_unlock_criteria!$2:$2,0)+1,FALSE)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7" s="2" t="s">
        <v>1612</v>
      </c>
      <c r="F47" s="31" t="str">
        <f ca="1">VLOOKUP($E47,OFFSET(mission_ACH_criteria!$A$1,0,0,COUNTA(mission_ACH_criteria!$A:$A),MATCH(F$2,mission_ACH_criteria!$1:$1,0)-MATCH($E$2,mission_ACH_criteria!$1:$1,0)+1),MATCH(F$2,mission_ACH_criteria!$1:$1,0)-MATCH($E$2,mission_ACH_criteria!$1:$1,0)+1,FALSE)</f>
        <v>１周年ランクミッション（8/5まで）_x000D_プレイヤーランクを125まで上げよう！</v>
      </c>
      <c r="G47" s="27" t="s">
        <v>1618</v>
      </c>
      <c r="H47" s="31" t="str">
        <f t="shared" ca="1" si="15"/>
        <v>ポリゴン x 10</v>
      </c>
      <c r="I47" s="31" t="str">
        <f ca="1">VLOOKUP($G47,OFFSET(mission_ACH!$A$2,0,0,COUNTA($A:$A),MATCH(I$2,mission_ACH!$2:$2,0)-MATCH($G$2,mission_ACH!$2:$2,0)+1),MATCH(I$2,mission_ACH!$2:$2,0)-MATCH($G$2,mission_ACH!$2:$2,0)+1,FALSE)</f>
        <v>polygon</v>
      </c>
      <c r="J47" s="31">
        <f ca="1">VLOOKUP($G47,OFFSET(mission_ACH!$A$2,0,0,COUNTA($A:$A),MATCH(J$2,mission_ACH!$2:$2,0)-MATCH($G$2,mission_ACH!$2:$2,0)+1),MATCH(J$2,mission_ACH!$2:$2,0)-MATCH($G$2,mission_ACH!$2:$2,0)+1,FALSE)</f>
        <v>10</v>
      </c>
      <c r="K47" s="31" t="str">
        <f ca="1">IF(I47="unit",VLOOKUP($G47,OFFSET(mission_ACH!$A$2,0,0,COUNTA($A:$A),MATCH(K$2,mission_ACH!$2:$2,0)-MATCH($G$2,mission_ACH!$2:$2,0)+1),MATCH(K$2,mission_ACH!$2:$2,0)-MATCH($G$2,mission_ACH!$2:$2,0)+1,FALSE),"")</f>
        <v/>
      </c>
      <c r="L47" s="31">
        <f ca="1">VLOOKUP($G47,OFFSET(mission_ACH!$A$2,0,0,COUNTA($A:$A),MATCH(L$2,mission_ACH!$2:$2,0)-MATCH($G$2,mission_ACH!$2:$2,0)+1),MATCH(L$2,mission_ACH!$2:$2,0)-MATCH($G$2,mission_ACH!$2:$2,0)+1,FALSE)</f>
        <v>0</v>
      </c>
      <c r="M47" s="27">
        <v>90</v>
      </c>
      <c r="N47" s="87" t="s">
        <v>1648</v>
      </c>
      <c r="O47" s="87" t="s">
        <v>1647</v>
      </c>
    </row>
    <row r="48" spans="1:15" ht="21" customHeight="1" x14ac:dyDescent="0.15">
      <c r="A48" s="27">
        <f t="shared" si="16"/>
        <v>20006</v>
      </c>
      <c r="B48" s="26" t="str">
        <f t="shared" ca="1" si="13"/>
        <v>１周年ランクミッション（8/5まで）_x000D_プレイヤーランクを150まで上げよう！</v>
      </c>
      <c r="C48" s="27" t="s">
        <v>331</v>
      </c>
      <c r="D48" s="31" t="str">
        <f ca="1">VLOOKUP($C48,OFFSET(mission_unlock_criteria!$A$2,0,0,COUNTA(mission_unlock_criteria!$A:$A),MATCH(D$2,mission_unlock_criteria!$2:$2,0)-MATCH($C$2,mission_unlock_criteria!$2:$2,0)+1),MATCH(D$2,mission_unlock_criteria!$2:$2,0)-MATCH($C$2,mission_unlock_criteria!$2:$2,0)+1,FALSE)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8" s="2" t="s">
        <v>1613</v>
      </c>
      <c r="F48" s="31" t="str">
        <f ca="1">VLOOKUP($E48,OFFSET(mission_ACH_criteria!$A$1,0,0,COUNTA(mission_ACH_criteria!$A:$A),MATCH(F$2,mission_ACH_criteria!$1:$1,0)-MATCH($E$2,mission_ACH_criteria!$1:$1,0)+1),MATCH(F$2,mission_ACH_criteria!$1:$1,0)-MATCH($E$2,mission_ACH_criteria!$1:$1,0)+1,FALSE)</f>
        <v>１周年ランクミッション（8/5まで）_x000D_プレイヤーランクを150まで上げよう！</v>
      </c>
      <c r="G48" s="27" t="s">
        <v>1618</v>
      </c>
      <c r="H48" s="31" t="str">
        <f t="shared" ca="1" si="15"/>
        <v>ポリゴン x 10</v>
      </c>
      <c r="I48" s="31" t="str">
        <f ca="1">VLOOKUP($G48,OFFSET(mission_ACH!$A$2,0,0,COUNTA($A:$A),MATCH(I$2,mission_ACH!$2:$2,0)-MATCH($G$2,mission_ACH!$2:$2,0)+1),MATCH(I$2,mission_ACH!$2:$2,0)-MATCH($G$2,mission_ACH!$2:$2,0)+1,FALSE)</f>
        <v>polygon</v>
      </c>
      <c r="J48" s="31">
        <f ca="1">VLOOKUP($G48,OFFSET(mission_ACH!$A$2,0,0,COUNTA($A:$A),MATCH(J$2,mission_ACH!$2:$2,0)-MATCH($G$2,mission_ACH!$2:$2,0)+1),MATCH(J$2,mission_ACH!$2:$2,0)-MATCH($G$2,mission_ACH!$2:$2,0)+1,FALSE)</f>
        <v>10</v>
      </c>
      <c r="K48" s="31" t="str">
        <f ca="1">IF(I48="unit",VLOOKUP($G48,OFFSET(mission_ACH!$A$2,0,0,COUNTA($A:$A),MATCH(K$2,mission_ACH!$2:$2,0)-MATCH($G$2,mission_ACH!$2:$2,0)+1),MATCH(K$2,mission_ACH!$2:$2,0)-MATCH($G$2,mission_ACH!$2:$2,0)+1,FALSE),"")</f>
        <v/>
      </c>
      <c r="L48" s="31">
        <f ca="1">VLOOKUP($G48,OFFSET(mission_ACH!$A$2,0,0,COUNTA($A:$A),MATCH(L$2,mission_ACH!$2:$2,0)-MATCH($G$2,mission_ACH!$2:$2,0)+1),MATCH(L$2,mission_ACH!$2:$2,0)-MATCH($G$2,mission_ACH!$2:$2,0)+1,FALSE)</f>
        <v>0</v>
      </c>
      <c r="M48" s="27">
        <v>90</v>
      </c>
      <c r="N48" s="87" t="s">
        <v>1648</v>
      </c>
      <c r="O48" s="87" t="s">
        <v>1647</v>
      </c>
    </row>
    <row r="49" spans="1:16" ht="21" customHeight="1" x14ac:dyDescent="0.15">
      <c r="A49" s="27">
        <f t="shared" si="16"/>
        <v>20007</v>
      </c>
      <c r="B49" s="26" t="str">
        <f t="shared" ca="1" si="13"/>
        <v>１周年ランクミッション（8/5まで）_x000D_プレイヤーランクを175まで上げよう！</v>
      </c>
      <c r="C49" s="27" t="s">
        <v>331</v>
      </c>
      <c r="D49" s="31" t="str">
        <f ca="1">VLOOKUP($C49,OFFSET(mission_unlock_criteria!$A$2,0,0,COUNTA(mission_unlock_criteria!$A:$A),MATCH(D$2,mission_unlock_criteria!$2:$2,0)-MATCH($C$2,mission_unlock_criteria!$2:$2,0)+1),MATCH(D$2,mission_unlock_criteria!$2:$2,0)-MATCH($C$2,mission_unlock_criteria!$2:$2,0)+1,FALSE)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9" s="2" t="s">
        <v>1614</v>
      </c>
      <c r="F49" s="31" t="str">
        <f ca="1">VLOOKUP($E49,OFFSET(mission_ACH_criteria!$A$1,0,0,COUNTA(mission_ACH_criteria!$A:$A),MATCH(F$2,mission_ACH_criteria!$1:$1,0)-MATCH($E$2,mission_ACH_criteria!$1:$1,0)+1),MATCH(F$2,mission_ACH_criteria!$1:$1,0)-MATCH($E$2,mission_ACH_criteria!$1:$1,0)+1,FALSE)</f>
        <v>１周年ランクミッション（8/5まで）_x000D_プレイヤーランクを175まで上げよう！</v>
      </c>
      <c r="G49" s="27" t="s">
        <v>1618</v>
      </c>
      <c r="H49" s="31" t="str">
        <f t="shared" ca="1" si="15"/>
        <v>ポリゴン x 10</v>
      </c>
      <c r="I49" s="31" t="str">
        <f ca="1">VLOOKUP($G49,OFFSET(mission_ACH!$A$2,0,0,COUNTA($A:$A),MATCH(I$2,mission_ACH!$2:$2,0)-MATCH($G$2,mission_ACH!$2:$2,0)+1),MATCH(I$2,mission_ACH!$2:$2,0)-MATCH($G$2,mission_ACH!$2:$2,0)+1,FALSE)</f>
        <v>polygon</v>
      </c>
      <c r="J49" s="31">
        <f ca="1">VLOOKUP($G49,OFFSET(mission_ACH!$A$2,0,0,COUNTA($A:$A),MATCH(J$2,mission_ACH!$2:$2,0)-MATCH($G$2,mission_ACH!$2:$2,0)+1),MATCH(J$2,mission_ACH!$2:$2,0)-MATCH($G$2,mission_ACH!$2:$2,0)+1,FALSE)</f>
        <v>10</v>
      </c>
      <c r="K49" s="31" t="str">
        <f ca="1">IF(I49="unit",VLOOKUP($G49,OFFSET(mission_ACH!$A$2,0,0,COUNTA($A:$A),MATCH(K$2,mission_ACH!$2:$2,0)-MATCH($G$2,mission_ACH!$2:$2,0)+1),MATCH(K$2,mission_ACH!$2:$2,0)-MATCH($G$2,mission_ACH!$2:$2,0)+1,FALSE),"")</f>
        <v/>
      </c>
      <c r="L49" s="31">
        <f ca="1">VLOOKUP($G49,OFFSET(mission_ACH!$A$2,0,0,COUNTA($A:$A),MATCH(L$2,mission_ACH!$2:$2,0)-MATCH($G$2,mission_ACH!$2:$2,0)+1),MATCH(L$2,mission_ACH!$2:$2,0)-MATCH($G$2,mission_ACH!$2:$2,0)+1,FALSE)</f>
        <v>0</v>
      </c>
      <c r="M49" s="27">
        <v>90</v>
      </c>
      <c r="N49" s="87" t="s">
        <v>1648</v>
      </c>
      <c r="O49" s="87" t="s">
        <v>1647</v>
      </c>
    </row>
    <row r="50" spans="1:16" ht="21" customHeight="1" x14ac:dyDescent="0.15">
      <c r="A50" s="27">
        <f t="shared" si="16"/>
        <v>20008</v>
      </c>
      <c r="B50" s="26" t="str">
        <f t="shared" ca="1" si="13"/>
        <v>１周年ランクミッション（8/5まで）_x000D_プレイヤーランクを200まで上げよう！</v>
      </c>
      <c r="C50" s="27" t="s">
        <v>331</v>
      </c>
      <c r="D50" s="31" t="str">
        <f ca="1">VLOOKUP($C50,OFFSET(mission_unlock_criteria!$A$2,0,0,COUNTA(mission_unlock_criteria!$A:$A),MATCH(D$2,mission_unlock_criteria!$2:$2,0)-MATCH($C$2,mission_unlock_criteria!$2:$2,0)+1),MATCH(D$2,mission_unlock_criteria!$2:$2,0)-MATCH($C$2,mission_unlock_criteria!$2:$2,0)+1,FALSE)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50" s="2" t="s">
        <v>1615</v>
      </c>
      <c r="F50" s="31" t="str">
        <f ca="1">VLOOKUP($E50,OFFSET(mission_ACH_criteria!$A$1,0,0,COUNTA(mission_ACH_criteria!$A:$A),MATCH(F$2,mission_ACH_criteria!$1:$1,0)-MATCH($E$2,mission_ACH_criteria!$1:$1,0)+1),MATCH(F$2,mission_ACH_criteria!$1:$1,0)-MATCH($E$2,mission_ACH_criteria!$1:$1,0)+1,FALSE)</f>
        <v>１周年ランクミッション（8/5まで）_x000D_プレイヤーランクを200まで上げよう！</v>
      </c>
      <c r="G50" s="27" t="s">
        <v>1618</v>
      </c>
      <c r="H50" s="31" t="str">
        <f t="shared" ca="1" si="15"/>
        <v>ポリゴン x 10</v>
      </c>
      <c r="I50" s="31" t="str">
        <f ca="1">VLOOKUP($G50,OFFSET(mission_ACH!$A$2,0,0,COUNTA($A:$A),MATCH(I$2,mission_ACH!$2:$2,0)-MATCH($G$2,mission_ACH!$2:$2,0)+1),MATCH(I$2,mission_ACH!$2:$2,0)-MATCH($G$2,mission_ACH!$2:$2,0)+1,FALSE)</f>
        <v>polygon</v>
      </c>
      <c r="J50" s="31">
        <f ca="1">VLOOKUP($G50,OFFSET(mission_ACH!$A$2,0,0,COUNTA($A:$A),MATCH(J$2,mission_ACH!$2:$2,0)-MATCH($G$2,mission_ACH!$2:$2,0)+1),MATCH(J$2,mission_ACH!$2:$2,0)-MATCH($G$2,mission_ACH!$2:$2,0)+1,FALSE)</f>
        <v>10</v>
      </c>
      <c r="K50" s="31" t="str">
        <f ca="1">IF(I50="unit",VLOOKUP($G50,OFFSET(mission_ACH!$A$2,0,0,COUNTA($A:$A),MATCH(K$2,mission_ACH!$2:$2,0)-MATCH($G$2,mission_ACH!$2:$2,0)+1),MATCH(K$2,mission_ACH!$2:$2,0)-MATCH($G$2,mission_ACH!$2:$2,0)+1,FALSE),"")</f>
        <v/>
      </c>
      <c r="L50" s="31">
        <f ca="1">VLOOKUP($G50,OFFSET(mission_ACH!$A$2,0,0,COUNTA($A:$A),MATCH(L$2,mission_ACH!$2:$2,0)-MATCH($G$2,mission_ACH!$2:$2,0)+1),MATCH(L$2,mission_ACH!$2:$2,0)-MATCH($G$2,mission_ACH!$2:$2,0)+1,FALSE)</f>
        <v>0</v>
      </c>
      <c r="M50" s="27">
        <v>90</v>
      </c>
      <c r="N50" s="87" t="s">
        <v>1648</v>
      </c>
      <c r="O50" s="87" t="s">
        <v>1647</v>
      </c>
    </row>
    <row r="51" spans="1:16" ht="21" customHeight="1" x14ac:dyDescent="0.15">
      <c r="A51" s="27">
        <f t="shared" si="16"/>
        <v>20009</v>
      </c>
      <c r="B51" s="26" t="str">
        <f t="shared" ca="1" si="13"/>
        <v>１周年ランクミッション（8/5まで）_x000D_プレイヤーランクを225まで上げよう！</v>
      </c>
      <c r="C51" s="27" t="s">
        <v>331</v>
      </c>
      <c r="D51" s="31" t="str">
        <f ca="1">VLOOKUP($C51,OFFSET(mission_unlock_criteria!$A$2,0,0,COUNTA(mission_unlock_criteria!$A:$A),MATCH(D$2,mission_unlock_criteria!$2:$2,0)-MATCH($C$2,mission_unlock_criteria!$2:$2,0)+1),MATCH(D$2,mission_unlock_criteria!$2:$2,0)-MATCH($C$2,mission_unlock_criteria!$2:$2,0)+1,FALSE)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51" s="2" t="s">
        <v>1616</v>
      </c>
      <c r="F51" s="31" t="str">
        <f ca="1">VLOOKUP($E51,OFFSET(mission_ACH_criteria!$A$1,0,0,COUNTA(mission_ACH_criteria!$A:$A),MATCH(F$2,mission_ACH_criteria!$1:$1,0)-MATCH($E$2,mission_ACH_criteria!$1:$1,0)+1),MATCH(F$2,mission_ACH_criteria!$1:$1,0)-MATCH($E$2,mission_ACH_criteria!$1:$1,0)+1,FALSE)</f>
        <v>１周年ランクミッション（8/5まで）_x000D_プレイヤーランクを225まで上げよう！</v>
      </c>
      <c r="G51" s="27" t="s">
        <v>1618</v>
      </c>
      <c r="H51" s="31" t="str">
        <f t="shared" ca="1" si="15"/>
        <v>ポリゴン x 10</v>
      </c>
      <c r="I51" s="31" t="str">
        <f ca="1">VLOOKUP($G51,OFFSET(mission_ACH!$A$2,0,0,COUNTA($A:$A),MATCH(I$2,mission_ACH!$2:$2,0)-MATCH($G$2,mission_ACH!$2:$2,0)+1),MATCH(I$2,mission_ACH!$2:$2,0)-MATCH($G$2,mission_ACH!$2:$2,0)+1,FALSE)</f>
        <v>polygon</v>
      </c>
      <c r="J51" s="31">
        <f ca="1">VLOOKUP($G51,OFFSET(mission_ACH!$A$2,0,0,COUNTA($A:$A),MATCH(J$2,mission_ACH!$2:$2,0)-MATCH($G$2,mission_ACH!$2:$2,0)+1),MATCH(J$2,mission_ACH!$2:$2,0)-MATCH($G$2,mission_ACH!$2:$2,0)+1,FALSE)</f>
        <v>10</v>
      </c>
      <c r="K51" s="31" t="str">
        <f ca="1">IF(I51="unit",VLOOKUP($G51,OFFSET(mission_ACH!$A$2,0,0,COUNTA($A:$A),MATCH(K$2,mission_ACH!$2:$2,0)-MATCH($G$2,mission_ACH!$2:$2,0)+1),MATCH(K$2,mission_ACH!$2:$2,0)-MATCH($G$2,mission_ACH!$2:$2,0)+1,FALSE),"")</f>
        <v/>
      </c>
      <c r="L51" s="31">
        <f ca="1">VLOOKUP($G51,OFFSET(mission_ACH!$A$2,0,0,COUNTA($A:$A),MATCH(L$2,mission_ACH!$2:$2,0)-MATCH($G$2,mission_ACH!$2:$2,0)+1),MATCH(L$2,mission_ACH!$2:$2,0)-MATCH($G$2,mission_ACH!$2:$2,0)+1,FALSE)</f>
        <v>0</v>
      </c>
      <c r="M51" s="27">
        <v>90</v>
      </c>
      <c r="N51" s="87" t="s">
        <v>1648</v>
      </c>
      <c r="O51" s="87" t="s">
        <v>1647</v>
      </c>
    </row>
    <row r="52" spans="1:16" ht="21" customHeight="1" x14ac:dyDescent="0.15">
      <c r="A52" s="27">
        <f t="shared" si="16"/>
        <v>20010</v>
      </c>
      <c r="B52" s="26" t="str">
        <f t="shared" ca="1" si="13"/>
        <v>１周年ランクミッション（8/5まで）_x000D_プレイヤーランクを250まで上げよう！</v>
      </c>
      <c r="C52" s="27" t="s">
        <v>331</v>
      </c>
      <c r="D52" s="31" t="str">
        <f ca="1">VLOOKUP($C52,OFFSET(mission_unlock_criteria!$A$2,0,0,COUNTA(mission_unlock_criteria!$A:$A),MATCH(D$2,mission_unlock_criteria!$2:$2,0)-MATCH($C$2,mission_unlock_criteria!$2:$2,0)+1),MATCH(D$2,mission_unlock_criteria!$2:$2,0)-MATCH($C$2,mission_unlock_criteria!$2:$2,0)+1,FALSE)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52" s="2" t="s">
        <v>1617</v>
      </c>
      <c r="F52" s="31" t="str">
        <f ca="1">VLOOKUP($E52,OFFSET(mission_ACH_criteria!$A$1,0,0,COUNTA(mission_ACH_criteria!$A:$A),MATCH(F$2,mission_ACH_criteria!$1:$1,0)-MATCH($E$2,mission_ACH_criteria!$1:$1,0)+1),MATCH(F$2,mission_ACH_criteria!$1:$1,0)-MATCH($E$2,mission_ACH_criteria!$1:$1,0)+1,FALSE)</f>
        <v>１周年ランクミッション（8/5まで）_x000D_プレイヤーランクを250まで上げよう！</v>
      </c>
      <c r="G52" s="27" t="s">
        <v>1618</v>
      </c>
      <c r="H52" s="31" t="str">
        <f t="shared" ca="1" si="15"/>
        <v>ポリゴン x 10</v>
      </c>
      <c r="I52" s="31" t="str">
        <f ca="1">VLOOKUP($G52,OFFSET(mission_ACH!$A$2,0,0,COUNTA($A:$A),MATCH(I$2,mission_ACH!$2:$2,0)-MATCH($G$2,mission_ACH!$2:$2,0)+1),MATCH(I$2,mission_ACH!$2:$2,0)-MATCH($G$2,mission_ACH!$2:$2,0)+1,FALSE)</f>
        <v>polygon</v>
      </c>
      <c r="J52" s="31">
        <f ca="1">VLOOKUP($G52,OFFSET(mission_ACH!$A$2,0,0,COUNTA($A:$A),MATCH(J$2,mission_ACH!$2:$2,0)-MATCH($G$2,mission_ACH!$2:$2,0)+1),MATCH(J$2,mission_ACH!$2:$2,0)-MATCH($G$2,mission_ACH!$2:$2,0)+1,FALSE)</f>
        <v>10</v>
      </c>
      <c r="K52" s="31" t="str">
        <f ca="1">IF(I52="unit",VLOOKUP($G52,OFFSET(mission_ACH!$A$2,0,0,COUNTA($A:$A),MATCH(K$2,mission_ACH!$2:$2,0)-MATCH($G$2,mission_ACH!$2:$2,0)+1),MATCH(K$2,mission_ACH!$2:$2,0)-MATCH($G$2,mission_ACH!$2:$2,0)+1,FALSE),"")</f>
        <v/>
      </c>
      <c r="L52" s="31">
        <f ca="1">VLOOKUP($G52,OFFSET(mission_ACH!$A$2,0,0,COUNTA($A:$A),MATCH(L$2,mission_ACH!$2:$2,0)-MATCH($G$2,mission_ACH!$2:$2,0)+1),MATCH(L$2,mission_ACH!$2:$2,0)-MATCH($G$2,mission_ACH!$2:$2,0)+1,FALSE)</f>
        <v>0</v>
      </c>
      <c r="M52" s="27">
        <v>90</v>
      </c>
      <c r="N52" s="87" t="s">
        <v>1648</v>
      </c>
      <c r="O52" s="87" t="s">
        <v>1647</v>
      </c>
    </row>
    <row r="53" spans="1:16" ht="21" customHeight="1" x14ac:dyDescent="0.15">
      <c r="A53" s="27">
        <f t="shared" si="16"/>
        <v>20011</v>
      </c>
      <c r="B53" s="26" t="str">
        <f t="shared" ref="B53:B74" ca="1" si="17">F53</f>
        <v>１周年ランクミッション（8/5まで）_x000D_プレイヤーランクを275まで上げよう！</v>
      </c>
      <c r="C53" s="27" t="s">
        <v>331</v>
      </c>
      <c r="D53" s="31" t="str">
        <f ca="1">VLOOKUP($C53,OFFSET(mission_unlock_criteria!$A$2,0,0,COUNTA(mission_unlock_criteria!$A:$A),MATCH(D$2,mission_unlock_criteria!$2:$2,0)-MATCH($C$2,mission_unlock_criteria!$2:$2,0)+1),MATCH(D$2,mission_unlock_criteria!$2:$2,0)-MATCH($C$2,mission_unlock_criteria!$2:$2,0)+1,FALSE)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53" s="2" t="s">
        <v>1619</v>
      </c>
      <c r="F53" s="31" t="str">
        <f ca="1">VLOOKUP($E53,OFFSET(mission_ACH_criteria!$A$1,0,0,COUNTA(mission_ACH_criteria!$A:$A),MATCH(F$2,mission_ACH_criteria!$1:$1,0)-MATCH($E$2,mission_ACH_criteria!$1:$1,0)+1),MATCH(F$2,mission_ACH_criteria!$1:$1,0)-MATCH($E$2,mission_ACH_criteria!$1:$1,0)+1,FALSE)</f>
        <v>１周年ランクミッション（8/5まで）_x000D_プレイヤーランクを275まで上げよう！</v>
      </c>
      <c r="G53" s="27" t="s">
        <v>1618</v>
      </c>
      <c r="H53" s="31" t="str">
        <f t="shared" ref="H53:H56" ca="1" si="18">IF(I53="unit",K53&amp;" x "&amp;L53,IF(I53="polygon","ポリゴン x "&amp;J53,IF(I53="bit","ビット x "&amp;J53,IF(I53="link","リンク x "&amp;J53))))</f>
        <v>ポリゴン x 10</v>
      </c>
      <c r="I53" s="31" t="str">
        <f ca="1">VLOOKUP($G53,OFFSET(mission_ACH!$A$2,0,0,COUNTA($A:$A),MATCH(I$2,mission_ACH!$2:$2,0)-MATCH($G$2,mission_ACH!$2:$2,0)+1),MATCH(I$2,mission_ACH!$2:$2,0)-MATCH($G$2,mission_ACH!$2:$2,0)+1,FALSE)</f>
        <v>polygon</v>
      </c>
      <c r="J53" s="31">
        <f ca="1">VLOOKUP($G53,OFFSET(mission_ACH!$A$2,0,0,COUNTA($A:$A),MATCH(J$2,mission_ACH!$2:$2,0)-MATCH($G$2,mission_ACH!$2:$2,0)+1),MATCH(J$2,mission_ACH!$2:$2,0)-MATCH($G$2,mission_ACH!$2:$2,0)+1,FALSE)</f>
        <v>10</v>
      </c>
      <c r="K53" s="31" t="str">
        <f ca="1">IF(I53="unit",VLOOKUP($G53,OFFSET(mission_ACH!$A$2,0,0,COUNTA($A:$A),MATCH(K$2,mission_ACH!$2:$2,0)-MATCH($G$2,mission_ACH!$2:$2,0)+1),MATCH(K$2,mission_ACH!$2:$2,0)-MATCH($G$2,mission_ACH!$2:$2,0)+1,FALSE),"")</f>
        <v/>
      </c>
      <c r="L53" s="31">
        <f ca="1">VLOOKUP($G53,OFFSET(mission_ACH!$A$2,0,0,COUNTA($A:$A),MATCH(L$2,mission_ACH!$2:$2,0)-MATCH($G$2,mission_ACH!$2:$2,0)+1),MATCH(L$2,mission_ACH!$2:$2,0)-MATCH($G$2,mission_ACH!$2:$2,0)+1,FALSE)</f>
        <v>0</v>
      </c>
      <c r="M53" s="27">
        <v>90</v>
      </c>
      <c r="N53" s="87" t="s">
        <v>1648</v>
      </c>
      <c r="O53" s="87" t="s">
        <v>1647</v>
      </c>
    </row>
    <row r="54" spans="1:16" ht="21" customHeight="1" x14ac:dyDescent="0.15">
      <c r="A54" s="27">
        <f t="shared" si="16"/>
        <v>20012</v>
      </c>
      <c r="B54" s="26" t="str">
        <f t="shared" ca="1" si="17"/>
        <v>１周年ランクミッション（8/5まで）_x000D_プレイヤーランクを300まで上げよう！</v>
      </c>
      <c r="C54" s="27" t="s">
        <v>331</v>
      </c>
      <c r="D54" s="31" t="str">
        <f ca="1">VLOOKUP($C54,OFFSET(mission_unlock_criteria!$A$2,0,0,COUNTA(mission_unlock_criteria!$A:$A),MATCH(D$2,mission_unlock_criteria!$2:$2,0)-MATCH($C$2,mission_unlock_criteria!$2:$2,0)+1),MATCH(D$2,mission_unlock_criteria!$2:$2,0)-MATCH($C$2,mission_unlock_criteria!$2:$2,0)+1,FALSE)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54" s="2" t="s">
        <v>1620</v>
      </c>
      <c r="F54" s="31" t="str">
        <f ca="1">VLOOKUP($E54,OFFSET(mission_ACH_criteria!$A$1,0,0,COUNTA(mission_ACH_criteria!$A:$A),MATCH(F$2,mission_ACH_criteria!$1:$1,0)-MATCH($E$2,mission_ACH_criteria!$1:$1,0)+1),MATCH(F$2,mission_ACH_criteria!$1:$1,0)-MATCH($E$2,mission_ACH_criteria!$1:$1,0)+1,FALSE)</f>
        <v>１周年ランクミッション（8/5まで）_x000D_プレイヤーランクを300まで上げよう！</v>
      </c>
      <c r="G54" s="27" t="s">
        <v>1618</v>
      </c>
      <c r="H54" s="31" t="str">
        <f t="shared" ca="1" si="18"/>
        <v>ポリゴン x 10</v>
      </c>
      <c r="I54" s="31" t="str">
        <f ca="1">VLOOKUP($G54,OFFSET(mission_ACH!$A$2,0,0,COUNTA($A:$A),MATCH(I$2,mission_ACH!$2:$2,0)-MATCH($G$2,mission_ACH!$2:$2,0)+1),MATCH(I$2,mission_ACH!$2:$2,0)-MATCH($G$2,mission_ACH!$2:$2,0)+1,FALSE)</f>
        <v>polygon</v>
      </c>
      <c r="J54" s="31">
        <f ca="1">VLOOKUP($G54,OFFSET(mission_ACH!$A$2,0,0,COUNTA($A:$A),MATCH(J$2,mission_ACH!$2:$2,0)-MATCH($G$2,mission_ACH!$2:$2,0)+1),MATCH(J$2,mission_ACH!$2:$2,0)-MATCH($G$2,mission_ACH!$2:$2,0)+1,FALSE)</f>
        <v>10</v>
      </c>
      <c r="K54" s="31" t="str">
        <f ca="1">IF(I54="unit",VLOOKUP($G54,OFFSET(mission_ACH!$A$2,0,0,COUNTA($A:$A),MATCH(K$2,mission_ACH!$2:$2,0)-MATCH($G$2,mission_ACH!$2:$2,0)+1),MATCH(K$2,mission_ACH!$2:$2,0)-MATCH($G$2,mission_ACH!$2:$2,0)+1,FALSE),"")</f>
        <v/>
      </c>
      <c r="L54" s="31">
        <f ca="1">VLOOKUP($G54,OFFSET(mission_ACH!$A$2,0,0,COUNTA($A:$A),MATCH(L$2,mission_ACH!$2:$2,0)-MATCH($G$2,mission_ACH!$2:$2,0)+1),MATCH(L$2,mission_ACH!$2:$2,0)-MATCH($G$2,mission_ACH!$2:$2,0)+1,FALSE)</f>
        <v>0</v>
      </c>
      <c r="M54" s="27">
        <v>90</v>
      </c>
      <c r="N54" s="87" t="s">
        <v>1648</v>
      </c>
      <c r="O54" s="87" t="s">
        <v>1647</v>
      </c>
    </row>
    <row r="55" spans="1:16" ht="21" customHeight="1" x14ac:dyDescent="0.15">
      <c r="A55" s="27">
        <f t="shared" si="16"/>
        <v>20013</v>
      </c>
      <c r="B55" s="26" t="str">
        <f t="shared" ca="1" si="17"/>
        <v>１周年ランクミッション（8/5まで）_x000D_プレイヤーランクを325まで上げよう！</v>
      </c>
      <c r="C55" s="27" t="s">
        <v>331</v>
      </c>
      <c r="D55" s="31" t="str">
        <f ca="1">VLOOKUP($C55,OFFSET(mission_unlock_criteria!$A$2,0,0,COUNTA(mission_unlock_criteria!$A:$A),MATCH(D$2,mission_unlock_criteria!$2:$2,0)-MATCH($C$2,mission_unlock_criteria!$2:$2,0)+1),MATCH(D$2,mission_unlock_criteria!$2:$2,0)-MATCH($C$2,mission_unlock_criteria!$2:$2,0)+1,FALSE)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55" s="2" t="s">
        <v>1621</v>
      </c>
      <c r="F55" s="31" t="str">
        <f ca="1">VLOOKUP($E55,OFFSET(mission_ACH_criteria!$A$1,0,0,COUNTA(mission_ACH_criteria!$A:$A),MATCH(F$2,mission_ACH_criteria!$1:$1,0)-MATCH($E$2,mission_ACH_criteria!$1:$1,0)+1),MATCH(F$2,mission_ACH_criteria!$1:$1,0)-MATCH($E$2,mission_ACH_criteria!$1:$1,0)+1,FALSE)</f>
        <v>１周年ランクミッション（8/5まで）_x000D_プレイヤーランクを325まで上げよう！</v>
      </c>
      <c r="G55" s="27" t="s">
        <v>1618</v>
      </c>
      <c r="H55" s="31" t="str">
        <f t="shared" ca="1" si="18"/>
        <v>ポリゴン x 10</v>
      </c>
      <c r="I55" s="31" t="str">
        <f ca="1">VLOOKUP($G55,OFFSET(mission_ACH!$A$2,0,0,COUNTA($A:$A),MATCH(I$2,mission_ACH!$2:$2,0)-MATCH($G$2,mission_ACH!$2:$2,0)+1),MATCH(I$2,mission_ACH!$2:$2,0)-MATCH($G$2,mission_ACH!$2:$2,0)+1,FALSE)</f>
        <v>polygon</v>
      </c>
      <c r="J55" s="31">
        <f ca="1">VLOOKUP($G55,OFFSET(mission_ACH!$A$2,0,0,COUNTA($A:$A),MATCH(J$2,mission_ACH!$2:$2,0)-MATCH($G$2,mission_ACH!$2:$2,0)+1),MATCH(J$2,mission_ACH!$2:$2,0)-MATCH($G$2,mission_ACH!$2:$2,0)+1,FALSE)</f>
        <v>10</v>
      </c>
      <c r="K55" s="31" t="str">
        <f ca="1">IF(I55="unit",VLOOKUP($G55,OFFSET(mission_ACH!$A$2,0,0,COUNTA($A:$A),MATCH(K$2,mission_ACH!$2:$2,0)-MATCH($G$2,mission_ACH!$2:$2,0)+1),MATCH(K$2,mission_ACH!$2:$2,0)-MATCH($G$2,mission_ACH!$2:$2,0)+1,FALSE),"")</f>
        <v/>
      </c>
      <c r="L55" s="31">
        <f ca="1">VLOOKUP($G55,OFFSET(mission_ACH!$A$2,0,0,COUNTA($A:$A),MATCH(L$2,mission_ACH!$2:$2,0)-MATCH($G$2,mission_ACH!$2:$2,0)+1),MATCH(L$2,mission_ACH!$2:$2,0)-MATCH($G$2,mission_ACH!$2:$2,0)+1,FALSE)</f>
        <v>0</v>
      </c>
      <c r="M55" s="27">
        <v>90</v>
      </c>
      <c r="N55" s="87" t="s">
        <v>1648</v>
      </c>
      <c r="O55" s="87" t="s">
        <v>1647</v>
      </c>
    </row>
    <row r="56" spans="1:16" ht="21" customHeight="1" x14ac:dyDescent="0.15">
      <c r="A56" s="27">
        <f t="shared" si="16"/>
        <v>20014</v>
      </c>
      <c r="B56" s="26" t="str">
        <f t="shared" ca="1" si="17"/>
        <v>１周年ランクミッション（8/5まで）_x000D_プレイヤーランクを350まで上げよう！</v>
      </c>
      <c r="C56" s="27" t="s">
        <v>331</v>
      </c>
      <c r="D56" s="31" t="str">
        <f ca="1">VLOOKUP($C56,OFFSET(mission_unlock_criteria!$A$2,0,0,COUNTA(mission_unlock_criteria!$A:$A),MATCH(D$2,mission_unlock_criteria!$2:$2,0)-MATCH($C$2,mission_unlock_criteria!$2:$2,0)+1),MATCH(D$2,mission_unlock_criteria!$2:$2,0)-MATCH($C$2,mission_unlock_criteria!$2:$2,0)+1,FALSE)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56" s="2" t="s">
        <v>1622</v>
      </c>
      <c r="F56" s="31" t="str">
        <f ca="1">VLOOKUP($E56,OFFSET(mission_ACH_criteria!$A$1,0,0,COUNTA(mission_ACH_criteria!$A:$A),MATCH(F$2,mission_ACH_criteria!$1:$1,0)-MATCH($E$2,mission_ACH_criteria!$1:$1,0)+1),MATCH(F$2,mission_ACH_criteria!$1:$1,0)-MATCH($E$2,mission_ACH_criteria!$1:$1,0)+1,FALSE)</f>
        <v>１周年ランクミッション（8/5まで）_x000D_プレイヤーランクを350まで上げよう！</v>
      </c>
      <c r="G56" s="27" t="s">
        <v>1618</v>
      </c>
      <c r="H56" s="31" t="str">
        <f t="shared" ca="1" si="18"/>
        <v>ポリゴン x 10</v>
      </c>
      <c r="I56" s="31" t="str">
        <f ca="1">VLOOKUP($G56,OFFSET(mission_ACH!$A$2,0,0,COUNTA($A:$A),MATCH(I$2,mission_ACH!$2:$2,0)-MATCH($G$2,mission_ACH!$2:$2,0)+1),MATCH(I$2,mission_ACH!$2:$2,0)-MATCH($G$2,mission_ACH!$2:$2,0)+1,FALSE)</f>
        <v>polygon</v>
      </c>
      <c r="J56" s="31">
        <f ca="1">VLOOKUP($G56,OFFSET(mission_ACH!$A$2,0,0,COUNTA($A:$A),MATCH(J$2,mission_ACH!$2:$2,0)-MATCH($G$2,mission_ACH!$2:$2,0)+1),MATCH(J$2,mission_ACH!$2:$2,0)-MATCH($G$2,mission_ACH!$2:$2,0)+1,FALSE)</f>
        <v>10</v>
      </c>
      <c r="K56" s="31" t="str">
        <f ca="1">IF(I56="unit",VLOOKUP($G56,OFFSET(mission_ACH!$A$2,0,0,COUNTA($A:$A),MATCH(K$2,mission_ACH!$2:$2,0)-MATCH($G$2,mission_ACH!$2:$2,0)+1),MATCH(K$2,mission_ACH!$2:$2,0)-MATCH($G$2,mission_ACH!$2:$2,0)+1,FALSE),"")</f>
        <v/>
      </c>
      <c r="L56" s="31">
        <f ca="1">VLOOKUP($G56,OFFSET(mission_ACH!$A$2,0,0,COUNTA($A:$A),MATCH(L$2,mission_ACH!$2:$2,0)-MATCH($G$2,mission_ACH!$2:$2,0)+1),MATCH(L$2,mission_ACH!$2:$2,0)-MATCH($G$2,mission_ACH!$2:$2,0)+1,FALSE)</f>
        <v>0</v>
      </c>
      <c r="M56" s="27">
        <v>90</v>
      </c>
      <c r="N56" s="87" t="s">
        <v>1648</v>
      </c>
      <c r="O56" s="87" t="s">
        <v>1647</v>
      </c>
    </row>
    <row r="57" spans="1:16" ht="21" customHeight="1" x14ac:dyDescent="0.2">
      <c r="A57" s="27">
        <f t="shared" si="16"/>
        <v>20015</v>
      </c>
      <c r="B57" s="26" t="str">
        <f t="shared" ca="1" si="17"/>
        <v>TVCMランクミッション_x000D_プレイヤーランクを5まで上げよう！</v>
      </c>
      <c r="C57" s="27" t="s">
        <v>331</v>
      </c>
      <c r="D57" s="31" t="str">
        <f ca="1">VLOOKUP($C57,OFFSET(mission_unlock_criteria!$A$2,0,0,COUNTA(mission_unlock_criteria!$A:$A),MATCH(D$2,mission_unlock_criteria!$2:$2,0)-MATCH($C$2,mission_unlock_criteria!$2:$2,0)+1),MATCH(D$2,mission_unlock_criteria!$2:$2,0)-MATCH($C$2,mission_unlock_criteria!$2:$2,0)+1,FALSE)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57" s="2" t="s">
        <v>1688</v>
      </c>
      <c r="F57" s="31" t="str">
        <f ca="1">VLOOKUP($E57,OFFSET(mission_ACH_criteria!$A$1,0,0,COUNTA(mission_ACH_criteria!$A:$A),MATCH(F$2,mission_ACH_criteria!$1:$1,0)-MATCH($E$2,mission_ACH_criteria!$1:$1,0)+1),MATCH(F$2,mission_ACH_criteria!$1:$1,0)-MATCH($E$2,mission_ACH_criteria!$1:$1,0)+1,FALSE)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TVCMランクミッション_x000D_プレイヤーランクを5まで上げよう！</v>
      </c>
      <c r="G57" s="27" t="s">
        <v>1708</v>
      </c>
      <c r="H57" s="31" t="str">
        <f t="shared" ref="H57" ca="1" si="19">IF(I57="unit",K57&amp;" x "&amp;L57,IF(I57="polygon","ポリゴン x "&amp;J57,IF(I57="bit","ビット x "&amp;J57,IF(I57="link","リンク x "&amp;J57))))</f>
        <v>ポリゴン x 5</v>
      </c>
      <c r="I57" s="31" t="str">
        <f ca="1">VLOOKUP($G57,OFFSET(mission_ACH!$A$2,0,0,COUNTA($A:$A),MATCH(I$2,mission_ACH!$2:$2,0)-MATCH($G$2,mission_ACH!$2:$2,0)+1),MATCH(I$2,mission_ACH!$2:$2,0)-MATCH($G$2,mission_ACH!$2:$2,0)+1,FALSE)</f>
        <v>polygon</v>
      </c>
      <c r="J57" s="31">
        <f ca="1">VLOOKUP($G57,OFFSET(mission_ACH!$A$2,0,0,COUNTA($A:$A),MATCH(J$2,mission_ACH!$2:$2,0)-MATCH($G$2,mission_ACH!$2:$2,0)+1),MATCH(J$2,mission_ACH!$2:$2,0)-MATCH($G$2,mission_ACH!$2:$2,0)+1,FALSE)</f>
        <v>5</v>
      </c>
      <c r="K57" s="31" t="str">
        <f ca="1">IF(I57="unit",VLOOKUP($G57,OFFSET(mission_ACH!$A$2,0,0,COUNTA($A:$A),MATCH(K$2,mission_ACH!$2:$2,0)-MATCH($G$2,mission_ACH!$2:$2,0)+1),MATCH(K$2,mission_ACH!$2:$2,0)-MATCH($G$2,mission_ACH!$2:$2,0)+1,FALSE),"")</f>
        <v/>
      </c>
      <c r="L57" s="31">
        <f ca="1">VLOOKUP($G57,OFFSET(mission_ACH!$A$2,0,0,COUNTA($A:$A),MATCH(L$2,mission_ACH!$2:$2,0)-MATCH($G$2,mission_ACH!$2:$2,0)+1),MATCH(L$2,mission_ACH!$2:$2,0)-MATCH($G$2,mission_ACH!$2:$2,0)+1,FALSE)</f>
        <v>0</v>
      </c>
      <c r="M57" s="27">
        <v>90</v>
      </c>
      <c r="N57" s="87" t="s">
        <v>1710</v>
      </c>
      <c r="O57" s="87" t="s">
        <v>1711</v>
      </c>
      <c r="P57" s="111" t="s">
        <v>1709</v>
      </c>
    </row>
    <row r="58" spans="1:16" ht="21" customHeight="1" x14ac:dyDescent="0.15">
      <c r="A58" s="27">
        <f t="shared" si="16"/>
        <v>20016</v>
      </c>
      <c r="B58" s="26" t="str">
        <f t="shared" ca="1" si="17"/>
        <v>TVCMランクミッション_x000D_プレイヤーランクを10まで上げよう！</v>
      </c>
      <c r="C58" s="27" t="s">
        <v>331</v>
      </c>
      <c r="D58" s="31" t="str">
        <f ca="1">VLOOKUP($C58,OFFSET(mission_unlock_criteria!$A$2,0,0,COUNTA(mission_unlock_criteria!$A:$A),MATCH(D$2,mission_unlock_criteria!$2:$2,0)-MATCH($C$2,mission_unlock_criteria!$2:$2,0)+1),MATCH(D$2,mission_unlock_criteria!$2:$2,0)-MATCH($C$2,mission_unlock_criteria!$2:$2,0)+1,FALSE)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58" s="2" t="s">
        <v>1689</v>
      </c>
      <c r="F58" s="31" t="str">
        <f ca="1">VLOOKUP($E58,OFFSET(mission_ACH_criteria!$A$1,0,0,COUNTA(mission_ACH_criteria!$A:$A),MATCH(F$2,mission_ACH_criteria!$1:$1,0)-MATCH($E$2,mission_ACH_criteria!$1:$1,0)+1),MATCH(F$2,mission_ACH_criteria!$1:$1,0)-MATCH($E$2,mission_ACH_criteria!$1:$1,0)+1,FALSE)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TVCMランクミッション_x000D_プレイヤーランクを10まで上げよう！</v>
      </c>
      <c r="G58" s="27" t="s">
        <v>1708</v>
      </c>
      <c r="H58" s="31" t="str">
        <f t="shared" ref="H58:H74" ca="1" si="20">IF(I58="unit",K58&amp;" x "&amp;L58,IF(I58="polygon","ポリゴン x "&amp;J58,IF(I58="bit","ビット x "&amp;J58,IF(I58="link","リンク x "&amp;J58))))</f>
        <v>ポリゴン x 5</v>
      </c>
      <c r="I58" s="31" t="str">
        <f ca="1">VLOOKUP($G58,OFFSET(mission_ACH!$A$2,0,0,COUNTA($A:$A),MATCH(I$2,mission_ACH!$2:$2,0)-MATCH($G$2,mission_ACH!$2:$2,0)+1),MATCH(I$2,mission_ACH!$2:$2,0)-MATCH($G$2,mission_ACH!$2:$2,0)+1,FALSE)</f>
        <v>polygon</v>
      </c>
      <c r="J58" s="31">
        <f ca="1">VLOOKUP($G58,OFFSET(mission_ACH!$A$2,0,0,COUNTA($A:$A),MATCH(J$2,mission_ACH!$2:$2,0)-MATCH($G$2,mission_ACH!$2:$2,0)+1),MATCH(J$2,mission_ACH!$2:$2,0)-MATCH($G$2,mission_ACH!$2:$2,0)+1,FALSE)</f>
        <v>5</v>
      </c>
      <c r="K58" s="31" t="str">
        <f ca="1">IF(I58="unit",VLOOKUP($G58,OFFSET(mission_ACH!$A$2,0,0,COUNTA($A:$A),MATCH(K$2,mission_ACH!$2:$2,0)-MATCH($G$2,mission_ACH!$2:$2,0)+1),MATCH(K$2,mission_ACH!$2:$2,0)-MATCH($G$2,mission_ACH!$2:$2,0)+1,FALSE),"")</f>
        <v/>
      </c>
      <c r="L58" s="31">
        <f ca="1">VLOOKUP($G58,OFFSET(mission_ACH!$A$2,0,0,COUNTA($A:$A),MATCH(L$2,mission_ACH!$2:$2,0)-MATCH($G$2,mission_ACH!$2:$2,0)+1),MATCH(L$2,mission_ACH!$2:$2,0)-MATCH($G$2,mission_ACH!$2:$2,0)+1,FALSE)</f>
        <v>0</v>
      </c>
      <c r="M58" s="27">
        <v>90</v>
      </c>
      <c r="N58" s="87" t="s">
        <v>1710</v>
      </c>
      <c r="O58" s="87" t="s">
        <v>1711</v>
      </c>
    </row>
    <row r="59" spans="1:16" ht="21" customHeight="1" x14ac:dyDescent="0.15">
      <c r="A59" s="27">
        <f t="shared" si="16"/>
        <v>20017</v>
      </c>
      <c r="B59" s="26" t="str">
        <f t="shared" ca="1" si="17"/>
        <v>TVCMランクミッション_x000D_プレイヤーランクを15まで上げよう！</v>
      </c>
      <c r="C59" s="27" t="s">
        <v>331</v>
      </c>
      <c r="D59" s="31" t="str">
        <f ca="1">VLOOKUP($C59,OFFSET(mission_unlock_criteria!$A$2,0,0,COUNTA(mission_unlock_criteria!$A:$A),MATCH(D$2,mission_unlock_criteria!$2:$2,0)-MATCH($C$2,mission_unlock_criteria!$2:$2,0)+1),MATCH(D$2,mission_unlock_criteria!$2:$2,0)-MATCH($C$2,mission_unlock_criteria!$2:$2,0)+1,FALSE)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59" s="2" t="s">
        <v>1690</v>
      </c>
      <c r="F59" s="31" t="str">
        <f ca="1">VLOOKUP($E59,OFFSET(mission_ACH_criteria!$A$1,0,0,COUNTA(mission_ACH_criteria!$A:$A),MATCH(F$2,mission_ACH_criteria!$1:$1,0)-MATCH($E$2,mission_ACH_criteria!$1:$1,0)+1),MATCH(F$2,mission_ACH_criteria!$1:$1,0)-MATCH($E$2,mission_ACH_criteria!$1:$1,0)+1,FALSE)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TVCMランクミッション_x000D_プレイヤーランクを15まで上げよう！</v>
      </c>
      <c r="G59" s="27" t="s">
        <v>1708</v>
      </c>
      <c r="H59" s="31" t="str">
        <f t="shared" ca="1" si="20"/>
        <v>ポリゴン x 5</v>
      </c>
      <c r="I59" s="31" t="str">
        <f ca="1">VLOOKUP($G59,OFFSET(mission_ACH!$A$2,0,0,COUNTA($A:$A),MATCH(I$2,mission_ACH!$2:$2,0)-MATCH($G$2,mission_ACH!$2:$2,0)+1),MATCH(I$2,mission_ACH!$2:$2,0)-MATCH($G$2,mission_ACH!$2:$2,0)+1,FALSE)</f>
        <v>polygon</v>
      </c>
      <c r="J59" s="31">
        <f ca="1">VLOOKUP($G59,OFFSET(mission_ACH!$A$2,0,0,COUNTA($A:$A),MATCH(J$2,mission_ACH!$2:$2,0)-MATCH($G$2,mission_ACH!$2:$2,0)+1),MATCH(J$2,mission_ACH!$2:$2,0)-MATCH($G$2,mission_ACH!$2:$2,0)+1,FALSE)</f>
        <v>5</v>
      </c>
      <c r="K59" s="31" t="str">
        <f ca="1">IF(I59="unit",VLOOKUP($G59,OFFSET(mission_ACH!$A$2,0,0,COUNTA($A:$A),MATCH(K$2,mission_ACH!$2:$2,0)-MATCH($G$2,mission_ACH!$2:$2,0)+1),MATCH(K$2,mission_ACH!$2:$2,0)-MATCH($G$2,mission_ACH!$2:$2,0)+1,FALSE),"")</f>
        <v/>
      </c>
      <c r="L59" s="31">
        <f ca="1">VLOOKUP($G59,OFFSET(mission_ACH!$A$2,0,0,COUNTA($A:$A),MATCH(L$2,mission_ACH!$2:$2,0)-MATCH($G$2,mission_ACH!$2:$2,0)+1),MATCH(L$2,mission_ACH!$2:$2,0)-MATCH($G$2,mission_ACH!$2:$2,0)+1,FALSE)</f>
        <v>0</v>
      </c>
      <c r="M59" s="27">
        <v>90</v>
      </c>
      <c r="N59" s="87" t="s">
        <v>1710</v>
      </c>
      <c r="O59" s="87" t="s">
        <v>1711</v>
      </c>
    </row>
    <row r="60" spans="1:16" ht="21" customHeight="1" x14ac:dyDescent="0.15">
      <c r="A60" s="27">
        <f t="shared" si="16"/>
        <v>20018</v>
      </c>
      <c r="B60" s="26" t="str">
        <f t="shared" ca="1" si="17"/>
        <v>TVCMランクミッション_x000D_プレイヤーランクを20まで上げよう！</v>
      </c>
      <c r="C60" s="27" t="s">
        <v>331</v>
      </c>
      <c r="D60" s="31" t="str">
        <f ca="1">VLOOKUP($C60,OFFSET(mission_unlock_criteria!$A$2,0,0,COUNTA(mission_unlock_criteria!$A:$A),MATCH(D$2,mission_unlock_criteria!$2:$2,0)-MATCH($C$2,mission_unlock_criteria!$2:$2,0)+1),MATCH(D$2,mission_unlock_criteria!$2:$2,0)-MATCH($C$2,mission_unlock_criteria!$2:$2,0)+1,FALSE)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60" s="2" t="s">
        <v>1691</v>
      </c>
      <c r="F60" s="31" t="str">
        <f ca="1">VLOOKUP($E60,OFFSET(mission_ACH_criteria!$A$1,0,0,COUNTA(mission_ACH_criteria!$A:$A),MATCH(F$2,mission_ACH_criteria!$1:$1,0)-MATCH($E$2,mission_ACH_criteria!$1:$1,0)+1),MATCH(F$2,mission_ACH_criteria!$1:$1,0)-MATCH($E$2,mission_ACH_criteria!$1:$1,0)+1,FALSE)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TVCMランクミッション_x000D_プレイヤーランクを20まで上げよう！</v>
      </c>
      <c r="G60" s="27" t="s">
        <v>1708</v>
      </c>
      <c r="H60" s="31" t="str">
        <f t="shared" ca="1" si="20"/>
        <v>ポリゴン x 5</v>
      </c>
      <c r="I60" s="31" t="str">
        <f ca="1">VLOOKUP($G60,OFFSET(mission_ACH!$A$2,0,0,COUNTA($A:$A),MATCH(I$2,mission_ACH!$2:$2,0)-MATCH($G$2,mission_ACH!$2:$2,0)+1),MATCH(I$2,mission_ACH!$2:$2,0)-MATCH($G$2,mission_ACH!$2:$2,0)+1,FALSE)</f>
        <v>polygon</v>
      </c>
      <c r="J60" s="31">
        <f ca="1">VLOOKUP($G60,OFFSET(mission_ACH!$A$2,0,0,COUNTA($A:$A),MATCH(J$2,mission_ACH!$2:$2,0)-MATCH($G$2,mission_ACH!$2:$2,0)+1),MATCH(J$2,mission_ACH!$2:$2,0)-MATCH($G$2,mission_ACH!$2:$2,0)+1,FALSE)</f>
        <v>5</v>
      </c>
      <c r="K60" s="31" t="str">
        <f ca="1">IF(I60="unit",VLOOKUP($G60,OFFSET(mission_ACH!$A$2,0,0,COUNTA($A:$A),MATCH(K$2,mission_ACH!$2:$2,0)-MATCH($G$2,mission_ACH!$2:$2,0)+1),MATCH(K$2,mission_ACH!$2:$2,0)-MATCH($G$2,mission_ACH!$2:$2,0)+1,FALSE),"")</f>
        <v/>
      </c>
      <c r="L60" s="31">
        <f ca="1">VLOOKUP($G60,OFFSET(mission_ACH!$A$2,0,0,COUNTA($A:$A),MATCH(L$2,mission_ACH!$2:$2,0)-MATCH($G$2,mission_ACH!$2:$2,0)+1),MATCH(L$2,mission_ACH!$2:$2,0)-MATCH($G$2,mission_ACH!$2:$2,0)+1,FALSE)</f>
        <v>0</v>
      </c>
      <c r="M60" s="27">
        <v>90</v>
      </c>
      <c r="N60" s="87" t="s">
        <v>1710</v>
      </c>
      <c r="O60" s="87" t="s">
        <v>1711</v>
      </c>
    </row>
    <row r="61" spans="1:16" ht="21" customHeight="1" x14ac:dyDescent="0.15">
      <c r="A61" s="27">
        <f t="shared" si="16"/>
        <v>20019</v>
      </c>
      <c r="B61" s="26" t="str">
        <f t="shared" ca="1" si="17"/>
        <v>TVCMランクミッション_x000D_プレイヤーランクを25まで上げよう！</v>
      </c>
      <c r="C61" s="27" t="s">
        <v>331</v>
      </c>
      <c r="D61" s="31" t="str">
        <f ca="1">VLOOKUP($C61,OFFSET(mission_unlock_criteria!$A$2,0,0,COUNTA(mission_unlock_criteria!$A:$A),MATCH(D$2,mission_unlock_criteria!$2:$2,0)-MATCH($C$2,mission_unlock_criteria!$2:$2,0)+1),MATCH(D$2,mission_unlock_criteria!$2:$2,0)-MATCH($C$2,mission_unlock_criteria!$2:$2,0)+1,FALSE)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61" s="2" t="s">
        <v>1692</v>
      </c>
      <c r="F61" s="31" t="str">
        <f ca="1">VLOOKUP($E61,OFFSET(mission_ACH_criteria!$A$1,0,0,COUNTA(mission_ACH_criteria!$A:$A),MATCH(F$2,mission_ACH_criteria!$1:$1,0)-MATCH($E$2,mission_ACH_criteria!$1:$1,0)+1),MATCH(F$2,mission_ACH_criteria!$1:$1,0)-MATCH($E$2,mission_ACH_criteria!$1:$1,0)+1,FALSE)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TVCMランクミッション_x000D_プレイヤーランクを25まで上げよう！</v>
      </c>
      <c r="G61" s="27" t="s">
        <v>1708</v>
      </c>
      <c r="H61" s="31" t="str">
        <f t="shared" ca="1" si="20"/>
        <v>ポリゴン x 5</v>
      </c>
      <c r="I61" s="31" t="str">
        <f ca="1">VLOOKUP($G61,OFFSET(mission_ACH!$A$2,0,0,COUNTA($A:$A),MATCH(I$2,mission_ACH!$2:$2,0)-MATCH($G$2,mission_ACH!$2:$2,0)+1),MATCH(I$2,mission_ACH!$2:$2,0)-MATCH($G$2,mission_ACH!$2:$2,0)+1,FALSE)</f>
        <v>polygon</v>
      </c>
      <c r="J61" s="31">
        <f ca="1">VLOOKUP($G61,OFFSET(mission_ACH!$A$2,0,0,COUNTA($A:$A),MATCH(J$2,mission_ACH!$2:$2,0)-MATCH($G$2,mission_ACH!$2:$2,0)+1),MATCH(J$2,mission_ACH!$2:$2,0)-MATCH($G$2,mission_ACH!$2:$2,0)+1,FALSE)</f>
        <v>5</v>
      </c>
      <c r="K61" s="31" t="str">
        <f ca="1">IF(I61="unit",VLOOKUP($G61,OFFSET(mission_ACH!$A$2,0,0,COUNTA($A:$A),MATCH(K$2,mission_ACH!$2:$2,0)-MATCH($G$2,mission_ACH!$2:$2,0)+1),MATCH(K$2,mission_ACH!$2:$2,0)-MATCH($G$2,mission_ACH!$2:$2,0)+1,FALSE),"")</f>
        <v/>
      </c>
      <c r="L61" s="31">
        <f ca="1">VLOOKUP($G61,OFFSET(mission_ACH!$A$2,0,0,COUNTA($A:$A),MATCH(L$2,mission_ACH!$2:$2,0)-MATCH($G$2,mission_ACH!$2:$2,0)+1),MATCH(L$2,mission_ACH!$2:$2,0)-MATCH($G$2,mission_ACH!$2:$2,0)+1,FALSE)</f>
        <v>0</v>
      </c>
      <c r="M61" s="27">
        <v>90</v>
      </c>
      <c r="N61" s="87" t="s">
        <v>1710</v>
      </c>
      <c r="O61" s="87" t="s">
        <v>1711</v>
      </c>
    </row>
    <row r="62" spans="1:16" ht="21" customHeight="1" x14ac:dyDescent="0.15">
      <c r="A62" s="27">
        <f t="shared" si="16"/>
        <v>20020</v>
      </c>
      <c r="B62" s="26" t="str">
        <f t="shared" ca="1" si="17"/>
        <v>TVCMランクミッション_x000D_プレイヤーランクを30まで上げよう！</v>
      </c>
      <c r="C62" s="27" t="s">
        <v>331</v>
      </c>
      <c r="D62" s="31" t="str">
        <f ca="1">VLOOKUP($C62,OFFSET(mission_unlock_criteria!$A$2,0,0,COUNTA(mission_unlock_criteria!$A:$A),MATCH(D$2,mission_unlock_criteria!$2:$2,0)-MATCH($C$2,mission_unlock_criteria!$2:$2,0)+1),MATCH(D$2,mission_unlock_criteria!$2:$2,0)-MATCH($C$2,mission_unlock_criteria!$2:$2,0)+1,FALSE)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62" s="2" t="s">
        <v>1693</v>
      </c>
      <c r="F62" s="31" t="str">
        <f ca="1">VLOOKUP($E62,OFFSET(mission_ACH_criteria!$A$1,0,0,COUNTA(mission_ACH_criteria!$A:$A),MATCH(F$2,mission_ACH_criteria!$1:$1,0)-MATCH($E$2,mission_ACH_criteria!$1:$1,0)+1),MATCH(F$2,mission_ACH_criteria!$1:$1,0)-MATCH($E$2,mission_ACH_criteria!$1:$1,0)+1,FALSE)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TVCMランクミッション_x000D_プレイヤーランクを30まで上げよう！</v>
      </c>
      <c r="G62" s="27" t="s">
        <v>1712</v>
      </c>
      <c r="H62" s="31" t="str">
        <f t="shared" ca="1" si="20"/>
        <v>ポリゴン x 10</v>
      </c>
      <c r="I62" s="31" t="str">
        <f ca="1">VLOOKUP($G62,OFFSET(mission_ACH!$A$2,0,0,COUNTA($A:$A),MATCH(I$2,mission_ACH!$2:$2,0)-MATCH($G$2,mission_ACH!$2:$2,0)+1),MATCH(I$2,mission_ACH!$2:$2,0)-MATCH($G$2,mission_ACH!$2:$2,0)+1,FALSE)</f>
        <v>polygon</v>
      </c>
      <c r="J62" s="31">
        <f ca="1">VLOOKUP($G62,OFFSET(mission_ACH!$A$2,0,0,COUNTA($A:$A),MATCH(J$2,mission_ACH!$2:$2,0)-MATCH($G$2,mission_ACH!$2:$2,0)+1),MATCH(J$2,mission_ACH!$2:$2,0)-MATCH($G$2,mission_ACH!$2:$2,0)+1,FALSE)</f>
        <v>10</v>
      </c>
      <c r="K62" s="31" t="str">
        <f ca="1">IF(I62="unit",VLOOKUP($G62,OFFSET(mission_ACH!$A$2,0,0,COUNTA($A:$A),MATCH(K$2,mission_ACH!$2:$2,0)-MATCH($G$2,mission_ACH!$2:$2,0)+1),MATCH(K$2,mission_ACH!$2:$2,0)-MATCH($G$2,mission_ACH!$2:$2,0)+1,FALSE),"")</f>
        <v/>
      </c>
      <c r="L62" s="31">
        <f ca="1">VLOOKUP($G62,OFFSET(mission_ACH!$A$2,0,0,COUNTA($A:$A),MATCH(L$2,mission_ACH!$2:$2,0)-MATCH($G$2,mission_ACH!$2:$2,0)+1),MATCH(L$2,mission_ACH!$2:$2,0)-MATCH($G$2,mission_ACH!$2:$2,0)+1,FALSE)</f>
        <v>0</v>
      </c>
      <c r="M62" s="27">
        <v>90</v>
      </c>
      <c r="N62" s="87" t="s">
        <v>1710</v>
      </c>
      <c r="O62" s="87" t="s">
        <v>1711</v>
      </c>
    </row>
    <row r="63" spans="1:16" ht="21" customHeight="1" x14ac:dyDescent="0.15">
      <c r="A63" s="27">
        <f t="shared" si="16"/>
        <v>20021</v>
      </c>
      <c r="B63" s="26" t="str">
        <f t="shared" ca="1" si="17"/>
        <v>TVCMランクミッション_x000D_プレイヤーランクを40まで上げよう！</v>
      </c>
      <c r="C63" s="27" t="s">
        <v>331</v>
      </c>
      <c r="D63" s="31" t="str">
        <f ca="1">VLOOKUP($C63,OFFSET(mission_unlock_criteria!$A$2,0,0,COUNTA(mission_unlock_criteria!$A:$A),MATCH(D$2,mission_unlock_criteria!$2:$2,0)-MATCH($C$2,mission_unlock_criteria!$2:$2,0)+1),MATCH(D$2,mission_unlock_criteria!$2:$2,0)-MATCH($C$2,mission_unlock_criteria!$2:$2,0)+1,FALSE)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63" s="2" t="s">
        <v>1694</v>
      </c>
      <c r="F63" s="31" t="str">
        <f ca="1">VLOOKUP($E63,OFFSET(mission_ACH_criteria!$A$1,0,0,COUNTA(mission_ACH_criteria!$A:$A),MATCH(F$2,mission_ACH_criteria!$1:$1,0)-MATCH($E$2,mission_ACH_criteria!$1:$1,0)+1),MATCH(F$2,mission_ACH_criteria!$1:$1,0)-MATCH($E$2,mission_ACH_criteria!$1:$1,0)+1,FALSE)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TVCMランクミッション_x000D_プレイヤーランクを40まで上げよう！</v>
      </c>
      <c r="G63" s="27" t="s">
        <v>1708</v>
      </c>
      <c r="H63" s="31" t="str">
        <f t="shared" ca="1" si="20"/>
        <v>ポリゴン x 5</v>
      </c>
      <c r="I63" s="31" t="str">
        <f ca="1">VLOOKUP($G63,OFFSET(mission_ACH!$A$2,0,0,COUNTA($A:$A),MATCH(I$2,mission_ACH!$2:$2,0)-MATCH($G$2,mission_ACH!$2:$2,0)+1),MATCH(I$2,mission_ACH!$2:$2,0)-MATCH($G$2,mission_ACH!$2:$2,0)+1,FALSE)</f>
        <v>polygon</v>
      </c>
      <c r="J63" s="31">
        <f ca="1">VLOOKUP($G63,OFFSET(mission_ACH!$A$2,0,0,COUNTA($A:$A),MATCH(J$2,mission_ACH!$2:$2,0)-MATCH($G$2,mission_ACH!$2:$2,0)+1),MATCH(J$2,mission_ACH!$2:$2,0)-MATCH($G$2,mission_ACH!$2:$2,0)+1,FALSE)</f>
        <v>5</v>
      </c>
      <c r="K63" s="31" t="str">
        <f ca="1">IF(I63="unit",VLOOKUP($G63,OFFSET(mission_ACH!$A$2,0,0,COUNTA($A:$A),MATCH(K$2,mission_ACH!$2:$2,0)-MATCH($G$2,mission_ACH!$2:$2,0)+1),MATCH(K$2,mission_ACH!$2:$2,0)-MATCH($G$2,mission_ACH!$2:$2,0)+1,FALSE),"")</f>
        <v/>
      </c>
      <c r="L63" s="31">
        <f ca="1">VLOOKUP($G63,OFFSET(mission_ACH!$A$2,0,0,COUNTA($A:$A),MATCH(L$2,mission_ACH!$2:$2,0)-MATCH($G$2,mission_ACH!$2:$2,0)+1),MATCH(L$2,mission_ACH!$2:$2,0)-MATCH($G$2,mission_ACH!$2:$2,0)+1,FALSE)</f>
        <v>0</v>
      </c>
      <c r="M63" s="27">
        <v>90</v>
      </c>
      <c r="N63" s="87" t="s">
        <v>1710</v>
      </c>
      <c r="O63" s="87" t="s">
        <v>1711</v>
      </c>
    </row>
    <row r="64" spans="1:16" ht="21" customHeight="1" x14ac:dyDescent="0.15">
      <c r="A64" s="27">
        <f t="shared" si="16"/>
        <v>20022</v>
      </c>
      <c r="B64" s="26" t="str">
        <f t="shared" ca="1" si="17"/>
        <v>TVCMランクミッション_x000D_プレイヤーランクを50まで上げよう！</v>
      </c>
      <c r="C64" s="27" t="s">
        <v>331</v>
      </c>
      <c r="D64" s="31" t="str">
        <f ca="1">VLOOKUP($C64,OFFSET(mission_unlock_criteria!$A$2,0,0,COUNTA(mission_unlock_criteria!$A:$A),MATCH(D$2,mission_unlock_criteria!$2:$2,0)-MATCH($C$2,mission_unlock_criteria!$2:$2,0)+1),MATCH(D$2,mission_unlock_criteria!$2:$2,0)-MATCH($C$2,mission_unlock_criteria!$2:$2,0)+1,FALSE)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64" s="2" t="s">
        <v>1695</v>
      </c>
      <c r="F64" s="31" t="str">
        <f ca="1">VLOOKUP($E64,OFFSET(mission_ACH_criteria!$A$1,0,0,COUNTA(mission_ACH_criteria!$A:$A),MATCH(F$2,mission_ACH_criteria!$1:$1,0)-MATCH($E$2,mission_ACH_criteria!$1:$1,0)+1),MATCH(F$2,mission_ACH_criteria!$1:$1,0)-MATCH($E$2,mission_ACH_criteria!$1:$1,0)+1,FALSE)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TVCMランクミッション_x000D_プレイヤーランクを50まで上げよう！</v>
      </c>
      <c r="G64" s="27" t="s">
        <v>908</v>
      </c>
      <c r="H64" s="31" t="str">
        <f t="shared" ca="1" si="20"/>
        <v>ポリゴン x 10</v>
      </c>
      <c r="I64" s="31" t="str">
        <f ca="1">VLOOKUP($G64,OFFSET(mission_ACH!$A$2,0,0,COUNTA($A:$A),MATCH(I$2,mission_ACH!$2:$2,0)-MATCH($G$2,mission_ACH!$2:$2,0)+1),MATCH(I$2,mission_ACH!$2:$2,0)-MATCH($G$2,mission_ACH!$2:$2,0)+1,FALSE)</f>
        <v>polygon</v>
      </c>
      <c r="J64" s="31">
        <f ca="1">VLOOKUP($G64,OFFSET(mission_ACH!$A$2,0,0,COUNTA($A:$A),MATCH(J$2,mission_ACH!$2:$2,0)-MATCH($G$2,mission_ACH!$2:$2,0)+1),MATCH(J$2,mission_ACH!$2:$2,0)-MATCH($G$2,mission_ACH!$2:$2,0)+1,FALSE)</f>
        <v>10</v>
      </c>
      <c r="K64" s="31" t="str">
        <f ca="1">IF(I64="unit",VLOOKUP($G64,OFFSET(mission_ACH!$A$2,0,0,COUNTA($A:$A),MATCH(K$2,mission_ACH!$2:$2,0)-MATCH($G$2,mission_ACH!$2:$2,0)+1),MATCH(K$2,mission_ACH!$2:$2,0)-MATCH($G$2,mission_ACH!$2:$2,0)+1,FALSE),"")</f>
        <v/>
      </c>
      <c r="L64" s="31">
        <f ca="1">VLOOKUP($G64,OFFSET(mission_ACH!$A$2,0,0,COUNTA($A:$A),MATCH(L$2,mission_ACH!$2:$2,0)-MATCH($G$2,mission_ACH!$2:$2,0)+1),MATCH(L$2,mission_ACH!$2:$2,0)-MATCH($G$2,mission_ACH!$2:$2,0)+1,FALSE)</f>
        <v>0</v>
      </c>
      <c r="M64" s="27">
        <v>90</v>
      </c>
      <c r="N64" s="87" t="s">
        <v>1710</v>
      </c>
      <c r="O64" s="87" t="s">
        <v>1711</v>
      </c>
    </row>
    <row r="65" spans="1:15" ht="21" customHeight="1" x14ac:dyDescent="0.15">
      <c r="A65" s="27">
        <f t="shared" si="16"/>
        <v>20023</v>
      </c>
      <c r="B65" s="26" t="str">
        <f t="shared" ca="1" si="17"/>
        <v>TVCMランクミッション_x000D_プレイヤーランクを75まで上げよう！</v>
      </c>
      <c r="C65" s="27" t="s">
        <v>331</v>
      </c>
      <c r="D65" s="31" t="str">
        <f ca="1">VLOOKUP($C65,OFFSET(mission_unlock_criteria!$A$2,0,0,COUNTA(mission_unlock_criteria!$A:$A),MATCH(D$2,mission_unlock_criteria!$2:$2,0)-MATCH($C$2,mission_unlock_criteria!$2:$2,0)+1),MATCH(D$2,mission_unlock_criteria!$2:$2,0)-MATCH($C$2,mission_unlock_criteria!$2:$2,0)+1,FALSE)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65" s="2" t="s">
        <v>1696</v>
      </c>
      <c r="F65" s="31" t="str">
        <f ca="1">VLOOKUP($E65,OFFSET(mission_ACH_criteria!$A$1,0,0,COUNTA(mission_ACH_criteria!$A:$A),MATCH(F$2,mission_ACH_criteria!$1:$1,0)-MATCH($E$2,mission_ACH_criteria!$1:$1,0)+1),MATCH(F$2,mission_ACH_criteria!$1:$1,0)-MATCH($E$2,mission_ACH_criteria!$1:$1,0)+1,FALSE)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TVCMランクミッション_x000D_プレイヤーランクを75まで上げよう！</v>
      </c>
      <c r="G65" s="27" t="s">
        <v>1708</v>
      </c>
      <c r="H65" s="31" t="str">
        <f t="shared" ca="1" si="20"/>
        <v>ポリゴン x 5</v>
      </c>
      <c r="I65" s="31" t="str">
        <f ca="1">VLOOKUP($G65,OFFSET(mission_ACH!$A$2,0,0,COUNTA($A:$A),MATCH(I$2,mission_ACH!$2:$2,0)-MATCH($G$2,mission_ACH!$2:$2,0)+1),MATCH(I$2,mission_ACH!$2:$2,0)-MATCH($G$2,mission_ACH!$2:$2,0)+1,FALSE)</f>
        <v>polygon</v>
      </c>
      <c r="J65" s="31">
        <f ca="1">VLOOKUP($G65,OFFSET(mission_ACH!$A$2,0,0,COUNTA($A:$A),MATCH(J$2,mission_ACH!$2:$2,0)-MATCH($G$2,mission_ACH!$2:$2,0)+1),MATCH(J$2,mission_ACH!$2:$2,0)-MATCH($G$2,mission_ACH!$2:$2,0)+1,FALSE)</f>
        <v>5</v>
      </c>
      <c r="K65" s="31" t="str">
        <f ca="1">IF(I65="unit",VLOOKUP($G65,OFFSET(mission_ACH!$A$2,0,0,COUNTA($A:$A),MATCH(K$2,mission_ACH!$2:$2,0)-MATCH($G$2,mission_ACH!$2:$2,0)+1),MATCH(K$2,mission_ACH!$2:$2,0)-MATCH($G$2,mission_ACH!$2:$2,0)+1,FALSE),"")</f>
        <v/>
      </c>
      <c r="L65" s="31">
        <f ca="1">VLOOKUP($G65,OFFSET(mission_ACH!$A$2,0,0,COUNTA($A:$A),MATCH(L$2,mission_ACH!$2:$2,0)-MATCH($G$2,mission_ACH!$2:$2,0)+1),MATCH(L$2,mission_ACH!$2:$2,0)-MATCH($G$2,mission_ACH!$2:$2,0)+1,FALSE)</f>
        <v>0</v>
      </c>
      <c r="M65" s="27">
        <v>90</v>
      </c>
      <c r="N65" s="87" t="s">
        <v>1710</v>
      </c>
      <c r="O65" s="87" t="s">
        <v>1711</v>
      </c>
    </row>
    <row r="66" spans="1:15" ht="21" customHeight="1" x14ac:dyDescent="0.15">
      <c r="A66" s="27">
        <f t="shared" si="16"/>
        <v>20024</v>
      </c>
      <c r="B66" s="26" t="str">
        <f t="shared" ca="1" si="17"/>
        <v>TVCMランクミッション_x000D_プレイヤーランクを100まで上げよう！</v>
      </c>
      <c r="C66" s="27" t="s">
        <v>331</v>
      </c>
      <c r="D66" s="31" t="str">
        <f ca="1">VLOOKUP($C66,OFFSET(mission_unlock_criteria!$A$2,0,0,COUNTA(mission_unlock_criteria!$A:$A),MATCH(D$2,mission_unlock_criteria!$2:$2,0)-MATCH($C$2,mission_unlock_criteria!$2:$2,0)+1),MATCH(D$2,mission_unlock_criteria!$2:$2,0)-MATCH($C$2,mission_unlock_criteria!$2:$2,0)+1,FALSE)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66" s="2" t="s">
        <v>1697</v>
      </c>
      <c r="F66" s="31" t="str">
        <f ca="1">VLOOKUP($E66,OFFSET(mission_ACH_criteria!$A$1,0,0,COUNTA(mission_ACH_criteria!$A:$A),MATCH(F$2,mission_ACH_criteria!$1:$1,0)-MATCH($E$2,mission_ACH_criteria!$1:$1,0)+1),MATCH(F$2,mission_ACH_criteria!$1:$1,0)-MATCH($E$2,mission_ACH_criteria!$1:$1,0)+1,FALSE)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TVCMランクミッション_x000D_プレイヤーランクを100まで上げよう！</v>
      </c>
      <c r="G66" s="27" t="s">
        <v>1708</v>
      </c>
      <c r="H66" s="31" t="str">
        <f t="shared" ca="1" si="20"/>
        <v>ポリゴン x 5</v>
      </c>
      <c r="I66" s="31" t="str">
        <f ca="1">VLOOKUP($G66,OFFSET(mission_ACH!$A$2,0,0,COUNTA($A:$A),MATCH(I$2,mission_ACH!$2:$2,0)-MATCH($G$2,mission_ACH!$2:$2,0)+1),MATCH(I$2,mission_ACH!$2:$2,0)-MATCH($G$2,mission_ACH!$2:$2,0)+1,FALSE)</f>
        <v>polygon</v>
      </c>
      <c r="J66" s="31">
        <f ca="1">VLOOKUP($G66,OFFSET(mission_ACH!$A$2,0,0,COUNTA($A:$A),MATCH(J$2,mission_ACH!$2:$2,0)-MATCH($G$2,mission_ACH!$2:$2,0)+1),MATCH(J$2,mission_ACH!$2:$2,0)-MATCH($G$2,mission_ACH!$2:$2,0)+1,FALSE)</f>
        <v>5</v>
      </c>
      <c r="K66" s="31" t="str">
        <f ca="1">IF(I66="unit",VLOOKUP($G66,OFFSET(mission_ACH!$A$2,0,0,COUNTA($A:$A),MATCH(K$2,mission_ACH!$2:$2,0)-MATCH($G$2,mission_ACH!$2:$2,0)+1),MATCH(K$2,mission_ACH!$2:$2,0)-MATCH($G$2,mission_ACH!$2:$2,0)+1,FALSE),"")</f>
        <v/>
      </c>
      <c r="L66" s="31">
        <f ca="1">VLOOKUP($G66,OFFSET(mission_ACH!$A$2,0,0,COUNTA($A:$A),MATCH(L$2,mission_ACH!$2:$2,0)-MATCH($G$2,mission_ACH!$2:$2,0)+1),MATCH(L$2,mission_ACH!$2:$2,0)-MATCH($G$2,mission_ACH!$2:$2,0)+1,FALSE)</f>
        <v>0</v>
      </c>
      <c r="M66" s="27">
        <v>90</v>
      </c>
      <c r="N66" s="87" t="s">
        <v>1710</v>
      </c>
      <c r="O66" s="87" t="s">
        <v>1711</v>
      </c>
    </row>
    <row r="67" spans="1:15" ht="21" customHeight="1" x14ac:dyDescent="0.15">
      <c r="A67" s="27">
        <f t="shared" si="16"/>
        <v>20025</v>
      </c>
      <c r="B67" s="26" t="str">
        <f t="shared" ca="1" si="17"/>
        <v>TVCMランクミッション_x000D_プレイヤーランクを125まで上げよう！</v>
      </c>
      <c r="C67" s="27" t="s">
        <v>331</v>
      </c>
      <c r="D67" s="31" t="str">
        <f ca="1">VLOOKUP($C67,OFFSET(mission_unlock_criteria!$A$2,0,0,COUNTA(mission_unlock_criteria!$A:$A),MATCH(D$2,mission_unlock_criteria!$2:$2,0)-MATCH($C$2,mission_unlock_criteria!$2:$2,0)+1),MATCH(D$2,mission_unlock_criteria!$2:$2,0)-MATCH($C$2,mission_unlock_criteria!$2:$2,0)+1,FALSE)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67" s="2" t="s">
        <v>1698</v>
      </c>
      <c r="F67" s="31" t="str">
        <f ca="1">VLOOKUP($E67,OFFSET(mission_ACH_criteria!$A$1,0,0,COUNTA(mission_ACH_criteria!$A:$A),MATCH(F$2,mission_ACH_criteria!$1:$1,0)-MATCH($E$2,mission_ACH_criteria!$1:$1,0)+1),MATCH(F$2,mission_ACH_criteria!$1:$1,0)-MATCH($E$2,mission_ACH_criteria!$1:$1,0)+1,FALSE)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TVCMランクミッション_x000D_プレイヤーランクを125まで上げよう！</v>
      </c>
      <c r="G67" s="27" t="s">
        <v>1708</v>
      </c>
      <c r="H67" s="31" t="str">
        <f t="shared" ca="1" si="20"/>
        <v>ポリゴン x 5</v>
      </c>
      <c r="I67" s="31" t="str">
        <f ca="1">VLOOKUP($G67,OFFSET(mission_ACH!$A$2,0,0,COUNTA($A:$A),MATCH(I$2,mission_ACH!$2:$2,0)-MATCH($G$2,mission_ACH!$2:$2,0)+1),MATCH(I$2,mission_ACH!$2:$2,0)-MATCH($G$2,mission_ACH!$2:$2,0)+1,FALSE)</f>
        <v>polygon</v>
      </c>
      <c r="J67" s="31">
        <f ca="1">VLOOKUP($G67,OFFSET(mission_ACH!$A$2,0,0,COUNTA($A:$A),MATCH(J$2,mission_ACH!$2:$2,0)-MATCH($G$2,mission_ACH!$2:$2,0)+1),MATCH(J$2,mission_ACH!$2:$2,0)-MATCH($G$2,mission_ACH!$2:$2,0)+1,FALSE)</f>
        <v>5</v>
      </c>
      <c r="K67" s="31" t="str">
        <f ca="1">IF(I67="unit",VLOOKUP($G67,OFFSET(mission_ACH!$A$2,0,0,COUNTA($A:$A),MATCH(K$2,mission_ACH!$2:$2,0)-MATCH($G$2,mission_ACH!$2:$2,0)+1),MATCH(K$2,mission_ACH!$2:$2,0)-MATCH($G$2,mission_ACH!$2:$2,0)+1,FALSE),"")</f>
        <v/>
      </c>
      <c r="L67" s="31">
        <f ca="1">VLOOKUP($G67,OFFSET(mission_ACH!$A$2,0,0,COUNTA($A:$A),MATCH(L$2,mission_ACH!$2:$2,0)-MATCH($G$2,mission_ACH!$2:$2,0)+1),MATCH(L$2,mission_ACH!$2:$2,0)-MATCH($G$2,mission_ACH!$2:$2,0)+1,FALSE)</f>
        <v>0</v>
      </c>
      <c r="M67" s="27">
        <v>90</v>
      </c>
      <c r="N67" s="87" t="s">
        <v>1710</v>
      </c>
      <c r="O67" s="87" t="s">
        <v>1711</v>
      </c>
    </row>
    <row r="68" spans="1:15" ht="21" customHeight="1" x14ac:dyDescent="0.15">
      <c r="A68" s="27">
        <f t="shared" si="16"/>
        <v>20026</v>
      </c>
      <c r="B68" s="26" t="str">
        <f t="shared" ca="1" si="17"/>
        <v>TVCMランクミッション_x000D_プレイヤーランクを150まで上げよう！</v>
      </c>
      <c r="C68" s="27" t="s">
        <v>331</v>
      </c>
      <c r="D68" s="31" t="str">
        <f ca="1">VLOOKUP($C68,OFFSET(mission_unlock_criteria!$A$2,0,0,COUNTA(mission_unlock_criteria!$A:$A),MATCH(D$2,mission_unlock_criteria!$2:$2,0)-MATCH($C$2,mission_unlock_criteria!$2:$2,0)+1),MATCH(D$2,mission_unlock_criteria!$2:$2,0)-MATCH($C$2,mission_unlock_criteria!$2:$2,0)+1,FALSE)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68" s="2" t="s">
        <v>1699</v>
      </c>
      <c r="F68" s="31" t="str">
        <f ca="1">VLOOKUP($E68,OFFSET(mission_ACH_criteria!$A$1,0,0,COUNTA(mission_ACH_criteria!$A:$A),MATCH(F$2,mission_ACH_criteria!$1:$1,0)-MATCH($E$2,mission_ACH_criteria!$1:$1,0)+1),MATCH(F$2,mission_ACH_criteria!$1:$1,0)-MATCH($E$2,mission_ACH_criteria!$1:$1,0)+1,FALSE)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TVCMランクミッション_x000D_プレイヤーランクを150まで上げよう！</v>
      </c>
      <c r="G68" s="27" t="s">
        <v>1708</v>
      </c>
      <c r="H68" s="31" t="str">
        <f t="shared" ca="1" si="20"/>
        <v>ポリゴン x 5</v>
      </c>
      <c r="I68" s="31" t="str">
        <f ca="1">VLOOKUP($G68,OFFSET(mission_ACH!$A$2,0,0,COUNTA($A:$A),MATCH(I$2,mission_ACH!$2:$2,0)-MATCH($G$2,mission_ACH!$2:$2,0)+1),MATCH(I$2,mission_ACH!$2:$2,0)-MATCH($G$2,mission_ACH!$2:$2,0)+1,FALSE)</f>
        <v>polygon</v>
      </c>
      <c r="J68" s="31">
        <f ca="1">VLOOKUP($G68,OFFSET(mission_ACH!$A$2,0,0,COUNTA($A:$A),MATCH(J$2,mission_ACH!$2:$2,0)-MATCH($G$2,mission_ACH!$2:$2,0)+1),MATCH(J$2,mission_ACH!$2:$2,0)-MATCH($G$2,mission_ACH!$2:$2,0)+1,FALSE)</f>
        <v>5</v>
      </c>
      <c r="K68" s="31" t="str">
        <f ca="1">IF(I68="unit",VLOOKUP($G68,OFFSET(mission_ACH!$A$2,0,0,COUNTA($A:$A),MATCH(K$2,mission_ACH!$2:$2,0)-MATCH($G$2,mission_ACH!$2:$2,0)+1),MATCH(K$2,mission_ACH!$2:$2,0)-MATCH($G$2,mission_ACH!$2:$2,0)+1,FALSE),"")</f>
        <v/>
      </c>
      <c r="L68" s="31">
        <f ca="1">VLOOKUP($G68,OFFSET(mission_ACH!$A$2,0,0,COUNTA($A:$A),MATCH(L$2,mission_ACH!$2:$2,0)-MATCH($G$2,mission_ACH!$2:$2,0)+1),MATCH(L$2,mission_ACH!$2:$2,0)-MATCH($G$2,mission_ACH!$2:$2,0)+1,FALSE)</f>
        <v>0</v>
      </c>
      <c r="M68" s="27">
        <v>90</v>
      </c>
      <c r="N68" s="87" t="s">
        <v>1710</v>
      </c>
      <c r="O68" s="87" t="s">
        <v>1711</v>
      </c>
    </row>
    <row r="69" spans="1:15" ht="21" customHeight="1" x14ac:dyDescent="0.15">
      <c r="A69" s="27">
        <f t="shared" si="16"/>
        <v>20027</v>
      </c>
      <c r="B69" s="26" t="str">
        <f t="shared" ca="1" si="17"/>
        <v>TVCMランクミッション_x000D_プレイヤーランクを175まで上げよう！</v>
      </c>
      <c r="C69" s="27" t="s">
        <v>331</v>
      </c>
      <c r="D69" s="31" t="str">
        <f ca="1">VLOOKUP($C69,OFFSET(mission_unlock_criteria!$A$2,0,0,COUNTA(mission_unlock_criteria!$A:$A),MATCH(D$2,mission_unlock_criteria!$2:$2,0)-MATCH($C$2,mission_unlock_criteria!$2:$2,0)+1),MATCH(D$2,mission_unlock_criteria!$2:$2,0)-MATCH($C$2,mission_unlock_criteria!$2:$2,0)+1,FALSE)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69" s="2" t="s">
        <v>1700</v>
      </c>
      <c r="F69" s="31" t="str">
        <f ca="1">VLOOKUP($E69,OFFSET(mission_ACH_criteria!$A$1,0,0,COUNTA(mission_ACH_criteria!$A:$A),MATCH(F$2,mission_ACH_criteria!$1:$1,0)-MATCH($E$2,mission_ACH_criteria!$1:$1,0)+1),MATCH(F$2,mission_ACH_criteria!$1:$1,0)-MATCH($E$2,mission_ACH_criteria!$1:$1,0)+1,FALSE)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TVCMランクミッション_x000D_プレイヤーランクを175まで上げよう！</v>
      </c>
      <c r="G69" s="27" t="s">
        <v>1708</v>
      </c>
      <c r="H69" s="31" t="str">
        <f t="shared" ca="1" si="20"/>
        <v>ポリゴン x 5</v>
      </c>
      <c r="I69" s="31" t="str">
        <f ca="1">VLOOKUP($G69,OFFSET(mission_ACH!$A$2,0,0,COUNTA($A:$A),MATCH(I$2,mission_ACH!$2:$2,0)-MATCH($G$2,mission_ACH!$2:$2,0)+1),MATCH(I$2,mission_ACH!$2:$2,0)-MATCH($G$2,mission_ACH!$2:$2,0)+1,FALSE)</f>
        <v>polygon</v>
      </c>
      <c r="J69" s="31">
        <f ca="1">VLOOKUP($G69,OFFSET(mission_ACH!$A$2,0,0,COUNTA($A:$A),MATCH(J$2,mission_ACH!$2:$2,0)-MATCH($G$2,mission_ACH!$2:$2,0)+1),MATCH(J$2,mission_ACH!$2:$2,0)-MATCH($G$2,mission_ACH!$2:$2,0)+1,FALSE)</f>
        <v>5</v>
      </c>
      <c r="K69" s="31" t="str">
        <f ca="1">IF(I69="unit",VLOOKUP($G69,OFFSET(mission_ACH!$A$2,0,0,COUNTA($A:$A),MATCH(K$2,mission_ACH!$2:$2,0)-MATCH($G$2,mission_ACH!$2:$2,0)+1),MATCH(K$2,mission_ACH!$2:$2,0)-MATCH($G$2,mission_ACH!$2:$2,0)+1,FALSE),"")</f>
        <v/>
      </c>
      <c r="L69" s="31">
        <f ca="1">VLOOKUP($G69,OFFSET(mission_ACH!$A$2,0,0,COUNTA($A:$A),MATCH(L$2,mission_ACH!$2:$2,0)-MATCH($G$2,mission_ACH!$2:$2,0)+1),MATCH(L$2,mission_ACH!$2:$2,0)-MATCH($G$2,mission_ACH!$2:$2,0)+1,FALSE)</f>
        <v>0</v>
      </c>
      <c r="M69" s="27">
        <v>90</v>
      </c>
      <c r="N69" s="87" t="s">
        <v>1710</v>
      </c>
      <c r="O69" s="87" t="s">
        <v>1711</v>
      </c>
    </row>
    <row r="70" spans="1:15" ht="21" customHeight="1" x14ac:dyDescent="0.15">
      <c r="A70" s="27">
        <f t="shared" si="16"/>
        <v>20028</v>
      </c>
      <c r="B70" s="26" t="str">
        <f t="shared" ca="1" si="17"/>
        <v>TVCMランクミッション_x000D_プレイヤーランクを200まで上げよう！</v>
      </c>
      <c r="C70" s="27" t="s">
        <v>331</v>
      </c>
      <c r="D70" s="31" t="str">
        <f ca="1">VLOOKUP($C70,OFFSET(mission_unlock_criteria!$A$2,0,0,COUNTA(mission_unlock_criteria!$A:$A),MATCH(D$2,mission_unlock_criteria!$2:$2,0)-MATCH($C$2,mission_unlock_criteria!$2:$2,0)+1),MATCH(D$2,mission_unlock_criteria!$2:$2,0)-MATCH($C$2,mission_unlock_criteria!$2:$2,0)+1,FALSE)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70" s="2" t="s">
        <v>1701</v>
      </c>
      <c r="F70" s="31" t="str">
        <f ca="1">VLOOKUP($E70,OFFSET(mission_ACH_criteria!$A$1,0,0,COUNTA(mission_ACH_criteria!$A:$A),MATCH(F$2,mission_ACH_criteria!$1:$1,0)-MATCH($E$2,mission_ACH_criteria!$1:$1,0)+1),MATCH(F$2,mission_ACH_criteria!$1:$1,0)-MATCH($E$2,mission_ACH_criteria!$1:$1,0)+1,FALSE)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TVCMランクミッション_x000D_プレイヤーランクを200まで上げよう！</v>
      </c>
      <c r="G70" s="27" t="s">
        <v>1708</v>
      </c>
      <c r="H70" s="31" t="str">
        <f t="shared" ca="1" si="20"/>
        <v>ポリゴン x 5</v>
      </c>
      <c r="I70" s="31" t="str">
        <f ca="1">VLOOKUP($G70,OFFSET(mission_ACH!$A$2,0,0,COUNTA($A:$A),MATCH(I$2,mission_ACH!$2:$2,0)-MATCH($G$2,mission_ACH!$2:$2,0)+1),MATCH(I$2,mission_ACH!$2:$2,0)-MATCH($G$2,mission_ACH!$2:$2,0)+1,FALSE)</f>
        <v>polygon</v>
      </c>
      <c r="J70" s="31">
        <f ca="1">VLOOKUP($G70,OFFSET(mission_ACH!$A$2,0,0,COUNTA($A:$A),MATCH(J$2,mission_ACH!$2:$2,0)-MATCH($G$2,mission_ACH!$2:$2,0)+1),MATCH(J$2,mission_ACH!$2:$2,0)-MATCH($G$2,mission_ACH!$2:$2,0)+1,FALSE)</f>
        <v>5</v>
      </c>
      <c r="K70" s="31" t="str">
        <f ca="1">IF(I70="unit",VLOOKUP($G70,OFFSET(mission_ACH!$A$2,0,0,COUNTA($A:$A),MATCH(K$2,mission_ACH!$2:$2,0)-MATCH($G$2,mission_ACH!$2:$2,0)+1),MATCH(K$2,mission_ACH!$2:$2,0)-MATCH($G$2,mission_ACH!$2:$2,0)+1,FALSE),"")</f>
        <v/>
      </c>
      <c r="L70" s="31">
        <f ca="1">VLOOKUP($G70,OFFSET(mission_ACH!$A$2,0,0,COUNTA($A:$A),MATCH(L$2,mission_ACH!$2:$2,0)-MATCH($G$2,mission_ACH!$2:$2,0)+1),MATCH(L$2,mission_ACH!$2:$2,0)-MATCH($G$2,mission_ACH!$2:$2,0)+1,FALSE)</f>
        <v>0</v>
      </c>
      <c r="M70" s="27">
        <v>90</v>
      </c>
      <c r="N70" s="87" t="s">
        <v>1710</v>
      </c>
      <c r="O70" s="87" t="s">
        <v>1711</v>
      </c>
    </row>
    <row r="71" spans="1:15" ht="21" customHeight="1" x14ac:dyDescent="0.15">
      <c r="A71" s="27">
        <f t="shared" si="16"/>
        <v>20029</v>
      </c>
      <c r="B71" s="26" t="str">
        <f t="shared" ca="1" si="17"/>
        <v>TVCMランクミッション_x000D_プレイヤーランクを250まで上げよう！</v>
      </c>
      <c r="C71" s="27" t="s">
        <v>331</v>
      </c>
      <c r="D71" s="31" t="str">
        <f ca="1">VLOOKUP($C71,OFFSET(mission_unlock_criteria!$A$2,0,0,COUNTA(mission_unlock_criteria!$A:$A),MATCH(D$2,mission_unlock_criteria!$2:$2,0)-MATCH($C$2,mission_unlock_criteria!$2:$2,0)+1),MATCH(D$2,mission_unlock_criteria!$2:$2,0)-MATCH($C$2,mission_unlock_criteria!$2:$2,0)+1,FALSE)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71" s="2" t="s">
        <v>1702</v>
      </c>
      <c r="F71" s="31" t="str">
        <f ca="1">VLOOKUP($E71,OFFSET(mission_ACH_criteria!$A$1,0,0,COUNTA(mission_ACH_criteria!$A:$A),MATCH(F$2,mission_ACH_criteria!$1:$1,0)-MATCH($E$2,mission_ACH_criteria!$1:$1,0)+1),MATCH(F$2,mission_ACH_criteria!$1:$1,0)-MATCH($E$2,mission_ACH_criteria!$1:$1,0)+1,FALSE)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TVCMランクミッション_x000D_プレイヤーランクを250まで上げよう！</v>
      </c>
      <c r="G71" s="27" t="s">
        <v>1708</v>
      </c>
      <c r="H71" s="31" t="str">
        <f t="shared" ca="1" si="20"/>
        <v>ポリゴン x 5</v>
      </c>
      <c r="I71" s="31" t="str">
        <f ca="1">VLOOKUP($G71,OFFSET(mission_ACH!$A$2,0,0,COUNTA($A:$A),MATCH(I$2,mission_ACH!$2:$2,0)-MATCH($G$2,mission_ACH!$2:$2,0)+1),MATCH(I$2,mission_ACH!$2:$2,0)-MATCH($G$2,mission_ACH!$2:$2,0)+1,FALSE)</f>
        <v>polygon</v>
      </c>
      <c r="J71" s="31">
        <f ca="1">VLOOKUP($G71,OFFSET(mission_ACH!$A$2,0,0,COUNTA($A:$A),MATCH(J$2,mission_ACH!$2:$2,0)-MATCH($G$2,mission_ACH!$2:$2,0)+1),MATCH(J$2,mission_ACH!$2:$2,0)-MATCH($G$2,mission_ACH!$2:$2,0)+1,FALSE)</f>
        <v>5</v>
      </c>
      <c r="K71" s="31" t="str">
        <f ca="1">IF(I71="unit",VLOOKUP($G71,OFFSET(mission_ACH!$A$2,0,0,COUNTA($A:$A),MATCH(K$2,mission_ACH!$2:$2,0)-MATCH($G$2,mission_ACH!$2:$2,0)+1),MATCH(K$2,mission_ACH!$2:$2,0)-MATCH($G$2,mission_ACH!$2:$2,0)+1,FALSE),"")</f>
        <v/>
      </c>
      <c r="L71" s="31">
        <f ca="1">VLOOKUP($G71,OFFSET(mission_ACH!$A$2,0,0,COUNTA($A:$A),MATCH(L$2,mission_ACH!$2:$2,0)-MATCH($G$2,mission_ACH!$2:$2,0)+1),MATCH(L$2,mission_ACH!$2:$2,0)-MATCH($G$2,mission_ACH!$2:$2,0)+1,FALSE)</f>
        <v>0</v>
      </c>
      <c r="M71" s="27">
        <v>90</v>
      </c>
      <c r="N71" s="87" t="s">
        <v>1710</v>
      </c>
      <c r="O71" s="87" t="s">
        <v>1711</v>
      </c>
    </row>
    <row r="72" spans="1:15" ht="21" customHeight="1" x14ac:dyDescent="0.15">
      <c r="A72" s="27">
        <f t="shared" si="16"/>
        <v>20030</v>
      </c>
      <c r="B72" s="26" t="str">
        <f t="shared" ca="1" si="17"/>
        <v>TVCMランクミッション_x000D_プレイヤーランクを300まで上げよう！</v>
      </c>
      <c r="C72" s="27" t="s">
        <v>331</v>
      </c>
      <c r="D72" s="31" t="str">
        <f ca="1">VLOOKUP($C72,OFFSET(mission_unlock_criteria!$A$2,0,0,COUNTA(mission_unlock_criteria!$A:$A),MATCH(D$2,mission_unlock_criteria!$2:$2,0)-MATCH($C$2,mission_unlock_criteria!$2:$2,0)+1),MATCH(D$2,mission_unlock_criteria!$2:$2,0)-MATCH($C$2,mission_unlock_criteria!$2:$2,0)+1,FALSE)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72" s="2" t="s">
        <v>1703</v>
      </c>
      <c r="F72" s="31" t="str">
        <f ca="1">VLOOKUP($E72,OFFSET(mission_ACH_criteria!$A$1,0,0,COUNTA(mission_ACH_criteria!$A:$A),MATCH(F$2,mission_ACH_criteria!$1:$1,0)-MATCH($E$2,mission_ACH_criteria!$1:$1,0)+1),MATCH(F$2,mission_ACH_criteria!$1:$1,0)-MATCH($E$2,mission_ACH_criteria!$1:$1,0)+1,FALSE)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TVCMランクミッション_x000D_プレイヤーランクを300まで上げよう！</v>
      </c>
      <c r="G72" s="27" t="s">
        <v>1708</v>
      </c>
      <c r="H72" s="31" t="str">
        <f t="shared" ca="1" si="20"/>
        <v>ポリゴン x 5</v>
      </c>
      <c r="I72" s="31" t="str">
        <f ca="1">VLOOKUP($G72,OFFSET(mission_ACH!$A$2,0,0,COUNTA($A:$A),MATCH(I$2,mission_ACH!$2:$2,0)-MATCH($G$2,mission_ACH!$2:$2,0)+1),MATCH(I$2,mission_ACH!$2:$2,0)-MATCH($G$2,mission_ACH!$2:$2,0)+1,FALSE)</f>
        <v>polygon</v>
      </c>
      <c r="J72" s="31">
        <f ca="1">VLOOKUP($G72,OFFSET(mission_ACH!$A$2,0,0,COUNTA($A:$A),MATCH(J$2,mission_ACH!$2:$2,0)-MATCH($G$2,mission_ACH!$2:$2,0)+1),MATCH(J$2,mission_ACH!$2:$2,0)-MATCH($G$2,mission_ACH!$2:$2,0)+1,FALSE)</f>
        <v>5</v>
      </c>
      <c r="K72" s="31" t="str">
        <f ca="1">IF(I72="unit",VLOOKUP($G72,OFFSET(mission_ACH!$A$2,0,0,COUNTA($A:$A),MATCH(K$2,mission_ACH!$2:$2,0)-MATCH($G$2,mission_ACH!$2:$2,0)+1),MATCH(K$2,mission_ACH!$2:$2,0)-MATCH($G$2,mission_ACH!$2:$2,0)+1,FALSE),"")</f>
        <v/>
      </c>
      <c r="L72" s="31">
        <f ca="1">VLOOKUP($G72,OFFSET(mission_ACH!$A$2,0,0,COUNTA($A:$A),MATCH(L$2,mission_ACH!$2:$2,0)-MATCH($G$2,mission_ACH!$2:$2,0)+1),MATCH(L$2,mission_ACH!$2:$2,0)-MATCH($G$2,mission_ACH!$2:$2,0)+1,FALSE)</f>
        <v>0</v>
      </c>
      <c r="M72" s="27">
        <v>90</v>
      </c>
      <c r="N72" s="87" t="s">
        <v>1710</v>
      </c>
      <c r="O72" s="87" t="s">
        <v>1711</v>
      </c>
    </row>
    <row r="73" spans="1:15" ht="21" customHeight="1" x14ac:dyDescent="0.15">
      <c r="A73" s="27">
        <f t="shared" si="16"/>
        <v>20031</v>
      </c>
      <c r="B73" s="26" t="str">
        <f t="shared" ca="1" si="17"/>
        <v>TVCMランクミッション_x000D_プレイヤーランクを350まで上げよう！</v>
      </c>
      <c r="C73" s="27" t="s">
        <v>331</v>
      </c>
      <c r="D73" s="31" t="str">
        <f ca="1">VLOOKUP($C73,OFFSET(mission_unlock_criteria!$A$2,0,0,COUNTA(mission_unlock_criteria!$A:$A),MATCH(D$2,mission_unlock_criteria!$2:$2,0)-MATCH($C$2,mission_unlock_criteria!$2:$2,0)+1),MATCH(D$2,mission_unlock_criteria!$2:$2,0)-MATCH($C$2,mission_unlock_criteria!$2:$2,0)+1,FALSE)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73" s="2" t="s">
        <v>1704</v>
      </c>
      <c r="F73" s="31" t="str">
        <f ca="1">VLOOKUP($E73,OFFSET(mission_ACH_criteria!$A$1,0,0,COUNTA(mission_ACH_criteria!$A:$A),MATCH(F$2,mission_ACH_criteria!$1:$1,0)-MATCH($E$2,mission_ACH_criteria!$1:$1,0)+1),MATCH(F$2,mission_ACH_criteria!$1:$1,0)-MATCH($E$2,mission_ACH_criteria!$1:$1,0)+1,FALSE)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TVCMランクミッション_x000D_プレイヤーランクを350まで上げよう！</v>
      </c>
      <c r="G73" s="27" t="s">
        <v>1708</v>
      </c>
      <c r="H73" s="31" t="str">
        <f t="shared" ca="1" si="20"/>
        <v>ポリゴン x 5</v>
      </c>
      <c r="I73" s="31" t="str">
        <f ca="1">VLOOKUP($G73,OFFSET(mission_ACH!$A$2,0,0,COUNTA($A:$A),MATCH(I$2,mission_ACH!$2:$2,0)-MATCH($G$2,mission_ACH!$2:$2,0)+1),MATCH(I$2,mission_ACH!$2:$2,0)-MATCH($G$2,mission_ACH!$2:$2,0)+1,FALSE)</f>
        <v>polygon</v>
      </c>
      <c r="J73" s="31">
        <f ca="1">VLOOKUP($G73,OFFSET(mission_ACH!$A$2,0,0,COUNTA($A:$A),MATCH(J$2,mission_ACH!$2:$2,0)-MATCH($G$2,mission_ACH!$2:$2,0)+1),MATCH(J$2,mission_ACH!$2:$2,0)-MATCH($G$2,mission_ACH!$2:$2,0)+1,FALSE)</f>
        <v>5</v>
      </c>
      <c r="K73" s="31" t="str">
        <f ca="1">IF(I73="unit",VLOOKUP($G73,OFFSET(mission_ACH!$A$2,0,0,COUNTA($A:$A),MATCH(K$2,mission_ACH!$2:$2,0)-MATCH($G$2,mission_ACH!$2:$2,0)+1),MATCH(K$2,mission_ACH!$2:$2,0)-MATCH($G$2,mission_ACH!$2:$2,0)+1,FALSE),"")</f>
        <v/>
      </c>
      <c r="L73" s="31">
        <f ca="1">VLOOKUP($G73,OFFSET(mission_ACH!$A$2,0,0,COUNTA($A:$A),MATCH(L$2,mission_ACH!$2:$2,0)-MATCH($G$2,mission_ACH!$2:$2,0)+1),MATCH(L$2,mission_ACH!$2:$2,0)-MATCH($G$2,mission_ACH!$2:$2,0)+1,FALSE)</f>
        <v>0</v>
      </c>
      <c r="M73" s="27">
        <v>90</v>
      </c>
      <c r="N73" s="87" t="s">
        <v>1710</v>
      </c>
      <c r="O73" s="87" t="s">
        <v>1711</v>
      </c>
    </row>
    <row r="74" spans="1:15" ht="21" customHeight="1" x14ac:dyDescent="0.15">
      <c r="A74" s="27">
        <f t="shared" si="16"/>
        <v>20032</v>
      </c>
      <c r="B74" s="26" t="str">
        <f t="shared" ca="1" si="17"/>
        <v>TVCMランクミッション_x000D_プレイヤーランクを400まで上げよう！</v>
      </c>
      <c r="C74" s="27" t="s">
        <v>331</v>
      </c>
      <c r="D74" s="31" t="str">
        <f ca="1">VLOOKUP($C74,OFFSET(mission_unlock_criteria!$A$2,0,0,COUNTA(mission_unlock_criteria!$A:$A),MATCH(D$2,mission_unlock_criteria!$2:$2,0)-MATCH($C$2,mission_unlock_criteria!$2:$2,0)+1),MATCH(D$2,mission_unlock_criteria!$2:$2,0)-MATCH($C$2,mission_unlock_criteria!$2:$2,0)+1,FALSE)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74" s="2" t="s">
        <v>1705</v>
      </c>
      <c r="F74" s="31" t="str">
        <f ca="1">VLOOKUP($E74,OFFSET(mission_ACH_criteria!$A$1,0,0,COUNTA(mission_ACH_criteria!$A:$A),MATCH(F$2,mission_ACH_criteria!$1:$1,0)-MATCH($E$2,mission_ACH_criteria!$1:$1,0)+1),MATCH(F$2,mission_ACH_criteria!$1:$1,0)-MATCH($E$2,mission_ACH_criteria!$1:$1,0)+1,FALSE)</f>
        <v>TVCMランクミッション_x000D_プレイヤーランクを400まで上げよう！</v>
      </c>
      <c r="G74" s="27" t="s">
        <v>1708</v>
      </c>
      <c r="H74" s="31" t="str">
        <f t="shared" ca="1" si="20"/>
        <v>ポリゴン x 5</v>
      </c>
      <c r="I74" s="31" t="str">
        <f ca="1">VLOOKUP($G74,OFFSET(mission_ACH!$A$2,0,0,COUNTA($A:$A),MATCH(I$2,mission_ACH!$2:$2,0)-MATCH($G$2,mission_ACH!$2:$2,0)+1),MATCH(I$2,mission_ACH!$2:$2,0)-MATCH($G$2,mission_ACH!$2:$2,0)+1,FALSE)</f>
        <v>polygon</v>
      </c>
      <c r="J74" s="31">
        <f ca="1">VLOOKUP($G74,OFFSET(mission_ACH!$A$2,0,0,COUNTA($A:$A),MATCH(J$2,mission_ACH!$2:$2,0)-MATCH($G$2,mission_ACH!$2:$2,0)+1),MATCH(J$2,mission_ACH!$2:$2,0)-MATCH($G$2,mission_ACH!$2:$2,0)+1,FALSE)</f>
        <v>5</v>
      </c>
      <c r="K74" s="31" t="str">
        <f ca="1">IF(I74="unit",VLOOKUP($G74,OFFSET(mission_ACH!$A$2,0,0,COUNTA($A:$A),MATCH(K$2,mission_ACH!$2:$2,0)-MATCH($G$2,mission_ACH!$2:$2,0)+1),MATCH(K$2,mission_ACH!$2:$2,0)-MATCH($G$2,mission_ACH!$2:$2,0)+1,FALSE),"")</f>
        <v/>
      </c>
      <c r="L74" s="31">
        <f ca="1">VLOOKUP($G74,OFFSET(mission_ACH!$A$2,0,0,COUNTA($A:$A),MATCH(L$2,mission_ACH!$2:$2,0)-MATCH($G$2,mission_ACH!$2:$2,0)+1),MATCH(L$2,mission_ACH!$2:$2,0)-MATCH($G$2,mission_ACH!$2:$2,0)+1,FALSE)</f>
        <v>0</v>
      </c>
      <c r="M74" s="27">
        <v>90</v>
      </c>
      <c r="N74" s="87" t="s">
        <v>1710</v>
      </c>
      <c r="O74" s="87" t="s">
        <v>1711</v>
      </c>
    </row>
    <row r="75" spans="1:15" ht="21" customHeight="1" x14ac:dyDescent="0.15">
      <c r="A75" s="27">
        <f>A42+1</f>
        <v>1090</v>
      </c>
      <c r="B75" s="26" t="str">
        <f ca="1">F75</f>
        <v>「ベルゼブブ襲来！」 攻略動画を観よう！</v>
      </c>
      <c r="C75" s="27" t="s">
        <v>1366</v>
      </c>
      <c r="D75" s="31" t="str">
        <f ca="1">VLOOKUP($C75,OFFSET(mission_unlock_criteria!$A$2,0,0,COUNTA(mission_unlock_criteria!$A:$A),MATCH(D$2,mission_unlock_criteria!$2:$2,0)-MATCH($C$2,mission_unlock_criteria!$2:$2,0)+1),MATCH(D$2,mission_unlock_criteria!$2:$2,0)-MATCH($C$2,mission_unlock_criteria!$2:$2,0)+1,FALSE)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75" s="2" t="s">
        <v>1365</v>
      </c>
      <c r="F75" s="31" t="str">
        <f ca="1">VLOOKUP($E75,OFFSET(mission_ACH_criteria!$A$1,0,0,COUNTA(mission_ACH_criteria!$A:$A),MATCH(F$2,mission_ACH_criteria!$1:$1,0)-MATCH($E$2,mission_ACH_criteria!$1:$1,0)+1),MATCH(F$2,mission_ACH_criteria!$1:$1,0)-MATCH($E$2,mission_ACH_criteria!$1:$1,0)+1,FALSE)</f>
        <v>「ベルゼブブ襲来！」 攻略動画を観よう！</v>
      </c>
      <c r="G75" s="27" t="s">
        <v>1367</v>
      </c>
      <c r="H75" s="31" t="str">
        <f t="shared" ref="H75" ca="1" si="21">IF(I75="unit",K75&amp;" x "&amp;L75,IF(I75="polygon","ポリゴン x "&amp;J75,IF(I75="bit","ビット x "&amp;J75,IF(I75="link","リンク x "&amp;J75))))</f>
        <v>ポリゴン x 1</v>
      </c>
      <c r="I75" s="31" t="str">
        <f ca="1">VLOOKUP($G75,OFFSET(mission_ACH!$A$2,0,0,COUNTA($A:$A),MATCH(I$2,mission_ACH!$2:$2,0)-MATCH($G$2,mission_ACH!$2:$2,0)+1),MATCH(I$2,mission_ACH!$2:$2,0)-MATCH($G$2,mission_ACH!$2:$2,0)+1,FALSE)</f>
        <v>polygon</v>
      </c>
      <c r="J75" s="31">
        <f ca="1">VLOOKUP($G75,OFFSET(mission_ACH!$A$2,0,0,COUNTA($A:$A),MATCH(J$2,mission_ACH!$2:$2,0)-MATCH($G$2,mission_ACH!$2:$2,0)+1),MATCH(J$2,mission_ACH!$2:$2,0)-MATCH($G$2,mission_ACH!$2:$2,0)+1,FALSE)</f>
        <v>1</v>
      </c>
      <c r="K75" s="31" t="str">
        <f ca="1">IF(I75="unit",VLOOKUP($G75,OFFSET(mission_ACH!$A$2,0,0,COUNTA($A:$A),MATCH(K$2,mission_ACH!$2:$2,0)-MATCH($G$2,mission_ACH!$2:$2,0)+1),MATCH(K$2,mission_ACH!$2:$2,0)-MATCH($G$2,mission_ACH!$2:$2,0)+1,FALSE),"")</f>
        <v/>
      </c>
      <c r="L75" s="31">
        <f ca="1">VLOOKUP($G75,OFFSET(mission_ACH!$A$2,0,0,COUNTA($A:$A),MATCH(L$2,mission_ACH!$2:$2,0)-MATCH($G$2,mission_ACH!$2:$2,0)+1),MATCH(L$2,mission_ACH!$2:$2,0)-MATCH($G$2,mission_ACH!$2:$2,0)+1,FALSE)</f>
        <v>0</v>
      </c>
      <c r="M75" s="27">
        <v>90</v>
      </c>
      <c r="N75" s="87" t="s">
        <v>1368</v>
      </c>
      <c r="O75" s="87" t="s">
        <v>1369</v>
      </c>
    </row>
    <row r="76" spans="1:15" ht="21" customHeight="1" x14ac:dyDescent="0.15">
      <c r="A76" s="27">
        <f t="shared" ref="A76:A91" si="22">A75+1</f>
        <v>1091</v>
      </c>
      <c r="B76" s="26" t="str">
        <f t="shared" ref="B76:B79" ca="1" si="23">F76</f>
        <v>Web限定CM「調子はどうだい？」篇を観よう！</v>
      </c>
      <c r="C76" s="27" t="s">
        <v>331</v>
      </c>
      <c r="D76" s="31" t="str">
        <f ca="1">VLOOKUP($C76,OFFSET(mission_unlock_criteria!$A$2,0,0,COUNTA(mission_unlock_criteria!$A:$A),MATCH(D$2,mission_unlock_criteria!$2:$2,0)-MATCH($C$2,mission_unlock_criteria!$2:$2,0)+1),MATCH(D$2,mission_unlock_criteria!$2:$2,0)-MATCH($C$2,mission_unlock_criteria!$2:$2,0)+1,FALSE)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76" s="2" t="s">
        <v>1387</v>
      </c>
      <c r="F76" s="31" t="str">
        <f ca="1">VLOOKUP($E76,OFFSET(mission_ACH_criteria!$A$1,0,0,COUNTA(mission_ACH_criteria!$A:$A),MATCH(F$2,mission_ACH_criteria!$1:$1,0)-MATCH($E$2,mission_ACH_criteria!$1:$1,0)+1),MATCH(F$2,mission_ACH_criteria!$1:$1,0)-MATCH($E$2,mission_ACH_criteria!$1:$1,0)+1,FALSE)</f>
        <v>Web限定CM「調子はどうだい？」篇を観よう！</v>
      </c>
      <c r="G76" s="27" t="s">
        <v>1367</v>
      </c>
      <c r="H76" s="31" t="str">
        <f t="shared" ref="H76:H79" ca="1" si="24">IF(I76="unit",K76&amp;" x "&amp;L76,IF(I76="polygon","ポリゴン x "&amp;J76,IF(I76="bit","ビット x "&amp;J76,IF(I76="link","リンク x "&amp;J76))))</f>
        <v>ポリゴン x 1</v>
      </c>
      <c r="I76" s="31" t="str">
        <f ca="1">VLOOKUP($G76,OFFSET(mission_ACH!$A$2,0,0,COUNTA($A:$A),MATCH(I$2,mission_ACH!$2:$2,0)-MATCH($G$2,mission_ACH!$2:$2,0)+1),MATCH(I$2,mission_ACH!$2:$2,0)-MATCH($G$2,mission_ACH!$2:$2,0)+1,FALSE)</f>
        <v>polygon</v>
      </c>
      <c r="J76" s="31">
        <f ca="1">VLOOKUP($G76,OFFSET(mission_ACH!$A$2,0,0,COUNTA($A:$A),MATCH(J$2,mission_ACH!$2:$2,0)-MATCH($G$2,mission_ACH!$2:$2,0)+1),MATCH(J$2,mission_ACH!$2:$2,0)-MATCH($G$2,mission_ACH!$2:$2,0)+1,FALSE)</f>
        <v>1</v>
      </c>
      <c r="K76" s="31" t="str">
        <f ca="1">IF(I76="unit",VLOOKUP($G76,OFFSET(mission_ACH!$A$2,0,0,COUNTA($A:$A),MATCH(K$2,mission_ACH!$2:$2,0)-MATCH($G$2,mission_ACH!$2:$2,0)+1),MATCH(K$2,mission_ACH!$2:$2,0)-MATCH($G$2,mission_ACH!$2:$2,0)+1,FALSE),"")</f>
        <v/>
      </c>
      <c r="L76" s="31">
        <f ca="1">VLOOKUP($G76,OFFSET(mission_ACH!$A$2,0,0,COUNTA($A:$A),MATCH(L$2,mission_ACH!$2:$2,0)-MATCH($G$2,mission_ACH!$2:$2,0)+1),MATCH(L$2,mission_ACH!$2:$2,0)-MATCH($G$2,mission_ACH!$2:$2,0)+1,FALSE)</f>
        <v>0</v>
      </c>
      <c r="M76" s="27">
        <v>91</v>
      </c>
      <c r="N76" s="87" t="s">
        <v>1373</v>
      </c>
      <c r="O76" s="87" t="s">
        <v>1290</v>
      </c>
    </row>
    <row r="77" spans="1:15" ht="21" customHeight="1" x14ac:dyDescent="0.15">
      <c r="A77" s="27">
        <f t="shared" si="22"/>
        <v>1092</v>
      </c>
      <c r="B77" s="26" t="str">
        <f t="shared" ca="1" si="23"/>
        <v>Web限定CM「遅延行為だよ〜！」篇を観よう！</v>
      </c>
      <c r="C77" s="27" t="s">
        <v>331</v>
      </c>
      <c r="D77" s="31" t="str">
        <f ca="1">VLOOKUP($C77,OFFSET(mission_unlock_criteria!$A$2,0,0,COUNTA(mission_unlock_criteria!$A:$A),MATCH(D$2,mission_unlock_criteria!$2:$2,0)-MATCH($C$2,mission_unlock_criteria!$2:$2,0)+1),MATCH(D$2,mission_unlock_criteria!$2:$2,0)-MATCH($C$2,mission_unlock_criteria!$2:$2,0)+1,FALSE)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77" s="2" t="s">
        <v>1376</v>
      </c>
      <c r="F77" s="31" t="str">
        <f ca="1">VLOOKUP($E77,OFFSET(mission_ACH_criteria!$A$1,0,0,COUNTA(mission_ACH_criteria!$A:$A),MATCH(F$2,mission_ACH_criteria!$1:$1,0)-MATCH($E$2,mission_ACH_criteria!$1:$1,0)+1),MATCH(F$2,mission_ACH_criteria!$1:$1,0)-MATCH($E$2,mission_ACH_criteria!$1:$1,0)+1,FALSE)</f>
        <v>Web限定CM「遅延行為だよ〜！」篇を観よう！</v>
      </c>
      <c r="G77" s="27" t="s">
        <v>1367</v>
      </c>
      <c r="H77" s="31" t="str">
        <f t="shared" ca="1" si="24"/>
        <v>ポリゴン x 1</v>
      </c>
      <c r="I77" s="31" t="str">
        <f ca="1">VLOOKUP($G77,OFFSET(mission_ACH!$A$2,0,0,COUNTA($A:$A),MATCH(I$2,mission_ACH!$2:$2,0)-MATCH($G$2,mission_ACH!$2:$2,0)+1),MATCH(I$2,mission_ACH!$2:$2,0)-MATCH($G$2,mission_ACH!$2:$2,0)+1,FALSE)</f>
        <v>polygon</v>
      </c>
      <c r="J77" s="31">
        <f ca="1">VLOOKUP($G77,OFFSET(mission_ACH!$A$2,0,0,COUNTA($A:$A),MATCH(J$2,mission_ACH!$2:$2,0)-MATCH($G$2,mission_ACH!$2:$2,0)+1),MATCH(J$2,mission_ACH!$2:$2,0)-MATCH($G$2,mission_ACH!$2:$2,0)+1,FALSE)</f>
        <v>1</v>
      </c>
      <c r="K77" s="31" t="str">
        <f ca="1">IF(I77="unit",VLOOKUP($G77,OFFSET(mission_ACH!$A$2,0,0,COUNTA($A:$A),MATCH(K$2,mission_ACH!$2:$2,0)-MATCH($G$2,mission_ACH!$2:$2,0)+1),MATCH(K$2,mission_ACH!$2:$2,0)-MATCH($G$2,mission_ACH!$2:$2,0)+1,FALSE),"")</f>
        <v/>
      </c>
      <c r="L77" s="31">
        <f ca="1">VLOOKUP($G77,OFFSET(mission_ACH!$A$2,0,0,COUNTA($A:$A),MATCH(L$2,mission_ACH!$2:$2,0)-MATCH($G$2,mission_ACH!$2:$2,0)+1),MATCH(L$2,mission_ACH!$2:$2,0)-MATCH($G$2,mission_ACH!$2:$2,0)+1,FALSE)</f>
        <v>0</v>
      </c>
      <c r="M77" s="27">
        <v>91</v>
      </c>
      <c r="N77" s="87" t="s">
        <v>1373</v>
      </c>
      <c r="O77" s="87" t="s">
        <v>1290</v>
      </c>
    </row>
    <row r="78" spans="1:15" ht="21" customHeight="1" x14ac:dyDescent="0.15">
      <c r="A78" s="27">
        <f t="shared" si="22"/>
        <v>1093</v>
      </c>
      <c r="B78" s="26" t="str">
        <f t="shared" ca="1" si="23"/>
        <v>Web限定CM「車掌」篇を観よう！</v>
      </c>
      <c r="C78" s="27" t="s">
        <v>331</v>
      </c>
      <c r="D78" s="31" t="str">
        <f ca="1">VLOOKUP($C78,OFFSET(mission_unlock_criteria!$A$2,0,0,COUNTA(mission_unlock_criteria!$A:$A),MATCH(D$2,mission_unlock_criteria!$2:$2,0)-MATCH($C$2,mission_unlock_criteria!$2:$2,0)+1),MATCH(D$2,mission_unlock_criteria!$2:$2,0)-MATCH($C$2,mission_unlock_criteria!$2:$2,0)+1,FALSE)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78" s="2" t="s">
        <v>1377</v>
      </c>
      <c r="F78" s="31" t="str">
        <f ca="1">VLOOKUP($E78,OFFSET(mission_ACH_criteria!$A$1,0,0,COUNTA(mission_ACH_criteria!$A:$A),MATCH(F$2,mission_ACH_criteria!$1:$1,0)-MATCH($E$2,mission_ACH_criteria!$1:$1,0)+1),MATCH(F$2,mission_ACH_criteria!$1:$1,0)-MATCH($E$2,mission_ACH_criteria!$1:$1,0)+1,FALSE)</f>
        <v>Web限定CM「車掌」篇を観よう！</v>
      </c>
      <c r="G78" s="27" t="s">
        <v>1367</v>
      </c>
      <c r="H78" s="31" t="str">
        <f t="shared" ca="1" si="24"/>
        <v>ポリゴン x 1</v>
      </c>
      <c r="I78" s="31" t="str">
        <f ca="1">VLOOKUP($G78,OFFSET(mission_ACH!$A$2,0,0,COUNTA($A:$A),MATCH(I$2,mission_ACH!$2:$2,0)-MATCH($G$2,mission_ACH!$2:$2,0)+1),MATCH(I$2,mission_ACH!$2:$2,0)-MATCH($G$2,mission_ACH!$2:$2,0)+1,FALSE)</f>
        <v>polygon</v>
      </c>
      <c r="J78" s="31">
        <f ca="1">VLOOKUP($G78,OFFSET(mission_ACH!$A$2,0,0,COUNTA($A:$A),MATCH(J$2,mission_ACH!$2:$2,0)-MATCH($G$2,mission_ACH!$2:$2,0)+1),MATCH(J$2,mission_ACH!$2:$2,0)-MATCH($G$2,mission_ACH!$2:$2,0)+1,FALSE)</f>
        <v>1</v>
      </c>
      <c r="K78" s="31" t="str">
        <f ca="1">IF(I78="unit",VLOOKUP($G78,OFFSET(mission_ACH!$A$2,0,0,COUNTA($A:$A),MATCH(K$2,mission_ACH!$2:$2,0)-MATCH($G$2,mission_ACH!$2:$2,0)+1),MATCH(K$2,mission_ACH!$2:$2,0)-MATCH($G$2,mission_ACH!$2:$2,0)+1,FALSE),"")</f>
        <v/>
      </c>
      <c r="L78" s="31">
        <f ca="1">VLOOKUP($G78,OFFSET(mission_ACH!$A$2,0,0,COUNTA($A:$A),MATCH(L$2,mission_ACH!$2:$2,0)-MATCH($G$2,mission_ACH!$2:$2,0)+1),MATCH(L$2,mission_ACH!$2:$2,0)-MATCH($G$2,mission_ACH!$2:$2,0)+1,FALSE)</f>
        <v>0</v>
      </c>
      <c r="M78" s="27">
        <v>91</v>
      </c>
      <c r="N78" s="87" t="s">
        <v>1373</v>
      </c>
      <c r="O78" s="87" t="s">
        <v>1290</v>
      </c>
    </row>
    <row r="79" spans="1:15" ht="21" customHeight="1" x14ac:dyDescent="0.15">
      <c r="A79" s="27">
        <f t="shared" si="22"/>
        <v>1094</v>
      </c>
      <c r="B79" s="26" t="str">
        <f t="shared" ca="1" si="23"/>
        <v>TVCMキャンペーンをもっとTwitterでツイートしよう！</v>
      </c>
      <c r="C79" s="27" t="s">
        <v>331</v>
      </c>
      <c r="D79" s="31" t="str">
        <f ca="1">VLOOKUP($C79,OFFSET(mission_unlock_criteria!$A$2,0,0,COUNTA(mission_unlock_criteria!$A:$A),MATCH(D$2,mission_unlock_criteria!$2:$2,0)-MATCH($C$2,mission_unlock_criteria!$2:$2,0)+1),MATCH(D$2,mission_unlock_criteria!$2:$2,0)-MATCH($C$2,mission_unlock_criteria!$2:$2,0)+1,FALSE)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79" s="2" t="s">
        <v>1378</v>
      </c>
      <c r="F79" s="31" t="str">
        <f ca="1">VLOOKUP($E79,OFFSET(mission_ACH_criteria!$A$1,0,0,COUNTA(mission_ACH_criteria!$A:$A),MATCH(F$2,mission_ACH_criteria!$1:$1,0)-MATCH($E$2,mission_ACH_criteria!$1:$1,0)+1),MATCH(F$2,mission_ACH_criteria!$1:$1,0)-MATCH($E$2,mission_ACH_criteria!$1:$1,0)+1,FALSE)</f>
        <v>TVCMキャンペーンをもっとTwitterでツイートしよう！</v>
      </c>
      <c r="G79" s="27" t="s">
        <v>1367</v>
      </c>
      <c r="H79" s="31" t="str">
        <f t="shared" ca="1" si="24"/>
        <v>ポリゴン x 1</v>
      </c>
      <c r="I79" s="31" t="str">
        <f ca="1">VLOOKUP($G79,OFFSET(mission_ACH!$A$2,0,0,COUNTA($A:$A),MATCH(I$2,mission_ACH!$2:$2,0)-MATCH($G$2,mission_ACH!$2:$2,0)+1),MATCH(I$2,mission_ACH!$2:$2,0)-MATCH($G$2,mission_ACH!$2:$2,0)+1,FALSE)</f>
        <v>polygon</v>
      </c>
      <c r="J79" s="31">
        <f ca="1">VLOOKUP($G79,OFFSET(mission_ACH!$A$2,0,0,COUNTA($A:$A),MATCH(J$2,mission_ACH!$2:$2,0)-MATCH($G$2,mission_ACH!$2:$2,0)+1),MATCH(J$2,mission_ACH!$2:$2,0)-MATCH($G$2,mission_ACH!$2:$2,0)+1,FALSE)</f>
        <v>1</v>
      </c>
      <c r="K79" s="31" t="str">
        <f ca="1">IF(I79="unit",VLOOKUP($G79,OFFSET(mission_ACH!$A$2,0,0,COUNTA($A:$A),MATCH(K$2,mission_ACH!$2:$2,0)-MATCH($G$2,mission_ACH!$2:$2,0)+1),MATCH(K$2,mission_ACH!$2:$2,0)-MATCH($G$2,mission_ACH!$2:$2,0)+1,FALSE),"")</f>
        <v/>
      </c>
      <c r="L79" s="31">
        <f ca="1">VLOOKUP($G79,OFFSET(mission_ACH!$A$2,0,0,COUNTA($A:$A),MATCH(L$2,mission_ACH!$2:$2,0)-MATCH($G$2,mission_ACH!$2:$2,0)+1),MATCH(L$2,mission_ACH!$2:$2,0)-MATCH($G$2,mission_ACH!$2:$2,0)+1,FALSE)</f>
        <v>0</v>
      </c>
      <c r="M79" s="27">
        <v>91</v>
      </c>
      <c r="N79" s="87" t="s">
        <v>1373</v>
      </c>
      <c r="O79" s="87" t="s">
        <v>1374</v>
      </c>
    </row>
    <row r="80" spans="1:15" ht="21" customHeight="1" x14ac:dyDescent="0.15">
      <c r="A80" s="27">
        <f t="shared" si="22"/>
        <v>1095</v>
      </c>
      <c r="B80" s="26" t="str">
        <f t="shared" ref="B80" ca="1" si="25">F80</f>
        <v>TVCMキャンペーンをもっとLINEで友達に教えよう！</v>
      </c>
      <c r="C80" s="27" t="s">
        <v>331</v>
      </c>
      <c r="D80" s="31" t="str">
        <f ca="1">VLOOKUP($C80,OFFSET(mission_unlock_criteria!$A$2,0,0,COUNTA(mission_unlock_criteria!$A:$A),MATCH(D$2,mission_unlock_criteria!$2:$2,0)-MATCH($C$2,mission_unlock_criteria!$2:$2,0)+1),MATCH(D$2,mission_unlock_criteria!$2:$2,0)-MATCH($C$2,mission_unlock_criteria!$2:$2,0)+1,FALSE)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80" s="2" t="s">
        <v>1391</v>
      </c>
      <c r="F80" s="31" t="str">
        <f ca="1">VLOOKUP($E80,OFFSET(mission_ACH_criteria!$A$1,0,0,COUNTA(mission_ACH_criteria!$A:$A),MATCH(F$2,mission_ACH_criteria!$1:$1,0)-MATCH($E$2,mission_ACH_criteria!$1:$1,0)+1),MATCH(F$2,mission_ACH_criteria!$1:$1,0)-MATCH($E$2,mission_ACH_criteria!$1:$1,0)+1,FALSE)</f>
        <v>TVCMキャンペーンをもっとLINEで友達に教えよう！</v>
      </c>
      <c r="G80" s="27" t="s">
        <v>1367</v>
      </c>
      <c r="H80" s="31" t="str">
        <f t="shared" ref="H80" ca="1" si="26">IF(I80="unit",K80&amp;" x "&amp;L80,IF(I80="polygon","ポリゴン x "&amp;J80,IF(I80="bit","ビット x "&amp;J80,IF(I80="link","リンク x "&amp;J80))))</f>
        <v>ポリゴン x 1</v>
      </c>
      <c r="I80" s="31" t="str">
        <f ca="1">VLOOKUP($G80,OFFSET(mission_ACH!$A$2,0,0,COUNTA($A:$A),MATCH(I$2,mission_ACH!$2:$2,0)-MATCH($G$2,mission_ACH!$2:$2,0)+1),MATCH(I$2,mission_ACH!$2:$2,0)-MATCH($G$2,mission_ACH!$2:$2,0)+1,FALSE)</f>
        <v>polygon</v>
      </c>
      <c r="J80" s="31">
        <f ca="1">VLOOKUP($G80,OFFSET(mission_ACH!$A$2,0,0,COUNTA($A:$A),MATCH(J$2,mission_ACH!$2:$2,0)-MATCH($G$2,mission_ACH!$2:$2,0)+1),MATCH(J$2,mission_ACH!$2:$2,0)-MATCH($G$2,mission_ACH!$2:$2,0)+1,FALSE)</f>
        <v>1</v>
      </c>
      <c r="K80" s="31" t="str">
        <f ca="1">IF(I80="unit",VLOOKUP($G80,OFFSET(mission_ACH!$A$2,0,0,COUNTA($A:$A),MATCH(K$2,mission_ACH!$2:$2,0)-MATCH($G$2,mission_ACH!$2:$2,0)+1),MATCH(K$2,mission_ACH!$2:$2,0)-MATCH($G$2,mission_ACH!$2:$2,0)+1,FALSE),"")</f>
        <v/>
      </c>
      <c r="L80" s="31">
        <f ca="1">VLOOKUP($G80,OFFSET(mission_ACH!$A$2,0,0,COUNTA($A:$A),MATCH(L$2,mission_ACH!$2:$2,0)-MATCH($G$2,mission_ACH!$2:$2,0)+1),MATCH(L$2,mission_ACH!$2:$2,0)-MATCH($G$2,mission_ACH!$2:$2,0)+1,FALSE)</f>
        <v>0</v>
      </c>
      <c r="M80" s="27">
        <v>91</v>
      </c>
      <c r="N80" s="87" t="s">
        <v>1373</v>
      </c>
      <c r="O80" s="87" t="s">
        <v>1374</v>
      </c>
    </row>
    <row r="81" spans="1:15" ht="21" customHeight="1" x14ac:dyDescent="0.15">
      <c r="A81" s="27">
        <f t="shared" si="22"/>
        <v>1096</v>
      </c>
      <c r="B81" s="26" t="str">
        <f t="shared" ref="B81:B82" ca="1" si="27">F81</f>
        <v>AppStoreセールスTOP10ランクインをTwitterでツイートしよう！</v>
      </c>
      <c r="C81" s="27" t="s">
        <v>331</v>
      </c>
      <c r="D81" s="31" t="str">
        <f ca="1">VLOOKUP($C81,OFFSET(mission_unlock_criteria!$A$2,0,0,COUNTA(mission_unlock_criteria!$A:$A),MATCH(D$2,mission_unlock_criteria!$2:$2,0)-MATCH($C$2,mission_unlock_criteria!$2:$2,0)+1),MATCH(D$2,mission_unlock_criteria!$2:$2,0)-MATCH($C$2,mission_unlock_criteria!$2:$2,0)+1,FALSE)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81" s="2" t="s">
        <v>1393</v>
      </c>
      <c r="F81" s="31" t="str">
        <f ca="1">VLOOKUP($E81,OFFSET(mission_ACH_criteria!$A$1,0,0,COUNTA(mission_ACH_criteria!$A:$A),MATCH(F$2,mission_ACH_criteria!$1:$1,0)-MATCH($E$2,mission_ACH_criteria!$1:$1,0)+1),MATCH(F$2,mission_ACH_criteria!$1:$1,0)-MATCH($E$2,mission_ACH_criteria!$1:$1,0)+1,FALSE)</f>
        <v>AppStoreセールスTOP10ランクインをTwitterでツイートしよう！</v>
      </c>
      <c r="G81" s="27" t="s">
        <v>47</v>
      </c>
      <c r="H81" s="31" t="str">
        <f t="shared" ref="H81:H82" ca="1" si="28">IF(I81="unit",K81&amp;" x "&amp;L81,IF(I81="polygon","ポリゴン x "&amp;J81,IF(I81="bit","ビット x "&amp;J81,IF(I81="link","リンク x "&amp;J81))))</f>
        <v>ポリゴン x 1</v>
      </c>
      <c r="I81" s="31" t="str">
        <f ca="1">VLOOKUP($G81,OFFSET(mission_ACH!$A$2,0,0,COUNTA($A:$A),MATCH(I$2,mission_ACH!$2:$2,0)-MATCH($G$2,mission_ACH!$2:$2,0)+1),MATCH(I$2,mission_ACH!$2:$2,0)-MATCH($G$2,mission_ACH!$2:$2,0)+1,FALSE)</f>
        <v>polygon</v>
      </c>
      <c r="J81" s="31">
        <f ca="1">VLOOKUP($G81,OFFSET(mission_ACH!$A$2,0,0,COUNTA($A:$A),MATCH(J$2,mission_ACH!$2:$2,0)-MATCH($G$2,mission_ACH!$2:$2,0)+1),MATCH(J$2,mission_ACH!$2:$2,0)-MATCH($G$2,mission_ACH!$2:$2,0)+1,FALSE)</f>
        <v>1</v>
      </c>
      <c r="K81" s="31" t="str">
        <f ca="1">IF(I81="unit",VLOOKUP($G81,OFFSET(mission_ACH!$A$2,0,0,COUNTA($A:$A),MATCH(K$2,mission_ACH!$2:$2,0)-MATCH($G$2,mission_ACH!$2:$2,0)+1),MATCH(K$2,mission_ACH!$2:$2,0)-MATCH($G$2,mission_ACH!$2:$2,0)+1,FALSE),"")</f>
        <v/>
      </c>
      <c r="L81" s="31">
        <f ca="1">VLOOKUP($G81,OFFSET(mission_ACH!$A$2,0,0,COUNTA($A:$A),MATCH(L$2,mission_ACH!$2:$2,0)-MATCH($G$2,mission_ACH!$2:$2,0)+1),MATCH(L$2,mission_ACH!$2:$2,0)-MATCH($G$2,mission_ACH!$2:$2,0)+1,FALSE)</f>
        <v>0</v>
      </c>
      <c r="M81" s="27">
        <v>92</v>
      </c>
      <c r="N81" s="87" t="s">
        <v>1396</v>
      </c>
      <c r="O81" s="87" t="s">
        <v>1395</v>
      </c>
    </row>
    <row r="82" spans="1:15" ht="21" customHeight="1" x14ac:dyDescent="0.15">
      <c r="A82" s="27">
        <f t="shared" si="22"/>
        <v>1097</v>
      </c>
      <c r="B82" s="26" t="str">
        <f t="shared" ca="1" si="27"/>
        <v>AppStoreセールスTOP10ランクインをLINEで友だちに教えてあげよう！</v>
      </c>
      <c r="C82" s="27" t="s">
        <v>331</v>
      </c>
      <c r="D82" s="31" t="str">
        <f ca="1">VLOOKUP($C82,OFFSET(mission_unlock_criteria!$A$2,0,0,COUNTA(mission_unlock_criteria!$A:$A),MATCH(D$2,mission_unlock_criteria!$2:$2,0)-MATCH($C$2,mission_unlock_criteria!$2:$2,0)+1),MATCH(D$2,mission_unlock_criteria!$2:$2,0)-MATCH($C$2,mission_unlock_criteria!$2:$2,0)+1,FALSE)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82" s="2" t="s">
        <v>1394</v>
      </c>
      <c r="F82" s="31" t="str">
        <f ca="1">VLOOKUP($E82,OFFSET(mission_ACH_criteria!$A$1,0,0,COUNTA(mission_ACH_criteria!$A:$A),MATCH(F$2,mission_ACH_criteria!$1:$1,0)-MATCH($E$2,mission_ACH_criteria!$1:$1,0)+1),MATCH(F$2,mission_ACH_criteria!$1:$1,0)-MATCH($E$2,mission_ACH_criteria!$1:$1,0)+1,FALSE)</f>
        <v>AppStoreセールスTOP10ランクインをLINEで友だちに教えてあげよう！</v>
      </c>
      <c r="G82" s="27" t="s">
        <v>47</v>
      </c>
      <c r="H82" s="31" t="str">
        <f t="shared" ca="1" si="28"/>
        <v>ポリゴン x 1</v>
      </c>
      <c r="I82" s="31" t="str">
        <f ca="1">VLOOKUP($G82,OFFSET(mission_ACH!$A$2,0,0,COUNTA($A:$A),MATCH(I$2,mission_ACH!$2:$2,0)-MATCH($G$2,mission_ACH!$2:$2,0)+1),MATCH(I$2,mission_ACH!$2:$2,0)-MATCH($G$2,mission_ACH!$2:$2,0)+1,FALSE)</f>
        <v>polygon</v>
      </c>
      <c r="J82" s="31">
        <f ca="1">VLOOKUP($G82,OFFSET(mission_ACH!$A$2,0,0,COUNTA($A:$A),MATCH(J$2,mission_ACH!$2:$2,0)-MATCH($G$2,mission_ACH!$2:$2,0)+1),MATCH(J$2,mission_ACH!$2:$2,0)-MATCH($G$2,mission_ACH!$2:$2,0)+1,FALSE)</f>
        <v>1</v>
      </c>
      <c r="K82" s="31" t="str">
        <f ca="1">IF(I82="unit",VLOOKUP($G82,OFFSET(mission_ACH!$A$2,0,0,COUNTA($A:$A),MATCH(K$2,mission_ACH!$2:$2,0)-MATCH($G$2,mission_ACH!$2:$2,0)+1),MATCH(K$2,mission_ACH!$2:$2,0)-MATCH($G$2,mission_ACH!$2:$2,0)+1,FALSE),"")</f>
        <v/>
      </c>
      <c r="L82" s="31">
        <f ca="1">VLOOKUP($G82,OFFSET(mission_ACH!$A$2,0,0,COUNTA($A:$A),MATCH(L$2,mission_ACH!$2:$2,0)-MATCH($G$2,mission_ACH!$2:$2,0)+1),MATCH(L$2,mission_ACH!$2:$2,0)-MATCH($G$2,mission_ACH!$2:$2,0)+1,FALSE)</f>
        <v>0</v>
      </c>
      <c r="M82" s="27">
        <v>92</v>
      </c>
      <c r="N82" s="87" t="s">
        <v>1396</v>
      </c>
      <c r="O82" s="87" t="s">
        <v>1395</v>
      </c>
    </row>
    <row r="83" spans="1:15" ht="21" customHeight="1" x14ac:dyDescent="0.15">
      <c r="A83" s="27">
        <f t="shared" si="22"/>
        <v>1098</v>
      </c>
      <c r="B83" s="26" t="str">
        <f t="shared" ref="B83" ca="1" si="29">F83</f>
        <v>クラフィFacebook公式ページに_x000D_「いいね！」をしよう！</v>
      </c>
      <c r="C83" s="27" t="s">
        <v>331</v>
      </c>
      <c r="D83" s="31" t="str">
        <f ca="1">VLOOKUP($C83,OFFSET(mission_unlock_criteria!$A$2,0,0,COUNTA(mission_unlock_criteria!$A:$A),MATCH(D$2,mission_unlock_criteria!$2:$2,0)-MATCH($C$2,mission_unlock_criteria!$2:$2,0)+1),MATCH(D$2,mission_unlock_criteria!$2:$2,0)-MATCH($C$2,mission_unlock_criteria!$2:$2,0)+1,FALSE)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83" s="2" t="s">
        <v>1398</v>
      </c>
      <c r="F83" s="31" t="str">
        <f ca="1">VLOOKUP($E83,OFFSET(mission_ACH_criteria!$A$1,0,0,COUNTA(mission_ACH_criteria!$A:$A),MATCH(F$2,mission_ACH_criteria!$1:$1,0)-MATCH($E$2,mission_ACH_criteria!$1:$1,0)+1),MATCH(F$2,mission_ACH_criteria!$1:$1,0)-MATCH($E$2,mission_ACH_criteria!$1:$1,0)+1,FALSE)</f>
        <v>クラフィFacebook公式ページに_x000D_「いいね！」をしよう！</v>
      </c>
      <c r="G83" s="27" t="s">
        <v>47</v>
      </c>
      <c r="H83" s="31" t="str">
        <f t="shared" ref="H83" ca="1" si="30">IF(I83="unit",K83&amp;" x "&amp;L83,IF(I83="polygon","ポリゴン x "&amp;J83,IF(I83="bit","ビット x "&amp;J83,IF(I83="link","リンク x "&amp;J83))))</f>
        <v>ポリゴン x 1</v>
      </c>
      <c r="I83" s="31" t="str">
        <f ca="1">VLOOKUP($G83,OFFSET(mission_ACH!$A$2,0,0,COUNTA($A:$A),MATCH(I$2,mission_ACH!$2:$2,0)-MATCH($G$2,mission_ACH!$2:$2,0)+1),MATCH(I$2,mission_ACH!$2:$2,0)-MATCH($G$2,mission_ACH!$2:$2,0)+1,FALSE)</f>
        <v>polygon</v>
      </c>
      <c r="J83" s="31">
        <f ca="1">VLOOKUP($G83,OFFSET(mission_ACH!$A$2,0,0,COUNTA($A:$A),MATCH(J$2,mission_ACH!$2:$2,0)-MATCH($G$2,mission_ACH!$2:$2,0)+1),MATCH(J$2,mission_ACH!$2:$2,0)-MATCH($G$2,mission_ACH!$2:$2,0)+1,FALSE)</f>
        <v>1</v>
      </c>
      <c r="K83" s="31" t="str">
        <f ca="1">IF(I83="unit",VLOOKUP($G83,OFFSET(mission_ACH!$A$2,0,0,COUNTA($A:$A),MATCH(K$2,mission_ACH!$2:$2,0)-MATCH($G$2,mission_ACH!$2:$2,0)+1),MATCH(K$2,mission_ACH!$2:$2,0)-MATCH($G$2,mission_ACH!$2:$2,0)+1,FALSE),"")</f>
        <v/>
      </c>
      <c r="L83" s="31">
        <f ca="1">VLOOKUP($G83,OFFSET(mission_ACH!$A$2,0,0,COUNTA($A:$A),MATCH(L$2,mission_ACH!$2:$2,0)-MATCH($G$2,mission_ACH!$2:$2,0)+1),MATCH(L$2,mission_ACH!$2:$2,0)-MATCH($G$2,mission_ACH!$2:$2,0)+1,FALSE)</f>
        <v>0</v>
      </c>
      <c r="M83" s="27">
        <v>92</v>
      </c>
      <c r="N83" s="2" t="s">
        <v>352</v>
      </c>
      <c r="O83" s="2" t="s">
        <v>352</v>
      </c>
    </row>
    <row r="84" spans="1:15" ht="21" customHeight="1" x14ac:dyDescent="0.15">
      <c r="A84" s="27">
        <f t="shared" si="22"/>
        <v>1099</v>
      </c>
      <c r="B84" s="26" t="str">
        <f t="shared" ref="B84" ca="1" si="31">F84</f>
        <v>サンリオキャラクターズコラボをTwitterでツイートしよう！</v>
      </c>
      <c r="C84" s="27" t="s">
        <v>331</v>
      </c>
      <c r="D84" s="31" t="str">
        <f ca="1">VLOOKUP($C84,OFFSET(mission_unlock_criteria!$A$2,0,0,COUNTA(mission_unlock_criteria!$A:$A),MATCH(D$2,mission_unlock_criteria!$2:$2,0)-MATCH($C$2,mission_unlock_criteria!$2:$2,0)+1),MATCH(D$2,mission_unlock_criteria!$2:$2,0)-MATCH($C$2,mission_unlock_criteria!$2:$2,0)+1,FALSE)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84" s="2" t="s">
        <v>1413</v>
      </c>
      <c r="F84" s="31" t="str">
        <f ca="1">VLOOKUP($E84,OFFSET(mission_ACH_criteria!$A$1,0,0,COUNTA(mission_ACH_criteria!$A:$A),MATCH(F$2,mission_ACH_criteria!$1:$1,0)-MATCH($E$2,mission_ACH_criteria!$1:$1,0)+1),MATCH(F$2,mission_ACH_criteria!$1:$1,0)-MATCH($E$2,mission_ACH_criteria!$1:$1,0)+1,FALSE)</f>
        <v>サンリオキャラクターズコラボをTwitterでツイートしよう！</v>
      </c>
      <c r="G84" s="27" t="s">
        <v>47</v>
      </c>
      <c r="H84" s="31" t="str">
        <f t="shared" ref="H84" ca="1" si="32">IF(I84="unit",K84&amp;" x "&amp;L84,IF(I84="polygon","ポリゴン x "&amp;J84,IF(I84="bit","ビット x "&amp;J84,IF(I84="link","リンク x "&amp;J84))))</f>
        <v>ポリゴン x 1</v>
      </c>
      <c r="I84" s="31" t="str">
        <f ca="1">VLOOKUP($G84,OFFSET(mission_ACH!$A$2,0,0,COUNTA($A:$A),MATCH(I$2,mission_ACH!$2:$2,0)-MATCH($G$2,mission_ACH!$2:$2,0)+1),MATCH(I$2,mission_ACH!$2:$2,0)-MATCH($G$2,mission_ACH!$2:$2,0)+1,FALSE)</f>
        <v>polygon</v>
      </c>
      <c r="J84" s="31">
        <f ca="1">VLOOKUP($G84,OFFSET(mission_ACH!$A$2,0,0,COUNTA($A:$A),MATCH(J$2,mission_ACH!$2:$2,0)-MATCH($G$2,mission_ACH!$2:$2,0)+1),MATCH(J$2,mission_ACH!$2:$2,0)-MATCH($G$2,mission_ACH!$2:$2,0)+1,FALSE)</f>
        <v>1</v>
      </c>
      <c r="K84" s="31" t="str">
        <f ca="1">IF(I84="unit",VLOOKUP($G84,OFFSET(mission_ACH!$A$2,0,0,COUNTA($A:$A),MATCH(K$2,mission_ACH!$2:$2,0)-MATCH($G$2,mission_ACH!$2:$2,0)+1),MATCH(K$2,mission_ACH!$2:$2,0)-MATCH($G$2,mission_ACH!$2:$2,0)+1,FALSE),"")</f>
        <v/>
      </c>
      <c r="L84" s="31">
        <f ca="1">VLOOKUP($G84,OFFSET(mission_ACH!$A$2,0,0,COUNTA($A:$A),MATCH(L$2,mission_ACH!$2:$2,0)-MATCH($G$2,mission_ACH!$2:$2,0)+1),MATCH(L$2,mission_ACH!$2:$2,0)-MATCH($G$2,mission_ACH!$2:$2,0)+1,FALSE)</f>
        <v>0</v>
      </c>
      <c r="M84" s="27">
        <v>93</v>
      </c>
      <c r="N84" s="87" t="s">
        <v>1438</v>
      </c>
      <c r="O84" s="87" t="s">
        <v>1418</v>
      </c>
    </row>
    <row r="85" spans="1:15" ht="21" customHeight="1" x14ac:dyDescent="0.15">
      <c r="A85" s="27">
        <f t="shared" si="22"/>
        <v>1100</v>
      </c>
      <c r="B85" s="26" t="str">
        <f t="shared" ref="B85" ca="1" si="33">F85</f>
        <v>サンリオキャラクターズコラボをLINEで友だちに教えてあげよう！</v>
      </c>
      <c r="C85" s="27" t="s">
        <v>331</v>
      </c>
      <c r="D85" s="31" t="str">
        <f ca="1">VLOOKUP($C85,OFFSET(mission_unlock_criteria!$A$2,0,0,COUNTA(mission_unlock_criteria!$A:$A),MATCH(D$2,mission_unlock_criteria!$2:$2,0)-MATCH($C$2,mission_unlock_criteria!$2:$2,0)+1),MATCH(D$2,mission_unlock_criteria!$2:$2,0)-MATCH($C$2,mission_unlock_criteria!$2:$2,0)+1,FALSE)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85" s="2" t="s">
        <v>1417</v>
      </c>
      <c r="F85" s="31" t="str">
        <f ca="1">VLOOKUP($E85,OFFSET(mission_ACH_criteria!$A$1,0,0,COUNTA(mission_ACH_criteria!$A:$A),MATCH(F$2,mission_ACH_criteria!$1:$1,0)-MATCH($E$2,mission_ACH_criteria!$1:$1,0)+1),MATCH(F$2,mission_ACH_criteria!$1:$1,0)-MATCH($E$2,mission_ACH_criteria!$1:$1,0)+1,FALSE)</f>
        <v>サンリオキャラクターズコラボをLINEで友だちに教えてあげよう！</v>
      </c>
      <c r="G85" s="27" t="s">
        <v>47</v>
      </c>
      <c r="H85" s="31" t="str">
        <f t="shared" ref="H85" ca="1" si="34">IF(I85="unit",K85&amp;" x "&amp;L85,IF(I85="polygon","ポリゴン x "&amp;J85,IF(I85="bit","ビット x "&amp;J85,IF(I85="link","リンク x "&amp;J85))))</f>
        <v>ポリゴン x 1</v>
      </c>
      <c r="I85" s="31" t="str">
        <f ca="1">VLOOKUP($G85,OFFSET(mission_ACH!$A$2,0,0,COUNTA($A:$A),MATCH(I$2,mission_ACH!$2:$2,0)-MATCH($G$2,mission_ACH!$2:$2,0)+1),MATCH(I$2,mission_ACH!$2:$2,0)-MATCH($G$2,mission_ACH!$2:$2,0)+1,FALSE)</f>
        <v>polygon</v>
      </c>
      <c r="J85" s="31">
        <f ca="1">VLOOKUP($G85,OFFSET(mission_ACH!$A$2,0,0,COUNTA($A:$A),MATCH(J$2,mission_ACH!$2:$2,0)-MATCH($G$2,mission_ACH!$2:$2,0)+1),MATCH(J$2,mission_ACH!$2:$2,0)-MATCH($G$2,mission_ACH!$2:$2,0)+1,FALSE)</f>
        <v>1</v>
      </c>
      <c r="K85" s="31" t="str">
        <f ca="1">IF(I85="unit",VLOOKUP($G85,OFFSET(mission_ACH!$A$2,0,0,COUNTA($A:$A),MATCH(K$2,mission_ACH!$2:$2,0)-MATCH($G$2,mission_ACH!$2:$2,0)+1),MATCH(K$2,mission_ACH!$2:$2,0)-MATCH($G$2,mission_ACH!$2:$2,0)+1,FALSE),"")</f>
        <v/>
      </c>
      <c r="L85" s="31">
        <f ca="1">VLOOKUP($G85,OFFSET(mission_ACH!$A$2,0,0,COUNTA($A:$A),MATCH(L$2,mission_ACH!$2:$2,0)-MATCH($G$2,mission_ACH!$2:$2,0)+1),MATCH(L$2,mission_ACH!$2:$2,0)-MATCH($G$2,mission_ACH!$2:$2,0)+1,FALSE)</f>
        <v>0</v>
      </c>
      <c r="M85" s="27">
        <v>93</v>
      </c>
      <c r="N85" s="87" t="s">
        <v>1438</v>
      </c>
      <c r="O85" s="87" t="s">
        <v>1418</v>
      </c>
    </row>
    <row r="86" spans="1:15" ht="21" customHeight="1" x14ac:dyDescent="0.15">
      <c r="A86" s="27">
        <f t="shared" si="22"/>
        <v>1101</v>
      </c>
      <c r="B86" s="26" t="str">
        <f t="shared" ref="B86:B87" ca="1" si="35">F86</f>
        <v>400万DL突破をTwitterでツイートしよう！</v>
      </c>
      <c r="C86" s="27" t="s">
        <v>331</v>
      </c>
      <c r="D86" s="31" t="str">
        <f ca="1">VLOOKUP($C86,OFFSET(mission_unlock_criteria!$A$2,0,0,COUNTA(mission_unlock_criteria!$A:$A),MATCH(D$2,mission_unlock_criteria!$2:$2,0)-MATCH($C$2,mission_unlock_criteria!$2:$2,0)+1),MATCH(D$2,mission_unlock_criteria!$2:$2,0)-MATCH($C$2,mission_unlock_criteria!$2:$2,0)+1,FALSE)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86" s="2" t="s">
        <v>1447</v>
      </c>
      <c r="F86" s="31" t="str">
        <f ca="1">VLOOKUP($E86,OFFSET(mission_ACH_criteria!$A$1,0,0,COUNTA(mission_ACH_criteria!$A:$A),MATCH(F$2,mission_ACH_criteria!$1:$1,0)-MATCH($E$2,mission_ACH_criteria!$1:$1,0)+1),MATCH(F$2,mission_ACH_criteria!$1:$1,0)-MATCH($E$2,mission_ACH_criteria!$1:$1,0)+1,FALSE)</f>
        <v>400万DL突破をTwitterでツイートしよう！</v>
      </c>
      <c r="G86" s="27" t="s">
        <v>47</v>
      </c>
      <c r="H86" s="31" t="str">
        <f t="shared" ref="H86:H87" ca="1" si="36">IF(I86="unit",K86&amp;" x "&amp;L86,IF(I86="polygon","ポリゴン x "&amp;J86,IF(I86="bit","ビット x "&amp;J86,IF(I86="link","リンク x "&amp;J86))))</f>
        <v>ポリゴン x 1</v>
      </c>
      <c r="I86" s="31" t="str">
        <f ca="1">VLOOKUP($G86,OFFSET(mission_ACH!$A$2,0,0,COUNTA($A:$A),MATCH(I$2,mission_ACH!$2:$2,0)-MATCH($G$2,mission_ACH!$2:$2,0)+1),MATCH(I$2,mission_ACH!$2:$2,0)-MATCH($G$2,mission_ACH!$2:$2,0)+1,FALSE)</f>
        <v>polygon</v>
      </c>
      <c r="J86" s="31">
        <f ca="1">VLOOKUP($G86,OFFSET(mission_ACH!$A$2,0,0,COUNTA($A:$A),MATCH(J$2,mission_ACH!$2:$2,0)-MATCH($G$2,mission_ACH!$2:$2,0)+1),MATCH(J$2,mission_ACH!$2:$2,0)-MATCH($G$2,mission_ACH!$2:$2,0)+1,FALSE)</f>
        <v>1</v>
      </c>
      <c r="K86" s="31" t="str">
        <f ca="1">IF(I86="unit",VLOOKUP($G86,OFFSET(mission_ACH!$A$2,0,0,COUNTA($A:$A),MATCH(K$2,mission_ACH!$2:$2,0)-MATCH($G$2,mission_ACH!$2:$2,0)+1),MATCH(K$2,mission_ACH!$2:$2,0)-MATCH($G$2,mission_ACH!$2:$2,0)+1,FALSE),"")</f>
        <v/>
      </c>
      <c r="L86" s="31">
        <f ca="1">VLOOKUP($G86,OFFSET(mission_ACH!$A$2,0,0,COUNTA($A:$A),MATCH(L$2,mission_ACH!$2:$2,0)-MATCH($G$2,mission_ACH!$2:$2,0)+1),MATCH(L$2,mission_ACH!$2:$2,0)-MATCH($G$2,mission_ACH!$2:$2,0)+1,FALSE)</f>
        <v>0</v>
      </c>
      <c r="M86" s="27">
        <v>94</v>
      </c>
      <c r="N86" s="87" t="s">
        <v>1451</v>
      </c>
      <c r="O86" s="87" t="s">
        <v>1456</v>
      </c>
    </row>
    <row r="87" spans="1:15" ht="21" customHeight="1" x14ac:dyDescent="0.15">
      <c r="A87" s="27">
        <f t="shared" si="22"/>
        <v>1102</v>
      </c>
      <c r="B87" s="26" t="str">
        <f t="shared" ca="1" si="35"/>
        <v>400万DL突破をLINEで友だちに教えてあげよう！</v>
      </c>
      <c r="C87" s="27" t="s">
        <v>331</v>
      </c>
      <c r="D87" s="31" t="str">
        <f ca="1">VLOOKUP($C87,OFFSET(mission_unlock_criteria!$A$2,0,0,COUNTA(mission_unlock_criteria!$A:$A),MATCH(D$2,mission_unlock_criteria!$2:$2,0)-MATCH($C$2,mission_unlock_criteria!$2:$2,0)+1),MATCH(D$2,mission_unlock_criteria!$2:$2,0)-MATCH($C$2,mission_unlock_criteria!$2:$2,0)+1,FALSE)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87" s="2" t="s">
        <v>1446</v>
      </c>
      <c r="F87" s="31" t="str">
        <f ca="1">VLOOKUP($E87,OFFSET(mission_ACH_criteria!$A$1,0,0,COUNTA(mission_ACH_criteria!$A:$A),MATCH(F$2,mission_ACH_criteria!$1:$1,0)-MATCH($E$2,mission_ACH_criteria!$1:$1,0)+1),MATCH(F$2,mission_ACH_criteria!$1:$1,0)-MATCH($E$2,mission_ACH_criteria!$1:$1,0)+1,FALSE)</f>
        <v>400万DL突破をLINEで友だちに教えてあげよう！</v>
      </c>
      <c r="G87" s="27" t="s">
        <v>47</v>
      </c>
      <c r="H87" s="31" t="str">
        <f t="shared" ca="1" si="36"/>
        <v>ポリゴン x 1</v>
      </c>
      <c r="I87" s="31" t="str">
        <f ca="1">VLOOKUP($G87,OFFSET(mission_ACH!$A$2,0,0,COUNTA($A:$A),MATCH(I$2,mission_ACH!$2:$2,0)-MATCH($G$2,mission_ACH!$2:$2,0)+1),MATCH(I$2,mission_ACH!$2:$2,0)-MATCH($G$2,mission_ACH!$2:$2,0)+1,FALSE)</f>
        <v>polygon</v>
      </c>
      <c r="J87" s="31">
        <f ca="1">VLOOKUP($G87,OFFSET(mission_ACH!$A$2,0,0,COUNTA($A:$A),MATCH(J$2,mission_ACH!$2:$2,0)-MATCH($G$2,mission_ACH!$2:$2,0)+1),MATCH(J$2,mission_ACH!$2:$2,0)-MATCH($G$2,mission_ACH!$2:$2,0)+1,FALSE)</f>
        <v>1</v>
      </c>
      <c r="K87" s="31" t="str">
        <f ca="1">IF(I87="unit",VLOOKUP($G87,OFFSET(mission_ACH!$A$2,0,0,COUNTA($A:$A),MATCH(K$2,mission_ACH!$2:$2,0)-MATCH($G$2,mission_ACH!$2:$2,0)+1),MATCH(K$2,mission_ACH!$2:$2,0)-MATCH($G$2,mission_ACH!$2:$2,0)+1,FALSE),"")</f>
        <v/>
      </c>
      <c r="L87" s="31">
        <f ca="1">VLOOKUP($G87,OFFSET(mission_ACH!$A$2,0,0,COUNTA($A:$A),MATCH(L$2,mission_ACH!$2:$2,0)-MATCH($G$2,mission_ACH!$2:$2,0)+1),MATCH(L$2,mission_ACH!$2:$2,0)-MATCH($G$2,mission_ACH!$2:$2,0)+1,FALSE)</f>
        <v>0</v>
      </c>
      <c r="M87" s="27">
        <v>94</v>
      </c>
      <c r="N87" s="87" t="s">
        <v>1451</v>
      </c>
      <c r="O87" s="87" t="s">
        <v>1456</v>
      </c>
    </row>
    <row r="88" spans="1:15" ht="21" customHeight="1" x14ac:dyDescent="0.15">
      <c r="A88" s="27">
        <f t="shared" si="22"/>
        <v>1103</v>
      </c>
      <c r="B88" s="26" t="str">
        <f t="shared" ref="B88:B89" ca="1" si="37">F88</f>
        <v>クラフィ1周年をTwitterでツイートしよう！</v>
      </c>
      <c r="C88" s="27" t="s">
        <v>331</v>
      </c>
      <c r="D88" s="31" t="str">
        <f ca="1">VLOOKUP($C88,OFFSET(mission_unlock_criteria!$A$2,0,0,COUNTA(mission_unlock_criteria!$A:$A),MATCH(D$2,mission_unlock_criteria!$2:$2,0)-MATCH($C$2,mission_unlock_criteria!$2:$2,0)+1),MATCH(D$2,mission_unlock_criteria!$2:$2,0)-MATCH($C$2,mission_unlock_criteria!$2:$2,0)+1,FALSE)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88" s="2" t="s">
        <v>1569</v>
      </c>
      <c r="F88" s="31" t="str">
        <f ca="1">VLOOKUP($E88,OFFSET(mission_ACH_criteria!$A$1,0,0,COUNTA(mission_ACH_criteria!$A:$A),MATCH(F$2,mission_ACH_criteria!$1:$1,0)-MATCH($E$2,mission_ACH_criteria!$1:$1,0)+1),MATCH(F$2,mission_ACH_criteria!$1:$1,0)-MATCH($E$2,mission_ACH_criteria!$1:$1,0)+1,FALSE)</f>
        <v>クラフィ1周年をTwitterでツイートしよう！</v>
      </c>
      <c r="G88" s="27" t="s">
        <v>47</v>
      </c>
      <c r="H88" s="31" t="str">
        <f t="shared" ref="H88:H89" ca="1" si="38">IF(I88="unit",K88&amp;" x "&amp;L88,IF(I88="polygon","ポリゴン x "&amp;J88,IF(I88="bit","ビット x "&amp;J88,IF(I88="link","リンク x "&amp;J88))))</f>
        <v>ポリゴン x 1</v>
      </c>
      <c r="I88" s="31" t="str">
        <f ca="1">VLOOKUP($G88,OFFSET(mission_ACH!$A$2,0,0,COUNTA($A:$A),MATCH(I$2,mission_ACH!$2:$2,0)-MATCH($G$2,mission_ACH!$2:$2,0)+1),MATCH(I$2,mission_ACH!$2:$2,0)-MATCH($G$2,mission_ACH!$2:$2,0)+1,FALSE)</f>
        <v>polygon</v>
      </c>
      <c r="J88" s="31">
        <f ca="1">VLOOKUP($G88,OFFSET(mission_ACH!$A$2,0,0,COUNTA($A:$A),MATCH(J$2,mission_ACH!$2:$2,0)-MATCH($G$2,mission_ACH!$2:$2,0)+1),MATCH(J$2,mission_ACH!$2:$2,0)-MATCH($G$2,mission_ACH!$2:$2,0)+1,FALSE)</f>
        <v>1</v>
      </c>
      <c r="K88" s="31" t="str">
        <f ca="1">IF(I88="unit",VLOOKUP($G88,OFFSET(mission_ACH!$A$2,0,0,COUNTA($A:$A),MATCH(K$2,mission_ACH!$2:$2,0)-MATCH($G$2,mission_ACH!$2:$2,0)+1),MATCH(K$2,mission_ACH!$2:$2,0)-MATCH($G$2,mission_ACH!$2:$2,0)+1,FALSE),"")</f>
        <v/>
      </c>
      <c r="L88" s="31">
        <f ca="1">VLOOKUP($G88,OFFSET(mission_ACH!$A$2,0,0,COUNTA($A:$A),MATCH(L$2,mission_ACH!$2:$2,0)-MATCH($G$2,mission_ACH!$2:$2,0)+1),MATCH(L$2,mission_ACH!$2:$2,0)-MATCH($G$2,mission_ACH!$2:$2,0)+1,FALSE)</f>
        <v>0</v>
      </c>
      <c r="M88" s="27">
        <v>94</v>
      </c>
      <c r="N88" s="87" t="s">
        <v>1568</v>
      </c>
      <c r="O88" s="87" t="s">
        <v>1649</v>
      </c>
    </row>
    <row r="89" spans="1:15" ht="21" customHeight="1" x14ac:dyDescent="0.15">
      <c r="A89" s="27">
        <f t="shared" si="22"/>
        <v>1104</v>
      </c>
      <c r="B89" s="26" t="str">
        <f t="shared" ca="1" si="37"/>
        <v>クラフィ1周年をLINEで友だちに教えてあげよう！</v>
      </c>
      <c r="C89" s="27" t="s">
        <v>331</v>
      </c>
      <c r="D89" s="31" t="str">
        <f ca="1">VLOOKUP($C89,OFFSET(mission_unlock_criteria!$A$2,0,0,COUNTA(mission_unlock_criteria!$A:$A),MATCH(D$2,mission_unlock_criteria!$2:$2,0)-MATCH($C$2,mission_unlock_criteria!$2:$2,0)+1),MATCH(D$2,mission_unlock_criteria!$2:$2,0)-MATCH($C$2,mission_unlock_criteria!$2:$2,0)+1,FALSE)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89" s="2" t="s">
        <v>1570</v>
      </c>
      <c r="F89" s="31" t="str">
        <f ca="1">VLOOKUP($E89,OFFSET(mission_ACH_criteria!$A$1,0,0,COUNTA(mission_ACH_criteria!$A:$A),MATCH(F$2,mission_ACH_criteria!$1:$1,0)-MATCH($E$2,mission_ACH_criteria!$1:$1,0)+1),MATCH(F$2,mission_ACH_criteria!$1:$1,0)-MATCH($E$2,mission_ACH_criteria!$1:$1,0)+1,FALSE)</f>
        <v>クラフィ1周年をLINEで友だちに教えてあげよう！</v>
      </c>
      <c r="G89" s="27" t="s">
        <v>47</v>
      </c>
      <c r="H89" s="31" t="str">
        <f t="shared" ca="1" si="38"/>
        <v>ポリゴン x 1</v>
      </c>
      <c r="I89" s="31" t="str">
        <f ca="1">VLOOKUP($G89,OFFSET(mission_ACH!$A$2,0,0,COUNTA($A:$A),MATCH(I$2,mission_ACH!$2:$2,0)-MATCH($G$2,mission_ACH!$2:$2,0)+1),MATCH(I$2,mission_ACH!$2:$2,0)-MATCH($G$2,mission_ACH!$2:$2,0)+1,FALSE)</f>
        <v>polygon</v>
      </c>
      <c r="J89" s="31">
        <f ca="1">VLOOKUP($G89,OFFSET(mission_ACH!$A$2,0,0,COUNTA($A:$A),MATCH(J$2,mission_ACH!$2:$2,0)-MATCH($G$2,mission_ACH!$2:$2,0)+1),MATCH(J$2,mission_ACH!$2:$2,0)-MATCH($G$2,mission_ACH!$2:$2,0)+1,FALSE)</f>
        <v>1</v>
      </c>
      <c r="K89" s="31" t="str">
        <f ca="1">IF(I89="unit",VLOOKUP($G89,OFFSET(mission_ACH!$A$2,0,0,COUNTA($A:$A),MATCH(K$2,mission_ACH!$2:$2,0)-MATCH($G$2,mission_ACH!$2:$2,0)+1),MATCH(K$2,mission_ACH!$2:$2,0)-MATCH($G$2,mission_ACH!$2:$2,0)+1,FALSE),"")</f>
        <v/>
      </c>
      <c r="L89" s="31">
        <f ca="1">VLOOKUP($G89,OFFSET(mission_ACH!$A$2,0,0,COUNTA($A:$A),MATCH(L$2,mission_ACH!$2:$2,0)-MATCH($G$2,mission_ACH!$2:$2,0)+1),MATCH(L$2,mission_ACH!$2:$2,0)-MATCH($G$2,mission_ACH!$2:$2,0)+1,FALSE)</f>
        <v>0</v>
      </c>
      <c r="M89" s="27">
        <v>94</v>
      </c>
      <c r="N89" s="87" t="s">
        <v>1568</v>
      </c>
      <c r="O89" s="87" t="s">
        <v>1650</v>
      </c>
    </row>
    <row r="90" spans="1:15" ht="21" customHeight="1" x14ac:dyDescent="0.15">
      <c r="A90" s="27">
        <f t="shared" si="22"/>
        <v>1105</v>
      </c>
      <c r="B90" s="26" t="str">
        <f t="shared" ref="B90:B91" ca="1" si="39">F90</f>
        <v>進撃の巨人コラボをTwitterでツイートしよう！</v>
      </c>
      <c r="C90" s="27" t="s">
        <v>331</v>
      </c>
      <c r="D90" s="31" t="str">
        <f ca="1">VLOOKUP($C90,OFFSET(mission_unlock_criteria!$A$2,0,0,COUNTA(mission_unlock_criteria!$A:$A),MATCH(D$2,mission_unlock_criteria!$2:$2,0)-MATCH($C$2,mission_unlock_criteria!$2:$2,0)+1),MATCH(D$2,mission_unlock_criteria!$2:$2,0)-MATCH($C$2,mission_unlock_criteria!$2:$2,0)+1,FALSE)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90" s="2" t="s">
        <v>1673</v>
      </c>
      <c r="F90" s="31" t="str">
        <f ca="1">VLOOKUP($E90,OFFSET(mission_ACH_criteria!$A$1,0,0,COUNTA(mission_ACH_criteria!$A:$A),MATCH(F$2,mission_ACH_criteria!$1:$1,0)-MATCH($E$2,mission_ACH_criteria!$1:$1,0)+1),MATCH(F$2,mission_ACH_criteria!$1:$1,0)-MATCH($E$2,mission_ACH_criteria!$1:$1,0)+1,FALSE)</f>
        <v>進撃の巨人コラボをTwitterでツイートしよう！</v>
      </c>
      <c r="G90" s="27" t="s">
        <v>47</v>
      </c>
      <c r="H90" s="31" t="str">
        <f t="shared" ref="H90:H91" ca="1" si="40">IF(I90="unit",K90&amp;" x "&amp;L90,IF(I90="polygon","ポリゴン x "&amp;J90,IF(I90="bit","ビット x "&amp;J90,IF(I90="link","リンク x "&amp;J90))))</f>
        <v>ポリゴン x 1</v>
      </c>
      <c r="I90" s="31" t="str">
        <f ca="1">VLOOKUP($G90,OFFSET(mission_ACH!$A$2,0,0,COUNTA($A:$A),MATCH(I$2,mission_ACH!$2:$2,0)-MATCH($G$2,mission_ACH!$2:$2,0)+1),MATCH(I$2,mission_ACH!$2:$2,0)-MATCH($G$2,mission_ACH!$2:$2,0)+1,FALSE)</f>
        <v>polygon</v>
      </c>
      <c r="J90" s="31">
        <f ca="1">VLOOKUP($G90,OFFSET(mission_ACH!$A$2,0,0,COUNTA($A:$A),MATCH(J$2,mission_ACH!$2:$2,0)-MATCH($G$2,mission_ACH!$2:$2,0)+1),MATCH(J$2,mission_ACH!$2:$2,0)-MATCH($G$2,mission_ACH!$2:$2,0)+1,FALSE)</f>
        <v>1</v>
      </c>
      <c r="K90" s="31" t="str">
        <f ca="1">IF(I90="unit",VLOOKUP($G90,OFFSET(mission_ACH!$A$2,0,0,COUNTA($A:$A),MATCH(K$2,mission_ACH!$2:$2,0)-MATCH($G$2,mission_ACH!$2:$2,0)+1),MATCH(K$2,mission_ACH!$2:$2,0)-MATCH($G$2,mission_ACH!$2:$2,0)+1,FALSE),"")</f>
        <v/>
      </c>
      <c r="L90" s="31">
        <f ca="1">VLOOKUP($G90,OFFSET(mission_ACH!$A$2,0,0,COUNTA($A:$A),MATCH(L$2,mission_ACH!$2:$2,0)-MATCH($G$2,mission_ACH!$2:$2,0)+1),MATCH(L$2,mission_ACH!$2:$2,0)-MATCH($G$2,mission_ACH!$2:$2,0)+1,FALSE)</f>
        <v>0</v>
      </c>
      <c r="M90" s="27">
        <v>94</v>
      </c>
      <c r="N90" s="87" t="s">
        <v>1675</v>
      </c>
      <c r="O90" s="87" t="s">
        <v>1672</v>
      </c>
    </row>
    <row r="91" spans="1:15" ht="21" customHeight="1" x14ac:dyDescent="0.15">
      <c r="A91" s="27">
        <f t="shared" si="22"/>
        <v>1106</v>
      </c>
      <c r="B91" s="26" t="str">
        <f t="shared" ca="1" si="39"/>
        <v>進撃の巨人コラボをLINEで友だちに教えてあげよう！</v>
      </c>
      <c r="C91" s="27" t="s">
        <v>331</v>
      </c>
      <c r="D91" s="31" t="str">
        <f ca="1">VLOOKUP($C91,OFFSET(mission_unlock_criteria!$A$2,0,0,COUNTA(mission_unlock_criteria!$A:$A),MATCH(D$2,mission_unlock_criteria!$2:$2,0)-MATCH($C$2,mission_unlock_criteria!$2:$2,0)+1),MATCH(D$2,mission_unlock_criteria!$2:$2,0)-MATCH($C$2,mission_unlock_criteria!$2:$2,0)+1,FALSE)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91" s="2" t="s">
        <v>1674</v>
      </c>
      <c r="F91" s="31" t="str">
        <f ca="1">VLOOKUP($E91,OFFSET(mission_ACH_criteria!$A$1,0,0,COUNTA(mission_ACH_criteria!$A:$A),MATCH(F$2,mission_ACH_criteria!$1:$1,0)-MATCH($E$2,mission_ACH_criteria!$1:$1,0)+1),MATCH(F$2,mission_ACH_criteria!$1:$1,0)-MATCH($E$2,mission_ACH_criteria!$1:$1,0)+1,FALSE)</f>
        <v>進撃の巨人コラボをLINEで友だちに教えてあげよう！</v>
      </c>
      <c r="G91" s="27" t="s">
        <v>47</v>
      </c>
      <c r="H91" s="31" t="str">
        <f t="shared" ca="1" si="40"/>
        <v>ポリゴン x 1</v>
      </c>
      <c r="I91" s="31" t="str">
        <f ca="1">VLOOKUP($G91,OFFSET(mission_ACH!$A$2,0,0,COUNTA($A:$A),MATCH(I$2,mission_ACH!$2:$2,0)-MATCH($G$2,mission_ACH!$2:$2,0)+1),MATCH(I$2,mission_ACH!$2:$2,0)-MATCH($G$2,mission_ACH!$2:$2,0)+1,FALSE)</f>
        <v>polygon</v>
      </c>
      <c r="J91" s="31">
        <f ca="1">VLOOKUP($G91,OFFSET(mission_ACH!$A$2,0,0,COUNTA($A:$A),MATCH(J$2,mission_ACH!$2:$2,0)-MATCH($G$2,mission_ACH!$2:$2,0)+1),MATCH(J$2,mission_ACH!$2:$2,0)-MATCH($G$2,mission_ACH!$2:$2,0)+1,FALSE)</f>
        <v>1</v>
      </c>
      <c r="K91" s="31" t="str">
        <f ca="1">IF(I91="unit",VLOOKUP($G91,OFFSET(mission_ACH!$A$2,0,0,COUNTA($A:$A),MATCH(K$2,mission_ACH!$2:$2,0)-MATCH($G$2,mission_ACH!$2:$2,0)+1),MATCH(K$2,mission_ACH!$2:$2,0)-MATCH($G$2,mission_ACH!$2:$2,0)+1,FALSE),"")</f>
        <v/>
      </c>
      <c r="L91" s="31">
        <f ca="1">VLOOKUP($G91,OFFSET(mission_ACH!$A$2,0,0,COUNTA($A:$A),MATCH(L$2,mission_ACH!$2:$2,0)-MATCH($G$2,mission_ACH!$2:$2,0)+1),MATCH(L$2,mission_ACH!$2:$2,0)-MATCH($G$2,mission_ACH!$2:$2,0)+1,FALSE)</f>
        <v>0</v>
      </c>
      <c r="M91" s="27">
        <v>94</v>
      </c>
      <c r="N91" s="87" t="s">
        <v>1719</v>
      </c>
      <c r="O91" s="87" t="s">
        <v>1672</v>
      </c>
    </row>
    <row r="92" spans="1:15" ht="21" customHeight="1" x14ac:dyDescent="0.15">
      <c r="A92" s="145">
        <f>A91+1</f>
        <v>1107</v>
      </c>
      <c r="B92" s="145" t="str">
        <f t="shared" ref="B92" ca="1" si="41">F92</f>
        <v>公式LINEアカウントと友達になろう！</v>
      </c>
      <c r="C92" s="145" t="s">
        <v>331</v>
      </c>
      <c r="D92" s="146" t="str">
        <f ca="1">VLOOKUP($C92,OFFSET(mission_unlock_criteria!$A$2,0,0,COUNTA(mission_unlock_criteria!$A:$A),MATCH(D$2,mission_unlock_criteria!$2:$2,0)-MATCH($C$2,mission_unlock_criteria!$2:$2,0)+1),MATCH(D$2,mission_unlock_criteria!$2:$2,0)-MATCH($C$2,mission_unlock_criteria!$2:$2,0)+1,FALSE)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92" s="145" t="s">
        <v>1684</v>
      </c>
      <c r="F92" s="146" t="str">
        <f ca="1">VLOOKUP($E92,OFFSET(mission_ACH_criteria!$A$1,0,0,COUNTA(mission_ACH_criteria!$A:$A),MATCH(F$2,mission_ACH_criteria!$1:$1,0)-MATCH($E$2,mission_ACH_criteria!$1:$1,0)+1),MATCH(F$2,mission_ACH_criteria!$1:$1,0)-MATCH($E$2,mission_ACH_criteria!$1:$1,0)+1,FALSE)</f>
        <v>公式LINEアカウントと友達になろう！</v>
      </c>
      <c r="G92" s="145" t="s">
        <v>47</v>
      </c>
      <c r="H92" s="146" t="str">
        <f t="shared" ref="H92" ca="1" si="42">IF(I92="unit",K92&amp;" x "&amp;L92,IF(I92="polygon","ポリゴン x "&amp;J92,IF(I92="bit","ビット x "&amp;J92,IF(I92="link","リンク x "&amp;J92))))</f>
        <v>ポリゴン x 1</v>
      </c>
      <c r="I92" s="146" t="str">
        <f ca="1">VLOOKUP($G92,OFFSET(mission_ACH!$A$2,0,0,COUNTA($A:$A),MATCH(I$2,mission_ACH!$2:$2,0)-MATCH($G$2,mission_ACH!$2:$2,0)+1),MATCH(I$2,mission_ACH!$2:$2,0)-MATCH($G$2,mission_ACH!$2:$2,0)+1,FALSE)</f>
        <v>polygon</v>
      </c>
      <c r="J92" s="146">
        <f ca="1">VLOOKUP($G92,OFFSET(mission_ACH!$A$2,0,0,COUNTA($A:$A),MATCH(J$2,mission_ACH!$2:$2,0)-MATCH($G$2,mission_ACH!$2:$2,0)+1),MATCH(J$2,mission_ACH!$2:$2,0)-MATCH($G$2,mission_ACH!$2:$2,0)+1,FALSE)</f>
        <v>1</v>
      </c>
      <c r="K92" s="146" t="str">
        <f ca="1">IF(I92="unit",VLOOKUP($G92,OFFSET(mission_ACH!$A$2,0,0,COUNTA($A:$A),MATCH(K$2,mission_ACH!$2:$2,0)-MATCH($G$2,mission_ACH!$2:$2,0)+1),MATCH(K$2,mission_ACH!$2:$2,0)-MATCH($G$2,mission_ACH!$2:$2,0)+1,FALSE),"")</f>
        <v/>
      </c>
      <c r="L92" s="146">
        <f ca="1">VLOOKUP($G92,OFFSET(mission_ACH!$A$2,0,0,COUNTA($A:$A),MATCH(L$2,mission_ACH!$2:$2,0)-MATCH($G$2,mission_ACH!$2:$2,0)+1),MATCH(L$2,mission_ACH!$2:$2,0)-MATCH($G$2,mission_ACH!$2:$2,0)+1,FALSE)</f>
        <v>0</v>
      </c>
      <c r="M92" s="145">
        <v>96</v>
      </c>
      <c r="N92" s="147" t="s">
        <v>1106</v>
      </c>
      <c r="O92" s="147" t="s">
        <v>1037</v>
      </c>
    </row>
    <row r="93" spans="1:15" ht="21" customHeight="1" x14ac:dyDescent="0.15">
      <c r="A93" s="27">
        <f t="shared" ref="A93:A101" si="43">A92+1</f>
        <v>1108</v>
      </c>
      <c r="B93" s="26" t="s">
        <v>1713</v>
      </c>
      <c r="C93" s="27" t="s">
        <v>331</v>
      </c>
      <c r="D93" s="31" t="str">
        <f ca="1">VLOOKUP($C93,OFFSET(mission_unlock_criteria!$A$2,0,0,COUNTA(mission_unlock_criteria!$A:$A),MATCH(D$2,mission_unlock_criteria!$2:$2,0)-MATCH($C$2,mission_unlock_criteria!$2:$2,0)+1),MATCH(D$2,mission_unlock_criteria!$2:$2,0)-MATCH($C$2,mission_unlock_criteria!$2:$2,0)+1,FALSE)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93" s="2" t="s">
        <v>1716</v>
      </c>
      <c r="F93" s="31" t="str">
        <f ca="1">VLOOKUP($E93,OFFSET(mission_ACH_criteria!$A$1,0,0,COUNTA(mission_ACH_criteria!$A:$A),MATCH(F$2,mission_ACH_criteria!$1:$1,0)-MATCH($E$2,mission_ACH_criteria!$1:$1,0)+1),MATCH(F$2,mission_ACH_criteria!$1:$1,0)-MATCH($E$2,mission_ACH_criteria!$1:$1,0)+1,FALSE)</f>
        <v>TVCM「帰り道の期待感」篇を観よう！</v>
      </c>
      <c r="G93" s="27" t="s">
        <v>47</v>
      </c>
      <c r="H93" s="31" t="str">
        <f t="shared" ref="H93:H95" ca="1" si="44">IF(I93="unit",K93&amp;" x "&amp;L93,IF(I93="polygon","ポリゴン x "&amp;J93,IF(I93="bit","ビット x "&amp;J93,IF(I93="link","リンク x "&amp;J93))))</f>
        <v>ポリゴン x 1</v>
      </c>
      <c r="I93" s="31" t="str">
        <f ca="1">VLOOKUP($G93,OFFSET(mission_ACH!$A$2,0,0,COUNTA($A:$A),MATCH(I$2,mission_ACH!$2:$2,0)-MATCH($G$2,mission_ACH!$2:$2,0)+1),MATCH(I$2,mission_ACH!$2:$2,0)-MATCH($G$2,mission_ACH!$2:$2,0)+1,FALSE)</f>
        <v>polygon</v>
      </c>
      <c r="J93" s="31">
        <f ca="1">VLOOKUP($G93,OFFSET(mission_ACH!$A$2,0,0,COUNTA($A:$A),MATCH(J$2,mission_ACH!$2:$2,0)-MATCH($G$2,mission_ACH!$2:$2,0)+1),MATCH(J$2,mission_ACH!$2:$2,0)-MATCH($G$2,mission_ACH!$2:$2,0)+1,FALSE)</f>
        <v>1</v>
      </c>
      <c r="K93" s="31" t="str">
        <f ca="1">IF(I93="unit",VLOOKUP($G93,OFFSET(mission_ACH!$A$2,0,0,COUNTA($A:$A),MATCH(K$2,mission_ACH!$2:$2,0)-MATCH($G$2,mission_ACH!$2:$2,0)+1),MATCH(K$2,mission_ACH!$2:$2,0)-MATCH($G$2,mission_ACH!$2:$2,0)+1,FALSE),"")</f>
        <v/>
      </c>
      <c r="L93" s="31">
        <f ca="1">VLOOKUP($G93,OFFSET(mission_ACH!$A$2,0,0,COUNTA($A:$A),MATCH(L$2,mission_ACH!$2:$2,0)-MATCH($G$2,mission_ACH!$2:$2,0)+1),MATCH(L$2,mission_ACH!$2:$2,0)-MATCH($G$2,mission_ACH!$2:$2,0)+1,FALSE)</f>
        <v>0</v>
      </c>
      <c r="M93" s="27">
        <v>96</v>
      </c>
      <c r="N93" s="87" t="s">
        <v>1720</v>
      </c>
      <c r="O93" s="87" t="s">
        <v>1728</v>
      </c>
    </row>
    <row r="94" spans="1:15" ht="21" customHeight="1" x14ac:dyDescent="0.15">
      <c r="A94" s="27">
        <f t="shared" si="43"/>
        <v>1109</v>
      </c>
      <c r="B94" s="26" t="s">
        <v>1714</v>
      </c>
      <c r="C94" s="27" t="s">
        <v>331</v>
      </c>
      <c r="D94" s="31" t="str">
        <f ca="1">VLOOKUP($C94,OFFSET(mission_unlock_criteria!$A$2,0,0,COUNTA(mission_unlock_criteria!$A:$A),MATCH(D$2,mission_unlock_criteria!$2:$2,0)-MATCH($C$2,mission_unlock_criteria!$2:$2,0)+1),MATCH(D$2,mission_unlock_criteria!$2:$2,0)-MATCH($C$2,mission_unlock_criteria!$2:$2,0)+1,FALSE)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94" s="2" t="s">
        <v>1717</v>
      </c>
      <c r="F94" s="31" t="str">
        <f ca="1">VLOOKUP($E94,OFFSET(mission_ACH_criteria!$A$1,0,0,COUNTA(mission_ACH_criteria!$A:$A),MATCH(F$2,mission_ACH_criteria!$1:$1,0)-MATCH($E$2,mission_ACH_criteria!$1:$1,0)+1),MATCH(F$2,mission_ACH_criteria!$1:$1,0)-MATCH($E$2,mission_ACH_criteria!$1:$1,0)+1,FALSE)</f>
        <v>TVCM「渡り廊下の期待感」篇を観よう！</v>
      </c>
      <c r="G94" s="27" t="s">
        <v>47</v>
      </c>
      <c r="H94" s="31" t="str">
        <f t="shared" ca="1" si="44"/>
        <v>ポリゴン x 1</v>
      </c>
      <c r="I94" s="31" t="str">
        <f ca="1">VLOOKUP($G94,OFFSET(mission_ACH!$A$2,0,0,COUNTA($A:$A),MATCH(I$2,mission_ACH!$2:$2,0)-MATCH($G$2,mission_ACH!$2:$2,0)+1),MATCH(I$2,mission_ACH!$2:$2,0)-MATCH($G$2,mission_ACH!$2:$2,0)+1,FALSE)</f>
        <v>polygon</v>
      </c>
      <c r="J94" s="31">
        <f ca="1">VLOOKUP($G94,OFFSET(mission_ACH!$A$2,0,0,COUNTA($A:$A),MATCH(J$2,mission_ACH!$2:$2,0)-MATCH($G$2,mission_ACH!$2:$2,0)+1),MATCH(J$2,mission_ACH!$2:$2,0)-MATCH($G$2,mission_ACH!$2:$2,0)+1,FALSE)</f>
        <v>1</v>
      </c>
      <c r="K94" s="31" t="str">
        <f ca="1">IF(I94="unit",VLOOKUP($G94,OFFSET(mission_ACH!$A$2,0,0,COUNTA($A:$A),MATCH(K$2,mission_ACH!$2:$2,0)-MATCH($G$2,mission_ACH!$2:$2,0)+1),MATCH(K$2,mission_ACH!$2:$2,0)-MATCH($G$2,mission_ACH!$2:$2,0)+1,FALSE),"")</f>
        <v/>
      </c>
      <c r="L94" s="31">
        <f ca="1">VLOOKUP($G94,OFFSET(mission_ACH!$A$2,0,0,COUNTA($A:$A),MATCH(L$2,mission_ACH!$2:$2,0)-MATCH($G$2,mission_ACH!$2:$2,0)+1),MATCH(L$2,mission_ACH!$2:$2,0)-MATCH($G$2,mission_ACH!$2:$2,0)+1,FALSE)</f>
        <v>0</v>
      </c>
      <c r="M94" s="27">
        <v>96</v>
      </c>
      <c r="N94" s="87" t="s">
        <v>1720</v>
      </c>
      <c r="O94" s="87" t="s">
        <v>1728</v>
      </c>
    </row>
    <row r="95" spans="1:15" ht="21" customHeight="1" x14ac:dyDescent="0.15">
      <c r="A95" s="27">
        <f t="shared" si="43"/>
        <v>1110</v>
      </c>
      <c r="B95" s="26" t="s">
        <v>1715</v>
      </c>
      <c r="C95" s="27" t="s">
        <v>331</v>
      </c>
      <c r="D95" s="31" t="str">
        <f ca="1">VLOOKUP($C95,OFFSET(mission_unlock_criteria!$A$2,0,0,COUNTA(mission_unlock_criteria!$A:$A),MATCH(D$2,mission_unlock_criteria!$2:$2,0)-MATCH($C$2,mission_unlock_criteria!$2:$2,0)+1),MATCH(D$2,mission_unlock_criteria!$2:$2,0)-MATCH($C$2,mission_unlock_criteria!$2:$2,0)+1,FALSE)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95" s="2" t="s">
        <v>1718</v>
      </c>
      <c r="F95" s="31" t="str">
        <f ca="1">VLOOKUP($E95,OFFSET(mission_ACH_criteria!$A$1,0,0,COUNTA(mission_ACH_criteria!$A:$A),MATCH(F$2,mission_ACH_criteria!$1:$1,0)-MATCH($E$2,mission_ACH_criteria!$1:$1,0)+1),MATCH(F$2,mission_ACH_criteria!$1:$1,0)-MATCH($E$2,mission_ACH_criteria!$1:$1,0)+1,FALSE)</f>
        <v>TVCM「世界観」篇を観よう！</v>
      </c>
      <c r="G95" s="27" t="s">
        <v>47</v>
      </c>
      <c r="H95" s="31" t="str">
        <f t="shared" ca="1" si="44"/>
        <v>ポリゴン x 1</v>
      </c>
      <c r="I95" s="31" t="str">
        <f ca="1">VLOOKUP($G95,OFFSET(mission_ACH!$A$2,0,0,COUNTA($A:$A),MATCH(I$2,mission_ACH!$2:$2,0)-MATCH($G$2,mission_ACH!$2:$2,0)+1),MATCH(I$2,mission_ACH!$2:$2,0)-MATCH($G$2,mission_ACH!$2:$2,0)+1,FALSE)</f>
        <v>polygon</v>
      </c>
      <c r="J95" s="31">
        <f ca="1">VLOOKUP($G95,OFFSET(mission_ACH!$A$2,0,0,COUNTA($A:$A),MATCH(J$2,mission_ACH!$2:$2,0)-MATCH($G$2,mission_ACH!$2:$2,0)+1),MATCH(J$2,mission_ACH!$2:$2,0)-MATCH($G$2,mission_ACH!$2:$2,0)+1,FALSE)</f>
        <v>1</v>
      </c>
      <c r="K95" s="31" t="str">
        <f ca="1">IF(I95="unit",VLOOKUP($G95,OFFSET(mission_ACH!$A$2,0,0,COUNTA($A:$A),MATCH(K$2,mission_ACH!$2:$2,0)-MATCH($G$2,mission_ACH!$2:$2,0)+1),MATCH(K$2,mission_ACH!$2:$2,0)-MATCH($G$2,mission_ACH!$2:$2,0)+1,FALSE),"")</f>
        <v/>
      </c>
      <c r="L95" s="31">
        <f ca="1">VLOOKUP($G95,OFFSET(mission_ACH!$A$2,0,0,COUNTA($A:$A),MATCH(L$2,mission_ACH!$2:$2,0)-MATCH($G$2,mission_ACH!$2:$2,0)+1),MATCH(L$2,mission_ACH!$2:$2,0)-MATCH($G$2,mission_ACH!$2:$2,0)+1,FALSE)</f>
        <v>0</v>
      </c>
      <c r="M95" s="27">
        <v>96</v>
      </c>
      <c r="N95" s="87" t="s">
        <v>1720</v>
      </c>
      <c r="O95" s="87" t="s">
        <v>1728</v>
      </c>
    </row>
    <row r="96" spans="1:15" ht="21" customHeight="1" x14ac:dyDescent="0.15">
      <c r="A96" s="27">
        <f t="shared" si="43"/>
        <v>1111</v>
      </c>
      <c r="B96" s="26" t="s">
        <v>1737</v>
      </c>
      <c r="C96" s="27" t="s">
        <v>331</v>
      </c>
      <c r="D96" s="31" t="str">
        <f ca="1">VLOOKUP($C96,OFFSET(mission_unlock_criteria!$A$2,0,0,COUNTA(mission_unlock_criteria!$A:$A),MATCH(D$2,mission_unlock_criteria!$2:$2,0)-MATCH($C$2,mission_unlock_criteria!$2:$2,0)+1),MATCH(D$2,mission_unlock_criteria!$2:$2,0)-MATCH($C$2,mission_unlock_criteria!$2:$2,0)+1,FALSE)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96" s="2" t="s">
        <v>1729</v>
      </c>
      <c r="F96" s="31" t="str">
        <f ca="1">VLOOKUP($E96,OFFSET(mission_ACH_criteria!$A$1,0,0,COUNTA(mission_ACH_criteria!$A:$A),MATCH(F$2,mission_ACH_criteria!$1:$1,0)-MATCH($E$2,mission_ACH_criteria!$1:$1,0)+1),MATCH(F$2,mission_ACH_criteria!$1:$1,0)-MATCH($E$2,mission_ACH_criteria!$1:$1,0)+1,FALSE)</f>
        <v>TVCMキャンペーンをTwitterでツイートしよう！</v>
      </c>
      <c r="G96" s="27" t="s">
        <v>47</v>
      </c>
      <c r="H96" s="31" t="str">
        <f t="shared" ref="H96:H97" ca="1" si="45">IF(I96="unit",K96&amp;" x "&amp;L96,IF(I96="polygon","ポリゴン x "&amp;J96,IF(I96="bit","ビット x "&amp;J96,IF(I96="link","リンク x "&amp;J96))))</f>
        <v>ポリゴン x 1</v>
      </c>
      <c r="I96" s="31" t="str">
        <f ca="1">VLOOKUP($G96,OFFSET(mission_ACH!$A$2,0,0,COUNTA($A:$A),MATCH(I$2,mission_ACH!$2:$2,0)-MATCH($G$2,mission_ACH!$2:$2,0)+1),MATCH(I$2,mission_ACH!$2:$2,0)-MATCH($G$2,mission_ACH!$2:$2,0)+1,FALSE)</f>
        <v>polygon</v>
      </c>
      <c r="J96" s="31">
        <f ca="1">VLOOKUP($G96,OFFSET(mission_ACH!$A$2,0,0,COUNTA($A:$A),MATCH(J$2,mission_ACH!$2:$2,0)-MATCH($G$2,mission_ACH!$2:$2,0)+1),MATCH(J$2,mission_ACH!$2:$2,0)-MATCH($G$2,mission_ACH!$2:$2,0)+1,FALSE)</f>
        <v>1</v>
      </c>
      <c r="K96" s="31" t="str">
        <f ca="1">IF(I96="unit",VLOOKUP($G96,OFFSET(mission_ACH!$A$2,0,0,COUNTA($A:$A),MATCH(K$2,mission_ACH!$2:$2,0)-MATCH($G$2,mission_ACH!$2:$2,0)+1),MATCH(K$2,mission_ACH!$2:$2,0)-MATCH($G$2,mission_ACH!$2:$2,0)+1,FALSE),"")</f>
        <v/>
      </c>
      <c r="L96" s="31">
        <f ca="1">VLOOKUP($G96,OFFSET(mission_ACH!$A$2,0,0,COUNTA($A:$A),MATCH(L$2,mission_ACH!$2:$2,0)-MATCH($G$2,mission_ACH!$2:$2,0)+1),MATCH(L$2,mission_ACH!$2:$2,0)-MATCH($G$2,mission_ACH!$2:$2,0)+1,FALSE)</f>
        <v>0</v>
      </c>
      <c r="M96" s="27">
        <v>96</v>
      </c>
      <c r="N96" s="87" t="s">
        <v>1720</v>
      </c>
      <c r="O96" s="87" t="s">
        <v>1728</v>
      </c>
    </row>
    <row r="97" spans="1:15" ht="21" customHeight="1" x14ac:dyDescent="0.15">
      <c r="A97" s="27">
        <f t="shared" si="43"/>
        <v>1112</v>
      </c>
      <c r="B97" s="26" t="s">
        <v>1733</v>
      </c>
      <c r="C97" s="27" t="s">
        <v>331</v>
      </c>
      <c r="D97" s="31" t="str">
        <f ca="1">VLOOKUP($C97,OFFSET(mission_unlock_criteria!$A$2,0,0,COUNTA(mission_unlock_criteria!$A:$A),MATCH(D$2,mission_unlock_criteria!$2:$2,0)-MATCH($C$2,mission_unlock_criteria!$2:$2,0)+1),MATCH(D$2,mission_unlock_criteria!$2:$2,0)-MATCH($C$2,mission_unlock_criteria!$2:$2,0)+1,FALSE)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97" s="2" t="s">
        <v>1896</v>
      </c>
      <c r="F97" s="31" t="str">
        <f ca="1">VLOOKUP($E97,OFFSET(mission_ACH_criteria!$A$1,0,0,COUNTA(mission_ACH_criteria!$A:$A),MATCH(F$2,mission_ACH_criteria!$1:$1,0)-MATCH($E$2,mission_ACH_criteria!$1:$1,0)+1),MATCH(F$2,mission_ACH_criteria!$1:$1,0)-MATCH($E$2,mission_ACH_criteria!$1:$1,0)+1,FALSE)</f>
        <v>TVCMキャンペーンをLINEで友達に教えよう！</v>
      </c>
      <c r="G97" s="27" t="s">
        <v>47</v>
      </c>
      <c r="H97" s="31" t="str">
        <f t="shared" ca="1" si="45"/>
        <v>ポリゴン x 1</v>
      </c>
      <c r="I97" s="31" t="str">
        <f ca="1">VLOOKUP($G97,OFFSET(mission_ACH!$A$2,0,0,COUNTA($A:$A),MATCH(I$2,mission_ACH!$2:$2,0)-MATCH($G$2,mission_ACH!$2:$2,0)+1),MATCH(I$2,mission_ACH!$2:$2,0)-MATCH($G$2,mission_ACH!$2:$2,0)+1,FALSE)</f>
        <v>polygon</v>
      </c>
      <c r="J97" s="31">
        <f ca="1">VLOOKUP($G97,OFFSET(mission_ACH!$A$2,0,0,COUNTA($A:$A),MATCH(J$2,mission_ACH!$2:$2,0)-MATCH($G$2,mission_ACH!$2:$2,0)+1),MATCH(J$2,mission_ACH!$2:$2,0)-MATCH($G$2,mission_ACH!$2:$2,0)+1,FALSE)</f>
        <v>1</v>
      </c>
      <c r="K97" s="31" t="str">
        <f ca="1">IF(I97="unit",VLOOKUP($G97,OFFSET(mission_ACH!$A$2,0,0,COUNTA($A:$A),MATCH(K$2,mission_ACH!$2:$2,0)-MATCH($G$2,mission_ACH!$2:$2,0)+1),MATCH(K$2,mission_ACH!$2:$2,0)-MATCH($G$2,mission_ACH!$2:$2,0)+1,FALSE),"")</f>
        <v/>
      </c>
      <c r="L97" s="31">
        <f ca="1">VLOOKUP($G97,OFFSET(mission_ACH!$A$2,0,0,COUNTA($A:$A),MATCH(L$2,mission_ACH!$2:$2,0)-MATCH($G$2,mission_ACH!$2:$2,0)+1),MATCH(L$2,mission_ACH!$2:$2,0)-MATCH($G$2,mission_ACH!$2:$2,0)+1,FALSE)</f>
        <v>0</v>
      </c>
      <c r="M97" s="27">
        <v>96</v>
      </c>
      <c r="N97" s="87" t="s">
        <v>1720</v>
      </c>
      <c r="O97" s="87" t="s">
        <v>1728</v>
      </c>
    </row>
    <row r="98" spans="1:15" ht="21" customHeight="1" x14ac:dyDescent="0.15">
      <c r="A98" s="27">
        <f t="shared" si="43"/>
        <v>1113</v>
      </c>
      <c r="B98" s="26" t="s">
        <v>1734</v>
      </c>
      <c r="C98" s="27" t="s">
        <v>331</v>
      </c>
      <c r="D98" s="31" t="str">
        <f ca="1">VLOOKUP($C98,OFFSET(mission_unlock_criteria!$A$2,0,0,COUNTA(mission_unlock_criteria!$A:$A),MATCH(D$2,mission_unlock_criteria!$2:$2,0)-MATCH($C$2,mission_unlock_criteria!$2:$2,0)+1),MATCH(D$2,mission_unlock_criteria!$2:$2,0)-MATCH($C$2,mission_unlock_criteria!$2:$2,0)+1,FALSE)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98" s="2" t="s">
        <v>1730</v>
      </c>
      <c r="F98" s="31" t="str">
        <f ca="1">VLOOKUP($E98,OFFSET(mission_ACH_criteria!$A$1,0,0,COUNTA(mission_ACH_criteria!$A:$A),MATCH(F$2,mission_ACH_criteria!$1:$1,0)-MATCH($E$2,mission_ACH_criteria!$1:$1,0)+1),MATCH(F$2,mission_ACH_criteria!$1:$1,0)-MATCH($E$2,mission_ACH_criteria!$1:$1,0)+1,FALSE)</f>
        <v>LINEスタンプをチェックしよう！</v>
      </c>
      <c r="G98" s="27" t="s">
        <v>47</v>
      </c>
      <c r="H98" s="31" t="str">
        <f t="shared" ref="H98" ca="1" si="46">IF(I98="unit",K98&amp;" x "&amp;L98,IF(I98="polygon","ポリゴン x "&amp;J98,IF(I98="bit","ビット x "&amp;J98,IF(I98="link","リンク x "&amp;J98))))</f>
        <v>ポリゴン x 1</v>
      </c>
      <c r="I98" s="31" t="str">
        <f ca="1">VLOOKUP($G98,OFFSET(mission_ACH!$A$2,0,0,COUNTA($A:$A),MATCH(I$2,mission_ACH!$2:$2,0)-MATCH($G$2,mission_ACH!$2:$2,0)+1),MATCH(I$2,mission_ACH!$2:$2,0)-MATCH($G$2,mission_ACH!$2:$2,0)+1,FALSE)</f>
        <v>polygon</v>
      </c>
      <c r="J98" s="31">
        <f ca="1">VLOOKUP($G98,OFFSET(mission_ACH!$A$2,0,0,COUNTA($A:$A),MATCH(J$2,mission_ACH!$2:$2,0)-MATCH($G$2,mission_ACH!$2:$2,0)+1),MATCH(J$2,mission_ACH!$2:$2,0)-MATCH($G$2,mission_ACH!$2:$2,0)+1,FALSE)</f>
        <v>1</v>
      </c>
      <c r="K98" s="31" t="str">
        <f ca="1">IF(I98="unit",VLOOKUP($G98,OFFSET(mission_ACH!$A$2,0,0,COUNTA($A:$A),MATCH(K$2,mission_ACH!$2:$2,0)-MATCH($G$2,mission_ACH!$2:$2,0)+1),MATCH(K$2,mission_ACH!$2:$2,0)-MATCH($G$2,mission_ACH!$2:$2,0)+1,FALSE),"")</f>
        <v/>
      </c>
      <c r="L98" s="31">
        <f ca="1">VLOOKUP($G98,OFFSET(mission_ACH!$A$2,0,0,COUNTA($A:$A),MATCH(L$2,mission_ACH!$2:$2,0)-MATCH($G$2,mission_ACH!$2:$2,0)+1),MATCH(L$2,mission_ACH!$2:$2,0)-MATCH($G$2,mission_ACH!$2:$2,0)+1,FALSE)</f>
        <v>0</v>
      </c>
      <c r="M98" s="27">
        <v>96</v>
      </c>
      <c r="N98" s="87" t="s">
        <v>1720</v>
      </c>
      <c r="O98" s="87" t="s">
        <v>1273</v>
      </c>
    </row>
    <row r="99" spans="1:15" ht="21" customHeight="1" x14ac:dyDescent="0.15">
      <c r="A99" s="27">
        <f t="shared" si="43"/>
        <v>1114</v>
      </c>
      <c r="B99" s="26" t="s">
        <v>1748</v>
      </c>
      <c r="C99" s="27" t="s">
        <v>331</v>
      </c>
      <c r="D99" s="31" t="str">
        <f ca="1">VLOOKUP($C99,OFFSET(mission_unlock_criteria!$A$2,0,0,COUNTA(mission_unlock_criteria!$A:$A),MATCH(D$2,mission_unlock_criteria!$2:$2,0)-MATCH($C$2,mission_unlock_criteria!$2:$2,0)+1),MATCH(D$2,mission_unlock_criteria!$2:$2,0)-MATCH($C$2,mission_unlock_criteria!$2:$2,0)+1,FALSE)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99" s="2" t="s">
        <v>1746</v>
      </c>
      <c r="F99" s="31" t="str">
        <f ca="1">VLOOKUP($E99,OFFSET(mission_ACH_criteria!$A$1,0,0,COUNTA(mission_ACH_criteria!$A:$A),MATCH(F$2,mission_ACH_criteria!$1:$1,0)-MATCH($E$2,mission_ACH_criteria!$1:$1,0)+1),MATCH(F$2,mission_ACH_criteria!$1:$1,0)-MATCH($E$2,mission_ACH_criteria!$1:$1,0)+1,FALSE)</f>
        <v>公式ツイッターをフォローしよう！</v>
      </c>
      <c r="G99" s="27" t="s">
        <v>47</v>
      </c>
      <c r="H99" s="31" t="str">
        <f t="shared" ref="H99" ca="1" si="47">IF(I99="unit",K99&amp;" x "&amp;L99,IF(I99="polygon","ポリゴン x "&amp;J99,IF(I99="bit","ビット x "&amp;J99,IF(I99="link","リンク x "&amp;J99))))</f>
        <v>ポリゴン x 1</v>
      </c>
      <c r="I99" s="31" t="str">
        <f ca="1">VLOOKUP($G99,OFFSET(mission_ACH!$A$2,0,0,COUNTA($A:$A),MATCH(I$2,mission_ACH!$2:$2,0)-MATCH($G$2,mission_ACH!$2:$2,0)+1),MATCH(I$2,mission_ACH!$2:$2,0)-MATCH($G$2,mission_ACH!$2:$2,0)+1,FALSE)</f>
        <v>polygon</v>
      </c>
      <c r="J99" s="31">
        <f ca="1">VLOOKUP($G99,OFFSET(mission_ACH!$A$2,0,0,COUNTA($A:$A),MATCH(J$2,mission_ACH!$2:$2,0)-MATCH($G$2,mission_ACH!$2:$2,0)+1),MATCH(J$2,mission_ACH!$2:$2,0)-MATCH($G$2,mission_ACH!$2:$2,0)+1,FALSE)</f>
        <v>1</v>
      </c>
      <c r="K99" s="31" t="str">
        <f ca="1">IF(I99="unit",VLOOKUP($G99,OFFSET(mission_ACH!$A$2,0,0,COUNTA($A:$A),MATCH(K$2,mission_ACH!$2:$2,0)-MATCH($G$2,mission_ACH!$2:$2,0)+1),MATCH(K$2,mission_ACH!$2:$2,0)-MATCH($G$2,mission_ACH!$2:$2,0)+1,FALSE),"")</f>
        <v/>
      </c>
      <c r="L99" s="31">
        <f ca="1">VLOOKUP($G99,OFFSET(mission_ACH!$A$2,0,0,COUNTA($A:$A),MATCH(L$2,mission_ACH!$2:$2,0)-MATCH($G$2,mission_ACH!$2:$2,0)+1),MATCH(L$2,mission_ACH!$2:$2,0)-MATCH($G$2,mission_ACH!$2:$2,0)+1,FALSE)</f>
        <v>0</v>
      </c>
      <c r="M99" s="27">
        <v>96</v>
      </c>
      <c r="N99" s="87" t="s">
        <v>1720</v>
      </c>
      <c r="O99" s="87" t="s">
        <v>1273</v>
      </c>
    </row>
    <row r="100" spans="1:15" ht="21" customHeight="1" x14ac:dyDescent="0.15">
      <c r="A100" s="27">
        <f t="shared" si="43"/>
        <v>1115</v>
      </c>
      <c r="B100" s="26" t="s">
        <v>1752</v>
      </c>
      <c r="C100" s="27" t="s">
        <v>331</v>
      </c>
      <c r="D100" s="31" t="str">
        <f ca="1">VLOOKUP($C100,OFFSET(mission_unlock_criteria!$A$2,0,0,COUNTA(mission_unlock_criteria!$A:$A),MATCH(D$2,mission_unlock_criteria!$2:$2,0)-MATCH($C$2,mission_unlock_criteria!$2:$2,0)+1),MATCH(D$2,mission_unlock_criteria!$2:$2,0)-MATCH($C$2,mission_unlock_criteria!$2:$2,0)+1,FALSE)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100" s="2" t="s">
        <v>1753</v>
      </c>
      <c r="F100" s="31" t="str">
        <f ca="1">VLOOKUP($E100,OFFSET(mission_ACH_criteria!$A$1,0,0,COUNTA(mission_ACH_criteria!$A:$A),MATCH(F$2,mission_ACH_criteria!$1:$1,0)-MATCH($E$2,mission_ACH_criteria!$1:$1,0)+1),MATCH(F$2,mission_ACH_criteria!$1:$1,0)-MATCH($E$2,mission_ACH_criteria!$1:$1,0)+1,FALSE)</f>
        <v>YouTube公式チャンネルに登録しよう</v>
      </c>
      <c r="G100" s="27" t="s">
        <v>47</v>
      </c>
      <c r="H100" s="31" t="str">
        <f t="shared" ref="H100" ca="1" si="48">IF(I100="unit",K100&amp;" x "&amp;L100,IF(I100="polygon","ポリゴン x "&amp;J100,IF(I100="bit","ビット x "&amp;J100,IF(I100="link","リンク x "&amp;J100))))</f>
        <v>ポリゴン x 1</v>
      </c>
      <c r="I100" s="31" t="str">
        <f ca="1">VLOOKUP($G100,OFFSET(mission_ACH!$A$2,0,0,COUNTA($A:$A),MATCH(I$2,mission_ACH!$2:$2,0)-MATCH($G$2,mission_ACH!$2:$2,0)+1),MATCH(I$2,mission_ACH!$2:$2,0)-MATCH($G$2,mission_ACH!$2:$2,0)+1,FALSE)</f>
        <v>polygon</v>
      </c>
      <c r="J100" s="31">
        <f ca="1">VLOOKUP($G100,OFFSET(mission_ACH!$A$2,0,0,COUNTA($A:$A),MATCH(J$2,mission_ACH!$2:$2,0)-MATCH($G$2,mission_ACH!$2:$2,0)+1),MATCH(J$2,mission_ACH!$2:$2,0)-MATCH($G$2,mission_ACH!$2:$2,0)+1,FALSE)</f>
        <v>1</v>
      </c>
      <c r="K100" s="31" t="str">
        <f ca="1">IF(I100="unit",VLOOKUP($G100,OFFSET(mission_ACH!$A$2,0,0,COUNTA($A:$A),MATCH(K$2,mission_ACH!$2:$2,0)-MATCH($G$2,mission_ACH!$2:$2,0)+1),MATCH(K$2,mission_ACH!$2:$2,0)-MATCH($G$2,mission_ACH!$2:$2,0)+1,FALSE),"")</f>
        <v/>
      </c>
      <c r="L100" s="31">
        <f ca="1">VLOOKUP($G100,OFFSET(mission_ACH!$A$2,0,0,COUNTA($A:$A),MATCH(L$2,mission_ACH!$2:$2,0)-MATCH($G$2,mission_ACH!$2:$2,0)+1),MATCH(L$2,mission_ACH!$2:$2,0)-MATCH($G$2,mission_ACH!$2:$2,0)+1,FALSE)</f>
        <v>0</v>
      </c>
      <c r="M100" s="27">
        <v>96</v>
      </c>
      <c r="N100" s="87" t="s">
        <v>1720</v>
      </c>
      <c r="O100" s="87" t="s">
        <v>1273</v>
      </c>
    </row>
    <row r="101" spans="1:15" ht="21" customHeight="1" x14ac:dyDescent="0.15">
      <c r="A101" s="27">
        <f t="shared" si="43"/>
        <v>1116</v>
      </c>
      <c r="B101" s="26" t="str">
        <f ca="1">missions!F101</f>
        <v>チャットアンケートに投票しよう！</v>
      </c>
      <c r="C101" s="27" t="s">
        <v>331</v>
      </c>
      <c r="D101" s="31" t="str">
        <f ca="1">VLOOKUP($C101,OFFSET(mission_unlock_criteria!$A$2,0,0,COUNTA(mission_unlock_criteria!$A:$A),MATCH(D$2,mission_unlock_criteria!$2:$2,0)-MATCH($C$2,mission_unlock_criteria!$2:$2,0)+1),MATCH(D$2,mission_unlock_criteria!$2:$2,0)-MATCH($C$2,mission_unlock_criteria!$2:$2,0)+1,FALSE)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101" s="2" t="s">
        <v>1787</v>
      </c>
      <c r="F101" s="31" t="str">
        <f ca="1">VLOOKUP($E101,OFFSET(mission_ACH_criteria!$A$1,0,0,COUNTA(mission_ACH_criteria!$A:$A),MATCH(F$2,mission_ACH_criteria!$1:$1,0)-MATCH($E$2,mission_ACH_criteria!$1:$1,0)+1),MATCH(F$2,mission_ACH_criteria!$1:$1,0)-MATCH($E$2,mission_ACH_criteria!$1:$1,0)+1,FALSE)</f>
        <v>チャットアンケートに投票しよう！</v>
      </c>
      <c r="G101" s="27" t="s">
        <v>47</v>
      </c>
      <c r="H101" s="31" t="str">
        <f t="shared" ref="H101" ca="1" si="49">IF(I101="unit",K101&amp;" x "&amp;L101,IF(I101="polygon","ポリゴン x "&amp;J101,IF(I101="bit","ビット x "&amp;J101,IF(I101="link","リンク x "&amp;J101))))</f>
        <v>ポリゴン x 1</v>
      </c>
      <c r="I101" s="31" t="str">
        <f ca="1">VLOOKUP($G101,OFFSET(mission_ACH!$A$2,0,0,COUNTA($A:$A),MATCH(I$2,mission_ACH!$2:$2,0)-MATCH($G$2,mission_ACH!$2:$2,0)+1),MATCH(I$2,mission_ACH!$2:$2,0)-MATCH($G$2,mission_ACH!$2:$2,0)+1,FALSE)</f>
        <v>polygon</v>
      </c>
      <c r="J101" s="31">
        <f ca="1">VLOOKUP($G101,OFFSET(mission_ACH!$A$2,0,0,COUNTA($A:$A),MATCH(J$2,mission_ACH!$2:$2,0)-MATCH($G$2,mission_ACH!$2:$2,0)+1),MATCH(J$2,mission_ACH!$2:$2,0)-MATCH($G$2,mission_ACH!$2:$2,0)+1,FALSE)</f>
        <v>1</v>
      </c>
      <c r="K101" s="31" t="str">
        <f ca="1">IF(I101="unit",VLOOKUP($G101,OFFSET(mission_ACH!$A$2,0,0,COUNTA($A:$A),MATCH(K$2,mission_ACH!$2:$2,0)-MATCH($G$2,mission_ACH!$2:$2,0)+1),MATCH(K$2,mission_ACH!$2:$2,0)-MATCH($G$2,mission_ACH!$2:$2,0)+1,FALSE),"")</f>
        <v/>
      </c>
      <c r="L101" s="31">
        <f ca="1">VLOOKUP($G101,OFFSET(mission_ACH!$A$2,0,0,COUNTA($A:$A),MATCH(L$2,mission_ACH!$2:$2,0)-MATCH($G$2,mission_ACH!$2:$2,0)+1),MATCH(L$2,mission_ACH!$2:$2,0)-MATCH($G$2,mission_ACH!$2:$2,0)+1,FALSE)</f>
        <v>0</v>
      </c>
      <c r="M101" s="27">
        <v>98</v>
      </c>
      <c r="N101" s="87" t="s">
        <v>1788</v>
      </c>
      <c r="O101" s="87" t="s">
        <v>1789</v>
      </c>
    </row>
    <row r="102" spans="1:15" ht="21" customHeight="1" x14ac:dyDescent="0.15">
      <c r="A102" s="27">
        <f t="shared" ref="A102:A105" si="50">A101+1</f>
        <v>1117</v>
      </c>
      <c r="B102" s="26" t="str">
        <f ca="1">missions!F102</f>
        <v>チャットアンケートに投票しよう！</v>
      </c>
      <c r="C102" s="27" t="s">
        <v>331</v>
      </c>
      <c r="D102" s="31" t="str">
        <f ca="1">VLOOKUP($C102,OFFSET(mission_unlock_criteria!$A$2,0,0,COUNTA(mission_unlock_criteria!$A:$A),MATCH(D$2,mission_unlock_criteria!$2:$2,0)-MATCH($C$2,mission_unlock_criteria!$2:$2,0)+1),MATCH(D$2,mission_unlock_criteria!$2:$2,0)-MATCH($C$2,mission_unlock_criteria!$2:$2,0)+1,FALSE)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102" s="2" t="s">
        <v>1787</v>
      </c>
      <c r="F102" s="31" t="str">
        <f ca="1">VLOOKUP($E102,OFFSET(mission_ACH_criteria!$A$1,0,0,COUNTA(mission_ACH_criteria!$A:$A),MATCH(F$2,mission_ACH_criteria!$1:$1,0)-MATCH($E$2,mission_ACH_criteria!$1:$1,0)+1),MATCH(F$2,mission_ACH_criteria!$1:$1,0)-MATCH($E$2,mission_ACH_criteria!$1:$1,0)+1,FALSE)</f>
        <v>チャットアンケートに投票しよう！</v>
      </c>
      <c r="G102" s="27" t="s">
        <v>47</v>
      </c>
      <c r="H102" s="31" t="str">
        <f t="shared" ref="H102" ca="1" si="51">IF(I102="unit",K102&amp;" x "&amp;L102,IF(I102="polygon","ポリゴン x "&amp;J102,IF(I102="bit","ビット x "&amp;J102,IF(I102="link","リンク x "&amp;J102))))</f>
        <v>ポリゴン x 1</v>
      </c>
      <c r="I102" s="31" t="str">
        <f ca="1">VLOOKUP($G102,OFFSET(mission_ACH!$A$2,0,0,COUNTA($A:$A),MATCH(I$2,mission_ACH!$2:$2,0)-MATCH($G$2,mission_ACH!$2:$2,0)+1),MATCH(I$2,mission_ACH!$2:$2,0)-MATCH($G$2,mission_ACH!$2:$2,0)+1,FALSE)</f>
        <v>polygon</v>
      </c>
      <c r="J102" s="31">
        <f ca="1">VLOOKUP($G102,OFFSET(mission_ACH!$A$2,0,0,COUNTA($A:$A),MATCH(J$2,mission_ACH!$2:$2,0)-MATCH($G$2,mission_ACH!$2:$2,0)+1),MATCH(J$2,mission_ACH!$2:$2,0)-MATCH($G$2,mission_ACH!$2:$2,0)+1,FALSE)</f>
        <v>1</v>
      </c>
      <c r="K102" s="31" t="str">
        <f ca="1">IF(I102="unit",VLOOKUP($G102,OFFSET(mission_ACH!$A$2,0,0,COUNTA($A:$A),MATCH(K$2,mission_ACH!$2:$2,0)-MATCH($G$2,mission_ACH!$2:$2,0)+1),MATCH(K$2,mission_ACH!$2:$2,0)-MATCH($G$2,mission_ACH!$2:$2,0)+1,FALSE),"")</f>
        <v/>
      </c>
      <c r="L102" s="31">
        <f ca="1">VLOOKUP($G102,OFFSET(mission_ACH!$A$2,0,0,COUNTA($A:$A),MATCH(L$2,mission_ACH!$2:$2,0)-MATCH($G$2,mission_ACH!$2:$2,0)+1),MATCH(L$2,mission_ACH!$2:$2,0)-MATCH($G$2,mission_ACH!$2:$2,0)+1,FALSE)</f>
        <v>0</v>
      </c>
      <c r="M102" s="27">
        <v>98</v>
      </c>
      <c r="N102" s="87" t="s">
        <v>1788</v>
      </c>
      <c r="O102" s="87" t="s">
        <v>1789</v>
      </c>
    </row>
    <row r="103" spans="1:15" ht="21" customHeight="1" x14ac:dyDescent="0.15">
      <c r="A103" s="27">
        <f t="shared" si="50"/>
        <v>1118</v>
      </c>
      <c r="B103" s="26" t="str">
        <f ca="1">missions!F103</f>
        <v>台湾AppStoreセールス1位をTwitterでツイートしよう！</v>
      </c>
      <c r="C103" s="27" t="s">
        <v>331</v>
      </c>
      <c r="D103" s="31" t="str">
        <f ca="1">VLOOKUP($C103,OFFSET(mission_unlock_criteria!$A$2,0,0,COUNTA(mission_unlock_criteria!$A:$A),MATCH(D$2,mission_unlock_criteria!$2:$2,0)-MATCH($C$2,mission_unlock_criteria!$2:$2,0)+1),MATCH(D$2,mission_unlock_criteria!$2:$2,0)-MATCH($C$2,mission_unlock_criteria!$2:$2,0)+1,FALSE)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103" s="2" t="s">
        <v>1796</v>
      </c>
      <c r="F103" s="31" t="str">
        <f ca="1">VLOOKUP($E103,OFFSET(mission_ACH_criteria!$A$1,0,0,COUNTA(mission_ACH_criteria!$A:$A),MATCH(F$2,mission_ACH_criteria!$1:$1,0)-MATCH($E$2,mission_ACH_criteria!$1:$1,0)+1),MATCH(F$2,mission_ACH_criteria!$1:$1,0)-MATCH($E$2,mission_ACH_criteria!$1:$1,0)+1,FALSE)</f>
        <v>台湾AppStoreセールス1位をTwitterでツイートしよう！</v>
      </c>
      <c r="G103" s="27" t="s">
        <v>1797</v>
      </c>
      <c r="H103" s="31" t="str">
        <f t="shared" ref="H103" ca="1" si="52">IF(I103="unit",K103&amp;" x "&amp;L103,IF(I103="polygon","ポリゴン x "&amp;J103,IF(I103="bit","ビット x "&amp;J103,IF(I103="link","リンク x "&amp;J103))))</f>
        <v>ポリゴン x 10</v>
      </c>
      <c r="I103" s="31" t="str">
        <f ca="1">VLOOKUP($G103,OFFSET(mission_ACH!$A$2,0,0,COUNTA($A:$A),MATCH(I$2,mission_ACH!$2:$2,0)-MATCH($G$2,mission_ACH!$2:$2,0)+1),MATCH(I$2,mission_ACH!$2:$2,0)-MATCH($G$2,mission_ACH!$2:$2,0)+1,FALSE)</f>
        <v>polygon</v>
      </c>
      <c r="J103" s="31">
        <f ca="1">VLOOKUP($G103,OFFSET(mission_ACH!$A$2,0,0,COUNTA($A:$A),MATCH(J$2,mission_ACH!$2:$2,0)-MATCH($G$2,mission_ACH!$2:$2,0)+1),MATCH(J$2,mission_ACH!$2:$2,0)-MATCH($G$2,mission_ACH!$2:$2,0)+1,FALSE)</f>
        <v>10</v>
      </c>
      <c r="K103" s="31" t="str">
        <f ca="1">IF(I103="unit",VLOOKUP($G103,OFFSET(mission_ACH!$A$2,0,0,COUNTA($A:$A),MATCH(K$2,mission_ACH!$2:$2,0)-MATCH($G$2,mission_ACH!$2:$2,0)+1),MATCH(K$2,mission_ACH!$2:$2,0)-MATCH($G$2,mission_ACH!$2:$2,0)+1,FALSE),"")</f>
        <v/>
      </c>
      <c r="L103" s="31">
        <f ca="1">VLOOKUP($G103,OFFSET(mission_ACH!$A$2,0,0,COUNTA($A:$A),MATCH(L$2,mission_ACH!$2:$2,0)-MATCH($G$2,mission_ACH!$2:$2,0)+1),MATCH(L$2,mission_ACH!$2:$2,0)-MATCH($G$2,mission_ACH!$2:$2,0)+1,FALSE)</f>
        <v>0</v>
      </c>
      <c r="M103" s="27">
        <v>99</v>
      </c>
      <c r="N103" s="87" t="s">
        <v>1798</v>
      </c>
      <c r="O103" s="87" t="s">
        <v>1799</v>
      </c>
    </row>
    <row r="104" spans="1:15" ht="21" customHeight="1" x14ac:dyDescent="0.15">
      <c r="A104" s="27">
        <f t="shared" si="50"/>
        <v>1119</v>
      </c>
      <c r="B104" s="26" t="str">
        <f ca="1">missions!F104</f>
        <v>全世界600万DL突破をTwitterでツイートしよう！</v>
      </c>
      <c r="C104" s="27" t="s">
        <v>331</v>
      </c>
      <c r="D104" s="31" t="str">
        <f ca="1">VLOOKUP($C104,OFFSET(mission_unlock_criteria!$A$2,0,0,COUNTA(mission_unlock_criteria!$A:$A),MATCH(D$2,mission_unlock_criteria!$2:$2,0)-MATCH($C$2,mission_unlock_criteria!$2:$2,0)+1),MATCH(D$2,mission_unlock_criteria!$2:$2,0)-MATCH($C$2,mission_unlock_criteria!$2:$2,0)+1,FALSE)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104" s="2" t="s">
        <v>1807</v>
      </c>
      <c r="F104" s="31" t="str">
        <f ca="1">VLOOKUP($E104,OFFSET(mission_ACH_criteria!$A$1,0,0,COUNTA(mission_ACH_criteria!$A:$A),MATCH(F$2,mission_ACH_criteria!$1:$1,0)-MATCH($E$2,mission_ACH_criteria!$1:$1,0)+1),MATCH(F$2,mission_ACH_criteria!$1:$1,0)-MATCH($E$2,mission_ACH_criteria!$1:$1,0)+1,FALSE)</f>
        <v>全世界600万DL突破をTwitterでツイートしよう！</v>
      </c>
      <c r="G104" s="27" t="s">
        <v>1808</v>
      </c>
      <c r="H104" s="31" t="str">
        <f t="shared" ref="H104" ca="1" si="53">IF(I104="unit",K104&amp;" x "&amp;L104,IF(I104="polygon","ポリゴン x "&amp;J104,IF(I104="bit","ビット x "&amp;J104,IF(I104="link","リンク x "&amp;J104))))</f>
        <v>ポリゴン x 1</v>
      </c>
      <c r="I104" s="31" t="str">
        <f ca="1">VLOOKUP($G104,OFFSET(mission_ACH!$A$2,0,0,COUNTA($A:$A),MATCH(I$2,mission_ACH!$2:$2,0)-MATCH($G$2,mission_ACH!$2:$2,0)+1),MATCH(I$2,mission_ACH!$2:$2,0)-MATCH($G$2,mission_ACH!$2:$2,0)+1,FALSE)</f>
        <v>polygon</v>
      </c>
      <c r="J104" s="31">
        <f ca="1">VLOOKUP($G104,OFFSET(mission_ACH!$A$2,0,0,COUNTA($A:$A),MATCH(J$2,mission_ACH!$2:$2,0)-MATCH($G$2,mission_ACH!$2:$2,0)+1),MATCH(J$2,mission_ACH!$2:$2,0)-MATCH($G$2,mission_ACH!$2:$2,0)+1,FALSE)</f>
        <v>1</v>
      </c>
      <c r="K104" s="31" t="str">
        <f ca="1">IF(I104="unit",VLOOKUP($G104,OFFSET(mission_ACH!$A$2,0,0,COUNTA($A:$A),MATCH(K$2,mission_ACH!$2:$2,0)-MATCH($G$2,mission_ACH!$2:$2,0)+1),MATCH(K$2,mission_ACH!$2:$2,0)-MATCH($G$2,mission_ACH!$2:$2,0)+1,FALSE),"")</f>
        <v/>
      </c>
      <c r="L104" s="31">
        <f ca="1">VLOOKUP($G104,OFFSET(mission_ACH!$A$2,0,0,COUNTA($A:$A),MATCH(L$2,mission_ACH!$2:$2,0)-MATCH($G$2,mission_ACH!$2:$2,0)+1),MATCH(L$2,mission_ACH!$2:$2,0)-MATCH($G$2,mission_ACH!$2:$2,0)+1,FALSE)</f>
        <v>0</v>
      </c>
      <c r="M104" s="27">
        <v>101</v>
      </c>
      <c r="N104" s="87" t="s">
        <v>1809</v>
      </c>
      <c r="O104" s="87" t="s">
        <v>1810</v>
      </c>
    </row>
    <row r="105" spans="1:15" ht="21" customHeight="1" x14ac:dyDescent="0.15">
      <c r="A105" s="27">
        <f t="shared" si="50"/>
        <v>1120</v>
      </c>
      <c r="B105" s="26" t="str">
        <f ca="1">missions!F105</f>
        <v>全世界600万DL突破をLINEでタイムライン投稿しよう！</v>
      </c>
      <c r="C105" s="27" t="s">
        <v>331</v>
      </c>
      <c r="D105" s="31" t="str">
        <f ca="1">VLOOKUP($C105,OFFSET(mission_unlock_criteria!$A$2,0,0,COUNTA(mission_unlock_criteria!$A:$A),MATCH(D$2,mission_unlock_criteria!$2:$2,0)-MATCH($C$2,mission_unlock_criteria!$2:$2,0)+1),MATCH(D$2,mission_unlock_criteria!$2:$2,0)-MATCH($C$2,mission_unlock_criteria!$2:$2,0)+1,FALSE)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105" s="2" t="s">
        <v>1812</v>
      </c>
      <c r="F105" s="31" t="str">
        <f ca="1">VLOOKUP($E105,OFFSET(mission_ACH_criteria!$A$1,0,0,COUNTA(mission_ACH_criteria!$A:$A),MATCH(F$2,mission_ACH_criteria!$1:$1,0)-MATCH($E$2,mission_ACH_criteria!$1:$1,0)+1),MATCH(F$2,mission_ACH_criteria!$1:$1,0)-MATCH($E$2,mission_ACH_criteria!$1:$1,0)+1,FALSE)</f>
        <v>全世界600万DL突破をLINEでタイムライン投稿しよう！</v>
      </c>
      <c r="G105" s="27" t="s">
        <v>47</v>
      </c>
      <c r="H105" s="31" t="str">
        <f t="shared" ref="H105" ca="1" si="54">IF(I105="unit",K105&amp;" x "&amp;L105,IF(I105="polygon","ポリゴン x "&amp;J105,IF(I105="bit","ビット x "&amp;J105,IF(I105="link","リンク x "&amp;J105))))</f>
        <v>ポリゴン x 1</v>
      </c>
      <c r="I105" s="31" t="str">
        <f ca="1">VLOOKUP($G105,OFFSET(mission_ACH!$A$2,0,0,COUNTA($A:$A),MATCH(I$2,mission_ACH!$2:$2,0)-MATCH($G$2,mission_ACH!$2:$2,0)+1),MATCH(I$2,mission_ACH!$2:$2,0)-MATCH($G$2,mission_ACH!$2:$2,0)+1,FALSE)</f>
        <v>polygon</v>
      </c>
      <c r="J105" s="31">
        <f ca="1">VLOOKUP($G105,OFFSET(mission_ACH!$A$2,0,0,COUNTA($A:$A),MATCH(J$2,mission_ACH!$2:$2,0)-MATCH($G$2,mission_ACH!$2:$2,0)+1),MATCH(J$2,mission_ACH!$2:$2,0)-MATCH($G$2,mission_ACH!$2:$2,0)+1,FALSE)</f>
        <v>1</v>
      </c>
      <c r="K105" s="31" t="str">
        <f ca="1">IF(I105="unit",VLOOKUP($G105,OFFSET(mission_ACH!$A$2,0,0,COUNTA($A:$A),MATCH(K$2,mission_ACH!$2:$2,0)-MATCH($G$2,mission_ACH!$2:$2,0)+1),MATCH(K$2,mission_ACH!$2:$2,0)-MATCH($G$2,mission_ACH!$2:$2,0)+1,FALSE),"")</f>
        <v/>
      </c>
      <c r="L105" s="31">
        <f ca="1">VLOOKUP($G105,OFFSET(mission_ACH!$A$2,0,0,COUNTA($A:$A),MATCH(L$2,mission_ACH!$2:$2,0)-MATCH($G$2,mission_ACH!$2:$2,0)+1),MATCH(L$2,mission_ACH!$2:$2,0)-MATCH($G$2,mission_ACH!$2:$2,0)+1,FALSE)</f>
        <v>0</v>
      </c>
      <c r="M105" s="27">
        <v>101</v>
      </c>
      <c r="N105" s="87" t="s">
        <v>1877</v>
      </c>
      <c r="O105" s="87" t="s">
        <v>1810</v>
      </c>
    </row>
    <row r="106" spans="1:15" ht="21" customHeight="1" x14ac:dyDescent="0.15">
      <c r="A106" s="27">
        <f>A105+1</f>
        <v>1121</v>
      </c>
      <c r="B106" s="26" t="str">
        <f ca="1">missions!F106</f>
        <v>顔合わせリセットをTwitterでツイートしよう！</v>
      </c>
      <c r="C106" s="27" t="s">
        <v>331</v>
      </c>
      <c r="D106" s="31" t="str">
        <f ca="1">VLOOKUP($C106,OFFSET(mission_unlock_criteria!$A$2,0,0,COUNTA(mission_unlock_criteria!$A:$A),MATCH(D$2,mission_unlock_criteria!$2:$2,0)-MATCH($C$2,mission_unlock_criteria!$2:$2,0)+1),MATCH(D$2,mission_unlock_criteria!$2:$2,0)-MATCH($C$2,mission_unlock_criteria!$2:$2,0)+1,FALSE)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106" s="2" t="s">
        <v>1873</v>
      </c>
      <c r="F106" s="31" t="str">
        <f ca="1">VLOOKUP($E106,OFFSET(mission_ACH_criteria!$A$1,0,0,COUNTA(mission_ACH_criteria!$A:$A),MATCH(F$2,mission_ACH_criteria!$1:$1,0)-MATCH($E$2,mission_ACH_criteria!$1:$1,0)+1),MATCH(F$2,mission_ACH_criteria!$1:$1,0)-MATCH($E$2,mission_ACH_criteria!$1:$1,0)+1,FALSE)</f>
        <v>顔合わせリセットをTwitterでツイートしよう！</v>
      </c>
      <c r="G106" s="27" t="s">
        <v>47</v>
      </c>
      <c r="H106" s="31" t="str">
        <f t="shared" ref="H106:H107" ca="1" si="55">IF(I106="unit",K106&amp;" x "&amp;L106,IF(I106="polygon","ポリゴン x "&amp;J106,IF(I106="bit","ビット x "&amp;J106,IF(I106="link","リンク x "&amp;J106))))</f>
        <v>ポリゴン x 1</v>
      </c>
      <c r="I106" s="31" t="str">
        <f ca="1">VLOOKUP($G106,OFFSET(mission_ACH!$A$2,0,0,COUNTA($A:$A),MATCH(I$2,mission_ACH!$2:$2,0)-MATCH($G$2,mission_ACH!$2:$2,0)+1),MATCH(I$2,mission_ACH!$2:$2,0)-MATCH($G$2,mission_ACH!$2:$2,0)+1,FALSE)</f>
        <v>polygon</v>
      </c>
      <c r="J106" s="31">
        <f ca="1">VLOOKUP($G106,OFFSET(mission_ACH!$A$2,0,0,COUNTA($A:$A),MATCH(J$2,mission_ACH!$2:$2,0)-MATCH($G$2,mission_ACH!$2:$2,0)+1),MATCH(J$2,mission_ACH!$2:$2,0)-MATCH($G$2,mission_ACH!$2:$2,0)+1,FALSE)</f>
        <v>1</v>
      </c>
      <c r="K106" s="31" t="str">
        <f ca="1">IF(I106="unit",VLOOKUP($G106,OFFSET(mission_ACH!$A$2,0,0,COUNTA($A:$A),MATCH(K$2,mission_ACH!$2:$2,0)-MATCH($G$2,mission_ACH!$2:$2,0)+1),MATCH(K$2,mission_ACH!$2:$2,0)-MATCH($G$2,mission_ACH!$2:$2,0)+1,FALSE),"")</f>
        <v/>
      </c>
      <c r="L106" s="31">
        <f ca="1">VLOOKUP($G106,OFFSET(mission_ACH!$A$2,0,0,COUNTA($A:$A),MATCH(L$2,mission_ACH!$2:$2,0)-MATCH($G$2,mission_ACH!$2:$2,0)+1),MATCH(L$2,mission_ACH!$2:$2,0)-MATCH($G$2,mission_ACH!$2:$2,0)+1,FALSE)</f>
        <v>0</v>
      </c>
      <c r="M106" s="27">
        <v>104</v>
      </c>
      <c r="N106" s="87" t="s">
        <v>1881</v>
      </c>
      <c r="O106" s="87" t="s">
        <v>1878</v>
      </c>
    </row>
    <row r="107" spans="1:15" ht="21" customHeight="1" x14ac:dyDescent="0.15">
      <c r="A107" s="27">
        <f>A106+1</f>
        <v>1122</v>
      </c>
      <c r="B107" s="26" t="str">
        <f ca="1">missions!F107</f>
        <v>顔合わせリセットをLINEでタイムライン投稿しよう！</v>
      </c>
      <c r="C107" s="27" t="s">
        <v>331</v>
      </c>
      <c r="D107" s="31" t="str">
        <f ca="1">VLOOKUP($C107,OFFSET(mission_unlock_criteria!$A$2,0,0,COUNTA(mission_unlock_criteria!$A:$A),MATCH(D$2,mission_unlock_criteria!$2:$2,0)-MATCH($C$2,mission_unlock_criteria!$2:$2,0)+1),MATCH(D$2,mission_unlock_criteria!$2:$2,0)-MATCH($C$2,mission_unlock_criteria!$2:$2,0)+1,FALSE)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107" s="2" t="s">
        <v>1874</v>
      </c>
      <c r="F107" s="31" t="str">
        <f ca="1">VLOOKUP($E107,OFFSET(mission_ACH_criteria!$A$1,0,0,COUNTA(mission_ACH_criteria!$A:$A),MATCH(F$2,mission_ACH_criteria!$1:$1,0)-MATCH($E$2,mission_ACH_criteria!$1:$1,0)+1),MATCH(F$2,mission_ACH_criteria!$1:$1,0)-MATCH($E$2,mission_ACH_criteria!$1:$1,0)+1,FALSE)</f>
        <v>顔合わせリセットをLINEでタイムライン投稿しよう！</v>
      </c>
      <c r="G107" s="27" t="s">
        <v>47</v>
      </c>
      <c r="H107" s="31" t="str">
        <f t="shared" ca="1" si="55"/>
        <v>ポリゴン x 1</v>
      </c>
      <c r="I107" s="31" t="str">
        <f ca="1">VLOOKUP($G107,OFFSET(mission_ACH!$A$2,0,0,COUNTA($A:$A),MATCH(I$2,mission_ACH!$2:$2,0)-MATCH($G$2,mission_ACH!$2:$2,0)+1),MATCH(I$2,mission_ACH!$2:$2,0)-MATCH($G$2,mission_ACH!$2:$2,0)+1,FALSE)</f>
        <v>polygon</v>
      </c>
      <c r="J107" s="31">
        <f ca="1">VLOOKUP($G107,OFFSET(mission_ACH!$A$2,0,0,COUNTA($A:$A),MATCH(J$2,mission_ACH!$2:$2,0)-MATCH($G$2,mission_ACH!$2:$2,0)+1),MATCH(J$2,mission_ACH!$2:$2,0)-MATCH($G$2,mission_ACH!$2:$2,0)+1,FALSE)</f>
        <v>1</v>
      </c>
      <c r="K107" s="31" t="str">
        <f ca="1">IF(I107="unit",VLOOKUP($G107,OFFSET(mission_ACH!$A$2,0,0,COUNTA($A:$A),MATCH(K$2,mission_ACH!$2:$2,0)-MATCH($G$2,mission_ACH!$2:$2,0)+1),MATCH(K$2,mission_ACH!$2:$2,0)-MATCH($G$2,mission_ACH!$2:$2,0)+1,FALSE),"")</f>
        <v/>
      </c>
      <c r="L107" s="31">
        <f ca="1">VLOOKUP($G107,OFFSET(mission_ACH!$A$2,0,0,COUNTA($A:$A),MATCH(L$2,mission_ACH!$2:$2,0)-MATCH($G$2,mission_ACH!$2:$2,0)+1),MATCH(L$2,mission_ACH!$2:$2,0)-MATCH($G$2,mission_ACH!$2:$2,0)+1,FALSE)</f>
        <v>0</v>
      </c>
      <c r="M107" s="27">
        <v>104</v>
      </c>
      <c r="N107" s="87" t="s">
        <v>1882</v>
      </c>
      <c r="O107" s="87" t="s">
        <v>1878</v>
      </c>
    </row>
    <row r="108" spans="1:15" s="123" customFormat="1" ht="21" customHeight="1" x14ac:dyDescent="0.15">
      <c r="A108" s="120">
        <f>A107+1</f>
        <v>1123</v>
      </c>
      <c r="B108" s="120" t="str">
        <f ca="1">missions!F108</f>
        <v>プレイヤーランクを2000まで上げよう！</v>
      </c>
      <c r="C108" s="120" t="s">
        <v>1913</v>
      </c>
      <c r="D108" s="121" t="str">
        <f ca="1">VLOOKUP($C108,OFFSET(mission_unlock_criteria!$A$2,0,0,COUNTA(mission_unlock_criteria!$A:$A),MATCH(D$2,mission_unlock_criteria!$2:$2,0)-MATCH($C$2,mission_unlock_criteria!$2:$2,0)+1),MATCH(D$2,mission_unlock_criteria!$2:$2,0)-MATCH($C$2,mission_unlock_criteria!$2:$2,0)+1,FALSE)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【テンプレート】 をクリア</v>
      </c>
      <c r="E108" s="120" t="s">
        <v>1911</v>
      </c>
      <c r="F108" s="121" t="str">
        <f ca="1">VLOOKUP($E108,OFFSET(mission_ACH_criteria!$A$1,0,0,COUNTA(mission_ACH_criteria!$A:$A),MATCH(F$2,mission_ACH_criteria!$1:$1,0)-MATCH($E$2,mission_ACH_criteria!$1:$1,0)+1),MATCH(F$2,mission_ACH_criteria!$1:$1,0)-MATCH($E$2,mission_ACH_criteria!$1:$1,0)+1,FALSE)</f>
        <v>プレイヤーランクを2000まで上げよう！</v>
      </c>
      <c r="G108" s="120" t="s">
        <v>419</v>
      </c>
      <c r="H108" s="121" t="str">
        <f t="shared" ref="H108:H109" ca="1" si="56">IF(I108="unit",K108&amp;" x "&amp;L108,IF(I108="polygon","ポリゴン x "&amp;J108,IF(I108="bit","ビット x "&amp;J108,IF(I108="link","リンク x "&amp;J108))))</f>
        <v>秘術の果実 x 1</v>
      </c>
      <c r="I108" s="121" t="str">
        <f ca="1">VLOOKUP($G108,OFFSET(mission_ACH!$A$2,0,0,COUNTA($A:$A),MATCH(I$2,mission_ACH!$2:$2,0)-MATCH($G$2,mission_ACH!$2:$2,0)+1),MATCH(I$2,mission_ACH!$2:$2,0)-MATCH($G$2,mission_ACH!$2:$2,0)+1,FALSE)</f>
        <v>unit</v>
      </c>
      <c r="J108" s="121">
        <f ca="1">VLOOKUP($G108,OFFSET(mission_ACH!$A$2,0,0,COUNTA($A:$A),MATCH(J$2,mission_ACH!$2:$2,0)-MATCH($G$2,mission_ACH!$2:$2,0)+1),MATCH(J$2,mission_ACH!$2:$2,0)-MATCH($G$2,mission_ACH!$2:$2,0)+1,FALSE)</f>
        <v>125</v>
      </c>
      <c r="K108" s="121" t="str">
        <f ca="1">IF(I108="unit",VLOOKUP($G108,OFFSET(mission_ACH!$A$2,0,0,COUNTA($A:$A),MATCH(K$2,mission_ACH!$2:$2,0)-MATCH($G$2,mission_ACH!$2:$2,0)+1),MATCH(K$2,mission_ACH!$2:$2,0)-MATCH($G$2,mission_ACH!$2:$2,0)+1,FALSE),"")</f>
        <v>秘術の果実</v>
      </c>
      <c r="L108" s="121">
        <f ca="1">VLOOKUP($G108,OFFSET(mission_ACH!$A$2,0,0,COUNTA($A:$A),MATCH(L$2,mission_ACH!$2:$2,0)-MATCH($G$2,mission_ACH!$2:$2,0)+1),MATCH(L$2,mission_ACH!$2:$2,0)-MATCH($G$2,mission_ACH!$2:$2,0)+1,FALSE)</f>
        <v>1</v>
      </c>
      <c r="M108" s="120">
        <v>104</v>
      </c>
      <c r="N108" s="122" t="s">
        <v>1750</v>
      </c>
      <c r="O108" s="122" t="s">
        <v>1910</v>
      </c>
    </row>
    <row r="109" spans="1:15" s="123" customFormat="1" ht="21" customHeight="1" x14ac:dyDescent="0.15">
      <c r="A109" s="120">
        <f>A108+1</f>
        <v>1124</v>
      </c>
      <c r="B109" s="120" t="str">
        <f ca="1">missions!F109</f>
        <v>プレイヤーランクを2000まで上げよう！</v>
      </c>
      <c r="C109" s="120" t="s">
        <v>1913</v>
      </c>
      <c r="D109" s="121" t="str">
        <f ca="1">VLOOKUP($C109,OFFSET(mission_unlock_criteria!$A$2,0,0,COUNTA(mission_unlock_criteria!$A:$A),MATCH(D$2,mission_unlock_criteria!$2:$2,0)-MATCH($C$2,mission_unlock_criteria!$2:$2,0)+1),MATCH(D$2,mission_unlock_criteria!$2:$2,0)-MATCH($C$2,mission_unlock_criteria!$2:$2,0)+1,FALSE)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【テンプレート】 をクリア</v>
      </c>
      <c r="E109" s="120" t="s">
        <v>1911</v>
      </c>
      <c r="F109" s="121" t="str">
        <f ca="1">VLOOKUP($E109,OFFSET(mission_ACH_criteria!$A$1,0,0,COUNTA(mission_ACH_criteria!$A:$A),MATCH(F$2,mission_ACH_criteria!$1:$1,0)-MATCH($E$2,mission_ACH_criteria!$1:$1,0)+1),MATCH(F$2,mission_ACH_criteria!$1:$1,0)-MATCH($E$2,mission_ACH_criteria!$1:$1,0)+1,FALSE)</f>
        <v>プレイヤーランクを2000まで上げよう！</v>
      </c>
      <c r="G109" s="120" t="s">
        <v>419</v>
      </c>
      <c r="H109" s="121" t="str">
        <f t="shared" ca="1" si="56"/>
        <v>秘術の果実 x 1</v>
      </c>
      <c r="I109" s="121" t="str">
        <f ca="1">VLOOKUP($G109,OFFSET(mission_ACH!$A$2,0,0,COUNTA($A:$A),MATCH(I$2,mission_ACH!$2:$2,0)-MATCH($G$2,mission_ACH!$2:$2,0)+1),MATCH(I$2,mission_ACH!$2:$2,0)-MATCH($G$2,mission_ACH!$2:$2,0)+1,FALSE)</f>
        <v>unit</v>
      </c>
      <c r="J109" s="121">
        <f ca="1">VLOOKUP($G109,OFFSET(mission_ACH!$A$2,0,0,COUNTA($A:$A),MATCH(J$2,mission_ACH!$2:$2,0)-MATCH($G$2,mission_ACH!$2:$2,0)+1),MATCH(J$2,mission_ACH!$2:$2,0)-MATCH($G$2,mission_ACH!$2:$2,0)+1,FALSE)</f>
        <v>125</v>
      </c>
      <c r="K109" s="121" t="str">
        <f ca="1">IF(I109="unit",VLOOKUP($G109,OFFSET(mission_ACH!$A$2,0,0,COUNTA($A:$A),MATCH(K$2,mission_ACH!$2:$2,0)-MATCH($G$2,mission_ACH!$2:$2,0)+1),MATCH(K$2,mission_ACH!$2:$2,0)-MATCH($G$2,mission_ACH!$2:$2,0)+1,FALSE),"")</f>
        <v>秘術の果実</v>
      </c>
      <c r="L109" s="121">
        <f ca="1">VLOOKUP($G109,OFFSET(mission_ACH!$A$2,0,0,COUNTA($A:$A),MATCH(L$2,mission_ACH!$2:$2,0)-MATCH($G$2,mission_ACH!$2:$2,0)+1),MATCH(L$2,mission_ACH!$2:$2,0)-MATCH($G$2,mission_ACH!$2:$2,0)+1,FALSE)</f>
        <v>1</v>
      </c>
      <c r="M109" s="120">
        <v>104</v>
      </c>
      <c r="N109" s="122" t="s">
        <v>1750</v>
      </c>
      <c r="O109" s="122" t="s">
        <v>1910</v>
      </c>
    </row>
    <row r="110" spans="1:15" ht="21" customHeight="1" x14ac:dyDescent="0.15">
      <c r="A110" s="76">
        <v>1125</v>
      </c>
      <c r="B110" s="26" t="str">
        <f ca="1">missions!F110</f>
        <v>ハロウィンイベント開催をTwitterでツイートしよう！</v>
      </c>
      <c r="C110" s="27" t="s">
        <v>331</v>
      </c>
      <c r="D110" s="31" t="str">
        <f ca="1">VLOOKUP($C110,OFFSET(mission_unlock_criteria!$A$2,0,0,COUNTA(mission_unlock_criteria!$A:$A),MATCH(D$2,mission_unlock_criteria!$2:$2,0)-MATCH($C$2,mission_unlock_criteria!$2:$2,0)+1),MATCH(D$2,mission_unlock_criteria!$2:$2,0)-MATCH($C$2,mission_unlock_criteria!$2:$2,0)+1,FALSE)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110" s="2" t="s">
        <v>1901</v>
      </c>
      <c r="F110" s="31" t="str">
        <f ca="1">VLOOKUP($E110,OFFSET(mission_ACH_criteria!$A$1,0,0,COUNTA(mission_ACH_criteria!$A:$A),MATCH(F$2,mission_ACH_criteria!$1:$1,0)-MATCH($E$2,mission_ACH_criteria!$1:$1,0)+1),MATCH(F$2,mission_ACH_criteria!$1:$1,0)-MATCH($E$2,mission_ACH_criteria!$1:$1,0)+1,FALSE)</f>
        <v>ハロウィンイベント開催をTwitterでツイートしよう！</v>
      </c>
      <c r="G110" s="27" t="s">
        <v>47</v>
      </c>
      <c r="H110" s="31" t="str">
        <f t="shared" ref="H110:H111" ca="1" si="57">IF(I110="unit",K110&amp;" x "&amp;L110,IF(I110="polygon","ポリゴン x "&amp;J110,IF(I110="bit","ビット x "&amp;J110,IF(I110="link","リンク x "&amp;J110))))</f>
        <v>ポリゴン x 1</v>
      </c>
      <c r="I110" s="31" t="str">
        <f ca="1">VLOOKUP($G110,OFFSET(mission_ACH!$A$2,0,0,COUNTA($A:$A),MATCH(I$2,mission_ACH!$2:$2,0)-MATCH($G$2,mission_ACH!$2:$2,0)+1),MATCH(I$2,mission_ACH!$2:$2,0)-MATCH($G$2,mission_ACH!$2:$2,0)+1,FALSE)</f>
        <v>polygon</v>
      </c>
      <c r="J110" s="31">
        <f ca="1">VLOOKUP($G110,OFFSET(mission_ACH!$A$2,0,0,COUNTA($A:$A),MATCH(J$2,mission_ACH!$2:$2,0)-MATCH($G$2,mission_ACH!$2:$2,0)+1),MATCH(J$2,mission_ACH!$2:$2,0)-MATCH($G$2,mission_ACH!$2:$2,0)+1,FALSE)</f>
        <v>1</v>
      </c>
      <c r="K110" s="31" t="str">
        <f ca="1">IF(I110="unit",VLOOKUP($G110,OFFSET(mission_ACH!$A$2,0,0,COUNTA($A:$A),MATCH(K$2,mission_ACH!$2:$2,0)-MATCH($G$2,mission_ACH!$2:$2,0)+1),MATCH(K$2,mission_ACH!$2:$2,0)-MATCH($G$2,mission_ACH!$2:$2,0)+1,FALSE),"")</f>
        <v/>
      </c>
      <c r="L110" s="31">
        <f ca="1">VLOOKUP($G110,OFFSET(mission_ACH!$A$2,0,0,COUNTA($A:$A),MATCH(L$2,mission_ACH!$2:$2,0)-MATCH($G$2,mission_ACH!$2:$2,0)+1),MATCH(L$2,mission_ACH!$2:$2,0)-MATCH($G$2,mission_ACH!$2:$2,0)+1,FALSE)</f>
        <v>0</v>
      </c>
      <c r="M110" s="27">
        <v>107</v>
      </c>
      <c r="N110" s="87" t="s">
        <v>1897</v>
      </c>
      <c r="O110" s="87" t="s">
        <v>1898</v>
      </c>
    </row>
    <row r="111" spans="1:15" ht="21" customHeight="1" x14ac:dyDescent="0.15">
      <c r="A111" s="76">
        <f>A110+1</f>
        <v>1126</v>
      </c>
      <c r="B111" s="26" t="str">
        <f ca="1">missions!F111</f>
        <v>ハロウィンイベント開催をLINEでタイムライン投稿しよう！</v>
      </c>
      <c r="C111" s="27" t="s">
        <v>331</v>
      </c>
      <c r="D111" s="31" t="str">
        <f ca="1">VLOOKUP($C111,OFFSET(mission_unlock_criteria!$A$2,0,0,COUNTA(mission_unlock_criteria!$A:$A),MATCH(D$2,mission_unlock_criteria!$2:$2,0)-MATCH($C$2,mission_unlock_criteria!$2:$2,0)+1),MATCH(D$2,mission_unlock_criteria!$2:$2,0)-MATCH($C$2,mission_unlock_criteria!$2:$2,0)+1,FALSE)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111" s="2" t="s">
        <v>1902</v>
      </c>
      <c r="F111" s="31" t="str">
        <f ca="1">VLOOKUP($E111,OFFSET(mission_ACH_criteria!$A$1,0,0,COUNTA(mission_ACH_criteria!$A:$A),MATCH(F$2,mission_ACH_criteria!$1:$1,0)-MATCH($E$2,mission_ACH_criteria!$1:$1,0)+1),MATCH(F$2,mission_ACH_criteria!$1:$1,0)-MATCH($E$2,mission_ACH_criteria!$1:$1,0)+1,FALSE)</f>
        <v>ハロウィンイベント開催をLINEでタイムライン投稿しよう！</v>
      </c>
      <c r="G111" s="27" t="s">
        <v>47</v>
      </c>
      <c r="H111" s="31" t="str">
        <f t="shared" ca="1" si="57"/>
        <v>ポリゴン x 1</v>
      </c>
      <c r="I111" s="31" t="str">
        <f ca="1">VLOOKUP($G111,OFFSET(mission_ACH!$A$2,0,0,COUNTA($A:$A),MATCH(I$2,mission_ACH!$2:$2,0)-MATCH($G$2,mission_ACH!$2:$2,0)+1),MATCH(I$2,mission_ACH!$2:$2,0)-MATCH($G$2,mission_ACH!$2:$2,0)+1,FALSE)</f>
        <v>polygon</v>
      </c>
      <c r="J111" s="31">
        <f ca="1">VLOOKUP($G111,OFFSET(mission_ACH!$A$2,0,0,COUNTA($A:$A),MATCH(J$2,mission_ACH!$2:$2,0)-MATCH($G$2,mission_ACH!$2:$2,0)+1),MATCH(J$2,mission_ACH!$2:$2,0)-MATCH($G$2,mission_ACH!$2:$2,0)+1,FALSE)</f>
        <v>1</v>
      </c>
      <c r="K111" s="31" t="str">
        <f ca="1">IF(I111="unit",VLOOKUP($G111,OFFSET(mission_ACH!$A$2,0,0,COUNTA($A:$A),MATCH(K$2,mission_ACH!$2:$2,0)-MATCH($G$2,mission_ACH!$2:$2,0)+1),MATCH(K$2,mission_ACH!$2:$2,0)-MATCH($G$2,mission_ACH!$2:$2,0)+1,FALSE),"")</f>
        <v/>
      </c>
      <c r="L111" s="31">
        <f ca="1">VLOOKUP($G111,OFFSET(mission_ACH!$A$2,0,0,COUNTA($A:$A),MATCH(L$2,mission_ACH!$2:$2,0)-MATCH($G$2,mission_ACH!$2:$2,0)+1),MATCH(L$2,mission_ACH!$2:$2,0)-MATCH($G$2,mission_ACH!$2:$2,0)+1,FALSE)</f>
        <v>0</v>
      </c>
      <c r="M111" s="27">
        <v>107</v>
      </c>
      <c r="N111" s="87" t="s">
        <v>1897</v>
      </c>
      <c r="O111" s="87" t="s">
        <v>1898</v>
      </c>
    </row>
    <row r="112" spans="1:15" ht="21" customHeight="1" x14ac:dyDescent="0.15">
      <c r="A112" s="27">
        <f t="shared" ref="A112" si="58">A111+1</f>
        <v>1127</v>
      </c>
      <c r="B112" s="26" t="str">
        <f ca="1">missions!F112</f>
        <v>全世界700万DL突破をTwitterでツイートしよう！</v>
      </c>
      <c r="C112" s="27" t="s">
        <v>331</v>
      </c>
      <c r="D112" s="31" t="str">
        <f ca="1">VLOOKUP($C112,OFFSET(mission_unlock_criteria!$A$2,0,0,COUNTA(mission_unlock_criteria!$A:$A),MATCH(D$2,mission_unlock_criteria!$2:$2,0)-MATCH($C$2,mission_unlock_criteria!$2:$2,0)+1),MATCH(D$2,mission_unlock_criteria!$2:$2,0)-MATCH($C$2,mission_unlock_criteria!$2:$2,0)+1,FALSE)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112" s="2" t="s">
        <v>1980</v>
      </c>
      <c r="F112" s="31" t="str">
        <f ca="1">VLOOKUP($E112,OFFSET(mission_ACH_criteria!$A$1,0,0,COUNTA(mission_ACH_criteria!$A:$A),MATCH(F$2,mission_ACH_criteria!$1:$1,0)-MATCH($E$2,mission_ACH_criteria!$1:$1,0)+1),MATCH(F$2,mission_ACH_criteria!$1:$1,0)-MATCH($E$2,mission_ACH_criteria!$1:$1,0)+1,FALSE)</f>
        <v>全世界700万DL突破をTwitterでツイートしよう！</v>
      </c>
      <c r="G112" s="27" t="s">
        <v>1983</v>
      </c>
      <c r="H112" s="31" t="str">
        <f t="shared" ref="H112:H113" ca="1" si="59">IF(I112="unit",K112&amp;" x "&amp;L112,IF(I112="polygon","ポリゴン x "&amp;J112,IF(I112="bit","ビット x "&amp;J112,IF(I112="link","リンク x "&amp;J112))))</f>
        <v>リトルハンプティ x 1</v>
      </c>
      <c r="I112" s="31" t="str">
        <f ca="1">VLOOKUP($G112,OFFSET(mission_ACH!$A$2,0,0,COUNTA($A:$A),MATCH(I$2,mission_ACH!$2:$2,0)-MATCH($G$2,mission_ACH!$2:$2,0)+1),MATCH(I$2,mission_ACH!$2:$2,0)-MATCH($G$2,mission_ACH!$2:$2,0)+1,FALSE)</f>
        <v>unit</v>
      </c>
      <c r="J112" s="31">
        <f ca="1">VLOOKUP($G112,OFFSET(mission_ACH!$A$2,0,0,COUNTA($A:$A),MATCH(J$2,mission_ACH!$2:$2,0)-MATCH($G$2,mission_ACH!$2:$2,0)+1),MATCH(J$2,mission_ACH!$2:$2,0)-MATCH($G$2,mission_ACH!$2:$2,0)+1,FALSE)</f>
        <v>837</v>
      </c>
      <c r="K112" s="31" t="str">
        <f ca="1">IF(I112="unit",VLOOKUP($G112,OFFSET(mission_ACH!$A$2,0,0,COUNTA($A:$A),MATCH(K$2,mission_ACH!$2:$2,0)-MATCH($G$2,mission_ACH!$2:$2,0)+1),MATCH(K$2,mission_ACH!$2:$2,0)-MATCH($G$2,mission_ACH!$2:$2,0)+1,FALSE),"")</f>
        <v>リトルハンプティ</v>
      </c>
      <c r="L112" s="31">
        <f ca="1">VLOOKUP($G112,OFFSET(mission_ACH!$A$2,0,0,COUNTA($A:$A),MATCH(L$2,mission_ACH!$2:$2,0)-MATCH($G$2,mission_ACH!$2:$2,0)+1),MATCH(L$2,mission_ACH!$2:$2,0)-MATCH($G$2,mission_ACH!$2:$2,0)+1,FALSE)</f>
        <v>1</v>
      </c>
      <c r="M112" s="27">
        <v>107</v>
      </c>
      <c r="N112" s="87" t="s">
        <v>1985</v>
      </c>
      <c r="O112" s="87" t="s">
        <v>2051</v>
      </c>
    </row>
    <row r="113" spans="1:15" ht="21" customHeight="1" x14ac:dyDescent="0.15">
      <c r="A113" s="27">
        <f>A112+1</f>
        <v>1128</v>
      </c>
      <c r="B113" s="26" t="str">
        <f ca="1">missions!F113</f>
        <v>全世界700万DL突破をLINEでタイムライン投稿しよう！</v>
      </c>
      <c r="C113" s="27" t="s">
        <v>331</v>
      </c>
      <c r="D113" s="31" t="str">
        <f ca="1">VLOOKUP($C113,OFFSET(mission_unlock_criteria!$A$2,0,0,COUNTA(mission_unlock_criteria!$A:$A),MATCH(D$2,mission_unlock_criteria!$2:$2,0)-MATCH($C$2,mission_unlock_criteria!$2:$2,0)+1),MATCH(D$2,mission_unlock_criteria!$2:$2,0)-MATCH($C$2,mission_unlock_criteria!$2:$2,0)+1,FALSE)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113" s="2" t="s">
        <v>1981</v>
      </c>
      <c r="F113" s="31" t="str">
        <f ca="1">VLOOKUP($E113,OFFSET(mission_ACH_criteria!$A$1,0,0,COUNTA(mission_ACH_criteria!$A:$A),MATCH(F$2,mission_ACH_criteria!$1:$1,0)-MATCH($E$2,mission_ACH_criteria!$1:$1,0)+1),MATCH(F$2,mission_ACH_criteria!$1:$1,0)-MATCH($E$2,mission_ACH_criteria!$1:$1,0)+1,FALSE)</f>
        <v>全世界700万DL突破をLINEでタイムライン投稿しよう！</v>
      </c>
      <c r="G113" s="27" t="s">
        <v>1984</v>
      </c>
      <c r="H113" s="31" t="str">
        <f t="shared" ca="1" si="59"/>
        <v>リトルハンプティ x 1</v>
      </c>
      <c r="I113" s="31" t="str">
        <f ca="1">VLOOKUP($G113,OFFSET(mission_ACH!$A$2,0,0,COUNTA($A:$A),MATCH(I$2,mission_ACH!$2:$2,0)-MATCH($G$2,mission_ACH!$2:$2,0)+1),MATCH(I$2,mission_ACH!$2:$2,0)-MATCH($G$2,mission_ACH!$2:$2,0)+1,FALSE)</f>
        <v>unit</v>
      </c>
      <c r="J113" s="31">
        <f ca="1">VLOOKUP($G113,OFFSET(mission_ACH!$A$2,0,0,COUNTA($A:$A),MATCH(J$2,mission_ACH!$2:$2,0)-MATCH($G$2,mission_ACH!$2:$2,0)+1),MATCH(J$2,mission_ACH!$2:$2,0)-MATCH($G$2,mission_ACH!$2:$2,0)+1,FALSE)</f>
        <v>837</v>
      </c>
      <c r="K113" s="31" t="str">
        <f ca="1">IF(I113="unit",VLOOKUP($G113,OFFSET(mission_ACH!$A$2,0,0,COUNTA($A:$A),MATCH(K$2,mission_ACH!$2:$2,0)-MATCH($G$2,mission_ACH!$2:$2,0)+1),MATCH(K$2,mission_ACH!$2:$2,0)-MATCH($G$2,mission_ACH!$2:$2,0)+1,FALSE),"")</f>
        <v>リトルハンプティ</v>
      </c>
      <c r="L113" s="31">
        <f ca="1">VLOOKUP($G113,OFFSET(mission_ACH!$A$2,0,0,COUNTA($A:$A),MATCH(L$2,mission_ACH!$2:$2,0)-MATCH($G$2,mission_ACH!$2:$2,0)+1),MATCH(L$2,mission_ACH!$2:$2,0)-MATCH($G$2,mission_ACH!$2:$2,0)+1,FALSE)</f>
        <v>1</v>
      </c>
      <c r="M113" s="27">
        <v>107</v>
      </c>
      <c r="N113" s="87" t="s">
        <v>1986</v>
      </c>
      <c r="O113" s="87" t="s">
        <v>2051</v>
      </c>
    </row>
    <row r="114" spans="1:15" ht="21" customHeight="1" x14ac:dyDescent="0.15">
      <c r="A114" s="27">
        <v>1129</v>
      </c>
      <c r="B114" s="26" t="str">
        <f ca="1">missions!F114</f>
        <v>台湾/香港ベストゲーム選出記念ツイートをリツイートしよう！</v>
      </c>
      <c r="C114" s="27" t="s">
        <v>331</v>
      </c>
      <c r="D114" s="31" t="str">
        <f ca="1">VLOOKUP($C114,OFFSET(mission_unlock_criteria!$A$2,0,0,COUNTA(mission_unlock_criteria!$A:$A),MATCH(D$2,mission_unlock_criteria!$2:$2,0)-MATCH($C$2,mission_unlock_criteria!$2:$2,0)+1),MATCH(D$2,mission_unlock_criteria!$2:$2,0)-MATCH($C$2,mission_unlock_criteria!$2:$2,0)+1,FALSE)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114" s="2" t="s">
        <v>2002</v>
      </c>
      <c r="F114" s="31" t="str">
        <f ca="1">VLOOKUP($E114,OFFSET(mission_ACH_criteria!$A$1,0,0,COUNTA(mission_ACH_criteria!$A:$A),MATCH(F$2,mission_ACH_criteria!$1:$1,0)-MATCH($E$2,mission_ACH_criteria!$1:$1,0)+1),MATCH(F$2,mission_ACH_criteria!$1:$1,0)-MATCH($E$2,mission_ACH_criteria!$1:$1,0)+1,FALSE)</f>
        <v>台湾/香港ベストゲーム選出記念ツイートをリツイートしよう！</v>
      </c>
      <c r="G114" s="27" t="s">
        <v>2001</v>
      </c>
      <c r="H114" s="31" t="str">
        <f t="shared" ref="H114" ca="1" si="60">IF(I114="unit",K114&amp;" x "&amp;L114,IF(I114="polygon","ポリゴン x "&amp;J114,IF(I114="bit","ビット x "&amp;J114,IF(I114="link","リンク x "&amp;J114))))</f>
        <v>ポリゴン x 5</v>
      </c>
      <c r="I114" s="31" t="str">
        <f ca="1">VLOOKUP($G114,OFFSET(mission_ACH!$A$2,0,0,COUNTA($A:$A),MATCH(I$2,mission_ACH!$2:$2,0)-MATCH($G$2,mission_ACH!$2:$2,0)+1),MATCH(I$2,mission_ACH!$2:$2,0)-MATCH($G$2,mission_ACH!$2:$2,0)+1,FALSE)</f>
        <v>polygon</v>
      </c>
      <c r="J114" s="31">
        <f ca="1">VLOOKUP($G114,OFFSET(mission_ACH!$A$2,0,0,COUNTA($A:$A),MATCH(J$2,mission_ACH!$2:$2,0)-MATCH($G$2,mission_ACH!$2:$2,0)+1),MATCH(J$2,mission_ACH!$2:$2,0)-MATCH($G$2,mission_ACH!$2:$2,0)+1,FALSE)</f>
        <v>5</v>
      </c>
      <c r="K114" s="31" t="str">
        <f ca="1">IF(I114="unit",VLOOKUP($G114,OFFSET(mission_ACH!$A$2,0,0,COUNTA($A:$A),MATCH(K$2,mission_ACH!$2:$2,0)-MATCH($G$2,mission_ACH!$2:$2,0)+1),MATCH(K$2,mission_ACH!$2:$2,0)-MATCH($G$2,mission_ACH!$2:$2,0)+1,FALSE),"")</f>
        <v/>
      </c>
      <c r="L114" s="31">
        <f ca="1">VLOOKUP($G114,OFFSET(mission_ACH!$A$2,0,0,COUNTA($A:$A),MATCH(L$2,mission_ACH!$2:$2,0)-MATCH($G$2,mission_ACH!$2:$2,0)+1),MATCH(L$2,mission_ACH!$2:$2,0)-MATCH($G$2,mission_ACH!$2:$2,0)+1,FALSE)</f>
        <v>0</v>
      </c>
      <c r="M114" s="27">
        <v>107</v>
      </c>
      <c r="N114" s="87" t="s">
        <v>1999</v>
      </c>
      <c r="O114" s="87" t="s">
        <v>2000</v>
      </c>
    </row>
    <row r="115" spans="1:15" s="123" customFormat="1" ht="21" customHeight="1" x14ac:dyDescent="0.15">
      <c r="A115" s="120">
        <v>2001</v>
      </c>
      <c r="B115" s="120" t="str">
        <f t="shared" ref="B115:B158" ca="1" si="61">F115</f>
        <v>クエスト 【1-3. ゲートの番犬】 をクリアしよう！</v>
      </c>
      <c r="C115" s="120" t="s">
        <v>354</v>
      </c>
      <c r="D115" s="121" t="str">
        <f ca="1">VLOOKUP($C115,OFFSET(mission_unlock_criteria!$A$2,0,0,COUNTA(mission_unlock_criteria!$A:$A),MATCH(D$2,mission_unlock_criteria!$2:$2,0)-MATCH($C$2,mission_unlock_criteria!$2:$2,0)+1),MATCH(D$2,mission_unlock_criteria!$2:$2,0)-MATCH($C$2,mission_unlock_criteria!$2:$2,0)+1,FALSE)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115" s="136" t="s">
        <v>331</v>
      </c>
      <c r="F115" s="121" t="str">
        <f ca="1">VLOOKUP($E115,OFFSET(mission_ACH_criteria!$A$1,0,0,COUNTA(mission_ACH_criteria!$A:$A),MATCH(F$2,mission_ACH_criteria!$1:$1,0)-MATCH($E$2,mission_ACH_criteria!$1:$1,0)+1),MATCH(F$2,mission_ACH_criteria!$1:$1,0)-MATCH($E$2,mission_ACH_criteria!$1:$1,0)+1,FALSE)</f>
        <v>クエスト 【1-3. ゲートの番犬】 をクリアしよう！</v>
      </c>
      <c r="G115" s="120" t="s">
        <v>234</v>
      </c>
      <c r="H115" s="121" t="str">
        <f t="shared" ref="H115:H135" ca="1" si="62">IF(I115="unit",K115&amp;" x "&amp;L115,IF(I115="polygon","ポリゴン x "&amp;J115,IF(I115="bit","ビット x "&amp;J115,IF(I115="link","リンク x "&amp;J115))))</f>
        <v>ポリゴン x 3</v>
      </c>
      <c r="I115" s="121" t="str">
        <f ca="1">VLOOKUP($G115,OFFSET(mission_ACH!$A$2,0,0,COUNTA($A:$A),MATCH(I$2,mission_ACH!$2:$2,0)-MATCH($G$2,mission_ACH!$2:$2,0)+1),MATCH(I$2,mission_ACH!$2:$2,0)-MATCH($G$2,mission_ACH!$2:$2,0)+1,FALSE)</f>
        <v>polygon</v>
      </c>
      <c r="J115" s="121">
        <f ca="1">VLOOKUP($G115,OFFSET(mission_ACH!$A$2,0,0,COUNTA($A:$A),MATCH(J$2,mission_ACH!$2:$2,0)-MATCH($G$2,mission_ACH!$2:$2,0)+1),MATCH(J$2,mission_ACH!$2:$2,0)-MATCH($G$2,mission_ACH!$2:$2,0)+1,FALSE)</f>
        <v>3</v>
      </c>
      <c r="K115" s="121" t="str">
        <f ca="1">IF(I115="unit",VLOOKUP($G115,OFFSET(mission_ACH!$A$2,0,0,COUNTA($A:$A),MATCH(K$2,mission_ACH!$2:$2,0)-MATCH($G$2,mission_ACH!$2:$2,0)+1),MATCH(K$2,mission_ACH!$2:$2,0)-MATCH($G$2,mission_ACH!$2:$2,0)+1,FALSE),"")</f>
        <v/>
      </c>
      <c r="L115" s="121">
        <f ca="1">VLOOKUP($G115,OFFSET(mission_ACH!$A$2,0,0,COUNTA($A:$A),MATCH(L$2,mission_ACH!$2:$2,0)-MATCH($G$2,mission_ACH!$2:$2,0)+1),MATCH(L$2,mission_ACH!$2:$2,0)-MATCH($G$2,mission_ACH!$2:$2,0)+1,FALSE)</f>
        <v>0</v>
      </c>
      <c r="M115" s="120">
        <v>60</v>
      </c>
      <c r="N115" s="120" t="s">
        <v>2275</v>
      </c>
      <c r="O115" s="120" t="s">
        <v>2275</v>
      </c>
    </row>
    <row r="116" spans="1:15" s="123" customFormat="1" ht="21" customHeight="1" x14ac:dyDescent="0.15">
      <c r="A116" s="120">
        <v>2002</v>
      </c>
      <c r="B116" s="120" t="str">
        <f t="shared" ref="B116:B123" ca="1" si="63">F116</f>
        <v>クエスト 【2-3. 妖炎の誘い】 をクリアしよう！</v>
      </c>
      <c r="C116" s="120" t="s">
        <v>332</v>
      </c>
      <c r="D116" s="121" t="str">
        <f ca="1">VLOOKUP($C116,OFFSET(mission_unlock_criteria!$A$2,0,0,COUNTA(mission_unlock_criteria!$A:$A),MATCH(D$2,mission_unlock_criteria!$2:$2,0)-MATCH($C$2,mission_unlock_criteria!$2:$2,0)+1),MATCH(D$2,mission_unlock_criteria!$2:$2,0)-MATCH($C$2,mission_unlock_criteria!$2:$2,0)+1,FALSE)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【1-3. ゲートの番犬】 をクリア</v>
      </c>
      <c r="E116" s="136" t="s">
        <v>332</v>
      </c>
      <c r="F116" s="121" t="str">
        <f ca="1">VLOOKUP($E116,OFFSET(mission_ACH_criteria!$A$1,0,0,COUNTA(mission_ACH_criteria!$A:$A),MATCH(F$2,mission_ACH_criteria!$1:$1,0)-MATCH($E$2,mission_ACH_criteria!$1:$1,0)+1),MATCH(F$2,mission_ACH_criteria!$1:$1,0)-MATCH($E$2,mission_ACH_criteria!$1:$1,0)+1,FALSE)</f>
        <v>クエスト 【2-3. 妖炎の誘い】 をクリアしよう！</v>
      </c>
      <c r="G116" s="120" t="s">
        <v>120</v>
      </c>
      <c r="H116" s="121" t="str">
        <f t="shared" ref="H116:H123" ca="1" si="64">IF(I116="unit",K116&amp;" x "&amp;L116,IF(I116="polygon","ポリゴン x "&amp;J116,IF(I116="bit","ビット x "&amp;J116,IF(I116="link","リンク x "&amp;J116))))</f>
        <v>ポリゴン x 2</v>
      </c>
      <c r="I116" s="121" t="str">
        <f ca="1">VLOOKUP($G116,OFFSET(mission_ACH!$A$2,0,0,COUNTA($A:$A),MATCH(I$2,mission_ACH!$2:$2,0)-MATCH($G$2,mission_ACH!$2:$2,0)+1),MATCH(I$2,mission_ACH!$2:$2,0)-MATCH($G$2,mission_ACH!$2:$2,0)+1,FALSE)</f>
        <v>polygon</v>
      </c>
      <c r="J116" s="121">
        <f ca="1">VLOOKUP($G116,OFFSET(mission_ACH!$A$2,0,0,COUNTA($A:$A),MATCH(J$2,mission_ACH!$2:$2,0)-MATCH($G$2,mission_ACH!$2:$2,0)+1),MATCH(J$2,mission_ACH!$2:$2,0)-MATCH($G$2,mission_ACH!$2:$2,0)+1,FALSE)</f>
        <v>2</v>
      </c>
      <c r="K116" s="121" t="str">
        <f ca="1">IF(I116="unit",VLOOKUP($G116,OFFSET(mission_ACH!$A$2,0,0,COUNTA($A:$A),MATCH(K$2,mission_ACH!$2:$2,0)-MATCH($G$2,mission_ACH!$2:$2,0)+1),MATCH(K$2,mission_ACH!$2:$2,0)-MATCH($G$2,mission_ACH!$2:$2,0)+1,FALSE),"")</f>
        <v/>
      </c>
      <c r="L116" s="121">
        <f ca="1">VLOOKUP($G116,OFFSET(mission_ACH!$A$2,0,0,COUNTA($A:$A),MATCH(L$2,mission_ACH!$2:$2,0)-MATCH($G$2,mission_ACH!$2:$2,0)+1),MATCH(L$2,mission_ACH!$2:$2,0)-MATCH($G$2,mission_ACH!$2:$2,0)+1,FALSE)</f>
        <v>0</v>
      </c>
      <c r="M116" s="120">
        <v>60</v>
      </c>
      <c r="N116" s="120" t="s">
        <v>2275</v>
      </c>
      <c r="O116" s="120" t="s">
        <v>2275</v>
      </c>
    </row>
    <row r="117" spans="1:15" s="123" customFormat="1" ht="21" customHeight="1" x14ac:dyDescent="0.15">
      <c r="A117" s="120">
        <v>2003</v>
      </c>
      <c r="B117" s="120" t="str">
        <f ca="1">F117</f>
        <v>クエスト 【3-3. 舞い散る木の葉】 をクリアしよう！</v>
      </c>
      <c r="C117" s="120" t="s">
        <v>333</v>
      </c>
      <c r="D117" s="121" t="str">
        <f ca="1">VLOOKUP($C117,OFFSET(mission_unlock_criteria!$A$2,0,0,COUNTA(mission_unlock_criteria!$A:$A),MATCH(D$2,mission_unlock_criteria!$2:$2,0)-MATCH($C$2,mission_unlock_criteria!$2:$2,0)+1),MATCH(D$2,mission_unlock_criteria!$2:$2,0)-MATCH($C$2,mission_unlock_criteria!$2:$2,0)+1,FALSE)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【2-3. 妖炎の誘い】 をクリア</v>
      </c>
      <c r="E117" s="136" t="s">
        <v>333</v>
      </c>
      <c r="F117" s="121" t="str">
        <f ca="1">VLOOKUP($E117,OFFSET(mission_ACH_criteria!$A$1,0,0,COUNTA(mission_ACH_criteria!$A:$A),MATCH(F$2,mission_ACH_criteria!$1:$1,0)-MATCH($E$2,mission_ACH_criteria!$1:$1,0)+1),MATCH(F$2,mission_ACH_criteria!$1:$1,0)-MATCH($E$2,mission_ACH_criteria!$1:$1,0)+1,FALSE)</f>
        <v>クエスト 【3-3. 舞い散る木の葉】 をクリアしよう！</v>
      </c>
      <c r="G117" s="120" t="s">
        <v>234</v>
      </c>
      <c r="H117" s="121" t="str">
        <f t="shared" ca="1" si="64"/>
        <v>ポリゴン x 3</v>
      </c>
      <c r="I117" s="121" t="str">
        <f ca="1">VLOOKUP($G117,OFFSET(mission_ACH!$A$2,0,0,COUNTA($A:$A),MATCH(I$2,mission_ACH!$2:$2,0)-MATCH($G$2,mission_ACH!$2:$2,0)+1),MATCH(I$2,mission_ACH!$2:$2,0)-MATCH($G$2,mission_ACH!$2:$2,0)+1,FALSE)</f>
        <v>polygon</v>
      </c>
      <c r="J117" s="121">
        <f ca="1">VLOOKUP($G117,OFFSET(mission_ACH!$A$2,0,0,COUNTA($A:$A),MATCH(J$2,mission_ACH!$2:$2,0)-MATCH($G$2,mission_ACH!$2:$2,0)+1),MATCH(J$2,mission_ACH!$2:$2,0)-MATCH($G$2,mission_ACH!$2:$2,0)+1,FALSE)</f>
        <v>3</v>
      </c>
      <c r="K117" s="121" t="str">
        <f ca="1">IF(I117="unit",VLOOKUP($G117,OFFSET(mission_ACH!$A$2,0,0,COUNTA($A:$A),MATCH(K$2,mission_ACH!$2:$2,0)-MATCH($G$2,mission_ACH!$2:$2,0)+1),MATCH(K$2,mission_ACH!$2:$2,0)-MATCH($G$2,mission_ACH!$2:$2,0)+1,FALSE),"")</f>
        <v/>
      </c>
      <c r="L117" s="121">
        <f ca="1">VLOOKUP($G117,OFFSET(mission_ACH!$A$2,0,0,COUNTA($A:$A),MATCH(L$2,mission_ACH!$2:$2,0)-MATCH($G$2,mission_ACH!$2:$2,0)+1),MATCH(L$2,mission_ACH!$2:$2,0)-MATCH($G$2,mission_ACH!$2:$2,0)+1,FALSE)</f>
        <v>0</v>
      </c>
      <c r="M117" s="120">
        <v>60</v>
      </c>
      <c r="N117" s="120" t="s">
        <v>2275</v>
      </c>
      <c r="O117" s="120" t="s">
        <v>2275</v>
      </c>
    </row>
    <row r="118" spans="1:15" s="123" customFormat="1" ht="21" customHeight="1" x14ac:dyDescent="0.15">
      <c r="A118" s="120">
        <v>2004</v>
      </c>
      <c r="B118" s="120" t="str">
        <f t="shared" ca="1" si="63"/>
        <v>クエスト 【4-3. 晩夏の狐】 をクリアしよう！</v>
      </c>
      <c r="C118" s="120" t="s">
        <v>334</v>
      </c>
      <c r="D118" s="121" t="str">
        <f ca="1">VLOOKUP($C118,OFFSET(mission_unlock_criteria!$A$2,0,0,COUNTA(mission_unlock_criteria!$A:$A),MATCH(D$2,mission_unlock_criteria!$2:$2,0)-MATCH($C$2,mission_unlock_criteria!$2:$2,0)+1),MATCH(D$2,mission_unlock_criteria!$2:$2,0)-MATCH($C$2,mission_unlock_criteria!$2:$2,0)+1,FALSE)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【3-3. 舞い散る木の葉】 をクリア</v>
      </c>
      <c r="E118" s="136" t="s">
        <v>334</v>
      </c>
      <c r="F118" s="121" t="str">
        <f ca="1">VLOOKUP($E118,OFFSET(mission_ACH_criteria!$A$1,0,0,COUNTA(mission_ACH_criteria!$A:$A),MATCH(F$2,mission_ACH_criteria!$1:$1,0)-MATCH($E$2,mission_ACH_criteria!$1:$1,0)+1),MATCH(F$2,mission_ACH_criteria!$1:$1,0)-MATCH($E$2,mission_ACH_criteria!$1:$1,0)+1,FALSE)</f>
        <v>クエスト 【4-3. 晩夏の狐】 をクリアしよう！</v>
      </c>
      <c r="G118" s="120" t="s">
        <v>120</v>
      </c>
      <c r="H118" s="121" t="str">
        <f t="shared" ca="1" si="64"/>
        <v>ポリゴン x 2</v>
      </c>
      <c r="I118" s="121" t="str">
        <f ca="1">VLOOKUP($G118,OFFSET(mission_ACH!$A$2,0,0,COUNTA($A:$A),MATCH(I$2,mission_ACH!$2:$2,0)-MATCH($G$2,mission_ACH!$2:$2,0)+1),MATCH(I$2,mission_ACH!$2:$2,0)-MATCH($G$2,mission_ACH!$2:$2,0)+1,FALSE)</f>
        <v>polygon</v>
      </c>
      <c r="J118" s="121">
        <f ca="1">VLOOKUP($G118,OFFSET(mission_ACH!$A$2,0,0,COUNTA($A:$A),MATCH(J$2,mission_ACH!$2:$2,0)-MATCH($G$2,mission_ACH!$2:$2,0)+1),MATCH(J$2,mission_ACH!$2:$2,0)-MATCH($G$2,mission_ACH!$2:$2,0)+1,FALSE)</f>
        <v>2</v>
      </c>
      <c r="K118" s="121" t="str">
        <f ca="1">IF(I118="unit",VLOOKUP($G118,OFFSET(mission_ACH!$A$2,0,0,COUNTA($A:$A),MATCH(K$2,mission_ACH!$2:$2,0)-MATCH($G$2,mission_ACH!$2:$2,0)+1),MATCH(K$2,mission_ACH!$2:$2,0)-MATCH($G$2,mission_ACH!$2:$2,0)+1,FALSE),"")</f>
        <v/>
      </c>
      <c r="L118" s="121">
        <f ca="1">VLOOKUP($G118,OFFSET(mission_ACH!$A$2,0,0,COUNTA($A:$A),MATCH(L$2,mission_ACH!$2:$2,0)-MATCH($G$2,mission_ACH!$2:$2,0)+1),MATCH(L$2,mission_ACH!$2:$2,0)-MATCH($G$2,mission_ACH!$2:$2,0)+1,FALSE)</f>
        <v>0</v>
      </c>
      <c r="M118" s="120">
        <v>60</v>
      </c>
      <c r="N118" s="120" t="s">
        <v>2275</v>
      </c>
      <c r="O118" s="120" t="s">
        <v>2275</v>
      </c>
    </row>
    <row r="119" spans="1:15" s="123" customFormat="1" ht="21" customHeight="1" x14ac:dyDescent="0.15">
      <c r="A119" s="120">
        <v>2005</v>
      </c>
      <c r="B119" s="120" t="str">
        <f t="shared" ca="1" si="63"/>
        <v>クエスト 【5-3. 水天一碧の凪刀】 をクリアしよう！</v>
      </c>
      <c r="C119" s="120" t="s">
        <v>335</v>
      </c>
      <c r="D119" s="121" t="str">
        <f ca="1">VLOOKUP($C119,OFFSET(mission_unlock_criteria!$A$2,0,0,COUNTA(mission_unlock_criteria!$A:$A),MATCH(D$2,mission_unlock_criteria!$2:$2,0)-MATCH($C$2,mission_unlock_criteria!$2:$2,0)+1),MATCH(D$2,mission_unlock_criteria!$2:$2,0)-MATCH($C$2,mission_unlock_criteria!$2:$2,0)+1,FALSE)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【4-3. 晩夏の狐】 をクリア</v>
      </c>
      <c r="E119" s="136" t="s">
        <v>335</v>
      </c>
      <c r="F119" s="121" t="str">
        <f ca="1">VLOOKUP($E119,OFFSET(mission_ACH_criteria!$A$1,0,0,COUNTA(mission_ACH_criteria!$A:$A),MATCH(F$2,mission_ACH_criteria!$1:$1,0)-MATCH($E$2,mission_ACH_criteria!$1:$1,0)+1),MATCH(F$2,mission_ACH_criteria!$1:$1,0)-MATCH($E$2,mission_ACH_criteria!$1:$1,0)+1,FALSE)</f>
        <v>クエスト 【5-3. 水天一碧の凪刀】 をクリアしよう！</v>
      </c>
      <c r="G119" s="120" t="s">
        <v>234</v>
      </c>
      <c r="H119" s="121" t="str">
        <f t="shared" ca="1" si="64"/>
        <v>ポリゴン x 3</v>
      </c>
      <c r="I119" s="121" t="str">
        <f ca="1">VLOOKUP($G119,OFFSET(mission_ACH!$A$2,0,0,COUNTA($A:$A),MATCH(I$2,mission_ACH!$2:$2,0)-MATCH($G$2,mission_ACH!$2:$2,0)+1),MATCH(I$2,mission_ACH!$2:$2,0)-MATCH($G$2,mission_ACH!$2:$2,0)+1,FALSE)</f>
        <v>polygon</v>
      </c>
      <c r="J119" s="121">
        <f ca="1">VLOOKUP($G119,OFFSET(mission_ACH!$A$2,0,0,COUNTA($A:$A),MATCH(J$2,mission_ACH!$2:$2,0)-MATCH($G$2,mission_ACH!$2:$2,0)+1),MATCH(J$2,mission_ACH!$2:$2,0)-MATCH($G$2,mission_ACH!$2:$2,0)+1,FALSE)</f>
        <v>3</v>
      </c>
      <c r="K119" s="121" t="str">
        <f ca="1">IF(I119="unit",VLOOKUP($G119,OFFSET(mission_ACH!$A$2,0,0,COUNTA($A:$A),MATCH(K$2,mission_ACH!$2:$2,0)-MATCH($G$2,mission_ACH!$2:$2,0)+1),MATCH(K$2,mission_ACH!$2:$2,0)-MATCH($G$2,mission_ACH!$2:$2,0)+1,FALSE),"")</f>
        <v/>
      </c>
      <c r="L119" s="121">
        <f ca="1">VLOOKUP($G119,OFFSET(mission_ACH!$A$2,0,0,COUNTA($A:$A),MATCH(L$2,mission_ACH!$2:$2,0)-MATCH($G$2,mission_ACH!$2:$2,0)+1),MATCH(L$2,mission_ACH!$2:$2,0)-MATCH($G$2,mission_ACH!$2:$2,0)+1,FALSE)</f>
        <v>0</v>
      </c>
      <c r="M119" s="120">
        <v>60</v>
      </c>
      <c r="N119" s="120" t="s">
        <v>2275</v>
      </c>
      <c r="O119" s="120" t="s">
        <v>2275</v>
      </c>
    </row>
    <row r="120" spans="1:15" s="123" customFormat="1" ht="21" customHeight="1" x14ac:dyDescent="0.15">
      <c r="A120" s="120">
        <v>2006</v>
      </c>
      <c r="B120" s="120" t="str">
        <f t="shared" ca="1" si="63"/>
        <v>クエスト 【6-5. 来園者の末路】 をクリアしよう！</v>
      </c>
      <c r="C120" s="120" t="s">
        <v>336</v>
      </c>
      <c r="D120" s="121" t="str">
        <f ca="1">VLOOKUP($C120,OFFSET(mission_unlock_criteria!$A$2,0,0,COUNTA(mission_unlock_criteria!$A:$A),MATCH(D$2,mission_unlock_criteria!$2:$2,0)-MATCH($C$2,mission_unlock_criteria!$2:$2,0)+1),MATCH(D$2,mission_unlock_criteria!$2:$2,0)-MATCH($C$2,mission_unlock_criteria!$2:$2,0)+1,FALSE)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【5-3. 水天一碧の凪刀】 をクリア</v>
      </c>
      <c r="E120" s="136" t="s">
        <v>336</v>
      </c>
      <c r="F120" s="121" t="str">
        <f ca="1">VLOOKUP($E120,OFFSET(mission_ACH_criteria!$A$1,0,0,COUNTA(mission_ACH_criteria!$A:$A),MATCH(F$2,mission_ACH_criteria!$1:$1,0)-MATCH($E$2,mission_ACH_criteria!$1:$1,0)+1),MATCH(F$2,mission_ACH_criteria!$1:$1,0)-MATCH($E$2,mission_ACH_criteria!$1:$1,0)+1,FALSE)</f>
        <v>クエスト 【6-5. 来園者の末路】 をクリアしよう！</v>
      </c>
      <c r="G120" s="120" t="s">
        <v>2276</v>
      </c>
      <c r="H120" s="121" t="str">
        <f t="shared" ca="1" si="64"/>
        <v>緋壁の城塞 アーグラ x 1</v>
      </c>
      <c r="I120" s="121" t="str">
        <f ca="1">VLOOKUP($G120,OFFSET(mission_ACH!$A$2,0,0,COUNTA($A:$A),MATCH(I$2,mission_ACH!$2:$2,0)-MATCH($G$2,mission_ACH!$2:$2,0)+1),MATCH(I$2,mission_ACH!$2:$2,0)-MATCH($G$2,mission_ACH!$2:$2,0)+1,FALSE)</f>
        <v>unit</v>
      </c>
      <c r="J120" s="121">
        <f ca="1">VLOOKUP($G120,OFFSET(mission_ACH!$A$2,0,0,COUNTA($A:$A),MATCH(J$2,mission_ACH!$2:$2,0)-MATCH($G$2,mission_ACH!$2:$2,0)+1),MATCH(J$2,mission_ACH!$2:$2,0)-MATCH($G$2,mission_ACH!$2:$2,0)+1,FALSE)</f>
        <v>632</v>
      </c>
      <c r="K120" s="121" t="str">
        <f ca="1">IF(I120="unit",VLOOKUP($G120,OFFSET(mission_ACH!$A$2,0,0,COUNTA($A:$A),MATCH(K$2,mission_ACH!$2:$2,0)-MATCH($G$2,mission_ACH!$2:$2,0)+1),MATCH(K$2,mission_ACH!$2:$2,0)-MATCH($G$2,mission_ACH!$2:$2,0)+1,FALSE),"")</f>
        <v>緋壁の城塞 アーグラ</v>
      </c>
      <c r="L120" s="121">
        <f ca="1">VLOOKUP($G120,OFFSET(mission_ACH!$A$2,0,0,COUNTA($A:$A),MATCH(L$2,mission_ACH!$2:$2,0)-MATCH($G$2,mission_ACH!$2:$2,0)+1),MATCH(L$2,mission_ACH!$2:$2,0)-MATCH($G$2,mission_ACH!$2:$2,0)+1,FALSE)</f>
        <v>1</v>
      </c>
      <c r="M120" s="120">
        <v>60</v>
      </c>
      <c r="N120" s="120" t="s">
        <v>2275</v>
      </c>
      <c r="O120" s="120" t="s">
        <v>2275</v>
      </c>
    </row>
    <row r="121" spans="1:15" s="123" customFormat="1" ht="21" customHeight="1" x14ac:dyDescent="0.15">
      <c r="A121" s="120">
        <v>2007</v>
      </c>
      <c r="B121" s="120" t="str">
        <f t="shared" ca="1" si="63"/>
        <v>クエスト 【7-5. 聖なる巨岩】 をクリアしよう！</v>
      </c>
      <c r="C121" s="120" t="s">
        <v>337</v>
      </c>
      <c r="D121" s="121" t="str">
        <f ca="1">VLOOKUP($C121,OFFSET(mission_unlock_criteria!$A$2,0,0,COUNTA(mission_unlock_criteria!$A:$A),MATCH(D$2,mission_unlock_criteria!$2:$2,0)-MATCH($C$2,mission_unlock_criteria!$2:$2,0)+1),MATCH(D$2,mission_unlock_criteria!$2:$2,0)-MATCH($C$2,mission_unlock_criteria!$2:$2,0)+1,FALSE)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【6-5. 来園者の末路】 をクリア</v>
      </c>
      <c r="E121" s="136" t="s">
        <v>337</v>
      </c>
      <c r="F121" s="121" t="str">
        <f ca="1">VLOOKUP($E121,OFFSET(mission_ACH_criteria!$A$1,0,0,COUNTA(mission_ACH_criteria!$A:$A),MATCH(F$2,mission_ACH_criteria!$1:$1,0)-MATCH($E$2,mission_ACH_criteria!$1:$1,0)+1),MATCH(F$2,mission_ACH_criteria!$1:$1,0)-MATCH($E$2,mission_ACH_criteria!$1:$1,0)+1,FALSE)</f>
        <v>クエスト 【7-5. 聖なる巨岩】 をクリアしよう！</v>
      </c>
      <c r="G121" s="120" t="s">
        <v>233</v>
      </c>
      <c r="H121" s="121" t="str">
        <f t="shared" ca="1" si="64"/>
        <v>ポリゴン x 1</v>
      </c>
      <c r="I121" s="121" t="str">
        <f ca="1">VLOOKUP($G121,OFFSET(mission_ACH!$A$2,0,0,COUNTA($A:$A),MATCH(I$2,mission_ACH!$2:$2,0)-MATCH($G$2,mission_ACH!$2:$2,0)+1),MATCH(I$2,mission_ACH!$2:$2,0)-MATCH($G$2,mission_ACH!$2:$2,0)+1,FALSE)</f>
        <v>polygon</v>
      </c>
      <c r="J121" s="121">
        <f ca="1">VLOOKUP($G121,OFFSET(mission_ACH!$A$2,0,0,COUNTA($A:$A),MATCH(J$2,mission_ACH!$2:$2,0)-MATCH($G$2,mission_ACH!$2:$2,0)+1),MATCH(J$2,mission_ACH!$2:$2,0)-MATCH($G$2,mission_ACH!$2:$2,0)+1,FALSE)</f>
        <v>1</v>
      </c>
      <c r="K121" s="121" t="str">
        <f ca="1">IF(I121="unit",VLOOKUP($G121,OFFSET(mission_ACH!$A$2,0,0,COUNTA($A:$A),MATCH(K$2,mission_ACH!$2:$2,0)-MATCH($G$2,mission_ACH!$2:$2,0)+1),MATCH(K$2,mission_ACH!$2:$2,0)-MATCH($G$2,mission_ACH!$2:$2,0)+1,FALSE),"")</f>
        <v/>
      </c>
      <c r="L121" s="121">
        <f ca="1">VLOOKUP($G121,OFFSET(mission_ACH!$A$2,0,0,COUNTA($A:$A),MATCH(L$2,mission_ACH!$2:$2,0)-MATCH($G$2,mission_ACH!$2:$2,0)+1),MATCH(L$2,mission_ACH!$2:$2,0)-MATCH($G$2,mission_ACH!$2:$2,0)+1,FALSE)</f>
        <v>0</v>
      </c>
      <c r="M121" s="120">
        <v>60</v>
      </c>
      <c r="N121" s="120" t="s">
        <v>2275</v>
      </c>
      <c r="O121" s="120" t="s">
        <v>2275</v>
      </c>
    </row>
    <row r="122" spans="1:15" s="123" customFormat="1" ht="21" customHeight="1" x14ac:dyDescent="0.15">
      <c r="A122" s="120">
        <v>2008</v>
      </c>
      <c r="B122" s="120" t="str">
        <f t="shared" ca="1" si="63"/>
        <v>クエスト 【8-5. 聖なる渇牙】 をクリアしよう！</v>
      </c>
      <c r="C122" s="120" t="s">
        <v>338</v>
      </c>
      <c r="D122" s="121" t="str">
        <f ca="1">VLOOKUP($C122,OFFSET(mission_unlock_criteria!$A$2,0,0,COUNTA(mission_unlock_criteria!$A:$A),MATCH(D$2,mission_unlock_criteria!$2:$2,0)-MATCH($C$2,mission_unlock_criteria!$2:$2,0)+1),MATCH(D$2,mission_unlock_criteria!$2:$2,0)-MATCH($C$2,mission_unlock_criteria!$2:$2,0)+1,FALSE)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【7-5. 聖なる巨岩】 をクリア</v>
      </c>
      <c r="E122" s="136" t="s">
        <v>338</v>
      </c>
      <c r="F122" s="121" t="str">
        <f ca="1">VLOOKUP($E122,OFFSET(mission_ACH_criteria!$A$1,0,0,COUNTA(mission_ACH_criteria!$A:$A),MATCH(F$2,mission_ACH_criteria!$1:$1,0)-MATCH($E$2,mission_ACH_criteria!$1:$1,0)+1),MATCH(F$2,mission_ACH_criteria!$1:$1,0)-MATCH($E$2,mission_ACH_criteria!$1:$1,0)+1,FALSE)</f>
        <v>クエスト 【8-5. 聖なる渇牙】 をクリアしよう！</v>
      </c>
      <c r="G122" s="120" t="s">
        <v>233</v>
      </c>
      <c r="H122" s="121" t="str">
        <f t="shared" ca="1" si="64"/>
        <v>ポリゴン x 1</v>
      </c>
      <c r="I122" s="121" t="str">
        <f ca="1">VLOOKUP($G122,OFFSET(mission_ACH!$A$2,0,0,COUNTA($A:$A),MATCH(I$2,mission_ACH!$2:$2,0)-MATCH($G$2,mission_ACH!$2:$2,0)+1),MATCH(I$2,mission_ACH!$2:$2,0)-MATCH($G$2,mission_ACH!$2:$2,0)+1,FALSE)</f>
        <v>polygon</v>
      </c>
      <c r="J122" s="121">
        <f ca="1">VLOOKUP($G122,OFFSET(mission_ACH!$A$2,0,0,COUNTA($A:$A),MATCH(J$2,mission_ACH!$2:$2,0)-MATCH($G$2,mission_ACH!$2:$2,0)+1),MATCH(J$2,mission_ACH!$2:$2,0)-MATCH($G$2,mission_ACH!$2:$2,0)+1,FALSE)</f>
        <v>1</v>
      </c>
      <c r="K122" s="121" t="str">
        <f ca="1">IF(I122="unit",VLOOKUP($G122,OFFSET(mission_ACH!$A$2,0,0,COUNTA($A:$A),MATCH(K$2,mission_ACH!$2:$2,0)-MATCH($G$2,mission_ACH!$2:$2,0)+1),MATCH(K$2,mission_ACH!$2:$2,0)-MATCH($G$2,mission_ACH!$2:$2,0)+1,FALSE),"")</f>
        <v/>
      </c>
      <c r="L122" s="121">
        <f ca="1">VLOOKUP($G122,OFFSET(mission_ACH!$A$2,0,0,COUNTA($A:$A),MATCH(L$2,mission_ACH!$2:$2,0)-MATCH($G$2,mission_ACH!$2:$2,0)+1),MATCH(L$2,mission_ACH!$2:$2,0)-MATCH($G$2,mission_ACH!$2:$2,0)+1,FALSE)</f>
        <v>0</v>
      </c>
      <c r="M122" s="120">
        <v>60</v>
      </c>
      <c r="N122" s="120" t="s">
        <v>2275</v>
      </c>
      <c r="O122" s="120" t="s">
        <v>2275</v>
      </c>
    </row>
    <row r="123" spans="1:15" s="123" customFormat="1" ht="21" customHeight="1" x14ac:dyDescent="0.15">
      <c r="A123" s="120">
        <v>2009</v>
      </c>
      <c r="B123" s="120" t="str">
        <f t="shared" ca="1" si="63"/>
        <v>クエスト 【9-5. 聖なる渦爪】 をクリアしよう！</v>
      </c>
      <c r="C123" s="120" t="s">
        <v>339</v>
      </c>
      <c r="D123" s="121" t="str">
        <f ca="1">VLOOKUP($C123,OFFSET(mission_unlock_criteria!$A$2,0,0,COUNTA(mission_unlock_criteria!$A:$A),MATCH(D$2,mission_unlock_criteria!$2:$2,0)-MATCH($C$2,mission_unlock_criteria!$2:$2,0)+1),MATCH(D$2,mission_unlock_criteria!$2:$2,0)-MATCH($C$2,mission_unlock_criteria!$2:$2,0)+1,FALSE)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【8-5. 聖なる渇牙】 をクリア</v>
      </c>
      <c r="E123" s="136" t="s">
        <v>339</v>
      </c>
      <c r="F123" s="121" t="str">
        <f ca="1">VLOOKUP($E123,OFFSET(mission_ACH_criteria!$A$1,0,0,COUNTA(mission_ACH_criteria!$A:$A),MATCH(F$2,mission_ACH_criteria!$1:$1,0)-MATCH($E$2,mission_ACH_criteria!$1:$1,0)+1),MATCH(F$2,mission_ACH_criteria!$1:$1,0)-MATCH($E$2,mission_ACH_criteria!$1:$1,0)+1,FALSE)</f>
        <v>クエスト 【9-5. 聖なる渦爪】 をクリアしよう！</v>
      </c>
      <c r="G123" s="120" t="s">
        <v>233</v>
      </c>
      <c r="H123" s="121" t="str">
        <f t="shared" ca="1" si="64"/>
        <v>ポリゴン x 1</v>
      </c>
      <c r="I123" s="121" t="str">
        <f ca="1">VLOOKUP($G123,OFFSET(mission_ACH!$A$2,0,0,COUNTA($A:$A),MATCH(I$2,mission_ACH!$2:$2,0)-MATCH($G$2,mission_ACH!$2:$2,0)+1),MATCH(I$2,mission_ACH!$2:$2,0)-MATCH($G$2,mission_ACH!$2:$2,0)+1,FALSE)</f>
        <v>polygon</v>
      </c>
      <c r="J123" s="121">
        <f ca="1">VLOOKUP($G123,OFFSET(mission_ACH!$A$2,0,0,COUNTA($A:$A),MATCH(J$2,mission_ACH!$2:$2,0)-MATCH($G$2,mission_ACH!$2:$2,0)+1),MATCH(J$2,mission_ACH!$2:$2,0)-MATCH($G$2,mission_ACH!$2:$2,0)+1,FALSE)</f>
        <v>1</v>
      </c>
      <c r="K123" s="121" t="str">
        <f ca="1">IF(I123="unit",VLOOKUP($G123,OFFSET(mission_ACH!$A$2,0,0,COUNTA($A:$A),MATCH(K$2,mission_ACH!$2:$2,0)-MATCH($G$2,mission_ACH!$2:$2,0)+1),MATCH(K$2,mission_ACH!$2:$2,0)-MATCH($G$2,mission_ACH!$2:$2,0)+1,FALSE),"")</f>
        <v/>
      </c>
      <c r="L123" s="121">
        <f ca="1">VLOOKUP($G123,OFFSET(mission_ACH!$A$2,0,0,COUNTA($A:$A),MATCH(L$2,mission_ACH!$2:$2,0)-MATCH($G$2,mission_ACH!$2:$2,0)+1),MATCH(L$2,mission_ACH!$2:$2,0)-MATCH($G$2,mission_ACH!$2:$2,0)+1,FALSE)</f>
        <v>0</v>
      </c>
      <c r="M123" s="120">
        <v>60</v>
      </c>
      <c r="N123" s="120" t="s">
        <v>2275</v>
      </c>
      <c r="O123" s="120" t="s">
        <v>2275</v>
      </c>
    </row>
    <row r="124" spans="1:15" s="123" customFormat="1" ht="21" customHeight="1" x14ac:dyDescent="0.15">
      <c r="A124" s="120">
        <v>2010</v>
      </c>
      <c r="B124" s="120" t="str">
        <f t="shared" ca="1" si="61"/>
        <v>クエスト 【10-5. 聖なる炎翼】 をクリアしよう！</v>
      </c>
      <c r="C124" s="120" t="s">
        <v>340</v>
      </c>
      <c r="D124" s="121" t="str">
        <f ca="1">VLOOKUP($C124,OFFSET(mission_unlock_criteria!$A$2,0,0,COUNTA(mission_unlock_criteria!$A:$A),MATCH(D$2,mission_unlock_criteria!$2:$2,0)-MATCH($C$2,mission_unlock_criteria!$2:$2,0)+1),MATCH(D$2,mission_unlock_criteria!$2:$2,0)-MATCH($C$2,mission_unlock_criteria!$2:$2,0)+1,FALSE)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【9-5. 聖なる渦爪】 をクリア</v>
      </c>
      <c r="E124" s="136" t="s">
        <v>340</v>
      </c>
      <c r="F124" s="121" t="str">
        <f ca="1">VLOOKUP($E124,OFFSET(mission_ACH_criteria!$A$1,0,0,COUNTA(mission_ACH_criteria!$A:$A),MATCH(F$2,mission_ACH_criteria!$1:$1,0)-MATCH($E$2,mission_ACH_criteria!$1:$1,0)+1),MATCH(F$2,mission_ACH_criteria!$1:$1,0)-MATCH($E$2,mission_ACH_criteria!$1:$1,0)+1,FALSE)</f>
        <v>クエスト 【10-5. 聖なる炎翼】 をクリアしよう！</v>
      </c>
      <c r="G124" s="120" t="s">
        <v>233</v>
      </c>
      <c r="H124" s="121" t="str">
        <f t="shared" ca="1" si="62"/>
        <v>ポリゴン x 1</v>
      </c>
      <c r="I124" s="121" t="str">
        <f ca="1">VLOOKUP($G124,OFFSET(mission_ACH!$A$2,0,0,COUNTA($A:$A),MATCH(I$2,mission_ACH!$2:$2,0)-MATCH($G$2,mission_ACH!$2:$2,0)+1),MATCH(I$2,mission_ACH!$2:$2,0)-MATCH($G$2,mission_ACH!$2:$2,0)+1,FALSE)</f>
        <v>polygon</v>
      </c>
      <c r="J124" s="121">
        <f ca="1">VLOOKUP($G124,OFFSET(mission_ACH!$A$2,0,0,COUNTA($A:$A),MATCH(J$2,mission_ACH!$2:$2,0)-MATCH($G$2,mission_ACH!$2:$2,0)+1),MATCH(J$2,mission_ACH!$2:$2,0)-MATCH($G$2,mission_ACH!$2:$2,0)+1,FALSE)</f>
        <v>1</v>
      </c>
      <c r="K124" s="121" t="str">
        <f ca="1">IF(I124="unit",VLOOKUP($G124,OFFSET(mission_ACH!$A$2,0,0,COUNTA($A:$A),MATCH(K$2,mission_ACH!$2:$2,0)-MATCH($G$2,mission_ACH!$2:$2,0)+1),MATCH(K$2,mission_ACH!$2:$2,0)-MATCH($G$2,mission_ACH!$2:$2,0)+1,FALSE),"")</f>
        <v/>
      </c>
      <c r="L124" s="121">
        <f ca="1">VLOOKUP($G124,OFFSET(mission_ACH!$A$2,0,0,COUNTA($A:$A),MATCH(L$2,mission_ACH!$2:$2,0)-MATCH($G$2,mission_ACH!$2:$2,0)+1),MATCH(L$2,mission_ACH!$2:$2,0)-MATCH($G$2,mission_ACH!$2:$2,0)+1,FALSE)</f>
        <v>0</v>
      </c>
      <c r="M124" s="120">
        <v>60</v>
      </c>
      <c r="N124" s="120" t="s">
        <v>2275</v>
      </c>
      <c r="O124" s="120" t="s">
        <v>2275</v>
      </c>
    </row>
    <row r="125" spans="1:15" s="123" customFormat="1" ht="21" customHeight="1" x14ac:dyDescent="0.15">
      <c r="A125" s="120">
        <v>2011</v>
      </c>
      <c r="B125" s="120" t="str">
        <f t="shared" ca="1" si="61"/>
        <v>クエスト 【11-5. 訓練された生存者】 をクリアしよう！</v>
      </c>
      <c r="C125" s="120" t="s">
        <v>341</v>
      </c>
      <c r="D125" s="121" t="str">
        <f ca="1">VLOOKUP($C125,OFFSET(mission_unlock_criteria!$A$2,0,0,COUNTA(mission_unlock_criteria!$A:$A),MATCH(D$2,mission_unlock_criteria!$2:$2,0)-MATCH($C$2,mission_unlock_criteria!$2:$2,0)+1),MATCH(D$2,mission_unlock_criteria!$2:$2,0)-MATCH($C$2,mission_unlock_criteria!$2:$2,0)+1,FALSE)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【10-5. 聖なる炎翼】 をクリア</v>
      </c>
      <c r="E125" s="136" t="s">
        <v>341</v>
      </c>
      <c r="F125" s="121" t="str">
        <f ca="1">VLOOKUP($E125,OFFSET(mission_ACH_criteria!$A$1,0,0,COUNTA(mission_ACH_criteria!$A:$A),MATCH(F$2,mission_ACH_criteria!$1:$1,0)-MATCH($E$2,mission_ACH_criteria!$1:$1,0)+1),MATCH(F$2,mission_ACH_criteria!$1:$1,0)-MATCH($E$2,mission_ACH_criteria!$1:$1,0)+1,FALSE)</f>
        <v>クエスト 【11-5. 訓練された生存者】 をクリアしよう！</v>
      </c>
      <c r="G125" s="120" t="s">
        <v>236</v>
      </c>
      <c r="H125" s="121" t="str">
        <f t="shared" ca="1" si="62"/>
        <v>ポリゴン x 10</v>
      </c>
      <c r="I125" s="121" t="str">
        <f ca="1">VLOOKUP($G125,OFFSET(mission_ACH!$A$2,0,0,COUNTA($A:$A),MATCH(I$2,mission_ACH!$2:$2,0)-MATCH($G$2,mission_ACH!$2:$2,0)+1),MATCH(I$2,mission_ACH!$2:$2,0)-MATCH($G$2,mission_ACH!$2:$2,0)+1,FALSE)</f>
        <v>polygon</v>
      </c>
      <c r="J125" s="121">
        <f ca="1">VLOOKUP($G125,OFFSET(mission_ACH!$A$2,0,0,COUNTA($A:$A),MATCH(J$2,mission_ACH!$2:$2,0)-MATCH($G$2,mission_ACH!$2:$2,0)+1),MATCH(J$2,mission_ACH!$2:$2,0)-MATCH($G$2,mission_ACH!$2:$2,0)+1,FALSE)</f>
        <v>10</v>
      </c>
      <c r="K125" s="121" t="str">
        <f ca="1">IF(I125="unit",VLOOKUP($G125,OFFSET(mission_ACH!$A$2,0,0,COUNTA($A:$A),MATCH(K$2,mission_ACH!$2:$2,0)-MATCH($G$2,mission_ACH!$2:$2,0)+1),MATCH(K$2,mission_ACH!$2:$2,0)-MATCH($G$2,mission_ACH!$2:$2,0)+1,FALSE),"")</f>
        <v/>
      </c>
      <c r="L125" s="121">
        <f ca="1">VLOOKUP($G125,OFFSET(mission_ACH!$A$2,0,0,COUNTA($A:$A),MATCH(L$2,mission_ACH!$2:$2,0)-MATCH($G$2,mission_ACH!$2:$2,0)+1),MATCH(L$2,mission_ACH!$2:$2,0)-MATCH($G$2,mission_ACH!$2:$2,0)+1,FALSE)</f>
        <v>0</v>
      </c>
      <c r="M125" s="120">
        <v>60</v>
      </c>
      <c r="N125" s="120" t="s">
        <v>2275</v>
      </c>
      <c r="O125" s="120" t="s">
        <v>2275</v>
      </c>
    </row>
    <row r="126" spans="1:15" s="123" customFormat="1" ht="21" customHeight="1" x14ac:dyDescent="0.15">
      <c r="A126" s="120">
        <v>2012</v>
      </c>
      <c r="B126" s="120" t="str">
        <f t="shared" ca="1" si="61"/>
        <v>クエスト 【12-5. 強蹴の働き者】 をクリアしよう！</v>
      </c>
      <c r="C126" s="120" t="s">
        <v>342</v>
      </c>
      <c r="D126" s="121" t="str">
        <f ca="1">VLOOKUP($C126,OFFSET(mission_unlock_criteria!$A$2,0,0,COUNTA(mission_unlock_criteria!$A:$A),MATCH(D$2,mission_unlock_criteria!$2:$2,0)-MATCH($C$2,mission_unlock_criteria!$2:$2,0)+1),MATCH(D$2,mission_unlock_criteria!$2:$2,0)-MATCH($C$2,mission_unlock_criteria!$2:$2,0)+1,FALSE)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【11-5. 訓練された生存者】 をクリア</v>
      </c>
      <c r="E126" s="136" t="s">
        <v>342</v>
      </c>
      <c r="F126" s="121" t="str">
        <f ca="1">VLOOKUP($E126,OFFSET(mission_ACH_criteria!$A$1,0,0,COUNTA(mission_ACH_criteria!$A:$A),MATCH(F$2,mission_ACH_criteria!$1:$1,0)-MATCH($E$2,mission_ACH_criteria!$1:$1,0)+1),MATCH(F$2,mission_ACH_criteria!$1:$1,0)-MATCH($E$2,mission_ACH_criteria!$1:$1,0)+1,FALSE)</f>
        <v>クエスト 【12-5. 強蹴の働き者】 をクリアしよう！</v>
      </c>
      <c r="G126" s="120" t="s">
        <v>233</v>
      </c>
      <c r="H126" s="121" t="str">
        <f t="shared" ca="1" si="62"/>
        <v>ポリゴン x 1</v>
      </c>
      <c r="I126" s="121" t="str">
        <f ca="1">VLOOKUP($G126,OFFSET(mission_ACH!$A$2,0,0,COUNTA($A:$A),MATCH(I$2,mission_ACH!$2:$2,0)-MATCH($G$2,mission_ACH!$2:$2,0)+1),MATCH(I$2,mission_ACH!$2:$2,0)-MATCH($G$2,mission_ACH!$2:$2,0)+1,FALSE)</f>
        <v>polygon</v>
      </c>
      <c r="J126" s="121">
        <f ca="1">VLOOKUP($G126,OFFSET(mission_ACH!$A$2,0,0,COUNTA($A:$A),MATCH(J$2,mission_ACH!$2:$2,0)-MATCH($G$2,mission_ACH!$2:$2,0)+1),MATCH(J$2,mission_ACH!$2:$2,0)-MATCH($G$2,mission_ACH!$2:$2,0)+1,FALSE)</f>
        <v>1</v>
      </c>
      <c r="K126" s="121" t="str">
        <f ca="1">IF(I126="unit",VLOOKUP($G126,OFFSET(mission_ACH!$A$2,0,0,COUNTA($A:$A),MATCH(K$2,mission_ACH!$2:$2,0)-MATCH($G$2,mission_ACH!$2:$2,0)+1),MATCH(K$2,mission_ACH!$2:$2,0)-MATCH($G$2,mission_ACH!$2:$2,0)+1,FALSE),"")</f>
        <v/>
      </c>
      <c r="L126" s="121">
        <f ca="1">VLOOKUP($G126,OFFSET(mission_ACH!$A$2,0,0,COUNTA($A:$A),MATCH(L$2,mission_ACH!$2:$2,0)-MATCH($G$2,mission_ACH!$2:$2,0)+1),MATCH(L$2,mission_ACH!$2:$2,0)-MATCH($G$2,mission_ACH!$2:$2,0)+1,FALSE)</f>
        <v>0</v>
      </c>
      <c r="M126" s="120">
        <v>60</v>
      </c>
      <c r="N126" s="120" t="s">
        <v>2275</v>
      </c>
      <c r="O126" s="120" t="s">
        <v>2275</v>
      </c>
    </row>
    <row r="127" spans="1:15" s="123" customFormat="1" ht="21" customHeight="1" x14ac:dyDescent="0.15">
      <c r="A127" s="120">
        <v>2013</v>
      </c>
      <c r="B127" s="120" t="str">
        <f t="shared" ca="1" si="61"/>
        <v>クエスト 【13-5. ローレライの導き】 をクリアしよう！</v>
      </c>
      <c r="C127" s="120" t="s">
        <v>343</v>
      </c>
      <c r="D127" s="121" t="str">
        <f ca="1">VLOOKUP($C127,OFFSET(mission_unlock_criteria!$A$2,0,0,COUNTA(mission_unlock_criteria!$A:$A),MATCH(D$2,mission_unlock_criteria!$2:$2,0)-MATCH($C$2,mission_unlock_criteria!$2:$2,0)+1),MATCH(D$2,mission_unlock_criteria!$2:$2,0)-MATCH($C$2,mission_unlock_criteria!$2:$2,0)+1,FALSE)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【12-5. 強蹴の働き者】 をクリア</v>
      </c>
      <c r="E127" s="136" t="s">
        <v>343</v>
      </c>
      <c r="F127" s="121" t="str">
        <f ca="1">VLOOKUP($E127,OFFSET(mission_ACH_criteria!$A$1,0,0,COUNTA(mission_ACH_criteria!$A:$A),MATCH(F$2,mission_ACH_criteria!$1:$1,0)-MATCH($E$2,mission_ACH_criteria!$1:$1,0)+1),MATCH(F$2,mission_ACH_criteria!$1:$1,0)-MATCH($E$2,mission_ACH_criteria!$1:$1,0)+1,FALSE)</f>
        <v>クエスト 【13-5. ローレライの導き】 をクリアしよう！</v>
      </c>
      <c r="G127" s="120" t="s">
        <v>233</v>
      </c>
      <c r="H127" s="121" t="str">
        <f t="shared" ca="1" si="62"/>
        <v>ポリゴン x 1</v>
      </c>
      <c r="I127" s="121" t="str">
        <f ca="1">VLOOKUP($G127,OFFSET(mission_ACH!$A$2,0,0,COUNTA($A:$A),MATCH(I$2,mission_ACH!$2:$2,0)-MATCH($G$2,mission_ACH!$2:$2,0)+1),MATCH(I$2,mission_ACH!$2:$2,0)-MATCH($G$2,mission_ACH!$2:$2,0)+1,FALSE)</f>
        <v>polygon</v>
      </c>
      <c r="J127" s="121">
        <f ca="1">VLOOKUP($G127,OFFSET(mission_ACH!$A$2,0,0,COUNTA($A:$A),MATCH(J$2,mission_ACH!$2:$2,0)-MATCH($G$2,mission_ACH!$2:$2,0)+1),MATCH(J$2,mission_ACH!$2:$2,0)-MATCH($G$2,mission_ACH!$2:$2,0)+1,FALSE)</f>
        <v>1</v>
      </c>
      <c r="K127" s="121" t="str">
        <f ca="1">IF(I127="unit",VLOOKUP($G127,OFFSET(mission_ACH!$A$2,0,0,COUNTA($A:$A),MATCH(K$2,mission_ACH!$2:$2,0)-MATCH($G$2,mission_ACH!$2:$2,0)+1),MATCH(K$2,mission_ACH!$2:$2,0)-MATCH($G$2,mission_ACH!$2:$2,0)+1,FALSE),"")</f>
        <v/>
      </c>
      <c r="L127" s="121">
        <f ca="1">VLOOKUP($G127,OFFSET(mission_ACH!$A$2,0,0,COUNTA($A:$A),MATCH(L$2,mission_ACH!$2:$2,0)-MATCH($G$2,mission_ACH!$2:$2,0)+1),MATCH(L$2,mission_ACH!$2:$2,0)-MATCH($G$2,mission_ACH!$2:$2,0)+1,FALSE)</f>
        <v>0</v>
      </c>
      <c r="M127" s="120">
        <v>60</v>
      </c>
      <c r="N127" s="120" t="s">
        <v>2275</v>
      </c>
      <c r="O127" s="120" t="s">
        <v>2275</v>
      </c>
    </row>
    <row r="128" spans="1:15" s="123" customFormat="1" ht="21" customHeight="1" x14ac:dyDescent="0.15">
      <c r="A128" s="120">
        <v>2014</v>
      </c>
      <c r="B128" s="120" t="str">
        <f t="shared" ca="1" si="61"/>
        <v>クエスト 【14-5. 重機駆ける逆徒】 をクリアしよう！</v>
      </c>
      <c r="C128" s="120" t="s">
        <v>344</v>
      </c>
      <c r="D128" s="121" t="str">
        <f ca="1">VLOOKUP($C128,OFFSET(mission_unlock_criteria!$A$2,0,0,COUNTA(mission_unlock_criteria!$A:$A),MATCH(D$2,mission_unlock_criteria!$2:$2,0)-MATCH($C$2,mission_unlock_criteria!$2:$2,0)+1),MATCH(D$2,mission_unlock_criteria!$2:$2,0)-MATCH($C$2,mission_unlock_criteria!$2:$2,0)+1,FALSE)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【13-5. ローレライの導き】 をクリア</v>
      </c>
      <c r="E128" s="136" t="s">
        <v>344</v>
      </c>
      <c r="F128" s="121" t="str">
        <f ca="1">VLOOKUP($E128,OFFSET(mission_ACH_criteria!$A$1,0,0,COUNTA(mission_ACH_criteria!$A:$A),MATCH(F$2,mission_ACH_criteria!$1:$1,0)-MATCH($E$2,mission_ACH_criteria!$1:$1,0)+1),MATCH(F$2,mission_ACH_criteria!$1:$1,0)-MATCH($E$2,mission_ACH_criteria!$1:$1,0)+1,FALSE)</f>
        <v>クエスト 【14-5. 重機駆ける逆徒】 をクリアしよう！</v>
      </c>
      <c r="G128" s="120" t="s">
        <v>233</v>
      </c>
      <c r="H128" s="121" t="str">
        <f t="shared" ca="1" si="62"/>
        <v>ポリゴン x 1</v>
      </c>
      <c r="I128" s="121" t="str">
        <f ca="1">VLOOKUP($G128,OFFSET(mission_ACH!$A$2,0,0,COUNTA($A:$A),MATCH(I$2,mission_ACH!$2:$2,0)-MATCH($G$2,mission_ACH!$2:$2,0)+1),MATCH(I$2,mission_ACH!$2:$2,0)-MATCH($G$2,mission_ACH!$2:$2,0)+1,FALSE)</f>
        <v>polygon</v>
      </c>
      <c r="J128" s="121">
        <f ca="1">VLOOKUP($G128,OFFSET(mission_ACH!$A$2,0,0,COUNTA($A:$A),MATCH(J$2,mission_ACH!$2:$2,0)-MATCH($G$2,mission_ACH!$2:$2,0)+1),MATCH(J$2,mission_ACH!$2:$2,0)-MATCH($G$2,mission_ACH!$2:$2,0)+1,FALSE)</f>
        <v>1</v>
      </c>
      <c r="K128" s="121" t="str">
        <f ca="1">IF(I128="unit",VLOOKUP($G128,OFFSET(mission_ACH!$A$2,0,0,COUNTA($A:$A),MATCH(K$2,mission_ACH!$2:$2,0)-MATCH($G$2,mission_ACH!$2:$2,0)+1),MATCH(K$2,mission_ACH!$2:$2,0)-MATCH($G$2,mission_ACH!$2:$2,0)+1,FALSE),"")</f>
        <v/>
      </c>
      <c r="L128" s="121">
        <f ca="1">VLOOKUP($G128,OFFSET(mission_ACH!$A$2,0,0,COUNTA($A:$A),MATCH(L$2,mission_ACH!$2:$2,0)-MATCH($G$2,mission_ACH!$2:$2,0)+1),MATCH(L$2,mission_ACH!$2:$2,0)-MATCH($G$2,mission_ACH!$2:$2,0)+1,FALSE)</f>
        <v>0</v>
      </c>
      <c r="M128" s="120">
        <v>60</v>
      </c>
      <c r="N128" s="120" t="s">
        <v>2275</v>
      </c>
      <c r="O128" s="120" t="s">
        <v>2275</v>
      </c>
    </row>
    <row r="129" spans="1:15" s="123" customFormat="1" ht="21" customHeight="1" x14ac:dyDescent="0.15">
      <c r="A129" s="120">
        <v>2015</v>
      </c>
      <c r="B129" s="120" t="str">
        <f t="shared" ca="1" si="61"/>
        <v>クエスト 【15-5. 縁舞のメインイベント】 をクリアしよう！</v>
      </c>
      <c r="C129" s="120" t="s">
        <v>345</v>
      </c>
      <c r="D129" s="121" t="str">
        <f ca="1">VLOOKUP($C129,OFFSET(mission_unlock_criteria!$A$2,0,0,COUNTA(mission_unlock_criteria!$A:$A),MATCH(D$2,mission_unlock_criteria!$2:$2,0)-MATCH($C$2,mission_unlock_criteria!$2:$2,0)+1),MATCH(D$2,mission_unlock_criteria!$2:$2,0)-MATCH($C$2,mission_unlock_criteria!$2:$2,0)+1,FALSE)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【14-5. 重機駆ける逆徒】 をクリア</v>
      </c>
      <c r="E129" s="136" t="s">
        <v>345</v>
      </c>
      <c r="F129" s="121" t="str">
        <f ca="1">VLOOKUP($E129,OFFSET(mission_ACH_criteria!$A$1,0,0,COUNTA(mission_ACH_criteria!$A:$A),MATCH(F$2,mission_ACH_criteria!$1:$1,0)-MATCH($E$2,mission_ACH_criteria!$1:$1,0)+1),MATCH(F$2,mission_ACH_criteria!$1:$1,0)-MATCH($E$2,mission_ACH_criteria!$1:$1,0)+1,FALSE)</f>
        <v>クエスト 【15-5. 縁舞のメインイベント】 をクリアしよう！</v>
      </c>
      <c r="G129" s="120" t="s">
        <v>233</v>
      </c>
      <c r="H129" s="121" t="str">
        <f t="shared" ca="1" si="62"/>
        <v>ポリゴン x 1</v>
      </c>
      <c r="I129" s="121" t="str">
        <f ca="1">VLOOKUP($G129,OFFSET(mission_ACH!$A$2,0,0,COUNTA($A:$A),MATCH(I$2,mission_ACH!$2:$2,0)-MATCH($G$2,mission_ACH!$2:$2,0)+1),MATCH(I$2,mission_ACH!$2:$2,0)-MATCH($G$2,mission_ACH!$2:$2,0)+1,FALSE)</f>
        <v>polygon</v>
      </c>
      <c r="J129" s="121">
        <f ca="1">VLOOKUP($G129,OFFSET(mission_ACH!$A$2,0,0,COUNTA($A:$A),MATCH(J$2,mission_ACH!$2:$2,0)-MATCH($G$2,mission_ACH!$2:$2,0)+1),MATCH(J$2,mission_ACH!$2:$2,0)-MATCH($G$2,mission_ACH!$2:$2,0)+1,FALSE)</f>
        <v>1</v>
      </c>
      <c r="K129" s="121" t="str">
        <f ca="1">IF(I129="unit",VLOOKUP($G129,OFFSET(mission_ACH!$A$2,0,0,COUNTA($A:$A),MATCH(K$2,mission_ACH!$2:$2,0)-MATCH($G$2,mission_ACH!$2:$2,0)+1),MATCH(K$2,mission_ACH!$2:$2,0)-MATCH($G$2,mission_ACH!$2:$2,0)+1,FALSE),"")</f>
        <v/>
      </c>
      <c r="L129" s="121">
        <f ca="1">VLOOKUP($G129,OFFSET(mission_ACH!$A$2,0,0,COUNTA($A:$A),MATCH(L$2,mission_ACH!$2:$2,0)-MATCH($G$2,mission_ACH!$2:$2,0)+1),MATCH(L$2,mission_ACH!$2:$2,0)-MATCH($G$2,mission_ACH!$2:$2,0)+1,FALSE)</f>
        <v>0</v>
      </c>
      <c r="M129" s="120">
        <v>60</v>
      </c>
      <c r="N129" s="120" t="s">
        <v>2275</v>
      </c>
      <c r="O129" s="120" t="s">
        <v>2275</v>
      </c>
    </row>
    <row r="130" spans="1:15" s="123" customFormat="1" ht="21" customHeight="1" x14ac:dyDescent="0.15">
      <c r="A130" s="120">
        <v>2016</v>
      </c>
      <c r="B130" s="120" t="str">
        <f t="shared" ca="1" si="61"/>
        <v>クエスト 【16-5. プディングに狂気を添えて】 をクリアしよう！</v>
      </c>
      <c r="C130" s="120" t="s">
        <v>346</v>
      </c>
      <c r="D130" s="121" t="str">
        <f ca="1">VLOOKUP($C130,OFFSET(mission_unlock_criteria!$A$2,0,0,COUNTA(mission_unlock_criteria!$A:$A),MATCH(D$2,mission_unlock_criteria!$2:$2,0)-MATCH($C$2,mission_unlock_criteria!$2:$2,0)+1),MATCH(D$2,mission_unlock_criteria!$2:$2,0)-MATCH($C$2,mission_unlock_criteria!$2:$2,0)+1,FALSE)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【15-5. 縁舞のメインイベント】 をクリア</v>
      </c>
      <c r="E130" s="136" t="s">
        <v>346</v>
      </c>
      <c r="F130" s="121" t="str">
        <f ca="1">VLOOKUP($E130,OFFSET(mission_ACH_criteria!$A$1,0,0,COUNTA(mission_ACH_criteria!$A:$A),MATCH(F$2,mission_ACH_criteria!$1:$1,0)-MATCH($E$2,mission_ACH_criteria!$1:$1,0)+1),MATCH(F$2,mission_ACH_criteria!$1:$1,0)-MATCH($E$2,mission_ACH_criteria!$1:$1,0)+1,FALSE)</f>
        <v>クエスト 【16-5. プディングに狂気を添えて】 をクリアしよう！</v>
      </c>
      <c r="G130" s="120" t="s">
        <v>233</v>
      </c>
      <c r="H130" s="121" t="str">
        <f t="shared" ca="1" si="62"/>
        <v>ポリゴン x 1</v>
      </c>
      <c r="I130" s="121" t="str">
        <f ca="1">VLOOKUP($G130,OFFSET(mission_ACH!$A$2,0,0,COUNTA($A:$A),MATCH(I$2,mission_ACH!$2:$2,0)-MATCH($G$2,mission_ACH!$2:$2,0)+1),MATCH(I$2,mission_ACH!$2:$2,0)-MATCH($G$2,mission_ACH!$2:$2,0)+1,FALSE)</f>
        <v>polygon</v>
      </c>
      <c r="J130" s="121">
        <f ca="1">VLOOKUP($G130,OFFSET(mission_ACH!$A$2,0,0,COUNTA($A:$A),MATCH(J$2,mission_ACH!$2:$2,0)-MATCH($G$2,mission_ACH!$2:$2,0)+1),MATCH(J$2,mission_ACH!$2:$2,0)-MATCH($G$2,mission_ACH!$2:$2,0)+1,FALSE)</f>
        <v>1</v>
      </c>
      <c r="K130" s="121" t="str">
        <f ca="1">IF(I130="unit",VLOOKUP($G130,OFFSET(mission_ACH!$A$2,0,0,COUNTA($A:$A),MATCH(K$2,mission_ACH!$2:$2,0)-MATCH($G$2,mission_ACH!$2:$2,0)+1),MATCH(K$2,mission_ACH!$2:$2,0)-MATCH($G$2,mission_ACH!$2:$2,0)+1,FALSE),"")</f>
        <v/>
      </c>
      <c r="L130" s="121">
        <f ca="1">VLOOKUP($G130,OFFSET(mission_ACH!$A$2,0,0,COUNTA($A:$A),MATCH(L$2,mission_ACH!$2:$2,0)-MATCH($G$2,mission_ACH!$2:$2,0)+1),MATCH(L$2,mission_ACH!$2:$2,0)-MATCH($G$2,mission_ACH!$2:$2,0)+1,FALSE)</f>
        <v>0</v>
      </c>
      <c r="M130" s="120">
        <v>60</v>
      </c>
      <c r="N130" s="120" t="s">
        <v>2275</v>
      </c>
      <c r="O130" s="120" t="s">
        <v>2275</v>
      </c>
    </row>
    <row r="131" spans="1:15" s="123" customFormat="1" ht="21" customHeight="1" x14ac:dyDescent="0.15">
      <c r="A131" s="120">
        <v>2017</v>
      </c>
      <c r="B131" s="120" t="str">
        <f t="shared" ca="1" si="61"/>
        <v>クエスト 【17-5. 水面に映る月閃】 をクリアしよう！</v>
      </c>
      <c r="C131" s="120" t="s">
        <v>347</v>
      </c>
      <c r="D131" s="121" t="str">
        <f ca="1">VLOOKUP($C131,OFFSET(mission_unlock_criteria!$A$2,0,0,COUNTA(mission_unlock_criteria!$A:$A),MATCH(D$2,mission_unlock_criteria!$2:$2,0)-MATCH($C$2,mission_unlock_criteria!$2:$2,0)+1),MATCH(D$2,mission_unlock_criteria!$2:$2,0)-MATCH($C$2,mission_unlock_criteria!$2:$2,0)+1,FALSE)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【16-5. プディングに狂気を添えて】 をクリア</v>
      </c>
      <c r="E131" s="136" t="s">
        <v>347</v>
      </c>
      <c r="F131" s="121" t="str">
        <f ca="1">VLOOKUP($E131,OFFSET(mission_ACH_criteria!$A$1,0,0,COUNTA(mission_ACH_criteria!$A:$A),MATCH(F$2,mission_ACH_criteria!$1:$1,0)-MATCH($E$2,mission_ACH_criteria!$1:$1,0)+1),MATCH(F$2,mission_ACH_criteria!$1:$1,0)-MATCH($E$2,mission_ACH_criteria!$1:$1,0)+1,FALSE)</f>
        <v>クエスト 【17-5. 水面に映る月閃】 をクリアしよう！</v>
      </c>
      <c r="G131" s="120" t="s">
        <v>233</v>
      </c>
      <c r="H131" s="121" t="str">
        <f t="shared" ca="1" si="62"/>
        <v>ポリゴン x 1</v>
      </c>
      <c r="I131" s="121" t="str">
        <f ca="1">VLOOKUP($G131,OFFSET(mission_ACH!$A$2,0,0,COUNTA($A:$A),MATCH(I$2,mission_ACH!$2:$2,0)-MATCH($G$2,mission_ACH!$2:$2,0)+1),MATCH(I$2,mission_ACH!$2:$2,0)-MATCH($G$2,mission_ACH!$2:$2,0)+1,FALSE)</f>
        <v>polygon</v>
      </c>
      <c r="J131" s="121">
        <f ca="1">VLOOKUP($G131,OFFSET(mission_ACH!$A$2,0,0,COUNTA($A:$A),MATCH(J$2,mission_ACH!$2:$2,0)-MATCH($G$2,mission_ACH!$2:$2,0)+1),MATCH(J$2,mission_ACH!$2:$2,0)-MATCH($G$2,mission_ACH!$2:$2,0)+1,FALSE)</f>
        <v>1</v>
      </c>
      <c r="K131" s="121" t="str">
        <f ca="1">IF(I131="unit",VLOOKUP($G131,OFFSET(mission_ACH!$A$2,0,0,COUNTA($A:$A),MATCH(K$2,mission_ACH!$2:$2,0)-MATCH($G$2,mission_ACH!$2:$2,0)+1),MATCH(K$2,mission_ACH!$2:$2,0)-MATCH($G$2,mission_ACH!$2:$2,0)+1,FALSE),"")</f>
        <v/>
      </c>
      <c r="L131" s="121">
        <f ca="1">VLOOKUP($G131,OFFSET(mission_ACH!$A$2,0,0,COUNTA($A:$A),MATCH(L$2,mission_ACH!$2:$2,0)-MATCH($G$2,mission_ACH!$2:$2,0)+1),MATCH(L$2,mission_ACH!$2:$2,0)-MATCH($G$2,mission_ACH!$2:$2,0)+1,FALSE)</f>
        <v>0</v>
      </c>
      <c r="M131" s="120">
        <v>60</v>
      </c>
      <c r="N131" s="120" t="s">
        <v>2275</v>
      </c>
      <c r="O131" s="120" t="s">
        <v>2275</v>
      </c>
    </row>
    <row r="132" spans="1:15" s="123" customFormat="1" ht="21" customHeight="1" x14ac:dyDescent="0.15">
      <c r="A132" s="120">
        <v>2018</v>
      </c>
      <c r="B132" s="120" t="str">
        <f t="shared" ca="1" si="61"/>
        <v>クエスト 【18-5. 解き放たれし焔神】 をクリアしよう！</v>
      </c>
      <c r="C132" s="120" t="s">
        <v>348</v>
      </c>
      <c r="D132" s="121" t="str">
        <f ca="1">VLOOKUP($C132,OFFSET(mission_unlock_criteria!$A$2,0,0,COUNTA(mission_unlock_criteria!$A:$A),MATCH(D$2,mission_unlock_criteria!$2:$2,0)-MATCH($C$2,mission_unlock_criteria!$2:$2,0)+1),MATCH(D$2,mission_unlock_criteria!$2:$2,0)-MATCH($C$2,mission_unlock_criteria!$2:$2,0)+1,FALSE)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【17-5. 水面に映る月閃】 をクリア</v>
      </c>
      <c r="E132" s="136" t="s">
        <v>348</v>
      </c>
      <c r="F132" s="121" t="str">
        <f ca="1">VLOOKUP($E132,OFFSET(mission_ACH_criteria!$A$1,0,0,COUNTA(mission_ACH_criteria!$A:$A),MATCH(F$2,mission_ACH_criteria!$1:$1,0)-MATCH($E$2,mission_ACH_criteria!$1:$1,0)+1),MATCH(F$2,mission_ACH_criteria!$1:$1,0)-MATCH($E$2,mission_ACH_criteria!$1:$1,0)+1,FALSE)</f>
        <v>クエスト 【18-5. 解き放たれし焔神】 をクリアしよう！</v>
      </c>
      <c r="G132" s="120" t="s">
        <v>233</v>
      </c>
      <c r="H132" s="121" t="str">
        <f t="shared" ca="1" si="62"/>
        <v>ポリゴン x 1</v>
      </c>
      <c r="I132" s="121" t="str">
        <f ca="1">VLOOKUP($G132,OFFSET(mission_ACH!$A$2,0,0,COUNTA($A:$A),MATCH(I$2,mission_ACH!$2:$2,0)-MATCH($G$2,mission_ACH!$2:$2,0)+1),MATCH(I$2,mission_ACH!$2:$2,0)-MATCH($G$2,mission_ACH!$2:$2,0)+1,FALSE)</f>
        <v>polygon</v>
      </c>
      <c r="J132" s="121">
        <f ca="1">VLOOKUP($G132,OFFSET(mission_ACH!$A$2,0,0,COUNTA($A:$A),MATCH(J$2,mission_ACH!$2:$2,0)-MATCH($G$2,mission_ACH!$2:$2,0)+1),MATCH(J$2,mission_ACH!$2:$2,0)-MATCH($G$2,mission_ACH!$2:$2,0)+1,FALSE)</f>
        <v>1</v>
      </c>
      <c r="K132" s="121" t="str">
        <f ca="1">IF(I132="unit",VLOOKUP($G132,OFFSET(mission_ACH!$A$2,0,0,COUNTA($A:$A),MATCH(K$2,mission_ACH!$2:$2,0)-MATCH($G$2,mission_ACH!$2:$2,0)+1),MATCH(K$2,mission_ACH!$2:$2,0)-MATCH($G$2,mission_ACH!$2:$2,0)+1,FALSE),"")</f>
        <v/>
      </c>
      <c r="L132" s="121">
        <f ca="1">VLOOKUP($G132,OFFSET(mission_ACH!$A$2,0,0,COUNTA($A:$A),MATCH(L$2,mission_ACH!$2:$2,0)-MATCH($G$2,mission_ACH!$2:$2,0)+1),MATCH(L$2,mission_ACH!$2:$2,0)-MATCH($G$2,mission_ACH!$2:$2,0)+1,FALSE)</f>
        <v>0</v>
      </c>
      <c r="M132" s="120">
        <v>60</v>
      </c>
      <c r="N132" s="120" t="s">
        <v>2275</v>
      </c>
      <c r="O132" s="120" t="s">
        <v>2275</v>
      </c>
    </row>
    <row r="133" spans="1:15" s="123" customFormat="1" ht="21" customHeight="1" x14ac:dyDescent="0.15">
      <c r="A133" s="120">
        <v>2019</v>
      </c>
      <c r="B133" s="120" t="str">
        <f t="shared" ca="1" si="61"/>
        <v>クエスト 【19-5. 庭園主の包囲網】 をクリアしよう！</v>
      </c>
      <c r="C133" s="120" t="s">
        <v>349</v>
      </c>
      <c r="D133" s="121" t="str">
        <f ca="1">VLOOKUP($C133,OFFSET(mission_unlock_criteria!$A$2,0,0,COUNTA(mission_unlock_criteria!$A:$A),MATCH(D$2,mission_unlock_criteria!$2:$2,0)-MATCH($C$2,mission_unlock_criteria!$2:$2,0)+1),MATCH(D$2,mission_unlock_criteria!$2:$2,0)-MATCH($C$2,mission_unlock_criteria!$2:$2,0)+1,FALSE)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【18-5. 解き放たれし焔神】 をクリア</v>
      </c>
      <c r="E133" s="136" t="s">
        <v>349</v>
      </c>
      <c r="F133" s="121" t="str">
        <f ca="1">VLOOKUP($E133,OFFSET(mission_ACH_criteria!$A$1,0,0,COUNTA(mission_ACH_criteria!$A:$A),MATCH(F$2,mission_ACH_criteria!$1:$1,0)-MATCH($E$2,mission_ACH_criteria!$1:$1,0)+1),MATCH(F$2,mission_ACH_criteria!$1:$1,0)-MATCH($E$2,mission_ACH_criteria!$1:$1,0)+1,FALSE)</f>
        <v>クエスト 【19-5. 庭園主の包囲網】 をクリアしよう！</v>
      </c>
      <c r="G133" s="120" t="s">
        <v>233</v>
      </c>
      <c r="H133" s="121" t="str">
        <f t="shared" ca="1" si="62"/>
        <v>ポリゴン x 1</v>
      </c>
      <c r="I133" s="121" t="str">
        <f ca="1">VLOOKUP($G133,OFFSET(mission_ACH!$A$2,0,0,COUNTA($A:$A),MATCH(I$2,mission_ACH!$2:$2,0)-MATCH($G$2,mission_ACH!$2:$2,0)+1),MATCH(I$2,mission_ACH!$2:$2,0)-MATCH($G$2,mission_ACH!$2:$2,0)+1,FALSE)</f>
        <v>polygon</v>
      </c>
      <c r="J133" s="121">
        <f ca="1">VLOOKUP($G133,OFFSET(mission_ACH!$A$2,0,0,COUNTA($A:$A),MATCH(J$2,mission_ACH!$2:$2,0)-MATCH($G$2,mission_ACH!$2:$2,0)+1),MATCH(J$2,mission_ACH!$2:$2,0)-MATCH($G$2,mission_ACH!$2:$2,0)+1,FALSE)</f>
        <v>1</v>
      </c>
      <c r="K133" s="121" t="str">
        <f ca="1">IF(I133="unit",VLOOKUP($G133,OFFSET(mission_ACH!$A$2,0,0,COUNTA($A:$A),MATCH(K$2,mission_ACH!$2:$2,0)-MATCH($G$2,mission_ACH!$2:$2,0)+1),MATCH(K$2,mission_ACH!$2:$2,0)-MATCH($G$2,mission_ACH!$2:$2,0)+1,FALSE),"")</f>
        <v/>
      </c>
      <c r="L133" s="121">
        <f ca="1">VLOOKUP($G133,OFFSET(mission_ACH!$A$2,0,0,COUNTA($A:$A),MATCH(L$2,mission_ACH!$2:$2,0)-MATCH($G$2,mission_ACH!$2:$2,0)+1),MATCH(L$2,mission_ACH!$2:$2,0)-MATCH($G$2,mission_ACH!$2:$2,0)+1,FALSE)</f>
        <v>0</v>
      </c>
      <c r="M133" s="120">
        <v>60</v>
      </c>
      <c r="N133" s="120" t="s">
        <v>2275</v>
      </c>
      <c r="O133" s="120" t="s">
        <v>2275</v>
      </c>
    </row>
    <row r="134" spans="1:15" s="123" customFormat="1" ht="21" customHeight="1" x14ac:dyDescent="0.15">
      <c r="A134" s="120">
        <v>2020</v>
      </c>
      <c r="B134" s="120" t="str">
        <f t="shared" ca="1" si="61"/>
        <v>クエスト 【20-5. 空から降る数多の星】 をクリアしよう！</v>
      </c>
      <c r="C134" s="120" t="s">
        <v>350</v>
      </c>
      <c r="D134" s="121" t="str">
        <f ca="1">VLOOKUP($C134,OFFSET(mission_unlock_criteria!$A$2,0,0,COUNTA(mission_unlock_criteria!$A:$A),MATCH(D$2,mission_unlock_criteria!$2:$2,0)-MATCH($C$2,mission_unlock_criteria!$2:$2,0)+1),MATCH(D$2,mission_unlock_criteria!$2:$2,0)-MATCH($C$2,mission_unlock_criteria!$2:$2,0)+1,FALSE)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【19-5. 庭園主の包囲網】 をクリア</v>
      </c>
      <c r="E134" s="136" t="s">
        <v>350</v>
      </c>
      <c r="F134" s="121" t="str">
        <f ca="1">VLOOKUP($E134,OFFSET(mission_ACH_criteria!$A$1,0,0,COUNTA(mission_ACH_criteria!$A:$A),MATCH(F$2,mission_ACH_criteria!$1:$1,0)-MATCH($E$2,mission_ACH_criteria!$1:$1,0)+1),MATCH(F$2,mission_ACH_criteria!$1:$1,0)-MATCH($E$2,mission_ACH_criteria!$1:$1,0)+1,FALSE)</f>
        <v>クエスト 【20-5. 空から降る数多の星】 をクリアしよう！</v>
      </c>
      <c r="G134" s="120" t="s">
        <v>233</v>
      </c>
      <c r="H134" s="121" t="str">
        <f t="shared" ca="1" si="62"/>
        <v>ポリゴン x 1</v>
      </c>
      <c r="I134" s="121" t="str">
        <f ca="1">VLOOKUP($G134,OFFSET(mission_ACH!$A$2,0,0,COUNTA($A:$A),MATCH(I$2,mission_ACH!$2:$2,0)-MATCH($G$2,mission_ACH!$2:$2,0)+1),MATCH(I$2,mission_ACH!$2:$2,0)-MATCH($G$2,mission_ACH!$2:$2,0)+1,FALSE)</f>
        <v>polygon</v>
      </c>
      <c r="J134" s="121">
        <f ca="1">VLOOKUP($G134,OFFSET(mission_ACH!$A$2,0,0,COUNTA($A:$A),MATCH(J$2,mission_ACH!$2:$2,0)-MATCH($G$2,mission_ACH!$2:$2,0)+1),MATCH(J$2,mission_ACH!$2:$2,0)-MATCH($G$2,mission_ACH!$2:$2,0)+1,FALSE)</f>
        <v>1</v>
      </c>
      <c r="K134" s="121" t="str">
        <f ca="1">IF(I134="unit",VLOOKUP($G134,OFFSET(mission_ACH!$A$2,0,0,COUNTA($A:$A),MATCH(K$2,mission_ACH!$2:$2,0)-MATCH($G$2,mission_ACH!$2:$2,0)+1),MATCH(K$2,mission_ACH!$2:$2,0)-MATCH($G$2,mission_ACH!$2:$2,0)+1,FALSE),"")</f>
        <v/>
      </c>
      <c r="L134" s="121">
        <f ca="1">VLOOKUP($G134,OFFSET(mission_ACH!$A$2,0,0,COUNTA($A:$A),MATCH(L$2,mission_ACH!$2:$2,0)-MATCH($G$2,mission_ACH!$2:$2,0)+1),MATCH(L$2,mission_ACH!$2:$2,0)-MATCH($G$2,mission_ACH!$2:$2,0)+1,FALSE)</f>
        <v>0</v>
      </c>
      <c r="M134" s="120">
        <v>60</v>
      </c>
      <c r="N134" s="120" t="s">
        <v>2275</v>
      </c>
      <c r="O134" s="120" t="s">
        <v>2275</v>
      </c>
    </row>
    <row r="135" spans="1:15" s="123" customFormat="1" ht="21" customHeight="1" x14ac:dyDescent="0.15">
      <c r="A135" s="120">
        <v>2021</v>
      </c>
      <c r="B135" s="120" t="str">
        <f t="shared" ca="1" si="61"/>
        <v>クエスト 【21-5. マスターオブエデン】 をクリアしよう！</v>
      </c>
      <c r="C135" s="120" t="s">
        <v>351</v>
      </c>
      <c r="D135" s="121" t="str">
        <f ca="1">VLOOKUP($C135,OFFSET(mission_unlock_criteria!$A$2,0,0,COUNTA(mission_unlock_criteria!$A:$A),MATCH(D$2,mission_unlock_criteria!$2:$2,0)-MATCH($C$2,mission_unlock_criteria!$2:$2,0)+1),MATCH(D$2,mission_unlock_criteria!$2:$2,0)-MATCH($C$2,mission_unlock_criteria!$2:$2,0)+1,FALSE)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【20-5. 空から降る数多の星】 をクリア</v>
      </c>
      <c r="E135" s="136" t="s">
        <v>351</v>
      </c>
      <c r="F135" s="121" t="str">
        <f ca="1">VLOOKUP($E135,OFFSET(mission_ACH_criteria!$A$1,0,0,COUNTA(mission_ACH_criteria!$A:$A),MATCH(F$2,mission_ACH_criteria!$1:$1,0)-MATCH($E$2,mission_ACH_criteria!$1:$1,0)+1),MATCH(F$2,mission_ACH_criteria!$1:$1,0)-MATCH($E$2,mission_ACH_criteria!$1:$1,0)+1,FALSE)</f>
        <v>クエスト 【21-5. マスターオブエデン】 をクリアしよう！</v>
      </c>
      <c r="G135" s="120" t="s">
        <v>236</v>
      </c>
      <c r="H135" s="121" t="str">
        <f t="shared" ca="1" si="62"/>
        <v>ポリゴン x 10</v>
      </c>
      <c r="I135" s="121" t="str">
        <f ca="1">VLOOKUP($G135,OFFSET(mission_ACH!$A$2,0,0,COUNTA($A:$A),MATCH(I$2,mission_ACH!$2:$2,0)-MATCH($G$2,mission_ACH!$2:$2,0)+1),MATCH(I$2,mission_ACH!$2:$2,0)-MATCH($G$2,mission_ACH!$2:$2,0)+1,FALSE)</f>
        <v>polygon</v>
      </c>
      <c r="J135" s="121">
        <f ca="1">VLOOKUP($G135,OFFSET(mission_ACH!$A$2,0,0,COUNTA($A:$A),MATCH(J$2,mission_ACH!$2:$2,0)-MATCH($G$2,mission_ACH!$2:$2,0)+1),MATCH(J$2,mission_ACH!$2:$2,0)-MATCH($G$2,mission_ACH!$2:$2,0)+1,FALSE)</f>
        <v>10</v>
      </c>
      <c r="K135" s="121" t="str">
        <f ca="1">IF(I135="unit",VLOOKUP($G135,OFFSET(mission_ACH!$A$2,0,0,COUNTA($A:$A),MATCH(K$2,mission_ACH!$2:$2,0)-MATCH($G$2,mission_ACH!$2:$2,0)+1),MATCH(K$2,mission_ACH!$2:$2,0)-MATCH($G$2,mission_ACH!$2:$2,0)+1,FALSE),"")</f>
        <v/>
      </c>
      <c r="L135" s="121">
        <f ca="1">VLOOKUP($G135,OFFSET(mission_ACH!$A$2,0,0,COUNTA($A:$A),MATCH(L$2,mission_ACH!$2:$2,0)-MATCH($G$2,mission_ACH!$2:$2,0)+1),MATCH(L$2,mission_ACH!$2:$2,0)-MATCH($G$2,mission_ACH!$2:$2,0)+1,FALSE)</f>
        <v>0</v>
      </c>
      <c r="M135" s="120">
        <v>60</v>
      </c>
      <c r="N135" s="120" t="s">
        <v>2275</v>
      </c>
      <c r="O135" s="120" t="s">
        <v>2275</v>
      </c>
    </row>
    <row r="136" spans="1:15" s="123" customFormat="1" ht="21" customHeight="1" x14ac:dyDescent="0.15">
      <c r="A136" s="120">
        <v>2022</v>
      </c>
      <c r="B136" s="120" t="str">
        <f t="shared" ref="B136:B140" ca="1" si="65">F136</f>
        <v>クエスト 【22-5．真宴の月光】 をクリアしよう！</v>
      </c>
      <c r="C136" s="120" t="s">
        <v>739</v>
      </c>
      <c r="D136" s="121" t="str">
        <f ca="1">VLOOKUP($C136,OFFSET(mission_unlock_criteria!$A$2,0,0,COUNTA(mission_unlock_criteria!$A:$A),MATCH(D$2,mission_unlock_criteria!$2:$2,0)-MATCH($C$2,mission_unlock_criteria!$2:$2,0)+1),MATCH(D$2,mission_unlock_criteria!$2:$2,0)-MATCH($C$2,mission_unlock_criteria!$2:$2,0)+1,FALSE)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【21-5. マスターオブエデン】 をクリア</v>
      </c>
      <c r="E136" s="136" t="s">
        <v>739</v>
      </c>
      <c r="F136" s="121" t="str">
        <f ca="1">VLOOKUP($E136,OFFSET(mission_ACH_criteria!$A$1,0,0,COUNTA(mission_ACH_criteria!$A:$A),MATCH(F$2,mission_ACH_criteria!$1:$1,0)-MATCH($E$2,mission_ACH_criteria!$1:$1,0)+1),MATCH(F$2,mission_ACH_criteria!$1:$1,0)-MATCH($E$2,mission_ACH_criteria!$1:$1,0)+1,FALSE)</f>
        <v>クエスト 【22-5．真宴の月光】 をクリアしよう！</v>
      </c>
      <c r="G136" s="120" t="s">
        <v>233</v>
      </c>
      <c r="H136" s="121" t="str">
        <f t="shared" ref="H136:H140" ca="1" si="66">IF(I136="unit",K136&amp;" x "&amp;L136,IF(I136="polygon","ポリゴン x "&amp;J136,IF(I136="bit","ビット x "&amp;J136,IF(I136="link","リンク x "&amp;J136))))</f>
        <v>ポリゴン x 1</v>
      </c>
      <c r="I136" s="121" t="str">
        <f ca="1">VLOOKUP($G136,OFFSET(mission_ACH!$A$2,0,0,COUNTA($A:$A),MATCH(I$2,mission_ACH!$2:$2,0)-MATCH($G$2,mission_ACH!$2:$2,0)+1),MATCH(I$2,mission_ACH!$2:$2,0)-MATCH($G$2,mission_ACH!$2:$2,0)+1,FALSE)</f>
        <v>polygon</v>
      </c>
      <c r="J136" s="121">
        <f ca="1">VLOOKUP($G136,OFFSET(mission_ACH!$A$2,0,0,COUNTA($A:$A),MATCH(J$2,mission_ACH!$2:$2,0)-MATCH($G$2,mission_ACH!$2:$2,0)+1),MATCH(J$2,mission_ACH!$2:$2,0)-MATCH($G$2,mission_ACH!$2:$2,0)+1,FALSE)</f>
        <v>1</v>
      </c>
      <c r="K136" s="121" t="str">
        <f ca="1">IF(I136="unit",VLOOKUP($G136,OFFSET(mission_ACH!$A$2,0,0,COUNTA($A:$A),MATCH(K$2,mission_ACH!$2:$2,0)-MATCH($G$2,mission_ACH!$2:$2,0)+1),MATCH(K$2,mission_ACH!$2:$2,0)-MATCH($G$2,mission_ACH!$2:$2,0)+1,FALSE),"")</f>
        <v/>
      </c>
      <c r="L136" s="121">
        <f ca="1">VLOOKUP($G136,OFFSET(mission_ACH!$A$2,0,0,COUNTA($A:$A),MATCH(L$2,mission_ACH!$2:$2,0)-MATCH($G$2,mission_ACH!$2:$2,0)+1),MATCH(L$2,mission_ACH!$2:$2,0)-MATCH($G$2,mission_ACH!$2:$2,0)+1,FALSE)</f>
        <v>0</v>
      </c>
      <c r="M136" s="120">
        <v>60</v>
      </c>
      <c r="N136" s="120" t="s">
        <v>2275</v>
      </c>
      <c r="O136" s="120" t="s">
        <v>2275</v>
      </c>
    </row>
    <row r="137" spans="1:15" s="123" customFormat="1" ht="21" customHeight="1" x14ac:dyDescent="0.15">
      <c r="A137" s="120">
        <v>2023</v>
      </c>
      <c r="B137" s="120" t="str">
        <f t="shared" ca="1" si="65"/>
        <v>クエスト 【23-5．目醒めの子どもたち】 をクリアしよう！</v>
      </c>
      <c r="C137" s="120" t="s">
        <v>740</v>
      </c>
      <c r="D137" s="121" t="str">
        <f ca="1">VLOOKUP($C137,OFFSET(mission_unlock_criteria!$A$2,0,0,COUNTA(mission_unlock_criteria!$A:$A),MATCH(D$2,mission_unlock_criteria!$2:$2,0)-MATCH($C$2,mission_unlock_criteria!$2:$2,0)+1),MATCH(D$2,mission_unlock_criteria!$2:$2,0)-MATCH($C$2,mission_unlock_criteria!$2:$2,0)+1,FALSE)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【22-5．真宴の月光】 をクリア</v>
      </c>
      <c r="E137" s="136" t="s">
        <v>740</v>
      </c>
      <c r="F137" s="121" t="str">
        <f ca="1">VLOOKUP($E137,OFFSET(mission_ACH_criteria!$A$1,0,0,COUNTA(mission_ACH_criteria!$A:$A),MATCH(F$2,mission_ACH_criteria!$1:$1,0)-MATCH($E$2,mission_ACH_criteria!$1:$1,0)+1),MATCH(F$2,mission_ACH_criteria!$1:$1,0)-MATCH($E$2,mission_ACH_criteria!$1:$1,0)+1,FALSE)</f>
        <v>クエスト 【23-5．目醒めの子どもたち】 をクリアしよう！</v>
      </c>
      <c r="G137" s="120" t="s">
        <v>233</v>
      </c>
      <c r="H137" s="121" t="str">
        <f t="shared" ca="1" si="66"/>
        <v>ポリゴン x 1</v>
      </c>
      <c r="I137" s="121" t="str">
        <f ca="1">VLOOKUP($G137,OFFSET(mission_ACH!$A$2,0,0,COUNTA($A:$A),MATCH(I$2,mission_ACH!$2:$2,0)-MATCH($G$2,mission_ACH!$2:$2,0)+1),MATCH(I$2,mission_ACH!$2:$2,0)-MATCH($G$2,mission_ACH!$2:$2,0)+1,FALSE)</f>
        <v>polygon</v>
      </c>
      <c r="J137" s="121">
        <f ca="1">VLOOKUP($G137,OFFSET(mission_ACH!$A$2,0,0,COUNTA($A:$A),MATCH(J$2,mission_ACH!$2:$2,0)-MATCH($G$2,mission_ACH!$2:$2,0)+1),MATCH(J$2,mission_ACH!$2:$2,0)-MATCH($G$2,mission_ACH!$2:$2,0)+1,FALSE)</f>
        <v>1</v>
      </c>
      <c r="K137" s="121" t="str">
        <f ca="1">IF(I137="unit",VLOOKUP($G137,OFFSET(mission_ACH!$A$2,0,0,COUNTA($A:$A),MATCH(K$2,mission_ACH!$2:$2,0)-MATCH($G$2,mission_ACH!$2:$2,0)+1),MATCH(K$2,mission_ACH!$2:$2,0)-MATCH($G$2,mission_ACH!$2:$2,0)+1,FALSE),"")</f>
        <v/>
      </c>
      <c r="L137" s="121">
        <f ca="1">VLOOKUP($G137,OFFSET(mission_ACH!$A$2,0,0,COUNTA($A:$A),MATCH(L$2,mission_ACH!$2:$2,0)-MATCH($G$2,mission_ACH!$2:$2,0)+1),MATCH(L$2,mission_ACH!$2:$2,0)-MATCH($G$2,mission_ACH!$2:$2,0)+1,FALSE)</f>
        <v>0</v>
      </c>
      <c r="M137" s="120">
        <v>60</v>
      </c>
      <c r="N137" s="120" t="s">
        <v>2275</v>
      </c>
      <c r="O137" s="120" t="s">
        <v>2275</v>
      </c>
    </row>
    <row r="138" spans="1:15" s="123" customFormat="1" ht="21" customHeight="1" x14ac:dyDescent="0.15">
      <c r="A138" s="120">
        <v>2024</v>
      </c>
      <c r="B138" s="120" t="str">
        <f t="shared" ca="1" si="65"/>
        <v>クエスト 【24-5．決戦のヘヴン】 をクリアしよう！</v>
      </c>
      <c r="C138" s="120" t="s">
        <v>741</v>
      </c>
      <c r="D138" s="121" t="str">
        <f ca="1">VLOOKUP($C138,OFFSET(mission_unlock_criteria!$A$2,0,0,COUNTA(mission_unlock_criteria!$A:$A),MATCH(D$2,mission_unlock_criteria!$2:$2,0)-MATCH($C$2,mission_unlock_criteria!$2:$2,0)+1),MATCH(D$2,mission_unlock_criteria!$2:$2,0)-MATCH($C$2,mission_unlock_criteria!$2:$2,0)+1,FALSE)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【24-3．武器を花に変えて】 をクリア</v>
      </c>
      <c r="E138" s="136" t="s">
        <v>741</v>
      </c>
      <c r="F138" s="121" t="str">
        <f ca="1">VLOOKUP($E138,OFFSET(mission_ACH_criteria!$A$1,0,0,COUNTA(mission_ACH_criteria!$A:$A),MATCH(F$2,mission_ACH_criteria!$1:$1,0)-MATCH($E$2,mission_ACH_criteria!$1:$1,0)+1),MATCH(F$2,mission_ACH_criteria!$1:$1,0)-MATCH($E$2,mission_ACH_criteria!$1:$1,0)+1,FALSE)</f>
        <v>クエスト 【24-5．決戦のヘヴン】 をクリアしよう！</v>
      </c>
      <c r="G138" s="120" t="s">
        <v>233</v>
      </c>
      <c r="H138" s="121" t="str">
        <f t="shared" ca="1" si="66"/>
        <v>ポリゴン x 1</v>
      </c>
      <c r="I138" s="121" t="str">
        <f ca="1">VLOOKUP($G138,OFFSET(mission_ACH!$A$2,0,0,COUNTA($A:$A),MATCH(I$2,mission_ACH!$2:$2,0)-MATCH($G$2,mission_ACH!$2:$2,0)+1),MATCH(I$2,mission_ACH!$2:$2,0)-MATCH($G$2,mission_ACH!$2:$2,0)+1,FALSE)</f>
        <v>polygon</v>
      </c>
      <c r="J138" s="121">
        <f ca="1">VLOOKUP($G138,OFFSET(mission_ACH!$A$2,0,0,COUNTA($A:$A),MATCH(J$2,mission_ACH!$2:$2,0)-MATCH($G$2,mission_ACH!$2:$2,0)+1),MATCH(J$2,mission_ACH!$2:$2,0)-MATCH($G$2,mission_ACH!$2:$2,0)+1,FALSE)</f>
        <v>1</v>
      </c>
      <c r="K138" s="121" t="str">
        <f ca="1">IF(I138="unit",VLOOKUP($G138,OFFSET(mission_ACH!$A$2,0,0,COUNTA($A:$A),MATCH(K$2,mission_ACH!$2:$2,0)-MATCH($G$2,mission_ACH!$2:$2,0)+1),MATCH(K$2,mission_ACH!$2:$2,0)-MATCH($G$2,mission_ACH!$2:$2,0)+1,FALSE),"")</f>
        <v/>
      </c>
      <c r="L138" s="121">
        <f ca="1">VLOOKUP($G138,OFFSET(mission_ACH!$A$2,0,0,COUNTA($A:$A),MATCH(L$2,mission_ACH!$2:$2,0)-MATCH($G$2,mission_ACH!$2:$2,0)+1),MATCH(L$2,mission_ACH!$2:$2,0)-MATCH($G$2,mission_ACH!$2:$2,0)+1,FALSE)</f>
        <v>0</v>
      </c>
      <c r="M138" s="120">
        <v>60</v>
      </c>
      <c r="N138" s="120" t="s">
        <v>2275</v>
      </c>
      <c r="O138" s="120" t="s">
        <v>2275</v>
      </c>
    </row>
    <row r="139" spans="1:15" s="123" customFormat="1" ht="21" customHeight="1" x14ac:dyDescent="0.15">
      <c r="A139" s="120">
        <v>2025</v>
      </c>
      <c r="B139" s="120" t="str">
        <f t="shared" ca="1" si="65"/>
        <v>クエスト 【25-5．君はサディスティック】 をクリアしよう！</v>
      </c>
      <c r="C139" s="120" t="s">
        <v>742</v>
      </c>
      <c r="D139" s="121" t="str">
        <f ca="1">VLOOKUP($C139,OFFSET(mission_unlock_criteria!$A$2,0,0,COUNTA(mission_unlock_criteria!$A:$A),MATCH(D$2,mission_unlock_criteria!$2:$2,0)-MATCH($C$2,mission_unlock_criteria!$2:$2,0)+1),MATCH(D$2,mission_unlock_criteria!$2:$2,0)-MATCH($C$2,mission_unlock_criteria!$2:$2,0)+1,FALSE)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【25-3．暗闇との対話】 をクリア</v>
      </c>
      <c r="E139" s="136" t="s">
        <v>742</v>
      </c>
      <c r="F139" s="121" t="str">
        <f ca="1">VLOOKUP($E139,OFFSET(mission_ACH_criteria!$A$1,0,0,COUNTA(mission_ACH_criteria!$A:$A),MATCH(F$2,mission_ACH_criteria!$1:$1,0)-MATCH($E$2,mission_ACH_criteria!$1:$1,0)+1),MATCH(F$2,mission_ACH_criteria!$1:$1,0)-MATCH($E$2,mission_ACH_criteria!$1:$1,0)+1,FALSE)</f>
        <v>クエスト 【25-5．君はサディスティック】 をクリアしよう！</v>
      </c>
      <c r="G139" s="120" t="s">
        <v>233</v>
      </c>
      <c r="H139" s="121" t="str">
        <f t="shared" ca="1" si="66"/>
        <v>ポリゴン x 1</v>
      </c>
      <c r="I139" s="121" t="str">
        <f ca="1">VLOOKUP($G139,OFFSET(mission_ACH!$A$2,0,0,COUNTA($A:$A),MATCH(I$2,mission_ACH!$2:$2,0)-MATCH($G$2,mission_ACH!$2:$2,0)+1),MATCH(I$2,mission_ACH!$2:$2,0)-MATCH($G$2,mission_ACH!$2:$2,0)+1,FALSE)</f>
        <v>polygon</v>
      </c>
      <c r="J139" s="121">
        <f ca="1">VLOOKUP($G139,OFFSET(mission_ACH!$A$2,0,0,COUNTA($A:$A),MATCH(J$2,mission_ACH!$2:$2,0)-MATCH($G$2,mission_ACH!$2:$2,0)+1),MATCH(J$2,mission_ACH!$2:$2,0)-MATCH($G$2,mission_ACH!$2:$2,0)+1,FALSE)</f>
        <v>1</v>
      </c>
      <c r="K139" s="121" t="str">
        <f ca="1">IF(I139="unit",VLOOKUP($G139,OFFSET(mission_ACH!$A$2,0,0,COUNTA($A:$A),MATCH(K$2,mission_ACH!$2:$2,0)-MATCH($G$2,mission_ACH!$2:$2,0)+1),MATCH(K$2,mission_ACH!$2:$2,0)-MATCH($G$2,mission_ACH!$2:$2,0)+1,FALSE),"")</f>
        <v/>
      </c>
      <c r="L139" s="121">
        <f ca="1">VLOOKUP($G139,OFFSET(mission_ACH!$A$2,0,0,COUNTA($A:$A),MATCH(L$2,mission_ACH!$2:$2,0)-MATCH($G$2,mission_ACH!$2:$2,0)+1),MATCH(L$2,mission_ACH!$2:$2,0)-MATCH($G$2,mission_ACH!$2:$2,0)+1,FALSE)</f>
        <v>0</v>
      </c>
      <c r="M139" s="120">
        <v>60</v>
      </c>
      <c r="N139" s="120" t="s">
        <v>2275</v>
      </c>
      <c r="O139" s="120" t="s">
        <v>2275</v>
      </c>
    </row>
    <row r="140" spans="1:15" s="123" customFormat="1" ht="21" customHeight="1" x14ac:dyDescent="0.15">
      <c r="A140" s="120">
        <v>2026</v>
      </c>
      <c r="B140" s="120" t="str">
        <f t="shared" ca="1" si="65"/>
        <v>クエスト 【26-5．踊る強奪者】 をクリアしよう！</v>
      </c>
      <c r="C140" s="120" t="s">
        <v>743</v>
      </c>
      <c r="D140" s="121" t="str">
        <f ca="1">VLOOKUP($C140,OFFSET(mission_unlock_criteria!$A$2,0,0,COUNTA(mission_unlock_criteria!$A:$A),MATCH(D$2,mission_unlock_criteria!$2:$2,0)-MATCH($C$2,mission_unlock_criteria!$2:$2,0)+1),MATCH(D$2,mission_unlock_criteria!$2:$2,0)-MATCH($C$2,mission_unlock_criteria!$2:$2,0)+1,FALSE)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【26-3．荒ぶる電飾】 をクリア</v>
      </c>
      <c r="E140" s="136" t="s">
        <v>743</v>
      </c>
      <c r="F140" s="121" t="str">
        <f ca="1">VLOOKUP($E140,OFFSET(mission_ACH_criteria!$A$1,0,0,COUNTA(mission_ACH_criteria!$A:$A),MATCH(F$2,mission_ACH_criteria!$1:$1,0)-MATCH($E$2,mission_ACH_criteria!$1:$1,0)+1),MATCH(F$2,mission_ACH_criteria!$1:$1,0)-MATCH($E$2,mission_ACH_criteria!$1:$1,0)+1,FALSE)</f>
        <v>クエスト 【26-5．踊る強奪者】 をクリアしよう！</v>
      </c>
      <c r="G140" s="120" t="s">
        <v>233</v>
      </c>
      <c r="H140" s="121" t="str">
        <f t="shared" ca="1" si="66"/>
        <v>ポリゴン x 1</v>
      </c>
      <c r="I140" s="121" t="str">
        <f ca="1">VLOOKUP($G140,OFFSET(mission_ACH!$A$2,0,0,COUNTA($A:$A),MATCH(I$2,mission_ACH!$2:$2,0)-MATCH($G$2,mission_ACH!$2:$2,0)+1),MATCH(I$2,mission_ACH!$2:$2,0)-MATCH($G$2,mission_ACH!$2:$2,0)+1,FALSE)</f>
        <v>polygon</v>
      </c>
      <c r="J140" s="121">
        <f ca="1">VLOOKUP($G140,OFFSET(mission_ACH!$A$2,0,0,COUNTA($A:$A),MATCH(J$2,mission_ACH!$2:$2,0)-MATCH($G$2,mission_ACH!$2:$2,0)+1),MATCH(J$2,mission_ACH!$2:$2,0)-MATCH($G$2,mission_ACH!$2:$2,0)+1,FALSE)</f>
        <v>1</v>
      </c>
      <c r="K140" s="121" t="str">
        <f ca="1">IF(I140="unit",VLOOKUP($G140,OFFSET(mission_ACH!$A$2,0,0,COUNTA($A:$A),MATCH(K$2,mission_ACH!$2:$2,0)-MATCH($G$2,mission_ACH!$2:$2,0)+1),MATCH(K$2,mission_ACH!$2:$2,0)-MATCH($G$2,mission_ACH!$2:$2,0)+1,FALSE),"")</f>
        <v/>
      </c>
      <c r="L140" s="121">
        <f ca="1">VLOOKUP($G140,OFFSET(mission_ACH!$A$2,0,0,COUNTA($A:$A),MATCH(L$2,mission_ACH!$2:$2,0)-MATCH($G$2,mission_ACH!$2:$2,0)+1),MATCH(L$2,mission_ACH!$2:$2,0)-MATCH($G$2,mission_ACH!$2:$2,0)+1,FALSE)</f>
        <v>0</v>
      </c>
      <c r="M140" s="120">
        <v>60</v>
      </c>
      <c r="N140" s="120" t="s">
        <v>2275</v>
      </c>
      <c r="O140" s="120" t="s">
        <v>2275</v>
      </c>
    </row>
    <row r="141" spans="1:15" s="123" customFormat="1" ht="21" customHeight="1" x14ac:dyDescent="0.15">
      <c r="A141" s="120">
        <v>2924</v>
      </c>
      <c r="B141" s="120" t="str">
        <f t="shared" ref="B141:B142" ca="1" si="67">F141</f>
        <v>クエスト 【24-3．武器を花に変えて】 をクリアしよう！</v>
      </c>
      <c r="C141" s="120" t="s">
        <v>755</v>
      </c>
      <c r="D141" s="121" t="str">
        <f ca="1">VLOOKUP($C141,OFFSET(mission_unlock_criteria!$A$2,0,0,COUNTA(mission_unlock_criteria!$A:$A),MATCH(D$2,mission_unlock_criteria!$2:$2,0)-MATCH($C$2,mission_unlock_criteria!$2:$2,0)+1),MATCH(D$2,mission_unlock_criteria!$2:$2,0)-MATCH($C$2,mission_unlock_criteria!$2:$2,0)+1,FALSE)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【23-5．目醒めの子どもたち】 をクリア</v>
      </c>
      <c r="E141" s="136" t="s">
        <v>755</v>
      </c>
      <c r="F141" s="121" t="str">
        <f ca="1">VLOOKUP($E141,OFFSET(mission_ACH_criteria!$A$1,0,0,COUNTA(mission_ACH_criteria!$A:$A),MATCH(F$2,mission_ACH_criteria!$1:$1,0)-MATCH($E$2,mission_ACH_criteria!$1:$1,0)+1),MATCH(F$2,mission_ACH_criteria!$1:$1,0)-MATCH($E$2,mission_ACH_criteria!$1:$1,0)+1,FALSE)</f>
        <v>クエスト 【24-3．武器を花に変えて】 をクリアしよう！</v>
      </c>
      <c r="G141" s="120" t="s">
        <v>418</v>
      </c>
      <c r="H141" s="121" t="str">
        <f t="shared" ref="H141:H142" ca="1" si="68">IF(I141="unit",K141&amp;" x "&amp;L141,IF(I141="polygon","ポリゴン x "&amp;J141,IF(I141="bit","ビット x "&amp;J141,IF(I141="link","リンク x "&amp;J141))))</f>
        <v>秘術の果実 x 1</v>
      </c>
      <c r="I141" s="121" t="str">
        <f ca="1">VLOOKUP($G141,OFFSET(mission_ACH!$A$2,0,0,COUNTA($A:$A),MATCH(I$2,mission_ACH!$2:$2,0)-MATCH($G$2,mission_ACH!$2:$2,0)+1),MATCH(I$2,mission_ACH!$2:$2,0)-MATCH($G$2,mission_ACH!$2:$2,0)+1,FALSE)</f>
        <v>unit</v>
      </c>
      <c r="J141" s="121">
        <f ca="1">VLOOKUP($G141,OFFSET(mission_ACH!$A$2,0,0,COUNTA($A:$A),MATCH(J$2,mission_ACH!$2:$2,0)-MATCH($G$2,mission_ACH!$2:$2,0)+1),MATCH(J$2,mission_ACH!$2:$2,0)-MATCH($G$2,mission_ACH!$2:$2,0)+1,FALSE)</f>
        <v>125</v>
      </c>
      <c r="K141" s="121" t="str">
        <f ca="1">IF(I141="unit",VLOOKUP($G141,OFFSET(mission_ACH!$A$2,0,0,COUNTA($A:$A),MATCH(K$2,mission_ACH!$2:$2,0)-MATCH($G$2,mission_ACH!$2:$2,0)+1),MATCH(K$2,mission_ACH!$2:$2,0)-MATCH($G$2,mission_ACH!$2:$2,0)+1,FALSE),"")</f>
        <v>秘術の果実</v>
      </c>
      <c r="L141" s="121">
        <f ca="1">VLOOKUP($G141,OFFSET(mission_ACH!$A$2,0,0,COUNTA($A:$A),MATCH(L$2,mission_ACH!$2:$2,0)-MATCH($G$2,mission_ACH!$2:$2,0)+1),MATCH(L$2,mission_ACH!$2:$2,0)-MATCH($G$2,mission_ACH!$2:$2,0)+1,FALSE)</f>
        <v>1</v>
      </c>
      <c r="M141" s="120">
        <v>60</v>
      </c>
      <c r="N141" s="120" t="s">
        <v>2275</v>
      </c>
      <c r="O141" s="120" t="s">
        <v>2275</v>
      </c>
    </row>
    <row r="142" spans="1:15" s="123" customFormat="1" ht="21" customHeight="1" x14ac:dyDescent="0.15">
      <c r="A142" s="120">
        <v>2925</v>
      </c>
      <c r="B142" s="120" t="str">
        <f t="shared" ca="1" si="67"/>
        <v>クエスト 【25-3．暗闇との対話】 をクリアしよう！</v>
      </c>
      <c r="C142" s="120" t="s">
        <v>756</v>
      </c>
      <c r="D142" s="121" t="str">
        <f ca="1">VLOOKUP($C142,OFFSET(mission_unlock_criteria!$A$2,0,0,COUNTA(mission_unlock_criteria!$A:$A),MATCH(D$2,mission_unlock_criteria!$2:$2,0)-MATCH($C$2,mission_unlock_criteria!$2:$2,0)+1),MATCH(D$2,mission_unlock_criteria!$2:$2,0)-MATCH($C$2,mission_unlock_criteria!$2:$2,0)+1,FALSE)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【24-5．決戦のヘヴン】 をクリア</v>
      </c>
      <c r="E142" s="136" t="s">
        <v>756</v>
      </c>
      <c r="F142" s="121" t="str">
        <f ca="1">VLOOKUP($E142,OFFSET(mission_ACH_criteria!$A$1,0,0,COUNTA(mission_ACH_criteria!$A:$A),MATCH(F$2,mission_ACH_criteria!$1:$1,0)-MATCH($E$2,mission_ACH_criteria!$1:$1,0)+1),MATCH(F$2,mission_ACH_criteria!$1:$1,0)-MATCH($E$2,mission_ACH_criteria!$1:$1,0)+1,FALSE)</f>
        <v>クエスト 【25-3．暗闇との対話】 をクリアしよう！</v>
      </c>
      <c r="G142" s="120" t="s">
        <v>418</v>
      </c>
      <c r="H142" s="121" t="str">
        <f t="shared" ca="1" si="68"/>
        <v>秘術の果実 x 1</v>
      </c>
      <c r="I142" s="121" t="str">
        <f ca="1">VLOOKUP($G142,OFFSET(mission_ACH!$A$2,0,0,COUNTA($A:$A),MATCH(I$2,mission_ACH!$2:$2,0)-MATCH($G$2,mission_ACH!$2:$2,0)+1),MATCH(I$2,mission_ACH!$2:$2,0)-MATCH($G$2,mission_ACH!$2:$2,0)+1,FALSE)</f>
        <v>unit</v>
      </c>
      <c r="J142" s="121">
        <f ca="1">VLOOKUP($G142,OFFSET(mission_ACH!$A$2,0,0,COUNTA($A:$A),MATCH(J$2,mission_ACH!$2:$2,0)-MATCH($G$2,mission_ACH!$2:$2,0)+1),MATCH(J$2,mission_ACH!$2:$2,0)-MATCH($G$2,mission_ACH!$2:$2,0)+1,FALSE)</f>
        <v>125</v>
      </c>
      <c r="K142" s="121" t="str">
        <f ca="1">IF(I142="unit",VLOOKUP($G142,OFFSET(mission_ACH!$A$2,0,0,COUNTA($A:$A),MATCH(K$2,mission_ACH!$2:$2,0)-MATCH($G$2,mission_ACH!$2:$2,0)+1),MATCH(K$2,mission_ACH!$2:$2,0)-MATCH($G$2,mission_ACH!$2:$2,0)+1,FALSE),"")</f>
        <v>秘術の果実</v>
      </c>
      <c r="L142" s="121">
        <f ca="1">VLOOKUP($G142,OFFSET(mission_ACH!$A$2,0,0,COUNTA($A:$A),MATCH(L$2,mission_ACH!$2:$2,0)-MATCH($G$2,mission_ACH!$2:$2,0)+1),MATCH(L$2,mission_ACH!$2:$2,0)-MATCH($G$2,mission_ACH!$2:$2,0)+1,FALSE)</f>
        <v>1</v>
      </c>
      <c r="M142" s="120">
        <v>60</v>
      </c>
      <c r="N142" s="120" t="s">
        <v>2275</v>
      </c>
      <c r="O142" s="120" t="s">
        <v>2275</v>
      </c>
    </row>
    <row r="143" spans="1:15" s="123" customFormat="1" ht="21" customHeight="1" x14ac:dyDescent="0.15">
      <c r="A143" s="120">
        <v>2926</v>
      </c>
      <c r="B143" s="120" t="str">
        <f t="shared" ref="B143" ca="1" si="69">F143</f>
        <v>クエスト 【26-3．荒ぶる電飾】 をクリアしよう！</v>
      </c>
      <c r="C143" s="120" t="s">
        <v>761</v>
      </c>
      <c r="D143" s="121" t="str">
        <f ca="1">VLOOKUP($C143,OFFSET(mission_unlock_criteria!$A$2,0,0,COUNTA(mission_unlock_criteria!$A:$A),MATCH(D$2,mission_unlock_criteria!$2:$2,0)-MATCH($C$2,mission_unlock_criteria!$2:$2,0)+1),MATCH(D$2,mission_unlock_criteria!$2:$2,0)-MATCH($C$2,mission_unlock_criteria!$2:$2,0)+1,FALSE)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【25-5．君はサディスティック】 をクリア</v>
      </c>
      <c r="E143" s="136" t="s">
        <v>761</v>
      </c>
      <c r="F143" s="121" t="str">
        <f ca="1">VLOOKUP($E143,OFFSET(mission_ACH_criteria!$A$1,0,0,COUNTA(mission_ACH_criteria!$A:$A),MATCH(F$2,mission_ACH_criteria!$1:$1,0)-MATCH($E$2,mission_ACH_criteria!$1:$1,0)+1),MATCH(F$2,mission_ACH_criteria!$1:$1,0)-MATCH($E$2,mission_ACH_criteria!$1:$1,0)+1,FALSE)</f>
        <v>クエスト 【26-3．荒ぶる電飾】 をクリアしよう！</v>
      </c>
      <c r="G143" s="120" t="s">
        <v>418</v>
      </c>
      <c r="H143" s="121" t="str">
        <f t="shared" ref="H143:H148" ca="1" si="70">IF(I143="unit",K143&amp;" x "&amp;L143,IF(I143="polygon","ポリゴン x "&amp;J143,IF(I143="bit","ビット x "&amp;J143,IF(I143="link","リンク x "&amp;J143))))</f>
        <v>秘術の果実 x 1</v>
      </c>
      <c r="I143" s="121" t="str">
        <f ca="1">VLOOKUP($G143,OFFSET(mission_ACH!$A$2,0,0,COUNTA($A:$A),MATCH(I$2,mission_ACH!$2:$2,0)-MATCH($G$2,mission_ACH!$2:$2,0)+1),MATCH(I$2,mission_ACH!$2:$2,0)-MATCH($G$2,mission_ACH!$2:$2,0)+1,FALSE)</f>
        <v>unit</v>
      </c>
      <c r="J143" s="121">
        <f ca="1">VLOOKUP($G143,OFFSET(mission_ACH!$A$2,0,0,COUNTA($A:$A),MATCH(J$2,mission_ACH!$2:$2,0)-MATCH($G$2,mission_ACH!$2:$2,0)+1),MATCH(J$2,mission_ACH!$2:$2,0)-MATCH($G$2,mission_ACH!$2:$2,0)+1,FALSE)</f>
        <v>125</v>
      </c>
      <c r="K143" s="121" t="str">
        <f ca="1">IF(I143="unit",VLOOKUP($G143,OFFSET(mission_ACH!$A$2,0,0,COUNTA($A:$A),MATCH(K$2,mission_ACH!$2:$2,0)-MATCH($G$2,mission_ACH!$2:$2,0)+1),MATCH(K$2,mission_ACH!$2:$2,0)-MATCH($G$2,mission_ACH!$2:$2,0)+1,FALSE),"")</f>
        <v>秘術の果実</v>
      </c>
      <c r="L143" s="121">
        <f ca="1">VLOOKUP($G143,OFFSET(mission_ACH!$A$2,0,0,COUNTA($A:$A),MATCH(L$2,mission_ACH!$2:$2,0)-MATCH($G$2,mission_ACH!$2:$2,0)+1),MATCH(L$2,mission_ACH!$2:$2,0)-MATCH($G$2,mission_ACH!$2:$2,0)+1,FALSE)</f>
        <v>1</v>
      </c>
      <c r="M143" s="120">
        <v>60</v>
      </c>
      <c r="N143" s="120" t="s">
        <v>2275</v>
      </c>
      <c r="O143" s="120" t="s">
        <v>2275</v>
      </c>
    </row>
    <row r="144" spans="1:15" s="123" customFormat="1" ht="21" customHeight="1" x14ac:dyDescent="0.15">
      <c r="A144" s="120">
        <v>2927</v>
      </c>
      <c r="B144" s="120" t="str">
        <f ca="1">F144</f>
        <v>クエスト 【27-3. 山岳の王者】 をクリアしよう！</v>
      </c>
      <c r="C144" s="120" t="s">
        <v>1109</v>
      </c>
      <c r="D144" s="121" t="str">
        <f ca="1">VLOOKUP($C144,OFFSET(mission_unlock_criteria!$A$2,0,0,COUNTA(mission_unlock_criteria!$A:$A),MATCH(D$2,mission_unlock_criteria!$2:$2,0)-MATCH($C$2,mission_unlock_criteria!$2:$2,0)+1),MATCH(D$2,mission_unlock_criteria!$2:$2,0)-MATCH($C$2,mission_unlock_criteria!$2:$2,0)+1,FALSE)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【26-5．踊る強奪者】 をクリア</v>
      </c>
      <c r="E144" s="136" t="s">
        <v>1109</v>
      </c>
      <c r="F144" s="121" t="str">
        <f ca="1">VLOOKUP($E144,OFFSET(mission_ACH_criteria!$A$1,0,0,COUNTA(mission_ACH_criteria!$A:$A),MATCH(F$2,mission_ACH_criteria!$1:$1,0)-MATCH($E$2,mission_ACH_criteria!$1:$1,0)+1),MATCH(F$2,mission_ACH_criteria!$1:$1,0)-MATCH($E$2,mission_ACH_criteria!$1:$1,0)+1,FALSE)</f>
        <v>クエスト 【27-3. 山岳の王者】 をクリアしよう！</v>
      </c>
      <c r="G144" s="120" t="s">
        <v>233</v>
      </c>
      <c r="H144" s="121" t="str">
        <f t="shared" ca="1" si="70"/>
        <v>ポリゴン x 1</v>
      </c>
      <c r="I144" s="121" t="str">
        <f ca="1">VLOOKUP($G144,OFFSET(mission_ACH!$A$2,0,0,COUNTA($A:$A),MATCH(I$2,mission_ACH!$2:$2,0)-MATCH($G$2,mission_ACH!$2:$2,0)+1),MATCH(I$2,mission_ACH!$2:$2,0)-MATCH($G$2,mission_ACH!$2:$2,0)+1,FALSE)</f>
        <v>polygon</v>
      </c>
      <c r="J144" s="121">
        <f ca="1">VLOOKUP($G144,OFFSET(mission_ACH!$A$2,0,0,COUNTA($A:$A),MATCH(J$2,mission_ACH!$2:$2,0)-MATCH($G$2,mission_ACH!$2:$2,0)+1),MATCH(J$2,mission_ACH!$2:$2,0)-MATCH($G$2,mission_ACH!$2:$2,0)+1,FALSE)</f>
        <v>1</v>
      </c>
      <c r="K144" s="121" t="str">
        <f ca="1">IF(I144="unit",VLOOKUP($G144,OFFSET(mission_ACH!$A$2,0,0,COUNTA($A:$A),MATCH(K$2,mission_ACH!$2:$2,0)-MATCH($G$2,mission_ACH!$2:$2,0)+1),MATCH(K$2,mission_ACH!$2:$2,0)-MATCH($G$2,mission_ACH!$2:$2,0)+1,FALSE),"")</f>
        <v/>
      </c>
      <c r="L144" s="121">
        <f ca="1">VLOOKUP($G144,OFFSET(mission_ACH!$A$2,0,0,COUNTA($A:$A),MATCH(L$2,mission_ACH!$2:$2,0)-MATCH($G$2,mission_ACH!$2:$2,0)+1),MATCH(L$2,mission_ACH!$2:$2,0)-MATCH($G$2,mission_ACH!$2:$2,0)+1,FALSE)</f>
        <v>0</v>
      </c>
      <c r="M144" s="120">
        <v>60</v>
      </c>
      <c r="N144" s="120" t="s">
        <v>2275</v>
      </c>
      <c r="O144" s="120" t="s">
        <v>2275</v>
      </c>
    </row>
    <row r="145" spans="1:15" s="123" customFormat="1" ht="21" customHeight="1" x14ac:dyDescent="0.15">
      <c r="A145" s="120">
        <v>2928</v>
      </c>
      <c r="B145" s="120" t="str">
        <f ca="1">F145</f>
        <v>クエスト 【28-3. 縛風の洞窟】 をクリアしよう！</v>
      </c>
      <c r="C145" s="120" t="s">
        <v>1111</v>
      </c>
      <c r="D145" s="121" t="str">
        <f ca="1">VLOOKUP($C145,OFFSET(mission_unlock_criteria!$A$2,0,0,COUNTA(mission_unlock_criteria!$A:$A),MATCH(D$2,mission_unlock_criteria!$2:$2,0)-MATCH($C$2,mission_unlock_criteria!$2:$2,0)+1),MATCH(D$2,mission_unlock_criteria!$2:$2,0)-MATCH($C$2,mission_unlock_criteria!$2:$2,0)+1,FALSE)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【27-3. 山岳の王者】 をクリア</v>
      </c>
      <c r="E145" s="136" t="s">
        <v>1111</v>
      </c>
      <c r="F145" s="121" t="str">
        <f ca="1">VLOOKUP($E145,OFFSET(mission_ACH_criteria!$A$1,0,0,COUNTA(mission_ACH_criteria!$A:$A),MATCH(F$2,mission_ACH_criteria!$1:$1,0)-MATCH($E$2,mission_ACH_criteria!$1:$1,0)+1),MATCH(F$2,mission_ACH_criteria!$1:$1,0)-MATCH($E$2,mission_ACH_criteria!$1:$1,0)+1,FALSE)</f>
        <v>クエスト 【28-3. 縛風の洞窟】 をクリアしよう！</v>
      </c>
      <c r="G145" s="120" t="s">
        <v>233</v>
      </c>
      <c r="H145" s="121" t="str">
        <f t="shared" ca="1" si="70"/>
        <v>ポリゴン x 1</v>
      </c>
      <c r="I145" s="121" t="str">
        <f ca="1">VLOOKUP($G145,OFFSET(mission_ACH!$A$2,0,0,COUNTA($A:$A),MATCH(I$2,mission_ACH!$2:$2,0)-MATCH($G$2,mission_ACH!$2:$2,0)+1),MATCH(I$2,mission_ACH!$2:$2,0)-MATCH($G$2,mission_ACH!$2:$2,0)+1,FALSE)</f>
        <v>polygon</v>
      </c>
      <c r="J145" s="121">
        <f ca="1">VLOOKUP($G145,OFFSET(mission_ACH!$A$2,0,0,COUNTA($A:$A),MATCH(J$2,mission_ACH!$2:$2,0)-MATCH($G$2,mission_ACH!$2:$2,0)+1),MATCH(J$2,mission_ACH!$2:$2,0)-MATCH($G$2,mission_ACH!$2:$2,0)+1,FALSE)</f>
        <v>1</v>
      </c>
      <c r="K145" s="121" t="str">
        <f ca="1">IF(I145="unit",VLOOKUP($G145,OFFSET(mission_ACH!$A$2,0,0,COUNTA($A:$A),MATCH(K$2,mission_ACH!$2:$2,0)-MATCH($G$2,mission_ACH!$2:$2,0)+1),MATCH(K$2,mission_ACH!$2:$2,0)-MATCH($G$2,mission_ACH!$2:$2,0)+1,FALSE),"")</f>
        <v/>
      </c>
      <c r="L145" s="121">
        <f ca="1">VLOOKUP($G145,OFFSET(mission_ACH!$A$2,0,0,COUNTA($A:$A),MATCH(L$2,mission_ACH!$2:$2,0)-MATCH($G$2,mission_ACH!$2:$2,0)+1),MATCH(L$2,mission_ACH!$2:$2,0)-MATCH($G$2,mission_ACH!$2:$2,0)+1,FALSE)</f>
        <v>0</v>
      </c>
      <c r="M145" s="120">
        <v>60</v>
      </c>
      <c r="N145" s="120" t="s">
        <v>2275</v>
      </c>
      <c r="O145" s="120" t="s">
        <v>2275</v>
      </c>
    </row>
    <row r="146" spans="1:15" s="123" customFormat="1" ht="21" customHeight="1" x14ac:dyDescent="0.15">
      <c r="A146" s="120">
        <v>2929</v>
      </c>
      <c r="B146" s="120" t="str">
        <f ca="1">F146</f>
        <v>クエスト 【29-3. 仕立屋と兄妹】 をクリアしよう！</v>
      </c>
      <c r="C146" s="120" t="s">
        <v>1113</v>
      </c>
      <c r="D146" s="121" t="str">
        <f ca="1">VLOOKUP($C146,OFFSET(mission_unlock_criteria!$A$2,0,0,COUNTA(mission_unlock_criteria!$A:$A),MATCH(D$2,mission_unlock_criteria!$2:$2,0)-MATCH($C$2,mission_unlock_criteria!$2:$2,0)+1),MATCH(D$2,mission_unlock_criteria!$2:$2,0)-MATCH($C$2,mission_unlock_criteria!$2:$2,0)+1,FALSE)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【28-3. 縛風の洞窟】 をクリア</v>
      </c>
      <c r="E146" s="136" t="s">
        <v>1113</v>
      </c>
      <c r="F146" s="121" t="str">
        <f ca="1">VLOOKUP($E146,OFFSET(mission_ACH_criteria!$A$1,0,0,COUNTA(mission_ACH_criteria!$A:$A),MATCH(F$2,mission_ACH_criteria!$1:$1,0)-MATCH($E$2,mission_ACH_criteria!$1:$1,0)+1),MATCH(F$2,mission_ACH_criteria!$1:$1,0)-MATCH($E$2,mission_ACH_criteria!$1:$1,0)+1,FALSE)</f>
        <v>クエスト 【29-3. 仕立屋と兄妹】 をクリアしよう！</v>
      </c>
      <c r="G146" s="120" t="s">
        <v>233</v>
      </c>
      <c r="H146" s="121" t="str">
        <f t="shared" ca="1" si="70"/>
        <v>ポリゴン x 1</v>
      </c>
      <c r="I146" s="121" t="str">
        <f ca="1">VLOOKUP($G146,OFFSET(mission_ACH!$A$2,0,0,COUNTA($A:$A),MATCH(I$2,mission_ACH!$2:$2,0)-MATCH($G$2,mission_ACH!$2:$2,0)+1),MATCH(I$2,mission_ACH!$2:$2,0)-MATCH($G$2,mission_ACH!$2:$2,0)+1,FALSE)</f>
        <v>polygon</v>
      </c>
      <c r="J146" s="121">
        <f ca="1">VLOOKUP($G146,OFFSET(mission_ACH!$A$2,0,0,COUNTA($A:$A),MATCH(J$2,mission_ACH!$2:$2,0)-MATCH($G$2,mission_ACH!$2:$2,0)+1),MATCH(J$2,mission_ACH!$2:$2,0)-MATCH($G$2,mission_ACH!$2:$2,0)+1,FALSE)</f>
        <v>1</v>
      </c>
      <c r="K146" s="121" t="str">
        <f ca="1">IF(I146="unit",VLOOKUP($G146,OFFSET(mission_ACH!$A$2,0,0,COUNTA($A:$A),MATCH(K$2,mission_ACH!$2:$2,0)-MATCH($G$2,mission_ACH!$2:$2,0)+1),MATCH(K$2,mission_ACH!$2:$2,0)-MATCH($G$2,mission_ACH!$2:$2,0)+1,FALSE),"")</f>
        <v/>
      </c>
      <c r="L146" s="121">
        <f ca="1">VLOOKUP($G146,OFFSET(mission_ACH!$A$2,0,0,COUNTA($A:$A),MATCH(L$2,mission_ACH!$2:$2,0)-MATCH($G$2,mission_ACH!$2:$2,0)+1),MATCH(L$2,mission_ACH!$2:$2,0)-MATCH($G$2,mission_ACH!$2:$2,0)+1,FALSE)</f>
        <v>0</v>
      </c>
      <c r="M146" s="120">
        <v>60</v>
      </c>
      <c r="N146" s="120" t="s">
        <v>2275</v>
      </c>
      <c r="O146" s="120" t="s">
        <v>2275</v>
      </c>
    </row>
    <row r="147" spans="1:15" s="123" customFormat="1" ht="21" customHeight="1" x14ac:dyDescent="0.15">
      <c r="A147" s="120">
        <v>2930</v>
      </c>
      <c r="B147" s="120" t="str">
        <f ca="1">F147</f>
        <v>クエスト 【30-3. 月影の襲撃者】 をクリアしよう！</v>
      </c>
      <c r="C147" s="120" t="s">
        <v>1114</v>
      </c>
      <c r="D147" s="121" t="str">
        <f ca="1">VLOOKUP($C147,OFFSET(mission_unlock_criteria!$A$2,0,0,COUNTA(mission_unlock_criteria!$A:$A),MATCH(D$2,mission_unlock_criteria!$2:$2,0)-MATCH($C$2,mission_unlock_criteria!$2:$2,0)+1),MATCH(D$2,mission_unlock_criteria!$2:$2,0)-MATCH($C$2,mission_unlock_criteria!$2:$2,0)+1,FALSE)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【29-3. 仕立屋と兄妹】 をクリア</v>
      </c>
      <c r="E147" s="136" t="s">
        <v>1114</v>
      </c>
      <c r="F147" s="121" t="str">
        <f ca="1">VLOOKUP($E147,OFFSET(mission_ACH_criteria!$A$1,0,0,COUNTA(mission_ACH_criteria!$A:$A),MATCH(F$2,mission_ACH_criteria!$1:$1,0)-MATCH($E$2,mission_ACH_criteria!$1:$1,0)+1),MATCH(F$2,mission_ACH_criteria!$1:$1,0)-MATCH($E$2,mission_ACH_criteria!$1:$1,0)+1,FALSE)</f>
        <v>クエスト 【30-3. 月影の襲撃者】 をクリアしよう！</v>
      </c>
      <c r="G147" s="120" t="s">
        <v>233</v>
      </c>
      <c r="H147" s="121" t="str">
        <f t="shared" ca="1" si="70"/>
        <v>ポリゴン x 1</v>
      </c>
      <c r="I147" s="121" t="str">
        <f ca="1">VLOOKUP($G147,OFFSET(mission_ACH!$A$2,0,0,COUNTA($A:$A),MATCH(I$2,mission_ACH!$2:$2,0)-MATCH($G$2,mission_ACH!$2:$2,0)+1),MATCH(I$2,mission_ACH!$2:$2,0)-MATCH($G$2,mission_ACH!$2:$2,0)+1,FALSE)</f>
        <v>polygon</v>
      </c>
      <c r="J147" s="121">
        <f ca="1">VLOOKUP($G147,OFFSET(mission_ACH!$A$2,0,0,COUNTA($A:$A),MATCH(J$2,mission_ACH!$2:$2,0)-MATCH($G$2,mission_ACH!$2:$2,0)+1),MATCH(J$2,mission_ACH!$2:$2,0)-MATCH($G$2,mission_ACH!$2:$2,0)+1,FALSE)</f>
        <v>1</v>
      </c>
      <c r="K147" s="121" t="str">
        <f ca="1">IF(I147="unit",VLOOKUP($G147,OFFSET(mission_ACH!$A$2,0,0,COUNTA($A:$A),MATCH(K$2,mission_ACH!$2:$2,0)-MATCH($G$2,mission_ACH!$2:$2,0)+1),MATCH(K$2,mission_ACH!$2:$2,0)-MATCH($G$2,mission_ACH!$2:$2,0)+1,FALSE),"")</f>
        <v/>
      </c>
      <c r="L147" s="121">
        <f ca="1">VLOOKUP($G147,OFFSET(mission_ACH!$A$2,0,0,COUNTA($A:$A),MATCH(L$2,mission_ACH!$2:$2,0)-MATCH($G$2,mission_ACH!$2:$2,0)+1),MATCH(L$2,mission_ACH!$2:$2,0)-MATCH($G$2,mission_ACH!$2:$2,0)+1,FALSE)</f>
        <v>0</v>
      </c>
      <c r="M147" s="120">
        <v>60</v>
      </c>
      <c r="N147" s="120" t="s">
        <v>2275</v>
      </c>
      <c r="O147" s="120" t="s">
        <v>2275</v>
      </c>
    </row>
    <row r="148" spans="1:15" s="123" customFormat="1" ht="21" customHeight="1" x14ac:dyDescent="0.15">
      <c r="A148" s="120">
        <v>2931</v>
      </c>
      <c r="B148" s="120" t="str">
        <f ca="1">F148</f>
        <v>クエスト 【31-3. 神域の試練】 をクリアしよう！</v>
      </c>
      <c r="C148" s="120" t="s">
        <v>1115</v>
      </c>
      <c r="D148" s="121" t="str">
        <f ca="1">VLOOKUP($C148,OFFSET(mission_unlock_criteria!$A$2,0,0,COUNTA(mission_unlock_criteria!$A:$A),MATCH(D$2,mission_unlock_criteria!$2:$2,0)-MATCH($C$2,mission_unlock_criteria!$2:$2,0)+1),MATCH(D$2,mission_unlock_criteria!$2:$2,0)-MATCH($C$2,mission_unlock_criteria!$2:$2,0)+1,FALSE)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【30-3. 月影の襲撃者】 をクリア</v>
      </c>
      <c r="E148" s="136" t="s">
        <v>1115</v>
      </c>
      <c r="F148" s="121" t="str">
        <f ca="1">VLOOKUP($E148,OFFSET(mission_ACH_criteria!$A$1,0,0,COUNTA(mission_ACH_criteria!$A:$A),MATCH(F$2,mission_ACH_criteria!$1:$1,0)-MATCH($E$2,mission_ACH_criteria!$1:$1,0)+1),MATCH(F$2,mission_ACH_criteria!$1:$1,0)-MATCH($E$2,mission_ACH_criteria!$1:$1,0)+1,FALSE)</f>
        <v>クエスト 【31-3. 神域の試練】 をクリアしよう！</v>
      </c>
      <c r="G148" s="120" t="s">
        <v>2280</v>
      </c>
      <c r="H148" s="121" t="str">
        <f t="shared" ca="1" si="70"/>
        <v>麗邸の遊撃守 エリゼ x 1</v>
      </c>
      <c r="I148" s="121" t="str">
        <f ca="1">VLOOKUP($G148,OFFSET(mission_ACH!$A$2,0,0,COUNTA($A:$A),MATCH(I$2,mission_ACH!$2:$2,0)-MATCH($G$2,mission_ACH!$2:$2,0)+1),MATCH(I$2,mission_ACH!$2:$2,0)-MATCH($G$2,mission_ACH!$2:$2,0)+1,FALSE)</f>
        <v>unit</v>
      </c>
      <c r="J148" s="121">
        <f ca="1">VLOOKUP($G148,OFFSET(mission_ACH!$A$2,0,0,COUNTA($A:$A),MATCH(J$2,mission_ACH!$2:$2,0)-MATCH($G$2,mission_ACH!$2:$2,0)+1),MATCH(J$2,mission_ACH!$2:$2,0)-MATCH($G$2,mission_ACH!$2:$2,0)+1,FALSE)</f>
        <v>633</v>
      </c>
      <c r="K148" s="121" t="str">
        <f ca="1">IF(I148="unit",VLOOKUP($G148,OFFSET(mission_ACH!$A$2,0,0,COUNTA($A:$A),MATCH(K$2,mission_ACH!$2:$2,0)-MATCH($G$2,mission_ACH!$2:$2,0)+1),MATCH(K$2,mission_ACH!$2:$2,0)-MATCH($G$2,mission_ACH!$2:$2,0)+1,FALSE),"")</f>
        <v>麗邸の遊撃守 エリゼ</v>
      </c>
      <c r="L148" s="121">
        <f ca="1">VLOOKUP($G148,OFFSET(mission_ACH!$A$2,0,0,COUNTA($A:$A),MATCH(L$2,mission_ACH!$2:$2,0)-MATCH($G$2,mission_ACH!$2:$2,0)+1),MATCH(L$2,mission_ACH!$2:$2,0)-MATCH($G$2,mission_ACH!$2:$2,0)+1,FALSE)</f>
        <v>1</v>
      </c>
      <c r="M148" s="120">
        <v>60</v>
      </c>
      <c r="N148" s="120" t="s">
        <v>2275</v>
      </c>
      <c r="O148" s="120" t="s">
        <v>2275</v>
      </c>
    </row>
    <row r="149" spans="1:15" s="1" customFormat="1" ht="21" customHeight="1" x14ac:dyDescent="0.15">
      <c r="A149" s="27">
        <v>3001</v>
      </c>
      <c r="B149" s="26" t="str">
        <f t="shared" ca="1" si="61"/>
        <v>プレイヤーランクを 10 まで上げよう！</v>
      </c>
      <c r="C149" s="27" t="s">
        <v>1783</v>
      </c>
      <c r="D149" s="31" t="str">
        <f ca="1">VLOOKUP($C149,OFFSET(mission_unlock_criteria!$A$2,0,0,COUNTA(mission_unlock_criteria!$A:$A),MATCH(D$2,mission_unlock_criteria!$2:$2,0)-MATCH($C$2,mission_unlock_criteria!$2:$2,0)+1),MATCH(D$2,mission_unlock_criteria!$2:$2,0)-MATCH($C$2,mission_unlock_criteria!$2:$2,0)+1,FALSE)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5 に到達</v>
      </c>
      <c r="E149" s="2" t="s">
        <v>373</v>
      </c>
      <c r="F149" s="31" t="str">
        <f ca="1">VLOOKUP($E149,OFFSET(mission_ACH_criteria!$A$1,0,0,COUNTA(mission_ACH_criteria!$A:$A),MATCH(F$2,mission_ACH_criteria!$1:$1,0)-MATCH($E$2,mission_ACH_criteria!$1:$1,0)+1),MATCH(F$2,mission_ACH_criteria!$1:$1,0)-MATCH($E$2,mission_ACH_criteria!$1:$1,0)+1,FALSE)</f>
        <v>プレイヤーランクを 10 まで上げよう！</v>
      </c>
      <c r="G149" s="27" t="s">
        <v>233</v>
      </c>
      <c r="H149" s="31" t="str">
        <f t="shared" ref="H149:H157" ca="1" si="71">IF(I149="unit",K149&amp;" x "&amp;L149,IF(I149="polygon","ポリゴン x "&amp;J149,IF(I149="bit","ビット x "&amp;J149,IF(I149="link","リンク x "&amp;J149))))</f>
        <v>ポリゴン x 1</v>
      </c>
      <c r="I149" s="31" t="str">
        <f ca="1">VLOOKUP($G149,OFFSET(mission_ACH!$A$2,0,0,COUNTA($A:$A),MATCH(I$2,mission_ACH!$2:$2,0)-MATCH($G$2,mission_ACH!$2:$2,0)+1),MATCH(I$2,mission_ACH!$2:$2,0)-MATCH($G$2,mission_ACH!$2:$2,0)+1,FALSE)</f>
        <v>polygon</v>
      </c>
      <c r="J149" s="31">
        <f ca="1">VLOOKUP($G149,OFFSET(mission_ACH!$A$2,0,0,COUNTA($A:$A),MATCH(J$2,mission_ACH!$2:$2,0)-MATCH($G$2,mission_ACH!$2:$2,0)+1),MATCH(J$2,mission_ACH!$2:$2,0)-MATCH($G$2,mission_ACH!$2:$2,0)+1,FALSE)</f>
        <v>1</v>
      </c>
      <c r="K149" s="31" t="str">
        <f ca="1">IF(I149="unit",VLOOKUP($G149,OFFSET(mission_ACH!$A$2,0,0,COUNTA($A:$A),MATCH(K$2,mission_ACH!$2:$2,0)-MATCH($G$2,mission_ACH!$2:$2,0)+1),MATCH(K$2,mission_ACH!$2:$2,0)-MATCH($G$2,mission_ACH!$2:$2,0)+1,FALSE),"")</f>
        <v/>
      </c>
      <c r="L149" s="31">
        <f ca="1">VLOOKUP($G149,OFFSET(mission_ACH!$A$2,0,0,COUNTA($A:$A),MATCH(L$2,mission_ACH!$2:$2,0)-MATCH($G$2,mission_ACH!$2:$2,0)+1),MATCH(L$2,mission_ACH!$2:$2,0)-MATCH($G$2,mission_ACH!$2:$2,0)+1,FALSE)</f>
        <v>0</v>
      </c>
      <c r="M149" s="27">
        <v>50</v>
      </c>
      <c r="N149" s="2" t="s">
        <v>955</v>
      </c>
      <c r="O149" s="2" t="s">
        <v>955</v>
      </c>
    </row>
    <row r="150" spans="1:15" s="1" customFormat="1" ht="21" customHeight="1" x14ac:dyDescent="0.15">
      <c r="A150" s="27">
        <v>3002</v>
      </c>
      <c r="B150" s="26" t="str">
        <f t="shared" ca="1" si="61"/>
        <v>プレイヤーランクを 15 まで上げよう！</v>
      </c>
      <c r="C150" s="27" t="s">
        <v>206</v>
      </c>
      <c r="D150" s="31" t="str">
        <f ca="1">VLOOKUP($C150,OFFSET(mission_unlock_criteria!$A$2,0,0,COUNTA(mission_unlock_criteria!$A:$A),MATCH(D$2,mission_unlock_criteria!$2:$2,0)-MATCH($C$2,mission_unlock_criteria!$2:$2,0)+1),MATCH(D$2,mission_unlock_criteria!$2:$2,0)-MATCH($C$2,mission_unlock_criteria!$2:$2,0)+1,FALSE)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10 に到達</v>
      </c>
      <c r="E150" s="2" t="s">
        <v>374</v>
      </c>
      <c r="F150" s="31" t="str">
        <f ca="1">VLOOKUP($E150,OFFSET(mission_ACH_criteria!$A$1,0,0,COUNTA(mission_ACH_criteria!$A:$A),MATCH(F$2,mission_ACH_criteria!$1:$1,0)-MATCH($E$2,mission_ACH_criteria!$1:$1,0)+1),MATCH(F$2,mission_ACH_criteria!$1:$1,0)-MATCH($E$2,mission_ACH_criteria!$1:$1,0)+1,FALSE)</f>
        <v>プレイヤーランクを 15 まで上げよう！</v>
      </c>
      <c r="G150" s="27" t="s">
        <v>233</v>
      </c>
      <c r="H150" s="31" t="str">
        <f t="shared" ca="1" si="71"/>
        <v>ポリゴン x 1</v>
      </c>
      <c r="I150" s="31" t="str">
        <f ca="1">VLOOKUP($G150,OFFSET(mission_ACH!$A$2,0,0,COUNTA($A:$A),MATCH(I$2,mission_ACH!$2:$2,0)-MATCH($G$2,mission_ACH!$2:$2,0)+1),MATCH(I$2,mission_ACH!$2:$2,0)-MATCH($G$2,mission_ACH!$2:$2,0)+1,FALSE)</f>
        <v>polygon</v>
      </c>
      <c r="J150" s="31">
        <f ca="1">VLOOKUP($G150,OFFSET(mission_ACH!$A$2,0,0,COUNTA($A:$A),MATCH(J$2,mission_ACH!$2:$2,0)-MATCH($G$2,mission_ACH!$2:$2,0)+1),MATCH(J$2,mission_ACH!$2:$2,0)-MATCH($G$2,mission_ACH!$2:$2,0)+1,FALSE)</f>
        <v>1</v>
      </c>
      <c r="K150" s="31" t="str">
        <f ca="1">IF(I150="unit",VLOOKUP($G150,OFFSET(mission_ACH!$A$2,0,0,COUNTA($A:$A),MATCH(K$2,mission_ACH!$2:$2,0)-MATCH($G$2,mission_ACH!$2:$2,0)+1),MATCH(K$2,mission_ACH!$2:$2,0)-MATCH($G$2,mission_ACH!$2:$2,0)+1,FALSE),"")</f>
        <v/>
      </c>
      <c r="L150" s="31">
        <f ca="1">VLOOKUP($G150,OFFSET(mission_ACH!$A$2,0,0,COUNTA($A:$A),MATCH(L$2,mission_ACH!$2:$2,0)-MATCH($G$2,mission_ACH!$2:$2,0)+1),MATCH(L$2,mission_ACH!$2:$2,0)-MATCH($G$2,mission_ACH!$2:$2,0)+1,FALSE)</f>
        <v>0</v>
      </c>
      <c r="M150" s="27">
        <v>50</v>
      </c>
      <c r="N150" s="2" t="s">
        <v>955</v>
      </c>
      <c r="O150" s="2" t="s">
        <v>955</v>
      </c>
    </row>
    <row r="151" spans="1:15" s="1" customFormat="1" ht="21" customHeight="1" x14ac:dyDescent="0.15">
      <c r="A151" s="27">
        <v>3003</v>
      </c>
      <c r="B151" s="26" t="str">
        <f t="shared" ref="B151:B157" ca="1" si="72">F151</f>
        <v>プレイヤーランクを 20 まで上げよう！</v>
      </c>
      <c r="C151" s="27" t="s">
        <v>207</v>
      </c>
      <c r="D151" s="31" t="str">
        <f ca="1">VLOOKUP($C151,OFFSET(mission_unlock_criteria!$A$2,0,0,COUNTA(mission_unlock_criteria!$A:$A),MATCH(D$2,mission_unlock_criteria!$2:$2,0)-MATCH($C$2,mission_unlock_criteria!$2:$2,0)+1),MATCH(D$2,mission_unlock_criteria!$2:$2,0)-MATCH($C$2,mission_unlock_criteria!$2:$2,0)+1,FALSE)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15 に到達</v>
      </c>
      <c r="E151" s="2" t="s">
        <v>375</v>
      </c>
      <c r="F151" s="31" t="str">
        <f ca="1">VLOOKUP($E151,OFFSET(mission_ACH_criteria!$A$1,0,0,COUNTA(mission_ACH_criteria!$A:$A),MATCH(F$2,mission_ACH_criteria!$1:$1,0)-MATCH($E$2,mission_ACH_criteria!$1:$1,0)+1),MATCH(F$2,mission_ACH_criteria!$1:$1,0)-MATCH($E$2,mission_ACH_criteria!$1:$1,0)+1,FALSE)</f>
        <v>プレイヤーランクを 20 まで上げよう！</v>
      </c>
      <c r="G151" s="27" t="s">
        <v>353</v>
      </c>
      <c r="H151" s="31" t="str">
        <f t="shared" ca="1" si="71"/>
        <v>ポリゴン x 2</v>
      </c>
      <c r="I151" s="31" t="str">
        <f ca="1">VLOOKUP($G151,OFFSET(mission_ACH!$A$2,0,0,COUNTA($A:$A),MATCH(I$2,mission_ACH!$2:$2,0)-MATCH($G$2,mission_ACH!$2:$2,0)+1),MATCH(I$2,mission_ACH!$2:$2,0)-MATCH($G$2,mission_ACH!$2:$2,0)+1,FALSE)</f>
        <v>polygon</v>
      </c>
      <c r="J151" s="31">
        <f ca="1">VLOOKUP($G151,OFFSET(mission_ACH!$A$2,0,0,COUNTA($A:$A),MATCH(J$2,mission_ACH!$2:$2,0)-MATCH($G$2,mission_ACH!$2:$2,0)+1),MATCH(J$2,mission_ACH!$2:$2,0)-MATCH($G$2,mission_ACH!$2:$2,0)+1,FALSE)</f>
        <v>2</v>
      </c>
      <c r="K151" s="31" t="str">
        <f ca="1">IF(I151="unit",VLOOKUP($G151,OFFSET(mission_ACH!$A$2,0,0,COUNTA($A:$A),MATCH(K$2,mission_ACH!$2:$2,0)-MATCH($G$2,mission_ACH!$2:$2,0)+1),MATCH(K$2,mission_ACH!$2:$2,0)-MATCH($G$2,mission_ACH!$2:$2,0)+1,FALSE),"")</f>
        <v/>
      </c>
      <c r="L151" s="31">
        <f ca="1">VLOOKUP($G151,OFFSET(mission_ACH!$A$2,0,0,COUNTA($A:$A),MATCH(L$2,mission_ACH!$2:$2,0)-MATCH($G$2,mission_ACH!$2:$2,0)+1),MATCH(L$2,mission_ACH!$2:$2,0)-MATCH($G$2,mission_ACH!$2:$2,0)+1,FALSE)</f>
        <v>0</v>
      </c>
      <c r="M151" s="27">
        <v>50</v>
      </c>
      <c r="N151" s="2" t="s">
        <v>955</v>
      </c>
      <c r="O151" s="2" t="s">
        <v>955</v>
      </c>
    </row>
    <row r="152" spans="1:15" s="1" customFormat="1" ht="21" customHeight="1" x14ac:dyDescent="0.15">
      <c r="A152" s="27">
        <v>3004</v>
      </c>
      <c r="B152" s="26" t="str">
        <f t="shared" ca="1" si="72"/>
        <v>プレイヤーランクを 25 まで上げよう！</v>
      </c>
      <c r="C152" s="27" t="s">
        <v>208</v>
      </c>
      <c r="D152" s="31" t="str">
        <f ca="1">VLOOKUP($C152,OFFSET(mission_unlock_criteria!$A$2,0,0,COUNTA(mission_unlock_criteria!$A:$A),MATCH(D$2,mission_unlock_criteria!$2:$2,0)-MATCH($C$2,mission_unlock_criteria!$2:$2,0)+1),MATCH(D$2,mission_unlock_criteria!$2:$2,0)-MATCH($C$2,mission_unlock_criteria!$2:$2,0)+1,FALSE)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20 に到達</v>
      </c>
      <c r="E152" s="2" t="s">
        <v>376</v>
      </c>
      <c r="F152" s="31" t="str">
        <f ca="1">VLOOKUP($E152,OFFSET(mission_ACH_criteria!$A$1,0,0,COUNTA(mission_ACH_criteria!$A:$A),MATCH(F$2,mission_ACH_criteria!$1:$1,0)-MATCH($E$2,mission_ACH_criteria!$1:$1,0)+1),MATCH(F$2,mission_ACH_criteria!$1:$1,0)-MATCH($E$2,mission_ACH_criteria!$1:$1,0)+1,FALSE)</f>
        <v>プレイヤーランクを 25 まで上げよう！</v>
      </c>
      <c r="G152" s="27" t="s">
        <v>353</v>
      </c>
      <c r="H152" s="31" t="str">
        <f t="shared" ca="1" si="71"/>
        <v>ポリゴン x 2</v>
      </c>
      <c r="I152" s="31" t="str">
        <f ca="1">VLOOKUP($G152,OFFSET(mission_ACH!$A$2,0,0,COUNTA($A:$A),MATCH(I$2,mission_ACH!$2:$2,0)-MATCH($G$2,mission_ACH!$2:$2,0)+1),MATCH(I$2,mission_ACH!$2:$2,0)-MATCH($G$2,mission_ACH!$2:$2,0)+1,FALSE)</f>
        <v>polygon</v>
      </c>
      <c r="J152" s="31">
        <f ca="1">VLOOKUP($G152,OFFSET(mission_ACH!$A$2,0,0,COUNTA($A:$A),MATCH(J$2,mission_ACH!$2:$2,0)-MATCH($G$2,mission_ACH!$2:$2,0)+1),MATCH(J$2,mission_ACH!$2:$2,0)-MATCH($G$2,mission_ACH!$2:$2,0)+1,FALSE)</f>
        <v>2</v>
      </c>
      <c r="K152" s="31" t="str">
        <f ca="1">IF(I152="unit",VLOOKUP($G152,OFFSET(mission_ACH!$A$2,0,0,COUNTA($A:$A),MATCH(K$2,mission_ACH!$2:$2,0)-MATCH($G$2,mission_ACH!$2:$2,0)+1),MATCH(K$2,mission_ACH!$2:$2,0)-MATCH($G$2,mission_ACH!$2:$2,0)+1,FALSE),"")</f>
        <v/>
      </c>
      <c r="L152" s="31">
        <f ca="1">VLOOKUP($G152,OFFSET(mission_ACH!$A$2,0,0,COUNTA($A:$A),MATCH(L$2,mission_ACH!$2:$2,0)-MATCH($G$2,mission_ACH!$2:$2,0)+1),MATCH(L$2,mission_ACH!$2:$2,0)-MATCH($G$2,mission_ACH!$2:$2,0)+1,FALSE)</f>
        <v>0</v>
      </c>
      <c r="M152" s="27">
        <v>50</v>
      </c>
      <c r="N152" s="2" t="s">
        <v>955</v>
      </c>
      <c r="O152" s="2" t="s">
        <v>955</v>
      </c>
    </row>
    <row r="153" spans="1:15" s="1" customFormat="1" ht="21" customHeight="1" x14ac:dyDescent="0.15">
      <c r="A153" s="27">
        <v>3005</v>
      </c>
      <c r="B153" s="26" t="str">
        <f t="shared" ca="1" si="72"/>
        <v>プレイヤーランクを 30 まで上げよう！</v>
      </c>
      <c r="C153" s="27" t="s">
        <v>395</v>
      </c>
      <c r="D153" s="31" t="str">
        <f ca="1">VLOOKUP($C153,OFFSET(mission_unlock_criteria!$A$2,0,0,COUNTA(mission_unlock_criteria!$A:$A),MATCH(D$2,mission_unlock_criteria!$2:$2,0)-MATCH($C$2,mission_unlock_criteria!$2:$2,0)+1),MATCH(D$2,mission_unlock_criteria!$2:$2,0)-MATCH($C$2,mission_unlock_criteria!$2:$2,0)+1,FALSE)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25 に到達</v>
      </c>
      <c r="E153" s="2" t="s">
        <v>377</v>
      </c>
      <c r="F153" s="31" t="str">
        <f ca="1">VLOOKUP($E153,OFFSET(mission_ACH_criteria!$A$1,0,0,COUNTA(mission_ACH_criteria!$A:$A),MATCH(F$2,mission_ACH_criteria!$1:$1,0)-MATCH($E$2,mission_ACH_criteria!$1:$1,0)+1),MATCH(F$2,mission_ACH_criteria!$1:$1,0)-MATCH($E$2,mission_ACH_criteria!$1:$1,0)+1,FALSE)</f>
        <v>プレイヤーランクを 30 まで上げよう！</v>
      </c>
      <c r="G153" s="27" t="s">
        <v>398</v>
      </c>
      <c r="H153" s="31" t="str">
        <f t="shared" ca="1" si="71"/>
        <v>ポリゴン x 3</v>
      </c>
      <c r="I153" s="31" t="str">
        <f ca="1">VLOOKUP($G153,OFFSET(mission_ACH!$A$2,0,0,COUNTA($A:$A),MATCH(I$2,mission_ACH!$2:$2,0)-MATCH($G$2,mission_ACH!$2:$2,0)+1),MATCH(I$2,mission_ACH!$2:$2,0)-MATCH($G$2,mission_ACH!$2:$2,0)+1,FALSE)</f>
        <v>polygon</v>
      </c>
      <c r="J153" s="31">
        <f ca="1">VLOOKUP($G153,OFFSET(mission_ACH!$A$2,0,0,COUNTA($A:$A),MATCH(J$2,mission_ACH!$2:$2,0)-MATCH($G$2,mission_ACH!$2:$2,0)+1),MATCH(J$2,mission_ACH!$2:$2,0)-MATCH($G$2,mission_ACH!$2:$2,0)+1,FALSE)</f>
        <v>3</v>
      </c>
      <c r="K153" s="31" t="str">
        <f ca="1">IF(I153="unit",VLOOKUP($G153,OFFSET(mission_ACH!$A$2,0,0,COUNTA($A:$A),MATCH(K$2,mission_ACH!$2:$2,0)-MATCH($G$2,mission_ACH!$2:$2,0)+1),MATCH(K$2,mission_ACH!$2:$2,0)-MATCH($G$2,mission_ACH!$2:$2,0)+1,FALSE),"")</f>
        <v/>
      </c>
      <c r="L153" s="31">
        <f ca="1">VLOOKUP($G153,OFFSET(mission_ACH!$A$2,0,0,COUNTA($A:$A),MATCH(L$2,mission_ACH!$2:$2,0)-MATCH($G$2,mission_ACH!$2:$2,0)+1),MATCH(L$2,mission_ACH!$2:$2,0)-MATCH($G$2,mission_ACH!$2:$2,0)+1,FALSE)</f>
        <v>0</v>
      </c>
      <c r="M153" s="27">
        <v>50</v>
      </c>
      <c r="N153" s="2" t="s">
        <v>955</v>
      </c>
      <c r="O153" s="2" t="s">
        <v>955</v>
      </c>
    </row>
    <row r="154" spans="1:15" s="1" customFormat="1" ht="21" customHeight="1" x14ac:dyDescent="0.15">
      <c r="A154" s="27">
        <v>3006</v>
      </c>
      <c r="B154" s="26" t="str">
        <f t="shared" ca="1" si="72"/>
        <v>プレイヤーランクを 35 まで上げよう！</v>
      </c>
      <c r="C154" s="27" t="s">
        <v>209</v>
      </c>
      <c r="D154" s="31" t="str">
        <f ca="1">VLOOKUP($C154,OFFSET(mission_unlock_criteria!$A$2,0,0,COUNTA(mission_unlock_criteria!$A:$A),MATCH(D$2,mission_unlock_criteria!$2:$2,0)-MATCH($C$2,mission_unlock_criteria!$2:$2,0)+1),MATCH(D$2,mission_unlock_criteria!$2:$2,0)-MATCH($C$2,mission_unlock_criteria!$2:$2,0)+1,FALSE)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30 に到達</v>
      </c>
      <c r="E154" s="2" t="s">
        <v>378</v>
      </c>
      <c r="F154" s="31" t="str">
        <f ca="1">VLOOKUP($E154,OFFSET(mission_ACH_criteria!$A$1,0,0,COUNTA(mission_ACH_criteria!$A:$A),MATCH(F$2,mission_ACH_criteria!$1:$1,0)-MATCH($E$2,mission_ACH_criteria!$1:$1,0)+1),MATCH(F$2,mission_ACH_criteria!$1:$1,0)-MATCH($E$2,mission_ACH_criteria!$1:$1,0)+1,FALSE)</f>
        <v>プレイヤーランクを 35 まで上げよう！</v>
      </c>
      <c r="G154" s="27" t="s">
        <v>398</v>
      </c>
      <c r="H154" s="31" t="str">
        <f t="shared" ca="1" si="71"/>
        <v>ポリゴン x 3</v>
      </c>
      <c r="I154" s="31" t="str">
        <f ca="1">VLOOKUP($G154,OFFSET(mission_ACH!$A$2,0,0,COUNTA($A:$A),MATCH(I$2,mission_ACH!$2:$2,0)-MATCH($G$2,mission_ACH!$2:$2,0)+1),MATCH(I$2,mission_ACH!$2:$2,0)-MATCH($G$2,mission_ACH!$2:$2,0)+1,FALSE)</f>
        <v>polygon</v>
      </c>
      <c r="J154" s="31">
        <f ca="1">VLOOKUP($G154,OFFSET(mission_ACH!$A$2,0,0,COUNTA($A:$A),MATCH(J$2,mission_ACH!$2:$2,0)-MATCH($G$2,mission_ACH!$2:$2,0)+1),MATCH(J$2,mission_ACH!$2:$2,0)-MATCH($G$2,mission_ACH!$2:$2,0)+1,FALSE)</f>
        <v>3</v>
      </c>
      <c r="K154" s="31" t="str">
        <f ca="1">IF(I154="unit",VLOOKUP($G154,OFFSET(mission_ACH!$A$2,0,0,COUNTA($A:$A),MATCH(K$2,mission_ACH!$2:$2,0)-MATCH($G$2,mission_ACH!$2:$2,0)+1),MATCH(K$2,mission_ACH!$2:$2,0)-MATCH($G$2,mission_ACH!$2:$2,0)+1,FALSE),"")</f>
        <v/>
      </c>
      <c r="L154" s="31">
        <f ca="1">VLOOKUP($G154,OFFSET(mission_ACH!$A$2,0,0,COUNTA($A:$A),MATCH(L$2,mission_ACH!$2:$2,0)-MATCH($G$2,mission_ACH!$2:$2,0)+1),MATCH(L$2,mission_ACH!$2:$2,0)-MATCH($G$2,mission_ACH!$2:$2,0)+1,FALSE)</f>
        <v>0</v>
      </c>
      <c r="M154" s="27">
        <v>50</v>
      </c>
      <c r="N154" s="2" t="s">
        <v>955</v>
      </c>
      <c r="O154" s="2" t="s">
        <v>955</v>
      </c>
    </row>
    <row r="155" spans="1:15" s="1" customFormat="1" ht="21" customHeight="1" x14ac:dyDescent="0.15">
      <c r="A155" s="27">
        <v>3007</v>
      </c>
      <c r="B155" s="26" t="str">
        <f t="shared" ca="1" si="72"/>
        <v>プレイヤーランクを 40 まで上げよう！</v>
      </c>
      <c r="C155" s="27" t="s">
        <v>396</v>
      </c>
      <c r="D155" s="31" t="str">
        <f ca="1">VLOOKUP($C155,OFFSET(mission_unlock_criteria!$A$2,0,0,COUNTA(mission_unlock_criteria!$A:$A),MATCH(D$2,mission_unlock_criteria!$2:$2,0)-MATCH($C$2,mission_unlock_criteria!$2:$2,0)+1),MATCH(D$2,mission_unlock_criteria!$2:$2,0)-MATCH($C$2,mission_unlock_criteria!$2:$2,0)+1,FALSE)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35 に到達</v>
      </c>
      <c r="E155" s="2" t="s">
        <v>379</v>
      </c>
      <c r="F155" s="31" t="str">
        <f ca="1">VLOOKUP($E155,OFFSET(mission_ACH_criteria!$A$1,0,0,COUNTA(mission_ACH_criteria!$A:$A),MATCH(F$2,mission_ACH_criteria!$1:$1,0)-MATCH($E$2,mission_ACH_criteria!$1:$1,0)+1),MATCH(F$2,mission_ACH_criteria!$1:$1,0)-MATCH($E$2,mission_ACH_criteria!$1:$1,0)+1,FALSE)</f>
        <v>プレイヤーランクを 40 まで上げよう！</v>
      </c>
      <c r="G155" s="27" t="s">
        <v>399</v>
      </c>
      <c r="H155" s="31" t="str">
        <f t="shared" ca="1" si="71"/>
        <v>ポリゴン x 4</v>
      </c>
      <c r="I155" s="31" t="str">
        <f ca="1">VLOOKUP($G155,OFFSET(mission_ACH!$A$2,0,0,COUNTA($A:$A),MATCH(I$2,mission_ACH!$2:$2,0)-MATCH($G$2,mission_ACH!$2:$2,0)+1),MATCH(I$2,mission_ACH!$2:$2,0)-MATCH($G$2,mission_ACH!$2:$2,0)+1,FALSE)</f>
        <v>polygon</v>
      </c>
      <c r="J155" s="31">
        <f ca="1">VLOOKUP($G155,OFFSET(mission_ACH!$A$2,0,0,COUNTA($A:$A),MATCH(J$2,mission_ACH!$2:$2,0)-MATCH($G$2,mission_ACH!$2:$2,0)+1),MATCH(J$2,mission_ACH!$2:$2,0)-MATCH($G$2,mission_ACH!$2:$2,0)+1,FALSE)</f>
        <v>4</v>
      </c>
      <c r="K155" s="31" t="str">
        <f ca="1">IF(I155="unit",VLOOKUP($G155,OFFSET(mission_ACH!$A$2,0,0,COUNTA($A:$A),MATCH(K$2,mission_ACH!$2:$2,0)-MATCH($G$2,mission_ACH!$2:$2,0)+1),MATCH(K$2,mission_ACH!$2:$2,0)-MATCH($G$2,mission_ACH!$2:$2,0)+1,FALSE),"")</f>
        <v/>
      </c>
      <c r="L155" s="31">
        <f ca="1">VLOOKUP($G155,OFFSET(mission_ACH!$A$2,0,0,COUNTA($A:$A),MATCH(L$2,mission_ACH!$2:$2,0)-MATCH($G$2,mission_ACH!$2:$2,0)+1),MATCH(L$2,mission_ACH!$2:$2,0)-MATCH($G$2,mission_ACH!$2:$2,0)+1,FALSE)</f>
        <v>0</v>
      </c>
      <c r="M155" s="27">
        <v>50</v>
      </c>
      <c r="N155" s="2" t="s">
        <v>955</v>
      </c>
      <c r="O155" s="2" t="s">
        <v>955</v>
      </c>
    </row>
    <row r="156" spans="1:15" s="1" customFormat="1" ht="21" customHeight="1" x14ac:dyDescent="0.15">
      <c r="A156" s="27">
        <v>3008</v>
      </c>
      <c r="B156" s="26" t="str">
        <f t="shared" ca="1" si="72"/>
        <v>プレイヤーランクを 45 まで上げよう！</v>
      </c>
      <c r="C156" s="27" t="s">
        <v>210</v>
      </c>
      <c r="D156" s="31" t="str">
        <f ca="1">VLOOKUP($C156,OFFSET(mission_unlock_criteria!$A$2,0,0,COUNTA(mission_unlock_criteria!$A:$A),MATCH(D$2,mission_unlock_criteria!$2:$2,0)-MATCH($C$2,mission_unlock_criteria!$2:$2,0)+1),MATCH(D$2,mission_unlock_criteria!$2:$2,0)-MATCH($C$2,mission_unlock_criteria!$2:$2,0)+1,FALSE)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40 に到達</v>
      </c>
      <c r="E156" s="2" t="s">
        <v>371</v>
      </c>
      <c r="F156" s="31" t="str">
        <f ca="1">VLOOKUP($E156,OFFSET(mission_ACH_criteria!$A$1,0,0,COUNTA(mission_ACH_criteria!$A:$A),MATCH(F$2,mission_ACH_criteria!$1:$1,0)-MATCH($E$2,mission_ACH_criteria!$1:$1,0)+1),MATCH(F$2,mission_ACH_criteria!$1:$1,0)-MATCH($E$2,mission_ACH_criteria!$1:$1,0)+1,FALSE)</f>
        <v>プレイヤーランクを 45 まで上げよう！</v>
      </c>
      <c r="G156" s="27" t="s">
        <v>399</v>
      </c>
      <c r="H156" s="31" t="str">
        <f t="shared" ca="1" si="71"/>
        <v>ポリゴン x 4</v>
      </c>
      <c r="I156" s="31" t="str">
        <f ca="1">VLOOKUP($G156,OFFSET(mission_ACH!$A$2,0,0,COUNTA($A:$A),MATCH(I$2,mission_ACH!$2:$2,0)-MATCH($G$2,mission_ACH!$2:$2,0)+1),MATCH(I$2,mission_ACH!$2:$2,0)-MATCH($G$2,mission_ACH!$2:$2,0)+1,FALSE)</f>
        <v>polygon</v>
      </c>
      <c r="J156" s="31">
        <f ca="1">VLOOKUP($G156,OFFSET(mission_ACH!$A$2,0,0,COUNTA($A:$A),MATCH(J$2,mission_ACH!$2:$2,0)-MATCH($G$2,mission_ACH!$2:$2,0)+1),MATCH(J$2,mission_ACH!$2:$2,0)-MATCH($G$2,mission_ACH!$2:$2,0)+1,FALSE)</f>
        <v>4</v>
      </c>
      <c r="K156" s="31" t="str">
        <f ca="1">IF(I156="unit",VLOOKUP($G156,OFFSET(mission_ACH!$A$2,0,0,COUNTA($A:$A),MATCH(K$2,mission_ACH!$2:$2,0)-MATCH($G$2,mission_ACH!$2:$2,0)+1),MATCH(K$2,mission_ACH!$2:$2,0)-MATCH($G$2,mission_ACH!$2:$2,0)+1,FALSE),"")</f>
        <v/>
      </c>
      <c r="L156" s="31">
        <f ca="1">VLOOKUP($G156,OFFSET(mission_ACH!$A$2,0,0,COUNTA($A:$A),MATCH(L$2,mission_ACH!$2:$2,0)-MATCH($G$2,mission_ACH!$2:$2,0)+1),MATCH(L$2,mission_ACH!$2:$2,0)-MATCH($G$2,mission_ACH!$2:$2,0)+1,FALSE)</f>
        <v>0</v>
      </c>
      <c r="M156" s="27">
        <v>50</v>
      </c>
      <c r="N156" s="2" t="s">
        <v>955</v>
      </c>
      <c r="O156" s="2" t="s">
        <v>955</v>
      </c>
    </row>
    <row r="157" spans="1:15" s="1" customFormat="1" ht="21" customHeight="1" x14ac:dyDescent="0.15">
      <c r="A157" s="27">
        <v>3009</v>
      </c>
      <c r="B157" s="26" t="str">
        <f t="shared" ca="1" si="72"/>
        <v>プレイヤーランクを 50 まで上げよう！</v>
      </c>
      <c r="C157" s="27" t="s">
        <v>397</v>
      </c>
      <c r="D157" s="31" t="str">
        <f ca="1">VLOOKUP($C157,OFFSET(mission_unlock_criteria!$A$2,0,0,COUNTA(mission_unlock_criteria!$A:$A),MATCH(D$2,mission_unlock_criteria!$2:$2,0)-MATCH($C$2,mission_unlock_criteria!$2:$2,0)+1),MATCH(D$2,mission_unlock_criteria!$2:$2,0)-MATCH($C$2,mission_unlock_criteria!$2:$2,0)+1,FALSE)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45 に到達</v>
      </c>
      <c r="E157" s="2" t="s">
        <v>394</v>
      </c>
      <c r="F157" s="31" t="str">
        <f ca="1">VLOOKUP($E157,OFFSET(mission_ACH_criteria!$A$1,0,0,COUNTA(mission_ACH_criteria!$A:$A),MATCH(F$2,mission_ACH_criteria!$1:$1,0)-MATCH($E$2,mission_ACH_criteria!$1:$1,0)+1),MATCH(F$2,mission_ACH_criteria!$1:$1,0)-MATCH($E$2,mission_ACH_criteria!$1:$1,0)+1,FALSE)</f>
        <v>プレイヤーランクを 50 まで上げよう！</v>
      </c>
      <c r="G157" s="27" t="s">
        <v>400</v>
      </c>
      <c r="H157" s="31" t="str">
        <f t="shared" ca="1" si="71"/>
        <v>ポリゴン x 5</v>
      </c>
      <c r="I157" s="31" t="str">
        <f ca="1">VLOOKUP($G157,OFFSET(mission_ACH!$A$2,0,0,COUNTA($A:$A),MATCH(I$2,mission_ACH!$2:$2,0)-MATCH($G$2,mission_ACH!$2:$2,0)+1),MATCH(I$2,mission_ACH!$2:$2,0)-MATCH($G$2,mission_ACH!$2:$2,0)+1,FALSE)</f>
        <v>polygon</v>
      </c>
      <c r="J157" s="31">
        <f ca="1">VLOOKUP($G157,OFFSET(mission_ACH!$A$2,0,0,COUNTA($A:$A),MATCH(J$2,mission_ACH!$2:$2,0)-MATCH($G$2,mission_ACH!$2:$2,0)+1),MATCH(J$2,mission_ACH!$2:$2,0)-MATCH($G$2,mission_ACH!$2:$2,0)+1,FALSE)</f>
        <v>5</v>
      </c>
      <c r="K157" s="31" t="str">
        <f ca="1">IF(I157="unit",VLOOKUP($G157,OFFSET(mission_ACH!$A$2,0,0,COUNTA($A:$A),MATCH(K$2,mission_ACH!$2:$2,0)-MATCH($G$2,mission_ACH!$2:$2,0)+1),MATCH(K$2,mission_ACH!$2:$2,0)-MATCH($G$2,mission_ACH!$2:$2,0)+1,FALSE),"")</f>
        <v/>
      </c>
      <c r="L157" s="31">
        <f ca="1">VLOOKUP($G157,OFFSET(mission_ACH!$A$2,0,0,COUNTA($A:$A),MATCH(L$2,mission_ACH!$2:$2,0)-MATCH($G$2,mission_ACH!$2:$2,0)+1),MATCH(L$2,mission_ACH!$2:$2,0)-MATCH($G$2,mission_ACH!$2:$2,0)+1,FALSE)</f>
        <v>0</v>
      </c>
      <c r="M157" s="27">
        <v>50</v>
      </c>
      <c r="N157" s="2" t="s">
        <v>955</v>
      </c>
      <c r="O157" s="2" t="s">
        <v>955</v>
      </c>
    </row>
    <row r="158" spans="1:15" s="1" customFormat="1" ht="21" customHeight="1" x14ac:dyDescent="0.15">
      <c r="A158" s="120">
        <v>3101</v>
      </c>
      <c r="B158" s="120" t="str">
        <f t="shared" ca="1" si="61"/>
        <v>クエスト 幸せのカタチ をクリアしよう！</v>
      </c>
      <c r="C158" s="120" t="s">
        <v>372</v>
      </c>
      <c r="D158" s="121" t="str">
        <f ca="1">VLOOKUP($C158,OFFSET(mission_unlock_criteria!$A$2,0,0,COUNTA(mission_unlock_criteria!$A:$A),MATCH(D$2,mission_unlock_criteria!$2:$2,0)-MATCH($C$2,mission_unlock_criteria!$2:$2,0)+1),MATCH(D$2,mission_unlock_criteria!$2:$2,0)-MATCH($C$2,mission_unlock_criteria!$2:$2,0)+1,FALSE)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8 に到達</v>
      </c>
      <c r="E158" s="136" t="s">
        <v>361</v>
      </c>
      <c r="F158" s="121" t="str">
        <f ca="1">VLOOKUP($E158,OFFSET(mission_ACH_criteria!$A$1,0,0,COUNTA(mission_ACH_criteria!$A:$A),MATCH(F$2,mission_ACH_criteria!$1:$1,0)-MATCH($E$2,mission_ACH_criteria!$1:$1,0)+1),MATCH(F$2,mission_ACH_criteria!$1:$1,0)-MATCH($E$2,mission_ACH_criteria!$1:$1,0)+1,FALSE)</f>
        <v>クエスト 幸せのカタチ をクリアしよう！</v>
      </c>
      <c r="G158" s="149" t="s">
        <v>539</v>
      </c>
      <c r="H158" s="121" t="str">
        <f ca="1">IF(I158="unit",K158&amp;" x "&amp;L158,IF(I158="polygon","ポリゴン x "&amp;J158,IF(I158="bit","ビット x "&amp;J158,IF(I158="link","リンク x "&amp;J158))))</f>
        <v>ハッピー100 x 1</v>
      </c>
      <c r="I158" s="121" t="str">
        <f ca="1">VLOOKUP($G158,OFFSET(mission_ACH!$A$2,0,0,COUNTA($A:$A),MATCH(I$2,mission_ACH!$2:$2,0)-MATCH($G$2,mission_ACH!$2:$2,0)+1),MATCH(I$2,mission_ACH!$2:$2,0)-MATCH($G$2,mission_ACH!$2:$2,0)+1,FALSE)</f>
        <v>unit</v>
      </c>
      <c r="J158" s="121">
        <f ca="1">VLOOKUP($G158,OFFSET(mission_ACH!$A$2,0,0,COUNTA($A:$A),MATCH(J$2,mission_ACH!$2:$2,0)-MATCH($G$2,mission_ACH!$2:$2,0)+1),MATCH(J$2,mission_ACH!$2:$2,0)-MATCH($G$2,mission_ACH!$2:$2,0)+1,FALSE)</f>
        <v>79</v>
      </c>
      <c r="K158" s="121" t="str">
        <f ca="1">IF(I158="unit",VLOOKUP($G158,OFFSET(mission_ACH!$A$2,0,0,COUNTA($A:$A),MATCH(K$2,mission_ACH!$2:$2,0)-MATCH($G$2,mission_ACH!$2:$2,0)+1),MATCH(K$2,mission_ACH!$2:$2,0)-MATCH($G$2,mission_ACH!$2:$2,0)+1,FALSE),"")</f>
        <v>ハッピー100</v>
      </c>
      <c r="L158" s="121">
        <f ca="1">VLOOKUP($G158,OFFSET(mission_ACH!$A$2,0,0,COUNTA($A:$A),MATCH(L$2,mission_ACH!$2:$2,0)-MATCH($G$2,mission_ACH!$2:$2,0)+1),MATCH(L$2,mission_ACH!$2:$2,0)-MATCH($G$2,mission_ACH!$2:$2,0)+1,FALSE)</f>
        <v>1</v>
      </c>
      <c r="M158" s="120">
        <v>80</v>
      </c>
      <c r="N158" s="120" t="s">
        <v>2275</v>
      </c>
      <c r="O158" s="120" t="s">
        <v>2275</v>
      </c>
    </row>
    <row r="159" spans="1:15" s="1" customFormat="1" ht="21" customHeight="1" x14ac:dyDescent="0.15">
      <c r="A159" s="120">
        <v>3102</v>
      </c>
      <c r="B159" s="120" t="str">
        <f t="shared" ref="B159:B167" ca="1" si="73">F159</f>
        <v>クエスト 幼女増殖！！ をクリアしよう！</v>
      </c>
      <c r="C159" s="120" t="s">
        <v>206</v>
      </c>
      <c r="D159" s="121" t="str">
        <f ca="1">VLOOKUP($C159,OFFSET(mission_unlock_criteria!$A$2,0,0,COUNTA(mission_unlock_criteria!$A:$A),MATCH(D$2,mission_unlock_criteria!$2:$2,0)-MATCH($C$2,mission_unlock_criteria!$2:$2,0)+1),MATCH(D$2,mission_unlock_criteria!$2:$2,0)-MATCH($C$2,mission_unlock_criteria!$2:$2,0)+1,FALSE)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10 に到達</v>
      </c>
      <c r="E159" s="136" t="s">
        <v>362</v>
      </c>
      <c r="F159" s="121" t="str">
        <f ca="1">VLOOKUP($E159,OFFSET(mission_ACH_criteria!$A$1,0,0,COUNTA(mission_ACH_criteria!$A:$A),MATCH(F$2,mission_ACH_criteria!$1:$1,0)-MATCH($E$2,mission_ACH_criteria!$1:$1,0)+1),MATCH(F$2,mission_ACH_criteria!$1:$1,0)-MATCH($E$2,mission_ACH_criteria!$1:$1,0)+1,FALSE)</f>
        <v>クエスト 幼女増殖！！ をクリアしよう！</v>
      </c>
      <c r="G159" s="149" t="s">
        <v>541</v>
      </c>
      <c r="H159" s="121" t="str">
        <f t="shared" ref="H159:H167" ca="1" si="74">IF(I159="unit",K159&amp;" x "&amp;L159,IF(I159="polygon","ポリゴン x "&amp;J159,IF(I159="bit","ビット x "&amp;J159,IF(I159="link","リンク x "&amp;J159))))</f>
        <v>拡散性ニムダ x 1</v>
      </c>
      <c r="I159" s="121" t="str">
        <f ca="1">VLOOKUP($G159,OFFSET(mission_ACH!$A$2,0,0,COUNTA($A:$A),MATCH(I$2,mission_ACH!$2:$2,0)-MATCH($G$2,mission_ACH!$2:$2,0)+1),MATCH(I$2,mission_ACH!$2:$2,0)-MATCH($G$2,mission_ACH!$2:$2,0)+1,FALSE)</f>
        <v>unit</v>
      </c>
      <c r="J159" s="121">
        <f ca="1">VLOOKUP($G159,OFFSET(mission_ACH!$A$2,0,0,COUNTA($A:$A),MATCH(J$2,mission_ACH!$2:$2,0)-MATCH($G$2,mission_ACH!$2:$2,0)+1),MATCH(J$2,mission_ACH!$2:$2,0)-MATCH($G$2,mission_ACH!$2:$2,0)+1,FALSE)</f>
        <v>83</v>
      </c>
      <c r="K159" s="121" t="str">
        <f ca="1">IF(I159="unit",VLOOKUP($G159,OFFSET(mission_ACH!$A$2,0,0,COUNTA($A:$A),MATCH(K$2,mission_ACH!$2:$2,0)-MATCH($G$2,mission_ACH!$2:$2,0)+1),MATCH(K$2,mission_ACH!$2:$2,0)-MATCH($G$2,mission_ACH!$2:$2,0)+1,FALSE),"")</f>
        <v>拡散性ニムダ</v>
      </c>
      <c r="L159" s="121">
        <f ca="1">VLOOKUP($G159,OFFSET(mission_ACH!$A$2,0,0,COUNTA($A:$A),MATCH(L$2,mission_ACH!$2:$2,0)-MATCH($G$2,mission_ACH!$2:$2,0)+1),MATCH(L$2,mission_ACH!$2:$2,0)-MATCH($G$2,mission_ACH!$2:$2,0)+1,FALSE)</f>
        <v>1</v>
      </c>
      <c r="M159" s="120">
        <v>80</v>
      </c>
      <c r="N159" s="120" t="s">
        <v>2275</v>
      </c>
      <c r="O159" s="120" t="s">
        <v>2275</v>
      </c>
    </row>
    <row r="160" spans="1:15" s="1" customFormat="1" ht="21" customHeight="1" x14ac:dyDescent="0.15">
      <c r="A160" s="120">
        <v>3103</v>
      </c>
      <c r="B160" s="120" t="str">
        <f t="shared" ca="1" si="73"/>
        <v>クエスト 静かなる混乱 をクリアしよう！</v>
      </c>
      <c r="C160" s="120" t="s">
        <v>207</v>
      </c>
      <c r="D160" s="121" t="str">
        <f ca="1">VLOOKUP($C160,OFFSET(mission_unlock_criteria!$A$2,0,0,COUNTA(mission_unlock_criteria!$A:$A),MATCH(D$2,mission_unlock_criteria!$2:$2,0)-MATCH($C$2,mission_unlock_criteria!$2:$2,0)+1),MATCH(D$2,mission_unlock_criteria!$2:$2,0)-MATCH($C$2,mission_unlock_criteria!$2:$2,0)+1,FALSE)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15 に到達</v>
      </c>
      <c r="E160" s="136" t="s">
        <v>363</v>
      </c>
      <c r="F160" s="121" t="str">
        <f ca="1">VLOOKUP($E160,OFFSET(mission_ACH_criteria!$A$1,0,0,COUNTA(mission_ACH_criteria!$A:$A),MATCH(F$2,mission_ACH_criteria!$1:$1,0)-MATCH($E$2,mission_ACH_criteria!$1:$1,0)+1),MATCH(F$2,mission_ACH_criteria!$1:$1,0)-MATCH($E$2,mission_ACH_criteria!$1:$1,0)+1,FALSE)</f>
        <v>クエスト 静かなる混乱 をクリアしよう！</v>
      </c>
      <c r="G160" s="149" t="s">
        <v>540</v>
      </c>
      <c r="H160" s="121" t="str">
        <f t="shared" ca="1" si="74"/>
        <v>増幅型モリス x 1</v>
      </c>
      <c r="I160" s="121" t="str">
        <f ca="1">VLOOKUP($G160,OFFSET(mission_ACH!$A$2,0,0,COUNTA($A:$A),MATCH(I$2,mission_ACH!$2:$2,0)-MATCH($G$2,mission_ACH!$2:$2,0)+1),MATCH(I$2,mission_ACH!$2:$2,0)-MATCH($G$2,mission_ACH!$2:$2,0)+1,FALSE)</f>
        <v>unit</v>
      </c>
      <c r="J160" s="121">
        <f ca="1">VLOOKUP($G160,OFFSET(mission_ACH!$A$2,0,0,COUNTA($A:$A),MATCH(J$2,mission_ACH!$2:$2,0)-MATCH($G$2,mission_ACH!$2:$2,0)+1),MATCH(J$2,mission_ACH!$2:$2,0)-MATCH($G$2,mission_ACH!$2:$2,0)+1,FALSE)</f>
        <v>81</v>
      </c>
      <c r="K160" s="121" t="str">
        <f ca="1">IF(I160="unit",VLOOKUP($G160,OFFSET(mission_ACH!$A$2,0,0,COUNTA($A:$A),MATCH(K$2,mission_ACH!$2:$2,0)-MATCH($G$2,mission_ACH!$2:$2,0)+1),MATCH(K$2,mission_ACH!$2:$2,0)-MATCH($G$2,mission_ACH!$2:$2,0)+1,FALSE),"")</f>
        <v>増幅型モリス</v>
      </c>
      <c r="L160" s="121">
        <f ca="1">VLOOKUP($G160,OFFSET(mission_ACH!$A$2,0,0,COUNTA($A:$A),MATCH(L$2,mission_ACH!$2:$2,0)-MATCH($G$2,mission_ACH!$2:$2,0)+1),MATCH(L$2,mission_ACH!$2:$2,0)-MATCH($G$2,mission_ACH!$2:$2,0)+1,FALSE)</f>
        <v>1</v>
      </c>
      <c r="M160" s="120">
        <v>80</v>
      </c>
      <c r="N160" s="120" t="s">
        <v>2275</v>
      </c>
      <c r="O160" s="120" t="s">
        <v>2275</v>
      </c>
    </row>
    <row r="161" spans="1:15" s="1" customFormat="1" ht="21" customHeight="1" x14ac:dyDescent="0.15">
      <c r="A161" s="120">
        <v>3104</v>
      </c>
      <c r="B161" s="120" t="str">
        <f t="shared" ca="1" si="73"/>
        <v>クエスト 紅き侵入者 をクリアしよう！</v>
      </c>
      <c r="C161" s="120" t="s">
        <v>208</v>
      </c>
      <c r="D161" s="121" t="str">
        <f ca="1">VLOOKUP($C161,OFFSET(mission_unlock_criteria!$A$2,0,0,COUNTA(mission_unlock_criteria!$A:$A),MATCH(D$2,mission_unlock_criteria!$2:$2,0)-MATCH($C$2,mission_unlock_criteria!$2:$2,0)+1),MATCH(D$2,mission_unlock_criteria!$2:$2,0)-MATCH($C$2,mission_unlock_criteria!$2:$2,0)+1,FALSE)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20 に到達</v>
      </c>
      <c r="E161" s="136" t="s">
        <v>364</v>
      </c>
      <c r="F161" s="121" t="str">
        <f ca="1">VLOOKUP($E161,OFFSET(mission_ACH_criteria!$A$1,0,0,COUNTA(mission_ACH_criteria!$A:$A),MATCH(F$2,mission_ACH_criteria!$1:$1,0)-MATCH($E$2,mission_ACH_criteria!$1:$1,0)+1),MATCH(F$2,mission_ACH_criteria!$1:$1,0)-MATCH($E$2,mission_ACH_criteria!$1:$1,0)+1,FALSE)</f>
        <v>クエスト 紅き侵入者 をクリアしよう！</v>
      </c>
      <c r="G161" s="149" t="s">
        <v>538</v>
      </c>
      <c r="H161" s="121" t="str">
        <f t="shared" ca="1" si="74"/>
        <v>潜伏型メリッサ x 1</v>
      </c>
      <c r="I161" s="121" t="str">
        <f ca="1">VLOOKUP($G161,OFFSET(mission_ACH!$A$2,0,0,COUNTA($A:$A),MATCH(I$2,mission_ACH!$2:$2,0)-MATCH($G$2,mission_ACH!$2:$2,0)+1),MATCH(I$2,mission_ACH!$2:$2,0)-MATCH($G$2,mission_ACH!$2:$2,0)+1,FALSE)</f>
        <v>unit</v>
      </c>
      <c r="J161" s="121">
        <f ca="1">VLOOKUP($G161,OFFSET(mission_ACH!$A$2,0,0,COUNTA($A:$A),MATCH(J$2,mission_ACH!$2:$2,0)-MATCH($G$2,mission_ACH!$2:$2,0)+1),MATCH(J$2,mission_ACH!$2:$2,0)-MATCH($G$2,mission_ACH!$2:$2,0)+1,FALSE)</f>
        <v>77</v>
      </c>
      <c r="K161" s="121" t="str">
        <f ca="1">IF(I161="unit",VLOOKUP($G161,OFFSET(mission_ACH!$A$2,0,0,COUNTA($A:$A),MATCH(K$2,mission_ACH!$2:$2,0)-MATCH($G$2,mission_ACH!$2:$2,0)+1),MATCH(K$2,mission_ACH!$2:$2,0)-MATCH($G$2,mission_ACH!$2:$2,0)+1,FALSE),"")</f>
        <v>潜伏型メリッサ</v>
      </c>
      <c r="L161" s="121">
        <f ca="1">VLOOKUP($G161,OFFSET(mission_ACH!$A$2,0,0,COUNTA($A:$A),MATCH(L$2,mission_ACH!$2:$2,0)-MATCH($G$2,mission_ACH!$2:$2,0)+1),MATCH(L$2,mission_ACH!$2:$2,0)-MATCH($G$2,mission_ACH!$2:$2,0)+1,FALSE)</f>
        <v>1</v>
      </c>
      <c r="M161" s="120">
        <v>80</v>
      </c>
      <c r="N161" s="120" t="s">
        <v>2275</v>
      </c>
      <c r="O161" s="120" t="s">
        <v>2275</v>
      </c>
    </row>
    <row r="162" spans="1:15" s="1" customFormat="1" ht="21" customHeight="1" x14ac:dyDescent="0.15">
      <c r="A162" s="120">
        <v>3105</v>
      </c>
      <c r="B162" s="120" t="str">
        <f t="shared" ca="1" si="73"/>
        <v>クエスト イブとトモダチと狼男 をクリアしよう！</v>
      </c>
      <c r="C162" s="120" t="s">
        <v>525</v>
      </c>
      <c r="D162" s="121" t="str">
        <f ca="1">VLOOKUP($C162,OFFSET(mission_unlock_criteria!$A$2,0,0,COUNTA(mission_unlock_criteria!$A:$A),MATCH(D$2,mission_unlock_criteria!$2:$2,0)-MATCH($C$2,mission_unlock_criteria!$2:$2,0)+1),MATCH(D$2,mission_unlock_criteria!$2:$2,0)-MATCH($C$2,mission_unlock_criteria!$2:$2,0)+1,FALSE)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25 に到達</v>
      </c>
      <c r="E162" s="136" t="s">
        <v>365</v>
      </c>
      <c r="F162" s="121" t="str">
        <f ca="1">VLOOKUP($E162,OFFSET(mission_ACH_criteria!$A$1,0,0,COUNTA(mission_ACH_criteria!$A:$A),MATCH(F$2,mission_ACH_criteria!$1:$1,0)-MATCH($E$2,mission_ACH_criteria!$1:$1,0)+1),MATCH(F$2,mission_ACH_criteria!$1:$1,0)-MATCH($E$2,mission_ACH_criteria!$1:$1,0)+1,FALSE)</f>
        <v>クエスト イブとトモダチと狼男 をクリアしよう！</v>
      </c>
      <c r="G162" s="120" t="s">
        <v>233</v>
      </c>
      <c r="H162" s="121" t="str">
        <f t="shared" ca="1" si="74"/>
        <v>ポリゴン x 1</v>
      </c>
      <c r="I162" s="121" t="str">
        <f ca="1">VLOOKUP($G162,OFFSET(mission_ACH!$A$2,0,0,COUNTA($A:$A),MATCH(I$2,mission_ACH!$2:$2,0)-MATCH($G$2,mission_ACH!$2:$2,0)+1),MATCH(I$2,mission_ACH!$2:$2,0)-MATCH($G$2,mission_ACH!$2:$2,0)+1,FALSE)</f>
        <v>polygon</v>
      </c>
      <c r="J162" s="121">
        <f ca="1">VLOOKUP($G162,OFFSET(mission_ACH!$A$2,0,0,COUNTA($A:$A),MATCH(J$2,mission_ACH!$2:$2,0)-MATCH($G$2,mission_ACH!$2:$2,0)+1),MATCH(J$2,mission_ACH!$2:$2,0)-MATCH($G$2,mission_ACH!$2:$2,0)+1,FALSE)</f>
        <v>1</v>
      </c>
      <c r="K162" s="121" t="str">
        <f ca="1">IF(I162="unit",VLOOKUP($G162,OFFSET(mission_ACH!$A$2,0,0,COUNTA($A:$A),MATCH(K$2,mission_ACH!$2:$2,0)-MATCH($G$2,mission_ACH!$2:$2,0)+1),MATCH(K$2,mission_ACH!$2:$2,0)-MATCH($G$2,mission_ACH!$2:$2,0)+1,FALSE),"")</f>
        <v/>
      </c>
      <c r="L162" s="121">
        <f ca="1">VLOOKUP($G162,OFFSET(mission_ACH!$A$2,0,0,COUNTA($A:$A),MATCH(L$2,mission_ACH!$2:$2,0)-MATCH($G$2,mission_ACH!$2:$2,0)+1),MATCH(L$2,mission_ACH!$2:$2,0)-MATCH($G$2,mission_ACH!$2:$2,0)+1,FALSE)</f>
        <v>0</v>
      </c>
      <c r="M162" s="120">
        <v>55</v>
      </c>
      <c r="N162" s="120" t="s">
        <v>2275</v>
      </c>
      <c r="O162" s="120" t="s">
        <v>2275</v>
      </c>
    </row>
    <row r="163" spans="1:15" s="1" customFormat="1" ht="21" customHeight="1" x14ac:dyDescent="0.15">
      <c r="A163" s="120">
        <v>3106</v>
      </c>
      <c r="B163" s="120" t="str">
        <f t="shared" ca="1" si="73"/>
        <v>クエスト 陸と海 をクリアしよう！</v>
      </c>
      <c r="C163" s="120" t="s">
        <v>209</v>
      </c>
      <c r="D163" s="121" t="str">
        <f ca="1">VLOOKUP($C163,OFFSET(mission_unlock_criteria!$A$2,0,0,COUNTA(mission_unlock_criteria!$A:$A),MATCH(D$2,mission_unlock_criteria!$2:$2,0)-MATCH($C$2,mission_unlock_criteria!$2:$2,0)+1),MATCH(D$2,mission_unlock_criteria!$2:$2,0)-MATCH($C$2,mission_unlock_criteria!$2:$2,0)+1,FALSE)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30 に到達</v>
      </c>
      <c r="E163" s="136" t="s">
        <v>366</v>
      </c>
      <c r="F163" s="121" t="str">
        <f ca="1">VLOOKUP($E163,OFFSET(mission_ACH_criteria!$A$1,0,0,COUNTA(mission_ACH_criteria!$A:$A),MATCH(F$2,mission_ACH_criteria!$1:$1,0)-MATCH($E$2,mission_ACH_criteria!$1:$1,0)+1),MATCH(F$2,mission_ACH_criteria!$1:$1,0)-MATCH($E$2,mission_ACH_criteria!$1:$1,0)+1,FALSE)</f>
        <v>クエスト 陸と海 をクリアしよう！</v>
      </c>
      <c r="G163" s="120" t="s">
        <v>233</v>
      </c>
      <c r="H163" s="121" t="str">
        <f t="shared" ca="1" si="74"/>
        <v>ポリゴン x 1</v>
      </c>
      <c r="I163" s="121" t="str">
        <f ca="1">VLOOKUP($G163,OFFSET(mission_ACH!$A$2,0,0,COUNTA($A:$A),MATCH(I$2,mission_ACH!$2:$2,0)-MATCH($G$2,mission_ACH!$2:$2,0)+1),MATCH(I$2,mission_ACH!$2:$2,0)-MATCH($G$2,mission_ACH!$2:$2,0)+1,FALSE)</f>
        <v>polygon</v>
      </c>
      <c r="J163" s="121">
        <f ca="1">VLOOKUP($G163,OFFSET(mission_ACH!$A$2,0,0,COUNTA($A:$A),MATCH(J$2,mission_ACH!$2:$2,0)-MATCH($G$2,mission_ACH!$2:$2,0)+1),MATCH(J$2,mission_ACH!$2:$2,0)-MATCH($G$2,mission_ACH!$2:$2,0)+1,FALSE)</f>
        <v>1</v>
      </c>
      <c r="K163" s="121" t="str">
        <f ca="1">IF(I163="unit",VLOOKUP($G163,OFFSET(mission_ACH!$A$2,0,0,COUNTA($A:$A),MATCH(K$2,mission_ACH!$2:$2,0)-MATCH($G$2,mission_ACH!$2:$2,0)+1),MATCH(K$2,mission_ACH!$2:$2,0)-MATCH($G$2,mission_ACH!$2:$2,0)+1,FALSE),"")</f>
        <v/>
      </c>
      <c r="L163" s="121">
        <f ca="1">VLOOKUP($G163,OFFSET(mission_ACH!$A$2,0,0,COUNTA($A:$A),MATCH(L$2,mission_ACH!$2:$2,0)-MATCH($G$2,mission_ACH!$2:$2,0)+1),MATCH(L$2,mission_ACH!$2:$2,0)-MATCH($G$2,mission_ACH!$2:$2,0)+1,FALSE)</f>
        <v>0</v>
      </c>
      <c r="M163" s="120">
        <v>55</v>
      </c>
      <c r="N163" s="120" t="s">
        <v>2275</v>
      </c>
      <c r="O163" s="120" t="s">
        <v>2275</v>
      </c>
    </row>
    <row r="164" spans="1:15" s="1" customFormat="1" ht="21" customHeight="1" x14ac:dyDescent="0.15">
      <c r="A164" s="120">
        <v>3107</v>
      </c>
      <c r="B164" s="120" t="str">
        <f t="shared" ca="1" si="73"/>
        <v>クエスト 二人の関係は？ をクリアしよう！</v>
      </c>
      <c r="C164" s="120" t="s">
        <v>396</v>
      </c>
      <c r="D164" s="121" t="str">
        <f ca="1">VLOOKUP($C164,OFFSET(mission_unlock_criteria!$A$2,0,0,COUNTA(mission_unlock_criteria!$A:$A),MATCH(D$2,mission_unlock_criteria!$2:$2,0)-MATCH($C$2,mission_unlock_criteria!$2:$2,0)+1),MATCH(D$2,mission_unlock_criteria!$2:$2,0)-MATCH($C$2,mission_unlock_criteria!$2:$2,0)+1,FALSE)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35 に到達</v>
      </c>
      <c r="E164" s="136" t="s">
        <v>367</v>
      </c>
      <c r="F164" s="121" t="str">
        <f ca="1">VLOOKUP($E164,OFFSET(mission_ACH_criteria!$A$1,0,0,COUNTA(mission_ACH_criteria!$A:$A),MATCH(F$2,mission_ACH_criteria!$1:$1,0)-MATCH($E$2,mission_ACH_criteria!$1:$1,0)+1),MATCH(F$2,mission_ACH_criteria!$1:$1,0)-MATCH($E$2,mission_ACH_criteria!$1:$1,0)+1,FALSE)</f>
        <v>クエスト 二人の関係は？ をクリアしよう！</v>
      </c>
      <c r="G164" s="120" t="s">
        <v>233</v>
      </c>
      <c r="H164" s="121" t="str">
        <f t="shared" ca="1" si="74"/>
        <v>ポリゴン x 1</v>
      </c>
      <c r="I164" s="121" t="str">
        <f ca="1">VLOOKUP($G164,OFFSET(mission_ACH!$A$2,0,0,COUNTA($A:$A),MATCH(I$2,mission_ACH!$2:$2,0)-MATCH($G$2,mission_ACH!$2:$2,0)+1),MATCH(I$2,mission_ACH!$2:$2,0)-MATCH($G$2,mission_ACH!$2:$2,0)+1,FALSE)</f>
        <v>polygon</v>
      </c>
      <c r="J164" s="121">
        <f ca="1">VLOOKUP($G164,OFFSET(mission_ACH!$A$2,0,0,COUNTA($A:$A),MATCH(J$2,mission_ACH!$2:$2,0)-MATCH($G$2,mission_ACH!$2:$2,0)+1),MATCH(J$2,mission_ACH!$2:$2,0)-MATCH($G$2,mission_ACH!$2:$2,0)+1,FALSE)</f>
        <v>1</v>
      </c>
      <c r="K164" s="121" t="str">
        <f ca="1">IF(I164="unit",VLOOKUP($G164,OFFSET(mission_ACH!$A$2,0,0,COUNTA($A:$A),MATCH(K$2,mission_ACH!$2:$2,0)-MATCH($G$2,mission_ACH!$2:$2,0)+1),MATCH(K$2,mission_ACH!$2:$2,0)-MATCH($G$2,mission_ACH!$2:$2,0)+1,FALSE),"")</f>
        <v/>
      </c>
      <c r="L164" s="121">
        <f ca="1">VLOOKUP($G164,OFFSET(mission_ACH!$A$2,0,0,COUNTA($A:$A),MATCH(L$2,mission_ACH!$2:$2,0)-MATCH($G$2,mission_ACH!$2:$2,0)+1),MATCH(L$2,mission_ACH!$2:$2,0)-MATCH($G$2,mission_ACH!$2:$2,0)+1,FALSE)</f>
        <v>0</v>
      </c>
      <c r="M164" s="120">
        <v>55</v>
      </c>
      <c r="N164" s="120" t="s">
        <v>2275</v>
      </c>
      <c r="O164" s="120" t="s">
        <v>2275</v>
      </c>
    </row>
    <row r="165" spans="1:15" s="1" customFormat="1" ht="21" customHeight="1" x14ac:dyDescent="0.15">
      <c r="A165" s="120">
        <v>3108</v>
      </c>
      <c r="B165" s="120" t="str">
        <f t="shared" ca="1" si="73"/>
        <v>クエスト 大地の杖 をクリアしよう！</v>
      </c>
      <c r="C165" s="120" t="s">
        <v>210</v>
      </c>
      <c r="D165" s="121" t="str">
        <f ca="1">VLOOKUP($C165,OFFSET(mission_unlock_criteria!$A$2,0,0,COUNTA(mission_unlock_criteria!$A:$A),MATCH(D$2,mission_unlock_criteria!$2:$2,0)-MATCH($C$2,mission_unlock_criteria!$2:$2,0)+1),MATCH(D$2,mission_unlock_criteria!$2:$2,0)-MATCH($C$2,mission_unlock_criteria!$2:$2,0)+1,FALSE)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40 に到達</v>
      </c>
      <c r="E165" s="136" t="s">
        <v>368</v>
      </c>
      <c r="F165" s="121" t="str">
        <f ca="1">VLOOKUP($E165,OFFSET(mission_ACH_criteria!$A$1,0,0,COUNTA(mission_ACH_criteria!$A:$A),MATCH(F$2,mission_ACH_criteria!$1:$1,0)-MATCH($E$2,mission_ACH_criteria!$1:$1,0)+1),MATCH(F$2,mission_ACH_criteria!$1:$1,0)-MATCH($E$2,mission_ACH_criteria!$1:$1,0)+1,FALSE)</f>
        <v>クエスト 大地の杖 をクリアしよう！</v>
      </c>
      <c r="G165" s="120" t="s">
        <v>233</v>
      </c>
      <c r="H165" s="121" t="str">
        <f t="shared" ca="1" si="74"/>
        <v>ポリゴン x 1</v>
      </c>
      <c r="I165" s="121" t="str">
        <f ca="1">VLOOKUP($G165,OFFSET(mission_ACH!$A$2,0,0,COUNTA($A:$A),MATCH(I$2,mission_ACH!$2:$2,0)-MATCH($G$2,mission_ACH!$2:$2,0)+1),MATCH(I$2,mission_ACH!$2:$2,0)-MATCH($G$2,mission_ACH!$2:$2,0)+1,FALSE)</f>
        <v>polygon</v>
      </c>
      <c r="J165" s="121">
        <f ca="1">VLOOKUP($G165,OFFSET(mission_ACH!$A$2,0,0,COUNTA($A:$A),MATCH(J$2,mission_ACH!$2:$2,0)-MATCH($G$2,mission_ACH!$2:$2,0)+1),MATCH(J$2,mission_ACH!$2:$2,0)-MATCH($G$2,mission_ACH!$2:$2,0)+1,FALSE)</f>
        <v>1</v>
      </c>
      <c r="K165" s="121" t="str">
        <f ca="1">IF(I165="unit",VLOOKUP($G165,OFFSET(mission_ACH!$A$2,0,0,COUNTA($A:$A),MATCH(K$2,mission_ACH!$2:$2,0)-MATCH($G$2,mission_ACH!$2:$2,0)+1),MATCH(K$2,mission_ACH!$2:$2,0)-MATCH($G$2,mission_ACH!$2:$2,0)+1,FALSE),"")</f>
        <v/>
      </c>
      <c r="L165" s="121">
        <f ca="1">VLOOKUP($G165,OFFSET(mission_ACH!$A$2,0,0,COUNTA($A:$A),MATCH(L$2,mission_ACH!$2:$2,0)-MATCH($G$2,mission_ACH!$2:$2,0)+1),MATCH(L$2,mission_ACH!$2:$2,0)-MATCH($G$2,mission_ACH!$2:$2,0)+1,FALSE)</f>
        <v>0</v>
      </c>
      <c r="M165" s="120">
        <v>55</v>
      </c>
      <c r="N165" s="120" t="s">
        <v>2275</v>
      </c>
      <c r="O165" s="120" t="s">
        <v>2275</v>
      </c>
    </row>
    <row r="166" spans="1:15" s="1" customFormat="1" ht="21" customHeight="1" x14ac:dyDescent="0.15">
      <c r="A166" s="120">
        <v>3109</v>
      </c>
      <c r="B166" s="120" t="str">
        <f t="shared" ca="1" si="73"/>
        <v>クエスト 迅雷 をクリアしよう！</v>
      </c>
      <c r="C166" s="120" t="s">
        <v>397</v>
      </c>
      <c r="D166" s="121" t="str">
        <f ca="1">VLOOKUP($C166,OFFSET(mission_unlock_criteria!$A$2,0,0,COUNTA(mission_unlock_criteria!$A:$A),MATCH(D$2,mission_unlock_criteria!$2:$2,0)-MATCH($C$2,mission_unlock_criteria!$2:$2,0)+1),MATCH(D$2,mission_unlock_criteria!$2:$2,0)-MATCH($C$2,mission_unlock_criteria!$2:$2,0)+1,FALSE)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45 に到達</v>
      </c>
      <c r="E166" s="136" t="s">
        <v>369</v>
      </c>
      <c r="F166" s="121" t="str">
        <f ca="1">VLOOKUP($E166,OFFSET(mission_ACH_criteria!$A$1,0,0,COUNTA(mission_ACH_criteria!$A:$A),MATCH(F$2,mission_ACH_criteria!$1:$1,0)-MATCH($E$2,mission_ACH_criteria!$1:$1,0)+1),MATCH(F$2,mission_ACH_criteria!$1:$1,0)-MATCH($E$2,mission_ACH_criteria!$1:$1,0)+1,FALSE)</f>
        <v>クエスト 迅雷 をクリアしよう！</v>
      </c>
      <c r="G166" s="120" t="s">
        <v>233</v>
      </c>
      <c r="H166" s="121" t="str">
        <f t="shared" ca="1" si="74"/>
        <v>ポリゴン x 1</v>
      </c>
      <c r="I166" s="121" t="str">
        <f ca="1">VLOOKUP($G166,OFFSET(mission_ACH!$A$2,0,0,COUNTA($A:$A),MATCH(I$2,mission_ACH!$2:$2,0)-MATCH($G$2,mission_ACH!$2:$2,0)+1),MATCH(I$2,mission_ACH!$2:$2,0)-MATCH($G$2,mission_ACH!$2:$2,0)+1,FALSE)</f>
        <v>polygon</v>
      </c>
      <c r="J166" s="121">
        <f ca="1">VLOOKUP($G166,OFFSET(mission_ACH!$A$2,0,0,COUNTA($A:$A),MATCH(J$2,mission_ACH!$2:$2,0)-MATCH($G$2,mission_ACH!$2:$2,0)+1),MATCH(J$2,mission_ACH!$2:$2,0)-MATCH($G$2,mission_ACH!$2:$2,0)+1,FALSE)</f>
        <v>1</v>
      </c>
      <c r="K166" s="121" t="str">
        <f ca="1">IF(I166="unit",VLOOKUP($G166,OFFSET(mission_ACH!$A$2,0,0,COUNTA($A:$A),MATCH(K$2,mission_ACH!$2:$2,0)-MATCH($G$2,mission_ACH!$2:$2,0)+1),MATCH(K$2,mission_ACH!$2:$2,0)-MATCH($G$2,mission_ACH!$2:$2,0)+1,FALSE),"")</f>
        <v/>
      </c>
      <c r="L166" s="121">
        <f ca="1">VLOOKUP($G166,OFFSET(mission_ACH!$A$2,0,0,COUNTA($A:$A),MATCH(L$2,mission_ACH!$2:$2,0)-MATCH($G$2,mission_ACH!$2:$2,0)+1),MATCH(L$2,mission_ACH!$2:$2,0)-MATCH($G$2,mission_ACH!$2:$2,0)+1,FALSE)</f>
        <v>0</v>
      </c>
      <c r="M166" s="120">
        <v>55</v>
      </c>
      <c r="N166" s="120" t="s">
        <v>2275</v>
      </c>
      <c r="O166" s="120" t="s">
        <v>2275</v>
      </c>
    </row>
    <row r="167" spans="1:15" s="1" customFormat="1" ht="21" customHeight="1" x14ac:dyDescent="0.15">
      <c r="A167" s="120">
        <v>3110</v>
      </c>
      <c r="B167" s="120" t="str">
        <f t="shared" ca="1" si="73"/>
        <v>クエスト 噛み合わない二柱 をクリアしよう！</v>
      </c>
      <c r="C167" s="120" t="s">
        <v>211</v>
      </c>
      <c r="D167" s="121" t="str">
        <f ca="1">VLOOKUP($C167,OFFSET(mission_unlock_criteria!$A$2,0,0,COUNTA(mission_unlock_criteria!$A:$A),MATCH(D$2,mission_unlock_criteria!$2:$2,0)-MATCH($C$2,mission_unlock_criteria!$2:$2,0)+1),MATCH(D$2,mission_unlock_criteria!$2:$2,0)-MATCH($C$2,mission_unlock_criteria!$2:$2,0)+1,FALSE)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50 に到達</v>
      </c>
      <c r="E167" s="136" t="s">
        <v>370</v>
      </c>
      <c r="F167" s="121" t="str">
        <f ca="1">VLOOKUP($E167,OFFSET(mission_ACH_criteria!$A$1,0,0,COUNTA(mission_ACH_criteria!$A:$A),MATCH(F$2,mission_ACH_criteria!$1:$1,0)-MATCH($E$2,mission_ACH_criteria!$1:$1,0)+1),MATCH(F$2,mission_ACH_criteria!$1:$1,0)-MATCH($E$2,mission_ACH_criteria!$1:$1,0)+1,FALSE)</f>
        <v>クエスト 噛み合わない二柱 をクリアしよう！</v>
      </c>
      <c r="G167" s="120" t="s">
        <v>233</v>
      </c>
      <c r="H167" s="121" t="str">
        <f t="shared" ca="1" si="74"/>
        <v>ポリゴン x 1</v>
      </c>
      <c r="I167" s="121" t="str">
        <f ca="1">VLOOKUP($G167,OFFSET(mission_ACH!$A$2,0,0,COUNTA($A:$A),MATCH(I$2,mission_ACH!$2:$2,0)-MATCH($G$2,mission_ACH!$2:$2,0)+1),MATCH(I$2,mission_ACH!$2:$2,0)-MATCH($G$2,mission_ACH!$2:$2,0)+1,FALSE)</f>
        <v>polygon</v>
      </c>
      <c r="J167" s="121">
        <f ca="1">VLOOKUP($G167,OFFSET(mission_ACH!$A$2,0,0,COUNTA($A:$A),MATCH(J$2,mission_ACH!$2:$2,0)-MATCH($G$2,mission_ACH!$2:$2,0)+1),MATCH(J$2,mission_ACH!$2:$2,0)-MATCH($G$2,mission_ACH!$2:$2,0)+1,FALSE)</f>
        <v>1</v>
      </c>
      <c r="K167" s="121" t="str">
        <f ca="1">IF(I167="unit",VLOOKUP($G167,OFFSET(mission_ACH!$A$2,0,0,COUNTA($A:$A),MATCH(K$2,mission_ACH!$2:$2,0)-MATCH($G$2,mission_ACH!$2:$2,0)+1),MATCH(K$2,mission_ACH!$2:$2,0)-MATCH($G$2,mission_ACH!$2:$2,0)+1,FALSE),"")</f>
        <v/>
      </c>
      <c r="L167" s="121">
        <f ca="1">VLOOKUP($G167,OFFSET(mission_ACH!$A$2,0,0,COUNTA($A:$A),MATCH(L$2,mission_ACH!$2:$2,0)-MATCH($G$2,mission_ACH!$2:$2,0)+1),MATCH(L$2,mission_ACH!$2:$2,0)-MATCH($G$2,mission_ACH!$2:$2,0)+1,FALSE)</f>
        <v>0</v>
      </c>
      <c r="M167" s="120">
        <v>55</v>
      </c>
      <c r="N167" s="120" t="s">
        <v>2275</v>
      </c>
      <c r="O167" s="120" t="s">
        <v>2275</v>
      </c>
    </row>
    <row r="168" spans="1:15" s="1" customFormat="1" ht="21" customHeight="1" x14ac:dyDescent="0.15">
      <c r="A168" s="120">
        <v>3111</v>
      </c>
      <c r="B168" s="120" t="str">
        <f t="shared" ref="B168" ca="1" si="75">F168</f>
        <v>クエスト 美女と美獣 をクリアしよう！</v>
      </c>
      <c r="C168" s="120" t="s">
        <v>681</v>
      </c>
      <c r="D168" s="121" t="str">
        <f ca="1">VLOOKUP($C168,OFFSET(mission_unlock_criteria!$A$2,0,0,COUNTA(mission_unlock_criteria!$A:$A),MATCH(D$2,mission_unlock_criteria!$2:$2,0)-MATCH($C$2,mission_unlock_criteria!$2:$2,0)+1),MATCH(D$2,mission_unlock_criteria!$2:$2,0)-MATCH($C$2,mission_unlock_criteria!$2:$2,0)+1,FALSE)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55 に到達</v>
      </c>
      <c r="E168" s="136" t="s">
        <v>680</v>
      </c>
      <c r="F168" s="121" t="str">
        <f ca="1">VLOOKUP($E168,OFFSET(mission_ACH_criteria!$A$1,0,0,COUNTA(mission_ACH_criteria!$A:$A),MATCH(F$2,mission_ACH_criteria!$1:$1,0)-MATCH($E$2,mission_ACH_criteria!$1:$1,0)+1),MATCH(F$2,mission_ACH_criteria!$1:$1,0)-MATCH($E$2,mission_ACH_criteria!$1:$1,0)+1,FALSE)</f>
        <v>クエスト 美女と美獣 をクリアしよう！</v>
      </c>
      <c r="G168" s="120" t="s">
        <v>233</v>
      </c>
      <c r="H168" s="121" t="str">
        <f t="shared" ref="H168" ca="1" si="76">IF(I168="unit",K168&amp;" x "&amp;L168,IF(I168="polygon","ポリゴン x "&amp;J168,IF(I168="bit","ビット x "&amp;J168,IF(I168="link","リンク x "&amp;J168))))</f>
        <v>ポリゴン x 1</v>
      </c>
      <c r="I168" s="121" t="str">
        <f ca="1">VLOOKUP($G168,OFFSET(mission_ACH!$A$2,0,0,COUNTA($A:$A),MATCH(I$2,mission_ACH!$2:$2,0)-MATCH($G$2,mission_ACH!$2:$2,0)+1),MATCH(I$2,mission_ACH!$2:$2,0)-MATCH($G$2,mission_ACH!$2:$2,0)+1,FALSE)</f>
        <v>polygon</v>
      </c>
      <c r="J168" s="121">
        <f ca="1">VLOOKUP($G168,OFFSET(mission_ACH!$A$2,0,0,COUNTA($A:$A),MATCH(J$2,mission_ACH!$2:$2,0)-MATCH($G$2,mission_ACH!$2:$2,0)+1),MATCH(J$2,mission_ACH!$2:$2,0)-MATCH($G$2,mission_ACH!$2:$2,0)+1,FALSE)</f>
        <v>1</v>
      </c>
      <c r="K168" s="121" t="str">
        <f ca="1">IF(I168="unit",VLOOKUP($G168,OFFSET(mission_ACH!$A$2,0,0,COUNTA($A:$A),MATCH(K$2,mission_ACH!$2:$2,0)-MATCH($G$2,mission_ACH!$2:$2,0)+1),MATCH(K$2,mission_ACH!$2:$2,0)-MATCH($G$2,mission_ACH!$2:$2,0)+1,FALSE),"")</f>
        <v/>
      </c>
      <c r="L168" s="121">
        <f ca="1">VLOOKUP($G168,OFFSET(mission_ACH!$A$2,0,0,COUNTA($A:$A),MATCH(L$2,mission_ACH!$2:$2,0)-MATCH($G$2,mission_ACH!$2:$2,0)+1),MATCH(L$2,mission_ACH!$2:$2,0)-MATCH($G$2,mission_ACH!$2:$2,0)+1,FALSE)</f>
        <v>0</v>
      </c>
      <c r="M168" s="120">
        <v>55</v>
      </c>
      <c r="N168" s="120" t="s">
        <v>2275</v>
      </c>
      <c r="O168" s="120" t="s">
        <v>2275</v>
      </c>
    </row>
    <row r="169" spans="1:15" s="1" customFormat="1" ht="21" customHeight="1" x14ac:dyDescent="0.15">
      <c r="A169" s="120">
        <v>3112</v>
      </c>
      <c r="B169" s="120" t="str">
        <f t="shared" ref="B169" ca="1" si="77">F169</f>
        <v>クエスト 東と西の女神 をクリアしよう！</v>
      </c>
      <c r="C169" s="120" t="s">
        <v>686</v>
      </c>
      <c r="D169" s="121" t="str">
        <f ca="1">VLOOKUP($C169,OFFSET(mission_unlock_criteria!$A$2,0,0,COUNTA(mission_unlock_criteria!$A:$A),MATCH(D$2,mission_unlock_criteria!$2:$2,0)-MATCH($C$2,mission_unlock_criteria!$2:$2,0)+1),MATCH(D$2,mission_unlock_criteria!$2:$2,0)-MATCH($C$2,mission_unlock_criteria!$2:$2,0)+1,FALSE)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60 に到達</v>
      </c>
      <c r="E169" s="136" t="s">
        <v>687</v>
      </c>
      <c r="F169" s="121" t="str">
        <f ca="1">VLOOKUP($E169,OFFSET(mission_ACH_criteria!$A$1,0,0,COUNTA(mission_ACH_criteria!$A:$A),MATCH(F$2,mission_ACH_criteria!$1:$1,0)-MATCH($E$2,mission_ACH_criteria!$1:$1,0)+1),MATCH(F$2,mission_ACH_criteria!$1:$1,0)-MATCH($E$2,mission_ACH_criteria!$1:$1,0)+1,FALSE)</f>
        <v>クエスト 東と西の女神 をクリアしよう！</v>
      </c>
      <c r="G169" s="120" t="s">
        <v>233</v>
      </c>
      <c r="H169" s="121" t="str">
        <f t="shared" ref="H169" ca="1" si="78">IF(I169="unit",K169&amp;" x "&amp;L169,IF(I169="polygon","ポリゴン x "&amp;J169,IF(I169="bit","ビット x "&amp;J169,IF(I169="link","リンク x "&amp;J169))))</f>
        <v>ポリゴン x 1</v>
      </c>
      <c r="I169" s="121" t="str">
        <f ca="1">VLOOKUP($G169,OFFSET(mission_ACH!$A$2,0,0,COUNTA($A:$A),MATCH(I$2,mission_ACH!$2:$2,0)-MATCH($G$2,mission_ACH!$2:$2,0)+1),MATCH(I$2,mission_ACH!$2:$2,0)-MATCH($G$2,mission_ACH!$2:$2,0)+1,FALSE)</f>
        <v>polygon</v>
      </c>
      <c r="J169" s="121">
        <f ca="1">VLOOKUP($G169,OFFSET(mission_ACH!$A$2,0,0,COUNTA($A:$A),MATCH(J$2,mission_ACH!$2:$2,0)-MATCH($G$2,mission_ACH!$2:$2,0)+1),MATCH(J$2,mission_ACH!$2:$2,0)-MATCH($G$2,mission_ACH!$2:$2,0)+1,FALSE)</f>
        <v>1</v>
      </c>
      <c r="K169" s="121" t="str">
        <f ca="1">IF(I169="unit",VLOOKUP($G169,OFFSET(mission_ACH!$A$2,0,0,COUNTA($A:$A),MATCH(K$2,mission_ACH!$2:$2,0)-MATCH($G$2,mission_ACH!$2:$2,0)+1),MATCH(K$2,mission_ACH!$2:$2,0)-MATCH($G$2,mission_ACH!$2:$2,0)+1,FALSE),"")</f>
        <v/>
      </c>
      <c r="L169" s="121">
        <f ca="1">VLOOKUP($G169,OFFSET(mission_ACH!$A$2,0,0,COUNTA($A:$A),MATCH(L$2,mission_ACH!$2:$2,0)-MATCH($G$2,mission_ACH!$2:$2,0)+1),MATCH(L$2,mission_ACH!$2:$2,0)-MATCH($G$2,mission_ACH!$2:$2,0)+1,FALSE)</f>
        <v>0</v>
      </c>
      <c r="M169" s="120">
        <v>55</v>
      </c>
      <c r="N169" s="120" t="s">
        <v>2275</v>
      </c>
      <c r="O169" s="120" t="s">
        <v>2275</v>
      </c>
    </row>
    <row r="170" spans="1:15" s="1" customFormat="1" ht="21" customHeight="1" x14ac:dyDescent="0.15">
      <c r="A170" s="27">
        <v>4001</v>
      </c>
      <c r="B170" s="26" t="str">
        <f t="shared" ref="B170:B196" ca="1" si="79">F170</f>
        <v>誰かとフレンドになろう！</v>
      </c>
      <c r="C170" s="27" t="s">
        <v>433</v>
      </c>
      <c r="D170" s="31" t="str">
        <f ca="1">VLOOKUP($C170,OFFSET(mission_unlock_criteria!$A$2,0,0,COUNTA(mission_unlock_criteria!$A:$A),MATCH(D$2,mission_unlock_criteria!$2:$2,0)-MATCH($C$2,mission_unlock_criteria!$2:$2,0)+1),MATCH(D$2,mission_unlock_criteria!$2:$2,0)-MATCH($C$2,mission_unlock_criteria!$2:$2,0)+1,FALSE)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170" s="27" t="s">
        <v>462</v>
      </c>
      <c r="F170" s="31" t="str">
        <f ca="1">VLOOKUP($E170,OFFSET(mission_ACH_criteria!$A$1,0,0,COUNTA(mission_ACH_criteria!$A:$A),MATCH(F$2,mission_ACH_criteria!$1:$1,0)-MATCH($E$2,mission_ACH_criteria!$1:$1,0)+1),MATCH(F$2,mission_ACH_criteria!$1:$1,0)-MATCH($E$2,mission_ACH_criteria!$1:$1,0)+1,FALSE)</f>
        <v>誰かとフレンドになろう！</v>
      </c>
      <c r="G170" s="27" t="s">
        <v>406</v>
      </c>
      <c r="H170" s="31" t="str">
        <f t="shared" ref="H170:H171" ca="1" si="80">IF(I170="unit",K170&amp;" x "&amp;L170,IF(I170="polygon","ポリゴン x "&amp;J170,IF(I170="bit","ビット x "&amp;J170,IF(I170="link","リンク x "&amp;J170))))</f>
        <v>リンク x 200</v>
      </c>
      <c r="I170" s="31" t="str">
        <f ca="1">VLOOKUP($G170,OFFSET(mission_ACH!$A$2,0,0,COUNTA($A:$A),MATCH(I$2,mission_ACH!$2:$2,0)-MATCH($G$2,mission_ACH!$2:$2,0)+1),MATCH(I$2,mission_ACH!$2:$2,0)-MATCH($G$2,mission_ACH!$2:$2,0)+1,FALSE)</f>
        <v>link</v>
      </c>
      <c r="J170" s="31">
        <f ca="1">VLOOKUP($G170,OFFSET(mission_ACH!$A$2,0,0,COUNTA($A:$A),MATCH(J$2,mission_ACH!$2:$2,0)-MATCH($G$2,mission_ACH!$2:$2,0)+1),MATCH(J$2,mission_ACH!$2:$2,0)-MATCH($G$2,mission_ACH!$2:$2,0)+1,FALSE)</f>
        <v>200</v>
      </c>
      <c r="K170" s="31" t="str">
        <f ca="1">IF(I170="unit",VLOOKUP($G170,OFFSET(mission_ACH!$A$2,0,0,COUNTA($A:$A),MATCH(K$2,mission_ACH!$2:$2,0)-MATCH($G$2,mission_ACH!$2:$2,0)+1),MATCH(K$2,mission_ACH!$2:$2,0)-MATCH($G$2,mission_ACH!$2:$2,0)+1,FALSE),"")</f>
        <v/>
      </c>
      <c r="L170" s="31">
        <f ca="1">VLOOKUP($G170,OFFSET(mission_ACH!$A$2,0,0,COUNTA($A:$A),MATCH(L$2,mission_ACH!$2:$2,0)-MATCH($G$2,mission_ACH!$2:$2,0)+1),MATCH(L$2,mission_ACH!$2:$2,0)-MATCH($G$2,mission_ACH!$2:$2,0)+1,FALSE)</f>
        <v>0</v>
      </c>
      <c r="M170" s="27">
        <v>40</v>
      </c>
      <c r="N170" s="2" t="s">
        <v>955</v>
      </c>
      <c r="O170" s="2" t="s">
        <v>955</v>
      </c>
    </row>
    <row r="171" spans="1:15" s="1" customFormat="1" ht="21" customHeight="1" x14ac:dyDescent="0.15">
      <c r="A171" s="27">
        <v>4002</v>
      </c>
      <c r="B171" s="26" t="str">
        <f t="shared" ca="1" si="79"/>
        <v>フレンドを 3 人つくろう！</v>
      </c>
      <c r="C171" s="27" t="s">
        <v>462</v>
      </c>
      <c r="D171" s="31" t="str">
        <f ca="1">VLOOKUP($C171,OFFSET(mission_unlock_criteria!$A$2,0,0,COUNTA(mission_unlock_criteria!$A:$A),MATCH(D$2,mission_unlock_criteria!$2:$2,0)-MATCH($C$2,mission_unlock_criteria!$2:$2,0)+1),MATCH(D$2,mission_unlock_criteria!$2:$2,0)-MATCH($C$2,mission_unlock_criteria!$2:$2,0)+1,FALSE)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フレンド数が 1 人に到達</v>
      </c>
      <c r="E171" s="27" t="s">
        <v>463</v>
      </c>
      <c r="F171" s="31" t="str">
        <f ca="1">VLOOKUP($E171,OFFSET(mission_ACH_criteria!$A$1,0,0,COUNTA(mission_ACH_criteria!$A:$A),MATCH(F$2,mission_ACH_criteria!$1:$1,0)-MATCH($E$2,mission_ACH_criteria!$1:$1,0)+1),MATCH(F$2,mission_ACH_criteria!$1:$1,0)-MATCH($E$2,mission_ACH_criteria!$1:$1,0)+1,FALSE)</f>
        <v>フレンドを 3 人つくろう！</v>
      </c>
      <c r="G171" s="27" t="s">
        <v>66</v>
      </c>
      <c r="H171" s="31" t="str">
        <f t="shared" ca="1" si="80"/>
        <v>リンク x 300</v>
      </c>
      <c r="I171" s="31" t="str">
        <f ca="1">VLOOKUP($G171,OFFSET(mission_ACH!$A$2,0,0,COUNTA($A:$A),MATCH(I$2,mission_ACH!$2:$2,0)-MATCH($G$2,mission_ACH!$2:$2,0)+1),MATCH(I$2,mission_ACH!$2:$2,0)-MATCH($G$2,mission_ACH!$2:$2,0)+1,FALSE)</f>
        <v>link</v>
      </c>
      <c r="J171" s="31">
        <f ca="1">VLOOKUP($G171,OFFSET(mission_ACH!$A$2,0,0,COUNTA($A:$A),MATCH(J$2,mission_ACH!$2:$2,0)-MATCH($G$2,mission_ACH!$2:$2,0)+1),MATCH(J$2,mission_ACH!$2:$2,0)-MATCH($G$2,mission_ACH!$2:$2,0)+1,FALSE)</f>
        <v>300</v>
      </c>
      <c r="K171" s="31" t="str">
        <f ca="1">IF(I171="unit",VLOOKUP($G171,OFFSET(mission_ACH!$A$2,0,0,COUNTA($A:$A),MATCH(K$2,mission_ACH!$2:$2,0)-MATCH($G$2,mission_ACH!$2:$2,0)+1),MATCH(K$2,mission_ACH!$2:$2,0)-MATCH($G$2,mission_ACH!$2:$2,0)+1,FALSE),"")</f>
        <v/>
      </c>
      <c r="L171" s="31">
        <f ca="1">VLOOKUP($G171,OFFSET(mission_ACH!$A$2,0,0,COUNTA($A:$A),MATCH(L$2,mission_ACH!$2:$2,0)-MATCH($G$2,mission_ACH!$2:$2,0)+1),MATCH(L$2,mission_ACH!$2:$2,0)-MATCH($G$2,mission_ACH!$2:$2,0)+1,FALSE)</f>
        <v>0</v>
      </c>
      <c r="M171" s="27">
        <v>40</v>
      </c>
      <c r="N171" s="2" t="s">
        <v>955</v>
      </c>
      <c r="O171" s="2" t="s">
        <v>955</v>
      </c>
    </row>
    <row r="172" spans="1:15" s="1" customFormat="1" ht="21" customHeight="1" x14ac:dyDescent="0.15">
      <c r="A172" s="27">
        <v>4003</v>
      </c>
      <c r="B172" s="26" t="str">
        <f t="shared" ca="1" si="79"/>
        <v>フレンドを 5 人つくろう！</v>
      </c>
      <c r="C172" s="27" t="s">
        <v>463</v>
      </c>
      <c r="D172" s="31" t="str">
        <f ca="1">VLOOKUP($C172,OFFSET(mission_unlock_criteria!$A$2,0,0,COUNTA(mission_unlock_criteria!$A:$A),MATCH(D$2,mission_unlock_criteria!$2:$2,0)-MATCH($C$2,mission_unlock_criteria!$2:$2,0)+1),MATCH(D$2,mission_unlock_criteria!$2:$2,0)-MATCH($C$2,mission_unlock_criteria!$2:$2,0)+1,FALSE)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フレンド数が 3 人に到達</v>
      </c>
      <c r="E172" s="27" t="s">
        <v>50</v>
      </c>
      <c r="F172" s="31" t="str">
        <f ca="1">VLOOKUP($E172,OFFSET(mission_ACH_criteria!$A$1,0,0,COUNTA(mission_ACH_criteria!$A:$A),MATCH(F$2,mission_ACH_criteria!$1:$1,0)-MATCH($E$2,mission_ACH_criteria!$1:$1,0)+1),MATCH(F$2,mission_ACH_criteria!$1:$1,0)-MATCH($E$2,mission_ACH_criteria!$1:$1,0)+1,FALSE)</f>
        <v>フレンドを 5 人つくろう！</v>
      </c>
      <c r="G172" s="27" t="s">
        <v>404</v>
      </c>
      <c r="H172" s="31" t="str">
        <f t="shared" ref="H172:H189" ca="1" si="81">IF(I172="unit",K172&amp;" x "&amp;L172,IF(I172="polygon","ポリゴン x "&amp;J172,IF(I172="bit","ビット x "&amp;J172,IF(I172="link","リンク x "&amp;J172))))</f>
        <v>リンク x 500</v>
      </c>
      <c r="I172" s="31" t="str">
        <f ca="1">VLOOKUP($G172,OFFSET(mission_ACH!$A$2,0,0,COUNTA($A:$A),MATCH(I$2,mission_ACH!$2:$2,0)-MATCH($G$2,mission_ACH!$2:$2,0)+1),MATCH(I$2,mission_ACH!$2:$2,0)-MATCH($G$2,mission_ACH!$2:$2,0)+1,FALSE)</f>
        <v>link</v>
      </c>
      <c r="J172" s="31">
        <f ca="1">VLOOKUP($G172,OFFSET(mission_ACH!$A$2,0,0,COUNTA($A:$A),MATCH(J$2,mission_ACH!$2:$2,0)-MATCH($G$2,mission_ACH!$2:$2,0)+1),MATCH(J$2,mission_ACH!$2:$2,0)-MATCH($G$2,mission_ACH!$2:$2,0)+1,FALSE)</f>
        <v>500</v>
      </c>
      <c r="K172" s="31" t="str">
        <f ca="1">IF(I172="unit",VLOOKUP($G172,OFFSET(mission_ACH!$A$2,0,0,COUNTA($A:$A),MATCH(K$2,mission_ACH!$2:$2,0)-MATCH($G$2,mission_ACH!$2:$2,0)+1),MATCH(K$2,mission_ACH!$2:$2,0)-MATCH($G$2,mission_ACH!$2:$2,0)+1,FALSE),"")</f>
        <v/>
      </c>
      <c r="L172" s="31">
        <f ca="1">VLOOKUP($G172,OFFSET(mission_ACH!$A$2,0,0,COUNTA($A:$A),MATCH(L$2,mission_ACH!$2:$2,0)-MATCH($G$2,mission_ACH!$2:$2,0)+1),MATCH(L$2,mission_ACH!$2:$2,0)-MATCH($G$2,mission_ACH!$2:$2,0)+1,FALSE)</f>
        <v>0</v>
      </c>
      <c r="M172" s="27">
        <v>40</v>
      </c>
      <c r="N172" s="2" t="s">
        <v>955</v>
      </c>
      <c r="O172" s="2" t="s">
        <v>955</v>
      </c>
    </row>
    <row r="173" spans="1:15" s="1" customFormat="1" ht="21" customHeight="1" x14ac:dyDescent="0.15">
      <c r="A173" s="27">
        <v>4004</v>
      </c>
      <c r="B173" s="26" t="str">
        <f t="shared" ca="1" si="79"/>
        <v>フレンドを 10 人つくろう！</v>
      </c>
      <c r="C173" s="27" t="s">
        <v>50</v>
      </c>
      <c r="D173" s="31" t="str">
        <f ca="1">VLOOKUP($C173,OFFSET(mission_unlock_criteria!$A$2,0,0,COUNTA(mission_unlock_criteria!$A:$A),MATCH(D$2,mission_unlock_criteria!$2:$2,0)-MATCH($C$2,mission_unlock_criteria!$2:$2,0)+1),MATCH(D$2,mission_unlock_criteria!$2:$2,0)-MATCH($C$2,mission_unlock_criteria!$2:$2,0)+1,FALSE)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フレンド数が 5 人に到達</v>
      </c>
      <c r="E173" s="27" t="s">
        <v>51</v>
      </c>
      <c r="F173" s="31" t="str">
        <f ca="1">VLOOKUP($E173,OFFSET(mission_ACH_criteria!$A$1,0,0,COUNTA(mission_ACH_criteria!$A:$A),MATCH(F$2,mission_ACH_criteria!$1:$1,0)-MATCH($E$2,mission_ACH_criteria!$1:$1,0)+1),MATCH(F$2,mission_ACH_criteria!$1:$1,0)-MATCH($E$2,mission_ACH_criteria!$1:$1,0)+1,FALSE)</f>
        <v>フレンドを 10 人つくろう！</v>
      </c>
      <c r="G173" s="27" t="s">
        <v>405</v>
      </c>
      <c r="H173" s="31" t="str">
        <f t="shared" ca="1" si="81"/>
        <v>リンク x 700</v>
      </c>
      <c r="I173" s="31" t="str">
        <f ca="1">VLOOKUP($G173,OFFSET(mission_ACH!$A$2,0,0,COUNTA($A:$A),MATCH(I$2,mission_ACH!$2:$2,0)-MATCH($G$2,mission_ACH!$2:$2,0)+1),MATCH(I$2,mission_ACH!$2:$2,0)-MATCH($G$2,mission_ACH!$2:$2,0)+1,FALSE)</f>
        <v>link</v>
      </c>
      <c r="J173" s="31">
        <f ca="1">VLOOKUP($G173,OFFSET(mission_ACH!$A$2,0,0,COUNTA($A:$A),MATCH(J$2,mission_ACH!$2:$2,0)-MATCH($G$2,mission_ACH!$2:$2,0)+1),MATCH(J$2,mission_ACH!$2:$2,0)-MATCH($G$2,mission_ACH!$2:$2,0)+1,FALSE)</f>
        <v>700</v>
      </c>
      <c r="K173" s="31" t="str">
        <f ca="1">IF(I173="unit",VLOOKUP($G173,OFFSET(mission_ACH!$A$2,0,0,COUNTA($A:$A),MATCH(K$2,mission_ACH!$2:$2,0)-MATCH($G$2,mission_ACH!$2:$2,0)+1),MATCH(K$2,mission_ACH!$2:$2,0)-MATCH($G$2,mission_ACH!$2:$2,0)+1,FALSE),"")</f>
        <v/>
      </c>
      <c r="L173" s="31">
        <f ca="1">VLOOKUP($G173,OFFSET(mission_ACH!$A$2,0,0,COUNTA($A:$A),MATCH(L$2,mission_ACH!$2:$2,0)-MATCH($G$2,mission_ACH!$2:$2,0)+1),MATCH(L$2,mission_ACH!$2:$2,0)-MATCH($G$2,mission_ACH!$2:$2,0)+1,FALSE)</f>
        <v>0</v>
      </c>
      <c r="M173" s="27">
        <v>40</v>
      </c>
      <c r="N173" s="2" t="s">
        <v>955</v>
      </c>
      <c r="O173" s="2" t="s">
        <v>955</v>
      </c>
    </row>
    <row r="174" spans="1:15" s="1" customFormat="1" ht="21" customHeight="1" x14ac:dyDescent="0.15">
      <c r="A174" s="27">
        <v>4005</v>
      </c>
      <c r="B174" s="26" t="str">
        <f t="shared" ca="1" si="79"/>
        <v>フレンドを 20 人つくろう！</v>
      </c>
      <c r="C174" s="27" t="s">
        <v>202</v>
      </c>
      <c r="D174" s="31" t="str">
        <f ca="1">VLOOKUP($C174,OFFSET(mission_unlock_criteria!$A$2,0,0,COUNTA(mission_unlock_criteria!$A:$A),MATCH(D$2,mission_unlock_criteria!$2:$2,0)-MATCH($C$2,mission_unlock_criteria!$2:$2,0)+1),MATCH(D$2,mission_unlock_criteria!$2:$2,0)-MATCH($C$2,mission_unlock_criteria!$2:$2,0)+1,FALSE)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フレンド数が 10 人に到達</v>
      </c>
      <c r="E174" s="27" t="s">
        <v>194</v>
      </c>
      <c r="F174" s="31" t="str">
        <f ca="1">VLOOKUP($E174,OFFSET(mission_ACH_criteria!$A$1,0,0,COUNTA(mission_ACH_criteria!$A:$A),MATCH(F$2,mission_ACH_criteria!$1:$1,0)-MATCH($E$2,mission_ACH_criteria!$1:$1,0)+1),MATCH(F$2,mission_ACH_criteria!$1:$1,0)-MATCH($E$2,mission_ACH_criteria!$1:$1,0)+1,FALSE)</f>
        <v>フレンドを 20 人つくろう！</v>
      </c>
      <c r="G174" s="27" t="s">
        <v>409</v>
      </c>
      <c r="H174" s="31" t="str">
        <f t="shared" ca="1" si="81"/>
        <v>リンク x 1000</v>
      </c>
      <c r="I174" s="31" t="str">
        <f ca="1">VLOOKUP($G174,OFFSET(mission_ACH!$A$2,0,0,COUNTA($A:$A),MATCH(I$2,mission_ACH!$2:$2,0)-MATCH($G$2,mission_ACH!$2:$2,0)+1),MATCH(I$2,mission_ACH!$2:$2,0)-MATCH($G$2,mission_ACH!$2:$2,0)+1,FALSE)</f>
        <v>link</v>
      </c>
      <c r="J174" s="31">
        <f ca="1">VLOOKUP($G174,OFFSET(mission_ACH!$A$2,0,0,COUNTA($A:$A),MATCH(J$2,mission_ACH!$2:$2,0)-MATCH($G$2,mission_ACH!$2:$2,0)+1),MATCH(J$2,mission_ACH!$2:$2,0)-MATCH($G$2,mission_ACH!$2:$2,0)+1,FALSE)</f>
        <v>1000</v>
      </c>
      <c r="K174" s="31" t="str">
        <f ca="1">IF(I174="unit",VLOOKUP($G174,OFFSET(mission_ACH!$A$2,0,0,COUNTA($A:$A),MATCH(K$2,mission_ACH!$2:$2,0)-MATCH($G$2,mission_ACH!$2:$2,0)+1),MATCH(K$2,mission_ACH!$2:$2,0)-MATCH($G$2,mission_ACH!$2:$2,0)+1,FALSE),"")</f>
        <v/>
      </c>
      <c r="L174" s="31">
        <f ca="1">VLOOKUP($G174,OFFSET(mission_ACH!$A$2,0,0,COUNTA($A:$A),MATCH(L$2,mission_ACH!$2:$2,0)-MATCH($G$2,mission_ACH!$2:$2,0)+1),MATCH(L$2,mission_ACH!$2:$2,0)-MATCH($G$2,mission_ACH!$2:$2,0)+1,FALSE)</f>
        <v>0</v>
      </c>
      <c r="M174" s="27">
        <v>40</v>
      </c>
      <c r="N174" s="2" t="s">
        <v>955</v>
      </c>
      <c r="O174" s="2" t="s">
        <v>955</v>
      </c>
    </row>
    <row r="175" spans="1:15" s="1" customFormat="1" ht="21" customHeight="1" x14ac:dyDescent="0.15">
      <c r="A175" s="27">
        <v>4006</v>
      </c>
      <c r="B175" s="26" t="str">
        <f t="shared" ca="1" si="79"/>
        <v>フレンドを 30 人つくろう！</v>
      </c>
      <c r="C175" s="27" t="s">
        <v>194</v>
      </c>
      <c r="D175" s="31" t="str">
        <f ca="1">VLOOKUP($C175,OFFSET(mission_unlock_criteria!$A$2,0,0,COUNTA(mission_unlock_criteria!$A:$A),MATCH(D$2,mission_unlock_criteria!$2:$2,0)-MATCH($C$2,mission_unlock_criteria!$2:$2,0)+1),MATCH(D$2,mission_unlock_criteria!$2:$2,0)-MATCH($C$2,mission_unlock_criteria!$2:$2,0)+1,FALSE)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フレンド数が 20 人に到達</v>
      </c>
      <c r="E175" s="27" t="s">
        <v>196</v>
      </c>
      <c r="F175" s="31" t="str">
        <f ca="1">VLOOKUP($E175,OFFSET(mission_ACH_criteria!$A$1,0,0,COUNTA(mission_ACH_criteria!$A:$A),MATCH(F$2,mission_ACH_criteria!$1:$1,0)-MATCH($E$2,mission_ACH_criteria!$1:$1,0)+1),MATCH(F$2,mission_ACH_criteria!$1:$1,0)-MATCH($E$2,mission_ACH_criteria!$1:$1,0)+1,FALSE)</f>
        <v>フレンドを 30 人つくろう！</v>
      </c>
      <c r="G175" s="27" t="s">
        <v>410</v>
      </c>
      <c r="H175" s="31" t="str">
        <f t="shared" ca="1" si="81"/>
        <v>リンク x 1500</v>
      </c>
      <c r="I175" s="31" t="str">
        <f ca="1">VLOOKUP($G175,OFFSET(mission_ACH!$A$2,0,0,COUNTA($A:$A),MATCH(I$2,mission_ACH!$2:$2,0)-MATCH($G$2,mission_ACH!$2:$2,0)+1),MATCH(I$2,mission_ACH!$2:$2,0)-MATCH($G$2,mission_ACH!$2:$2,0)+1,FALSE)</f>
        <v>link</v>
      </c>
      <c r="J175" s="31">
        <f ca="1">VLOOKUP($G175,OFFSET(mission_ACH!$A$2,0,0,COUNTA($A:$A),MATCH(J$2,mission_ACH!$2:$2,0)-MATCH($G$2,mission_ACH!$2:$2,0)+1),MATCH(J$2,mission_ACH!$2:$2,0)-MATCH($G$2,mission_ACH!$2:$2,0)+1,FALSE)</f>
        <v>1500</v>
      </c>
      <c r="K175" s="31" t="str">
        <f ca="1">IF(I175="unit",VLOOKUP($G175,OFFSET(mission_ACH!$A$2,0,0,COUNTA($A:$A),MATCH(K$2,mission_ACH!$2:$2,0)-MATCH($G$2,mission_ACH!$2:$2,0)+1),MATCH(K$2,mission_ACH!$2:$2,0)-MATCH($G$2,mission_ACH!$2:$2,0)+1,FALSE),"")</f>
        <v/>
      </c>
      <c r="L175" s="31">
        <f ca="1">VLOOKUP($G175,OFFSET(mission_ACH!$A$2,0,0,COUNTA($A:$A),MATCH(L$2,mission_ACH!$2:$2,0)-MATCH($G$2,mission_ACH!$2:$2,0)+1),MATCH(L$2,mission_ACH!$2:$2,0)-MATCH($G$2,mission_ACH!$2:$2,0)+1,FALSE)</f>
        <v>0</v>
      </c>
      <c r="M175" s="27">
        <v>40</v>
      </c>
      <c r="N175" s="2" t="s">
        <v>955</v>
      </c>
      <c r="O175" s="2" t="s">
        <v>955</v>
      </c>
    </row>
    <row r="176" spans="1:15" s="1" customFormat="1" ht="21" customHeight="1" x14ac:dyDescent="0.15">
      <c r="A176" s="27">
        <v>4007</v>
      </c>
      <c r="B176" s="26" t="str">
        <f t="shared" ca="1" si="79"/>
        <v>フレンドを 40 人つくろう！</v>
      </c>
      <c r="C176" s="27" t="s">
        <v>196</v>
      </c>
      <c r="D176" s="31" t="str">
        <f ca="1">VLOOKUP($C176,OFFSET(mission_unlock_criteria!$A$2,0,0,COUNTA(mission_unlock_criteria!$A:$A),MATCH(D$2,mission_unlock_criteria!$2:$2,0)-MATCH($C$2,mission_unlock_criteria!$2:$2,0)+1),MATCH(D$2,mission_unlock_criteria!$2:$2,0)-MATCH($C$2,mission_unlock_criteria!$2:$2,0)+1,FALSE)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フレンド数が 30 人に到達</v>
      </c>
      <c r="E176" s="27" t="s">
        <v>198</v>
      </c>
      <c r="F176" s="31" t="str">
        <f ca="1">VLOOKUP($E176,OFFSET(mission_ACH_criteria!$A$1,0,0,COUNTA(mission_ACH_criteria!$A:$A),MATCH(F$2,mission_ACH_criteria!$1:$1,0)-MATCH($E$2,mission_ACH_criteria!$1:$1,0)+1),MATCH(F$2,mission_ACH_criteria!$1:$1,0)-MATCH($E$2,mission_ACH_criteria!$1:$1,0)+1,FALSE)</f>
        <v>フレンドを 40 人つくろう！</v>
      </c>
      <c r="G176" s="27" t="s">
        <v>70</v>
      </c>
      <c r="H176" s="31" t="str">
        <f t="shared" ca="1" si="81"/>
        <v>リンク x 2000</v>
      </c>
      <c r="I176" s="31" t="str">
        <f ca="1">VLOOKUP($G176,OFFSET(mission_ACH!$A$2,0,0,COUNTA($A:$A),MATCH(I$2,mission_ACH!$2:$2,0)-MATCH($G$2,mission_ACH!$2:$2,0)+1),MATCH(I$2,mission_ACH!$2:$2,0)-MATCH($G$2,mission_ACH!$2:$2,0)+1,FALSE)</f>
        <v>link</v>
      </c>
      <c r="J176" s="31">
        <f ca="1">VLOOKUP($G176,OFFSET(mission_ACH!$A$2,0,0,COUNTA($A:$A),MATCH(J$2,mission_ACH!$2:$2,0)-MATCH($G$2,mission_ACH!$2:$2,0)+1),MATCH(J$2,mission_ACH!$2:$2,0)-MATCH($G$2,mission_ACH!$2:$2,0)+1,FALSE)</f>
        <v>2000</v>
      </c>
      <c r="K176" s="31" t="str">
        <f ca="1">IF(I176="unit",VLOOKUP($G176,OFFSET(mission_ACH!$A$2,0,0,COUNTA($A:$A),MATCH(K$2,mission_ACH!$2:$2,0)-MATCH($G$2,mission_ACH!$2:$2,0)+1),MATCH(K$2,mission_ACH!$2:$2,0)-MATCH($G$2,mission_ACH!$2:$2,0)+1,FALSE),"")</f>
        <v/>
      </c>
      <c r="L176" s="31">
        <f ca="1">VLOOKUP($G176,OFFSET(mission_ACH!$A$2,0,0,COUNTA($A:$A),MATCH(L$2,mission_ACH!$2:$2,0)-MATCH($G$2,mission_ACH!$2:$2,0)+1),MATCH(L$2,mission_ACH!$2:$2,0)-MATCH($G$2,mission_ACH!$2:$2,0)+1,FALSE)</f>
        <v>0</v>
      </c>
      <c r="M176" s="27">
        <v>40</v>
      </c>
      <c r="N176" s="2" t="s">
        <v>955</v>
      </c>
      <c r="O176" s="2" t="s">
        <v>955</v>
      </c>
    </row>
    <row r="177" spans="1:15" s="1" customFormat="1" ht="21" customHeight="1" x14ac:dyDescent="0.15">
      <c r="A177" s="27">
        <v>4008</v>
      </c>
      <c r="B177" s="26" t="str">
        <f t="shared" ca="1" si="79"/>
        <v>フレンドを 50 人つくろう！</v>
      </c>
      <c r="C177" s="27" t="s">
        <v>198</v>
      </c>
      <c r="D177" s="31" t="str">
        <f ca="1">VLOOKUP($C177,OFFSET(mission_unlock_criteria!$A$2,0,0,COUNTA(mission_unlock_criteria!$A:$A),MATCH(D$2,mission_unlock_criteria!$2:$2,0)-MATCH($C$2,mission_unlock_criteria!$2:$2,0)+1),MATCH(D$2,mission_unlock_criteria!$2:$2,0)-MATCH($C$2,mission_unlock_criteria!$2:$2,0)+1,FALSE)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フレンド数が 40 人に到達</v>
      </c>
      <c r="E177" s="27" t="s">
        <v>200</v>
      </c>
      <c r="F177" s="31" t="str">
        <f ca="1">VLOOKUP($E177,OFFSET(mission_ACH_criteria!$A$1,0,0,COUNTA(mission_ACH_criteria!$A:$A),MATCH(F$2,mission_ACH_criteria!$1:$1,0)-MATCH($E$2,mission_ACH_criteria!$1:$1,0)+1),MATCH(F$2,mission_ACH_criteria!$1:$1,0)-MATCH($E$2,mission_ACH_criteria!$1:$1,0)+1,FALSE)</f>
        <v>フレンドを 50 人つくろう！</v>
      </c>
      <c r="G177" s="27" t="s">
        <v>464</v>
      </c>
      <c r="H177" s="31" t="str">
        <f t="shared" ca="1" si="81"/>
        <v>リンク x 3000</v>
      </c>
      <c r="I177" s="31" t="str">
        <f ca="1">VLOOKUP($G177,OFFSET(mission_ACH!$A$2,0,0,COUNTA($A:$A),MATCH(I$2,mission_ACH!$2:$2,0)-MATCH($G$2,mission_ACH!$2:$2,0)+1),MATCH(I$2,mission_ACH!$2:$2,0)-MATCH($G$2,mission_ACH!$2:$2,0)+1,FALSE)</f>
        <v>link</v>
      </c>
      <c r="J177" s="31">
        <f ca="1">VLOOKUP($G177,OFFSET(mission_ACH!$A$2,0,0,COUNTA($A:$A),MATCH(J$2,mission_ACH!$2:$2,0)-MATCH($G$2,mission_ACH!$2:$2,0)+1),MATCH(J$2,mission_ACH!$2:$2,0)-MATCH($G$2,mission_ACH!$2:$2,0)+1,FALSE)</f>
        <v>3000</v>
      </c>
      <c r="K177" s="31" t="str">
        <f ca="1">IF(I177="unit",VLOOKUP($G177,OFFSET(mission_ACH!$A$2,0,0,COUNTA($A:$A),MATCH(K$2,mission_ACH!$2:$2,0)-MATCH($G$2,mission_ACH!$2:$2,0)+1),MATCH(K$2,mission_ACH!$2:$2,0)-MATCH($G$2,mission_ACH!$2:$2,0)+1,FALSE),"")</f>
        <v/>
      </c>
      <c r="L177" s="31">
        <f ca="1">VLOOKUP($G177,OFFSET(mission_ACH!$A$2,0,0,COUNTA($A:$A),MATCH(L$2,mission_ACH!$2:$2,0)-MATCH($G$2,mission_ACH!$2:$2,0)+1),MATCH(L$2,mission_ACH!$2:$2,0)-MATCH($G$2,mission_ACH!$2:$2,0)+1,FALSE)</f>
        <v>0</v>
      </c>
      <c r="M177" s="27">
        <v>40</v>
      </c>
      <c r="N177" s="2" t="s">
        <v>955</v>
      </c>
      <c r="O177" s="2" t="s">
        <v>955</v>
      </c>
    </row>
    <row r="178" spans="1:15" ht="21" customHeight="1" x14ac:dyDescent="0.15">
      <c r="A178" s="27">
        <v>5001</v>
      </c>
      <c r="B178" s="26" t="str">
        <f t="shared" ca="1" si="79"/>
        <v>ユニットを 25 種類手に入れよう！</v>
      </c>
      <c r="C178" s="27" t="s">
        <v>493</v>
      </c>
      <c r="D178" s="31" t="str">
        <f ca="1">VLOOKUP($C178,OFFSET(mission_unlock_criteria!$A$2,0,0,COUNTA(mission_unlock_criteria!$A:$A),MATCH(D$2,mission_unlock_criteria!$2:$2,0)-MATCH($C$2,mission_unlock_criteria!$2:$2,0)+1),MATCH(D$2,mission_unlock_criteria!$2:$2,0)-MATCH($C$2,mission_unlock_criteria!$2:$2,0)+1,FALSE)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10 に到達</v>
      </c>
      <c r="E178" s="2" t="s">
        <v>380</v>
      </c>
      <c r="F178" s="31" t="str">
        <f ca="1">VLOOKUP($E178,OFFSET(mission_ACH_criteria!$A$1,0,0,COUNTA(mission_ACH_criteria!$A:$A),MATCH(F$2,mission_ACH_criteria!$1:$1,0)-MATCH($E$2,mission_ACH_criteria!$1:$1,0)+1),MATCH(F$2,mission_ACH_criteria!$1:$1,0)-MATCH($E$2,mission_ACH_criteria!$1:$1,0)+1,FALSE)</f>
        <v>ユニットを 25 種類手に入れよう！</v>
      </c>
      <c r="G178" s="27" t="s">
        <v>119</v>
      </c>
      <c r="H178" s="31" t="str">
        <f t="shared" ca="1" si="81"/>
        <v>ポリゴン x 1</v>
      </c>
      <c r="I178" s="31" t="str">
        <f ca="1">VLOOKUP($G178,OFFSET(mission_ACH!$A$2,0,0,COUNTA($A:$A),MATCH(I$2,mission_ACH!$2:$2,0)-MATCH($G$2,mission_ACH!$2:$2,0)+1),MATCH(I$2,mission_ACH!$2:$2,0)-MATCH($G$2,mission_ACH!$2:$2,0)+1,FALSE)</f>
        <v>polygon</v>
      </c>
      <c r="J178" s="31">
        <f ca="1">VLOOKUP($G178,OFFSET(mission_ACH!$A$2,0,0,COUNTA($A:$A),MATCH(J$2,mission_ACH!$2:$2,0)-MATCH($G$2,mission_ACH!$2:$2,0)+1),MATCH(J$2,mission_ACH!$2:$2,0)-MATCH($G$2,mission_ACH!$2:$2,0)+1,FALSE)</f>
        <v>1</v>
      </c>
      <c r="K178" s="31" t="str">
        <f ca="1">IF(I178="unit",VLOOKUP($G178,OFFSET(mission_ACH!$A$2,0,0,COUNTA($A:$A),MATCH(K$2,mission_ACH!$2:$2,0)-MATCH($G$2,mission_ACH!$2:$2,0)+1),MATCH(K$2,mission_ACH!$2:$2,0)-MATCH($G$2,mission_ACH!$2:$2,0)+1,FALSE),"")</f>
        <v/>
      </c>
      <c r="L178" s="31">
        <f ca="1">VLOOKUP($G178,OFFSET(mission_ACH!$A$2,0,0,COUNTA($A:$A),MATCH(L$2,mission_ACH!$2:$2,0)-MATCH($G$2,mission_ACH!$2:$2,0)+1),MATCH(L$2,mission_ACH!$2:$2,0)-MATCH($G$2,mission_ACH!$2:$2,0)+1,FALSE)</f>
        <v>0</v>
      </c>
      <c r="M178" s="27">
        <v>40</v>
      </c>
      <c r="N178" s="2" t="s">
        <v>955</v>
      </c>
      <c r="O178" s="2" t="s">
        <v>955</v>
      </c>
    </row>
    <row r="179" spans="1:15" ht="21" customHeight="1" x14ac:dyDescent="0.15">
      <c r="A179" s="27">
        <v>5002</v>
      </c>
      <c r="B179" s="26" t="str">
        <f t="shared" ca="1" si="79"/>
        <v>ユニットを 50 種類手に入れよう！</v>
      </c>
      <c r="C179" s="27" t="s">
        <v>489</v>
      </c>
      <c r="D179" s="31" t="str">
        <f ca="1">VLOOKUP($C179,OFFSET(mission_unlock_criteria!$A$2,0,0,COUNTA(mission_unlock_criteria!$A:$A),MATCH(D$2,mission_unlock_criteria!$2:$2,0)-MATCH($C$2,mission_unlock_criteria!$2:$2,0)+1),MATCH(D$2,mission_unlock_criteria!$2:$2,0)-MATCH($C$2,mission_unlock_criteria!$2:$2,0)+1,FALSE)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25 に到達</v>
      </c>
      <c r="E179" s="2" t="s">
        <v>381</v>
      </c>
      <c r="F179" s="31" t="str">
        <f ca="1">VLOOKUP($E179,OFFSET(mission_ACH_criteria!$A$1,0,0,COUNTA(mission_ACH_criteria!$A:$A),MATCH(F$2,mission_ACH_criteria!$1:$1,0)-MATCH($E$2,mission_ACH_criteria!$1:$1,0)+1),MATCH(F$2,mission_ACH_criteria!$1:$1,0)-MATCH($E$2,mission_ACH_criteria!$1:$1,0)+1,FALSE)</f>
        <v>ユニットを 50 種類手に入れよう！</v>
      </c>
      <c r="G179" s="27" t="s">
        <v>419</v>
      </c>
      <c r="H179" s="31" t="str">
        <f t="shared" ca="1" si="81"/>
        <v>秘術の果実 x 1</v>
      </c>
      <c r="I179" s="31" t="str">
        <f ca="1">VLOOKUP($G179,OFFSET(mission_ACH!$A$2,0,0,COUNTA($A:$A),MATCH(I$2,mission_ACH!$2:$2,0)-MATCH($G$2,mission_ACH!$2:$2,0)+1),MATCH(I$2,mission_ACH!$2:$2,0)-MATCH($G$2,mission_ACH!$2:$2,0)+1,FALSE)</f>
        <v>unit</v>
      </c>
      <c r="J179" s="31">
        <f ca="1">VLOOKUP($G179,OFFSET(mission_ACH!$A$2,0,0,COUNTA($A:$A),MATCH(J$2,mission_ACH!$2:$2,0)-MATCH($G$2,mission_ACH!$2:$2,0)+1),MATCH(J$2,mission_ACH!$2:$2,0)-MATCH($G$2,mission_ACH!$2:$2,0)+1,FALSE)</f>
        <v>125</v>
      </c>
      <c r="K179" s="31" t="str">
        <f ca="1">IF(I179="unit",VLOOKUP($G179,OFFSET(mission_ACH!$A$2,0,0,COUNTA($A:$A),MATCH(K$2,mission_ACH!$2:$2,0)-MATCH($G$2,mission_ACH!$2:$2,0)+1),MATCH(K$2,mission_ACH!$2:$2,0)-MATCH($G$2,mission_ACH!$2:$2,0)+1,FALSE),"")</f>
        <v>秘術の果実</v>
      </c>
      <c r="L179" s="31">
        <f ca="1">VLOOKUP($G179,OFFSET(mission_ACH!$A$2,0,0,COUNTA($A:$A),MATCH(L$2,mission_ACH!$2:$2,0)-MATCH($G$2,mission_ACH!$2:$2,0)+1),MATCH(L$2,mission_ACH!$2:$2,0)-MATCH($G$2,mission_ACH!$2:$2,0)+1,FALSE)</f>
        <v>1</v>
      </c>
      <c r="M179" s="27">
        <v>40</v>
      </c>
      <c r="N179" s="2" t="s">
        <v>955</v>
      </c>
      <c r="O179" s="2" t="s">
        <v>955</v>
      </c>
    </row>
    <row r="180" spans="1:15" ht="21" customHeight="1" x14ac:dyDescent="0.15">
      <c r="A180" s="27">
        <v>5003</v>
      </c>
      <c r="B180" s="26" t="str">
        <f t="shared" ca="1" si="79"/>
        <v>ユニットを 75 種類手に入れよう！</v>
      </c>
      <c r="C180" s="27" t="s">
        <v>108</v>
      </c>
      <c r="D180" s="31" t="str">
        <f ca="1">VLOOKUP($C180,OFFSET(mission_unlock_criteria!$A$2,0,0,COUNTA(mission_unlock_criteria!$A:$A),MATCH(D$2,mission_unlock_criteria!$2:$2,0)-MATCH($C$2,mission_unlock_criteria!$2:$2,0)+1),MATCH(D$2,mission_unlock_criteria!$2:$2,0)-MATCH($C$2,mission_unlock_criteria!$2:$2,0)+1,FALSE)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50 に到達</v>
      </c>
      <c r="E180" s="2" t="s">
        <v>382</v>
      </c>
      <c r="F180" s="31" t="str">
        <f ca="1">VLOOKUP($E180,OFFSET(mission_ACH_criteria!$A$1,0,0,COUNTA(mission_ACH_criteria!$A:$A),MATCH(F$2,mission_ACH_criteria!$1:$1,0)-MATCH($E$2,mission_ACH_criteria!$1:$1,0)+1),MATCH(F$2,mission_ACH_criteria!$1:$1,0)-MATCH($E$2,mission_ACH_criteria!$1:$1,0)+1,FALSE)</f>
        <v>ユニットを 75 種類手に入れよう！</v>
      </c>
      <c r="G180" s="27" t="s">
        <v>419</v>
      </c>
      <c r="H180" s="31" t="str">
        <f t="shared" ca="1" si="81"/>
        <v>秘術の果実 x 1</v>
      </c>
      <c r="I180" s="31" t="str">
        <f ca="1">VLOOKUP($G180,OFFSET(mission_ACH!$A$2,0,0,COUNTA($A:$A),MATCH(I$2,mission_ACH!$2:$2,0)-MATCH($G$2,mission_ACH!$2:$2,0)+1),MATCH(I$2,mission_ACH!$2:$2,0)-MATCH($G$2,mission_ACH!$2:$2,0)+1,FALSE)</f>
        <v>unit</v>
      </c>
      <c r="J180" s="31">
        <f ca="1">VLOOKUP($G180,OFFSET(mission_ACH!$A$2,0,0,COUNTA($A:$A),MATCH(J$2,mission_ACH!$2:$2,0)-MATCH($G$2,mission_ACH!$2:$2,0)+1),MATCH(J$2,mission_ACH!$2:$2,0)-MATCH($G$2,mission_ACH!$2:$2,0)+1,FALSE)</f>
        <v>125</v>
      </c>
      <c r="K180" s="31" t="str">
        <f ca="1">IF(I180="unit",VLOOKUP($G180,OFFSET(mission_ACH!$A$2,0,0,COUNTA($A:$A),MATCH(K$2,mission_ACH!$2:$2,0)-MATCH($G$2,mission_ACH!$2:$2,0)+1),MATCH(K$2,mission_ACH!$2:$2,0)-MATCH($G$2,mission_ACH!$2:$2,0)+1,FALSE),"")</f>
        <v>秘術の果実</v>
      </c>
      <c r="L180" s="31">
        <f ca="1">VLOOKUP($G180,OFFSET(mission_ACH!$A$2,0,0,COUNTA($A:$A),MATCH(L$2,mission_ACH!$2:$2,0)-MATCH($G$2,mission_ACH!$2:$2,0)+1),MATCH(L$2,mission_ACH!$2:$2,0)-MATCH($G$2,mission_ACH!$2:$2,0)+1,FALSE)</f>
        <v>1</v>
      </c>
      <c r="M180" s="27">
        <v>40</v>
      </c>
      <c r="N180" s="2" t="s">
        <v>955</v>
      </c>
      <c r="O180" s="2" t="s">
        <v>955</v>
      </c>
    </row>
    <row r="181" spans="1:15" ht="21" customHeight="1" x14ac:dyDescent="0.15">
      <c r="A181" s="27">
        <v>5004</v>
      </c>
      <c r="B181" s="26" t="str">
        <f t="shared" ca="1" si="79"/>
        <v>ユニットを 100 種類手に入れよう！</v>
      </c>
      <c r="C181" s="27" t="s">
        <v>109</v>
      </c>
      <c r="D181" s="31" t="str">
        <f ca="1">VLOOKUP($C181,OFFSET(mission_unlock_criteria!$A$2,0,0,COUNTA(mission_unlock_criteria!$A:$A),MATCH(D$2,mission_unlock_criteria!$2:$2,0)-MATCH($C$2,mission_unlock_criteria!$2:$2,0)+1),MATCH(D$2,mission_unlock_criteria!$2:$2,0)-MATCH($C$2,mission_unlock_criteria!$2:$2,0)+1,FALSE)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75 に到達</v>
      </c>
      <c r="E181" s="2" t="s">
        <v>383</v>
      </c>
      <c r="F181" s="31" t="str">
        <f ca="1">VLOOKUP($E181,OFFSET(mission_ACH_criteria!$A$1,0,0,COUNTA(mission_ACH_criteria!$A:$A),MATCH(F$2,mission_ACH_criteria!$1:$1,0)-MATCH($E$2,mission_ACH_criteria!$1:$1,0)+1),MATCH(F$2,mission_ACH_criteria!$1:$1,0)-MATCH($E$2,mission_ACH_criteria!$1:$1,0)+1,FALSE)</f>
        <v>ユニットを 100 種類手に入れよう！</v>
      </c>
      <c r="G181" s="27" t="s">
        <v>119</v>
      </c>
      <c r="H181" s="31" t="str">
        <f t="shared" ca="1" si="81"/>
        <v>ポリゴン x 1</v>
      </c>
      <c r="I181" s="31" t="str">
        <f ca="1">VLOOKUP($G181,OFFSET(mission_ACH!$A$2,0,0,COUNTA($A:$A),MATCH(I$2,mission_ACH!$2:$2,0)-MATCH($G$2,mission_ACH!$2:$2,0)+1),MATCH(I$2,mission_ACH!$2:$2,0)-MATCH($G$2,mission_ACH!$2:$2,0)+1,FALSE)</f>
        <v>polygon</v>
      </c>
      <c r="J181" s="31">
        <f ca="1">VLOOKUP($G181,OFFSET(mission_ACH!$A$2,0,0,COUNTA($A:$A),MATCH(J$2,mission_ACH!$2:$2,0)-MATCH($G$2,mission_ACH!$2:$2,0)+1),MATCH(J$2,mission_ACH!$2:$2,0)-MATCH($G$2,mission_ACH!$2:$2,0)+1,FALSE)</f>
        <v>1</v>
      </c>
      <c r="K181" s="31" t="str">
        <f ca="1">IF(I181="unit",VLOOKUP($G181,OFFSET(mission_ACH!$A$2,0,0,COUNTA($A:$A),MATCH(K$2,mission_ACH!$2:$2,0)-MATCH($G$2,mission_ACH!$2:$2,0)+1),MATCH(K$2,mission_ACH!$2:$2,0)-MATCH($G$2,mission_ACH!$2:$2,0)+1,FALSE),"")</f>
        <v/>
      </c>
      <c r="L181" s="31">
        <f ca="1">VLOOKUP($G181,OFFSET(mission_ACH!$A$2,0,0,COUNTA($A:$A),MATCH(L$2,mission_ACH!$2:$2,0)-MATCH($G$2,mission_ACH!$2:$2,0)+1),MATCH(L$2,mission_ACH!$2:$2,0)-MATCH($G$2,mission_ACH!$2:$2,0)+1,FALSE)</f>
        <v>0</v>
      </c>
      <c r="M181" s="27">
        <v>40</v>
      </c>
      <c r="N181" s="2" t="s">
        <v>955</v>
      </c>
      <c r="O181" s="2" t="s">
        <v>955</v>
      </c>
    </row>
    <row r="182" spans="1:15" ht="21" customHeight="1" x14ac:dyDescent="0.15">
      <c r="A182" s="27">
        <v>5005</v>
      </c>
      <c r="B182" s="26" t="str">
        <f t="shared" ca="1" si="79"/>
        <v>ユニットを 125 種類手に入れよう！</v>
      </c>
      <c r="C182" s="27" t="s">
        <v>110</v>
      </c>
      <c r="D182" s="31" t="str">
        <f ca="1">VLOOKUP($C182,OFFSET(mission_unlock_criteria!$A$2,0,0,COUNTA(mission_unlock_criteria!$A:$A),MATCH(D$2,mission_unlock_criteria!$2:$2,0)-MATCH($C$2,mission_unlock_criteria!$2:$2,0)+1),MATCH(D$2,mission_unlock_criteria!$2:$2,0)-MATCH($C$2,mission_unlock_criteria!$2:$2,0)+1,FALSE)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100 に到達</v>
      </c>
      <c r="E182" s="2" t="s">
        <v>384</v>
      </c>
      <c r="F182" s="31" t="str">
        <f ca="1">VLOOKUP($E182,OFFSET(mission_ACH_criteria!$A$1,0,0,COUNTA(mission_ACH_criteria!$A:$A),MATCH(F$2,mission_ACH_criteria!$1:$1,0)-MATCH($E$2,mission_ACH_criteria!$1:$1,0)+1),MATCH(F$2,mission_ACH_criteria!$1:$1,0)-MATCH($E$2,mission_ACH_criteria!$1:$1,0)+1,FALSE)</f>
        <v>ユニットを 125 種類手に入れよう！</v>
      </c>
      <c r="G182" s="27" t="s">
        <v>419</v>
      </c>
      <c r="H182" s="31" t="str">
        <f t="shared" ca="1" si="81"/>
        <v>秘術の果実 x 1</v>
      </c>
      <c r="I182" s="31" t="str">
        <f ca="1">VLOOKUP($G182,OFFSET(mission_ACH!$A$2,0,0,COUNTA($A:$A),MATCH(I$2,mission_ACH!$2:$2,0)-MATCH($G$2,mission_ACH!$2:$2,0)+1),MATCH(I$2,mission_ACH!$2:$2,0)-MATCH($G$2,mission_ACH!$2:$2,0)+1,FALSE)</f>
        <v>unit</v>
      </c>
      <c r="J182" s="31">
        <f ca="1">VLOOKUP($G182,OFFSET(mission_ACH!$A$2,0,0,COUNTA($A:$A),MATCH(J$2,mission_ACH!$2:$2,0)-MATCH($G$2,mission_ACH!$2:$2,0)+1),MATCH(J$2,mission_ACH!$2:$2,0)-MATCH($G$2,mission_ACH!$2:$2,0)+1,FALSE)</f>
        <v>125</v>
      </c>
      <c r="K182" s="31" t="str">
        <f ca="1">IF(I182="unit",VLOOKUP($G182,OFFSET(mission_ACH!$A$2,0,0,COUNTA($A:$A),MATCH(K$2,mission_ACH!$2:$2,0)-MATCH($G$2,mission_ACH!$2:$2,0)+1),MATCH(K$2,mission_ACH!$2:$2,0)-MATCH($G$2,mission_ACH!$2:$2,0)+1,FALSE),"")</f>
        <v>秘術の果実</v>
      </c>
      <c r="L182" s="31">
        <f ca="1">VLOOKUP($G182,OFFSET(mission_ACH!$A$2,0,0,COUNTA($A:$A),MATCH(L$2,mission_ACH!$2:$2,0)-MATCH($G$2,mission_ACH!$2:$2,0)+1),MATCH(L$2,mission_ACH!$2:$2,0)-MATCH($G$2,mission_ACH!$2:$2,0)+1,FALSE)</f>
        <v>1</v>
      </c>
      <c r="M182" s="27">
        <v>40</v>
      </c>
      <c r="N182" s="2" t="s">
        <v>955</v>
      </c>
      <c r="O182" s="2" t="s">
        <v>955</v>
      </c>
    </row>
    <row r="183" spans="1:15" ht="21" customHeight="1" x14ac:dyDescent="0.15">
      <c r="A183" s="27">
        <v>5006</v>
      </c>
      <c r="B183" s="26" t="str">
        <f t="shared" ca="1" si="79"/>
        <v>ユニットを 150 種類手に入れよう！</v>
      </c>
      <c r="C183" s="27" t="s">
        <v>111</v>
      </c>
      <c r="D183" s="31" t="str">
        <f ca="1">VLOOKUP($C183,OFFSET(mission_unlock_criteria!$A$2,0,0,COUNTA(mission_unlock_criteria!$A:$A),MATCH(D$2,mission_unlock_criteria!$2:$2,0)-MATCH($C$2,mission_unlock_criteria!$2:$2,0)+1),MATCH(D$2,mission_unlock_criteria!$2:$2,0)-MATCH($C$2,mission_unlock_criteria!$2:$2,0)+1,FALSE)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125 に到達</v>
      </c>
      <c r="E183" s="2" t="s">
        <v>385</v>
      </c>
      <c r="F183" s="31" t="str">
        <f ca="1">VLOOKUP($E183,OFFSET(mission_ACH_criteria!$A$1,0,0,COUNTA(mission_ACH_criteria!$A:$A),MATCH(F$2,mission_ACH_criteria!$1:$1,0)-MATCH($E$2,mission_ACH_criteria!$1:$1,0)+1),MATCH(F$2,mission_ACH_criteria!$1:$1,0)-MATCH($E$2,mission_ACH_criteria!$1:$1,0)+1,FALSE)</f>
        <v>ユニットを 150 種類手に入れよう！</v>
      </c>
      <c r="G183" s="27" t="s">
        <v>419</v>
      </c>
      <c r="H183" s="31" t="str">
        <f t="shared" ca="1" si="81"/>
        <v>秘術の果実 x 1</v>
      </c>
      <c r="I183" s="31" t="str">
        <f ca="1">VLOOKUP($G183,OFFSET(mission_ACH!$A$2,0,0,COUNTA($A:$A),MATCH(I$2,mission_ACH!$2:$2,0)-MATCH($G$2,mission_ACH!$2:$2,0)+1),MATCH(I$2,mission_ACH!$2:$2,0)-MATCH($G$2,mission_ACH!$2:$2,0)+1,FALSE)</f>
        <v>unit</v>
      </c>
      <c r="J183" s="31">
        <f ca="1">VLOOKUP($G183,OFFSET(mission_ACH!$A$2,0,0,COUNTA($A:$A),MATCH(J$2,mission_ACH!$2:$2,0)-MATCH($G$2,mission_ACH!$2:$2,0)+1),MATCH(J$2,mission_ACH!$2:$2,0)-MATCH($G$2,mission_ACH!$2:$2,0)+1,FALSE)</f>
        <v>125</v>
      </c>
      <c r="K183" s="31" t="str">
        <f ca="1">IF(I183="unit",VLOOKUP($G183,OFFSET(mission_ACH!$A$2,0,0,COUNTA($A:$A),MATCH(K$2,mission_ACH!$2:$2,0)-MATCH($G$2,mission_ACH!$2:$2,0)+1),MATCH(K$2,mission_ACH!$2:$2,0)-MATCH($G$2,mission_ACH!$2:$2,0)+1,FALSE),"")</f>
        <v>秘術の果実</v>
      </c>
      <c r="L183" s="31">
        <f ca="1">VLOOKUP($G183,OFFSET(mission_ACH!$A$2,0,0,COUNTA($A:$A),MATCH(L$2,mission_ACH!$2:$2,0)-MATCH($G$2,mission_ACH!$2:$2,0)+1),MATCH(L$2,mission_ACH!$2:$2,0)-MATCH($G$2,mission_ACH!$2:$2,0)+1,FALSE)</f>
        <v>1</v>
      </c>
      <c r="M183" s="27">
        <v>40</v>
      </c>
      <c r="N183" s="2" t="s">
        <v>955</v>
      </c>
      <c r="O183" s="2" t="s">
        <v>955</v>
      </c>
    </row>
    <row r="184" spans="1:15" ht="21" customHeight="1" x14ac:dyDescent="0.15">
      <c r="A184" s="27">
        <v>5007</v>
      </c>
      <c r="B184" s="26" t="str">
        <f t="shared" ca="1" si="79"/>
        <v>ユニットを 175 種類手に入れよう！</v>
      </c>
      <c r="C184" s="27" t="s">
        <v>112</v>
      </c>
      <c r="D184" s="31" t="str">
        <f ca="1">VLOOKUP($C184,OFFSET(mission_unlock_criteria!$A$2,0,0,COUNTA(mission_unlock_criteria!$A:$A),MATCH(D$2,mission_unlock_criteria!$2:$2,0)-MATCH($C$2,mission_unlock_criteria!$2:$2,0)+1),MATCH(D$2,mission_unlock_criteria!$2:$2,0)-MATCH($C$2,mission_unlock_criteria!$2:$2,0)+1,FALSE)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150 に到達</v>
      </c>
      <c r="E184" s="2" t="s">
        <v>386</v>
      </c>
      <c r="F184" s="31" t="str">
        <f ca="1">VLOOKUP($E184,OFFSET(mission_ACH_criteria!$A$1,0,0,COUNTA(mission_ACH_criteria!$A:$A),MATCH(F$2,mission_ACH_criteria!$1:$1,0)-MATCH($E$2,mission_ACH_criteria!$1:$1,0)+1),MATCH(F$2,mission_ACH_criteria!$1:$1,0)-MATCH($E$2,mission_ACH_criteria!$1:$1,0)+1,FALSE)</f>
        <v>ユニットを 175 種類手に入れよう！</v>
      </c>
      <c r="G184" s="27" t="s">
        <v>419</v>
      </c>
      <c r="H184" s="31" t="str">
        <f t="shared" ca="1" si="81"/>
        <v>秘術の果実 x 1</v>
      </c>
      <c r="I184" s="31" t="str">
        <f ca="1">VLOOKUP($G184,OFFSET(mission_ACH!$A$2,0,0,COUNTA($A:$A),MATCH(I$2,mission_ACH!$2:$2,0)-MATCH($G$2,mission_ACH!$2:$2,0)+1),MATCH(I$2,mission_ACH!$2:$2,0)-MATCH($G$2,mission_ACH!$2:$2,0)+1,FALSE)</f>
        <v>unit</v>
      </c>
      <c r="J184" s="31">
        <f ca="1">VLOOKUP($G184,OFFSET(mission_ACH!$A$2,0,0,COUNTA($A:$A),MATCH(J$2,mission_ACH!$2:$2,0)-MATCH($G$2,mission_ACH!$2:$2,0)+1),MATCH(J$2,mission_ACH!$2:$2,0)-MATCH($G$2,mission_ACH!$2:$2,0)+1,FALSE)</f>
        <v>125</v>
      </c>
      <c r="K184" s="31" t="str">
        <f ca="1">IF(I184="unit",VLOOKUP($G184,OFFSET(mission_ACH!$A$2,0,0,COUNTA($A:$A),MATCH(K$2,mission_ACH!$2:$2,0)-MATCH($G$2,mission_ACH!$2:$2,0)+1),MATCH(K$2,mission_ACH!$2:$2,0)-MATCH($G$2,mission_ACH!$2:$2,0)+1,FALSE),"")</f>
        <v>秘術の果実</v>
      </c>
      <c r="L184" s="31">
        <f ca="1">VLOOKUP($G184,OFFSET(mission_ACH!$A$2,0,0,COUNTA($A:$A),MATCH(L$2,mission_ACH!$2:$2,0)-MATCH($G$2,mission_ACH!$2:$2,0)+1),MATCH(L$2,mission_ACH!$2:$2,0)-MATCH($G$2,mission_ACH!$2:$2,0)+1,FALSE)</f>
        <v>1</v>
      </c>
      <c r="M184" s="27">
        <v>40</v>
      </c>
      <c r="N184" s="2" t="s">
        <v>955</v>
      </c>
      <c r="O184" s="2" t="s">
        <v>955</v>
      </c>
    </row>
    <row r="185" spans="1:15" ht="21" customHeight="1" x14ac:dyDescent="0.15">
      <c r="A185" s="27">
        <v>5008</v>
      </c>
      <c r="B185" s="26" t="str">
        <f t="shared" ca="1" si="79"/>
        <v>ユニットを 200 種類手に入れよう！</v>
      </c>
      <c r="C185" s="27" t="s">
        <v>113</v>
      </c>
      <c r="D185" s="31" t="str">
        <f ca="1">VLOOKUP($C185,OFFSET(mission_unlock_criteria!$A$2,0,0,COUNTA(mission_unlock_criteria!$A:$A),MATCH(D$2,mission_unlock_criteria!$2:$2,0)-MATCH($C$2,mission_unlock_criteria!$2:$2,0)+1),MATCH(D$2,mission_unlock_criteria!$2:$2,0)-MATCH($C$2,mission_unlock_criteria!$2:$2,0)+1,FALSE)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175 に到達</v>
      </c>
      <c r="E185" s="2" t="s">
        <v>387</v>
      </c>
      <c r="F185" s="31" t="str">
        <f ca="1">VLOOKUP($E185,OFFSET(mission_ACH_criteria!$A$1,0,0,COUNTA(mission_ACH_criteria!$A:$A),MATCH(F$2,mission_ACH_criteria!$1:$1,0)-MATCH($E$2,mission_ACH_criteria!$1:$1,0)+1),MATCH(F$2,mission_ACH_criteria!$1:$1,0)-MATCH($E$2,mission_ACH_criteria!$1:$1,0)+1,FALSE)</f>
        <v>ユニットを 200 種類手に入れよう！</v>
      </c>
      <c r="G185" s="27" t="s">
        <v>119</v>
      </c>
      <c r="H185" s="31" t="str">
        <f t="shared" ca="1" si="81"/>
        <v>ポリゴン x 1</v>
      </c>
      <c r="I185" s="31" t="str">
        <f ca="1">VLOOKUP($G185,OFFSET(mission_ACH!$A$2,0,0,COUNTA($A:$A),MATCH(I$2,mission_ACH!$2:$2,0)-MATCH($G$2,mission_ACH!$2:$2,0)+1),MATCH(I$2,mission_ACH!$2:$2,0)-MATCH($G$2,mission_ACH!$2:$2,0)+1,FALSE)</f>
        <v>polygon</v>
      </c>
      <c r="J185" s="31">
        <f ca="1">VLOOKUP($G185,OFFSET(mission_ACH!$A$2,0,0,COUNTA($A:$A),MATCH(J$2,mission_ACH!$2:$2,0)-MATCH($G$2,mission_ACH!$2:$2,0)+1),MATCH(J$2,mission_ACH!$2:$2,0)-MATCH($G$2,mission_ACH!$2:$2,0)+1,FALSE)</f>
        <v>1</v>
      </c>
      <c r="K185" s="31" t="str">
        <f ca="1">IF(I185="unit",VLOOKUP($G185,OFFSET(mission_ACH!$A$2,0,0,COUNTA($A:$A),MATCH(K$2,mission_ACH!$2:$2,0)-MATCH($G$2,mission_ACH!$2:$2,0)+1),MATCH(K$2,mission_ACH!$2:$2,0)-MATCH($G$2,mission_ACH!$2:$2,0)+1,FALSE),"")</f>
        <v/>
      </c>
      <c r="L185" s="31">
        <f ca="1">VLOOKUP($G185,OFFSET(mission_ACH!$A$2,0,0,COUNTA($A:$A),MATCH(L$2,mission_ACH!$2:$2,0)-MATCH($G$2,mission_ACH!$2:$2,0)+1),MATCH(L$2,mission_ACH!$2:$2,0)-MATCH($G$2,mission_ACH!$2:$2,0)+1,FALSE)</f>
        <v>0</v>
      </c>
      <c r="M185" s="27">
        <v>40</v>
      </c>
      <c r="N185" s="2" t="s">
        <v>955</v>
      </c>
      <c r="O185" s="2" t="s">
        <v>955</v>
      </c>
    </row>
    <row r="186" spans="1:15" ht="21" customHeight="1" x14ac:dyDescent="0.15">
      <c r="A186" s="27">
        <v>5009</v>
      </c>
      <c r="B186" s="26" t="str">
        <f t="shared" ca="1" si="79"/>
        <v>ユニットを 225 種類手に入れよう！</v>
      </c>
      <c r="C186" s="27" t="s">
        <v>114</v>
      </c>
      <c r="D186" s="31" t="str">
        <f ca="1">VLOOKUP($C186,OFFSET(mission_unlock_criteria!$A$2,0,0,COUNTA(mission_unlock_criteria!$A:$A),MATCH(D$2,mission_unlock_criteria!$2:$2,0)-MATCH($C$2,mission_unlock_criteria!$2:$2,0)+1),MATCH(D$2,mission_unlock_criteria!$2:$2,0)-MATCH($C$2,mission_unlock_criteria!$2:$2,0)+1,FALSE)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200 に到達</v>
      </c>
      <c r="E186" s="2" t="s">
        <v>388</v>
      </c>
      <c r="F186" s="31" t="str">
        <f ca="1">VLOOKUP($E186,OFFSET(mission_ACH_criteria!$A$1,0,0,COUNTA(mission_ACH_criteria!$A:$A),MATCH(F$2,mission_ACH_criteria!$1:$1,0)-MATCH($E$2,mission_ACH_criteria!$1:$1,0)+1),MATCH(F$2,mission_ACH_criteria!$1:$1,0)-MATCH($E$2,mission_ACH_criteria!$1:$1,0)+1,FALSE)</f>
        <v>ユニットを 225 種類手に入れよう！</v>
      </c>
      <c r="G186" s="27" t="s">
        <v>419</v>
      </c>
      <c r="H186" s="31" t="str">
        <f t="shared" ca="1" si="81"/>
        <v>秘術の果実 x 1</v>
      </c>
      <c r="I186" s="31" t="str">
        <f ca="1">VLOOKUP($G186,OFFSET(mission_ACH!$A$2,0,0,COUNTA($A:$A),MATCH(I$2,mission_ACH!$2:$2,0)-MATCH($G$2,mission_ACH!$2:$2,0)+1),MATCH(I$2,mission_ACH!$2:$2,0)-MATCH($G$2,mission_ACH!$2:$2,0)+1,FALSE)</f>
        <v>unit</v>
      </c>
      <c r="J186" s="31">
        <f ca="1">VLOOKUP($G186,OFFSET(mission_ACH!$A$2,0,0,COUNTA($A:$A),MATCH(J$2,mission_ACH!$2:$2,0)-MATCH($G$2,mission_ACH!$2:$2,0)+1),MATCH(J$2,mission_ACH!$2:$2,0)-MATCH($G$2,mission_ACH!$2:$2,0)+1,FALSE)</f>
        <v>125</v>
      </c>
      <c r="K186" s="31" t="str">
        <f ca="1">IF(I186="unit",VLOOKUP($G186,OFFSET(mission_ACH!$A$2,0,0,COUNTA($A:$A),MATCH(K$2,mission_ACH!$2:$2,0)-MATCH($G$2,mission_ACH!$2:$2,0)+1),MATCH(K$2,mission_ACH!$2:$2,0)-MATCH($G$2,mission_ACH!$2:$2,0)+1,FALSE),"")</f>
        <v>秘術の果実</v>
      </c>
      <c r="L186" s="31">
        <f ca="1">VLOOKUP($G186,OFFSET(mission_ACH!$A$2,0,0,COUNTA($A:$A),MATCH(L$2,mission_ACH!$2:$2,0)-MATCH($G$2,mission_ACH!$2:$2,0)+1),MATCH(L$2,mission_ACH!$2:$2,0)-MATCH($G$2,mission_ACH!$2:$2,0)+1,FALSE)</f>
        <v>1</v>
      </c>
      <c r="M186" s="27">
        <v>40</v>
      </c>
      <c r="N186" s="2" t="s">
        <v>955</v>
      </c>
      <c r="O186" s="2" t="s">
        <v>955</v>
      </c>
    </row>
    <row r="187" spans="1:15" ht="21" customHeight="1" x14ac:dyDescent="0.15">
      <c r="A187" s="27">
        <v>5010</v>
      </c>
      <c r="B187" s="26" t="str">
        <f t="shared" ca="1" si="79"/>
        <v>ユニットを 250 種類手に入れよう！</v>
      </c>
      <c r="C187" s="27" t="s">
        <v>115</v>
      </c>
      <c r="D187" s="31" t="str">
        <f ca="1">VLOOKUP($C187,OFFSET(mission_unlock_criteria!$A$2,0,0,COUNTA(mission_unlock_criteria!$A:$A),MATCH(D$2,mission_unlock_criteria!$2:$2,0)-MATCH($C$2,mission_unlock_criteria!$2:$2,0)+1),MATCH(D$2,mission_unlock_criteria!$2:$2,0)-MATCH($C$2,mission_unlock_criteria!$2:$2,0)+1,FALSE)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225 に到達</v>
      </c>
      <c r="E187" s="2" t="s">
        <v>389</v>
      </c>
      <c r="F187" s="31" t="str">
        <f ca="1">VLOOKUP($E187,OFFSET(mission_ACH_criteria!$A$1,0,0,COUNTA(mission_ACH_criteria!$A:$A),MATCH(F$2,mission_ACH_criteria!$1:$1,0)-MATCH($E$2,mission_ACH_criteria!$1:$1,0)+1),MATCH(F$2,mission_ACH_criteria!$1:$1,0)-MATCH($E$2,mission_ACH_criteria!$1:$1,0)+1,FALSE)</f>
        <v>ユニットを 250 種類手に入れよう！</v>
      </c>
      <c r="G187" s="27" t="s">
        <v>419</v>
      </c>
      <c r="H187" s="31" t="str">
        <f t="shared" ca="1" si="81"/>
        <v>秘術の果実 x 1</v>
      </c>
      <c r="I187" s="31" t="str">
        <f ca="1">VLOOKUP($G187,OFFSET(mission_ACH!$A$2,0,0,COUNTA($A:$A),MATCH(I$2,mission_ACH!$2:$2,0)-MATCH($G$2,mission_ACH!$2:$2,0)+1),MATCH(I$2,mission_ACH!$2:$2,0)-MATCH($G$2,mission_ACH!$2:$2,0)+1,FALSE)</f>
        <v>unit</v>
      </c>
      <c r="J187" s="31">
        <f ca="1">VLOOKUP($G187,OFFSET(mission_ACH!$A$2,0,0,COUNTA($A:$A),MATCH(J$2,mission_ACH!$2:$2,0)-MATCH($G$2,mission_ACH!$2:$2,0)+1),MATCH(J$2,mission_ACH!$2:$2,0)-MATCH($G$2,mission_ACH!$2:$2,0)+1,FALSE)</f>
        <v>125</v>
      </c>
      <c r="K187" s="31" t="str">
        <f ca="1">IF(I187="unit",VLOOKUP($G187,OFFSET(mission_ACH!$A$2,0,0,COUNTA($A:$A),MATCH(K$2,mission_ACH!$2:$2,0)-MATCH($G$2,mission_ACH!$2:$2,0)+1),MATCH(K$2,mission_ACH!$2:$2,0)-MATCH($G$2,mission_ACH!$2:$2,0)+1,FALSE),"")</f>
        <v>秘術の果実</v>
      </c>
      <c r="L187" s="31">
        <f ca="1">VLOOKUP($G187,OFFSET(mission_ACH!$A$2,0,0,COUNTA($A:$A),MATCH(L$2,mission_ACH!$2:$2,0)-MATCH($G$2,mission_ACH!$2:$2,0)+1),MATCH(L$2,mission_ACH!$2:$2,0)-MATCH($G$2,mission_ACH!$2:$2,0)+1,FALSE)</f>
        <v>1</v>
      </c>
      <c r="M187" s="27">
        <v>40</v>
      </c>
      <c r="N187" s="2" t="s">
        <v>955</v>
      </c>
      <c r="O187" s="2" t="s">
        <v>955</v>
      </c>
    </row>
    <row r="188" spans="1:15" ht="21" customHeight="1" x14ac:dyDescent="0.15">
      <c r="A188" s="27">
        <v>5011</v>
      </c>
      <c r="B188" s="26" t="str">
        <f t="shared" ca="1" si="79"/>
        <v>ユニットを 275 種類手に入れよう！</v>
      </c>
      <c r="C188" s="27" t="s">
        <v>116</v>
      </c>
      <c r="D188" s="31" t="str">
        <f ca="1">VLOOKUP($C188,OFFSET(mission_unlock_criteria!$A$2,0,0,COUNTA(mission_unlock_criteria!$A:$A),MATCH(D$2,mission_unlock_criteria!$2:$2,0)-MATCH($C$2,mission_unlock_criteria!$2:$2,0)+1),MATCH(D$2,mission_unlock_criteria!$2:$2,0)-MATCH($C$2,mission_unlock_criteria!$2:$2,0)+1,FALSE)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250 に到達</v>
      </c>
      <c r="E188" s="2" t="s">
        <v>390</v>
      </c>
      <c r="F188" s="31" t="str">
        <f ca="1">VLOOKUP($E188,OFFSET(mission_ACH_criteria!$A$1,0,0,COUNTA(mission_ACH_criteria!$A:$A),MATCH(F$2,mission_ACH_criteria!$1:$1,0)-MATCH($E$2,mission_ACH_criteria!$1:$1,0)+1),MATCH(F$2,mission_ACH_criteria!$1:$1,0)-MATCH($E$2,mission_ACH_criteria!$1:$1,0)+1,FALSE)</f>
        <v>ユニットを 275 種類手に入れよう！</v>
      </c>
      <c r="G188" s="27" t="s">
        <v>419</v>
      </c>
      <c r="H188" s="31" t="str">
        <f t="shared" ca="1" si="81"/>
        <v>秘術の果実 x 1</v>
      </c>
      <c r="I188" s="31" t="str">
        <f ca="1">VLOOKUP($G188,OFFSET(mission_ACH!$A$2,0,0,COUNTA($A:$A),MATCH(I$2,mission_ACH!$2:$2,0)-MATCH($G$2,mission_ACH!$2:$2,0)+1),MATCH(I$2,mission_ACH!$2:$2,0)-MATCH($G$2,mission_ACH!$2:$2,0)+1,FALSE)</f>
        <v>unit</v>
      </c>
      <c r="J188" s="31">
        <f ca="1">VLOOKUP($G188,OFFSET(mission_ACH!$A$2,0,0,COUNTA($A:$A),MATCH(J$2,mission_ACH!$2:$2,0)-MATCH($G$2,mission_ACH!$2:$2,0)+1),MATCH(J$2,mission_ACH!$2:$2,0)-MATCH($G$2,mission_ACH!$2:$2,0)+1,FALSE)</f>
        <v>125</v>
      </c>
      <c r="K188" s="31" t="str">
        <f ca="1">IF(I188="unit",VLOOKUP($G188,OFFSET(mission_ACH!$A$2,0,0,COUNTA($A:$A),MATCH(K$2,mission_ACH!$2:$2,0)-MATCH($G$2,mission_ACH!$2:$2,0)+1),MATCH(K$2,mission_ACH!$2:$2,0)-MATCH($G$2,mission_ACH!$2:$2,0)+1,FALSE),"")</f>
        <v>秘術の果実</v>
      </c>
      <c r="L188" s="31">
        <f ca="1">VLOOKUP($G188,OFFSET(mission_ACH!$A$2,0,0,COUNTA($A:$A),MATCH(L$2,mission_ACH!$2:$2,0)-MATCH($G$2,mission_ACH!$2:$2,0)+1),MATCH(L$2,mission_ACH!$2:$2,0)-MATCH($G$2,mission_ACH!$2:$2,0)+1,FALSE)</f>
        <v>1</v>
      </c>
      <c r="M188" s="27">
        <v>40</v>
      </c>
      <c r="N188" s="2" t="s">
        <v>955</v>
      </c>
      <c r="O188" s="2" t="s">
        <v>955</v>
      </c>
    </row>
    <row r="189" spans="1:15" ht="21" customHeight="1" x14ac:dyDescent="0.15">
      <c r="A189" s="27">
        <v>5012</v>
      </c>
      <c r="B189" s="26" t="str">
        <f t="shared" ca="1" si="79"/>
        <v>ユニットを 300 種類手に入れよう！</v>
      </c>
      <c r="C189" s="27" t="s">
        <v>117</v>
      </c>
      <c r="D189" s="31" t="str">
        <f ca="1">VLOOKUP($C189,OFFSET(mission_unlock_criteria!$A$2,0,0,COUNTA(mission_unlock_criteria!$A:$A),MATCH(D$2,mission_unlock_criteria!$2:$2,0)-MATCH($C$2,mission_unlock_criteria!$2:$2,0)+1),MATCH(D$2,mission_unlock_criteria!$2:$2,0)-MATCH($C$2,mission_unlock_criteria!$2:$2,0)+1,FALSE)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275 に到達</v>
      </c>
      <c r="E189" s="2" t="s">
        <v>391</v>
      </c>
      <c r="F189" s="31" t="str">
        <f ca="1">VLOOKUP($E189,OFFSET(mission_ACH_criteria!$A$1,0,0,COUNTA(mission_ACH_criteria!$A:$A),MATCH(F$2,mission_ACH_criteria!$1:$1,0)-MATCH($E$2,mission_ACH_criteria!$1:$1,0)+1),MATCH(F$2,mission_ACH_criteria!$1:$1,0)-MATCH($E$2,mission_ACH_criteria!$1:$1,0)+1,FALSE)</f>
        <v>ユニットを 300 種類手に入れよう！</v>
      </c>
      <c r="G189" s="27" t="s">
        <v>119</v>
      </c>
      <c r="H189" s="31" t="str">
        <f t="shared" ca="1" si="81"/>
        <v>ポリゴン x 1</v>
      </c>
      <c r="I189" s="31" t="str">
        <f ca="1">VLOOKUP($G189,OFFSET(mission_ACH!$A$2,0,0,COUNTA($A:$A),MATCH(I$2,mission_ACH!$2:$2,0)-MATCH($G$2,mission_ACH!$2:$2,0)+1),MATCH(I$2,mission_ACH!$2:$2,0)-MATCH($G$2,mission_ACH!$2:$2,0)+1,FALSE)</f>
        <v>polygon</v>
      </c>
      <c r="J189" s="31">
        <f ca="1">VLOOKUP($G189,OFFSET(mission_ACH!$A$2,0,0,COUNTA($A:$A),MATCH(J$2,mission_ACH!$2:$2,0)-MATCH($G$2,mission_ACH!$2:$2,0)+1),MATCH(J$2,mission_ACH!$2:$2,0)-MATCH($G$2,mission_ACH!$2:$2,0)+1,FALSE)</f>
        <v>1</v>
      </c>
      <c r="K189" s="31" t="str">
        <f ca="1">IF(I189="unit",VLOOKUP($G189,OFFSET(mission_ACH!$A$2,0,0,COUNTA($A:$A),MATCH(K$2,mission_ACH!$2:$2,0)-MATCH($G$2,mission_ACH!$2:$2,0)+1),MATCH(K$2,mission_ACH!$2:$2,0)-MATCH($G$2,mission_ACH!$2:$2,0)+1,FALSE),"")</f>
        <v/>
      </c>
      <c r="L189" s="31">
        <f ca="1">VLOOKUP($G189,OFFSET(mission_ACH!$A$2,0,0,COUNTA($A:$A),MATCH(L$2,mission_ACH!$2:$2,0)-MATCH($G$2,mission_ACH!$2:$2,0)+1),MATCH(L$2,mission_ACH!$2:$2,0)-MATCH($G$2,mission_ACH!$2:$2,0)+1,FALSE)</f>
        <v>0</v>
      </c>
      <c r="M189" s="27">
        <v>40</v>
      </c>
      <c r="N189" s="2" t="s">
        <v>955</v>
      </c>
      <c r="O189" s="2" t="s">
        <v>955</v>
      </c>
    </row>
    <row r="190" spans="1:15" s="1" customFormat="1" ht="21" customHeight="1" x14ac:dyDescent="0.15">
      <c r="A190" s="27">
        <v>5013</v>
      </c>
      <c r="B190" s="26" t="str">
        <f t="shared" ca="1" si="79"/>
        <v>ユニットを 325 種類手に入れよう！</v>
      </c>
      <c r="C190" s="27" t="s">
        <v>411</v>
      </c>
      <c r="D190" s="31" t="str">
        <f ca="1">VLOOKUP($C190,OFFSET(mission_unlock_criteria!$A$2,0,0,COUNTA(mission_unlock_criteria!$A:$A),MATCH(D$2,mission_unlock_criteria!$2:$2,0)-MATCH($C$2,mission_unlock_criteria!$2:$2,0)+1),MATCH(D$2,mission_unlock_criteria!$2:$2,0)-MATCH($C$2,mission_unlock_criteria!$2:$2,0)+1,FALSE)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300 に到達</v>
      </c>
      <c r="E190" s="2" t="s">
        <v>392</v>
      </c>
      <c r="F190" s="31" t="str">
        <f ca="1">VLOOKUP($E190,OFFSET(mission_ACH_criteria!$A$1,0,0,COUNTA(mission_ACH_criteria!$A:$A),MATCH(F$2,mission_ACH_criteria!$1:$1,0)-MATCH($E$2,mission_ACH_criteria!$1:$1,0)+1),MATCH(F$2,mission_ACH_criteria!$1:$1,0)-MATCH($E$2,mission_ACH_criteria!$1:$1,0)+1,FALSE)</f>
        <v>ユニットを 325 種類手に入れよう！</v>
      </c>
      <c r="G190" s="27" t="s">
        <v>419</v>
      </c>
      <c r="H190" s="31" t="str">
        <f t="shared" ref="H190:H191" ca="1" si="82">IF(I190="unit",K190&amp;" x "&amp;L190,IF(I190="polygon","ポリゴン x "&amp;J190,IF(I190="bit","ビット x "&amp;J190,IF(I190="link","リンク x "&amp;J190))))</f>
        <v>秘術の果実 x 1</v>
      </c>
      <c r="I190" s="31" t="str">
        <f ca="1">VLOOKUP($G190,OFFSET(mission_ACH!$A$2,0,0,COUNTA($A:$A),MATCH(I$2,mission_ACH!$2:$2,0)-MATCH($G$2,mission_ACH!$2:$2,0)+1),MATCH(I$2,mission_ACH!$2:$2,0)-MATCH($G$2,mission_ACH!$2:$2,0)+1,FALSE)</f>
        <v>unit</v>
      </c>
      <c r="J190" s="31">
        <f ca="1">VLOOKUP($G190,OFFSET(mission_ACH!$A$2,0,0,COUNTA($A:$A),MATCH(J$2,mission_ACH!$2:$2,0)-MATCH($G$2,mission_ACH!$2:$2,0)+1),MATCH(J$2,mission_ACH!$2:$2,0)-MATCH($G$2,mission_ACH!$2:$2,0)+1,FALSE)</f>
        <v>125</v>
      </c>
      <c r="K190" s="31" t="str">
        <f ca="1">IF(I190="unit",VLOOKUP($G190,OFFSET(mission_ACH!$A$2,0,0,COUNTA($A:$A),MATCH(K$2,mission_ACH!$2:$2,0)-MATCH($G$2,mission_ACH!$2:$2,0)+1),MATCH(K$2,mission_ACH!$2:$2,0)-MATCH($G$2,mission_ACH!$2:$2,0)+1,FALSE),"")</f>
        <v>秘術の果実</v>
      </c>
      <c r="L190" s="31">
        <f ca="1">VLOOKUP($G190,OFFSET(mission_ACH!$A$2,0,0,COUNTA($A:$A),MATCH(L$2,mission_ACH!$2:$2,0)-MATCH($G$2,mission_ACH!$2:$2,0)+1),MATCH(L$2,mission_ACH!$2:$2,0)-MATCH($G$2,mission_ACH!$2:$2,0)+1,FALSE)</f>
        <v>1</v>
      </c>
      <c r="M190" s="27">
        <v>40</v>
      </c>
      <c r="N190" s="2" t="s">
        <v>955</v>
      </c>
      <c r="O190" s="2" t="s">
        <v>955</v>
      </c>
    </row>
    <row r="191" spans="1:15" s="1" customFormat="1" ht="21" customHeight="1" x14ac:dyDescent="0.15">
      <c r="A191" s="27">
        <v>5014</v>
      </c>
      <c r="B191" s="26" t="str">
        <f t="shared" ca="1" si="79"/>
        <v>ユニットを 350 種類手に入れよう！</v>
      </c>
      <c r="C191" s="27" t="s">
        <v>569</v>
      </c>
      <c r="D191" s="31" t="str">
        <f ca="1">VLOOKUP($C191,OFFSET(mission_unlock_criteria!$A$2,0,0,COUNTA(mission_unlock_criteria!$A:$A),MATCH(D$2,mission_unlock_criteria!$2:$2,0)-MATCH($C$2,mission_unlock_criteria!$2:$2,0)+1),MATCH(D$2,mission_unlock_criteria!$2:$2,0)-MATCH($C$2,mission_unlock_criteria!$2:$2,0)+1,FALSE)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325 に到達</v>
      </c>
      <c r="E191" s="2" t="s">
        <v>575</v>
      </c>
      <c r="F191" s="31" t="str">
        <f ca="1">VLOOKUP($E191,OFFSET(mission_ACH_criteria!$A$1,0,0,COUNTA(mission_ACH_criteria!$A:$A),MATCH(F$2,mission_ACH_criteria!$1:$1,0)-MATCH($E$2,mission_ACH_criteria!$1:$1,0)+1),MATCH(F$2,mission_ACH_criteria!$1:$1,0)-MATCH($E$2,mission_ACH_criteria!$1:$1,0)+1,FALSE)</f>
        <v>ユニットを 350 種類手に入れよう！</v>
      </c>
      <c r="G191" s="27" t="s">
        <v>419</v>
      </c>
      <c r="H191" s="31" t="str">
        <f t="shared" ca="1" si="82"/>
        <v>秘術の果実 x 1</v>
      </c>
      <c r="I191" s="31" t="str">
        <f ca="1">VLOOKUP($G191,OFFSET(mission_ACH!$A$2,0,0,COUNTA($A:$A),MATCH(I$2,mission_ACH!$2:$2,0)-MATCH($G$2,mission_ACH!$2:$2,0)+1),MATCH(I$2,mission_ACH!$2:$2,0)-MATCH($G$2,mission_ACH!$2:$2,0)+1,FALSE)</f>
        <v>unit</v>
      </c>
      <c r="J191" s="31">
        <f ca="1">VLOOKUP($G191,OFFSET(mission_ACH!$A$2,0,0,COUNTA($A:$A),MATCH(J$2,mission_ACH!$2:$2,0)-MATCH($G$2,mission_ACH!$2:$2,0)+1),MATCH(J$2,mission_ACH!$2:$2,0)-MATCH($G$2,mission_ACH!$2:$2,0)+1,FALSE)</f>
        <v>125</v>
      </c>
      <c r="K191" s="31" t="str">
        <f ca="1">IF(I191="unit",VLOOKUP($G191,OFFSET(mission_ACH!$A$2,0,0,COUNTA($A:$A),MATCH(K$2,mission_ACH!$2:$2,0)-MATCH($G$2,mission_ACH!$2:$2,0)+1),MATCH(K$2,mission_ACH!$2:$2,0)-MATCH($G$2,mission_ACH!$2:$2,0)+1,FALSE),"")</f>
        <v>秘術の果実</v>
      </c>
      <c r="L191" s="31">
        <f ca="1">VLOOKUP($G191,OFFSET(mission_ACH!$A$2,0,0,COUNTA($A:$A),MATCH(L$2,mission_ACH!$2:$2,0)-MATCH($G$2,mission_ACH!$2:$2,0)+1),MATCH(L$2,mission_ACH!$2:$2,0)-MATCH($G$2,mission_ACH!$2:$2,0)+1,FALSE)</f>
        <v>1</v>
      </c>
      <c r="M191" s="27">
        <v>40</v>
      </c>
      <c r="N191" s="2" t="s">
        <v>955</v>
      </c>
      <c r="O191" s="2" t="s">
        <v>955</v>
      </c>
    </row>
    <row r="192" spans="1:15" s="1" customFormat="1" ht="21" customHeight="1" x14ac:dyDescent="0.15">
      <c r="A192" s="27">
        <v>5015</v>
      </c>
      <c r="B192" s="26" t="str">
        <f t="shared" ca="1" si="79"/>
        <v>ユニットを 375 種類手に入れよう！</v>
      </c>
      <c r="C192" s="27" t="s">
        <v>570</v>
      </c>
      <c r="D192" s="31" t="str">
        <f ca="1">VLOOKUP($C192,OFFSET(mission_unlock_criteria!$A$2,0,0,COUNTA(mission_unlock_criteria!$A:$A),MATCH(D$2,mission_unlock_criteria!$2:$2,0)-MATCH($C$2,mission_unlock_criteria!$2:$2,0)+1),MATCH(D$2,mission_unlock_criteria!$2:$2,0)-MATCH($C$2,mission_unlock_criteria!$2:$2,0)+1,FALSE)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350 に到達</v>
      </c>
      <c r="E192" s="2" t="s">
        <v>576</v>
      </c>
      <c r="F192" s="31" t="str">
        <f ca="1">VLOOKUP($E192,OFFSET(mission_ACH_criteria!$A$1,0,0,COUNTA(mission_ACH_criteria!$A:$A),MATCH(F$2,mission_ACH_criteria!$1:$1,0)-MATCH($E$2,mission_ACH_criteria!$1:$1,0)+1),MATCH(F$2,mission_ACH_criteria!$1:$1,0)-MATCH($E$2,mission_ACH_criteria!$1:$1,0)+1,FALSE)</f>
        <v>ユニットを 375 種類手に入れよう！</v>
      </c>
      <c r="G192" s="27" t="s">
        <v>419</v>
      </c>
      <c r="H192" s="31" t="str">
        <f t="shared" ref="H192:H231" ca="1" si="83">IF(I192="unit",K192&amp;" x "&amp;L192,IF(I192="polygon","ポリゴン x "&amp;J192,IF(I192="bit","ビット x "&amp;J192,IF(I192="link","リンク x "&amp;J192))))</f>
        <v>秘術の果実 x 1</v>
      </c>
      <c r="I192" s="31" t="str">
        <f ca="1">VLOOKUP($G192,OFFSET(mission_ACH!$A$2,0,0,COUNTA($A:$A),MATCH(I$2,mission_ACH!$2:$2,0)-MATCH($G$2,mission_ACH!$2:$2,0)+1),MATCH(I$2,mission_ACH!$2:$2,0)-MATCH($G$2,mission_ACH!$2:$2,0)+1,FALSE)</f>
        <v>unit</v>
      </c>
      <c r="J192" s="31">
        <f ca="1">VLOOKUP($G192,OFFSET(mission_ACH!$A$2,0,0,COUNTA($A:$A),MATCH(J$2,mission_ACH!$2:$2,0)-MATCH($G$2,mission_ACH!$2:$2,0)+1),MATCH(J$2,mission_ACH!$2:$2,0)-MATCH($G$2,mission_ACH!$2:$2,0)+1,FALSE)</f>
        <v>125</v>
      </c>
      <c r="K192" s="31" t="str">
        <f ca="1">IF(I192="unit",VLOOKUP($G192,OFFSET(mission_ACH!$A$2,0,0,COUNTA($A:$A),MATCH(K$2,mission_ACH!$2:$2,0)-MATCH($G$2,mission_ACH!$2:$2,0)+1),MATCH(K$2,mission_ACH!$2:$2,0)-MATCH($G$2,mission_ACH!$2:$2,0)+1,FALSE),"")</f>
        <v>秘術の果実</v>
      </c>
      <c r="L192" s="31">
        <f ca="1">VLOOKUP($G192,OFFSET(mission_ACH!$A$2,0,0,COUNTA($A:$A),MATCH(L$2,mission_ACH!$2:$2,0)-MATCH($G$2,mission_ACH!$2:$2,0)+1),MATCH(L$2,mission_ACH!$2:$2,0)-MATCH($G$2,mission_ACH!$2:$2,0)+1,FALSE)</f>
        <v>1</v>
      </c>
      <c r="M192" s="27">
        <v>40</v>
      </c>
      <c r="N192" s="2" t="s">
        <v>955</v>
      </c>
      <c r="O192" s="2" t="s">
        <v>955</v>
      </c>
    </row>
    <row r="193" spans="1:15" s="1" customFormat="1" ht="21" customHeight="1" x14ac:dyDescent="0.15">
      <c r="A193" s="27">
        <v>5016</v>
      </c>
      <c r="B193" s="26" t="str">
        <f t="shared" ca="1" si="79"/>
        <v>ユニットを 400 種類手に入れよう！</v>
      </c>
      <c r="C193" s="27" t="s">
        <v>571</v>
      </c>
      <c r="D193" s="31" t="str">
        <f ca="1">VLOOKUP($C193,OFFSET(mission_unlock_criteria!$A$2,0,0,COUNTA(mission_unlock_criteria!$A:$A),MATCH(D$2,mission_unlock_criteria!$2:$2,0)-MATCH($C$2,mission_unlock_criteria!$2:$2,0)+1),MATCH(D$2,mission_unlock_criteria!$2:$2,0)-MATCH($C$2,mission_unlock_criteria!$2:$2,0)+1,FALSE)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375 に到達</v>
      </c>
      <c r="E193" s="2" t="s">
        <v>577</v>
      </c>
      <c r="F193" s="31" t="str">
        <f ca="1">VLOOKUP($E193,OFFSET(mission_ACH_criteria!$A$1,0,0,COUNTA(mission_ACH_criteria!$A:$A),MATCH(F$2,mission_ACH_criteria!$1:$1,0)-MATCH($E$2,mission_ACH_criteria!$1:$1,0)+1),MATCH(F$2,mission_ACH_criteria!$1:$1,0)-MATCH($E$2,mission_ACH_criteria!$1:$1,0)+1,FALSE)</f>
        <v>ユニットを 400 種類手に入れよう！</v>
      </c>
      <c r="G193" s="27" t="s">
        <v>119</v>
      </c>
      <c r="H193" s="31" t="str">
        <f t="shared" ca="1" si="83"/>
        <v>ポリゴン x 1</v>
      </c>
      <c r="I193" s="31" t="str">
        <f ca="1">VLOOKUP($G193,OFFSET(mission_ACH!$A$2,0,0,COUNTA($A:$A),MATCH(I$2,mission_ACH!$2:$2,0)-MATCH($G$2,mission_ACH!$2:$2,0)+1),MATCH(I$2,mission_ACH!$2:$2,0)-MATCH($G$2,mission_ACH!$2:$2,0)+1,FALSE)</f>
        <v>polygon</v>
      </c>
      <c r="J193" s="31">
        <f ca="1">VLOOKUP($G193,OFFSET(mission_ACH!$A$2,0,0,COUNTA($A:$A),MATCH(J$2,mission_ACH!$2:$2,0)-MATCH($G$2,mission_ACH!$2:$2,0)+1),MATCH(J$2,mission_ACH!$2:$2,0)-MATCH($G$2,mission_ACH!$2:$2,0)+1,FALSE)</f>
        <v>1</v>
      </c>
      <c r="K193" s="31" t="str">
        <f ca="1">IF(I193="unit",VLOOKUP($G193,OFFSET(mission_ACH!$A$2,0,0,COUNTA($A:$A),MATCH(K$2,mission_ACH!$2:$2,0)-MATCH($G$2,mission_ACH!$2:$2,0)+1),MATCH(K$2,mission_ACH!$2:$2,0)-MATCH($G$2,mission_ACH!$2:$2,0)+1,FALSE),"")</f>
        <v/>
      </c>
      <c r="L193" s="31">
        <f ca="1">VLOOKUP($G193,OFFSET(mission_ACH!$A$2,0,0,COUNTA($A:$A),MATCH(L$2,mission_ACH!$2:$2,0)-MATCH($G$2,mission_ACH!$2:$2,0)+1),MATCH(L$2,mission_ACH!$2:$2,0)-MATCH($G$2,mission_ACH!$2:$2,0)+1,FALSE)</f>
        <v>0</v>
      </c>
      <c r="M193" s="27">
        <v>40</v>
      </c>
      <c r="N193" s="2" t="s">
        <v>955</v>
      </c>
      <c r="O193" s="2" t="s">
        <v>955</v>
      </c>
    </row>
    <row r="194" spans="1:15" s="1" customFormat="1" ht="21" customHeight="1" x14ac:dyDescent="0.15">
      <c r="A194" s="27">
        <v>5017</v>
      </c>
      <c r="B194" s="26" t="str">
        <f t="shared" ca="1" si="79"/>
        <v>ユニットを 425 種類手に入れよう！</v>
      </c>
      <c r="C194" s="27" t="s">
        <v>572</v>
      </c>
      <c r="D194" s="31" t="str">
        <f ca="1">VLOOKUP($C194,OFFSET(mission_unlock_criteria!$A$2,0,0,COUNTA(mission_unlock_criteria!$A:$A),MATCH(D$2,mission_unlock_criteria!$2:$2,0)-MATCH($C$2,mission_unlock_criteria!$2:$2,0)+1),MATCH(D$2,mission_unlock_criteria!$2:$2,0)-MATCH($C$2,mission_unlock_criteria!$2:$2,0)+1,FALSE)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400 に到達</v>
      </c>
      <c r="E194" s="2" t="s">
        <v>578</v>
      </c>
      <c r="F194" s="31" t="str">
        <f ca="1">VLOOKUP($E194,OFFSET(mission_ACH_criteria!$A$1,0,0,COUNTA(mission_ACH_criteria!$A:$A),MATCH(F$2,mission_ACH_criteria!$1:$1,0)-MATCH($E$2,mission_ACH_criteria!$1:$1,0)+1),MATCH(F$2,mission_ACH_criteria!$1:$1,0)-MATCH($E$2,mission_ACH_criteria!$1:$1,0)+1,FALSE)</f>
        <v>ユニットを 425 種類手に入れよう！</v>
      </c>
      <c r="G194" s="27" t="s">
        <v>419</v>
      </c>
      <c r="H194" s="31" t="str">
        <f t="shared" ca="1" si="83"/>
        <v>秘術の果実 x 1</v>
      </c>
      <c r="I194" s="31" t="str">
        <f ca="1">VLOOKUP($G194,OFFSET(mission_ACH!$A$2,0,0,COUNTA($A:$A),MATCH(I$2,mission_ACH!$2:$2,0)-MATCH($G$2,mission_ACH!$2:$2,0)+1),MATCH(I$2,mission_ACH!$2:$2,0)-MATCH($G$2,mission_ACH!$2:$2,0)+1,FALSE)</f>
        <v>unit</v>
      </c>
      <c r="J194" s="31">
        <f ca="1">VLOOKUP($G194,OFFSET(mission_ACH!$A$2,0,0,COUNTA($A:$A),MATCH(J$2,mission_ACH!$2:$2,0)-MATCH($G$2,mission_ACH!$2:$2,0)+1),MATCH(J$2,mission_ACH!$2:$2,0)-MATCH($G$2,mission_ACH!$2:$2,0)+1,FALSE)</f>
        <v>125</v>
      </c>
      <c r="K194" s="31" t="str">
        <f ca="1">IF(I194="unit",VLOOKUP($G194,OFFSET(mission_ACH!$A$2,0,0,COUNTA($A:$A),MATCH(K$2,mission_ACH!$2:$2,0)-MATCH($G$2,mission_ACH!$2:$2,0)+1),MATCH(K$2,mission_ACH!$2:$2,0)-MATCH($G$2,mission_ACH!$2:$2,0)+1,FALSE),"")</f>
        <v>秘術の果実</v>
      </c>
      <c r="L194" s="31">
        <f ca="1">VLOOKUP($G194,OFFSET(mission_ACH!$A$2,0,0,COUNTA($A:$A),MATCH(L$2,mission_ACH!$2:$2,0)-MATCH($G$2,mission_ACH!$2:$2,0)+1),MATCH(L$2,mission_ACH!$2:$2,0)-MATCH($G$2,mission_ACH!$2:$2,0)+1,FALSE)</f>
        <v>1</v>
      </c>
      <c r="M194" s="27">
        <v>40</v>
      </c>
      <c r="N194" s="2" t="s">
        <v>955</v>
      </c>
      <c r="O194" s="2" t="s">
        <v>955</v>
      </c>
    </row>
    <row r="195" spans="1:15" s="1" customFormat="1" ht="21" customHeight="1" x14ac:dyDescent="0.15">
      <c r="A195" s="27">
        <v>5018</v>
      </c>
      <c r="B195" s="26" t="str">
        <f t="shared" ca="1" si="79"/>
        <v>ユニットを 450 種類手に入れよう！</v>
      </c>
      <c r="C195" s="27" t="s">
        <v>573</v>
      </c>
      <c r="D195" s="31" t="str">
        <f ca="1">VLOOKUP($C195,OFFSET(mission_unlock_criteria!$A$2,0,0,COUNTA(mission_unlock_criteria!$A:$A),MATCH(D$2,mission_unlock_criteria!$2:$2,0)-MATCH($C$2,mission_unlock_criteria!$2:$2,0)+1),MATCH(D$2,mission_unlock_criteria!$2:$2,0)-MATCH($C$2,mission_unlock_criteria!$2:$2,0)+1,FALSE)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425 に到達</v>
      </c>
      <c r="E195" s="2" t="s">
        <v>579</v>
      </c>
      <c r="F195" s="31" t="str">
        <f ca="1">VLOOKUP($E195,OFFSET(mission_ACH_criteria!$A$1,0,0,COUNTA(mission_ACH_criteria!$A:$A),MATCH(F$2,mission_ACH_criteria!$1:$1,0)-MATCH($E$2,mission_ACH_criteria!$1:$1,0)+1),MATCH(F$2,mission_ACH_criteria!$1:$1,0)-MATCH($E$2,mission_ACH_criteria!$1:$1,0)+1,FALSE)</f>
        <v>ユニットを 450 種類手に入れよう！</v>
      </c>
      <c r="G195" s="27" t="s">
        <v>419</v>
      </c>
      <c r="H195" s="31" t="str">
        <f t="shared" ca="1" si="83"/>
        <v>秘術の果実 x 1</v>
      </c>
      <c r="I195" s="31" t="str">
        <f ca="1">VLOOKUP($G195,OFFSET(mission_ACH!$A$2,0,0,COUNTA($A:$A),MATCH(I$2,mission_ACH!$2:$2,0)-MATCH($G$2,mission_ACH!$2:$2,0)+1),MATCH(I$2,mission_ACH!$2:$2,0)-MATCH($G$2,mission_ACH!$2:$2,0)+1,FALSE)</f>
        <v>unit</v>
      </c>
      <c r="J195" s="31">
        <f ca="1">VLOOKUP($G195,OFFSET(mission_ACH!$A$2,0,0,COUNTA($A:$A),MATCH(J$2,mission_ACH!$2:$2,0)-MATCH($G$2,mission_ACH!$2:$2,0)+1),MATCH(J$2,mission_ACH!$2:$2,0)-MATCH($G$2,mission_ACH!$2:$2,0)+1,FALSE)</f>
        <v>125</v>
      </c>
      <c r="K195" s="31" t="str">
        <f ca="1">IF(I195="unit",VLOOKUP($G195,OFFSET(mission_ACH!$A$2,0,0,COUNTA($A:$A),MATCH(K$2,mission_ACH!$2:$2,0)-MATCH($G$2,mission_ACH!$2:$2,0)+1),MATCH(K$2,mission_ACH!$2:$2,0)-MATCH($G$2,mission_ACH!$2:$2,0)+1,FALSE),"")</f>
        <v>秘術の果実</v>
      </c>
      <c r="L195" s="31">
        <f ca="1">VLOOKUP($G195,OFFSET(mission_ACH!$A$2,0,0,COUNTA($A:$A),MATCH(L$2,mission_ACH!$2:$2,0)-MATCH($G$2,mission_ACH!$2:$2,0)+1),MATCH(L$2,mission_ACH!$2:$2,0)-MATCH($G$2,mission_ACH!$2:$2,0)+1,FALSE)</f>
        <v>1</v>
      </c>
      <c r="M195" s="27">
        <v>40</v>
      </c>
      <c r="N195" s="2" t="s">
        <v>955</v>
      </c>
      <c r="O195" s="2" t="s">
        <v>955</v>
      </c>
    </row>
    <row r="196" spans="1:15" s="1" customFormat="1" ht="21" customHeight="1" x14ac:dyDescent="0.15">
      <c r="A196" s="27">
        <v>5019</v>
      </c>
      <c r="B196" s="26" t="str">
        <f t="shared" ca="1" si="79"/>
        <v>ユニットを 475 種類手に入れよう！</v>
      </c>
      <c r="C196" s="27" t="s">
        <v>574</v>
      </c>
      <c r="D196" s="31" t="str">
        <f ca="1">VLOOKUP($C196,OFFSET(mission_unlock_criteria!$A$2,0,0,COUNTA(mission_unlock_criteria!$A:$A),MATCH(D$2,mission_unlock_criteria!$2:$2,0)-MATCH($C$2,mission_unlock_criteria!$2:$2,0)+1),MATCH(D$2,mission_unlock_criteria!$2:$2,0)-MATCH($C$2,mission_unlock_criteria!$2:$2,0)+1,FALSE)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450 に到達</v>
      </c>
      <c r="E196" s="2" t="s">
        <v>580</v>
      </c>
      <c r="F196" s="31" t="str">
        <f ca="1">VLOOKUP($E196,OFFSET(mission_ACH_criteria!$A$1,0,0,COUNTA(mission_ACH_criteria!$A:$A),MATCH(F$2,mission_ACH_criteria!$1:$1,0)-MATCH($E$2,mission_ACH_criteria!$1:$1,0)+1),MATCH(F$2,mission_ACH_criteria!$1:$1,0)-MATCH($E$2,mission_ACH_criteria!$1:$1,0)+1,FALSE)</f>
        <v>ユニットを 475 種類手に入れよう！</v>
      </c>
      <c r="G196" s="27" t="s">
        <v>419</v>
      </c>
      <c r="H196" s="31" t="str">
        <f t="shared" ca="1" si="83"/>
        <v>秘術の果実 x 1</v>
      </c>
      <c r="I196" s="31" t="str">
        <f ca="1">VLOOKUP($G196,OFFSET(mission_ACH!$A$2,0,0,COUNTA($A:$A),MATCH(I$2,mission_ACH!$2:$2,0)-MATCH($G$2,mission_ACH!$2:$2,0)+1),MATCH(I$2,mission_ACH!$2:$2,0)-MATCH($G$2,mission_ACH!$2:$2,0)+1,FALSE)</f>
        <v>unit</v>
      </c>
      <c r="J196" s="31">
        <f ca="1">VLOOKUP($G196,OFFSET(mission_ACH!$A$2,0,0,COUNTA($A:$A),MATCH(J$2,mission_ACH!$2:$2,0)-MATCH($G$2,mission_ACH!$2:$2,0)+1),MATCH(J$2,mission_ACH!$2:$2,0)-MATCH($G$2,mission_ACH!$2:$2,0)+1,FALSE)</f>
        <v>125</v>
      </c>
      <c r="K196" s="31" t="str">
        <f ca="1">IF(I196="unit",VLOOKUP($G196,OFFSET(mission_ACH!$A$2,0,0,COUNTA($A:$A),MATCH(K$2,mission_ACH!$2:$2,0)-MATCH($G$2,mission_ACH!$2:$2,0)+1),MATCH(K$2,mission_ACH!$2:$2,0)-MATCH($G$2,mission_ACH!$2:$2,0)+1,FALSE),"")</f>
        <v>秘術の果実</v>
      </c>
      <c r="L196" s="31">
        <f ca="1">VLOOKUP($G196,OFFSET(mission_ACH!$A$2,0,0,COUNTA($A:$A),MATCH(L$2,mission_ACH!$2:$2,0)-MATCH($G$2,mission_ACH!$2:$2,0)+1),MATCH(L$2,mission_ACH!$2:$2,0)-MATCH($G$2,mission_ACH!$2:$2,0)+1,FALSE)</f>
        <v>1</v>
      </c>
      <c r="M196" s="27">
        <v>40</v>
      </c>
      <c r="N196" s="2" t="s">
        <v>955</v>
      </c>
      <c r="O196" s="2" t="s">
        <v>955</v>
      </c>
    </row>
    <row r="197" spans="1:15" s="1" customFormat="1" ht="21" customHeight="1" x14ac:dyDescent="0.15">
      <c r="A197" s="120">
        <v>5020</v>
      </c>
      <c r="B197" s="120" t="str">
        <f t="shared" ref="B197:B205" ca="1" si="84">F197</f>
        <v>ユニットを 500 種類手に入れよう！</v>
      </c>
      <c r="C197" s="120" t="s">
        <v>581</v>
      </c>
      <c r="D197" s="121" t="str">
        <f ca="1">VLOOKUP($C197,OFFSET(mission_unlock_criteria!$A$2,0,0,COUNTA(mission_unlock_criteria!$A:$A),MATCH(D$2,mission_unlock_criteria!$2:$2,0)-MATCH($C$2,mission_unlock_criteria!$2:$2,0)+1),MATCH(D$2,mission_unlock_criteria!$2:$2,0)-MATCH($C$2,mission_unlock_criteria!$2:$2,0)+1,FALSE)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475 に到達</v>
      </c>
      <c r="E197" s="120" t="s">
        <v>582</v>
      </c>
      <c r="F197" s="121" t="str">
        <f ca="1">VLOOKUP($E197,OFFSET(mission_ACH_criteria!$A$1,0,0,COUNTA(mission_ACH_criteria!$A:$A),MATCH(F$2,mission_ACH_criteria!$1:$1,0)-MATCH($E$2,mission_ACH_criteria!$1:$1,0)+1),MATCH(F$2,mission_ACH_criteria!$1:$1,0)-MATCH($E$2,mission_ACH_criteria!$1:$1,0)+1,FALSE)</f>
        <v>ユニットを 500 種類手に入れよう！</v>
      </c>
      <c r="G197" s="120" t="s">
        <v>2425</v>
      </c>
      <c r="H197" s="31" t="str">
        <f t="shared" ref="H197:H217" ca="1" si="85">IF(OR(I197="unit",I197="item"),K197&amp;" x "&amp;L197,IF(I197="polygon","ポリゴン x "&amp;J197,IF(I197="bit","ビット x "&amp;J197,IF(I197="link","リンク x "&amp;J197))))</f>
        <v>ポリゴン x 25</v>
      </c>
      <c r="I197" s="31" t="str">
        <f ca="1">VLOOKUP($G197,OFFSET(mission_ACH!$A$2,0,0,COUNTA($A:$A),MATCH(I$2,mission_ACH!$2:$2,0)-MATCH($G$2,mission_ACH!$2:$2,0)+1),MATCH(I$2,mission_ACH!$2:$2,0)-MATCH($G$2,mission_ACH!$2:$2,0)+1,FALSE)</f>
        <v>polygon</v>
      </c>
      <c r="J197" s="31">
        <f ca="1">VLOOKUP($G197,OFFSET(mission_ACH!$A$2,0,0,COUNTA($A:$A),MATCH(J$2,mission_ACH!$2:$2,0)-MATCH($G$2,mission_ACH!$2:$2,0)+1),MATCH(J$2,mission_ACH!$2:$2,0)-MATCH($G$2,mission_ACH!$2:$2,0)+1,FALSE)</f>
        <v>25</v>
      </c>
      <c r="K197" s="31" t="str">
        <f ca="1">IF(OR(I197="unit",I197="item"),VLOOKUP($G197,OFFSET(mission_ACH!$A$2,0,0,COUNTA($A:$A),MATCH(K$2,mission_ACH!$2:$2,0)-MATCH($G$2,mission_ACH!$2:$2,0)+1),MATCH(K$2,mission_ACH!$2:$2,0)-MATCH($G$2,mission_ACH!$2:$2,0)+1,FALSE),"")</f>
        <v/>
      </c>
      <c r="L197" s="121">
        <f ca="1">VLOOKUP($G197,OFFSET(mission_ACH!$A$2,0,0,COUNTA($A:$A),MATCH(L$2,mission_ACH!$2:$2,0)-MATCH($G$2,mission_ACH!$2:$2,0)+1),MATCH(L$2,mission_ACH!$2:$2,0)-MATCH($G$2,mission_ACH!$2:$2,0)+1,FALSE)</f>
        <v>0</v>
      </c>
      <c r="M197" s="120">
        <v>40</v>
      </c>
      <c r="N197" s="120" t="s">
        <v>2275</v>
      </c>
      <c r="O197" s="120" t="s">
        <v>2275</v>
      </c>
    </row>
    <row r="198" spans="1:15" s="1" customFormat="1" ht="21" customHeight="1" x14ac:dyDescent="0.15">
      <c r="A198" s="120">
        <v>5021</v>
      </c>
      <c r="B198" s="120" t="str">
        <f t="shared" ca="1" si="84"/>
        <v>ユニットを 525 種類手に入れよう！</v>
      </c>
      <c r="C198" s="120" t="s">
        <v>583</v>
      </c>
      <c r="D198" s="121" t="str">
        <f ca="1">VLOOKUP($C198,OFFSET(mission_unlock_criteria!$A$2,0,0,COUNTA(mission_unlock_criteria!$A:$A),MATCH(D$2,mission_unlock_criteria!$2:$2,0)-MATCH($C$2,mission_unlock_criteria!$2:$2,0)+1),MATCH(D$2,mission_unlock_criteria!$2:$2,0)-MATCH($C$2,mission_unlock_criteria!$2:$2,0)+1,FALSE)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500 に到達</v>
      </c>
      <c r="E198" s="120" t="s">
        <v>584</v>
      </c>
      <c r="F198" s="121" t="str">
        <f ca="1">VLOOKUP($E198,OFFSET(mission_ACH_criteria!$A$1,0,0,COUNTA(mission_ACH_criteria!$A:$A),MATCH(F$2,mission_ACH_criteria!$1:$1,0)-MATCH($E$2,mission_ACH_criteria!$1:$1,0)+1),MATCH(F$2,mission_ACH_criteria!$1:$1,0)-MATCH($E$2,mission_ACH_criteria!$1:$1,0)+1,FALSE)</f>
        <v>ユニットを 525 種類手に入れよう！</v>
      </c>
      <c r="G198" s="120" t="s">
        <v>2428</v>
      </c>
      <c r="H198" s="31" t="str">
        <f t="shared" ca="1" si="85"/>
        <v>メガ攻めの果実 x 2</v>
      </c>
      <c r="I198" s="31" t="str">
        <f ca="1">VLOOKUP($G198,OFFSET(mission_ACH!$A$2,0,0,COUNTA($A:$A),MATCH(I$2,mission_ACH!$2:$2,0)-MATCH($G$2,mission_ACH!$2:$2,0)+1),MATCH(I$2,mission_ACH!$2:$2,0)-MATCH($G$2,mission_ACH!$2:$2,0)+1,FALSE)</f>
        <v>unit</v>
      </c>
      <c r="J198" s="31">
        <f ca="1">VLOOKUP($G198,OFFSET(mission_ACH!$A$2,0,0,COUNTA($A:$A),MATCH(J$2,mission_ACH!$2:$2,0)-MATCH($G$2,mission_ACH!$2:$2,0)+1),MATCH(J$2,mission_ACH!$2:$2,0)-MATCH($G$2,mission_ACH!$2:$2,0)+1,FALSE)</f>
        <v>607</v>
      </c>
      <c r="K198" s="31" t="str">
        <f ca="1">IF(OR(I198="unit",I198="item"),VLOOKUP($G198,OFFSET(mission_ACH!$A$2,0,0,COUNTA($A:$A),MATCH(K$2,mission_ACH!$2:$2,0)-MATCH($G$2,mission_ACH!$2:$2,0)+1),MATCH(K$2,mission_ACH!$2:$2,0)-MATCH($G$2,mission_ACH!$2:$2,0)+1,FALSE),"")</f>
        <v>メガ攻めの果実</v>
      </c>
      <c r="L198" s="121">
        <f ca="1">VLOOKUP($G198,OFFSET(mission_ACH!$A$2,0,0,COUNTA($A:$A),MATCH(L$2,mission_ACH!$2:$2,0)-MATCH($G$2,mission_ACH!$2:$2,0)+1),MATCH(L$2,mission_ACH!$2:$2,0)-MATCH($G$2,mission_ACH!$2:$2,0)+1,FALSE)</f>
        <v>2</v>
      </c>
      <c r="M198" s="120">
        <v>40</v>
      </c>
      <c r="N198" s="120" t="s">
        <v>2275</v>
      </c>
      <c r="O198" s="120" t="s">
        <v>2275</v>
      </c>
    </row>
    <row r="199" spans="1:15" s="1" customFormat="1" ht="21" customHeight="1" x14ac:dyDescent="0.15">
      <c r="A199" s="120">
        <v>5022</v>
      </c>
      <c r="B199" s="120" t="str">
        <f t="shared" ca="1" si="84"/>
        <v>ユニットを 550 種類手に入れよう！</v>
      </c>
      <c r="C199" s="120" t="s">
        <v>585</v>
      </c>
      <c r="D199" s="121" t="str">
        <f ca="1">VLOOKUP($C199,OFFSET(mission_unlock_criteria!$A$2,0,0,COUNTA(mission_unlock_criteria!$A:$A),MATCH(D$2,mission_unlock_criteria!$2:$2,0)-MATCH($C$2,mission_unlock_criteria!$2:$2,0)+1),MATCH(D$2,mission_unlock_criteria!$2:$2,0)-MATCH($C$2,mission_unlock_criteria!$2:$2,0)+1,FALSE)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525 に到達</v>
      </c>
      <c r="E199" s="120" t="s">
        <v>586</v>
      </c>
      <c r="F199" s="121" t="str">
        <f ca="1">VLOOKUP($E199,OFFSET(mission_ACH_criteria!$A$1,0,0,COUNTA(mission_ACH_criteria!$A:$A),MATCH(F$2,mission_ACH_criteria!$1:$1,0)-MATCH($E$2,mission_ACH_criteria!$1:$1,0)+1),MATCH(F$2,mission_ACH_criteria!$1:$1,0)-MATCH($E$2,mission_ACH_criteria!$1:$1,0)+1,FALSE)</f>
        <v>ユニットを 550 種類手に入れよう！</v>
      </c>
      <c r="G199" s="120" t="s">
        <v>2456</v>
      </c>
      <c r="H199" s="31" t="str">
        <f t="shared" ca="1" si="85"/>
        <v>経験値キー x 1</v>
      </c>
      <c r="I199" s="31" t="str">
        <f ca="1">VLOOKUP($G199,OFFSET(mission_ACH!$A$2,0,0,COUNTA($A:$A),MATCH(I$2,mission_ACH!$2:$2,0)-MATCH($G$2,mission_ACH!$2:$2,0)+1),MATCH(I$2,mission_ACH!$2:$2,0)-MATCH($G$2,mission_ACH!$2:$2,0)+1,FALSE)</f>
        <v>item</v>
      </c>
      <c r="J199" s="31">
        <f ca="1">VLOOKUP($G199,OFFSET(mission_ACH!$A$2,0,0,COUNTA($A:$A),MATCH(J$2,mission_ACH!$2:$2,0)-MATCH($G$2,mission_ACH!$2:$2,0)+1),MATCH(J$2,mission_ACH!$2:$2,0)-MATCH($G$2,mission_ACH!$2:$2,0)+1,FALSE)</f>
        <v>2</v>
      </c>
      <c r="K199" s="31" t="str">
        <f ca="1">IF(OR(I199="unit",I199="item"),VLOOKUP($G199,OFFSET(mission_ACH!$A$2,0,0,COUNTA($A:$A),MATCH(K$2,mission_ACH!$2:$2,0)-MATCH($G$2,mission_ACH!$2:$2,0)+1),MATCH(K$2,mission_ACH!$2:$2,0)-MATCH($G$2,mission_ACH!$2:$2,0)+1,FALSE),"")</f>
        <v>経験値キー</v>
      </c>
      <c r="L199" s="121">
        <f ca="1">VLOOKUP($G199,OFFSET(mission_ACH!$A$2,0,0,COUNTA($A:$A),MATCH(L$2,mission_ACH!$2:$2,0)-MATCH($G$2,mission_ACH!$2:$2,0)+1),MATCH(L$2,mission_ACH!$2:$2,0)-MATCH($G$2,mission_ACH!$2:$2,0)+1,FALSE)</f>
        <v>1</v>
      </c>
      <c r="M199" s="120">
        <v>40</v>
      </c>
      <c r="N199" s="120" t="s">
        <v>2275</v>
      </c>
      <c r="O199" s="120" t="s">
        <v>2275</v>
      </c>
    </row>
    <row r="200" spans="1:15" s="1" customFormat="1" ht="21" customHeight="1" x14ac:dyDescent="0.15">
      <c r="A200" s="120">
        <v>5023</v>
      </c>
      <c r="B200" s="120" t="str">
        <f t="shared" ca="1" si="84"/>
        <v>ユニットを 575 種類手に入れよう！</v>
      </c>
      <c r="C200" s="120" t="s">
        <v>587</v>
      </c>
      <c r="D200" s="121" t="str">
        <f ca="1">VLOOKUP($C200,OFFSET(mission_unlock_criteria!$A$2,0,0,COUNTA(mission_unlock_criteria!$A:$A),MATCH(D$2,mission_unlock_criteria!$2:$2,0)-MATCH($C$2,mission_unlock_criteria!$2:$2,0)+1),MATCH(D$2,mission_unlock_criteria!$2:$2,0)-MATCH($C$2,mission_unlock_criteria!$2:$2,0)+1,FALSE)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550 に到達</v>
      </c>
      <c r="E200" s="120" t="s">
        <v>588</v>
      </c>
      <c r="F200" s="121" t="str">
        <f ca="1">VLOOKUP($E200,OFFSET(mission_ACH_criteria!$A$1,0,0,COUNTA(mission_ACH_criteria!$A:$A),MATCH(F$2,mission_ACH_criteria!$1:$1,0)-MATCH($E$2,mission_ACH_criteria!$1:$1,0)+1),MATCH(F$2,mission_ACH_criteria!$1:$1,0)-MATCH($E$2,mission_ACH_criteria!$1:$1,0)+1,FALSE)</f>
        <v>ユニットを 575 種類手に入れよう！</v>
      </c>
      <c r="G200" s="120" t="s">
        <v>2430</v>
      </c>
      <c r="H200" s="31" t="str">
        <f t="shared" ca="1" si="85"/>
        <v>メガ生命の果実 x 2</v>
      </c>
      <c r="I200" s="31" t="str">
        <f ca="1">VLOOKUP($G200,OFFSET(mission_ACH!$A$2,0,0,COUNTA($A:$A),MATCH(I$2,mission_ACH!$2:$2,0)-MATCH($G$2,mission_ACH!$2:$2,0)+1),MATCH(I$2,mission_ACH!$2:$2,0)-MATCH($G$2,mission_ACH!$2:$2,0)+1,FALSE)</f>
        <v>unit</v>
      </c>
      <c r="J200" s="31">
        <f ca="1">VLOOKUP($G200,OFFSET(mission_ACH!$A$2,0,0,COUNTA($A:$A),MATCH(J$2,mission_ACH!$2:$2,0)-MATCH($G$2,mission_ACH!$2:$2,0)+1),MATCH(J$2,mission_ACH!$2:$2,0)-MATCH($G$2,mission_ACH!$2:$2,0)+1,FALSE)</f>
        <v>608</v>
      </c>
      <c r="K200" s="31" t="str">
        <f ca="1">IF(OR(I200="unit",I200="item"),VLOOKUP($G200,OFFSET(mission_ACH!$A$2,0,0,COUNTA($A:$A),MATCH(K$2,mission_ACH!$2:$2,0)-MATCH($G$2,mission_ACH!$2:$2,0)+1),MATCH(K$2,mission_ACH!$2:$2,0)-MATCH($G$2,mission_ACH!$2:$2,0)+1,FALSE),"")</f>
        <v>メガ生命の果実</v>
      </c>
      <c r="L200" s="121">
        <f ca="1">VLOOKUP($G200,OFFSET(mission_ACH!$A$2,0,0,COUNTA($A:$A),MATCH(L$2,mission_ACH!$2:$2,0)-MATCH($G$2,mission_ACH!$2:$2,0)+1),MATCH(L$2,mission_ACH!$2:$2,0)-MATCH($G$2,mission_ACH!$2:$2,0)+1,FALSE)</f>
        <v>2</v>
      </c>
      <c r="M200" s="120">
        <v>40</v>
      </c>
      <c r="N200" s="120" t="s">
        <v>2275</v>
      </c>
      <c r="O200" s="120" t="s">
        <v>2275</v>
      </c>
    </row>
    <row r="201" spans="1:15" s="1" customFormat="1" ht="21" customHeight="1" x14ac:dyDescent="0.15">
      <c r="A201" s="120">
        <v>5024</v>
      </c>
      <c r="B201" s="120" t="str">
        <f t="shared" ca="1" si="84"/>
        <v>ユニットを 600 種類手に入れよう！</v>
      </c>
      <c r="C201" s="120" t="s">
        <v>589</v>
      </c>
      <c r="D201" s="121" t="str">
        <f ca="1">VLOOKUP($C201,OFFSET(mission_unlock_criteria!$A$2,0,0,COUNTA(mission_unlock_criteria!$A:$A),MATCH(D$2,mission_unlock_criteria!$2:$2,0)-MATCH($C$2,mission_unlock_criteria!$2:$2,0)+1),MATCH(D$2,mission_unlock_criteria!$2:$2,0)-MATCH($C$2,mission_unlock_criteria!$2:$2,0)+1,FALSE)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575 に到達</v>
      </c>
      <c r="E201" s="120" t="s">
        <v>590</v>
      </c>
      <c r="F201" s="121" t="str">
        <f ca="1">VLOOKUP($E201,OFFSET(mission_ACH_criteria!$A$1,0,0,COUNTA(mission_ACH_criteria!$A:$A),MATCH(F$2,mission_ACH_criteria!$1:$1,0)-MATCH($E$2,mission_ACH_criteria!$1:$1,0)+1),MATCH(F$2,mission_ACH_criteria!$1:$1,0)-MATCH($E$2,mission_ACH_criteria!$1:$1,0)+1,FALSE)</f>
        <v>ユニットを 600 種類手に入れよう！</v>
      </c>
      <c r="G201" s="120" t="s">
        <v>235</v>
      </c>
      <c r="H201" s="31" t="str">
        <f t="shared" ca="1" si="85"/>
        <v>ポリゴン x 5</v>
      </c>
      <c r="I201" s="31" t="str">
        <f ca="1">VLOOKUP($G201,OFFSET(mission_ACH!$A$2,0,0,COUNTA($A:$A),MATCH(I$2,mission_ACH!$2:$2,0)-MATCH($G$2,mission_ACH!$2:$2,0)+1),MATCH(I$2,mission_ACH!$2:$2,0)-MATCH($G$2,mission_ACH!$2:$2,0)+1,FALSE)</f>
        <v>polygon</v>
      </c>
      <c r="J201" s="31">
        <f ca="1">VLOOKUP($G201,OFFSET(mission_ACH!$A$2,0,0,COUNTA($A:$A),MATCH(J$2,mission_ACH!$2:$2,0)-MATCH($G$2,mission_ACH!$2:$2,0)+1),MATCH(J$2,mission_ACH!$2:$2,0)-MATCH($G$2,mission_ACH!$2:$2,0)+1,FALSE)</f>
        <v>5</v>
      </c>
      <c r="K201" s="31" t="str">
        <f ca="1">IF(OR(I201="unit",I201="item"),VLOOKUP($G201,OFFSET(mission_ACH!$A$2,0,0,COUNTA($A:$A),MATCH(K$2,mission_ACH!$2:$2,0)-MATCH($G$2,mission_ACH!$2:$2,0)+1),MATCH(K$2,mission_ACH!$2:$2,0)-MATCH($G$2,mission_ACH!$2:$2,0)+1,FALSE),"")</f>
        <v/>
      </c>
      <c r="L201" s="121">
        <f ca="1">VLOOKUP($G201,OFFSET(mission_ACH!$A$2,0,0,COUNTA($A:$A),MATCH(L$2,mission_ACH!$2:$2,0)-MATCH($G$2,mission_ACH!$2:$2,0)+1),MATCH(L$2,mission_ACH!$2:$2,0)-MATCH($G$2,mission_ACH!$2:$2,0)+1,FALSE)</f>
        <v>0</v>
      </c>
      <c r="M201" s="120">
        <v>40</v>
      </c>
      <c r="N201" s="120" t="s">
        <v>2275</v>
      </c>
      <c r="O201" s="120" t="s">
        <v>2275</v>
      </c>
    </row>
    <row r="202" spans="1:15" s="1" customFormat="1" ht="21" customHeight="1" x14ac:dyDescent="0.15">
      <c r="A202" s="120">
        <v>5025</v>
      </c>
      <c r="B202" s="120" t="str">
        <f t="shared" ca="1" si="84"/>
        <v>ユニットを 625 種類手に入れよう！</v>
      </c>
      <c r="C202" s="120" t="s">
        <v>591</v>
      </c>
      <c r="D202" s="121" t="str">
        <f ca="1">VLOOKUP($C202,OFFSET(mission_unlock_criteria!$A$2,0,0,COUNTA(mission_unlock_criteria!$A:$A),MATCH(D$2,mission_unlock_criteria!$2:$2,0)-MATCH($C$2,mission_unlock_criteria!$2:$2,0)+1),MATCH(D$2,mission_unlock_criteria!$2:$2,0)-MATCH($C$2,mission_unlock_criteria!$2:$2,0)+1,FALSE)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600 に到達</v>
      </c>
      <c r="E202" s="120" t="s">
        <v>592</v>
      </c>
      <c r="F202" s="121" t="str">
        <f ca="1">VLOOKUP($E202,OFFSET(mission_ACH_criteria!$A$1,0,0,COUNTA(mission_ACH_criteria!$A:$A),MATCH(F$2,mission_ACH_criteria!$1:$1,0)-MATCH($E$2,mission_ACH_criteria!$1:$1,0)+1),MATCH(F$2,mission_ACH_criteria!$1:$1,0)-MATCH($E$2,mission_ACH_criteria!$1:$1,0)+1,FALSE)</f>
        <v>ユニットを 625 種類手に入れよう！</v>
      </c>
      <c r="G202" s="120" t="s">
        <v>2432</v>
      </c>
      <c r="H202" s="31" t="str">
        <f t="shared" ca="1" si="85"/>
        <v>メガ癒しの果実 x 2</v>
      </c>
      <c r="I202" s="31" t="str">
        <f ca="1">VLOOKUP($G202,OFFSET(mission_ACH!$A$2,0,0,COUNTA($A:$A),MATCH(I$2,mission_ACH!$2:$2,0)-MATCH($G$2,mission_ACH!$2:$2,0)+1),MATCH(I$2,mission_ACH!$2:$2,0)-MATCH($G$2,mission_ACH!$2:$2,0)+1,FALSE)</f>
        <v>unit</v>
      </c>
      <c r="J202" s="31">
        <f ca="1">VLOOKUP($G202,OFFSET(mission_ACH!$A$2,0,0,COUNTA($A:$A),MATCH(J$2,mission_ACH!$2:$2,0)-MATCH($G$2,mission_ACH!$2:$2,0)+1),MATCH(J$2,mission_ACH!$2:$2,0)-MATCH($G$2,mission_ACH!$2:$2,0)+1,FALSE)</f>
        <v>609</v>
      </c>
      <c r="K202" s="31" t="str">
        <f ca="1">IF(OR(I202="unit",I202="item"),VLOOKUP($G202,OFFSET(mission_ACH!$A$2,0,0,COUNTA($A:$A),MATCH(K$2,mission_ACH!$2:$2,0)-MATCH($G$2,mission_ACH!$2:$2,0)+1),MATCH(K$2,mission_ACH!$2:$2,0)-MATCH($G$2,mission_ACH!$2:$2,0)+1,FALSE),"")</f>
        <v>メガ癒しの果実</v>
      </c>
      <c r="L202" s="121">
        <f ca="1">VLOOKUP($G202,OFFSET(mission_ACH!$A$2,0,0,COUNTA($A:$A),MATCH(L$2,mission_ACH!$2:$2,0)-MATCH($G$2,mission_ACH!$2:$2,0)+1),MATCH(L$2,mission_ACH!$2:$2,0)-MATCH($G$2,mission_ACH!$2:$2,0)+1,FALSE)</f>
        <v>2</v>
      </c>
      <c r="M202" s="120">
        <v>40</v>
      </c>
      <c r="N202" s="120" t="s">
        <v>2275</v>
      </c>
      <c r="O202" s="120" t="s">
        <v>2275</v>
      </c>
    </row>
    <row r="203" spans="1:15" s="1" customFormat="1" ht="21" customHeight="1" x14ac:dyDescent="0.15">
      <c r="A203" s="120">
        <v>5026</v>
      </c>
      <c r="B203" s="120" t="str">
        <f t="shared" ca="1" si="84"/>
        <v>ユニットを 650 種類手に入れよう！</v>
      </c>
      <c r="C203" s="120" t="s">
        <v>593</v>
      </c>
      <c r="D203" s="121" t="str">
        <f ca="1">VLOOKUP($C203,OFFSET(mission_unlock_criteria!$A$2,0,0,COUNTA(mission_unlock_criteria!$A:$A),MATCH(D$2,mission_unlock_criteria!$2:$2,0)-MATCH($C$2,mission_unlock_criteria!$2:$2,0)+1),MATCH(D$2,mission_unlock_criteria!$2:$2,0)-MATCH($C$2,mission_unlock_criteria!$2:$2,0)+1,FALSE)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625 に到達</v>
      </c>
      <c r="E203" s="120" t="s">
        <v>594</v>
      </c>
      <c r="F203" s="121" t="str">
        <f ca="1">VLOOKUP($E203,OFFSET(mission_ACH_criteria!$A$1,0,0,COUNTA(mission_ACH_criteria!$A:$A),MATCH(F$2,mission_ACH_criteria!$1:$1,0)-MATCH($E$2,mission_ACH_criteria!$1:$1,0)+1),MATCH(F$2,mission_ACH_criteria!$1:$1,0)-MATCH($E$2,mission_ACH_criteria!$1:$1,0)+1,FALSE)</f>
        <v>ユニットを 650 種類手に入れよう！</v>
      </c>
      <c r="G203" s="120" t="s">
        <v>2458</v>
      </c>
      <c r="H203" s="31" t="str">
        <f t="shared" ca="1" si="85"/>
        <v>ビットキー x 1</v>
      </c>
      <c r="I203" s="31" t="str">
        <f ca="1">VLOOKUP($G203,OFFSET(mission_ACH!$A$2,0,0,COUNTA($A:$A),MATCH(I$2,mission_ACH!$2:$2,0)-MATCH($G$2,mission_ACH!$2:$2,0)+1),MATCH(I$2,mission_ACH!$2:$2,0)-MATCH($G$2,mission_ACH!$2:$2,0)+1,FALSE)</f>
        <v>item</v>
      </c>
      <c r="J203" s="31">
        <f ca="1">VLOOKUP($G203,OFFSET(mission_ACH!$A$2,0,0,COUNTA($A:$A),MATCH(J$2,mission_ACH!$2:$2,0)-MATCH($G$2,mission_ACH!$2:$2,0)+1),MATCH(J$2,mission_ACH!$2:$2,0)-MATCH($G$2,mission_ACH!$2:$2,0)+1,FALSE)</f>
        <v>3</v>
      </c>
      <c r="K203" s="31" t="str">
        <f ca="1">IF(OR(I203="unit",I203="item"),VLOOKUP($G203,OFFSET(mission_ACH!$A$2,0,0,COUNTA($A:$A),MATCH(K$2,mission_ACH!$2:$2,0)-MATCH($G$2,mission_ACH!$2:$2,0)+1),MATCH(K$2,mission_ACH!$2:$2,0)-MATCH($G$2,mission_ACH!$2:$2,0)+1,FALSE),"")</f>
        <v>ビットキー</v>
      </c>
      <c r="L203" s="121">
        <f ca="1">VLOOKUP($G203,OFFSET(mission_ACH!$A$2,0,0,COUNTA($A:$A),MATCH(L$2,mission_ACH!$2:$2,0)-MATCH($G$2,mission_ACH!$2:$2,0)+1),MATCH(L$2,mission_ACH!$2:$2,0)-MATCH($G$2,mission_ACH!$2:$2,0)+1,FALSE)</f>
        <v>1</v>
      </c>
      <c r="M203" s="120">
        <v>40</v>
      </c>
      <c r="N203" s="120" t="s">
        <v>2275</v>
      </c>
      <c r="O203" s="120" t="s">
        <v>2275</v>
      </c>
    </row>
    <row r="204" spans="1:15" s="1" customFormat="1" ht="21" customHeight="1" x14ac:dyDescent="0.15">
      <c r="A204" s="120">
        <v>5027</v>
      </c>
      <c r="B204" s="120" t="str">
        <f t="shared" ca="1" si="84"/>
        <v>ユニットを 675 種類手に入れよう！</v>
      </c>
      <c r="C204" s="120" t="s">
        <v>595</v>
      </c>
      <c r="D204" s="121" t="str">
        <f ca="1">VLOOKUP($C204,OFFSET(mission_unlock_criteria!$A$2,0,0,COUNTA(mission_unlock_criteria!$A:$A),MATCH(D$2,mission_unlock_criteria!$2:$2,0)-MATCH($C$2,mission_unlock_criteria!$2:$2,0)+1),MATCH(D$2,mission_unlock_criteria!$2:$2,0)-MATCH($C$2,mission_unlock_criteria!$2:$2,0)+1,FALSE)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650 に到達</v>
      </c>
      <c r="E204" s="120" t="s">
        <v>596</v>
      </c>
      <c r="F204" s="121" t="str">
        <f ca="1">VLOOKUP($E204,OFFSET(mission_ACH_criteria!$A$1,0,0,COUNTA(mission_ACH_criteria!$A:$A),MATCH(F$2,mission_ACH_criteria!$1:$1,0)-MATCH($E$2,mission_ACH_criteria!$1:$1,0)+1),MATCH(F$2,mission_ACH_criteria!$1:$1,0)-MATCH($E$2,mission_ACH_criteria!$1:$1,0)+1,FALSE)</f>
        <v>ユニットを 675 種類手に入れよう！</v>
      </c>
      <c r="G204" s="120" t="s">
        <v>2434</v>
      </c>
      <c r="H204" s="31" t="str">
        <f t="shared" ca="1" si="85"/>
        <v>メガ秘術の果実 x 2</v>
      </c>
      <c r="I204" s="31" t="str">
        <f ca="1">VLOOKUP($G204,OFFSET(mission_ACH!$A$2,0,0,COUNTA($A:$A),MATCH(I$2,mission_ACH!$2:$2,0)-MATCH($G$2,mission_ACH!$2:$2,0)+1),MATCH(I$2,mission_ACH!$2:$2,0)-MATCH($G$2,mission_ACH!$2:$2,0)+1,FALSE)</f>
        <v>unit</v>
      </c>
      <c r="J204" s="31">
        <f ca="1">VLOOKUP($G204,OFFSET(mission_ACH!$A$2,0,0,COUNTA($A:$A),MATCH(J$2,mission_ACH!$2:$2,0)-MATCH($G$2,mission_ACH!$2:$2,0)+1),MATCH(J$2,mission_ACH!$2:$2,0)-MATCH($G$2,mission_ACH!$2:$2,0)+1,FALSE)</f>
        <v>610</v>
      </c>
      <c r="K204" s="31" t="str">
        <f ca="1">IF(OR(I204="unit",I204="item"),VLOOKUP($G204,OFFSET(mission_ACH!$A$2,0,0,COUNTA($A:$A),MATCH(K$2,mission_ACH!$2:$2,0)-MATCH($G$2,mission_ACH!$2:$2,0)+1),MATCH(K$2,mission_ACH!$2:$2,0)-MATCH($G$2,mission_ACH!$2:$2,0)+1,FALSE),"")</f>
        <v>メガ秘術の果実</v>
      </c>
      <c r="L204" s="121">
        <f ca="1">VLOOKUP($G204,OFFSET(mission_ACH!$A$2,0,0,COUNTA($A:$A),MATCH(L$2,mission_ACH!$2:$2,0)-MATCH($G$2,mission_ACH!$2:$2,0)+1),MATCH(L$2,mission_ACH!$2:$2,0)-MATCH($G$2,mission_ACH!$2:$2,0)+1,FALSE)</f>
        <v>2</v>
      </c>
      <c r="M204" s="120">
        <v>40</v>
      </c>
      <c r="N204" s="120" t="s">
        <v>2275</v>
      </c>
      <c r="O204" s="120" t="s">
        <v>2275</v>
      </c>
    </row>
    <row r="205" spans="1:15" s="1" customFormat="1" ht="21" customHeight="1" x14ac:dyDescent="0.15">
      <c r="A205" s="120">
        <v>5028</v>
      </c>
      <c r="B205" s="120" t="str">
        <f t="shared" ca="1" si="84"/>
        <v>ユニットを 700 種類手に入れよう！</v>
      </c>
      <c r="C205" s="120" t="s">
        <v>597</v>
      </c>
      <c r="D205" s="121" t="str">
        <f ca="1">VLOOKUP($C205,OFFSET(mission_unlock_criteria!$A$2,0,0,COUNTA(mission_unlock_criteria!$A:$A),MATCH(D$2,mission_unlock_criteria!$2:$2,0)-MATCH($C$2,mission_unlock_criteria!$2:$2,0)+1),MATCH(D$2,mission_unlock_criteria!$2:$2,0)-MATCH($C$2,mission_unlock_criteria!$2:$2,0)+1,FALSE)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675 に到達</v>
      </c>
      <c r="E205" s="120" t="s">
        <v>598</v>
      </c>
      <c r="F205" s="121" t="str">
        <f ca="1">VLOOKUP($E205,OFFSET(mission_ACH_criteria!$A$1,0,0,COUNTA(mission_ACH_criteria!$A:$A),MATCH(F$2,mission_ACH_criteria!$1:$1,0)-MATCH($E$2,mission_ACH_criteria!$1:$1,0)+1),MATCH(F$2,mission_ACH_criteria!$1:$1,0)-MATCH($E$2,mission_ACH_criteria!$1:$1,0)+1,FALSE)</f>
        <v>ユニットを 700 種類手に入れよう！</v>
      </c>
      <c r="G205" s="120" t="s">
        <v>235</v>
      </c>
      <c r="H205" s="31" t="str">
        <f t="shared" ca="1" si="85"/>
        <v>ポリゴン x 5</v>
      </c>
      <c r="I205" s="31" t="str">
        <f ca="1">VLOOKUP($G205,OFFSET(mission_ACH!$A$2,0,0,COUNTA($A:$A),MATCH(I$2,mission_ACH!$2:$2,0)-MATCH($G$2,mission_ACH!$2:$2,0)+1),MATCH(I$2,mission_ACH!$2:$2,0)-MATCH($G$2,mission_ACH!$2:$2,0)+1,FALSE)</f>
        <v>polygon</v>
      </c>
      <c r="J205" s="31">
        <f ca="1">VLOOKUP($G205,OFFSET(mission_ACH!$A$2,0,0,COUNTA($A:$A),MATCH(J$2,mission_ACH!$2:$2,0)-MATCH($G$2,mission_ACH!$2:$2,0)+1),MATCH(J$2,mission_ACH!$2:$2,0)-MATCH($G$2,mission_ACH!$2:$2,0)+1,FALSE)</f>
        <v>5</v>
      </c>
      <c r="K205" s="31" t="str">
        <f ca="1">IF(OR(I205="unit",I205="item"),VLOOKUP($G205,OFFSET(mission_ACH!$A$2,0,0,COUNTA($A:$A),MATCH(K$2,mission_ACH!$2:$2,0)-MATCH($G$2,mission_ACH!$2:$2,0)+1),MATCH(K$2,mission_ACH!$2:$2,0)-MATCH($G$2,mission_ACH!$2:$2,0)+1,FALSE),"")</f>
        <v/>
      </c>
      <c r="L205" s="121">
        <f ca="1">VLOOKUP($G205,OFFSET(mission_ACH!$A$2,0,0,COUNTA($A:$A),MATCH(L$2,mission_ACH!$2:$2,0)-MATCH($G$2,mission_ACH!$2:$2,0)+1),MATCH(L$2,mission_ACH!$2:$2,0)-MATCH($G$2,mission_ACH!$2:$2,0)+1,FALSE)</f>
        <v>0</v>
      </c>
      <c r="M205" s="120">
        <v>40</v>
      </c>
      <c r="N205" s="120" t="s">
        <v>2275</v>
      </c>
      <c r="O205" s="120" t="s">
        <v>2275</v>
      </c>
    </row>
    <row r="206" spans="1:15" s="1" customFormat="1" ht="21" customHeight="1" x14ac:dyDescent="0.15">
      <c r="A206" s="120">
        <v>5029</v>
      </c>
      <c r="B206" s="120" t="str">
        <f t="shared" ref="B206:B209" ca="1" si="86">F206</f>
        <v>ユニットを 725 種類手に入れよう！</v>
      </c>
      <c r="C206" s="120" t="s">
        <v>599</v>
      </c>
      <c r="D206" s="121" t="str">
        <f ca="1">VLOOKUP($C206,OFFSET(mission_unlock_criteria!$A$2,0,0,COUNTA(mission_unlock_criteria!$A:$A),MATCH(D$2,mission_unlock_criteria!$2:$2,0)-MATCH($C$2,mission_unlock_criteria!$2:$2,0)+1),MATCH(D$2,mission_unlock_criteria!$2:$2,0)-MATCH($C$2,mission_unlock_criteria!$2:$2,0)+1,FALSE)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700 に到達</v>
      </c>
      <c r="E206" s="120" t="s">
        <v>600</v>
      </c>
      <c r="F206" s="121" t="str">
        <f ca="1">VLOOKUP($E206,OFFSET(mission_ACH_criteria!$A$1,0,0,COUNTA(mission_ACH_criteria!$A:$A),MATCH(F$2,mission_ACH_criteria!$1:$1,0)-MATCH($E$2,mission_ACH_criteria!$1:$1,0)+1),MATCH(F$2,mission_ACH_criteria!$1:$1,0)-MATCH($E$2,mission_ACH_criteria!$1:$1,0)+1,FALSE)</f>
        <v>ユニットを 725 種類手に入れよう！</v>
      </c>
      <c r="G206" s="120" t="s">
        <v>2436</v>
      </c>
      <c r="H206" s="31" t="str">
        <f t="shared" ca="1" si="85"/>
        <v>ギガ攻めの果実 x 1</v>
      </c>
      <c r="I206" s="31" t="str">
        <f ca="1">VLOOKUP($G206,OFFSET(mission_ACH!$A$2,0,0,COUNTA($A:$A),MATCH(I$2,mission_ACH!$2:$2,0)-MATCH($G$2,mission_ACH!$2:$2,0)+1),MATCH(I$2,mission_ACH!$2:$2,0)-MATCH($G$2,mission_ACH!$2:$2,0)+1,FALSE)</f>
        <v>unit</v>
      </c>
      <c r="J206" s="31">
        <f ca="1">VLOOKUP($G206,OFFSET(mission_ACH!$A$2,0,0,COUNTA($A:$A),MATCH(J$2,mission_ACH!$2:$2,0)-MATCH($G$2,mission_ACH!$2:$2,0)+1),MATCH(J$2,mission_ACH!$2:$2,0)-MATCH($G$2,mission_ACH!$2:$2,0)+1,FALSE)</f>
        <v>611</v>
      </c>
      <c r="K206" s="31" t="str">
        <f ca="1">IF(OR(I206="unit",I206="item"),VLOOKUP($G206,OFFSET(mission_ACH!$A$2,0,0,COUNTA($A:$A),MATCH(K$2,mission_ACH!$2:$2,0)-MATCH($G$2,mission_ACH!$2:$2,0)+1),MATCH(K$2,mission_ACH!$2:$2,0)-MATCH($G$2,mission_ACH!$2:$2,0)+1,FALSE),"")</f>
        <v>ギガ攻めの果実</v>
      </c>
      <c r="L206" s="121">
        <f ca="1">VLOOKUP($G206,OFFSET(mission_ACH!$A$2,0,0,COUNTA($A:$A),MATCH(L$2,mission_ACH!$2:$2,0)-MATCH($G$2,mission_ACH!$2:$2,0)+1),MATCH(L$2,mission_ACH!$2:$2,0)-MATCH($G$2,mission_ACH!$2:$2,0)+1,FALSE)</f>
        <v>1</v>
      </c>
      <c r="M206" s="120">
        <v>40</v>
      </c>
      <c r="N206" s="120" t="s">
        <v>2275</v>
      </c>
      <c r="O206" s="120" t="s">
        <v>2275</v>
      </c>
    </row>
    <row r="207" spans="1:15" s="1" customFormat="1" ht="21" customHeight="1" x14ac:dyDescent="0.15">
      <c r="A207" s="120">
        <v>5030</v>
      </c>
      <c r="B207" s="120" t="str">
        <f t="shared" ca="1" si="86"/>
        <v>ユニットを 750 種類手に入れよう！</v>
      </c>
      <c r="C207" s="120" t="s">
        <v>601</v>
      </c>
      <c r="D207" s="121" t="str">
        <f ca="1">VLOOKUP($C207,OFFSET(mission_unlock_criteria!$A$2,0,0,COUNTA(mission_unlock_criteria!$A:$A),MATCH(D$2,mission_unlock_criteria!$2:$2,0)-MATCH($C$2,mission_unlock_criteria!$2:$2,0)+1),MATCH(D$2,mission_unlock_criteria!$2:$2,0)-MATCH($C$2,mission_unlock_criteria!$2:$2,0)+1,FALSE)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725 に到達</v>
      </c>
      <c r="E207" s="120" t="s">
        <v>602</v>
      </c>
      <c r="F207" s="121" t="str">
        <f ca="1">VLOOKUP($E207,OFFSET(mission_ACH_criteria!$A$1,0,0,COUNTA(mission_ACH_criteria!$A:$A),MATCH(F$2,mission_ACH_criteria!$1:$1,0)-MATCH($E$2,mission_ACH_criteria!$1:$1,0)+1),MATCH(F$2,mission_ACH_criteria!$1:$1,0)-MATCH($E$2,mission_ACH_criteria!$1:$1,0)+1,FALSE)</f>
        <v>ユニットを 750 種類手に入れよう！</v>
      </c>
      <c r="G207" s="120" t="s">
        <v>2460</v>
      </c>
      <c r="H207" s="31" t="str">
        <f t="shared" ca="1" si="85"/>
        <v>限界突破キー x 1</v>
      </c>
      <c r="I207" s="31" t="str">
        <f ca="1">VLOOKUP($G207,OFFSET(mission_ACH!$A$2,0,0,COUNTA($A:$A),MATCH(I$2,mission_ACH!$2:$2,0)-MATCH($G$2,mission_ACH!$2:$2,0)+1),MATCH(I$2,mission_ACH!$2:$2,0)-MATCH($G$2,mission_ACH!$2:$2,0)+1,FALSE)</f>
        <v>item</v>
      </c>
      <c r="J207" s="31">
        <f ca="1">VLOOKUP($G207,OFFSET(mission_ACH!$A$2,0,0,COUNTA($A:$A),MATCH(J$2,mission_ACH!$2:$2,0)-MATCH($G$2,mission_ACH!$2:$2,0)+1),MATCH(J$2,mission_ACH!$2:$2,0)-MATCH($G$2,mission_ACH!$2:$2,0)+1,FALSE)</f>
        <v>4</v>
      </c>
      <c r="K207" s="31" t="str">
        <f ca="1">IF(OR(I207="unit",I207="item"),VLOOKUP($G207,OFFSET(mission_ACH!$A$2,0,0,COUNTA($A:$A),MATCH(K$2,mission_ACH!$2:$2,0)-MATCH($G$2,mission_ACH!$2:$2,0)+1),MATCH(K$2,mission_ACH!$2:$2,0)-MATCH($G$2,mission_ACH!$2:$2,0)+1,FALSE),"")</f>
        <v>限界突破キー</v>
      </c>
      <c r="L207" s="121">
        <f ca="1">VLOOKUP($G207,OFFSET(mission_ACH!$A$2,0,0,COUNTA($A:$A),MATCH(L$2,mission_ACH!$2:$2,0)-MATCH($G$2,mission_ACH!$2:$2,0)+1),MATCH(L$2,mission_ACH!$2:$2,0)-MATCH($G$2,mission_ACH!$2:$2,0)+1,FALSE)</f>
        <v>1</v>
      </c>
      <c r="M207" s="120">
        <v>40</v>
      </c>
      <c r="N207" s="120" t="s">
        <v>2275</v>
      </c>
      <c r="O207" s="120" t="s">
        <v>2275</v>
      </c>
    </row>
    <row r="208" spans="1:15" s="1" customFormat="1" ht="21" customHeight="1" x14ac:dyDescent="0.15">
      <c r="A208" s="120">
        <v>5031</v>
      </c>
      <c r="B208" s="120" t="str">
        <f t="shared" ca="1" si="86"/>
        <v>ユニットを 775 種類手に入れよう！</v>
      </c>
      <c r="C208" s="120" t="s">
        <v>603</v>
      </c>
      <c r="D208" s="121" t="str">
        <f ca="1">VLOOKUP($C208,OFFSET(mission_unlock_criteria!$A$2,0,0,COUNTA(mission_unlock_criteria!$A:$A),MATCH(D$2,mission_unlock_criteria!$2:$2,0)-MATCH($C$2,mission_unlock_criteria!$2:$2,0)+1),MATCH(D$2,mission_unlock_criteria!$2:$2,0)-MATCH($C$2,mission_unlock_criteria!$2:$2,0)+1,FALSE)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750 に到達</v>
      </c>
      <c r="E208" s="120" t="s">
        <v>604</v>
      </c>
      <c r="F208" s="121" t="str">
        <f ca="1">VLOOKUP($E208,OFFSET(mission_ACH_criteria!$A$1,0,0,COUNTA(mission_ACH_criteria!$A:$A),MATCH(F$2,mission_ACH_criteria!$1:$1,0)-MATCH($E$2,mission_ACH_criteria!$1:$1,0)+1),MATCH(F$2,mission_ACH_criteria!$1:$1,0)-MATCH($E$2,mission_ACH_criteria!$1:$1,0)+1,FALSE)</f>
        <v>ユニットを 775 種類手に入れよう！</v>
      </c>
      <c r="G208" s="120" t="s">
        <v>2441</v>
      </c>
      <c r="H208" s="31" t="str">
        <f t="shared" ca="1" si="85"/>
        <v>ギガ生命の果実 x 1</v>
      </c>
      <c r="I208" s="31" t="str">
        <f ca="1">VLOOKUP($G208,OFFSET(mission_ACH!$A$2,0,0,COUNTA($A:$A),MATCH(I$2,mission_ACH!$2:$2,0)-MATCH($G$2,mission_ACH!$2:$2,0)+1),MATCH(I$2,mission_ACH!$2:$2,0)-MATCH($G$2,mission_ACH!$2:$2,0)+1,FALSE)</f>
        <v>unit</v>
      </c>
      <c r="J208" s="31">
        <f ca="1">VLOOKUP($G208,OFFSET(mission_ACH!$A$2,0,0,COUNTA($A:$A),MATCH(J$2,mission_ACH!$2:$2,0)-MATCH($G$2,mission_ACH!$2:$2,0)+1),MATCH(J$2,mission_ACH!$2:$2,0)-MATCH($G$2,mission_ACH!$2:$2,0)+1,FALSE)</f>
        <v>612</v>
      </c>
      <c r="K208" s="31" t="str">
        <f ca="1">IF(OR(I208="unit",I208="item"),VLOOKUP($G208,OFFSET(mission_ACH!$A$2,0,0,COUNTA($A:$A),MATCH(K$2,mission_ACH!$2:$2,0)-MATCH($G$2,mission_ACH!$2:$2,0)+1),MATCH(K$2,mission_ACH!$2:$2,0)-MATCH($G$2,mission_ACH!$2:$2,0)+1,FALSE),"")</f>
        <v>ギガ生命の果実</v>
      </c>
      <c r="L208" s="121">
        <f ca="1">VLOOKUP($G208,OFFSET(mission_ACH!$A$2,0,0,COUNTA($A:$A),MATCH(L$2,mission_ACH!$2:$2,0)-MATCH($G$2,mission_ACH!$2:$2,0)+1),MATCH(L$2,mission_ACH!$2:$2,0)-MATCH($G$2,mission_ACH!$2:$2,0)+1,FALSE)</f>
        <v>1</v>
      </c>
      <c r="M208" s="120">
        <v>40</v>
      </c>
      <c r="N208" s="120" t="s">
        <v>2275</v>
      </c>
      <c r="O208" s="120" t="s">
        <v>2275</v>
      </c>
    </row>
    <row r="209" spans="1:15" s="1" customFormat="1" ht="21" customHeight="1" x14ac:dyDescent="0.15">
      <c r="A209" s="120">
        <v>5032</v>
      </c>
      <c r="B209" s="120" t="str">
        <f t="shared" ca="1" si="86"/>
        <v>ユニットを 800 種類手に入れよう！</v>
      </c>
      <c r="C209" s="120" t="s">
        <v>605</v>
      </c>
      <c r="D209" s="121" t="str">
        <f ca="1">VLOOKUP($C209,OFFSET(mission_unlock_criteria!$A$2,0,0,COUNTA(mission_unlock_criteria!$A:$A),MATCH(D$2,mission_unlock_criteria!$2:$2,0)-MATCH($C$2,mission_unlock_criteria!$2:$2,0)+1),MATCH(D$2,mission_unlock_criteria!$2:$2,0)-MATCH($C$2,mission_unlock_criteria!$2:$2,0)+1,FALSE)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775 に到達</v>
      </c>
      <c r="E209" s="120" t="s">
        <v>606</v>
      </c>
      <c r="F209" s="121" t="str">
        <f ca="1">VLOOKUP($E209,OFFSET(mission_ACH_criteria!$A$1,0,0,COUNTA(mission_ACH_criteria!$A:$A),MATCH(F$2,mission_ACH_criteria!$1:$1,0)-MATCH($E$2,mission_ACH_criteria!$1:$1,0)+1),MATCH(F$2,mission_ACH_criteria!$1:$1,0)-MATCH($E$2,mission_ACH_criteria!$1:$1,0)+1,FALSE)</f>
        <v>ユニットを 800 種類手に入れよう！</v>
      </c>
      <c r="G209" s="120" t="s">
        <v>235</v>
      </c>
      <c r="H209" s="31" t="str">
        <f t="shared" ca="1" si="85"/>
        <v>ポリゴン x 5</v>
      </c>
      <c r="I209" s="31" t="str">
        <f ca="1">VLOOKUP($G209,OFFSET(mission_ACH!$A$2,0,0,COUNTA($A:$A),MATCH(I$2,mission_ACH!$2:$2,0)-MATCH($G$2,mission_ACH!$2:$2,0)+1),MATCH(I$2,mission_ACH!$2:$2,0)-MATCH($G$2,mission_ACH!$2:$2,0)+1,FALSE)</f>
        <v>polygon</v>
      </c>
      <c r="J209" s="31">
        <f ca="1">VLOOKUP($G209,OFFSET(mission_ACH!$A$2,0,0,COUNTA($A:$A),MATCH(J$2,mission_ACH!$2:$2,0)-MATCH($G$2,mission_ACH!$2:$2,0)+1),MATCH(J$2,mission_ACH!$2:$2,0)-MATCH($G$2,mission_ACH!$2:$2,0)+1,FALSE)</f>
        <v>5</v>
      </c>
      <c r="K209" s="31" t="str">
        <f ca="1">IF(OR(I209="unit",I209="item"),VLOOKUP($G209,OFFSET(mission_ACH!$A$2,0,0,COUNTA($A:$A),MATCH(K$2,mission_ACH!$2:$2,0)-MATCH($G$2,mission_ACH!$2:$2,0)+1),MATCH(K$2,mission_ACH!$2:$2,0)-MATCH($G$2,mission_ACH!$2:$2,0)+1,FALSE),"")</f>
        <v/>
      </c>
      <c r="L209" s="121">
        <f ca="1">VLOOKUP($G209,OFFSET(mission_ACH!$A$2,0,0,COUNTA($A:$A),MATCH(L$2,mission_ACH!$2:$2,0)-MATCH($G$2,mission_ACH!$2:$2,0)+1),MATCH(L$2,mission_ACH!$2:$2,0)-MATCH($G$2,mission_ACH!$2:$2,0)+1,FALSE)</f>
        <v>0</v>
      </c>
      <c r="M209" s="120">
        <v>40</v>
      </c>
      <c r="N209" s="120" t="s">
        <v>2275</v>
      </c>
      <c r="O209" s="120" t="s">
        <v>2275</v>
      </c>
    </row>
    <row r="210" spans="1:15" s="1" customFormat="1" ht="21" customHeight="1" x14ac:dyDescent="0.15">
      <c r="A210" s="120">
        <v>5033</v>
      </c>
      <c r="B210" s="120" t="str">
        <f t="shared" ref="B210:B215" ca="1" si="87">F210</f>
        <v>ユニットを 825 種類手に入れよう！</v>
      </c>
      <c r="C210" s="120" t="s">
        <v>607</v>
      </c>
      <c r="D210" s="121" t="str">
        <f ca="1">VLOOKUP($C210,OFFSET(mission_unlock_criteria!$A$2,0,0,COUNTA(mission_unlock_criteria!$A:$A),MATCH(D$2,mission_unlock_criteria!$2:$2,0)-MATCH($C$2,mission_unlock_criteria!$2:$2,0)+1),MATCH(D$2,mission_unlock_criteria!$2:$2,0)-MATCH($C$2,mission_unlock_criteria!$2:$2,0)+1,FALSE)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800 に到達</v>
      </c>
      <c r="E210" s="120" t="s">
        <v>608</v>
      </c>
      <c r="F210" s="121" t="str">
        <f ca="1">VLOOKUP($E210,OFFSET(mission_ACH_criteria!$A$1,0,0,COUNTA(mission_ACH_criteria!$A:$A),MATCH(F$2,mission_ACH_criteria!$1:$1,0)-MATCH($E$2,mission_ACH_criteria!$1:$1,0)+1),MATCH(F$2,mission_ACH_criteria!$1:$1,0)-MATCH($E$2,mission_ACH_criteria!$1:$1,0)+1,FALSE)</f>
        <v>ユニットを 825 種類手に入れよう！</v>
      </c>
      <c r="G210" s="120" t="s">
        <v>2446</v>
      </c>
      <c r="H210" s="31" t="str">
        <f t="shared" ca="1" si="85"/>
        <v>ギガ癒しの果実 x 1</v>
      </c>
      <c r="I210" s="31" t="str">
        <f ca="1">VLOOKUP($G210,OFFSET(mission_ACH!$A$2,0,0,COUNTA($A:$A),MATCH(I$2,mission_ACH!$2:$2,0)-MATCH($G$2,mission_ACH!$2:$2,0)+1),MATCH(I$2,mission_ACH!$2:$2,0)-MATCH($G$2,mission_ACH!$2:$2,0)+1,FALSE)</f>
        <v>unit</v>
      </c>
      <c r="J210" s="31">
        <f ca="1">VLOOKUP($G210,OFFSET(mission_ACH!$A$2,0,0,COUNTA($A:$A),MATCH(J$2,mission_ACH!$2:$2,0)-MATCH($G$2,mission_ACH!$2:$2,0)+1),MATCH(J$2,mission_ACH!$2:$2,0)-MATCH($G$2,mission_ACH!$2:$2,0)+1,FALSE)</f>
        <v>613</v>
      </c>
      <c r="K210" s="31" t="str">
        <f ca="1">IF(OR(I210="unit",I210="item"),VLOOKUP($G210,OFFSET(mission_ACH!$A$2,0,0,COUNTA($A:$A),MATCH(K$2,mission_ACH!$2:$2,0)-MATCH($G$2,mission_ACH!$2:$2,0)+1),MATCH(K$2,mission_ACH!$2:$2,0)-MATCH($G$2,mission_ACH!$2:$2,0)+1,FALSE),"")</f>
        <v>ギガ癒しの果実</v>
      </c>
      <c r="L210" s="121">
        <f ca="1">VLOOKUP($G210,OFFSET(mission_ACH!$A$2,0,0,COUNTA($A:$A),MATCH(L$2,mission_ACH!$2:$2,0)-MATCH($G$2,mission_ACH!$2:$2,0)+1),MATCH(L$2,mission_ACH!$2:$2,0)-MATCH($G$2,mission_ACH!$2:$2,0)+1,FALSE)</f>
        <v>1</v>
      </c>
      <c r="M210" s="120">
        <v>40</v>
      </c>
      <c r="N210" s="120" t="s">
        <v>2275</v>
      </c>
      <c r="O210" s="120" t="s">
        <v>2275</v>
      </c>
    </row>
    <row r="211" spans="1:15" s="1" customFormat="1" ht="21" customHeight="1" x14ac:dyDescent="0.15">
      <c r="A211" s="120">
        <v>5034</v>
      </c>
      <c r="B211" s="120" t="str">
        <f t="shared" ca="1" si="87"/>
        <v>ユニットを 850 種類手に入れよう！</v>
      </c>
      <c r="C211" s="120" t="s">
        <v>609</v>
      </c>
      <c r="D211" s="121" t="str">
        <f ca="1">VLOOKUP($C211,OFFSET(mission_unlock_criteria!$A$2,0,0,COUNTA(mission_unlock_criteria!$A:$A),MATCH(D$2,mission_unlock_criteria!$2:$2,0)-MATCH($C$2,mission_unlock_criteria!$2:$2,0)+1),MATCH(D$2,mission_unlock_criteria!$2:$2,0)-MATCH($C$2,mission_unlock_criteria!$2:$2,0)+1,FALSE)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825 に到達</v>
      </c>
      <c r="E211" s="120" t="s">
        <v>610</v>
      </c>
      <c r="F211" s="121" t="str">
        <f ca="1">VLOOKUP($E211,OFFSET(mission_ACH_criteria!$A$1,0,0,COUNTA(mission_ACH_criteria!$A:$A),MATCH(F$2,mission_ACH_criteria!$1:$1,0)-MATCH($E$2,mission_ACH_criteria!$1:$1,0)+1),MATCH(F$2,mission_ACH_criteria!$1:$1,0)-MATCH($E$2,mission_ACH_criteria!$1:$1,0)+1,FALSE)</f>
        <v>ユニットを 850 種類手に入れよう！</v>
      </c>
      <c r="G211" s="120" t="s">
        <v>2454</v>
      </c>
      <c r="H211" s="31" t="str">
        <f t="shared" ca="1" si="85"/>
        <v>マスターキー x 1</v>
      </c>
      <c r="I211" s="31" t="str">
        <f ca="1">VLOOKUP($G211,OFFSET(mission_ACH!$A$2,0,0,COUNTA($A:$A),MATCH(I$2,mission_ACH!$2:$2,0)-MATCH($G$2,mission_ACH!$2:$2,0)+1),MATCH(I$2,mission_ACH!$2:$2,0)-MATCH($G$2,mission_ACH!$2:$2,0)+1,FALSE)</f>
        <v>item</v>
      </c>
      <c r="J211" s="31">
        <f ca="1">VLOOKUP($G211,OFFSET(mission_ACH!$A$2,0,0,COUNTA($A:$A),MATCH(J$2,mission_ACH!$2:$2,0)-MATCH($G$2,mission_ACH!$2:$2,0)+1),MATCH(J$2,mission_ACH!$2:$2,0)-MATCH($G$2,mission_ACH!$2:$2,0)+1,FALSE)</f>
        <v>1</v>
      </c>
      <c r="K211" s="31" t="str">
        <f ca="1">IF(OR(I211="unit",I211="item"),VLOOKUP($G211,OFFSET(mission_ACH!$A$2,0,0,COUNTA($A:$A),MATCH(K$2,mission_ACH!$2:$2,0)-MATCH($G$2,mission_ACH!$2:$2,0)+1),MATCH(K$2,mission_ACH!$2:$2,0)-MATCH($G$2,mission_ACH!$2:$2,0)+1,FALSE),"")</f>
        <v>マスターキー</v>
      </c>
      <c r="L211" s="121">
        <f ca="1">VLOOKUP($G211,OFFSET(mission_ACH!$A$2,0,0,COUNTA($A:$A),MATCH(L$2,mission_ACH!$2:$2,0)-MATCH($G$2,mission_ACH!$2:$2,0)+1),MATCH(L$2,mission_ACH!$2:$2,0)-MATCH($G$2,mission_ACH!$2:$2,0)+1,FALSE)</f>
        <v>1</v>
      </c>
      <c r="M211" s="120">
        <v>40</v>
      </c>
      <c r="N211" s="120" t="s">
        <v>2275</v>
      </c>
      <c r="O211" s="120" t="s">
        <v>2275</v>
      </c>
    </row>
    <row r="212" spans="1:15" s="1" customFormat="1" ht="21" customHeight="1" x14ac:dyDescent="0.15">
      <c r="A212" s="120">
        <v>5035</v>
      </c>
      <c r="B212" s="120" t="str">
        <f t="shared" ca="1" si="87"/>
        <v>ユニットを 875 種類手に入れよう！</v>
      </c>
      <c r="C212" s="120" t="s">
        <v>611</v>
      </c>
      <c r="D212" s="121" t="str">
        <f ca="1">VLOOKUP($C212,OFFSET(mission_unlock_criteria!$A$2,0,0,COUNTA(mission_unlock_criteria!$A:$A),MATCH(D$2,mission_unlock_criteria!$2:$2,0)-MATCH($C$2,mission_unlock_criteria!$2:$2,0)+1),MATCH(D$2,mission_unlock_criteria!$2:$2,0)-MATCH($C$2,mission_unlock_criteria!$2:$2,0)+1,FALSE)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850 に到達</v>
      </c>
      <c r="E212" s="120" t="s">
        <v>612</v>
      </c>
      <c r="F212" s="121" t="str">
        <f ca="1">VLOOKUP($E212,OFFSET(mission_ACH_criteria!$A$1,0,0,COUNTA(mission_ACH_criteria!$A:$A),MATCH(F$2,mission_ACH_criteria!$1:$1,0)-MATCH($E$2,mission_ACH_criteria!$1:$1,0)+1),MATCH(F$2,mission_ACH_criteria!$1:$1,0)-MATCH($E$2,mission_ACH_criteria!$1:$1,0)+1,FALSE)</f>
        <v>ユニットを 875 種類手に入れよう！</v>
      </c>
      <c r="G212" s="120" t="s">
        <v>2450</v>
      </c>
      <c r="H212" s="31" t="str">
        <f t="shared" ca="1" si="85"/>
        <v>ギガ秘術の果実 x 1</v>
      </c>
      <c r="I212" s="31" t="str">
        <f ca="1">VLOOKUP($G212,OFFSET(mission_ACH!$A$2,0,0,COUNTA($A:$A),MATCH(I$2,mission_ACH!$2:$2,0)-MATCH($G$2,mission_ACH!$2:$2,0)+1),MATCH(I$2,mission_ACH!$2:$2,0)-MATCH($G$2,mission_ACH!$2:$2,0)+1,FALSE)</f>
        <v>unit</v>
      </c>
      <c r="J212" s="31">
        <f ca="1">VLOOKUP($G212,OFFSET(mission_ACH!$A$2,0,0,COUNTA($A:$A),MATCH(J$2,mission_ACH!$2:$2,0)-MATCH($G$2,mission_ACH!$2:$2,0)+1),MATCH(J$2,mission_ACH!$2:$2,0)-MATCH($G$2,mission_ACH!$2:$2,0)+1,FALSE)</f>
        <v>614</v>
      </c>
      <c r="K212" s="31" t="str">
        <f ca="1">IF(OR(I212="unit",I212="item"),VLOOKUP($G212,OFFSET(mission_ACH!$A$2,0,0,COUNTA($A:$A),MATCH(K$2,mission_ACH!$2:$2,0)-MATCH($G$2,mission_ACH!$2:$2,0)+1),MATCH(K$2,mission_ACH!$2:$2,0)-MATCH($G$2,mission_ACH!$2:$2,0)+1,FALSE),"")</f>
        <v>ギガ秘術の果実</v>
      </c>
      <c r="L212" s="121">
        <f ca="1">VLOOKUP($G212,OFFSET(mission_ACH!$A$2,0,0,COUNTA($A:$A),MATCH(L$2,mission_ACH!$2:$2,0)-MATCH($G$2,mission_ACH!$2:$2,0)+1),MATCH(L$2,mission_ACH!$2:$2,0)-MATCH($G$2,mission_ACH!$2:$2,0)+1,FALSE)</f>
        <v>1</v>
      </c>
      <c r="M212" s="120">
        <v>40</v>
      </c>
      <c r="N212" s="120" t="s">
        <v>2275</v>
      </c>
      <c r="O212" s="120" t="s">
        <v>2275</v>
      </c>
    </row>
    <row r="213" spans="1:15" s="1" customFormat="1" ht="21" customHeight="1" x14ac:dyDescent="0.15">
      <c r="A213" s="120">
        <v>5036</v>
      </c>
      <c r="B213" s="120" t="str">
        <f t="shared" ca="1" si="87"/>
        <v>ユニットを 900 種類手に入れよう！</v>
      </c>
      <c r="C213" s="120" t="s">
        <v>613</v>
      </c>
      <c r="D213" s="121" t="str">
        <f ca="1">VLOOKUP($C213,OFFSET(mission_unlock_criteria!$A$2,0,0,COUNTA(mission_unlock_criteria!$A:$A),MATCH(D$2,mission_unlock_criteria!$2:$2,0)-MATCH($C$2,mission_unlock_criteria!$2:$2,0)+1),MATCH(D$2,mission_unlock_criteria!$2:$2,0)-MATCH($C$2,mission_unlock_criteria!$2:$2,0)+1,FALSE)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875 に到達</v>
      </c>
      <c r="E213" s="120" t="s">
        <v>614</v>
      </c>
      <c r="F213" s="121" t="str">
        <f ca="1">VLOOKUP($E213,OFFSET(mission_ACH_criteria!$A$1,0,0,COUNTA(mission_ACH_criteria!$A:$A),MATCH(F$2,mission_ACH_criteria!$1:$1,0)-MATCH($E$2,mission_ACH_criteria!$1:$1,0)+1),MATCH(F$2,mission_ACH_criteria!$1:$1,0)-MATCH($E$2,mission_ACH_criteria!$1:$1,0)+1,FALSE)</f>
        <v>ユニットを 900 種類手に入れよう！</v>
      </c>
      <c r="G213" s="120" t="s">
        <v>235</v>
      </c>
      <c r="H213" s="31" t="str">
        <f t="shared" ca="1" si="85"/>
        <v>ポリゴン x 5</v>
      </c>
      <c r="I213" s="31" t="str">
        <f ca="1">VLOOKUP($G213,OFFSET(mission_ACH!$A$2,0,0,COUNTA($A:$A),MATCH(I$2,mission_ACH!$2:$2,0)-MATCH($G$2,mission_ACH!$2:$2,0)+1),MATCH(I$2,mission_ACH!$2:$2,0)-MATCH($G$2,mission_ACH!$2:$2,0)+1,FALSE)</f>
        <v>polygon</v>
      </c>
      <c r="J213" s="31">
        <f ca="1">VLOOKUP($G213,OFFSET(mission_ACH!$A$2,0,0,COUNTA($A:$A),MATCH(J$2,mission_ACH!$2:$2,0)-MATCH($G$2,mission_ACH!$2:$2,0)+1),MATCH(J$2,mission_ACH!$2:$2,0)-MATCH($G$2,mission_ACH!$2:$2,0)+1,FALSE)</f>
        <v>5</v>
      </c>
      <c r="K213" s="31" t="str">
        <f ca="1">IF(OR(I213="unit",I213="item"),VLOOKUP($G213,OFFSET(mission_ACH!$A$2,0,0,COUNTA($A:$A),MATCH(K$2,mission_ACH!$2:$2,0)-MATCH($G$2,mission_ACH!$2:$2,0)+1),MATCH(K$2,mission_ACH!$2:$2,0)-MATCH($G$2,mission_ACH!$2:$2,0)+1,FALSE),"")</f>
        <v/>
      </c>
      <c r="L213" s="121">
        <f ca="1">VLOOKUP($G213,OFFSET(mission_ACH!$A$2,0,0,COUNTA($A:$A),MATCH(L$2,mission_ACH!$2:$2,0)-MATCH($G$2,mission_ACH!$2:$2,0)+1),MATCH(L$2,mission_ACH!$2:$2,0)-MATCH($G$2,mission_ACH!$2:$2,0)+1,FALSE)</f>
        <v>0</v>
      </c>
      <c r="M213" s="120">
        <v>40</v>
      </c>
      <c r="N213" s="120" t="s">
        <v>2275</v>
      </c>
      <c r="O213" s="120" t="s">
        <v>2275</v>
      </c>
    </row>
    <row r="214" spans="1:15" s="1" customFormat="1" ht="21" customHeight="1" x14ac:dyDescent="0.15">
      <c r="A214" s="120">
        <v>5037</v>
      </c>
      <c r="B214" s="120" t="str">
        <f t="shared" ca="1" si="87"/>
        <v>ユニットを 925 種類手に入れよう！</v>
      </c>
      <c r="C214" s="120" t="s">
        <v>615</v>
      </c>
      <c r="D214" s="121" t="str">
        <f ca="1">VLOOKUP($C214,OFFSET(mission_unlock_criteria!$A$2,0,0,COUNTA(mission_unlock_criteria!$A:$A),MATCH(D$2,mission_unlock_criteria!$2:$2,0)-MATCH($C$2,mission_unlock_criteria!$2:$2,0)+1),MATCH(D$2,mission_unlock_criteria!$2:$2,0)-MATCH($C$2,mission_unlock_criteria!$2:$2,0)+1,FALSE)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900 に到達</v>
      </c>
      <c r="E214" s="120" t="s">
        <v>616</v>
      </c>
      <c r="F214" s="121" t="str">
        <f ca="1">VLOOKUP($E214,OFFSET(mission_ACH_criteria!$A$1,0,0,COUNTA(mission_ACH_criteria!$A:$A),MATCH(F$2,mission_ACH_criteria!$1:$1,0)-MATCH($E$2,mission_ACH_criteria!$1:$1,0)+1),MATCH(F$2,mission_ACH_criteria!$1:$1,0)-MATCH($E$2,mission_ACH_criteria!$1:$1,0)+1,FALSE)</f>
        <v>ユニットを 925 種類手に入れよう！</v>
      </c>
      <c r="G214" s="120" t="s">
        <v>2438</v>
      </c>
      <c r="H214" s="31" t="str">
        <f t="shared" ca="1" si="85"/>
        <v>ギガ攻めの果実 x 2</v>
      </c>
      <c r="I214" s="31" t="str">
        <f ca="1">VLOOKUP($G214,OFFSET(mission_ACH!$A$2,0,0,COUNTA($A:$A),MATCH(I$2,mission_ACH!$2:$2,0)-MATCH($G$2,mission_ACH!$2:$2,0)+1),MATCH(I$2,mission_ACH!$2:$2,0)-MATCH($G$2,mission_ACH!$2:$2,0)+1,FALSE)</f>
        <v>unit</v>
      </c>
      <c r="J214" s="31">
        <f ca="1">VLOOKUP($G214,OFFSET(mission_ACH!$A$2,0,0,COUNTA($A:$A),MATCH(J$2,mission_ACH!$2:$2,0)-MATCH($G$2,mission_ACH!$2:$2,0)+1),MATCH(J$2,mission_ACH!$2:$2,0)-MATCH($G$2,mission_ACH!$2:$2,0)+1,FALSE)</f>
        <v>611</v>
      </c>
      <c r="K214" s="31" t="str">
        <f ca="1">IF(OR(I214="unit",I214="item"),VLOOKUP($G214,OFFSET(mission_ACH!$A$2,0,0,COUNTA($A:$A),MATCH(K$2,mission_ACH!$2:$2,0)-MATCH($G$2,mission_ACH!$2:$2,0)+1),MATCH(K$2,mission_ACH!$2:$2,0)-MATCH($G$2,mission_ACH!$2:$2,0)+1,FALSE),"")</f>
        <v>ギガ攻めの果実</v>
      </c>
      <c r="L214" s="121">
        <f ca="1">VLOOKUP($G214,OFFSET(mission_ACH!$A$2,0,0,COUNTA($A:$A),MATCH(L$2,mission_ACH!$2:$2,0)-MATCH($G$2,mission_ACH!$2:$2,0)+1),MATCH(L$2,mission_ACH!$2:$2,0)-MATCH($G$2,mission_ACH!$2:$2,0)+1,FALSE)</f>
        <v>2</v>
      </c>
      <c r="M214" s="120">
        <v>40</v>
      </c>
      <c r="N214" s="120" t="s">
        <v>2275</v>
      </c>
      <c r="O214" s="120" t="s">
        <v>2275</v>
      </c>
    </row>
    <row r="215" spans="1:15" s="1" customFormat="1" ht="21" customHeight="1" x14ac:dyDescent="0.15">
      <c r="A215" s="120">
        <v>5038</v>
      </c>
      <c r="B215" s="120" t="str">
        <f t="shared" ca="1" si="87"/>
        <v>ユニットを 950 種類手に入れよう！</v>
      </c>
      <c r="C215" s="120" t="s">
        <v>617</v>
      </c>
      <c r="D215" s="121" t="str">
        <f ca="1">VLOOKUP($C215,OFFSET(mission_unlock_criteria!$A$2,0,0,COUNTA(mission_unlock_criteria!$A:$A),MATCH(D$2,mission_unlock_criteria!$2:$2,0)-MATCH($C$2,mission_unlock_criteria!$2:$2,0)+1),MATCH(D$2,mission_unlock_criteria!$2:$2,0)-MATCH($C$2,mission_unlock_criteria!$2:$2,0)+1,FALSE)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925 に到達</v>
      </c>
      <c r="E215" s="120" t="s">
        <v>618</v>
      </c>
      <c r="F215" s="121" t="str">
        <f ca="1">VLOOKUP($E215,OFFSET(mission_ACH_criteria!$A$1,0,0,COUNTA(mission_ACH_criteria!$A:$A),MATCH(F$2,mission_ACH_criteria!$1:$1,0)-MATCH($E$2,mission_ACH_criteria!$1:$1,0)+1),MATCH(F$2,mission_ACH_criteria!$1:$1,0)-MATCH($E$2,mission_ACH_criteria!$1:$1,0)+1,FALSE)</f>
        <v>ユニットを 950 種類手に入れよう！</v>
      </c>
      <c r="G215" s="120" t="s">
        <v>2466</v>
      </c>
      <c r="H215" s="31" t="str">
        <f t="shared" ca="1" si="85"/>
        <v>経験値キー x 2</v>
      </c>
      <c r="I215" s="31" t="str">
        <f ca="1">VLOOKUP($G215,OFFSET(mission_ACH!$A$2,0,0,COUNTA($A:$A),MATCH(I$2,mission_ACH!$2:$2,0)-MATCH($G$2,mission_ACH!$2:$2,0)+1),MATCH(I$2,mission_ACH!$2:$2,0)-MATCH($G$2,mission_ACH!$2:$2,0)+1,FALSE)</f>
        <v>item</v>
      </c>
      <c r="J215" s="31">
        <f ca="1">VLOOKUP($G215,OFFSET(mission_ACH!$A$2,0,0,COUNTA($A:$A),MATCH(J$2,mission_ACH!$2:$2,0)-MATCH($G$2,mission_ACH!$2:$2,0)+1),MATCH(J$2,mission_ACH!$2:$2,0)-MATCH($G$2,mission_ACH!$2:$2,0)+1,FALSE)</f>
        <v>2</v>
      </c>
      <c r="K215" s="31" t="str">
        <f ca="1">IF(OR(I215="unit",I215="item"),VLOOKUP($G215,OFFSET(mission_ACH!$A$2,0,0,COUNTA($A:$A),MATCH(K$2,mission_ACH!$2:$2,0)-MATCH($G$2,mission_ACH!$2:$2,0)+1),MATCH(K$2,mission_ACH!$2:$2,0)-MATCH($G$2,mission_ACH!$2:$2,0)+1,FALSE),"")</f>
        <v>経験値キー</v>
      </c>
      <c r="L215" s="121">
        <f ca="1">VLOOKUP($G215,OFFSET(mission_ACH!$A$2,0,0,COUNTA($A:$A),MATCH(L$2,mission_ACH!$2:$2,0)-MATCH($G$2,mission_ACH!$2:$2,0)+1),MATCH(L$2,mission_ACH!$2:$2,0)-MATCH($G$2,mission_ACH!$2:$2,0)+1,FALSE)</f>
        <v>2</v>
      </c>
      <c r="M215" s="120">
        <v>40</v>
      </c>
      <c r="N215" s="120" t="s">
        <v>2275</v>
      </c>
      <c r="O215" s="120" t="s">
        <v>2275</v>
      </c>
    </row>
    <row r="216" spans="1:15" s="1" customFormat="1" ht="21" customHeight="1" x14ac:dyDescent="0.15">
      <c r="A216" s="120">
        <v>5039</v>
      </c>
      <c r="B216" s="120" t="str">
        <f t="shared" ref="B216:B217" ca="1" si="88">F216</f>
        <v>ユニットを 975 種類手に入れよう！</v>
      </c>
      <c r="C216" s="120" t="s">
        <v>619</v>
      </c>
      <c r="D216" s="121" t="str">
        <f ca="1">VLOOKUP($C216,OFFSET(mission_unlock_criteria!$A$2,0,0,COUNTA(mission_unlock_criteria!$A:$A),MATCH(D$2,mission_unlock_criteria!$2:$2,0)-MATCH($C$2,mission_unlock_criteria!$2:$2,0)+1),MATCH(D$2,mission_unlock_criteria!$2:$2,0)-MATCH($C$2,mission_unlock_criteria!$2:$2,0)+1,FALSE)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950 に到達</v>
      </c>
      <c r="E216" s="120" t="s">
        <v>620</v>
      </c>
      <c r="F216" s="121" t="str">
        <f ca="1">VLOOKUP($E216,OFFSET(mission_ACH_criteria!$A$1,0,0,COUNTA(mission_ACH_criteria!$A:$A),MATCH(F$2,mission_ACH_criteria!$1:$1,0)-MATCH($E$2,mission_ACH_criteria!$1:$1,0)+1),MATCH(F$2,mission_ACH_criteria!$1:$1,0)-MATCH($E$2,mission_ACH_criteria!$1:$1,0)+1,FALSE)</f>
        <v>ユニットを 975 種類手に入れよう！</v>
      </c>
      <c r="G216" s="120" t="s">
        <v>2443</v>
      </c>
      <c r="H216" s="31" t="str">
        <f t="shared" ca="1" si="85"/>
        <v>ギガ生命の果実 x 2</v>
      </c>
      <c r="I216" s="31" t="str">
        <f ca="1">VLOOKUP($G216,OFFSET(mission_ACH!$A$2,0,0,COUNTA($A:$A),MATCH(I$2,mission_ACH!$2:$2,0)-MATCH($G$2,mission_ACH!$2:$2,0)+1),MATCH(I$2,mission_ACH!$2:$2,0)-MATCH($G$2,mission_ACH!$2:$2,0)+1,FALSE)</f>
        <v>unit</v>
      </c>
      <c r="J216" s="31">
        <f ca="1">VLOOKUP($G216,OFFSET(mission_ACH!$A$2,0,0,COUNTA($A:$A),MATCH(J$2,mission_ACH!$2:$2,0)-MATCH($G$2,mission_ACH!$2:$2,0)+1),MATCH(J$2,mission_ACH!$2:$2,0)-MATCH($G$2,mission_ACH!$2:$2,0)+1,FALSE)</f>
        <v>612</v>
      </c>
      <c r="K216" s="31" t="str">
        <f ca="1">IF(OR(I216="unit",I216="item"),VLOOKUP($G216,OFFSET(mission_ACH!$A$2,0,0,COUNTA($A:$A),MATCH(K$2,mission_ACH!$2:$2,0)-MATCH($G$2,mission_ACH!$2:$2,0)+1),MATCH(K$2,mission_ACH!$2:$2,0)-MATCH($G$2,mission_ACH!$2:$2,0)+1,FALSE),"")</f>
        <v>ギガ生命の果実</v>
      </c>
      <c r="L216" s="121">
        <f ca="1">VLOOKUP($G216,OFFSET(mission_ACH!$A$2,0,0,COUNTA($A:$A),MATCH(L$2,mission_ACH!$2:$2,0)-MATCH($G$2,mission_ACH!$2:$2,0)+1),MATCH(L$2,mission_ACH!$2:$2,0)-MATCH($G$2,mission_ACH!$2:$2,0)+1,FALSE)</f>
        <v>2</v>
      </c>
      <c r="M216" s="120">
        <v>40</v>
      </c>
      <c r="N216" s="120" t="s">
        <v>2275</v>
      </c>
      <c r="O216" s="120" t="s">
        <v>2275</v>
      </c>
    </row>
    <row r="217" spans="1:15" s="1" customFormat="1" ht="21" customHeight="1" x14ac:dyDescent="0.15">
      <c r="A217" s="120">
        <v>5040</v>
      </c>
      <c r="B217" s="120" t="str">
        <f t="shared" ca="1" si="88"/>
        <v>ユニットを 1000 種類手に入れよう！</v>
      </c>
      <c r="C217" s="120" t="s">
        <v>621</v>
      </c>
      <c r="D217" s="121" t="str">
        <f ca="1">VLOOKUP($C217,OFFSET(mission_unlock_criteria!$A$2,0,0,COUNTA(mission_unlock_criteria!$A:$A),MATCH(D$2,mission_unlock_criteria!$2:$2,0)-MATCH($C$2,mission_unlock_criteria!$2:$2,0)+1),MATCH(D$2,mission_unlock_criteria!$2:$2,0)-MATCH($C$2,mission_unlock_criteria!$2:$2,0)+1,FALSE)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975 に到達</v>
      </c>
      <c r="E217" s="120" t="s">
        <v>622</v>
      </c>
      <c r="F217" s="121" t="str">
        <f ca="1">VLOOKUP($E217,OFFSET(mission_ACH_criteria!$A$1,0,0,COUNTA(mission_ACH_criteria!$A:$A),MATCH(F$2,mission_ACH_criteria!$1:$1,0)-MATCH($E$2,mission_ACH_criteria!$1:$1,0)+1),MATCH(F$2,mission_ACH_criteria!$1:$1,0)-MATCH($E$2,mission_ACH_criteria!$1:$1,0)+1,FALSE)</f>
        <v>ユニットを 1000 種類手に入れよう！</v>
      </c>
      <c r="G217" s="120" t="s">
        <v>2427</v>
      </c>
      <c r="H217" s="31" t="str">
        <f t="shared" ca="1" si="85"/>
        <v>ポリゴン x 50</v>
      </c>
      <c r="I217" s="31" t="str">
        <f ca="1">VLOOKUP($G217,OFFSET(mission_ACH!$A$2,0,0,COUNTA($A:$A),MATCH(I$2,mission_ACH!$2:$2,0)-MATCH($G$2,mission_ACH!$2:$2,0)+1),MATCH(I$2,mission_ACH!$2:$2,0)-MATCH($G$2,mission_ACH!$2:$2,0)+1,FALSE)</f>
        <v>polygon</v>
      </c>
      <c r="J217" s="31">
        <f ca="1">VLOOKUP($G217,OFFSET(mission_ACH!$A$2,0,0,COUNTA($A:$A),MATCH(J$2,mission_ACH!$2:$2,0)-MATCH($G$2,mission_ACH!$2:$2,0)+1),MATCH(J$2,mission_ACH!$2:$2,0)-MATCH($G$2,mission_ACH!$2:$2,0)+1,FALSE)</f>
        <v>50</v>
      </c>
      <c r="K217" s="31" t="str">
        <f ca="1">IF(OR(I217="unit",I217="item"),VLOOKUP($G217,OFFSET(mission_ACH!$A$2,0,0,COUNTA($A:$A),MATCH(K$2,mission_ACH!$2:$2,0)-MATCH($G$2,mission_ACH!$2:$2,0)+1),MATCH(K$2,mission_ACH!$2:$2,0)-MATCH($G$2,mission_ACH!$2:$2,0)+1,FALSE),"")</f>
        <v/>
      </c>
      <c r="L217" s="121">
        <f ca="1">VLOOKUP($G217,OFFSET(mission_ACH!$A$2,0,0,COUNTA($A:$A),MATCH(L$2,mission_ACH!$2:$2,0)-MATCH($G$2,mission_ACH!$2:$2,0)+1),MATCH(L$2,mission_ACH!$2:$2,0)-MATCH($G$2,mission_ACH!$2:$2,0)+1,FALSE)</f>
        <v>0</v>
      </c>
      <c r="M217" s="120">
        <v>40</v>
      </c>
      <c r="N217" s="120" t="s">
        <v>2275</v>
      </c>
      <c r="O217" s="120" t="s">
        <v>2275</v>
      </c>
    </row>
    <row r="218" spans="1:15" ht="21" customHeight="1" x14ac:dyDescent="0.15">
      <c r="A218" s="27">
        <v>6001</v>
      </c>
      <c r="B218" s="26" t="str">
        <f t="shared" ref="B218:B226" ca="1" si="89">F218</f>
        <v>明日もログインしよう！</v>
      </c>
      <c r="C218" s="27" t="s">
        <v>354</v>
      </c>
      <c r="D218" s="31" t="str">
        <f ca="1">VLOOKUP($C218,OFFSET(mission_unlock_criteria!$A$2,0,0,COUNTA(mission_unlock_criteria!$A:$A),MATCH(D$2,mission_unlock_criteria!$2:$2,0)-MATCH($C$2,mission_unlock_criteria!$2:$2,0)+1),MATCH(D$2,mission_unlock_criteria!$2:$2,0)-MATCH($C$2,mission_unlock_criteria!$2:$2,0)+1,FALSE)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18" s="27" t="s">
        <v>74</v>
      </c>
      <c r="F218" s="31" t="str">
        <f ca="1">VLOOKUP($E218,OFFSET(mission_ACH_criteria!$A$1,0,0,COUNTA(mission_ACH_criteria!$A:$A),MATCH(F$2,mission_ACH_criteria!$1:$1,0)-MATCH($E$2,mission_ACH_criteria!$1:$1,0)+1),MATCH(F$2,mission_ACH_criteria!$1:$1,0)-MATCH($E$2,mission_ACH_criteria!$1:$1,0)+1,FALSE)</f>
        <v>明日もログインしよう！</v>
      </c>
      <c r="G218" s="27" t="s">
        <v>107</v>
      </c>
      <c r="H218" s="31" t="str">
        <f t="shared" ca="1" si="83"/>
        <v>ポリゴン x 5</v>
      </c>
      <c r="I218" s="31" t="str">
        <f ca="1">VLOOKUP($G218,OFFSET(mission_ACH!$A$2,0,0,COUNTA($A:$A),MATCH(I$2,mission_ACH!$2:$2,0)-MATCH($G$2,mission_ACH!$2:$2,0)+1),MATCH(I$2,mission_ACH!$2:$2,0)-MATCH($G$2,mission_ACH!$2:$2,0)+1,FALSE)</f>
        <v>polygon</v>
      </c>
      <c r="J218" s="31">
        <f ca="1">VLOOKUP($G218,OFFSET(mission_ACH!$A$2,0,0,COUNTA($A:$A),MATCH(J$2,mission_ACH!$2:$2,0)-MATCH($G$2,mission_ACH!$2:$2,0)+1),MATCH(J$2,mission_ACH!$2:$2,0)-MATCH($G$2,mission_ACH!$2:$2,0)+1,FALSE)</f>
        <v>5</v>
      </c>
      <c r="K218" s="31" t="str">
        <f ca="1">IF(I218="unit",VLOOKUP($G218,OFFSET(mission_ACH!$A$2,0,0,COUNTA($A:$A),MATCH(K$2,mission_ACH!$2:$2,0)-MATCH($G$2,mission_ACH!$2:$2,0)+1),MATCH(K$2,mission_ACH!$2:$2,0)-MATCH($G$2,mission_ACH!$2:$2,0)+1,FALSE),"")</f>
        <v/>
      </c>
      <c r="L218" s="31">
        <f ca="1">VLOOKUP($G218,OFFSET(mission_ACH!$A$2,0,0,COUNTA($A:$A),MATCH(L$2,mission_ACH!$2:$2,0)-MATCH($G$2,mission_ACH!$2:$2,0)+1),MATCH(L$2,mission_ACH!$2:$2,0)-MATCH($G$2,mission_ACH!$2:$2,0)+1,FALSE)</f>
        <v>0</v>
      </c>
      <c r="M218" s="27">
        <v>70</v>
      </c>
      <c r="N218" s="2" t="s">
        <v>955</v>
      </c>
      <c r="O218" s="2" t="s">
        <v>955</v>
      </c>
    </row>
    <row r="219" spans="1:15" ht="21" customHeight="1" x14ac:dyDescent="0.15">
      <c r="A219" s="27">
        <v>6002</v>
      </c>
      <c r="B219" s="26" t="str">
        <f t="shared" ca="1" si="89"/>
        <v>通算 3 日ログインしよう！</v>
      </c>
      <c r="C219" s="27" t="s">
        <v>74</v>
      </c>
      <c r="D219" s="31" t="str">
        <f ca="1">VLOOKUP($C219,OFFSET(mission_unlock_criteria!$A$2,0,0,COUNTA(mission_unlock_criteria!$A:$A),MATCH(D$2,mission_unlock_criteria!$2:$2,0)-MATCH($C$2,mission_unlock_criteria!$2:$2,0)+1),MATCH(D$2,mission_unlock_criteria!$2:$2,0)-MATCH($C$2,mission_unlock_criteria!$2:$2,0)+1,FALSE)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通算ログインが 2 日に到達</v>
      </c>
      <c r="E219" s="27" t="s">
        <v>66</v>
      </c>
      <c r="F219" s="31" t="str">
        <f ca="1">VLOOKUP($E219,OFFSET(mission_ACH_criteria!$A$1,0,0,COUNTA(mission_ACH_criteria!$A:$A),MATCH(F$2,mission_ACH_criteria!$1:$1,0)-MATCH($E$2,mission_ACH_criteria!$1:$1,0)+1),MATCH(F$2,mission_ACH_criteria!$1:$1,0)-MATCH($E$2,mission_ACH_criteria!$1:$1,0)+1,FALSE)</f>
        <v>通算 3 日ログインしよう！</v>
      </c>
      <c r="G219" s="27" t="s">
        <v>107</v>
      </c>
      <c r="H219" s="31" t="str">
        <f t="shared" ca="1" si="83"/>
        <v>ポリゴン x 5</v>
      </c>
      <c r="I219" s="31" t="str">
        <f ca="1">VLOOKUP($G219,OFFSET(mission_ACH!$A$2,0,0,COUNTA($A:$A),MATCH(I$2,mission_ACH!$2:$2,0)-MATCH($G$2,mission_ACH!$2:$2,0)+1),MATCH(I$2,mission_ACH!$2:$2,0)-MATCH($G$2,mission_ACH!$2:$2,0)+1,FALSE)</f>
        <v>polygon</v>
      </c>
      <c r="J219" s="31">
        <f ca="1">VLOOKUP($G219,OFFSET(mission_ACH!$A$2,0,0,COUNTA($A:$A),MATCH(J$2,mission_ACH!$2:$2,0)-MATCH($G$2,mission_ACH!$2:$2,0)+1),MATCH(J$2,mission_ACH!$2:$2,0)-MATCH($G$2,mission_ACH!$2:$2,0)+1,FALSE)</f>
        <v>5</v>
      </c>
      <c r="K219" s="31" t="str">
        <f ca="1">IF(I219="unit",VLOOKUP($G219,OFFSET(mission_ACH!$A$2,0,0,COUNTA($A:$A),MATCH(K$2,mission_ACH!$2:$2,0)-MATCH($G$2,mission_ACH!$2:$2,0)+1),MATCH(K$2,mission_ACH!$2:$2,0)-MATCH($G$2,mission_ACH!$2:$2,0)+1,FALSE),"")</f>
        <v/>
      </c>
      <c r="L219" s="31">
        <f ca="1">VLOOKUP($G219,OFFSET(mission_ACH!$A$2,0,0,COUNTA($A:$A),MATCH(L$2,mission_ACH!$2:$2,0)-MATCH($G$2,mission_ACH!$2:$2,0)+1),MATCH(L$2,mission_ACH!$2:$2,0)-MATCH($G$2,mission_ACH!$2:$2,0)+1,FALSE)</f>
        <v>0</v>
      </c>
      <c r="M219" s="27">
        <v>30</v>
      </c>
      <c r="N219" s="2" t="s">
        <v>955</v>
      </c>
      <c r="O219" s="2" t="s">
        <v>955</v>
      </c>
    </row>
    <row r="220" spans="1:15" ht="21" customHeight="1" x14ac:dyDescent="0.15">
      <c r="A220" s="76">
        <v>6300</v>
      </c>
      <c r="B220" s="26" t="str">
        <f t="shared" ca="1" si="89"/>
        <v>通算 4 日ログインしよう！</v>
      </c>
      <c r="C220" s="27" t="s">
        <v>2216</v>
      </c>
      <c r="D220" s="31" t="str">
        <f ca="1">VLOOKUP($C220,OFFSET(mission_unlock_criteria!$A$2,0,0,COUNTA(mission_unlock_criteria!$A:$A),MATCH(D$2,mission_unlock_criteria!$2:$2,0)-MATCH($C$2,mission_unlock_criteria!$2:$2,0)+1),MATCH(D$2,mission_unlock_criteria!$2:$2,0)-MATCH($C$2,mission_unlock_criteria!$2:$2,0)+1,FALSE)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通算ログインが 3 日に到達</v>
      </c>
      <c r="E220" s="27" t="s">
        <v>2217</v>
      </c>
      <c r="F220" s="31" t="str">
        <f ca="1">VLOOKUP($E220,OFFSET(mission_ACH_criteria!$A$1,0,0,COUNTA(mission_ACH_criteria!$A:$A),MATCH(F$2,mission_ACH_criteria!$1:$1,0)-MATCH($E$2,mission_ACH_criteria!$1:$1,0)+1),MATCH(F$2,mission_ACH_criteria!$1:$1,0)-MATCH($E$2,mission_ACH_criteria!$1:$1,0)+1,FALSE)</f>
        <v>通算 4 日ログインしよう！</v>
      </c>
      <c r="G220" s="27" t="s">
        <v>400</v>
      </c>
      <c r="H220" s="31" t="str">
        <f t="shared" ca="1" si="83"/>
        <v>ポリゴン x 5</v>
      </c>
      <c r="I220" s="31" t="str">
        <f ca="1">VLOOKUP($G220,OFFSET(mission_ACH!$A$2,0,0,COUNTA($A:$A),MATCH(I$2,mission_ACH!$2:$2,0)-MATCH($G$2,mission_ACH!$2:$2,0)+1),MATCH(I$2,mission_ACH!$2:$2,0)-MATCH($G$2,mission_ACH!$2:$2,0)+1,FALSE)</f>
        <v>polygon</v>
      </c>
      <c r="J220" s="31">
        <f ca="1">VLOOKUP($G220,OFFSET(mission_ACH!$A$2,0,0,COUNTA($A:$A),MATCH(J$2,mission_ACH!$2:$2,0)-MATCH($G$2,mission_ACH!$2:$2,0)+1),MATCH(J$2,mission_ACH!$2:$2,0)-MATCH($G$2,mission_ACH!$2:$2,0)+1,FALSE)</f>
        <v>5</v>
      </c>
      <c r="K220" s="31" t="str">
        <f ca="1">IF(I220="unit",VLOOKUP($G220,OFFSET(mission_ACH!$A$2,0,0,COUNTA($A:$A),MATCH(K$2,mission_ACH!$2:$2,0)-MATCH($G$2,mission_ACH!$2:$2,0)+1),MATCH(K$2,mission_ACH!$2:$2,0)-MATCH($G$2,mission_ACH!$2:$2,0)+1,FALSE),"")</f>
        <v/>
      </c>
      <c r="L220" s="31">
        <f ca="1">VLOOKUP($G220,OFFSET(mission_ACH!$A$2,0,0,COUNTA($A:$A),MATCH(L$2,mission_ACH!$2:$2,0)-MATCH($G$2,mission_ACH!$2:$2,0)+1),MATCH(L$2,mission_ACH!$2:$2,0)-MATCH($G$2,mission_ACH!$2:$2,0)+1,FALSE)</f>
        <v>0</v>
      </c>
      <c r="M220" s="27">
        <v>30</v>
      </c>
      <c r="N220" s="2" t="s">
        <v>864</v>
      </c>
      <c r="O220" s="2" t="s">
        <v>864</v>
      </c>
    </row>
    <row r="221" spans="1:15" ht="21" customHeight="1" x14ac:dyDescent="0.15">
      <c r="A221" s="76">
        <v>6305</v>
      </c>
      <c r="B221" s="26" t="str">
        <f t="shared" ca="1" si="89"/>
        <v>通算 6 日ログインしよう！</v>
      </c>
      <c r="C221" s="27" t="s">
        <v>2217</v>
      </c>
      <c r="D221" s="31" t="str">
        <f ca="1">VLOOKUP($C221,OFFSET(mission_unlock_criteria!$A$2,0,0,COUNTA(mission_unlock_criteria!$A:$A),MATCH(D$2,mission_unlock_criteria!$2:$2,0)-MATCH($C$2,mission_unlock_criteria!$2:$2,0)+1),MATCH(D$2,mission_unlock_criteria!$2:$2,0)-MATCH($C$2,mission_unlock_criteria!$2:$2,0)+1,FALSE)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通算ログインが 4 日に到達</v>
      </c>
      <c r="E221" s="27" t="s">
        <v>2219</v>
      </c>
      <c r="F221" s="31" t="str">
        <f ca="1">VLOOKUP($E221,OFFSET(mission_ACH_criteria!$A$1,0,0,COUNTA(mission_ACH_criteria!$A:$A),MATCH(F$2,mission_ACH_criteria!$1:$1,0)-MATCH($E$2,mission_ACH_criteria!$1:$1,0)+1),MATCH(F$2,mission_ACH_criteria!$1:$1,0)-MATCH($E$2,mission_ACH_criteria!$1:$1,0)+1,FALSE)</f>
        <v>通算 6 日ログインしよう！</v>
      </c>
      <c r="G221" s="27" t="s">
        <v>400</v>
      </c>
      <c r="H221" s="31" t="str">
        <f t="shared" ca="1" si="83"/>
        <v>ポリゴン x 5</v>
      </c>
      <c r="I221" s="31" t="str">
        <f ca="1">VLOOKUP($G221,OFFSET(mission_ACH!$A$2,0,0,COUNTA($A:$A),MATCH(I$2,mission_ACH!$2:$2,0)-MATCH($G$2,mission_ACH!$2:$2,0)+1),MATCH(I$2,mission_ACH!$2:$2,0)-MATCH($G$2,mission_ACH!$2:$2,0)+1,FALSE)</f>
        <v>polygon</v>
      </c>
      <c r="J221" s="31">
        <f ca="1">VLOOKUP($G221,OFFSET(mission_ACH!$A$2,0,0,COUNTA($A:$A),MATCH(J$2,mission_ACH!$2:$2,0)-MATCH($G$2,mission_ACH!$2:$2,0)+1),MATCH(J$2,mission_ACH!$2:$2,0)-MATCH($G$2,mission_ACH!$2:$2,0)+1,FALSE)</f>
        <v>5</v>
      </c>
      <c r="K221" s="31" t="str">
        <f ca="1">IF(I221="unit",VLOOKUP($G221,OFFSET(mission_ACH!$A$2,0,0,COUNTA($A:$A),MATCH(K$2,mission_ACH!$2:$2,0)-MATCH($G$2,mission_ACH!$2:$2,0)+1),MATCH(K$2,mission_ACH!$2:$2,0)-MATCH($G$2,mission_ACH!$2:$2,0)+1,FALSE),"")</f>
        <v/>
      </c>
      <c r="L221" s="31">
        <f ca="1">VLOOKUP($G221,OFFSET(mission_ACH!$A$2,0,0,COUNTA($A:$A),MATCH(L$2,mission_ACH!$2:$2,0)-MATCH($G$2,mission_ACH!$2:$2,0)+1),MATCH(L$2,mission_ACH!$2:$2,0)-MATCH($G$2,mission_ACH!$2:$2,0)+1,FALSE)</f>
        <v>0</v>
      </c>
      <c r="M221" s="27">
        <v>30</v>
      </c>
      <c r="N221" s="2" t="s">
        <v>864</v>
      </c>
      <c r="O221" s="2" t="s">
        <v>864</v>
      </c>
    </row>
    <row r="222" spans="1:15" ht="21" customHeight="1" x14ac:dyDescent="0.15">
      <c r="A222" s="27">
        <v>6003</v>
      </c>
      <c r="B222" s="26" t="str">
        <f t="shared" ca="1" si="89"/>
        <v>通算 7 日ログインしよう！</v>
      </c>
      <c r="C222" s="27" t="s">
        <v>2219</v>
      </c>
      <c r="D222" s="31" t="str">
        <f ca="1">VLOOKUP($C222,OFFSET(mission_unlock_criteria!$A$2,0,0,COUNTA(mission_unlock_criteria!$A:$A),MATCH(D$2,mission_unlock_criteria!$2:$2,0)-MATCH($C$2,mission_unlock_criteria!$2:$2,0)+1),MATCH(D$2,mission_unlock_criteria!$2:$2,0)-MATCH($C$2,mission_unlock_criteria!$2:$2,0)+1,FALSE)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通算ログインが 6 日に到達</v>
      </c>
      <c r="E222" s="27" t="s">
        <v>67</v>
      </c>
      <c r="F222" s="31" t="str">
        <f ca="1">VLOOKUP($E222,OFFSET(mission_ACH_criteria!$A$1,0,0,COUNTA(mission_ACH_criteria!$A:$A),MATCH(F$2,mission_ACH_criteria!$1:$1,0)-MATCH($E$2,mission_ACH_criteria!$1:$1,0)+1),MATCH(F$2,mission_ACH_criteria!$1:$1,0)-MATCH($E$2,mission_ACH_criteria!$1:$1,0)+1,FALSE)</f>
        <v>通算 7 日ログインしよう！</v>
      </c>
      <c r="G222" s="27" t="s">
        <v>400</v>
      </c>
      <c r="H222" s="31" t="str">
        <f t="shared" ca="1" si="83"/>
        <v>ポリゴン x 5</v>
      </c>
      <c r="I222" s="31" t="str">
        <f ca="1">VLOOKUP($G222,OFFSET(mission_ACH!$A$2,0,0,COUNTA($A:$A),MATCH(I$2,mission_ACH!$2:$2,0)-MATCH($G$2,mission_ACH!$2:$2,0)+1),MATCH(I$2,mission_ACH!$2:$2,0)-MATCH($G$2,mission_ACH!$2:$2,0)+1,FALSE)</f>
        <v>polygon</v>
      </c>
      <c r="J222" s="31">
        <f ca="1">VLOOKUP($G222,OFFSET(mission_ACH!$A$2,0,0,COUNTA($A:$A),MATCH(J$2,mission_ACH!$2:$2,0)-MATCH($G$2,mission_ACH!$2:$2,0)+1),MATCH(J$2,mission_ACH!$2:$2,0)-MATCH($G$2,mission_ACH!$2:$2,0)+1,FALSE)</f>
        <v>5</v>
      </c>
      <c r="K222" s="31" t="str">
        <f ca="1">IF(I222="unit",VLOOKUP($G222,OFFSET(mission_ACH!$A$2,0,0,COUNTA($A:$A),MATCH(K$2,mission_ACH!$2:$2,0)-MATCH($G$2,mission_ACH!$2:$2,0)+1),MATCH(K$2,mission_ACH!$2:$2,0)-MATCH($G$2,mission_ACH!$2:$2,0)+1,FALSE),"")</f>
        <v/>
      </c>
      <c r="L222" s="31">
        <f ca="1">VLOOKUP($G222,OFFSET(mission_ACH!$A$2,0,0,COUNTA($A:$A),MATCH(L$2,mission_ACH!$2:$2,0)-MATCH($G$2,mission_ACH!$2:$2,0)+1),MATCH(L$2,mission_ACH!$2:$2,0)-MATCH($G$2,mission_ACH!$2:$2,0)+1,FALSE)</f>
        <v>0</v>
      </c>
      <c r="M222" s="27">
        <v>30</v>
      </c>
      <c r="N222" s="2" t="s">
        <v>864</v>
      </c>
      <c r="O222" s="2" t="s">
        <v>864</v>
      </c>
    </row>
    <row r="223" spans="1:15" ht="21" customHeight="1" x14ac:dyDescent="0.15">
      <c r="A223" s="27">
        <v>6010</v>
      </c>
      <c r="B223" s="26" t="str">
        <f t="shared" ca="1" si="89"/>
        <v>通算 50 日ログインしよう！</v>
      </c>
      <c r="C223" s="27" t="s">
        <v>67</v>
      </c>
      <c r="D223" s="31" t="str">
        <f ca="1">VLOOKUP($C223,OFFSET(mission_unlock_criteria!$A$2,0,0,COUNTA(mission_unlock_criteria!$A:$A),MATCH(D$2,mission_unlock_criteria!$2:$2,0)-MATCH($C$2,mission_unlock_criteria!$2:$2,0)+1),MATCH(D$2,mission_unlock_criteria!$2:$2,0)-MATCH($C$2,mission_unlock_criteria!$2:$2,0)+1,FALSE)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通算ログインが 7 日に到達</v>
      </c>
      <c r="E223" s="27" t="s">
        <v>75</v>
      </c>
      <c r="F223" s="31" t="str">
        <f ca="1">VLOOKUP($E223,OFFSET(mission_ACH_criteria!$A$1,0,0,COUNTA(mission_ACH_criteria!$A:$A),MATCH(F$2,mission_ACH_criteria!$1:$1,0)-MATCH($E$2,mission_ACH_criteria!$1:$1,0)+1),MATCH(F$2,mission_ACH_criteria!$1:$1,0)-MATCH($E$2,mission_ACH_criteria!$1:$1,0)+1,FALSE)</f>
        <v>通算 50 日ログインしよう！</v>
      </c>
      <c r="G223" s="27" t="s">
        <v>908</v>
      </c>
      <c r="H223" s="31" t="str">
        <f t="shared" ca="1" si="83"/>
        <v>ポリゴン x 10</v>
      </c>
      <c r="I223" s="31" t="str">
        <f ca="1">VLOOKUP($G223,OFFSET(mission_ACH!$A$2,0,0,COUNTA($A:$A),MATCH(I$2,mission_ACH!$2:$2,0)-MATCH($G$2,mission_ACH!$2:$2,0)+1),MATCH(I$2,mission_ACH!$2:$2,0)-MATCH($G$2,mission_ACH!$2:$2,0)+1,FALSE)</f>
        <v>polygon</v>
      </c>
      <c r="J223" s="31">
        <f ca="1">VLOOKUP($G223,OFFSET(mission_ACH!$A$2,0,0,COUNTA($A:$A),MATCH(J$2,mission_ACH!$2:$2,0)-MATCH($G$2,mission_ACH!$2:$2,0)+1),MATCH(J$2,mission_ACH!$2:$2,0)-MATCH($G$2,mission_ACH!$2:$2,0)+1,FALSE)</f>
        <v>10</v>
      </c>
      <c r="K223" s="31" t="str">
        <f ca="1">IF(I223="unit",VLOOKUP($G223,OFFSET(mission_ACH!$A$2,0,0,COUNTA($A:$A),MATCH(K$2,mission_ACH!$2:$2,0)-MATCH($G$2,mission_ACH!$2:$2,0)+1),MATCH(K$2,mission_ACH!$2:$2,0)-MATCH($G$2,mission_ACH!$2:$2,0)+1,FALSE),"")</f>
        <v/>
      </c>
      <c r="L223" s="31">
        <f ca="1">VLOOKUP($G223,OFFSET(mission_ACH!$A$2,0,0,COUNTA($A:$A),MATCH(L$2,mission_ACH!$2:$2,0)-MATCH($G$2,mission_ACH!$2:$2,0)+1),MATCH(L$2,mission_ACH!$2:$2,0)-MATCH($G$2,mission_ACH!$2:$2,0)+1,FALSE)</f>
        <v>0</v>
      </c>
      <c r="M223" s="27">
        <v>30</v>
      </c>
      <c r="N223" s="2" t="s">
        <v>864</v>
      </c>
      <c r="O223" s="2" t="s">
        <v>864</v>
      </c>
    </row>
    <row r="224" spans="1:15" ht="21" customHeight="1" x14ac:dyDescent="0.15">
      <c r="A224" s="27">
        <v>6015</v>
      </c>
      <c r="B224" s="26" t="str">
        <f t="shared" ca="1" si="89"/>
        <v>通算 100 日ログインしよう！</v>
      </c>
      <c r="C224" s="27" t="s">
        <v>966</v>
      </c>
      <c r="D224" s="31" t="str">
        <f ca="1">VLOOKUP($C224,OFFSET(mission_unlock_criteria!$A$2,0,0,COUNTA(mission_unlock_criteria!$A:$A),MATCH(D$2,mission_unlock_criteria!$2:$2,0)-MATCH($C$2,mission_unlock_criteria!$2:$2,0)+1),MATCH(D$2,mission_unlock_criteria!$2:$2,0)-MATCH($C$2,mission_unlock_criteria!$2:$2,0)+1,FALSE)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通算ログインが 50 日に到達</v>
      </c>
      <c r="E224" s="27" t="s">
        <v>80</v>
      </c>
      <c r="F224" s="31" t="str">
        <f ca="1">VLOOKUP($E224,OFFSET(mission_ACH_criteria!$A$1,0,0,COUNTA(mission_ACH_criteria!$A:$A),MATCH(F$2,mission_ACH_criteria!$1:$1,0)-MATCH($E$2,mission_ACH_criteria!$1:$1,0)+1),MATCH(F$2,mission_ACH_criteria!$1:$1,0)-MATCH($E$2,mission_ACH_criteria!$1:$1,0)+1,FALSE)</f>
        <v>通算 100 日ログインしよう！</v>
      </c>
      <c r="G224" s="27" t="s">
        <v>910</v>
      </c>
      <c r="H224" s="31" t="str">
        <f t="shared" ca="1" si="83"/>
        <v>ポリゴン x 20</v>
      </c>
      <c r="I224" s="31" t="str">
        <f ca="1">VLOOKUP($G224,OFFSET(mission_ACH!$A$2,0,0,COUNTA($A:$A),MATCH(I$2,mission_ACH!$2:$2,0)-MATCH($G$2,mission_ACH!$2:$2,0)+1),MATCH(I$2,mission_ACH!$2:$2,0)-MATCH($G$2,mission_ACH!$2:$2,0)+1,FALSE)</f>
        <v>polygon</v>
      </c>
      <c r="J224" s="31">
        <f ca="1">VLOOKUP($G224,OFFSET(mission_ACH!$A$2,0,0,COUNTA($A:$A),MATCH(J$2,mission_ACH!$2:$2,0)-MATCH($G$2,mission_ACH!$2:$2,0)+1),MATCH(J$2,mission_ACH!$2:$2,0)-MATCH($G$2,mission_ACH!$2:$2,0)+1,FALSE)</f>
        <v>20</v>
      </c>
      <c r="K224" s="31" t="str">
        <f ca="1">IF(I224="unit",VLOOKUP($G224,OFFSET(mission_ACH!$A$2,0,0,COUNTA($A:$A),MATCH(K$2,mission_ACH!$2:$2,0)-MATCH($G$2,mission_ACH!$2:$2,0)+1),MATCH(K$2,mission_ACH!$2:$2,0)-MATCH($G$2,mission_ACH!$2:$2,0)+1,FALSE),"")</f>
        <v/>
      </c>
      <c r="L224" s="31">
        <f ca="1">VLOOKUP($G224,OFFSET(mission_ACH!$A$2,0,0,COUNTA($A:$A),MATCH(L$2,mission_ACH!$2:$2,0)-MATCH($G$2,mission_ACH!$2:$2,0)+1),MATCH(L$2,mission_ACH!$2:$2,0)-MATCH($G$2,mission_ACH!$2:$2,0)+1,FALSE)</f>
        <v>0</v>
      </c>
      <c r="M224" s="27">
        <v>30</v>
      </c>
      <c r="N224" s="2" t="s">
        <v>955</v>
      </c>
      <c r="O224" s="2" t="s">
        <v>955</v>
      </c>
    </row>
    <row r="225" spans="1:15" ht="21" customHeight="1" x14ac:dyDescent="0.15">
      <c r="A225" s="27">
        <v>6020</v>
      </c>
      <c r="B225" s="26" t="str">
        <f t="shared" ca="1" si="89"/>
        <v>通算 150 日ログインしよう！</v>
      </c>
      <c r="C225" s="27" t="s">
        <v>967</v>
      </c>
      <c r="D225" s="31" t="str">
        <f ca="1">VLOOKUP($C225,OFFSET(mission_unlock_criteria!$A$2,0,0,COUNTA(mission_unlock_criteria!$A:$A),MATCH(D$2,mission_unlock_criteria!$2:$2,0)-MATCH($C$2,mission_unlock_criteria!$2:$2,0)+1),MATCH(D$2,mission_unlock_criteria!$2:$2,0)-MATCH($C$2,mission_unlock_criteria!$2:$2,0)+1,FALSE)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通算ログインが 100 日に到達</v>
      </c>
      <c r="E225" s="27" t="s">
        <v>85</v>
      </c>
      <c r="F225" s="31" t="str">
        <f ca="1">VLOOKUP($E225,OFFSET(mission_ACH_criteria!$A$1,0,0,COUNTA(mission_ACH_criteria!$A:$A),MATCH(F$2,mission_ACH_criteria!$1:$1,0)-MATCH($E$2,mission_ACH_criteria!$1:$1,0)+1),MATCH(F$2,mission_ACH_criteria!$1:$1,0)-MATCH($E$2,mission_ACH_criteria!$1:$1,0)+1,FALSE)</f>
        <v>通算 150 日ログインしよう！</v>
      </c>
      <c r="G225" s="27" t="s">
        <v>909</v>
      </c>
      <c r="H225" s="31" t="str">
        <f t="shared" ca="1" si="83"/>
        <v>ポリゴン x 10</v>
      </c>
      <c r="I225" s="31" t="str">
        <f ca="1">VLOOKUP($G225,OFFSET(mission_ACH!$A$2,0,0,COUNTA($A:$A),MATCH(I$2,mission_ACH!$2:$2,0)-MATCH($G$2,mission_ACH!$2:$2,0)+1),MATCH(I$2,mission_ACH!$2:$2,0)-MATCH($G$2,mission_ACH!$2:$2,0)+1,FALSE)</f>
        <v>polygon</v>
      </c>
      <c r="J225" s="31">
        <f ca="1">VLOOKUP($G225,OFFSET(mission_ACH!$A$2,0,0,COUNTA($A:$A),MATCH(J$2,mission_ACH!$2:$2,0)-MATCH($G$2,mission_ACH!$2:$2,0)+1),MATCH(J$2,mission_ACH!$2:$2,0)-MATCH($G$2,mission_ACH!$2:$2,0)+1,FALSE)</f>
        <v>10</v>
      </c>
      <c r="K225" s="31" t="str">
        <f ca="1">IF(I225="unit",VLOOKUP($G225,OFFSET(mission_ACH!$A$2,0,0,COUNTA($A:$A),MATCH(K$2,mission_ACH!$2:$2,0)-MATCH($G$2,mission_ACH!$2:$2,0)+1),MATCH(K$2,mission_ACH!$2:$2,0)-MATCH($G$2,mission_ACH!$2:$2,0)+1,FALSE),"")</f>
        <v/>
      </c>
      <c r="L225" s="31">
        <f ca="1">VLOOKUP($G225,OFFSET(mission_ACH!$A$2,0,0,COUNTA($A:$A),MATCH(L$2,mission_ACH!$2:$2,0)-MATCH($G$2,mission_ACH!$2:$2,0)+1),MATCH(L$2,mission_ACH!$2:$2,0)-MATCH($G$2,mission_ACH!$2:$2,0)+1,FALSE)</f>
        <v>0</v>
      </c>
      <c r="M225" s="27">
        <v>30</v>
      </c>
      <c r="N225" s="2" t="s">
        <v>955</v>
      </c>
      <c r="O225" s="2" t="s">
        <v>955</v>
      </c>
    </row>
    <row r="226" spans="1:15" ht="21" customHeight="1" x14ac:dyDescent="0.15">
      <c r="A226" s="27">
        <v>6025</v>
      </c>
      <c r="B226" s="26" t="str">
        <f t="shared" ca="1" si="89"/>
        <v>通算 200 日ログインしよう！</v>
      </c>
      <c r="C226" s="27" t="s">
        <v>968</v>
      </c>
      <c r="D226" s="31" t="str">
        <f ca="1">VLOOKUP($C226,OFFSET(mission_unlock_criteria!$A$2,0,0,COUNTA(mission_unlock_criteria!$A:$A),MATCH(D$2,mission_unlock_criteria!$2:$2,0)-MATCH($C$2,mission_unlock_criteria!$2:$2,0)+1),MATCH(D$2,mission_unlock_criteria!$2:$2,0)-MATCH($C$2,mission_unlock_criteria!$2:$2,0)+1,FALSE)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通算ログインが 150 日に到達</v>
      </c>
      <c r="E226" s="27" t="s">
        <v>90</v>
      </c>
      <c r="F226" s="31" t="str">
        <f ca="1">VLOOKUP($E226,OFFSET(mission_ACH_criteria!$A$1,0,0,COUNTA(mission_ACH_criteria!$A:$A),MATCH(F$2,mission_ACH_criteria!$1:$1,0)-MATCH($E$2,mission_ACH_criteria!$1:$1,0)+1),MATCH(F$2,mission_ACH_criteria!$1:$1,0)-MATCH($E$2,mission_ACH_criteria!$1:$1,0)+1,FALSE)</f>
        <v>通算 200 日ログインしよう！</v>
      </c>
      <c r="G226" s="27" t="s">
        <v>909</v>
      </c>
      <c r="H226" s="31" t="str">
        <f t="shared" ca="1" si="83"/>
        <v>ポリゴン x 10</v>
      </c>
      <c r="I226" s="31" t="str">
        <f ca="1">VLOOKUP($G226,OFFSET(mission_ACH!$A$2,0,0,COUNTA($A:$A),MATCH(I$2,mission_ACH!$2:$2,0)-MATCH($G$2,mission_ACH!$2:$2,0)+1),MATCH(I$2,mission_ACH!$2:$2,0)-MATCH($G$2,mission_ACH!$2:$2,0)+1,FALSE)</f>
        <v>polygon</v>
      </c>
      <c r="J226" s="31">
        <f ca="1">VLOOKUP($G226,OFFSET(mission_ACH!$A$2,0,0,COUNTA($A:$A),MATCH(J$2,mission_ACH!$2:$2,0)-MATCH($G$2,mission_ACH!$2:$2,0)+1),MATCH(J$2,mission_ACH!$2:$2,0)-MATCH($G$2,mission_ACH!$2:$2,0)+1,FALSE)</f>
        <v>10</v>
      </c>
      <c r="K226" s="31" t="str">
        <f ca="1">IF(I226="unit",VLOOKUP($G226,OFFSET(mission_ACH!$A$2,0,0,COUNTA($A:$A),MATCH(K$2,mission_ACH!$2:$2,0)-MATCH($G$2,mission_ACH!$2:$2,0)+1),MATCH(K$2,mission_ACH!$2:$2,0)-MATCH($G$2,mission_ACH!$2:$2,0)+1,FALSE),"")</f>
        <v/>
      </c>
      <c r="L226" s="31">
        <f ca="1">VLOOKUP($G226,OFFSET(mission_ACH!$A$2,0,0,COUNTA($A:$A),MATCH(L$2,mission_ACH!$2:$2,0)-MATCH($G$2,mission_ACH!$2:$2,0)+1),MATCH(L$2,mission_ACH!$2:$2,0)-MATCH($G$2,mission_ACH!$2:$2,0)+1,FALSE)</f>
        <v>0</v>
      </c>
      <c r="M226" s="27">
        <v>30</v>
      </c>
      <c r="N226" s="2" t="s">
        <v>955</v>
      </c>
      <c r="O226" s="2" t="s">
        <v>955</v>
      </c>
    </row>
    <row r="227" spans="1:15" ht="21" customHeight="1" x14ac:dyDescent="0.15">
      <c r="A227" s="27">
        <v>6030</v>
      </c>
      <c r="B227" s="26" t="str">
        <f t="shared" ref="B227:B235" ca="1" si="90">F227</f>
        <v>通算 250 日ログインしよう！</v>
      </c>
      <c r="C227" s="27" t="s">
        <v>969</v>
      </c>
      <c r="D227" s="31" t="str">
        <f ca="1">VLOOKUP($C227,OFFSET(mission_unlock_criteria!$A$2,0,0,COUNTA(mission_unlock_criteria!$A:$A),MATCH(D$2,mission_unlock_criteria!$2:$2,0)-MATCH($C$2,mission_unlock_criteria!$2:$2,0)+1),MATCH(D$2,mission_unlock_criteria!$2:$2,0)-MATCH($C$2,mission_unlock_criteria!$2:$2,0)+1,FALSE)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通算ログインが 200 日に到達</v>
      </c>
      <c r="E227" s="27" t="s">
        <v>95</v>
      </c>
      <c r="F227" s="31" t="str">
        <f ca="1">VLOOKUP($E227,OFFSET(mission_ACH_criteria!$A$1,0,0,COUNTA(mission_ACH_criteria!$A:$A),MATCH(F$2,mission_ACH_criteria!$1:$1,0)-MATCH($E$2,mission_ACH_criteria!$1:$1,0)+1),MATCH(F$2,mission_ACH_criteria!$1:$1,0)-MATCH($E$2,mission_ACH_criteria!$1:$1,0)+1,FALSE)</f>
        <v>通算 250 日ログインしよう！</v>
      </c>
      <c r="G227" s="27" t="s">
        <v>909</v>
      </c>
      <c r="H227" s="31" t="str">
        <f t="shared" ca="1" si="83"/>
        <v>ポリゴン x 10</v>
      </c>
      <c r="I227" s="31" t="str">
        <f ca="1">VLOOKUP($G227,OFFSET(mission_ACH!$A$2,0,0,COUNTA($A:$A),MATCH(I$2,mission_ACH!$2:$2,0)-MATCH($G$2,mission_ACH!$2:$2,0)+1),MATCH(I$2,mission_ACH!$2:$2,0)-MATCH($G$2,mission_ACH!$2:$2,0)+1,FALSE)</f>
        <v>polygon</v>
      </c>
      <c r="J227" s="31">
        <f ca="1">VLOOKUP($G227,OFFSET(mission_ACH!$A$2,0,0,COUNTA($A:$A),MATCH(J$2,mission_ACH!$2:$2,0)-MATCH($G$2,mission_ACH!$2:$2,0)+1),MATCH(J$2,mission_ACH!$2:$2,0)-MATCH($G$2,mission_ACH!$2:$2,0)+1,FALSE)</f>
        <v>10</v>
      </c>
      <c r="K227" s="31" t="str">
        <f ca="1">IF(I227="unit",VLOOKUP($G227,OFFSET(mission_ACH!$A$2,0,0,COUNTA($A:$A),MATCH(K$2,mission_ACH!$2:$2,0)-MATCH($G$2,mission_ACH!$2:$2,0)+1),MATCH(K$2,mission_ACH!$2:$2,0)-MATCH($G$2,mission_ACH!$2:$2,0)+1,FALSE),"")</f>
        <v/>
      </c>
      <c r="L227" s="31">
        <f ca="1">VLOOKUP($G227,OFFSET(mission_ACH!$A$2,0,0,COUNTA($A:$A),MATCH(L$2,mission_ACH!$2:$2,0)-MATCH($G$2,mission_ACH!$2:$2,0)+1),MATCH(L$2,mission_ACH!$2:$2,0)-MATCH($G$2,mission_ACH!$2:$2,0)+1,FALSE)</f>
        <v>0</v>
      </c>
      <c r="M227" s="27">
        <v>30</v>
      </c>
      <c r="N227" s="2" t="s">
        <v>955</v>
      </c>
      <c r="O227" s="2" t="s">
        <v>955</v>
      </c>
    </row>
    <row r="228" spans="1:15" ht="21" customHeight="1" x14ac:dyDescent="0.15">
      <c r="A228" s="27">
        <v>6035</v>
      </c>
      <c r="B228" s="26" t="str">
        <f t="shared" ca="1" si="90"/>
        <v>通算 300 日ログインしよう！</v>
      </c>
      <c r="C228" s="27" t="s">
        <v>970</v>
      </c>
      <c r="D228" s="31" t="str">
        <f ca="1">VLOOKUP($C228,OFFSET(mission_unlock_criteria!$A$2,0,0,COUNTA(mission_unlock_criteria!$A:$A),MATCH(D$2,mission_unlock_criteria!$2:$2,0)-MATCH($C$2,mission_unlock_criteria!$2:$2,0)+1),MATCH(D$2,mission_unlock_criteria!$2:$2,0)-MATCH($C$2,mission_unlock_criteria!$2:$2,0)+1,FALSE)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通算ログインが 250 日に到達</v>
      </c>
      <c r="E228" s="27" t="s">
        <v>100</v>
      </c>
      <c r="F228" s="31" t="str">
        <f ca="1">VLOOKUP($E228,OFFSET(mission_ACH_criteria!$A$1,0,0,COUNTA(mission_ACH_criteria!$A:$A),MATCH(F$2,mission_ACH_criteria!$1:$1,0)-MATCH($E$2,mission_ACH_criteria!$1:$1,0)+1),MATCH(F$2,mission_ACH_criteria!$1:$1,0)-MATCH($E$2,mission_ACH_criteria!$1:$1,0)+1,FALSE)</f>
        <v>通算 300 日ログインしよう！</v>
      </c>
      <c r="G228" s="27" t="s">
        <v>909</v>
      </c>
      <c r="H228" s="31" t="str">
        <f t="shared" ca="1" si="83"/>
        <v>ポリゴン x 10</v>
      </c>
      <c r="I228" s="31" t="str">
        <f ca="1">VLOOKUP($G228,OFFSET(mission_ACH!$A$2,0,0,COUNTA($A:$A),MATCH(I$2,mission_ACH!$2:$2,0)-MATCH($G$2,mission_ACH!$2:$2,0)+1),MATCH(I$2,mission_ACH!$2:$2,0)-MATCH($G$2,mission_ACH!$2:$2,0)+1,FALSE)</f>
        <v>polygon</v>
      </c>
      <c r="J228" s="31">
        <f ca="1">VLOOKUP($G228,OFFSET(mission_ACH!$A$2,0,0,COUNTA($A:$A),MATCH(J$2,mission_ACH!$2:$2,0)-MATCH($G$2,mission_ACH!$2:$2,0)+1),MATCH(J$2,mission_ACH!$2:$2,0)-MATCH($G$2,mission_ACH!$2:$2,0)+1,FALSE)</f>
        <v>10</v>
      </c>
      <c r="K228" s="31" t="str">
        <f ca="1">IF(I228="unit",VLOOKUP($G228,OFFSET(mission_ACH!$A$2,0,0,COUNTA($A:$A),MATCH(K$2,mission_ACH!$2:$2,0)-MATCH($G$2,mission_ACH!$2:$2,0)+1),MATCH(K$2,mission_ACH!$2:$2,0)-MATCH($G$2,mission_ACH!$2:$2,0)+1,FALSE),"")</f>
        <v/>
      </c>
      <c r="L228" s="31">
        <f ca="1">VLOOKUP($G228,OFFSET(mission_ACH!$A$2,0,0,COUNTA($A:$A),MATCH(L$2,mission_ACH!$2:$2,0)-MATCH($G$2,mission_ACH!$2:$2,0)+1),MATCH(L$2,mission_ACH!$2:$2,0)-MATCH($G$2,mission_ACH!$2:$2,0)+1,FALSE)</f>
        <v>0</v>
      </c>
      <c r="M228" s="27">
        <v>30</v>
      </c>
      <c r="N228" s="2" t="s">
        <v>955</v>
      </c>
      <c r="O228" s="2" t="s">
        <v>955</v>
      </c>
    </row>
    <row r="229" spans="1:15" ht="21" customHeight="1" x14ac:dyDescent="0.15">
      <c r="A229" s="27">
        <v>6040</v>
      </c>
      <c r="B229" s="26" t="str">
        <f t="shared" ca="1" si="90"/>
        <v>通算 350 日ログインしよう！</v>
      </c>
      <c r="C229" s="27" t="s">
        <v>971</v>
      </c>
      <c r="D229" s="31" t="str">
        <f ca="1">VLOOKUP($C229,OFFSET(mission_unlock_criteria!$A$2,0,0,COUNTA(mission_unlock_criteria!$A:$A),MATCH(D$2,mission_unlock_criteria!$2:$2,0)-MATCH($C$2,mission_unlock_criteria!$2:$2,0)+1),MATCH(D$2,mission_unlock_criteria!$2:$2,0)-MATCH($C$2,mission_unlock_criteria!$2:$2,0)+1,FALSE)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通算ログインが 300 日に到達</v>
      </c>
      <c r="E229" s="27" t="s">
        <v>105</v>
      </c>
      <c r="F229" s="31" t="str">
        <f ca="1">VLOOKUP($E229,OFFSET(mission_ACH_criteria!$A$1,0,0,COUNTA(mission_ACH_criteria!$A:$A),MATCH(F$2,mission_ACH_criteria!$1:$1,0)-MATCH($E$2,mission_ACH_criteria!$1:$1,0)+1),MATCH(F$2,mission_ACH_criteria!$1:$1,0)-MATCH($E$2,mission_ACH_criteria!$1:$1,0)+1,FALSE)</f>
        <v>通算 350 日ログインしよう！</v>
      </c>
      <c r="G229" s="27" t="s">
        <v>909</v>
      </c>
      <c r="H229" s="31" t="str">
        <f t="shared" ca="1" si="83"/>
        <v>ポリゴン x 10</v>
      </c>
      <c r="I229" s="31" t="str">
        <f ca="1">VLOOKUP($G229,OFFSET(mission_ACH!$A$2,0,0,COUNTA($A:$A),MATCH(I$2,mission_ACH!$2:$2,0)-MATCH($G$2,mission_ACH!$2:$2,0)+1),MATCH(I$2,mission_ACH!$2:$2,0)-MATCH($G$2,mission_ACH!$2:$2,0)+1,FALSE)</f>
        <v>polygon</v>
      </c>
      <c r="J229" s="31">
        <f ca="1">VLOOKUP($G229,OFFSET(mission_ACH!$A$2,0,0,COUNTA($A:$A),MATCH(J$2,mission_ACH!$2:$2,0)-MATCH($G$2,mission_ACH!$2:$2,0)+1),MATCH(J$2,mission_ACH!$2:$2,0)-MATCH($G$2,mission_ACH!$2:$2,0)+1,FALSE)</f>
        <v>10</v>
      </c>
      <c r="K229" s="31" t="str">
        <f ca="1">IF(I229="unit",VLOOKUP($G229,OFFSET(mission_ACH!$A$2,0,0,COUNTA($A:$A),MATCH(K$2,mission_ACH!$2:$2,0)-MATCH($G$2,mission_ACH!$2:$2,0)+1),MATCH(K$2,mission_ACH!$2:$2,0)-MATCH($G$2,mission_ACH!$2:$2,0)+1,FALSE),"")</f>
        <v/>
      </c>
      <c r="L229" s="31">
        <f ca="1">VLOOKUP($G229,OFFSET(mission_ACH!$A$2,0,0,COUNTA($A:$A),MATCH(L$2,mission_ACH!$2:$2,0)-MATCH($G$2,mission_ACH!$2:$2,0)+1),MATCH(L$2,mission_ACH!$2:$2,0)-MATCH($G$2,mission_ACH!$2:$2,0)+1,FALSE)</f>
        <v>0</v>
      </c>
      <c r="M229" s="27">
        <v>30</v>
      </c>
      <c r="N229" s="2" t="s">
        <v>955</v>
      </c>
      <c r="O229" s="2" t="s">
        <v>955</v>
      </c>
    </row>
    <row r="230" spans="1:15" ht="21" customHeight="1" x14ac:dyDescent="0.15">
      <c r="A230" s="27">
        <v>6042</v>
      </c>
      <c r="B230" s="26" t="str">
        <f ca="1">F230</f>
        <v>通算 365 日ログインしよう！</v>
      </c>
      <c r="C230" s="27" t="s">
        <v>972</v>
      </c>
      <c r="D230" s="31" t="str">
        <f ca="1">VLOOKUP($C230,OFFSET(mission_unlock_criteria!$A$2,0,0,COUNTA(mission_unlock_criteria!$A:$A),MATCH(D$2,mission_unlock_criteria!$2:$2,0)-MATCH($C$2,mission_unlock_criteria!$2:$2,0)+1),MATCH(D$2,mission_unlock_criteria!$2:$2,0)-MATCH($C$2,mission_unlock_criteria!$2:$2,0)+1,FALSE)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通算ログインが 350 日に到達</v>
      </c>
      <c r="E230" s="27" t="s">
        <v>912</v>
      </c>
      <c r="F230" s="31" t="str">
        <f ca="1">VLOOKUP($E230,OFFSET(mission_ACH_criteria!$A$1,0,0,COUNTA(mission_ACH_criteria!$A:$A),MATCH(F$2,mission_ACH_criteria!$1:$1,0)-MATCH($E$2,mission_ACH_criteria!$1:$1,0)+1),MATCH(F$2,mission_ACH_criteria!$1:$1,0)-MATCH($E$2,mission_ACH_criteria!$1:$1,0)+1,FALSE)</f>
        <v>通算 365 日ログインしよう！</v>
      </c>
      <c r="G230" s="27" t="s">
        <v>913</v>
      </c>
      <c r="H230" s="31" t="str">
        <f t="shared" ca="1" si="83"/>
        <v>ポリゴン x 5</v>
      </c>
      <c r="I230" s="31" t="str">
        <f ca="1">VLOOKUP($G230,OFFSET(mission_ACH!$A$2,0,0,COUNTA($A:$A),MATCH(I$2,mission_ACH!$2:$2,0)-MATCH($G$2,mission_ACH!$2:$2,0)+1),MATCH(I$2,mission_ACH!$2:$2,0)-MATCH($G$2,mission_ACH!$2:$2,0)+1,FALSE)</f>
        <v>polygon</v>
      </c>
      <c r="J230" s="31">
        <f ca="1">VLOOKUP($G230,OFFSET(mission_ACH!$A$2,0,0,COUNTA($A:$A),MATCH(J$2,mission_ACH!$2:$2,0)-MATCH($G$2,mission_ACH!$2:$2,0)+1),MATCH(J$2,mission_ACH!$2:$2,0)-MATCH($G$2,mission_ACH!$2:$2,0)+1,FALSE)</f>
        <v>5</v>
      </c>
      <c r="K230" s="31" t="str">
        <f ca="1">IF(I230="unit",VLOOKUP($G230,OFFSET(mission_ACH!$A$2,0,0,COUNTA($A:$A),MATCH(K$2,mission_ACH!$2:$2,0)-MATCH($G$2,mission_ACH!$2:$2,0)+1),MATCH(K$2,mission_ACH!$2:$2,0)-MATCH($G$2,mission_ACH!$2:$2,0)+1,FALSE),"")</f>
        <v/>
      </c>
      <c r="L230" s="31">
        <f ca="1">VLOOKUP($G230,OFFSET(mission_ACH!$A$2,0,0,COUNTA($A:$A),MATCH(L$2,mission_ACH!$2:$2,0)-MATCH($G$2,mission_ACH!$2:$2,0)+1),MATCH(L$2,mission_ACH!$2:$2,0)-MATCH($G$2,mission_ACH!$2:$2,0)+1,FALSE)</f>
        <v>0</v>
      </c>
      <c r="M230" s="27">
        <v>30</v>
      </c>
      <c r="N230" s="2" t="s">
        <v>955</v>
      </c>
      <c r="O230" s="2" t="s">
        <v>955</v>
      </c>
    </row>
    <row r="231" spans="1:15" ht="21" customHeight="1" x14ac:dyDescent="0.15">
      <c r="A231" s="27">
        <v>6046</v>
      </c>
      <c r="B231" s="26" t="str">
        <f t="shared" ca="1" si="90"/>
        <v>通算 400 日ログインしよう！</v>
      </c>
      <c r="C231" s="27" t="s">
        <v>977</v>
      </c>
      <c r="D231" s="31" t="str">
        <f ca="1">VLOOKUP($C231,OFFSET(mission_unlock_criteria!$A$2,0,0,COUNTA(mission_unlock_criteria!$A:$A),MATCH(D$2,mission_unlock_criteria!$2:$2,0)-MATCH($C$2,mission_unlock_criteria!$2:$2,0)+1),MATCH(D$2,mission_unlock_criteria!$2:$2,0)-MATCH($C$2,mission_unlock_criteria!$2:$2,0)+1,FALSE)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通算ログインが 365 日に到達</v>
      </c>
      <c r="E231" s="27" t="s">
        <v>124</v>
      </c>
      <c r="F231" s="31" t="str">
        <f ca="1">VLOOKUP($E231,OFFSET(mission_ACH_criteria!$A$1,0,0,COUNTA(mission_ACH_criteria!$A:$A),MATCH(F$2,mission_ACH_criteria!$1:$1,0)-MATCH($E$2,mission_ACH_criteria!$1:$1,0)+1),MATCH(F$2,mission_ACH_criteria!$1:$1,0)-MATCH($E$2,mission_ACH_criteria!$1:$1,0)+1,FALSE)</f>
        <v>通算 400 日ログインしよう！</v>
      </c>
      <c r="G231" s="27" t="s">
        <v>909</v>
      </c>
      <c r="H231" s="31" t="str">
        <f t="shared" ca="1" si="83"/>
        <v>ポリゴン x 10</v>
      </c>
      <c r="I231" s="31" t="str">
        <f ca="1">VLOOKUP($G231,OFFSET(mission_ACH!$A$2,0,0,COUNTA($A:$A),MATCH(I$2,mission_ACH!$2:$2,0)-MATCH($G$2,mission_ACH!$2:$2,0)+1),MATCH(I$2,mission_ACH!$2:$2,0)-MATCH($G$2,mission_ACH!$2:$2,0)+1,FALSE)</f>
        <v>polygon</v>
      </c>
      <c r="J231" s="31">
        <f ca="1">VLOOKUP($G231,OFFSET(mission_ACH!$A$2,0,0,COUNTA($A:$A),MATCH(J$2,mission_ACH!$2:$2,0)-MATCH($G$2,mission_ACH!$2:$2,0)+1),MATCH(J$2,mission_ACH!$2:$2,0)-MATCH($G$2,mission_ACH!$2:$2,0)+1,FALSE)</f>
        <v>10</v>
      </c>
      <c r="K231" s="31" t="str">
        <f ca="1">IF(I231="unit",VLOOKUP($G231,OFFSET(mission_ACH!$A$2,0,0,COUNTA($A:$A),MATCH(K$2,mission_ACH!$2:$2,0)-MATCH($G$2,mission_ACH!$2:$2,0)+1),MATCH(K$2,mission_ACH!$2:$2,0)-MATCH($G$2,mission_ACH!$2:$2,0)+1,FALSE),"")</f>
        <v/>
      </c>
      <c r="L231" s="31">
        <f ca="1">VLOOKUP($G231,OFFSET(mission_ACH!$A$2,0,0,COUNTA($A:$A),MATCH(L$2,mission_ACH!$2:$2,0)-MATCH($G$2,mission_ACH!$2:$2,0)+1),MATCH(L$2,mission_ACH!$2:$2,0)-MATCH($G$2,mission_ACH!$2:$2,0)+1,FALSE)</f>
        <v>0</v>
      </c>
      <c r="M231" s="27">
        <v>30</v>
      </c>
      <c r="N231" s="2" t="s">
        <v>955</v>
      </c>
      <c r="O231" s="2" t="s">
        <v>955</v>
      </c>
    </row>
    <row r="232" spans="1:15" ht="21" customHeight="1" x14ac:dyDescent="0.15">
      <c r="A232" s="27">
        <v>6051</v>
      </c>
      <c r="B232" s="26" t="str">
        <f t="shared" ca="1" si="90"/>
        <v>通算 450 日ログインしよう！</v>
      </c>
      <c r="C232" s="27" t="s">
        <v>973</v>
      </c>
      <c r="D232" s="31" t="str">
        <f ca="1">VLOOKUP($C232,OFFSET(mission_unlock_criteria!$A$2,0,0,COUNTA(mission_unlock_criteria!$A:$A),MATCH(D$2,mission_unlock_criteria!$2:$2,0)-MATCH($C$2,mission_unlock_criteria!$2:$2,0)+1),MATCH(D$2,mission_unlock_criteria!$2:$2,0)-MATCH($C$2,mission_unlock_criteria!$2:$2,0)+1,FALSE)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通算ログインが 400 日に到達</v>
      </c>
      <c r="E232" s="27" t="s">
        <v>129</v>
      </c>
      <c r="F232" s="31" t="str">
        <f ca="1">VLOOKUP($E232,OFFSET(mission_ACH_criteria!$A$1,0,0,COUNTA(mission_ACH_criteria!$A:$A),MATCH(F$2,mission_ACH_criteria!$1:$1,0)-MATCH($E$2,mission_ACH_criteria!$1:$1,0)+1),MATCH(F$2,mission_ACH_criteria!$1:$1,0)-MATCH($E$2,mission_ACH_criteria!$1:$1,0)+1,FALSE)</f>
        <v>通算 450 日ログインしよう！</v>
      </c>
      <c r="G232" s="27" t="s">
        <v>909</v>
      </c>
      <c r="H232" s="31" t="str">
        <f t="shared" ref="H232:H246" ca="1" si="91">IF(I232="unit",K232&amp;" x "&amp;L232,IF(I232="polygon","ポリゴン x "&amp;J232,IF(I232="bit","ビット x "&amp;J232,IF(I232="link","リンク x "&amp;J232))))</f>
        <v>ポリゴン x 10</v>
      </c>
      <c r="I232" s="31" t="str">
        <f ca="1">VLOOKUP($G232,OFFSET(mission_ACH!$A$2,0,0,COUNTA($A:$A),MATCH(I$2,mission_ACH!$2:$2,0)-MATCH($G$2,mission_ACH!$2:$2,0)+1),MATCH(I$2,mission_ACH!$2:$2,0)-MATCH($G$2,mission_ACH!$2:$2,0)+1,FALSE)</f>
        <v>polygon</v>
      </c>
      <c r="J232" s="31">
        <f ca="1">VLOOKUP($G232,OFFSET(mission_ACH!$A$2,0,0,COUNTA($A:$A),MATCH(J$2,mission_ACH!$2:$2,0)-MATCH($G$2,mission_ACH!$2:$2,0)+1),MATCH(J$2,mission_ACH!$2:$2,0)-MATCH($G$2,mission_ACH!$2:$2,0)+1,FALSE)</f>
        <v>10</v>
      </c>
      <c r="K232" s="31" t="str">
        <f ca="1">IF(I232="unit",VLOOKUP($G232,OFFSET(mission_ACH!$A$2,0,0,COUNTA($A:$A),MATCH(K$2,mission_ACH!$2:$2,0)-MATCH($G$2,mission_ACH!$2:$2,0)+1),MATCH(K$2,mission_ACH!$2:$2,0)-MATCH($G$2,mission_ACH!$2:$2,0)+1,FALSE),"")</f>
        <v/>
      </c>
      <c r="L232" s="31">
        <f ca="1">VLOOKUP($G232,OFFSET(mission_ACH!$A$2,0,0,COUNTA($A:$A),MATCH(L$2,mission_ACH!$2:$2,0)-MATCH($G$2,mission_ACH!$2:$2,0)+1),MATCH(L$2,mission_ACH!$2:$2,0)-MATCH($G$2,mission_ACH!$2:$2,0)+1,FALSE)</f>
        <v>0</v>
      </c>
      <c r="M232" s="27">
        <v>30</v>
      </c>
      <c r="N232" s="2" t="s">
        <v>955</v>
      </c>
      <c r="O232" s="2" t="s">
        <v>955</v>
      </c>
    </row>
    <row r="233" spans="1:15" ht="21" customHeight="1" x14ac:dyDescent="0.15">
      <c r="A233" s="27">
        <v>6056</v>
      </c>
      <c r="B233" s="26" t="str">
        <f t="shared" ca="1" si="90"/>
        <v>通算 500 日ログインしよう！</v>
      </c>
      <c r="C233" s="27" t="s">
        <v>974</v>
      </c>
      <c r="D233" s="31" t="str">
        <f ca="1">VLOOKUP($C233,OFFSET(mission_unlock_criteria!$A$2,0,0,COUNTA(mission_unlock_criteria!$A:$A),MATCH(D$2,mission_unlock_criteria!$2:$2,0)-MATCH($C$2,mission_unlock_criteria!$2:$2,0)+1),MATCH(D$2,mission_unlock_criteria!$2:$2,0)-MATCH($C$2,mission_unlock_criteria!$2:$2,0)+1,FALSE)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通算ログインが 450 日に到達</v>
      </c>
      <c r="E233" s="27" t="s">
        <v>434</v>
      </c>
      <c r="F233" s="31" t="str">
        <f ca="1">VLOOKUP($E233,OFFSET(mission_ACH_criteria!$A$1,0,0,COUNTA(mission_ACH_criteria!$A:$A),MATCH(F$2,mission_ACH_criteria!$1:$1,0)-MATCH($E$2,mission_ACH_criteria!$1:$1,0)+1),MATCH(F$2,mission_ACH_criteria!$1:$1,0)-MATCH($E$2,mission_ACH_criteria!$1:$1,0)+1,FALSE)</f>
        <v>通算 500 日ログインしよう！</v>
      </c>
      <c r="G233" s="27" t="s">
        <v>910</v>
      </c>
      <c r="H233" s="31" t="str">
        <f t="shared" ca="1" si="91"/>
        <v>ポリゴン x 20</v>
      </c>
      <c r="I233" s="31" t="str">
        <f ca="1">VLOOKUP($G233,OFFSET(mission_ACH!$A$2,0,0,COUNTA($A:$A),MATCH(I$2,mission_ACH!$2:$2,0)-MATCH($G$2,mission_ACH!$2:$2,0)+1),MATCH(I$2,mission_ACH!$2:$2,0)-MATCH($G$2,mission_ACH!$2:$2,0)+1,FALSE)</f>
        <v>polygon</v>
      </c>
      <c r="J233" s="31">
        <f ca="1">VLOOKUP($G233,OFFSET(mission_ACH!$A$2,0,0,COUNTA($A:$A),MATCH(J$2,mission_ACH!$2:$2,0)-MATCH($G$2,mission_ACH!$2:$2,0)+1),MATCH(J$2,mission_ACH!$2:$2,0)-MATCH($G$2,mission_ACH!$2:$2,0)+1,FALSE)</f>
        <v>20</v>
      </c>
      <c r="K233" s="31" t="str">
        <f ca="1">IF(I233="unit",VLOOKUP($G233,OFFSET(mission_ACH!$A$2,0,0,COUNTA($A:$A),MATCH(K$2,mission_ACH!$2:$2,0)-MATCH($G$2,mission_ACH!$2:$2,0)+1),MATCH(K$2,mission_ACH!$2:$2,0)-MATCH($G$2,mission_ACH!$2:$2,0)+1,FALSE),"")</f>
        <v/>
      </c>
      <c r="L233" s="31">
        <f ca="1">VLOOKUP($G233,OFFSET(mission_ACH!$A$2,0,0,COUNTA($A:$A),MATCH(L$2,mission_ACH!$2:$2,0)-MATCH($G$2,mission_ACH!$2:$2,0)+1),MATCH(L$2,mission_ACH!$2:$2,0)-MATCH($G$2,mission_ACH!$2:$2,0)+1,FALSE)</f>
        <v>0</v>
      </c>
      <c r="M233" s="27">
        <v>30</v>
      </c>
      <c r="N233" s="2" t="s">
        <v>955</v>
      </c>
      <c r="O233" s="2" t="s">
        <v>955</v>
      </c>
    </row>
    <row r="234" spans="1:15" ht="21" customHeight="1" x14ac:dyDescent="0.15">
      <c r="A234" s="27">
        <v>6061</v>
      </c>
      <c r="B234" s="26" t="str">
        <f t="shared" ca="1" si="90"/>
        <v>通算 550 日ログインしよう！</v>
      </c>
      <c r="C234" s="27" t="s">
        <v>975</v>
      </c>
      <c r="D234" s="31" t="str">
        <f ca="1">VLOOKUP($C234,OFFSET(mission_unlock_criteria!$A$2,0,0,COUNTA(mission_unlock_criteria!$A:$A),MATCH(D$2,mission_unlock_criteria!$2:$2,0)-MATCH($C$2,mission_unlock_criteria!$2:$2,0)+1),MATCH(D$2,mission_unlock_criteria!$2:$2,0)-MATCH($C$2,mission_unlock_criteria!$2:$2,0)+1,FALSE)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通算ログインが 500 日に到達</v>
      </c>
      <c r="E234" s="27" t="s">
        <v>139</v>
      </c>
      <c r="F234" s="31" t="str">
        <f ca="1">VLOOKUP($E234,OFFSET(mission_ACH_criteria!$A$1,0,0,COUNTA(mission_ACH_criteria!$A:$A),MATCH(F$2,mission_ACH_criteria!$1:$1,0)-MATCH($E$2,mission_ACH_criteria!$1:$1,0)+1),MATCH(F$2,mission_ACH_criteria!$1:$1,0)-MATCH($E$2,mission_ACH_criteria!$1:$1,0)+1,FALSE)</f>
        <v>通算 550 日ログインしよう！</v>
      </c>
      <c r="G234" s="27" t="s">
        <v>909</v>
      </c>
      <c r="H234" s="31" t="str">
        <f t="shared" ca="1" si="91"/>
        <v>ポリゴン x 10</v>
      </c>
      <c r="I234" s="31" t="str">
        <f ca="1">VLOOKUP($G234,OFFSET(mission_ACH!$A$2,0,0,COUNTA($A:$A),MATCH(I$2,mission_ACH!$2:$2,0)-MATCH($G$2,mission_ACH!$2:$2,0)+1),MATCH(I$2,mission_ACH!$2:$2,0)-MATCH($G$2,mission_ACH!$2:$2,0)+1,FALSE)</f>
        <v>polygon</v>
      </c>
      <c r="J234" s="31">
        <f ca="1">VLOOKUP($G234,OFFSET(mission_ACH!$A$2,0,0,COUNTA($A:$A),MATCH(J$2,mission_ACH!$2:$2,0)-MATCH($G$2,mission_ACH!$2:$2,0)+1),MATCH(J$2,mission_ACH!$2:$2,0)-MATCH($G$2,mission_ACH!$2:$2,0)+1,FALSE)</f>
        <v>10</v>
      </c>
      <c r="K234" s="31" t="str">
        <f ca="1">IF(I234="unit",VLOOKUP($G234,OFFSET(mission_ACH!$A$2,0,0,COUNTA($A:$A),MATCH(K$2,mission_ACH!$2:$2,0)-MATCH($G$2,mission_ACH!$2:$2,0)+1),MATCH(K$2,mission_ACH!$2:$2,0)-MATCH($G$2,mission_ACH!$2:$2,0)+1,FALSE),"")</f>
        <v/>
      </c>
      <c r="L234" s="31">
        <f ca="1">VLOOKUP($G234,OFFSET(mission_ACH!$A$2,0,0,COUNTA($A:$A),MATCH(L$2,mission_ACH!$2:$2,0)-MATCH($G$2,mission_ACH!$2:$2,0)+1),MATCH(L$2,mission_ACH!$2:$2,0)-MATCH($G$2,mission_ACH!$2:$2,0)+1,FALSE)</f>
        <v>0</v>
      </c>
      <c r="M234" s="27">
        <v>30</v>
      </c>
      <c r="N234" s="2" t="s">
        <v>955</v>
      </c>
      <c r="O234" s="2" t="s">
        <v>955</v>
      </c>
    </row>
    <row r="235" spans="1:15" ht="21" customHeight="1" x14ac:dyDescent="0.15">
      <c r="A235" s="27">
        <v>6066</v>
      </c>
      <c r="B235" s="26" t="str">
        <f t="shared" ca="1" si="90"/>
        <v>通算 600 日ログインしよう！</v>
      </c>
      <c r="C235" s="27" t="s">
        <v>978</v>
      </c>
      <c r="D235" s="31" t="str">
        <f ca="1">VLOOKUP($C235,OFFSET(mission_unlock_criteria!$A$2,0,0,COUNTA(mission_unlock_criteria!$A:$A),MATCH(D$2,mission_unlock_criteria!$2:$2,0)-MATCH($C$2,mission_unlock_criteria!$2:$2,0)+1),MATCH(D$2,mission_unlock_criteria!$2:$2,0)-MATCH($C$2,mission_unlock_criteria!$2:$2,0)+1,FALSE)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通算ログインが 550 日に到達</v>
      </c>
      <c r="E235" s="27" t="s">
        <v>144</v>
      </c>
      <c r="F235" s="31" t="str">
        <f ca="1">VLOOKUP($E235,OFFSET(mission_ACH_criteria!$A$1,0,0,COUNTA(mission_ACH_criteria!$A:$A),MATCH(F$2,mission_ACH_criteria!$1:$1,0)-MATCH($E$2,mission_ACH_criteria!$1:$1,0)+1),MATCH(F$2,mission_ACH_criteria!$1:$1,0)-MATCH($E$2,mission_ACH_criteria!$1:$1,0)+1,FALSE)</f>
        <v>通算 600 日ログインしよう！</v>
      </c>
      <c r="G235" s="27" t="s">
        <v>909</v>
      </c>
      <c r="H235" s="31" t="str">
        <f t="shared" ca="1" si="91"/>
        <v>ポリゴン x 10</v>
      </c>
      <c r="I235" s="31" t="str">
        <f ca="1">VLOOKUP($G235,OFFSET(mission_ACH!$A$2,0,0,COUNTA($A:$A),MATCH(I$2,mission_ACH!$2:$2,0)-MATCH($G$2,mission_ACH!$2:$2,0)+1),MATCH(I$2,mission_ACH!$2:$2,0)-MATCH($G$2,mission_ACH!$2:$2,0)+1,FALSE)</f>
        <v>polygon</v>
      </c>
      <c r="J235" s="31">
        <f ca="1">VLOOKUP($G235,OFFSET(mission_ACH!$A$2,0,0,COUNTA($A:$A),MATCH(J$2,mission_ACH!$2:$2,0)-MATCH($G$2,mission_ACH!$2:$2,0)+1),MATCH(J$2,mission_ACH!$2:$2,0)-MATCH($G$2,mission_ACH!$2:$2,0)+1,FALSE)</f>
        <v>10</v>
      </c>
      <c r="K235" s="31" t="str">
        <f ca="1">IF(I235="unit",VLOOKUP($G235,OFFSET(mission_ACH!$A$2,0,0,COUNTA($A:$A),MATCH(K$2,mission_ACH!$2:$2,0)-MATCH($G$2,mission_ACH!$2:$2,0)+1),MATCH(K$2,mission_ACH!$2:$2,0)-MATCH($G$2,mission_ACH!$2:$2,0)+1,FALSE),"")</f>
        <v/>
      </c>
      <c r="L235" s="31">
        <f ca="1">VLOOKUP($G235,OFFSET(mission_ACH!$A$2,0,0,COUNTA($A:$A),MATCH(L$2,mission_ACH!$2:$2,0)-MATCH($G$2,mission_ACH!$2:$2,0)+1),MATCH(L$2,mission_ACH!$2:$2,0)-MATCH($G$2,mission_ACH!$2:$2,0)+1,FALSE)</f>
        <v>0</v>
      </c>
      <c r="M235" s="27">
        <v>30</v>
      </c>
      <c r="N235" s="2" t="s">
        <v>955</v>
      </c>
      <c r="O235" s="2" t="s">
        <v>955</v>
      </c>
    </row>
    <row r="236" spans="1:15" ht="21" customHeight="1" x14ac:dyDescent="0.15">
      <c r="A236" s="27">
        <v>6071</v>
      </c>
      <c r="B236" s="26" t="str">
        <f ca="1">F236</f>
        <v>通算 650 日ログインしよう！</v>
      </c>
      <c r="C236" s="27" t="s">
        <v>976</v>
      </c>
      <c r="D236" s="31" t="str">
        <f ca="1">VLOOKUP($C236,OFFSET(mission_unlock_criteria!$A$2,0,0,COUNTA(mission_unlock_criteria!$A:$A),MATCH(D$2,mission_unlock_criteria!$2:$2,0)-MATCH($C$2,mission_unlock_criteria!$2:$2,0)+1),MATCH(D$2,mission_unlock_criteria!$2:$2,0)-MATCH($C$2,mission_unlock_criteria!$2:$2,0)+1,FALSE)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通算ログインが 600 日に到達</v>
      </c>
      <c r="E236" s="27" t="s">
        <v>149</v>
      </c>
      <c r="F236" s="31" t="str">
        <f ca="1">VLOOKUP($E236,OFFSET(mission_ACH_criteria!$A$1,0,0,COUNTA(mission_ACH_criteria!$A:$A),MATCH(F$2,mission_ACH_criteria!$1:$1,0)-MATCH($E$2,mission_ACH_criteria!$1:$1,0)+1),MATCH(F$2,mission_ACH_criteria!$1:$1,0)-MATCH($E$2,mission_ACH_criteria!$1:$1,0)+1,FALSE)</f>
        <v>通算 650 日ログインしよう！</v>
      </c>
      <c r="G236" s="27" t="s">
        <v>909</v>
      </c>
      <c r="H236" s="31" t="str">
        <f t="shared" ca="1" si="91"/>
        <v>ポリゴン x 10</v>
      </c>
      <c r="I236" s="31" t="str">
        <f ca="1">VLOOKUP($G236,OFFSET(mission_ACH!$A$2,0,0,COUNTA($A:$A),MATCH(I$2,mission_ACH!$2:$2,0)-MATCH($G$2,mission_ACH!$2:$2,0)+1),MATCH(I$2,mission_ACH!$2:$2,0)-MATCH($G$2,mission_ACH!$2:$2,0)+1,FALSE)</f>
        <v>polygon</v>
      </c>
      <c r="J236" s="31">
        <f ca="1">VLOOKUP($G236,OFFSET(mission_ACH!$A$2,0,0,COUNTA($A:$A),MATCH(J$2,mission_ACH!$2:$2,0)-MATCH($G$2,mission_ACH!$2:$2,0)+1),MATCH(J$2,mission_ACH!$2:$2,0)-MATCH($G$2,mission_ACH!$2:$2,0)+1,FALSE)</f>
        <v>10</v>
      </c>
      <c r="K236" s="31" t="str">
        <f ca="1">IF(I236="unit",VLOOKUP($G236,OFFSET(mission_ACH!$A$2,0,0,COUNTA($A:$A),MATCH(K$2,mission_ACH!$2:$2,0)-MATCH($G$2,mission_ACH!$2:$2,0)+1),MATCH(K$2,mission_ACH!$2:$2,0)-MATCH($G$2,mission_ACH!$2:$2,0)+1,FALSE),"")</f>
        <v/>
      </c>
      <c r="L236" s="31">
        <f ca="1">VLOOKUP($G236,OFFSET(mission_ACH!$A$2,0,0,COUNTA($A:$A),MATCH(L$2,mission_ACH!$2:$2,0)-MATCH($G$2,mission_ACH!$2:$2,0)+1),MATCH(L$2,mission_ACH!$2:$2,0)-MATCH($G$2,mission_ACH!$2:$2,0)+1,FALSE)</f>
        <v>0</v>
      </c>
      <c r="M236" s="27">
        <v>30</v>
      </c>
      <c r="N236" s="2" t="s">
        <v>955</v>
      </c>
      <c r="O236" s="2" t="s">
        <v>955</v>
      </c>
    </row>
    <row r="237" spans="1:15" ht="21" customHeight="1" x14ac:dyDescent="0.15">
      <c r="A237" s="27">
        <v>6076</v>
      </c>
      <c r="B237" s="26" t="str">
        <f t="shared" ref="B237:B254" ca="1" si="92">F237</f>
        <v>通算 700 日ログインしよう！</v>
      </c>
      <c r="C237" s="27" t="s">
        <v>979</v>
      </c>
      <c r="D237" s="31" t="str">
        <f ca="1">VLOOKUP($C237,OFFSET(mission_unlock_criteria!$A$2,0,0,COUNTA(mission_unlock_criteria!$A:$A),MATCH(D$2,mission_unlock_criteria!$2:$2,0)-MATCH($C$2,mission_unlock_criteria!$2:$2,0)+1),MATCH(D$2,mission_unlock_criteria!$2:$2,0)-MATCH($C$2,mission_unlock_criteria!$2:$2,0)+1,FALSE)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通算ログインが 650 日に到達</v>
      </c>
      <c r="E237" s="27" t="s">
        <v>154</v>
      </c>
      <c r="F237" s="31" t="str">
        <f ca="1">VLOOKUP($E237,OFFSET(mission_ACH_criteria!$A$1,0,0,COUNTA(mission_ACH_criteria!$A:$A),MATCH(F$2,mission_ACH_criteria!$1:$1,0)-MATCH($E$2,mission_ACH_criteria!$1:$1,0)+1),MATCH(F$2,mission_ACH_criteria!$1:$1,0)-MATCH($E$2,mission_ACH_criteria!$1:$1,0)+1,FALSE)</f>
        <v>通算 700 日ログインしよう！</v>
      </c>
      <c r="G237" s="27" t="s">
        <v>909</v>
      </c>
      <c r="H237" s="31" t="str">
        <f t="shared" ca="1" si="91"/>
        <v>ポリゴン x 10</v>
      </c>
      <c r="I237" s="31" t="str">
        <f ca="1">VLOOKUP($G237,OFFSET(mission_ACH!$A$2,0,0,COUNTA($A:$A),MATCH(I$2,mission_ACH!$2:$2,0)-MATCH($G$2,mission_ACH!$2:$2,0)+1),MATCH(I$2,mission_ACH!$2:$2,0)-MATCH($G$2,mission_ACH!$2:$2,0)+1,FALSE)</f>
        <v>polygon</v>
      </c>
      <c r="J237" s="31">
        <f ca="1">VLOOKUP($G237,OFFSET(mission_ACH!$A$2,0,0,COUNTA($A:$A),MATCH(J$2,mission_ACH!$2:$2,0)-MATCH($G$2,mission_ACH!$2:$2,0)+1),MATCH(J$2,mission_ACH!$2:$2,0)-MATCH($G$2,mission_ACH!$2:$2,0)+1,FALSE)</f>
        <v>10</v>
      </c>
      <c r="K237" s="31" t="str">
        <f ca="1">IF(I237="unit",VLOOKUP($G237,OFFSET(mission_ACH!$A$2,0,0,COUNTA($A:$A),MATCH(K$2,mission_ACH!$2:$2,0)-MATCH($G$2,mission_ACH!$2:$2,0)+1),MATCH(K$2,mission_ACH!$2:$2,0)-MATCH($G$2,mission_ACH!$2:$2,0)+1,FALSE),"")</f>
        <v/>
      </c>
      <c r="L237" s="31">
        <f ca="1">VLOOKUP($G237,OFFSET(mission_ACH!$A$2,0,0,COUNTA($A:$A),MATCH(L$2,mission_ACH!$2:$2,0)-MATCH($G$2,mission_ACH!$2:$2,0)+1),MATCH(L$2,mission_ACH!$2:$2,0)-MATCH($G$2,mission_ACH!$2:$2,0)+1,FALSE)</f>
        <v>0</v>
      </c>
      <c r="M237" s="27">
        <v>30</v>
      </c>
      <c r="N237" s="2" t="s">
        <v>955</v>
      </c>
      <c r="O237" s="2" t="s">
        <v>955</v>
      </c>
    </row>
    <row r="238" spans="1:15" ht="21" customHeight="1" x14ac:dyDescent="0.15">
      <c r="A238" s="27">
        <v>6079</v>
      </c>
      <c r="B238" s="26" t="str">
        <f t="shared" ca="1" si="92"/>
        <v>通算 730 日ログインしよう！</v>
      </c>
      <c r="C238" s="27" t="s">
        <v>980</v>
      </c>
      <c r="D238" s="31" t="str">
        <f ca="1">VLOOKUP($C238,OFFSET(mission_unlock_criteria!$A$2,0,0,COUNTA(mission_unlock_criteria!$A:$A),MATCH(D$2,mission_unlock_criteria!$2:$2,0)-MATCH($C$2,mission_unlock_criteria!$2:$2,0)+1),MATCH(D$2,mission_unlock_criteria!$2:$2,0)-MATCH($C$2,mission_unlock_criteria!$2:$2,0)+1,FALSE)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通算ログインが 700 日に到達</v>
      </c>
      <c r="E238" s="27" t="s">
        <v>157</v>
      </c>
      <c r="F238" s="31" t="str">
        <f ca="1">VLOOKUP($E238,OFFSET(mission_ACH_criteria!$A$1,0,0,COUNTA(mission_ACH_criteria!$A:$A),MATCH(F$2,mission_ACH_criteria!$1:$1,0)-MATCH($E$2,mission_ACH_criteria!$1:$1,0)+1),MATCH(F$2,mission_ACH_criteria!$1:$1,0)-MATCH($E$2,mission_ACH_criteria!$1:$1,0)+1,FALSE)</f>
        <v>通算 730 日ログインしよう！</v>
      </c>
      <c r="G238" s="27" t="s">
        <v>930</v>
      </c>
      <c r="H238" s="31" t="str">
        <f t="shared" ca="1" si="91"/>
        <v>ポリゴン x 50</v>
      </c>
      <c r="I238" s="31" t="str">
        <f ca="1">VLOOKUP($G238,OFFSET(mission_ACH!$A$2,0,0,COUNTA($A:$A),MATCH(I$2,mission_ACH!$2:$2,0)-MATCH($G$2,mission_ACH!$2:$2,0)+1),MATCH(I$2,mission_ACH!$2:$2,0)-MATCH($G$2,mission_ACH!$2:$2,0)+1,FALSE)</f>
        <v>polygon</v>
      </c>
      <c r="J238" s="31">
        <f ca="1">VLOOKUP($G238,OFFSET(mission_ACH!$A$2,0,0,COUNTA($A:$A),MATCH(J$2,mission_ACH!$2:$2,0)-MATCH($G$2,mission_ACH!$2:$2,0)+1),MATCH(J$2,mission_ACH!$2:$2,0)-MATCH($G$2,mission_ACH!$2:$2,0)+1,FALSE)</f>
        <v>50</v>
      </c>
      <c r="K238" s="31" t="str">
        <f ca="1">IF(I238="unit",VLOOKUP($G238,OFFSET(mission_ACH!$A$2,0,0,COUNTA($A:$A),MATCH(K$2,mission_ACH!$2:$2,0)-MATCH($G$2,mission_ACH!$2:$2,0)+1),MATCH(K$2,mission_ACH!$2:$2,0)-MATCH($G$2,mission_ACH!$2:$2,0)+1,FALSE),"")</f>
        <v/>
      </c>
      <c r="L238" s="31">
        <f ca="1">VLOOKUP($G238,OFFSET(mission_ACH!$A$2,0,0,COUNTA($A:$A),MATCH(L$2,mission_ACH!$2:$2,0)-MATCH($G$2,mission_ACH!$2:$2,0)+1),MATCH(L$2,mission_ACH!$2:$2,0)-MATCH($G$2,mission_ACH!$2:$2,0)+1,FALSE)</f>
        <v>0</v>
      </c>
      <c r="M238" s="27">
        <v>30</v>
      </c>
      <c r="N238" s="2" t="s">
        <v>955</v>
      </c>
      <c r="O238" s="2" t="s">
        <v>955</v>
      </c>
    </row>
    <row r="239" spans="1:15" ht="21" customHeight="1" x14ac:dyDescent="0.15">
      <c r="A239" s="27">
        <v>6081</v>
      </c>
      <c r="B239" s="26" t="str">
        <f t="shared" ca="1" si="92"/>
        <v>通算 750 日ログインしよう！</v>
      </c>
      <c r="C239" s="27" t="s">
        <v>981</v>
      </c>
      <c r="D239" s="31" t="str">
        <f ca="1">VLOOKUP($C239,OFFSET(mission_unlock_criteria!$A$2,0,0,COUNTA(mission_unlock_criteria!$A:$A),MATCH(D$2,mission_unlock_criteria!$2:$2,0)-MATCH($C$2,mission_unlock_criteria!$2:$2,0)+1),MATCH(D$2,mission_unlock_criteria!$2:$2,0)-MATCH($C$2,mission_unlock_criteria!$2:$2,0)+1,FALSE)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通算ログインが 730 日に到達</v>
      </c>
      <c r="E239" s="27" t="s">
        <v>159</v>
      </c>
      <c r="F239" s="31" t="str">
        <f ca="1">VLOOKUP($E239,OFFSET(mission_ACH_criteria!$A$1,0,0,COUNTA(mission_ACH_criteria!$A:$A),MATCH(F$2,mission_ACH_criteria!$1:$1,0)-MATCH($E$2,mission_ACH_criteria!$1:$1,0)+1),MATCH(F$2,mission_ACH_criteria!$1:$1,0)-MATCH($E$2,mission_ACH_criteria!$1:$1,0)+1,FALSE)</f>
        <v>通算 750 日ログインしよう！</v>
      </c>
      <c r="G239" s="27" t="s">
        <v>909</v>
      </c>
      <c r="H239" s="31" t="str">
        <f t="shared" ca="1" si="91"/>
        <v>ポリゴン x 10</v>
      </c>
      <c r="I239" s="31" t="str">
        <f ca="1">VLOOKUP($G239,OFFSET(mission_ACH!$A$2,0,0,COUNTA($A:$A),MATCH(I$2,mission_ACH!$2:$2,0)-MATCH($G$2,mission_ACH!$2:$2,0)+1),MATCH(I$2,mission_ACH!$2:$2,0)-MATCH($G$2,mission_ACH!$2:$2,0)+1,FALSE)</f>
        <v>polygon</v>
      </c>
      <c r="J239" s="31">
        <f ca="1">VLOOKUP($G239,OFFSET(mission_ACH!$A$2,0,0,COUNTA($A:$A),MATCH(J$2,mission_ACH!$2:$2,0)-MATCH($G$2,mission_ACH!$2:$2,0)+1),MATCH(J$2,mission_ACH!$2:$2,0)-MATCH($G$2,mission_ACH!$2:$2,0)+1,FALSE)</f>
        <v>10</v>
      </c>
      <c r="K239" s="31" t="str">
        <f ca="1">IF(I239="unit",VLOOKUP($G239,OFFSET(mission_ACH!$A$2,0,0,COUNTA($A:$A),MATCH(K$2,mission_ACH!$2:$2,0)-MATCH($G$2,mission_ACH!$2:$2,0)+1),MATCH(K$2,mission_ACH!$2:$2,0)-MATCH($G$2,mission_ACH!$2:$2,0)+1,FALSE),"")</f>
        <v/>
      </c>
      <c r="L239" s="31">
        <f ca="1">VLOOKUP($G239,OFFSET(mission_ACH!$A$2,0,0,COUNTA($A:$A),MATCH(L$2,mission_ACH!$2:$2,0)-MATCH($G$2,mission_ACH!$2:$2,0)+1),MATCH(L$2,mission_ACH!$2:$2,0)-MATCH($G$2,mission_ACH!$2:$2,0)+1,FALSE)</f>
        <v>0</v>
      </c>
      <c r="M239" s="27">
        <v>30</v>
      </c>
      <c r="N239" s="2" t="s">
        <v>955</v>
      </c>
      <c r="O239" s="2" t="s">
        <v>955</v>
      </c>
    </row>
    <row r="240" spans="1:15" ht="21" customHeight="1" x14ac:dyDescent="0.15">
      <c r="A240" s="27">
        <v>6086</v>
      </c>
      <c r="B240" s="26" t="str">
        <f t="shared" ca="1" si="92"/>
        <v>通算 800 日ログインしよう！</v>
      </c>
      <c r="C240" s="27" t="s">
        <v>982</v>
      </c>
      <c r="D240" s="31" t="str">
        <f ca="1">VLOOKUP($C240,OFFSET(mission_unlock_criteria!$A$2,0,0,COUNTA(mission_unlock_criteria!$A:$A),MATCH(D$2,mission_unlock_criteria!$2:$2,0)-MATCH($C$2,mission_unlock_criteria!$2:$2,0)+1),MATCH(D$2,mission_unlock_criteria!$2:$2,0)-MATCH($C$2,mission_unlock_criteria!$2:$2,0)+1,FALSE)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通算ログインが 750 日に到達</v>
      </c>
      <c r="E240" s="27" t="s">
        <v>164</v>
      </c>
      <c r="F240" s="31" t="str">
        <f ca="1">VLOOKUP($E240,OFFSET(mission_ACH_criteria!$A$1,0,0,COUNTA(mission_ACH_criteria!$A:$A),MATCH(F$2,mission_ACH_criteria!$1:$1,0)-MATCH($E$2,mission_ACH_criteria!$1:$1,0)+1),MATCH(F$2,mission_ACH_criteria!$1:$1,0)-MATCH($E$2,mission_ACH_criteria!$1:$1,0)+1,FALSE)</f>
        <v>通算 800 日ログインしよう！</v>
      </c>
      <c r="G240" s="27" t="s">
        <v>909</v>
      </c>
      <c r="H240" s="31" t="str">
        <f t="shared" ca="1" si="91"/>
        <v>ポリゴン x 10</v>
      </c>
      <c r="I240" s="31" t="str">
        <f ca="1">VLOOKUP($G240,OFFSET(mission_ACH!$A$2,0,0,COUNTA($A:$A),MATCH(I$2,mission_ACH!$2:$2,0)-MATCH($G$2,mission_ACH!$2:$2,0)+1),MATCH(I$2,mission_ACH!$2:$2,0)-MATCH($G$2,mission_ACH!$2:$2,0)+1,FALSE)</f>
        <v>polygon</v>
      </c>
      <c r="J240" s="31">
        <f ca="1">VLOOKUP($G240,OFFSET(mission_ACH!$A$2,0,0,COUNTA($A:$A),MATCH(J$2,mission_ACH!$2:$2,0)-MATCH($G$2,mission_ACH!$2:$2,0)+1),MATCH(J$2,mission_ACH!$2:$2,0)-MATCH($G$2,mission_ACH!$2:$2,0)+1,FALSE)</f>
        <v>10</v>
      </c>
      <c r="K240" s="31" t="str">
        <f ca="1">IF(I240="unit",VLOOKUP($G240,OFFSET(mission_ACH!$A$2,0,0,COUNTA($A:$A),MATCH(K$2,mission_ACH!$2:$2,0)-MATCH($G$2,mission_ACH!$2:$2,0)+1),MATCH(K$2,mission_ACH!$2:$2,0)-MATCH($G$2,mission_ACH!$2:$2,0)+1,FALSE),"")</f>
        <v/>
      </c>
      <c r="L240" s="31">
        <f ca="1">VLOOKUP($G240,OFFSET(mission_ACH!$A$2,0,0,COUNTA($A:$A),MATCH(L$2,mission_ACH!$2:$2,0)-MATCH($G$2,mission_ACH!$2:$2,0)+1),MATCH(L$2,mission_ACH!$2:$2,0)-MATCH($G$2,mission_ACH!$2:$2,0)+1,FALSE)</f>
        <v>0</v>
      </c>
      <c r="M240" s="27">
        <v>30</v>
      </c>
      <c r="N240" s="2" t="s">
        <v>955</v>
      </c>
      <c r="O240" s="2" t="s">
        <v>955</v>
      </c>
    </row>
    <row r="241" spans="1:16" ht="21" customHeight="1" x14ac:dyDescent="0.15">
      <c r="A241" s="27">
        <v>6091</v>
      </c>
      <c r="B241" s="26" t="str">
        <f t="shared" ca="1" si="92"/>
        <v>通算 850 日ログインしよう！</v>
      </c>
      <c r="C241" s="27" t="s">
        <v>983</v>
      </c>
      <c r="D241" s="31" t="str">
        <f ca="1">VLOOKUP($C241,OFFSET(mission_unlock_criteria!$A$2,0,0,COUNTA(mission_unlock_criteria!$A:$A),MATCH(D$2,mission_unlock_criteria!$2:$2,0)-MATCH($C$2,mission_unlock_criteria!$2:$2,0)+1),MATCH(D$2,mission_unlock_criteria!$2:$2,0)-MATCH($C$2,mission_unlock_criteria!$2:$2,0)+1,FALSE)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通算ログインが 800 日に到達</v>
      </c>
      <c r="E241" s="27" t="s">
        <v>169</v>
      </c>
      <c r="F241" s="31" t="str">
        <f ca="1">VLOOKUP($E241,OFFSET(mission_ACH_criteria!$A$1,0,0,COUNTA(mission_ACH_criteria!$A:$A),MATCH(F$2,mission_ACH_criteria!$1:$1,0)-MATCH($E$2,mission_ACH_criteria!$1:$1,0)+1),MATCH(F$2,mission_ACH_criteria!$1:$1,0)-MATCH($E$2,mission_ACH_criteria!$1:$1,0)+1,FALSE)</f>
        <v>通算 850 日ログインしよう！</v>
      </c>
      <c r="G241" s="27" t="s">
        <v>909</v>
      </c>
      <c r="H241" s="31" t="str">
        <f t="shared" ca="1" si="91"/>
        <v>ポリゴン x 10</v>
      </c>
      <c r="I241" s="31" t="str">
        <f ca="1">VLOOKUP($G241,OFFSET(mission_ACH!$A$2,0,0,COUNTA($A:$A),MATCH(I$2,mission_ACH!$2:$2,0)-MATCH($G$2,mission_ACH!$2:$2,0)+1),MATCH(I$2,mission_ACH!$2:$2,0)-MATCH($G$2,mission_ACH!$2:$2,0)+1,FALSE)</f>
        <v>polygon</v>
      </c>
      <c r="J241" s="31">
        <f ca="1">VLOOKUP($G241,OFFSET(mission_ACH!$A$2,0,0,COUNTA($A:$A),MATCH(J$2,mission_ACH!$2:$2,0)-MATCH($G$2,mission_ACH!$2:$2,0)+1),MATCH(J$2,mission_ACH!$2:$2,0)-MATCH($G$2,mission_ACH!$2:$2,0)+1,FALSE)</f>
        <v>10</v>
      </c>
      <c r="K241" s="31" t="str">
        <f ca="1">IF(I241="unit",VLOOKUP($G241,OFFSET(mission_ACH!$A$2,0,0,COUNTA($A:$A),MATCH(K$2,mission_ACH!$2:$2,0)-MATCH($G$2,mission_ACH!$2:$2,0)+1),MATCH(K$2,mission_ACH!$2:$2,0)-MATCH($G$2,mission_ACH!$2:$2,0)+1,FALSE),"")</f>
        <v/>
      </c>
      <c r="L241" s="31">
        <f ca="1">VLOOKUP($G241,OFFSET(mission_ACH!$A$2,0,0,COUNTA($A:$A),MATCH(L$2,mission_ACH!$2:$2,0)-MATCH($G$2,mission_ACH!$2:$2,0)+1),MATCH(L$2,mission_ACH!$2:$2,0)-MATCH($G$2,mission_ACH!$2:$2,0)+1,FALSE)</f>
        <v>0</v>
      </c>
      <c r="M241" s="27">
        <v>30</v>
      </c>
      <c r="N241" s="2" t="s">
        <v>955</v>
      </c>
      <c r="O241" s="2" t="s">
        <v>955</v>
      </c>
    </row>
    <row r="242" spans="1:16" ht="21" customHeight="1" x14ac:dyDescent="0.15">
      <c r="A242" s="27">
        <v>6096</v>
      </c>
      <c r="B242" s="26" t="str">
        <f t="shared" ca="1" si="92"/>
        <v>通算 900 日ログインしよう！</v>
      </c>
      <c r="C242" s="27" t="s">
        <v>984</v>
      </c>
      <c r="D242" s="31" t="str">
        <f ca="1">VLOOKUP($C242,OFFSET(mission_unlock_criteria!$A$2,0,0,COUNTA(mission_unlock_criteria!$A:$A),MATCH(D$2,mission_unlock_criteria!$2:$2,0)-MATCH($C$2,mission_unlock_criteria!$2:$2,0)+1),MATCH(D$2,mission_unlock_criteria!$2:$2,0)-MATCH($C$2,mission_unlock_criteria!$2:$2,0)+1,FALSE)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通算ログインが 850 日に到達</v>
      </c>
      <c r="E242" s="27" t="s">
        <v>174</v>
      </c>
      <c r="F242" s="31" t="str">
        <f ca="1">VLOOKUP($E242,OFFSET(mission_ACH_criteria!$A$1,0,0,COUNTA(mission_ACH_criteria!$A:$A),MATCH(F$2,mission_ACH_criteria!$1:$1,0)-MATCH($E$2,mission_ACH_criteria!$1:$1,0)+1),MATCH(F$2,mission_ACH_criteria!$1:$1,0)-MATCH($E$2,mission_ACH_criteria!$1:$1,0)+1,FALSE)</f>
        <v>通算 900 日ログインしよう！</v>
      </c>
      <c r="G242" s="27" t="s">
        <v>909</v>
      </c>
      <c r="H242" s="31" t="str">
        <f t="shared" ca="1" si="91"/>
        <v>ポリゴン x 10</v>
      </c>
      <c r="I242" s="31" t="str">
        <f ca="1">VLOOKUP($G242,OFFSET(mission_ACH!$A$2,0,0,COUNTA($A:$A),MATCH(I$2,mission_ACH!$2:$2,0)-MATCH($G$2,mission_ACH!$2:$2,0)+1),MATCH(I$2,mission_ACH!$2:$2,0)-MATCH($G$2,mission_ACH!$2:$2,0)+1,FALSE)</f>
        <v>polygon</v>
      </c>
      <c r="J242" s="31">
        <f ca="1">VLOOKUP($G242,OFFSET(mission_ACH!$A$2,0,0,COUNTA($A:$A),MATCH(J$2,mission_ACH!$2:$2,0)-MATCH($G$2,mission_ACH!$2:$2,0)+1),MATCH(J$2,mission_ACH!$2:$2,0)-MATCH($G$2,mission_ACH!$2:$2,0)+1,FALSE)</f>
        <v>10</v>
      </c>
      <c r="K242" s="31" t="str">
        <f ca="1">IF(I242="unit",VLOOKUP($G242,OFFSET(mission_ACH!$A$2,0,0,COUNTA($A:$A),MATCH(K$2,mission_ACH!$2:$2,0)-MATCH($G$2,mission_ACH!$2:$2,0)+1),MATCH(K$2,mission_ACH!$2:$2,0)-MATCH($G$2,mission_ACH!$2:$2,0)+1,FALSE),"")</f>
        <v/>
      </c>
      <c r="L242" s="31">
        <f ca="1">VLOOKUP($G242,OFFSET(mission_ACH!$A$2,0,0,COUNTA($A:$A),MATCH(L$2,mission_ACH!$2:$2,0)-MATCH($G$2,mission_ACH!$2:$2,0)+1),MATCH(L$2,mission_ACH!$2:$2,0)-MATCH($G$2,mission_ACH!$2:$2,0)+1,FALSE)</f>
        <v>0</v>
      </c>
      <c r="M242" s="27">
        <v>30</v>
      </c>
      <c r="N242" s="2" t="s">
        <v>955</v>
      </c>
      <c r="O242" s="2" t="s">
        <v>955</v>
      </c>
      <c r="P242" s="29">
        <v>7001</v>
      </c>
    </row>
    <row r="243" spans="1:16" ht="21" customHeight="1" x14ac:dyDescent="0.15">
      <c r="A243" s="27">
        <v>6101</v>
      </c>
      <c r="B243" s="26" t="str">
        <f t="shared" ca="1" si="92"/>
        <v>通算 950 日ログインしよう！</v>
      </c>
      <c r="C243" s="27" t="s">
        <v>985</v>
      </c>
      <c r="D243" s="31" t="str">
        <f ca="1">VLOOKUP($C243,OFFSET(mission_unlock_criteria!$A$2,0,0,COUNTA(mission_unlock_criteria!$A:$A),MATCH(D$2,mission_unlock_criteria!$2:$2,0)-MATCH($C$2,mission_unlock_criteria!$2:$2,0)+1),MATCH(D$2,mission_unlock_criteria!$2:$2,0)-MATCH($C$2,mission_unlock_criteria!$2:$2,0)+1,FALSE)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通算ログインが 900 日に到達</v>
      </c>
      <c r="E243" s="27" t="s">
        <v>179</v>
      </c>
      <c r="F243" s="31" t="str">
        <f ca="1">VLOOKUP($E243,OFFSET(mission_ACH_criteria!$A$1,0,0,COUNTA(mission_ACH_criteria!$A:$A),MATCH(F$2,mission_ACH_criteria!$1:$1,0)-MATCH($E$2,mission_ACH_criteria!$1:$1,0)+1),MATCH(F$2,mission_ACH_criteria!$1:$1,0)-MATCH($E$2,mission_ACH_criteria!$1:$1,0)+1,FALSE)</f>
        <v>通算 950 日ログインしよう！</v>
      </c>
      <c r="G243" s="27" t="s">
        <v>909</v>
      </c>
      <c r="H243" s="31" t="str">
        <f t="shared" ca="1" si="91"/>
        <v>ポリゴン x 10</v>
      </c>
      <c r="I243" s="31" t="str">
        <f ca="1">VLOOKUP($G243,OFFSET(mission_ACH!$A$2,0,0,COUNTA($A:$A),MATCH(I$2,mission_ACH!$2:$2,0)-MATCH($G$2,mission_ACH!$2:$2,0)+1),MATCH(I$2,mission_ACH!$2:$2,0)-MATCH($G$2,mission_ACH!$2:$2,0)+1,FALSE)</f>
        <v>polygon</v>
      </c>
      <c r="J243" s="31">
        <f ca="1">VLOOKUP($G243,OFFSET(mission_ACH!$A$2,0,0,COUNTA($A:$A),MATCH(J$2,mission_ACH!$2:$2,0)-MATCH($G$2,mission_ACH!$2:$2,0)+1),MATCH(J$2,mission_ACH!$2:$2,0)-MATCH($G$2,mission_ACH!$2:$2,0)+1,FALSE)</f>
        <v>10</v>
      </c>
      <c r="K243" s="31" t="str">
        <f ca="1">IF(I243="unit",VLOOKUP($G243,OFFSET(mission_ACH!$A$2,0,0,COUNTA($A:$A),MATCH(K$2,mission_ACH!$2:$2,0)-MATCH($G$2,mission_ACH!$2:$2,0)+1),MATCH(K$2,mission_ACH!$2:$2,0)-MATCH($G$2,mission_ACH!$2:$2,0)+1,FALSE),"")</f>
        <v/>
      </c>
      <c r="L243" s="31">
        <f ca="1">VLOOKUP($G243,OFFSET(mission_ACH!$A$2,0,0,COUNTA($A:$A),MATCH(L$2,mission_ACH!$2:$2,0)-MATCH($G$2,mission_ACH!$2:$2,0)+1),MATCH(L$2,mission_ACH!$2:$2,0)-MATCH($G$2,mission_ACH!$2:$2,0)+1,FALSE)</f>
        <v>0</v>
      </c>
      <c r="M243" s="27">
        <v>30</v>
      </c>
      <c r="N243" s="2" t="s">
        <v>955</v>
      </c>
      <c r="O243" s="2" t="s">
        <v>955</v>
      </c>
      <c r="P243" s="29">
        <v>7002</v>
      </c>
    </row>
    <row r="244" spans="1:16" ht="21" customHeight="1" x14ac:dyDescent="0.15">
      <c r="A244" s="27">
        <v>6106</v>
      </c>
      <c r="B244" s="26" t="str">
        <f t="shared" ca="1" si="92"/>
        <v>通算 1000 日ログインしよう！</v>
      </c>
      <c r="C244" s="27" t="s">
        <v>986</v>
      </c>
      <c r="D244" s="31" t="str">
        <f ca="1">VLOOKUP($C244,OFFSET(mission_unlock_criteria!$A$2,0,0,COUNTA(mission_unlock_criteria!$A:$A),MATCH(D$2,mission_unlock_criteria!$2:$2,0)-MATCH($C$2,mission_unlock_criteria!$2:$2,0)+1),MATCH(D$2,mission_unlock_criteria!$2:$2,0)-MATCH($C$2,mission_unlock_criteria!$2:$2,0)+1,FALSE)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通算ログインが 950 日に到達</v>
      </c>
      <c r="E244" s="27" t="s">
        <v>184</v>
      </c>
      <c r="F244" s="31" t="str">
        <f ca="1">VLOOKUP($E244,OFFSET(mission_ACH_criteria!$A$1,0,0,COUNTA(mission_ACH_criteria!$A:$A),MATCH(F$2,mission_ACH_criteria!$1:$1,0)-MATCH($E$2,mission_ACH_criteria!$1:$1,0)+1),MATCH(F$2,mission_ACH_criteria!$1:$1,0)-MATCH($E$2,mission_ACH_criteria!$1:$1,0)+1,FALSE)</f>
        <v>通算 1000 日ログインしよう！</v>
      </c>
      <c r="G244" s="27" t="s">
        <v>921</v>
      </c>
      <c r="H244" s="31" t="str">
        <f t="shared" ca="1" si="91"/>
        <v>ポリゴン x 50</v>
      </c>
      <c r="I244" s="31" t="str">
        <f ca="1">VLOOKUP($G244,OFFSET(mission_ACH!$A$2,0,0,COUNTA($A:$A),MATCH(I$2,mission_ACH!$2:$2,0)-MATCH($G$2,mission_ACH!$2:$2,0)+1),MATCH(I$2,mission_ACH!$2:$2,0)-MATCH($G$2,mission_ACH!$2:$2,0)+1,FALSE)</f>
        <v>polygon</v>
      </c>
      <c r="J244" s="31">
        <f ca="1">VLOOKUP($G244,OFFSET(mission_ACH!$A$2,0,0,COUNTA($A:$A),MATCH(J$2,mission_ACH!$2:$2,0)-MATCH($G$2,mission_ACH!$2:$2,0)+1),MATCH(J$2,mission_ACH!$2:$2,0)-MATCH($G$2,mission_ACH!$2:$2,0)+1,FALSE)</f>
        <v>50</v>
      </c>
      <c r="K244" s="31" t="str">
        <f ca="1">IF(I244="unit",VLOOKUP($G244,OFFSET(mission_ACH!$A$2,0,0,COUNTA($A:$A),MATCH(K$2,mission_ACH!$2:$2,0)-MATCH($G$2,mission_ACH!$2:$2,0)+1),MATCH(K$2,mission_ACH!$2:$2,0)-MATCH($G$2,mission_ACH!$2:$2,0)+1,FALSE),"")</f>
        <v/>
      </c>
      <c r="L244" s="31">
        <f ca="1">VLOOKUP($G244,OFFSET(mission_ACH!$A$2,0,0,COUNTA($A:$A),MATCH(L$2,mission_ACH!$2:$2,0)-MATCH($G$2,mission_ACH!$2:$2,0)+1),MATCH(L$2,mission_ACH!$2:$2,0)-MATCH($G$2,mission_ACH!$2:$2,0)+1,FALSE)</f>
        <v>0</v>
      </c>
      <c r="M244" s="27">
        <v>30</v>
      </c>
      <c r="N244" s="2" t="s">
        <v>955</v>
      </c>
      <c r="O244" s="2" t="s">
        <v>955</v>
      </c>
      <c r="P244" s="29">
        <v>7003</v>
      </c>
    </row>
    <row r="245" spans="1:16" ht="21" customHeight="1" x14ac:dyDescent="0.15">
      <c r="A245" s="27">
        <v>6111</v>
      </c>
      <c r="B245" s="26" t="str">
        <f t="shared" ca="1" si="92"/>
        <v>通算 1050 日ログインしよう！</v>
      </c>
      <c r="C245" s="27" t="s">
        <v>987</v>
      </c>
      <c r="D245" s="31" t="str">
        <f ca="1">VLOOKUP($C245,OFFSET(mission_unlock_criteria!$A$2,0,0,COUNTA(mission_unlock_criteria!$A:$A),MATCH(D$2,mission_unlock_criteria!$2:$2,0)-MATCH($C$2,mission_unlock_criteria!$2:$2,0)+1),MATCH(D$2,mission_unlock_criteria!$2:$2,0)-MATCH($C$2,mission_unlock_criteria!$2:$2,0)+1,FALSE)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通算ログインが 1000 日に到達</v>
      </c>
      <c r="E245" s="27" t="s">
        <v>189</v>
      </c>
      <c r="F245" s="31" t="str">
        <f ca="1">VLOOKUP($E245,OFFSET(mission_ACH_criteria!$A$1,0,0,COUNTA(mission_ACH_criteria!$A:$A),MATCH(F$2,mission_ACH_criteria!$1:$1,0)-MATCH($E$2,mission_ACH_criteria!$1:$1,0)+1),MATCH(F$2,mission_ACH_criteria!$1:$1,0)-MATCH($E$2,mission_ACH_criteria!$1:$1,0)+1,FALSE)</f>
        <v>通算 1050 日ログインしよう！</v>
      </c>
      <c r="G245" s="27" t="s">
        <v>909</v>
      </c>
      <c r="H245" s="31" t="str">
        <f t="shared" ca="1" si="91"/>
        <v>ポリゴン x 10</v>
      </c>
      <c r="I245" s="31" t="str">
        <f ca="1">VLOOKUP($G245,OFFSET(mission_ACH!$A$2,0,0,COUNTA($A:$A),MATCH(I$2,mission_ACH!$2:$2,0)-MATCH($G$2,mission_ACH!$2:$2,0)+1),MATCH(I$2,mission_ACH!$2:$2,0)-MATCH($G$2,mission_ACH!$2:$2,0)+1,FALSE)</f>
        <v>polygon</v>
      </c>
      <c r="J245" s="31">
        <f ca="1">VLOOKUP($G245,OFFSET(mission_ACH!$A$2,0,0,COUNTA($A:$A),MATCH(J$2,mission_ACH!$2:$2,0)-MATCH($G$2,mission_ACH!$2:$2,0)+1),MATCH(J$2,mission_ACH!$2:$2,0)-MATCH($G$2,mission_ACH!$2:$2,0)+1,FALSE)</f>
        <v>10</v>
      </c>
      <c r="K245" s="31" t="str">
        <f ca="1">IF(I245="unit",VLOOKUP($G245,OFFSET(mission_ACH!$A$2,0,0,COUNTA($A:$A),MATCH(K$2,mission_ACH!$2:$2,0)-MATCH($G$2,mission_ACH!$2:$2,0)+1),MATCH(K$2,mission_ACH!$2:$2,0)-MATCH($G$2,mission_ACH!$2:$2,0)+1,FALSE),"")</f>
        <v/>
      </c>
      <c r="L245" s="31">
        <f ca="1">VLOOKUP($G245,OFFSET(mission_ACH!$A$2,0,0,COUNTA($A:$A),MATCH(L$2,mission_ACH!$2:$2,0)-MATCH($G$2,mission_ACH!$2:$2,0)+1),MATCH(L$2,mission_ACH!$2:$2,0)-MATCH($G$2,mission_ACH!$2:$2,0)+1,FALSE)</f>
        <v>0</v>
      </c>
      <c r="M245" s="27">
        <v>30</v>
      </c>
      <c r="N245" s="2" t="s">
        <v>955</v>
      </c>
      <c r="O245" s="2" t="s">
        <v>955</v>
      </c>
      <c r="P245" s="29">
        <v>7004</v>
      </c>
    </row>
    <row r="246" spans="1:16" ht="21" customHeight="1" x14ac:dyDescent="0.15">
      <c r="A246" s="27">
        <v>6116</v>
      </c>
      <c r="B246" s="26" t="str">
        <f t="shared" ca="1" si="92"/>
        <v>通算 1100 日ログインしよう！</v>
      </c>
      <c r="C246" s="27" t="s">
        <v>988</v>
      </c>
      <c r="D246" s="31" t="str">
        <f ca="1">VLOOKUP($C246,OFFSET(mission_unlock_criteria!$A$2,0,0,COUNTA(mission_unlock_criteria!$A:$A),MATCH(D$2,mission_unlock_criteria!$2:$2,0)-MATCH($C$2,mission_unlock_criteria!$2:$2,0)+1),MATCH(D$2,mission_unlock_criteria!$2:$2,0)-MATCH($C$2,mission_unlock_criteria!$2:$2,0)+1,FALSE)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通算ログインが 1050 日に到達</v>
      </c>
      <c r="E246" s="27" t="s">
        <v>920</v>
      </c>
      <c r="F246" s="31" t="str">
        <f ca="1">VLOOKUP($E246,OFFSET(mission_ACH_criteria!$A$1,0,0,COUNTA(mission_ACH_criteria!$A:$A),MATCH(F$2,mission_ACH_criteria!$1:$1,0)-MATCH($E$2,mission_ACH_criteria!$1:$1,0)+1),MATCH(F$2,mission_ACH_criteria!$1:$1,0)-MATCH($E$2,mission_ACH_criteria!$1:$1,0)+1,FALSE)</f>
        <v>通算 1100 日ログインしよう！</v>
      </c>
      <c r="G246" s="27" t="s">
        <v>909</v>
      </c>
      <c r="H246" s="31" t="str">
        <f t="shared" ca="1" si="91"/>
        <v>ポリゴン x 10</v>
      </c>
      <c r="I246" s="31" t="str">
        <f ca="1">VLOOKUP($G246,OFFSET(mission_ACH!$A$2,0,0,COUNTA($A:$A),MATCH(I$2,mission_ACH!$2:$2,0)-MATCH($G$2,mission_ACH!$2:$2,0)+1),MATCH(I$2,mission_ACH!$2:$2,0)-MATCH($G$2,mission_ACH!$2:$2,0)+1,FALSE)</f>
        <v>polygon</v>
      </c>
      <c r="J246" s="31">
        <f ca="1">VLOOKUP($G246,OFFSET(mission_ACH!$A$2,0,0,COUNTA($A:$A),MATCH(J$2,mission_ACH!$2:$2,0)-MATCH($G$2,mission_ACH!$2:$2,0)+1),MATCH(J$2,mission_ACH!$2:$2,0)-MATCH($G$2,mission_ACH!$2:$2,0)+1,FALSE)</f>
        <v>10</v>
      </c>
      <c r="K246" s="31" t="str">
        <f ca="1">IF(I246="unit",VLOOKUP($G246,OFFSET(mission_ACH!$A$2,0,0,COUNTA($A:$A),MATCH(K$2,mission_ACH!$2:$2,0)-MATCH($G$2,mission_ACH!$2:$2,0)+1),MATCH(K$2,mission_ACH!$2:$2,0)-MATCH($G$2,mission_ACH!$2:$2,0)+1,FALSE),"")</f>
        <v/>
      </c>
      <c r="L246" s="31">
        <f ca="1">VLOOKUP($G246,OFFSET(mission_ACH!$A$2,0,0,COUNTA($A:$A),MATCH(L$2,mission_ACH!$2:$2,0)-MATCH($G$2,mission_ACH!$2:$2,0)+1),MATCH(L$2,mission_ACH!$2:$2,0)-MATCH($G$2,mission_ACH!$2:$2,0)+1,FALSE)</f>
        <v>0</v>
      </c>
      <c r="M246" s="27">
        <v>30</v>
      </c>
      <c r="N246" s="2" t="s">
        <v>955</v>
      </c>
      <c r="O246" s="2" t="s">
        <v>955</v>
      </c>
      <c r="P246" s="29">
        <v>7005</v>
      </c>
    </row>
    <row r="247" spans="1:16" ht="21" customHeight="1" x14ac:dyDescent="0.15">
      <c r="A247" s="135">
        <v>7007</v>
      </c>
      <c r="B247" s="26" t="str">
        <f t="shared" ref="B247" ca="1" si="93">F247</f>
        <v>タワーオブザクイーン1階をクリアしよう！</v>
      </c>
      <c r="C247" s="27" t="s">
        <v>331</v>
      </c>
      <c r="D247" s="31" t="str">
        <f ca="1">VLOOKUP($C247,OFFSET(mission_unlock_criteria!$A$2,0,0,COUNTA(mission_unlock_criteria!$A:$A),MATCH(D$2,mission_unlock_criteria!$2:$2,0)-MATCH($C$2,mission_unlock_criteria!$2:$2,0)+1),MATCH(D$2,mission_unlock_criteria!$2:$2,0)-MATCH($C$2,mission_unlock_criteria!$2:$2,0)+1,FALSE)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47" s="21" t="s">
        <v>2171</v>
      </c>
      <c r="F247" s="31" t="str">
        <f ca="1">VLOOKUP($E247,OFFSET(mission_ACH_criteria!$A$1,0,0,COUNTA(mission_ACH_criteria!$A:$A),MATCH(F$2,mission_ACH_criteria!$1:$1,0)-MATCH($E$2,mission_ACH_criteria!$1:$1,0)+1),MATCH(F$2,mission_ACH_criteria!$1:$1,0)-MATCH($E$2,mission_ACH_criteria!$1:$1,0)+1,FALSE)</f>
        <v>タワーオブザクイーン1階をクリアしよう！</v>
      </c>
      <c r="G247" s="27" t="s">
        <v>398</v>
      </c>
      <c r="H247" s="31" t="str">
        <f t="shared" ref="H247" ca="1" si="94">IF(I247="unit",K247&amp;" x "&amp;L247,IF(I247="polygon","ポリゴン x "&amp;J247,IF(I247="bit","ビット x "&amp;J247,IF(I247="link","リンク x "&amp;J247))))</f>
        <v>ポリゴン x 3</v>
      </c>
      <c r="I247" s="31" t="str">
        <f ca="1">VLOOKUP($G247,OFFSET(mission_ACH!$A$2,0,0,COUNTA($A:$A),MATCH(I$2,mission_ACH!$2:$2,0)-MATCH($G$2,mission_ACH!$2:$2,0)+1),MATCH(I$2,mission_ACH!$2:$2,0)-MATCH($G$2,mission_ACH!$2:$2,0)+1,FALSE)</f>
        <v>polygon</v>
      </c>
      <c r="J247" s="31">
        <f ca="1">VLOOKUP($G247,OFFSET(mission_ACH!$A$2,0,0,COUNTA($A:$A),MATCH(J$2,mission_ACH!$2:$2,0)-MATCH($G$2,mission_ACH!$2:$2,0)+1),MATCH(J$2,mission_ACH!$2:$2,0)-MATCH($G$2,mission_ACH!$2:$2,0)+1,FALSE)</f>
        <v>3</v>
      </c>
      <c r="K247" s="31" t="str">
        <f ca="1">IF(I247="unit",VLOOKUP($G247,OFFSET(mission_ACH!$A$2,0,0,COUNTA($A:$A),MATCH(K$2,mission_ACH!$2:$2,0)-MATCH($G$2,mission_ACH!$2:$2,0)+1),MATCH(K$2,mission_ACH!$2:$2,0)-MATCH($G$2,mission_ACH!$2:$2,0)+1,FALSE),"")</f>
        <v/>
      </c>
      <c r="L247" s="31">
        <f ca="1">VLOOKUP($G247,OFFSET(mission_ACH!$A$2,0,0,COUNTA($A:$A),MATCH(L$2,mission_ACH!$2:$2,0)-MATCH($G$2,mission_ACH!$2:$2,0)+1),MATCH(L$2,mission_ACH!$2:$2,0)-MATCH($G$2,mission_ACH!$2:$2,0)+1,FALSE)</f>
        <v>0</v>
      </c>
      <c r="M247" s="27">
        <v>111</v>
      </c>
      <c r="N247" s="87" t="s">
        <v>2227</v>
      </c>
      <c r="O247" s="87" t="s">
        <v>2228</v>
      </c>
      <c r="P247" s="29">
        <v>7006</v>
      </c>
    </row>
    <row r="248" spans="1:16" ht="21" customHeight="1" x14ac:dyDescent="0.15">
      <c r="A248" s="27">
        <v>8001</v>
      </c>
      <c r="B248" s="26" t="str">
        <f t="shared" ca="1" si="92"/>
        <v>マルチプレイをプレイしてみよう！</v>
      </c>
      <c r="C248" s="27" t="s">
        <v>354</v>
      </c>
      <c r="D248" s="31" t="str">
        <f ca="1">VLOOKUP($C248,OFFSET(mission_unlock_criteria!$A$2,0,0,COUNTA(mission_unlock_criteria!$A:$A),MATCH(D$2,mission_unlock_criteria!$2:$2,0)-MATCH($C$2,mission_unlock_criteria!$2:$2,0)+1),MATCH(D$2,mission_unlock_criteria!$2:$2,0)-MATCH($C$2,mission_unlock_criteria!$2:$2,0)+1,FALSE)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48" s="27" t="s">
        <v>205</v>
      </c>
      <c r="F248" s="31" t="str">
        <f ca="1">VLOOKUP($E248,OFFSET(mission_ACH_criteria!$A$1,0,0,COUNTA(mission_ACH_criteria!$A:$A),MATCH(F$2,mission_ACH_criteria!$1:$1,0)-MATCH($E$2,mission_ACH_criteria!$1:$1,0)+1),MATCH(F$2,mission_ACH_criteria!$1:$1,0)-MATCH($E$2,mission_ACH_criteria!$1:$1,0)+1,FALSE)</f>
        <v>マルチプレイをプレイしてみよう！</v>
      </c>
      <c r="G248" s="27" t="s">
        <v>922</v>
      </c>
      <c r="H248" s="31" t="str">
        <f t="shared" ref="H248:H249" ca="1" si="95">IF(I248="unit",K248&amp;" x "&amp;L248,IF(I248="polygon","ポリゴン x "&amp;J248,IF(I248="bit","ビット x "&amp;J248,IF(I248="link","リンク x "&amp;J248))))</f>
        <v>ポリゴン x 5</v>
      </c>
      <c r="I248" s="31" t="str">
        <f ca="1">VLOOKUP($G248,OFFSET(mission_ACH!$A$2,0,0,COUNTA($A:$A),MATCH(I$2,mission_ACH!$2:$2,0)-MATCH($G$2,mission_ACH!$2:$2,0)+1),MATCH(I$2,mission_ACH!$2:$2,0)-MATCH($G$2,mission_ACH!$2:$2,0)+1,FALSE)</f>
        <v>polygon</v>
      </c>
      <c r="J248" s="31">
        <f ca="1">VLOOKUP($G248,OFFSET(mission_ACH!$A$2,0,0,COUNTA($A:$A),MATCH(J$2,mission_ACH!$2:$2,0)-MATCH($G$2,mission_ACH!$2:$2,0)+1),MATCH(J$2,mission_ACH!$2:$2,0)-MATCH($G$2,mission_ACH!$2:$2,0)+1,FALSE)</f>
        <v>5</v>
      </c>
      <c r="K248" s="31" t="str">
        <f ca="1">IF(I248="unit",VLOOKUP($G248,OFFSET(mission_ACH!$A$2,0,0,COUNTA($A:$A),MATCH(K$2,mission_ACH!$2:$2,0)-MATCH($G$2,mission_ACH!$2:$2,0)+1),MATCH(K$2,mission_ACH!$2:$2,0)-MATCH($G$2,mission_ACH!$2:$2,0)+1,FALSE),"")</f>
        <v/>
      </c>
      <c r="L248" s="31">
        <f ca="1">VLOOKUP($G248,OFFSET(mission_ACH!$A$2,0,0,COUNTA($A:$A),MATCH(L$2,mission_ACH!$2:$2,0)-MATCH($G$2,mission_ACH!$2:$2,0)+1),MATCH(L$2,mission_ACH!$2:$2,0)-MATCH($G$2,mission_ACH!$2:$2,0)+1,FALSE)</f>
        <v>0</v>
      </c>
      <c r="M248" s="27">
        <v>75</v>
      </c>
      <c r="N248" s="2" t="s">
        <v>955</v>
      </c>
      <c r="O248" s="2" t="s">
        <v>955</v>
      </c>
    </row>
    <row r="249" spans="1:16" ht="21" customHeight="1" x14ac:dyDescent="0.15">
      <c r="A249" s="27">
        <v>9001</v>
      </c>
      <c r="B249" s="26" t="e">
        <f t="shared" ca="1" si="92"/>
        <v>#N/A</v>
      </c>
      <c r="C249" s="27" t="s">
        <v>932</v>
      </c>
      <c r="D249" s="31" t="str">
        <f ca="1">VLOOKUP($C249,OFFSET(mission_unlock_criteria!$A$2,0,0,COUNTA(mission_unlock_criteria!$A:$A),MATCH(D$2,mission_unlock_criteria!$2:$2,0)-MATCH($C$2,mission_unlock_criteria!$2:$2,0)+1),MATCH(D$2,mission_unlock_criteria!$2:$2,0)-MATCH($C$2,mission_unlock_criteria!$2:$2,0)+1,FALSE)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49" s="27" t="s">
        <v>934</v>
      </c>
      <c r="F249" s="31" t="e">
        <f ca="1">VLOOKUP($E249,OFFSET(mission_ACH_criteria!$A$1,0,0,COUNTA(mission_ACH_criteria!$A:$A),MATCH(F$2,mission_ACH_criteria!$1:$1,0)-MATCH($E$2,mission_ACH_criteria!$1:$1,0)+1),MATCH(F$2,mission_ACH_criteria!$1:$1,0)-MATCH($E$2,mission_ACH_criteria!$1:$1,0)+1,FALSE)</f>
        <v>#N/A</v>
      </c>
      <c r="G249" s="27" t="s">
        <v>940</v>
      </c>
      <c r="H249" s="31" t="str">
        <f t="shared" ca="1" si="95"/>
        <v>ポリゴン x 1</v>
      </c>
      <c r="I249" s="31" t="str">
        <f ca="1">VLOOKUP($G249,OFFSET(mission_ACH!$A$2,0,0,COUNTA($A:$A),MATCH(I$2,mission_ACH!$2:$2,0)-MATCH($G$2,mission_ACH!$2:$2,0)+1),MATCH(I$2,mission_ACH!$2:$2,0)-MATCH($G$2,mission_ACH!$2:$2,0)+1,FALSE)</f>
        <v>polygon</v>
      </c>
      <c r="J249" s="31">
        <f ca="1">VLOOKUP($G249,OFFSET(mission_ACH!$A$2,0,0,COUNTA($A:$A),MATCH(J$2,mission_ACH!$2:$2,0)-MATCH($G$2,mission_ACH!$2:$2,0)+1),MATCH(J$2,mission_ACH!$2:$2,0)-MATCH($G$2,mission_ACH!$2:$2,0)+1,FALSE)</f>
        <v>1</v>
      </c>
      <c r="K249" s="31" t="str">
        <f ca="1">IF(I249="unit",VLOOKUP($G249,OFFSET(mission_ACH!$A$2,0,0,COUNTA($A:$A),MATCH(K$2,mission_ACH!$2:$2,0)-MATCH($G$2,mission_ACH!$2:$2,0)+1),MATCH(K$2,mission_ACH!$2:$2,0)-MATCH($G$2,mission_ACH!$2:$2,0)+1,FALSE),"")</f>
        <v/>
      </c>
      <c r="L249" s="31">
        <f ca="1">VLOOKUP($G249,OFFSET(mission_ACH!$A$2,0,0,COUNTA($A:$A),MATCH(L$2,mission_ACH!$2:$2,0)-MATCH($G$2,mission_ACH!$2:$2,0)+1),MATCH(L$2,mission_ACH!$2:$2,0)-MATCH($G$2,mission_ACH!$2:$2,0)+1,FALSE)</f>
        <v>0</v>
      </c>
      <c r="M249" s="27">
        <v>50</v>
      </c>
      <c r="N249" s="87" t="s">
        <v>964</v>
      </c>
      <c r="O249" s="87" t="s">
        <v>1035</v>
      </c>
    </row>
    <row r="250" spans="1:16" ht="21" customHeight="1" x14ac:dyDescent="0.15">
      <c r="A250" s="27">
        <v>9002</v>
      </c>
      <c r="B250" s="26" t="str">
        <f t="shared" ca="1" si="92"/>
        <v>クエスト 【中級】雪の歌姫 をクリアしよう！</v>
      </c>
      <c r="C250" s="27" t="s">
        <v>932</v>
      </c>
      <c r="D250" s="31" t="str">
        <f ca="1">VLOOKUP($C250,OFFSET(mission_unlock_criteria!$A$2,0,0,COUNTA(mission_unlock_criteria!$A:$A),MATCH(D$2,mission_unlock_criteria!$2:$2,0)-MATCH($C$2,mission_unlock_criteria!$2:$2,0)+1),MATCH(D$2,mission_unlock_criteria!$2:$2,0)-MATCH($C$2,mission_unlock_criteria!$2:$2,0)+1,FALSE)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50" s="27" t="s">
        <v>935</v>
      </c>
      <c r="F250" s="31" t="str">
        <f ca="1">VLOOKUP($E250,OFFSET(mission_ACH_criteria!$A$1,0,0,COUNTA(mission_ACH_criteria!$A:$A),MATCH(F$2,mission_ACH_criteria!$1:$1,0)-MATCH($E$2,mission_ACH_criteria!$1:$1,0)+1),MATCH(F$2,mission_ACH_criteria!$1:$1,0)-MATCH($E$2,mission_ACH_criteria!$1:$1,0)+1,FALSE)</f>
        <v>クエスト 【中級】雪の歌姫 をクリアしよう！</v>
      </c>
      <c r="G250" s="27" t="s">
        <v>940</v>
      </c>
      <c r="H250" s="31" t="str">
        <f t="shared" ref="H250:H251" ca="1" si="96">IF(I250="unit",K250&amp;" x "&amp;L250,IF(I250="polygon","ポリゴン x "&amp;J250,IF(I250="bit","ビット x "&amp;J250,IF(I250="link","リンク x "&amp;J250))))</f>
        <v>ポリゴン x 1</v>
      </c>
      <c r="I250" s="31" t="str">
        <f ca="1">VLOOKUP($G250,OFFSET(mission_ACH!$A$2,0,0,COUNTA($A:$A),MATCH(I$2,mission_ACH!$2:$2,0)-MATCH($G$2,mission_ACH!$2:$2,0)+1),MATCH(I$2,mission_ACH!$2:$2,0)-MATCH($G$2,mission_ACH!$2:$2,0)+1,FALSE)</f>
        <v>polygon</v>
      </c>
      <c r="J250" s="31">
        <f ca="1">VLOOKUP($G250,OFFSET(mission_ACH!$A$2,0,0,COUNTA($A:$A),MATCH(J$2,mission_ACH!$2:$2,0)-MATCH($G$2,mission_ACH!$2:$2,0)+1),MATCH(J$2,mission_ACH!$2:$2,0)-MATCH($G$2,mission_ACH!$2:$2,0)+1,FALSE)</f>
        <v>1</v>
      </c>
      <c r="K250" s="31" t="str">
        <f ca="1">IF(I250="unit",VLOOKUP($G250,OFFSET(mission_ACH!$A$2,0,0,COUNTA($A:$A),MATCH(K$2,mission_ACH!$2:$2,0)-MATCH($G$2,mission_ACH!$2:$2,0)+1),MATCH(K$2,mission_ACH!$2:$2,0)-MATCH($G$2,mission_ACH!$2:$2,0)+1,FALSE),"")</f>
        <v/>
      </c>
      <c r="L250" s="31">
        <f ca="1">VLOOKUP($G250,OFFSET(mission_ACH!$A$2,0,0,COUNTA($A:$A),MATCH(L$2,mission_ACH!$2:$2,0)-MATCH($G$2,mission_ACH!$2:$2,0)+1),MATCH(L$2,mission_ACH!$2:$2,0)-MATCH($G$2,mission_ACH!$2:$2,0)+1,FALSE)</f>
        <v>0</v>
      </c>
      <c r="M250" s="27">
        <v>50</v>
      </c>
      <c r="N250" s="87" t="s">
        <v>964</v>
      </c>
      <c r="O250" s="87" t="s">
        <v>1035</v>
      </c>
    </row>
    <row r="251" spans="1:16" ht="21" customHeight="1" x14ac:dyDescent="0.15">
      <c r="A251" s="27">
        <v>9003</v>
      </c>
      <c r="B251" s="26" t="str">
        <f t="shared" ca="1" si="92"/>
        <v>クエスト 【上級】雪の歌姫 をクリアしよう！</v>
      </c>
      <c r="C251" s="27" t="s">
        <v>933</v>
      </c>
      <c r="D251" s="31" t="str">
        <f ca="1">VLOOKUP($C251,OFFSET(mission_unlock_criteria!$A$2,0,0,COUNTA(mission_unlock_criteria!$A:$A),MATCH(D$2,mission_unlock_criteria!$2:$2,0)-MATCH($C$2,mission_unlock_criteria!$2:$2,0)+1),MATCH(D$2,mission_unlock_criteria!$2:$2,0)-MATCH($C$2,mission_unlock_criteria!$2:$2,0)+1,FALSE)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51" s="27" t="s">
        <v>936</v>
      </c>
      <c r="F251" s="31" t="str">
        <f ca="1">VLOOKUP($E251,OFFSET(mission_ACH_criteria!$A$1,0,0,COUNTA(mission_ACH_criteria!$A:$A),MATCH(F$2,mission_ACH_criteria!$1:$1,0)-MATCH($E$2,mission_ACH_criteria!$1:$1,0)+1),MATCH(F$2,mission_ACH_criteria!$1:$1,0)-MATCH($E$2,mission_ACH_criteria!$1:$1,0)+1,FALSE)</f>
        <v>クエスト 【上級】雪の歌姫 をクリアしよう！</v>
      </c>
      <c r="G251" s="27" t="s">
        <v>948</v>
      </c>
      <c r="H251" s="31" t="str">
        <f t="shared" ca="1" si="96"/>
        <v>秘術の果実 x 1</v>
      </c>
      <c r="I251" s="31" t="str">
        <f ca="1">VLOOKUP($G251,OFFSET(mission_ACH!$A$2,0,0,COUNTA($A:$A),MATCH(I$2,mission_ACH!$2:$2,0)-MATCH($G$2,mission_ACH!$2:$2,0)+1),MATCH(I$2,mission_ACH!$2:$2,0)-MATCH($G$2,mission_ACH!$2:$2,0)+1,FALSE)</f>
        <v>unit</v>
      </c>
      <c r="J251" s="31">
        <f ca="1">VLOOKUP($G251,OFFSET(mission_ACH!$A$2,0,0,COUNTA($A:$A),MATCH(J$2,mission_ACH!$2:$2,0)-MATCH($G$2,mission_ACH!$2:$2,0)+1),MATCH(J$2,mission_ACH!$2:$2,0)-MATCH($G$2,mission_ACH!$2:$2,0)+1,FALSE)</f>
        <v>125</v>
      </c>
      <c r="K251" s="31" t="str">
        <f ca="1">IF(I251="unit",VLOOKUP($G251,OFFSET(mission_ACH!$A$2,0,0,COUNTA($A:$A),MATCH(K$2,mission_ACH!$2:$2,0)-MATCH($G$2,mission_ACH!$2:$2,0)+1),MATCH(K$2,mission_ACH!$2:$2,0)-MATCH($G$2,mission_ACH!$2:$2,0)+1,FALSE),"")</f>
        <v>秘術の果実</v>
      </c>
      <c r="L251" s="31">
        <f ca="1">VLOOKUP($G251,OFFSET(mission_ACH!$A$2,0,0,COUNTA($A:$A),MATCH(L$2,mission_ACH!$2:$2,0)-MATCH($G$2,mission_ACH!$2:$2,0)+1),MATCH(L$2,mission_ACH!$2:$2,0)-MATCH($G$2,mission_ACH!$2:$2,0)+1,FALSE)</f>
        <v>1</v>
      </c>
      <c r="M251" s="27">
        <v>50</v>
      </c>
      <c r="N251" s="87" t="s">
        <v>964</v>
      </c>
      <c r="O251" s="87" t="s">
        <v>1035</v>
      </c>
    </row>
    <row r="252" spans="1:16" ht="21" customHeight="1" x14ac:dyDescent="0.15">
      <c r="A252" s="27">
        <v>9004</v>
      </c>
      <c r="B252" s="26" t="str">
        <f t="shared" ca="1" si="92"/>
        <v>クエスト 【超級】雪の歌姫 をクリアしよう！</v>
      </c>
      <c r="C252" s="27" t="s">
        <v>932</v>
      </c>
      <c r="D252" s="31" t="str">
        <f ca="1">VLOOKUP($C252,OFFSET(mission_unlock_criteria!$A$2,0,0,COUNTA(mission_unlock_criteria!$A:$A),MATCH(D$2,mission_unlock_criteria!$2:$2,0)-MATCH($C$2,mission_unlock_criteria!$2:$2,0)+1),MATCH(D$2,mission_unlock_criteria!$2:$2,0)-MATCH($C$2,mission_unlock_criteria!$2:$2,0)+1,FALSE)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52" s="27" t="s">
        <v>937</v>
      </c>
      <c r="F252" s="31" t="str">
        <f ca="1">VLOOKUP($E252,OFFSET(mission_ACH_criteria!$A$1,0,0,COUNTA(mission_ACH_criteria!$A:$A),MATCH(F$2,mission_ACH_criteria!$1:$1,0)-MATCH($E$2,mission_ACH_criteria!$1:$1,0)+1),MATCH(F$2,mission_ACH_criteria!$1:$1,0)-MATCH($E$2,mission_ACH_criteria!$1:$1,0)+1,FALSE)</f>
        <v>クエスト 【超級】雪の歌姫 をクリアしよう！</v>
      </c>
      <c r="G252" s="27" t="s">
        <v>951</v>
      </c>
      <c r="H252" s="31" t="str">
        <f t="shared" ref="H252:H254" ca="1" si="97">IF(I252="unit",K252&amp;" x "&amp;L252,IF(I252="polygon","ポリゴン x "&amp;J252,IF(I252="bit","ビット x "&amp;J252,IF(I252="link","リンク x "&amp;J252))))</f>
        <v>雪ミク2014 x 1</v>
      </c>
      <c r="I252" s="31" t="str">
        <f ca="1">VLOOKUP($G252,OFFSET(mission_ACH!$A$2,0,0,COUNTA($A:$A),MATCH(I$2,mission_ACH!$2:$2,0)-MATCH($G$2,mission_ACH!$2:$2,0)+1),MATCH(I$2,mission_ACH!$2:$2,0)-MATCH($G$2,mission_ACH!$2:$2,0)+1,FALSE)</f>
        <v>unit</v>
      </c>
      <c r="J252" s="31">
        <f ca="1">VLOOKUP($G252,OFFSET(mission_ACH!$A$2,0,0,COUNTA($A:$A),MATCH(J$2,mission_ACH!$2:$2,0)-MATCH($G$2,mission_ACH!$2:$2,0)+1),MATCH(J$2,mission_ACH!$2:$2,0)-MATCH($G$2,mission_ACH!$2:$2,0)+1,FALSE)</f>
        <v>555</v>
      </c>
      <c r="K252" s="31" t="str">
        <f ca="1">IF(I252="unit",VLOOKUP($G252,OFFSET(mission_ACH!$A$2,0,0,COUNTA($A:$A),MATCH(K$2,mission_ACH!$2:$2,0)-MATCH($G$2,mission_ACH!$2:$2,0)+1),MATCH(K$2,mission_ACH!$2:$2,0)-MATCH($G$2,mission_ACH!$2:$2,0)+1,FALSE),"")</f>
        <v>雪ミク2014</v>
      </c>
      <c r="L252" s="31">
        <f ca="1">VLOOKUP($G252,OFFSET(mission_ACH!$A$2,0,0,COUNTA($A:$A),MATCH(L$2,mission_ACH!$2:$2,0)-MATCH($G$2,mission_ACH!$2:$2,0)+1),MATCH(L$2,mission_ACH!$2:$2,0)-MATCH($G$2,mission_ACH!$2:$2,0)+1,FALSE)</f>
        <v>1</v>
      </c>
      <c r="M252" s="27">
        <v>50</v>
      </c>
      <c r="N252" s="87" t="s">
        <v>964</v>
      </c>
      <c r="O252" s="87" t="s">
        <v>1035</v>
      </c>
    </row>
    <row r="253" spans="1:16" ht="21" customHeight="1" x14ac:dyDescent="0.15">
      <c r="A253" s="27">
        <v>9005</v>
      </c>
      <c r="B253" s="26" t="str">
        <f t="shared" ca="1" si="92"/>
        <v>クエスト 【超絶級】雪の歌姫 をクリアしよう！</v>
      </c>
      <c r="C253" s="27" t="s">
        <v>932</v>
      </c>
      <c r="D253" s="31" t="str">
        <f ca="1">VLOOKUP($C253,OFFSET(mission_unlock_criteria!$A$2,0,0,COUNTA(mission_unlock_criteria!$A:$A),MATCH(D$2,mission_unlock_criteria!$2:$2,0)-MATCH($C$2,mission_unlock_criteria!$2:$2,0)+1),MATCH(D$2,mission_unlock_criteria!$2:$2,0)-MATCH($C$2,mission_unlock_criteria!$2:$2,0)+1,FALSE)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53" s="27" t="s">
        <v>938</v>
      </c>
      <c r="F253" s="31" t="str">
        <f ca="1">VLOOKUP($E253,OFFSET(mission_ACH_criteria!$A$1,0,0,COUNTA(mission_ACH_criteria!$A:$A),MATCH(F$2,mission_ACH_criteria!$1:$1,0)-MATCH($E$2,mission_ACH_criteria!$1:$1,0)+1),MATCH(F$2,mission_ACH_criteria!$1:$1,0)-MATCH($E$2,mission_ACH_criteria!$1:$1,0)+1,FALSE)</f>
        <v>クエスト 【超絶級】雪の歌姫 をクリアしよう！</v>
      </c>
      <c r="G253" s="27" t="s">
        <v>948</v>
      </c>
      <c r="H253" s="31" t="str">
        <f t="shared" ca="1" si="97"/>
        <v>秘術の果実 x 1</v>
      </c>
      <c r="I253" s="31" t="str">
        <f ca="1">VLOOKUP($G253,OFFSET(mission_ACH!$A$2,0,0,COUNTA($A:$A),MATCH(I$2,mission_ACH!$2:$2,0)-MATCH($G$2,mission_ACH!$2:$2,0)+1),MATCH(I$2,mission_ACH!$2:$2,0)-MATCH($G$2,mission_ACH!$2:$2,0)+1,FALSE)</f>
        <v>unit</v>
      </c>
      <c r="J253" s="31">
        <f ca="1">VLOOKUP($G253,OFFSET(mission_ACH!$A$2,0,0,COUNTA($A:$A),MATCH(J$2,mission_ACH!$2:$2,0)-MATCH($G$2,mission_ACH!$2:$2,0)+1),MATCH(J$2,mission_ACH!$2:$2,0)-MATCH($G$2,mission_ACH!$2:$2,0)+1,FALSE)</f>
        <v>125</v>
      </c>
      <c r="K253" s="31" t="str">
        <f ca="1">IF(I253="unit",VLOOKUP($G253,OFFSET(mission_ACH!$A$2,0,0,COUNTA($A:$A),MATCH(K$2,mission_ACH!$2:$2,0)-MATCH($G$2,mission_ACH!$2:$2,0)+1),MATCH(K$2,mission_ACH!$2:$2,0)-MATCH($G$2,mission_ACH!$2:$2,0)+1,FALSE),"")</f>
        <v>秘術の果実</v>
      </c>
      <c r="L253" s="31">
        <f ca="1">VLOOKUP($G253,OFFSET(mission_ACH!$A$2,0,0,COUNTA($A:$A),MATCH(L$2,mission_ACH!$2:$2,0)-MATCH($G$2,mission_ACH!$2:$2,0)+1),MATCH(L$2,mission_ACH!$2:$2,0)-MATCH($G$2,mission_ACH!$2:$2,0)+1,FALSE)</f>
        <v>1</v>
      </c>
      <c r="M253" s="27">
        <v>50</v>
      </c>
      <c r="N253" s="87" t="s">
        <v>965</v>
      </c>
      <c r="O253" s="87" t="s">
        <v>1035</v>
      </c>
    </row>
    <row r="254" spans="1:16" ht="21" customHeight="1" x14ac:dyDescent="0.15">
      <c r="A254" s="27">
        <v>9006</v>
      </c>
      <c r="B254" s="26" t="str">
        <f t="shared" ca="1" si="92"/>
        <v>クエスト 【ウィザード級】熱唱！初音ミクV3 をクリアしよう！</v>
      </c>
      <c r="C254" s="27" t="s">
        <v>932</v>
      </c>
      <c r="D254" s="31" t="str">
        <f ca="1">VLOOKUP($C254,OFFSET(mission_unlock_criteria!$A$2,0,0,COUNTA(mission_unlock_criteria!$A:$A),MATCH(D$2,mission_unlock_criteria!$2:$2,0)-MATCH($C$2,mission_unlock_criteria!$2:$2,0)+1),MATCH(D$2,mission_unlock_criteria!$2:$2,0)-MATCH($C$2,mission_unlock_criteria!$2:$2,0)+1,FALSE)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54" s="27" t="s">
        <v>957</v>
      </c>
      <c r="F254" s="31" t="str">
        <f ca="1">VLOOKUP($E254,OFFSET(mission_ACH_criteria!$A$1,0,0,COUNTA(mission_ACH_criteria!$A:$A),MATCH(F$2,mission_ACH_criteria!$1:$1,0)-MATCH($E$2,mission_ACH_criteria!$1:$1,0)+1),MATCH(F$2,mission_ACH_criteria!$1:$1,0)-MATCH($E$2,mission_ACH_criteria!$1:$1,0)+1,FALSE)</f>
        <v>クエスト 【ウィザード級】熱唱！初音ミクV3 をクリアしよう！</v>
      </c>
      <c r="G254" s="27" t="s">
        <v>949</v>
      </c>
      <c r="H254" s="31" t="str">
        <f t="shared" ca="1" si="97"/>
        <v>雪ミク2016 x 1</v>
      </c>
      <c r="I254" s="31" t="str">
        <f ca="1">VLOOKUP($G254,OFFSET(mission_ACH!$A$2,0,0,COUNTA($A:$A),MATCH(I$2,mission_ACH!$2:$2,0)-MATCH($G$2,mission_ACH!$2:$2,0)+1),MATCH(I$2,mission_ACH!$2:$2,0)-MATCH($G$2,mission_ACH!$2:$2,0)+1,FALSE)</f>
        <v>unit</v>
      </c>
      <c r="J254" s="31">
        <f ca="1">VLOOKUP($G254,OFFSET(mission_ACH!$A$2,0,0,COUNTA($A:$A),MATCH(J$2,mission_ACH!$2:$2,0)-MATCH($G$2,mission_ACH!$2:$2,0)+1),MATCH(J$2,mission_ACH!$2:$2,0)-MATCH($G$2,mission_ACH!$2:$2,0)+1,FALSE)</f>
        <v>553</v>
      </c>
      <c r="K254" s="31" t="str">
        <f ca="1">IF(I254="unit",VLOOKUP($G254,OFFSET(mission_ACH!$A$2,0,0,COUNTA($A:$A),MATCH(K$2,mission_ACH!$2:$2,0)-MATCH($G$2,mission_ACH!$2:$2,0)+1),MATCH(K$2,mission_ACH!$2:$2,0)-MATCH($G$2,mission_ACH!$2:$2,0)+1,FALSE),"")</f>
        <v>雪ミク2016</v>
      </c>
      <c r="L254" s="31">
        <f ca="1">VLOOKUP($G254,OFFSET(mission_ACH!$A$2,0,0,COUNTA($A:$A),MATCH(L$2,mission_ACH!$2:$2,0)-MATCH($G$2,mission_ACH!$2:$2,0)+1),MATCH(L$2,mission_ACH!$2:$2,0)-MATCH($G$2,mission_ACH!$2:$2,0)+1,FALSE)</f>
        <v>1</v>
      </c>
      <c r="M254" s="27">
        <v>50</v>
      </c>
      <c r="N254" s="87" t="s">
        <v>964</v>
      </c>
      <c r="O254" s="87" t="s">
        <v>956</v>
      </c>
    </row>
    <row r="255" spans="1:16" s="101" customFormat="1" ht="21" customHeight="1" x14ac:dyDescent="0.15">
      <c r="A255" s="98">
        <v>9007</v>
      </c>
      <c r="B255" s="98" t="str">
        <f t="shared" ref="B255:B256" ca="1" si="98">F255</f>
        <v>バグ 60 のユニットをつくろう！</v>
      </c>
      <c r="C255" s="98" t="s">
        <v>998</v>
      </c>
      <c r="D255" s="99" t="str">
        <f ca="1">VLOOKUP($C255,OFFSET(mission_unlock_criteria!$A$2,0,0,COUNTA(mission_unlock_criteria!$A:$A),MATCH(D$2,mission_unlock_criteria!$2:$2,0)-MATCH($C$2,mission_unlock_criteria!$2:$2,0)+1),MATCH(D$2,mission_unlock_criteria!$2:$2,0)-MATCH($C$2,mission_unlock_criteria!$2:$2,0)+1,FALSE)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55" s="98" t="s">
        <v>1002</v>
      </c>
      <c r="F255" s="99" t="str">
        <f ca="1">VLOOKUP($E255,OFFSET(mission_ACH_criteria!$A$1,0,0,COUNTA(mission_ACH_criteria!$A:$A),MATCH(F$2,mission_ACH_criteria!$1:$1,0)-MATCH($E$2,mission_ACH_criteria!$1:$1,0)+1),MATCH(F$2,mission_ACH_criteria!$1:$1,0)-MATCH($E$2,mission_ACH_criteria!$1:$1,0)+1,FALSE)</f>
        <v>バグ 60 のユニットをつくろう！</v>
      </c>
      <c r="G255" s="98" t="s">
        <v>999</v>
      </c>
      <c r="H255" s="99" t="str">
        <f t="shared" ref="H255:H262" ca="1" si="99">IF(I255="unit",K255&amp;" x "&amp;L255,IF(I255="polygon","ポリゴン x "&amp;J255,IF(I255="bit","ビット x "&amp;J255,IF(I255="link","リンク x "&amp;J255))))</f>
        <v>ポリゴン x 1</v>
      </c>
      <c r="I255" s="99" t="str">
        <f ca="1">VLOOKUP($G255,OFFSET(mission_ACH!$A$2,0,0,COUNTA($A:$A),MATCH(I$2,mission_ACH!$2:$2,0)-MATCH($G$2,mission_ACH!$2:$2,0)+1),MATCH(I$2,mission_ACH!$2:$2,0)-MATCH($G$2,mission_ACH!$2:$2,0)+1,FALSE)</f>
        <v>polygon</v>
      </c>
      <c r="J255" s="99">
        <f ca="1">VLOOKUP($G255,OFFSET(mission_ACH!$A$2,0,0,COUNTA($A:$A),MATCH(J$2,mission_ACH!$2:$2,0)-MATCH($G$2,mission_ACH!$2:$2,0)+1),MATCH(J$2,mission_ACH!$2:$2,0)-MATCH($G$2,mission_ACH!$2:$2,0)+1,FALSE)</f>
        <v>1</v>
      </c>
      <c r="K255" s="99" t="str">
        <f ca="1">IF(I255="unit",VLOOKUP($G255,OFFSET(mission_ACH!$A$2,0,0,COUNTA($A:$A),MATCH(K$2,mission_ACH!$2:$2,0)-MATCH($G$2,mission_ACH!$2:$2,0)+1),MATCH(K$2,mission_ACH!$2:$2,0)-MATCH($G$2,mission_ACH!$2:$2,0)+1,FALSE),"")</f>
        <v/>
      </c>
      <c r="L255" s="99">
        <f ca="1">VLOOKUP($G255,OFFSET(mission_ACH!$A$2,0,0,COUNTA($A:$A),MATCH(L$2,mission_ACH!$2:$2,0)-MATCH($G$2,mission_ACH!$2:$2,0)+1),MATCH(L$2,mission_ACH!$2:$2,0)-MATCH($G$2,mission_ACH!$2:$2,0)+1,FALSE)</f>
        <v>0</v>
      </c>
      <c r="M255" s="98">
        <v>30</v>
      </c>
      <c r="N255" s="100" t="s">
        <v>1106</v>
      </c>
      <c r="O255" s="100" t="s">
        <v>1037</v>
      </c>
    </row>
    <row r="256" spans="1:16" s="101" customFormat="1" ht="21" customHeight="1" x14ac:dyDescent="0.15">
      <c r="A256" s="98">
        <v>9008</v>
      </c>
      <c r="B256" s="98" t="str">
        <f t="shared" ca="1" si="98"/>
        <v>バグ 75 のユニットをつくろう！</v>
      </c>
      <c r="C256" s="98" t="s">
        <v>998</v>
      </c>
      <c r="D256" s="99" t="str">
        <f ca="1">VLOOKUP($C256,OFFSET(mission_unlock_criteria!$A$2,0,0,COUNTA(mission_unlock_criteria!$A:$A),MATCH(D$2,mission_unlock_criteria!$2:$2,0)-MATCH($C$2,mission_unlock_criteria!$2:$2,0)+1),MATCH(D$2,mission_unlock_criteria!$2:$2,0)-MATCH($C$2,mission_unlock_criteria!$2:$2,0)+1,FALSE)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56" s="98" t="s">
        <v>1001</v>
      </c>
      <c r="F256" s="99" t="str">
        <f ca="1">VLOOKUP($E256,OFFSET(mission_ACH_criteria!$A$1,0,0,COUNTA(mission_ACH_criteria!$A:$A),MATCH(F$2,mission_ACH_criteria!$1:$1,0)-MATCH($E$2,mission_ACH_criteria!$1:$1,0)+1),MATCH(F$2,mission_ACH_criteria!$1:$1,0)-MATCH($E$2,mission_ACH_criteria!$1:$1,0)+1,FALSE)</f>
        <v>バグ 75 のユニットをつくろう！</v>
      </c>
      <c r="G256" s="98" t="s">
        <v>997</v>
      </c>
      <c r="H256" s="99" t="str">
        <f t="shared" ca="1" si="99"/>
        <v>ポリゴン x 1</v>
      </c>
      <c r="I256" s="99" t="str">
        <f ca="1">VLOOKUP($G256,OFFSET(mission_ACH!$A$2,0,0,COUNTA($A:$A),MATCH(I$2,mission_ACH!$2:$2,0)-MATCH($G$2,mission_ACH!$2:$2,0)+1),MATCH(I$2,mission_ACH!$2:$2,0)-MATCH($G$2,mission_ACH!$2:$2,0)+1,FALSE)</f>
        <v>polygon</v>
      </c>
      <c r="J256" s="99">
        <f ca="1">VLOOKUP($G256,OFFSET(mission_ACH!$A$2,0,0,COUNTA($A:$A),MATCH(J$2,mission_ACH!$2:$2,0)-MATCH($G$2,mission_ACH!$2:$2,0)+1),MATCH(J$2,mission_ACH!$2:$2,0)-MATCH($G$2,mission_ACH!$2:$2,0)+1,FALSE)</f>
        <v>1</v>
      </c>
      <c r="K256" s="99" t="str">
        <f ca="1">IF(I256="unit",VLOOKUP($G256,OFFSET(mission_ACH!$A$2,0,0,COUNTA($A:$A),MATCH(K$2,mission_ACH!$2:$2,0)-MATCH($G$2,mission_ACH!$2:$2,0)+1),MATCH(K$2,mission_ACH!$2:$2,0)-MATCH($G$2,mission_ACH!$2:$2,0)+1,FALSE),"")</f>
        <v/>
      </c>
      <c r="L256" s="99">
        <f ca="1">VLOOKUP($G256,OFFSET(mission_ACH!$A$2,0,0,COUNTA($A:$A),MATCH(L$2,mission_ACH!$2:$2,0)-MATCH($G$2,mission_ACH!$2:$2,0)+1),MATCH(L$2,mission_ACH!$2:$2,0)-MATCH($G$2,mission_ACH!$2:$2,0)+1,FALSE)</f>
        <v>0</v>
      </c>
      <c r="M256" s="98">
        <v>30</v>
      </c>
      <c r="N256" s="100" t="s">
        <v>1106</v>
      </c>
      <c r="O256" s="100" t="s">
        <v>1037</v>
      </c>
    </row>
    <row r="257" spans="1:16" ht="21" customHeight="1" x14ac:dyDescent="0.15">
      <c r="A257" s="27">
        <v>9010</v>
      </c>
      <c r="B257" s="26" t="str">
        <f t="shared" ref="B257:B266" ca="1" si="100">F257</f>
        <v>クエスト 【初級】黄巾賊の暴走を止めろ をクリアしよう！</v>
      </c>
      <c r="C257" s="27" t="s">
        <v>1055</v>
      </c>
      <c r="D257" s="31" t="str">
        <f ca="1">VLOOKUP($C257,OFFSET(mission_unlock_criteria!$A$2,0,0,COUNTA(mission_unlock_criteria!$A:$A),MATCH(D$2,mission_unlock_criteria!$2:$2,0)-MATCH($C$2,mission_unlock_criteria!$2:$2,0)+1),MATCH(D$2,mission_unlock_criteria!$2:$2,0)-MATCH($C$2,mission_unlock_criteria!$2:$2,0)+1,FALSE)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57" s="27" t="s">
        <v>1072</v>
      </c>
      <c r="F257" s="31" t="str">
        <f ca="1">VLOOKUP($E257,OFFSET(mission_ACH_criteria!$A$1,0,0,COUNTA(mission_ACH_criteria!$A:$A),MATCH(F$2,mission_ACH_criteria!$1:$1,0)-MATCH($E$2,mission_ACH_criteria!$1:$1,0)+1),MATCH(F$2,mission_ACH_criteria!$1:$1,0)-MATCH($E$2,mission_ACH_criteria!$1:$1,0)+1,FALSE)</f>
        <v>クエスト 【初級】黄巾賊の暴走を止めろ をクリアしよう！</v>
      </c>
      <c r="G257" s="27" t="s">
        <v>1059</v>
      </c>
      <c r="H257" s="31" t="str">
        <f t="shared" ca="1" si="99"/>
        <v>ポリゴン x 1</v>
      </c>
      <c r="I257" s="31" t="str">
        <f ca="1">VLOOKUP($G257,OFFSET(mission_ACH!$A$2,0,0,COUNTA($A:$A),MATCH(I$2,mission_ACH!$2:$2,0)-MATCH($G$2,mission_ACH!$2:$2,0)+1),MATCH(I$2,mission_ACH!$2:$2,0)-MATCH($G$2,mission_ACH!$2:$2,0)+1,FALSE)</f>
        <v>polygon</v>
      </c>
      <c r="J257" s="31">
        <f ca="1">VLOOKUP($G257,OFFSET(mission_ACH!$A$2,0,0,COUNTA($A:$A),MATCH(J$2,mission_ACH!$2:$2,0)-MATCH($G$2,mission_ACH!$2:$2,0)+1),MATCH(J$2,mission_ACH!$2:$2,0)-MATCH($G$2,mission_ACH!$2:$2,0)+1,FALSE)</f>
        <v>1</v>
      </c>
      <c r="K257" s="31" t="str">
        <f ca="1">IF(I257="unit",VLOOKUP($G257,OFFSET(mission_ACH!$A$2,0,0,COUNTA($A:$A),MATCH(K$2,mission_ACH!$2:$2,0)-MATCH($G$2,mission_ACH!$2:$2,0)+1),MATCH(K$2,mission_ACH!$2:$2,0)-MATCH($G$2,mission_ACH!$2:$2,0)+1,FALSE),"")</f>
        <v/>
      </c>
      <c r="L257" s="31">
        <f ca="1">VLOOKUP($G257,OFFSET(mission_ACH!$A$2,0,0,COUNTA($A:$A),MATCH(L$2,mission_ACH!$2:$2,0)-MATCH($G$2,mission_ACH!$2:$2,0)+1),MATCH(L$2,mission_ACH!$2:$2,0)-MATCH($G$2,mission_ACH!$2:$2,0)+1,FALSE)</f>
        <v>0</v>
      </c>
      <c r="M257" s="27">
        <v>89</v>
      </c>
      <c r="N257" s="87" t="s">
        <v>1105</v>
      </c>
      <c r="O257" s="87" t="s">
        <v>1060</v>
      </c>
    </row>
    <row r="258" spans="1:16" ht="21" customHeight="1" x14ac:dyDescent="0.15">
      <c r="A258" s="27">
        <v>9011</v>
      </c>
      <c r="B258" s="26" t="str">
        <f t="shared" ca="1" si="100"/>
        <v>クエスト 【初級】ブルースクウェアを追え！ をクリアしよう！</v>
      </c>
      <c r="C258" s="27" t="s">
        <v>1068</v>
      </c>
      <c r="D258" s="31" t="str">
        <f ca="1">VLOOKUP($C258,OFFSET(mission_unlock_criteria!$A$2,0,0,COUNTA(mission_unlock_criteria!$A:$A),MATCH(D$2,mission_unlock_criteria!$2:$2,0)-MATCH($C$2,mission_unlock_criteria!$2:$2,0)+1),MATCH(D$2,mission_unlock_criteria!$2:$2,0)-MATCH($C$2,mission_unlock_criteria!$2:$2,0)+1,FALSE)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58" s="27" t="s">
        <v>1074</v>
      </c>
      <c r="F258" s="31" t="str">
        <f ca="1">VLOOKUP($E258,OFFSET(mission_ACH_criteria!$A$1,0,0,COUNTA(mission_ACH_criteria!$A:$A),MATCH(F$2,mission_ACH_criteria!$1:$1,0)-MATCH($E$2,mission_ACH_criteria!$1:$1,0)+1),MATCH(F$2,mission_ACH_criteria!$1:$1,0)-MATCH($E$2,mission_ACH_criteria!$1:$1,0)+1,FALSE)</f>
        <v>クエスト 【初級】ブルースクウェアを追え！ をクリアしよう！</v>
      </c>
      <c r="G258" s="27" t="s">
        <v>1091</v>
      </c>
      <c r="H258" s="31" t="str">
        <f t="shared" ca="1" si="99"/>
        <v>ポリゴン x 1</v>
      </c>
      <c r="I258" s="31" t="str">
        <f ca="1">VLOOKUP($G258,OFFSET(mission_ACH!$A$2,0,0,COUNTA($A:$A),MATCH(I$2,mission_ACH!$2:$2,0)-MATCH($G$2,mission_ACH!$2:$2,0)+1),MATCH(I$2,mission_ACH!$2:$2,0)-MATCH($G$2,mission_ACH!$2:$2,0)+1,FALSE)</f>
        <v>polygon</v>
      </c>
      <c r="J258" s="31">
        <f ca="1">VLOOKUP($G258,OFFSET(mission_ACH!$A$2,0,0,COUNTA($A:$A),MATCH(J$2,mission_ACH!$2:$2,0)-MATCH($G$2,mission_ACH!$2:$2,0)+1),MATCH(J$2,mission_ACH!$2:$2,0)-MATCH($G$2,mission_ACH!$2:$2,0)+1,FALSE)</f>
        <v>1</v>
      </c>
      <c r="K258" s="31" t="str">
        <f ca="1">IF(I258="unit",VLOOKUP($G258,OFFSET(mission_ACH!$A$2,0,0,COUNTA($A:$A),MATCH(K$2,mission_ACH!$2:$2,0)-MATCH($G$2,mission_ACH!$2:$2,0)+1),MATCH(K$2,mission_ACH!$2:$2,0)-MATCH($G$2,mission_ACH!$2:$2,0)+1,FALSE),"")</f>
        <v/>
      </c>
      <c r="L258" s="31">
        <f ca="1">VLOOKUP($G258,OFFSET(mission_ACH!$A$2,0,0,COUNTA($A:$A),MATCH(L$2,mission_ACH!$2:$2,0)-MATCH($G$2,mission_ACH!$2:$2,0)+1),MATCH(L$2,mission_ACH!$2:$2,0)-MATCH($G$2,mission_ACH!$2:$2,0)+1,FALSE)</f>
        <v>0</v>
      </c>
      <c r="M258" s="27">
        <v>88</v>
      </c>
      <c r="N258" s="87" t="s">
        <v>1105</v>
      </c>
      <c r="O258" s="87" t="s">
        <v>1060</v>
      </c>
      <c r="P258" s="144">
        <v>9009</v>
      </c>
    </row>
    <row r="259" spans="1:16" ht="21" customHeight="1" x14ac:dyDescent="0.15">
      <c r="A259" s="27">
        <v>9012</v>
      </c>
      <c r="B259" s="26" t="str">
        <f t="shared" ca="1" si="100"/>
        <v>クエスト 【中級】黄巾賊の暴走を止めろ をクリアしよう！</v>
      </c>
      <c r="C259" s="27" t="s">
        <v>1068</v>
      </c>
      <c r="D259" s="31" t="str">
        <f ca="1">VLOOKUP($C259,OFFSET(mission_unlock_criteria!$A$2,0,0,COUNTA(mission_unlock_criteria!$A:$A),MATCH(D$2,mission_unlock_criteria!$2:$2,0)-MATCH($C$2,mission_unlock_criteria!$2:$2,0)+1),MATCH(D$2,mission_unlock_criteria!$2:$2,0)-MATCH($C$2,mission_unlock_criteria!$2:$2,0)+1,FALSE)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59" s="27" t="s">
        <v>1076</v>
      </c>
      <c r="F259" s="31" t="str">
        <f ca="1">VLOOKUP($E259,OFFSET(mission_ACH_criteria!$A$1,0,0,COUNTA(mission_ACH_criteria!$A:$A),MATCH(F$2,mission_ACH_criteria!$1:$1,0)-MATCH($E$2,mission_ACH_criteria!$1:$1,0)+1),MATCH(F$2,mission_ACH_criteria!$1:$1,0)-MATCH($E$2,mission_ACH_criteria!$1:$1,0)+1,FALSE)</f>
        <v>クエスト 【中級】黄巾賊の暴走を止めろ をクリアしよう！</v>
      </c>
      <c r="G259" s="27" t="s">
        <v>1092</v>
      </c>
      <c r="H259" s="31" t="str">
        <f t="shared" ca="1" si="99"/>
        <v>ポリゴン x 1</v>
      </c>
      <c r="I259" s="31" t="str">
        <f ca="1">VLOOKUP($G259,OFFSET(mission_ACH!$A$2,0,0,COUNTA($A:$A),MATCH(I$2,mission_ACH!$2:$2,0)-MATCH($G$2,mission_ACH!$2:$2,0)+1),MATCH(I$2,mission_ACH!$2:$2,0)-MATCH($G$2,mission_ACH!$2:$2,0)+1,FALSE)</f>
        <v>polygon</v>
      </c>
      <c r="J259" s="31">
        <f ca="1">VLOOKUP($G259,OFFSET(mission_ACH!$A$2,0,0,COUNTA($A:$A),MATCH(J$2,mission_ACH!$2:$2,0)-MATCH($G$2,mission_ACH!$2:$2,0)+1),MATCH(J$2,mission_ACH!$2:$2,0)-MATCH($G$2,mission_ACH!$2:$2,0)+1,FALSE)</f>
        <v>1</v>
      </c>
      <c r="K259" s="31" t="str">
        <f ca="1">IF(I259="unit",VLOOKUP($G259,OFFSET(mission_ACH!$A$2,0,0,COUNTA($A:$A),MATCH(K$2,mission_ACH!$2:$2,0)-MATCH($G$2,mission_ACH!$2:$2,0)+1),MATCH(K$2,mission_ACH!$2:$2,0)-MATCH($G$2,mission_ACH!$2:$2,0)+1,FALSE),"")</f>
        <v/>
      </c>
      <c r="L259" s="31">
        <f ca="1">VLOOKUP($G259,OFFSET(mission_ACH!$A$2,0,0,COUNTA($A:$A),MATCH(L$2,mission_ACH!$2:$2,0)-MATCH($G$2,mission_ACH!$2:$2,0)+1),MATCH(L$2,mission_ACH!$2:$2,0)-MATCH($G$2,mission_ACH!$2:$2,0)+1,FALSE)</f>
        <v>0</v>
      </c>
      <c r="M259" s="27">
        <v>87</v>
      </c>
      <c r="N259" s="87" t="s">
        <v>1105</v>
      </c>
      <c r="O259" s="87" t="s">
        <v>1060</v>
      </c>
    </row>
    <row r="260" spans="1:16" ht="21" customHeight="1" x14ac:dyDescent="0.15">
      <c r="A260" s="27">
        <v>9013</v>
      </c>
      <c r="B260" s="26" t="str">
        <f t="shared" ca="1" si="100"/>
        <v>クエスト 【中級】ブルースクウェアを追え！ をクリアしよう！</v>
      </c>
      <c r="C260" s="27" t="s">
        <v>1068</v>
      </c>
      <c r="D260" s="31" t="str">
        <f ca="1">VLOOKUP($C260,OFFSET(mission_unlock_criteria!$A$2,0,0,COUNTA(mission_unlock_criteria!$A:$A),MATCH(D$2,mission_unlock_criteria!$2:$2,0)-MATCH($C$2,mission_unlock_criteria!$2:$2,0)+1),MATCH(D$2,mission_unlock_criteria!$2:$2,0)-MATCH($C$2,mission_unlock_criteria!$2:$2,0)+1,FALSE)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60" s="27" t="s">
        <v>1078</v>
      </c>
      <c r="F260" s="31" t="str">
        <f ca="1">VLOOKUP($E260,OFFSET(mission_ACH_criteria!$A$1,0,0,COUNTA(mission_ACH_criteria!$A:$A),MATCH(F$2,mission_ACH_criteria!$1:$1,0)-MATCH($E$2,mission_ACH_criteria!$1:$1,0)+1),MATCH(F$2,mission_ACH_criteria!$1:$1,0)-MATCH($E$2,mission_ACH_criteria!$1:$1,0)+1,FALSE)</f>
        <v>クエスト 【中級】ブルースクウェアを追え！ をクリアしよう！</v>
      </c>
      <c r="G260" s="27" t="s">
        <v>1059</v>
      </c>
      <c r="H260" s="31" t="str">
        <f t="shared" ca="1" si="99"/>
        <v>ポリゴン x 1</v>
      </c>
      <c r="I260" s="31" t="str">
        <f ca="1">VLOOKUP($G260,OFFSET(mission_ACH!$A$2,0,0,COUNTA($A:$A),MATCH(I$2,mission_ACH!$2:$2,0)-MATCH($G$2,mission_ACH!$2:$2,0)+1),MATCH(I$2,mission_ACH!$2:$2,0)-MATCH($G$2,mission_ACH!$2:$2,0)+1,FALSE)</f>
        <v>polygon</v>
      </c>
      <c r="J260" s="31">
        <f ca="1">VLOOKUP($G260,OFFSET(mission_ACH!$A$2,0,0,COUNTA($A:$A),MATCH(J$2,mission_ACH!$2:$2,0)-MATCH($G$2,mission_ACH!$2:$2,0)+1),MATCH(J$2,mission_ACH!$2:$2,0)-MATCH($G$2,mission_ACH!$2:$2,0)+1,FALSE)</f>
        <v>1</v>
      </c>
      <c r="K260" s="31" t="str">
        <f ca="1">IF(I260="unit",VLOOKUP($G260,OFFSET(mission_ACH!$A$2,0,0,COUNTA($A:$A),MATCH(K$2,mission_ACH!$2:$2,0)-MATCH($G$2,mission_ACH!$2:$2,0)+1),MATCH(K$2,mission_ACH!$2:$2,0)-MATCH($G$2,mission_ACH!$2:$2,0)+1,FALSE),"")</f>
        <v/>
      </c>
      <c r="L260" s="31">
        <f ca="1">VLOOKUP($G260,OFFSET(mission_ACH!$A$2,0,0,COUNTA($A:$A),MATCH(L$2,mission_ACH!$2:$2,0)-MATCH($G$2,mission_ACH!$2:$2,0)+1),MATCH(L$2,mission_ACH!$2:$2,0)-MATCH($G$2,mission_ACH!$2:$2,0)+1,FALSE)</f>
        <v>0</v>
      </c>
      <c r="M260" s="27">
        <v>86</v>
      </c>
      <c r="N260" s="87" t="s">
        <v>1105</v>
      </c>
      <c r="O260" s="87" t="s">
        <v>1060</v>
      </c>
    </row>
    <row r="261" spans="1:16" ht="21" customHeight="1" x14ac:dyDescent="0.15">
      <c r="A261" s="27">
        <v>9014</v>
      </c>
      <c r="B261" s="26" t="str">
        <f t="shared" ca="1" si="100"/>
        <v>クエスト 【上級】黄巾賊の暴走を止めろ をクリアしよう！</v>
      </c>
      <c r="C261" s="27" t="s">
        <v>1068</v>
      </c>
      <c r="D261" s="31" t="str">
        <f ca="1">VLOOKUP($C261,OFFSET(mission_unlock_criteria!$A$2,0,0,COUNTA(mission_unlock_criteria!$A:$A),MATCH(D$2,mission_unlock_criteria!$2:$2,0)-MATCH($C$2,mission_unlock_criteria!$2:$2,0)+1),MATCH(D$2,mission_unlock_criteria!$2:$2,0)-MATCH($C$2,mission_unlock_criteria!$2:$2,0)+1,FALSE)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61" s="27" t="s">
        <v>1080</v>
      </c>
      <c r="F261" s="31" t="str">
        <f ca="1">VLOOKUP($E261,OFFSET(mission_ACH_criteria!$A$1,0,0,COUNTA(mission_ACH_criteria!$A:$A),MATCH(F$2,mission_ACH_criteria!$1:$1,0)-MATCH($E$2,mission_ACH_criteria!$1:$1,0)+1),MATCH(F$2,mission_ACH_criteria!$1:$1,0)-MATCH($E$2,mission_ACH_criteria!$1:$1,0)+1,FALSE)</f>
        <v>クエスト 【上級】黄巾賊の暴走を止めろ をクリアしよう！</v>
      </c>
      <c r="G261" s="27" t="s">
        <v>1093</v>
      </c>
      <c r="H261" s="31" t="str">
        <f t="shared" ca="1" si="99"/>
        <v>ポリゴン x 1</v>
      </c>
      <c r="I261" s="31" t="str">
        <f ca="1">VLOOKUP($G261,OFFSET(mission_ACH!$A$2,0,0,COUNTA($A:$A),MATCH(I$2,mission_ACH!$2:$2,0)-MATCH($G$2,mission_ACH!$2:$2,0)+1),MATCH(I$2,mission_ACH!$2:$2,0)-MATCH($G$2,mission_ACH!$2:$2,0)+1,FALSE)</f>
        <v>polygon</v>
      </c>
      <c r="J261" s="31">
        <f ca="1">VLOOKUP($G261,OFFSET(mission_ACH!$A$2,0,0,COUNTA($A:$A),MATCH(J$2,mission_ACH!$2:$2,0)-MATCH($G$2,mission_ACH!$2:$2,0)+1),MATCH(J$2,mission_ACH!$2:$2,0)-MATCH($G$2,mission_ACH!$2:$2,0)+1,FALSE)</f>
        <v>1</v>
      </c>
      <c r="K261" s="31" t="str">
        <f ca="1">IF(I261="unit",VLOOKUP($G261,OFFSET(mission_ACH!$A$2,0,0,COUNTA($A:$A),MATCH(K$2,mission_ACH!$2:$2,0)-MATCH($G$2,mission_ACH!$2:$2,0)+1),MATCH(K$2,mission_ACH!$2:$2,0)-MATCH($G$2,mission_ACH!$2:$2,0)+1,FALSE),"")</f>
        <v/>
      </c>
      <c r="L261" s="31">
        <f ca="1">VLOOKUP($G261,OFFSET(mission_ACH!$A$2,0,0,COUNTA($A:$A),MATCH(L$2,mission_ACH!$2:$2,0)-MATCH($G$2,mission_ACH!$2:$2,0)+1),MATCH(L$2,mission_ACH!$2:$2,0)-MATCH($G$2,mission_ACH!$2:$2,0)+1,FALSE)</f>
        <v>0</v>
      </c>
      <c r="M261" s="27">
        <v>85</v>
      </c>
      <c r="N261" s="87" t="s">
        <v>1105</v>
      </c>
      <c r="O261" s="87" t="s">
        <v>1060</v>
      </c>
    </row>
    <row r="262" spans="1:16" ht="21" customHeight="1" x14ac:dyDescent="0.15">
      <c r="A262" s="27">
        <v>9015</v>
      </c>
      <c r="B262" s="26" t="str">
        <f t="shared" ca="1" si="100"/>
        <v>クエスト 【上級】ブルースクウェアを追え！ をクリアしよう！</v>
      </c>
      <c r="C262" s="27" t="s">
        <v>1068</v>
      </c>
      <c r="D262" s="31" t="str">
        <f ca="1">VLOOKUP($C262,OFFSET(mission_unlock_criteria!$A$2,0,0,COUNTA(mission_unlock_criteria!$A:$A),MATCH(D$2,mission_unlock_criteria!$2:$2,0)-MATCH($C$2,mission_unlock_criteria!$2:$2,0)+1),MATCH(D$2,mission_unlock_criteria!$2:$2,0)-MATCH($C$2,mission_unlock_criteria!$2:$2,0)+1,FALSE)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62" s="27" t="s">
        <v>1082</v>
      </c>
      <c r="F262" s="31" t="str">
        <f ca="1">VLOOKUP($E262,OFFSET(mission_ACH_criteria!$A$1,0,0,COUNTA(mission_ACH_criteria!$A:$A),MATCH(F$2,mission_ACH_criteria!$1:$1,0)-MATCH($E$2,mission_ACH_criteria!$1:$1,0)+1),MATCH(F$2,mission_ACH_criteria!$1:$1,0)-MATCH($E$2,mission_ACH_criteria!$1:$1,0)+1,FALSE)</f>
        <v>クエスト 【上級】ブルースクウェアを追え！ をクリアしよう！</v>
      </c>
      <c r="G262" s="27" t="s">
        <v>1059</v>
      </c>
      <c r="H262" s="31" t="str">
        <f t="shared" ca="1" si="99"/>
        <v>ポリゴン x 1</v>
      </c>
      <c r="I262" s="31" t="str">
        <f ca="1">VLOOKUP($G262,OFFSET(mission_ACH!$A$2,0,0,COUNTA($A:$A),MATCH(I$2,mission_ACH!$2:$2,0)-MATCH($G$2,mission_ACH!$2:$2,0)+1),MATCH(I$2,mission_ACH!$2:$2,0)-MATCH($G$2,mission_ACH!$2:$2,0)+1,FALSE)</f>
        <v>polygon</v>
      </c>
      <c r="J262" s="31">
        <f ca="1">VLOOKUP($G262,OFFSET(mission_ACH!$A$2,0,0,COUNTA($A:$A),MATCH(J$2,mission_ACH!$2:$2,0)-MATCH($G$2,mission_ACH!$2:$2,0)+1),MATCH(J$2,mission_ACH!$2:$2,0)-MATCH($G$2,mission_ACH!$2:$2,0)+1,FALSE)</f>
        <v>1</v>
      </c>
      <c r="K262" s="31" t="str">
        <f ca="1">IF(I262="unit",VLOOKUP($G262,OFFSET(mission_ACH!$A$2,0,0,COUNTA($A:$A),MATCH(K$2,mission_ACH!$2:$2,0)-MATCH($G$2,mission_ACH!$2:$2,0)+1),MATCH(K$2,mission_ACH!$2:$2,0)-MATCH($G$2,mission_ACH!$2:$2,0)+1,FALSE),"")</f>
        <v/>
      </c>
      <c r="L262" s="31">
        <f ca="1">VLOOKUP($G262,OFFSET(mission_ACH!$A$2,0,0,COUNTA($A:$A),MATCH(L$2,mission_ACH!$2:$2,0)-MATCH($G$2,mission_ACH!$2:$2,0)+1),MATCH(L$2,mission_ACH!$2:$2,0)-MATCH($G$2,mission_ACH!$2:$2,0)+1,FALSE)</f>
        <v>0</v>
      </c>
      <c r="M262" s="27">
        <v>84</v>
      </c>
      <c r="N262" s="87" t="s">
        <v>1105</v>
      </c>
      <c r="O262" s="87" t="s">
        <v>1060</v>
      </c>
    </row>
    <row r="263" spans="1:16" ht="21" customHeight="1" x14ac:dyDescent="0.15">
      <c r="A263" s="27">
        <v>9016</v>
      </c>
      <c r="B263" s="26" t="str">
        <f t="shared" ca="1" si="100"/>
        <v>クエスト 【超級】黄巾賊の暴走を止めろ をクリアしよう！</v>
      </c>
      <c r="C263" s="27" t="s">
        <v>1068</v>
      </c>
      <c r="D263" s="31" t="str">
        <f ca="1">VLOOKUP($C263,OFFSET(mission_unlock_criteria!$A$2,0,0,COUNTA(mission_unlock_criteria!$A:$A),MATCH(D$2,mission_unlock_criteria!$2:$2,0)-MATCH($C$2,mission_unlock_criteria!$2:$2,0)+1),MATCH(D$2,mission_unlock_criteria!$2:$2,0)-MATCH($C$2,mission_unlock_criteria!$2:$2,0)+1,FALSE)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63" s="27" t="s">
        <v>1084</v>
      </c>
      <c r="F263" s="31" t="str">
        <f ca="1">VLOOKUP($E263,OFFSET(mission_ACH_criteria!$A$1,0,0,COUNTA(mission_ACH_criteria!$A:$A),MATCH(F$2,mission_ACH_criteria!$1:$1,0)-MATCH($E$2,mission_ACH_criteria!$1:$1,0)+1),MATCH(F$2,mission_ACH_criteria!$1:$1,0)-MATCH($E$2,mission_ACH_criteria!$1:$1,0)+1,FALSE)</f>
        <v>クエスト 【超級】黄巾賊の暴走を止めろ をクリアしよう！</v>
      </c>
      <c r="G263" s="27" t="s">
        <v>1094</v>
      </c>
      <c r="H263" s="31" t="str">
        <f t="shared" ref="H263:H266" ca="1" si="101">IF(I263="unit",K263&amp;" x "&amp;L263,IF(I263="polygon","ポリゴン x "&amp;J263,IF(I263="bit","ビット x "&amp;J263,IF(I263="link","リンク x "&amp;J263))))</f>
        <v>秘術の果実 x 1</v>
      </c>
      <c r="I263" s="31" t="str">
        <f ca="1">VLOOKUP($G263,OFFSET(mission_ACH!$A$2,0,0,COUNTA($A:$A),MATCH(I$2,mission_ACH!$2:$2,0)-MATCH($G$2,mission_ACH!$2:$2,0)+1),MATCH(I$2,mission_ACH!$2:$2,0)-MATCH($G$2,mission_ACH!$2:$2,0)+1,FALSE)</f>
        <v>unit</v>
      </c>
      <c r="J263" s="31">
        <f ca="1">VLOOKUP($G263,OFFSET(mission_ACH!$A$2,0,0,COUNTA($A:$A),MATCH(J$2,mission_ACH!$2:$2,0)-MATCH($G$2,mission_ACH!$2:$2,0)+1),MATCH(J$2,mission_ACH!$2:$2,0)-MATCH($G$2,mission_ACH!$2:$2,0)+1,FALSE)</f>
        <v>125</v>
      </c>
      <c r="K263" s="31" t="str">
        <f ca="1">IF(I263="unit",VLOOKUP($G263,OFFSET(mission_ACH!$A$2,0,0,COUNTA($A:$A),MATCH(K$2,mission_ACH!$2:$2,0)-MATCH($G$2,mission_ACH!$2:$2,0)+1),MATCH(K$2,mission_ACH!$2:$2,0)-MATCH($G$2,mission_ACH!$2:$2,0)+1,FALSE),"")</f>
        <v>秘術の果実</v>
      </c>
      <c r="L263" s="31">
        <f ca="1">VLOOKUP($G263,OFFSET(mission_ACH!$A$2,0,0,COUNTA($A:$A),MATCH(L$2,mission_ACH!$2:$2,0)-MATCH($G$2,mission_ACH!$2:$2,0)+1),MATCH(L$2,mission_ACH!$2:$2,0)-MATCH($G$2,mission_ACH!$2:$2,0)+1,FALSE)</f>
        <v>1</v>
      </c>
      <c r="M263" s="27">
        <v>83</v>
      </c>
      <c r="N263" s="87" t="s">
        <v>1105</v>
      </c>
      <c r="O263" s="87" t="s">
        <v>1060</v>
      </c>
    </row>
    <row r="264" spans="1:16" ht="21" customHeight="1" x14ac:dyDescent="0.15">
      <c r="A264" s="27">
        <v>9017</v>
      </c>
      <c r="B264" s="26" t="str">
        <f t="shared" ca="1" si="100"/>
        <v>クエスト 【超級】ブルースクウェアを追え！ をクリアしよう！</v>
      </c>
      <c r="C264" s="27" t="s">
        <v>1069</v>
      </c>
      <c r="D264" s="31" t="str">
        <f ca="1">VLOOKUP($C264,OFFSET(mission_unlock_criteria!$A$2,0,0,COUNTA(mission_unlock_criteria!$A:$A),MATCH(D$2,mission_unlock_criteria!$2:$2,0)-MATCH($C$2,mission_unlock_criteria!$2:$2,0)+1),MATCH(D$2,mission_unlock_criteria!$2:$2,0)-MATCH($C$2,mission_unlock_criteria!$2:$2,0)+1,FALSE)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64" s="27" t="s">
        <v>1086</v>
      </c>
      <c r="F264" s="31" t="str">
        <f ca="1">VLOOKUP($E264,OFFSET(mission_ACH_criteria!$A$1,0,0,COUNTA(mission_ACH_criteria!$A:$A),MATCH(F$2,mission_ACH_criteria!$1:$1,0)-MATCH($E$2,mission_ACH_criteria!$1:$1,0)+1),MATCH(F$2,mission_ACH_criteria!$1:$1,0)-MATCH($E$2,mission_ACH_criteria!$1:$1,0)+1,FALSE)</f>
        <v>クエスト 【超級】ブルースクウェアを追え！ をクリアしよう！</v>
      </c>
      <c r="G264" s="27" t="s">
        <v>1095</v>
      </c>
      <c r="H264" s="31" t="str">
        <f t="shared" ca="1" si="101"/>
        <v>秘術の果実 x 1</v>
      </c>
      <c r="I264" s="31" t="str">
        <f ca="1">VLOOKUP($G264,OFFSET(mission_ACH!$A$2,0,0,COUNTA($A:$A),MATCH(I$2,mission_ACH!$2:$2,0)-MATCH($G$2,mission_ACH!$2:$2,0)+1),MATCH(I$2,mission_ACH!$2:$2,0)-MATCH($G$2,mission_ACH!$2:$2,0)+1,FALSE)</f>
        <v>unit</v>
      </c>
      <c r="J264" s="31">
        <f ca="1">VLOOKUP($G264,OFFSET(mission_ACH!$A$2,0,0,COUNTA($A:$A),MATCH(J$2,mission_ACH!$2:$2,0)-MATCH($G$2,mission_ACH!$2:$2,0)+1),MATCH(J$2,mission_ACH!$2:$2,0)-MATCH($G$2,mission_ACH!$2:$2,0)+1,FALSE)</f>
        <v>125</v>
      </c>
      <c r="K264" s="31" t="str">
        <f ca="1">IF(I264="unit",VLOOKUP($G264,OFFSET(mission_ACH!$A$2,0,0,COUNTA($A:$A),MATCH(K$2,mission_ACH!$2:$2,0)-MATCH($G$2,mission_ACH!$2:$2,0)+1),MATCH(K$2,mission_ACH!$2:$2,0)-MATCH($G$2,mission_ACH!$2:$2,0)+1,FALSE),"")</f>
        <v>秘術の果実</v>
      </c>
      <c r="L264" s="31">
        <f ca="1">VLOOKUP($G264,OFFSET(mission_ACH!$A$2,0,0,COUNTA($A:$A),MATCH(L$2,mission_ACH!$2:$2,0)-MATCH($G$2,mission_ACH!$2:$2,0)+1),MATCH(L$2,mission_ACH!$2:$2,0)-MATCH($G$2,mission_ACH!$2:$2,0)+1,FALSE)</f>
        <v>1</v>
      </c>
      <c r="M264" s="27">
        <v>82</v>
      </c>
      <c r="N264" s="87" t="s">
        <v>1105</v>
      </c>
      <c r="O264" s="87" t="s">
        <v>1060</v>
      </c>
    </row>
    <row r="265" spans="1:16" ht="21" customHeight="1" x14ac:dyDescent="0.15">
      <c r="A265" s="27">
        <v>9018</v>
      </c>
      <c r="B265" s="26" t="str">
        <f t="shared" ca="1" si="100"/>
        <v>クエスト 【ウィザード級】園原杏里襲来 をクリアしよう！</v>
      </c>
      <c r="C265" s="27" t="s">
        <v>1070</v>
      </c>
      <c r="D265" s="31" t="str">
        <f ca="1">VLOOKUP($C265,OFFSET(mission_unlock_criteria!$A$2,0,0,COUNTA(mission_unlock_criteria!$A:$A),MATCH(D$2,mission_unlock_criteria!$2:$2,0)-MATCH($C$2,mission_unlock_criteria!$2:$2,0)+1),MATCH(D$2,mission_unlock_criteria!$2:$2,0)-MATCH($C$2,mission_unlock_criteria!$2:$2,0)+1,FALSE)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65" s="27" t="s">
        <v>1088</v>
      </c>
      <c r="F265" s="31" t="str">
        <f ca="1">VLOOKUP($E265,OFFSET(mission_ACH_criteria!$A$1,0,0,COUNTA(mission_ACH_criteria!$A:$A),MATCH(F$2,mission_ACH_criteria!$1:$1,0)-MATCH($E$2,mission_ACH_criteria!$1:$1,0)+1),MATCH(F$2,mission_ACH_criteria!$1:$1,0)-MATCH($E$2,mission_ACH_criteria!$1:$1,0)+1,FALSE)</f>
        <v>クエスト 【ウィザード級】園原杏里襲来 をクリアしよう！</v>
      </c>
      <c r="G265" s="27" t="s">
        <v>1095</v>
      </c>
      <c r="H265" s="31" t="str">
        <f t="shared" ca="1" si="101"/>
        <v>秘術の果実 x 1</v>
      </c>
      <c r="I265" s="31" t="str">
        <f ca="1">VLOOKUP($G265,OFFSET(mission_ACH!$A$2,0,0,COUNTA($A:$A),MATCH(I$2,mission_ACH!$2:$2,0)-MATCH($G$2,mission_ACH!$2:$2,0)+1),MATCH(I$2,mission_ACH!$2:$2,0)-MATCH($G$2,mission_ACH!$2:$2,0)+1,FALSE)</f>
        <v>unit</v>
      </c>
      <c r="J265" s="31">
        <f ca="1">VLOOKUP($G265,OFFSET(mission_ACH!$A$2,0,0,COUNTA($A:$A),MATCH(J$2,mission_ACH!$2:$2,0)-MATCH($G$2,mission_ACH!$2:$2,0)+1),MATCH(J$2,mission_ACH!$2:$2,0)-MATCH($G$2,mission_ACH!$2:$2,0)+1,FALSE)</f>
        <v>125</v>
      </c>
      <c r="K265" s="31" t="str">
        <f ca="1">IF(I265="unit",VLOOKUP($G265,OFFSET(mission_ACH!$A$2,0,0,COUNTA($A:$A),MATCH(K$2,mission_ACH!$2:$2,0)-MATCH($G$2,mission_ACH!$2:$2,0)+1),MATCH(K$2,mission_ACH!$2:$2,0)-MATCH($G$2,mission_ACH!$2:$2,0)+1,FALSE),"")</f>
        <v>秘術の果実</v>
      </c>
      <c r="L265" s="31">
        <f ca="1">VLOOKUP($G265,OFFSET(mission_ACH!$A$2,0,0,COUNTA($A:$A),MATCH(L$2,mission_ACH!$2:$2,0)-MATCH($G$2,mission_ACH!$2:$2,0)+1),MATCH(L$2,mission_ACH!$2:$2,0)-MATCH($G$2,mission_ACH!$2:$2,0)+1,FALSE)</f>
        <v>1</v>
      </c>
      <c r="M265" s="27">
        <v>81</v>
      </c>
      <c r="N265" s="87" t="s">
        <v>1105</v>
      </c>
      <c r="O265" s="87" t="s">
        <v>1060</v>
      </c>
    </row>
    <row r="266" spans="1:16" ht="21" customHeight="1" x14ac:dyDescent="0.15">
      <c r="A266" s="27">
        <v>9019</v>
      </c>
      <c r="B266" s="26" t="str">
        <f t="shared" ca="1" si="100"/>
        <v>クエスト 【ウィザード級】折原臨也襲来 をクリアしよう！</v>
      </c>
      <c r="C266" s="27" t="s">
        <v>1068</v>
      </c>
      <c r="D266" s="31" t="str">
        <f ca="1">VLOOKUP($C266,OFFSET(mission_unlock_criteria!$A$2,0,0,COUNTA(mission_unlock_criteria!$A:$A),MATCH(D$2,mission_unlock_criteria!$2:$2,0)-MATCH($C$2,mission_unlock_criteria!$2:$2,0)+1),MATCH(D$2,mission_unlock_criteria!$2:$2,0)-MATCH($C$2,mission_unlock_criteria!$2:$2,0)+1,FALSE)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66" s="27" t="s">
        <v>1090</v>
      </c>
      <c r="F266" s="31" t="str">
        <f ca="1">VLOOKUP($E266,OFFSET(mission_ACH_criteria!$A$1,0,0,COUNTA(mission_ACH_criteria!$A:$A),MATCH(F$2,mission_ACH_criteria!$1:$1,0)-MATCH($E$2,mission_ACH_criteria!$1:$1,0)+1),MATCH(F$2,mission_ACH_criteria!$1:$1,0)-MATCH($E$2,mission_ACH_criteria!$1:$1,0)+1,FALSE)</f>
        <v>クエスト 【ウィザード級】折原臨也襲来 をクリアしよう！</v>
      </c>
      <c r="G266" s="27" t="s">
        <v>1436</v>
      </c>
      <c r="H266" s="31" t="str">
        <f t="shared" ca="1" si="101"/>
        <v>秘術の果実 x 1</v>
      </c>
      <c r="I266" s="31" t="str">
        <f ca="1">VLOOKUP($G266,OFFSET(mission_ACH!$A$2,0,0,COUNTA($A:$A),MATCH(I$2,mission_ACH!$2:$2,0)-MATCH($G$2,mission_ACH!$2:$2,0)+1),MATCH(I$2,mission_ACH!$2:$2,0)-MATCH($G$2,mission_ACH!$2:$2,0)+1,FALSE)</f>
        <v>unit</v>
      </c>
      <c r="J266" s="31">
        <f ca="1">VLOOKUP($G266,OFFSET(mission_ACH!$A$2,0,0,COUNTA($A:$A),MATCH(J$2,mission_ACH!$2:$2,0)-MATCH($G$2,mission_ACH!$2:$2,0)+1),MATCH(J$2,mission_ACH!$2:$2,0)-MATCH($G$2,mission_ACH!$2:$2,0)+1,FALSE)</f>
        <v>125</v>
      </c>
      <c r="K266" s="31" t="str">
        <f ca="1">IF(I266="unit",VLOOKUP($G266,OFFSET(mission_ACH!$A$2,0,0,COUNTA($A:$A),MATCH(K$2,mission_ACH!$2:$2,0)-MATCH($G$2,mission_ACH!$2:$2,0)+1),MATCH(K$2,mission_ACH!$2:$2,0)-MATCH($G$2,mission_ACH!$2:$2,0)+1,FALSE),"")</f>
        <v>秘術の果実</v>
      </c>
      <c r="L266" s="31">
        <f ca="1">VLOOKUP($G266,OFFSET(mission_ACH!$A$2,0,0,COUNTA($A:$A),MATCH(L$2,mission_ACH!$2:$2,0)-MATCH($G$2,mission_ACH!$2:$2,0)+1),MATCH(L$2,mission_ACH!$2:$2,0)-MATCH($G$2,mission_ACH!$2:$2,0)+1,FALSE)</f>
        <v>1</v>
      </c>
      <c r="M266" s="27">
        <v>81</v>
      </c>
      <c r="N266" s="87" t="s">
        <v>1105</v>
      </c>
      <c r="O266" s="87" t="s">
        <v>1060</v>
      </c>
    </row>
    <row r="267" spans="1:16" ht="21" customHeight="1" x14ac:dyDescent="0.15">
      <c r="A267" s="27">
        <v>9020</v>
      </c>
      <c r="B267" s="26" t="str">
        <f t="shared" ref="B267:B352" ca="1" si="102">F267</f>
        <v>200万DL突破をTwitterでツイートしよう！</v>
      </c>
      <c r="C267" s="27" t="s">
        <v>893</v>
      </c>
      <c r="D267" s="31" t="str">
        <f ca="1">VLOOKUP($C267,OFFSET(mission_unlock_criteria!$A$2,0,0,COUNTA(mission_unlock_criteria!$A:$A),MATCH(D$2,mission_unlock_criteria!$2:$2,0)-MATCH($C$2,mission_unlock_criteria!$2:$2,0)+1),MATCH(D$2,mission_unlock_criteria!$2:$2,0)-MATCH($C$2,mission_unlock_criteria!$2:$2,0)+1,FALSE)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67" s="2" t="s">
        <v>1038</v>
      </c>
      <c r="F267" s="31" t="str">
        <f ca="1">VLOOKUP($E267,OFFSET(mission_ACH_criteria!$A$1,0,0,COUNTA(mission_ACH_criteria!$A:$A),MATCH(F$2,mission_ACH_criteria!$1:$1,0)-MATCH($E$2,mission_ACH_criteria!$1:$1,0)+1),MATCH(F$2,mission_ACH_criteria!$1:$1,0)-MATCH($E$2,mission_ACH_criteria!$1:$1,0)+1,FALSE)</f>
        <v>200万DL突破をTwitterでツイートしよう！</v>
      </c>
      <c r="G267" s="27" t="s">
        <v>894</v>
      </c>
      <c r="H267" s="31" t="str">
        <f t="shared" ref="H267:H268" ca="1" si="103">IF(I267="unit",K267&amp;" x "&amp;L267,IF(I267="polygon","ポリゴン x "&amp;J267,IF(I267="bit","ビット x "&amp;J267,IF(I267="link","リンク x "&amp;J267))))</f>
        <v>ポリゴン x 1</v>
      </c>
      <c r="I267" s="31" t="str">
        <f ca="1">VLOOKUP($G267,OFFSET(mission_ACH!$A$2,0,0,COUNTA($A:$A),MATCH(I$2,mission_ACH!$2:$2,0)-MATCH($G$2,mission_ACH!$2:$2,0)+1),MATCH(I$2,mission_ACH!$2:$2,0)-MATCH($G$2,mission_ACH!$2:$2,0)+1,FALSE)</f>
        <v>polygon</v>
      </c>
      <c r="J267" s="31">
        <f ca="1">VLOOKUP($G267,OFFSET(mission_ACH!$A$2,0,0,COUNTA($A:$A),MATCH(J$2,mission_ACH!$2:$2,0)-MATCH($G$2,mission_ACH!$2:$2,0)+1),MATCH(J$2,mission_ACH!$2:$2,0)-MATCH($G$2,mission_ACH!$2:$2,0)+1,FALSE)</f>
        <v>1</v>
      </c>
      <c r="K267" s="31" t="str">
        <f ca="1">IF(I267="unit",VLOOKUP($G267,OFFSET(mission_ACH!$A$2,0,0,COUNTA($A:$A),MATCH(K$2,mission_ACH!$2:$2,0)-MATCH($G$2,mission_ACH!$2:$2,0)+1),MATCH(K$2,mission_ACH!$2:$2,0)-MATCH($G$2,mission_ACH!$2:$2,0)+1,FALSE),"")</f>
        <v/>
      </c>
      <c r="L267" s="31">
        <f ca="1">VLOOKUP($G267,OFFSET(mission_ACH!$A$2,0,0,COUNTA($A:$A),MATCH(L$2,mission_ACH!$2:$2,0)-MATCH($G$2,mission_ACH!$2:$2,0)+1),MATCH(L$2,mission_ACH!$2:$2,0)-MATCH($G$2,mission_ACH!$2:$2,0)+1,FALSE)</f>
        <v>0</v>
      </c>
      <c r="M267" s="27">
        <v>50</v>
      </c>
      <c r="N267" s="87" t="s">
        <v>1041</v>
      </c>
      <c r="O267" s="87" t="s">
        <v>1042</v>
      </c>
    </row>
    <row r="268" spans="1:16" ht="21" customHeight="1" x14ac:dyDescent="0.15">
      <c r="A268" s="27">
        <v>9021</v>
      </c>
      <c r="B268" s="26" t="str">
        <f t="shared" ca="1" si="102"/>
        <v>200万DL突破をLINEで友だちに教えてあげよう！</v>
      </c>
      <c r="C268" s="27" t="s">
        <v>893</v>
      </c>
      <c r="D268" s="31" t="str">
        <f ca="1">VLOOKUP($C268,OFFSET(mission_unlock_criteria!$A$2,0,0,COUNTA(mission_unlock_criteria!$A:$A),MATCH(D$2,mission_unlock_criteria!$2:$2,0)-MATCH($C$2,mission_unlock_criteria!$2:$2,0)+1),MATCH(D$2,mission_unlock_criteria!$2:$2,0)-MATCH($C$2,mission_unlock_criteria!$2:$2,0)+1,FALSE)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68" s="2" t="s">
        <v>1433</v>
      </c>
      <c r="F268" s="31" t="str">
        <f ca="1">VLOOKUP($E268,OFFSET(mission_ACH_criteria!$A$1,0,0,COUNTA(mission_ACH_criteria!$A:$A),MATCH(F$2,mission_ACH_criteria!$1:$1,0)-MATCH($E$2,mission_ACH_criteria!$1:$1,0)+1),MATCH(F$2,mission_ACH_criteria!$1:$1,0)-MATCH($E$2,mission_ACH_criteria!$1:$1,0)+1,FALSE)</f>
        <v>200万DL突破をLINEで友だちに教えてあげよう！</v>
      </c>
      <c r="G268" s="27" t="s">
        <v>47</v>
      </c>
      <c r="H268" s="31" t="str">
        <f t="shared" ca="1" si="103"/>
        <v>ポリゴン x 1</v>
      </c>
      <c r="I268" s="31" t="str">
        <f ca="1">VLOOKUP($G268,OFFSET(mission_ACH!$A$2,0,0,COUNTA($A:$A),MATCH(I$2,mission_ACH!$2:$2,0)-MATCH($G$2,mission_ACH!$2:$2,0)+1),MATCH(I$2,mission_ACH!$2:$2,0)-MATCH($G$2,mission_ACH!$2:$2,0)+1,FALSE)</f>
        <v>polygon</v>
      </c>
      <c r="J268" s="31">
        <f ca="1">VLOOKUP($G268,OFFSET(mission_ACH!$A$2,0,0,COUNTA($A:$A),MATCH(J$2,mission_ACH!$2:$2,0)-MATCH($G$2,mission_ACH!$2:$2,0)+1),MATCH(J$2,mission_ACH!$2:$2,0)-MATCH($G$2,mission_ACH!$2:$2,0)+1,FALSE)</f>
        <v>1</v>
      </c>
      <c r="K268" s="31" t="str">
        <f ca="1">IF(I268="unit",VLOOKUP($G268,OFFSET(mission_ACH!$A$2,0,0,COUNTA($A:$A),MATCH(K$2,mission_ACH!$2:$2,0)-MATCH($G$2,mission_ACH!$2:$2,0)+1),MATCH(K$2,mission_ACH!$2:$2,0)-MATCH($G$2,mission_ACH!$2:$2,0)+1,FALSE),"")</f>
        <v/>
      </c>
      <c r="L268" s="31">
        <f ca="1">VLOOKUP($G268,OFFSET(mission_ACH!$A$2,0,0,COUNTA($A:$A),MATCH(L$2,mission_ACH!$2:$2,0)-MATCH($G$2,mission_ACH!$2:$2,0)+1),MATCH(L$2,mission_ACH!$2:$2,0)-MATCH($G$2,mission_ACH!$2:$2,0)+1,FALSE)</f>
        <v>0</v>
      </c>
      <c r="M268" s="27">
        <v>50</v>
      </c>
      <c r="N268" s="87" t="s">
        <v>1041</v>
      </c>
      <c r="O268" s="87" t="s">
        <v>1042</v>
      </c>
    </row>
    <row r="269" spans="1:16" ht="21" customHeight="1" x14ac:dyDescent="0.15">
      <c r="A269" s="27">
        <v>9022</v>
      </c>
      <c r="B269" s="26" t="str">
        <f t="shared" ref="B269:B273" ca="1" si="104">F269</f>
        <v>【初級】ニムダのおきにいり♪  をクリアしよう！</v>
      </c>
      <c r="C269" s="27" t="s">
        <v>893</v>
      </c>
      <c r="D269" s="31" t="str">
        <f ca="1">VLOOKUP($C269,OFFSET(mission_unlock_criteria!$A$2,0,0,COUNTA(mission_unlock_criteria!$A:$A),MATCH(D$2,mission_unlock_criteria!$2:$2,0)-MATCH($C$2,mission_unlock_criteria!$2:$2,0)+1),MATCH(D$2,mission_unlock_criteria!$2:$2,0)-MATCH($C$2,mission_unlock_criteria!$2:$2,0)+1,FALSE)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69" s="2" t="s">
        <v>1419</v>
      </c>
      <c r="F269" s="31" t="str">
        <f ca="1">VLOOKUP($E269,OFFSET(mission_ACH_criteria!$A$1,0,0,COUNTA(mission_ACH_criteria!$A:$A),MATCH(F$2,mission_ACH_criteria!$1:$1,0)-MATCH($E$2,mission_ACH_criteria!$1:$1,0)+1),MATCH(F$2,mission_ACH_criteria!$1:$1,0)-MATCH($E$2,mission_ACH_criteria!$1:$1,0)+1,FALSE)</f>
        <v>【初級】ニムダのおきにいり♪  をクリアしよう！</v>
      </c>
      <c r="G269" s="27" t="s">
        <v>47</v>
      </c>
      <c r="H269" s="31" t="str">
        <f t="shared" ref="H269:H273" ca="1" si="105">IF(I269="unit",K269&amp;" x "&amp;L269,IF(I269="polygon","ポリゴン x "&amp;J269,IF(I269="bit","ビット x "&amp;J269,IF(I269="link","リンク x "&amp;J269))))</f>
        <v>ポリゴン x 1</v>
      </c>
      <c r="I269" s="31" t="str">
        <f ca="1">VLOOKUP($G269,OFFSET(mission_ACH!$A$2,0,0,COUNTA($A:$A),MATCH(I$2,mission_ACH!$2:$2,0)-MATCH($G$2,mission_ACH!$2:$2,0)+1),MATCH(I$2,mission_ACH!$2:$2,0)-MATCH($G$2,mission_ACH!$2:$2,0)+1,FALSE)</f>
        <v>polygon</v>
      </c>
      <c r="J269" s="31">
        <f ca="1">VLOOKUP($G269,OFFSET(mission_ACH!$A$2,0,0,COUNTA($A:$A),MATCH(J$2,mission_ACH!$2:$2,0)-MATCH($G$2,mission_ACH!$2:$2,0)+1),MATCH(J$2,mission_ACH!$2:$2,0)-MATCH($G$2,mission_ACH!$2:$2,0)+1,FALSE)</f>
        <v>1</v>
      </c>
      <c r="K269" s="31" t="str">
        <f ca="1">IF(I269="unit",VLOOKUP($G269,OFFSET(mission_ACH!$A$2,0,0,COUNTA($A:$A),MATCH(K$2,mission_ACH!$2:$2,0)-MATCH($G$2,mission_ACH!$2:$2,0)+1),MATCH(K$2,mission_ACH!$2:$2,0)-MATCH($G$2,mission_ACH!$2:$2,0)+1,FALSE),"")</f>
        <v/>
      </c>
      <c r="L269" s="31">
        <f ca="1">VLOOKUP($G269,OFFSET(mission_ACH!$A$2,0,0,COUNTA($A:$A),MATCH(L$2,mission_ACH!$2:$2,0)-MATCH($G$2,mission_ACH!$2:$2,0)+1),MATCH(L$2,mission_ACH!$2:$2,0)-MATCH($G$2,mission_ACH!$2:$2,0)+1,FALSE)</f>
        <v>0</v>
      </c>
      <c r="M269" s="27">
        <v>93</v>
      </c>
      <c r="N269" s="87" t="s">
        <v>1438</v>
      </c>
      <c r="O269" s="87" t="s">
        <v>1418</v>
      </c>
    </row>
    <row r="270" spans="1:16" ht="21" customHeight="1" x14ac:dyDescent="0.15">
      <c r="A270" s="27">
        <v>9023</v>
      </c>
      <c r="B270" s="26" t="str">
        <f t="shared" ca="1" si="104"/>
        <v>【中級】ニムダのおきにいり♪  をクリアしよう！</v>
      </c>
      <c r="C270" s="27" t="s">
        <v>893</v>
      </c>
      <c r="D270" s="31" t="str">
        <f ca="1">VLOOKUP($C270,OFFSET(mission_unlock_criteria!$A$2,0,0,COUNTA(mission_unlock_criteria!$A:$A),MATCH(D$2,mission_unlock_criteria!$2:$2,0)-MATCH($C$2,mission_unlock_criteria!$2:$2,0)+1),MATCH(D$2,mission_unlock_criteria!$2:$2,0)-MATCH($C$2,mission_unlock_criteria!$2:$2,0)+1,FALSE)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70" s="2" t="s">
        <v>1435</v>
      </c>
      <c r="F270" s="31" t="str">
        <f ca="1">VLOOKUP($E270,OFFSET(mission_ACH_criteria!$A$1,0,0,COUNTA(mission_ACH_criteria!$A:$A),MATCH(F$2,mission_ACH_criteria!$1:$1,0)-MATCH($E$2,mission_ACH_criteria!$1:$1,0)+1),MATCH(F$2,mission_ACH_criteria!$1:$1,0)-MATCH($E$2,mission_ACH_criteria!$1:$1,0)+1,FALSE)</f>
        <v>【中級】ニムダのおきにいり♪  をクリアしよう！</v>
      </c>
      <c r="G270" s="27" t="s">
        <v>47</v>
      </c>
      <c r="H270" s="31" t="str">
        <f t="shared" ca="1" si="105"/>
        <v>ポリゴン x 1</v>
      </c>
      <c r="I270" s="31" t="str">
        <f ca="1">VLOOKUP($G270,OFFSET(mission_ACH!$A$2,0,0,COUNTA($A:$A),MATCH(I$2,mission_ACH!$2:$2,0)-MATCH($G$2,mission_ACH!$2:$2,0)+1),MATCH(I$2,mission_ACH!$2:$2,0)-MATCH($G$2,mission_ACH!$2:$2,0)+1,FALSE)</f>
        <v>polygon</v>
      </c>
      <c r="J270" s="31">
        <f ca="1">VLOOKUP($G270,OFFSET(mission_ACH!$A$2,0,0,COUNTA($A:$A),MATCH(J$2,mission_ACH!$2:$2,0)-MATCH($G$2,mission_ACH!$2:$2,0)+1),MATCH(J$2,mission_ACH!$2:$2,0)-MATCH($G$2,mission_ACH!$2:$2,0)+1,FALSE)</f>
        <v>1</v>
      </c>
      <c r="K270" s="31" t="str">
        <f ca="1">IF(I270="unit",VLOOKUP($G270,OFFSET(mission_ACH!$A$2,0,0,COUNTA($A:$A),MATCH(K$2,mission_ACH!$2:$2,0)-MATCH($G$2,mission_ACH!$2:$2,0)+1),MATCH(K$2,mission_ACH!$2:$2,0)-MATCH($G$2,mission_ACH!$2:$2,0)+1,FALSE),"")</f>
        <v/>
      </c>
      <c r="L270" s="31">
        <f ca="1">VLOOKUP($G270,OFFSET(mission_ACH!$A$2,0,0,COUNTA($A:$A),MATCH(L$2,mission_ACH!$2:$2,0)-MATCH($G$2,mission_ACH!$2:$2,0)+1),MATCH(L$2,mission_ACH!$2:$2,0)-MATCH($G$2,mission_ACH!$2:$2,0)+1,FALSE)</f>
        <v>0</v>
      </c>
      <c r="M270" s="27">
        <v>93</v>
      </c>
      <c r="N270" s="87" t="s">
        <v>1438</v>
      </c>
      <c r="O270" s="87" t="s">
        <v>1418</v>
      </c>
    </row>
    <row r="271" spans="1:16" ht="21" customHeight="1" x14ac:dyDescent="0.15">
      <c r="A271" s="27">
        <v>9024</v>
      </c>
      <c r="B271" s="26" t="str">
        <f t="shared" ca="1" si="104"/>
        <v>【上級】ニムダのおきにいり♪  をクリアしよう！</v>
      </c>
      <c r="C271" s="27" t="s">
        <v>893</v>
      </c>
      <c r="D271" s="31" t="str">
        <f ca="1">VLOOKUP($C271,OFFSET(mission_unlock_criteria!$A$2,0,0,COUNTA(mission_unlock_criteria!$A:$A),MATCH(D$2,mission_unlock_criteria!$2:$2,0)-MATCH($C$2,mission_unlock_criteria!$2:$2,0)+1),MATCH(D$2,mission_unlock_criteria!$2:$2,0)-MATCH($C$2,mission_unlock_criteria!$2:$2,0)+1,FALSE)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71" s="2" t="s">
        <v>1420</v>
      </c>
      <c r="F271" s="31" t="str">
        <f ca="1">VLOOKUP($E271,OFFSET(mission_ACH_criteria!$A$1,0,0,COUNTA(mission_ACH_criteria!$A:$A),MATCH(F$2,mission_ACH_criteria!$1:$1,0)-MATCH($E$2,mission_ACH_criteria!$1:$1,0)+1),MATCH(F$2,mission_ACH_criteria!$1:$1,0)-MATCH($E$2,mission_ACH_criteria!$1:$1,0)+1,FALSE)</f>
        <v>【上級】ニムダのおきにいり♪  をクリアしよう！</v>
      </c>
      <c r="G271" s="27" t="s">
        <v>47</v>
      </c>
      <c r="H271" s="31" t="str">
        <f t="shared" ca="1" si="105"/>
        <v>ポリゴン x 1</v>
      </c>
      <c r="I271" s="31" t="str">
        <f ca="1">VLOOKUP($G271,OFFSET(mission_ACH!$A$2,0,0,COUNTA($A:$A),MATCH(I$2,mission_ACH!$2:$2,0)-MATCH($G$2,mission_ACH!$2:$2,0)+1),MATCH(I$2,mission_ACH!$2:$2,0)-MATCH($G$2,mission_ACH!$2:$2,0)+1,FALSE)</f>
        <v>polygon</v>
      </c>
      <c r="J271" s="31">
        <f ca="1">VLOOKUP($G271,OFFSET(mission_ACH!$A$2,0,0,COUNTA($A:$A),MATCH(J$2,mission_ACH!$2:$2,0)-MATCH($G$2,mission_ACH!$2:$2,0)+1),MATCH(J$2,mission_ACH!$2:$2,0)-MATCH($G$2,mission_ACH!$2:$2,0)+1,FALSE)</f>
        <v>1</v>
      </c>
      <c r="K271" s="31" t="str">
        <f ca="1">IF(I271="unit",VLOOKUP($G271,OFFSET(mission_ACH!$A$2,0,0,COUNTA($A:$A),MATCH(K$2,mission_ACH!$2:$2,0)-MATCH($G$2,mission_ACH!$2:$2,0)+1),MATCH(K$2,mission_ACH!$2:$2,0)-MATCH($G$2,mission_ACH!$2:$2,0)+1,FALSE),"")</f>
        <v/>
      </c>
      <c r="L271" s="31">
        <f ca="1">VLOOKUP($G271,OFFSET(mission_ACH!$A$2,0,0,COUNTA($A:$A),MATCH(L$2,mission_ACH!$2:$2,0)-MATCH($G$2,mission_ACH!$2:$2,0)+1),MATCH(L$2,mission_ACH!$2:$2,0)-MATCH($G$2,mission_ACH!$2:$2,0)+1,FALSE)</f>
        <v>0</v>
      </c>
      <c r="M271" s="27">
        <v>93</v>
      </c>
      <c r="N271" s="87" t="s">
        <v>1438</v>
      </c>
      <c r="O271" s="87" t="s">
        <v>1418</v>
      </c>
    </row>
    <row r="272" spans="1:16" ht="21" customHeight="1" x14ac:dyDescent="0.15">
      <c r="A272" s="27">
        <v>9025</v>
      </c>
      <c r="B272" s="26" t="str">
        <f t="shared" ca="1" si="104"/>
        <v>【超級】ニムダのおきにいり♪  をクリアしよう！</v>
      </c>
      <c r="C272" s="27" t="s">
        <v>893</v>
      </c>
      <c r="D272" s="31" t="str">
        <f ca="1">VLOOKUP($C272,OFFSET(mission_unlock_criteria!$A$2,0,0,COUNTA(mission_unlock_criteria!$A:$A),MATCH(D$2,mission_unlock_criteria!$2:$2,0)-MATCH($C$2,mission_unlock_criteria!$2:$2,0)+1),MATCH(D$2,mission_unlock_criteria!$2:$2,0)-MATCH($C$2,mission_unlock_criteria!$2:$2,0)+1,FALSE)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72" s="2" t="s">
        <v>1423</v>
      </c>
      <c r="F272" s="31" t="str">
        <f ca="1">VLOOKUP($E272,OFFSET(mission_ACH_criteria!$A$1,0,0,COUNTA(mission_ACH_criteria!$A:$A),MATCH(F$2,mission_ACH_criteria!$1:$1,0)-MATCH($E$2,mission_ACH_criteria!$1:$1,0)+1),MATCH(F$2,mission_ACH_criteria!$1:$1,0)-MATCH($E$2,mission_ACH_criteria!$1:$1,0)+1,FALSE)</f>
        <v>【超級】ニムダのおきにいり♪  をクリアしよう！</v>
      </c>
      <c r="G272" s="27" t="s">
        <v>1664</v>
      </c>
      <c r="H272" s="31" t="str">
        <f t="shared" ca="1" si="105"/>
        <v>秘術の果実 x 1</v>
      </c>
      <c r="I272" s="31" t="str">
        <f ca="1">VLOOKUP($G272,OFFSET(mission_ACH!$A$2,0,0,COUNTA($A:$A),MATCH(I$2,mission_ACH!$2:$2,0)-MATCH($G$2,mission_ACH!$2:$2,0)+1),MATCH(I$2,mission_ACH!$2:$2,0)-MATCH($G$2,mission_ACH!$2:$2,0)+1,FALSE)</f>
        <v>unit</v>
      </c>
      <c r="J272" s="31">
        <f ca="1">VLOOKUP($G272,OFFSET(mission_ACH!$A$2,0,0,COUNTA($A:$A),MATCH(J$2,mission_ACH!$2:$2,0)-MATCH($G$2,mission_ACH!$2:$2,0)+1),MATCH(J$2,mission_ACH!$2:$2,0)-MATCH($G$2,mission_ACH!$2:$2,0)+1,FALSE)</f>
        <v>125</v>
      </c>
      <c r="K272" s="31" t="str">
        <f ca="1">IF(I272="unit",VLOOKUP($G272,OFFSET(mission_ACH!$A$2,0,0,COUNTA($A:$A),MATCH(K$2,mission_ACH!$2:$2,0)-MATCH($G$2,mission_ACH!$2:$2,0)+1),MATCH(K$2,mission_ACH!$2:$2,0)-MATCH($G$2,mission_ACH!$2:$2,0)+1,FALSE),"")</f>
        <v>秘術の果実</v>
      </c>
      <c r="L272" s="31">
        <f ca="1">VLOOKUP($G272,OFFSET(mission_ACH!$A$2,0,0,COUNTA($A:$A),MATCH(L$2,mission_ACH!$2:$2,0)-MATCH($G$2,mission_ACH!$2:$2,0)+1),MATCH(L$2,mission_ACH!$2:$2,0)-MATCH($G$2,mission_ACH!$2:$2,0)+1,FALSE)</f>
        <v>1</v>
      </c>
      <c r="M272" s="27">
        <v>93</v>
      </c>
      <c r="N272" s="87" t="s">
        <v>1438</v>
      </c>
      <c r="O272" s="87" t="s">
        <v>1418</v>
      </c>
    </row>
    <row r="273" spans="1:16" ht="21" customHeight="1" x14ac:dyDescent="0.15">
      <c r="A273" s="27">
        <v>9026</v>
      </c>
      <c r="B273" s="26" t="str">
        <f t="shared" ca="1" si="104"/>
        <v>【ｳｨｻﾞ】サンリオ好きなのだーれだ♪ をクリアしよう！</v>
      </c>
      <c r="C273" s="27" t="s">
        <v>893</v>
      </c>
      <c r="D273" s="31" t="str">
        <f ca="1">VLOOKUP($C273,OFFSET(mission_unlock_criteria!$A$2,0,0,COUNTA(mission_unlock_criteria!$A:$A),MATCH(D$2,mission_unlock_criteria!$2:$2,0)-MATCH($C$2,mission_unlock_criteria!$2:$2,0)+1),MATCH(D$2,mission_unlock_criteria!$2:$2,0)-MATCH($C$2,mission_unlock_criteria!$2:$2,0)+1,FALSE)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73" s="2" t="s">
        <v>1425</v>
      </c>
      <c r="F273" s="31" t="str">
        <f ca="1">VLOOKUP($E273,OFFSET(mission_ACH_criteria!$A$1,0,0,COUNTA(mission_ACH_criteria!$A:$A),MATCH(F$2,mission_ACH_criteria!$1:$1,0)-MATCH($E$2,mission_ACH_criteria!$1:$1,0)+1),MATCH(F$2,mission_ACH_criteria!$1:$1,0)-MATCH($E$2,mission_ACH_criteria!$1:$1,0)+1,FALSE)</f>
        <v>【ｳｨｻﾞ】サンリオ好きなのだーれだ♪ をクリアしよう！</v>
      </c>
      <c r="G273" s="27" t="s">
        <v>1437</v>
      </c>
      <c r="H273" s="31" t="str">
        <f t="shared" ca="1" si="105"/>
        <v>秘術の果実 x 1</v>
      </c>
      <c r="I273" s="31" t="str">
        <f ca="1">VLOOKUP($G273,OFFSET(mission_ACH!$A$2,0,0,COUNTA($A:$A),MATCH(I$2,mission_ACH!$2:$2,0)-MATCH($G$2,mission_ACH!$2:$2,0)+1),MATCH(I$2,mission_ACH!$2:$2,0)-MATCH($G$2,mission_ACH!$2:$2,0)+1,FALSE)</f>
        <v>unit</v>
      </c>
      <c r="J273" s="31">
        <f ca="1">VLOOKUP($G273,OFFSET(mission_ACH!$A$2,0,0,COUNTA($A:$A),MATCH(J$2,mission_ACH!$2:$2,0)-MATCH($G$2,mission_ACH!$2:$2,0)+1),MATCH(J$2,mission_ACH!$2:$2,0)-MATCH($G$2,mission_ACH!$2:$2,0)+1,FALSE)</f>
        <v>125</v>
      </c>
      <c r="K273" s="31" t="str">
        <f ca="1">IF(I273="unit",VLOOKUP($G273,OFFSET(mission_ACH!$A$2,0,0,COUNTA($A:$A),MATCH(K$2,mission_ACH!$2:$2,0)-MATCH($G$2,mission_ACH!$2:$2,0)+1),MATCH(K$2,mission_ACH!$2:$2,0)-MATCH($G$2,mission_ACH!$2:$2,0)+1,FALSE),"")</f>
        <v>秘術の果実</v>
      </c>
      <c r="L273" s="31">
        <f ca="1">VLOOKUP($G273,OFFSET(mission_ACH!$A$2,0,0,COUNTA($A:$A),MATCH(L$2,mission_ACH!$2:$2,0)-MATCH($G$2,mission_ACH!$2:$2,0)+1),MATCH(L$2,mission_ACH!$2:$2,0)-MATCH($G$2,mission_ACH!$2:$2,0)+1,FALSE)</f>
        <v>1</v>
      </c>
      <c r="M273" s="27">
        <v>93</v>
      </c>
      <c r="N273" s="87" t="s">
        <v>1438</v>
      </c>
      <c r="O273" s="87" t="s">
        <v>1418</v>
      </c>
    </row>
    <row r="274" spans="1:16" ht="21" customHeight="1" x14ac:dyDescent="0.15">
      <c r="A274" s="27">
        <v>9027</v>
      </c>
      <c r="B274" s="26" t="str">
        <f t="shared" ref="B274:B278" ca="1" si="106">F274</f>
        <v>ユニット【彦星】を 1 体ゲットしよう！</v>
      </c>
      <c r="C274" s="27" t="s">
        <v>331</v>
      </c>
      <c r="D274" s="31" t="str">
        <f ca="1">VLOOKUP($C274,OFFSET(mission_unlock_criteria!$A$2,0,0,COUNTA(mission_unlock_criteria!$A:$A),MATCH(D$2,mission_unlock_criteria!$2:$2,0)-MATCH($C$2,mission_unlock_criteria!$2:$2,0)+1),MATCH(D$2,mission_unlock_criteria!$2:$2,0)-MATCH($C$2,mission_unlock_criteria!$2:$2,0)+1,FALSE)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74" s="21" t="s">
        <v>1541</v>
      </c>
      <c r="F274" s="31" t="str">
        <f ca="1">VLOOKUP($E274,OFFSET(mission_ACH_criteria!$A$1,0,0,COUNTA(mission_ACH_criteria!$A:$A),MATCH(F$2,mission_ACH_criteria!$1:$1,0)-MATCH($E$2,mission_ACH_criteria!$1:$1,0)+1),MATCH(F$2,mission_ACH_criteria!$1:$1,0)-MATCH($E$2,mission_ACH_criteria!$1:$1,0)+1,FALSE)</f>
        <v>ユニット【彦星】を 1 体ゲットしよう！</v>
      </c>
      <c r="G274" s="27" t="s">
        <v>1545</v>
      </c>
      <c r="H274" s="31" t="str">
        <f t="shared" ref="H274:H278" ca="1" si="107">IF(I274="unit",K274&amp;" x "&amp;L274,IF(I274="polygon","ポリゴン x "&amp;J274,IF(I274="bit","ビット x "&amp;J274,IF(I274="link","リンク x "&amp;J274))))</f>
        <v>彦星 x 1</v>
      </c>
      <c r="I274" s="31" t="str">
        <f ca="1">VLOOKUP($G274,OFFSET(mission_ACH!$A$2,0,0,COUNTA($A:$A),MATCH(I$2,mission_ACH!$2:$2,0)-MATCH($G$2,mission_ACH!$2:$2,0)+1),MATCH(I$2,mission_ACH!$2:$2,0)-MATCH($G$2,mission_ACH!$2:$2,0)+1,FALSE)</f>
        <v>unit</v>
      </c>
      <c r="J274" s="31">
        <f ca="1">VLOOKUP($G274,OFFSET(mission_ACH!$A$2,0,0,COUNTA($A:$A),MATCH(J$2,mission_ACH!$2:$2,0)-MATCH($G$2,mission_ACH!$2:$2,0)+1),MATCH(J$2,mission_ACH!$2:$2,0)-MATCH($G$2,mission_ACH!$2:$2,0)+1,FALSE)</f>
        <v>1043</v>
      </c>
      <c r="K274" s="31" t="str">
        <f ca="1">IF(I274="unit",VLOOKUP($G274,OFFSET(mission_ACH!$A$2,0,0,COUNTA($A:$A),MATCH(K$2,mission_ACH!$2:$2,0)-MATCH($G$2,mission_ACH!$2:$2,0)+1),MATCH(K$2,mission_ACH!$2:$2,0)-MATCH($G$2,mission_ACH!$2:$2,0)+1,FALSE),"")</f>
        <v>彦星</v>
      </c>
      <c r="L274" s="31">
        <f ca="1">VLOOKUP($G274,OFFSET(mission_ACH!$A$2,0,0,COUNTA($A:$A),MATCH(L$2,mission_ACH!$2:$2,0)-MATCH($G$2,mission_ACH!$2:$2,0)+1),MATCH(L$2,mission_ACH!$2:$2,0)-MATCH($G$2,mission_ACH!$2:$2,0)+1,FALSE)</f>
        <v>1</v>
      </c>
      <c r="M274" s="27">
        <v>95</v>
      </c>
      <c r="N274" s="87" t="s">
        <v>1559</v>
      </c>
      <c r="O274" s="87" t="s">
        <v>1547</v>
      </c>
    </row>
    <row r="275" spans="1:16" ht="21" customHeight="1" x14ac:dyDescent="0.15">
      <c r="A275" s="27">
        <v>9028</v>
      </c>
      <c r="B275" s="26" t="str">
        <f ca="1">F275</f>
        <v>ユニット【彦星】を 10 体ゲットしよう！</v>
      </c>
      <c r="C275" s="26" t="str">
        <f t="shared" ref="C275:C277" si="108">"M"&amp;A274</f>
        <v>M9027</v>
      </c>
      <c r="D275" s="31" t="str">
        <f ca="1">VLOOKUP($C275,OFFSET(mission_unlock_criteria!$A$2,0,0,COUNTA(mission_unlock_criteria!$A:$A),MATCH(D$2,mission_unlock_criteria!$2:$2,0)-MATCH($C$2,mission_unlock_criteria!$2:$2,0)+1),MATCH(D$2,mission_unlock_criteria!$2:$2,0)-MATCH($C$2,mission_unlock_criteria!$2:$2,0)+1,FALSE)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ミッション 【ユニット【彦星】を 1 体ゲットしよう！】 をクリア</v>
      </c>
      <c r="E275" s="21" t="s">
        <v>1542</v>
      </c>
      <c r="F275" s="31" t="str">
        <f ca="1">VLOOKUP($E275,OFFSET(mission_ACH_criteria!$A$1,0,0,COUNTA(mission_ACH_criteria!$A:$A),MATCH(F$2,mission_ACH_criteria!$1:$1,0)-MATCH($E$2,mission_ACH_criteria!$1:$1,0)+1),MATCH(F$2,mission_ACH_criteria!$1:$1,0)-MATCH($E$2,mission_ACH_criteria!$1:$1,0)+1,FALSE)</f>
        <v>ユニット【彦星】を 10 体ゲットしよう！</v>
      </c>
      <c r="G275" s="27" t="s">
        <v>1545</v>
      </c>
      <c r="H275" s="31" t="str">
        <f t="shared" ca="1" si="107"/>
        <v>彦星 x 1</v>
      </c>
      <c r="I275" s="31" t="str">
        <f ca="1">VLOOKUP($G275,OFFSET(mission_ACH!$A$2,0,0,COUNTA($A:$A),MATCH(I$2,mission_ACH!$2:$2,0)-MATCH($G$2,mission_ACH!$2:$2,0)+1),MATCH(I$2,mission_ACH!$2:$2,0)-MATCH($G$2,mission_ACH!$2:$2,0)+1,FALSE)</f>
        <v>unit</v>
      </c>
      <c r="J275" s="31">
        <f ca="1">VLOOKUP($G275,OFFSET(mission_ACH!$A$2,0,0,COUNTA($A:$A),MATCH(J$2,mission_ACH!$2:$2,0)-MATCH($G$2,mission_ACH!$2:$2,0)+1),MATCH(J$2,mission_ACH!$2:$2,0)-MATCH($G$2,mission_ACH!$2:$2,0)+1,FALSE)</f>
        <v>1043</v>
      </c>
      <c r="K275" s="31" t="str">
        <f ca="1">IF(I275="unit",VLOOKUP($G275,OFFSET(mission_ACH!$A$2,0,0,COUNTA($A:$A),MATCH(K$2,mission_ACH!$2:$2,0)-MATCH($G$2,mission_ACH!$2:$2,0)+1),MATCH(K$2,mission_ACH!$2:$2,0)-MATCH($G$2,mission_ACH!$2:$2,0)+1,FALSE),"")</f>
        <v>彦星</v>
      </c>
      <c r="L275" s="31">
        <f ca="1">VLOOKUP($G275,OFFSET(mission_ACH!$A$2,0,0,COUNTA($A:$A),MATCH(L$2,mission_ACH!$2:$2,0)-MATCH($G$2,mission_ACH!$2:$2,0)+1),MATCH(L$2,mission_ACH!$2:$2,0)-MATCH($G$2,mission_ACH!$2:$2,0)+1,FALSE)</f>
        <v>1</v>
      </c>
      <c r="M275" s="27">
        <v>95</v>
      </c>
      <c r="N275" s="87" t="s">
        <v>1556</v>
      </c>
      <c r="O275" s="87" t="s">
        <v>1547</v>
      </c>
    </row>
    <row r="276" spans="1:16" ht="21" customHeight="1" x14ac:dyDescent="0.15">
      <c r="A276" s="27">
        <v>9029</v>
      </c>
      <c r="B276" s="26" t="str">
        <f t="shared" ca="1" si="106"/>
        <v>ユニット【彦星】を 25 体ゲットしよう！</v>
      </c>
      <c r="C276" s="26" t="str">
        <f t="shared" si="108"/>
        <v>M9028</v>
      </c>
      <c r="D276" s="31" t="str">
        <f ca="1">VLOOKUP($C276,OFFSET(mission_unlock_criteria!$A$2,0,0,COUNTA(mission_unlock_criteria!$A:$A),MATCH(D$2,mission_unlock_criteria!$2:$2,0)-MATCH($C$2,mission_unlock_criteria!$2:$2,0)+1),MATCH(D$2,mission_unlock_criteria!$2:$2,0)-MATCH($C$2,mission_unlock_criteria!$2:$2,0)+1,FALSE)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ミッション 【ユニット【彦星】を 10 体ゲットしよう！】 をクリア</v>
      </c>
      <c r="E276" s="21" t="s">
        <v>1543</v>
      </c>
      <c r="F276" s="31" t="str">
        <f ca="1">VLOOKUP($E276,OFFSET(mission_ACH_criteria!$A$1,0,0,COUNTA(mission_ACH_criteria!$A:$A),MATCH(F$2,mission_ACH_criteria!$1:$1,0)-MATCH($E$2,mission_ACH_criteria!$1:$1,0)+1),MATCH(F$2,mission_ACH_criteria!$1:$1,0)-MATCH($E$2,mission_ACH_criteria!$1:$1,0)+1,FALSE)</f>
        <v>ユニット【彦星】を 25 体ゲットしよう！</v>
      </c>
      <c r="G276" s="27" t="s">
        <v>1545</v>
      </c>
      <c r="H276" s="31" t="str">
        <f t="shared" ca="1" si="107"/>
        <v>彦星 x 1</v>
      </c>
      <c r="I276" s="31" t="str">
        <f ca="1">VLOOKUP($G276,OFFSET(mission_ACH!$A$2,0,0,COUNTA($A:$A),MATCH(I$2,mission_ACH!$2:$2,0)-MATCH($G$2,mission_ACH!$2:$2,0)+1),MATCH(I$2,mission_ACH!$2:$2,0)-MATCH($G$2,mission_ACH!$2:$2,0)+1,FALSE)</f>
        <v>unit</v>
      </c>
      <c r="J276" s="31">
        <f ca="1">VLOOKUP($G276,OFFSET(mission_ACH!$A$2,0,0,COUNTA($A:$A),MATCH(J$2,mission_ACH!$2:$2,0)-MATCH($G$2,mission_ACH!$2:$2,0)+1),MATCH(J$2,mission_ACH!$2:$2,0)-MATCH($G$2,mission_ACH!$2:$2,0)+1,FALSE)</f>
        <v>1043</v>
      </c>
      <c r="K276" s="31" t="str">
        <f ca="1">IF(I276="unit",VLOOKUP($G276,OFFSET(mission_ACH!$A$2,0,0,COUNTA($A:$A),MATCH(K$2,mission_ACH!$2:$2,0)-MATCH($G$2,mission_ACH!$2:$2,0)+1),MATCH(K$2,mission_ACH!$2:$2,0)-MATCH($G$2,mission_ACH!$2:$2,0)+1,FALSE),"")</f>
        <v>彦星</v>
      </c>
      <c r="L276" s="31">
        <f ca="1">VLOOKUP($G276,OFFSET(mission_ACH!$A$2,0,0,COUNTA($A:$A),MATCH(L$2,mission_ACH!$2:$2,0)-MATCH($G$2,mission_ACH!$2:$2,0)+1),MATCH(L$2,mission_ACH!$2:$2,0)-MATCH($G$2,mission_ACH!$2:$2,0)+1,FALSE)</f>
        <v>1</v>
      </c>
      <c r="M276" s="27">
        <v>95</v>
      </c>
      <c r="N276" s="87" t="s">
        <v>1556</v>
      </c>
      <c r="O276" s="87" t="s">
        <v>1547</v>
      </c>
    </row>
    <row r="277" spans="1:16" ht="21" customHeight="1" x14ac:dyDescent="0.15">
      <c r="A277" s="27">
        <v>9030</v>
      </c>
      <c r="B277" s="26" t="str">
        <f t="shared" ca="1" si="106"/>
        <v>ユニット【彦星】を 50 体ゲットしよう！</v>
      </c>
      <c r="C277" s="26" t="str">
        <f t="shared" si="108"/>
        <v>M9029</v>
      </c>
      <c r="D277" s="31" t="str">
        <f ca="1">VLOOKUP($C277,OFFSET(mission_unlock_criteria!$A$2,0,0,COUNTA(mission_unlock_criteria!$A:$A),MATCH(D$2,mission_unlock_criteria!$2:$2,0)-MATCH($C$2,mission_unlock_criteria!$2:$2,0)+1),MATCH(D$2,mission_unlock_criteria!$2:$2,0)-MATCH($C$2,mission_unlock_criteria!$2:$2,0)+1,FALSE)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ミッション 【ユニット【彦星】を 25 体ゲットしよう！】 をクリア</v>
      </c>
      <c r="E277" s="21" t="s">
        <v>1544</v>
      </c>
      <c r="F277" s="31" t="str">
        <f ca="1">VLOOKUP($E277,OFFSET(mission_ACH_criteria!$A$1,0,0,COUNTA(mission_ACH_criteria!$A:$A),MATCH(F$2,mission_ACH_criteria!$1:$1,0)-MATCH($E$2,mission_ACH_criteria!$1:$1,0)+1),MATCH(F$2,mission_ACH_criteria!$1:$1,0)-MATCH($E$2,mission_ACH_criteria!$1:$1,0)+1,FALSE)</f>
        <v>ユニット【彦星】を 50 体ゲットしよう！</v>
      </c>
      <c r="G277" s="27" t="s">
        <v>1982</v>
      </c>
      <c r="H277" s="31" t="str">
        <f t="shared" ca="1" si="107"/>
        <v>リトルハンプティ x 1</v>
      </c>
      <c r="I277" s="31" t="str">
        <f ca="1">VLOOKUP($G277,OFFSET(mission_ACH!$A$2,0,0,COUNTA($A:$A),MATCH(I$2,mission_ACH!$2:$2,0)-MATCH($G$2,mission_ACH!$2:$2,0)+1),MATCH(I$2,mission_ACH!$2:$2,0)-MATCH($G$2,mission_ACH!$2:$2,0)+1,FALSE)</f>
        <v>unit</v>
      </c>
      <c r="J277" s="31">
        <f ca="1">VLOOKUP($G277,OFFSET(mission_ACH!$A$2,0,0,COUNTA($A:$A),MATCH(J$2,mission_ACH!$2:$2,0)-MATCH($G$2,mission_ACH!$2:$2,0)+1),MATCH(J$2,mission_ACH!$2:$2,0)-MATCH($G$2,mission_ACH!$2:$2,0)+1,FALSE)</f>
        <v>837</v>
      </c>
      <c r="K277" s="31" t="str">
        <f ca="1">IF(I277="unit",VLOOKUP($G277,OFFSET(mission_ACH!$A$2,0,0,COUNTA($A:$A),MATCH(K$2,mission_ACH!$2:$2,0)-MATCH($G$2,mission_ACH!$2:$2,0)+1),MATCH(K$2,mission_ACH!$2:$2,0)-MATCH($G$2,mission_ACH!$2:$2,0)+1,FALSE),"")</f>
        <v>リトルハンプティ</v>
      </c>
      <c r="L277" s="31">
        <f ca="1">VLOOKUP($G277,OFFSET(mission_ACH!$A$2,0,0,COUNTA($A:$A),MATCH(L$2,mission_ACH!$2:$2,0)-MATCH($G$2,mission_ACH!$2:$2,0)+1),MATCH(L$2,mission_ACH!$2:$2,0)-MATCH($G$2,mission_ACH!$2:$2,0)+1,FALSE)</f>
        <v>1</v>
      </c>
      <c r="M277" s="27">
        <v>95</v>
      </c>
      <c r="N277" s="87" t="s">
        <v>1556</v>
      </c>
      <c r="O277" s="87" t="s">
        <v>1547</v>
      </c>
    </row>
    <row r="278" spans="1:16" ht="21" customHeight="1" x14ac:dyDescent="0.15">
      <c r="A278" s="27">
        <v>9033</v>
      </c>
      <c r="B278" s="26" t="str">
        <f t="shared" ca="1" si="106"/>
        <v>セーラー服のハッピーが_x000D_アナタのもとにやってきました！</v>
      </c>
      <c r="C278" s="27" t="s">
        <v>1565</v>
      </c>
      <c r="D278" s="31" t="str">
        <f ca="1">VLOOKUP($C278,OFFSET(mission_unlock_criteria!$A$2,0,0,COUNTA(mission_unlock_criteria!$A:$A),MATCH(D$2,mission_unlock_criteria!$2:$2,0)-MATCH($C$2,mission_unlock_criteria!$2:$2,0)+1),MATCH(D$2,mission_unlock_criteria!$2:$2,0)-MATCH($C$2,mission_unlock_criteria!$2:$2,0)+1,FALSE)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【【ストーリー】バレンタイン狂想曲】 をクリア</v>
      </c>
      <c r="E278" s="27" t="s">
        <v>1564</v>
      </c>
      <c r="F278" s="31" t="str">
        <f ca="1">VLOOKUP($E278,OFFSET(mission_ACH_criteria!$A$1,0,0,COUNTA(mission_ACH_criteria!$A:$A),MATCH(F$2,mission_ACH_criteria!$1:$1,0)-MATCH($E$2,mission_ACH_criteria!$1:$1,0)+1),MATCH(F$2,mission_ACH_criteria!$1:$1,0)-MATCH($E$2,mission_ACH_criteria!$1:$1,0)+1,FALSE)</f>
        <v>セーラー服のハッピーが_x000D_アナタのもとにやってきました！</v>
      </c>
      <c r="G278" s="27" t="s">
        <v>1007</v>
      </c>
      <c r="H278" s="31" t="str">
        <f t="shared" ca="1" si="107"/>
        <v>ハッピー バレンタイン x 1</v>
      </c>
      <c r="I278" s="31" t="str">
        <f ca="1">VLOOKUP($G278,OFFSET(mission_ACH!$A$2,0,0,COUNTA($A:$A),MATCH(I$2,mission_ACH!$2:$2,0)-MATCH($G$2,mission_ACH!$2:$2,0)+1),MATCH(I$2,mission_ACH!$2:$2,0)-MATCH($G$2,mission_ACH!$2:$2,0)+1,FALSE)</f>
        <v>unit</v>
      </c>
      <c r="J278" s="31">
        <f ca="1">VLOOKUP($G278,OFFSET(mission_ACH!$A$2,0,0,COUNTA($A:$A),MATCH(J$2,mission_ACH!$2:$2,0)-MATCH($G$2,mission_ACH!$2:$2,0)+1),MATCH(J$2,mission_ACH!$2:$2,0)-MATCH($G$2,mission_ACH!$2:$2,0)+1,FALSE)</f>
        <v>571</v>
      </c>
      <c r="K278" s="31" t="str">
        <f ca="1">IF(I278="unit",VLOOKUP($G278,OFFSET(mission_ACH!$A$2,0,0,COUNTA($A:$A),MATCH(K$2,mission_ACH!$2:$2,0)-MATCH($G$2,mission_ACH!$2:$2,0)+1),MATCH(K$2,mission_ACH!$2:$2,0)-MATCH($G$2,mission_ACH!$2:$2,0)+1,FALSE),"")</f>
        <v>ハッピー バレンタイン</v>
      </c>
      <c r="L278" s="31">
        <f ca="1">VLOOKUP($G278,OFFSET(mission_ACH!$A$2,0,0,COUNTA($A:$A),MATCH(L$2,mission_ACH!$2:$2,0)-MATCH($G$2,mission_ACH!$2:$2,0)+1),MATCH(L$2,mission_ACH!$2:$2,0)-MATCH($G$2,mission_ACH!$2:$2,0)+1,FALSE)</f>
        <v>1</v>
      </c>
      <c r="M278" s="27">
        <v>30</v>
      </c>
      <c r="N278" s="87" t="s">
        <v>1556</v>
      </c>
      <c r="O278" s="87" t="s">
        <v>1561</v>
      </c>
    </row>
    <row r="279" spans="1:16" ht="21" customHeight="1" x14ac:dyDescent="0.15">
      <c r="A279" s="27">
        <v>9038</v>
      </c>
      <c r="B279" s="26" t="str">
        <f t="shared" ref="B279:B284" ca="1" si="109">F279</f>
        <v>クエスト 【初級】シガンシナ区攻防戦 をクリアしよう！</v>
      </c>
      <c r="C279" s="27" t="s">
        <v>893</v>
      </c>
      <c r="D279" s="31" t="str">
        <f ca="1">VLOOKUP($C279,OFFSET(mission_unlock_criteria!$A$2,0,0,COUNTA(mission_unlock_criteria!$A:$A),MATCH(D$2,mission_unlock_criteria!$2:$2,0)-MATCH($C$2,mission_unlock_criteria!$2:$2,0)+1),MATCH(D$2,mission_unlock_criteria!$2:$2,0)-MATCH($C$2,mission_unlock_criteria!$2:$2,0)+1,FALSE)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79" s="21" t="s">
        <v>1662</v>
      </c>
      <c r="F279" s="31" t="str">
        <f ca="1">VLOOKUP($E279,OFFSET(mission_ACH_criteria!$A$1,0,0,COUNTA(mission_ACH_criteria!$A:$A),MATCH(F$2,mission_ACH_criteria!$1:$1,0)-MATCH($E$2,mission_ACH_criteria!$1:$1,0)+1),MATCH(F$2,mission_ACH_criteria!$1:$1,0)-MATCH($E$2,mission_ACH_criteria!$1:$1,0)+1,FALSE)</f>
        <v>クエスト 【初級】シガンシナ区攻防戦 をクリアしよう！</v>
      </c>
      <c r="G279" s="27" t="s">
        <v>47</v>
      </c>
      <c r="H279" s="31" t="str">
        <f t="shared" ref="H279" ca="1" si="110">IF(I279="unit",K279&amp;" x "&amp;L279,IF(I279="polygon","ポリゴン x "&amp;J279,IF(I279="bit","ビット x "&amp;J279,IF(I279="link","リンク x "&amp;J279))))</f>
        <v>ポリゴン x 1</v>
      </c>
      <c r="I279" s="31" t="str">
        <f ca="1">VLOOKUP($G279,OFFSET(mission_ACH!$A$2,0,0,COUNTA($A:$A),MATCH(I$2,mission_ACH!$2:$2,0)-MATCH($G$2,mission_ACH!$2:$2,0)+1),MATCH(I$2,mission_ACH!$2:$2,0)-MATCH($G$2,mission_ACH!$2:$2,0)+1,FALSE)</f>
        <v>polygon</v>
      </c>
      <c r="J279" s="31">
        <f ca="1">VLOOKUP($G279,OFFSET(mission_ACH!$A$2,0,0,COUNTA($A:$A),MATCH(J$2,mission_ACH!$2:$2,0)-MATCH($G$2,mission_ACH!$2:$2,0)+1),MATCH(J$2,mission_ACH!$2:$2,0)-MATCH($G$2,mission_ACH!$2:$2,0)+1,FALSE)</f>
        <v>1</v>
      </c>
      <c r="K279" s="31" t="str">
        <f ca="1">IF(I279="unit",VLOOKUP($G279,OFFSET(mission_ACH!$A$2,0,0,COUNTA($A:$A),MATCH(K$2,mission_ACH!$2:$2,0)-MATCH($G$2,mission_ACH!$2:$2,0)+1),MATCH(K$2,mission_ACH!$2:$2,0)-MATCH($G$2,mission_ACH!$2:$2,0)+1,FALSE),"")</f>
        <v/>
      </c>
      <c r="L279" s="31">
        <f ca="1">VLOOKUP($G279,OFFSET(mission_ACH!$A$2,0,0,COUNTA($A:$A),MATCH(L$2,mission_ACH!$2:$2,0)-MATCH($G$2,mission_ACH!$2:$2,0)+1),MATCH(L$2,mission_ACH!$2:$2,0)-MATCH($G$2,mission_ACH!$2:$2,0)+1,FALSE)</f>
        <v>0</v>
      </c>
      <c r="M279" s="27">
        <v>95</v>
      </c>
      <c r="N279" s="87" t="s">
        <v>1680</v>
      </c>
      <c r="O279" s="87" t="s">
        <v>1672</v>
      </c>
      <c r="P279" s="27">
        <v>9034</v>
      </c>
    </row>
    <row r="280" spans="1:16" ht="21" customHeight="1" x14ac:dyDescent="0.15">
      <c r="A280" s="27">
        <v>9039</v>
      </c>
      <c r="B280" s="26" t="str">
        <f t="shared" ca="1" si="109"/>
        <v>クエスト 【中級】シガンシナ区攻防戦 をクリアしよう！</v>
      </c>
      <c r="C280" s="27" t="s">
        <v>893</v>
      </c>
      <c r="D280" s="31" t="str">
        <f ca="1">VLOOKUP($C280,OFFSET(mission_unlock_criteria!$A$2,0,0,COUNTA(mission_unlock_criteria!$A:$A),MATCH(D$2,mission_unlock_criteria!$2:$2,0)-MATCH($C$2,mission_unlock_criteria!$2:$2,0)+1),MATCH(D$2,mission_unlock_criteria!$2:$2,0)-MATCH($C$2,mission_unlock_criteria!$2:$2,0)+1,FALSE)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80" s="21" t="s">
        <v>1663</v>
      </c>
      <c r="F280" s="31" t="str">
        <f ca="1">VLOOKUP($E280,OFFSET(mission_ACH_criteria!$A$1,0,0,COUNTA(mission_ACH_criteria!$A:$A),MATCH(F$2,mission_ACH_criteria!$1:$1,0)-MATCH($E$2,mission_ACH_criteria!$1:$1,0)+1),MATCH(F$2,mission_ACH_criteria!$1:$1,0)-MATCH($E$2,mission_ACH_criteria!$1:$1,0)+1,FALSE)</f>
        <v>クエスト 【中級】シガンシナ区攻防戦 をクリアしよう！</v>
      </c>
      <c r="G280" s="27" t="s">
        <v>47</v>
      </c>
      <c r="H280" s="31" t="str">
        <f t="shared" ref="H280:H284" ca="1" si="111">IF(I280="unit",K280&amp;" x "&amp;L280,IF(I280="polygon","ポリゴン x "&amp;J280,IF(I280="bit","ビット x "&amp;J280,IF(I280="link","リンク x "&amp;J280))))</f>
        <v>ポリゴン x 1</v>
      </c>
      <c r="I280" s="31" t="str">
        <f ca="1">VLOOKUP($G280,OFFSET(mission_ACH!$A$2,0,0,COUNTA($A:$A),MATCH(I$2,mission_ACH!$2:$2,0)-MATCH($G$2,mission_ACH!$2:$2,0)+1),MATCH(I$2,mission_ACH!$2:$2,0)-MATCH($G$2,mission_ACH!$2:$2,0)+1,FALSE)</f>
        <v>polygon</v>
      </c>
      <c r="J280" s="31">
        <f ca="1">VLOOKUP($G280,OFFSET(mission_ACH!$A$2,0,0,COUNTA($A:$A),MATCH(J$2,mission_ACH!$2:$2,0)-MATCH($G$2,mission_ACH!$2:$2,0)+1),MATCH(J$2,mission_ACH!$2:$2,0)-MATCH($G$2,mission_ACH!$2:$2,0)+1,FALSE)</f>
        <v>1</v>
      </c>
      <c r="K280" s="31" t="str">
        <f ca="1">IF(I280="unit",VLOOKUP($G280,OFFSET(mission_ACH!$A$2,0,0,COUNTA($A:$A),MATCH(K$2,mission_ACH!$2:$2,0)-MATCH($G$2,mission_ACH!$2:$2,0)+1),MATCH(K$2,mission_ACH!$2:$2,0)-MATCH($G$2,mission_ACH!$2:$2,0)+1,FALSE),"")</f>
        <v/>
      </c>
      <c r="L280" s="31">
        <f ca="1">VLOOKUP($G280,OFFSET(mission_ACH!$A$2,0,0,COUNTA($A:$A),MATCH(L$2,mission_ACH!$2:$2,0)-MATCH($G$2,mission_ACH!$2:$2,0)+1),MATCH(L$2,mission_ACH!$2:$2,0)-MATCH($G$2,mission_ACH!$2:$2,0)+1,FALSE)</f>
        <v>0</v>
      </c>
      <c r="M280" s="27">
        <v>95</v>
      </c>
      <c r="N280" s="87" t="s">
        <v>1680</v>
      </c>
      <c r="O280" s="87" t="s">
        <v>1672</v>
      </c>
      <c r="P280" s="27">
        <v>9035</v>
      </c>
    </row>
    <row r="281" spans="1:16" ht="21" customHeight="1" x14ac:dyDescent="0.15">
      <c r="A281" s="27">
        <v>9040</v>
      </c>
      <c r="B281" s="26" t="str">
        <f t="shared" ca="1" si="109"/>
        <v>クエスト 【上級】シガンシナ区攻防戦 をクリアしよう！</v>
      </c>
      <c r="C281" s="27" t="s">
        <v>893</v>
      </c>
      <c r="D281" s="31" t="str">
        <f ca="1">VLOOKUP($C281,OFFSET(mission_unlock_criteria!$A$2,0,0,COUNTA(mission_unlock_criteria!$A:$A),MATCH(D$2,mission_unlock_criteria!$2:$2,0)-MATCH($C$2,mission_unlock_criteria!$2:$2,0)+1),MATCH(D$2,mission_unlock_criteria!$2:$2,0)-MATCH($C$2,mission_unlock_criteria!$2:$2,0)+1,FALSE)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81" s="21" t="s">
        <v>1654</v>
      </c>
      <c r="F281" s="31" t="str">
        <f ca="1">VLOOKUP($E281,OFFSET(mission_ACH_criteria!$A$1,0,0,COUNTA(mission_ACH_criteria!$A:$A),MATCH(F$2,mission_ACH_criteria!$1:$1,0)-MATCH($E$2,mission_ACH_criteria!$1:$1,0)+1),MATCH(F$2,mission_ACH_criteria!$1:$1,0)-MATCH($E$2,mission_ACH_criteria!$1:$1,0)+1,FALSE)</f>
        <v>クエスト 【上級】シガンシナ区攻防戦 をクリアしよう！</v>
      </c>
      <c r="G281" s="27" t="s">
        <v>47</v>
      </c>
      <c r="H281" s="31" t="str">
        <f t="shared" ca="1" si="111"/>
        <v>ポリゴン x 1</v>
      </c>
      <c r="I281" s="31" t="str">
        <f ca="1">VLOOKUP($G281,OFFSET(mission_ACH!$A$2,0,0,COUNTA($A:$A),MATCH(I$2,mission_ACH!$2:$2,0)-MATCH($G$2,mission_ACH!$2:$2,0)+1),MATCH(I$2,mission_ACH!$2:$2,0)-MATCH($G$2,mission_ACH!$2:$2,0)+1,FALSE)</f>
        <v>polygon</v>
      </c>
      <c r="J281" s="31">
        <f ca="1">VLOOKUP($G281,OFFSET(mission_ACH!$A$2,0,0,COUNTA($A:$A),MATCH(J$2,mission_ACH!$2:$2,0)-MATCH($G$2,mission_ACH!$2:$2,0)+1),MATCH(J$2,mission_ACH!$2:$2,0)-MATCH($G$2,mission_ACH!$2:$2,0)+1,FALSE)</f>
        <v>1</v>
      </c>
      <c r="K281" s="31" t="str">
        <f ca="1">IF(I281="unit",VLOOKUP($G281,OFFSET(mission_ACH!$A$2,0,0,COUNTA($A:$A),MATCH(K$2,mission_ACH!$2:$2,0)-MATCH($G$2,mission_ACH!$2:$2,0)+1),MATCH(K$2,mission_ACH!$2:$2,0)-MATCH($G$2,mission_ACH!$2:$2,0)+1,FALSE),"")</f>
        <v/>
      </c>
      <c r="L281" s="31">
        <f ca="1">VLOOKUP($G281,OFFSET(mission_ACH!$A$2,0,0,COUNTA($A:$A),MATCH(L$2,mission_ACH!$2:$2,0)-MATCH($G$2,mission_ACH!$2:$2,0)+1),MATCH(L$2,mission_ACH!$2:$2,0)-MATCH($G$2,mission_ACH!$2:$2,0)+1,FALSE)</f>
        <v>0</v>
      </c>
      <c r="M281" s="27">
        <v>95</v>
      </c>
      <c r="N281" s="87" t="s">
        <v>1680</v>
      </c>
      <c r="O281" s="87" t="s">
        <v>1672</v>
      </c>
      <c r="P281" s="27">
        <v>9036</v>
      </c>
    </row>
    <row r="282" spans="1:16" ht="21" customHeight="1" x14ac:dyDescent="0.15">
      <c r="A282" s="27">
        <v>9041</v>
      </c>
      <c r="B282" s="26" t="str">
        <f t="shared" ca="1" si="109"/>
        <v>クエスト 【超級】シガンシナ区攻防戦 をクリアしよう！</v>
      </c>
      <c r="C282" s="27" t="s">
        <v>893</v>
      </c>
      <c r="D282" s="31" t="str">
        <f ca="1">VLOOKUP($C282,OFFSET(mission_unlock_criteria!$A$2,0,0,COUNTA(mission_unlock_criteria!$A:$A),MATCH(D$2,mission_unlock_criteria!$2:$2,0)-MATCH($C$2,mission_unlock_criteria!$2:$2,0)+1),MATCH(D$2,mission_unlock_criteria!$2:$2,0)-MATCH($C$2,mission_unlock_criteria!$2:$2,0)+1,FALSE)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82" s="21" t="s">
        <v>1656</v>
      </c>
      <c r="F282" s="31" t="str">
        <f ca="1">VLOOKUP($E282,OFFSET(mission_ACH_criteria!$A$1,0,0,COUNTA(mission_ACH_criteria!$A:$A),MATCH(F$2,mission_ACH_criteria!$1:$1,0)-MATCH($E$2,mission_ACH_criteria!$1:$1,0)+1),MATCH(F$2,mission_ACH_criteria!$1:$1,0)-MATCH($E$2,mission_ACH_criteria!$1:$1,0)+1,FALSE)</f>
        <v>クエスト 【超級】シガンシナ区攻防戦 をクリアしよう！</v>
      </c>
      <c r="G282" s="27" t="s">
        <v>754</v>
      </c>
      <c r="H282" s="31" t="str">
        <f t="shared" ca="1" si="111"/>
        <v>秘術の果実 x 1</v>
      </c>
      <c r="I282" s="31" t="str">
        <f ca="1">VLOOKUP($G282,OFFSET(mission_ACH!$A$2,0,0,COUNTA($A:$A),MATCH(I$2,mission_ACH!$2:$2,0)-MATCH($G$2,mission_ACH!$2:$2,0)+1),MATCH(I$2,mission_ACH!$2:$2,0)-MATCH($G$2,mission_ACH!$2:$2,0)+1,FALSE)</f>
        <v>unit</v>
      </c>
      <c r="J282" s="31">
        <f ca="1">VLOOKUP($G282,OFFSET(mission_ACH!$A$2,0,0,COUNTA($A:$A),MATCH(J$2,mission_ACH!$2:$2,0)-MATCH($G$2,mission_ACH!$2:$2,0)+1),MATCH(J$2,mission_ACH!$2:$2,0)-MATCH($G$2,mission_ACH!$2:$2,0)+1,FALSE)</f>
        <v>125</v>
      </c>
      <c r="K282" s="31" t="str">
        <f ca="1">IF(I282="unit",VLOOKUP($G282,OFFSET(mission_ACH!$A$2,0,0,COUNTA($A:$A),MATCH(K$2,mission_ACH!$2:$2,0)-MATCH($G$2,mission_ACH!$2:$2,0)+1),MATCH(K$2,mission_ACH!$2:$2,0)-MATCH($G$2,mission_ACH!$2:$2,0)+1,FALSE),"")</f>
        <v>秘術の果実</v>
      </c>
      <c r="L282" s="31">
        <f ca="1">VLOOKUP($G282,OFFSET(mission_ACH!$A$2,0,0,COUNTA($A:$A),MATCH(L$2,mission_ACH!$2:$2,0)-MATCH($G$2,mission_ACH!$2:$2,0)+1),MATCH(L$2,mission_ACH!$2:$2,0)-MATCH($G$2,mission_ACH!$2:$2,0)+1,FALSE)</f>
        <v>1</v>
      </c>
      <c r="M282" s="27">
        <v>95</v>
      </c>
      <c r="N282" s="87" t="s">
        <v>1680</v>
      </c>
      <c r="O282" s="87" t="s">
        <v>1672</v>
      </c>
      <c r="P282" s="27">
        <v>9037</v>
      </c>
    </row>
    <row r="283" spans="1:16" ht="21" customHeight="1" x14ac:dyDescent="0.15">
      <c r="A283" s="27">
        <v>9042</v>
      </c>
      <c r="B283" s="26" t="str">
        <f t="shared" ca="1" si="109"/>
        <v>クエスト 【超絶級】超大型巨人襲来 をクリアしよう！</v>
      </c>
      <c r="C283" s="27" t="s">
        <v>893</v>
      </c>
      <c r="D283" s="31" t="str">
        <f ca="1">VLOOKUP($C283,OFFSET(mission_unlock_criteria!$A$2,0,0,COUNTA(mission_unlock_criteria!$A:$A),MATCH(D$2,mission_unlock_criteria!$2:$2,0)-MATCH($C$2,mission_unlock_criteria!$2:$2,0)+1),MATCH(D$2,mission_unlock_criteria!$2:$2,0)-MATCH($C$2,mission_unlock_criteria!$2:$2,0)+1,FALSE)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83" s="21" t="s">
        <v>1665</v>
      </c>
      <c r="F283" s="31" t="str">
        <f ca="1">VLOOKUP($E283,OFFSET(mission_ACH_criteria!$A$1,0,0,COUNTA(mission_ACH_criteria!$A:$A),MATCH(F$2,mission_ACH_criteria!$1:$1,0)-MATCH($E$2,mission_ACH_criteria!$1:$1,0)+1),MATCH(F$2,mission_ACH_criteria!$1:$1,0)-MATCH($E$2,mission_ACH_criteria!$1:$1,0)+1,FALSE)</f>
        <v>クエスト 【超絶級】超大型巨人襲来 をクリアしよう！</v>
      </c>
      <c r="G283" s="27" t="s">
        <v>47</v>
      </c>
      <c r="H283" s="31" t="str">
        <f t="shared" ref="H283" ca="1" si="112">IF(I283="unit",K283&amp;" x "&amp;L283,IF(I283="polygon","ポリゴン x "&amp;J283,IF(I283="bit","ビット x "&amp;J283,IF(I283="link","リンク x "&amp;J283))))</f>
        <v>ポリゴン x 1</v>
      </c>
      <c r="I283" s="31" t="str">
        <f ca="1">VLOOKUP($G283,OFFSET(mission_ACH!$A$2,0,0,COUNTA($A:$A),MATCH(I$2,mission_ACH!$2:$2,0)-MATCH($G$2,mission_ACH!$2:$2,0)+1),MATCH(I$2,mission_ACH!$2:$2,0)-MATCH($G$2,mission_ACH!$2:$2,0)+1,FALSE)</f>
        <v>polygon</v>
      </c>
      <c r="J283" s="31">
        <f ca="1">VLOOKUP($G283,OFFSET(mission_ACH!$A$2,0,0,COUNTA($A:$A),MATCH(J$2,mission_ACH!$2:$2,0)-MATCH($G$2,mission_ACH!$2:$2,0)+1),MATCH(J$2,mission_ACH!$2:$2,0)-MATCH($G$2,mission_ACH!$2:$2,0)+1,FALSE)</f>
        <v>1</v>
      </c>
      <c r="K283" s="31" t="str">
        <f ca="1">IF(I283="unit",VLOOKUP($G283,OFFSET(mission_ACH!$A$2,0,0,COUNTA($A:$A),MATCH(K$2,mission_ACH!$2:$2,0)-MATCH($G$2,mission_ACH!$2:$2,0)+1),MATCH(K$2,mission_ACH!$2:$2,0)-MATCH($G$2,mission_ACH!$2:$2,0)+1,FALSE),"")</f>
        <v/>
      </c>
      <c r="L283" s="31">
        <f ca="1">VLOOKUP($G283,OFFSET(mission_ACH!$A$2,0,0,COUNTA($A:$A),MATCH(L$2,mission_ACH!$2:$2,0)-MATCH($G$2,mission_ACH!$2:$2,0)+1),MATCH(L$2,mission_ACH!$2:$2,0)-MATCH($G$2,mission_ACH!$2:$2,0)+1,FALSE)</f>
        <v>0</v>
      </c>
      <c r="M283" s="27">
        <v>95</v>
      </c>
      <c r="N283" s="87" t="s">
        <v>1681</v>
      </c>
      <c r="O283" s="87" t="s">
        <v>1672</v>
      </c>
      <c r="P283" s="29">
        <v>9047</v>
      </c>
    </row>
    <row r="284" spans="1:16" ht="21" customHeight="1" x14ac:dyDescent="0.15">
      <c r="A284" s="27">
        <v>9043</v>
      </c>
      <c r="B284" s="26" t="str">
        <f t="shared" ca="1" si="109"/>
        <v>クエスト 【ウィザード級】超大型巨人襲来 をクリアしよう！</v>
      </c>
      <c r="C284" s="27" t="s">
        <v>893</v>
      </c>
      <c r="D284" s="31" t="str">
        <f ca="1">VLOOKUP($C284,OFFSET(mission_unlock_criteria!$A$2,0,0,COUNTA(mission_unlock_criteria!$A:$A),MATCH(D$2,mission_unlock_criteria!$2:$2,0)-MATCH($C$2,mission_unlock_criteria!$2:$2,0)+1),MATCH(D$2,mission_unlock_criteria!$2:$2,0)-MATCH($C$2,mission_unlock_criteria!$2:$2,0)+1,FALSE)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84" s="21" t="s">
        <v>1726</v>
      </c>
      <c r="F284" s="31" t="str">
        <f ca="1">VLOOKUP($E284,OFFSET(mission_ACH_criteria!$A$1,0,0,COUNTA(mission_ACH_criteria!$A:$A),MATCH(F$2,mission_ACH_criteria!$1:$1,0)-MATCH($E$2,mission_ACH_criteria!$1:$1,0)+1),MATCH(F$2,mission_ACH_criteria!$1:$1,0)-MATCH($E$2,mission_ACH_criteria!$1:$1,0)+1,FALSE)</f>
        <v>クエスト 【ウィザード級】超大型巨人襲来 をクリアしよう！</v>
      </c>
      <c r="G284" s="27" t="s">
        <v>754</v>
      </c>
      <c r="H284" s="31" t="str">
        <f t="shared" ca="1" si="111"/>
        <v>秘術の果実 x 1</v>
      </c>
      <c r="I284" s="31" t="str">
        <f ca="1">VLOOKUP($G284,OFFSET(mission_ACH!$A$2,0,0,COUNTA($A:$A),MATCH(I$2,mission_ACH!$2:$2,0)-MATCH($G$2,mission_ACH!$2:$2,0)+1),MATCH(I$2,mission_ACH!$2:$2,0)-MATCH($G$2,mission_ACH!$2:$2,0)+1,FALSE)</f>
        <v>unit</v>
      </c>
      <c r="J284" s="31">
        <f ca="1">VLOOKUP($G284,OFFSET(mission_ACH!$A$2,0,0,COUNTA($A:$A),MATCH(J$2,mission_ACH!$2:$2,0)-MATCH($G$2,mission_ACH!$2:$2,0)+1),MATCH(J$2,mission_ACH!$2:$2,0)-MATCH($G$2,mission_ACH!$2:$2,0)+1,FALSE)</f>
        <v>125</v>
      </c>
      <c r="K284" s="31" t="str">
        <f ca="1">IF(I284="unit",VLOOKUP($G284,OFFSET(mission_ACH!$A$2,0,0,COUNTA($A:$A),MATCH(K$2,mission_ACH!$2:$2,0)-MATCH($G$2,mission_ACH!$2:$2,0)+1),MATCH(K$2,mission_ACH!$2:$2,0)-MATCH($G$2,mission_ACH!$2:$2,0)+1,FALSE),"")</f>
        <v>秘術の果実</v>
      </c>
      <c r="L284" s="31">
        <f ca="1">VLOOKUP($G284,OFFSET(mission_ACH!$A$2,0,0,COUNTA($A:$A),MATCH(L$2,mission_ACH!$2:$2,0)-MATCH($G$2,mission_ACH!$2:$2,0)+1),MATCH(L$2,mission_ACH!$2:$2,0)-MATCH($G$2,mission_ACH!$2:$2,0)+1,FALSE)</f>
        <v>1</v>
      </c>
      <c r="M284" s="27">
        <v>95</v>
      </c>
      <c r="N284" s="87" t="s">
        <v>1680</v>
      </c>
      <c r="O284" s="87" t="s">
        <v>1672</v>
      </c>
      <c r="P284" s="29">
        <v>9048</v>
      </c>
    </row>
    <row r="285" spans="1:16" ht="21" customHeight="1" x14ac:dyDescent="0.15">
      <c r="A285" s="27">
        <v>9044</v>
      </c>
      <c r="B285" s="26" t="str">
        <f t="shared" ref="B285" ca="1" si="113">F285</f>
        <v>【TVCM放送記念クエスト】_x000D_…勘違いじゃないよ をクリアしよう！</v>
      </c>
      <c r="C285" s="27" t="s">
        <v>893</v>
      </c>
      <c r="D285" s="31" t="str">
        <f ca="1">VLOOKUP($C285,OFFSET(mission_unlock_criteria!$A$2,0,0,COUNTA(mission_unlock_criteria!$A:$A),MATCH(D$2,mission_unlock_criteria!$2:$2,0)-MATCH($C$2,mission_unlock_criteria!$2:$2,0)+1),MATCH(D$2,mission_unlock_criteria!$2:$2,0)-MATCH($C$2,mission_unlock_criteria!$2:$2,0)+1,FALSE)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85" s="21" t="s">
        <v>1727</v>
      </c>
      <c r="F285" s="31" t="str">
        <f ca="1">VLOOKUP($E285,OFFSET(mission_ACH_criteria!$A$1,0,0,COUNTA(mission_ACH_criteria!$A:$A),MATCH(F$2,mission_ACH_criteria!$1:$1,0)-MATCH($E$2,mission_ACH_criteria!$1:$1,0)+1),MATCH(F$2,mission_ACH_criteria!$1:$1,0)-MATCH($E$2,mission_ACH_criteria!$1:$1,0)+1,FALSE)</f>
        <v>【TVCM放送記念クエスト】_x000D_…勘違いじゃないよ をクリアしよう！</v>
      </c>
      <c r="G285" s="27" t="s">
        <v>1758</v>
      </c>
      <c r="H285" s="31" t="str">
        <f t="shared" ref="H285" ca="1" si="114">IF(I285="unit",K285&amp;" x "&amp;L285,IF(I285="polygon","ポリゴン x "&amp;J285,IF(I285="bit","ビット x "&amp;J285,IF(I285="link","リンク x "&amp;J285))))</f>
        <v>リトルハンプティ x 1</v>
      </c>
      <c r="I285" s="31" t="str">
        <f ca="1">VLOOKUP($G285,OFFSET(mission_ACH!$A$2,0,0,COUNTA($A:$A),MATCH(I$2,mission_ACH!$2:$2,0)-MATCH($G$2,mission_ACH!$2:$2,0)+1),MATCH(I$2,mission_ACH!$2:$2,0)-MATCH($G$2,mission_ACH!$2:$2,0)+1,FALSE)</f>
        <v>unit</v>
      </c>
      <c r="J285" s="31">
        <f ca="1">VLOOKUP($G285,OFFSET(mission_ACH!$A$2,0,0,COUNTA($A:$A),MATCH(J$2,mission_ACH!$2:$2,0)-MATCH($G$2,mission_ACH!$2:$2,0)+1),MATCH(J$2,mission_ACH!$2:$2,0)-MATCH($G$2,mission_ACH!$2:$2,0)+1,FALSE)</f>
        <v>837</v>
      </c>
      <c r="K285" s="31" t="str">
        <f ca="1">IF(I285="unit",VLOOKUP($G285,OFFSET(mission_ACH!$A$2,0,0,COUNTA($A:$A),MATCH(K$2,mission_ACH!$2:$2,0)-MATCH($G$2,mission_ACH!$2:$2,0)+1),MATCH(K$2,mission_ACH!$2:$2,0)-MATCH($G$2,mission_ACH!$2:$2,0)+1,FALSE),"")</f>
        <v>リトルハンプティ</v>
      </c>
      <c r="L285" s="31">
        <f ca="1">VLOOKUP($G285,OFFSET(mission_ACH!$A$2,0,0,COUNTA($A:$A),MATCH(L$2,mission_ACH!$2:$2,0)-MATCH($G$2,mission_ACH!$2:$2,0)+1),MATCH(L$2,mission_ACH!$2:$2,0)-MATCH($G$2,mission_ACH!$2:$2,0)+1,FALSE)</f>
        <v>1</v>
      </c>
      <c r="M285" s="27">
        <v>96</v>
      </c>
      <c r="N285" s="87" t="s">
        <v>1720</v>
      </c>
      <c r="O285" s="87" t="s">
        <v>1728</v>
      </c>
    </row>
    <row r="286" spans="1:16" ht="21" customHeight="1" x14ac:dyDescent="0.15">
      <c r="A286" s="27">
        <v>9045</v>
      </c>
      <c r="B286" s="26" t="str">
        <f t="shared" ref="B286:B291" ca="1" si="115">F286</f>
        <v>ラグランジュチャレンジ をクリアしよう！</v>
      </c>
      <c r="C286" s="27" t="s">
        <v>893</v>
      </c>
      <c r="D286" s="31" t="str">
        <f ca="1">VLOOKUP($C286,OFFSET(mission_unlock_criteria!$A$2,0,0,COUNTA(mission_unlock_criteria!$A:$A),MATCH(D$2,mission_unlock_criteria!$2:$2,0)-MATCH($C$2,mission_unlock_criteria!$2:$2,0)+1),MATCH(D$2,mission_unlock_criteria!$2:$2,0)-MATCH($C$2,mission_unlock_criteria!$2:$2,0)+1,FALSE)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86" s="21" t="s">
        <v>1779</v>
      </c>
      <c r="F286" s="31" t="str">
        <f ca="1">VLOOKUP($E286,OFFSET(mission_ACH_criteria!$A$1,0,0,COUNTA(mission_ACH_criteria!$A:$A),MATCH(F$2,mission_ACH_criteria!$1:$1,0)-MATCH($E$2,mission_ACH_criteria!$1:$1,0)+1),MATCH(F$2,mission_ACH_criteria!$1:$1,0)-MATCH($E$2,mission_ACH_criteria!$1:$1,0)+1,FALSE)</f>
        <v>ラグランジュチャレンジ をクリアしよう！</v>
      </c>
      <c r="G286" s="27" t="s">
        <v>398</v>
      </c>
      <c r="H286" s="31" t="str">
        <f t="shared" ref="H286" ca="1" si="116">IF(I286="unit",K286&amp;" x "&amp;L286,IF(I286="polygon","ポリゴン x "&amp;J286,IF(I286="bit","ビット x "&amp;J286,IF(I286="link","リンク x "&amp;J286))))</f>
        <v>ポリゴン x 3</v>
      </c>
      <c r="I286" s="31" t="str">
        <f ca="1">VLOOKUP($G286,OFFSET(mission_ACH!$A$2,0,0,COUNTA($A:$A),MATCH(I$2,mission_ACH!$2:$2,0)-MATCH($G$2,mission_ACH!$2:$2,0)+1),MATCH(I$2,mission_ACH!$2:$2,0)-MATCH($G$2,mission_ACH!$2:$2,0)+1,FALSE)</f>
        <v>polygon</v>
      </c>
      <c r="J286" s="31">
        <f ca="1">VLOOKUP($G286,OFFSET(mission_ACH!$A$2,0,0,COUNTA($A:$A),MATCH(J$2,mission_ACH!$2:$2,0)-MATCH($G$2,mission_ACH!$2:$2,0)+1),MATCH(J$2,mission_ACH!$2:$2,0)-MATCH($G$2,mission_ACH!$2:$2,0)+1,FALSE)</f>
        <v>3</v>
      </c>
      <c r="K286" s="31" t="str">
        <f ca="1">IF(I286="unit",VLOOKUP($G286,OFFSET(mission_ACH!$A$2,0,0,COUNTA($A:$A),MATCH(K$2,mission_ACH!$2:$2,0)-MATCH($G$2,mission_ACH!$2:$2,0)+1),MATCH(K$2,mission_ACH!$2:$2,0)-MATCH($G$2,mission_ACH!$2:$2,0)+1,FALSE),"")</f>
        <v/>
      </c>
      <c r="L286" s="31">
        <f ca="1">VLOOKUP($G286,OFFSET(mission_ACH!$A$2,0,0,COUNTA($A:$A),MATCH(L$2,mission_ACH!$2:$2,0)-MATCH($G$2,mission_ACH!$2:$2,0)+1),MATCH(L$2,mission_ACH!$2:$2,0)-MATCH($G$2,mission_ACH!$2:$2,0)+1,FALSE)</f>
        <v>0</v>
      </c>
      <c r="M286" s="27">
        <v>97</v>
      </c>
      <c r="N286" s="87" t="s">
        <v>1780</v>
      </c>
      <c r="O286" s="87" t="s">
        <v>1781</v>
      </c>
    </row>
    <row r="287" spans="1:16" ht="21" customHeight="1" x14ac:dyDescent="0.15">
      <c r="A287" s="27">
        <v>9046</v>
      </c>
      <c r="B287" s="26" t="str">
        <f t="shared" ca="1" si="115"/>
        <v>シュレディンガーチャレンジ をクリアしよう！</v>
      </c>
      <c r="C287" s="27" t="s">
        <v>893</v>
      </c>
      <c r="D287" s="31" t="str">
        <f ca="1">VLOOKUP($C287,OFFSET(mission_unlock_criteria!$A$2,0,0,COUNTA(mission_unlock_criteria!$A:$A),MATCH(D$2,mission_unlock_criteria!$2:$2,0)-MATCH($C$2,mission_unlock_criteria!$2:$2,0)+1),MATCH(D$2,mission_unlock_criteria!$2:$2,0)-MATCH($C$2,mission_unlock_criteria!$2:$2,0)+1,FALSE)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87" s="21" t="s">
        <v>1804</v>
      </c>
      <c r="F287" s="31" t="str">
        <f ca="1">VLOOKUP($E287,OFFSET(mission_ACH_criteria!$A$1,0,0,COUNTA(mission_ACH_criteria!$A:$A),MATCH(F$2,mission_ACH_criteria!$1:$1,0)-MATCH($E$2,mission_ACH_criteria!$1:$1,0)+1),MATCH(F$2,mission_ACH_criteria!$1:$1,0)-MATCH($E$2,mission_ACH_criteria!$1:$1,0)+1,FALSE)</f>
        <v>シュレディンガーチャレンジ をクリアしよう！</v>
      </c>
      <c r="G287" s="27" t="s">
        <v>398</v>
      </c>
      <c r="H287" s="31" t="str">
        <f t="shared" ref="H287:H288" ca="1" si="117">IF(I287="unit",K287&amp;" x "&amp;L287,IF(I287="polygon","ポリゴン x "&amp;J287,IF(I287="bit","ビット x "&amp;J287,IF(I287="link","リンク x "&amp;J287))))</f>
        <v>ポリゴン x 3</v>
      </c>
      <c r="I287" s="31" t="str">
        <f ca="1">VLOOKUP($G287,OFFSET(mission_ACH!$A$2,0,0,COUNTA($A:$A),MATCH(I$2,mission_ACH!$2:$2,0)-MATCH($G$2,mission_ACH!$2:$2,0)+1),MATCH(I$2,mission_ACH!$2:$2,0)-MATCH($G$2,mission_ACH!$2:$2,0)+1,FALSE)</f>
        <v>polygon</v>
      </c>
      <c r="J287" s="31">
        <f ca="1">VLOOKUP($G287,OFFSET(mission_ACH!$A$2,0,0,COUNTA($A:$A),MATCH(J$2,mission_ACH!$2:$2,0)-MATCH($G$2,mission_ACH!$2:$2,0)+1),MATCH(J$2,mission_ACH!$2:$2,0)-MATCH($G$2,mission_ACH!$2:$2,0)+1,FALSE)</f>
        <v>3</v>
      </c>
      <c r="K287" s="31" t="str">
        <f ca="1">IF(I287="unit",VLOOKUP($G287,OFFSET(mission_ACH!$A$2,0,0,COUNTA($A:$A),MATCH(K$2,mission_ACH!$2:$2,0)-MATCH($G$2,mission_ACH!$2:$2,0)+1),MATCH(K$2,mission_ACH!$2:$2,0)-MATCH($G$2,mission_ACH!$2:$2,0)+1,FALSE),"")</f>
        <v/>
      </c>
      <c r="L287" s="31">
        <f ca="1">VLOOKUP($G287,OFFSET(mission_ACH!$A$2,0,0,COUNTA($A:$A),MATCH(L$2,mission_ACH!$2:$2,0)-MATCH($G$2,mission_ACH!$2:$2,0)+1),MATCH(L$2,mission_ACH!$2:$2,0)-MATCH($G$2,mission_ACH!$2:$2,0)+1,FALSE)</f>
        <v>0</v>
      </c>
      <c r="M287" s="27">
        <v>100</v>
      </c>
      <c r="N287" s="87" t="s">
        <v>1805</v>
      </c>
      <c r="O287" s="87" t="s">
        <v>1806</v>
      </c>
    </row>
    <row r="288" spans="1:16" ht="21" customHeight="1" x14ac:dyDescent="0.15">
      <c r="A288" s="27">
        <v>9049</v>
      </c>
      <c r="B288" s="26" t="str">
        <f t="shared" ca="1" si="115"/>
        <v>ユークリッドチャレンジ をクリアしよう！</v>
      </c>
      <c r="C288" s="27" t="s">
        <v>893</v>
      </c>
      <c r="D288" s="31" t="str">
        <f ca="1">VLOOKUP($C288,OFFSET(mission_unlock_criteria!$A$2,0,0,COUNTA(mission_unlock_criteria!$A:$A),MATCH(D$2,mission_unlock_criteria!$2:$2,0)-MATCH($C$2,mission_unlock_criteria!$2:$2,0)+1),MATCH(D$2,mission_unlock_criteria!$2:$2,0)-MATCH($C$2,mission_unlock_criteria!$2:$2,0)+1,FALSE)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88" s="21" t="s">
        <v>1866</v>
      </c>
      <c r="F288" s="31" t="str">
        <f ca="1">VLOOKUP($E288,OFFSET(mission_ACH_criteria!$A$1,0,0,COUNTA(mission_ACH_criteria!$A:$A),MATCH(F$2,mission_ACH_criteria!$1:$1,0)-MATCH($E$2,mission_ACH_criteria!$1:$1,0)+1),MATCH(F$2,mission_ACH_criteria!$1:$1,0)-MATCH($E$2,mission_ACH_criteria!$1:$1,0)+1,FALSE)</f>
        <v>ユークリッドチャレンジ をクリアしよう！</v>
      </c>
      <c r="G288" s="27" t="s">
        <v>398</v>
      </c>
      <c r="H288" s="31" t="str">
        <f t="shared" ca="1" si="117"/>
        <v>ポリゴン x 3</v>
      </c>
      <c r="I288" s="31" t="str">
        <f ca="1">VLOOKUP($G288,OFFSET(mission_ACH!$A$2,0,0,COUNTA($A:$A),MATCH(I$2,mission_ACH!$2:$2,0)-MATCH($G$2,mission_ACH!$2:$2,0)+1),MATCH(I$2,mission_ACH!$2:$2,0)-MATCH($G$2,mission_ACH!$2:$2,0)+1,FALSE)</f>
        <v>polygon</v>
      </c>
      <c r="J288" s="31">
        <f ca="1">VLOOKUP($G288,OFFSET(mission_ACH!$A$2,0,0,COUNTA($A:$A),MATCH(J$2,mission_ACH!$2:$2,0)-MATCH($G$2,mission_ACH!$2:$2,0)+1),MATCH(J$2,mission_ACH!$2:$2,0)-MATCH($G$2,mission_ACH!$2:$2,0)+1,FALSE)</f>
        <v>3</v>
      </c>
      <c r="K288" s="31" t="str">
        <f ca="1">IF(I288="unit",VLOOKUP($G288,OFFSET(mission_ACH!$A$2,0,0,COUNTA($A:$A),MATCH(K$2,mission_ACH!$2:$2,0)-MATCH($G$2,mission_ACH!$2:$2,0)+1),MATCH(K$2,mission_ACH!$2:$2,0)-MATCH($G$2,mission_ACH!$2:$2,0)+1,FALSE),"")</f>
        <v/>
      </c>
      <c r="L288" s="31">
        <f ca="1">VLOOKUP($G288,OFFSET(mission_ACH!$A$2,0,0,COUNTA($A:$A),MATCH(L$2,mission_ACH!$2:$2,0)-MATCH($G$2,mission_ACH!$2:$2,0)+1),MATCH(L$2,mission_ACH!$2:$2,0)-MATCH($G$2,mission_ACH!$2:$2,0)+1,FALSE)</f>
        <v>0</v>
      </c>
      <c r="M288" s="27">
        <v>103</v>
      </c>
      <c r="N288" s="119" t="s">
        <v>1867</v>
      </c>
      <c r="O288" s="87" t="s">
        <v>1868</v>
      </c>
    </row>
    <row r="289" spans="1:15" ht="21" customHeight="1" x14ac:dyDescent="0.15">
      <c r="A289" s="27">
        <v>9050</v>
      </c>
      <c r="B289" s="26" t="str">
        <f t="shared" ca="1" si="115"/>
        <v>チューリングチャレンジ をクリアしよう！</v>
      </c>
      <c r="C289" s="27" t="s">
        <v>893</v>
      </c>
      <c r="D289" s="31" t="str">
        <f ca="1">VLOOKUP($C289,OFFSET(mission_unlock_criteria!$A$2,0,0,COUNTA(mission_unlock_criteria!$A:$A),MATCH(D$2,mission_unlock_criteria!$2:$2,0)-MATCH($C$2,mission_unlock_criteria!$2:$2,0)+1),MATCH(D$2,mission_unlock_criteria!$2:$2,0)-MATCH($C$2,mission_unlock_criteria!$2:$2,0)+1,FALSE)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89" s="21" t="s">
        <v>1885</v>
      </c>
      <c r="F289" s="31" t="str">
        <f ca="1">VLOOKUP($E289,OFFSET(mission_ACH_criteria!$A$1,0,0,COUNTA(mission_ACH_criteria!$A:$A),MATCH(F$2,mission_ACH_criteria!$1:$1,0)-MATCH($E$2,mission_ACH_criteria!$1:$1,0)+1),MATCH(F$2,mission_ACH_criteria!$1:$1,0)-MATCH($E$2,mission_ACH_criteria!$1:$1,0)+1,FALSE)</f>
        <v>チューリングチャレンジ をクリアしよう！</v>
      </c>
      <c r="G289" s="27" t="s">
        <v>398</v>
      </c>
      <c r="H289" s="31" t="str">
        <f t="shared" ref="H289:H290" ca="1" si="118">IF(I289="unit",K289&amp;" x "&amp;L289,IF(I289="polygon","ポリゴン x "&amp;J289,IF(I289="bit","ビット x "&amp;J289,IF(I289="link","リンク x "&amp;J289))))</f>
        <v>ポリゴン x 3</v>
      </c>
      <c r="I289" s="31" t="str">
        <f ca="1">VLOOKUP($G289,OFFSET(mission_ACH!$A$2,0,0,COUNTA($A:$A),MATCH(I$2,mission_ACH!$2:$2,0)-MATCH($G$2,mission_ACH!$2:$2,0)+1),MATCH(I$2,mission_ACH!$2:$2,0)-MATCH($G$2,mission_ACH!$2:$2,0)+1,FALSE)</f>
        <v>polygon</v>
      </c>
      <c r="J289" s="31">
        <f ca="1">VLOOKUP($G289,OFFSET(mission_ACH!$A$2,0,0,COUNTA($A:$A),MATCH(J$2,mission_ACH!$2:$2,0)-MATCH($G$2,mission_ACH!$2:$2,0)+1),MATCH(J$2,mission_ACH!$2:$2,0)-MATCH($G$2,mission_ACH!$2:$2,0)+1,FALSE)</f>
        <v>3</v>
      </c>
      <c r="K289" s="31" t="str">
        <f ca="1">IF(I289="unit",VLOOKUP($G289,OFFSET(mission_ACH!$A$2,0,0,COUNTA($A:$A),MATCH(K$2,mission_ACH!$2:$2,0)-MATCH($G$2,mission_ACH!$2:$2,0)+1),MATCH(K$2,mission_ACH!$2:$2,0)-MATCH($G$2,mission_ACH!$2:$2,0)+1,FALSE),"")</f>
        <v/>
      </c>
      <c r="L289" s="31">
        <f ca="1">VLOOKUP($G289,OFFSET(mission_ACH!$A$2,0,0,COUNTA($A:$A),MATCH(L$2,mission_ACH!$2:$2,0)-MATCH($G$2,mission_ACH!$2:$2,0)+1),MATCH(L$2,mission_ACH!$2:$2,0)-MATCH($G$2,mission_ACH!$2:$2,0)+1,FALSE)</f>
        <v>0</v>
      </c>
      <c r="M289" s="27">
        <v>106</v>
      </c>
      <c r="N289" s="119" t="s">
        <v>1886</v>
      </c>
      <c r="O289" s="87" t="s">
        <v>1887</v>
      </c>
    </row>
    <row r="290" spans="1:15" ht="21" customHeight="1" x14ac:dyDescent="0.15">
      <c r="A290" s="126">
        <v>9051</v>
      </c>
      <c r="B290" s="26" t="str">
        <f t="shared" ca="1" si="115"/>
        <v>シュレディンガーチャレンジ をクリアしよう！</v>
      </c>
      <c r="C290" s="27" t="s">
        <v>893</v>
      </c>
      <c r="D290" s="31" t="str">
        <f ca="1">VLOOKUP($C290,OFFSET(mission_unlock_criteria!$A$2,0,0,COUNTA(mission_unlock_criteria!$A:$A),MATCH(D$2,mission_unlock_criteria!$2:$2,0)-MATCH($C$2,mission_unlock_criteria!$2:$2,0)+1),MATCH(D$2,mission_unlock_criteria!$2:$2,0)-MATCH($C$2,mission_unlock_criteria!$2:$2,0)+1,FALSE)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90" s="21" t="s">
        <v>1920</v>
      </c>
      <c r="F290" s="31" t="str">
        <f ca="1">VLOOKUP($E290,OFFSET(mission_ACH_criteria!$A$1,0,0,COUNTA(mission_ACH_criteria!$A:$A),MATCH(F$2,mission_ACH_criteria!$1:$1,0)-MATCH($E$2,mission_ACH_criteria!$1:$1,0)+1),MATCH(F$2,mission_ACH_criteria!$1:$1,0)-MATCH($E$2,mission_ACH_criteria!$1:$1,0)+1,FALSE)</f>
        <v>シュレディンガーチャレンジ をクリアしよう！</v>
      </c>
      <c r="G290" s="27" t="s">
        <v>398</v>
      </c>
      <c r="H290" s="31" t="str">
        <f t="shared" ca="1" si="118"/>
        <v>ポリゴン x 3</v>
      </c>
      <c r="I290" s="31" t="str">
        <f ca="1">VLOOKUP($G290,OFFSET(mission_ACH!$A$2,0,0,COUNTA($A:$A),MATCH(I$2,mission_ACH!$2:$2,0)-MATCH($G$2,mission_ACH!$2:$2,0)+1),MATCH(I$2,mission_ACH!$2:$2,0)-MATCH($G$2,mission_ACH!$2:$2,0)+1,FALSE)</f>
        <v>polygon</v>
      </c>
      <c r="J290" s="31">
        <f ca="1">VLOOKUP($G290,OFFSET(mission_ACH!$A$2,0,0,COUNTA($A:$A),MATCH(J$2,mission_ACH!$2:$2,0)-MATCH($G$2,mission_ACH!$2:$2,0)+1),MATCH(J$2,mission_ACH!$2:$2,0)-MATCH($G$2,mission_ACH!$2:$2,0)+1,FALSE)</f>
        <v>3</v>
      </c>
      <c r="K290" s="31" t="str">
        <f ca="1">IF(I290="unit",VLOOKUP($G290,OFFSET(mission_ACH!$A$2,0,0,COUNTA($A:$A),MATCH(K$2,mission_ACH!$2:$2,0)-MATCH($G$2,mission_ACH!$2:$2,0)+1),MATCH(K$2,mission_ACH!$2:$2,0)-MATCH($G$2,mission_ACH!$2:$2,0)+1,FALSE),"")</f>
        <v/>
      </c>
      <c r="L290" s="31">
        <f ca="1">VLOOKUP($G290,OFFSET(mission_ACH!$A$2,0,0,COUNTA($A:$A),MATCH(L$2,mission_ACH!$2:$2,0)-MATCH($G$2,mission_ACH!$2:$2,0)+1),MATCH(L$2,mission_ACH!$2:$2,0)-MATCH($G$2,mission_ACH!$2:$2,0)+1,FALSE)</f>
        <v>0</v>
      </c>
      <c r="M290" s="27">
        <v>108</v>
      </c>
      <c r="N290" s="87" t="s">
        <v>1918</v>
      </c>
      <c r="O290" s="87" t="s">
        <v>1919</v>
      </c>
    </row>
    <row r="291" spans="1:15" ht="21" customHeight="1" x14ac:dyDescent="0.15">
      <c r="A291" s="27">
        <v>9052</v>
      </c>
      <c r="B291" s="26" t="str">
        <f t="shared" ca="1" si="115"/>
        <v>ヘンペルチャレンジ をクリアしよう！</v>
      </c>
      <c r="C291" s="27" t="s">
        <v>893</v>
      </c>
      <c r="D291" s="31" t="str">
        <f ca="1">VLOOKUP($C291,OFFSET(mission_unlock_criteria!$A$2,0,0,COUNTA(mission_unlock_criteria!$A:$A),MATCH(D$2,mission_unlock_criteria!$2:$2,0)-MATCH($C$2,mission_unlock_criteria!$2:$2,0)+1),MATCH(D$2,mission_unlock_criteria!$2:$2,0)-MATCH($C$2,mission_unlock_criteria!$2:$2,0)+1,FALSE)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91" s="21" t="s">
        <v>1993</v>
      </c>
      <c r="F291" s="31" t="str">
        <f ca="1">VLOOKUP($E291,OFFSET(mission_ACH_criteria!$A$1,0,0,COUNTA(mission_ACH_criteria!$A:$A),MATCH(F$2,mission_ACH_criteria!$1:$1,0)-MATCH($E$2,mission_ACH_criteria!$1:$1,0)+1),MATCH(F$2,mission_ACH_criteria!$1:$1,0)-MATCH($E$2,mission_ACH_criteria!$1:$1,0)+1,FALSE)</f>
        <v>ヘンペルチャレンジ をクリアしよう！</v>
      </c>
      <c r="G291" s="27" t="s">
        <v>398</v>
      </c>
      <c r="H291" s="31" t="str">
        <f t="shared" ref="H291" ca="1" si="119">IF(I291="unit",K291&amp;" x "&amp;L291,IF(I291="polygon","ポリゴン x "&amp;J291,IF(I291="bit","ビット x "&amp;J291,IF(I291="link","リンク x "&amp;J291))))</f>
        <v>ポリゴン x 3</v>
      </c>
      <c r="I291" s="31" t="str">
        <f ca="1">VLOOKUP($G291,OFFSET(mission_ACH!$A$2,0,0,COUNTA($A:$A),MATCH(I$2,mission_ACH!$2:$2,0)-MATCH($G$2,mission_ACH!$2:$2,0)+1),MATCH(I$2,mission_ACH!$2:$2,0)-MATCH($G$2,mission_ACH!$2:$2,0)+1,FALSE)</f>
        <v>polygon</v>
      </c>
      <c r="J291" s="31">
        <f ca="1">VLOOKUP($G291,OFFSET(mission_ACH!$A$2,0,0,COUNTA($A:$A),MATCH(J$2,mission_ACH!$2:$2,0)-MATCH($G$2,mission_ACH!$2:$2,0)+1),MATCH(J$2,mission_ACH!$2:$2,0)-MATCH($G$2,mission_ACH!$2:$2,0)+1,FALSE)</f>
        <v>3</v>
      </c>
      <c r="K291" s="31" t="str">
        <f ca="1">IF(I291="unit",VLOOKUP($G291,OFFSET(mission_ACH!$A$2,0,0,COUNTA($A:$A),MATCH(K$2,mission_ACH!$2:$2,0)-MATCH($G$2,mission_ACH!$2:$2,0)+1),MATCH(K$2,mission_ACH!$2:$2,0)-MATCH($G$2,mission_ACH!$2:$2,0)+1,FALSE),"")</f>
        <v/>
      </c>
      <c r="L291" s="31">
        <f ca="1">VLOOKUP($G291,OFFSET(mission_ACH!$A$2,0,0,COUNTA($A:$A),MATCH(L$2,mission_ACH!$2:$2,0)-MATCH($G$2,mission_ACH!$2:$2,0)+1),MATCH(L$2,mission_ACH!$2:$2,0)-MATCH($G$2,mission_ACH!$2:$2,0)+1,FALSE)</f>
        <v>0</v>
      </c>
      <c r="M291" s="27">
        <v>109</v>
      </c>
      <c r="N291" s="87" t="s">
        <v>1994</v>
      </c>
      <c r="O291" s="87" t="s">
        <v>1995</v>
      </c>
    </row>
    <row r="292" spans="1:15" s="1" customFormat="1" ht="21" customHeight="1" x14ac:dyDescent="0.15">
      <c r="A292" s="27">
        <f>A291+1</f>
        <v>9053</v>
      </c>
      <c r="B292" s="26" t="str">
        <f t="shared" ref="B292:B312" ca="1" si="120">F292</f>
        <v>クエスト 【上級】聖なる夜に祝福を をクリアしよう！</v>
      </c>
      <c r="C292" s="27" t="s">
        <v>893</v>
      </c>
      <c r="D292" s="31" t="str">
        <f ca="1">VLOOKUP($C292,OFFSET(mission_unlock_criteria!$A$2,0,0,COUNTA(mission_unlock_criteria!$A:$A),MATCH(D$2,mission_unlock_criteria!$2:$2,0)-MATCH($C$2,mission_unlock_criteria!$2:$2,0)+1),MATCH(D$2,mission_unlock_criteria!$2:$2,0)-MATCH($C$2,mission_unlock_criteria!$2:$2,0)+1,FALSE)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92" s="21" t="s">
        <v>2003</v>
      </c>
      <c r="F292" s="31" t="str">
        <f ca="1">VLOOKUP($E292,OFFSET(mission_ACH_criteria!$A$1,0,0,COUNTA(mission_ACH_criteria!$A:$A),MATCH(F$2,mission_ACH_criteria!$1:$1,0)-MATCH($E$2,mission_ACH_criteria!$1:$1,0)+1),MATCH(F$2,mission_ACH_criteria!$1:$1,0)-MATCH($E$2,mission_ACH_criteria!$1:$1,0)+1,FALSE)</f>
        <v>クエスト 【上級】聖なる夜に祝福を をクリアしよう！</v>
      </c>
      <c r="G292" s="27" t="s">
        <v>2012</v>
      </c>
      <c r="H292" s="76" t="s">
        <v>2019</v>
      </c>
      <c r="I292" s="31" t="str">
        <f ca="1">VLOOKUP($G292,OFFSET(mission_ACH!$A$2,0,0,COUNTA($A:$A),MATCH(I$2,mission_ACH!$2:$2,0)-MATCH($G$2,mission_ACH!$2:$2,0)+1),MATCH(I$2,mission_ACH!$2:$2,0)-MATCH($G$2,mission_ACH!$2:$2,0)+1,FALSE)</f>
        <v>item</v>
      </c>
      <c r="J292" s="31">
        <f ca="1">VLOOKUP($G292,OFFSET(mission_ACH!$A$2,0,0,COUNTA($A:$A),MATCH(J$2,mission_ACH!$2:$2,0)-MATCH($G$2,mission_ACH!$2:$2,0)+1),MATCH(J$2,mission_ACH!$2:$2,0)-MATCH($G$2,mission_ACH!$2:$2,0)+1,FALSE)</f>
        <v>702</v>
      </c>
      <c r="K292" s="31" t="str">
        <f ca="1">IF(I292="unit",VLOOKUP($G292,OFFSET(mission_ACH!$A$2,0,0,COUNTA($A:$A),MATCH(K$2,mission_ACH!$2:$2,0)-MATCH($G$2,mission_ACH!$2:$2,0)+1),MATCH(K$2,mission_ACH!$2:$2,0)-MATCH($G$2,mission_ACH!$2:$2,0)+1,FALSE),"")</f>
        <v/>
      </c>
      <c r="L292" s="31">
        <f ca="1">VLOOKUP($G292,OFFSET(mission_ACH!$A$2,0,0,COUNTA($A:$A),MATCH(L$2,mission_ACH!$2:$2,0)-MATCH($G$2,mission_ACH!$2:$2,0)+1),MATCH(L$2,mission_ACH!$2:$2,0)-MATCH($G$2,mission_ACH!$2:$2,0)+1,FALSE)</f>
        <v>3</v>
      </c>
      <c r="M292" s="27">
        <v>110</v>
      </c>
      <c r="N292" s="87" t="s">
        <v>2043</v>
      </c>
      <c r="O292" s="87" t="s">
        <v>2047</v>
      </c>
    </row>
    <row r="293" spans="1:15" s="1" customFormat="1" ht="21" customHeight="1" x14ac:dyDescent="0.15">
      <c r="A293" s="27">
        <f t="shared" ref="A293:A311" si="121">A292+1</f>
        <v>9054</v>
      </c>
      <c r="B293" s="26" t="str">
        <f t="shared" ca="1" si="120"/>
        <v>クエスト 【超級】聖なる夜に祝福を をクリアしよう！</v>
      </c>
      <c r="C293" s="27" t="s">
        <v>893</v>
      </c>
      <c r="D293" s="31" t="str">
        <f ca="1">VLOOKUP($C293,OFFSET(mission_unlock_criteria!$A$2,0,0,COUNTA(mission_unlock_criteria!$A:$A),MATCH(D$2,mission_unlock_criteria!$2:$2,0)-MATCH($C$2,mission_unlock_criteria!$2:$2,0)+1),MATCH(D$2,mission_unlock_criteria!$2:$2,0)-MATCH($C$2,mission_unlock_criteria!$2:$2,0)+1,FALSE)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93" s="21" t="s">
        <v>2004</v>
      </c>
      <c r="F293" s="31" t="str">
        <f ca="1">VLOOKUP($E293,OFFSET(mission_ACH_criteria!$A$1,0,0,COUNTA(mission_ACH_criteria!$A:$A),MATCH(F$2,mission_ACH_criteria!$1:$1,0)-MATCH($E$2,mission_ACH_criteria!$1:$1,0)+1),MATCH(F$2,mission_ACH_criteria!$1:$1,0)-MATCH($E$2,mission_ACH_criteria!$1:$1,0)+1,FALSE)</f>
        <v>クエスト 【超級】聖なる夜に祝福を をクリアしよう！</v>
      </c>
      <c r="G293" s="27" t="s">
        <v>2013</v>
      </c>
      <c r="H293" s="76" t="s">
        <v>2020</v>
      </c>
      <c r="I293" s="31" t="str">
        <f ca="1">VLOOKUP($G293,OFFSET(mission_ACH!$A$2,0,0,COUNTA($A:$A),MATCH(I$2,mission_ACH!$2:$2,0)-MATCH($G$2,mission_ACH!$2:$2,0)+1),MATCH(I$2,mission_ACH!$2:$2,0)-MATCH($G$2,mission_ACH!$2:$2,0)+1,FALSE)</f>
        <v>item</v>
      </c>
      <c r="J293" s="31">
        <f ca="1">VLOOKUP($G293,OFFSET(mission_ACH!$A$2,0,0,COUNTA($A:$A),MATCH(J$2,mission_ACH!$2:$2,0)-MATCH($G$2,mission_ACH!$2:$2,0)+1),MATCH(J$2,mission_ACH!$2:$2,0)-MATCH($G$2,mission_ACH!$2:$2,0)+1,FALSE)</f>
        <v>702</v>
      </c>
      <c r="K293" s="31" t="str">
        <f ca="1">IF(I293="unit",VLOOKUP($G293,OFFSET(mission_ACH!$A$2,0,0,COUNTA($A:$A),MATCH(K$2,mission_ACH!$2:$2,0)-MATCH($G$2,mission_ACH!$2:$2,0)+1),MATCH(K$2,mission_ACH!$2:$2,0)-MATCH($G$2,mission_ACH!$2:$2,0)+1,FALSE),"")</f>
        <v/>
      </c>
      <c r="L293" s="31">
        <f ca="1">VLOOKUP($G293,OFFSET(mission_ACH!$A$2,0,0,COUNTA($A:$A),MATCH(L$2,mission_ACH!$2:$2,0)-MATCH($G$2,mission_ACH!$2:$2,0)+1),MATCH(L$2,mission_ACH!$2:$2,0)-MATCH($G$2,mission_ACH!$2:$2,0)+1,FALSE)</f>
        <v>9</v>
      </c>
      <c r="M293" s="27">
        <v>110</v>
      </c>
      <c r="N293" s="87" t="s">
        <v>2043</v>
      </c>
      <c r="O293" s="87" t="s">
        <v>2044</v>
      </c>
    </row>
    <row r="294" spans="1:15" ht="21" customHeight="1" x14ac:dyDescent="0.15">
      <c r="A294" s="27">
        <f t="shared" si="121"/>
        <v>9055</v>
      </c>
      <c r="B294" s="26" t="str">
        <f t="shared" ca="1" si="120"/>
        <v>クエスト 【超絶級】聖なる夜に祝福を をクリアしよう！</v>
      </c>
      <c r="C294" s="27" t="s">
        <v>893</v>
      </c>
      <c r="D294" s="31" t="str">
        <f ca="1">VLOOKUP($C294,OFFSET(mission_unlock_criteria!$A$2,0,0,COUNTA(mission_unlock_criteria!$A:$A),MATCH(D$2,mission_unlock_criteria!$2:$2,0)-MATCH($C$2,mission_unlock_criteria!$2:$2,0)+1),MATCH(D$2,mission_unlock_criteria!$2:$2,0)-MATCH($C$2,mission_unlock_criteria!$2:$2,0)+1,FALSE)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94" s="21" t="s">
        <v>2005</v>
      </c>
      <c r="F294" s="31" t="str">
        <f ca="1">VLOOKUP($E294,OFFSET(mission_ACH_criteria!$A$1,0,0,COUNTA(mission_ACH_criteria!$A:$A),MATCH(F$2,mission_ACH_criteria!$1:$1,0)-MATCH($E$2,mission_ACH_criteria!$1:$1,0)+1),MATCH(F$2,mission_ACH_criteria!$1:$1,0)-MATCH($E$2,mission_ACH_criteria!$1:$1,0)+1,FALSE)</f>
        <v>クエスト 【超絶級】聖なる夜に祝福を をクリアしよう！</v>
      </c>
      <c r="G294" s="27" t="s">
        <v>2015</v>
      </c>
      <c r="H294" s="76" t="s">
        <v>2021</v>
      </c>
      <c r="I294" s="31" t="str">
        <f ca="1">VLOOKUP($G294,OFFSET(mission_ACH!$A$2,0,0,COUNTA($A:$A),MATCH(I$2,mission_ACH!$2:$2,0)-MATCH($G$2,mission_ACH!$2:$2,0)+1),MATCH(I$2,mission_ACH!$2:$2,0)-MATCH($G$2,mission_ACH!$2:$2,0)+1,FALSE)</f>
        <v>item</v>
      </c>
      <c r="J294" s="31">
        <f ca="1">VLOOKUP($G294,OFFSET(mission_ACH!$A$2,0,0,COUNTA($A:$A),MATCH(J$2,mission_ACH!$2:$2,0)-MATCH($G$2,mission_ACH!$2:$2,0)+1),MATCH(J$2,mission_ACH!$2:$2,0)-MATCH($G$2,mission_ACH!$2:$2,0)+1,FALSE)</f>
        <v>702</v>
      </c>
      <c r="K294" s="31" t="str">
        <f ca="1">IF(I294="unit",VLOOKUP($G294,OFFSET(mission_ACH!$A$2,0,0,COUNTA($A:$A),MATCH(K$2,mission_ACH!$2:$2,0)-MATCH($G$2,mission_ACH!$2:$2,0)+1),MATCH(K$2,mission_ACH!$2:$2,0)-MATCH($G$2,mission_ACH!$2:$2,0)+1,FALSE),"")</f>
        <v/>
      </c>
      <c r="L294" s="31">
        <f ca="1">VLOOKUP($G294,OFFSET(mission_ACH!$A$2,0,0,COUNTA($A:$A),MATCH(L$2,mission_ACH!$2:$2,0)-MATCH($G$2,mission_ACH!$2:$2,0)+1),MATCH(L$2,mission_ACH!$2:$2,0)-MATCH($G$2,mission_ACH!$2:$2,0)+1,FALSE)</f>
        <v>15</v>
      </c>
      <c r="M294" s="27">
        <v>110</v>
      </c>
      <c r="N294" s="87" t="s">
        <v>2043</v>
      </c>
      <c r="O294" s="87" t="s">
        <v>2044</v>
      </c>
    </row>
    <row r="295" spans="1:15" ht="21" customHeight="1" x14ac:dyDescent="0.15">
      <c r="A295" s="27">
        <f t="shared" si="121"/>
        <v>9056</v>
      </c>
      <c r="B295" s="26" t="str">
        <f t="shared" ca="1" si="120"/>
        <v>クエスト 【ウィザード級】聖なる夜に祝福を をクリアしよう！</v>
      </c>
      <c r="C295" s="27" t="s">
        <v>893</v>
      </c>
      <c r="D295" s="31" t="str">
        <f ca="1">VLOOKUP($C295,OFFSET(mission_unlock_criteria!$A$2,0,0,COUNTA(mission_unlock_criteria!$A:$A),MATCH(D$2,mission_unlock_criteria!$2:$2,0)-MATCH($C$2,mission_unlock_criteria!$2:$2,0)+1),MATCH(D$2,mission_unlock_criteria!$2:$2,0)-MATCH($C$2,mission_unlock_criteria!$2:$2,0)+1,FALSE)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95" s="21" t="s">
        <v>2006</v>
      </c>
      <c r="F295" s="31" t="str">
        <f ca="1">VLOOKUP($E295,OFFSET(mission_ACH_criteria!$A$1,0,0,COUNTA(mission_ACH_criteria!$A:$A),MATCH(F$2,mission_ACH_criteria!$1:$1,0)-MATCH($E$2,mission_ACH_criteria!$1:$1,0)+1),MATCH(F$2,mission_ACH_criteria!$1:$1,0)-MATCH($E$2,mission_ACH_criteria!$1:$1,0)+1,FALSE)</f>
        <v>クエスト 【ウィザード級】聖なる夜に祝福を をクリアしよう！</v>
      </c>
      <c r="G295" s="27" t="s">
        <v>2017</v>
      </c>
      <c r="H295" s="76" t="s">
        <v>2022</v>
      </c>
      <c r="I295" s="31" t="str">
        <f ca="1">VLOOKUP($G295,OFFSET(mission_ACH!$A$2,0,0,COUNTA($A:$A),MATCH(I$2,mission_ACH!$2:$2,0)-MATCH($G$2,mission_ACH!$2:$2,0)+1),MATCH(I$2,mission_ACH!$2:$2,0)-MATCH($G$2,mission_ACH!$2:$2,0)+1,FALSE)</f>
        <v>item</v>
      </c>
      <c r="J295" s="31">
        <f ca="1">VLOOKUP($G295,OFFSET(mission_ACH!$A$2,0,0,COUNTA($A:$A),MATCH(J$2,mission_ACH!$2:$2,0)-MATCH($G$2,mission_ACH!$2:$2,0)+1),MATCH(J$2,mission_ACH!$2:$2,0)-MATCH($G$2,mission_ACH!$2:$2,0)+1,FALSE)</f>
        <v>702</v>
      </c>
      <c r="K295" s="31" t="str">
        <f ca="1">IF(I295="unit",VLOOKUP($G295,OFFSET(mission_ACH!$A$2,0,0,COUNTA($A:$A),MATCH(K$2,mission_ACH!$2:$2,0)-MATCH($G$2,mission_ACH!$2:$2,0)+1),MATCH(K$2,mission_ACH!$2:$2,0)-MATCH($G$2,mission_ACH!$2:$2,0)+1,FALSE),"")</f>
        <v/>
      </c>
      <c r="L295" s="31">
        <f ca="1">VLOOKUP($G295,OFFSET(mission_ACH!$A$2,0,0,COUNTA($A:$A),MATCH(L$2,mission_ACH!$2:$2,0)-MATCH($G$2,mission_ACH!$2:$2,0)+1),MATCH(L$2,mission_ACH!$2:$2,0)-MATCH($G$2,mission_ACH!$2:$2,0)+1,FALSE)</f>
        <v>30</v>
      </c>
      <c r="M295" s="27">
        <v>110</v>
      </c>
      <c r="N295" s="87" t="s">
        <v>2043</v>
      </c>
      <c r="O295" s="87" t="s">
        <v>2044</v>
      </c>
    </row>
    <row r="296" spans="1:15" ht="21" customHeight="1" x14ac:dyDescent="0.15">
      <c r="A296" s="27">
        <f t="shared" si="121"/>
        <v>9057</v>
      </c>
      <c r="B296" s="26" t="str">
        <f t="shared" ca="1" si="120"/>
        <v>ユニット【マシン・シュプール】を 10 体ゲットしよう！</v>
      </c>
      <c r="C296" s="27" t="s">
        <v>893</v>
      </c>
      <c r="D296" s="31" t="str">
        <f ca="1">VLOOKUP($C296,OFFSET(mission_unlock_criteria!$A$2,0,0,COUNTA(mission_unlock_criteria!$A:$A),MATCH(D$2,mission_unlock_criteria!$2:$2,0)-MATCH($C$2,mission_unlock_criteria!$2:$2,0)+1),MATCH(D$2,mission_unlock_criteria!$2:$2,0)-MATCH($C$2,mission_unlock_criteria!$2:$2,0)+1,FALSE)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96" s="21" t="s">
        <v>2007</v>
      </c>
      <c r="F296" s="31" t="str">
        <f ca="1">VLOOKUP($E296,OFFSET(mission_ACH_criteria!$A$1,0,0,COUNTA(mission_ACH_criteria!$A:$A),MATCH(F$2,mission_ACH_criteria!$1:$1,0)-MATCH($E$2,mission_ACH_criteria!$1:$1,0)+1),MATCH(F$2,mission_ACH_criteria!$1:$1,0)-MATCH($E$2,mission_ACH_criteria!$1:$1,0)+1,FALSE)</f>
        <v>ユニット【マシン・シュプール】を 10 体ゲットしよう！</v>
      </c>
      <c r="G296" s="27" t="s">
        <v>2023</v>
      </c>
      <c r="H296" s="31" t="str">
        <f t="shared" ref="H296:H311" ca="1" si="122">IF(I296="unit",K296&amp;" x "&amp;L296,IF(I296="polygon","ポリゴン x "&amp;J296,IF(I296="bit","ビット x "&amp;J296,IF(I296="link","リンク x "&amp;J296))))</f>
        <v>マシン・シュプール x 1</v>
      </c>
      <c r="I296" s="31" t="str">
        <f ca="1">VLOOKUP($G296,OFFSET(mission_ACH!$A$2,0,0,COUNTA($A:$A),MATCH(I$2,mission_ACH!$2:$2,0)-MATCH($G$2,mission_ACH!$2:$2,0)+1),MATCH(I$2,mission_ACH!$2:$2,0)-MATCH($G$2,mission_ACH!$2:$2,0)+1,FALSE)</f>
        <v>unit</v>
      </c>
      <c r="J296" s="31">
        <f ca="1">VLOOKUP($G296,OFFSET(mission_ACH!$A$2,0,0,COUNTA($A:$A),MATCH(J$2,mission_ACH!$2:$2,0)-MATCH($G$2,mission_ACH!$2:$2,0)+1),MATCH(J$2,mission_ACH!$2:$2,0)-MATCH($G$2,mission_ACH!$2:$2,0)+1,FALSE)</f>
        <v>1284</v>
      </c>
      <c r="K296" s="31" t="str">
        <f ca="1">IF(I296="unit",VLOOKUP($G296,OFFSET(mission_ACH!$A$2,0,0,COUNTA($A:$A),MATCH(K$2,mission_ACH!$2:$2,0)-MATCH($G$2,mission_ACH!$2:$2,0)+1),MATCH(K$2,mission_ACH!$2:$2,0)-MATCH($G$2,mission_ACH!$2:$2,0)+1,FALSE),"")</f>
        <v>マシン・シュプール</v>
      </c>
      <c r="L296" s="31">
        <f ca="1">VLOOKUP($G296,OFFSET(mission_ACH!$A$2,0,0,COUNTA($A:$A),MATCH(L$2,mission_ACH!$2:$2,0)-MATCH($G$2,mission_ACH!$2:$2,0)+1),MATCH(L$2,mission_ACH!$2:$2,0)-MATCH($G$2,mission_ACH!$2:$2,0)+1,FALSE)</f>
        <v>1</v>
      </c>
      <c r="M296" s="27">
        <v>110</v>
      </c>
      <c r="N296" s="87" t="s">
        <v>2043</v>
      </c>
      <c r="O296" s="87" t="s">
        <v>2048</v>
      </c>
    </row>
    <row r="297" spans="1:15" ht="21" customHeight="1" x14ac:dyDescent="0.15">
      <c r="A297" s="27">
        <f t="shared" si="121"/>
        <v>9058</v>
      </c>
      <c r="B297" s="26" t="str">
        <f t="shared" ca="1" si="120"/>
        <v>ユニット【マシン・シュプール】を 25 体ゲットしよう！</v>
      </c>
      <c r="C297" s="27" t="s">
        <v>893</v>
      </c>
      <c r="D297" s="31" t="str">
        <f ca="1">VLOOKUP($C297,OFFSET(mission_unlock_criteria!$A$2,0,0,COUNTA(mission_unlock_criteria!$A:$A),MATCH(D$2,mission_unlock_criteria!$2:$2,0)-MATCH($C$2,mission_unlock_criteria!$2:$2,0)+1),MATCH(D$2,mission_unlock_criteria!$2:$2,0)-MATCH($C$2,mission_unlock_criteria!$2:$2,0)+1,FALSE)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97" s="21" t="s">
        <v>2008</v>
      </c>
      <c r="F297" s="31" t="str">
        <f ca="1">VLOOKUP($E297,OFFSET(mission_ACH_criteria!$A$1,0,0,COUNTA(mission_ACH_criteria!$A:$A),MATCH(F$2,mission_ACH_criteria!$1:$1,0)-MATCH($E$2,mission_ACH_criteria!$1:$1,0)+1),MATCH(F$2,mission_ACH_criteria!$1:$1,0)-MATCH($E$2,mission_ACH_criteria!$1:$1,0)+1,FALSE)</f>
        <v>ユニット【マシン・シュプール】を 25 体ゲットしよう！</v>
      </c>
      <c r="G297" s="27" t="s">
        <v>2023</v>
      </c>
      <c r="H297" s="31" t="str">
        <f t="shared" ca="1" si="122"/>
        <v>マシン・シュプール x 1</v>
      </c>
      <c r="I297" s="31" t="str">
        <f ca="1">VLOOKUP($G297,OFFSET(mission_ACH!$A$2,0,0,COUNTA($A:$A),MATCH(I$2,mission_ACH!$2:$2,0)-MATCH($G$2,mission_ACH!$2:$2,0)+1),MATCH(I$2,mission_ACH!$2:$2,0)-MATCH($G$2,mission_ACH!$2:$2,0)+1,FALSE)</f>
        <v>unit</v>
      </c>
      <c r="J297" s="31">
        <f ca="1">VLOOKUP($G297,OFFSET(mission_ACH!$A$2,0,0,COUNTA($A:$A),MATCH(J$2,mission_ACH!$2:$2,0)-MATCH($G$2,mission_ACH!$2:$2,0)+1),MATCH(J$2,mission_ACH!$2:$2,0)-MATCH($G$2,mission_ACH!$2:$2,0)+1,FALSE)</f>
        <v>1284</v>
      </c>
      <c r="K297" s="31" t="str">
        <f ca="1">IF(I297="unit",VLOOKUP($G297,OFFSET(mission_ACH!$A$2,0,0,COUNTA($A:$A),MATCH(K$2,mission_ACH!$2:$2,0)-MATCH($G$2,mission_ACH!$2:$2,0)+1),MATCH(K$2,mission_ACH!$2:$2,0)-MATCH($G$2,mission_ACH!$2:$2,0)+1,FALSE),"")</f>
        <v>マシン・シュプール</v>
      </c>
      <c r="L297" s="31">
        <f ca="1">VLOOKUP($G297,OFFSET(mission_ACH!$A$2,0,0,COUNTA($A:$A),MATCH(L$2,mission_ACH!$2:$2,0)-MATCH($G$2,mission_ACH!$2:$2,0)+1),MATCH(L$2,mission_ACH!$2:$2,0)-MATCH($G$2,mission_ACH!$2:$2,0)+1,FALSE)</f>
        <v>1</v>
      </c>
      <c r="M297" s="27">
        <v>110</v>
      </c>
      <c r="N297" s="87" t="s">
        <v>2043</v>
      </c>
      <c r="O297" s="87" t="s">
        <v>2048</v>
      </c>
    </row>
    <row r="298" spans="1:15" ht="21" customHeight="1" x14ac:dyDescent="0.15">
      <c r="A298" s="27">
        <f t="shared" si="121"/>
        <v>9059</v>
      </c>
      <c r="B298" s="26" t="str">
        <f t="shared" ca="1" si="120"/>
        <v>ユニット【マシン・シュプール】を 50 体ゲットしよう！</v>
      </c>
      <c r="C298" s="27" t="s">
        <v>893</v>
      </c>
      <c r="D298" s="31" t="str">
        <f ca="1">VLOOKUP($C298,OFFSET(mission_unlock_criteria!$A$2,0,0,COUNTA(mission_unlock_criteria!$A:$A),MATCH(D$2,mission_unlock_criteria!$2:$2,0)-MATCH($C$2,mission_unlock_criteria!$2:$2,0)+1),MATCH(D$2,mission_unlock_criteria!$2:$2,0)-MATCH($C$2,mission_unlock_criteria!$2:$2,0)+1,FALSE)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98" s="21" t="s">
        <v>2009</v>
      </c>
      <c r="F298" s="31" t="str">
        <f ca="1">VLOOKUP($E298,OFFSET(mission_ACH_criteria!$A$1,0,0,COUNTA(mission_ACH_criteria!$A:$A),MATCH(F$2,mission_ACH_criteria!$1:$1,0)-MATCH($E$2,mission_ACH_criteria!$1:$1,0)+1),MATCH(F$2,mission_ACH_criteria!$1:$1,0)-MATCH($E$2,mission_ACH_criteria!$1:$1,0)+1,FALSE)</f>
        <v>ユニット【マシン・シュプール】を 50 体ゲットしよう！</v>
      </c>
      <c r="G298" s="27" t="s">
        <v>2023</v>
      </c>
      <c r="H298" s="31" t="str">
        <f t="shared" ca="1" si="122"/>
        <v>マシン・シュプール x 1</v>
      </c>
      <c r="I298" s="31" t="str">
        <f ca="1">VLOOKUP($G298,OFFSET(mission_ACH!$A$2,0,0,COUNTA($A:$A),MATCH(I$2,mission_ACH!$2:$2,0)-MATCH($G$2,mission_ACH!$2:$2,0)+1),MATCH(I$2,mission_ACH!$2:$2,0)-MATCH($G$2,mission_ACH!$2:$2,0)+1,FALSE)</f>
        <v>unit</v>
      </c>
      <c r="J298" s="31">
        <f ca="1">VLOOKUP($G298,OFFSET(mission_ACH!$A$2,0,0,COUNTA($A:$A),MATCH(J$2,mission_ACH!$2:$2,0)-MATCH($G$2,mission_ACH!$2:$2,0)+1),MATCH(J$2,mission_ACH!$2:$2,0)-MATCH($G$2,mission_ACH!$2:$2,0)+1,FALSE)</f>
        <v>1284</v>
      </c>
      <c r="K298" s="31" t="str">
        <f ca="1">IF(I298="unit",VLOOKUP($G298,OFFSET(mission_ACH!$A$2,0,0,COUNTA($A:$A),MATCH(K$2,mission_ACH!$2:$2,0)-MATCH($G$2,mission_ACH!$2:$2,0)+1),MATCH(K$2,mission_ACH!$2:$2,0)-MATCH($G$2,mission_ACH!$2:$2,0)+1,FALSE),"")</f>
        <v>マシン・シュプール</v>
      </c>
      <c r="L298" s="31">
        <f ca="1">VLOOKUP($G298,OFFSET(mission_ACH!$A$2,0,0,COUNTA($A:$A),MATCH(L$2,mission_ACH!$2:$2,0)-MATCH($G$2,mission_ACH!$2:$2,0)+1),MATCH(L$2,mission_ACH!$2:$2,0)-MATCH($G$2,mission_ACH!$2:$2,0)+1,FALSE)</f>
        <v>1</v>
      </c>
      <c r="M298" s="27">
        <v>110</v>
      </c>
      <c r="N298" s="87" t="s">
        <v>2043</v>
      </c>
      <c r="O298" s="87" t="s">
        <v>2048</v>
      </c>
    </row>
    <row r="299" spans="1:15" ht="21" customHeight="1" x14ac:dyDescent="0.15">
      <c r="A299" s="27">
        <f t="shared" si="121"/>
        <v>9060</v>
      </c>
      <c r="B299" s="26" t="str">
        <f t="shared" ca="1" si="120"/>
        <v>ユニット【マシン・シュプール】を 75 体ゲットしよう！</v>
      </c>
      <c r="C299" s="27" t="s">
        <v>893</v>
      </c>
      <c r="D299" s="31" t="str">
        <f ca="1">VLOOKUP($C299,OFFSET(mission_unlock_criteria!$A$2,0,0,COUNTA(mission_unlock_criteria!$A:$A),MATCH(D$2,mission_unlock_criteria!$2:$2,0)-MATCH($C$2,mission_unlock_criteria!$2:$2,0)+1),MATCH(D$2,mission_unlock_criteria!$2:$2,0)-MATCH($C$2,mission_unlock_criteria!$2:$2,0)+1,FALSE)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299" s="21" t="s">
        <v>2010</v>
      </c>
      <c r="F299" s="31" t="str">
        <f ca="1">VLOOKUP($E299,OFFSET(mission_ACH_criteria!$A$1,0,0,COUNTA(mission_ACH_criteria!$A:$A),MATCH(F$2,mission_ACH_criteria!$1:$1,0)-MATCH($E$2,mission_ACH_criteria!$1:$1,0)+1),MATCH(F$2,mission_ACH_criteria!$1:$1,0)-MATCH($E$2,mission_ACH_criteria!$1:$1,0)+1,FALSE)</f>
        <v>ユニット【マシン・シュプール】を 75 体ゲットしよう！</v>
      </c>
      <c r="G299" s="27" t="s">
        <v>2025</v>
      </c>
      <c r="H299" s="31" t="str">
        <f t="shared" ca="1" si="122"/>
        <v>リトルハンプティ x 1</v>
      </c>
      <c r="I299" s="31" t="str">
        <f ca="1">VLOOKUP($G299,OFFSET(mission_ACH!$A$2,0,0,COUNTA($A:$A),MATCH(I$2,mission_ACH!$2:$2,0)-MATCH($G$2,mission_ACH!$2:$2,0)+1),MATCH(I$2,mission_ACH!$2:$2,0)-MATCH($G$2,mission_ACH!$2:$2,0)+1,FALSE)</f>
        <v>unit</v>
      </c>
      <c r="J299" s="31">
        <f ca="1">VLOOKUP($G299,OFFSET(mission_ACH!$A$2,0,0,COUNTA($A:$A),MATCH(J$2,mission_ACH!$2:$2,0)-MATCH($G$2,mission_ACH!$2:$2,0)+1),MATCH(J$2,mission_ACH!$2:$2,0)-MATCH($G$2,mission_ACH!$2:$2,0)+1,FALSE)</f>
        <v>837</v>
      </c>
      <c r="K299" s="31" t="str">
        <f ca="1">IF(I299="unit",VLOOKUP($G299,OFFSET(mission_ACH!$A$2,0,0,COUNTA($A:$A),MATCH(K$2,mission_ACH!$2:$2,0)-MATCH($G$2,mission_ACH!$2:$2,0)+1),MATCH(K$2,mission_ACH!$2:$2,0)-MATCH($G$2,mission_ACH!$2:$2,0)+1,FALSE),"")</f>
        <v>リトルハンプティ</v>
      </c>
      <c r="L299" s="31">
        <f ca="1">VLOOKUP($G299,OFFSET(mission_ACH!$A$2,0,0,COUNTA($A:$A),MATCH(L$2,mission_ACH!$2:$2,0)-MATCH($G$2,mission_ACH!$2:$2,0)+1),MATCH(L$2,mission_ACH!$2:$2,0)-MATCH($G$2,mission_ACH!$2:$2,0)+1,FALSE)</f>
        <v>1</v>
      </c>
      <c r="M299" s="27">
        <v>110</v>
      </c>
      <c r="N299" s="87" t="s">
        <v>2043</v>
      </c>
      <c r="O299" s="87" t="s">
        <v>2048</v>
      </c>
    </row>
    <row r="300" spans="1:15" ht="21" customHeight="1" x14ac:dyDescent="0.15">
      <c r="A300" s="27">
        <f t="shared" si="121"/>
        <v>9061</v>
      </c>
      <c r="B300" s="26" t="str">
        <f t="shared" ca="1" si="120"/>
        <v>ユニット【マシン・シュプール】を 85 体ゲットしよう！</v>
      </c>
      <c r="C300" s="27" t="s">
        <v>893</v>
      </c>
      <c r="D300" s="31" t="str">
        <f ca="1">VLOOKUP($C300,OFFSET(mission_unlock_criteria!$A$2,0,0,COUNTA(mission_unlock_criteria!$A:$A),MATCH(D$2,mission_unlock_criteria!$2:$2,0)-MATCH($C$2,mission_unlock_criteria!$2:$2,0)+1),MATCH(D$2,mission_unlock_criteria!$2:$2,0)-MATCH($C$2,mission_unlock_criteria!$2:$2,0)+1,FALSE)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00" s="21" t="s">
        <v>2011</v>
      </c>
      <c r="F300" s="31" t="str">
        <f ca="1">VLOOKUP($E300,OFFSET(mission_ACH_criteria!$A$1,0,0,COUNTA(mission_ACH_criteria!$A:$A),MATCH(F$2,mission_ACH_criteria!$1:$1,0)-MATCH($E$2,mission_ACH_criteria!$1:$1,0)+1),MATCH(F$2,mission_ACH_criteria!$1:$1,0)-MATCH($E$2,mission_ACH_criteria!$1:$1,0)+1,FALSE)</f>
        <v>ユニット【マシン・シュプール】を 85 体ゲットしよう！</v>
      </c>
      <c r="G300" s="27" t="s">
        <v>2042</v>
      </c>
      <c r="H300" s="31" t="str">
        <f t="shared" ca="1" si="122"/>
        <v>ポリゴン x 10</v>
      </c>
      <c r="I300" s="31" t="str">
        <f ca="1">VLOOKUP($G300,OFFSET(mission_ACH!$A$2,0,0,COUNTA($A:$A),MATCH(I$2,mission_ACH!$2:$2,0)-MATCH($G$2,mission_ACH!$2:$2,0)+1),MATCH(I$2,mission_ACH!$2:$2,0)-MATCH($G$2,mission_ACH!$2:$2,0)+1,FALSE)</f>
        <v>polygon</v>
      </c>
      <c r="J300" s="31">
        <f ca="1">VLOOKUP($G300,OFFSET(mission_ACH!$A$2,0,0,COUNTA($A:$A),MATCH(J$2,mission_ACH!$2:$2,0)-MATCH($G$2,mission_ACH!$2:$2,0)+1),MATCH(J$2,mission_ACH!$2:$2,0)-MATCH($G$2,mission_ACH!$2:$2,0)+1,FALSE)</f>
        <v>10</v>
      </c>
      <c r="K300" s="31" t="str">
        <f ca="1">IF(I300="unit",VLOOKUP($G300,OFFSET(mission_ACH!$A$2,0,0,COUNTA($A:$A),MATCH(K$2,mission_ACH!$2:$2,0)-MATCH($G$2,mission_ACH!$2:$2,0)+1),MATCH(K$2,mission_ACH!$2:$2,0)-MATCH($G$2,mission_ACH!$2:$2,0)+1,FALSE),"")</f>
        <v/>
      </c>
      <c r="L300" s="31">
        <f ca="1">VLOOKUP($G300,OFFSET(mission_ACH!$A$2,0,0,COUNTA($A:$A),MATCH(L$2,mission_ACH!$2:$2,0)-MATCH($G$2,mission_ACH!$2:$2,0)+1),MATCH(L$2,mission_ACH!$2:$2,0)-MATCH($G$2,mission_ACH!$2:$2,0)+1,FALSE)</f>
        <v>0</v>
      </c>
      <c r="M300" s="27">
        <v>110</v>
      </c>
      <c r="N300" s="87" t="s">
        <v>2043</v>
      </c>
      <c r="O300" s="87" t="s">
        <v>2048</v>
      </c>
    </row>
    <row r="301" spans="1:15" ht="21" customHeight="1" x14ac:dyDescent="0.15">
      <c r="A301" s="27">
        <f t="shared" si="121"/>
        <v>9062</v>
      </c>
      <c r="B301" s="26" t="str">
        <f t="shared" ca="1" si="120"/>
        <v>マリアチャレンジ をクリアしよう！</v>
      </c>
      <c r="C301" s="27" t="s">
        <v>893</v>
      </c>
      <c r="D301" s="31" t="str">
        <f ca="1">VLOOKUP($C301,OFFSET(mission_unlock_criteria!$A$2,0,0,COUNTA(mission_unlock_criteria!$A:$A),MATCH(D$2,mission_unlock_criteria!$2:$2,0)-MATCH($C$2,mission_unlock_criteria!$2:$2,0)+1),MATCH(D$2,mission_unlock_criteria!$2:$2,0)-MATCH($C$2,mission_unlock_criteria!$2:$2,0)+1,FALSE)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01" s="21" t="s">
        <v>2057</v>
      </c>
      <c r="F301" s="31" t="str">
        <f ca="1">VLOOKUP($E301,OFFSET(mission_ACH_criteria!$A$1,0,0,COUNTA(mission_ACH_criteria!$A:$A),MATCH(F$2,mission_ACH_criteria!$1:$1,0)-MATCH($E$2,mission_ACH_criteria!$1:$1,0)+1),MATCH(F$2,mission_ACH_criteria!$1:$1,0)-MATCH($E$2,mission_ACH_criteria!$1:$1,0)+1,FALSE)</f>
        <v>マリアチャレンジ をクリアしよう！</v>
      </c>
      <c r="G301" s="27" t="s">
        <v>398</v>
      </c>
      <c r="H301" s="31" t="str">
        <f t="shared" ca="1" si="122"/>
        <v>ポリゴン x 3</v>
      </c>
      <c r="I301" s="31" t="str">
        <f ca="1">VLOOKUP($G301,OFFSET(mission_ACH!$A$2,0,0,COUNTA($A:$A),MATCH(I$2,mission_ACH!$2:$2,0)-MATCH($G$2,mission_ACH!$2:$2,0)+1),MATCH(I$2,mission_ACH!$2:$2,0)-MATCH($G$2,mission_ACH!$2:$2,0)+1,FALSE)</f>
        <v>polygon</v>
      </c>
      <c r="J301" s="31">
        <f ca="1">VLOOKUP($G301,OFFSET(mission_ACH!$A$2,0,0,COUNTA($A:$A),MATCH(J$2,mission_ACH!$2:$2,0)-MATCH($G$2,mission_ACH!$2:$2,0)+1),MATCH(J$2,mission_ACH!$2:$2,0)-MATCH($G$2,mission_ACH!$2:$2,0)+1,FALSE)</f>
        <v>3</v>
      </c>
      <c r="K301" s="31" t="str">
        <f ca="1">IF(I301="unit",VLOOKUP($G301,OFFSET(mission_ACH!$A$2,0,0,COUNTA($A:$A),MATCH(K$2,mission_ACH!$2:$2,0)-MATCH($G$2,mission_ACH!$2:$2,0)+1),MATCH(K$2,mission_ACH!$2:$2,0)-MATCH($G$2,mission_ACH!$2:$2,0)+1,FALSE),"")</f>
        <v/>
      </c>
      <c r="L301" s="31">
        <f ca="1">VLOOKUP($G301,OFFSET(mission_ACH!$A$2,0,0,COUNTA($A:$A),MATCH(L$2,mission_ACH!$2:$2,0)-MATCH($G$2,mission_ACH!$2:$2,0)+1),MATCH(L$2,mission_ACH!$2:$2,0)-MATCH($G$2,mission_ACH!$2:$2,0)+1,FALSE)</f>
        <v>0</v>
      </c>
      <c r="M301" s="27">
        <v>111</v>
      </c>
      <c r="N301" s="87" t="s">
        <v>2058</v>
      </c>
      <c r="O301" s="87" t="s">
        <v>2059</v>
      </c>
    </row>
    <row r="302" spans="1:15" ht="21" customHeight="1" x14ac:dyDescent="0.15">
      <c r="A302" s="128">
        <f t="shared" si="121"/>
        <v>9063</v>
      </c>
      <c r="B302" s="26" t="str">
        <f t="shared" ca="1" si="120"/>
        <v>クエスト 【初級】黄巾賊の暴走を止めろ！ をクリアしよう！</v>
      </c>
      <c r="C302" s="27" t="s">
        <v>1055</v>
      </c>
      <c r="D302" s="31" t="str">
        <f ca="1">VLOOKUP($C302,OFFSET(mission_unlock_criteria!$A$2,0,0,COUNTA(mission_unlock_criteria!$A:$A),MATCH(D$2,mission_unlock_criteria!$2:$2,0)-MATCH($C$2,mission_unlock_criteria!$2:$2,0)+1),MATCH(D$2,mission_unlock_criteria!$2:$2,0)-MATCH($C$2,mission_unlock_criteria!$2:$2,0)+1,FALSE)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02" s="21" t="s">
        <v>2060</v>
      </c>
      <c r="F302" s="31" t="str">
        <f ca="1">VLOOKUP($E302,OFFSET(mission_ACH_criteria!$A$1,0,0,COUNTA(mission_ACH_criteria!$A:$A),MATCH(F$2,mission_ACH_criteria!$1:$1,0)-MATCH($E$2,mission_ACH_criteria!$1:$1,0)+1),MATCH(F$2,mission_ACH_criteria!$1:$1,0)-MATCH($E$2,mission_ACH_criteria!$1:$1,0)+1,FALSE)</f>
        <v>クエスト 【初級】黄巾賊の暴走を止めろ！ をクリアしよう！</v>
      </c>
      <c r="G302" s="27" t="s">
        <v>1059</v>
      </c>
      <c r="H302" s="31" t="str">
        <f t="shared" ca="1" si="122"/>
        <v>ポリゴン x 1</v>
      </c>
      <c r="I302" s="31" t="str">
        <f ca="1">VLOOKUP($G302,OFFSET(mission_ACH!$A$2,0,0,COUNTA($A:$A),MATCH(I$2,mission_ACH!$2:$2,0)-MATCH($G$2,mission_ACH!$2:$2,0)+1),MATCH(I$2,mission_ACH!$2:$2,0)-MATCH($G$2,mission_ACH!$2:$2,0)+1,FALSE)</f>
        <v>polygon</v>
      </c>
      <c r="J302" s="31">
        <f ca="1">VLOOKUP($G302,OFFSET(mission_ACH!$A$2,0,0,COUNTA($A:$A),MATCH(J$2,mission_ACH!$2:$2,0)-MATCH($G$2,mission_ACH!$2:$2,0)+1),MATCH(J$2,mission_ACH!$2:$2,0)-MATCH($G$2,mission_ACH!$2:$2,0)+1,FALSE)</f>
        <v>1</v>
      </c>
      <c r="K302" s="31" t="str">
        <f ca="1">IF(I302="unit",VLOOKUP($G302,OFFSET(mission_ACH!$A$2,0,0,COUNTA($A:$A),MATCH(K$2,mission_ACH!$2:$2,0)-MATCH($G$2,mission_ACH!$2:$2,0)+1),MATCH(K$2,mission_ACH!$2:$2,0)-MATCH($G$2,mission_ACH!$2:$2,0)+1,FALSE),"")</f>
        <v/>
      </c>
      <c r="L302" s="31">
        <f ca="1">VLOOKUP($G302,OFFSET(mission_ACH!$A$2,0,0,COUNTA($A:$A),MATCH(L$2,mission_ACH!$2:$2,0)-MATCH($G$2,mission_ACH!$2:$2,0)+1),MATCH(L$2,mission_ACH!$2:$2,0)-MATCH($G$2,mission_ACH!$2:$2,0)+1,FALSE)</f>
        <v>0</v>
      </c>
      <c r="M302" s="27">
        <v>89</v>
      </c>
      <c r="N302" s="87" t="s">
        <v>2070</v>
      </c>
      <c r="O302" s="87" t="s">
        <v>2071</v>
      </c>
    </row>
    <row r="303" spans="1:15" ht="21" customHeight="1" x14ac:dyDescent="0.15">
      <c r="A303" s="128">
        <f t="shared" si="121"/>
        <v>9064</v>
      </c>
      <c r="B303" s="26" t="str">
        <f t="shared" ca="1" si="120"/>
        <v>クエスト 【初級】ブルースクウェアを追え！ をクリアしよう！</v>
      </c>
      <c r="C303" s="27" t="s">
        <v>1068</v>
      </c>
      <c r="D303" s="31" t="str">
        <f ca="1">VLOOKUP($C303,OFFSET(mission_unlock_criteria!$A$2,0,0,COUNTA(mission_unlock_criteria!$A:$A),MATCH(D$2,mission_unlock_criteria!$2:$2,0)-MATCH($C$2,mission_unlock_criteria!$2:$2,0)+1),MATCH(D$2,mission_unlock_criteria!$2:$2,0)-MATCH($C$2,mission_unlock_criteria!$2:$2,0)+1,FALSE)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03" s="21" t="s">
        <v>2061</v>
      </c>
      <c r="F303" s="31" t="str">
        <f ca="1">VLOOKUP($E303,OFFSET(mission_ACH_criteria!$A$1,0,0,COUNTA(mission_ACH_criteria!$A:$A),MATCH(F$2,mission_ACH_criteria!$1:$1,0)-MATCH($E$2,mission_ACH_criteria!$1:$1,0)+1),MATCH(F$2,mission_ACH_criteria!$1:$1,0)-MATCH($E$2,mission_ACH_criteria!$1:$1,0)+1,FALSE)</f>
        <v>クエスト 【初級】ブルースクウェアを追え！ をクリアしよう！</v>
      </c>
      <c r="G303" s="27" t="s">
        <v>47</v>
      </c>
      <c r="H303" s="31" t="str">
        <f t="shared" ca="1" si="122"/>
        <v>ポリゴン x 1</v>
      </c>
      <c r="I303" s="31" t="str">
        <f ca="1">VLOOKUP($G303,OFFSET(mission_ACH!$A$2,0,0,COUNTA($A:$A),MATCH(I$2,mission_ACH!$2:$2,0)-MATCH($G$2,mission_ACH!$2:$2,0)+1),MATCH(I$2,mission_ACH!$2:$2,0)-MATCH($G$2,mission_ACH!$2:$2,0)+1,FALSE)</f>
        <v>polygon</v>
      </c>
      <c r="J303" s="31">
        <f ca="1">VLOOKUP($G303,OFFSET(mission_ACH!$A$2,0,0,COUNTA($A:$A),MATCH(J$2,mission_ACH!$2:$2,0)-MATCH($G$2,mission_ACH!$2:$2,0)+1),MATCH(J$2,mission_ACH!$2:$2,0)-MATCH($G$2,mission_ACH!$2:$2,0)+1,FALSE)</f>
        <v>1</v>
      </c>
      <c r="K303" s="31" t="str">
        <f ca="1">IF(I303="unit",VLOOKUP($G303,OFFSET(mission_ACH!$A$2,0,0,COUNTA($A:$A),MATCH(K$2,mission_ACH!$2:$2,0)-MATCH($G$2,mission_ACH!$2:$2,0)+1),MATCH(K$2,mission_ACH!$2:$2,0)-MATCH($G$2,mission_ACH!$2:$2,0)+1,FALSE),"")</f>
        <v/>
      </c>
      <c r="L303" s="31">
        <f ca="1">VLOOKUP($G303,OFFSET(mission_ACH!$A$2,0,0,COUNTA($A:$A),MATCH(L$2,mission_ACH!$2:$2,0)-MATCH($G$2,mission_ACH!$2:$2,0)+1),MATCH(L$2,mission_ACH!$2:$2,0)-MATCH($G$2,mission_ACH!$2:$2,0)+1,FALSE)</f>
        <v>0</v>
      </c>
      <c r="M303" s="27">
        <v>88</v>
      </c>
      <c r="N303" s="87" t="s">
        <v>2070</v>
      </c>
      <c r="O303" s="87" t="s">
        <v>2071</v>
      </c>
    </row>
    <row r="304" spans="1:15" ht="21" customHeight="1" x14ac:dyDescent="0.15">
      <c r="A304" s="128">
        <f t="shared" si="121"/>
        <v>9065</v>
      </c>
      <c r="B304" s="26" t="str">
        <f t="shared" ca="1" si="120"/>
        <v>クエスト 【中級】黄巾賊の暴走を止めろ！ をクリアしよう！</v>
      </c>
      <c r="C304" s="27" t="s">
        <v>1068</v>
      </c>
      <c r="D304" s="31" t="str">
        <f ca="1">VLOOKUP($C304,OFFSET(mission_unlock_criteria!$A$2,0,0,COUNTA(mission_unlock_criteria!$A:$A),MATCH(D$2,mission_unlock_criteria!$2:$2,0)-MATCH($C$2,mission_unlock_criteria!$2:$2,0)+1),MATCH(D$2,mission_unlock_criteria!$2:$2,0)-MATCH($C$2,mission_unlock_criteria!$2:$2,0)+1,FALSE)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04" s="21" t="s">
        <v>2062</v>
      </c>
      <c r="F304" s="31" t="str">
        <f ca="1">VLOOKUP($E304,OFFSET(mission_ACH_criteria!$A$1,0,0,COUNTA(mission_ACH_criteria!$A:$A),MATCH(F$2,mission_ACH_criteria!$1:$1,0)-MATCH($E$2,mission_ACH_criteria!$1:$1,0)+1),MATCH(F$2,mission_ACH_criteria!$1:$1,0)-MATCH($E$2,mission_ACH_criteria!$1:$1,0)+1,FALSE)</f>
        <v>クエスト 【中級】黄巾賊の暴走を止めろ！ をクリアしよう！</v>
      </c>
      <c r="G304" s="27" t="s">
        <v>1092</v>
      </c>
      <c r="H304" s="31" t="str">
        <f t="shared" ca="1" si="122"/>
        <v>ポリゴン x 1</v>
      </c>
      <c r="I304" s="31" t="str">
        <f ca="1">VLOOKUP($G304,OFFSET(mission_ACH!$A$2,0,0,COUNTA($A:$A),MATCH(I$2,mission_ACH!$2:$2,0)-MATCH($G$2,mission_ACH!$2:$2,0)+1),MATCH(I$2,mission_ACH!$2:$2,0)-MATCH($G$2,mission_ACH!$2:$2,0)+1,FALSE)</f>
        <v>polygon</v>
      </c>
      <c r="J304" s="31">
        <f ca="1">VLOOKUP($G304,OFFSET(mission_ACH!$A$2,0,0,COUNTA($A:$A),MATCH(J$2,mission_ACH!$2:$2,0)-MATCH($G$2,mission_ACH!$2:$2,0)+1),MATCH(J$2,mission_ACH!$2:$2,0)-MATCH($G$2,mission_ACH!$2:$2,0)+1,FALSE)</f>
        <v>1</v>
      </c>
      <c r="K304" s="31" t="str">
        <f ca="1">IF(I304="unit",VLOOKUP($G304,OFFSET(mission_ACH!$A$2,0,0,COUNTA($A:$A),MATCH(K$2,mission_ACH!$2:$2,0)-MATCH($G$2,mission_ACH!$2:$2,0)+1),MATCH(K$2,mission_ACH!$2:$2,0)-MATCH($G$2,mission_ACH!$2:$2,0)+1,FALSE),"")</f>
        <v/>
      </c>
      <c r="L304" s="31">
        <f ca="1">VLOOKUP($G304,OFFSET(mission_ACH!$A$2,0,0,COUNTA($A:$A),MATCH(L$2,mission_ACH!$2:$2,0)-MATCH($G$2,mission_ACH!$2:$2,0)+1),MATCH(L$2,mission_ACH!$2:$2,0)-MATCH($G$2,mission_ACH!$2:$2,0)+1,FALSE)</f>
        <v>0</v>
      </c>
      <c r="M304" s="27">
        <v>87</v>
      </c>
      <c r="N304" s="87" t="s">
        <v>2070</v>
      </c>
      <c r="O304" s="87" t="s">
        <v>2071</v>
      </c>
    </row>
    <row r="305" spans="1:15" ht="21" customHeight="1" x14ac:dyDescent="0.15">
      <c r="A305" s="128">
        <f t="shared" si="121"/>
        <v>9066</v>
      </c>
      <c r="B305" s="26" t="str">
        <f t="shared" ca="1" si="120"/>
        <v>クエスト 【中級】ブルースクウェアを追え！ をクリアしよう！</v>
      </c>
      <c r="C305" s="27" t="s">
        <v>1068</v>
      </c>
      <c r="D305" s="31" t="str">
        <f ca="1">VLOOKUP($C305,OFFSET(mission_unlock_criteria!$A$2,0,0,COUNTA(mission_unlock_criteria!$A:$A),MATCH(D$2,mission_unlock_criteria!$2:$2,0)-MATCH($C$2,mission_unlock_criteria!$2:$2,0)+1),MATCH(D$2,mission_unlock_criteria!$2:$2,0)-MATCH($C$2,mission_unlock_criteria!$2:$2,0)+1,FALSE)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05" s="21" t="s">
        <v>2063</v>
      </c>
      <c r="F305" s="31" t="str">
        <f ca="1">VLOOKUP($E305,OFFSET(mission_ACH_criteria!$A$1,0,0,COUNTA(mission_ACH_criteria!$A:$A),MATCH(F$2,mission_ACH_criteria!$1:$1,0)-MATCH($E$2,mission_ACH_criteria!$1:$1,0)+1),MATCH(F$2,mission_ACH_criteria!$1:$1,0)-MATCH($E$2,mission_ACH_criteria!$1:$1,0)+1,FALSE)</f>
        <v>クエスト 【中級】ブルースクウェアを追え！ をクリアしよう！</v>
      </c>
      <c r="G305" s="27" t="s">
        <v>1059</v>
      </c>
      <c r="H305" s="31" t="str">
        <f t="shared" ca="1" si="122"/>
        <v>ポリゴン x 1</v>
      </c>
      <c r="I305" s="31" t="str">
        <f ca="1">VLOOKUP($G305,OFFSET(mission_ACH!$A$2,0,0,COUNTA($A:$A),MATCH(I$2,mission_ACH!$2:$2,0)-MATCH($G$2,mission_ACH!$2:$2,0)+1),MATCH(I$2,mission_ACH!$2:$2,0)-MATCH($G$2,mission_ACH!$2:$2,0)+1,FALSE)</f>
        <v>polygon</v>
      </c>
      <c r="J305" s="31">
        <f ca="1">VLOOKUP($G305,OFFSET(mission_ACH!$A$2,0,0,COUNTA($A:$A),MATCH(J$2,mission_ACH!$2:$2,0)-MATCH($G$2,mission_ACH!$2:$2,0)+1),MATCH(J$2,mission_ACH!$2:$2,0)-MATCH($G$2,mission_ACH!$2:$2,0)+1,FALSE)</f>
        <v>1</v>
      </c>
      <c r="K305" s="31" t="str">
        <f ca="1">IF(I305="unit",VLOOKUP($G305,OFFSET(mission_ACH!$A$2,0,0,COUNTA($A:$A),MATCH(K$2,mission_ACH!$2:$2,0)-MATCH($G$2,mission_ACH!$2:$2,0)+1),MATCH(K$2,mission_ACH!$2:$2,0)-MATCH($G$2,mission_ACH!$2:$2,0)+1,FALSE),"")</f>
        <v/>
      </c>
      <c r="L305" s="31">
        <f ca="1">VLOOKUP($G305,OFFSET(mission_ACH!$A$2,0,0,COUNTA($A:$A),MATCH(L$2,mission_ACH!$2:$2,0)-MATCH($G$2,mission_ACH!$2:$2,0)+1),MATCH(L$2,mission_ACH!$2:$2,0)-MATCH($G$2,mission_ACH!$2:$2,0)+1,FALSE)</f>
        <v>0</v>
      </c>
      <c r="M305" s="27">
        <v>86</v>
      </c>
      <c r="N305" s="87" t="s">
        <v>2070</v>
      </c>
      <c r="O305" s="87" t="s">
        <v>2071</v>
      </c>
    </row>
    <row r="306" spans="1:15" ht="21" customHeight="1" x14ac:dyDescent="0.15">
      <c r="A306" s="128">
        <f t="shared" si="121"/>
        <v>9067</v>
      </c>
      <c r="B306" s="26" t="str">
        <f t="shared" ca="1" si="120"/>
        <v>クエスト 【上級】黄巾賊の暴走を止めろ！ をクリアしよう！</v>
      </c>
      <c r="C306" s="27" t="s">
        <v>1068</v>
      </c>
      <c r="D306" s="31" t="str">
        <f ca="1">VLOOKUP($C306,OFFSET(mission_unlock_criteria!$A$2,0,0,COUNTA(mission_unlock_criteria!$A:$A),MATCH(D$2,mission_unlock_criteria!$2:$2,0)-MATCH($C$2,mission_unlock_criteria!$2:$2,0)+1),MATCH(D$2,mission_unlock_criteria!$2:$2,0)-MATCH($C$2,mission_unlock_criteria!$2:$2,0)+1,FALSE)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06" s="21" t="s">
        <v>2064</v>
      </c>
      <c r="F306" s="31" t="str">
        <f ca="1">VLOOKUP($E306,OFFSET(mission_ACH_criteria!$A$1,0,0,COUNTA(mission_ACH_criteria!$A:$A),MATCH(F$2,mission_ACH_criteria!$1:$1,0)-MATCH($E$2,mission_ACH_criteria!$1:$1,0)+1),MATCH(F$2,mission_ACH_criteria!$1:$1,0)-MATCH($E$2,mission_ACH_criteria!$1:$1,0)+1,FALSE)</f>
        <v>クエスト 【上級】黄巾賊の暴走を止めろ！ をクリアしよう！</v>
      </c>
      <c r="G306" s="27" t="s">
        <v>940</v>
      </c>
      <c r="H306" s="31" t="str">
        <f t="shared" ca="1" si="122"/>
        <v>ポリゴン x 1</v>
      </c>
      <c r="I306" s="31" t="str">
        <f ca="1">VLOOKUP($G306,OFFSET(mission_ACH!$A$2,0,0,COUNTA($A:$A),MATCH(I$2,mission_ACH!$2:$2,0)-MATCH($G$2,mission_ACH!$2:$2,0)+1),MATCH(I$2,mission_ACH!$2:$2,0)-MATCH($G$2,mission_ACH!$2:$2,0)+1,FALSE)</f>
        <v>polygon</v>
      </c>
      <c r="J306" s="31">
        <f ca="1">VLOOKUP($G306,OFFSET(mission_ACH!$A$2,0,0,COUNTA($A:$A),MATCH(J$2,mission_ACH!$2:$2,0)-MATCH($G$2,mission_ACH!$2:$2,0)+1),MATCH(J$2,mission_ACH!$2:$2,0)-MATCH($G$2,mission_ACH!$2:$2,0)+1,FALSE)</f>
        <v>1</v>
      </c>
      <c r="K306" s="31" t="str">
        <f ca="1">IF(I306="unit",VLOOKUP($G306,OFFSET(mission_ACH!$A$2,0,0,COUNTA($A:$A),MATCH(K$2,mission_ACH!$2:$2,0)-MATCH($G$2,mission_ACH!$2:$2,0)+1),MATCH(K$2,mission_ACH!$2:$2,0)-MATCH($G$2,mission_ACH!$2:$2,0)+1,FALSE),"")</f>
        <v/>
      </c>
      <c r="L306" s="31">
        <f ca="1">VLOOKUP($G306,OFFSET(mission_ACH!$A$2,0,0,COUNTA($A:$A),MATCH(L$2,mission_ACH!$2:$2,0)-MATCH($G$2,mission_ACH!$2:$2,0)+1),MATCH(L$2,mission_ACH!$2:$2,0)-MATCH($G$2,mission_ACH!$2:$2,0)+1,FALSE)</f>
        <v>0</v>
      </c>
      <c r="M306" s="27">
        <v>85</v>
      </c>
      <c r="N306" s="87" t="s">
        <v>2070</v>
      </c>
      <c r="O306" s="87" t="s">
        <v>2071</v>
      </c>
    </row>
    <row r="307" spans="1:15" ht="21" customHeight="1" x14ac:dyDescent="0.15">
      <c r="A307" s="128">
        <f t="shared" si="121"/>
        <v>9068</v>
      </c>
      <c r="B307" s="26" t="str">
        <f t="shared" ca="1" si="120"/>
        <v>クエスト 【上級】ブルースクウェアを追え！ をクリアしよう！</v>
      </c>
      <c r="C307" s="27" t="s">
        <v>1068</v>
      </c>
      <c r="D307" s="31" t="str">
        <f ca="1">VLOOKUP($C307,OFFSET(mission_unlock_criteria!$A$2,0,0,COUNTA(mission_unlock_criteria!$A:$A),MATCH(D$2,mission_unlock_criteria!$2:$2,0)-MATCH($C$2,mission_unlock_criteria!$2:$2,0)+1),MATCH(D$2,mission_unlock_criteria!$2:$2,0)-MATCH($C$2,mission_unlock_criteria!$2:$2,0)+1,FALSE)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07" s="21" t="s">
        <v>2065</v>
      </c>
      <c r="F307" s="31" t="str">
        <f ca="1">VLOOKUP($E307,OFFSET(mission_ACH_criteria!$A$1,0,0,COUNTA(mission_ACH_criteria!$A:$A),MATCH(F$2,mission_ACH_criteria!$1:$1,0)-MATCH($E$2,mission_ACH_criteria!$1:$1,0)+1),MATCH(F$2,mission_ACH_criteria!$1:$1,0)-MATCH($E$2,mission_ACH_criteria!$1:$1,0)+1,FALSE)</f>
        <v>クエスト 【上級】ブルースクウェアを追え！ をクリアしよう！</v>
      </c>
      <c r="G307" s="27" t="s">
        <v>1059</v>
      </c>
      <c r="H307" s="31" t="str">
        <f t="shared" ca="1" si="122"/>
        <v>ポリゴン x 1</v>
      </c>
      <c r="I307" s="31" t="str">
        <f ca="1">VLOOKUP($G307,OFFSET(mission_ACH!$A$2,0,0,COUNTA($A:$A),MATCH(I$2,mission_ACH!$2:$2,0)-MATCH($G$2,mission_ACH!$2:$2,0)+1),MATCH(I$2,mission_ACH!$2:$2,0)-MATCH($G$2,mission_ACH!$2:$2,0)+1,FALSE)</f>
        <v>polygon</v>
      </c>
      <c r="J307" s="31">
        <f ca="1">VLOOKUP($G307,OFFSET(mission_ACH!$A$2,0,0,COUNTA($A:$A),MATCH(J$2,mission_ACH!$2:$2,0)-MATCH($G$2,mission_ACH!$2:$2,0)+1),MATCH(J$2,mission_ACH!$2:$2,0)-MATCH($G$2,mission_ACH!$2:$2,0)+1,FALSE)</f>
        <v>1</v>
      </c>
      <c r="K307" s="31" t="str">
        <f ca="1">IF(I307="unit",VLOOKUP($G307,OFFSET(mission_ACH!$A$2,0,0,COUNTA($A:$A),MATCH(K$2,mission_ACH!$2:$2,0)-MATCH($G$2,mission_ACH!$2:$2,0)+1),MATCH(K$2,mission_ACH!$2:$2,0)-MATCH($G$2,mission_ACH!$2:$2,0)+1,FALSE),"")</f>
        <v/>
      </c>
      <c r="L307" s="31">
        <f ca="1">VLOOKUP($G307,OFFSET(mission_ACH!$A$2,0,0,COUNTA($A:$A),MATCH(L$2,mission_ACH!$2:$2,0)-MATCH($G$2,mission_ACH!$2:$2,0)+1),MATCH(L$2,mission_ACH!$2:$2,0)-MATCH($G$2,mission_ACH!$2:$2,0)+1,FALSE)</f>
        <v>0</v>
      </c>
      <c r="M307" s="27">
        <v>84</v>
      </c>
      <c r="N307" s="87" t="s">
        <v>2070</v>
      </c>
      <c r="O307" s="87" t="s">
        <v>2071</v>
      </c>
    </row>
    <row r="308" spans="1:15" ht="21" customHeight="1" x14ac:dyDescent="0.15">
      <c r="A308" s="128">
        <f t="shared" si="121"/>
        <v>9069</v>
      </c>
      <c r="B308" s="26" t="str">
        <f t="shared" ca="1" si="120"/>
        <v>クエスト 【超級】黄巾賊の暴走を止めろ！ をクリアしよう！</v>
      </c>
      <c r="C308" s="27" t="s">
        <v>1068</v>
      </c>
      <c r="D308" s="31" t="str">
        <f ca="1">VLOOKUP($C308,OFFSET(mission_unlock_criteria!$A$2,0,0,COUNTA(mission_unlock_criteria!$A:$A),MATCH(D$2,mission_unlock_criteria!$2:$2,0)-MATCH($C$2,mission_unlock_criteria!$2:$2,0)+1),MATCH(D$2,mission_unlock_criteria!$2:$2,0)-MATCH($C$2,mission_unlock_criteria!$2:$2,0)+1,FALSE)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08" s="21" t="s">
        <v>2066</v>
      </c>
      <c r="F308" s="31" t="str">
        <f ca="1">VLOOKUP($E308,OFFSET(mission_ACH_criteria!$A$1,0,0,COUNTA(mission_ACH_criteria!$A:$A),MATCH(F$2,mission_ACH_criteria!$1:$1,0)-MATCH($E$2,mission_ACH_criteria!$1:$1,0)+1),MATCH(F$2,mission_ACH_criteria!$1:$1,0)-MATCH($E$2,mission_ACH_criteria!$1:$1,0)+1,FALSE)</f>
        <v>クエスト 【超級】黄巾賊の暴走を止めろ！ をクリアしよう！</v>
      </c>
      <c r="G308" s="27" t="s">
        <v>419</v>
      </c>
      <c r="H308" s="31" t="str">
        <f t="shared" ca="1" si="122"/>
        <v>秘術の果実 x 1</v>
      </c>
      <c r="I308" s="31" t="str">
        <f ca="1">VLOOKUP($G308,OFFSET(mission_ACH!$A$2,0,0,COUNTA($A:$A),MATCH(I$2,mission_ACH!$2:$2,0)-MATCH($G$2,mission_ACH!$2:$2,0)+1),MATCH(I$2,mission_ACH!$2:$2,0)-MATCH($G$2,mission_ACH!$2:$2,0)+1,FALSE)</f>
        <v>unit</v>
      </c>
      <c r="J308" s="31">
        <f ca="1">VLOOKUP($G308,OFFSET(mission_ACH!$A$2,0,0,COUNTA($A:$A),MATCH(J$2,mission_ACH!$2:$2,0)-MATCH($G$2,mission_ACH!$2:$2,0)+1),MATCH(J$2,mission_ACH!$2:$2,0)-MATCH($G$2,mission_ACH!$2:$2,0)+1,FALSE)</f>
        <v>125</v>
      </c>
      <c r="K308" s="31" t="str">
        <f ca="1">IF(I308="unit",VLOOKUP($G308,OFFSET(mission_ACH!$A$2,0,0,COUNTA($A:$A),MATCH(K$2,mission_ACH!$2:$2,0)-MATCH($G$2,mission_ACH!$2:$2,0)+1),MATCH(K$2,mission_ACH!$2:$2,0)-MATCH($G$2,mission_ACH!$2:$2,0)+1,FALSE),"")</f>
        <v>秘術の果実</v>
      </c>
      <c r="L308" s="31">
        <f ca="1">VLOOKUP($G308,OFFSET(mission_ACH!$A$2,0,0,COUNTA($A:$A),MATCH(L$2,mission_ACH!$2:$2,0)-MATCH($G$2,mission_ACH!$2:$2,0)+1),MATCH(L$2,mission_ACH!$2:$2,0)-MATCH($G$2,mission_ACH!$2:$2,0)+1,FALSE)</f>
        <v>1</v>
      </c>
      <c r="M308" s="27">
        <v>83</v>
      </c>
      <c r="N308" s="87" t="s">
        <v>2070</v>
      </c>
      <c r="O308" s="87" t="s">
        <v>2071</v>
      </c>
    </row>
    <row r="309" spans="1:15" ht="21" customHeight="1" x14ac:dyDescent="0.15">
      <c r="A309" s="128">
        <f t="shared" si="121"/>
        <v>9070</v>
      </c>
      <c r="B309" s="26" t="str">
        <f t="shared" ca="1" si="120"/>
        <v>クエスト 【超級】ブルースクウェアを追え！ をクリアしよう！</v>
      </c>
      <c r="C309" s="27" t="s">
        <v>1069</v>
      </c>
      <c r="D309" s="31" t="str">
        <f ca="1">VLOOKUP($C309,OFFSET(mission_unlock_criteria!$A$2,0,0,COUNTA(mission_unlock_criteria!$A:$A),MATCH(D$2,mission_unlock_criteria!$2:$2,0)-MATCH($C$2,mission_unlock_criteria!$2:$2,0)+1),MATCH(D$2,mission_unlock_criteria!$2:$2,0)-MATCH($C$2,mission_unlock_criteria!$2:$2,0)+1,FALSE)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09" s="21" t="s">
        <v>2067</v>
      </c>
      <c r="F309" s="31" t="str">
        <f ca="1">VLOOKUP($E309,OFFSET(mission_ACH_criteria!$A$1,0,0,COUNTA(mission_ACH_criteria!$A:$A),MATCH(F$2,mission_ACH_criteria!$1:$1,0)-MATCH($E$2,mission_ACH_criteria!$1:$1,0)+1),MATCH(F$2,mission_ACH_criteria!$1:$1,0)-MATCH($E$2,mission_ACH_criteria!$1:$1,0)+1,FALSE)</f>
        <v>クエスト 【超級】ブルースクウェアを追え！ をクリアしよう！</v>
      </c>
      <c r="G309" s="27" t="s">
        <v>1095</v>
      </c>
      <c r="H309" s="31" t="str">
        <f t="shared" ca="1" si="122"/>
        <v>秘術の果実 x 1</v>
      </c>
      <c r="I309" s="31" t="str">
        <f ca="1">VLOOKUP($G309,OFFSET(mission_ACH!$A$2,0,0,COUNTA($A:$A),MATCH(I$2,mission_ACH!$2:$2,0)-MATCH($G$2,mission_ACH!$2:$2,0)+1),MATCH(I$2,mission_ACH!$2:$2,0)-MATCH($G$2,mission_ACH!$2:$2,0)+1,FALSE)</f>
        <v>unit</v>
      </c>
      <c r="J309" s="31">
        <f ca="1">VLOOKUP($G309,OFFSET(mission_ACH!$A$2,0,0,COUNTA($A:$A),MATCH(J$2,mission_ACH!$2:$2,0)-MATCH($G$2,mission_ACH!$2:$2,0)+1),MATCH(J$2,mission_ACH!$2:$2,0)-MATCH($G$2,mission_ACH!$2:$2,0)+1,FALSE)</f>
        <v>125</v>
      </c>
      <c r="K309" s="31" t="str">
        <f ca="1">IF(I309="unit",VLOOKUP($G309,OFFSET(mission_ACH!$A$2,0,0,COUNTA($A:$A),MATCH(K$2,mission_ACH!$2:$2,0)-MATCH($G$2,mission_ACH!$2:$2,0)+1),MATCH(K$2,mission_ACH!$2:$2,0)-MATCH($G$2,mission_ACH!$2:$2,0)+1,FALSE),"")</f>
        <v>秘術の果実</v>
      </c>
      <c r="L309" s="31">
        <f ca="1">VLOOKUP($G309,OFFSET(mission_ACH!$A$2,0,0,COUNTA($A:$A),MATCH(L$2,mission_ACH!$2:$2,0)-MATCH($G$2,mission_ACH!$2:$2,0)+1),MATCH(L$2,mission_ACH!$2:$2,0)-MATCH($G$2,mission_ACH!$2:$2,0)+1,FALSE)</f>
        <v>1</v>
      </c>
      <c r="M309" s="27">
        <v>82</v>
      </c>
      <c r="N309" s="87" t="s">
        <v>2070</v>
      </c>
      <c r="O309" s="87" t="s">
        <v>2071</v>
      </c>
    </row>
    <row r="310" spans="1:15" ht="21" customHeight="1" x14ac:dyDescent="0.15">
      <c r="A310" s="128">
        <f t="shared" si="121"/>
        <v>9071</v>
      </c>
      <c r="B310" s="26" t="str">
        <f t="shared" ca="1" si="120"/>
        <v>クエスト 【ウィザード級】園原杏里襲来 をクリアしよう！</v>
      </c>
      <c r="C310" s="27" t="s">
        <v>932</v>
      </c>
      <c r="D310" s="31" t="str">
        <f ca="1">VLOOKUP($C310,OFFSET(mission_unlock_criteria!$A$2,0,0,COUNTA(mission_unlock_criteria!$A:$A),MATCH(D$2,mission_unlock_criteria!$2:$2,0)-MATCH($C$2,mission_unlock_criteria!$2:$2,0)+1),MATCH(D$2,mission_unlock_criteria!$2:$2,0)-MATCH($C$2,mission_unlock_criteria!$2:$2,0)+1,FALSE)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10" s="21" t="s">
        <v>2068</v>
      </c>
      <c r="F310" s="31" t="str">
        <f ca="1">VLOOKUP($E310,OFFSET(mission_ACH_criteria!$A$1,0,0,COUNTA(mission_ACH_criteria!$A:$A),MATCH(F$2,mission_ACH_criteria!$1:$1,0)-MATCH($E$2,mission_ACH_criteria!$1:$1,0)+1),MATCH(F$2,mission_ACH_criteria!$1:$1,0)-MATCH($E$2,mission_ACH_criteria!$1:$1,0)+1,FALSE)</f>
        <v>クエスト 【ウィザード級】園原杏里襲来 をクリアしよう！</v>
      </c>
      <c r="G310" s="27" t="s">
        <v>1095</v>
      </c>
      <c r="H310" s="31" t="str">
        <f t="shared" ca="1" si="122"/>
        <v>秘術の果実 x 1</v>
      </c>
      <c r="I310" s="31" t="str">
        <f ca="1">VLOOKUP($G310,OFFSET(mission_ACH!$A$2,0,0,COUNTA($A:$A),MATCH(I$2,mission_ACH!$2:$2,0)-MATCH($G$2,mission_ACH!$2:$2,0)+1),MATCH(I$2,mission_ACH!$2:$2,0)-MATCH($G$2,mission_ACH!$2:$2,0)+1,FALSE)</f>
        <v>unit</v>
      </c>
      <c r="J310" s="31">
        <f ca="1">VLOOKUP($G310,OFFSET(mission_ACH!$A$2,0,0,COUNTA($A:$A),MATCH(J$2,mission_ACH!$2:$2,0)-MATCH($G$2,mission_ACH!$2:$2,0)+1),MATCH(J$2,mission_ACH!$2:$2,0)-MATCH($G$2,mission_ACH!$2:$2,0)+1,FALSE)</f>
        <v>125</v>
      </c>
      <c r="K310" s="31" t="str">
        <f ca="1">IF(I310="unit",VLOOKUP($G310,OFFSET(mission_ACH!$A$2,0,0,COUNTA($A:$A),MATCH(K$2,mission_ACH!$2:$2,0)-MATCH($G$2,mission_ACH!$2:$2,0)+1),MATCH(K$2,mission_ACH!$2:$2,0)-MATCH($G$2,mission_ACH!$2:$2,0)+1,FALSE),"")</f>
        <v>秘術の果実</v>
      </c>
      <c r="L310" s="31">
        <f ca="1">VLOOKUP($G310,OFFSET(mission_ACH!$A$2,0,0,COUNTA($A:$A),MATCH(L$2,mission_ACH!$2:$2,0)-MATCH($G$2,mission_ACH!$2:$2,0)+1),MATCH(L$2,mission_ACH!$2:$2,0)-MATCH($G$2,mission_ACH!$2:$2,0)+1,FALSE)</f>
        <v>1</v>
      </c>
      <c r="M310" s="27">
        <v>81</v>
      </c>
      <c r="N310" s="87" t="s">
        <v>2073</v>
      </c>
      <c r="O310" s="87" t="s">
        <v>2072</v>
      </c>
    </row>
    <row r="311" spans="1:15" ht="21" customHeight="1" x14ac:dyDescent="0.15">
      <c r="A311" s="128">
        <f t="shared" si="121"/>
        <v>9072</v>
      </c>
      <c r="B311" s="26" t="str">
        <f t="shared" ca="1" si="120"/>
        <v>クエスト 【ウィザード級】折原臨也襲来 をクリアしよう！</v>
      </c>
      <c r="C311" s="27" t="s">
        <v>1068</v>
      </c>
      <c r="D311" s="31" t="str">
        <f ca="1">VLOOKUP($C311,OFFSET(mission_unlock_criteria!$A$2,0,0,COUNTA(mission_unlock_criteria!$A:$A),MATCH(D$2,mission_unlock_criteria!$2:$2,0)-MATCH($C$2,mission_unlock_criteria!$2:$2,0)+1),MATCH(D$2,mission_unlock_criteria!$2:$2,0)-MATCH($C$2,mission_unlock_criteria!$2:$2,0)+1,FALSE)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11" s="21" t="s">
        <v>2069</v>
      </c>
      <c r="F311" s="31" t="str">
        <f ca="1">VLOOKUP($E311,OFFSET(mission_ACH_criteria!$A$1,0,0,COUNTA(mission_ACH_criteria!$A:$A),MATCH(F$2,mission_ACH_criteria!$1:$1,0)-MATCH($E$2,mission_ACH_criteria!$1:$1,0)+1),MATCH(F$2,mission_ACH_criteria!$1:$1,0)-MATCH($E$2,mission_ACH_criteria!$1:$1,0)+1,FALSE)</f>
        <v>クエスト 【ウィザード級】折原臨也襲来 をクリアしよう！</v>
      </c>
      <c r="G311" s="27" t="s">
        <v>419</v>
      </c>
      <c r="H311" s="31" t="str">
        <f t="shared" ca="1" si="122"/>
        <v>秘術の果実 x 1</v>
      </c>
      <c r="I311" s="31" t="str">
        <f ca="1">VLOOKUP($G311,OFFSET(mission_ACH!$A$2,0,0,COUNTA($A:$A),MATCH(I$2,mission_ACH!$2:$2,0)-MATCH($G$2,mission_ACH!$2:$2,0)+1),MATCH(I$2,mission_ACH!$2:$2,0)-MATCH($G$2,mission_ACH!$2:$2,0)+1,FALSE)</f>
        <v>unit</v>
      </c>
      <c r="J311" s="31">
        <f ca="1">VLOOKUP($G311,OFFSET(mission_ACH!$A$2,0,0,COUNTA($A:$A),MATCH(J$2,mission_ACH!$2:$2,0)-MATCH($G$2,mission_ACH!$2:$2,0)+1),MATCH(J$2,mission_ACH!$2:$2,0)-MATCH($G$2,mission_ACH!$2:$2,0)+1,FALSE)</f>
        <v>125</v>
      </c>
      <c r="K311" s="31" t="str">
        <f ca="1">IF(I311="unit",VLOOKUP($G311,OFFSET(mission_ACH!$A$2,0,0,COUNTA($A:$A),MATCH(K$2,mission_ACH!$2:$2,0)-MATCH($G$2,mission_ACH!$2:$2,0)+1),MATCH(K$2,mission_ACH!$2:$2,0)-MATCH($G$2,mission_ACH!$2:$2,0)+1,FALSE),"")</f>
        <v>秘術の果実</v>
      </c>
      <c r="L311" s="31">
        <f ca="1">VLOOKUP($G311,OFFSET(mission_ACH!$A$2,0,0,COUNTA($A:$A),MATCH(L$2,mission_ACH!$2:$2,0)-MATCH($G$2,mission_ACH!$2:$2,0)+1),MATCH(L$2,mission_ACH!$2:$2,0)-MATCH($G$2,mission_ACH!$2:$2,0)+1,FALSE)</f>
        <v>1</v>
      </c>
      <c r="M311" s="27">
        <v>81</v>
      </c>
      <c r="N311" s="87" t="s">
        <v>2084</v>
      </c>
      <c r="O311" s="87" t="s">
        <v>2071</v>
      </c>
    </row>
    <row r="312" spans="1:15" ht="21" customHeight="1" x14ac:dyDescent="0.15">
      <c r="A312" s="27">
        <v>9073</v>
      </c>
      <c r="B312" s="26" t="str">
        <f t="shared" ca="1" si="120"/>
        <v>クエスト チューリングチャレンジ をクリアしよう！</v>
      </c>
      <c r="C312" s="27" t="s">
        <v>331</v>
      </c>
      <c r="D312" s="31" t="str">
        <f ca="1">VLOOKUP($C312,OFFSET(mission_unlock_criteria!$A$2,0,0,COUNTA(mission_unlock_criteria!$A:$A),MATCH(D$2,mission_unlock_criteria!$2:$2,0)-MATCH($C$2,mission_unlock_criteria!$2:$2,0)+1),MATCH(D$2,mission_unlock_criteria!$2:$2,0)-MATCH($C$2,mission_unlock_criteria!$2:$2,0)+1,FALSE)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12" s="21" t="s">
        <v>2085</v>
      </c>
      <c r="F312" s="31" t="str">
        <f ca="1">VLOOKUP($E312,OFFSET(mission_ACH_criteria!$A$1,0,0,COUNTA(mission_ACH_criteria!$A:$A),MATCH(F$2,mission_ACH_criteria!$1:$1,0)-MATCH($E$2,mission_ACH_criteria!$1:$1,0)+1),MATCH(F$2,mission_ACH_criteria!$1:$1,0)-MATCH($E$2,mission_ACH_criteria!$1:$1,0)+1,FALSE)</f>
        <v>クエスト チューリングチャレンジ をクリアしよう！</v>
      </c>
      <c r="G312" s="27" t="s">
        <v>398</v>
      </c>
      <c r="H312" s="31" t="str">
        <f ca="1">IF(I312="unit",K312&amp;" x "&amp;L312,IF(I312="polygon","ポリゴン x "&amp;J312,IF(I312="bit","ビット x "&amp;J312,IF(I312="link","リンク x "&amp;J312))))</f>
        <v>ポリゴン x 3</v>
      </c>
      <c r="I312" s="31" t="str">
        <f ca="1">VLOOKUP($G312,OFFSET(mission_ACH!$A$2,0,0,COUNTA($A:$A),MATCH(I$2,mission_ACH!$2:$2,0)-MATCH($G$2,mission_ACH!$2:$2,0)+1),MATCH(I$2,mission_ACH!$2:$2,0)-MATCH($G$2,mission_ACH!$2:$2,0)+1,FALSE)</f>
        <v>polygon</v>
      </c>
      <c r="J312" s="31">
        <f ca="1">VLOOKUP($G312,OFFSET(mission_ACH!$A$2,0,0,COUNTA($A:$A),MATCH(J$2,mission_ACH!$2:$2,0)-MATCH($G$2,mission_ACH!$2:$2,0)+1),MATCH(J$2,mission_ACH!$2:$2,0)-MATCH($G$2,mission_ACH!$2:$2,0)+1,FALSE)</f>
        <v>3</v>
      </c>
      <c r="K312" s="31" t="str">
        <f ca="1">IF(I312="unit",VLOOKUP($G312,OFFSET(mission_ACH!$A$2,0,0,COUNTA($A:$A),MATCH(K$2,mission_ACH!$2:$2,0)-MATCH($G$2,mission_ACH!$2:$2,0)+1),MATCH(K$2,mission_ACH!$2:$2,0)-MATCH($G$2,mission_ACH!$2:$2,0)+1,FALSE),"")</f>
        <v/>
      </c>
      <c r="L312" s="31">
        <f ca="1">VLOOKUP($G312,OFFSET(mission_ACH!$A$2,0,0,COUNTA($A:$A),MATCH(L$2,mission_ACH!$2:$2,0)-MATCH($G$2,mission_ACH!$2:$2,0)+1),MATCH(L$2,mission_ACH!$2:$2,0)-MATCH($G$2,mission_ACH!$2:$2,0)+1,FALSE)</f>
        <v>0</v>
      </c>
      <c r="M312" s="27">
        <v>106</v>
      </c>
      <c r="N312" s="87" t="s">
        <v>2086</v>
      </c>
      <c r="O312" s="87" t="s">
        <v>2087</v>
      </c>
    </row>
    <row r="313" spans="1:15" ht="21" customHeight="1" x14ac:dyDescent="0.15">
      <c r="A313" s="128">
        <f>A312+1</f>
        <v>9074</v>
      </c>
      <c r="B313" s="26" t="str">
        <f t="shared" ref="B313" ca="1" si="123">F313</f>
        <v>クエスト 【ウィザード級】折原臨也襲来 をクリアしよう！</v>
      </c>
      <c r="C313" s="27" t="s">
        <v>331</v>
      </c>
      <c r="D313" s="31" t="str">
        <f ca="1">VLOOKUP($C313,OFFSET(mission_unlock_criteria!$A$2,0,0,COUNTA(mission_unlock_criteria!$A:$A),MATCH(D$2,mission_unlock_criteria!$2:$2,0)-MATCH($C$2,mission_unlock_criteria!$2:$2,0)+1),MATCH(D$2,mission_unlock_criteria!$2:$2,0)-MATCH($C$2,mission_unlock_criteria!$2:$2,0)+1,FALSE)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13" s="21" t="s">
        <v>2090</v>
      </c>
      <c r="F313" s="31" t="str">
        <f ca="1">VLOOKUP($E313,OFFSET(mission_ACH_criteria!$A$1,0,0,COUNTA(mission_ACH_criteria!$A:$A),MATCH(F$2,mission_ACH_criteria!$1:$1,0)-MATCH($E$2,mission_ACH_criteria!$1:$1,0)+1),MATCH(F$2,mission_ACH_criteria!$1:$1,0)-MATCH($E$2,mission_ACH_criteria!$1:$1,0)+1,FALSE)</f>
        <v>クエスト 【ウィザード級】折原臨也襲来 をクリアしよう！</v>
      </c>
      <c r="G313" s="27" t="s">
        <v>419</v>
      </c>
      <c r="H313" s="31" t="str">
        <f ca="1">IF(I313="unit",K313&amp;" x "&amp;L313,IF(I313="polygon","ポリゴン x "&amp;J313,IF(I313="bit","ビット x "&amp;J313,IF(I313="link","リンク x "&amp;J313))))</f>
        <v>秘術の果実 x 1</v>
      </c>
      <c r="I313" s="31" t="str">
        <f ca="1">VLOOKUP($G313,OFFSET(mission_ACH!$A$2,0,0,COUNTA($A:$A),MATCH(I$2,mission_ACH!$2:$2,0)-MATCH($G$2,mission_ACH!$2:$2,0)+1),MATCH(I$2,mission_ACH!$2:$2,0)-MATCH($G$2,mission_ACH!$2:$2,0)+1,FALSE)</f>
        <v>unit</v>
      </c>
      <c r="J313" s="31">
        <f ca="1">VLOOKUP($G313,OFFSET(mission_ACH!$A$2,0,0,COUNTA($A:$A),MATCH(J$2,mission_ACH!$2:$2,0)-MATCH($G$2,mission_ACH!$2:$2,0)+1),MATCH(J$2,mission_ACH!$2:$2,0)-MATCH($G$2,mission_ACH!$2:$2,0)+1,FALSE)</f>
        <v>125</v>
      </c>
      <c r="K313" s="31" t="str">
        <f ca="1">IF(I313="unit",VLOOKUP($G313,OFFSET(mission_ACH!$A$2,0,0,COUNTA($A:$A),MATCH(K$2,mission_ACH!$2:$2,0)-MATCH($G$2,mission_ACH!$2:$2,0)+1),MATCH(K$2,mission_ACH!$2:$2,0)-MATCH($G$2,mission_ACH!$2:$2,0)+1,FALSE),"")</f>
        <v>秘術の果実</v>
      </c>
      <c r="L313" s="31">
        <f ca="1">VLOOKUP($G313,OFFSET(mission_ACH!$A$2,0,0,COUNTA($A:$A),MATCH(L$2,mission_ACH!$2:$2,0)-MATCH($G$2,mission_ACH!$2:$2,0)+1),MATCH(L$2,mission_ACH!$2:$2,0)-MATCH($G$2,mission_ACH!$2:$2,0)+1,FALSE)</f>
        <v>1</v>
      </c>
      <c r="M313" s="27">
        <v>81</v>
      </c>
      <c r="N313" s="87" t="s">
        <v>2084</v>
      </c>
      <c r="O313" s="87" t="s">
        <v>2071</v>
      </c>
    </row>
    <row r="314" spans="1:15" ht="21" customHeight="1" x14ac:dyDescent="0.15">
      <c r="A314" s="27">
        <v>9075</v>
      </c>
      <c r="B314" s="26" t="str">
        <f ca="1">F314</f>
        <v>クエスト ハップルチャレンジ をクリアしよう！</v>
      </c>
      <c r="C314" s="27" t="s">
        <v>331</v>
      </c>
      <c r="D314" s="31" t="str">
        <f ca="1">VLOOKUP($C314,OFFSET(mission_unlock_criteria!$A$2,0,0,COUNTA(mission_unlock_criteria!$A:$A),MATCH(D$2,mission_unlock_criteria!$2:$2,0)-MATCH($C$2,mission_unlock_criteria!$2:$2,0)+1),MATCH(D$2,mission_unlock_criteria!$2:$2,0)-MATCH($C$2,mission_unlock_criteria!$2:$2,0)+1,FALSE)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14" s="21" t="s">
        <v>2093</v>
      </c>
      <c r="F314" s="31" t="str">
        <f ca="1">VLOOKUP($E314,OFFSET(mission_ACH_criteria!$A$1,0,0,COUNTA(mission_ACH_criteria!$A:$A),MATCH(F$2,mission_ACH_criteria!$1:$1,0)-MATCH($E$2,mission_ACH_criteria!$1:$1,0)+1),MATCH(F$2,mission_ACH_criteria!$1:$1,0)-MATCH($E$2,mission_ACH_criteria!$1:$1,0)+1,FALSE)</f>
        <v>クエスト ハップルチャレンジ をクリアしよう！</v>
      </c>
      <c r="G314" s="27" t="s">
        <v>398</v>
      </c>
      <c r="H314" s="31" t="str">
        <f t="shared" ref="H314" ca="1" si="124">IF(I314="unit",K314&amp;" x "&amp;L314,IF(I314="polygon","ポリゴン x "&amp;J314,IF(I314="bit","ビット x "&amp;J314,IF(I314="link","リンク x "&amp;J314))))</f>
        <v>ポリゴン x 3</v>
      </c>
      <c r="I314" s="31" t="str">
        <f ca="1">VLOOKUP($G314,OFFSET(mission_ACH!$A$2,0,0,COUNTA($A:$A),MATCH(I$2,mission_ACH!$2:$2,0)-MATCH($G$2,mission_ACH!$2:$2,0)+1),MATCH(I$2,mission_ACH!$2:$2,0)-MATCH($G$2,mission_ACH!$2:$2,0)+1,FALSE)</f>
        <v>polygon</v>
      </c>
      <c r="J314" s="31">
        <f ca="1">VLOOKUP($G314,OFFSET(mission_ACH!$A$2,0,0,COUNTA($A:$A),MATCH(J$2,mission_ACH!$2:$2,0)-MATCH($G$2,mission_ACH!$2:$2,0)+1),MATCH(J$2,mission_ACH!$2:$2,0)-MATCH($G$2,mission_ACH!$2:$2,0)+1,FALSE)</f>
        <v>3</v>
      </c>
      <c r="K314" s="31" t="str">
        <f ca="1">IF(I314="unit",VLOOKUP($G314,OFFSET(mission_ACH!$A$2,0,0,COUNTA($A:$A),MATCH(K$2,mission_ACH!$2:$2,0)-MATCH($G$2,mission_ACH!$2:$2,0)+1),MATCH(K$2,mission_ACH!$2:$2,0)-MATCH($G$2,mission_ACH!$2:$2,0)+1,FALSE),"")</f>
        <v/>
      </c>
      <c r="L314" s="31">
        <f ca="1">VLOOKUP($G314,OFFSET(mission_ACH!$A$2,0,0,COUNTA($A:$A),MATCH(L$2,mission_ACH!$2:$2,0)-MATCH($G$2,mission_ACH!$2:$2,0)+1),MATCH(L$2,mission_ACH!$2:$2,0)-MATCH($G$2,mission_ACH!$2:$2,0)+1,FALSE)</f>
        <v>0</v>
      </c>
      <c r="M314" s="27">
        <v>106</v>
      </c>
      <c r="N314" s="87" t="s">
        <v>2095</v>
      </c>
      <c r="O314" s="87" t="s">
        <v>2096</v>
      </c>
    </row>
    <row r="315" spans="1:15" ht="21" customHeight="1" x14ac:dyDescent="0.15">
      <c r="A315" s="129">
        <v>9076</v>
      </c>
      <c r="B315" s="26" t="str">
        <f t="shared" ref="B315:B331" ca="1" si="125">F315</f>
        <v>【初級】雪の歌姫 をクリアしよう！</v>
      </c>
      <c r="C315" s="27" t="s">
        <v>331</v>
      </c>
      <c r="D315" s="31" t="str">
        <f ca="1">VLOOKUP($C315,OFFSET(mission_unlock_criteria!$A$2,0,0,COUNTA(mission_unlock_criteria!$A:$A),MATCH(D$2,mission_unlock_criteria!$2:$2,0)-MATCH($C$2,mission_unlock_criteria!$2:$2,0)+1),MATCH(D$2,mission_unlock_criteria!$2:$2,0)-MATCH($C$2,mission_unlock_criteria!$2:$2,0)+1,FALSE)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15" s="21" t="s">
        <v>2107</v>
      </c>
      <c r="F315" s="31" t="str">
        <f ca="1">VLOOKUP($E315,OFFSET(mission_ACH_criteria!$A$1,0,0,COUNTA(mission_ACH_criteria!$A:$A),MATCH(F$2,mission_ACH_criteria!$1:$1,0)-MATCH($E$2,mission_ACH_criteria!$1:$1,0)+1),MATCH(F$2,mission_ACH_criteria!$1:$1,0)-MATCH($E$2,mission_ACH_criteria!$1:$1,0)+1,FALSE)</f>
        <v>【初級】雪の歌姫 をクリアしよう！</v>
      </c>
      <c r="G315" s="27" t="s">
        <v>2108</v>
      </c>
      <c r="H315" s="31" t="str">
        <f ca="1">IF(I315="unit",K315&amp;" x "&amp;L315,IF(I315="polygon","ポリゴン x "&amp;J315,IF(I315="bit","ビット x "&amp;J315,IF(I315="link","リンク x "&amp;J315))))</f>
        <v>水のメタルジェントル x 3</v>
      </c>
      <c r="I315" s="31" t="str">
        <f ca="1">VLOOKUP($G315,OFFSET(mission_ACH!$A$2,0,0,COUNTA($A:$A),MATCH(I$2,mission_ACH!$2:$2,0)-MATCH($G$2,mission_ACH!$2:$2,0)+1),MATCH(I$2,mission_ACH!$2:$2,0)-MATCH($G$2,mission_ACH!$2:$2,0)+1,FALSE)</f>
        <v>unit</v>
      </c>
      <c r="J315" s="31">
        <f ca="1">VLOOKUP($G315,OFFSET(mission_ACH!$A$2,0,0,COUNTA($A:$A),MATCH(J$2,mission_ACH!$2:$2,0)-MATCH($G$2,mission_ACH!$2:$2,0)+1),MATCH(J$2,mission_ACH!$2:$2,0)-MATCH($G$2,mission_ACH!$2:$2,0)+1,FALSE)</f>
        <v>343</v>
      </c>
      <c r="K315" s="31" t="str">
        <f ca="1">IF(I315="unit",VLOOKUP($G315,OFFSET(mission_ACH!$A$2,0,0,COUNTA($A:$A),MATCH(K$2,mission_ACH!$2:$2,0)-MATCH($G$2,mission_ACH!$2:$2,0)+1),MATCH(K$2,mission_ACH!$2:$2,0)-MATCH($G$2,mission_ACH!$2:$2,0)+1,FALSE),"")</f>
        <v>水のメタルジェントル</v>
      </c>
      <c r="L315" s="31">
        <f ca="1">VLOOKUP($G315,OFFSET(mission_ACH!$A$2,0,0,COUNTA($A:$A),MATCH(L$2,mission_ACH!$2:$2,0)-MATCH($G$2,mission_ACH!$2:$2,0)+1),MATCH(L$2,mission_ACH!$2:$2,0)-MATCH($G$2,mission_ACH!$2:$2,0)+1,FALSE)</f>
        <v>3</v>
      </c>
      <c r="M315" s="27">
        <v>106</v>
      </c>
      <c r="N315" s="87" t="s">
        <v>2126</v>
      </c>
      <c r="O315" s="87" t="s">
        <v>2127</v>
      </c>
    </row>
    <row r="316" spans="1:15" s="1" customFormat="1" ht="21" customHeight="1" x14ac:dyDescent="0.15">
      <c r="A316" s="129">
        <v>9077</v>
      </c>
      <c r="B316" s="26" t="str">
        <f t="shared" ca="1" si="125"/>
        <v>【中級】雪の歌姫 をクリアしよう！</v>
      </c>
      <c r="C316" s="27" t="s">
        <v>331</v>
      </c>
      <c r="D316" s="31" t="str">
        <f ca="1">VLOOKUP($C316,OFFSET(mission_unlock_criteria!$A$2,0,0,COUNTA(mission_unlock_criteria!$A:$A),MATCH(D$2,mission_unlock_criteria!$2:$2,0)-MATCH($C$2,mission_unlock_criteria!$2:$2,0)+1),MATCH(D$2,mission_unlock_criteria!$2:$2,0)-MATCH($C$2,mission_unlock_criteria!$2:$2,0)+1,FALSE)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16" s="21" t="s">
        <v>2112</v>
      </c>
      <c r="F316" s="31" t="str">
        <f ca="1">VLOOKUP($E316,OFFSET(mission_ACH_criteria!$A$1,0,0,COUNTA(mission_ACH_criteria!$A:$A),MATCH(F$2,mission_ACH_criteria!$1:$1,0)-MATCH($E$2,mission_ACH_criteria!$1:$1,0)+1),MATCH(F$2,mission_ACH_criteria!$1:$1,0)-MATCH($E$2,mission_ACH_criteria!$1:$1,0)+1,FALSE)</f>
        <v>【中級】雪の歌姫 をクリアしよう！</v>
      </c>
      <c r="G316" s="27" t="s">
        <v>2142</v>
      </c>
      <c r="H316" s="31" t="str">
        <f ca="1">IF(I316="unit",K316&amp;" x "&amp;L316,IF(I316="polygon","ポリゴン x "&amp;J316,IF(I316="bit","ビット x "&amp;J316,IF(I316="link","リンク x "&amp;J316))))</f>
        <v>ビット x 300000</v>
      </c>
      <c r="I316" s="31" t="str">
        <f ca="1">VLOOKUP($G316,OFFSET(mission_ACH!$A$2,0,0,COUNTA($A:$A),MATCH(I$2,mission_ACH!$2:$2,0)-MATCH($G$2,mission_ACH!$2:$2,0)+1),MATCH(I$2,mission_ACH!$2:$2,0)-MATCH($G$2,mission_ACH!$2:$2,0)+1,FALSE)</f>
        <v>bit</v>
      </c>
      <c r="J316" s="31">
        <f ca="1">VLOOKUP($G316,OFFSET(mission_ACH!$A$2,0,0,COUNTA($A:$A),MATCH(J$2,mission_ACH!$2:$2,0)-MATCH($G$2,mission_ACH!$2:$2,0)+1),MATCH(J$2,mission_ACH!$2:$2,0)-MATCH($G$2,mission_ACH!$2:$2,0)+1,FALSE)</f>
        <v>300000</v>
      </c>
      <c r="K316" s="31" t="str">
        <f ca="1">IF(I316="unit",VLOOKUP($G316,OFFSET(mission_ACH!$A$2,0,0,COUNTA($A:$A),MATCH(K$2,mission_ACH!$2:$2,0)-MATCH($G$2,mission_ACH!$2:$2,0)+1),MATCH(K$2,mission_ACH!$2:$2,0)-MATCH($G$2,mission_ACH!$2:$2,0)+1,FALSE),"")</f>
        <v/>
      </c>
      <c r="L316" s="31">
        <f ca="1">VLOOKUP($G316,OFFSET(mission_ACH!$A$2,0,0,COUNTA($A:$A),MATCH(L$2,mission_ACH!$2:$2,0)-MATCH($G$2,mission_ACH!$2:$2,0)+1),MATCH(L$2,mission_ACH!$2:$2,0)-MATCH($G$2,mission_ACH!$2:$2,0)+1,FALSE)</f>
        <v>0</v>
      </c>
      <c r="M316" s="27">
        <v>106</v>
      </c>
      <c r="N316" s="87" t="s">
        <v>2126</v>
      </c>
      <c r="O316" s="87" t="s">
        <v>2127</v>
      </c>
    </row>
    <row r="317" spans="1:15" ht="20" customHeight="1" x14ac:dyDescent="0.15">
      <c r="A317" s="129">
        <v>9078</v>
      </c>
      <c r="B317" s="26" t="str">
        <f t="shared" ca="1" si="125"/>
        <v>【上級】雪の歌姫 をクリアしよう！</v>
      </c>
      <c r="C317" s="27" t="s">
        <v>331</v>
      </c>
      <c r="D317" s="31" t="str">
        <f ca="1">VLOOKUP($C317,OFFSET(mission_unlock_criteria!$A$2,0,0,COUNTA(mission_unlock_criteria!$A:$A),MATCH(D$2,mission_unlock_criteria!$2:$2,0)-MATCH($C$2,mission_unlock_criteria!$2:$2,0)+1),MATCH(D$2,mission_unlock_criteria!$2:$2,0)-MATCH($C$2,mission_unlock_criteria!$2:$2,0)+1,FALSE)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17" s="21" t="s">
        <v>2113</v>
      </c>
      <c r="F317" s="31" t="str">
        <f ca="1">VLOOKUP($E317,OFFSET(mission_ACH_criteria!$A$1,0,0,COUNTA(mission_ACH_criteria!$A:$A),MATCH(F$2,mission_ACH_criteria!$1:$1,0)-MATCH($E$2,mission_ACH_criteria!$1:$1,0)+1),MATCH(F$2,mission_ACH_criteria!$1:$1,0)-MATCH($E$2,mission_ACH_criteria!$1:$1,0)+1,FALSE)</f>
        <v>【上級】雪の歌姫 をクリアしよう！</v>
      </c>
      <c r="G317" s="27" t="s">
        <v>2143</v>
      </c>
      <c r="H317" s="31" t="str">
        <f t="shared" ref="H317" ca="1" si="126">IF(I317="unit",K317&amp;" x "&amp;L317,IF(I317="polygon","ポリゴン x "&amp;J317,IF(I317="bit","ビット x "&amp;J317,IF(I317="link","リンク x "&amp;J317))))</f>
        <v>メガ秘術の果実 x 1</v>
      </c>
      <c r="I317" s="31" t="str">
        <f ca="1">VLOOKUP($G317,OFFSET(mission_ACH!$A$2,0,0,COUNTA($A:$A),MATCH(I$2,mission_ACH!$2:$2,0)-MATCH($G$2,mission_ACH!$2:$2,0)+1),MATCH(I$2,mission_ACH!$2:$2,0)-MATCH($G$2,mission_ACH!$2:$2,0)+1,FALSE)</f>
        <v>unit</v>
      </c>
      <c r="J317" s="31">
        <f ca="1">VLOOKUP($G317,OFFSET(mission_ACH!$A$2,0,0,COUNTA($A:$A),MATCH(J$2,mission_ACH!$2:$2,0)-MATCH($G$2,mission_ACH!$2:$2,0)+1),MATCH(J$2,mission_ACH!$2:$2,0)-MATCH($G$2,mission_ACH!$2:$2,0)+1,FALSE)</f>
        <v>610</v>
      </c>
      <c r="K317" s="31" t="str">
        <f ca="1">IF(I317="unit",VLOOKUP($G317,OFFSET(mission_ACH!$A$2,0,0,COUNTA($A:$A),MATCH(K$2,mission_ACH!$2:$2,0)-MATCH($G$2,mission_ACH!$2:$2,0)+1),MATCH(K$2,mission_ACH!$2:$2,0)-MATCH($G$2,mission_ACH!$2:$2,0)+1,FALSE),"")</f>
        <v>メガ秘術の果実</v>
      </c>
      <c r="L317" s="31">
        <f ca="1">VLOOKUP($G317,OFFSET(mission_ACH!$A$2,0,0,COUNTA($A:$A),MATCH(L$2,mission_ACH!$2:$2,0)-MATCH($G$2,mission_ACH!$2:$2,0)+1),MATCH(L$2,mission_ACH!$2:$2,0)-MATCH($G$2,mission_ACH!$2:$2,0)+1,FALSE)</f>
        <v>1</v>
      </c>
      <c r="M317" s="27">
        <v>106</v>
      </c>
      <c r="N317" s="87" t="s">
        <v>2126</v>
      </c>
      <c r="O317" s="87" t="s">
        <v>2127</v>
      </c>
    </row>
    <row r="318" spans="1:15" s="1" customFormat="1" ht="21" customHeight="1" x14ac:dyDescent="0.15">
      <c r="A318" s="129">
        <v>9079</v>
      </c>
      <c r="B318" s="26" t="str">
        <f t="shared" ca="1" si="125"/>
        <v>【超級】雪の歌姫 をクリアしよう！</v>
      </c>
      <c r="C318" s="27" t="s">
        <v>331</v>
      </c>
      <c r="D318" s="31" t="str">
        <f ca="1">VLOOKUP($C318,OFFSET(mission_unlock_criteria!$A$2,0,0,COUNTA(mission_unlock_criteria!$A:$A),MATCH(D$2,mission_unlock_criteria!$2:$2,0)-MATCH($C$2,mission_unlock_criteria!$2:$2,0)+1),MATCH(D$2,mission_unlock_criteria!$2:$2,0)-MATCH($C$2,mission_unlock_criteria!$2:$2,0)+1,FALSE)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18" s="21" t="s">
        <v>2114</v>
      </c>
      <c r="F318" s="31" t="str">
        <f ca="1">VLOOKUP($E318,OFFSET(mission_ACH_criteria!$A$1,0,0,COUNTA(mission_ACH_criteria!$A:$A),MATCH(F$2,mission_ACH_criteria!$1:$1,0)-MATCH($E$2,mission_ACH_criteria!$1:$1,0)+1),MATCH(F$2,mission_ACH_criteria!$1:$1,0)-MATCH($E$2,mission_ACH_criteria!$1:$1,0)+1,FALSE)</f>
        <v>【超級】雪の歌姫 をクリアしよう！</v>
      </c>
      <c r="G318" s="27" t="s">
        <v>2143</v>
      </c>
      <c r="H318" s="31" t="str">
        <f t="shared" ref="H318:H321" ca="1" si="127">IF(I318="unit",K318&amp;" x "&amp;L318,IF(I318="polygon","ポリゴン x "&amp;J318,IF(I318="bit","ビット x "&amp;J318,IF(I318="link","リンク x "&amp;J318))))</f>
        <v>メガ秘術の果実 x 1</v>
      </c>
      <c r="I318" s="31" t="str">
        <f ca="1">VLOOKUP($G318,OFFSET(mission_ACH!$A$2,0,0,COUNTA($A:$A),MATCH(I$2,mission_ACH!$2:$2,0)-MATCH($G$2,mission_ACH!$2:$2,0)+1),MATCH(I$2,mission_ACH!$2:$2,0)-MATCH($G$2,mission_ACH!$2:$2,0)+1,FALSE)</f>
        <v>unit</v>
      </c>
      <c r="J318" s="31">
        <f ca="1">VLOOKUP($G318,OFFSET(mission_ACH!$A$2,0,0,COUNTA($A:$A),MATCH(J$2,mission_ACH!$2:$2,0)-MATCH($G$2,mission_ACH!$2:$2,0)+1),MATCH(J$2,mission_ACH!$2:$2,0)-MATCH($G$2,mission_ACH!$2:$2,0)+1,FALSE)</f>
        <v>610</v>
      </c>
      <c r="K318" s="31" t="str">
        <f ca="1">IF(I318="unit",VLOOKUP($G318,OFFSET(mission_ACH!$A$2,0,0,COUNTA($A:$A),MATCH(K$2,mission_ACH!$2:$2,0)-MATCH($G$2,mission_ACH!$2:$2,0)+1),MATCH(K$2,mission_ACH!$2:$2,0)-MATCH($G$2,mission_ACH!$2:$2,0)+1,FALSE),"")</f>
        <v>メガ秘術の果実</v>
      </c>
      <c r="L318" s="31">
        <f ca="1">VLOOKUP($G318,OFFSET(mission_ACH!$A$2,0,0,COUNTA($A:$A),MATCH(L$2,mission_ACH!$2:$2,0)-MATCH($G$2,mission_ACH!$2:$2,0)+1),MATCH(L$2,mission_ACH!$2:$2,0)-MATCH($G$2,mission_ACH!$2:$2,0)+1,FALSE)</f>
        <v>1</v>
      </c>
      <c r="M318" s="27">
        <v>106</v>
      </c>
      <c r="N318" s="87" t="s">
        <v>2126</v>
      </c>
      <c r="O318" s="87" t="s">
        <v>2127</v>
      </c>
    </row>
    <row r="319" spans="1:15" s="1" customFormat="1" ht="21" customHeight="1" x14ac:dyDescent="0.15">
      <c r="A319" s="129">
        <v>9080</v>
      </c>
      <c r="B319" s="26" t="str">
        <f t="shared" ca="1" si="125"/>
        <v>【超絶級】雪の歌姫 をクリアしよう！</v>
      </c>
      <c r="C319" s="27" t="s">
        <v>331</v>
      </c>
      <c r="D319" s="31" t="str">
        <f ca="1">VLOOKUP($C319,OFFSET(mission_unlock_criteria!$A$2,0,0,COUNTA(mission_unlock_criteria!$A:$A),MATCH(D$2,mission_unlock_criteria!$2:$2,0)-MATCH($C$2,mission_unlock_criteria!$2:$2,0)+1),MATCH(D$2,mission_unlock_criteria!$2:$2,0)-MATCH($C$2,mission_unlock_criteria!$2:$2,0)+1,FALSE)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19" s="21" t="s">
        <v>2115</v>
      </c>
      <c r="F319" s="31" t="str">
        <f ca="1">VLOOKUP($E319,OFFSET(mission_ACH_criteria!$A$1,0,0,COUNTA(mission_ACH_criteria!$A:$A),MATCH(F$2,mission_ACH_criteria!$1:$1,0)-MATCH($E$2,mission_ACH_criteria!$1:$1,0)+1),MATCH(F$2,mission_ACH_criteria!$1:$1,0)-MATCH($E$2,mission_ACH_criteria!$1:$1,0)+1,FALSE)</f>
        <v>【超絶級】雪の歌姫 をクリアしよう！</v>
      </c>
      <c r="G319" s="27" t="s">
        <v>2109</v>
      </c>
      <c r="H319" s="31" t="str">
        <f t="shared" ca="1" si="127"/>
        <v>雪ミク2016 x 1</v>
      </c>
      <c r="I319" s="31" t="str">
        <f ca="1">VLOOKUP($G319,OFFSET(mission_ACH!$A$2,0,0,COUNTA($A:$A),MATCH(I$2,mission_ACH!$2:$2,0)-MATCH($G$2,mission_ACH!$2:$2,0)+1),MATCH(I$2,mission_ACH!$2:$2,0)-MATCH($G$2,mission_ACH!$2:$2,0)+1,FALSE)</f>
        <v>unit</v>
      </c>
      <c r="J319" s="31">
        <f ca="1">VLOOKUP($G319,OFFSET(mission_ACH!$A$2,0,0,COUNTA($A:$A),MATCH(J$2,mission_ACH!$2:$2,0)-MATCH($G$2,mission_ACH!$2:$2,0)+1),MATCH(J$2,mission_ACH!$2:$2,0)-MATCH($G$2,mission_ACH!$2:$2,0)+1,FALSE)</f>
        <v>553</v>
      </c>
      <c r="K319" s="31" t="str">
        <f ca="1">IF(I319="unit",VLOOKUP($G319,OFFSET(mission_ACH!$A$2,0,0,COUNTA($A:$A),MATCH(K$2,mission_ACH!$2:$2,0)-MATCH($G$2,mission_ACH!$2:$2,0)+1),MATCH(K$2,mission_ACH!$2:$2,0)-MATCH($G$2,mission_ACH!$2:$2,0)+1,FALSE),"")</f>
        <v>雪ミク2016</v>
      </c>
      <c r="L319" s="31">
        <f ca="1">VLOOKUP($G319,OFFSET(mission_ACH!$A$2,0,0,COUNTA($A:$A),MATCH(L$2,mission_ACH!$2:$2,0)-MATCH($G$2,mission_ACH!$2:$2,0)+1),MATCH(L$2,mission_ACH!$2:$2,0)-MATCH($G$2,mission_ACH!$2:$2,0)+1,FALSE)</f>
        <v>1</v>
      </c>
      <c r="M319" s="27">
        <v>106</v>
      </c>
      <c r="N319" s="87" t="s">
        <v>2126</v>
      </c>
      <c r="O319" s="87" t="s">
        <v>2127</v>
      </c>
    </row>
    <row r="320" spans="1:15" s="1" customFormat="1" ht="21" customHeight="1" x14ac:dyDescent="0.15">
      <c r="A320" s="129">
        <v>9081</v>
      </c>
      <c r="B320" s="26" t="str">
        <f t="shared" ca="1" si="125"/>
        <v>【初級】星空の歌姫 をクリアしよう！</v>
      </c>
      <c r="C320" s="27" t="s">
        <v>331</v>
      </c>
      <c r="D320" s="31" t="str">
        <f ca="1">VLOOKUP($C320,OFFSET(mission_unlock_criteria!$A$2,0,0,COUNTA(mission_unlock_criteria!$A:$A),MATCH(D$2,mission_unlock_criteria!$2:$2,0)-MATCH($C$2,mission_unlock_criteria!$2:$2,0)+1),MATCH(D$2,mission_unlock_criteria!$2:$2,0)-MATCH($C$2,mission_unlock_criteria!$2:$2,0)+1,FALSE)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20" s="21" t="s">
        <v>2116</v>
      </c>
      <c r="F320" s="31" t="str">
        <f ca="1">VLOOKUP($E320,OFFSET(mission_ACH_criteria!$A$1,0,0,COUNTA(mission_ACH_criteria!$A:$A),MATCH(F$2,mission_ACH_criteria!$1:$1,0)-MATCH($E$2,mission_ACH_criteria!$1:$1,0)+1),MATCH(F$2,mission_ACH_criteria!$1:$1,0)-MATCH($E$2,mission_ACH_criteria!$1:$1,0)+1,FALSE)</f>
        <v>【初級】星空の歌姫 をクリアしよう！</v>
      </c>
      <c r="G320" s="27" t="s">
        <v>2110</v>
      </c>
      <c r="H320" s="31" t="str">
        <f t="shared" ca="1" si="127"/>
        <v>森のメタルジェントル x 3</v>
      </c>
      <c r="I320" s="31" t="str">
        <f ca="1">VLOOKUP($G320,OFFSET(mission_ACH!$A$2,0,0,COUNTA($A:$A),MATCH(I$2,mission_ACH!$2:$2,0)-MATCH($G$2,mission_ACH!$2:$2,0)+1),MATCH(I$2,mission_ACH!$2:$2,0)-MATCH($G$2,mission_ACH!$2:$2,0)+1,FALSE)</f>
        <v>unit</v>
      </c>
      <c r="J320" s="31">
        <f ca="1">VLOOKUP($G320,OFFSET(mission_ACH!$A$2,0,0,COUNTA($A:$A),MATCH(J$2,mission_ACH!$2:$2,0)-MATCH($G$2,mission_ACH!$2:$2,0)+1),MATCH(J$2,mission_ACH!$2:$2,0)-MATCH($G$2,mission_ACH!$2:$2,0)+1,FALSE)</f>
        <v>339</v>
      </c>
      <c r="K320" s="31" t="str">
        <f ca="1">IF(I320="unit",VLOOKUP($G320,OFFSET(mission_ACH!$A$2,0,0,COUNTA($A:$A),MATCH(K$2,mission_ACH!$2:$2,0)-MATCH($G$2,mission_ACH!$2:$2,0)+1),MATCH(K$2,mission_ACH!$2:$2,0)-MATCH($G$2,mission_ACH!$2:$2,0)+1,FALSE),"")</f>
        <v>森のメタルジェントル</v>
      </c>
      <c r="L320" s="31">
        <f ca="1">VLOOKUP($G320,OFFSET(mission_ACH!$A$2,0,0,COUNTA($A:$A),MATCH(L$2,mission_ACH!$2:$2,0)-MATCH($G$2,mission_ACH!$2:$2,0)+1),MATCH(L$2,mission_ACH!$2:$2,0)-MATCH($G$2,mission_ACH!$2:$2,0)+1,FALSE)</f>
        <v>3</v>
      </c>
      <c r="M320" s="27">
        <v>106</v>
      </c>
      <c r="N320" s="87" t="s">
        <v>2126</v>
      </c>
      <c r="O320" s="87" t="s">
        <v>2127</v>
      </c>
    </row>
    <row r="321" spans="1:15" s="1" customFormat="1" ht="21" customHeight="1" x14ac:dyDescent="0.15">
      <c r="A321" s="129">
        <v>9082</v>
      </c>
      <c r="B321" s="26" t="str">
        <f t="shared" ca="1" si="125"/>
        <v>【中級】星空の歌姫 をクリアしよう！</v>
      </c>
      <c r="C321" s="27" t="s">
        <v>331</v>
      </c>
      <c r="D321" s="31" t="str">
        <f ca="1">VLOOKUP($C321,OFFSET(mission_unlock_criteria!$A$2,0,0,COUNTA(mission_unlock_criteria!$A:$A),MATCH(D$2,mission_unlock_criteria!$2:$2,0)-MATCH($C$2,mission_unlock_criteria!$2:$2,0)+1),MATCH(D$2,mission_unlock_criteria!$2:$2,0)-MATCH($C$2,mission_unlock_criteria!$2:$2,0)+1,FALSE)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21" s="21" t="s">
        <v>2144</v>
      </c>
      <c r="F321" s="31" t="str">
        <f ca="1">VLOOKUP($E321,OFFSET(mission_ACH_criteria!$A$1,0,0,COUNTA(mission_ACH_criteria!$A:$A),MATCH(F$2,mission_ACH_criteria!$1:$1,0)-MATCH($E$2,mission_ACH_criteria!$1:$1,0)+1),MATCH(F$2,mission_ACH_criteria!$1:$1,0)-MATCH($E$2,mission_ACH_criteria!$1:$1,0)+1,FALSE)</f>
        <v>【中級】星空の歌姫 をクリアしよう！</v>
      </c>
      <c r="G321" s="27" t="s">
        <v>2142</v>
      </c>
      <c r="H321" s="31" t="str">
        <f t="shared" ca="1" si="127"/>
        <v>ビット x 300000</v>
      </c>
      <c r="I321" s="31" t="str">
        <f ca="1">VLOOKUP($G321,OFFSET(mission_ACH!$A$2,0,0,COUNTA($A:$A),MATCH(I$2,mission_ACH!$2:$2,0)-MATCH($G$2,mission_ACH!$2:$2,0)+1),MATCH(I$2,mission_ACH!$2:$2,0)-MATCH($G$2,mission_ACH!$2:$2,0)+1,FALSE)</f>
        <v>bit</v>
      </c>
      <c r="J321" s="31">
        <f ca="1">VLOOKUP($G321,OFFSET(mission_ACH!$A$2,0,0,COUNTA($A:$A),MATCH(J$2,mission_ACH!$2:$2,0)-MATCH($G$2,mission_ACH!$2:$2,0)+1),MATCH(J$2,mission_ACH!$2:$2,0)-MATCH($G$2,mission_ACH!$2:$2,0)+1,FALSE)</f>
        <v>300000</v>
      </c>
      <c r="K321" s="31" t="str">
        <f ca="1">IF(I321="unit",VLOOKUP($G321,OFFSET(mission_ACH!$A$2,0,0,COUNTA($A:$A),MATCH(K$2,mission_ACH!$2:$2,0)-MATCH($G$2,mission_ACH!$2:$2,0)+1),MATCH(K$2,mission_ACH!$2:$2,0)-MATCH($G$2,mission_ACH!$2:$2,0)+1,FALSE),"")</f>
        <v/>
      </c>
      <c r="L321" s="31">
        <f ca="1">VLOOKUP($G321,OFFSET(mission_ACH!$A$2,0,0,COUNTA($A:$A),MATCH(L$2,mission_ACH!$2:$2,0)-MATCH($G$2,mission_ACH!$2:$2,0)+1),MATCH(L$2,mission_ACH!$2:$2,0)-MATCH($G$2,mission_ACH!$2:$2,0)+1,FALSE)</f>
        <v>0</v>
      </c>
      <c r="M321" s="27">
        <v>106</v>
      </c>
      <c r="N321" s="87" t="s">
        <v>2126</v>
      </c>
      <c r="O321" s="87" t="s">
        <v>2127</v>
      </c>
    </row>
    <row r="322" spans="1:15" s="1" customFormat="1" ht="21" customHeight="1" x14ac:dyDescent="0.15">
      <c r="A322" s="129">
        <v>9083</v>
      </c>
      <c r="B322" s="26" t="str">
        <f t="shared" ca="1" si="125"/>
        <v>【上級】星空の歌姫 をクリアしよう！</v>
      </c>
      <c r="C322" s="27" t="s">
        <v>331</v>
      </c>
      <c r="D322" s="31" t="str">
        <f ca="1">VLOOKUP($C322,OFFSET(mission_unlock_criteria!$A$2,0,0,COUNTA(mission_unlock_criteria!$A:$A),MATCH(D$2,mission_unlock_criteria!$2:$2,0)-MATCH($C$2,mission_unlock_criteria!$2:$2,0)+1),MATCH(D$2,mission_unlock_criteria!$2:$2,0)-MATCH($C$2,mission_unlock_criteria!$2:$2,0)+1,FALSE)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22" s="21" t="s">
        <v>2118</v>
      </c>
      <c r="F322" s="31" t="str">
        <f ca="1">VLOOKUP($E322,OFFSET(mission_ACH_criteria!$A$1,0,0,COUNTA(mission_ACH_criteria!$A:$A),MATCH(F$2,mission_ACH_criteria!$1:$1,0)-MATCH($E$2,mission_ACH_criteria!$1:$1,0)+1),MATCH(F$2,mission_ACH_criteria!$1:$1,0)-MATCH($E$2,mission_ACH_criteria!$1:$1,0)+1,FALSE)</f>
        <v>【上級】星空の歌姫 をクリアしよう！</v>
      </c>
      <c r="G322" s="27" t="s">
        <v>2143</v>
      </c>
      <c r="H322" s="31" t="str">
        <f t="shared" ref="H322:H324" ca="1" si="128">IF(I322="unit",K322&amp;" x "&amp;L322,IF(I322="polygon","ポリゴン x "&amp;J322,IF(I322="bit","ビット x "&amp;J322,IF(I322="link","リンク x "&amp;J322))))</f>
        <v>メガ秘術の果実 x 1</v>
      </c>
      <c r="I322" s="31" t="str">
        <f ca="1">VLOOKUP($G322,OFFSET(mission_ACH!$A$2,0,0,COUNTA($A:$A),MATCH(I$2,mission_ACH!$2:$2,0)-MATCH($G$2,mission_ACH!$2:$2,0)+1),MATCH(I$2,mission_ACH!$2:$2,0)-MATCH($G$2,mission_ACH!$2:$2,0)+1,FALSE)</f>
        <v>unit</v>
      </c>
      <c r="J322" s="31">
        <f ca="1">VLOOKUP($G322,OFFSET(mission_ACH!$A$2,0,0,COUNTA($A:$A),MATCH(J$2,mission_ACH!$2:$2,0)-MATCH($G$2,mission_ACH!$2:$2,0)+1),MATCH(J$2,mission_ACH!$2:$2,0)-MATCH($G$2,mission_ACH!$2:$2,0)+1,FALSE)</f>
        <v>610</v>
      </c>
      <c r="K322" s="31" t="str">
        <f ca="1">IF(I322="unit",VLOOKUP($G322,OFFSET(mission_ACH!$A$2,0,0,COUNTA($A:$A),MATCH(K$2,mission_ACH!$2:$2,0)-MATCH($G$2,mission_ACH!$2:$2,0)+1),MATCH(K$2,mission_ACH!$2:$2,0)-MATCH($G$2,mission_ACH!$2:$2,0)+1,FALSE),"")</f>
        <v>メガ秘術の果実</v>
      </c>
      <c r="L322" s="31">
        <f ca="1">VLOOKUP($G322,OFFSET(mission_ACH!$A$2,0,0,COUNTA($A:$A),MATCH(L$2,mission_ACH!$2:$2,0)-MATCH($G$2,mission_ACH!$2:$2,0)+1),MATCH(L$2,mission_ACH!$2:$2,0)-MATCH($G$2,mission_ACH!$2:$2,0)+1,FALSE)</f>
        <v>1</v>
      </c>
      <c r="M322" s="27">
        <v>106</v>
      </c>
      <c r="N322" s="87" t="s">
        <v>2126</v>
      </c>
      <c r="O322" s="87" t="s">
        <v>2127</v>
      </c>
    </row>
    <row r="323" spans="1:15" s="1" customFormat="1" ht="21" customHeight="1" x14ac:dyDescent="0.15">
      <c r="A323" s="129">
        <v>9084</v>
      </c>
      <c r="B323" s="26" t="str">
        <f t="shared" ca="1" si="125"/>
        <v>【超級】星空の歌姫 をクリアしよう！</v>
      </c>
      <c r="C323" s="27" t="s">
        <v>331</v>
      </c>
      <c r="D323" s="31" t="str">
        <f ca="1">VLOOKUP($C323,OFFSET(mission_unlock_criteria!$A$2,0,0,COUNTA(mission_unlock_criteria!$A:$A),MATCH(D$2,mission_unlock_criteria!$2:$2,0)-MATCH($C$2,mission_unlock_criteria!$2:$2,0)+1),MATCH(D$2,mission_unlock_criteria!$2:$2,0)-MATCH($C$2,mission_unlock_criteria!$2:$2,0)+1,FALSE)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23" s="21" t="s">
        <v>2119</v>
      </c>
      <c r="F323" s="31" t="str">
        <f ca="1">VLOOKUP($E323,OFFSET(mission_ACH_criteria!$A$1,0,0,COUNTA(mission_ACH_criteria!$A:$A),MATCH(F$2,mission_ACH_criteria!$1:$1,0)-MATCH($E$2,mission_ACH_criteria!$1:$1,0)+1),MATCH(F$2,mission_ACH_criteria!$1:$1,0)-MATCH($E$2,mission_ACH_criteria!$1:$1,0)+1,FALSE)</f>
        <v>【超級】星空の歌姫 をクリアしよう！</v>
      </c>
      <c r="G323" s="27" t="s">
        <v>2143</v>
      </c>
      <c r="H323" s="31" t="str">
        <f t="shared" ca="1" si="128"/>
        <v>メガ秘術の果実 x 1</v>
      </c>
      <c r="I323" s="31" t="str">
        <f ca="1">VLOOKUP($G323,OFFSET(mission_ACH!$A$2,0,0,COUNTA($A:$A),MATCH(I$2,mission_ACH!$2:$2,0)-MATCH($G$2,mission_ACH!$2:$2,0)+1),MATCH(I$2,mission_ACH!$2:$2,0)-MATCH($G$2,mission_ACH!$2:$2,0)+1,FALSE)</f>
        <v>unit</v>
      </c>
      <c r="J323" s="31">
        <f ca="1">VLOOKUP($G323,OFFSET(mission_ACH!$A$2,0,0,COUNTA($A:$A),MATCH(J$2,mission_ACH!$2:$2,0)-MATCH($G$2,mission_ACH!$2:$2,0)+1),MATCH(J$2,mission_ACH!$2:$2,0)-MATCH($G$2,mission_ACH!$2:$2,0)+1,FALSE)</f>
        <v>610</v>
      </c>
      <c r="K323" s="31" t="str">
        <f ca="1">IF(I323="unit",VLOOKUP($G323,OFFSET(mission_ACH!$A$2,0,0,COUNTA($A:$A),MATCH(K$2,mission_ACH!$2:$2,0)-MATCH($G$2,mission_ACH!$2:$2,0)+1),MATCH(K$2,mission_ACH!$2:$2,0)-MATCH($G$2,mission_ACH!$2:$2,0)+1,FALSE),"")</f>
        <v>メガ秘術の果実</v>
      </c>
      <c r="L323" s="31">
        <f ca="1">VLOOKUP($G323,OFFSET(mission_ACH!$A$2,0,0,COUNTA($A:$A),MATCH(L$2,mission_ACH!$2:$2,0)-MATCH($G$2,mission_ACH!$2:$2,0)+1),MATCH(L$2,mission_ACH!$2:$2,0)-MATCH($G$2,mission_ACH!$2:$2,0)+1,FALSE)</f>
        <v>1</v>
      </c>
      <c r="M323" s="27">
        <v>106</v>
      </c>
      <c r="N323" s="87" t="s">
        <v>2126</v>
      </c>
      <c r="O323" s="87" t="s">
        <v>2127</v>
      </c>
    </row>
    <row r="324" spans="1:15" s="1" customFormat="1" ht="21" customHeight="1" x14ac:dyDescent="0.15">
      <c r="A324" s="129">
        <v>9085</v>
      </c>
      <c r="B324" s="26" t="str">
        <f t="shared" ca="1" si="125"/>
        <v>【超絶級】星空の歌姫 をクリアしよう！</v>
      </c>
      <c r="C324" s="27" t="s">
        <v>331</v>
      </c>
      <c r="D324" s="31" t="str">
        <f ca="1">VLOOKUP($C324,OFFSET(mission_unlock_criteria!$A$2,0,0,COUNTA(mission_unlock_criteria!$A:$A),MATCH(D$2,mission_unlock_criteria!$2:$2,0)-MATCH($C$2,mission_unlock_criteria!$2:$2,0)+1),MATCH(D$2,mission_unlock_criteria!$2:$2,0)-MATCH($C$2,mission_unlock_criteria!$2:$2,0)+1,FALSE)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24" s="21" t="s">
        <v>2120</v>
      </c>
      <c r="F324" s="31" t="str">
        <f ca="1">VLOOKUP($E324,OFFSET(mission_ACH_criteria!$A$1,0,0,COUNTA(mission_ACH_criteria!$A:$A),MATCH(F$2,mission_ACH_criteria!$1:$1,0)-MATCH($E$2,mission_ACH_criteria!$1:$1,0)+1),MATCH(F$2,mission_ACH_criteria!$1:$1,0)-MATCH($E$2,mission_ACH_criteria!$1:$1,0)+1,FALSE)</f>
        <v>【超絶級】星空の歌姫 をクリアしよう！</v>
      </c>
      <c r="G324" s="27" t="s">
        <v>1520</v>
      </c>
      <c r="H324" s="31" t="str">
        <f t="shared" ca="1" si="128"/>
        <v>リトルハンプティ x 1</v>
      </c>
      <c r="I324" s="31" t="str">
        <f ca="1">VLOOKUP($G324,OFFSET(mission_ACH!$A$2,0,0,COUNTA($A:$A),MATCH(I$2,mission_ACH!$2:$2,0)-MATCH($G$2,mission_ACH!$2:$2,0)+1),MATCH(I$2,mission_ACH!$2:$2,0)-MATCH($G$2,mission_ACH!$2:$2,0)+1,FALSE)</f>
        <v>unit</v>
      </c>
      <c r="J324" s="31">
        <f ca="1">VLOOKUP($G324,OFFSET(mission_ACH!$A$2,0,0,COUNTA($A:$A),MATCH(J$2,mission_ACH!$2:$2,0)-MATCH($G$2,mission_ACH!$2:$2,0)+1),MATCH(J$2,mission_ACH!$2:$2,0)-MATCH($G$2,mission_ACH!$2:$2,0)+1,FALSE)</f>
        <v>837</v>
      </c>
      <c r="K324" s="31" t="str">
        <f ca="1">IF(I324="unit",VLOOKUP($G324,OFFSET(mission_ACH!$A$2,0,0,COUNTA($A:$A),MATCH(K$2,mission_ACH!$2:$2,0)-MATCH($G$2,mission_ACH!$2:$2,0)+1),MATCH(K$2,mission_ACH!$2:$2,0)-MATCH($G$2,mission_ACH!$2:$2,0)+1,FALSE),"")</f>
        <v>リトルハンプティ</v>
      </c>
      <c r="L324" s="31">
        <f ca="1">VLOOKUP($G324,OFFSET(mission_ACH!$A$2,0,0,COUNTA($A:$A),MATCH(L$2,mission_ACH!$2:$2,0)-MATCH($G$2,mission_ACH!$2:$2,0)+1),MATCH(L$2,mission_ACH!$2:$2,0)-MATCH($G$2,mission_ACH!$2:$2,0)+1,FALSE)</f>
        <v>1</v>
      </c>
      <c r="M324" s="27">
        <v>106</v>
      </c>
      <c r="N324" s="87" t="s">
        <v>2126</v>
      </c>
      <c r="O324" s="87" t="s">
        <v>2127</v>
      </c>
    </row>
    <row r="325" spans="1:15" s="1" customFormat="1" ht="21" customHeight="1" x14ac:dyDescent="0.15">
      <c r="A325" s="129">
        <v>9086</v>
      </c>
      <c r="B325" s="26" t="str">
        <f t="shared" ca="1" si="125"/>
        <v>【ウィザード級】熱唱！初音ミクV3 をクリアしよう！</v>
      </c>
      <c r="C325" s="27" t="s">
        <v>331</v>
      </c>
      <c r="D325" s="31" t="str">
        <f ca="1">VLOOKUP($C325,OFFSET(mission_unlock_criteria!$A$2,0,0,COUNTA(mission_unlock_criteria!$A:$A),MATCH(D$2,mission_unlock_criteria!$2:$2,0)-MATCH($C$2,mission_unlock_criteria!$2:$2,0)+1),MATCH(D$2,mission_unlock_criteria!$2:$2,0)-MATCH($C$2,mission_unlock_criteria!$2:$2,0)+1,FALSE)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25" s="21" t="s">
        <v>2121</v>
      </c>
      <c r="F325" s="31" t="str">
        <f ca="1">VLOOKUP($E325,OFFSET(mission_ACH_criteria!$A$1,0,0,COUNTA(mission_ACH_criteria!$A:$A),MATCH(F$2,mission_ACH_criteria!$1:$1,0)-MATCH($E$2,mission_ACH_criteria!$1:$1,0)+1),MATCH(F$2,mission_ACH_criteria!$1:$1,0)-MATCH($E$2,mission_ACH_criteria!$1:$1,0)+1,FALSE)</f>
        <v>【ウィザード級】熱唱！初音ミクV3 をクリアしよう！</v>
      </c>
      <c r="G325" s="27" t="s">
        <v>2111</v>
      </c>
      <c r="H325" s="31" t="str">
        <f ca="1">IF(I325="unit",K325&amp;" x "&amp;L325,IF(I325="polygon","ポリゴン x "&amp;J325,IF(I325="bit","ビット x "&amp;J325,IF(I325="link","リンク x "&amp;J325))))</f>
        <v>雪ミク2014 x 1</v>
      </c>
      <c r="I325" s="31" t="str">
        <f ca="1">VLOOKUP($G325,OFFSET(mission_ACH!$A$2,0,0,COUNTA($A:$A),MATCH(I$2,mission_ACH!$2:$2,0)-MATCH($G$2,mission_ACH!$2:$2,0)+1),MATCH(I$2,mission_ACH!$2:$2,0)-MATCH($G$2,mission_ACH!$2:$2,0)+1,FALSE)</f>
        <v>unit</v>
      </c>
      <c r="J325" s="31">
        <f ca="1">VLOOKUP($G325,OFFSET(mission_ACH!$A$2,0,0,COUNTA($A:$A),MATCH(J$2,mission_ACH!$2:$2,0)-MATCH($G$2,mission_ACH!$2:$2,0)+1),MATCH(J$2,mission_ACH!$2:$2,0)-MATCH($G$2,mission_ACH!$2:$2,0)+1,FALSE)</f>
        <v>555</v>
      </c>
      <c r="K325" s="31" t="str">
        <f ca="1">IF(I325="unit",VLOOKUP($G325,OFFSET(mission_ACH!$A$2,0,0,COUNTA($A:$A),MATCH(K$2,mission_ACH!$2:$2,0)-MATCH($G$2,mission_ACH!$2:$2,0)+1),MATCH(K$2,mission_ACH!$2:$2,0)-MATCH($G$2,mission_ACH!$2:$2,0)+1,FALSE),"")</f>
        <v>雪ミク2014</v>
      </c>
      <c r="L325" s="31">
        <f ca="1">VLOOKUP($G325,OFFSET(mission_ACH!$A$2,0,0,COUNTA($A:$A),MATCH(L$2,mission_ACH!$2:$2,0)-MATCH($G$2,mission_ACH!$2:$2,0)+1),MATCH(L$2,mission_ACH!$2:$2,0)-MATCH($G$2,mission_ACH!$2:$2,0)+1,FALSE)</f>
        <v>1</v>
      </c>
      <c r="M325" s="27">
        <v>106</v>
      </c>
      <c r="N325" s="87" t="s">
        <v>2126</v>
      </c>
      <c r="O325" s="87" t="s">
        <v>2127</v>
      </c>
    </row>
    <row r="326" spans="1:15" s="1" customFormat="1" ht="21" customHeight="1" x14ac:dyDescent="0.15">
      <c r="A326" s="129">
        <v>9087</v>
      </c>
      <c r="B326" s="26" t="str">
        <f t="shared" ca="1" si="125"/>
        <v>【ウィザード級】電子音協奏曲 をクリアしよう！</v>
      </c>
      <c r="C326" s="27" t="s">
        <v>331</v>
      </c>
      <c r="D326" s="31" t="str">
        <f ca="1">VLOOKUP($C326,OFFSET(mission_unlock_criteria!$A$2,0,0,COUNTA(mission_unlock_criteria!$A:$A),MATCH(D$2,mission_unlock_criteria!$2:$2,0)-MATCH($C$2,mission_unlock_criteria!$2:$2,0)+1),MATCH(D$2,mission_unlock_criteria!$2:$2,0)-MATCH($C$2,mission_unlock_criteria!$2:$2,0)+1,FALSE)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26" s="21" t="s">
        <v>2122</v>
      </c>
      <c r="F326" s="31" t="str">
        <f ca="1">VLOOKUP($E326,OFFSET(mission_ACH_criteria!$A$1,0,0,COUNTA(mission_ACH_criteria!$A:$A),MATCH(F$2,mission_ACH_criteria!$1:$1,0)-MATCH($E$2,mission_ACH_criteria!$1:$1,0)+1),MATCH(F$2,mission_ACH_criteria!$1:$1,0)-MATCH($E$2,mission_ACH_criteria!$1:$1,0)+1,FALSE)</f>
        <v>【ウィザード級】電子音協奏曲 をクリアしよう！</v>
      </c>
      <c r="G326" s="27" t="s">
        <v>47</v>
      </c>
      <c r="H326" s="31" t="str">
        <f t="shared" ref="H326:H328" ca="1" si="129">IF(I326="unit",K326&amp;" x "&amp;L326,IF(I326="polygon","ポリゴン x "&amp;J326,IF(I326="bit","ビット x "&amp;J326,IF(I326="link","リンク x "&amp;J326))))</f>
        <v>ポリゴン x 1</v>
      </c>
      <c r="I326" s="31" t="str">
        <f ca="1">VLOOKUP($G326,OFFSET(mission_ACH!$A$2,0,0,COUNTA($A:$A),MATCH(I$2,mission_ACH!$2:$2,0)-MATCH($G$2,mission_ACH!$2:$2,0)+1),MATCH(I$2,mission_ACH!$2:$2,0)-MATCH($G$2,mission_ACH!$2:$2,0)+1,FALSE)</f>
        <v>polygon</v>
      </c>
      <c r="J326" s="31">
        <f ca="1">VLOOKUP($G326,OFFSET(mission_ACH!$A$2,0,0,COUNTA($A:$A),MATCH(J$2,mission_ACH!$2:$2,0)-MATCH($G$2,mission_ACH!$2:$2,0)+1),MATCH(J$2,mission_ACH!$2:$2,0)-MATCH($G$2,mission_ACH!$2:$2,0)+1,FALSE)</f>
        <v>1</v>
      </c>
      <c r="K326" s="31" t="str">
        <f ca="1">IF(I326="unit",VLOOKUP($G326,OFFSET(mission_ACH!$A$2,0,0,COUNTA($A:$A),MATCH(K$2,mission_ACH!$2:$2,0)-MATCH($G$2,mission_ACH!$2:$2,0)+1),MATCH(K$2,mission_ACH!$2:$2,0)-MATCH($G$2,mission_ACH!$2:$2,0)+1,FALSE),"")</f>
        <v/>
      </c>
      <c r="L326" s="31">
        <f ca="1">VLOOKUP($G326,OFFSET(mission_ACH!$A$2,0,0,COUNTA($A:$A),MATCH(L$2,mission_ACH!$2:$2,0)-MATCH($G$2,mission_ACH!$2:$2,0)+1),MATCH(L$2,mission_ACH!$2:$2,0)-MATCH($G$2,mission_ACH!$2:$2,0)+1,FALSE)</f>
        <v>0</v>
      </c>
      <c r="M326" s="27">
        <v>106</v>
      </c>
      <c r="N326" s="87" t="s">
        <v>2126</v>
      </c>
      <c r="O326" s="87" t="s">
        <v>2127</v>
      </c>
    </row>
    <row r="327" spans="1:15" s="1" customFormat="1" ht="21" customHeight="1" x14ac:dyDescent="0.15">
      <c r="A327" s="129">
        <v>9088</v>
      </c>
      <c r="B327" s="26" t="str">
        <f t="shared" ca="1" si="125"/>
        <v>【ｳｨｻﾞ】走り抜けろ！ALICE GP をクリアしよう！</v>
      </c>
      <c r="C327" s="27" t="s">
        <v>331</v>
      </c>
      <c r="D327" s="31" t="str">
        <f ca="1">VLOOKUP($C327,OFFSET(mission_unlock_criteria!$A$2,0,0,COUNTA(mission_unlock_criteria!$A:$A),MATCH(D$2,mission_unlock_criteria!$2:$2,0)-MATCH($C$2,mission_unlock_criteria!$2:$2,0)+1),MATCH(D$2,mission_unlock_criteria!$2:$2,0)-MATCH($C$2,mission_unlock_criteria!$2:$2,0)+1,FALSE)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27" s="21" t="s">
        <v>2123</v>
      </c>
      <c r="F327" s="31" t="str">
        <f ca="1">VLOOKUP($E327,OFFSET(mission_ACH_criteria!$A$1,0,0,COUNTA(mission_ACH_criteria!$A:$A),MATCH(F$2,mission_ACH_criteria!$1:$1,0)-MATCH($E$2,mission_ACH_criteria!$1:$1,0)+1),MATCH(F$2,mission_ACH_criteria!$1:$1,0)-MATCH($E$2,mission_ACH_criteria!$1:$1,0)+1,FALSE)</f>
        <v>【ｳｨｻﾞ】走り抜けろ！ALICE GP をクリアしよう！</v>
      </c>
      <c r="G327" s="27" t="s">
        <v>47</v>
      </c>
      <c r="H327" s="31" t="str">
        <f t="shared" ca="1" si="129"/>
        <v>ポリゴン x 1</v>
      </c>
      <c r="I327" s="31" t="str">
        <f ca="1">VLOOKUP($G327,OFFSET(mission_ACH!$A$2,0,0,COUNTA($A:$A),MATCH(I$2,mission_ACH!$2:$2,0)-MATCH($G$2,mission_ACH!$2:$2,0)+1),MATCH(I$2,mission_ACH!$2:$2,0)-MATCH($G$2,mission_ACH!$2:$2,0)+1,FALSE)</f>
        <v>polygon</v>
      </c>
      <c r="J327" s="31">
        <f ca="1">VLOOKUP($G327,OFFSET(mission_ACH!$A$2,0,0,COUNTA($A:$A),MATCH(J$2,mission_ACH!$2:$2,0)-MATCH($G$2,mission_ACH!$2:$2,0)+1),MATCH(J$2,mission_ACH!$2:$2,0)-MATCH($G$2,mission_ACH!$2:$2,0)+1,FALSE)</f>
        <v>1</v>
      </c>
      <c r="K327" s="31" t="str">
        <f ca="1">IF(I327="unit",VLOOKUP($G327,OFFSET(mission_ACH!$A$2,0,0,COUNTA($A:$A),MATCH(K$2,mission_ACH!$2:$2,0)-MATCH($G$2,mission_ACH!$2:$2,0)+1),MATCH(K$2,mission_ACH!$2:$2,0)-MATCH($G$2,mission_ACH!$2:$2,0)+1,FALSE),"")</f>
        <v/>
      </c>
      <c r="L327" s="31">
        <f ca="1">VLOOKUP($G327,OFFSET(mission_ACH!$A$2,0,0,COUNTA($A:$A),MATCH(L$2,mission_ACH!$2:$2,0)-MATCH($G$2,mission_ACH!$2:$2,0)+1),MATCH(L$2,mission_ACH!$2:$2,0)-MATCH($G$2,mission_ACH!$2:$2,0)+1,FALSE)</f>
        <v>0</v>
      </c>
      <c r="M327" s="27">
        <v>106</v>
      </c>
      <c r="N327" s="87" t="s">
        <v>2126</v>
      </c>
      <c r="O327" s="87" t="s">
        <v>2127</v>
      </c>
    </row>
    <row r="328" spans="1:15" s="1" customFormat="1" ht="21" customHeight="1" x14ac:dyDescent="0.15">
      <c r="A328" s="129">
        <v>9089</v>
      </c>
      <c r="B328" s="26" t="str">
        <f t="shared" ca="1" si="125"/>
        <v>【ｳｨｻﾞ】秘密のイベント潜入作戦 をクリアしよう！</v>
      </c>
      <c r="C328" s="27" t="s">
        <v>331</v>
      </c>
      <c r="D328" s="31" t="str">
        <f ca="1">VLOOKUP($C328,OFFSET(mission_unlock_criteria!$A$2,0,0,COUNTA(mission_unlock_criteria!$A:$A),MATCH(D$2,mission_unlock_criteria!$2:$2,0)-MATCH($C$2,mission_unlock_criteria!$2:$2,0)+1),MATCH(D$2,mission_unlock_criteria!$2:$2,0)-MATCH($C$2,mission_unlock_criteria!$2:$2,0)+1,FALSE)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28" s="21" t="s">
        <v>2124</v>
      </c>
      <c r="F328" s="31" t="str">
        <f ca="1">VLOOKUP($E328,OFFSET(mission_ACH_criteria!$A$1,0,0,COUNTA(mission_ACH_criteria!$A:$A),MATCH(F$2,mission_ACH_criteria!$1:$1,0)-MATCH($E$2,mission_ACH_criteria!$1:$1,0)+1),MATCH(F$2,mission_ACH_criteria!$1:$1,0)-MATCH($E$2,mission_ACH_criteria!$1:$1,0)+1,FALSE)</f>
        <v>【ｳｨｻﾞ】秘密のイベント潜入作戦 をクリアしよう！</v>
      </c>
      <c r="G328" s="27" t="s">
        <v>47</v>
      </c>
      <c r="H328" s="31" t="str">
        <f t="shared" ca="1" si="129"/>
        <v>ポリゴン x 1</v>
      </c>
      <c r="I328" s="31" t="str">
        <f ca="1">VLOOKUP($G328,OFFSET(mission_ACH!$A$2,0,0,COUNTA($A:$A),MATCH(I$2,mission_ACH!$2:$2,0)-MATCH($G$2,mission_ACH!$2:$2,0)+1),MATCH(I$2,mission_ACH!$2:$2,0)-MATCH($G$2,mission_ACH!$2:$2,0)+1,FALSE)</f>
        <v>polygon</v>
      </c>
      <c r="J328" s="31">
        <f ca="1">VLOOKUP($G328,OFFSET(mission_ACH!$A$2,0,0,COUNTA($A:$A),MATCH(J$2,mission_ACH!$2:$2,0)-MATCH($G$2,mission_ACH!$2:$2,0)+1),MATCH(J$2,mission_ACH!$2:$2,0)-MATCH($G$2,mission_ACH!$2:$2,0)+1,FALSE)</f>
        <v>1</v>
      </c>
      <c r="K328" s="31" t="str">
        <f ca="1">IF(I328="unit",VLOOKUP($G328,OFFSET(mission_ACH!$A$2,0,0,COUNTA($A:$A),MATCH(K$2,mission_ACH!$2:$2,0)-MATCH($G$2,mission_ACH!$2:$2,0)+1),MATCH(K$2,mission_ACH!$2:$2,0)-MATCH($G$2,mission_ACH!$2:$2,0)+1,FALSE),"")</f>
        <v/>
      </c>
      <c r="L328" s="31">
        <f ca="1">VLOOKUP($G328,OFFSET(mission_ACH!$A$2,0,0,COUNTA($A:$A),MATCH(L$2,mission_ACH!$2:$2,0)-MATCH($G$2,mission_ACH!$2:$2,0)+1),MATCH(L$2,mission_ACH!$2:$2,0)-MATCH($G$2,mission_ACH!$2:$2,0)+1,FALSE)</f>
        <v>0</v>
      </c>
      <c r="M328" s="27">
        <v>106</v>
      </c>
      <c r="N328" s="87" t="s">
        <v>2126</v>
      </c>
      <c r="O328" s="87" t="s">
        <v>2127</v>
      </c>
    </row>
    <row r="329" spans="1:15" s="1" customFormat="1" ht="21" customHeight="1" x14ac:dyDescent="0.15">
      <c r="A329" s="129">
        <v>9090</v>
      </c>
      <c r="B329" s="26" t="str">
        <f t="shared" ca="1" si="125"/>
        <v>【超ウィザード級】電子歌姫の堕天使 をクリアしよう！</v>
      </c>
      <c r="C329" s="27" t="s">
        <v>331</v>
      </c>
      <c r="D329" s="31" t="str">
        <f ca="1">VLOOKUP($C329,OFFSET(mission_unlock_criteria!$A$2,0,0,COUNTA(mission_unlock_criteria!$A:$A),MATCH(D$2,mission_unlock_criteria!$2:$2,0)-MATCH($C$2,mission_unlock_criteria!$2:$2,0)+1),MATCH(D$2,mission_unlock_criteria!$2:$2,0)-MATCH($C$2,mission_unlock_criteria!$2:$2,0)+1,FALSE)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29" s="21" t="s">
        <v>2125</v>
      </c>
      <c r="F329" s="31" t="str">
        <f ca="1">VLOOKUP($E329,OFFSET(mission_ACH_criteria!$A$1,0,0,COUNTA(mission_ACH_criteria!$A:$A),MATCH(F$2,mission_ACH_criteria!$1:$1,0)-MATCH($E$2,mission_ACH_criteria!$1:$1,0)+1),MATCH(F$2,mission_ACH_criteria!$1:$1,0)-MATCH($E$2,mission_ACH_criteria!$1:$1,0)+1,FALSE)</f>
        <v>【超ウィザード級】電子歌姫の堕天使 をクリアしよう！</v>
      </c>
      <c r="G329" s="27" t="s">
        <v>398</v>
      </c>
      <c r="H329" s="31" t="str">
        <f t="shared" ref="H329:H330" ca="1" si="130">IF(I329="unit",K329&amp;" x "&amp;L329,IF(I329="polygon","ポリゴン x "&amp;J329,IF(I329="bit","ビット x "&amp;J329,IF(I329="link","リンク x "&amp;J329))))</f>
        <v>ポリゴン x 3</v>
      </c>
      <c r="I329" s="31" t="str">
        <f ca="1">VLOOKUP($G329,OFFSET(mission_ACH!$A$2,0,0,COUNTA($A:$A),MATCH(I$2,mission_ACH!$2:$2,0)-MATCH($G$2,mission_ACH!$2:$2,0)+1),MATCH(I$2,mission_ACH!$2:$2,0)-MATCH($G$2,mission_ACH!$2:$2,0)+1,FALSE)</f>
        <v>polygon</v>
      </c>
      <c r="J329" s="31">
        <f ca="1">VLOOKUP($G329,OFFSET(mission_ACH!$A$2,0,0,COUNTA($A:$A),MATCH(J$2,mission_ACH!$2:$2,0)-MATCH($G$2,mission_ACH!$2:$2,0)+1),MATCH(J$2,mission_ACH!$2:$2,0)-MATCH($G$2,mission_ACH!$2:$2,0)+1,FALSE)</f>
        <v>3</v>
      </c>
      <c r="K329" s="31" t="str">
        <f ca="1">IF(I329="unit",VLOOKUP($G329,OFFSET(mission_ACH!$A$2,0,0,COUNTA($A:$A),MATCH(K$2,mission_ACH!$2:$2,0)-MATCH($G$2,mission_ACH!$2:$2,0)+1),MATCH(K$2,mission_ACH!$2:$2,0)-MATCH($G$2,mission_ACH!$2:$2,0)+1,FALSE),"")</f>
        <v/>
      </c>
      <c r="L329" s="31">
        <f ca="1">VLOOKUP($G329,OFFSET(mission_ACH!$A$2,0,0,COUNTA($A:$A),MATCH(L$2,mission_ACH!$2:$2,0)-MATCH($G$2,mission_ACH!$2:$2,0)+1),MATCH(L$2,mission_ACH!$2:$2,0)-MATCH($G$2,mission_ACH!$2:$2,0)+1,FALSE)</f>
        <v>0</v>
      </c>
      <c r="M329" s="27">
        <v>106</v>
      </c>
      <c r="N329" s="87" t="s">
        <v>2126</v>
      </c>
      <c r="O329" s="87" t="s">
        <v>2127</v>
      </c>
    </row>
    <row r="330" spans="1:15" s="1" customFormat="1" ht="21" customHeight="1" x14ac:dyDescent="0.15">
      <c r="A330" s="129">
        <v>9091</v>
      </c>
      <c r="B330" s="26" t="str">
        <f t="shared" ca="1" si="125"/>
        <v>初音ミクコラボをLINEのタイムライン投稿しよう！</v>
      </c>
      <c r="C330" s="27" t="s">
        <v>331</v>
      </c>
      <c r="D330" s="31" t="str">
        <f ca="1">VLOOKUP($C330,OFFSET(mission_unlock_criteria!$A$2,0,0,COUNTA(mission_unlock_criteria!$A:$A),MATCH(D$2,mission_unlock_criteria!$2:$2,0)-MATCH($C$2,mission_unlock_criteria!$2:$2,0)+1),MATCH(D$2,mission_unlock_criteria!$2:$2,0)-MATCH($C$2,mission_unlock_criteria!$2:$2,0)+1,FALSE)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30" s="21" t="s">
        <v>2130</v>
      </c>
      <c r="F330" s="31" t="str">
        <f ca="1">VLOOKUP($E330,OFFSET(mission_ACH_criteria!$A$1,0,0,COUNTA(mission_ACH_criteria!$A:$A),MATCH(F$2,mission_ACH_criteria!$1:$1,0)-MATCH($E$2,mission_ACH_criteria!$1:$1,0)+1),MATCH(F$2,mission_ACH_criteria!$1:$1,0)-MATCH($E$2,mission_ACH_criteria!$1:$1,0)+1,FALSE)</f>
        <v>初音ミクコラボをLINEのタイムライン投稿しよう！</v>
      </c>
      <c r="G330" s="27" t="s">
        <v>47</v>
      </c>
      <c r="H330" s="31" t="str">
        <f t="shared" ca="1" si="130"/>
        <v>ポリゴン x 1</v>
      </c>
      <c r="I330" s="31" t="str">
        <f ca="1">VLOOKUP($G330,OFFSET(mission_ACH!$A$2,0,0,COUNTA($A:$A),MATCH(I$2,mission_ACH!$2:$2,0)-MATCH($G$2,mission_ACH!$2:$2,0)+1),MATCH(I$2,mission_ACH!$2:$2,0)-MATCH($G$2,mission_ACH!$2:$2,0)+1,FALSE)</f>
        <v>polygon</v>
      </c>
      <c r="J330" s="31">
        <f ca="1">VLOOKUP($G330,OFFSET(mission_ACH!$A$2,0,0,COUNTA($A:$A),MATCH(J$2,mission_ACH!$2:$2,0)-MATCH($G$2,mission_ACH!$2:$2,0)+1),MATCH(J$2,mission_ACH!$2:$2,0)-MATCH($G$2,mission_ACH!$2:$2,0)+1,FALSE)</f>
        <v>1</v>
      </c>
      <c r="K330" s="31" t="str">
        <f ca="1">IF(I330="unit",VLOOKUP($G330,OFFSET(mission_ACH!$A$2,0,0,COUNTA($A:$A),MATCH(K$2,mission_ACH!$2:$2,0)-MATCH($G$2,mission_ACH!$2:$2,0)+1),MATCH(K$2,mission_ACH!$2:$2,0)-MATCH($G$2,mission_ACH!$2:$2,0)+1,FALSE),"")</f>
        <v/>
      </c>
      <c r="L330" s="31">
        <f ca="1">VLOOKUP($G330,OFFSET(mission_ACH!$A$2,0,0,COUNTA($A:$A),MATCH(L$2,mission_ACH!$2:$2,0)-MATCH($G$2,mission_ACH!$2:$2,0)+1),MATCH(L$2,mission_ACH!$2:$2,0)-MATCH($G$2,mission_ACH!$2:$2,0)+1,FALSE)</f>
        <v>0</v>
      </c>
      <c r="M330" s="27">
        <v>106</v>
      </c>
      <c r="N330" s="87" t="s">
        <v>2126</v>
      </c>
      <c r="O330" s="87" t="s">
        <v>2127</v>
      </c>
    </row>
    <row r="331" spans="1:15" s="1" customFormat="1" ht="22" customHeight="1" x14ac:dyDescent="0.15">
      <c r="A331" s="129">
        <v>9092</v>
      </c>
      <c r="B331" s="26" t="str">
        <f t="shared" ca="1" si="125"/>
        <v>初音ミクコラボをTwitterでツイートしよう！</v>
      </c>
      <c r="C331" s="27" t="s">
        <v>331</v>
      </c>
      <c r="D331" s="31" t="str">
        <f ca="1">VLOOKUP($C331,OFFSET(mission_unlock_criteria!$A$2,0,0,COUNTA(mission_unlock_criteria!$A:$A),MATCH(D$2,mission_unlock_criteria!$2:$2,0)-MATCH($C$2,mission_unlock_criteria!$2:$2,0)+1),MATCH(D$2,mission_unlock_criteria!$2:$2,0)-MATCH($C$2,mission_unlock_criteria!$2:$2,0)+1,FALSE)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31" s="21" t="s">
        <v>2131</v>
      </c>
      <c r="F331" s="31" t="str">
        <f ca="1">VLOOKUP($E331,OFFSET(mission_ACH_criteria!$A$1,0,0,COUNTA(mission_ACH_criteria!$A:$A),MATCH(F$2,mission_ACH_criteria!$1:$1,0)-MATCH($E$2,mission_ACH_criteria!$1:$1,0)+1),MATCH(F$2,mission_ACH_criteria!$1:$1,0)-MATCH($E$2,mission_ACH_criteria!$1:$1,0)+1,FALSE)</f>
        <v>初音ミクコラボをTwitterでツイートしよう！</v>
      </c>
      <c r="G331" s="27" t="s">
        <v>47</v>
      </c>
      <c r="H331" s="31" t="str">
        <f t="shared" ref="H331" ca="1" si="131">IF(I331="unit",K331&amp;" x "&amp;L331,IF(I331="polygon","ポリゴン x "&amp;J331,IF(I331="bit","ビット x "&amp;J331,IF(I331="link","リンク x "&amp;J331))))</f>
        <v>ポリゴン x 1</v>
      </c>
      <c r="I331" s="31" t="str">
        <f ca="1">VLOOKUP($G331,OFFSET(mission_ACH!$A$2,0,0,COUNTA($A:$A),MATCH(I$2,mission_ACH!$2:$2,0)-MATCH($G$2,mission_ACH!$2:$2,0)+1),MATCH(I$2,mission_ACH!$2:$2,0)-MATCH($G$2,mission_ACH!$2:$2,0)+1,FALSE)</f>
        <v>polygon</v>
      </c>
      <c r="J331" s="31">
        <f ca="1">VLOOKUP($G331,OFFSET(mission_ACH!$A$2,0,0,COUNTA($A:$A),MATCH(J$2,mission_ACH!$2:$2,0)-MATCH($G$2,mission_ACH!$2:$2,0)+1),MATCH(J$2,mission_ACH!$2:$2,0)-MATCH($G$2,mission_ACH!$2:$2,0)+1,FALSE)</f>
        <v>1</v>
      </c>
      <c r="K331" s="31" t="str">
        <f ca="1">IF(I331="unit",VLOOKUP($G331,OFFSET(mission_ACH!$A$2,0,0,COUNTA($A:$A),MATCH(K$2,mission_ACH!$2:$2,0)-MATCH($G$2,mission_ACH!$2:$2,0)+1),MATCH(K$2,mission_ACH!$2:$2,0)-MATCH($G$2,mission_ACH!$2:$2,0)+1,FALSE),"")</f>
        <v/>
      </c>
      <c r="L331" s="31">
        <f ca="1">VLOOKUP($G331,OFFSET(mission_ACH!$A$2,0,0,COUNTA($A:$A),MATCH(L$2,mission_ACH!$2:$2,0)-MATCH($G$2,mission_ACH!$2:$2,0)+1),MATCH(L$2,mission_ACH!$2:$2,0)-MATCH($G$2,mission_ACH!$2:$2,0)+1,FALSE)</f>
        <v>0</v>
      </c>
      <c r="M331" s="27">
        <v>106</v>
      </c>
      <c r="N331" s="87" t="s">
        <v>2126</v>
      </c>
      <c r="O331" s="87" t="s">
        <v>2127</v>
      </c>
    </row>
    <row r="332" spans="1:15" s="1" customFormat="1" ht="21" customHeight="1" x14ac:dyDescent="0.15">
      <c r="A332" s="137">
        <v>9104</v>
      </c>
      <c r="B332" s="26" t="str">
        <f t="shared" ref="B332" ca="1" si="132">F332</f>
        <v>【上級】ツンデレ少女の恋心 をクリアしよう！</v>
      </c>
      <c r="C332" s="27" t="s">
        <v>331</v>
      </c>
      <c r="D332" s="31" t="str">
        <f ca="1">VLOOKUP($C332,OFFSET(mission_unlock_criteria!$A$2,0,0,COUNTA(mission_unlock_criteria!$A:$A),MATCH(D$2,mission_unlock_criteria!$2:$2,0)-MATCH($C$2,mission_unlock_criteria!$2:$2,0)+1),MATCH(D$2,mission_unlock_criteria!$2:$2,0)-MATCH($C$2,mission_unlock_criteria!$2:$2,0)+1,FALSE)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32" s="21" t="s">
        <v>2172</v>
      </c>
      <c r="F332" s="31" t="str">
        <f ca="1">VLOOKUP($E332,OFFSET(mission_ACH_criteria!$A$1,0,0,COUNTA(mission_ACH_criteria!$A:$A),MATCH(F$2,mission_ACH_criteria!$1:$1,0)-MATCH($E$2,mission_ACH_criteria!$1:$1,0)+1),MATCH(F$2,mission_ACH_criteria!$1:$1,0)-MATCH($E$2,mission_ACH_criteria!$1:$1,0)+1,FALSE)</f>
        <v>【上級】ツンデレ少女の恋心 をクリアしよう！</v>
      </c>
      <c r="G332" s="27" t="s">
        <v>1528</v>
      </c>
      <c r="H332" s="31" t="str">
        <f ca="1">IF(I332="unit",K332&amp;" x "&amp;L332,IF(I332="polygon","ポリゴン x "&amp;J332,IF(I332="bit","ビット x "&amp;J332,IF(I332="link","リンク x "&amp;J332))))</f>
        <v>メガ秘術の果実 x 1</v>
      </c>
      <c r="I332" s="31" t="str">
        <f ca="1">VLOOKUP($G332,OFFSET(mission_ACH!$A$2,0,0,COUNTA($A:$A),MATCH(I$2,mission_ACH!$2:$2,0)-MATCH($G$2,mission_ACH!$2:$2,0)+1),MATCH(I$2,mission_ACH!$2:$2,0)-MATCH($G$2,mission_ACH!$2:$2,0)+1,FALSE)</f>
        <v>unit</v>
      </c>
      <c r="J332" s="31">
        <f ca="1">VLOOKUP($G332,OFFSET(mission_ACH!$A$2,0,0,COUNTA($A:$A),MATCH(J$2,mission_ACH!$2:$2,0)-MATCH($G$2,mission_ACH!$2:$2,0)+1),MATCH(J$2,mission_ACH!$2:$2,0)-MATCH($G$2,mission_ACH!$2:$2,0)+1,FALSE)</f>
        <v>610</v>
      </c>
      <c r="K332" s="31" t="str">
        <f ca="1">IF(I332="unit",VLOOKUP($G332,OFFSET(mission_ACH!$A$2,0,0,COUNTA($A:$A),MATCH(K$2,mission_ACH!$2:$2,0)-MATCH($G$2,mission_ACH!$2:$2,0)+1),MATCH(K$2,mission_ACH!$2:$2,0)-MATCH($G$2,mission_ACH!$2:$2,0)+1,FALSE),"")</f>
        <v>メガ秘術の果実</v>
      </c>
      <c r="L332" s="31">
        <f ca="1">VLOOKUP($G332,OFFSET(mission_ACH!$A$2,0,0,COUNTA($A:$A),MATCH(L$2,mission_ACH!$2:$2,0)-MATCH($G$2,mission_ACH!$2:$2,0)+1),MATCH(L$2,mission_ACH!$2:$2,0)-MATCH($G$2,mission_ACH!$2:$2,0)+1,FALSE)</f>
        <v>1</v>
      </c>
      <c r="M332" s="27">
        <v>106</v>
      </c>
      <c r="N332" s="87" t="s">
        <v>2197</v>
      </c>
      <c r="O332" s="87" t="s">
        <v>2198</v>
      </c>
    </row>
    <row r="333" spans="1:15" s="1" customFormat="1" ht="21" customHeight="1" x14ac:dyDescent="0.15">
      <c r="A333" s="137">
        <v>9105</v>
      </c>
      <c r="B333" s="26" t="str">
        <f ca="1">F333</f>
        <v>【ウィザード級】ツンデレ少女の恋心 をクリアしよう！</v>
      </c>
      <c r="C333" s="27" t="s">
        <v>331</v>
      </c>
      <c r="D333" s="31" t="str">
        <f ca="1">VLOOKUP($C333,OFFSET(mission_unlock_criteria!$A$2,0,0,COUNTA(mission_unlock_criteria!$A:$A),MATCH(D$2,mission_unlock_criteria!$2:$2,0)-MATCH($C$2,mission_unlock_criteria!$2:$2,0)+1),MATCH(D$2,mission_unlock_criteria!$2:$2,0)-MATCH($C$2,mission_unlock_criteria!$2:$2,0)+1,FALSE)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33" s="21" t="s">
        <v>2173</v>
      </c>
      <c r="F333" s="31" t="str">
        <f ca="1">VLOOKUP($E333,OFFSET(mission_ACH_criteria!$A$1,0,0,COUNTA(mission_ACH_criteria!$A:$A),MATCH(F$2,mission_ACH_criteria!$1:$1,0)-MATCH($E$2,mission_ACH_criteria!$1:$1,0)+1),MATCH(F$2,mission_ACH_criteria!$1:$1,0)-MATCH($E$2,mission_ACH_criteria!$1:$1,0)+1,FALSE)</f>
        <v>【ウィザード級】ツンデレ少女の恋心 をクリアしよう！</v>
      </c>
      <c r="G333" s="27" t="s">
        <v>47</v>
      </c>
      <c r="H333" s="31" t="str">
        <f t="shared" ref="H333" ca="1" si="133">IF(I333="unit",K333&amp;" x "&amp;L333,IF(I333="polygon","ポリゴン x "&amp;J333,IF(I333="bit","ビット x "&amp;J333,IF(I333="link","リンク x "&amp;J333))))</f>
        <v>ポリゴン x 1</v>
      </c>
      <c r="I333" s="31" t="str">
        <f ca="1">VLOOKUP($G333,OFFSET(mission_ACH!$A$2,0,0,COUNTA($A:$A),MATCH(I$2,mission_ACH!$2:$2,0)-MATCH($G$2,mission_ACH!$2:$2,0)+1),MATCH(I$2,mission_ACH!$2:$2,0)-MATCH($G$2,mission_ACH!$2:$2,0)+1,FALSE)</f>
        <v>polygon</v>
      </c>
      <c r="J333" s="31">
        <f ca="1">VLOOKUP($G333,OFFSET(mission_ACH!$A$2,0,0,COUNTA($A:$A),MATCH(J$2,mission_ACH!$2:$2,0)-MATCH($G$2,mission_ACH!$2:$2,0)+1),MATCH(J$2,mission_ACH!$2:$2,0)-MATCH($G$2,mission_ACH!$2:$2,0)+1,FALSE)</f>
        <v>1</v>
      </c>
      <c r="K333" s="31" t="str">
        <f ca="1">IF(I333="unit",VLOOKUP($G333,OFFSET(mission_ACH!$A$2,0,0,COUNTA($A:$A),MATCH(K$2,mission_ACH!$2:$2,0)-MATCH($G$2,mission_ACH!$2:$2,0)+1),MATCH(K$2,mission_ACH!$2:$2,0)-MATCH($G$2,mission_ACH!$2:$2,0)+1,FALSE),"")</f>
        <v/>
      </c>
      <c r="L333" s="31">
        <f ca="1">VLOOKUP($G333,OFFSET(mission_ACH!$A$2,0,0,COUNTA($A:$A),MATCH(L$2,mission_ACH!$2:$2,0)-MATCH($G$2,mission_ACH!$2:$2,0)+1),MATCH(L$2,mission_ACH!$2:$2,0)-MATCH($G$2,mission_ACH!$2:$2,0)+1,FALSE)</f>
        <v>0</v>
      </c>
      <c r="M333" s="27">
        <v>106</v>
      </c>
      <c r="N333" s="87" t="s">
        <v>2197</v>
      </c>
      <c r="O333" s="87" t="s">
        <v>2198</v>
      </c>
    </row>
    <row r="334" spans="1:15" s="1" customFormat="1" ht="21" customHeight="1" x14ac:dyDescent="0.15">
      <c r="A334" s="137">
        <v>9106</v>
      </c>
      <c r="B334" s="26" t="str">
        <f t="shared" ref="B334:B337" ca="1" si="134">F334</f>
        <v>【上級】ふんわり少女の恋心 をクリアしよう！</v>
      </c>
      <c r="C334" s="27" t="s">
        <v>331</v>
      </c>
      <c r="D334" s="31" t="str">
        <f ca="1">VLOOKUP($C334,OFFSET(mission_unlock_criteria!$A$2,0,0,COUNTA(mission_unlock_criteria!$A:$A),MATCH(D$2,mission_unlock_criteria!$2:$2,0)-MATCH($C$2,mission_unlock_criteria!$2:$2,0)+1),MATCH(D$2,mission_unlock_criteria!$2:$2,0)-MATCH($C$2,mission_unlock_criteria!$2:$2,0)+1,FALSE)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34" s="21" t="s">
        <v>2177</v>
      </c>
      <c r="F334" s="31" t="str">
        <f ca="1">VLOOKUP($E334,OFFSET(mission_ACH_criteria!$A$1,0,0,COUNTA(mission_ACH_criteria!$A:$A),MATCH(F$2,mission_ACH_criteria!$1:$1,0)-MATCH($E$2,mission_ACH_criteria!$1:$1,0)+1),MATCH(F$2,mission_ACH_criteria!$1:$1,0)-MATCH($E$2,mission_ACH_criteria!$1:$1,0)+1,FALSE)</f>
        <v>【上級】ふんわり少女の恋心 をクリアしよう！</v>
      </c>
      <c r="G334" s="27" t="s">
        <v>1528</v>
      </c>
      <c r="H334" s="31" t="str">
        <f ca="1">IF(I334="unit",K334&amp;" x "&amp;L334,IF(I334="polygon","ポリゴン x "&amp;J334,IF(I334="bit","ビット x "&amp;J334,IF(I334="link","リンク x "&amp;J334))))</f>
        <v>メガ秘術の果実 x 1</v>
      </c>
      <c r="I334" s="31" t="str">
        <f ca="1">VLOOKUP($G334,OFFSET(mission_ACH!$A$2,0,0,COUNTA($A:$A),MATCH(I$2,mission_ACH!$2:$2,0)-MATCH($G$2,mission_ACH!$2:$2,0)+1),MATCH(I$2,mission_ACH!$2:$2,0)-MATCH($G$2,mission_ACH!$2:$2,0)+1,FALSE)</f>
        <v>unit</v>
      </c>
      <c r="J334" s="31">
        <f ca="1">VLOOKUP($G334,OFFSET(mission_ACH!$A$2,0,0,COUNTA($A:$A),MATCH(J$2,mission_ACH!$2:$2,0)-MATCH($G$2,mission_ACH!$2:$2,0)+1),MATCH(J$2,mission_ACH!$2:$2,0)-MATCH($G$2,mission_ACH!$2:$2,0)+1,FALSE)</f>
        <v>610</v>
      </c>
      <c r="K334" s="31" t="str">
        <f ca="1">IF(I334="unit",VLOOKUP($G334,OFFSET(mission_ACH!$A$2,0,0,COUNTA($A:$A),MATCH(K$2,mission_ACH!$2:$2,0)-MATCH($G$2,mission_ACH!$2:$2,0)+1),MATCH(K$2,mission_ACH!$2:$2,0)-MATCH($G$2,mission_ACH!$2:$2,0)+1,FALSE),"")</f>
        <v>メガ秘術の果実</v>
      </c>
      <c r="L334" s="31">
        <f ca="1">VLOOKUP($G334,OFFSET(mission_ACH!$A$2,0,0,COUNTA($A:$A),MATCH(L$2,mission_ACH!$2:$2,0)-MATCH($G$2,mission_ACH!$2:$2,0)+1),MATCH(L$2,mission_ACH!$2:$2,0)-MATCH($G$2,mission_ACH!$2:$2,0)+1,FALSE)</f>
        <v>1</v>
      </c>
      <c r="M334" s="27">
        <v>106</v>
      </c>
      <c r="N334" s="87" t="s">
        <v>2197</v>
      </c>
      <c r="O334" s="87" t="s">
        <v>2198</v>
      </c>
    </row>
    <row r="335" spans="1:15" s="1" customFormat="1" ht="21" customHeight="1" x14ac:dyDescent="0.15">
      <c r="A335" s="137">
        <v>9107</v>
      </c>
      <c r="B335" s="26" t="str">
        <f t="shared" ca="1" si="134"/>
        <v>【ウィザード級】ふんわり少女の恋心 をクリアしよう！</v>
      </c>
      <c r="C335" s="27" t="s">
        <v>331</v>
      </c>
      <c r="D335" s="31" t="str">
        <f ca="1">VLOOKUP($C335,OFFSET(mission_unlock_criteria!$A$2,0,0,COUNTA(mission_unlock_criteria!$A:$A),MATCH(D$2,mission_unlock_criteria!$2:$2,0)-MATCH($C$2,mission_unlock_criteria!$2:$2,0)+1),MATCH(D$2,mission_unlock_criteria!$2:$2,0)-MATCH($C$2,mission_unlock_criteria!$2:$2,0)+1,FALSE)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35" s="21" t="s">
        <v>2178</v>
      </c>
      <c r="F335" s="31" t="str">
        <f ca="1">VLOOKUP($E335,OFFSET(mission_ACH_criteria!$A$1,0,0,COUNTA(mission_ACH_criteria!$A:$A),MATCH(F$2,mission_ACH_criteria!$1:$1,0)-MATCH($E$2,mission_ACH_criteria!$1:$1,0)+1),MATCH(F$2,mission_ACH_criteria!$1:$1,0)-MATCH($E$2,mission_ACH_criteria!$1:$1,0)+1,FALSE)</f>
        <v>【ウィザード級】ふんわり少女の恋心 をクリアしよう！</v>
      </c>
      <c r="G335" s="27" t="s">
        <v>47</v>
      </c>
      <c r="H335" s="31" t="str">
        <f t="shared" ref="H335:H338" ca="1" si="135">IF(I335="unit",K335&amp;" x "&amp;L335,IF(I335="polygon","ポリゴン x "&amp;J335,IF(I335="bit","ビット x "&amp;J335,IF(I335="link","リンク x "&amp;J335))))</f>
        <v>ポリゴン x 1</v>
      </c>
      <c r="I335" s="31" t="str">
        <f ca="1">VLOOKUP($G335,OFFSET(mission_ACH!$A$2,0,0,COUNTA($A:$A),MATCH(I$2,mission_ACH!$2:$2,0)-MATCH($G$2,mission_ACH!$2:$2,0)+1),MATCH(I$2,mission_ACH!$2:$2,0)-MATCH($G$2,mission_ACH!$2:$2,0)+1,FALSE)</f>
        <v>polygon</v>
      </c>
      <c r="J335" s="31">
        <f ca="1">VLOOKUP($G335,OFFSET(mission_ACH!$A$2,0,0,COUNTA($A:$A),MATCH(J$2,mission_ACH!$2:$2,0)-MATCH($G$2,mission_ACH!$2:$2,0)+1),MATCH(J$2,mission_ACH!$2:$2,0)-MATCH($G$2,mission_ACH!$2:$2,0)+1,FALSE)</f>
        <v>1</v>
      </c>
      <c r="K335" s="31" t="str">
        <f ca="1">IF(I335="unit",VLOOKUP($G335,OFFSET(mission_ACH!$A$2,0,0,COUNTA($A:$A),MATCH(K$2,mission_ACH!$2:$2,0)-MATCH($G$2,mission_ACH!$2:$2,0)+1),MATCH(K$2,mission_ACH!$2:$2,0)-MATCH($G$2,mission_ACH!$2:$2,0)+1,FALSE),"")</f>
        <v/>
      </c>
      <c r="L335" s="31">
        <f ca="1">VLOOKUP($G335,OFFSET(mission_ACH!$A$2,0,0,COUNTA($A:$A),MATCH(L$2,mission_ACH!$2:$2,0)-MATCH($G$2,mission_ACH!$2:$2,0)+1),MATCH(L$2,mission_ACH!$2:$2,0)-MATCH($G$2,mission_ACH!$2:$2,0)+1,FALSE)</f>
        <v>0</v>
      </c>
      <c r="M335" s="27">
        <v>106</v>
      </c>
      <c r="N335" s="87" t="s">
        <v>2197</v>
      </c>
      <c r="O335" s="87" t="s">
        <v>2198</v>
      </c>
    </row>
    <row r="336" spans="1:15" s="1" customFormat="1" ht="21" customHeight="1" x14ac:dyDescent="0.15">
      <c r="A336" s="137">
        <v>9108</v>
      </c>
      <c r="B336" s="26" t="str">
        <f ca="1">F336</f>
        <v>ユニット【百菓の甘味家パティ】を10体ゲットしよう！</v>
      </c>
      <c r="C336" s="27" t="s">
        <v>893</v>
      </c>
      <c r="D336" s="31" t="str">
        <f ca="1">VLOOKUP($C336,OFFSET(mission_unlock_criteria!$A$2,0,0,COUNTA(mission_unlock_criteria!$A:$A),MATCH(D$2,mission_unlock_criteria!$2:$2,0)-MATCH($C$2,mission_unlock_criteria!$2:$2,0)+1),MATCH(D$2,mission_unlock_criteria!$2:$2,0)-MATCH($C$2,mission_unlock_criteria!$2:$2,0)+1,FALSE)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36" s="21" t="s">
        <v>2182</v>
      </c>
      <c r="F336" s="31" t="str">
        <f ca="1">VLOOKUP($E336,OFFSET(mission_ACH_criteria!$A$1,0,0,COUNTA(mission_ACH_criteria!$A:$A),MATCH(F$2,mission_ACH_criteria!$1:$1,0)-MATCH($E$2,mission_ACH_criteria!$1:$1,0)+1),MATCH(F$2,mission_ACH_criteria!$1:$1,0)-MATCH($E$2,mission_ACH_criteria!$1:$1,0)+1,FALSE)</f>
        <v>ユニット【百菓の甘味家パティ】を10体ゲットしよう！</v>
      </c>
      <c r="G336" s="27" t="s">
        <v>2189</v>
      </c>
      <c r="H336" s="31" t="str">
        <f ca="1">IF(I336="unit",K336&amp;" x "&amp;L336,IF(I336="polygon","ポリゴン x "&amp;J336,IF(I336="bit","ビット x "&amp;J336,IF(I336="link","リンク x "&amp;J336))))</f>
        <v>森のメタルジェントル x 5</v>
      </c>
      <c r="I336" s="31" t="str">
        <f ca="1">VLOOKUP($G336,OFFSET(mission_ACH!$A$2,0,0,COUNTA($A:$A),MATCH(I$2,mission_ACH!$2:$2,0)-MATCH($G$2,mission_ACH!$2:$2,0)+1),MATCH(I$2,mission_ACH!$2:$2,0)-MATCH($G$2,mission_ACH!$2:$2,0)+1,FALSE)</f>
        <v>unit</v>
      </c>
      <c r="J336" s="31">
        <f ca="1">VLOOKUP($G336,OFFSET(mission_ACH!$A$2,0,0,COUNTA($A:$A),MATCH(J$2,mission_ACH!$2:$2,0)-MATCH($G$2,mission_ACH!$2:$2,0)+1),MATCH(J$2,mission_ACH!$2:$2,0)-MATCH($G$2,mission_ACH!$2:$2,0)+1,FALSE)</f>
        <v>339</v>
      </c>
      <c r="K336" s="31" t="str">
        <f ca="1">IF(I336="unit",VLOOKUP($G336,OFFSET(mission_ACH!$A$2,0,0,COUNTA($A:$A),MATCH(K$2,mission_ACH!$2:$2,0)-MATCH($G$2,mission_ACH!$2:$2,0)+1),MATCH(K$2,mission_ACH!$2:$2,0)-MATCH($G$2,mission_ACH!$2:$2,0)+1,FALSE),"")</f>
        <v>森のメタルジェントル</v>
      </c>
      <c r="L336" s="31">
        <f ca="1">VLOOKUP($G336,OFFSET(mission_ACH!$A$2,0,0,COUNTA($A:$A),MATCH(L$2,mission_ACH!$2:$2,0)-MATCH($G$2,mission_ACH!$2:$2,0)+1),MATCH(L$2,mission_ACH!$2:$2,0)-MATCH($G$2,mission_ACH!$2:$2,0)+1,FALSE)</f>
        <v>5</v>
      </c>
      <c r="M336" s="27">
        <v>106</v>
      </c>
      <c r="N336" s="87" t="s">
        <v>2197</v>
      </c>
      <c r="O336" s="87" t="s">
        <v>2198</v>
      </c>
    </row>
    <row r="337" spans="1:17" s="1" customFormat="1" ht="21" customHeight="1" x14ac:dyDescent="0.15">
      <c r="A337" s="137">
        <v>9109</v>
      </c>
      <c r="B337" s="26" t="str">
        <f t="shared" ca="1" si="134"/>
        <v>ユニット【百菓の甘味家パティ】を20体ゲットしよう！</v>
      </c>
      <c r="C337" s="27" t="s">
        <v>893</v>
      </c>
      <c r="D337" s="31" t="str">
        <f ca="1">VLOOKUP($C337,OFFSET(mission_unlock_criteria!$A$2,0,0,COUNTA(mission_unlock_criteria!$A:$A),MATCH(D$2,mission_unlock_criteria!$2:$2,0)-MATCH($C$2,mission_unlock_criteria!$2:$2,0)+1),MATCH(D$2,mission_unlock_criteria!$2:$2,0)-MATCH($C$2,mission_unlock_criteria!$2:$2,0)+1,FALSE)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37" s="21" t="s">
        <v>2184</v>
      </c>
      <c r="F337" s="31" t="str">
        <f ca="1">VLOOKUP($E337,OFFSET(mission_ACH_criteria!$A$1,0,0,COUNTA(mission_ACH_criteria!$A:$A),MATCH(F$2,mission_ACH_criteria!$1:$1,0)-MATCH($E$2,mission_ACH_criteria!$1:$1,0)+1),MATCH(F$2,mission_ACH_criteria!$1:$1,0)-MATCH($E$2,mission_ACH_criteria!$1:$1,0)+1,FALSE)</f>
        <v>ユニット【百菓の甘味家パティ】を20体ゲットしよう！</v>
      </c>
      <c r="G337" s="27" t="s">
        <v>1528</v>
      </c>
      <c r="H337" s="31" t="str">
        <f t="shared" ca="1" si="135"/>
        <v>メガ秘術の果実 x 1</v>
      </c>
      <c r="I337" s="31" t="str">
        <f ca="1">VLOOKUP($G337,OFFSET(mission_ACH!$A$2,0,0,COUNTA($A:$A),MATCH(I$2,mission_ACH!$2:$2,0)-MATCH($G$2,mission_ACH!$2:$2,0)+1),MATCH(I$2,mission_ACH!$2:$2,0)-MATCH($G$2,mission_ACH!$2:$2,0)+1,FALSE)</f>
        <v>unit</v>
      </c>
      <c r="J337" s="31">
        <f ca="1">VLOOKUP($G337,OFFSET(mission_ACH!$A$2,0,0,COUNTA($A:$A),MATCH(J$2,mission_ACH!$2:$2,0)-MATCH($G$2,mission_ACH!$2:$2,0)+1),MATCH(J$2,mission_ACH!$2:$2,0)-MATCH($G$2,mission_ACH!$2:$2,0)+1,FALSE)</f>
        <v>610</v>
      </c>
      <c r="K337" s="31" t="str">
        <f ca="1">IF(I337="unit",VLOOKUP($G337,OFFSET(mission_ACH!$A$2,0,0,COUNTA($A:$A),MATCH(K$2,mission_ACH!$2:$2,0)-MATCH($G$2,mission_ACH!$2:$2,0)+1),MATCH(K$2,mission_ACH!$2:$2,0)-MATCH($G$2,mission_ACH!$2:$2,0)+1,FALSE),"")</f>
        <v>メガ秘術の果実</v>
      </c>
      <c r="L337" s="31">
        <f ca="1">VLOOKUP($G337,OFFSET(mission_ACH!$A$2,0,0,COUNTA($A:$A),MATCH(L$2,mission_ACH!$2:$2,0)-MATCH($G$2,mission_ACH!$2:$2,0)+1),MATCH(L$2,mission_ACH!$2:$2,0)-MATCH($G$2,mission_ACH!$2:$2,0)+1,FALSE)</f>
        <v>1</v>
      </c>
      <c r="M337" s="27">
        <v>106</v>
      </c>
      <c r="N337" s="87" t="s">
        <v>2197</v>
      </c>
      <c r="O337" s="87" t="s">
        <v>2198</v>
      </c>
      <c r="P337" s="137">
        <v>9093</v>
      </c>
      <c r="Q337" s="1" t="s">
        <v>2199</v>
      </c>
    </row>
    <row r="338" spans="1:17" s="1" customFormat="1" ht="21" customHeight="1" x14ac:dyDescent="0.15">
      <c r="A338" s="137">
        <v>9110</v>
      </c>
      <c r="B338" s="26" t="str">
        <f ca="1">F338</f>
        <v>ユニット【百菓の甘味家パティ】を30体ゲットしよう！</v>
      </c>
      <c r="C338" s="27" t="s">
        <v>893</v>
      </c>
      <c r="D338" s="31" t="str">
        <f ca="1">VLOOKUP($C338,OFFSET(mission_unlock_criteria!$A$2,0,0,COUNTA(mission_unlock_criteria!$A:$A),MATCH(D$2,mission_unlock_criteria!$2:$2,0)-MATCH($C$2,mission_unlock_criteria!$2:$2,0)+1),MATCH(D$2,mission_unlock_criteria!$2:$2,0)-MATCH($C$2,mission_unlock_criteria!$2:$2,0)+1,FALSE)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38" s="21" t="s">
        <v>2186</v>
      </c>
      <c r="F338" s="31" t="str">
        <f ca="1">VLOOKUP($E338,OFFSET(mission_ACH_criteria!$A$1,0,0,COUNTA(mission_ACH_criteria!$A:$A),MATCH(F$2,mission_ACH_criteria!$1:$1,0)-MATCH($E$2,mission_ACH_criteria!$1:$1,0)+1),MATCH(F$2,mission_ACH_criteria!$1:$1,0)-MATCH($E$2,mission_ACH_criteria!$1:$1,0)+1,FALSE)</f>
        <v>ユニット【百菓の甘味家パティ】を30体ゲットしよう！</v>
      </c>
      <c r="G338" s="27" t="s">
        <v>47</v>
      </c>
      <c r="H338" s="31" t="str">
        <f t="shared" ca="1" si="135"/>
        <v>ポリゴン x 1</v>
      </c>
      <c r="I338" s="31" t="str">
        <f ca="1">VLOOKUP($G338,OFFSET(mission_ACH!$A$2,0,0,COUNTA($A:$A),MATCH(I$2,mission_ACH!$2:$2,0)-MATCH($G$2,mission_ACH!$2:$2,0)+1),MATCH(I$2,mission_ACH!$2:$2,0)-MATCH($G$2,mission_ACH!$2:$2,0)+1,FALSE)</f>
        <v>polygon</v>
      </c>
      <c r="J338" s="31">
        <f ca="1">VLOOKUP($G338,OFFSET(mission_ACH!$A$2,0,0,COUNTA($A:$A),MATCH(J$2,mission_ACH!$2:$2,0)-MATCH($G$2,mission_ACH!$2:$2,0)+1),MATCH(J$2,mission_ACH!$2:$2,0)-MATCH($G$2,mission_ACH!$2:$2,0)+1,FALSE)</f>
        <v>1</v>
      </c>
      <c r="K338" s="31" t="str">
        <f ca="1">IF(I338="unit",VLOOKUP($G338,OFFSET(mission_ACH!$A$2,0,0,COUNTA($A:$A),MATCH(K$2,mission_ACH!$2:$2,0)-MATCH($G$2,mission_ACH!$2:$2,0)+1),MATCH(K$2,mission_ACH!$2:$2,0)-MATCH($G$2,mission_ACH!$2:$2,0)+1,FALSE),"")</f>
        <v/>
      </c>
      <c r="L338" s="31">
        <f ca="1">VLOOKUP($G338,OFFSET(mission_ACH!$A$2,0,0,COUNTA($A:$A),MATCH(L$2,mission_ACH!$2:$2,0)-MATCH($G$2,mission_ACH!$2:$2,0)+1),MATCH(L$2,mission_ACH!$2:$2,0)-MATCH($G$2,mission_ACH!$2:$2,0)+1,FALSE)</f>
        <v>0</v>
      </c>
      <c r="M338" s="27">
        <v>106</v>
      </c>
      <c r="N338" s="87" t="s">
        <v>2197</v>
      </c>
      <c r="O338" s="87" t="s">
        <v>2198</v>
      </c>
      <c r="P338" s="137">
        <v>9094</v>
      </c>
    </row>
    <row r="339" spans="1:17" s="1" customFormat="1" ht="21" customHeight="1" x14ac:dyDescent="0.15">
      <c r="A339" s="137">
        <v>9111</v>
      </c>
      <c r="B339" s="26" t="str">
        <f ca="1">F339</f>
        <v>ユニット【甘頬の魔糖菓プラリーヌ】を10体ゲットしよう！</v>
      </c>
      <c r="C339" s="27" t="s">
        <v>893</v>
      </c>
      <c r="D339" s="31" t="str">
        <f ca="1">VLOOKUP($C339,OFFSET(mission_unlock_criteria!$A$2,0,0,COUNTA(mission_unlock_criteria!$A:$A),MATCH(D$2,mission_unlock_criteria!$2:$2,0)-MATCH($C$2,mission_unlock_criteria!$2:$2,0)+1),MATCH(D$2,mission_unlock_criteria!$2:$2,0)-MATCH($C$2,mission_unlock_criteria!$2:$2,0)+1,FALSE)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39" s="21" t="s">
        <v>2190</v>
      </c>
      <c r="F339" s="31" t="str">
        <f ca="1">VLOOKUP($E339,OFFSET(mission_ACH_criteria!$A$1,0,0,COUNTA(mission_ACH_criteria!$A:$A),MATCH(F$2,mission_ACH_criteria!$1:$1,0)-MATCH($E$2,mission_ACH_criteria!$1:$1,0)+1),MATCH(F$2,mission_ACH_criteria!$1:$1,0)-MATCH($E$2,mission_ACH_criteria!$1:$1,0)+1,FALSE)</f>
        <v>ユニット【甘頬の魔糖菓プラリーヌ】を10体ゲットしよう！</v>
      </c>
      <c r="G339" s="27" t="s">
        <v>2188</v>
      </c>
      <c r="H339" s="31" t="str">
        <f t="shared" ref="H339:H340" ca="1" si="136">IF(I339="unit",K339&amp;" x "&amp;L339,IF(I339="polygon","ポリゴン x "&amp;J339,IF(I339="bit","ビット x "&amp;J339,IF(I339="link","リンク x "&amp;J339))))</f>
        <v>炎のメタルジェントル x 5</v>
      </c>
      <c r="I339" s="31" t="str">
        <f ca="1">VLOOKUP($G339,OFFSET(mission_ACH!$A$2,0,0,COUNTA($A:$A),MATCH(I$2,mission_ACH!$2:$2,0)-MATCH($G$2,mission_ACH!$2:$2,0)+1),MATCH(I$2,mission_ACH!$2:$2,0)-MATCH($G$2,mission_ACH!$2:$2,0)+1,FALSE)</f>
        <v>unit</v>
      </c>
      <c r="J339" s="31">
        <f ca="1">VLOOKUP($G339,OFFSET(mission_ACH!$A$2,0,0,COUNTA($A:$A),MATCH(J$2,mission_ACH!$2:$2,0)-MATCH($G$2,mission_ACH!$2:$2,0)+1),MATCH(J$2,mission_ACH!$2:$2,0)-MATCH($G$2,mission_ACH!$2:$2,0)+1,FALSE)</f>
        <v>335</v>
      </c>
      <c r="K339" s="31" t="str">
        <f ca="1">IF(I339="unit",VLOOKUP($G339,OFFSET(mission_ACH!$A$2,0,0,COUNTA($A:$A),MATCH(K$2,mission_ACH!$2:$2,0)-MATCH($G$2,mission_ACH!$2:$2,0)+1),MATCH(K$2,mission_ACH!$2:$2,0)-MATCH($G$2,mission_ACH!$2:$2,0)+1,FALSE),"")</f>
        <v>炎のメタルジェントル</v>
      </c>
      <c r="L339" s="31">
        <f ca="1">VLOOKUP($G339,OFFSET(mission_ACH!$A$2,0,0,COUNTA($A:$A),MATCH(L$2,mission_ACH!$2:$2,0)-MATCH($G$2,mission_ACH!$2:$2,0)+1),MATCH(L$2,mission_ACH!$2:$2,0)-MATCH($G$2,mission_ACH!$2:$2,0)+1,FALSE)</f>
        <v>5</v>
      </c>
      <c r="M339" s="27">
        <v>106</v>
      </c>
      <c r="N339" s="87" t="s">
        <v>2197</v>
      </c>
      <c r="O339" s="87" t="s">
        <v>2198</v>
      </c>
      <c r="P339" s="137">
        <v>9095</v>
      </c>
    </row>
    <row r="340" spans="1:17" ht="21" customHeight="1" x14ac:dyDescent="0.15">
      <c r="A340" s="137">
        <v>9112</v>
      </c>
      <c r="B340" s="26" t="str">
        <f t="shared" ref="B340" ca="1" si="137">F340</f>
        <v>ユニット【甘頬の魔糖菓プラリーヌ】を20体ゲットしよう！</v>
      </c>
      <c r="C340" s="27" t="s">
        <v>893</v>
      </c>
      <c r="D340" s="31" t="str">
        <f ca="1">VLOOKUP($C340,OFFSET(mission_unlock_criteria!$A$2,0,0,COUNTA(mission_unlock_criteria!$A:$A),MATCH(D$2,mission_unlock_criteria!$2:$2,0)-MATCH($C$2,mission_unlock_criteria!$2:$2,0)+1),MATCH(D$2,mission_unlock_criteria!$2:$2,0)-MATCH($C$2,mission_unlock_criteria!$2:$2,0)+1,FALSE)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40" s="21" t="s">
        <v>2191</v>
      </c>
      <c r="F340" s="31" t="str">
        <f ca="1">VLOOKUP($E340,OFFSET(mission_ACH_criteria!$A$1,0,0,COUNTA(mission_ACH_criteria!$A:$A),MATCH(F$2,mission_ACH_criteria!$1:$1,0)-MATCH($E$2,mission_ACH_criteria!$1:$1,0)+1),MATCH(F$2,mission_ACH_criteria!$1:$1,0)-MATCH($E$2,mission_ACH_criteria!$1:$1,0)+1,FALSE)</f>
        <v>ユニット【甘頬の魔糖菓プラリーヌ】を20体ゲットしよう！</v>
      </c>
      <c r="G340" s="27" t="s">
        <v>1528</v>
      </c>
      <c r="H340" s="31" t="str">
        <f t="shared" ca="1" si="136"/>
        <v>メガ秘術の果実 x 1</v>
      </c>
      <c r="I340" s="31" t="str">
        <f ca="1">VLOOKUP($G340,OFFSET(mission_ACH!$A$2,0,0,COUNTA($A:$A),MATCH(I$2,mission_ACH!$2:$2,0)-MATCH($G$2,mission_ACH!$2:$2,0)+1),MATCH(I$2,mission_ACH!$2:$2,0)-MATCH($G$2,mission_ACH!$2:$2,0)+1,FALSE)</f>
        <v>unit</v>
      </c>
      <c r="J340" s="31">
        <f ca="1">VLOOKUP($G340,OFFSET(mission_ACH!$A$2,0,0,COUNTA($A:$A),MATCH(J$2,mission_ACH!$2:$2,0)-MATCH($G$2,mission_ACH!$2:$2,0)+1),MATCH(J$2,mission_ACH!$2:$2,0)-MATCH($G$2,mission_ACH!$2:$2,0)+1,FALSE)</f>
        <v>610</v>
      </c>
      <c r="K340" s="31" t="str">
        <f ca="1">IF(I340="unit",VLOOKUP($G340,OFFSET(mission_ACH!$A$2,0,0,COUNTA($A:$A),MATCH(K$2,mission_ACH!$2:$2,0)-MATCH($G$2,mission_ACH!$2:$2,0)+1),MATCH(K$2,mission_ACH!$2:$2,0)-MATCH($G$2,mission_ACH!$2:$2,0)+1,FALSE),"")</f>
        <v>メガ秘術の果実</v>
      </c>
      <c r="L340" s="31">
        <f ca="1">VLOOKUP($G340,OFFSET(mission_ACH!$A$2,0,0,COUNTA($A:$A),MATCH(L$2,mission_ACH!$2:$2,0)-MATCH($G$2,mission_ACH!$2:$2,0)+1),MATCH(L$2,mission_ACH!$2:$2,0)-MATCH($G$2,mission_ACH!$2:$2,0)+1,FALSE)</f>
        <v>1</v>
      </c>
      <c r="M340" s="27">
        <v>106</v>
      </c>
      <c r="N340" s="87" t="s">
        <v>2197</v>
      </c>
      <c r="O340" s="87" t="s">
        <v>2198</v>
      </c>
      <c r="P340" s="137">
        <v>9096</v>
      </c>
    </row>
    <row r="341" spans="1:17" ht="21" customHeight="1" x14ac:dyDescent="0.15">
      <c r="A341" s="137">
        <v>9113</v>
      </c>
      <c r="B341" s="26" t="str">
        <f ca="1">F341</f>
        <v>ユニット【甘頬の魔糖菓プラリーヌ】を30体ゲットしよう！</v>
      </c>
      <c r="C341" s="27" t="s">
        <v>893</v>
      </c>
      <c r="D341" s="31" t="str">
        <f ca="1">VLOOKUP($C341,OFFSET(mission_unlock_criteria!$A$2,0,0,COUNTA(mission_unlock_criteria!$A:$A),MATCH(D$2,mission_unlock_criteria!$2:$2,0)-MATCH($C$2,mission_unlock_criteria!$2:$2,0)+1),MATCH(D$2,mission_unlock_criteria!$2:$2,0)-MATCH($C$2,mission_unlock_criteria!$2:$2,0)+1,FALSE)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41" s="21" t="s">
        <v>2192</v>
      </c>
      <c r="F341" s="31" t="str">
        <f ca="1">VLOOKUP($E341,OFFSET(mission_ACH_criteria!$A$1,0,0,COUNTA(mission_ACH_criteria!$A:$A),MATCH(F$2,mission_ACH_criteria!$1:$1,0)-MATCH($E$2,mission_ACH_criteria!$1:$1,0)+1),MATCH(F$2,mission_ACH_criteria!$1:$1,0)-MATCH($E$2,mission_ACH_criteria!$1:$1,0)+1,FALSE)</f>
        <v>ユニット【甘頬の魔糖菓プラリーヌ】を30体ゲットしよう！</v>
      </c>
      <c r="G341" s="27" t="s">
        <v>47</v>
      </c>
      <c r="H341" s="31" t="str">
        <f t="shared" ref="H341:H343" ca="1" si="138">IF(I341="unit",K341&amp;" x "&amp;L341,IF(I341="polygon","ポリゴン x "&amp;J341,IF(I341="bit","ビット x "&amp;J341,IF(I341="link","リンク x "&amp;J341))))</f>
        <v>ポリゴン x 1</v>
      </c>
      <c r="I341" s="31" t="str">
        <f ca="1">VLOOKUP($G341,OFFSET(mission_ACH!$A$2,0,0,COUNTA($A:$A),MATCH(I$2,mission_ACH!$2:$2,0)-MATCH($G$2,mission_ACH!$2:$2,0)+1),MATCH(I$2,mission_ACH!$2:$2,0)-MATCH($G$2,mission_ACH!$2:$2,0)+1,FALSE)</f>
        <v>polygon</v>
      </c>
      <c r="J341" s="31">
        <f ca="1">VLOOKUP($G341,OFFSET(mission_ACH!$A$2,0,0,COUNTA($A:$A),MATCH(J$2,mission_ACH!$2:$2,0)-MATCH($G$2,mission_ACH!$2:$2,0)+1),MATCH(J$2,mission_ACH!$2:$2,0)-MATCH($G$2,mission_ACH!$2:$2,0)+1,FALSE)</f>
        <v>1</v>
      </c>
      <c r="K341" s="31" t="str">
        <f ca="1">IF(I341="unit",VLOOKUP($G341,OFFSET(mission_ACH!$A$2,0,0,COUNTA($A:$A),MATCH(K$2,mission_ACH!$2:$2,0)-MATCH($G$2,mission_ACH!$2:$2,0)+1),MATCH(K$2,mission_ACH!$2:$2,0)-MATCH($G$2,mission_ACH!$2:$2,0)+1,FALSE),"")</f>
        <v/>
      </c>
      <c r="L341" s="31">
        <f ca="1">VLOOKUP($G341,OFFSET(mission_ACH!$A$2,0,0,COUNTA($A:$A),MATCH(L$2,mission_ACH!$2:$2,0)-MATCH($G$2,mission_ACH!$2:$2,0)+1),MATCH(L$2,mission_ACH!$2:$2,0)-MATCH($G$2,mission_ACH!$2:$2,0)+1,FALSE)</f>
        <v>0</v>
      </c>
      <c r="M341" s="27">
        <v>106</v>
      </c>
      <c r="N341" s="87" t="s">
        <v>2197</v>
      </c>
      <c r="O341" s="87" t="s">
        <v>2198</v>
      </c>
      <c r="P341" s="137">
        <v>9097</v>
      </c>
    </row>
    <row r="342" spans="1:17" ht="21" customHeight="1" x14ac:dyDescent="0.15">
      <c r="A342" s="137">
        <v>9114</v>
      </c>
      <c r="B342" s="26" t="str">
        <f ca="1">F342</f>
        <v>セーラー服のハッピーが_x000D_アナタのもとにやってきました！</v>
      </c>
      <c r="C342" s="27" t="s">
        <v>1009</v>
      </c>
      <c r="D342" s="31" t="str">
        <f ca="1">VLOOKUP($C342,OFFSET(mission_unlock_criteria!$A$2,0,0,COUNTA(mission_unlock_criteria!$A:$A),MATCH(D$2,mission_unlock_criteria!$2:$2,0)-MATCH($C$2,mission_unlock_criteria!$2:$2,0)+1),MATCH(D$2,mission_unlock_criteria!$2:$2,0)-MATCH($C$2,mission_unlock_criteria!$2:$2,0)+1,FALSE)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【【ストーリー】バレンタイン狂想曲】 をクリア</v>
      </c>
      <c r="E342" s="21" t="s">
        <v>2195</v>
      </c>
      <c r="F342" s="31" t="str">
        <f ca="1">VLOOKUP($E342,OFFSET(mission_ACH_criteria!$A$1,0,0,COUNTA(mission_ACH_criteria!$A:$A),MATCH(F$2,mission_ACH_criteria!$1:$1,0)-MATCH($E$2,mission_ACH_criteria!$1:$1,0)+1),MATCH(F$2,mission_ACH_criteria!$1:$1,0)-MATCH($E$2,mission_ACH_criteria!$1:$1,0)+1,FALSE)</f>
        <v>セーラー服のハッピーが_x000D_アナタのもとにやってきました！</v>
      </c>
      <c r="G342" s="27" t="s">
        <v>1007</v>
      </c>
      <c r="H342" s="31" t="str">
        <f t="shared" ca="1" si="138"/>
        <v>ハッピー バレンタイン x 1</v>
      </c>
      <c r="I342" s="31" t="str">
        <f ca="1">VLOOKUP($G342,OFFSET(mission_ACH!$A$2,0,0,COUNTA($A:$A),MATCH(I$2,mission_ACH!$2:$2,0)-MATCH($G$2,mission_ACH!$2:$2,0)+1),MATCH(I$2,mission_ACH!$2:$2,0)-MATCH($G$2,mission_ACH!$2:$2,0)+1,FALSE)</f>
        <v>unit</v>
      </c>
      <c r="J342" s="31">
        <f ca="1">VLOOKUP($G342,OFFSET(mission_ACH!$A$2,0,0,COUNTA($A:$A),MATCH(J$2,mission_ACH!$2:$2,0)-MATCH($G$2,mission_ACH!$2:$2,0)+1),MATCH(J$2,mission_ACH!$2:$2,0)-MATCH($G$2,mission_ACH!$2:$2,0)+1,FALSE)</f>
        <v>571</v>
      </c>
      <c r="K342" s="31" t="str">
        <f ca="1">IF(I342="unit",VLOOKUP($G342,OFFSET(mission_ACH!$A$2,0,0,COUNTA($A:$A),MATCH(K$2,mission_ACH!$2:$2,0)-MATCH($G$2,mission_ACH!$2:$2,0)+1),MATCH(K$2,mission_ACH!$2:$2,0)-MATCH($G$2,mission_ACH!$2:$2,0)+1,FALSE),"")</f>
        <v>ハッピー バレンタイン</v>
      </c>
      <c r="L342" s="31">
        <f ca="1">VLOOKUP($G342,OFFSET(mission_ACH!$A$2,0,0,COUNTA($A:$A),MATCH(L$2,mission_ACH!$2:$2,0)-MATCH($G$2,mission_ACH!$2:$2,0)+1),MATCH(L$2,mission_ACH!$2:$2,0)-MATCH($G$2,mission_ACH!$2:$2,0)+1,FALSE)</f>
        <v>1</v>
      </c>
      <c r="M342" s="27">
        <v>106</v>
      </c>
      <c r="N342" s="87" t="s">
        <v>2196</v>
      </c>
      <c r="O342" s="87" t="s">
        <v>2198</v>
      </c>
      <c r="P342" s="137">
        <v>9098</v>
      </c>
    </row>
    <row r="343" spans="1:17" ht="21" customHeight="1" x14ac:dyDescent="0.15">
      <c r="A343" s="137">
        <v>9115</v>
      </c>
      <c r="B343" s="26" t="str">
        <f ca="1">F343</f>
        <v>クエスト クロネッカーチャレンジ をクリアしよう！</v>
      </c>
      <c r="C343" s="27" t="s">
        <v>331</v>
      </c>
      <c r="D343" s="31" t="str">
        <f ca="1">VLOOKUP($C343,OFFSET(mission_unlock_criteria!$A$2,0,0,COUNTA(mission_unlock_criteria!$A:$A),MATCH(D$2,mission_unlock_criteria!$2:$2,0)-MATCH($C$2,mission_unlock_criteria!$2:$2,0)+1),MATCH(D$2,mission_unlock_criteria!$2:$2,0)-MATCH($C$2,mission_unlock_criteria!$2:$2,0)+1,FALSE)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43" s="21" t="s">
        <v>2229</v>
      </c>
      <c r="F343" s="31" t="str">
        <f ca="1">VLOOKUP($E343,OFFSET(mission_ACH_criteria!$A$1,0,0,COUNTA(mission_ACH_criteria!$A:$A),MATCH(F$2,mission_ACH_criteria!$1:$1,0)-MATCH($E$2,mission_ACH_criteria!$1:$1,0)+1),MATCH(F$2,mission_ACH_criteria!$1:$1,0)-MATCH($E$2,mission_ACH_criteria!$1:$1,0)+1,FALSE)</f>
        <v>クエスト クロネッカーチャレンジ をクリアしよう！</v>
      </c>
      <c r="G343" s="27" t="s">
        <v>398</v>
      </c>
      <c r="H343" s="31" t="str">
        <f t="shared" ca="1" si="138"/>
        <v>ポリゴン x 3</v>
      </c>
      <c r="I343" s="31" t="str">
        <f ca="1">VLOOKUP($G343,OFFSET(mission_ACH!$A$2,0,0,COUNTA($A:$A),MATCH(I$2,mission_ACH!$2:$2,0)-MATCH($G$2,mission_ACH!$2:$2,0)+1),MATCH(I$2,mission_ACH!$2:$2,0)-MATCH($G$2,mission_ACH!$2:$2,0)+1,FALSE)</f>
        <v>polygon</v>
      </c>
      <c r="J343" s="31">
        <f ca="1">VLOOKUP($G343,OFFSET(mission_ACH!$A$2,0,0,COUNTA($A:$A),MATCH(J$2,mission_ACH!$2:$2,0)-MATCH($G$2,mission_ACH!$2:$2,0)+1),MATCH(J$2,mission_ACH!$2:$2,0)-MATCH($G$2,mission_ACH!$2:$2,0)+1,FALSE)</f>
        <v>3</v>
      </c>
      <c r="K343" s="31" t="str">
        <f ca="1">IF(I343="unit",VLOOKUP($G343,OFFSET(mission_ACH!$A$2,0,0,COUNTA($A:$A),MATCH(K$2,mission_ACH!$2:$2,0)-MATCH($G$2,mission_ACH!$2:$2,0)+1),MATCH(K$2,mission_ACH!$2:$2,0)-MATCH($G$2,mission_ACH!$2:$2,0)+1,FALSE),"")</f>
        <v/>
      </c>
      <c r="L343" s="31">
        <f ca="1">VLOOKUP($G343,OFFSET(mission_ACH!$A$2,0,0,COUNTA($A:$A),MATCH(L$2,mission_ACH!$2:$2,0)-MATCH($G$2,mission_ACH!$2:$2,0)+1),MATCH(L$2,mission_ACH!$2:$2,0)-MATCH($G$2,mission_ACH!$2:$2,0)+1,FALSE)</f>
        <v>0</v>
      </c>
      <c r="M343" s="27">
        <v>106</v>
      </c>
      <c r="N343" s="87" t="s">
        <v>2231</v>
      </c>
      <c r="O343" s="87" t="s">
        <v>2232</v>
      </c>
      <c r="P343" s="137">
        <v>9098</v>
      </c>
    </row>
    <row r="344" spans="1:17" ht="23" customHeight="1" x14ac:dyDescent="0.15">
      <c r="A344" s="27">
        <v>10002</v>
      </c>
      <c r="B344" s="26" t="str">
        <f t="shared" ca="1" si="102"/>
        <v>バグ 2 のユニットをつくろう！</v>
      </c>
      <c r="C344" s="27" t="s">
        <v>533</v>
      </c>
      <c r="D344" s="31" t="str">
        <f ca="1">VLOOKUP($C344,OFFSET(mission_unlock_criteria!$A$2,0,0,COUNTA(mission_unlock_criteria!$A:$A),MATCH(D$2,mission_unlock_criteria!$2:$2,0)-MATCH($C$2,mission_unlock_criteria!$2:$2,0)+1),MATCH(D$2,mission_unlock_criteria!$2:$2,0)-MATCH($C$2,mission_unlock_criteria!$2:$2,0)+1,FALSE)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ミッション 【ユニットを強化してみよう！】 をクリア</v>
      </c>
      <c r="E344" s="27" t="s">
        <v>1247</v>
      </c>
      <c r="F344" s="31" t="str">
        <f ca="1">VLOOKUP($E344,OFFSET(mission_ACH_criteria!$A$1,0,0,COUNTA(mission_ACH_criteria!$A:$A),MATCH(F$2,mission_ACH_criteria!$1:$1,0)-MATCH($E$2,mission_ACH_criteria!$1:$1,0)+1),MATCH(F$2,mission_ACH_criteria!$1:$1,0)-MATCH($E$2,mission_ACH_criteria!$1:$1,0)+1,FALSE)</f>
        <v>バグ 2 のユニットをつくろう！</v>
      </c>
      <c r="G344" s="27" t="s">
        <v>1267</v>
      </c>
      <c r="H344" s="31" t="str">
        <f t="shared" ref="H344" ca="1" si="139">IF(I344="unit",K344&amp;" x "&amp;L344,IF(I344="polygon","ポリゴン x "&amp;J344,IF(I344="bit","ビット x "&amp;J344,IF(I344="link","リンク x "&amp;J344))))</f>
        <v>ゴールドキング x 1</v>
      </c>
      <c r="I344" s="31" t="str">
        <f ca="1">VLOOKUP($G344,OFFSET(mission_ACH!$A$2,0,0,COUNTA($A:$A),MATCH(I$2,mission_ACH!$2:$2,0)-MATCH($G$2,mission_ACH!$2:$2,0)+1),MATCH(I$2,mission_ACH!$2:$2,0)-MATCH($G$2,mission_ACH!$2:$2,0)+1,FALSE)</f>
        <v>unit</v>
      </c>
      <c r="J344" s="31">
        <f ca="1">VLOOKUP($G344,OFFSET(mission_ACH!$A$2,0,0,COUNTA($A:$A),MATCH(J$2,mission_ACH!$2:$2,0)-MATCH($G$2,mission_ACH!$2:$2,0)+1),MATCH(J$2,mission_ACH!$2:$2,0)-MATCH($G$2,mission_ACH!$2:$2,0)+1,FALSE)</f>
        <v>120</v>
      </c>
      <c r="K344" s="31" t="str">
        <f ca="1">IF(I344="unit",VLOOKUP($G344,OFFSET(mission_ACH!$A$2,0,0,COUNTA($A:$A),MATCH(K$2,mission_ACH!$2:$2,0)-MATCH($G$2,mission_ACH!$2:$2,0)+1),MATCH(K$2,mission_ACH!$2:$2,0)-MATCH($G$2,mission_ACH!$2:$2,0)+1,FALSE),"")</f>
        <v>ゴールドキング</v>
      </c>
      <c r="L344" s="31">
        <f ca="1">VLOOKUP($G344,OFFSET(mission_ACH!$A$2,0,0,COUNTA($A:$A),MATCH(L$2,mission_ACH!$2:$2,0)-MATCH($G$2,mission_ACH!$2:$2,0)+1),MATCH(L$2,mission_ACH!$2:$2,0)-MATCH($G$2,mission_ACH!$2:$2,0)+1,FALSE)</f>
        <v>1</v>
      </c>
      <c r="M344" s="27">
        <v>50</v>
      </c>
      <c r="N344" s="2" t="s">
        <v>955</v>
      </c>
      <c r="O344" s="2" t="s">
        <v>955</v>
      </c>
      <c r="P344" s="137">
        <v>9099</v>
      </c>
    </row>
    <row r="345" spans="1:17" ht="21" customHeight="1" x14ac:dyDescent="0.15">
      <c r="A345" s="27">
        <v>10005</v>
      </c>
      <c r="B345" s="26" t="str">
        <f t="shared" ca="1" si="102"/>
        <v>バグ 5 のユニットをつくろう！</v>
      </c>
      <c r="C345" s="27" t="str">
        <f>"M"&amp;A344</f>
        <v>M10002</v>
      </c>
      <c r="D345" s="31" t="str">
        <f ca="1">VLOOKUP($C345,OFFSET(mission_unlock_criteria!$A$2,0,0,COUNTA(mission_unlock_criteria!$A:$A),MATCH(D$2,mission_unlock_criteria!$2:$2,0)-MATCH($C$2,mission_unlock_criteria!$2:$2,0)+1),MATCH(D$2,mission_unlock_criteria!$2:$2,0)-MATCH($C$2,mission_unlock_criteria!$2:$2,0)+1,FALSE)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ミッション 【バグ 2 のユニットをつくろう！】 をクリア</v>
      </c>
      <c r="E345" s="27" t="s">
        <v>1259</v>
      </c>
      <c r="F345" s="31" t="str">
        <f ca="1">VLOOKUP($E345,OFFSET(mission_ACH_criteria!$A$1,0,0,COUNTA(mission_ACH_criteria!$A:$A),MATCH(F$2,mission_ACH_criteria!$1:$1,0)-MATCH($E$2,mission_ACH_criteria!$1:$1,0)+1),MATCH(F$2,mission_ACH_criteria!$1:$1,0)-MATCH($E$2,mission_ACH_criteria!$1:$1,0)+1,FALSE)</f>
        <v>バグ 5 のユニットをつくろう！</v>
      </c>
      <c r="G345" s="27" t="s">
        <v>1269</v>
      </c>
      <c r="H345" s="31" t="str">
        <f t="shared" ref="H345:H346" ca="1" si="140">IF(I345="unit",K345&amp;" x "&amp;L345,IF(I345="polygon","ポリゴン x "&amp;J345,IF(I345="bit","ビット x "&amp;J345,IF(I345="link","リンク x "&amp;J345))))</f>
        <v>リンク x 500</v>
      </c>
      <c r="I345" s="31" t="str">
        <f ca="1">VLOOKUP($G345,OFFSET(mission_ACH!$A$2,0,0,COUNTA($A:$A),MATCH(I$2,mission_ACH!$2:$2,0)-MATCH($G$2,mission_ACH!$2:$2,0)+1),MATCH(I$2,mission_ACH!$2:$2,0)-MATCH($G$2,mission_ACH!$2:$2,0)+1,FALSE)</f>
        <v>link</v>
      </c>
      <c r="J345" s="31">
        <f ca="1">VLOOKUP($G345,OFFSET(mission_ACH!$A$2,0,0,COUNTA($A:$A),MATCH(J$2,mission_ACH!$2:$2,0)-MATCH($G$2,mission_ACH!$2:$2,0)+1),MATCH(J$2,mission_ACH!$2:$2,0)-MATCH($G$2,mission_ACH!$2:$2,0)+1,FALSE)</f>
        <v>500</v>
      </c>
      <c r="K345" s="31" t="str">
        <f ca="1">IF(I345="unit",VLOOKUP($G345,OFFSET(mission_ACH!$A$2,0,0,COUNTA($A:$A),MATCH(K$2,mission_ACH!$2:$2,0)-MATCH($G$2,mission_ACH!$2:$2,0)+1),MATCH(K$2,mission_ACH!$2:$2,0)-MATCH($G$2,mission_ACH!$2:$2,0)+1,FALSE),"")</f>
        <v/>
      </c>
      <c r="L345" s="31">
        <f ca="1">VLOOKUP($G345,OFFSET(mission_ACH!$A$2,0,0,COUNTA($A:$A),MATCH(L$2,mission_ACH!$2:$2,0)-MATCH($G$2,mission_ACH!$2:$2,0)+1),MATCH(L$2,mission_ACH!$2:$2,0)-MATCH($G$2,mission_ACH!$2:$2,0)+1,FALSE)</f>
        <v>0</v>
      </c>
      <c r="M345" s="27">
        <v>50</v>
      </c>
      <c r="N345" s="2" t="s">
        <v>955</v>
      </c>
      <c r="O345" s="2" t="s">
        <v>955</v>
      </c>
      <c r="P345" s="137">
        <v>9100</v>
      </c>
    </row>
    <row r="346" spans="1:17" ht="21" customHeight="1" x14ac:dyDescent="0.15">
      <c r="A346" s="27">
        <v>10015</v>
      </c>
      <c r="B346" s="26" t="str">
        <f t="shared" ca="1" si="102"/>
        <v>バグ 15 のユニットをつくろう！</v>
      </c>
      <c r="C346" s="27" t="str">
        <f t="shared" ref="C346:C352" si="141">"M"&amp;A345</f>
        <v>M10005</v>
      </c>
      <c r="D346" s="31" t="str">
        <f ca="1">VLOOKUP($C346,OFFSET(mission_unlock_criteria!$A$2,0,0,COUNTA(mission_unlock_criteria!$A:$A),MATCH(D$2,mission_unlock_criteria!$2:$2,0)-MATCH($C$2,mission_unlock_criteria!$2:$2,0)+1),MATCH(D$2,mission_unlock_criteria!$2:$2,0)-MATCH($C$2,mission_unlock_criteria!$2:$2,0)+1,FALSE)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ミッション 【バグ 5 のユニットをつくろう！】 をクリア</v>
      </c>
      <c r="E346" s="27" t="s">
        <v>1863</v>
      </c>
      <c r="F346" s="31" t="str">
        <f ca="1">VLOOKUP($E346,OFFSET(mission_ACH_criteria!$A$1,0,0,COUNTA(mission_ACH_criteria!$A:$A),MATCH(F$2,mission_ACH_criteria!$1:$1,0)-MATCH($E$2,mission_ACH_criteria!$1:$1,0)+1),MATCH(F$2,mission_ACH_criteria!$1:$1,0)-MATCH($E$2,mission_ACH_criteria!$1:$1,0)+1,FALSE)</f>
        <v>バグ 15 のユニットをつくろう！</v>
      </c>
      <c r="G346" s="27" t="s">
        <v>419</v>
      </c>
      <c r="H346" s="31" t="str">
        <f t="shared" ca="1" si="140"/>
        <v>秘術の果実 x 1</v>
      </c>
      <c r="I346" s="31" t="str">
        <f ca="1">VLOOKUP($G346,OFFSET(mission_ACH!$A$2,0,0,COUNTA($A:$A),MATCH(I$2,mission_ACH!$2:$2,0)-MATCH($G$2,mission_ACH!$2:$2,0)+1),MATCH(I$2,mission_ACH!$2:$2,0)-MATCH($G$2,mission_ACH!$2:$2,0)+1,FALSE)</f>
        <v>unit</v>
      </c>
      <c r="J346" s="31">
        <f ca="1">VLOOKUP($G346,OFFSET(mission_ACH!$A$2,0,0,COUNTA($A:$A),MATCH(J$2,mission_ACH!$2:$2,0)-MATCH($G$2,mission_ACH!$2:$2,0)+1),MATCH(J$2,mission_ACH!$2:$2,0)-MATCH($G$2,mission_ACH!$2:$2,0)+1,FALSE)</f>
        <v>125</v>
      </c>
      <c r="K346" s="31" t="str">
        <f ca="1">IF(I346="unit",VLOOKUP($G346,OFFSET(mission_ACH!$A$2,0,0,COUNTA($A:$A),MATCH(K$2,mission_ACH!$2:$2,0)-MATCH($G$2,mission_ACH!$2:$2,0)+1),MATCH(K$2,mission_ACH!$2:$2,0)-MATCH($G$2,mission_ACH!$2:$2,0)+1,FALSE),"")</f>
        <v>秘術の果実</v>
      </c>
      <c r="L346" s="31">
        <f ca="1">VLOOKUP($G346,OFFSET(mission_ACH!$A$2,0,0,COUNTA($A:$A),MATCH(L$2,mission_ACH!$2:$2,0)-MATCH($G$2,mission_ACH!$2:$2,0)+1),MATCH(L$2,mission_ACH!$2:$2,0)-MATCH($G$2,mission_ACH!$2:$2,0)+1,FALSE)</f>
        <v>1</v>
      </c>
      <c r="M346" s="27">
        <v>50</v>
      </c>
      <c r="N346" s="2" t="s">
        <v>955</v>
      </c>
      <c r="O346" s="2" t="s">
        <v>955</v>
      </c>
      <c r="P346" s="137">
        <v>9101</v>
      </c>
    </row>
    <row r="347" spans="1:17" ht="21" customHeight="1" x14ac:dyDescent="0.15">
      <c r="A347" s="27">
        <v>10030</v>
      </c>
      <c r="B347" s="26" t="str">
        <f t="shared" ca="1" si="102"/>
        <v>バグ 30 のユニットをつくろう！</v>
      </c>
      <c r="C347" s="27" t="str">
        <f t="shared" si="141"/>
        <v>M10015</v>
      </c>
      <c r="D347" s="31" t="str">
        <f ca="1">VLOOKUP($C347,OFFSET(mission_unlock_criteria!$A$2,0,0,COUNTA(mission_unlock_criteria!$A:$A),MATCH(D$2,mission_unlock_criteria!$2:$2,0)-MATCH($C$2,mission_unlock_criteria!$2:$2,0)+1),MATCH(D$2,mission_unlock_criteria!$2:$2,0)-MATCH($C$2,mission_unlock_criteria!$2:$2,0)+1,FALSE)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ミッション 【バグ 15 のユニットをつくろう！】 をクリア</v>
      </c>
      <c r="E347" s="27" t="s">
        <v>1261</v>
      </c>
      <c r="F347" s="31" t="str">
        <f ca="1">VLOOKUP($E347,OFFSET(mission_ACH_criteria!$A$1,0,0,COUNTA(mission_ACH_criteria!$A:$A),MATCH(F$2,mission_ACH_criteria!$1:$1,0)-MATCH($E$2,mission_ACH_criteria!$1:$1,0)+1),MATCH(F$2,mission_ACH_criteria!$1:$1,0)-MATCH($E$2,mission_ACH_criteria!$1:$1,0)+1,FALSE)</f>
        <v>バグ 30 のユニットをつくろう！</v>
      </c>
      <c r="G347" s="27" t="s">
        <v>353</v>
      </c>
      <c r="H347" s="31" t="str">
        <f t="shared" ref="H347:H350" ca="1" si="142">IF(I347="unit",K347&amp;" x "&amp;L347,IF(I347="polygon","ポリゴン x "&amp;J347,IF(I347="bit","ビット x "&amp;J347,IF(I347="link","リンク x "&amp;J347))))</f>
        <v>ポリゴン x 2</v>
      </c>
      <c r="I347" s="31" t="str">
        <f ca="1">VLOOKUP($G347,OFFSET(mission_ACH!$A$2,0,0,COUNTA($A:$A),MATCH(I$2,mission_ACH!$2:$2,0)-MATCH($G$2,mission_ACH!$2:$2,0)+1),MATCH(I$2,mission_ACH!$2:$2,0)-MATCH($G$2,mission_ACH!$2:$2,0)+1,FALSE)</f>
        <v>polygon</v>
      </c>
      <c r="J347" s="31">
        <f ca="1">VLOOKUP($G347,OFFSET(mission_ACH!$A$2,0,0,COUNTA($A:$A),MATCH(J$2,mission_ACH!$2:$2,0)-MATCH($G$2,mission_ACH!$2:$2,0)+1),MATCH(J$2,mission_ACH!$2:$2,0)-MATCH($G$2,mission_ACH!$2:$2,0)+1,FALSE)</f>
        <v>2</v>
      </c>
      <c r="K347" s="31" t="str">
        <f ca="1">IF(I347="unit",VLOOKUP($G347,OFFSET(mission_ACH!$A$2,0,0,COUNTA($A:$A),MATCH(K$2,mission_ACH!$2:$2,0)-MATCH($G$2,mission_ACH!$2:$2,0)+1),MATCH(K$2,mission_ACH!$2:$2,0)-MATCH($G$2,mission_ACH!$2:$2,0)+1,FALSE),"")</f>
        <v/>
      </c>
      <c r="L347" s="31">
        <f ca="1">VLOOKUP($G347,OFFSET(mission_ACH!$A$2,0,0,COUNTA($A:$A),MATCH(L$2,mission_ACH!$2:$2,0)-MATCH($G$2,mission_ACH!$2:$2,0)+1),MATCH(L$2,mission_ACH!$2:$2,0)-MATCH($G$2,mission_ACH!$2:$2,0)+1,FALSE)</f>
        <v>0</v>
      </c>
      <c r="M347" s="27">
        <v>50</v>
      </c>
      <c r="N347" s="2" t="s">
        <v>955</v>
      </c>
      <c r="O347" s="2" t="s">
        <v>955</v>
      </c>
      <c r="P347" s="137">
        <v>9102</v>
      </c>
    </row>
    <row r="348" spans="1:17" ht="21" customHeight="1" x14ac:dyDescent="0.15">
      <c r="A348" s="27">
        <v>10045</v>
      </c>
      <c r="B348" s="26" t="str">
        <f t="shared" ca="1" si="102"/>
        <v>バグ 45 のユニットをつくろう！</v>
      </c>
      <c r="C348" s="27" t="str">
        <f t="shared" si="141"/>
        <v>M10030</v>
      </c>
      <c r="D348" s="31" t="str">
        <f ca="1">VLOOKUP($C348,OFFSET(mission_unlock_criteria!$A$2,0,0,COUNTA(mission_unlock_criteria!$A:$A),MATCH(D$2,mission_unlock_criteria!$2:$2,0)-MATCH($C$2,mission_unlock_criteria!$2:$2,0)+1),MATCH(D$2,mission_unlock_criteria!$2:$2,0)-MATCH($C$2,mission_unlock_criteria!$2:$2,0)+1,FALSE)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ミッション 【バグ 30 のユニットをつくろう！】 をクリア</v>
      </c>
      <c r="E348" s="27" t="s">
        <v>1262</v>
      </c>
      <c r="F348" s="31" t="str">
        <f ca="1">VLOOKUP($E348,OFFSET(mission_ACH_criteria!$A$1,0,0,COUNTA(mission_ACH_criteria!$A:$A),MATCH(F$2,mission_ACH_criteria!$1:$1,0)-MATCH($E$2,mission_ACH_criteria!$1:$1,0)+1),MATCH(F$2,mission_ACH_criteria!$1:$1,0)-MATCH($E$2,mission_ACH_criteria!$1:$1,0)+1,FALSE)</f>
        <v>バグ 45 のユニットをつくろう！</v>
      </c>
      <c r="G348" s="27" t="s">
        <v>1268</v>
      </c>
      <c r="H348" s="31" t="str">
        <f t="shared" ca="1" si="142"/>
        <v>メガ秘術の果実 x 1</v>
      </c>
      <c r="I348" s="31" t="str">
        <f ca="1">VLOOKUP($G348,OFFSET(mission_ACH!$A$2,0,0,COUNTA($A:$A),MATCH(I$2,mission_ACH!$2:$2,0)-MATCH($G$2,mission_ACH!$2:$2,0)+1),MATCH(I$2,mission_ACH!$2:$2,0)-MATCH($G$2,mission_ACH!$2:$2,0)+1,FALSE)</f>
        <v>unit</v>
      </c>
      <c r="J348" s="31">
        <f ca="1">VLOOKUP($G348,OFFSET(mission_ACH!$A$2,0,0,COUNTA($A:$A),MATCH(J$2,mission_ACH!$2:$2,0)-MATCH($G$2,mission_ACH!$2:$2,0)+1),MATCH(J$2,mission_ACH!$2:$2,0)-MATCH($G$2,mission_ACH!$2:$2,0)+1,FALSE)</f>
        <v>610</v>
      </c>
      <c r="K348" s="31" t="str">
        <f ca="1">IF(I348="unit",VLOOKUP($G348,OFFSET(mission_ACH!$A$2,0,0,COUNTA($A:$A),MATCH(K$2,mission_ACH!$2:$2,0)-MATCH($G$2,mission_ACH!$2:$2,0)+1),MATCH(K$2,mission_ACH!$2:$2,0)-MATCH($G$2,mission_ACH!$2:$2,0)+1,FALSE),"")</f>
        <v>メガ秘術の果実</v>
      </c>
      <c r="L348" s="31">
        <f ca="1">VLOOKUP($G348,OFFSET(mission_ACH!$A$2,0,0,COUNTA($A:$A),MATCH(L$2,mission_ACH!$2:$2,0)-MATCH($G$2,mission_ACH!$2:$2,0)+1),MATCH(L$2,mission_ACH!$2:$2,0)-MATCH($G$2,mission_ACH!$2:$2,0)+1,FALSE)</f>
        <v>1</v>
      </c>
      <c r="M348" s="27">
        <v>50</v>
      </c>
      <c r="N348" s="2" t="s">
        <v>955</v>
      </c>
      <c r="O348" s="2" t="s">
        <v>955</v>
      </c>
      <c r="P348" s="137">
        <v>9103</v>
      </c>
    </row>
    <row r="349" spans="1:17" ht="21" customHeight="1" x14ac:dyDescent="0.15">
      <c r="A349" s="27">
        <v>10060</v>
      </c>
      <c r="B349" s="26" t="str">
        <f t="shared" ca="1" si="102"/>
        <v>バグ 60 のユニットをつくろう！</v>
      </c>
      <c r="C349" s="27" t="str">
        <f t="shared" si="141"/>
        <v>M10045</v>
      </c>
      <c r="D349" s="31" t="str">
        <f ca="1">VLOOKUP($C349,OFFSET(mission_unlock_criteria!$A$2,0,0,COUNTA(mission_unlock_criteria!$A:$A),MATCH(D$2,mission_unlock_criteria!$2:$2,0)-MATCH($C$2,mission_unlock_criteria!$2:$2,0)+1),MATCH(D$2,mission_unlock_criteria!$2:$2,0)-MATCH($C$2,mission_unlock_criteria!$2:$2,0)+1,FALSE)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ミッション 【バグ 45 のユニットをつくろう！】 をクリア</v>
      </c>
      <c r="E349" s="27" t="s">
        <v>1263</v>
      </c>
      <c r="F349" s="31" t="str">
        <f ca="1">VLOOKUP($E349,OFFSET(mission_ACH_criteria!$A$1,0,0,COUNTA(mission_ACH_criteria!$A:$A),MATCH(F$2,mission_ACH_criteria!$1:$1,0)-MATCH($E$2,mission_ACH_criteria!$1:$1,0)+1),MATCH(F$2,mission_ACH_criteria!$1:$1,0)-MATCH($E$2,mission_ACH_criteria!$1:$1,0)+1,FALSE)</f>
        <v>バグ 60 のユニットをつくろう！</v>
      </c>
      <c r="G349" s="27" t="s">
        <v>1270</v>
      </c>
      <c r="H349" s="31" t="str">
        <f t="shared" ca="1" si="142"/>
        <v>リトルハンプティ x 1</v>
      </c>
      <c r="I349" s="31" t="str">
        <f ca="1">VLOOKUP($G349,OFFSET(mission_ACH!$A$2,0,0,COUNTA($A:$A),MATCH(I$2,mission_ACH!$2:$2,0)-MATCH($G$2,mission_ACH!$2:$2,0)+1),MATCH(I$2,mission_ACH!$2:$2,0)-MATCH($G$2,mission_ACH!$2:$2,0)+1,FALSE)</f>
        <v>unit</v>
      </c>
      <c r="J349" s="31">
        <f ca="1">VLOOKUP($G349,OFFSET(mission_ACH!$A$2,0,0,COUNTA($A:$A),MATCH(J$2,mission_ACH!$2:$2,0)-MATCH($G$2,mission_ACH!$2:$2,0)+1),MATCH(J$2,mission_ACH!$2:$2,0)-MATCH($G$2,mission_ACH!$2:$2,0)+1,FALSE)</f>
        <v>837</v>
      </c>
      <c r="K349" s="31" t="str">
        <f ca="1">IF(I349="unit",VLOOKUP($G349,OFFSET(mission_ACH!$A$2,0,0,COUNTA($A:$A),MATCH(K$2,mission_ACH!$2:$2,0)-MATCH($G$2,mission_ACH!$2:$2,0)+1),MATCH(K$2,mission_ACH!$2:$2,0)-MATCH($G$2,mission_ACH!$2:$2,0)+1,FALSE),"")</f>
        <v>リトルハンプティ</v>
      </c>
      <c r="L349" s="31">
        <f ca="1">VLOOKUP($G349,OFFSET(mission_ACH!$A$2,0,0,COUNTA($A:$A),MATCH(L$2,mission_ACH!$2:$2,0)-MATCH($G$2,mission_ACH!$2:$2,0)+1),MATCH(L$2,mission_ACH!$2:$2,0)-MATCH($G$2,mission_ACH!$2:$2,0)+1,FALSE)</f>
        <v>1</v>
      </c>
      <c r="M349" s="27">
        <v>50</v>
      </c>
      <c r="N349" s="2" t="s">
        <v>955</v>
      </c>
      <c r="O349" s="2" t="s">
        <v>955</v>
      </c>
      <c r="P349" s="135">
        <v>9115</v>
      </c>
    </row>
    <row r="350" spans="1:17" ht="21" customHeight="1" x14ac:dyDescent="0.15">
      <c r="A350" s="27">
        <v>10075</v>
      </c>
      <c r="B350" s="26" t="str">
        <f t="shared" ca="1" si="102"/>
        <v>バグ 75 のユニットをつくろう！</v>
      </c>
      <c r="C350" s="27" t="str">
        <f t="shared" si="141"/>
        <v>M10060</v>
      </c>
      <c r="D350" s="31" t="str">
        <f ca="1">VLOOKUP($C350,OFFSET(mission_unlock_criteria!$A$2,0,0,COUNTA(mission_unlock_criteria!$A:$A),MATCH(D$2,mission_unlock_criteria!$2:$2,0)-MATCH($C$2,mission_unlock_criteria!$2:$2,0)+1),MATCH(D$2,mission_unlock_criteria!$2:$2,0)-MATCH($C$2,mission_unlock_criteria!$2:$2,0)+1,FALSE)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ミッション 【バグ 60 のユニットをつくろう！】 をクリア</v>
      </c>
      <c r="E350" s="27" t="s">
        <v>1264</v>
      </c>
      <c r="F350" s="31" t="str">
        <f ca="1">VLOOKUP($E350,OFFSET(mission_ACH_criteria!$A$1,0,0,COUNTA(mission_ACH_criteria!$A:$A),MATCH(F$2,mission_ACH_criteria!$1:$1,0)-MATCH($E$2,mission_ACH_criteria!$1:$1,0)+1),MATCH(F$2,mission_ACH_criteria!$1:$1,0)-MATCH($E$2,mission_ACH_criteria!$1:$1,0)+1,FALSE)</f>
        <v>バグ 75 のユニットをつくろう！</v>
      </c>
      <c r="G350" s="27" t="s">
        <v>398</v>
      </c>
      <c r="H350" s="31" t="str">
        <f t="shared" ca="1" si="142"/>
        <v>ポリゴン x 3</v>
      </c>
      <c r="I350" s="31" t="str">
        <f ca="1">VLOOKUP($G350,OFFSET(mission_ACH!$A$2,0,0,COUNTA($A:$A),MATCH(I$2,mission_ACH!$2:$2,0)-MATCH($G$2,mission_ACH!$2:$2,0)+1),MATCH(I$2,mission_ACH!$2:$2,0)-MATCH($G$2,mission_ACH!$2:$2,0)+1,FALSE)</f>
        <v>polygon</v>
      </c>
      <c r="J350" s="31">
        <f ca="1">VLOOKUP($G350,OFFSET(mission_ACH!$A$2,0,0,COUNTA($A:$A),MATCH(J$2,mission_ACH!$2:$2,0)-MATCH($G$2,mission_ACH!$2:$2,0)+1),MATCH(J$2,mission_ACH!$2:$2,0)-MATCH($G$2,mission_ACH!$2:$2,0)+1,FALSE)</f>
        <v>3</v>
      </c>
      <c r="K350" s="31" t="str">
        <f ca="1">IF(I350="unit",VLOOKUP($G350,OFFSET(mission_ACH!$A$2,0,0,COUNTA($A:$A),MATCH(K$2,mission_ACH!$2:$2,0)-MATCH($G$2,mission_ACH!$2:$2,0)+1),MATCH(K$2,mission_ACH!$2:$2,0)-MATCH($G$2,mission_ACH!$2:$2,0)+1,FALSE),"")</f>
        <v/>
      </c>
      <c r="L350" s="31">
        <f ca="1">VLOOKUP($G350,OFFSET(mission_ACH!$A$2,0,0,COUNTA($A:$A),MATCH(L$2,mission_ACH!$2:$2,0)-MATCH($G$2,mission_ACH!$2:$2,0)+1),MATCH(L$2,mission_ACH!$2:$2,0)-MATCH($G$2,mission_ACH!$2:$2,0)+1,FALSE)</f>
        <v>0</v>
      </c>
      <c r="M350" s="27">
        <v>50</v>
      </c>
      <c r="N350" s="2" t="s">
        <v>955</v>
      </c>
      <c r="O350" s="2" t="s">
        <v>955</v>
      </c>
      <c r="P350" s="135">
        <v>9116</v>
      </c>
    </row>
    <row r="351" spans="1:17" ht="21" customHeight="1" x14ac:dyDescent="0.15">
      <c r="A351" s="27">
        <v>10090</v>
      </c>
      <c r="B351" s="26" t="str">
        <f t="shared" ca="1" si="102"/>
        <v>バグ 90 のユニットをつくろう！</v>
      </c>
      <c r="C351" s="27" t="str">
        <f t="shared" si="141"/>
        <v>M10075</v>
      </c>
      <c r="D351" s="31" t="str">
        <f ca="1">VLOOKUP($C351,OFFSET(mission_unlock_criteria!$A$2,0,0,COUNTA(mission_unlock_criteria!$A:$A),MATCH(D$2,mission_unlock_criteria!$2:$2,0)-MATCH($C$2,mission_unlock_criteria!$2:$2,0)+1),MATCH(D$2,mission_unlock_criteria!$2:$2,0)-MATCH($C$2,mission_unlock_criteria!$2:$2,0)+1,FALSE)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ミッション 【バグ 75 のユニットをつくろう！】 をクリア</v>
      </c>
      <c r="E351" s="27" t="s">
        <v>1265</v>
      </c>
      <c r="F351" s="31" t="str">
        <f ca="1">VLOOKUP($E351,OFFSET(mission_ACH_criteria!$A$1,0,0,COUNTA(mission_ACH_criteria!$A:$A),MATCH(F$2,mission_ACH_criteria!$1:$1,0)-MATCH($E$2,mission_ACH_criteria!$1:$1,0)+1),MATCH(F$2,mission_ACH_criteria!$1:$1,0)-MATCH($E$2,mission_ACH_criteria!$1:$1,0)+1,FALSE)</f>
        <v>バグ 90 のユニットをつくろう！</v>
      </c>
      <c r="G351" s="27" t="s">
        <v>1271</v>
      </c>
      <c r="H351" s="31" t="str">
        <f t="shared" ref="H351:H352" ca="1" si="143">IF(I351="unit",K351&amp;" x "&amp;L351,IF(I351="polygon","ポリゴン x "&amp;J351,IF(I351="bit","ビット x "&amp;J351,IF(I351="link","リンク x "&amp;J351))))</f>
        <v>ポリゴン x 5</v>
      </c>
      <c r="I351" s="31" t="str">
        <f ca="1">VLOOKUP($G351,OFFSET(mission_ACH!$A$2,0,0,COUNTA($A:$A),MATCH(I$2,mission_ACH!$2:$2,0)-MATCH($G$2,mission_ACH!$2:$2,0)+1),MATCH(I$2,mission_ACH!$2:$2,0)-MATCH($G$2,mission_ACH!$2:$2,0)+1,FALSE)</f>
        <v>polygon</v>
      </c>
      <c r="J351" s="31">
        <f ca="1">VLOOKUP($G351,OFFSET(mission_ACH!$A$2,0,0,COUNTA($A:$A),MATCH(J$2,mission_ACH!$2:$2,0)-MATCH($G$2,mission_ACH!$2:$2,0)+1),MATCH(J$2,mission_ACH!$2:$2,0)-MATCH($G$2,mission_ACH!$2:$2,0)+1,FALSE)</f>
        <v>5</v>
      </c>
      <c r="K351" s="31" t="str">
        <f ca="1">IF(I351="unit",VLOOKUP($G351,OFFSET(mission_ACH!$A$2,0,0,COUNTA($A:$A),MATCH(K$2,mission_ACH!$2:$2,0)-MATCH($G$2,mission_ACH!$2:$2,0)+1),MATCH(K$2,mission_ACH!$2:$2,0)-MATCH($G$2,mission_ACH!$2:$2,0)+1,FALSE),"")</f>
        <v/>
      </c>
      <c r="L351" s="31">
        <f ca="1">VLOOKUP($G351,OFFSET(mission_ACH!$A$2,0,0,COUNTA($A:$A),MATCH(L$2,mission_ACH!$2:$2,0)-MATCH($G$2,mission_ACH!$2:$2,0)+1),MATCH(L$2,mission_ACH!$2:$2,0)-MATCH($G$2,mission_ACH!$2:$2,0)+1,FALSE)</f>
        <v>0</v>
      </c>
      <c r="M351" s="27">
        <v>50</v>
      </c>
      <c r="N351" s="2" t="s">
        <v>955</v>
      </c>
      <c r="O351" s="2" t="s">
        <v>955</v>
      </c>
      <c r="P351" s="135">
        <v>9117</v>
      </c>
    </row>
    <row r="352" spans="1:17" ht="21" customHeight="1" x14ac:dyDescent="0.15">
      <c r="A352" s="27">
        <v>10099</v>
      </c>
      <c r="B352" s="26" t="str">
        <f t="shared" ca="1" si="102"/>
        <v>バグ 99 のユニットをつくろう！</v>
      </c>
      <c r="C352" s="27" t="str">
        <f t="shared" si="141"/>
        <v>M10090</v>
      </c>
      <c r="D352" s="31" t="str">
        <f ca="1">VLOOKUP($C352,OFFSET(mission_unlock_criteria!$A$2,0,0,COUNTA(mission_unlock_criteria!$A:$A),MATCH(D$2,mission_unlock_criteria!$2:$2,0)-MATCH($C$2,mission_unlock_criteria!$2:$2,0)+1),MATCH(D$2,mission_unlock_criteria!$2:$2,0)-MATCH($C$2,mission_unlock_criteria!$2:$2,0)+1,FALSE)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ミッション 【バグ 90 のユニットをつくろう！】 をクリア</v>
      </c>
      <c r="E352" s="27" t="s">
        <v>1266</v>
      </c>
      <c r="F352" s="31" t="str">
        <f ca="1">VLOOKUP($E352,OFFSET(mission_ACH_criteria!$A$1,0,0,COUNTA(mission_ACH_criteria!$A:$A),MATCH(F$2,mission_ACH_criteria!$1:$1,0)-MATCH($E$2,mission_ACH_criteria!$1:$1,0)+1),MATCH(F$2,mission_ACH_criteria!$1:$1,0)-MATCH($E$2,mission_ACH_criteria!$1:$1,0)+1,FALSE)</f>
        <v>バグ 99 のユニットをつくろう！</v>
      </c>
      <c r="G352" s="27" t="s">
        <v>1272</v>
      </c>
      <c r="H352" s="31" t="str">
        <f t="shared" ca="1" si="143"/>
        <v>ポリゴン x 10</v>
      </c>
      <c r="I352" s="31" t="str">
        <f ca="1">VLOOKUP($G352,OFFSET(mission_ACH!$A$2,0,0,COUNTA($A:$A),MATCH(I$2,mission_ACH!$2:$2,0)-MATCH($G$2,mission_ACH!$2:$2,0)+1),MATCH(I$2,mission_ACH!$2:$2,0)-MATCH($G$2,mission_ACH!$2:$2,0)+1,FALSE)</f>
        <v>polygon</v>
      </c>
      <c r="J352" s="31">
        <f ca="1">VLOOKUP($G352,OFFSET(mission_ACH!$A$2,0,0,COUNTA($A:$A),MATCH(J$2,mission_ACH!$2:$2,0)-MATCH($G$2,mission_ACH!$2:$2,0)+1),MATCH(J$2,mission_ACH!$2:$2,0)-MATCH($G$2,mission_ACH!$2:$2,0)+1,FALSE)</f>
        <v>10</v>
      </c>
      <c r="K352" s="31" t="str">
        <f ca="1">IF(I352="unit",VLOOKUP($G352,OFFSET(mission_ACH!$A$2,0,0,COUNTA($A:$A),MATCH(K$2,mission_ACH!$2:$2,0)-MATCH($G$2,mission_ACH!$2:$2,0)+1),MATCH(K$2,mission_ACH!$2:$2,0)-MATCH($G$2,mission_ACH!$2:$2,0)+1,FALSE),"")</f>
        <v/>
      </c>
      <c r="L352" s="31">
        <f ca="1">VLOOKUP($G352,OFFSET(mission_ACH!$A$2,0,0,COUNTA($A:$A),MATCH(L$2,mission_ACH!$2:$2,0)-MATCH($G$2,mission_ACH!$2:$2,0)+1),MATCH(L$2,mission_ACH!$2:$2,0)-MATCH($G$2,mission_ACH!$2:$2,0)+1,FALSE)</f>
        <v>0</v>
      </c>
      <c r="M352" s="27">
        <v>50</v>
      </c>
      <c r="N352" s="2" t="s">
        <v>955</v>
      </c>
      <c r="O352" s="2" t="s">
        <v>955</v>
      </c>
      <c r="P352" s="142">
        <v>9118</v>
      </c>
    </row>
    <row r="353" spans="1:16" ht="21" customHeight="1" x14ac:dyDescent="0.15">
      <c r="A353" s="76">
        <v>8002</v>
      </c>
      <c r="B353" s="26" t="str">
        <f t="shared" ref="B353" ca="1" si="144">F353</f>
        <v>「ルシファー襲来！」 攻略動画を観よう！</v>
      </c>
      <c r="C353" s="27" t="s">
        <v>893</v>
      </c>
      <c r="D353" s="31" t="str">
        <f ca="1">VLOOKUP($C353,OFFSET(mission_unlock_criteria!$A$2,0,0,COUNTA(mission_unlock_criteria!$A:$A),MATCH(D$2,mission_unlock_criteria!$2:$2,0)-MATCH($C$2,mission_unlock_criteria!$2:$2,0)+1),MATCH(D$2,mission_unlock_criteria!$2:$2,0)-MATCH($C$2,mission_unlock_criteria!$2:$2,0)+1,FALSE)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53" s="2" t="s">
        <v>1408</v>
      </c>
      <c r="F353" s="31" t="str">
        <f ca="1">VLOOKUP($E353,OFFSET(mission_ACH_criteria!$A$1,0,0,COUNTA(mission_ACH_criteria!$A:$A),MATCH(F$2,mission_ACH_criteria!$1:$1,0)-MATCH($E$2,mission_ACH_criteria!$1:$1,0)+1),MATCH(F$2,mission_ACH_criteria!$1:$1,0)-MATCH($E$2,mission_ACH_criteria!$1:$1,0)+1,FALSE)</f>
        <v>「ルシファー襲来！」 攻略動画を観よう！</v>
      </c>
      <c r="G353" s="27" t="s">
        <v>1409</v>
      </c>
      <c r="H353" s="31" t="str">
        <f t="shared" ref="H353" ca="1" si="145">IF(I353="unit",K353&amp;" x "&amp;L353,IF(I353="polygon","ポリゴン x "&amp;J353,IF(I353="bit","ビット x "&amp;J353,IF(I353="link","リンク x "&amp;J353))))</f>
        <v>ポリゴン x 1</v>
      </c>
      <c r="I353" s="31" t="str">
        <f ca="1">VLOOKUP($G353,OFFSET(mission_ACH!$A$2,0,0,COUNTA($A:$A),MATCH(I$2,mission_ACH!$2:$2,0)-MATCH($G$2,mission_ACH!$2:$2,0)+1),MATCH(I$2,mission_ACH!$2:$2,0)-MATCH($G$2,mission_ACH!$2:$2,0)+1,FALSE)</f>
        <v>polygon</v>
      </c>
      <c r="J353" s="31">
        <f ca="1">VLOOKUP($G353,OFFSET(mission_ACH!$A$2,0,0,COUNTA($A:$A),MATCH(J$2,mission_ACH!$2:$2,0)-MATCH($G$2,mission_ACH!$2:$2,0)+1),MATCH(J$2,mission_ACH!$2:$2,0)-MATCH($G$2,mission_ACH!$2:$2,0)+1,FALSE)</f>
        <v>1</v>
      </c>
      <c r="K353" s="31" t="str">
        <f ca="1">IF(I353="unit",VLOOKUP($G353,OFFSET(mission_ACH!$A$2,0,0,COUNTA($A:$A),MATCH(K$2,mission_ACH!$2:$2,0)-MATCH($G$2,mission_ACH!$2:$2,0)+1),MATCH(K$2,mission_ACH!$2:$2,0)-MATCH($G$2,mission_ACH!$2:$2,0)+1,FALSE),"")</f>
        <v/>
      </c>
      <c r="L353" s="31">
        <f ca="1">VLOOKUP($G353,OFFSET(mission_ACH!$A$2,0,0,COUNTA($A:$A),MATCH(L$2,mission_ACH!$2:$2,0)-MATCH($G$2,mission_ACH!$2:$2,0)+1),MATCH(L$2,mission_ACH!$2:$2,0)-MATCH($G$2,mission_ACH!$2:$2,0)+1,FALSE)</f>
        <v>0</v>
      </c>
      <c r="M353" s="76">
        <v>90</v>
      </c>
      <c r="N353" s="87" t="s">
        <v>1411</v>
      </c>
      <c r="O353" s="87" t="s">
        <v>1410</v>
      </c>
      <c r="P353" s="143">
        <v>11000</v>
      </c>
    </row>
    <row r="354" spans="1:16" ht="21" customHeight="1" x14ac:dyDescent="0.15">
      <c r="A354" s="76">
        <v>8003</v>
      </c>
      <c r="B354" s="26" t="str">
        <f t="shared" ref="B354" ca="1" si="146">F354</f>
        <v>「第二回さいかわ総選挙」に投票しよう！(6/30まで)</v>
      </c>
      <c r="C354" s="27" t="s">
        <v>331</v>
      </c>
      <c r="D354" s="31" t="str">
        <f ca="1">VLOOKUP($C354,OFFSET(mission_unlock_criteria!$A$2,0,0,COUNTA(mission_unlock_criteria!$A:$A),MATCH(D$2,mission_unlock_criteria!$2:$2,0)-MATCH($C$2,mission_unlock_criteria!$2:$2,0)+1),MATCH(D$2,mission_unlock_criteria!$2:$2,0)-MATCH($C$2,mission_unlock_criteria!$2:$2,0)+1,FALSE)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54" s="2" t="s">
        <v>1450</v>
      </c>
      <c r="F354" s="31" t="str">
        <f ca="1">VLOOKUP($E354,OFFSET(mission_ACH_criteria!$A$1,0,0,COUNTA(mission_ACH_criteria!$A:$A),MATCH(F$2,mission_ACH_criteria!$1:$1,0)-MATCH($E$2,mission_ACH_criteria!$1:$1,0)+1),MATCH(F$2,mission_ACH_criteria!$1:$1,0)-MATCH($E$2,mission_ACH_criteria!$1:$1,0)+1,FALSE)</f>
        <v>「第二回さいかわ総選挙」に投票しよう！(6/30まで)</v>
      </c>
      <c r="G354" s="27" t="s">
        <v>119</v>
      </c>
      <c r="H354" s="31" t="str">
        <f t="shared" ref="H354" ca="1" si="147">IF(I354="unit",K354&amp;" x "&amp;L354,IF(I354="polygon","ポリゴン x "&amp;J354,IF(I354="bit","ビット x "&amp;J354,IF(I354="link","リンク x "&amp;J354))))</f>
        <v>ポリゴン x 1</v>
      </c>
      <c r="I354" s="31" t="str">
        <f ca="1">VLOOKUP($G354,OFFSET(mission_ACH!$A$2,0,0,COUNTA($A:$A),MATCH(I$2,mission_ACH!$2:$2,0)-MATCH($G$2,mission_ACH!$2:$2,0)+1),MATCH(I$2,mission_ACH!$2:$2,0)-MATCH($G$2,mission_ACH!$2:$2,0)+1,FALSE)</f>
        <v>polygon</v>
      </c>
      <c r="J354" s="31">
        <f ca="1">VLOOKUP($G354,OFFSET(mission_ACH!$A$2,0,0,COUNTA($A:$A),MATCH(J$2,mission_ACH!$2:$2,0)-MATCH($G$2,mission_ACH!$2:$2,0)+1),MATCH(J$2,mission_ACH!$2:$2,0)-MATCH($G$2,mission_ACH!$2:$2,0)+1,FALSE)</f>
        <v>1</v>
      </c>
      <c r="K354" s="31" t="str">
        <f ca="1">IF(I354="unit",VLOOKUP($G354,OFFSET(mission_ACH!$A$2,0,0,COUNTA($A:$A),MATCH(K$2,mission_ACH!$2:$2,0)-MATCH($G$2,mission_ACH!$2:$2,0)+1),MATCH(K$2,mission_ACH!$2:$2,0)-MATCH($G$2,mission_ACH!$2:$2,0)+1,FALSE),"")</f>
        <v/>
      </c>
      <c r="L354" s="31">
        <f ca="1">VLOOKUP($G354,OFFSET(mission_ACH!$A$2,0,0,COUNTA($A:$A),MATCH(L$2,mission_ACH!$2:$2,0)-MATCH($G$2,mission_ACH!$2:$2,0)+1),MATCH(L$2,mission_ACH!$2:$2,0)-MATCH($G$2,mission_ACH!$2:$2,0)+1,FALSE)</f>
        <v>0</v>
      </c>
      <c r="M354" s="76">
        <v>94</v>
      </c>
      <c r="N354" s="87" t="s">
        <v>1451</v>
      </c>
      <c r="O354" s="87" t="s">
        <v>1452</v>
      </c>
      <c r="P354" s="143"/>
    </row>
    <row r="355" spans="1:16" ht="21" customHeight="1" x14ac:dyDescent="0.15">
      <c r="A355" s="76">
        <v>8004</v>
      </c>
      <c r="B355" s="26" t="str">
        <f t="shared" ref="B355" ca="1" si="148">F355</f>
        <v>「★6覚醒実装して欲しいユニットは？」に投票しよう！(7/14まで)</v>
      </c>
      <c r="C355" s="27" t="s">
        <v>331</v>
      </c>
      <c r="D355" s="31" t="str">
        <f ca="1">VLOOKUP($C355,OFFSET(mission_unlock_criteria!$A$2,0,0,COUNTA(mission_unlock_criteria!$A:$A),MATCH(D$2,mission_unlock_criteria!$2:$2,0)-MATCH($C$2,mission_unlock_criteria!$2:$2,0)+1),MATCH(D$2,mission_unlock_criteria!$2:$2,0)-MATCH($C$2,mission_unlock_criteria!$2:$2,0)+1,FALSE)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55" s="2" t="s">
        <v>1573</v>
      </c>
      <c r="F355" s="31" t="str">
        <f ca="1">VLOOKUP($E355,OFFSET(mission_ACH_criteria!$A$1,0,0,COUNTA(mission_ACH_criteria!$A:$A),MATCH(F$2,mission_ACH_criteria!$1:$1,0)-MATCH($E$2,mission_ACH_criteria!$1:$1,0)+1),MATCH(F$2,mission_ACH_criteria!$1:$1,0)-MATCH($E$2,mission_ACH_criteria!$1:$1,0)+1,FALSE)</f>
        <v>「★6覚醒実装して欲しいユニットは？」に投票しよう！(7/14まで)</v>
      </c>
      <c r="G355" s="27" t="s">
        <v>119</v>
      </c>
      <c r="H355" s="31" t="str">
        <f t="shared" ref="H355" ca="1" si="149">IF(I355="unit",K355&amp;" x "&amp;L355,IF(I355="polygon","ポリゴン x "&amp;J355,IF(I355="bit","ビット x "&amp;J355,IF(I355="link","リンク x "&amp;J355))))</f>
        <v>ポリゴン x 1</v>
      </c>
      <c r="I355" s="31" t="str">
        <f ca="1">VLOOKUP($G355,OFFSET(mission_ACH!$A$2,0,0,COUNTA($A:$A),MATCH(I$2,mission_ACH!$2:$2,0)-MATCH($G$2,mission_ACH!$2:$2,0)+1),MATCH(I$2,mission_ACH!$2:$2,0)-MATCH($G$2,mission_ACH!$2:$2,0)+1,FALSE)</f>
        <v>polygon</v>
      </c>
      <c r="J355" s="31">
        <f ca="1">VLOOKUP($G355,OFFSET(mission_ACH!$A$2,0,0,COUNTA($A:$A),MATCH(J$2,mission_ACH!$2:$2,0)-MATCH($G$2,mission_ACH!$2:$2,0)+1),MATCH(J$2,mission_ACH!$2:$2,0)-MATCH($G$2,mission_ACH!$2:$2,0)+1,FALSE)</f>
        <v>1</v>
      </c>
      <c r="K355" s="31" t="str">
        <f ca="1">IF(I355="unit",VLOOKUP($G355,OFFSET(mission_ACH!$A$2,0,0,COUNTA($A:$A),MATCH(K$2,mission_ACH!$2:$2,0)-MATCH($G$2,mission_ACH!$2:$2,0)+1),MATCH(K$2,mission_ACH!$2:$2,0)-MATCH($G$2,mission_ACH!$2:$2,0)+1,FALSE),"")</f>
        <v/>
      </c>
      <c r="L355" s="31">
        <f ca="1">VLOOKUP($G355,OFFSET(mission_ACH!$A$2,0,0,COUNTA($A:$A),MATCH(L$2,mission_ACH!$2:$2,0)-MATCH($G$2,mission_ACH!$2:$2,0)+1),MATCH(L$2,mission_ACH!$2:$2,0)-MATCH($G$2,mission_ACH!$2:$2,0)+1,FALSE)</f>
        <v>0</v>
      </c>
      <c r="M355" s="76">
        <v>94</v>
      </c>
      <c r="N355" s="87" t="s">
        <v>1575</v>
      </c>
      <c r="O355" s="87" t="s">
        <v>1583</v>
      </c>
      <c r="P355" s="143"/>
    </row>
    <row r="356" spans="1:16" ht="21" customHeight="1" x14ac:dyDescent="0.15">
      <c r="A356" s="76">
        <v>8005</v>
      </c>
      <c r="B356" s="26" t="str">
        <f t="shared" ref="B356" ca="1" si="150">F356</f>
        <v>「ゼウス襲来！」 攻略動画を観よう！</v>
      </c>
      <c r="C356" s="27" t="s">
        <v>331</v>
      </c>
      <c r="D356" s="31" t="str">
        <f ca="1">VLOOKUP($C356,OFFSET(mission_unlock_criteria!$A$2,0,0,COUNTA(mission_unlock_criteria!$A:$A),MATCH(D$2,mission_unlock_criteria!$2:$2,0)-MATCH($C$2,mission_unlock_criteria!$2:$2,0)+1),MATCH(D$2,mission_unlock_criteria!$2:$2,0)-MATCH($C$2,mission_unlock_criteria!$2:$2,0)+1,FALSE)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56" s="2" t="s">
        <v>1579</v>
      </c>
      <c r="F356" s="31" t="str">
        <f ca="1">VLOOKUP($E356,OFFSET(mission_ACH_criteria!$A$1,0,0,COUNTA(mission_ACH_criteria!$A:$A),MATCH(F$2,mission_ACH_criteria!$1:$1,0)-MATCH($E$2,mission_ACH_criteria!$1:$1,0)+1),MATCH(F$2,mission_ACH_criteria!$1:$1,0)-MATCH($E$2,mission_ACH_criteria!$1:$1,0)+1,FALSE)</f>
        <v>「ゼウス襲来！」 攻略動画を観よう！</v>
      </c>
      <c r="G356" s="27" t="s">
        <v>119</v>
      </c>
      <c r="H356" s="31" t="str">
        <f t="shared" ref="H356" ca="1" si="151">IF(I356="unit",K356&amp;" x "&amp;L356,IF(I356="polygon","ポリゴン x "&amp;J356,IF(I356="bit","ビット x "&amp;J356,IF(I356="link","リンク x "&amp;J356))))</f>
        <v>ポリゴン x 1</v>
      </c>
      <c r="I356" s="31" t="str">
        <f ca="1">VLOOKUP($G356,OFFSET(mission_ACH!$A$2,0,0,COUNTA($A:$A),MATCH(I$2,mission_ACH!$2:$2,0)-MATCH($G$2,mission_ACH!$2:$2,0)+1),MATCH(I$2,mission_ACH!$2:$2,0)-MATCH($G$2,mission_ACH!$2:$2,0)+1,FALSE)</f>
        <v>polygon</v>
      </c>
      <c r="J356" s="31">
        <f ca="1">VLOOKUP($G356,OFFSET(mission_ACH!$A$2,0,0,COUNTA($A:$A),MATCH(J$2,mission_ACH!$2:$2,0)-MATCH($G$2,mission_ACH!$2:$2,0)+1),MATCH(J$2,mission_ACH!$2:$2,0)-MATCH($G$2,mission_ACH!$2:$2,0)+1,FALSE)</f>
        <v>1</v>
      </c>
      <c r="K356" s="31" t="str">
        <f ca="1">IF(I356="unit",VLOOKUP($G356,OFFSET(mission_ACH!$A$2,0,0,COUNTA($A:$A),MATCH(K$2,mission_ACH!$2:$2,0)-MATCH($G$2,mission_ACH!$2:$2,0)+1),MATCH(K$2,mission_ACH!$2:$2,0)-MATCH($G$2,mission_ACH!$2:$2,0)+1,FALSE),"")</f>
        <v/>
      </c>
      <c r="L356" s="31">
        <f ca="1">VLOOKUP($G356,OFFSET(mission_ACH!$A$2,0,0,COUNTA($A:$A),MATCH(L$2,mission_ACH!$2:$2,0)-MATCH($G$2,mission_ACH!$2:$2,0)+1),MATCH(L$2,mission_ACH!$2:$2,0)-MATCH($G$2,mission_ACH!$2:$2,0)+1,FALSE)</f>
        <v>0</v>
      </c>
      <c r="M356" s="76">
        <v>94</v>
      </c>
      <c r="N356" s="87" t="s">
        <v>1584</v>
      </c>
      <c r="O356" s="87" t="s">
        <v>1585</v>
      </c>
      <c r="P356" s="143"/>
    </row>
    <row r="357" spans="1:16" ht="21" customHeight="1" x14ac:dyDescent="0.15">
      <c r="A357" s="76">
        <v>8006</v>
      </c>
      <c r="B357" s="26" t="str">
        <f t="shared" ref="B357" ca="1" si="152">F357</f>
        <v>「上方修正・超覚醒して欲しいユニット」に投票しよう！</v>
      </c>
      <c r="C357" s="27" t="s">
        <v>331</v>
      </c>
      <c r="D357" s="31" t="str">
        <f ca="1">VLOOKUP($C357,OFFSET(mission_unlock_criteria!$A$2,0,0,COUNTA(mission_unlock_criteria!$A:$A),MATCH(D$2,mission_unlock_criteria!$2:$2,0)-MATCH($C$2,mission_unlock_criteria!$2:$2,0)+1),MATCH(D$2,mission_unlock_criteria!$2:$2,0)-MATCH($C$2,mission_unlock_criteria!$2:$2,0)+1,FALSE)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57" s="2" t="s">
        <v>2099</v>
      </c>
      <c r="F357" s="31" t="str">
        <f ca="1">VLOOKUP($E357,OFFSET(mission_ACH_criteria!$A$1,0,0,COUNTA(mission_ACH_criteria!$A:$A),MATCH(F$2,mission_ACH_criteria!$1:$1,0)-MATCH($E$2,mission_ACH_criteria!$1:$1,0)+1),MATCH(F$2,mission_ACH_criteria!$1:$1,0)-MATCH($E$2,mission_ACH_criteria!$1:$1,0)+1,FALSE)</f>
        <v>「上方修正・超覚醒して欲しいユニット」に投票しよう！</v>
      </c>
      <c r="G357" s="27" t="s">
        <v>119</v>
      </c>
      <c r="H357" s="31" t="str">
        <f t="shared" ref="H357" ca="1" si="153">IF(I357="unit",K357&amp;" x "&amp;L357,IF(I357="polygon","ポリゴン x "&amp;J357,IF(I357="bit","ビット x "&amp;J357,IF(I357="link","リンク x "&amp;J357))))</f>
        <v>ポリゴン x 1</v>
      </c>
      <c r="I357" s="31" t="str">
        <f ca="1">VLOOKUP($G357,OFFSET(mission_ACH!$A$2,0,0,COUNTA($A:$A),MATCH(I$2,mission_ACH!$2:$2,0)-MATCH($G$2,mission_ACH!$2:$2,0)+1),MATCH(I$2,mission_ACH!$2:$2,0)-MATCH($G$2,mission_ACH!$2:$2,0)+1,FALSE)</f>
        <v>polygon</v>
      </c>
      <c r="J357" s="31">
        <f ca="1">VLOOKUP($G357,OFFSET(mission_ACH!$A$2,0,0,COUNTA($A:$A),MATCH(J$2,mission_ACH!$2:$2,0)-MATCH($G$2,mission_ACH!$2:$2,0)+1),MATCH(J$2,mission_ACH!$2:$2,0)-MATCH($G$2,mission_ACH!$2:$2,0)+1,FALSE)</f>
        <v>1</v>
      </c>
      <c r="K357" s="31" t="str">
        <f ca="1">IF(I357="unit",VLOOKUP($G357,OFFSET(mission_ACH!$A$2,0,0,COUNTA($A:$A),MATCH(K$2,mission_ACH!$2:$2,0)-MATCH($G$2,mission_ACH!$2:$2,0)+1),MATCH(K$2,mission_ACH!$2:$2,0)-MATCH($G$2,mission_ACH!$2:$2,0)+1,FALSE),"")</f>
        <v/>
      </c>
      <c r="L357" s="31">
        <f ca="1">VLOOKUP($G357,OFFSET(mission_ACH!$A$2,0,0,COUNTA($A:$A),MATCH(L$2,mission_ACH!$2:$2,0)-MATCH($G$2,mission_ACH!$2:$2,0)+1),MATCH(L$2,mission_ACH!$2:$2,0)-MATCH($G$2,mission_ACH!$2:$2,0)+1,FALSE)</f>
        <v>0</v>
      </c>
      <c r="M357" s="76">
        <v>94</v>
      </c>
      <c r="N357" s="87" t="s">
        <v>2095</v>
      </c>
      <c r="O357" s="87" t="s">
        <v>2100</v>
      </c>
    </row>
    <row r="358" spans="1:16" ht="21" customHeight="1" x14ac:dyDescent="0.15">
      <c r="A358" s="76">
        <v>8007</v>
      </c>
      <c r="B358" s="26" t="str">
        <f ca="1">F358</f>
        <v>「クラフィ公式ニコ生」を見よう！</v>
      </c>
      <c r="C358" s="27" t="s">
        <v>331</v>
      </c>
      <c r="D358" s="31" t="str">
        <f ca="1">VLOOKUP($C358,OFFSET(mission_unlock_criteria!$A$2,0,0,COUNTA(mission_unlock_criteria!$A:$A),MATCH(D$2,mission_unlock_criteria!$2:$2,0)-MATCH($C$2,mission_unlock_criteria!$2:$2,0)+1),MATCH(D$2,mission_unlock_criteria!$2:$2,0)-MATCH($C$2,mission_unlock_criteria!$2:$2,0)+1,FALSE)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58" s="2" t="s">
        <v>2103</v>
      </c>
      <c r="F358" s="31" t="str">
        <f ca="1">VLOOKUP($E358,OFFSET(mission_ACH_criteria!$A$1,0,0,COUNTA(mission_ACH_criteria!$A:$A),MATCH(F$2,mission_ACH_criteria!$1:$1,0)-MATCH($E$2,mission_ACH_criteria!$1:$1,0)+1),MATCH(F$2,mission_ACH_criteria!$1:$1,0)-MATCH($E$2,mission_ACH_criteria!$1:$1,0)+1,FALSE)</f>
        <v>「クラフィ公式ニコ生」を見よう！</v>
      </c>
      <c r="G358" s="27" t="s">
        <v>47</v>
      </c>
      <c r="H358" s="31" t="str">
        <f t="shared" ref="H358:H361" ca="1" si="154">IF(I358="unit",K358&amp;" x "&amp;L358,IF(I358="polygon","ポリゴン x "&amp;J358,IF(I358="bit","ビット x "&amp;J358,IF(I358="link","リンク x "&amp;J358))))</f>
        <v>ポリゴン x 1</v>
      </c>
      <c r="I358" s="31" t="str">
        <f ca="1">VLOOKUP($G358,OFFSET(mission_ACH!$A$2,0,0,COUNTA($A:$A),MATCH(I$2,mission_ACH!$2:$2,0)-MATCH($G$2,mission_ACH!$2:$2,0)+1),MATCH(I$2,mission_ACH!$2:$2,0)-MATCH($G$2,mission_ACH!$2:$2,0)+1,FALSE)</f>
        <v>polygon</v>
      </c>
      <c r="J358" s="31">
        <f ca="1">VLOOKUP($G358,OFFSET(mission_ACH!$A$2,0,0,COUNTA($A:$A),MATCH(J$2,mission_ACH!$2:$2,0)-MATCH($G$2,mission_ACH!$2:$2,0)+1),MATCH(J$2,mission_ACH!$2:$2,0)-MATCH($G$2,mission_ACH!$2:$2,0)+1,FALSE)</f>
        <v>1</v>
      </c>
      <c r="K358" s="31" t="str">
        <f ca="1">IF(I358="unit",VLOOKUP($G358,OFFSET(mission_ACH!$A$2,0,0,COUNTA($A:$A),MATCH(K$2,mission_ACH!$2:$2,0)-MATCH($G$2,mission_ACH!$2:$2,0)+1),MATCH(K$2,mission_ACH!$2:$2,0)-MATCH($G$2,mission_ACH!$2:$2,0)+1,FALSE),"")</f>
        <v/>
      </c>
      <c r="L358" s="31">
        <f ca="1">VLOOKUP($G358,OFFSET(mission_ACH!$A$2,0,0,COUNTA($A:$A),MATCH(L$2,mission_ACH!$2:$2,0)-MATCH($G$2,mission_ACH!$2:$2,0)+1),MATCH(L$2,mission_ACH!$2:$2,0)-MATCH($G$2,mission_ACH!$2:$2,0)+1,FALSE)</f>
        <v>0</v>
      </c>
      <c r="M358" s="76">
        <v>94</v>
      </c>
      <c r="N358" s="87" t="s">
        <v>2104</v>
      </c>
      <c r="O358" s="87" t="s">
        <v>2105</v>
      </c>
    </row>
    <row r="359" spans="1:16" ht="21" customHeight="1" x14ac:dyDescent="0.15">
      <c r="A359" s="128">
        <v>9999</v>
      </c>
      <c r="B359" s="26" t="str">
        <f ca="1">F359</f>
        <v>achievement_criterion_count検証ミッション</v>
      </c>
      <c r="C359" s="27" t="s">
        <v>932</v>
      </c>
      <c r="D359" s="31" t="str">
        <f ca="1">VLOOKUP($C359,OFFSET(mission_unlock_criteria!$A$2,0,0,COUNTA(mission_unlock_criteria!$A:$A),MATCH(D$2,mission_unlock_criteria!$2:$2,0)-MATCH($C$2,mission_unlock_criteria!$2:$2,0)+1),MATCH(D$2,mission_unlock_criteria!$2:$2,0)-MATCH($C$2,mission_unlock_criteria!$2:$2,0)+1,FALSE)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59" s="27" t="s">
        <v>2235</v>
      </c>
      <c r="F359" s="31" t="str">
        <f ca="1">VLOOKUP($E359,OFFSET(mission_ACH_criteria!$A$1,0,0,COUNTA(mission_ACH_criteria!$A:$A),MATCH(F$2,mission_ACH_criteria!$1:$1,0)-MATCH($E$2,mission_ACH_criteria!$1:$1,0)+1),MATCH(F$2,mission_ACH_criteria!$1:$1,0)-MATCH($E$2,mission_ACH_criteria!$1:$1,0)+1,FALSE)</f>
        <v>achievement_criterion_count検証ミッション</v>
      </c>
      <c r="G359" s="27" t="s">
        <v>119</v>
      </c>
      <c r="H359" s="31" t="str">
        <f t="shared" ca="1" si="154"/>
        <v>ポリゴン x 1</v>
      </c>
      <c r="I359" s="31" t="str">
        <f ca="1">VLOOKUP($G359,OFFSET(mission_ACH!$A$2,0,0,COUNTA($A:$A),MATCH(I$2,mission_ACH!$2:$2,0)-MATCH($G$2,mission_ACH!$2:$2,0)+1),MATCH(I$2,mission_ACH!$2:$2,0)-MATCH($G$2,mission_ACH!$2:$2,0)+1,FALSE)</f>
        <v>polygon</v>
      </c>
      <c r="J359" s="31">
        <f ca="1">VLOOKUP($G359,OFFSET(mission_ACH!$A$2,0,0,COUNTA($A:$A),MATCH(J$2,mission_ACH!$2:$2,0)-MATCH($G$2,mission_ACH!$2:$2,0)+1),MATCH(J$2,mission_ACH!$2:$2,0)-MATCH($G$2,mission_ACH!$2:$2,0)+1,FALSE)</f>
        <v>1</v>
      </c>
      <c r="K359" s="31" t="str">
        <f ca="1">IF(I359="unit",VLOOKUP($G359,OFFSET(mission_ACH!$A$2,0,0,COUNTA($A:$A),MATCH(K$2,mission_ACH!$2:$2,0)-MATCH($G$2,mission_ACH!$2:$2,0)+1),MATCH(K$2,mission_ACH!$2:$2,0)-MATCH($G$2,mission_ACH!$2:$2,0)+1,FALSE),"")</f>
        <v/>
      </c>
      <c r="L359" s="31">
        <f ca="1">VLOOKUP($G359,OFFSET(mission_ACH!$A$2,0,0,COUNTA($A:$A),MATCH(L$2,mission_ACH!$2:$2,0)-MATCH($G$2,mission_ACH!$2:$2,0)+1),MATCH(L$2,mission_ACH!$2:$2,0)-MATCH($G$2,mission_ACH!$2:$2,0)+1,FALSE)</f>
        <v>0</v>
      </c>
      <c r="M359" s="27">
        <v>50</v>
      </c>
      <c r="N359" s="87" t="s">
        <v>2233</v>
      </c>
      <c r="O359" s="87" t="s">
        <v>2234</v>
      </c>
    </row>
    <row r="360" spans="1:16" s="1" customFormat="1" ht="21" customHeight="1" x14ac:dyDescent="0.15">
      <c r="A360" s="27">
        <v>30000</v>
      </c>
      <c r="B360" s="26" t="str">
        <f t="shared" ref="B360:B370" ca="1" si="155">F360</f>
        <v>ホワイトデーイベント開催をTwitterでツイートしよう！</v>
      </c>
      <c r="C360" s="27" t="s">
        <v>331</v>
      </c>
      <c r="D360" s="31" t="str">
        <f ca="1">VLOOKUP($C360,OFFSET(mission_unlock_criteria!$A$2,0,0,COUNTA(mission_unlock_criteria!$A:$A),MATCH(D$2,mission_unlock_criteria!$2:$2,0)-MATCH($C$2,mission_unlock_criteria!$2:$2,0)+1),MATCH(D$2,mission_unlock_criteria!$2:$2,0)-MATCH($C$2,mission_unlock_criteria!$2:$2,0)+1,FALSE)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60" s="2" t="s">
        <v>2238</v>
      </c>
      <c r="F360" s="31" t="str">
        <f ca="1">VLOOKUP($E360,OFFSET(mission_ACH_criteria!$A$1,0,0,COUNTA(mission_ACH_criteria!$A:$A),MATCH(F$2,mission_ACH_criteria!$1:$1,0)-MATCH($E$2,mission_ACH_criteria!$1:$1,0)+1),MATCH(F$2,mission_ACH_criteria!$1:$1,0)-MATCH($E$2,mission_ACH_criteria!$1:$1,0)+1,FALSE)</f>
        <v>ホワイトデーイベント開催をTwitterでツイートしよう！</v>
      </c>
      <c r="G360" s="27" t="s">
        <v>47</v>
      </c>
      <c r="H360" s="31" t="str">
        <f t="shared" ca="1" si="154"/>
        <v>ポリゴン x 1</v>
      </c>
      <c r="I360" s="31" t="str">
        <f ca="1">VLOOKUP($G360,OFFSET(mission_ACH!$A$2,0,0,COUNTA($A:$A),MATCH(I$2,mission_ACH!$2:$2,0)-MATCH($G$2,mission_ACH!$2:$2,0)+1),MATCH(I$2,mission_ACH!$2:$2,0)-MATCH($G$2,mission_ACH!$2:$2,0)+1,FALSE)</f>
        <v>polygon</v>
      </c>
      <c r="J360" s="31">
        <f ca="1">VLOOKUP($G360,OFFSET(mission_ACH!$A$2,0,0,COUNTA($A:$A),MATCH(J$2,mission_ACH!$2:$2,0)-MATCH($G$2,mission_ACH!$2:$2,0)+1),MATCH(J$2,mission_ACH!$2:$2,0)-MATCH($G$2,mission_ACH!$2:$2,0)+1,FALSE)</f>
        <v>1</v>
      </c>
      <c r="K360" s="31" t="str">
        <f ca="1">IF(I360="unit",VLOOKUP($G360,OFFSET(mission_ACH!$A$2,0,0,COUNTA($A:$A),MATCH(K$2,mission_ACH!$2:$2,0)-MATCH($G$2,mission_ACH!$2:$2,0)+1),MATCH(K$2,mission_ACH!$2:$2,0)-MATCH($G$2,mission_ACH!$2:$2,0)+1,FALSE),"")</f>
        <v/>
      </c>
      <c r="L360" s="31">
        <f ca="1">VLOOKUP($G360,OFFSET(mission_ACH!$A$2,0,0,COUNTA($A:$A),MATCH(L$2,mission_ACH!$2:$2,0)-MATCH($G$2,mission_ACH!$2:$2,0)+1),MATCH(L$2,mission_ACH!$2:$2,0)-MATCH($G$2,mission_ACH!$2:$2,0)+1,FALSE)</f>
        <v>0</v>
      </c>
      <c r="M360" s="27">
        <v>100</v>
      </c>
      <c r="N360" s="87" t="s">
        <v>2245</v>
      </c>
      <c r="O360" s="87" t="s">
        <v>2246</v>
      </c>
    </row>
    <row r="361" spans="1:16" s="1" customFormat="1" ht="21" customHeight="1" x14ac:dyDescent="0.15">
      <c r="A361" s="27">
        <f>A360+1</f>
        <v>30001</v>
      </c>
      <c r="B361" s="26" t="str">
        <f t="shared" ca="1" si="155"/>
        <v>ホワイトデーイベント開催をLINEでタイムライン投稿しよう！</v>
      </c>
      <c r="C361" s="27" t="s">
        <v>331</v>
      </c>
      <c r="D361" s="31" t="str">
        <f ca="1">VLOOKUP($C361,OFFSET(mission_unlock_criteria!$A$2,0,0,COUNTA(mission_unlock_criteria!$A:$A),MATCH(D$2,mission_unlock_criteria!$2:$2,0)-MATCH($C$2,mission_unlock_criteria!$2:$2,0)+1),MATCH(D$2,mission_unlock_criteria!$2:$2,0)-MATCH($C$2,mission_unlock_criteria!$2:$2,0)+1,FALSE)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61" s="2" t="s">
        <v>2239</v>
      </c>
      <c r="F361" s="31" t="str">
        <f ca="1">VLOOKUP($E361,OFFSET(mission_ACH_criteria!$A$1,0,0,COUNTA(mission_ACH_criteria!$A:$A),MATCH(F$2,mission_ACH_criteria!$1:$1,0)-MATCH($E$2,mission_ACH_criteria!$1:$1,0)+1),MATCH(F$2,mission_ACH_criteria!$1:$1,0)-MATCH($E$2,mission_ACH_criteria!$1:$1,0)+1,FALSE)</f>
        <v>ホワイトデーイベント開催をLINEでタイムライン投稿しよう！</v>
      </c>
      <c r="G361" s="27" t="s">
        <v>47</v>
      </c>
      <c r="H361" s="31" t="str">
        <f t="shared" ca="1" si="154"/>
        <v>ポリゴン x 1</v>
      </c>
      <c r="I361" s="31" t="str">
        <f ca="1">VLOOKUP($G361,OFFSET(mission_ACH!$A$2,0,0,COUNTA($A:$A),MATCH(I$2,mission_ACH!$2:$2,0)-MATCH($G$2,mission_ACH!$2:$2,0)+1),MATCH(I$2,mission_ACH!$2:$2,0)-MATCH($G$2,mission_ACH!$2:$2,0)+1,FALSE)</f>
        <v>polygon</v>
      </c>
      <c r="J361" s="31">
        <f ca="1">VLOOKUP($G361,OFFSET(mission_ACH!$A$2,0,0,COUNTA($A:$A),MATCH(J$2,mission_ACH!$2:$2,0)-MATCH($G$2,mission_ACH!$2:$2,0)+1),MATCH(J$2,mission_ACH!$2:$2,0)-MATCH($G$2,mission_ACH!$2:$2,0)+1,FALSE)</f>
        <v>1</v>
      </c>
      <c r="K361" s="31" t="str">
        <f ca="1">IF(I361="unit",VLOOKUP($G361,OFFSET(mission_ACH!$A$2,0,0,COUNTA($A:$A),MATCH(K$2,mission_ACH!$2:$2,0)-MATCH($G$2,mission_ACH!$2:$2,0)+1),MATCH(K$2,mission_ACH!$2:$2,0)-MATCH($G$2,mission_ACH!$2:$2,0)+1,FALSE),"")</f>
        <v/>
      </c>
      <c r="L361" s="31">
        <f ca="1">VLOOKUP($G361,OFFSET(mission_ACH!$A$2,0,0,COUNTA($A:$A),MATCH(L$2,mission_ACH!$2:$2,0)-MATCH($G$2,mission_ACH!$2:$2,0)+1),MATCH(L$2,mission_ACH!$2:$2,0)-MATCH($G$2,mission_ACH!$2:$2,0)+1,FALSE)</f>
        <v>0</v>
      </c>
      <c r="M361" s="27">
        <v>101</v>
      </c>
      <c r="N361" s="87" t="s">
        <v>2245</v>
      </c>
      <c r="O361" s="87" t="s">
        <v>2246</v>
      </c>
    </row>
    <row r="362" spans="1:16" s="1" customFormat="1" ht="21" customHeight="1" x14ac:dyDescent="0.15">
      <c r="A362" s="27">
        <f t="shared" ref="A362:A425" si="156">A361+1</f>
        <v>30002</v>
      </c>
      <c r="B362" s="26" t="str">
        <f t="shared" ca="1" si="155"/>
        <v>クエスト 【上級】僕の愛よあの子にとどけ！ をクリアしよう！</v>
      </c>
      <c r="C362" s="27" t="s">
        <v>331</v>
      </c>
      <c r="D362" s="31" t="str">
        <f ca="1">VLOOKUP($C362,OFFSET(mission_unlock_criteria!$A$2,0,0,COUNTA(mission_unlock_criteria!$A:$A),MATCH(D$2,mission_unlock_criteria!$2:$2,0)-MATCH($C$2,mission_unlock_criteria!$2:$2,0)+1),MATCH(D$2,mission_unlock_criteria!$2:$2,0)-MATCH($C$2,mission_unlock_criteria!$2:$2,0)+1,FALSE)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62" s="21" t="s">
        <v>2248</v>
      </c>
      <c r="F362" s="31" t="str">
        <f ca="1">VLOOKUP($E362,OFFSET(mission_ACH_criteria!$A$1,0,0,COUNTA(mission_ACH_criteria!$A:$A),MATCH(F$2,mission_ACH_criteria!$1:$1,0)-MATCH($E$2,mission_ACH_criteria!$1:$1,0)+1),MATCH(F$2,mission_ACH_criteria!$1:$1,0)-MATCH($E$2,mission_ACH_criteria!$1:$1,0)+1,FALSE)</f>
        <v>クエスト 【上級】僕の愛よあの子にとどけ！ をクリアしよう！</v>
      </c>
      <c r="G362" s="27" t="s">
        <v>2267</v>
      </c>
      <c r="H362" s="76" t="s">
        <v>2272</v>
      </c>
      <c r="I362" s="31" t="str">
        <f ca="1">VLOOKUP($G362,OFFSET(mission_ACH!$A$2,0,0,COUNTA($A:$A),MATCH(I$2,mission_ACH!$2:$2,0)-MATCH($G$2,mission_ACH!$2:$2,0)+1),MATCH(I$2,mission_ACH!$2:$2,0)-MATCH($G$2,mission_ACH!$2:$2,0)+1,FALSE)</f>
        <v>item</v>
      </c>
      <c r="J362" s="31">
        <f ca="1">VLOOKUP($G362,OFFSET(mission_ACH!$A$2,0,0,COUNTA($A:$A),MATCH(J$2,mission_ACH!$2:$2,0)-MATCH($G$2,mission_ACH!$2:$2,0)+1),MATCH(J$2,mission_ACH!$2:$2,0)-MATCH($G$2,mission_ACH!$2:$2,0)+1,FALSE)</f>
        <v>703</v>
      </c>
      <c r="K362" s="31" t="str">
        <f ca="1">IF(I362="unit",VLOOKUP($G362,OFFSET(mission_ACH!$A$2,0,0,COUNTA($A:$A),MATCH(K$2,mission_ACH!$2:$2,0)-MATCH($G$2,mission_ACH!$2:$2,0)+1),MATCH(K$2,mission_ACH!$2:$2,0)-MATCH($G$2,mission_ACH!$2:$2,0)+1,FALSE),"")</f>
        <v/>
      </c>
      <c r="L362" s="31">
        <f ca="1">VLOOKUP($G362,OFFSET(mission_ACH!$A$2,0,0,COUNTA($A:$A),MATCH(L$2,mission_ACH!$2:$2,0)-MATCH($G$2,mission_ACH!$2:$2,0)+1),MATCH(L$2,mission_ACH!$2:$2,0)-MATCH($G$2,mission_ACH!$2:$2,0)+1,FALSE)</f>
        <v>15</v>
      </c>
      <c r="M362" s="27">
        <v>102</v>
      </c>
      <c r="N362" s="87" t="s">
        <v>2245</v>
      </c>
      <c r="O362" s="87" t="s">
        <v>2246</v>
      </c>
    </row>
    <row r="363" spans="1:16" ht="21" customHeight="1" x14ac:dyDescent="0.15">
      <c r="A363" s="27">
        <f t="shared" si="156"/>
        <v>30003</v>
      </c>
      <c r="B363" s="26" t="str">
        <f t="shared" ca="1" si="155"/>
        <v>クエスト 【ｳｨｻﾞ】僕の愛よあの子にとどけ！ をクリアしよう！</v>
      </c>
      <c r="C363" s="27" t="s">
        <v>331</v>
      </c>
      <c r="D363" s="31" t="str">
        <f ca="1">VLOOKUP($C363,OFFSET(mission_unlock_criteria!$A$2,0,0,COUNTA(mission_unlock_criteria!$A:$A),MATCH(D$2,mission_unlock_criteria!$2:$2,0)-MATCH($C$2,mission_unlock_criteria!$2:$2,0)+1),MATCH(D$2,mission_unlock_criteria!$2:$2,0)-MATCH($C$2,mission_unlock_criteria!$2:$2,0)+1,FALSE)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63" s="21" t="s">
        <v>2251</v>
      </c>
      <c r="F363" s="31" t="str">
        <f ca="1">VLOOKUP($E363,OFFSET(mission_ACH_criteria!$A$1,0,0,COUNTA(mission_ACH_criteria!$A:$A),MATCH(F$2,mission_ACH_criteria!$1:$1,0)-MATCH($E$2,mission_ACH_criteria!$1:$1,0)+1),MATCH(F$2,mission_ACH_criteria!$1:$1,0)-MATCH($E$2,mission_ACH_criteria!$1:$1,0)+1,FALSE)</f>
        <v>クエスト 【ｳｨｻﾞ】僕の愛よあの子にとどけ！ をクリアしよう！</v>
      </c>
      <c r="G363" s="27" t="s">
        <v>2269</v>
      </c>
      <c r="H363" s="76" t="s">
        <v>2271</v>
      </c>
      <c r="I363" s="31" t="str">
        <f ca="1">VLOOKUP($G363,OFFSET(mission_ACH!$A$2,0,0,COUNTA($A:$A),MATCH(I$2,mission_ACH!$2:$2,0)-MATCH($G$2,mission_ACH!$2:$2,0)+1),MATCH(I$2,mission_ACH!$2:$2,0)-MATCH($G$2,mission_ACH!$2:$2,0)+1,FALSE)</f>
        <v>item</v>
      </c>
      <c r="J363" s="31">
        <f ca="1">VLOOKUP($G363,OFFSET(mission_ACH!$A$2,0,0,COUNTA($A:$A),MATCH(J$2,mission_ACH!$2:$2,0)-MATCH($G$2,mission_ACH!$2:$2,0)+1),MATCH(J$2,mission_ACH!$2:$2,0)-MATCH($G$2,mission_ACH!$2:$2,0)+1,FALSE)</f>
        <v>703</v>
      </c>
      <c r="K363" s="31" t="str">
        <f ca="1">IF(I363="unit",VLOOKUP($G363,OFFSET(mission_ACH!$A$2,0,0,COUNTA($A:$A),MATCH(K$2,mission_ACH!$2:$2,0)-MATCH($G$2,mission_ACH!$2:$2,0)+1),MATCH(K$2,mission_ACH!$2:$2,0)-MATCH($G$2,mission_ACH!$2:$2,0)+1,FALSE),"")</f>
        <v/>
      </c>
      <c r="L363" s="31">
        <f ca="1">VLOOKUP($G363,OFFSET(mission_ACH!$A$2,0,0,COUNTA($A:$A),MATCH(L$2,mission_ACH!$2:$2,0)-MATCH($G$2,mission_ACH!$2:$2,0)+1),MATCH(L$2,mission_ACH!$2:$2,0)-MATCH($G$2,mission_ACH!$2:$2,0)+1,FALSE)</f>
        <v>30</v>
      </c>
      <c r="M363" s="27">
        <v>103</v>
      </c>
      <c r="N363" s="87" t="s">
        <v>2245</v>
      </c>
      <c r="O363" s="87" t="s">
        <v>2246</v>
      </c>
    </row>
    <row r="364" spans="1:16" ht="21" customHeight="1" x14ac:dyDescent="0.15">
      <c r="A364" s="27">
        <f t="shared" si="156"/>
        <v>30004</v>
      </c>
      <c r="B364" s="26" t="str">
        <f t="shared" ca="1" si="155"/>
        <v>ユニット 【グリム・ザ・ダンディ】 を 5 体ゲットしよう！</v>
      </c>
      <c r="C364" s="27" t="s">
        <v>331</v>
      </c>
      <c r="D364" s="31" t="str">
        <f ca="1">VLOOKUP($C364,OFFSET(mission_unlock_criteria!$A$2,0,0,COUNTA(mission_unlock_criteria!$A:$A),MATCH(D$2,mission_unlock_criteria!$2:$2,0)-MATCH($C$2,mission_unlock_criteria!$2:$2,0)+1),MATCH(D$2,mission_unlock_criteria!$2:$2,0)-MATCH($C$2,mission_unlock_criteria!$2:$2,0)+1,FALSE)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64" s="21" t="s">
        <v>2252</v>
      </c>
      <c r="F364" s="31" t="str">
        <f ca="1">VLOOKUP($E364,OFFSET(mission_ACH_criteria!$A$1,0,0,COUNTA(mission_ACH_criteria!$A:$A),MATCH(F$2,mission_ACH_criteria!$1:$1,0)-MATCH($E$2,mission_ACH_criteria!$1:$1,0)+1),MATCH(F$2,mission_ACH_criteria!$1:$1,0)-MATCH($E$2,mission_ACH_criteria!$1:$1,0)+1,FALSE)</f>
        <v>ユニット 【グリム・ザ・ダンディ】 を 5 体ゲットしよう！</v>
      </c>
      <c r="G364" s="27" t="s">
        <v>2258</v>
      </c>
      <c r="H364" s="76" t="s">
        <v>2270</v>
      </c>
      <c r="I364" s="31" t="str">
        <f ca="1">VLOOKUP($G364,OFFSET(mission_ACH!$A$2,0,0,COUNTA($A:$A),MATCH(I$2,mission_ACH!$2:$2,0)-MATCH($G$2,mission_ACH!$2:$2,0)+1),MATCH(I$2,mission_ACH!$2:$2,0)-MATCH($G$2,mission_ACH!$2:$2,0)+1,FALSE)</f>
        <v>item</v>
      </c>
      <c r="J364" s="31">
        <f ca="1">VLOOKUP($G364,OFFSET(mission_ACH!$A$2,0,0,COUNTA($A:$A),MATCH(J$2,mission_ACH!$2:$2,0)-MATCH($G$2,mission_ACH!$2:$2,0)+1),MATCH(J$2,mission_ACH!$2:$2,0)-MATCH($G$2,mission_ACH!$2:$2,0)+1,FALSE)</f>
        <v>703</v>
      </c>
      <c r="K364" s="31" t="str">
        <f ca="1">IF(I364="unit",VLOOKUP($G364,OFFSET(mission_ACH!$A$2,0,0,COUNTA($A:$A),MATCH(K$2,mission_ACH!$2:$2,0)-MATCH($G$2,mission_ACH!$2:$2,0)+1),MATCH(K$2,mission_ACH!$2:$2,0)-MATCH($G$2,mission_ACH!$2:$2,0)+1,FALSE),"")</f>
        <v/>
      </c>
      <c r="L364" s="31">
        <f ca="1">VLOOKUP($G364,OFFSET(mission_ACH!$A$2,0,0,COUNTA($A:$A),MATCH(L$2,mission_ACH!$2:$2,0)-MATCH($G$2,mission_ACH!$2:$2,0)+1),MATCH(L$2,mission_ACH!$2:$2,0)-MATCH($G$2,mission_ACH!$2:$2,0)+1,FALSE)</f>
        <v>3</v>
      </c>
      <c r="M364" s="27">
        <v>104</v>
      </c>
      <c r="N364" s="87" t="s">
        <v>2245</v>
      </c>
      <c r="O364" s="87" t="s">
        <v>2274</v>
      </c>
    </row>
    <row r="365" spans="1:16" ht="21" customHeight="1" x14ac:dyDescent="0.15">
      <c r="A365" s="27">
        <f t="shared" si="156"/>
        <v>30005</v>
      </c>
      <c r="B365" s="26" t="str">
        <f t="shared" ca="1" si="155"/>
        <v>ユニット 【グリム・ザ・ダンディ】 を 15 体ゲットしよう！</v>
      </c>
      <c r="C365" s="27" t="s">
        <v>331</v>
      </c>
      <c r="D365" s="31" t="str">
        <f ca="1">VLOOKUP($C365,OFFSET(mission_unlock_criteria!$A$2,0,0,COUNTA(mission_unlock_criteria!$A:$A),MATCH(D$2,mission_unlock_criteria!$2:$2,0)-MATCH($C$2,mission_unlock_criteria!$2:$2,0)+1),MATCH(D$2,mission_unlock_criteria!$2:$2,0)-MATCH($C$2,mission_unlock_criteria!$2:$2,0)+1,FALSE)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65" s="21" t="s">
        <v>2253</v>
      </c>
      <c r="F365" s="31" t="str">
        <f ca="1">VLOOKUP($E365,OFFSET(mission_ACH_criteria!$A$1,0,0,COUNTA(mission_ACH_criteria!$A:$A),MATCH(F$2,mission_ACH_criteria!$1:$1,0)-MATCH($E$2,mission_ACH_criteria!$1:$1,0)+1),MATCH(F$2,mission_ACH_criteria!$1:$1,0)-MATCH($E$2,mission_ACH_criteria!$1:$1,0)+1,FALSE)</f>
        <v>ユニット 【グリム・ザ・ダンディ】 を 15 体ゲットしよう！</v>
      </c>
      <c r="G365" s="27" t="s">
        <v>2264</v>
      </c>
      <c r="H365" s="76" t="s">
        <v>2273</v>
      </c>
      <c r="I365" s="31" t="str">
        <f ca="1">VLOOKUP($G365,OFFSET(mission_ACH!$A$2,0,0,COUNTA($A:$A),MATCH(I$2,mission_ACH!$2:$2,0)-MATCH($G$2,mission_ACH!$2:$2,0)+1),MATCH(I$2,mission_ACH!$2:$2,0)-MATCH($G$2,mission_ACH!$2:$2,0)+1,FALSE)</f>
        <v>item</v>
      </c>
      <c r="J365" s="31">
        <f ca="1">VLOOKUP($G365,OFFSET(mission_ACH!$A$2,0,0,COUNTA($A:$A),MATCH(J$2,mission_ACH!$2:$2,0)-MATCH($G$2,mission_ACH!$2:$2,0)+1),MATCH(J$2,mission_ACH!$2:$2,0)-MATCH($G$2,mission_ACH!$2:$2,0)+1,FALSE)</f>
        <v>703</v>
      </c>
      <c r="K365" s="31" t="str">
        <f ca="1">IF(I365="unit",VLOOKUP($G365,OFFSET(mission_ACH!$A$2,0,0,COUNTA($A:$A),MATCH(K$2,mission_ACH!$2:$2,0)-MATCH($G$2,mission_ACH!$2:$2,0)+1),MATCH(K$2,mission_ACH!$2:$2,0)-MATCH($G$2,mission_ACH!$2:$2,0)+1,FALSE),"")</f>
        <v/>
      </c>
      <c r="L365" s="31">
        <f ca="1">VLOOKUP($G365,OFFSET(mission_ACH!$A$2,0,0,COUNTA($A:$A),MATCH(L$2,mission_ACH!$2:$2,0)-MATCH($G$2,mission_ACH!$2:$2,0)+1),MATCH(L$2,mission_ACH!$2:$2,0)-MATCH($G$2,mission_ACH!$2:$2,0)+1,FALSE)</f>
        <v>9</v>
      </c>
      <c r="M365" s="27">
        <v>105</v>
      </c>
      <c r="N365" s="87" t="s">
        <v>2245</v>
      </c>
      <c r="O365" s="87" t="s">
        <v>2274</v>
      </c>
    </row>
    <row r="366" spans="1:16" ht="21" customHeight="1" x14ac:dyDescent="0.15">
      <c r="A366" s="27">
        <f t="shared" si="156"/>
        <v>30006</v>
      </c>
      <c r="B366" s="26" t="str">
        <f t="shared" ca="1" si="155"/>
        <v>ユニット 【グリム・ザ・ダンディ】 を 30 体ゲットしよう！</v>
      </c>
      <c r="C366" s="27" t="s">
        <v>331</v>
      </c>
      <c r="D366" s="31" t="str">
        <f ca="1">VLOOKUP($C366,OFFSET(mission_unlock_criteria!$A$2,0,0,COUNTA(mission_unlock_criteria!$A:$A),MATCH(D$2,mission_unlock_criteria!$2:$2,0)-MATCH($C$2,mission_unlock_criteria!$2:$2,0)+1),MATCH(D$2,mission_unlock_criteria!$2:$2,0)-MATCH($C$2,mission_unlock_criteria!$2:$2,0)+1,FALSE)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66" s="21" t="s">
        <v>2254</v>
      </c>
      <c r="F366" s="31" t="str">
        <f ca="1">VLOOKUP($E366,OFFSET(mission_ACH_criteria!$A$1,0,0,COUNTA(mission_ACH_criteria!$A:$A),MATCH(F$2,mission_ACH_criteria!$1:$1,0)-MATCH($E$2,mission_ACH_criteria!$1:$1,0)+1),MATCH(F$2,mission_ACH_criteria!$1:$1,0)-MATCH($E$2,mission_ACH_criteria!$1:$1,0)+1,FALSE)</f>
        <v>ユニット 【グリム・ザ・ダンディ】 を 30 体ゲットしよう！</v>
      </c>
      <c r="G366" s="27" t="s">
        <v>2266</v>
      </c>
      <c r="H366" s="76" t="s">
        <v>2272</v>
      </c>
      <c r="I366" s="31" t="str">
        <f ca="1">VLOOKUP($G366,OFFSET(mission_ACH!$A$2,0,0,COUNTA($A:$A),MATCH(I$2,mission_ACH!$2:$2,0)-MATCH($G$2,mission_ACH!$2:$2,0)+1),MATCH(I$2,mission_ACH!$2:$2,0)-MATCH($G$2,mission_ACH!$2:$2,0)+1,FALSE)</f>
        <v>item</v>
      </c>
      <c r="J366" s="31">
        <f ca="1">VLOOKUP($G366,OFFSET(mission_ACH!$A$2,0,0,COUNTA($A:$A),MATCH(J$2,mission_ACH!$2:$2,0)-MATCH($G$2,mission_ACH!$2:$2,0)+1),MATCH(J$2,mission_ACH!$2:$2,0)-MATCH($G$2,mission_ACH!$2:$2,0)+1,FALSE)</f>
        <v>703</v>
      </c>
      <c r="K366" s="31" t="str">
        <f ca="1">IF(I366="unit",VLOOKUP($G366,OFFSET(mission_ACH!$A$2,0,0,COUNTA($A:$A),MATCH(K$2,mission_ACH!$2:$2,0)-MATCH($G$2,mission_ACH!$2:$2,0)+1),MATCH(K$2,mission_ACH!$2:$2,0)-MATCH($G$2,mission_ACH!$2:$2,0)+1,FALSE),"")</f>
        <v/>
      </c>
      <c r="L366" s="31">
        <f ca="1">VLOOKUP($G366,OFFSET(mission_ACH!$A$2,0,0,COUNTA($A:$A),MATCH(L$2,mission_ACH!$2:$2,0)-MATCH($G$2,mission_ACH!$2:$2,0)+1),MATCH(L$2,mission_ACH!$2:$2,0)-MATCH($G$2,mission_ACH!$2:$2,0)+1,FALSE)</f>
        <v>15</v>
      </c>
      <c r="M366" s="27">
        <v>106</v>
      </c>
      <c r="N366" s="87" t="s">
        <v>2245</v>
      </c>
      <c r="O366" s="87" t="s">
        <v>2274</v>
      </c>
    </row>
    <row r="367" spans="1:16" ht="21" customHeight="1" x14ac:dyDescent="0.15">
      <c r="A367" s="27">
        <f t="shared" si="156"/>
        <v>30007</v>
      </c>
      <c r="B367" s="26" t="str">
        <f t="shared" ca="1" si="155"/>
        <v>ユニット 【グリム・ザ・ダンディ】 を 50 体ゲットしよう！</v>
      </c>
      <c r="C367" s="27" t="s">
        <v>331</v>
      </c>
      <c r="D367" s="31" t="str">
        <f ca="1">VLOOKUP($C367,OFFSET(mission_unlock_criteria!$A$2,0,0,COUNTA(mission_unlock_criteria!$A:$A),MATCH(D$2,mission_unlock_criteria!$2:$2,0)-MATCH($C$2,mission_unlock_criteria!$2:$2,0)+1),MATCH(D$2,mission_unlock_criteria!$2:$2,0)-MATCH($C$2,mission_unlock_criteria!$2:$2,0)+1,FALSE)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67" s="21" t="s">
        <v>2255</v>
      </c>
      <c r="F367" s="31" t="str">
        <f ca="1">VLOOKUP($E367,OFFSET(mission_ACH_criteria!$A$1,0,0,COUNTA(mission_ACH_criteria!$A:$A),MATCH(F$2,mission_ACH_criteria!$1:$1,0)-MATCH($E$2,mission_ACH_criteria!$1:$1,0)+1),MATCH(F$2,mission_ACH_criteria!$1:$1,0)-MATCH($E$2,mission_ACH_criteria!$1:$1,0)+1,FALSE)</f>
        <v>ユニット 【グリム・ザ・ダンディ】 を 50 体ゲットしよう！</v>
      </c>
      <c r="G367" s="27" t="s">
        <v>2268</v>
      </c>
      <c r="H367" s="76" t="s">
        <v>2271</v>
      </c>
      <c r="I367" s="31" t="str">
        <f ca="1">VLOOKUP($G367,OFFSET(mission_ACH!$A$2,0,0,COUNTA($A:$A),MATCH(I$2,mission_ACH!$2:$2,0)-MATCH($G$2,mission_ACH!$2:$2,0)+1),MATCH(I$2,mission_ACH!$2:$2,0)-MATCH($G$2,mission_ACH!$2:$2,0)+1,FALSE)</f>
        <v>item</v>
      </c>
      <c r="J367" s="31">
        <f ca="1">VLOOKUP($G367,OFFSET(mission_ACH!$A$2,0,0,COUNTA($A:$A),MATCH(J$2,mission_ACH!$2:$2,0)-MATCH($G$2,mission_ACH!$2:$2,0)+1),MATCH(J$2,mission_ACH!$2:$2,0)-MATCH($G$2,mission_ACH!$2:$2,0)+1,FALSE)</f>
        <v>703</v>
      </c>
      <c r="K367" s="31" t="str">
        <f ca="1">IF(I367="unit",VLOOKUP($G367,OFFSET(mission_ACH!$A$2,0,0,COUNTA($A:$A),MATCH(K$2,mission_ACH!$2:$2,0)-MATCH($G$2,mission_ACH!$2:$2,0)+1),MATCH(K$2,mission_ACH!$2:$2,0)-MATCH($G$2,mission_ACH!$2:$2,0)+1,FALSE),"")</f>
        <v/>
      </c>
      <c r="L367" s="31">
        <f ca="1">VLOOKUP($G367,OFFSET(mission_ACH!$A$2,0,0,COUNTA($A:$A),MATCH(L$2,mission_ACH!$2:$2,0)-MATCH($G$2,mission_ACH!$2:$2,0)+1),MATCH(L$2,mission_ACH!$2:$2,0)-MATCH($G$2,mission_ACH!$2:$2,0)+1,FALSE)</f>
        <v>30</v>
      </c>
      <c r="M367" s="27">
        <v>107</v>
      </c>
      <c r="N367" s="87" t="s">
        <v>2245</v>
      </c>
      <c r="O367" s="87" t="s">
        <v>2274</v>
      </c>
    </row>
    <row r="368" spans="1:16" ht="21" customHeight="1" x14ac:dyDescent="0.15">
      <c r="A368" s="27">
        <f t="shared" si="156"/>
        <v>30008</v>
      </c>
      <c r="B368" s="26" t="str">
        <f t="shared" ca="1" si="155"/>
        <v>ユニット 【グリム・ザ・ダンディ】 を 70 体ゲットしよう！</v>
      </c>
      <c r="C368" s="27" t="s">
        <v>331</v>
      </c>
      <c r="D368" s="31" t="str">
        <f ca="1">VLOOKUP($C368,OFFSET(mission_unlock_criteria!$A$2,0,0,COUNTA(mission_unlock_criteria!$A:$A),MATCH(D$2,mission_unlock_criteria!$2:$2,0)-MATCH($C$2,mission_unlock_criteria!$2:$2,0)+1),MATCH(D$2,mission_unlock_criteria!$2:$2,0)-MATCH($C$2,mission_unlock_criteria!$2:$2,0)+1,FALSE)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68" s="21" t="s">
        <v>2256</v>
      </c>
      <c r="F368" s="31" t="str">
        <f ca="1">VLOOKUP($E368,OFFSET(mission_ACH_criteria!$A$1,0,0,COUNTA(mission_ACH_criteria!$A:$A),MATCH(F$2,mission_ACH_criteria!$1:$1,0)-MATCH($E$2,mission_ACH_criteria!$1:$1,0)+1),MATCH(F$2,mission_ACH_criteria!$1:$1,0)-MATCH($E$2,mission_ACH_criteria!$1:$1,0)+1,FALSE)</f>
        <v>ユニット 【グリム・ザ・ダンディ】 を 70 体ゲットしよう！</v>
      </c>
      <c r="G368" s="27" t="s">
        <v>2042</v>
      </c>
      <c r="H368" s="31" t="str">
        <f t="shared" ref="H368:H400" ca="1" si="157">IF(I368="unit",K368&amp;" x "&amp;L368,IF(I368="polygon","ポリゴン x "&amp;J368,IF(I368="bit","ビット x "&amp;J368,IF(I368="link","リンク x "&amp;J368))))</f>
        <v>ポリゴン x 10</v>
      </c>
      <c r="I368" s="31" t="str">
        <f ca="1">VLOOKUP($G368,OFFSET(mission_ACH!$A$2,0,0,COUNTA($A:$A),MATCH(I$2,mission_ACH!$2:$2,0)-MATCH($G$2,mission_ACH!$2:$2,0)+1),MATCH(I$2,mission_ACH!$2:$2,0)-MATCH($G$2,mission_ACH!$2:$2,0)+1,FALSE)</f>
        <v>polygon</v>
      </c>
      <c r="J368" s="31">
        <f ca="1">VLOOKUP($G368,OFFSET(mission_ACH!$A$2,0,0,COUNTA($A:$A),MATCH(J$2,mission_ACH!$2:$2,0)-MATCH($G$2,mission_ACH!$2:$2,0)+1),MATCH(J$2,mission_ACH!$2:$2,0)-MATCH($G$2,mission_ACH!$2:$2,0)+1,FALSE)</f>
        <v>10</v>
      </c>
      <c r="K368" s="31" t="str">
        <f ca="1">IF(I368="unit",VLOOKUP($G368,OFFSET(mission_ACH!$A$2,0,0,COUNTA($A:$A),MATCH(K$2,mission_ACH!$2:$2,0)-MATCH($G$2,mission_ACH!$2:$2,0)+1),MATCH(K$2,mission_ACH!$2:$2,0)-MATCH($G$2,mission_ACH!$2:$2,0)+1,FALSE),"")</f>
        <v/>
      </c>
      <c r="L368" s="31">
        <f ca="1">VLOOKUP($G368,OFFSET(mission_ACH!$A$2,0,0,COUNTA($A:$A),MATCH(L$2,mission_ACH!$2:$2,0)-MATCH($G$2,mission_ACH!$2:$2,0)+1),MATCH(L$2,mission_ACH!$2:$2,0)-MATCH($G$2,mission_ACH!$2:$2,0)+1,FALSE)</f>
        <v>0</v>
      </c>
      <c r="M368" s="27">
        <v>108</v>
      </c>
      <c r="N368" s="87" t="s">
        <v>2245</v>
      </c>
      <c r="O368" s="87" t="s">
        <v>2274</v>
      </c>
    </row>
    <row r="369" spans="1:15" s="1" customFormat="1" ht="21" customHeight="1" x14ac:dyDescent="0.15">
      <c r="A369" s="27">
        <f t="shared" si="156"/>
        <v>30009</v>
      </c>
      <c r="B369" s="26" t="str">
        <f t="shared" ca="1" si="155"/>
        <v>クエスト 【1-3. ゲートの番犬】 をクリアしよう！</v>
      </c>
      <c r="C369" s="27" t="s">
        <v>331</v>
      </c>
      <c r="D369" s="31" t="str">
        <f ca="1">VLOOKUP($C369,OFFSET(mission_unlock_criteria!$A$2,0,0,COUNTA(mission_unlock_criteria!$A:$A),MATCH(D$2,mission_unlock_criteria!$2:$2,0)-MATCH($C$2,mission_unlock_criteria!$2:$2,0)+1),MATCH(D$2,mission_unlock_criteria!$2:$2,0)-MATCH($C$2,mission_unlock_criteria!$2:$2,0)+1,FALSE)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369" s="21" t="s">
        <v>331</v>
      </c>
      <c r="F369" s="31" t="str">
        <f ca="1">VLOOKUP($E369,OFFSET(mission_ACH_criteria!$A$1,0,0,COUNTA(mission_ACH_criteria!$A:$A),MATCH(F$2,mission_ACH_criteria!$1:$1,0)-MATCH($E$2,mission_ACH_criteria!$1:$1,0)+1),MATCH(F$2,mission_ACH_criteria!$1:$1,0)-MATCH($E$2,mission_ACH_criteria!$1:$1,0)+1,FALSE)</f>
        <v>クエスト 【1-3. ゲートの番犬】 をクリアしよう！</v>
      </c>
      <c r="G369" s="27" t="s">
        <v>398</v>
      </c>
      <c r="H369" s="31" t="str">
        <f t="shared" ca="1" si="157"/>
        <v>ポリゴン x 3</v>
      </c>
      <c r="I369" s="31" t="str">
        <f ca="1">VLOOKUP($G369,OFFSET(mission_ACH!$A$2,0,0,COUNTA($A:$A),MATCH(I$2,mission_ACH!$2:$2,0)-MATCH($G$2,mission_ACH!$2:$2,0)+1),MATCH(I$2,mission_ACH!$2:$2,0)-MATCH($G$2,mission_ACH!$2:$2,0)+1,FALSE)</f>
        <v>polygon</v>
      </c>
      <c r="J369" s="31">
        <f ca="1">VLOOKUP($G369,OFFSET(mission_ACH!$A$2,0,0,COUNTA($A:$A),MATCH(J$2,mission_ACH!$2:$2,0)-MATCH($G$2,mission_ACH!$2:$2,0)+1),MATCH(J$2,mission_ACH!$2:$2,0)-MATCH($G$2,mission_ACH!$2:$2,0)+1,FALSE)</f>
        <v>3</v>
      </c>
      <c r="K369" s="31" t="str">
        <f ca="1">IF(I369="unit",VLOOKUP($G369,OFFSET(mission_ACH!$A$2,0,0,COUNTA($A:$A),MATCH(K$2,mission_ACH!$2:$2,0)-MATCH($G$2,mission_ACH!$2:$2,0)+1),MATCH(K$2,mission_ACH!$2:$2,0)-MATCH($G$2,mission_ACH!$2:$2,0)+1,FALSE),"")</f>
        <v/>
      </c>
      <c r="L369" s="31">
        <f ca="1">VLOOKUP($G369,OFFSET(mission_ACH!$A$2,0,0,COUNTA($A:$A),MATCH(L$2,mission_ACH!$2:$2,0)-MATCH($G$2,mission_ACH!$2:$2,0)+1),MATCH(L$2,mission_ACH!$2:$2,0)-MATCH($G$2,mission_ACH!$2:$2,0)+1,FALSE)</f>
        <v>0</v>
      </c>
      <c r="M369" s="27">
        <v>60</v>
      </c>
      <c r="N369" s="2" t="s">
        <v>892</v>
      </c>
      <c r="O369" s="2" t="s">
        <v>892</v>
      </c>
    </row>
    <row r="370" spans="1:15" s="1" customFormat="1" ht="21" customHeight="1" x14ac:dyDescent="0.15">
      <c r="A370" s="27">
        <f t="shared" si="156"/>
        <v>30010</v>
      </c>
      <c r="B370" s="26" t="str">
        <f t="shared" ca="1" si="155"/>
        <v>クエスト 【2-3. 妖炎の誘い】 をクリアしよう！</v>
      </c>
      <c r="C370" s="27" t="s">
        <v>332</v>
      </c>
      <c r="D370" s="31" t="str">
        <f ca="1">VLOOKUP($C370,OFFSET(mission_unlock_criteria!$A$2,0,0,COUNTA(mission_unlock_criteria!$A:$A),MATCH(D$2,mission_unlock_criteria!$2:$2,0)-MATCH($C$2,mission_unlock_criteria!$2:$2,0)+1),MATCH(D$2,mission_unlock_criteria!$2:$2,0)-MATCH($C$2,mission_unlock_criteria!$2:$2,0)+1,FALSE)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【1-3. ゲートの番犬】 をクリア</v>
      </c>
      <c r="E370" s="21" t="s">
        <v>332</v>
      </c>
      <c r="F370" s="31" t="str">
        <f ca="1">VLOOKUP($E370,OFFSET(mission_ACH_criteria!$A$1,0,0,COUNTA(mission_ACH_criteria!$A:$A),MATCH(F$2,mission_ACH_criteria!$1:$1,0)-MATCH($E$2,mission_ACH_criteria!$1:$1,0)+1),MATCH(F$2,mission_ACH_criteria!$1:$1,0)-MATCH($E$2,mission_ACH_criteria!$1:$1,0)+1,FALSE)</f>
        <v>クエスト 【2-3. 妖炎の誘い】 をクリアしよう！</v>
      </c>
      <c r="G370" s="27" t="s">
        <v>353</v>
      </c>
      <c r="H370" s="31" t="str">
        <f t="shared" ca="1" si="157"/>
        <v>ポリゴン x 2</v>
      </c>
      <c r="I370" s="31" t="str">
        <f ca="1">VLOOKUP($G370,OFFSET(mission_ACH!$A$2,0,0,COUNTA($A:$A),MATCH(I$2,mission_ACH!$2:$2,0)-MATCH($G$2,mission_ACH!$2:$2,0)+1),MATCH(I$2,mission_ACH!$2:$2,0)-MATCH($G$2,mission_ACH!$2:$2,0)+1,FALSE)</f>
        <v>polygon</v>
      </c>
      <c r="J370" s="31">
        <f ca="1">VLOOKUP($G370,OFFSET(mission_ACH!$A$2,0,0,COUNTA($A:$A),MATCH(J$2,mission_ACH!$2:$2,0)-MATCH($G$2,mission_ACH!$2:$2,0)+1),MATCH(J$2,mission_ACH!$2:$2,0)-MATCH($G$2,mission_ACH!$2:$2,0)+1,FALSE)</f>
        <v>2</v>
      </c>
      <c r="K370" s="31" t="str">
        <f ca="1">IF(I370="unit",VLOOKUP($G370,OFFSET(mission_ACH!$A$2,0,0,COUNTA($A:$A),MATCH(K$2,mission_ACH!$2:$2,0)-MATCH($G$2,mission_ACH!$2:$2,0)+1),MATCH(K$2,mission_ACH!$2:$2,0)-MATCH($G$2,mission_ACH!$2:$2,0)+1,FALSE),"")</f>
        <v/>
      </c>
      <c r="L370" s="31">
        <f ca="1">VLOOKUP($G370,OFFSET(mission_ACH!$A$2,0,0,COUNTA($A:$A),MATCH(L$2,mission_ACH!$2:$2,0)-MATCH($G$2,mission_ACH!$2:$2,0)+1),MATCH(L$2,mission_ACH!$2:$2,0)-MATCH($G$2,mission_ACH!$2:$2,0)+1,FALSE)</f>
        <v>0</v>
      </c>
      <c r="M370" s="27">
        <v>60</v>
      </c>
      <c r="N370" s="2" t="s">
        <v>892</v>
      </c>
      <c r="O370" s="2" t="s">
        <v>892</v>
      </c>
    </row>
    <row r="371" spans="1:15" s="1" customFormat="1" ht="21" customHeight="1" x14ac:dyDescent="0.15">
      <c r="A371" s="27">
        <f t="shared" si="156"/>
        <v>30011</v>
      </c>
      <c r="B371" s="26" t="str">
        <f ca="1">F371</f>
        <v>クエスト 【3-3. 舞い散る木の葉】 をクリアしよう！</v>
      </c>
      <c r="C371" s="27" t="s">
        <v>333</v>
      </c>
      <c r="D371" s="31" t="str">
        <f ca="1">VLOOKUP($C371,OFFSET(mission_unlock_criteria!$A$2,0,0,COUNTA(mission_unlock_criteria!$A:$A),MATCH(D$2,mission_unlock_criteria!$2:$2,0)-MATCH($C$2,mission_unlock_criteria!$2:$2,0)+1),MATCH(D$2,mission_unlock_criteria!$2:$2,0)-MATCH($C$2,mission_unlock_criteria!$2:$2,0)+1,FALSE)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【2-3. 妖炎の誘い】 をクリア</v>
      </c>
      <c r="E371" s="21" t="s">
        <v>333</v>
      </c>
      <c r="F371" s="31" t="str">
        <f ca="1">VLOOKUP($E371,OFFSET(mission_ACH_criteria!$A$1,0,0,COUNTA(mission_ACH_criteria!$A:$A),MATCH(F$2,mission_ACH_criteria!$1:$1,0)-MATCH($E$2,mission_ACH_criteria!$1:$1,0)+1),MATCH(F$2,mission_ACH_criteria!$1:$1,0)-MATCH($E$2,mission_ACH_criteria!$1:$1,0)+1,FALSE)</f>
        <v>クエスト 【3-3. 舞い散る木の葉】 をクリアしよう！</v>
      </c>
      <c r="G371" s="27" t="s">
        <v>398</v>
      </c>
      <c r="H371" s="31" t="str">
        <f t="shared" ca="1" si="157"/>
        <v>ポリゴン x 3</v>
      </c>
      <c r="I371" s="31" t="str">
        <f ca="1">VLOOKUP($G371,OFFSET(mission_ACH!$A$2,0,0,COUNTA($A:$A),MATCH(I$2,mission_ACH!$2:$2,0)-MATCH($G$2,mission_ACH!$2:$2,0)+1),MATCH(I$2,mission_ACH!$2:$2,0)-MATCH($G$2,mission_ACH!$2:$2,0)+1,FALSE)</f>
        <v>polygon</v>
      </c>
      <c r="J371" s="31">
        <f ca="1">VLOOKUP($G371,OFFSET(mission_ACH!$A$2,0,0,COUNTA($A:$A),MATCH(J$2,mission_ACH!$2:$2,0)-MATCH($G$2,mission_ACH!$2:$2,0)+1),MATCH(J$2,mission_ACH!$2:$2,0)-MATCH($G$2,mission_ACH!$2:$2,0)+1,FALSE)</f>
        <v>3</v>
      </c>
      <c r="K371" s="31" t="str">
        <f ca="1">IF(I371="unit",VLOOKUP($G371,OFFSET(mission_ACH!$A$2,0,0,COUNTA($A:$A),MATCH(K$2,mission_ACH!$2:$2,0)-MATCH($G$2,mission_ACH!$2:$2,0)+1),MATCH(K$2,mission_ACH!$2:$2,0)-MATCH($G$2,mission_ACH!$2:$2,0)+1,FALSE),"")</f>
        <v/>
      </c>
      <c r="L371" s="31">
        <f ca="1">VLOOKUP($G371,OFFSET(mission_ACH!$A$2,0,0,COUNTA($A:$A),MATCH(L$2,mission_ACH!$2:$2,0)-MATCH($G$2,mission_ACH!$2:$2,0)+1),MATCH(L$2,mission_ACH!$2:$2,0)-MATCH($G$2,mission_ACH!$2:$2,0)+1,FALSE)</f>
        <v>0</v>
      </c>
      <c r="M371" s="27">
        <v>60</v>
      </c>
      <c r="N371" s="2" t="s">
        <v>892</v>
      </c>
      <c r="O371" s="2" t="s">
        <v>892</v>
      </c>
    </row>
    <row r="372" spans="1:15" s="1" customFormat="1" ht="21" customHeight="1" x14ac:dyDescent="0.15">
      <c r="A372" s="27">
        <f t="shared" si="156"/>
        <v>30012</v>
      </c>
      <c r="B372" s="26" t="str">
        <f t="shared" ref="B372:B394" ca="1" si="158">F372</f>
        <v>クエスト 【4-3. 晩夏の狐】 をクリアしよう！</v>
      </c>
      <c r="C372" s="27" t="s">
        <v>334</v>
      </c>
      <c r="D372" s="31" t="str">
        <f ca="1">VLOOKUP($C372,OFFSET(mission_unlock_criteria!$A$2,0,0,COUNTA(mission_unlock_criteria!$A:$A),MATCH(D$2,mission_unlock_criteria!$2:$2,0)-MATCH($C$2,mission_unlock_criteria!$2:$2,0)+1),MATCH(D$2,mission_unlock_criteria!$2:$2,0)-MATCH($C$2,mission_unlock_criteria!$2:$2,0)+1,FALSE)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【3-3. 舞い散る木の葉】 をクリア</v>
      </c>
      <c r="E372" s="21" t="s">
        <v>334</v>
      </c>
      <c r="F372" s="31" t="str">
        <f ca="1">VLOOKUP($E372,OFFSET(mission_ACH_criteria!$A$1,0,0,COUNTA(mission_ACH_criteria!$A:$A),MATCH(F$2,mission_ACH_criteria!$1:$1,0)-MATCH($E$2,mission_ACH_criteria!$1:$1,0)+1),MATCH(F$2,mission_ACH_criteria!$1:$1,0)-MATCH($E$2,mission_ACH_criteria!$1:$1,0)+1,FALSE)</f>
        <v>クエスト 【4-3. 晩夏の狐】 をクリアしよう！</v>
      </c>
      <c r="G372" s="27" t="s">
        <v>353</v>
      </c>
      <c r="H372" s="31" t="str">
        <f t="shared" ca="1" si="157"/>
        <v>ポリゴン x 2</v>
      </c>
      <c r="I372" s="31" t="str">
        <f ca="1">VLOOKUP($G372,OFFSET(mission_ACH!$A$2,0,0,COUNTA($A:$A),MATCH(I$2,mission_ACH!$2:$2,0)-MATCH($G$2,mission_ACH!$2:$2,0)+1),MATCH(I$2,mission_ACH!$2:$2,0)-MATCH($G$2,mission_ACH!$2:$2,0)+1,FALSE)</f>
        <v>polygon</v>
      </c>
      <c r="J372" s="31">
        <f ca="1">VLOOKUP($G372,OFFSET(mission_ACH!$A$2,0,0,COUNTA($A:$A),MATCH(J$2,mission_ACH!$2:$2,0)-MATCH($G$2,mission_ACH!$2:$2,0)+1),MATCH(J$2,mission_ACH!$2:$2,0)-MATCH($G$2,mission_ACH!$2:$2,0)+1,FALSE)</f>
        <v>2</v>
      </c>
      <c r="K372" s="31" t="str">
        <f ca="1">IF(I372="unit",VLOOKUP($G372,OFFSET(mission_ACH!$A$2,0,0,COUNTA($A:$A),MATCH(K$2,mission_ACH!$2:$2,0)-MATCH($G$2,mission_ACH!$2:$2,0)+1),MATCH(K$2,mission_ACH!$2:$2,0)-MATCH($G$2,mission_ACH!$2:$2,0)+1,FALSE),"")</f>
        <v/>
      </c>
      <c r="L372" s="31">
        <f ca="1">VLOOKUP($G372,OFFSET(mission_ACH!$A$2,0,0,COUNTA($A:$A),MATCH(L$2,mission_ACH!$2:$2,0)-MATCH($G$2,mission_ACH!$2:$2,0)+1),MATCH(L$2,mission_ACH!$2:$2,0)-MATCH($G$2,mission_ACH!$2:$2,0)+1,FALSE)</f>
        <v>0</v>
      </c>
      <c r="M372" s="27">
        <v>60</v>
      </c>
      <c r="N372" s="2" t="s">
        <v>892</v>
      </c>
      <c r="O372" s="2" t="s">
        <v>892</v>
      </c>
    </row>
    <row r="373" spans="1:15" s="1" customFormat="1" ht="21" customHeight="1" x14ac:dyDescent="0.15">
      <c r="A373" s="27">
        <f t="shared" si="156"/>
        <v>30013</v>
      </c>
      <c r="B373" s="26" t="str">
        <f t="shared" ca="1" si="158"/>
        <v>クエスト 【5-3. 水天一碧の凪刀】 をクリアしよう！</v>
      </c>
      <c r="C373" s="27" t="s">
        <v>335</v>
      </c>
      <c r="D373" s="31" t="str">
        <f ca="1">VLOOKUP($C373,OFFSET(mission_unlock_criteria!$A$2,0,0,COUNTA(mission_unlock_criteria!$A:$A),MATCH(D$2,mission_unlock_criteria!$2:$2,0)-MATCH($C$2,mission_unlock_criteria!$2:$2,0)+1),MATCH(D$2,mission_unlock_criteria!$2:$2,0)-MATCH($C$2,mission_unlock_criteria!$2:$2,0)+1,FALSE)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【4-3. 晩夏の狐】 をクリア</v>
      </c>
      <c r="E373" s="21" t="s">
        <v>335</v>
      </c>
      <c r="F373" s="31" t="str">
        <f ca="1">VLOOKUP($E373,OFFSET(mission_ACH_criteria!$A$1,0,0,COUNTA(mission_ACH_criteria!$A:$A),MATCH(F$2,mission_ACH_criteria!$1:$1,0)-MATCH($E$2,mission_ACH_criteria!$1:$1,0)+1),MATCH(F$2,mission_ACH_criteria!$1:$1,0)-MATCH($E$2,mission_ACH_criteria!$1:$1,0)+1,FALSE)</f>
        <v>クエスト 【5-3. 水天一碧の凪刀】 をクリアしよう！</v>
      </c>
      <c r="G373" s="27" t="s">
        <v>398</v>
      </c>
      <c r="H373" s="31" t="str">
        <f t="shared" ca="1" si="157"/>
        <v>ポリゴン x 3</v>
      </c>
      <c r="I373" s="31" t="str">
        <f ca="1">VLOOKUP($G373,OFFSET(mission_ACH!$A$2,0,0,COUNTA($A:$A),MATCH(I$2,mission_ACH!$2:$2,0)-MATCH($G$2,mission_ACH!$2:$2,0)+1),MATCH(I$2,mission_ACH!$2:$2,0)-MATCH($G$2,mission_ACH!$2:$2,0)+1,FALSE)</f>
        <v>polygon</v>
      </c>
      <c r="J373" s="31">
        <f ca="1">VLOOKUP($G373,OFFSET(mission_ACH!$A$2,0,0,COUNTA($A:$A),MATCH(J$2,mission_ACH!$2:$2,0)-MATCH($G$2,mission_ACH!$2:$2,0)+1),MATCH(J$2,mission_ACH!$2:$2,0)-MATCH($G$2,mission_ACH!$2:$2,0)+1,FALSE)</f>
        <v>3</v>
      </c>
      <c r="K373" s="31" t="str">
        <f ca="1">IF(I373="unit",VLOOKUP($G373,OFFSET(mission_ACH!$A$2,0,0,COUNTA($A:$A),MATCH(K$2,mission_ACH!$2:$2,0)-MATCH($G$2,mission_ACH!$2:$2,0)+1),MATCH(K$2,mission_ACH!$2:$2,0)-MATCH($G$2,mission_ACH!$2:$2,0)+1,FALSE),"")</f>
        <v/>
      </c>
      <c r="L373" s="31">
        <f ca="1">VLOOKUP($G373,OFFSET(mission_ACH!$A$2,0,0,COUNTA($A:$A),MATCH(L$2,mission_ACH!$2:$2,0)-MATCH($G$2,mission_ACH!$2:$2,0)+1),MATCH(L$2,mission_ACH!$2:$2,0)-MATCH($G$2,mission_ACH!$2:$2,0)+1,FALSE)</f>
        <v>0</v>
      </c>
      <c r="M373" s="27">
        <v>60</v>
      </c>
      <c r="N373" s="2" t="s">
        <v>892</v>
      </c>
      <c r="O373" s="2" t="s">
        <v>892</v>
      </c>
    </row>
    <row r="374" spans="1:15" s="1" customFormat="1" ht="21" customHeight="1" x14ac:dyDescent="0.15">
      <c r="A374" s="27">
        <f t="shared" si="156"/>
        <v>30014</v>
      </c>
      <c r="B374" s="26" t="str">
        <f t="shared" ca="1" si="158"/>
        <v>クエスト 【6-5. 来園者の末路】 をクリアしよう！</v>
      </c>
      <c r="C374" s="27" t="s">
        <v>336</v>
      </c>
      <c r="D374" s="31" t="str">
        <f ca="1">VLOOKUP($C374,OFFSET(mission_unlock_criteria!$A$2,0,0,COUNTA(mission_unlock_criteria!$A:$A),MATCH(D$2,mission_unlock_criteria!$2:$2,0)-MATCH($C$2,mission_unlock_criteria!$2:$2,0)+1),MATCH(D$2,mission_unlock_criteria!$2:$2,0)-MATCH($C$2,mission_unlock_criteria!$2:$2,0)+1,FALSE)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【5-3. 水天一碧の凪刀】 をクリア</v>
      </c>
      <c r="E374" s="21" t="s">
        <v>336</v>
      </c>
      <c r="F374" s="31" t="str">
        <f ca="1">VLOOKUP($E374,OFFSET(mission_ACH_criteria!$A$1,0,0,COUNTA(mission_ACH_criteria!$A:$A),MATCH(F$2,mission_ACH_criteria!$1:$1,0)-MATCH($E$2,mission_ACH_criteria!$1:$1,0)+1),MATCH(F$2,mission_ACH_criteria!$1:$1,0)-MATCH($E$2,mission_ACH_criteria!$1:$1,0)+1,FALSE)</f>
        <v>クエスト 【6-5. 来園者の末路】 をクリアしよう！</v>
      </c>
      <c r="G374" s="27" t="s">
        <v>2276</v>
      </c>
      <c r="H374" s="31" t="str">
        <f t="shared" ca="1" si="157"/>
        <v>緋壁の城塞 アーグラ x 1</v>
      </c>
      <c r="I374" s="31" t="str">
        <f ca="1">VLOOKUP($G374,OFFSET(mission_ACH!$A$2,0,0,COUNTA($A:$A),MATCH(I$2,mission_ACH!$2:$2,0)-MATCH($G$2,mission_ACH!$2:$2,0)+1),MATCH(I$2,mission_ACH!$2:$2,0)-MATCH($G$2,mission_ACH!$2:$2,0)+1,FALSE)</f>
        <v>unit</v>
      </c>
      <c r="J374" s="31">
        <f ca="1">VLOOKUP($G374,OFFSET(mission_ACH!$A$2,0,0,COUNTA($A:$A),MATCH(J$2,mission_ACH!$2:$2,0)-MATCH($G$2,mission_ACH!$2:$2,0)+1),MATCH(J$2,mission_ACH!$2:$2,0)-MATCH($G$2,mission_ACH!$2:$2,0)+1,FALSE)</f>
        <v>632</v>
      </c>
      <c r="K374" s="31" t="str">
        <f ca="1">IF(I374="unit",VLOOKUP($G374,OFFSET(mission_ACH!$A$2,0,0,COUNTA($A:$A),MATCH(K$2,mission_ACH!$2:$2,0)-MATCH($G$2,mission_ACH!$2:$2,0)+1),MATCH(K$2,mission_ACH!$2:$2,0)-MATCH($G$2,mission_ACH!$2:$2,0)+1,FALSE),"")</f>
        <v>緋壁の城塞 アーグラ</v>
      </c>
      <c r="L374" s="31">
        <f ca="1">VLOOKUP($G374,OFFSET(mission_ACH!$A$2,0,0,COUNTA($A:$A),MATCH(L$2,mission_ACH!$2:$2,0)-MATCH($G$2,mission_ACH!$2:$2,0)+1),MATCH(L$2,mission_ACH!$2:$2,0)-MATCH($G$2,mission_ACH!$2:$2,0)+1,FALSE)</f>
        <v>1</v>
      </c>
      <c r="M374" s="27">
        <v>60</v>
      </c>
      <c r="N374" s="2" t="s">
        <v>892</v>
      </c>
      <c r="O374" s="2" t="s">
        <v>892</v>
      </c>
    </row>
    <row r="375" spans="1:15" s="1" customFormat="1" ht="21" customHeight="1" x14ac:dyDescent="0.15">
      <c r="A375" s="27">
        <f t="shared" si="156"/>
        <v>30015</v>
      </c>
      <c r="B375" s="26" t="str">
        <f t="shared" ca="1" si="158"/>
        <v>クエスト 【7-5. 聖なる巨岩】 をクリアしよう！</v>
      </c>
      <c r="C375" s="27" t="s">
        <v>337</v>
      </c>
      <c r="D375" s="31" t="str">
        <f ca="1">VLOOKUP($C375,OFFSET(mission_unlock_criteria!$A$2,0,0,COUNTA(mission_unlock_criteria!$A:$A),MATCH(D$2,mission_unlock_criteria!$2:$2,0)-MATCH($C$2,mission_unlock_criteria!$2:$2,0)+1),MATCH(D$2,mission_unlock_criteria!$2:$2,0)-MATCH($C$2,mission_unlock_criteria!$2:$2,0)+1,FALSE)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【6-5. 来園者の末路】 をクリア</v>
      </c>
      <c r="E375" s="21" t="s">
        <v>337</v>
      </c>
      <c r="F375" s="31" t="str">
        <f ca="1">VLOOKUP($E375,OFFSET(mission_ACH_criteria!$A$1,0,0,COUNTA(mission_ACH_criteria!$A:$A),MATCH(F$2,mission_ACH_criteria!$1:$1,0)-MATCH($E$2,mission_ACH_criteria!$1:$1,0)+1),MATCH(F$2,mission_ACH_criteria!$1:$1,0)-MATCH($E$2,mission_ACH_criteria!$1:$1,0)+1,FALSE)</f>
        <v>クエスト 【7-5. 聖なる巨岩】 をクリアしよう！</v>
      </c>
      <c r="G375" s="27" t="s">
        <v>233</v>
      </c>
      <c r="H375" s="31" t="str">
        <f t="shared" ca="1" si="157"/>
        <v>ポリゴン x 1</v>
      </c>
      <c r="I375" s="31" t="str">
        <f ca="1">VLOOKUP($G375,OFFSET(mission_ACH!$A$2,0,0,COUNTA($A:$A),MATCH(I$2,mission_ACH!$2:$2,0)-MATCH($G$2,mission_ACH!$2:$2,0)+1),MATCH(I$2,mission_ACH!$2:$2,0)-MATCH($G$2,mission_ACH!$2:$2,0)+1,FALSE)</f>
        <v>polygon</v>
      </c>
      <c r="J375" s="31">
        <f ca="1">VLOOKUP($G375,OFFSET(mission_ACH!$A$2,0,0,COUNTA($A:$A),MATCH(J$2,mission_ACH!$2:$2,0)-MATCH($G$2,mission_ACH!$2:$2,0)+1),MATCH(J$2,mission_ACH!$2:$2,0)-MATCH($G$2,mission_ACH!$2:$2,0)+1,FALSE)</f>
        <v>1</v>
      </c>
      <c r="K375" s="31" t="str">
        <f ca="1">IF(I375="unit",VLOOKUP($G375,OFFSET(mission_ACH!$A$2,0,0,COUNTA($A:$A),MATCH(K$2,mission_ACH!$2:$2,0)-MATCH($G$2,mission_ACH!$2:$2,0)+1),MATCH(K$2,mission_ACH!$2:$2,0)-MATCH($G$2,mission_ACH!$2:$2,0)+1,FALSE),"")</f>
        <v/>
      </c>
      <c r="L375" s="31">
        <f ca="1">VLOOKUP($G375,OFFSET(mission_ACH!$A$2,0,0,COUNTA($A:$A),MATCH(L$2,mission_ACH!$2:$2,0)-MATCH($G$2,mission_ACH!$2:$2,0)+1),MATCH(L$2,mission_ACH!$2:$2,0)-MATCH($G$2,mission_ACH!$2:$2,0)+1,FALSE)</f>
        <v>0</v>
      </c>
      <c r="M375" s="27">
        <v>60</v>
      </c>
      <c r="N375" s="2" t="s">
        <v>892</v>
      </c>
      <c r="O375" s="2" t="s">
        <v>892</v>
      </c>
    </row>
    <row r="376" spans="1:15" s="1" customFormat="1" ht="21" customHeight="1" x14ac:dyDescent="0.15">
      <c r="A376" s="27">
        <f t="shared" si="156"/>
        <v>30016</v>
      </c>
      <c r="B376" s="26" t="str">
        <f t="shared" ca="1" si="158"/>
        <v>クエスト 【8-5. 聖なる渇牙】 をクリアしよう！</v>
      </c>
      <c r="C376" s="27" t="s">
        <v>338</v>
      </c>
      <c r="D376" s="31" t="str">
        <f ca="1">VLOOKUP($C376,OFFSET(mission_unlock_criteria!$A$2,0,0,COUNTA(mission_unlock_criteria!$A:$A),MATCH(D$2,mission_unlock_criteria!$2:$2,0)-MATCH($C$2,mission_unlock_criteria!$2:$2,0)+1),MATCH(D$2,mission_unlock_criteria!$2:$2,0)-MATCH($C$2,mission_unlock_criteria!$2:$2,0)+1,FALSE)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【7-5. 聖なる巨岩】 をクリア</v>
      </c>
      <c r="E376" s="21" t="s">
        <v>338</v>
      </c>
      <c r="F376" s="31" t="str">
        <f ca="1">VLOOKUP($E376,OFFSET(mission_ACH_criteria!$A$1,0,0,COUNTA(mission_ACH_criteria!$A:$A),MATCH(F$2,mission_ACH_criteria!$1:$1,0)-MATCH($E$2,mission_ACH_criteria!$1:$1,0)+1),MATCH(F$2,mission_ACH_criteria!$1:$1,0)-MATCH($E$2,mission_ACH_criteria!$1:$1,0)+1,FALSE)</f>
        <v>クエスト 【8-5. 聖なる渇牙】 をクリアしよう！</v>
      </c>
      <c r="G376" s="27" t="s">
        <v>233</v>
      </c>
      <c r="H376" s="31" t="str">
        <f t="shared" ca="1" si="157"/>
        <v>ポリゴン x 1</v>
      </c>
      <c r="I376" s="31" t="str">
        <f ca="1">VLOOKUP($G376,OFFSET(mission_ACH!$A$2,0,0,COUNTA($A:$A),MATCH(I$2,mission_ACH!$2:$2,0)-MATCH($G$2,mission_ACH!$2:$2,0)+1),MATCH(I$2,mission_ACH!$2:$2,0)-MATCH($G$2,mission_ACH!$2:$2,0)+1,FALSE)</f>
        <v>polygon</v>
      </c>
      <c r="J376" s="31">
        <f ca="1">VLOOKUP($G376,OFFSET(mission_ACH!$A$2,0,0,COUNTA($A:$A),MATCH(J$2,mission_ACH!$2:$2,0)-MATCH($G$2,mission_ACH!$2:$2,0)+1),MATCH(J$2,mission_ACH!$2:$2,0)-MATCH($G$2,mission_ACH!$2:$2,0)+1,FALSE)</f>
        <v>1</v>
      </c>
      <c r="K376" s="31" t="str">
        <f ca="1">IF(I376="unit",VLOOKUP($G376,OFFSET(mission_ACH!$A$2,0,0,COUNTA($A:$A),MATCH(K$2,mission_ACH!$2:$2,0)-MATCH($G$2,mission_ACH!$2:$2,0)+1),MATCH(K$2,mission_ACH!$2:$2,0)-MATCH($G$2,mission_ACH!$2:$2,0)+1,FALSE),"")</f>
        <v/>
      </c>
      <c r="L376" s="31">
        <f ca="1">VLOOKUP($G376,OFFSET(mission_ACH!$A$2,0,0,COUNTA($A:$A),MATCH(L$2,mission_ACH!$2:$2,0)-MATCH($G$2,mission_ACH!$2:$2,0)+1),MATCH(L$2,mission_ACH!$2:$2,0)-MATCH($G$2,mission_ACH!$2:$2,0)+1,FALSE)</f>
        <v>0</v>
      </c>
      <c r="M376" s="27">
        <v>60</v>
      </c>
      <c r="N376" s="2" t="s">
        <v>892</v>
      </c>
      <c r="O376" s="2" t="s">
        <v>892</v>
      </c>
    </row>
    <row r="377" spans="1:15" s="1" customFormat="1" ht="21" customHeight="1" x14ac:dyDescent="0.15">
      <c r="A377" s="27">
        <f t="shared" si="156"/>
        <v>30017</v>
      </c>
      <c r="B377" s="26" t="str">
        <f t="shared" ca="1" si="158"/>
        <v>クエスト 【9-5. 聖なる渦爪】 をクリアしよう！</v>
      </c>
      <c r="C377" s="27" t="s">
        <v>339</v>
      </c>
      <c r="D377" s="31" t="str">
        <f ca="1">VLOOKUP($C377,OFFSET(mission_unlock_criteria!$A$2,0,0,COUNTA(mission_unlock_criteria!$A:$A),MATCH(D$2,mission_unlock_criteria!$2:$2,0)-MATCH($C$2,mission_unlock_criteria!$2:$2,0)+1),MATCH(D$2,mission_unlock_criteria!$2:$2,0)-MATCH($C$2,mission_unlock_criteria!$2:$2,0)+1,FALSE)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【8-5. 聖なる渇牙】 をクリア</v>
      </c>
      <c r="E377" s="21" t="s">
        <v>339</v>
      </c>
      <c r="F377" s="31" t="str">
        <f ca="1">VLOOKUP($E377,OFFSET(mission_ACH_criteria!$A$1,0,0,COUNTA(mission_ACH_criteria!$A:$A),MATCH(F$2,mission_ACH_criteria!$1:$1,0)-MATCH($E$2,mission_ACH_criteria!$1:$1,0)+1),MATCH(F$2,mission_ACH_criteria!$1:$1,0)-MATCH($E$2,mission_ACH_criteria!$1:$1,0)+1,FALSE)</f>
        <v>クエスト 【9-5. 聖なる渦爪】 をクリアしよう！</v>
      </c>
      <c r="G377" s="27" t="s">
        <v>233</v>
      </c>
      <c r="H377" s="31" t="str">
        <f t="shared" ca="1" si="157"/>
        <v>ポリゴン x 1</v>
      </c>
      <c r="I377" s="31" t="str">
        <f ca="1">VLOOKUP($G377,OFFSET(mission_ACH!$A$2,0,0,COUNTA($A:$A),MATCH(I$2,mission_ACH!$2:$2,0)-MATCH($G$2,mission_ACH!$2:$2,0)+1),MATCH(I$2,mission_ACH!$2:$2,0)-MATCH($G$2,mission_ACH!$2:$2,0)+1,FALSE)</f>
        <v>polygon</v>
      </c>
      <c r="J377" s="31">
        <f ca="1">VLOOKUP($G377,OFFSET(mission_ACH!$A$2,0,0,COUNTA($A:$A),MATCH(J$2,mission_ACH!$2:$2,0)-MATCH($G$2,mission_ACH!$2:$2,0)+1),MATCH(J$2,mission_ACH!$2:$2,0)-MATCH($G$2,mission_ACH!$2:$2,0)+1,FALSE)</f>
        <v>1</v>
      </c>
      <c r="K377" s="31" t="str">
        <f ca="1">IF(I377="unit",VLOOKUP($G377,OFFSET(mission_ACH!$A$2,0,0,COUNTA($A:$A),MATCH(K$2,mission_ACH!$2:$2,0)-MATCH($G$2,mission_ACH!$2:$2,0)+1),MATCH(K$2,mission_ACH!$2:$2,0)-MATCH($G$2,mission_ACH!$2:$2,0)+1,FALSE),"")</f>
        <v/>
      </c>
      <c r="L377" s="31">
        <f ca="1">VLOOKUP($G377,OFFSET(mission_ACH!$A$2,0,0,COUNTA($A:$A),MATCH(L$2,mission_ACH!$2:$2,0)-MATCH($G$2,mission_ACH!$2:$2,0)+1),MATCH(L$2,mission_ACH!$2:$2,0)-MATCH($G$2,mission_ACH!$2:$2,0)+1,FALSE)</f>
        <v>0</v>
      </c>
      <c r="M377" s="27">
        <v>60</v>
      </c>
      <c r="N377" s="2" t="s">
        <v>892</v>
      </c>
      <c r="O377" s="2" t="s">
        <v>892</v>
      </c>
    </row>
    <row r="378" spans="1:15" s="1" customFormat="1" ht="21" customHeight="1" x14ac:dyDescent="0.15">
      <c r="A378" s="27">
        <f t="shared" si="156"/>
        <v>30018</v>
      </c>
      <c r="B378" s="26" t="str">
        <f t="shared" ca="1" si="158"/>
        <v>クエスト 【10-5. 聖なる炎翼】 をクリアしよう！</v>
      </c>
      <c r="C378" s="27" t="s">
        <v>340</v>
      </c>
      <c r="D378" s="31" t="str">
        <f ca="1">VLOOKUP($C378,OFFSET(mission_unlock_criteria!$A$2,0,0,COUNTA(mission_unlock_criteria!$A:$A),MATCH(D$2,mission_unlock_criteria!$2:$2,0)-MATCH($C$2,mission_unlock_criteria!$2:$2,0)+1),MATCH(D$2,mission_unlock_criteria!$2:$2,0)-MATCH($C$2,mission_unlock_criteria!$2:$2,0)+1,FALSE)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【9-5. 聖なる渦爪】 をクリア</v>
      </c>
      <c r="E378" s="21" t="s">
        <v>340</v>
      </c>
      <c r="F378" s="31" t="str">
        <f ca="1">VLOOKUP($E378,OFFSET(mission_ACH_criteria!$A$1,0,0,COUNTA(mission_ACH_criteria!$A:$A),MATCH(F$2,mission_ACH_criteria!$1:$1,0)-MATCH($E$2,mission_ACH_criteria!$1:$1,0)+1),MATCH(F$2,mission_ACH_criteria!$1:$1,0)-MATCH($E$2,mission_ACH_criteria!$1:$1,0)+1,FALSE)</f>
        <v>クエスト 【10-5. 聖なる炎翼】 をクリアしよう！</v>
      </c>
      <c r="G378" s="27" t="s">
        <v>233</v>
      </c>
      <c r="H378" s="31" t="str">
        <f t="shared" ca="1" si="157"/>
        <v>ポリゴン x 1</v>
      </c>
      <c r="I378" s="31" t="str">
        <f ca="1">VLOOKUP($G378,OFFSET(mission_ACH!$A$2,0,0,COUNTA($A:$A),MATCH(I$2,mission_ACH!$2:$2,0)-MATCH($G$2,mission_ACH!$2:$2,0)+1),MATCH(I$2,mission_ACH!$2:$2,0)-MATCH($G$2,mission_ACH!$2:$2,0)+1,FALSE)</f>
        <v>polygon</v>
      </c>
      <c r="J378" s="31">
        <f ca="1">VLOOKUP($G378,OFFSET(mission_ACH!$A$2,0,0,COUNTA($A:$A),MATCH(J$2,mission_ACH!$2:$2,0)-MATCH($G$2,mission_ACH!$2:$2,0)+1),MATCH(J$2,mission_ACH!$2:$2,0)-MATCH($G$2,mission_ACH!$2:$2,0)+1,FALSE)</f>
        <v>1</v>
      </c>
      <c r="K378" s="31" t="str">
        <f ca="1">IF(I378="unit",VLOOKUP($G378,OFFSET(mission_ACH!$A$2,0,0,COUNTA($A:$A),MATCH(K$2,mission_ACH!$2:$2,0)-MATCH($G$2,mission_ACH!$2:$2,0)+1),MATCH(K$2,mission_ACH!$2:$2,0)-MATCH($G$2,mission_ACH!$2:$2,0)+1,FALSE),"")</f>
        <v/>
      </c>
      <c r="L378" s="31">
        <f ca="1">VLOOKUP($G378,OFFSET(mission_ACH!$A$2,0,0,COUNTA($A:$A),MATCH(L$2,mission_ACH!$2:$2,0)-MATCH($G$2,mission_ACH!$2:$2,0)+1),MATCH(L$2,mission_ACH!$2:$2,0)-MATCH($G$2,mission_ACH!$2:$2,0)+1,FALSE)</f>
        <v>0</v>
      </c>
      <c r="M378" s="27">
        <v>60</v>
      </c>
      <c r="N378" s="2" t="s">
        <v>892</v>
      </c>
      <c r="O378" s="2" t="s">
        <v>892</v>
      </c>
    </row>
    <row r="379" spans="1:15" s="1" customFormat="1" ht="21" customHeight="1" x14ac:dyDescent="0.15">
      <c r="A379" s="27">
        <f t="shared" si="156"/>
        <v>30019</v>
      </c>
      <c r="B379" s="26" t="str">
        <f t="shared" ca="1" si="158"/>
        <v>クエスト 【11-5. 訓練された生存者】 をクリアしよう！</v>
      </c>
      <c r="C379" s="27" t="s">
        <v>341</v>
      </c>
      <c r="D379" s="31" t="str">
        <f ca="1">VLOOKUP($C379,OFFSET(mission_unlock_criteria!$A$2,0,0,COUNTA(mission_unlock_criteria!$A:$A),MATCH(D$2,mission_unlock_criteria!$2:$2,0)-MATCH($C$2,mission_unlock_criteria!$2:$2,0)+1),MATCH(D$2,mission_unlock_criteria!$2:$2,0)-MATCH($C$2,mission_unlock_criteria!$2:$2,0)+1,FALSE)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【10-5. 聖なる炎翼】 をクリア</v>
      </c>
      <c r="E379" s="21" t="s">
        <v>341</v>
      </c>
      <c r="F379" s="31" t="str">
        <f ca="1">VLOOKUP($E379,OFFSET(mission_ACH_criteria!$A$1,0,0,COUNTA(mission_ACH_criteria!$A:$A),MATCH(F$2,mission_ACH_criteria!$1:$1,0)-MATCH($E$2,mission_ACH_criteria!$1:$1,0)+1),MATCH(F$2,mission_ACH_criteria!$1:$1,0)-MATCH($E$2,mission_ACH_criteria!$1:$1,0)+1,FALSE)</f>
        <v>クエスト 【11-5. 訓練された生存者】 をクリアしよう！</v>
      </c>
      <c r="G379" s="27" t="s">
        <v>1272</v>
      </c>
      <c r="H379" s="31" t="str">
        <f t="shared" ca="1" si="157"/>
        <v>ポリゴン x 10</v>
      </c>
      <c r="I379" s="31" t="str">
        <f ca="1">VLOOKUP($G379,OFFSET(mission_ACH!$A$2,0,0,COUNTA($A:$A),MATCH(I$2,mission_ACH!$2:$2,0)-MATCH($G$2,mission_ACH!$2:$2,0)+1),MATCH(I$2,mission_ACH!$2:$2,0)-MATCH($G$2,mission_ACH!$2:$2,0)+1,FALSE)</f>
        <v>polygon</v>
      </c>
      <c r="J379" s="31">
        <f ca="1">VLOOKUP($G379,OFFSET(mission_ACH!$A$2,0,0,COUNTA($A:$A),MATCH(J$2,mission_ACH!$2:$2,0)-MATCH($G$2,mission_ACH!$2:$2,0)+1),MATCH(J$2,mission_ACH!$2:$2,0)-MATCH($G$2,mission_ACH!$2:$2,0)+1,FALSE)</f>
        <v>10</v>
      </c>
      <c r="K379" s="31" t="str">
        <f ca="1">IF(I379="unit",VLOOKUP($G379,OFFSET(mission_ACH!$A$2,0,0,COUNTA($A:$A),MATCH(K$2,mission_ACH!$2:$2,0)-MATCH($G$2,mission_ACH!$2:$2,0)+1),MATCH(K$2,mission_ACH!$2:$2,0)-MATCH($G$2,mission_ACH!$2:$2,0)+1,FALSE),"")</f>
        <v/>
      </c>
      <c r="L379" s="31">
        <f ca="1">VLOOKUP($G379,OFFSET(mission_ACH!$A$2,0,0,COUNTA($A:$A),MATCH(L$2,mission_ACH!$2:$2,0)-MATCH($G$2,mission_ACH!$2:$2,0)+1),MATCH(L$2,mission_ACH!$2:$2,0)-MATCH($G$2,mission_ACH!$2:$2,0)+1,FALSE)</f>
        <v>0</v>
      </c>
      <c r="M379" s="27">
        <v>60</v>
      </c>
      <c r="N379" s="2" t="s">
        <v>892</v>
      </c>
      <c r="O379" s="2" t="s">
        <v>892</v>
      </c>
    </row>
    <row r="380" spans="1:15" s="1" customFormat="1" ht="21" customHeight="1" x14ac:dyDescent="0.15">
      <c r="A380" s="27">
        <f t="shared" si="156"/>
        <v>30020</v>
      </c>
      <c r="B380" s="26" t="str">
        <f t="shared" ca="1" si="158"/>
        <v>クエスト 【12-5. 強蹴の働き者】 をクリアしよう！</v>
      </c>
      <c r="C380" s="27" t="s">
        <v>342</v>
      </c>
      <c r="D380" s="31" t="str">
        <f ca="1">VLOOKUP($C380,OFFSET(mission_unlock_criteria!$A$2,0,0,COUNTA(mission_unlock_criteria!$A:$A),MATCH(D$2,mission_unlock_criteria!$2:$2,0)-MATCH($C$2,mission_unlock_criteria!$2:$2,0)+1),MATCH(D$2,mission_unlock_criteria!$2:$2,0)-MATCH($C$2,mission_unlock_criteria!$2:$2,0)+1,FALSE)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【11-5. 訓練された生存者】 をクリア</v>
      </c>
      <c r="E380" s="21" t="s">
        <v>342</v>
      </c>
      <c r="F380" s="31" t="str">
        <f ca="1">VLOOKUP($E380,OFFSET(mission_ACH_criteria!$A$1,0,0,COUNTA(mission_ACH_criteria!$A:$A),MATCH(F$2,mission_ACH_criteria!$1:$1,0)-MATCH($E$2,mission_ACH_criteria!$1:$1,0)+1),MATCH(F$2,mission_ACH_criteria!$1:$1,0)-MATCH($E$2,mission_ACH_criteria!$1:$1,0)+1,FALSE)</f>
        <v>クエスト 【12-5. 強蹴の働き者】 をクリアしよう！</v>
      </c>
      <c r="G380" s="27" t="s">
        <v>233</v>
      </c>
      <c r="H380" s="31" t="str">
        <f t="shared" ca="1" si="157"/>
        <v>ポリゴン x 1</v>
      </c>
      <c r="I380" s="31" t="str">
        <f ca="1">VLOOKUP($G380,OFFSET(mission_ACH!$A$2,0,0,COUNTA($A:$A),MATCH(I$2,mission_ACH!$2:$2,0)-MATCH($G$2,mission_ACH!$2:$2,0)+1),MATCH(I$2,mission_ACH!$2:$2,0)-MATCH($G$2,mission_ACH!$2:$2,0)+1,FALSE)</f>
        <v>polygon</v>
      </c>
      <c r="J380" s="31">
        <f ca="1">VLOOKUP($G380,OFFSET(mission_ACH!$A$2,0,0,COUNTA($A:$A),MATCH(J$2,mission_ACH!$2:$2,0)-MATCH($G$2,mission_ACH!$2:$2,0)+1),MATCH(J$2,mission_ACH!$2:$2,0)-MATCH($G$2,mission_ACH!$2:$2,0)+1,FALSE)</f>
        <v>1</v>
      </c>
      <c r="K380" s="31" t="str">
        <f ca="1">IF(I380="unit",VLOOKUP($G380,OFFSET(mission_ACH!$A$2,0,0,COUNTA($A:$A),MATCH(K$2,mission_ACH!$2:$2,0)-MATCH($G$2,mission_ACH!$2:$2,0)+1),MATCH(K$2,mission_ACH!$2:$2,0)-MATCH($G$2,mission_ACH!$2:$2,0)+1,FALSE),"")</f>
        <v/>
      </c>
      <c r="L380" s="31">
        <f ca="1">VLOOKUP($G380,OFFSET(mission_ACH!$A$2,0,0,COUNTA($A:$A),MATCH(L$2,mission_ACH!$2:$2,0)-MATCH($G$2,mission_ACH!$2:$2,0)+1),MATCH(L$2,mission_ACH!$2:$2,0)-MATCH($G$2,mission_ACH!$2:$2,0)+1,FALSE)</f>
        <v>0</v>
      </c>
      <c r="M380" s="27">
        <v>60</v>
      </c>
      <c r="N380" s="2" t="s">
        <v>892</v>
      </c>
      <c r="O380" s="2" t="s">
        <v>892</v>
      </c>
    </row>
    <row r="381" spans="1:15" s="1" customFormat="1" ht="21" customHeight="1" x14ac:dyDescent="0.15">
      <c r="A381" s="27">
        <f t="shared" si="156"/>
        <v>30021</v>
      </c>
      <c r="B381" s="26" t="str">
        <f t="shared" ca="1" si="158"/>
        <v>クエスト 【13-5. ローレライの導き】 をクリアしよう！</v>
      </c>
      <c r="C381" s="27" t="s">
        <v>343</v>
      </c>
      <c r="D381" s="31" t="str">
        <f ca="1">VLOOKUP($C381,OFFSET(mission_unlock_criteria!$A$2,0,0,COUNTA(mission_unlock_criteria!$A:$A),MATCH(D$2,mission_unlock_criteria!$2:$2,0)-MATCH($C$2,mission_unlock_criteria!$2:$2,0)+1),MATCH(D$2,mission_unlock_criteria!$2:$2,0)-MATCH($C$2,mission_unlock_criteria!$2:$2,0)+1,FALSE)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【12-5. 強蹴の働き者】 をクリア</v>
      </c>
      <c r="E381" s="21" t="s">
        <v>343</v>
      </c>
      <c r="F381" s="31" t="str">
        <f ca="1">VLOOKUP($E381,OFFSET(mission_ACH_criteria!$A$1,0,0,COUNTA(mission_ACH_criteria!$A:$A),MATCH(F$2,mission_ACH_criteria!$1:$1,0)-MATCH($E$2,mission_ACH_criteria!$1:$1,0)+1),MATCH(F$2,mission_ACH_criteria!$1:$1,0)-MATCH($E$2,mission_ACH_criteria!$1:$1,0)+1,FALSE)</f>
        <v>クエスト 【13-5. ローレライの導き】 をクリアしよう！</v>
      </c>
      <c r="G381" s="27" t="s">
        <v>233</v>
      </c>
      <c r="H381" s="31" t="str">
        <f t="shared" ca="1" si="157"/>
        <v>ポリゴン x 1</v>
      </c>
      <c r="I381" s="31" t="str">
        <f ca="1">VLOOKUP($G381,OFFSET(mission_ACH!$A$2,0,0,COUNTA($A:$A),MATCH(I$2,mission_ACH!$2:$2,0)-MATCH($G$2,mission_ACH!$2:$2,0)+1),MATCH(I$2,mission_ACH!$2:$2,0)-MATCH($G$2,mission_ACH!$2:$2,0)+1,FALSE)</f>
        <v>polygon</v>
      </c>
      <c r="J381" s="31">
        <f ca="1">VLOOKUP($G381,OFFSET(mission_ACH!$A$2,0,0,COUNTA($A:$A),MATCH(J$2,mission_ACH!$2:$2,0)-MATCH($G$2,mission_ACH!$2:$2,0)+1),MATCH(J$2,mission_ACH!$2:$2,0)-MATCH($G$2,mission_ACH!$2:$2,0)+1,FALSE)</f>
        <v>1</v>
      </c>
      <c r="K381" s="31" t="str">
        <f ca="1">IF(I381="unit",VLOOKUP($G381,OFFSET(mission_ACH!$A$2,0,0,COUNTA($A:$A),MATCH(K$2,mission_ACH!$2:$2,0)-MATCH($G$2,mission_ACH!$2:$2,0)+1),MATCH(K$2,mission_ACH!$2:$2,0)-MATCH($G$2,mission_ACH!$2:$2,0)+1,FALSE),"")</f>
        <v/>
      </c>
      <c r="L381" s="31">
        <f ca="1">VLOOKUP($G381,OFFSET(mission_ACH!$A$2,0,0,COUNTA($A:$A),MATCH(L$2,mission_ACH!$2:$2,0)-MATCH($G$2,mission_ACH!$2:$2,0)+1),MATCH(L$2,mission_ACH!$2:$2,0)-MATCH($G$2,mission_ACH!$2:$2,0)+1,FALSE)</f>
        <v>0</v>
      </c>
      <c r="M381" s="27">
        <v>60</v>
      </c>
      <c r="N381" s="2" t="s">
        <v>892</v>
      </c>
      <c r="O381" s="2" t="s">
        <v>892</v>
      </c>
    </row>
    <row r="382" spans="1:15" s="1" customFormat="1" ht="21" customHeight="1" x14ac:dyDescent="0.15">
      <c r="A382" s="27">
        <f t="shared" si="156"/>
        <v>30022</v>
      </c>
      <c r="B382" s="26" t="str">
        <f t="shared" ca="1" si="158"/>
        <v>クエスト 【14-5. 重機駆ける逆徒】 をクリアしよう！</v>
      </c>
      <c r="C382" s="27" t="s">
        <v>344</v>
      </c>
      <c r="D382" s="31" t="str">
        <f ca="1">VLOOKUP($C382,OFFSET(mission_unlock_criteria!$A$2,0,0,COUNTA(mission_unlock_criteria!$A:$A),MATCH(D$2,mission_unlock_criteria!$2:$2,0)-MATCH($C$2,mission_unlock_criteria!$2:$2,0)+1),MATCH(D$2,mission_unlock_criteria!$2:$2,0)-MATCH($C$2,mission_unlock_criteria!$2:$2,0)+1,FALSE)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【13-5. ローレライの導き】 をクリア</v>
      </c>
      <c r="E382" s="21" t="s">
        <v>344</v>
      </c>
      <c r="F382" s="31" t="str">
        <f ca="1">VLOOKUP($E382,OFFSET(mission_ACH_criteria!$A$1,0,0,COUNTA(mission_ACH_criteria!$A:$A),MATCH(F$2,mission_ACH_criteria!$1:$1,0)-MATCH($E$2,mission_ACH_criteria!$1:$1,0)+1),MATCH(F$2,mission_ACH_criteria!$1:$1,0)-MATCH($E$2,mission_ACH_criteria!$1:$1,0)+1,FALSE)</f>
        <v>クエスト 【14-5. 重機駆ける逆徒】 をクリアしよう！</v>
      </c>
      <c r="G382" s="27" t="s">
        <v>233</v>
      </c>
      <c r="H382" s="31" t="str">
        <f t="shared" ca="1" si="157"/>
        <v>ポリゴン x 1</v>
      </c>
      <c r="I382" s="31" t="str">
        <f ca="1">VLOOKUP($G382,OFFSET(mission_ACH!$A$2,0,0,COUNTA($A:$A),MATCH(I$2,mission_ACH!$2:$2,0)-MATCH($G$2,mission_ACH!$2:$2,0)+1),MATCH(I$2,mission_ACH!$2:$2,0)-MATCH($G$2,mission_ACH!$2:$2,0)+1,FALSE)</f>
        <v>polygon</v>
      </c>
      <c r="J382" s="31">
        <f ca="1">VLOOKUP($G382,OFFSET(mission_ACH!$A$2,0,0,COUNTA($A:$A),MATCH(J$2,mission_ACH!$2:$2,0)-MATCH($G$2,mission_ACH!$2:$2,0)+1),MATCH(J$2,mission_ACH!$2:$2,0)-MATCH($G$2,mission_ACH!$2:$2,0)+1,FALSE)</f>
        <v>1</v>
      </c>
      <c r="K382" s="31" t="str">
        <f ca="1">IF(I382="unit",VLOOKUP($G382,OFFSET(mission_ACH!$A$2,0,0,COUNTA($A:$A),MATCH(K$2,mission_ACH!$2:$2,0)-MATCH($G$2,mission_ACH!$2:$2,0)+1),MATCH(K$2,mission_ACH!$2:$2,0)-MATCH($G$2,mission_ACH!$2:$2,0)+1,FALSE),"")</f>
        <v/>
      </c>
      <c r="L382" s="31">
        <f ca="1">VLOOKUP($G382,OFFSET(mission_ACH!$A$2,0,0,COUNTA($A:$A),MATCH(L$2,mission_ACH!$2:$2,0)-MATCH($G$2,mission_ACH!$2:$2,0)+1),MATCH(L$2,mission_ACH!$2:$2,0)-MATCH($G$2,mission_ACH!$2:$2,0)+1,FALSE)</f>
        <v>0</v>
      </c>
      <c r="M382" s="27">
        <v>60</v>
      </c>
      <c r="N382" s="2" t="s">
        <v>892</v>
      </c>
      <c r="O382" s="2" t="s">
        <v>892</v>
      </c>
    </row>
    <row r="383" spans="1:15" s="1" customFormat="1" ht="21" customHeight="1" x14ac:dyDescent="0.15">
      <c r="A383" s="27">
        <f t="shared" si="156"/>
        <v>30023</v>
      </c>
      <c r="B383" s="26" t="str">
        <f t="shared" ca="1" si="158"/>
        <v>クエスト 【15-5. 縁舞のメインイベント】 をクリアしよう！</v>
      </c>
      <c r="C383" s="27" t="s">
        <v>345</v>
      </c>
      <c r="D383" s="31" t="str">
        <f ca="1">VLOOKUP($C383,OFFSET(mission_unlock_criteria!$A$2,0,0,COUNTA(mission_unlock_criteria!$A:$A),MATCH(D$2,mission_unlock_criteria!$2:$2,0)-MATCH($C$2,mission_unlock_criteria!$2:$2,0)+1),MATCH(D$2,mission_unlock_criteria!$2:$2,0)-MATCH($C$2,mission_unlock_criteria!$2:$2,0)+1,FALSE)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【14-5. 重機駆ける逆徒】 をクリア</v>
      </c>
      <c r="E383" s="21" t="s">
        <v>345</v>
      </c>
      <c r="F383" s="31" t="str">
        <f ca="1">VLOOKUP($E383,OFFSET(mission_ACH_criteria!$A$1,0,0,COUNTA(mission_ACH_criteria!$A:$A),MATCH(F$2,mission_ACH_criteria!$1:$1,0)-MATCH($E$2,mission_ACH_criteria!$1:$1,0)+1),MATCH(F$2,mission_ACH_criteria!$1:$1,0)-MATCH($E$2,mission_ACH_criteria!$1:$1,0)+1,FALSE)</f>
        <v>クエスト 【15-5. 縁舞のメインイベント】 をクリアしよう！</v>
      </c>
      <c r="G383" s="27" t="s">
        <v>233</v>
      </c>
      <c r="H383" s="31" t="str">
        <f t="shared" ca="1" si="157"/>
        <v>ポリゴン x 1</v>
      </c>
      <c r="I383" s="31" t="str">
        <f ca="1">VLOOKUP($G383,OFFSET(mission_ACH!$A$2,0,0,COUNTA($A:$A),MATCH(I$2,mission_ACH!$2:$2,0)-MATCH($G$2,mission_ACH!$2:$2,0)+1),MATCH(I$2,mission_ACH!$2:$2,0)-MATCH($G$2,mission_ACH!$2:$2,0)+1,FALSE)</f>
        <v>polygon</v>
      </c>
      <c r="J383" s="31">
        <f ca="1">VLOOKUP($G383,OFFSET(mission_ACH!$A$2,0,0,COUNTA($A:$A),MATCH(J$2,mission_ACH!$2:$2,0)-MATCH($G$2,mission_ACH!$2:$2,0)+1),MATCH(J$2,mission_ACH!$2:$2,0)-MATCH($G$2,mission_ACH!$2:$2,0)+1,FALSE)</f>
        <v>1</v>
      </c>
      <c r="K383" s="31" t="str">
        <f ca="1">IF(I383="unit",VLOOKUP($G383,OFFSET(mission_ACH!$A$2,0,0,COUNTA($A:$A),MATCH(K$2,mission_ACH!$2:$2,0)-MATCH($G$2,mission_ACH!$2:$2,0)+1),MATCH(K$2,mission_ACH!$2:$2,0)-MATCH($G$2,mission_ACH!$2:$2,0)+1,FALSE),"")</f>
        <v/>
      </c>
      <c r="L383" s="31">
        <f ca="1">VLOOKUP($G383,OFFSET(mission_ACH!$A$2,0,0,COUNTA($A:$A),MATCH(L$2,mission_ACH!$2:$2,0)-MATCH($G$2,mission_ACH!$2:$2,0)+1),MATCH(L$2,mission_ACH!$2:$2,0)-MATCH($G$2,mission_ACH!$2:$2,0)+1,FALSE)</f>
        <v>0</v>
      </c>
      <c r="M383" s="27">
        <v>60</v>
      </c>
      <c r="N383" s="2" t="s">
        <v>892</v>
      </c>
      <c r="O383" s="2" t="s">
        <v>892</v>
      </c>
    </row>
    <row r="384" spans="1:15" s="1" customFormat="1" ht="21" customHeight="1" x14ac:dyDescent="0.15">
      <c r="A384" s="27">
        <f t="shared" si="156"/>
        <v>30024</v>
      </c>
      <c r="B384" s="26" t="str">
        <f t="shared" ca="1" si="158"/>
        <v>クエスト 【16-5. プディングに狂気を添えて】 をクリアしよう！</v>
      </c>
      <c r="C384" s="27" t="s">
        <v>346</v>
      </c>
      <c r="D384" s="31" t="str">
        <f ca="1">VLOOKUP($C384,OFFSET(mission_unlock_criteria!$A$2,0,0,COUNTA(mission_unlock_criteria!$A:$A),MATCH(D$2,mission_unlock_criteria!$2:$2,0)-MATCH($C$2,mission_unlock_criteria!$2:$2,0)+1),MATCH(D$2,mission_unlock_criteria!$2:$2,0)-MATCH($C$2,mission_unlock_criteria!$2:$2,0)+1,FALSE)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【15-5. 縁舞のメインイベント】 をクリア</v>
      </c>
      <c r="E384" s="21" t="s">
        <v>346</v>
      </c>
      <c r="F384" s="31" t="str">
        <f ca="1">VLOOKUP($E384,OFFSET(mission_ACH_criteria!$A$1,0,0,COUNTA(mission_ACH_criteria!$A:$A),MATCH(F$2,mission_ACH_criteria!$1:$1,0)-MATCH($E$2,mission_ACH_criteria!$1:$1,0)+1),MATCH(F$2,mission_ACH_criteria!$1:$1,0)-MATCH($E$2,mission_ACH_criteria!$1:$1,0)+1,FALSE)</f>
        <v>クエスト 【16-5. プディングに狂気を添えて】 をクリアしよう！</v>
      </c>
      <c r="G384" s="27" t="s">
        <v>233</v>
      </c>
      <c r="H384" s="31" t="str">
        <f t="shared" ca="1" si="157"/>
        <v>ポリゴン x 1</v>
      </c>
      <c r="I384" s="31" t="str">
        <f ca="1">VLOOKUP($G384,OFFSET(mission_ACH!$A$2,0,0,COUNTA($A:$A),MATCH(I$2,mission_ACH!$2:$2,0)-MATCH($G$2,mission_ACH!$2:$2,0)+1),MATCH(I$2,mission_ACH!$2:$2,0)-MATCH($G$2,mission_ACH!$2:$2,0)+1,FALSE)</f>
        <v>polygon</v>
      </c>
      <c r="J384" s="31">
        <f ca="1">VLOOKUP($G384,OFFSET(mission_ACH!$A$2,0,0,COUNTA($A:$A),MATCH(J$2,mission_ACH!$2:$2,0)-MATCH($G$2,mission_ACH!$2:$2,0)+1),MATCH(J$2,mission_ACH!$2:$2,0)-MATCH($G$2,mission_ACH!$2:$2,0)+1,FALSE)</f>
        <v>1</v>
      </c>
      <c r="K384" s="31" t="str">
        <f ca="1">IF(I384="unit",VLOOKUP($G384,OFFSET(mission_ACH!$A$2,0,0,COUNTA($A:$A),MATCH(K$2,mission_ACH!$2:$2,0)-MATCH($G$2,mission_ACH!$2:$2,0)+1),MATCH(K$2,mission_ACH!$2:$2,0)-MATCH($G$2,mission_ACH!$2:$2,0)+1,FALSE),"")</f>
        <v/>
      </c>
      <c r="L384" s="31">
        <f ca="1">VLOOKUP($G384,OFFSET(mission_ACH!$A$2,0,0,COUNTA($A:$A),MATCH(L$2,mission_ACH!$2:$2,0)-MATCH($G$2,mission_ACH!$2:$2,0)+1),MATCH(L$2,mission_ACH!$2:$2,0)-MATCH($G$2,mission_ACH!$2:$2,0)+1,FALSE)</f>
        <v>0</v>
      </c>
      <c r="M384" s="27">
        <v>60</v>
      </c>
      <c r="N384" s="2" t="s">
        <v>892</v>
      </c>
      <c r="O384" s="2" t="s">
        <v>892</v>
      </c>
    </row>
    <row r="385" spans="1:15" s="1" customFormat="1" ht="21" customHeight="1" x14ac:dyDescent="0.15">
      <c r="A385" s="27">
        <f t="shared" si="156"/>
        <v>30025</v>
      </c>
      <c r="B385" s="26" t="str">
        <f t="shared" ca="1" si="158"/>
        <v>クエスト 【17-5. 水面に映る月閃】 をクリアしよう！</v>
      </c>
      <c r="C385" s="27" t="s">
        <v>347</v>
      </c>
      <c r="D385" s="31" t="str">
        <f ca="1">VLOOKUP($C385,OFFSET(mission_unlock_criteria!$A$2,0,0,COUNTA(mission_unlock_criteria!$A:$A),MATCH(D$2,mission_unlock_criteria!$2:$2,0)-MATCH($C$2,mission_unlock_criteria!$2:$2,0)+1),MATCH(D$2,mission_unlock_criteria!$2:$2,0)-MATCH($C$2,mission_unlock_criteria!$2:$2,0)+1,FALSE)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【16-5. プディングに狂気を添えて】 をクリア</v>
      </c>
      <c r="E385" s="21" t="s">
        <v>347</v>
      </c>
      <c r="F385" s="31" t="str">
        <f ca="1">VLOOKUP($E385,OFFSET(mission_ACH_criteria!$A$1,0,0,COUNTA(mission_ACH_criteria!$A:$A),MATCH(F$2,mission_ACH_criteria!$1:$1,0)-MATCH($E$2,mission_ACH_criteria!$1:$1,0)+1),MATCH(F$2,mission_ACH_criteria!$1:$1,0)-MATCH($E$2,mission_ACH_criteria!$1:$1,0)+1,FALSE)</f>
        <v>クエスト 【17-5. 水面に映る月閃】 をクリアしよう！</v>
      </c>
      <c r="G385" s="27" t="s">
        <v>233</v>
      </c>
      <c r="H385" s="31" t="str">
        <f t="shared" ca="1" si="157"/>
        <v>ポリゴン x 1</v>
      </c>
      <c r="I385" s="31" t="str">
        <f ca="1">VLOOKUP($G385,OFFSET(mission_ACH!$A$2,0,0,COUNTA($A:$A),MATCH(I$2,mission_ACH!$2:$2,0)-MATCH($G$2,mission_ACH!$2:$2,0)+1),MATCH(I$2,mission_ACH!$2:$2,0)-MATCH($G$2,mission_ACH!$2:$2,0)+1,FALSE)</f>
        <v>polygon</v>
      </c>
      <c r="J385" s="31">
        <f ca="1">VLOOKUP($G385,OFFSET(mission_ACH!$A$2,0,0,COUNTA($A:$A),MATCH(J$2,mission_ACH!$2:$2,0)-MATCH($G$2,mission_ACH!$2:$2,0)+1),MATCH(J$2,mission_ACH!$2:$2,0)-MATCH($G$2,mission_ACH!$2:$2,0)+1,FALSE)</f>
        <v>1</v>
      </c>
      <c r="K385" s="31" t="str">
        <f ca="1">IF(I385="unit",VLOOKUP($G385,OFFSET(mission_ACH!$A$2,0,0,COUNTA($A:$A),MATCH(K$2,mission_ACH!$2:$2,0)-MATCH($G$2,mission_ACH!$2:$2,0)+1),MATCH(K$2,mission_ACH!$2:$2,0)-MATCH($G$2,mission_ACH!$2:$2,0)+1,FALSE),"")</f>
        <v/>
      </c>
      <c r="L385" s="31">
        <f ca="1">VLOOKUP($G385,OFFSET(mission_ACH!$A$2,0,0,COUNTA($A:$A),MATCH(L$2,mission_ACH!$2:$2,0)-MATCH($G$2,mission_ACH!$2:$2,0)+1),MATCH(L$2,mission_ACH!$2:$2,0)-MATCH($G$2,mission_ACH!$2:$2,0)+1,FALSE)</f>
        <v>0</v>
      </c>
      <c r="M385" s="27">
        <v>60</v>
      </c>
      <c r="N385" s="2" t="s">
        <v>892</v>
      </c>
      <c r="O385" s="2" t="s">
        <v>892</v>
      </c>
    </row>
    <row r="386" spans="1:15" s="1" customFormat="1" ht="21" customHeight="1" x14ac:dyDescent="0.15">
      <c r="A386" s="27">
        <f t="shared" si="156"/>
        <v>30026</v>
      </c>
      <c r="B386" s="26" t="str">
        <f t="shared" ca="1" si="158"/>
        <v>クエスト 【18-5. 解き放たれし焔神】 をクリアしよう！</v>
      </c>
      <c r="C386" s="27" t="s">
        <v>348</v>
      </c>
      <c r="D386" s="31" t="str">
        <f ca="1">VLOOKUP($C386,OFFSET(mission_unlock_criteria!$A$2,0,0,COUNTA(mission_unlock_criteria!$A:$A),MATCH(D$2,mission_unlock_criteria!$2:$2,0)-MATCH($C$2,mission_unlock_criteria!$2:$2,0)+1),MATCH(D$2,mission_unlock_criteria!$2:$2,0)-MATCH($C$2,mission_unlock_criteria!$2:$2,0)+1,FALSE)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【17-5. 水面に映る月閃】 をクリア</v>
      </c>
      <c r="E386" s="21" t="s">
        <v>348</v>
      </c>
      <c r="F386" s="31" t="str">
        <f ca="1">VLOOKUP($E386,OFFSET(mission_ACH_criteria!$A$1,0,0,COUNTA(mission_ACH_criteria!$A:$A),MATCH(F$2,mission_ACH_criteria!$1:$1,0)-MATCH($E$2,mission_ACH_criteria!$1:$1,0)+1),MATCH(F$2,mission_ACH_criteria!$1:$1,0)-MATCH($E$2,mission_ACH_criteria!$1:$1,0)+1,FALSE)</f>
        <v>クエスト 【18-5. 解き放たれし焔神】 をクリアしよう！</v>
      </c>
      <c r="G386" s="27" t="s">
        <v>233</v>
      </c>
      <c r="H386" s="31" t="str">
        <f t="shared" ca="1" si="157"/>
        <v>ポリゴン x 1</v>
      </c>
      <c r="I386" s="31" t="str">
        <f ca="1">VLOOKUP($G386,OFFSET(mission_ACH!$A$2,0,0,COUNTA($A:$A),MATCH(I$2,mission_ACH!$2:$2,0)-MATCH($G$2,mission_ACH!$2:$2,0)+1),MATCH(I$2,mission_ACH!$2:$2,0)-MATCH($G$2,mission_ACH!$2:$2,0)+1,FALSE)</f>
        <v>polygon</v>
      </c>
      <c r="J386" s="31">
        <f ca="1">VLOOKUP($G386,OFFSET(mission_ACH!$A$2,0,0,COUNTA($A:$A),MATCH(J$2,mission_ACH!$2:$2,0)-MATCH($G$2,mission_ACH!$2:$2,0)+1),MATCH(J$2,mission_ACH!$2:$2,0)-MATCH($G$2,mission_ACH!$2:$2,0)+1,FALSE)</f>
        <v>1</v>
      </c>
      <c r="K386" s="31" t="str">
        <f ca="1">IF(I386="unit",VLOOKUP($G386,OFFSET(mission_ACH!$A$2,0,0,COUNTA($A:$A),MATCH(K$2,mission_ACH!$2:$2,0)-MATCH($G$2,mission_ACH!$2:$2,0)+1),MATCH(K$2,mission_ACH!$2:$2,0)-MATCH($G$2,mission_ACH!$2:$2,0)+1,FALSE),"")</f>
        <v/>
      </c>
      <c r="L386" s="31">
        <f ca="1">VLOOKUP($G386,OFFSET(mission_ACH!$A$2,0,0,COUNTA($A:$A),MATCH(L$2,mission_ACH!$2:$2,0)-MATCH($G$2,mission_ACH!$2:$2,0)+1),MATCH(L$2,mission_ACH!$2:$2,0)-MATCH($G$2,mission_ACH!$2:$2,0)+1,FALSE)</f>
        <v>0</v>
      </c>
      <c r="M386" s="27">
        <v>60</v>
      </c>
      <c r="N386" s="2" t="s">
        <v>892</v>
      </c>
      <c r="O386" s="2" t="s">
        <v>892</v>
      </c>
    </row>
    <row r="387" spans="1:15" s="1" customFormat="1" ht="21" customHeight="1" x14ac:dyDescent="0.15">
      <c r="A387" s="27">
        <f t="shared" si="156"/>
        <v>30027</v>
      </c>
      <c r="B387" s="26" t="str">
        <f t="shared" ca="1" si="158"/>
        <v>クエスト 【19-5. 庭園主の包囲網】 をクリアしよう！</v>
      </c>
      <c r="C387" s="27" t="s">
        <v>349</v>
      </c>
      <c r="D387" s="31" t="str">
        <f ca="1">VLOOKUP($C387,OFFSET(mission_unlock_criteria!$A$2,0,0,COUNTA(mission_unlock_criteria!$A:$A),MATCH(D$2,mission_unlock_criteria!$2:$2,0)-MATCH($C$2,mission_unlock_criteria!$2:$2,0)+1),MATCH(D$2,mission_unlock_criteria!$2:$2,0)-MATCH($C$2,mission_unlock_criteria!$2:$2,0)+1,FALSE)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【18-5. 解き放たれし焔神】 をクリア</v>
      </c>
      <c r="E387" s="21" t="s">
        <v>349</v>
      </c>
      <c r="F387" s="31" t="str">
        <f ca="1">VLOOKUP($E387,OFFSET(mission_ACH_criteria!$A$1,0,0,COUNTA(mission_ACH_criteria!$A:$A),MATCH(F$2,mission_ACH_criteria!$1:$1,0)-MATCH($E$2,mission_ACH_criteria!$1:$1,0)+1),MATCH(F$2,mission_ACH_criteria!$1:$1,0)-MATCH($E$2,mission_ACH_criteria!$1:$1,0)+1,FALSE)</f>
        <v>クエスト 【19-5. 庭園主の包囲網】 をクリアしよう！</v>
      </c>
      <c r="G387" s="27" t="s">
        <v>233</v>
      </c>
      <c r="H387" s="31" t="str">
        <f t="shared" ca="1" si="157"/>
        <v>ポリゴン x 1</v>
      </c>
      <c r="I387" s="31" t="str">
        <f ca="1">VLOOKUP($G387,OFFSET(mission_ACH!$A$2,0,0,COUNTA($A:$A),MATCH(I$2,mission_ACH!$2:$2,0)-MATCH($G$2,mission_ACH!$2:$2,0)+1),MATCH(I$2,mission_ACH!$2:$2,0)-MATCH($G$2,mission_ACH!$2:$2,0)+1,FALSE)</f>
        <v>polygon</v>
      </c>
      <c r="J387" s="31">
        <f ca="1">VLOOKUP($G387,OFFSET(mission_ACH!$A$2,0,0,COUNTA($A:$A),MATCH(J$2,mission_ACH!$2:$2,0)-MATCH($G$2,mission_ACH!$2:$2,0)+1),MATCH(J$2,mission_ACH!$2:$2,0)-MATCH($G$2,mission_ACH!$2:$2,0)+1,FALSE)</f>
        <v>1</v>
      </c>
      <c r="K387" s="31" t="str">
        <f ca="1">IF(I387="unit",VLOOKUP($G387,OFFSET(mission_ACH!$A$2,0,0,COUNTA($A:$A),MATCH(K$2,mission_ACH!$2:$2,0)-MATCH($G$2,mission_ACH!$2:$2,0)+1),MATCH(K$2,mission_ACH!$2:$2,0)-MATCH($G$2,mission_ACH!$2:$2,0)+1,FALSE),"")</f>
        <v/>
      </c>
      <c r="L387" s="31">
        <f ca="1">VLOOKUP($G387,OFFSET(mission_ACH!$A$2,0,0,COUNTA($A:$A),MATCH(L$2,mission_ACH!$2:$2,0)-MATCH($G$2,mission_ACH!$2:$2,0)+1),MATCH(L$2,mission_ACH!$2:$2,0)-MATCH($G$2,mission_ACH!$2:$2,0)+1,FALSE)</f>
        <v>0</v>
      </c>
      <c r="M387" s="27">
        <v>60</v>
      </c>
      <c r="N387" s="2" t="s">
        <v>892</v>
      </c>
      <c r="O387" s="2" t="s">
        <v>892</v>
      </c>
    </row>
    <row r="388" spans="1:15" s="1" customFormat="1" ht="21" customHeight="1" x14ac:dyDescent="0.15">
      <c r="A388" s="27">
        <f t="shared" si="156"/>
        <v>30028</v>
      </c>
      <c r="B388" s="26" t="str">
        <f t="shared" ca="1" si="158"/>
        <v>クエスト 【20-5. 空から降る数多の星】 をクリアしよう！</v>
      </c>
      <c r="C388" s="27" t="s">
        <v>350</v>
      </c>
      <c r="D388" s="31" t="str">
        <f ca="1">VLOOKUP($C388,OFFSET(mission_unlock_criteria!$A$2,0,0,COUNTA(mission_unlock_criteria!$A:$A),MATCH(D$2,mission_unlock_criteria!$2:$2,0)-MATCH($C$2,mission_unlock_criteria!$2:$2,0)+1),MATCH(D$2,mission_unlock_criteria!$2:$2,0)-MATCH($C$2,mission_unlock_criteria!$2:$2,0)+1,FALSE)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【19-5. 庭園主の包囲網】 をクリア</v>
      </c>
      <c r="E388" s="21" t="s">
        <v>350</v>
      </c>
      <c r="F388" s="31" t="str">
        <f ca="1">VLOOKUP($E388,OFFSET(mission_ACH_criteria!$A$1,0,0,COUNTA(mission_ACH_criteria!$A:$A),MATCH(F$2,mission_ACH_criteria!$1:$1,0)-MATCH($E$2,mission_ACH_criteria!$1:$1,0)+1),MATCH(F$2,mission_ACH_criteria!$1:$1,0)-MATCH($E$2,mission_ACH_criteria!$1:$1,0)+1,FALSE)</f>
        <v>クエスト 【20-5. 空から降る数多の星】 をクリアしよう！</v>
      </c>
      <c r="G388" s="27" t="s">
        <v>233</v>
      </c>
      <c r="H388" s="31" t="str">
        <f t="shared" ca="1" si="157"/>
        <v>ポリゴン x 1</v>
      </c>
      <c r="I388" s="31" t="str">
        <f ca="1">VLOOKUP($G388,OFFSET(mission_ACH!$A$2,0,0,COUNTA($A:$A),MATCH(I$2,mission_ACH!$2:$2,0)-MATCH($G$2,mission_ACH!$2:$2,0)+1),MATCH(I$2,mission_ACH!$2:$2,0)-MATCH($G$2,mission_ACH!$2:$2,0)+1,FALSE)</f>
        <v>polygon</v>
      </c>
      <c r="J388" s="31">
        <f ca="1">VLOOKUP($G388,OFFSET(mission_ACH!$A$2,0,0,COUNTA($A:$A),MATCH(J$2,mission_ACH!$2:$2,0)-MATCH($G$2,mission_ACH!$2:$2,0)+1),MATCH(J$2,mission_ACH!$2:$2,0)-MATCH($G$2,mission_ACH!$2:$2,0)+1,FALSE)</f>
        <v>1</v>
      </c>
      <c r="K388" s="31" t="str">
        <f ca="1">IF(I388="unit",VLOOKUP($G388,OFFSET(mission_ACH!$A$2,0,0,COUNTA($A:$A),MATCH(K$2,mission_ACH!$2:$2,0)-MATCH($G$2,mission_ACH!$2:$2,0)+1),MATCH(K$2,mission_ACH!$2:$2,0)-MATCH($G$2,mission_ACH!$2:$2,0)+1,FALSE),"")</f>
        <v/>
      </c>
      <c r="L388" s="31">
        <f ca="1">VLOOKUP($G388,OFFSET(mission_ACH!$A$2,0,0,COUNTA($A:$A),MATCH(L$2,mission_ACH!$2:$2,0)-MATCH($G$2,mission_ACH!$2:$2,0)+1),MATCH(L$2,mission_ACH!$2:$2,0)-MATCH($G$2,mission_ACH!$2:$2,0)+1,FALSE)</f>
        <v>0</v>
      </c>
      <c r="M388" s="27">
        <v>60</v>
      </c>
      <c r="N388" s="2" t="s">
        <v>892</v>
      </c>
      <c r="O388" s="2" t="s">
        <v>892</v>
      </c>
    </row>
    <row r="389" spans="1:15" s="1" customFormat="1" ht="21" customHeight="1" x14ac:dyDescent="0.15">
      <c r="A389" s="27">
        <f t="shared" si="156"/>
        <v>30029</v>
      </c>
      <c r="B389" s="26" t="str">
        <f t="shared" ca="1" si="158"/>
        <v>クエスト 【21-5. マスターオブエデン】 をクリアしよう！</v>
      </c>
      <c r="C389" s="27" t="s">
        <v>351</v>
      </c>
      <c r="D389" s="31" t="str">
        <f ca="1">VLOOKUP($C389,OFFSET(mission_unlock_criteria!$A$2,0,0,COUNTA(mission_unlock_criteria!$A:$A),MATCH(D$2,mission_unlock_criteria!$2:$2,0)-MATCH($C$2,mission_unlock_criteria!$2:$2,0)+1),MATCH(D$2,mission_unlock_criteria!$2:$2,0)-MATCH($C$2,mission_unlock_criteria!$2:$2,0)+1,FALSE)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【20-5. 空から降る数多の星】 をクリア</v>
      </c>
      <c r="E389" s="21" t="s">
        <v>351</v>
      </c>
      <c r="F389" s="31" t="str">
        <f ca="1">VLOOKUP($E389,OFFSET(mission_ACH_criteria!$A$1,0,0,COUNTA(mission_ACH_criteria!$A:$A),MATCH(F$2,mission_ACH_criteria!$1:$1,0)-MATCH($E$2,mission_ACH_criteria!$1:$1,0)+1),MATCH(F$2,mission_ACH_criteria!$1:$1,0)-MATCH($E$2,mission_ACH_criteria!$1:$1,0)+1,FALSE)</f>
        <v>クエスト 【21-5. マスターオブエデン】 をクリアしよう！</v>
      </c>
      <c r="G389" s="27" t="s">
        <v>1272</v>
      </c>
      <c r="H389" s="31" t="str">
        <f t="shared" ca="1" si="157"/>
        <v>ポリゴン x 10</v>
      </c>
      <c r="I389" s="31" t="str">
        <f ca="1">VLOOKUP($G389,OFFSET(mission_ACH!$A$2,0,0,COUNTA($A:$A),MATCH(I$2,mission_ACH!$2:$2,0)-MATCH($G$2,mission_ACH!$2:$2,0)+1),MATCH(I$2,mission_ACH!$2:$2,0)-MATCH($G$2,mission_ACH!$2:$2,0)+1,FALSE)</f>
        <v>polygon</v>
      </c>
      <c r="J389" s="31">
        <f ca="1">VLOOKUP($G389,OFFSET(mission_ACH!$A$2,0,0,COUNTA($A:$A),MATCH(J$2,mission_ACH!$2:$2,0)-MATCH($G$2,mission_ACH!$2:$2,0)+1),MATCH(J$2,mission_ACH!$2:$2,0)-MATCH($G$2,mission_ACH!$2:$2,0)+1,FALSE)</f>
        <v>10</v>
      </c>
      <c r="K389" s="31" t="str">
        <f ca="1">IF(I389="unit",VLOOKUP($G389,OFFSET(mission_ACH!$A$2,0,0,COUNTA($A:$A),MATCH(K$2,mission_ACH!$2:$2,0)-MATCH($G$2,mission_ACH!$2:$2,0)+1),MATCH(K$2,mission_ACH!$2:$2,0)-MATCH($G$2,mission_ACH!$2:$2,0)+1,FALSE),"")</f>
        <v/>
      </c>
      <c r="L389" s="31">
        <f ca="1">VLOOKUP($G389,OFFSET(mission_ACH!$A$2,0,0,COUNTA($A:$A),MATCH(L$2,mission_ACH!$2:$2,0)-MATCH($G$2,mission_ACH!$2:$2,0)+1),MATCH(L$2,mission_ACH!$2:$2,0)-MATCH($G$2,mission_ACH!$2:$2,0)+1,FALSE)</f>
        <v>0</v>
      </c>
      <c r="M389" s="27">
        <v>60</v>
      </c>
      <c r="N389" s="2" t="s">
        <v>892</v>
      </c>
      <c r="O389" s="2" t="s">
        <v>892</v>
      </c>
    </row>
    <row r="390" spans="1:15" s="1" customFormat="1" ht="21" customHeight="1" x14ac:dyDescent="0.15">
      <c r="A390" s="27">
        <f t="shared" si="156"/>
        <v>30030</v>
      </c>
      <c r="B390" s="26" t="str">
        <f t="shared" ca="1" si="158"/>
        <v>クエスト 【22-5．真宴の月光】 をクリアしよう！</v>
      </c>
      <c r="C390" s="27" t="s">
        <v>739</v>
      </c>
      <c r="D390" s="31" t="str">
        <f ca="1">VLOOKUP($C390,OFFSET(mission_unlock_criteria!$A$2,0,0,COUNTA(mission_unlock_criteria!$A:$A),MATCH(D$2,mission_unlock_criteria!$2:$2,0)-MATCH($C$2,mission_unlock_criteria!$2:$2,0)+1),MATCH(D$2,mission_unlock_criteria!$2:$2,0)-MATCH($C$2,mission_unlock_criteria!$2:$2,0)+1,FALSE)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【21-5. マスターオブエデン】 をクリア</v>
      </c>
      <c r="E390" s="21" t="s">
        <v>739</v>
      </c>
      <c r="F390" s="31" t="str">
        <f ca="1">VLOOKUP($E390,OFFSET(mission_ACH_criteria!$A$1,0,0,COUNTA(mission_ACH_criteria!$A:$A),MATCH(F$2,mission_ACH_criteria!$1:$1,0)-MATCH($E$2,mission_ACH_criteria!$1:$1,0)+1),MATCH(F$2,mission_ACH_criteria!$1:$1,0)-MATCH($E$2,mission_ACH_criteria!$1:$1,0)+1,FALSE)</f>
        <v>クエスト 【22-5．真宴の月光】 をクリアしよう！</v>
      </c>
      <c r="G390" s="27" t="s">
        <v>233</v>
      </c>
      <c r="H390" s="31" t="str">
        <f t="shared" ca="1" si="157"/>
        <v>ポリゴン x 1</v>
      </c>
      <c r="I390" s="31" t="str">
        <f ca="1">VLOOKUP($G390,OFFSET(mission_ACH!$A$2,0,0,COUNTA($A:$A),MATCH(I$2,mission_ACH!$2:$2,0)-MATCH($G$2,mission_ACH!$2:$2,0)+1),MATCH(I$2,mission_ACH!$2:$2,0)-MATCH($G$2,mission_ACH!$2:$2,0)+1,FALSE)</f>
        <v>polygon</v>
      </c>
      <c r="J390" s="31">
        <f ca="1">VLOOKUP($G390,OFFSET(mission_ACH!$A$2,0,0,COUNTA($A:$A),MATCH(J$2,mission_ACH!$2:$2,0)-MATCH($G$2,mission_ACH!$2:$2,0)+1),MATCH(J$2,mission_ACH!$2:$2,0)-MATCH($G$2,mission_ACH!$2:$2,0)+1,FALSE)</f>
        <v>1</v>
      </c>
      <c r="K390" s="31" t="str">
        <f ca="1">IF(I390="unit",VLOOKUP($G390,OFFSET(mission_ACH!$A$2,0,0,COUNTA($A:$A),MATCH(K$2,mission_ACH!$2:$2,0)-MATCH($G$2,mission_ACH!$2:$2,0)+1),MATCH(K$2,mission_ACH!$2:$2,0)-MATCH($G$2,mission_ACH!$2:$2,0)+1,FALSE),"")</f>
        <v/>
      </c>
      <c r="L390" s="31">
        <f ca="1">VLOOKUP($G390,OFFSET(mission_ACH!$A$2,0,0,COUNTA($A:$A),MATCH(L$2,mission_ACH!$2:$2,0)-MATCH($G$2,mission_ACH!$2:$2,0)+1),MATCH(L$2,mission_ACH!$2:$2,0)-MATCH($G$2,mission_ACH!$2:$2,0)+1,FALSE)</f>
        <v>0</v>
      </c>
      <c r="M390" s="27">
        <v>60</v>
      </c>
      <c r="N390" s="2" t="s">
        <v>892</v>
      </c>
      <c r="O390" s="2" t="s">
        <v>892</v>
      </c>
    </row>
    <row r="391" spans="1:15" s="1" customFormat="1" ht="21" customHeight="1" x14ac:dyDescent="0.15">
      <c r="A391" s="27">
        <f t="shared" si="156"/>
        <v>30031</v>
      </c>
      <c r="B391" s="26" t="str">
        <f t="shared" ca="1" si="158"/>
        <v>クエスト 【23-5．目醒めの子どもたち】 をクリアしよう！</v>
      </c>
      <c r="C391" s="27" t="s">
        <v>740</v>
      </c>
      <c r="D391" s="31" t="str">
        <f ca="1">VLOOKUP($C391,OFFSET(mission_unlock_criteria!$A$2,0,0,COUNTA(mission_unlock_criteria!$A:$A),MATCH(D$2,mission_unlock_criteria!$2:$2,0)-MATCH($C$2,mission_unlock_criteria!$2:$2,0)+1),MATCH(D$2,mission_unlock_criteria!$2:$2,0)-MATCH($C$2,mission_unlock_criteria!$2:$2,0)+1,FALSE)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【22-5．真宴の月光】 をクリア</v>
      </c>
      <c r="E391" s="21" t="s">
        <v>740</v>
      </c>
      <c r="F391" s="31" t="str">
        <f ca="1">VLOOKUP($E391,OFFSET(mission_ACH_criteria!$A$1,0,0,COUNTA(mission_ACH_criteria!$A:$A),MATCH(F$2,mission_ACH_criteria!$1:$1,0)-MATCH($E$2,mission_ACH_criteria!$1:$1,0)+1),MATCH(F$2,mission_ACH_criteria!$1:$1,0)-MATCH($E$2,mission_ACH_criteria!$1:$1,0)+1,FALSE)</f>
        <v>クエスト 【23-5．目醒めの子どもたち】 をクリアしよう！</v>
      </c>
      <c r="G391" s="27" t="s">
        <v>233</v>
      </c>
      <c r="H391" s="31" t="str">
        <f t="shared" ca="1" si="157"/>
        <v>ポリゴン x 1</v>
      </c>
      <c r="I391" s="31" t="str">
        <f ca="1">VLOOKUP($G391,OFFSET(mission_ACH!$A$2,0,0,COUNTA($A:$A),MATCH(I$2,mission_ACH!$2:$2,0)-MATCH($G$2,mission_ACH!$2:$2,0)+1),MATCH(I$2,mission_ACH!$2:$2,0)-MATCH($G$2,mission_ACH!$2:$2,0)+1,FALSE)</f>
        <v>polygon</v>
      </c>
      <c r="J391" s="31">
        <f ca="1">VLOOKUP($G391,OFFSET(mission_ACH!$A$2,0,0,COUNTA($A:$A),MATCH(J$2,mission_ACH!$2:$2,0)-MATCH($G$2,mission_ACH!$2:$2,0)+1),MATCH(J$2,mission_ACH!$2:$2,0)-MATCH($G$2,mission_ACH!$2:$2,0)+1,FALSE)</f>
        <v>1</v>
      </c>
      <c r="K391" s="31" t="str">
        <f ca="1">IF(I391="unit",VLOOKUP($G391,OFFSET(mission_ACH!$A$2,0,0,COUNTA($A:$A),MATCH(K$2,mission_ACH!$2:$2,0)-MATCH($G$2,mission_ACH!$2:$2,0)+1),MATCH(K$2,mission_ACH!$2:$2,0)-MATCH($G$2,mission_ACH!$2:$2,0)+1,FALSE),"")</f>
        <v/>
      </c>
      <c r="L391" s="31">
        <f ca="1">VLOOKUP($G391,OFFSET(mission_ACH!$A$2,0,0,COUNTA($A:$A),MATCH(L$2,mission_ACH!$2:$2,0)-MATCH($G$2,mission_ACH!$2:$2,0)+1),MATCH(L$2,mission_ACH!$2:$2,0)-MATCH($G$2,mission_ACH!$2:$2,0)+1,FALSE)</f>
        <v>0</v>
      </c>
      <c r="M391" s="27">
        <v>60</v>
      </c>
      <c r="N391" s="2" t="s">
        <v>892</v>
      </c>
      <c r="O391" s="2" t="s">
        <v>892</v>
      </c>
    </row>
    <row r="392" spans="1:15" s="1" customFormat="1" ht="21" customHeight="1" x14ac:dyDescent="0.15">
      <c r="A392" s="27">
        <f t="shared" si="156"/>
        <v>30032</v>
      </c>
      <c r="B392" s="26" t="str">
        <f t="shared" ca="1" si="158"/>
        <v>クエスト 【24-5．決戦のヘヴン】 をクリアしよう！</v>
      </c>
      <c r="C392" s="27" t="s">
        <v>2282</v>
      </c>
      <c r="D392" s="31" t="str">
        <f ca="1">VLOOKUP($C392,OFFSET(mission_unlock_criteria!$A$2,0,0,COUNTA(mission_unlock_criteria!$A:$A),MATCH(D$2,mission_unlock_criteria!$2:$2,0)-MATCH($C$2,mission_unlock_criteria!$2:$2,0)+1),MATCH(D$2,mission_unlock_criteria!$2:$2,0)-MATCH($C$2,mission_unlock_criteria!$2:$2,0)+1,FALSE)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【23-5．目醒めの子どもたち】 をクリア</v>
      </c>
      <c r="E392" s="21" t="s">
        <v>741</v>
      </c>
      <c r="F392" s="31" t="str">
        <f ca="1">VLOOKUP($E392,OFFSET(mission_ACH_criteria!$A$1,0,0,COUNTA(mission_ACH_criteria!$A:$A),MATCH(F$2,mission_ACH_criteria!$1:$1,0)-MATCH($E$2,mission_ACH_criteria!$1:$1,0)+1),MATCH(F$2,mission_ACH_criteria!$1:$1,0)-MATCH($E$2,mission_ACH_criteria!$1:$1,0)+1,FALSE)</f>
        <v>クエスト 【24-5．決戦のヘヴン】 をクリアしよう！</v>
      </c>
      <c r="G392" s="27" t="s">
        <v>233</v>
      </c>
      <c r="H392" s="31" t="str">
        <f t="shared" ca="1" si="157"/>
        <v>ポリゴン x 1</v>
      </c>
      <c r="I392" s="31" t="str">
        <f ca="1">VLOOKUP($G392,OFFSET(mission_ACH!$A$2,0,0,COUNTA($A:$A),MATCH(I$2,mission_ACH!$2:$2,0)-MATCH($G$2,mission_ACH!$2:$2,0)+1),MATCH(I$2,mission_ACH!$2:$2,0)-MATCH($G$2,mission_ACH!$2:$2,0)+1,FALSE)</f>
        <v>polygon</v>
      </c>
      <c r="J392" s="31">
        <f ca="1">VLOOKUP($G392,OFFSET(mission_ACH!$A$2,0,0,COUNTA($A:$A),MATCH(J$2,mission_ACH!$2:$2,0)-MATCH($G$2,mission_ACH!$2:$2,0)+1),MATCH(J$2,mission_ACH!$2:$2,0)-MATCH($G$2,mission_ACH!$2:$2,0)+1,FALSE)</f>
        <v>1</v>
      </c>
      <c r="K392" s="31" t="str">
        <f ca="1">IF(I392="unit",VLOOKUP($G392,OFFSET(mission_ACH!$A$2,0,0,COUNTA($A:$A),MATCH(K$2,mission_ACH!$2:$2,0)-MATCH($G$2,mission_ACH!$2:$2,0)+1),MATCH(K$2,mission_ACH!$2:$2,0)-MATCH($G$2,mission_ACH!$2:$2,0)+1,FALSE),"")</f>
        <v/>
      </c>
      <c r="L392" s="31">
        <f ca="1">VLOOKUP($G392,OFFSET(mission_ACH!$A$2,0,0,COUNTA($A:$A),MATCH(L$2,mission_ACH!$2:$2,0)-MATCH($G$2,mission_ACH!$2:$2,0)+1),MATCH(L$2,mission_ACH!$2:$2,0)-MATCH($G$2,mission_ACH!$2:$2,0)+1,FALSE)</f>
        <v>0</v>
      </c>
      <c r="M392" s="27">
        <v>60</v>
      </c>
      <c r="N392" s="2" t="s">
        <v>892</v>
      </c>
      <c r="O392" s="2" t="s">
        <v>892</v>
      </c>
    </row>
    <row r="393" spans="1:15" s="1" customFormat="1" ht="21" customHeight="1" x14ac:dyDescent="0.15">
      <c r="A393" s="27">
        <f t="shared" si="156"/>
        <v>30033</v>
      </c>
      <c r="B393" s="26" t="str">
        <f t="shared" ca="1" si="158"/>
        <v>クエスト 【25-5．君はサディスティック】 をクリアしよう！</v>
      </c>
      <c r="C393" s="27" t="s">
        <v>2283</v>
      </c>
      <c r="D393" s="31" t="str">
        <f ca="1">VLOOKUP($C393,OFFSET(mission_unlock_criteria!$A$2,0,0,COUNTA(mission_unlock_criteria!$A:$A),MATCH(D$2,mission_unlock_criteria!$2:$2,0)-MATCH($C$2,mission_unlock_criteria!$2:$2,0)+1),MATCH(D$2,mission_unlock_criteria!$2:$2,0)-MATCH($C$2,mission_unlock_criteria!$2:$2,0)+1,FALSE)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【24-5．決戦のヘヴン】 をクリア</v>
      </c>
      <c r="E393" s="21" t="s">
        <v>742</v>
      </c>
      <c r="F393" s="31" t="str">
        <f ca="1">VLOOKUP($E393,OFFSET(mission_ACH_criteria!$A$1,0,0,COUNTA(mission_ACH_criteria!$A:$A),MATCH(F$2,mission_ACH_criteria!$1:$1,0)-MATCH($E$2,mission_ACH_criteria!$1:$1,0)+1),MATCH(F$2,mission_ACH_criteria!$1:$1,0)-MATCH($E$2,mission_ACH_criteria!$1:$1,0)+1,FALSE)</f>
        <v>クエスト 【25-5．君はサディスティック】 をクリアしよう！</v>
      </c>
      <c r="G393" s="27" t="s">
        <v>233</v>
      </c>
      <c r="H393" s="31" t="str">
        <f t="shared" ca="1" si="157"/>
        <v>ポリゴン x 1</v>
      </c>
      <c r="I393" s="31" t="str">
        <f ca="1">VLOOKUP($G393,OFFSET(mission_ACH!$A$2,0,0,COUNTA($A:$A),MATCH(I$2,mission_ACH!$2:$2,0)-MATCH($G$2,mission_ACH!$2:$2,0)+1),MATCH(I$2,mission_ACH!$2:$2,0)-MATCH($G$2,mission_ACH!$2:$2,0)+1,FALSE)</f>
        <v>polygon</v>
      </c>
      <c r="J393" s="31">
        <f ca="1">VLOOKUP($G393,OFFSET(mission_ACH!$A$2,0,0,COUNTA($A:$A),MATCH(J$2,mission_ACH!$2:$2,0)-MATCH($G$2,mission_ACH!$2:$2,0)+1),MATCH(J$2,mission_ACH!$2:$2,0)-MATCH($G$2,mission_ACH!$2:$2,0)+1,FALSE)</f>
        <v>1</v>
      </c>
      <c r="K393" s="31" t="str">
        <f ca="1">IF(I393="unit",VLOOKUP($G393,OFFSET(mission_ACH!$A$2,0,0,COUNTA($A:$A),MATCH(K$2,mission_ACH!$2:$2,0)-MATCH($G$2,mission_ACH!$2:$2,0)+1),MATCH(K$2,mission_ACH!$2:$2,0)-MATCH($G$2,mission_ACH!$2:$2,0)+1,FALSE),"")</f>
        <v/>
      </c>
      <c r="L393" s="31">
        <f ca="1">VLOOKUP($G393,OFFSET(mission_ACH!$A$2,0,0,COUNTA($A:$A),MATCH(L$2,mission_ACH!$2:$2,0)-MATCH($G$2,mission_ACH!$2:$2,0)+1),MATCH(L$2,mission_ACH!$2:$2,0)-MATCH($G$2,mission_ACH!$2:$2,0)+1,FALSE)</f>
        <v>0</v>
      </c>
      <c r="M393" s="27">
        <v>60</v>
      </c>
      <c r="N393" s="2" t="s">
        <v>892</v>
      </c>
      <c r="O393" s="2" t="s">
        <v>892</v>
      </c>
    </row>
    <row r="394" spans="1:15" s="1" customFormat="1" ht="21" customHeight="1" x14ac:dyDescent="0.15">
      <c r="A394" s="27">
        <f t="shared" si="156"/>
        <v>30034</v>
      </c>
      <c r="B394" s="26" t="str">
        <f t="shared" ca="1" si="158"/>
        <v>クエスト 【26-5．踊る強奪者】 をクリアしよう！</v>
      </c>
      <c r="C394" s="27" t="s">
        <v>757</v>
      </c>
      <c r="D394" s="31" t="str">
        <f ca="1">VLOOKUP($C394,OFFSET(mission_unlock_criteria!$A$2,0,0,COUNTA(mission_unlock_criteria!$A:$A),MATCH(D$2,mission_unlock_criteria!$2:$2,0)-MATCH($C$2,mission_unlock_criteria!$2:$2,0)+1),MATCH(D$2,mission_unlock_criteria!$2:$2,0)-MATCH($C$2,mission_unlock_criteria!$2:$2,0)+1,FALSE)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【25-5．君はサディスティック】 をクリア</v>
      </c>
      <c r="E394" s="21" t="s">
        <v>743</v>
      </c>
      <c r="F394" s="31" t="str">
        <f ca="1">VLOOKUP($E394,OFFSET(mission_ACH_criteria!$A$1,0,0,COUNTA(mission_ACH_criteria!$A:$A),MATCH(F$2,mission_ACH_criteria!$1:$1,0)-MATCH($E$2,mission_ACH_criteria!$1:$1,0)+1),MATCH(F$2,mission_ACH_criteria!$1:$1,0)-MATCH($E$2,mission_ACH_criteria!$1:$1,0)+1,FALSE)</f>
        <v>クエスト 【26-5．踊る強奪者】 をクリアしよう！</v>
      </c>
      <c r="G394" s="27" t="s">
        <v>233</v>
      </c>
      <c r="H394" s="31" t="str">
        <f t="shared" ca="1" si="157"/>
        <v>ポリゴン x 1</v>
      </c>
      <c r="I394" s="31" t="str">
        <f ca="1">VLOOKUP($G394,OFFSET(mission_ACH!$A$2,0,0,COUNTA($A:$A),MATCH(I$2,mission_ACH!$2:$2,0)-MATCH($G$2,mission_ACH!$2:$2,0)+1),MATCH(I$2,mission_ACH!$2:$2,0)-MATCH($G$2,mission_ACH!$2:$2,0)+1,FALSE)</f>
        <v>polygon</v>
      </c>
      <c r="J394" s="31">
        <f ca="1">VLOOKUP($G394,OFFSET(mission_ACH!$A$2,0,0,COUNTA($A:$A),MATCH(J$2,mission_ACH!$2:$2,0)-MATCH($G$2,mission_ACH!$2:$2,0)+1),MATCH(J$2,mission_ACH!$2:$2,0)-MATCH($G$2,mission_ACH!$2:$2,0)+1,FALSE)</f>
        <v>1</v>
      </c>
      <c r="K394" s="31" t="str">
        <f ca="1">IF(I394="unit",VLOOKUP($G394,OFFSET(mission_ACH!$A$2,0,0,COUNTA($A:$A),MATCH(K$2,mission_ACH!$2:$2,0)-MATCH($G$2,mission_ACH!$2:$2,0)+1),MATCH(K$2,mission_ACH!$2:$2,0)-MATCH($G$2,mission_ACH!$2:$2,0)+1,FALSE),"")</f>
        <v/>
      </c>
      <c r="L394" s="31">
        <f ca="1">VLOOKUP($G394,OFFSET(mission_ACH!$A$2,0,0,COUNTA($A:$A),MATCH(L$2,mission_ACH!$2:$2,0)-MATCH($G$2,mission_ACH!$2:$2,0)+1),MATCH(L$2,mission_ACH!$2:$2,0)-MATCH($G$2,mission_ACH!$2:$2,0)+1,FALSE)</f>
        <v>0</v>
      </c>
      <c r="M394" s="27">
        <v>60</v>
      </c>
      <c r="N394" s="2" t="s">
        <v>892</v>
      </c>
      <c r="O394" s="2" t="s">
        <v>892</v>
      </c>
    </row>
    <row r="395" spans="1:15" s="1" customFormat="1" ht="21" customHeight="1" x14ac:dyDescent="0.15">
      <c r="A395" s="27">
        <f t="shared" si="156"/>
        <v>30035</v>
      </c>
      <c r="B395" s="26" t="str">
        <f ca="1">F395</f>
        <v>クエスト 【27-3. 山岳の王者】 をクリアしよう！</v>
      </c>
      <c r="C395" s="27" t="s">
        <v>1109</v>
      </c>
      <c r="D395" s="31" t="str">
        <f ca="1">VLOOKUP($C395,OFFSET(mission_unlock_criteria!$A$2,0,0,COUNTA(mission_unlock_criteria!$A:$A),MATCH(D$2,mission_unlock_criteria!$2:$2,0)-MATCH($C$2,mission_unlock_criteria!$2:$2,0)+1),MATCH(D$2,mission_unlock_criteria!$2:$2,0)-MATCH($C$2,mission_unlock_criteria!$2:$2,0)+1,FALSE)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【26-5．踊る強奪者】 をクリア</v>
      </c>
      <c r="E395" s="21" t="s">
        <v>1109</v>
      </c>
      <c r="F395" s="31" t="str">
        <f ca="1">VLOOKUP($E395,OFFSET(mission_ACH_criteria!$A$1,0,0,COUNTA(mission_ACH_criteria!$A:$A),MATCH(F$2,mission_ACH_criteria!$1:$1,0)-MATCH($E$2,mission_ACH_criteria!$1:$1,0)+1),MATCH(F$2,mission_ACH_criteria!$1:$1,0)-MATCH($E$2,mission_ACH_criteria!$1:$1,0)+1,FALSE)</f>
        <v>クエスト 【27-3. 山岳の王者】 をクリアしよう！</v>
      </c>
      <c r="G395" s="27" t="s">
        <v>1121</v>
      </c>
      <c r="H395" s="31" t="str">
        <f t="shared" ca="1" si="157"/>
        <v>ポリゴン x 1</v>
      </c>
      <c r="I395" s="31" t="str">
        <f ca="1">VLOOKUP($G395,OFFSET(mission_ACH!$A$2,0,0,COUNTA($A:$A),MATCH(I$2,mission_ACH!$2:$2,0)-MATCH($G$2,mission_ACH!$2:$2,0)+1),MATCH(I$2,mission_ACH!$2:$2,0)-MATCH($G$2,mission_ACH!$2:$2,0)+1,FALSE)</f>
        <v>polygon</v>
      </c>
      <c r="J395" s="31">
        <f ca="1">VLOOKUP($G395,OFFSET(mission_ACH!$A$2,0,0,COUNTA($A:$A),MATCH(J$2,mission_ACH!$2:$2,0)-MATCH($G$2,mission_ACH!$2:$2,0)+1),MATCH(J$2,mission_ACH!$2:$2,0)-MATCH($G$2,mission_ACH!$2:$2,0)+1,FALSE)</f>
        <v>1</v>
      </c>
      <c r="K395" s="31" t="str">
        <f ca="1">IF(I395="unit",VLOOKUP($G395,OFFSET(mission_ACH!$A$2,0,0,COUNTA($A:$A),MATCH(K$2,mission_ACH!$2:$2,0)-MATCH($G$2,mission_ACH!$2:$2,0)+1),MATCH(K$2,mission_ACH!$2:$2,0)-MATCH($G$2,mission_ACH!$2:$2,0)+1,FALSE),"")</f>
        <v/>
      </c>
      <c r="L395" s="31">
        <f ca="1">VLOOKUP($G395,OFFSET(mission_ACH!$A$2,0,0,COUNTA($A:$A),MATCH(L$2,mission_ACH!$2:$2,0)-MATCH($G$2,mission_ACH!$2:$2,0)+1),MATCH(L$2,mission_ACH!$2:$2,0)-MATCH($G$2,mission_ACH!$2:$2,0)+1,FALSE)</f>
        <v>0</v>
      </c>
      <c r="M395" s="27">
        <v>60</v>
      </c>
      <c r="N395" s="2" t="s">
        <v>352</v>
      </c>
      <c r="O395" s="2" t="s">
        <v>352</v>
      </c>
    </row>
    <row r="396" spans="1:15" s="1" customFormat="1" ht="21" customHeight="1" x14ac:dyDescent="0.15">
      <c r="A396" s="27">
        <f t="shared" si="156"/>
        <v>30036</v>
      </c>
      <c r="B396" s="26" t="str">
        <f ca="1">F396</f>
        <v>クエスト 【28-3. 縛風の洞窟】 をクリアしよう！</v>
      </c>
      <c r="C396" s="27" t="s">
        <v>1111</v>
      </c>
      <c r="D396" s="31" t="str">
        <f ca="1">VLOOKUP($C396,OFFSET(mission_unlock_criteria!$A$2,0,0,COUNTA(mission_unlock_criteria!$A:$A),MATCH(D$2,mission_unlock_criteria!$2:$2,0)-MATCH($C$2,mission_unlock_criteria!$2:$2,0)+1),MATCH(D$2,mission_unlock_criteria!$2:$2,0)-MATCH($C$2,mission_unlock_criteria!$2:$2,0)+1,FALSE)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【27-3. 山岳の王者】 をクリア</v>
      </c>
      <c r="E396" s="21" t="s">
        <v>1111</v>
      </c>
      <c r="F396" s="31" t="str">
        <f ca="1">VLOOKUP($E396,OFFSET(mission_ACH_criteria!$A$1,0,0,COUNTA(mission_ACH_criteria!$A:$A),MATCH(F$2,mission_ACH_criteria!$1:$1,0)-MATCH($E$2,mission_ACH_criteria!$1:$1,0)+1),MATCH(F$2,mission_ACH_criteria!$1:$1,0)-MATCH($E$2,mission_ACH_criteria!$1:$1,0)+1,FALSE)</f>
        <v>クエスト 【28-3. 縛風の洞窟】 をクリアしよう！</v>
      </c>
      <c r="G396" s="27" t="s">
        <v>47</v>
      </c>
      <c r="H396" s="31" t="str">
        <f t="shared" ca="1" si="157"/>
        <v>ポリゴン x 1</v>
      </c>
      <c r="I396" s="31" t="str">
        <f ca="1">VLOOKUP($G396,OFFSET(mission_ACH!$A$2,0,0,COUNTA($A:$A),MATCH(I$2,mission_ACH!$2:$2,0)-MATCH($G$2,mission_ACH!$2:$2,0)+1),MATCH(I$2,mission_ACH!$2:$2,0)-MATCH($G$2,mission_ACH!$2:$2,0)+1,FALSE)</f>
        <v>polygon</v>
      </c>
      <c r="J396" s="31">
        <f ca="1">VLOOKUP($G396,OFFSET(mission_ACH!$A$2,0,0,COUNTA($A:$A),MATCH(J$2,mission_ACH!$2:$2,0)-MATCH($G$2,mission_ACH!$2:$2,0)+1),MATCH(J$2,mission_ACH!$2:$2,0)-MATCH($G$2,mission_ACH!$2:$2,0)+1,FALSE)</f>
        <v>1</v>
      </c>
      <c r="K396" s="31" t="str">
        <f ca="1">IF(I396="unit",VLOOKUP($G396,OFFSET(mission_ACH!$A$2,0,0,COUNTA($A:$A),MATCH(K$2,mission_ACH!$2:$2,0)-MATCH($G$2,mission_ACH!$2:$2,0)+1),MATCH(K$2,mission_ACH!$2:$2,0)-MATCH($G$2,mission_ACH!$2:$2,0)+1,FALSE),"")</f>
        <v/>
      </c>
      <c r="L396" s="31">
        <f ca="1">VLOOKUP($G396,OFFSET(mission_ACH!$A$2,0,0,COUNTA($A:$A),MATCH(L$2,mission_ACH!$2:$2,0)-MATCH($G$2,mission_ACH!$2:$2,0)+1),MATCH(L$2,mission_ACH!$2:$2,0)-MATCH($G$2,mission_ACH!$2:$2,0)+1,FALSE)</f>
        <v>0</v>
      </c>
      <c r="M396" s="27">
        <v>60</v>
      </c>
      <c r="N396" s="2" t="s">
        <v>352</v>
      </c>
      <c r="O396" s="2" t="s">
        <v>352</v>
      </c>
    </row>
    <row r="397" spans="1:15" s="1" customFormat="1" ht="21" customHeight="1" x14ac:dyDescent="0.15">
      <c r="A397" s="27">
        <f t="shared" si="156"/>
        <v>30037</v>
      </c>
      <c r="B397" s="26" t="str">
        <f ca="1">F397</f>
        <v>クエスト 【29-3. 仕立屋と兄妹】 をクリアしよう！</v>
      </c>
      <c r="C397" s="27" t="s">
        <v>1113</v>
      </c>
      <c r="D397" s="31" t="str">
        <f ca="1">VLOOKUP($C397,OFFSET(mission_unlock_criteria!$A$2,0,0,COUNTA(mission_unlock_criteria!$A:$A),MATCH(D$2,mission_unlock_criteria!$2:$2,0)-MATCH($C$2,mission_unlock_criteria!$2:$2,0)+1),MATCH(D$2,mission_unlock_criteria!$2:$2,0)-MATCH($C$2,mission_unlock_criteria!$2:$2,0)+1,FALSE)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【28-3. 縛風の洞窟】 をクリア</v>
      </c>
      <c r="E397" s="21" t="s">
        <v>1113</v>
      </c>
      <c r="F397" s="31" t="str">
        <f ca="1">VLOOKUP($E397,OFFSET(mission_ACH_criteria!$A$1,0,0,COUNTA(mission_ACH_criteria!$A:$A),MATCH(F$2,mission_ACH_criteria!$1:$1,0)-MATCH($E$2,mission_ACH_criteria!$1:$1,0)+1),MATCH(F$2,mission_ACH_criteria!$1:$1,0)-MATCH($E$2,mission_ACH_criteria!$1:$1,0)+1,FALSE)</f>
        <v>クエスト 【29-3. 仕立屋と兄妹】 をクリアしよう！</v>
      </c>
      <c r="G397" s="27" t="s">
        <v>47</v>
      </c>
      <c r="H397" s="31" t="str">
        <f t="shared" ca="1" si="157"/>
        <v>ポリゴン x 1</v>
      </c>
      <c r="I397" s="31" t="str">
        <f ca="1">VLOOKUP($G397,OFFSET(mission_ACH!$A$2,0,0,COUNTA($A:$A),MATCH(I$2,mission_ACH!$2:$2,0)-MATCH($G$2,mission_ACH!$2:$2,0)+1),MATCH(I$2,mission_ACH!$2:$2,0)-MATCH($G$2,mission_ACH!$2:$2,0)+1,FALSE)</f>
        <v>polygon</v>
      </c>
      <c r="J397" s="31">
        <f ca="1">VLOOKUP($G397,OFFSET(mission_ACH!$A$2,0,0,COUNTA($A:$A),MATCH(J$2,mission_ACH!$2:$2,0)-MATCH($G$2,mission_ACH!$2:$2,0)+1),MATCH(J$2,mission_ACH!$2:$2,0)-MATCH($G$2,mission_ACH!$2:$2,0)+1,FALSE)</f>
        <v>1</v>
      </c>
      <c r="K397" s="31" t="str">
        <f ca="1">IF(I397="unit",VLOOKUP($G397,OFFSET(mission_ACH!$A$2,0,0,COUNTA($A:$A),MATCH(K$2,mission_ACH!$2:$2,0)-MATCH($G$2,mission_ACH!$2:$2,0)+1),MATCH(K$2,mission_ACH!$2:$2,0)-MATCH($G$2,mission_ACH!$2:$2,0)+1,FALSE),"")</f>
        <v/>
      </c>
      <c r="L397" s="31">
        <f ca="1">VLOOKUP($G397,OFFSET(mission_ACH!$A$2,0,0,COUNTA($A:$A),MATCH(L$2,mission_ACH!$2:$2,0)-MATCH($G$2,mission_ACH!$2:$2,0)+1),MATCH(L$2,mission_ACH!$2:$2,0)-MATCH($G$2,mission_ACH!$2:$2,0)+1,FALSE)</f>
        <v>0</v>
      </c>
      <c r="M397" s="27">
        <v>60</v>
      </c>
      <c r="N397" s="2" t="s">
        <v>352</v>
      </c>
      <c r="O397" s="2" t="s">
        <v>352</v>
      </c>
    </row>
    <row r="398" spans="1:15" s="1" customFormat="1" ht="21" customHeight="1" x14ac:dyDescent="0.15">
      <c r="A398" s="27">
        <f t="shared" si="156"/>
        <v>30038</v>
      </c>
      <c r="B398" s="26" t="str">
        <f ca="1">F398</f>
        <v>クエスト 【30-3. 月影の襲撃者】 をクリアしよう！</v>
      </c>
      <c r="C398" s="27" t="s">
        <v>1114</v>
      </c>
      <c r="D398" s="31" t="str">
        <f ca="1">VLOOKUP($C398,OFFSET(mission_unlock_criteria!$A$2,0,0,COUNTA(mission_unlock_criteria!$A:$A),MATCH(D$2,mission_unlock_criteria!$2:$2,0)-MATCH($C$2,mission_unlock_criteria!$2:$2,0)+1),MATCH(D$2,mission_unlock_criteria!$2:$2,0)-MATCH($C$2,mission_unlock_criteria!$2:$2,0)+1,FALSE)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【29-3. 仕立屋と兄妹】 をクリア</v>
      </c>
      <c r="E398" s="21" t="s">
        <v>1114</v>
      </c>
      <c r="F398" s="31" t="str">
        <f ca="1">VLOOKUP($E398,OFFSET(mission_ACH_criteria!$A$1,0,0,COUNTA(mission_ACH_criteria!$A:$A),MATCH(F$2,mission_ACH_criteria!$1:$1,0)-MATCH($E$2,mission_ACH_criteria!$1:$1,0)+1),MATCH(F$2,mission_ACH_criteria!$1:$1,0)-MATCH($E$2,mission_ACH_criteria!$1:$1,0)+1,FALSE)</f>
        <v>クエスト 【30-3. 月影の襲撃者】 をクリアしよう！</v>
      </c>
      <c r="G398" s="27" t="s">
        <v>49</v>
      </c>
      <c r="H398" s="31" t="str">
        <f t="shared" ca="1" si="157"/>
        <v>ポリゴン x 1</v>
      </c>
      <c r="I398" s="31" t="str">
        <f ca="1">VLOOKUP($G398,OFFSET(mission_ACH!$A$2,0,0,COUNTA($A:$A),MATCH(I$2,mission_ACH!$2:$2,0)-MATCH($G$2,mission_ACH!$2:$2,0)+1),MATCH(I$2,mission_ACH!$2:$2,0)-MATCH($G$2,mission_ACH!$2:$2,0)+1,FALSE)</f>
        <v>polygon</v>
      </c>
      <c r="J398" s="31">
        <f ca="1">VLOOKUP($G398,OFFSET(mission_ACH!$A$2,0,0,COUNTA($A:$A),MATCH(J$2,mission_ACH!$2:$2,0)-MATCH($G$2,mission_ACH!$2:$2,0)+1),MATCH(J$2,mission_ACH!$2:$2,0)-MATCH($G$2,mission_ACH!$2:$2,0)+1,FALSE)</f>
        <v>1</v>
      </c>
      <c r="K398" s="31" t="str">
        <f ca="1">IF(I398="unit",VLOOKUP($G398,OFFSET(mission_ACH!$A$2,0,0,COUNTA($A:$A),MATCH(K$2,mission_ACH!$2:$2,0)-MATCH($G$2,mission_ACH!$2:$2,0)+1),MATCH(K$2,mission_ACH!$2:$2,0)-MATCH($G$2,mission_ACH!$2:$2,0)+1,FALSE),"")</f>
        <v/>
      </c>
      <c r="L398" s="31">
        <f ca="1">VLOOKUP($G398,OFFSET(mission_ACH!$A$2,0,0,COUNTA($A:$A),MATCH(L$2,mission_ACH!$2:$2,0)-MATCH($G$2,mission_ACH!$2:$2,0)+1),MATCH(L$2,mission_ACH!$2:$2,0)-MATCH($G$2,mission_ACH!$2:$2,0)+1,FALSE)</f>
        <v>0</v>
      </c>
      <c r="M398" s="27">
        <v>60</v>
      </c>
      <c r="N398" s="2" t="s">
        <v>352</v>
      </c>
      <c r="O398" s="2" t="s">
        <v>352</v>
      </c>
    </row>
    <row r="399" spans="1:15" s="1" customFormat="1" ht="21" customHeight="1" x14ac:dyDescent="0.15">
      <c r="A399" s="27">
        <f t="shared" si="156"/>
        <v>30039</v>
      </c>
      <c r="B399" s="26" t="str">
        <f ca="1">F399</f>
        <v>クエスト 【31-3. 神域の試練】 をクリアしよう！</v>
      </c>
      <c r="C399" s="27" t="s">
        <v>1115</v>
      </c>
      <c r="D399" s="31" t="str">
        <f ca="1">VLOOKUP($C399,OFFSET(mission_unlock_criteria!$A$2,0,0,COUNTA(mission_unlock_criteria!$A:$A),MATCH(D$2,mission_unlock_criteria!$2:$2,0)-MATCH($C$2,mission_unlock_criteria!$2:$2,0)+1),MATCH(D$2,mission_unlock_criteria!$2:$2,0)-MATCH($C$2,mission_unlock_criteria!$2:$2,0)+1,FALSE)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【30-3. 月影の襲撃者】 をクリア</v>
      </c>
      <c r="E399" s="21" t="s">
        <v>1115</v>
      </c>
      <c r="F399" s="31" t="str">
        <f ca="1">VLOOKUP($E399,OFFSET(mission_ACH_criteria!$A$1,0,0,COUNTA(mission_ACH_criteria!$A:$A),MATCH(F$2,mission_ACH_criteria!$1:$1,0)-MATCH($E$2,mission_ACH_criteria!$1:$1,0)+1),MATCH(F$2,mission_ACH_criteria!$1:$1,0)-MATCH($E$2,mission_ACH_criteria!$1:$1,0)+1,FALSE)</f>
        <v>クエスト 【31-3. 神域の試練】 をクリアしよう！</v>
      </c>
      <c r="G399" s="27" t="s">
        <v>2278</v>
      </c>
      <c r="H399" s="31" t="str">
        <f t="shared" ca="1" si="157"/>
        <v>麗邸の遊撃守 エリゼ x 1</v>
      </c>
      <c r="I399" s="31" t="str">
        <f ca="1">VLOOKUP($G399,OFFSET(mission_ACH!$A$2,0,0,COUNTA($A:$A),MATCH(I$2,mission_ACH!$2:$2,0)-MATCH($G$2,mission_ACH!$2:$2,0)+1),MATCH(I$2,mission_ACH!$2:$2,0)-MATCH($G$2,mission_ACH!$2:$2,0)+1,FALSE)</f>
        <v>unit</v>
      </c>
      <c r="J399" s="31">
        <f ca="1">VLOOKUP($G399,OFFSET(mission_ACH!$A$2,0,0,COUNTA($A:$A),MATCH(J$2,mission_ACH!$2:$2,0)-MATCH($G$2,mission_ACH!$2:$2,0)+1),MATCH(J$2,mission_ACH!$2:$2,0)-MATCH($G$2,mission_ACH!$2:$2,0)+1,FALSE)</f>
        <v>633</v>
      </c>
      <c r="K399" s="31" t="str">
        <f ca="1">IF(I399="unit",VLOOKUP($G399,OFFSET(mission_ACH!$A$2,0,0,COUNTA($A:$A),MATCH(K$2,mission_ACH!$2:$2,0)-MATCH($G$2,mission_ACH!$2:$2,0)+1),MATCH(K$2,mission_ACH!$2:$2,0)-MATCH($G$2,mission_ACH!$2:$2,0)+1,FALSE),"")</f>
        <v>麗邸の遊撃守 エリゼ</v>
      </c>
      <c r="L399" s="31">
        <f ca="1">VLOOKUP($G399,OFFSET(mission_ACH!$A$2,0,0,COUNTA($A:$A),MATCH(L$2,mission_ACH!$2:$2,0)-MATCH($G$2,mission_ACH!$2:$2,0)+1),MATCH(L$2,mission_ACH!$2:$2,0)-MATCH($G$2,mission_ACH!$2:$2,0)+1,FALSE)</f>
        <v>1</v>
      </c>
      <c r="M399" s="27">
        <v>60</v>
      </c>
      <c r="N399" s="2" t="s">
        <v>352</v>
      </c>
      <c r="O399" s="2" t="s">
        <v>352</v>
      </c>
    </row>
    <row r="400" spans="1:15" s="1" customFormat="1" ht="21" customHeight="1" x14ac:dyDescent="0.15">
      <c r="A400" s="27">
        <f t="shared" si="156"/>
        <v>30040</v>
      </c>
      <c r="B400" s="26" t="str">
        <f t="shared" ref="B400" ca="1" si="159">F400</f>
        <v>ユニットを Lv.45 まで育てよう！</v>
      </c>
      <c r="C400" s="27" t="s">
        <v>533</v>
      </c>
      <c r="D400" s="31" t="str">
        <f ca="1">VLOOKUP($C400,OFFSET(mission_unlock_criteria!$A$2,0,0,COUNTA(mission_unlock_criteria!$A:$A),MATCH(D$2,mission_unlock_criteria!$2:$2,0)-MATCH($C$2,mission_unlock_criteria!$2:$2,0)+1),MATCH(D$2,mission_unlock_criteria!$2:$2,0)-MATCH($C$2,mission_unlock_criteria!$2:$2,0)+1,FALSE)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ミッション 【ユニットを強化してみよう！】 をクリア</v>
      </c>
      <c r="E400" s="27" t="s">
        <v>2281</v>
      </c>
      <c r="F400" s="31" t="str">
        <f ca="1">VLOOKUP($E400,OFFSET(mission_ACH_criteria!$A$1,0,0,COUNTA(mission_ACH_criteria!$A:$A),MATCH(F$2,mission_ACH_criteria!$1:$1,0)-MATCH($E$2,mission_ACH_criteria!$1:$1,0)+1),MATCH(F$2,mission_ACH_criteria!$1:$1,0)-MATCH($E$2,mission_ACH_criteria!$1:$1,0)+1,FALSE)</f>
        <v>ユニットを Lv.45 まで育てよう！</v>
      </c>
      <c r="G400" s="27" t="s">
        <v>47</v>
      </c>
      <c r="H400" s="31" t="str">
        <f t="shared" ca="1" si="157"/>
        <v>ポリゴン x 1</v>
      </c>
      <c r="I400" s="31" t="str">
        <f ca="1">VLOOKUP($G400,OFFSET(mission_ACH!$A$2,0,0,COUNTA($A:$A),MATCH(I$2,mission_ACH!$2:$2,0)-MATCH($G$2,mission_ACH!$2:$2,0)+1),MATCH(I$2,mission_ACH!$2:$2,0)-MATCH($G$2,mission_ACH!$2:$2,0)+1,FALSE)</f>
        <v>polygon</v>
      </c>
      <c r="J400" s="31">
        <f ca="1">VLOOKUP($G400,OFFSET(mission_ACH!$A$2,0,0,COUNTA($A:$A),MATCH(J$2,mission_ACH!$2:$2,0)-MATCH($G$2,mission_ACH!$2:$2,0)+1),MATCH(J$2,mission_ACH!$2:$2,0)-MATCH($G$2,mission_ACH!$2:$2,0)+1,FALSE)</f>
        <v>1</v>
      </c>
      <c r="K400" s="31" t="str">
        <f ca="1">IF(I400="unit",VLOOKUP($G400,OFFSET(mission_ACH!$A$2,0,0,COUNTA($A:$A),MATCH(K$2,mission_ACH!$2:$2,0)-MATCH($G$2,mission_ACH!$2:$2,0)+1),MATCH(K$2,mission_ACH!$2:$2,0)-MATCH($G$2,mission_ACH!$2:$2,0)+1,FALSE),"")</f>
        <v/>
      </c>
      <c r="L400" s="31">
        <f ca="1">VLOOKUP($G400,OFFSET(mission_ACH!$A$2,0,0,COUNTA($A:$A),MATCH(L$2,mission_ACH!$2:$2,0)-MATCH($G$2,mission_ACH!$2:$2,0)+1),MATCH(L$2,mission_ACH!$2:$2,0)-MATCH($G$2,mission_ACH!$2:$2,0)+1,FALSE)</f>
        <v>0</v>
      </c>
      <c r="M400" s="27">
        <v>76</v>
      </c>
      <c r="N400" s="2" t="s">
        <v>955</v>
      </c>
      <c r="O400" s="2" t="s">
        <v>955</v>
      </c>
    </row>
    <row r="401" spans="1:15" s="1" customFormat="1" ht="21" customHeight="1" x14ac:dyDescent="0.15">
      <c r="A401" s="27">
        <f t="shared" si="156"/>
        <v>30041</v>
      </c>
      <c r="B401" s="26" t="str">
        <f ca="1">F401</f>
        <v>「にゃんこ大戦争」で『恋するウィルス』をクリアしよう！</v>
      </c>
      <c r="C401" s="27" t="s">
        <v>331</v>
      </c>
      <c r="D401" s="31" t="str">
        <f ca="1">VLOOKUP($C401,OFFSET(mission_unlock_criteria!$A$2,0,0,COUNTA(mission_unlock_criteria!$A:$A),MATCH(D$2,mission_unlock_criteria!$2:$2,0)-MATCH($C$2,mission_unlock_criteria!$2:$2,0)+1),MATCH(D$2,mission_unlock_criteria!$2:$2,0)-MATCH($C$2,mission_unlock_criteria!$2:$2,0)+1,FALSE)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01" s="21" t="s">
        <v>2287</v>
      </c>
      <c r="F401" s="31" t="str">
        <f ca="1">VLOOKUP($E401,OFFSET(mission_ACH_criteria!$A$1,0,0,COUNTA(mission_ACH_criteria!$A:$A),MATCH(F$2,mission_ACH_criteria!$1:$1,0)-MATCH($E$2,mission_ACH_criteria!$1:$1,0)+1),MATCH(F$2,mission_ACH_criteria!$1:$1,0)-MATCH($E$2,mission_ACH_criteria!$1:$1,0)+1,FALSE)</f>
        <v>「にゃんこ大戦争」で『恋するウィルス』をクリアしよう！</v>
      </c>
      <c r="G401" s="27" t="s">
        <v>2328</v>
      </c>
      <c r="H401" s="76" t="s">
        <v>2286</v>
      </c>
      <c r="I401" s="31" t="str">
        <f ca="1">VLOOKUP($G401,OFFSET(mission_ACH!$A$2,0,0,COUNTA($A:$A),MATCH(I$2,mission_ACH!$2:$2,0)-MATCH($G$2,mission_ACH!$2:$2,0)+1),MATCH(I$2,mission_ACH!$2:$2,0)-MATCH($G$2,mission_ACH!$2:$2,0)+1,FALSE)</f>
        <v>item</v>
      </c>
      <c r="J401" s="31">
        <f ca="1">VLOOKUP($G401,OFFSET(mission_ACH!$A$2,0,0,COUNTA($A:$A),MATCH(J$2,mission_ACH!$2:$2,0)-MATCH($G$2,mission_ACH!$2:$2,0)+1),MATCH(J$2,mission_ACH!$2:$2,0)-MATCH($G$2,mission_ACH!$2:$2,0)+1,FALSE)</f>
        <v>704</v>
      </c>
      <c r="K401" s="31" t="str">
        <f ca="1">IF(I401="unit",VLOOKUP($G401,OFFSET(mission_ACH!$A$2,0,0,COUNTA($A:$A),MATCH(K$2,mission_ACH!$2:$2,0)-MATCH($G$2,mission_ACH!$2:$2,0)+1),MATCH(K$2,mission_ACH!$2:$2,0)-MATCH($G$2,mission_ACH!$2:$2,0)+1,FALSE),"")</f>
        <v/>
      </c>
      <c r="L401" s="31">
        <f ca="1">VLOOKUP($G401,OFFSET(mission_ACH!$A$2,0,0,COUNTA($A:$A),MATCH(L$2,mission_ACH!$2:$2,0)-MATCH($G$2,mission_ACH!$2:$2,0)+1),MATCH(L$2,mission_ACH!$2:$2,0)-MATCH($G$2,mission_ACH!$2:$2,0)+1,FALSE)</f>
        <v>10</v>
      </c>
      <c r="M401" s="27">
        <v>106</v>
      </c>
      <c r="N401" s="87" t="s">
        <v>2284</v>
      </c>
      <c r="O401" s="87" t="s">
        <v>2285</v>
      </c>
    </row>
    <row r="402" spans="1:15" s="1" customFormat="1" ht="21" customHeight="1" x14ac:dyDescent="0.15">
      <c r="A402" s="27">
        <f t="shared" si="156"/>
        <v>30042</v>
      </c>
      <c r="B402" s="26" t="str">
        <f ca="1">F402</f>
        <v>「にゃんこ大戦争」で『収束する光』をクリアしよう！</v>
      </c>
      <c r="C402" s="27" t="s">
        <v>331</v>
      </c>
      <c r="D402" s="31" t="str">
        <f ca="1">VLOOKUP($C402,OFFSET(mission_unlock_criteria!$A$2,0,0,COUNTA(mission_unlock_criteria!$A:$A),MATCH(D$2,mission_unlock_criteria!$2:$2,0)-MATCH($C$2,mission_unlock_criteria!$2:$2,0)+1),MATCH(D$2,mission_unlock_criteria!$2:$2,0)-MATCH($C$2,mission_unlock_criteria!$2:$2,0)+1,FALSE)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02" s="21" t="s">
        <v>2289</v>
      </c>
      <c r="F402" s="31" t="str">
        <f ca="1">VLOOKUP($E402,OFFSET(mission_ACH_criteria!$A$1,0,0,COUNTA(mission_ACH_criteria!$A:$A),MATCH(F$2,mission_ACH_criteria!$1:$1,0)-MATCH($E$2,mission_ACH_criteria!$1:$1,0)+1),MATCH(F$2,mission_ACH_criteria!$1:$1,0)-MATCH($E$2,mission_ACH_criteria!$1:$1,0)+1,FALSE)</f>
        <v>「にゃんこ大戦争」で『収束する光』をクリアしよう！</v>
      </c>
      <c r="G402" s="27" t="s">
        <v>908</v>
      </c>
      <c r="H402" s="31" t="str">
        <f ca="1">IF(I402="unit",K402&amp;" x "&amp;L402,IF(I402="polygon","ポリゴン x "&amp;J402,IF(I402="bit","ビット x "&amp;J402,IF(I402="link","リンク x "&amp;J402))))</f>
        <v>ポリゴン x 10</v>
      </c>
      <c r="I402" s="31" t="str">
        <f ca="1">VLOOKUP($G402,OFFSET(mission_ACH!$A$2,0,0,COUNTA($A:$A),MATCH(I$2,mission_ACH!$2:$2,0)-MATCH($G$2,mission_ACH!$2:$2,0)+1),MATCH(I$2,mission_ACH!$2:$2,0)-MATCH($G$2,mission_ACH!$2:$2,0)+1,FALSE)</f>
        <v>polygon</v>
      </c>
      <c r="J402" s="31">
        <f ca="1">VLOOKUP($G402,OFFSET(mission_ACH!$A$2,0,0,COUNTA($A:$A),MATCH(J$2,mission_ACH!$2:$2,0)-MATCH($G$2,mission_ACH!$2:$2,0)+1),MATCH(J$2,mission_ACH!$2:$2,0)-MATCH($G$2,mission_ACH!$2:$2,0)+1,FALSE)</f>
        <v>10</v>
      </c>
      <c r="K402" s="31" t="str">
        <f ca="1">IF(I402="unit",VLOOKUP($G402,OFFSET(mission_ACH!$A$2,0,0,COUNTA($A:$A),MATCH(K$2,mission_ACH!$2:$2,0)-MATCH($G$2,mission_ACH!$2:$2,0)+1),MATCH(K$2,mission_ACH!$2:$2,0)-MATCH($G$2,mission_ACH!$2:$2,0)+1,FALSE),"")</f>
        <v/>
      </c>
      <c r="L402" s="31">
        <f ca="1">VLOOKUP($G402,OFFSET(mission_ACH!$A$2,0,0,COUNTA($A:$A),MATCH(L$2,mission_ACH!$2:$2,0)-MATCH($G$2,mission_ACH!$2:$2,0)+1),MATCH(L$2,mission_ACH!$2:$2,0)-MATCH($G$2,mission_ACH!$2:$2,0)+1,FALSE)</f>
        <v>0</v>
      </c>
      <c r="M402" s="27">
        <v>106</v>
      </c>
      <c r="N402" s="87" t="s">
        <v>2284</v>
      </c>
      <c r="O402" s="87" t="s">
        <v>2285</v>
      </c>
    </row>
    <row r="403" spans="1:15" s="1" customFormat="1" ht="21" customHeight="1" x14ac:dyDescent="0.15">
      <c r="A403" s="27">
        <f t="shared" si="156"/>
        <v>30043</v>
      </c>
      <c r="B403" s="26" t="str">
        <f ca="1">F403</f>
        <v>「にゃんこ大戦争」で『ハッピー100』がもらえるよ【1回のみ】</v>
      </c>
      <c r="C403" s="27" t="s">
        <v>2336</v>
      </c>
      <c r="D403" s="31" t="str">
        <f ca="1">VLOOKUP($C403,OFFSET(mission_unlock_criteria!$A$2,0,0,COUNTA(mission_unlock_criteria!$A:$A),MATCH(D$2,mission_unlock_criteria!$2:$2,0)-MATCH($C$2,mission_unlock_criteria!$2:$2,0)+1),MATCH(D$2,mission_unlock_criteria!$2:$2,0)-MATCH($C$2,mission_unlock_criteria!$2:$2,0)+1,FALSE)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【【初級】侵略！？にゃんこ軍団現る！】 をクリア</v>
      </c>
      <c r="E403" s="21" t="s">
        <v>2297</v>
      </c>
      <c r="F403" s="31" t="str">
        <f ca="1">VLOOKUP($E403,OFFSET(mission_ACH_criteria!$A$1,0,0,COUNTA(mission_ACH_criteria!$A:$A),MATCH(F$2,mission_ACH_criteria!$1:$1,0)-MATCH($E$2,mission_ACH_criteria!$1:$1,0)+1),MATCH(F$2,mission_ACH_criteria!$1:$1,0)-MATCH($E$2,mission_ACH_criteria!$1:$1,0)+1,FALSE)</f>
        <v>「にゃんこ大戦争」で『ハッピー100』がもらえるよ【1回のみ】</v>
      </c>
      <c r="G403" s="27" t="s">
        <v>2306</v>
      </c>
      <c r="H403" s="76" t="s">
        <v>2307</v>
      </c>
      <c r="I403" s="31" t="str">
        <f ca="1">VLOOKUP($G403,OFFSET(mission_ACH!$A$2,0,0,COUNTA($A:$A),MATCH(I$2,mission_ACH!$2:$2,0)-MATCH($G$2,mission_ACH!$2:$2,0)+1),MATCH(I$2,mission_ACH!$2:$2,0)-MATCH($G$2,mission_ACH!$2:$2,0)+1,FALSE)</f>
        <v>unit</v>
      </c>
      <c r="J403" s="31">
        <f ca="1">VLOOKUP($G403,OFFSET(mission_ACH!$A$2,0,0,COUNTA($A:$A),MATCH(J$2,mission_ACH!$2:$2,0)-MATCH($G$2,mission_ACH!$2:$2,0)+1),MATCH(J$2,mission_ACH!$2:$2,0)-MATCH($G$2,mission_ACH!$2:$2,0)+1,FALSE)</f>
        <v>1504</v>
      </c>
      <c r="K403" s="31" t="str">
        <f ca="1">IF(I403="unit",VLOOKUP($G403,OFFSET(mission_ACH!$A$2,0,0,COUNTA($A:$A),MATCH(K$2,mission_ACH!$2:$2,0)-MATCH($G$2,mission_ACH!$2:$2,0)+1),MATCH(K$2,mission_ACH!$2:$2,0)-MATCH($G$2,mission_ACH!$2:$2,0)+1,FALSE),"")</f>
        <v>ネコ</v>
      </c>
      <c r="L403" s="31">
        <f ca="1">VLOOKUP($G403,OFFSET(mission_ACH!$A$2,0,0,COUNTA($A:$A),MATCH(L$2,mission_ACH!$2:$2,0)-MATCH($G$2,mission_ACH!$2:$2,0)+1),MATCH(L$2,mission_ACH!$2:$2,0)-MATCH($G$2,mission_ACH!$2:$2,0)+1,FALSE)</f>
        <v>1</v>
      </c>
      <c r="M403" s="27">
        <v>106</v>
      </c>
      <c r="N403" s="87" t="s">
        <v>2284</v>
      </c>
      <c r="O403" s="87" t="s">
        <v>2285</v>
      </c>
    </row>
    <row r="404" spans="1:15" s="1" customFormat="1" ht="21" customHeight="1" x14ac:dyDescent="0.15">
      <c r="A404" s="27">
        <f t="shared" si="156"/>
        <v>30044</v>
      </c>
      <c r="B404" s="26" t="str">
        <f ca="1">F404</f>
        <v>「にゃんこ大戦争」で『XP30000』がもらえるよ【1回のみ】</v>
      </c>
      <c r="C404" s="27" t="s">
        <v>2338</v>
      </c>
      <c r="D404" s="31" t="str">
        <f ca="1">VLOOKUP($C404,OFFSET(mission_unlock_criteria!$A$2,0,0,COUNTA(mission_unlock_criteria!$A:$A),MATCH(D$2,mission_unlock_criteria!$2:$2,0)-MATCH($C$2,mission_unlock_criteria!$2:$2,0)+1),MATCH(D$2,mission_unlock_criteria!$2:$2,0)-MATCH($C$2,mission_unlock_criteria!$2:$2,0)+1,FALSE)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【【激ムズ】ネコムート襲来】 をクリア</v>
      </c>
      <c r="E404" s="21" t="s">
        <v>2299</v>
      </c>
      <c r="F404" s="31" t="str">
        <f ca="1">VLOOKUP($E404,OFFSET(mission_ACH_criteria!$A$1,0,0,COUNTA(mission_ACH_criteria!$A:$A),MATCH(F$2,mission_ACH_criteria!$1:$1,0)-MATCH($E$2,mission_ACH_criteria!$1:$1,0)+1),MATCH(F$2,mission_ACH_criteria!$1:$1,0)-MATCH($E$2,mission_ACH_criteria!$1:$1,0)+1,FALSE)</f>
        <v>「にゃんこ大戦争」で『XP30000』がもらえるよ【1回のみ】</v>
      </c>
      <c r="G404" s="27" t="s">
        <v>2306</v>
      </c>
      <c r="H404" s="76" t="s">
        <v>2307</v>
      </c>
      <c r="I404" s="31" t="str">
        <f ca="1">VLOOKUP($G404,OFFSET(mission_ACH!$A$2,0,0,COUNTA($A:$A),MATCH(I$2,mission_ACH!$2:$2,0)-MATCH($G$2,mission_ACH!$2:$2,0)+1),MATCH(I$2,mission_ACH!$2:$2,0)-MATCH($G$2,mission_ACH!$2:$2,0)+1,FALSE)</f>
        <v>unit</v>
      </c>
      <c r="J404" s="31">
        <f ca="1">VLOOKUP($G404,OFFSET(mission_ACH!$A$2,0,0,COUNTA($A:$A),MATCH(J$2,mission_ACH!$2:$2,0)-MATCH($G$2,mission_ACH!$2:$2,0)+1),MATCH(J$2,mission_ACH!$2:$2,0)-MATCH($G$2,mission_ACH!$2:$2,0)+1,FALSE)</f>
        <v>1504</v>
      </c>
      <c r="K404" s="31" t="str">
        <f ca="1">IF(I404="unit",VLOOKUP($G404,OFFSET(mission_ACH!$A$2,0,0,COUNTA($A:$A),MATCH(K$2,mission_ACH!$2:$2,0)-MATCH($G$2,mission_ACH!$2:$2,0)+1),MATCH(K$2,mission_ACH!$2:$2,0)-MATCH($G$2,mission_ACH!$2:$2,0)+1,FALSE),"")</f>
        <v>ネコ</v>
      </c>
      <c r="L404" s="31">
        <f ca="1">VLOOKUP($G404,OFFSET(mission_ACH!$A$2,0,0,COUNTA($A:$A),MATCH(L$2,mission_ACH!$2:$2,0)-MATCH($G$2,mission_ACH!$2:$2,0)+1),MATCH(L$2,mission_ACH!$2:$2,0)-MATCH($G$2,mission_ACH!$2:$2,0)+1,FALSE)</f>
        <v>1</v>
      </c>
      <c r="M404" s="27">
        <v>106</v>
      </c>
      <c r="N404" s="87" t="s">
        <v>2284</v>
      </c>
      <c r="O404" s="87" t="s">
        <v>2285</v>
      </c>
    </row>
    <row r="405" spans="1:15" s="1" customFormat="1" ht="21" customHeight="1" x14ac:dyDescent="0.15">
      <c r="A405" s="27">
        <f t="shared" si="156"/>
        <v>30045</v>
      </c>
      <c r="B405" s="26" t="str">
        <f ca="1">F405</f>
        <v>「にゃんこ大戦争」で『にゃんこチケット3枚』がもらえるよ【1回のみ】</v>
      </c>
      <c r="C405" s="27" t="s">
        <v>2340</v>
      </c>
      <c r="D405" s="31" t="str">
        <f ca="1">VLOOKUP($C405,OFFSET(mission_unlock_criteria!$A$2,0,0,COUNTA(mission_unlock_criteria!$A:$A),MATCH(D$2,mission_unlock_criteria!$2:$2,0)-MATCH($C$2,mission_unlock_criteria!$2:$2,0)+1),MATCH(D$2,mission_unlock_criteria!$2:$2,0)-MATCH($C$2,mission_unlock_criteria!$2:$2,0)+1,FALSE)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【【極ムズ】狂乱のネコ降臨】 をクリア</v>
      </c>
      <c r="E405" s="21" t="s">
        <v>2301</v>
      </c>
      <c r="F405" s="31" t="str">
        <f ca="1">VLOOKUP($E405,OFFSET(mission_ACH_criteria!$A$1,0,0,COUNTA(mission_ACH_criteria!$A:$A),MATCH(F$2,mission_ACH_criteria!$1:$1,0)-MATCH($E$2,mission_ACH_criteria!$1:$1,0)+1),MATCH(F$2,mission_ACH_criteria!$1:$1,0)-MATCH($E$2,mission_ACH_criteria!$1:$1,0)+1,FALSE)</f>
        <v>「にゃんこ大戦争」で『にゃんこチケット3枚』がもらえるよ【1回のみ】</v>
      </c>
      <c r="G405" s="27" t="s">
        <v>2306</v>
      </c>
      <c r="H405" s="76" t="s">
        <v>2307</v>
      </c>
      <c r="I405" s="31" t="str">
        <f ca="1">VLOOKUP($G405,OFFSET(mission_ACH!$A$2,0,0,COUNTA($A:$A),MATCH(I$2,mission_ACH!$2:$2,0)-MATCH($G$2,mission_ACH!$2:$2,0)+1),MATCH(I$2,mission_ACH!$2:$2,0)-MATCH($G$2,mission_ACH!$2:$2,0)+1,FALSE)</f>
        <v>unit</v>
      </c>
      <c r="J405" s="31">
        <f ca="1">VLOOKUP($G405,OFFSET(mission_ACH!$A$2,0,0,COUNTA($A:$A),MATCH(J$2,mission_ACH!$2:$2,0)-MATCH($G$2,mission_ACH!$2:$2,0)+1),MATCH(J$2,mission_ACH!$2:$2,0)-MATCH($G$2,mission_ACH!$2:$2,0)+1,FALSE)</f>
        <v>1504</v>
      </c>
      <c r="K405" s="31" t="str">
        <f ca="1">IF(I405="unit",VLOOKUP($G405,OFFSET(mission_ACH!$A$2,0,0,COUNTA($A:$A),MATCH(K$2,mission_ACH!$2:$2,0)-MATCH($G$2,mission_ACH!$2:$2,0)+1),MATCH(K$2,mission_ACH!$2:$2,0)-MATCH($G$2,mission_ACH!$2:$2,0)+1,FALSE),"")</f>
        <v>ネコ</v>
      </c>
      <c r="L405" s="31">
        <f ca="1">VLOOKUP($G405,OFFSET(mission_ACH!$A$2,0,0,COUNTA($A:$A),MATCH(L$2,mission_ACH!$2:$2,0)-MATCH($G$2,mission_ACH!$2:$2,0)+1),MATCH(L$2,mission_ACH!$2:$2,0)-MATCH($G$2,mission_ACH!$2:$2,0)+1,FALSE)</f>
        <v>1</v>
      </c>
      <c r="M405" s="27">
        <v>106</v>
      </c>
      <c r="N405" s="87" t="s">
        <v>2284</v>
      </c>
      <c r="O405" s="87" t="s">
        <v>2285</v>
      </c>
    </row>
    <row r="406" spans="1:15" s="1" customFormat="1" ht="21" customHeight="1" x14ac:dyDescent="0.15">
      <c r="A406" s="27">
        <f t="shared" si="156"/>
        <v>30046</v>
      </c>
      <c r="B406" s="26" t="str">
        <f t="shared" ref="B406:B407" ca="1" si="160">F406</f>
        <v>にゃんこ大戦争コラボをTwitterでツイートしよう！</v>
      </c>
      <c r="C406" s="27" t="s">
        <v>331</v>
      </c>
      <c r="D406" s="31" t="str">
        <f ca="1">VLOOKUP($C406,OFFSET(mission_unlock_criteria!$A$2,0,0,COUNTA(mission_unlock_criteria!$A:$A),MATCH(D$2,mission_unlock_criteria!$2:$2,0)-MATCH($C$2,mission_unlock_criteria!$2:$2,0)+1),MATCH(D$2,mission_unlock_criteria!$2:$2,0)-MATCH($C$2,mission_unlock_criteria!$2:$2,0)+1,FALSE)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06" s="2" t="s">
        <v>2308</v>
      </c>
      <c r="F406" s="31" t="str">
        <f ca="1">VLOOKUP($E406,OFFSET(mission_ACH_criteria!$A$1,0,0,COUNTA(mission_ACH_criteria!$A:$A),MATCH(F$2,mission_ACH_criteria!$1:$1,0)-MATCH($E$2,mission_ACH_criteria!$1:$1,0)+1),MATCH(F$2,mission_ACH_criteria!$1:$1,0)-MATCH($E$2,mission_ACH_criteria!$1:$1,0)+1,FALSE)</f>
        <v>にゃんこ大戦争コラボをTwitterでツイートしよう！</v>
      </c>
      <c r="G406" s="27" t="s">
        <v>47</v>
      </c>
      <c r="H406" s="31" t="str">
        <f t="shared" ref="H406:H407" ca="1" si="161">IF(I406="unit",K406&amp;" x "&amp;L406,IF(I406="polygon","ポリゴン x "&amp;J406,IF(I406="bit","ビット x "&amp;J406,IF(I406="link","リンク x "&amp;J406))))</f>
        <v>ポリゴン x 1</v>
      </c>
      <c r="I406" s="31" t="str">
        <f ca="1">VLOOKUP($G406,OFFSET(mission_ACH!$A$2,0,0,COUNTA($A:$A),MATCH(I$2,mission_ACH!$2:$2,0)-MATCH($G$2,mission_ACH!$2:$2,0)+1),MATCH(I$2,mission_ACH!$2:$2,0)-MATCH($G$2,mission_ACH!$2:$2,0)+1,FALSE)</f>
        <v>polygon</v>
      </c>
      <c r="J406" s="31">
        <f ca="1">VLOOKUP($G406,OFFSET(mission_ACH!$A$2,0,0,COUNTA($A:$A),MATCH(J$2,mission_ACH!$2:$2,0)-MATCH($G$2,mission_ACH!$2:$2,0)+1),MATCH(J$2,mission_ACH!$2:$2,0)-MATCH($G$2,mission_ACH!$2:$2,0)+1,FALSE)</f>
        <v>1</v>
      </c>
      <c r="K406" s="31" t="str">
        <f ca="1">IF(I406="unit",VLOOKUP($G406,OFFSET(mission_ACH!$A$2,0,0,COUNTA($A:$A),MATCH(K$2,mission_ACH!$2:$2,0)-MATCH($G$2,mission_ACH!$2:$2,0)+1),MATCH(K$2,mission_ACH!$2:$2,0)-MATCH($G$2,mission_ACH!$2:$2,0)+1,FALSE),"")</f>
        <v/>
      </c>
      <c r="L406" s="31">
        <f ca="1">VLOOKUP($G406,OFFSET(mission_ACH!$A$2,0,0,COUNTA($A:$A),MATCH(L$2,mission_ACH!$2:$2,0)-MATCH($G$2,mission_ACH!$2:$2,0)+1),MATCH(L$2,mission_ACH!$2:$2,0)-MATCH($G$2,mission_ACH!$2:$2,0)+1,FALSE)</f>
        <v>0</v>
      </c>
      <c r="M406" s="27">
        <v>101</v>
      </c>
      <c r="N406" s="87" t="s">
        <v>2284</v>
      </c>
      <c r="O406" s="87" t="s">
        <v>2285</v>
      </c>
    </row>
    <row r="407" spans="1:15" s="1" customFormat="1" ht="21" customHeight="1" x14ac:dyDescent="0.15">
      <c r="A407" s="27">
        <f t="shared" si="156"/>
        <v>30047</v>
      </c>
      <c r="B407" s="26" t="str">
        <f t="shared" ca="1" si="160"/>
        <v>にゃんこ大戦争コラボをLINEでタイムライン投稿しよう！</v>
      </c>
      <c r="C407" s="27" t="s">
        <v>331</v>
      </c>
      <c r="D407" s="31" t="str">
        <f ca="1">VLOOKUP($C407,OFFSET(mission_unlock_criteria!$A$2,0,0,COUNTA(mission_unlock_criteria!$A:$A),MATCH(D$2,mission_unlock_criteria!$2:$2,0)-MATCH($C$2,mission_unlock_criteria!$2:$2,0)+1),MATCH(D$2,mission_unlock_criteria!$2:$2,0)-MATCH($C$2,mission_unlock_criteria!$2:$2,0)+1,FALSE)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07" s="2" t="s">
        <v>2309</v>
      </c>
      <c r="F407" s="31" t="str">
        <f ca="1">VLOOKUP($E407,OFFSET(mission_ACH_criteria!$A$1,0,0,COUNTA(mission_ACH_criteria!$A:$A),MATCH(F$2,mission_ACH_criteria!$1:$1,0)-MATCH($E$2,mission_ACH_criteria!$1:$1,0)+1),MATCH(F$2,mission_ACH_criteria!$1:$1,0)-MATCH($E$2,mission_ACH_criteria!$1:$1,0)+1,FALSE)</f>
        <v>にゃんこ大戦争コラボをLINEでタイムライン投稿しよう！</v>
      </c>
      <c r="G407" s="27" t="s">
        <v>47</v>
      </c>
      <c r="H407" s="31" t="str">
        <f t="shared" ca="1" si="161"/>
        <v>ポリゴン x 1</v>
      </c>
      <c r="I407" s="31" t="str">
        <f ca="1">VLOOKUP($G407,OFFSET(mission_ACH!$A$2,0,0,COUNTA($A:$A),MATCH(I$2,mission_ACH!$2:$2,0)-MATCH($G$2,mission_ACH!$2:$2,0)+1),MATCH(I$2,mission_ACH!$2:$2,0)-MATCH($G$2,mission_ACH!$2:$2,0)+1,FALSE)</f>
        <v>polygon</v>
      </c>
      <c r="J407" s="31">
        <f ca="1">VLOOKUP($G407,OFFSET(mission_ACH!$A$2,0,0,COUNTA($A:$A),MATCH(J$2,mission_ACH!$2:$2,0)-MATCH($G$2,mission_ACH!$2:$2,0)+1),MATCH(J$2,mission_ACH!$2:$2,0)-MATCH($G$2,mission_ACH!$2:$2,0)+1,FALSE)</f>
        <v>1</v>
      </c>
      <c r="K407" s="31" t="str">
        <f ca="1">IF(I407="unit",VLOOKUP($G407,OFFSET(mission_ACH!$A$2,0,0,COUNTA($A:$A),MATCH(K$2,mission_ACH!$2:$2,0)-MATCH($G$2,mission_ACH!$2:$2,0)+1),MATCH(K$2,mission_ACH!$2:$2,0)-MATCH($G$2,mission_ACH!$2:$2,0)+1,FALSE),"")</f>
        <v/>
      </c>
      <c r="L407" s="31">
        <f ca="1">VLOOKUP($G407,OFFSET(mission_ACH!$A$2,0,0,COUNTA($A:$A),MATCH(L$2,mission_ACH!$2:$2,0)-MATCH($G$2,mission_ACH!$2:$2,0)+1),MATCH(L$2,mission_ACH!$2:$2,0)-MATCH($G$2,mission_ACH!$2:$2,0)+1,FALSE)</f>
        <v>0</v>
      </c>
      <c r="M407" s="27">
        <v>101</v>
      </c>
      <c r="N407" s="87" t="s">
        <v>2284</v>
      </c>
      <c r="O407" s="87" t="s">
        <v>2285</v>
      </c>
    </row>
    <row r="408" spans="1:15" s="1" customFormat="1" ht="21" customHeight="1" x14ac:dyDescent="0.15">
      <c r="A408" s="27">
        <f t="shared" si="156"/>
        <v>30048</v>
      </c>
      <c r="B408" s="26" t="str">
        <f t="shared" ref="B408:B436" ca="1" si="162">F408</f>
        <v>クエスト 【初級】侵略！？にゃんこ軍団現る！ をクリアしよう！</v>
      </c>
      <c r="C408" s="27" t="s">
        <v>331</v>
      </c>
      <c r="D408" s="31" t="str">
        <f ca="1">VLOOKUP($C408,OFFSET(mission_unlock_criteria!$A$2,0,0,COUNTA(mission_unlock_criteria!$A:$A),MATCH(D$2,mission_unlock_criteria!$2:$2,0)-MATCH($C$2,mission_unlock_criteria!$2:$2,0)+1),MATCH(D$2,mission_unlock_criteria!$2:$2,0)-MATCH($C$2,mission_unlock_criteria!$2:$2,0)+1,FALSE)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08" s="2" t="s">
        <v>2312</v>
      </c>
      <c r="F408" s="31" t="str">
        <f ca="1">VLOOKUP($E408,OFFSET(mission_ACH_criteria!$A$1,0,0,COUNTA(mission_ACH_criteria!$A:$A),MATCH(F$2,mission_ACH_criteria!$1:$1,0)-MATCH($E$2,mission_ACH_criteria!$1:$1,0)+1),MATCH(F$2,mission_ACH_criteria!$1:$1,0)-MATCH($E$2,mission_ACH_criteria!$1:$1,0)+1,FALSE)</f>
        <v>クエスト 【初級】侵略！？にゃんこ軍団現る！ をクリアしよう！</v>
      </c>
      <c r="G408" s="27" t="s">
        <v>2329</v>
      </c>
      <c r="H408" s="76" t="s">
        <v>2332</v>
      </c>
      <c r="I408" s="31" t="str">
        <f ca="1">VLOOKUP($G408,OFFSET(mission_ACH!$A$2,0,0,COUNTA($A:$A),MATCH(I$2,mission_ACH!$2:$2,0)-MATCH($G$2,mission_ACH!$2:$2,0)+1),MATCH(I$2,mission_ACH!$2:$2,0)-MATCH($G$2,mission_ACH!$2:$2,0)+1,FALSE)</f>
        <v>item</v>
      </c>
      <c r="J408" s="31">
        <f ca="1">VLOOKUP($G408,OFFSET(mission_ACH!$A$2,0,0,COUNTA($A:$A),MATCH(J$2,mission_ACH!$2:$2,0)-MATCH($G$2,mission_ACH!$2:$2,0)+1),MATCH(J$2,mission_ACH!$2:$2,0)-MATCH($G$2,mission_ACH!$2:$2,0)+1,FALSE)</f>
        <v>704</v>
      </c>
      <c r="K408" s="31" t="str">
        <f ca="1">IF(I408="unit",VLOOKUP($G408,OFFSET(mission_ACH!$A$2,0,0,COUNTA($A:$A),MATCH(K$2,mission_ACH!$2:$2,0)-MATCH($G$2,mission_ACH!$2:$2,0)+1),MATCH(K$2,mission_ACH!$2:$2,0)-MATCH($G$2,mission_ACH!$2:$2,0)+1,FALSE),"")</f>
        <v/>
      </c>
      <c r="L408" s="31">
        <f ca="1">VLOOKUP($G408,OFFSET(mission_ACH!$A$2,0,0,COUNTA($A:$A),MATCH(L$2,mission_ACH!$2:$2,0)-MATCH($G$2,mission_ACH!$2:$2,0)+1),MATCH(L$2,mission_ACH!$2:$2,0)-MATCH($G$2,mission_ACH!$2:$2,0)+1,FALSE)</f>
        <v>5</v>
      </c>
      <c r="M408" s="27">
        <v>101</v>
      </c>
      <c r="N408" s="87" t="s">
        <v>2284</v>
      </c>
      <c r="O408" s="87" t="s">
        <v>2285</v>
      </c>
    </row>
    <row r="409" spans="1:15" s="1" customFormat="1" ht="21" customHeight="1" x14ac:dyDescent="0.15">
      <c r="A409" s="27">
        <f t="shared" si="156"/>
        <v>30049</v>
      </c>
      <c r="B409" s="26" t="str">
        <f t="shared" ca="1" si="162"/>
        <v>クエスト 【中級】侵略！？にゃんこ軍団現る！ をクリアしよう！</v>
      </c>
      <c r="C409" s="27" t="s">
        <v>331</v>
      </c>
      <c r="D409" s="31" t="str">
        <f ca="1">VLOOKUP($C409,OFFSET(mission_unlock_criteria!$A$2,0,0,COUNTA(mission_unlock_criteria!$A:$A),MATCH(D$2,mission_unlock_criteria!$2:$2,0)-MATCH($C$2,mission_unlock_criteria!$2:$2,0)+1),MATCH(D$2,mission_unlock_criteria!$2:$2,0)-MATCH($C$2,mission_unlock_criteria!$2:$2,0)+1,FALSE)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09" s="2" t="s">
        <v>2313</v>
      </c>
      <c r="F409" s="31" t="str">
        <f ca="1">VLOOKUP($E409,OFFSET(mission_ACH_criteria!$A$1,0,0,COUNTA(mission_ACH_criteria!$A:$A),MATCH(F$2,mission_ACH_criteria!$1:$1,0)-MATCH($E$2,mission_ACH_criteria!$1:$1,0)+1),MATCH(F$2,mission_ACH_criteria!$1:$1,0)-MATCH($E$2,mission_ACH_criteria!$1:$1,0)+1,FALSE)</f>
        <v>クエスト 【中級】侵略！？にゃんこ軍団現る！ をクリアしよう！</v>
      </c>
      <c r="G409" s="27" t="s">
        <v>2330</v>
      </c>
      <c r="H409" s="76" t="s">
        <v>2333</v>
      </c>
      <c r="I409" s="31" t="str">
        <f ca="1">VLOOKUP($G409,OFFSET(mission_ACH!$A$2,0,0,COUNTA($A:$A),MATCH(I$2,mission_ACH!$2:$2,0)-MATCH($G$2,mission_ACH!$2:$2,0)+1),MATCH(I$2,mission_ACH!$2:$2,0)-MATCH($G$2,mission_ACH!$2:$2,0)+1,FALSE)</f>
        <v>item</v>
      </c>
      <c r="J409" s="31">
        <f ca="1">VLOOKUP($G409,OFFSET(mission_ACH!$A$2,0,0,COUNTA($A:$A),MATCH(J$2,mission_ACH!$2:$2,0)-MATCH($G$2,mission_ACH!$2:$2,0)+1),MATCH(J$2,mission_ACH!$2:$2,0)-MATCH($G$2,mission_ACH!$2:$2,0)+1,FALSE)</f>
        <v>704</v>
      </c>
      <c r="K409" s="31" t="str">
        <f ca="1">IF(I409="unit",VLOOKUP($G409,OFFSET(mission_ACH!$A$2,0,0,COUNTA($A:$A),MATCH(K$2,mission_ACH!$2:$2,0)-MATCH($G$2,mission_ACH!$2:$2,0)+1),MATCH(K$2,mission_ACH!$2:$2,0)-MATCH($G$2,mission_ACH!$2:$2,0)+1,FALSE),"")</f>
        <v/>
      </c>
      <c r="L409" s="31">
        <f ca="1">VLOOKUP($G409,OFFSET(mission_ACH!$A$2,0,0,COUNTA($A:$A),MATCH(L$2,mission_ACH!$2:$2,0)-MATCH($G$2,mission_ACH!$2:$2,0)+1),MATCH(L$2,mission_ACH!$2:$2,0)-MATCH($G$2,mission_ACH!$2:$2,0)+1,FALSE)</f>
        <v>7</v>
      </c>
      <c r="M409" s="27">
        <v>101</v>
      </c>
      <c r="N409" s="87" t="s">
        <v>2284</v>
      </c>
      <c r="O409" s="87" t="s">
        <v>2285</v>
      </c>
    </row>
    <row r="410" spans="1:15" s="1" customFormat="1" ht="21" customHeight="1" x14ac:dyDescent="0.15">
      <c r="A410" s="27">
        <f t="shared" si="156"/>
        <v>30050</v>
      </c>
      <c r="B410" s="26" t="str">
        <f t="shared" ca="1" si="162"/>
        <v>クエスト 【上級】侵略！？にゃんこ軍団現る！ をクリアしよう！</v>
      </c>
      <c r="C410" s="27" t="s">
        <v>331</v>
      </c>
      <c r="D410" s="31" t="str">
        <f ca="1">VLOOKUP($C410,OFFSET(mission_unlock_criteria!$A$2,0,0,COUNTA(mission_unlock_criteria!$A:$A),MATCH(D$2,mission_unlock_criteria!$2:$2,0)-MATCH($C$2,mission_unlock_criteria!$2:$2,0)+1),MATCH(D$2,mission_unlock_criteria!$2:$2,0)-MATCH($C$2,mission_unlock_criteria!$2:$2,0)+1,FALSE)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10" s="2" t="s">
        <v>2314</v>
      </c>
      <c r="F410" s="31" t="str">
        <f ca="1">VLOOKUP($E410,OFFSET(mission_ACH_criteria!$A$1,0,0,COUNTA(mission_ACH_criteria!$A:$A),MATCH(F$2,mission_ACH_criteria!$1:$1,0)-MATCH($E$2,mission_ACH_criteria!$1:$1,0)+1),MATCH(F$2,mission_ACH_criteria!$1:$1,0)-MATCH($E$2,mission_ACH_criteria!$1:$1,0)+1,FALSE)</f>
        <v>クエスト 【上級】侵略！？にゃんこ軍団現る！ をクリアしよう！</v>
      </c>
      <c r="G410" s="27" t="s">
        <v>2328</v>
      </c>
      <c r="H410" s="76" t="s">
        <v>2286</v>
      </c>
      <c r="I410" s="31" t="str">
        <f ca="1">VLOOKUP($G410,OFFSET(mission_ACH!$A$2,0,0,COUNTA($A:$A),MATCH(I$2,mission_ACH!$2:$2,0)-MATCH($G$2,mission_ACH!$2:$2,0)+1),MATCH(I$2,mission_ACH!$2:$2,0)-MATCH($G$2,mission_ACH!$2:$2,0)+1,FALSE)</f>
        <v>item</v>
      </c>
      <c r="J410" s="31">
        <f ca="1">VLOOKUP($G410,OFFSET(mission_ACH!$A$2,0,0,COUNTA($A:$A),MATCH(J$2,mission_ACH!$2:$2,0)-MATCH($G$2,mission_ACH!$2:$2,0)+1),MATCH(J$2,mission_ACH!$2:$2,0)-MATCH($G$2,mission_ACH!$2:$2,0)+1,FALSE)</f>
        <v>704</v>
      </c>
      <c r="K410" s="31" t="str">
        <f ca="1">IF(I410="unit",VLOOKUP($G410,OFFSET(mission_ACH!$A$2,0,0,COUNTA($A:$A),MATCH(K$2,mission_ACH!$2:$2,0)-MATCH($G$2,mission_ACH!$2:$2,0)+1),MATCH(K$2,mission_ACH!$2:$2,0)-MATCH($G$2,mission_ACH!$2:$2,0)+1,FALSE),"")</f>
        <v/>
      </c>
      <c r="L410" s="31">
        <f ca="1">VLOOKUP($G410,OFFSET(mission_ACH!$A$2,0,0,COUNTA($A:$A),MATCH(L$2,mission_ACH!$2:$2,0)-MATCH($G$2,mission_ACH!$2:$2,0)+1),MATCH(L$2,mission_ACH!$2:$2,0)-MATCH($G$2,mission_ACH!$2:$2,0)+1,FALSE)</f>
        <v>10</v>
      </c>
      <c r="M410" s="27">
        <v>101</v>
      </c>
      <c r="N410" s="87" t="s">
        <v>2284</v>
      </c>
      <c r="O410" s="87" t="s">
        <v>2285</v>
      </c>
    </row>
    <row r="411" spans="1:15" s="1" customFormat="1" ht="21" customHeight="1" x14ac:dyDescent="0.15">
      <c r="A411" s="27">
        <f t="shared" si="156"/>
        <v>30051</v>
      </c>
      <c r="B411" s="26" t="str">
        <f t="shared" ca="1" si="162"/>
        <v>クエスト 【超上級】侵略！？にゃんこ軍団現る！ をクリアしよう！</v>
      </c>
      <c r="C411" s="27" t="s">
        <v>331</v>
      </c>
      <c r="D411" s="31" t="str">
        <f ca="1">VLOOKUP($C411,OFFSET(mission_unlock_criteria!$A$2,0,0,COUNTA(mission_unlock_criteria!$A:$A),MATCH(D$2,mission_unlock_criteria!$2:$2,0)-MATCH($C$2,mission_unlock_criteria!$2:$2,0)+1),MATCH(D$2,mission_unlock_criteria!$2:$2,0)-MATCH($C$2,mission_unlock_criteria!$2:$2,0)+1,FALSE)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11" s="2" t="s">
        <v>2315</v>
      </c>
      <c r="F411" s="31" t="str">
        <f ca="1">VLOOKUP($E411,OFFSET(mission_ACH_criteria!$A$1,0,0,COUNTA(mission_ACH_criteria!$A:$A),MATCH(F$2,mission_ACH_criteria!$1:$1,0)-MATCH($E$2,mission_ACH_criteria!$1:$1,0)+1),MATCH(F$2,mission_ACH_criteria!$1:$1,0)-MATCH($E$2,mission_ACH_criteria!$1:$1,0)+1,FALSE)</f>
        <v>クエスト 【超上級】侵略！？にゃんこ軍団現る！ をクリアしよう！</v>
      </c>
      <c r="G411" s="27" t="s">
        <v>2334</v>
      </c>
      <c r="H411" s="31" t="str">
        <f t="shared" ref="H411:H415" ca="1" si="163">IF(I411="unit",K411&amp;" x "&amp;L411,IF(I411="polygon","ポリゴン x "&amp;J411,IF(I411="bit","ビット x "&amp;J411,IF(I411="link","リンク x "&amp;J411))))</f>
        <v>ネコフラワー x 1</v>
      </c>
      <c r="I411" s="31" t="str">
        <f ca="1">VLOOKUP($G411,OFFSET(mission_ACH!$A$2,0,0,COUNTA($A:$A),MATCH(I$2,mission_ACH!$2:$2,0)-MATCH($G$2,mission_ACH!$2:$2,0)+1),MATCH(I$2,mission_ACH!$2:$2,0)-MATCH($G$2,mission_ACH!$2:$2,0)+1,FALSE)</f>
        <v>unit</v>
      </c>
      <c r="J411" s="31">
        <f ca="1">VLOOKUP($G411,OFFSET(mission_ACH!$A$2,0,0,COUNTA($A:$A),MATCH(J$2,mission_ACH!$2:$2,0)-MATCH($G$2,mission_ACH!$2:$2,0)+1),MATCH(J$2,mission_ACH!$2:$2,0)-MATCH($G$2,mission_ACH!$2:$2,0)+1,FALSE)</f>
        <v>1547</v>
      </c>
      <c r="K411" s="31" t="str">
        <f ca="1">IF(I411="unit",VLOOKUP($G411,OFFSET(mission_ACH!$A$2,0,0,COUNTA($A:$A),MATCH(K$2,mission_ACH!$2:$2,0)-MATCH($G$2,mission_ACH!$2:$2,0)+1),MATCH(K$2,mission_ACH!$2:$2,0)-MATCH($G$2,mission_ACH!$2:$2,0)+1,FALSE),"")</f>
        <v>ネコフラワー</v>
      </c>
      <c r="L411" s="31">
        <f ca="1">VLOOKUP($G411,OFFSET(mission_ACH!$A$2,0,0,COUNTA($A:$A),MATCH(L$2,mission_ACH!$2:$2,0)-MATCH($G$2,mission_ACH!$2:$2,0)+1),MATCH(L$2,mission_ACH!$2:$2,0)-MATCH($G$2,mission_ACH!$2:$2,0)+1,FALSE)</f>
        <v>1</v>
      </c>
      <c r="M411" s="27">
        <v>101</v>
      </c>
      <c r="N411" s="87" t="s">
        <v>2284</v>
      </c>
      <c r="O411" s="87" t="s">
        <v>2285</v>
      </c>
    </row>
    <row r="412" spans="1:15" s="1" customFormat="1" ht="21" customHeight="1" x14ac:dyDescent="0.15">
      <c r="A412" s="27">
        <f t="shared" si="156"/>
        <v>30052</v>
      </c>
      <c r="B412" s="26" t="str">
        <f t="shared" ca="1" si="162"/>
        <v>クエスト 【激ムズ】侵略！？にゃんこ軍団現る！ をクリアしよう！</v>
      </c>
      <c r="C412" s="27" t="s">
        <v>331</v>
      </c>
      <c r="D412" s="31" t="str">
        <f ca="1">VLOOKUP($C412,OFFSET(mission_unlock_criteria!$A$2,0,0,COUNTA(mission_unlock_criteria!$A:$A),MATCH(D$2,mission_unlock_criteria!$2:$2,0)-MATCH($C$2,mission_unlock_criteria!$2:$2,0)+1),MATCH(D$2,mission_unlock_criteria!$2:$2,0)-MATCH($C$2,mission_unlock_criteria!$2:$2,0)+1,FALSE)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12" s="2" t="s">
        <v>2316</v>
      </c>
      <c r="F412" s="31" t="str">
        <f ca="1">VLOOKUP($E412,OFFSET(mission_ACH_criteria!$A$1,0,0,COUNTA(mission_ACH_criteria!$A:$A),MATCH(F$2,mission_ACH_criteria!$1:$1,0)-MATCH($E$2,mission_ACH_criteria!$1:$1,0)+1),MATCH(F$2,mission_ACH_criteria!$1:$1,0)-MATCH($E$2,mission_ACH_criteria!$1:$1,0)+1,FALSE)</f>
        <v>クエスト 【激ムズ】侵略！？にゃんこ軍団現る！ をクリアしよう！</v>
      </c>
      <c r="G412" s="27" t="s">
        <v>47</v>
      </c>
      <c r="H412" s="31" t="str">
        <f t="shared" ca="1" si="163"/>
        <v>ポリゴン x 1</v>
      </c>
      <c r="I412" s="31" t="str">
        <f ca="1">VLOOKUP($G412,OFFSET(mission_ACH!$A$2,0,0,COUNTA($A:$A),MATCH(I$2,mission_ACH!$2:$2,0)-MATCH($G$2,mission_ACH!$2:$2,0)+1),MATCH(I$2,mission_ACH!$2:$2,0)-MATCH($G$2,mission_ACH!$2:$2,0)+1,FALSE)</f>
        <v>polygon</v>
      </c>
      <c r="J412" s="31">
        <f ca="1">VLOOKUP($G412,OFFSET(mission_ACH!$A$2,0,0,COUNTA($A:$A),MATCH(J$2,mission_ACH!$2:$2,0)-MATCH($G$2,mission_ACH!$2:$2,0)+1),MATCH(J$2,mission_ACH!$2:$2,0)-MATCH($G$2,mission_ACH!$2:$2,0)+1,FALSE)</f>
        <v>1</v>
      </c>
      <c r="K412" s="31" t="str">
        <f ca="1">IF(I412="unit",VLOOKUP($G412,OFFSET(mission_ACH!$A$2,0,0,COUNTA($A:$A),MATCH(K$2,mission_ACH!$2:$2,0)-MATCH($G$2,mission_ACH!$2:$2,0)+1),MATCH(K$2,mission_ACH!$2:$2,0)-MATCH($G$2,mission_ACH!$2:$2,0)+1,FALSE),"")</f>
        <v/>
      </c>
      <c r="L412" s="31">
        <f ca="1">VLOOKUP($G412,OFFSET(mission_ACH!$A$2,0,0,COUNTA($A:$A),MATCH(L$2,mission_ACH!$2:$2,0)-MATCH($G$2,mission_ACH!$2:$2,0)+1),MATCH(L$2,mission_ACH!$2:$2,0)-MATCH($G$2,mission_ACH!$2:$2,0)+1,FALSE)</f>
        <v>0</v>
      </c>
      <c r="M412" s="27">
        <v>101</v>
      </c>
      <c r="N412" s="87" t="s">
        <v>2284</v>
      </c>
      <c r="O412" s="87" t="s">
        <v>2285</v>
      </c>
    </row>
    <row r="413" spans="1:15" s="1" customFormat="1" ht="21" customHeight="1" x14ac:dyDescent="0.15">
      <c r="A413" s="27">
        <f t="shared" si="156"/>
        <v>30053</v>
      </c>
      <c r="B413" s="26" t="str">
        <f t="shared" ca="1" si="162"/>
        <v>クエスト 【激ムズ】ネコムート襲来 をクリアしよう！</v>
      </c>
      <c r="C413" s="27" t="s">
        <v>331</v>
      </c>
      <c r="D413" s="31" t="str">
        <f ca="1">VLOOKUP($C413,OFFSET(mission_unlock_criteria!$A$2,0,0,COUNTA(mission_unlock_criteria!$A:$A),MATCH(D$2,mission_unlock_criteria!$2:$2,0)-MATCH($C$2,mission_unlock_criteria!$2:$2,0)+1),MATCH(D$2,mission_unlock_criteria!$2:$2,0)-MATCH($C$2,mission_unlock_criteria!$2:$2,0)+1,FALSE)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13" s="2" t="s">
        <v>2317</v>
      </c>
      <c r="F413" s="31" t="str">
        <f ca="1">VLOOKUP($E413,OFFSET(mission_ACH_criteria!$A$1,0,0,COUNTA(mission_ACH_criteria!$A:$A),MATCH(F$2,mission_ACH_criteria!$1:$1,0)-MATCH($E$2,mission_ACH_criteria!$1:$1,0)+1),MATCH(F$2,mission_ACH_criteria!$1:$1,0)-MATCH($E$2,mission_ACH_criteria!$1:$1,0)+1,FALSE)</f>
        <v>クエスト 【激ムズ】ネコムート襲来 をクリアしよう！</v>
      </c>
      <c r="G413" s="27" t="s">
        <v>2328</v>
      </c>
      <c r="H413" s="76" t="s">
        <v>2286</v>
      </c>
      <c r="I413" s="31" t="str">
        <f ca="1">VLOOKUP($G413,OFFSET(mission_ACH!$A$2,0,0,COUNTA($A:$A),MATCH(I$2,mission_ACH!$2:$2,0)-MATCH($G$2,mission_ACH!$2:$2,0)+1),MATCH(I$2,mission_ACH!$2:$2,0)-MATCH($G$2,mission_ACH!$2:$2,0)+1,FALSE)</f>
        <v>item</v>
      </c>
      <c r="J413" s="31">
        <f ca="1">VLOOKUP($G413,OFFSET(mission_ACH!$A$2,0,0,COUNTA($A:$A),MATCH(J$2,mission_ACH!$2:$2,0)-MATCH($G$2,mission_ACH!$2:$2,0)+1),MATCH(J$2,mission_ACH!$2:$2,0)-MATCH($G$2,mission_ACH!$2:$2,0)+1,FALSE)</f>
        <v>704</v>
      </c>
      <c r="K413" s="31" t="str">
        <f ca="1">IF(I413="unit",VLOOKUP($G413,OFFSET(mission_ACH!$A$2,0,0,COUNTA($A:$A),MATCH(K$2,mission_ACH!$2:$2,0)-MATCH($G$2,mission_ACH!$2:$2,0)+1),MATCH(K$2,mission_ACH!$2:$2,0)-MATCH($G$2,mission_ACH!$2:$2,0)+1,FALSE),"")</f>
        <v/>
      </c>
      <c r="L413" s="31">
        <f ca="1">VLOOKUP($G413,OFFSET(mission_ACH!$A$2,0,0,COUNTA($A:$A),MATCH(L$2,mission_ACH!$2:$2,0)-MATCH($G$2,mission_ACH!$2:$2,0)+1),MATCH(L$2,mission_ACH!$2:$2,0)-MATCH($G$2,mission_ACH!$2:$2,0)+1,FALSE)</f>
        <v>10</v>
      </c>
      <c r="M413" s="27">
        <v>101</v>
      </c>
      <c r="N413" s="87" t="s">
        <v>2284</v>
      </c>
      <c r="O413" s="87" t="s">
        <v>2285</v>
      </c>
    </row>
    <row r="414" spans="1:15" s="1" customFormat="1" ht="21" customHeight="1" x14ac:dyDescent="0.15">
      <c r="A414" s="27">
        <f t="shared" si="156"/>
        <v>30054</v>
      </c>
      <c r="B414" s="26" t="str">
        <f t="shared" ca="1" si="162"/>
        <v>クエスト 【超激ムズ】ネコムート襲来 をクリアしよう！</v>
      </c>
      <c r="C414" s="27" t="s">
        <v>331</v>
      </c>
      <c r="D414" s="31" t="str">
        <f ca="1">VLOOKUP($C414,OFFSET(mission_unlock_criteria!$A$2,0,0,COUNTA(mission_unlock_criteria!$A:$A),MATCH(D$2,mission_unlock_criteria!$2:$2,0)-MATCH($C$2,mission_unlock_criteria!$2:$2,0)+1),MATCH(D$2,mission_unlock_criteria!$2:$2,0)-MATCH($C$2,mission_unlock_criteria!$2:$2,0)+1,FALSE)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14" s="2" t="s">
        <v>2318</v>
      </c>
      <c r="F414" s="31" t="str">
        <f ca="1">VLOOKUP($E414,OFFSET(mission_ACH_criteria!$A$1,0,0,COUNTA(mission_ACH_criteria!$A:$A),MATCH(F$2,mission_ACH_criteria!$1:$1,0)-MATCH($E$2,mission_ACH_criteria!$1:$1,0)+1),MATCH(F$2,mission_ACH_criteria!$1:$1,0)-MATCH($E$2,mission_ACH_criteria!$1:$1,0)+1,FALSE)</f>
        <v>クエスト 【超激ムズ】ネコムート襲来 をクリアしよう！</v>
      </c>
      <c r="G414" s="27" t="s">
        <v>2331</v>
      </c>
      <c r="H414" s="31" t="str">
        <f t="shared" ca="1" si="163"/>
        <v>ポリゴン x 3</v>
      </c>
      <c r="I414" s="31" t="str">
        <f ca="1">VLOOKUP($G414,OFFSET(mission_ACH!$A$2,0,0,COUNTA($A:$A),MATCH(I$2,mission_ACH!$2:$2,0)-MATCH($G$2,mission_ACH!$2:$2,0)+1),MATCH(I$2,mission_ACH!$2:$2,0)-MATCH($G$2,mission_ACH!$2:$2,0)+1,FALSE)</f>
        <v>polygon</v>
      </c>
      <c r="J414" s="31">
        <f ca="1">VLOOKUP($G414,OFFSET(mission_ACH!$A$2,0,0,COUNTA($A:$A),MATCH(J$2,mission_ACH!$2:$2,0)-MATCH($G$2,mission_ACH!$2:$2,0)+1),MATCH(J$2,mission_ACH!$2:$2,0)-MATCH($G$2,mission_ACH!$2:$2,0)+1,FALSE)</f>
        <v>3</v>
      </c>
      <c r="K414" s="31" t="str">
        <f ca="1">IF(I414="unit",VLOOKUP($G414,OFFSET(mission_ACH!$A$2,0,0,COUNTA($A:$A),MATCH(K$2,mission_ACH!$2:$2,0)-MATCH($G$2,mission_ACH!$2:$2,0)+1),MATCH(K$2,mission_ACH!$2:$2,0)-MATCH($G$2,mission_ACH!$2:$2,0)+1,FALSE),"")</f>
        <v/>
      </c>
      <c r="L414" s="31">
        <f ca="1">VLOOKUP($G414,OFFSET(mission_ACH!$A$2,0,0,COUNTA($A:$A),MATCH(L$2,mission_ACH!$2:$2,0)-MATCH($G$2,mission_ACH!$2:$2,0)+1),MATCH(L$2,mission_ACH!$2:$2,0)-MATCH($G$2,mission_ACH!$2:$2,0)+1,FALSE)</f>
        <v>0</v>
      </c>
      <c r="M414" s="27">
        <v>101</v>
      </c>
      <c r="N414" s="87" t="s">
        <v>2284</v>
      </c>
      <c r="O414" s="87" t="s">
        <v>2285</v>
      </c>
    </row>
    <row r="415" spans="1:15" s="1" customFormat="1" ht="21" customHeight="1" x14ac:dyDescent="0.15">
      <c r="A415" s="27">
        <f t="shared" si="156"/>
        <v>30055</v>
      </c>
      <c r="B415" s="26" t="str">
        <f t="shared" ca="1" si="162"/>
        <v>クエスト 【極ムズ】狂乱のネコ降臨 をクリアしよう！</v>
      </c>
      <c r="C415" s="27" t="s">
        <v>331</v>
      </c>
      <c r="D415" s="31" t="str">
        <f ca="1">VLOOKUP($C415,OFFSET(mission_unlock_criteria!$A$2,0,0,COUNTA(mission_unlock_criteria!$A:$A),MATCH(D$2,mission_unlock_criteria!$2:$2,0)-MATCH($C$2,mission_unlock_criteria!$2:$2,0)+1),MATCH(D$2,mission_unlock_criteria!$2:$2,0)-MATCH($C$2,mission_unlock_criteria!$2:$2,0)+1,FALSE)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15" s="2" t="s">
        <v>2319</v>
      </c>
      <c r="F415" s="31" t="str">
        <f ca="1">VLOOKUP($E415,OFFSET(mission_ACH_criteria!$A$1,0,0,COUNTA(mission_ACH_criteria!$A:$A),MATCH(F$2,mission_ACH_criteria!$1:$1,0)-MATCH($E$2,mission_ACH_criteria!$1:$1,0)+1),MATCH(F$2,mission_ACH_criteria!$1:$1,0)-MATCH($E$2,mission_ACH_criteria!$1:$1,0)+1,FALSE)</f>
        <v>クエスト 【極ムズ】狂乱のネコ降臨 をクリアしよう！</v>
      </c>
      <c r="G415" s="27" t="s">
        <v>2331</v>
      </c>
      <c r="H415" s="31" t="str">
        <f t="shared" ca="1" si="163"/>
        <v>ポリゴン x 3</v>
      </c>
      <c r="I415" s="31" t="str">
        <f ca="1">VLOOKUP($G415,OFFSET(mission_ACH!$A$2,0,0,COUNTA($A:$A),MATCH(I$2,mission_ACH!$2:$2,0)-MATCH($G$2,mission_ACH!$2:$2,0)+1),MATCH(I$2,mission_ACH!$2:$2,0)-MATCH($G$2,mission_ACH!$2:$2,0)+1,FALSE)</f>
        <v>polygon</v>
      </c>
      <c r="J415" s="31">
        <f ca="1">VLOOKUP($G415,OFFSET(mission_ACH!$A$2,0,0,COUNTA($A:$A),MATCH(J$2,mission_ACH!$2:$2,0)-MATCH($G$2,mission_ACH!$2:$2,0)+1),MATCH(J$2,mission_ACH!$2:$2,0)-MATCH($G$2,mission_ACH!$2:$2,0)+1,FALSE)</f>
        <v>3</v>
      </c>
      <c r="K415" s="31" t="str">
        <f ca="1">IF(I415="unit",VLOOKUP($G415,OFFSET(mission_ACH!$A$2,0,0,COUNTA($A:$A),MATCH(K$2,mission_ACH!$2:$2,0)-MATCH($G$2,mission_ACH!$2:$2,0)+1),MATCH(K$2,mission_ACH!$2:$2,0)-MATCH($G$2,mission_ACH!$2:$2,0)+1,FALSE),"")</f>
        <v/>
      </c>
      <c r="L415" s="31">
        <f ca="1">VLOOKUP($G415,OFFSET(mission_ACH!$A$2,0,0,COUNTA($A:$A),MATCH(L$2,mission_ACH!$2:$2,0)-MATCH($G$2,mission_ACH!$2:$2,0)+1),MATCH(L$2,mission_ACH!$2:$2,0)-MATCH($G$2,mission_ACH!$2:$2,0)+1,FALSE)</f>
        <v>0</v>
      </c>
      <c r="M415" s="27">
        <v>101</v>
      </c>
      <c r="N415" s="87" t="s">
        <v>2284</v>
      </c>
      <c r="O415" s="87" t="s">
        <v>2285</v>
      </c>
    </row>
    <row r="416" spans="1:15" s="1" customFormat="1" ht="21" customHeight="1" x14ac:dyDescent="0.15">
      <c r="A416" s="27">
        <f t="shared" si="156"/>
        <v>30056</v>
      </c>
      <c r="B416" s="26" t="str">
        <f t="shared" ca="1" si="162"/>
        <v>ユニットを 500 種類手に入れよう！</v>
      </c>
      <c r="C416" s="27" t="s">
        <v>581</v>
      </c>
      <c r="D416" s="31" t="str">
        <f ca="1">VLOOKUP($C416,OFFSET(mission_unlock_criteria!$A$2,0,0,COUNTA(mission_unlock_criteria!$A:$A),MATCH(D$2,mission_unlock_criteria!$2:$2,0)-MATCH($C$2,mission_unlock_criteria!$2:$2,0)+1),MATCH(D$2,mission_unlock_criteria!$2:$2,0)-MATCH($C$2,mission_unlock_criteria!$2:$2,0)+1,FALSE)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475 に到達</v>
      </c>
      <c r="E416" s="2" t="s">
        <v>582</v>
      </c>
      <c r="F416" s="31" t="str">
        <f ca="1">VLOOKUP($E416,OFFSET(mission_ACH_criteria!$A$1,0,0,COUNTA(mission_ACH_criteria!$A:$A),MATCH(F$2,mission_ACH_criteria!$1:$1,0)-MATCH($E$2,mission_ACH_criteria!$1:$1,0)+1),MATCH(F$2,mission_ACH_criteria!$1:$1,0)-MATCH($E$2,mission_ACH_criteria!$1:$1,0)+1,FALSE)</f>
        <v>ユニットを 500 種類手に入れよう！</v>
      </c>
      <c r="G416" s="27" t="s">
        <v>2426</v>
      </c>
      <c r="H416" s="31" t="str">
        <f t="shared" ref="H416:H417" ca="1" si="164">IF(OR(I416="unit",I416="item"),K416&amp;" x "&amp;L416,IF(I416="polygon","ポリゴン x "&amp;J416,IF(I416="bit","ビット x "&amp;J416,IF(I416="link","リンク x "&amp;J416))))</f>
        <v>ポリゴン x 25</v>
      </c>
      <c r="I416" s="31" t="str">
        <f ca="1">VLOOKUP($G416,OFFSET(mission_ACH!$A$2,0,0,COUNTA($A:$A),MATCH(I$2,mission_ACH!$2:$2,0)-MATCH($G$2,mission_ACH!$2:$2,0)+1),MATCH(I$2,mission_ACH!$2:$2,0)-MATCH($G$2,mission_ACH!$2:$2,0)+1,FALSE)</f>
        <v>polygon</v>
      </c>
      <c r="J416" s="31">
        <f ca="1">VLOOKUP($G416,OFFSET(mission_ACH!$A$2,0,0,COUNTA($A:$A),MATCH(J$2,mission_ACH!$2:$2,0)-MATCH($G$2,mission_ACH!$2:$2,0)+1),MATCH(J$2,mission_ACH!$2:$2,0)-MATCH($G$2,mission_ACH!$2:$2,0)+1,FALSE)</f>
        <v>25</v>
      </c>
      <c r="K416" s="31" t="str">
        <f ca="1">IF(OR(I416="unit",I416="item"),VLOOKUP($G416,OFFSET(mission_ACH!$A$2,0,0,COUNTA($A:$A),MATCH(K$2,mission_ACH!$2:$2,0)-MATCH($G$2,mission_ACH!$2:$2,0)+1),MATCH(K$2,mission_ACH!$2:$2,0)-MATCH($G$2,mission_ACH!$2:$2,0)+1,FALSE),"")</f>
        <v/>
      </c>
      <c r="L416" s="31">
        <f ca="1">VLOOKUP($G416,OFFSET(mission_ACH!$A$2,0,0,COUNTA($A:$A),MATCH(L$2,mission_ACH!$2:$2,0)-MATCH($G$2,mission_ACH!$2:$2,0)+1),MATCH(L$2,mission_ACH!$2:$2,0)-MATCH($G$2,mission_ACH!$2:$2,0)+1,FALSE)</f>
        <v>0</v>
      </c>
      <c r="M416" s="27">
        <v>40</v>
      </c>
      <c r="N416" s="2" t="s">
        <v>352</v>
      </c>
      <c r="O416" s="2" t="s">
        <v>352</v>
      </c>
    </row>
    <row r="417" spans="1:15" s="1" customFormat="1" ht="21" customHeight="1" x14ac:dyDescent="0.15">
      <c r="A417" s="27">
        <f t="shared" si="156"/>
        <v>30057</v>
      </c>
      <c r="B417" s="26" t="str">
        <f t="shared" ca="1" si="162"/>
        <v>ユニットを 525 種類手に入れよう！</v>
      </c>
      <c r="C417" s="27" t="s">
        <v>583</v>
      </c>
      <c r="D417" s="31" t="str">
        <f ca="1">VLOOKUP($C417,OFFSET(mission_unlock_criteria!$A$2,0,0,COUNTA(mission_unlock_criteria!$A:$A),MATCH(D$2,mission_unlock_criteria!$2:$2,0)-MATCH($C$2,mission_unlock_criteria!$2:$2,0)+1),MATCH(D$2,mission_unlock_criteria!$2:$2,0)-MATCH($C$2,mission_unlock_criteria!$2:$2,0)+1,FALSE)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500 に到達</v>
      </c>
      <c r="E417" s="2" t="s">
        <v>584</v>
      </c>
      <c r="F417" s="31" t="str">
        <f ca="1">VLOOKUP($E417,OFFSET(mission_ACH_criteria!$A$1,0,0,COUNTA(mission_ACH_criteria!$A:$A),MATCH(F$2,mission_ACH_criteria!$1:$1,0)-MATCH($E$2,mission_ACH_criteria!$1:$1,0)+1),MATCH(F$2,mission_ACH_criteria!$1:$1,0)-MATCH($E$2,mission_ACH_criteria!$1:$1,0)+1,FALSE)</f>
        <v>ユニットを 525 種類手に入れよう！</v>
      </c>
      <c r="G417" s="27" t="s">
        <v>2429</v>
      </c>
      <c r="H417" s="31" t="str">
        <f t="shared" ca="1" si="164"/>
        <v>メガ攻めの果実 x 2</v>
      </c>
      <c r="I417" s="31" t="str">
        <f ca="1">VLOOKUP($G417,OFFSET(mission_ACH!$A$2,0,0,COUNTA($A:$A),MATCH(I$2,mission_ACH!$2:$2,0)-MATCH($G$2,mission_ACH!$2:$2,0)+1),MATCH(I$2,mission_ACH!$2:$2,0)-MATCH($G$2,mission_ACH!$2:$2,0)+1,FALSE)</f>
        <v>unit</v>
      </c>
      <c r="J417" s="31">
        <f ca="1">VLOOKUP($G417,OFFSET(mission_ACH!$A$2,0,0,COUNTA($A:$A),MATCH(J$2,mission_ACH!$2:$2,0)-MATCH($G$2,mission_ACH!$2:$2,0)+1),MATCH(J$2,mission_ACH!$2:$2,0)-MATCH($G$2,mission_ACH!$2:$2,0)+1,FALSE)</f>
        <v>607</v>
      </c>
      <c r="K417" s="31" t="str">
        <f ca="1">IF(OR(I417="unit",I417="item"),VLOOKUP($G417,OFFSET(mission_ACH!$A$2,0,0,COUNTA($A:$A),MATCH(K$2,mission_ACH!$2:$2,0)-MATCH($G$2,mission_ACH!$2:$2,0)+1),MATCH(K$2,mission_ACH!$2:$2,0)-MATCH($G$2,mission_ACH!$2:$2,0)+1,FALSE),"")</f>
        <v>メガ攻めの果実</v>
      </c>
      <c r="L417" s="31">
        <f ca="1">VLOOKUP($G417,OFFSET(mission_ACH!$A$2,0,0,COUNTA($A:$A),MATCH(L$2,mission_ACH!$2:$2,0)-MATCH($G$2,mission_ACH!$2:$2,0)+1),MATCH(L$2,mission_ACH!$2:$2,0)-MATCH($G$2,mission_ACH!$2:$2,0)+1,FALSE)</f>
        <v>2</v>
      </c>
      <c r="M417" s="27">
        <v>40</v>
      </c>
      <c r="N417" s="2" t="s">
        <v>352</v>
      </c>
      <c r="O417" s="2" t="s">
        <v>352</v>
      </c>
    </row>
    <row r="418" spans="1:15" s="1" customFormat="1" ht="21" customHeight="1" x14ac:dyDescent="0.15">
      <c r="A418" s="27">
        <f t="shared" si="156"/>
        <v>30058</v>
      </c>
      <c r="B418" s="26" t="str">
        <f t="shared" ca="1" si="162"/>
        <v>ユニットを 550 種類手に入れよう！</v>
      </c>
      <c r="C418" s="27" t="s">
        <v>585</v>
      </c>
      <c r="D418" s="31" t="str">
        <f ca="1">VLOOKUP($C418,OFFSET(mission_unlock_criteria!$A$2,0,0,COUNTA(mission_unlock_criteria!$A:$A),MATCH(D$2,mission_unlock_criteria!$2:$2,0)-MATCH($C$2,mission_unlock_criteria!$2:$2,0)+1),MATCH(D$2,mission_unlock_criteria!$2:$2,0)-MATCH($C$2,mission_unlock_criteria!$2:$2,0)+1,FALSE)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525 に到達</v>
      </c>
      <c r="E418" s="2" t="s">
        <v>586</v>
      </c>
      <c r="F418" s="31" t="str">
        <f ca="1">VLOOKUP($E418,OFFSET(mission_ACH_criteria!$A$1,0,0,COUNTA(mission_ACH_criteria!$A:$A),MATCH(F$2,mission_ACH_criteria!$1:$1,0)-MATCH($E$2,mission_ACH_criteria!$1:$1,0)+1),MATCH(F$2,mission_ACH_criteria!$1:$1,0)-MATCH($E$2,mission_ACH_criteria!$1:$1,0)+1,FALSE)</f>
        <v>ユニットを 550 種類手に入れよう！</v>
      </c>
      <c r="G418" s="27" t="s">
        <v>2457</v>
      </c>
      <c r="H418" s="31" t="str">
        <f ca="1">IF(OR(I418="unit",I418="item"),K418&amp;" x "&amp;L418,IF(I418="polygon","ポリゴン x "&amp;J418,IF(I418="bit","ビット x "&amp;J418,IF(I418="link","リンク x "&amp;J418))))</f>
        <v>経験値キー x 1</v>
      </c>
      <c r="I418" s="31" t="str">
        <f ca="1">VLOOKUP($G418,OFFSET(mission_ACH!$A$2,0,0,COUNTA($A:$A),MATCH(I$2,mission_ACH!$2:$2,0)-MATCH($G$2,mission_ACH!$2:$2,0)+1),MATCH(I$2,mission_ACH!$2:$2,0)-MATCH($G$2,mission_ACH!$2:$2,0)+1,FALSE)</f>
        <v>item</v>
      </c>
      <c r="J418" s="31">
        <f ca="1">VLOOKUP($G418,OFFSET(mission_ACH!$A$2,0,0,COUNTA($A:$A),MATCH(J$2,mission_ACH!$2:$2,0)-MATCH($G$2,mission_ACH!$2:$2,0)+1),MATCH(J$2,mission_ACH!$2:$2,0)-MATCH($G$2,mission_ACH!$2:$2,0)+1,FALSE)</f>
        <v>2</v>
      </c>
      <c r="K418" s="31" t="str">
        <f ca="1">IF(OR(I418="unit",I418="item"),VLOOKUP($G418,OFFSET(mission_ACH!$A$2,0,0,COUNTA($A:$A),MATCH(K$2,mission_ACH!$2:$2,0)-MATCH($G$2,mission_ACH!$2:$2,0)+1),MATCH(K$2,mission_ACH!$2:$2,0)-MATCH($G$2,mission_ACH!$2:$2,0)+1,FALSE),"")</f>
        <v>経験値キー</v>
      </c>
      <c r="L418" s="31">
        <f ca="1">VLOOKUP($G418,OFFSET(mission_ACH!$A$2,0,0,COUNTA($A:$A),MATCH(L$2,mission_ACH!$2:$2,0)-MATCH($G$2,mission_ACH!$2:$2,0)+1),MATCH(L$2,mission_ACH!$2:$2,0)-MATCH($G$2,mission_ACH!$2:$2,0)+1,FALSE)</f>
        <v>1</v>
      </c>
      <c r="M418" s="27">
        <v>40</v>
      </c>
      <c r="N418" s="2" t="s">
        <v>352</v>
      </c>
      <c r="O418" s="2" t="s">
        <v>352</v>
      </c>
    </row>
    <row r="419" spans="1:15" s="1" customFormat="1" ht="21" customHeight="1" x14ac:dyDescent="0.15">
      <c r="A419" s="27">
        <f t="shared" si="156"/>
        <v>30059</v>
      </c>
      <c r="B419" s="26" t="str">
        <f t="shared" ca="1" si="162"/>
        <v>ユニットを 575 種類手に入れよう！</v>
      </c>
      <c r="C419" s="27" t="s">
        <v>587</v>
      </c>
      <c r="D419" s="31" t="str">
        <f ca="1">VLOOKUP($C419,OFFSET(mission_unlock_criteria!$A$2,0,0,COUNTA(mission_unlock_criteria!$A:$A),MATCH(D$2,mission_unlock_criteria!$2:$2,0)-MATCH($C$2,mission_unlock_criteria!$2:$2,0)+1),MATCH(D$2,mission_unlock_criteria!$2:$2,0)-MATCH($C$2,mission_unlock_criteria!$2:$2,0)+1,FALSE)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550 に到達</v>
      </c>
      <c r="E419" s="2" t="s">
        <v>588</v>
      </c>
      <c r="F419" s="31" t="str">
        <f ca="1">VLOOKUP($E419,OFFSET(mission_ACH_criteria!$A$1,0,0,COUNTA(mission_ACH_criteria!$A:$A),MATCH(F$2,mission_ACH_criteria!$1:$1,0)-MATCH($E$2,mission_ACH_criteria!$1:$1,0)+1),MATCH(F$2,mission_ACH_criteria!$1:$1,0)-MATCH($E$2,mission_ACH_criteria!$1:$1,0)+1,FALSE)</f>
        <v>ユニットを 575 種類手に入れよう！</v>
      </c>
      <c r="G419" s="27" t="s">
        <v>2431</v>
      </c>
      <c r="H419" s="31" t="str">
        <f t="shared" ref="H419:H476" ca="1" si="165">IF(OR(I419="unit",I419="item"),K419&amp;" x "&amp;L419,IF(I419="polygon","ポリゴン x "&amp;J419,IF(I419="bit","ビット x "&amp;J419,IF(I419="link","リンク x "&amp;J419))))</f>
        <v>メガ生命の果実 x 2</v>
      </c>
      <c r="I419" s="31" t="str">
        <f ca="1">VLOOKUP($G419,OFFSET(mission_ACH!$A$2,0,0,COUNTA($A:$A),MATCH(I$2,mission_ACH!$2:$2,0)-MATCH($G$2,mission_ACH!$2:$2,0)+1),MATCH(I$2,mission_ACH!$2:$2,0)-MATCH($G$2,mission_ACH!$2:$2,0)+1,FALSE)</f>
        <v>unit</v>
      </c>
      <c r="J419" s="31">
        <f ca="1">VLOOKUP($G419,OFFSET(mission_ACH!$A$2,0,0,COUNTA($A:$A),MATCH(J$2,mission_ACH!$2:$2,0)-MATCH($G$2,mission_ACH!$2:$2,0)+1),MATCH(J$2,mission_ACH!$2:$2,0)-MATCH($G$2,mission_ACH!$2:$2,0)+1,FALSE)</f>
        <v>608</v>
      </c>
      <c r="K419" s="31" t="str">
        <f ca="1">IF(OR(I419="unit",I419="item"),VLOOKUP($G419,OFFSET(mission_ACH!$A$2,0,0,COUNTA($A:$A),MATCH(K$2,mission_ACH!$2:$2,0)-MATCH($G$2,mission_ACH!$2:$2,0)+1),MATCH(K$2,mission_ACH!$2:$2,0)-MATCH($G$2,mission_ACH!$2:$2,0)+1,FALSE),"")</f>
        <v>メガ生命の果実</v>
      </c>
      <c r="L419" s="31">
        <f ca="1">VLOOKUP($G419,OFFSET(mission_ACH!$A$2,0,0,COUNTA($A:$A),MATCH(L$2,mission_ACH!$2:$2,0)-MATCH($G$2,mission_ACH!$2:$2,0)+1),MATCH(L$2,mission_ACH!$2:$2,0)-MATCH($G$2,mission_ACH!$2:$2,0)+1,FALSE)</f>
        <v>2</v>
      </c>
      <c r="M419" s="27">
        <v>40</v>
      </c>
      <c r="N419" s="2" t="s">
        <v>352</v>
      </c>
      <c r="O419" s="2" t="s">
        <v>352</v>
      </c>
    </row>
    <row r="420" spans="1:15" s="1" customFormat="1" ht="21" customHeight="1" x14ac:dyDescent="0.15">
      <c r="A420" s="27">
        <f t="shared" si="156"/>
        <v>30060</v>
      </c>
      <c r="B420" s="26" t="str">
        <f t="shared" ca="1" si="162"/>
        <v>ユニットを 600 種類手に入れよう！</v>
      </c>
      <c r="C420" s="27" t="s">
        <v>589</v>
      </c>
      <c r="D420" s="31" t="str">
        <f ca="1">VLOOKUP($C420,OFFSET(mission_unlock_criteria!$A$2,0,0,COUNTA(mission_unlock_criteria!$A:$A),MATCH(D$2,mission_unlock_criteria!$2:$2,0)-MATCH($C$2,mission_unlock_criteria!$2:$2,0)+1),MATCH(D$2,mission_unlock_criteria!$2:$2,0)-MATCH($C$2,mission_unlock_criteria!$2:$2,0)+1,FALSE)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575 に到達</v>
      </c>
      <c r="E420" s="2" t="s">
        <v>590</v>
      </c>
      <c r="F420" s="31" t="str">
        <f ca="1">VLOOKUP($E420,OFFSET(mission_ACH_criteria!$A$1,0,0,COUNTA(mission_ACH_criteria!$A:$A),MATCH(F$2,mission_ACH_criteria!$1:$1,0)-MATCH($E$2,mission_ACH_criteria!$1:$1,0)+1),MATCH(F$2,mission_ACH_criteria!$1:$1,0)-MATCH($E$2,mission_ACH_criteria!$1:$1,0)+1,FALSE)</f>
        <v>ユニットを 600 種類手に入れよう！</v>
      </c>
      <c r="G420" s="27" t="s">
        <v>107</v>
      </c>
      <c r="H420" s="31" t="str">
        <f t="shared" ca="1" si="165"/>
        <v>ポリゴン x 5</v>
      </c>
      <c r="I420" s="31" t="str">
        <f ca="1">VLOOKUP($G420,OFFSET(mission_ACH!$A$2,0,0,COUNTA($A:$A),MATCH(I$2,mission_ACH!$2:$2,0)-MATCH($G$2,mission_ACH!$2:$2,0)+1),MATCH(I$2,mission_ACH!$2:$2,0)-MATCH($G$2,mission_ACH!$2:$2,0)+1,FALSE)</f>
        <v>polygon</v>
      </c>
      <c r="J420" s="31">
        <f ca="1">VLOOKUP($G420,OFFSET(mission_ACH!$A$2,0,0,COUNTA($A:$A),MATCH(J$2,mission_ACH!$2:$2,0)-MATCH($G$2,mission_ACH!$2:$2,0)+1),MATCH(J$2,mission_ACH!$2:$2,0)-MATCH($G$2,mission_ACH!$2:$2,0)+1,FALSE)</f>
        <v>5</v>
      </c>
      <c r="K420" s="31" t="str">
        <f ca="1">IF(OR(I420="unit",I420="item"),VLOOKUP($G420,OFFSET(mission_ACH!$A$2,0,0,COUNTA($A:$A),MATCH(K$2,mission_ACH!$2:$2,0)-MATCH($G$2,mission_ACH!$2:$2,0)+1),MATCH(K$2,mission_ACH!$2:$2,0)-MATCH($G$2,mission_ACH!$2:$2,0)+1,FALSE),"")</f>
        <v/>
      </c>
      <c r="L420" s="31">
        <f ca="1">VLOOKUP($G420,OFFSET(mission_ACH!$A$2,0,0,COUNTA($A:$A),MATCH(L$2,mission_ACH!$2:$2,0)-MATCH($G$2,mission_ACH!$2:$2,0)+1),MATCH(L$2,mission_ACH!$2:$2,0)-MATCH($G$2,mission_ACH!$2:$2,0)+1,FALSE)</f>
        <v>0</v>
      </c>
      <c r="M420" s="27">
        <v>40</v>
      </c>
      <c r="N420" s="2" t="s">
        <v>352</v>
      </c>
      <c r="O420" s="2" t="s">
        <v>352</v>
      </c>
    </row>
    <row r="421" spans="1:15" s="1" customFormat="1" ht="21" customHeight="1" x14ac:dyDescent="0.15">
      <c r="A421" s="27">
        <f t="shared" si="156"/>
        <v>30061</v>
      </c>
      <c r="B421" s="26" t="str">
        <f t="shared" ca="1" si="162"/>
        <v>ユニットを 625 種類手に入れよう！</v>
      </c>
      <c r="C421" s="27" t="s">
        <v>591</v>
      </c>
      <c r="D421" s="31" t="str">
        <f ca="1">VLOOKUP($C421,OFFSET(mission_unlock_criteria!$A$2,0,0,COUNTA(mission_unlock_criteria!$A:$A),MATCH(D$2,mission_unlock_criteria!$2:$2,0)-MATCH($C$2,mission_unlock_criteria!$2:$2,0)+1),MATCH(D$2,mission_unlock_criteria!$2:$2,0)-MATCH($C$2,mission_unlock_criteria!$2:$2,0)+1,FALSE)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600 に到達</v>
      </c>
      <c r="E421" s="2" t="s">
        <v>592</v>
      </c>
      <c r="F421" s="31" t="str">
        <f ca="1">VLOOKUP($E421,OFFSET(mission_ACH_criteria!$A$1,0,0,COUNTA(mission_ACH_criteria!$A:$A),MATCH(F$2,mission_ACH_criteria!$1:$1,0)-MATCH($E$2,mission_ACH_criteria!$1:$1,0)+1),MATCH(F$2,mission_ACH_criteria!$1:$1,0)-MATCH($E$2,mission_ACH_criteria!$1:$1,0)+1,FALSE)</f>
        <v>ユニットを 625 種類手に入れよう！</v>
      </c>
      <c r="G421" s="27" t="s">
        <v>2433</v>
      </c>
      <c r="H421" s="31" t="str">
        <f t="shared" ca="1" si="165"/>
        <v>メガ癒しの果実 x 2</v>
      </c>
      <c r="I421" s="31" t="str">
        <f ca="1">VLOOKUP($G421,OFFSET(mission_ACH!$A$2,0,0,COUNTA($A:$A),MATCH(I$2,mission_ACH!$2:$2,0)-MATCH($G$2,mission_ACH!$2:$2,0)+1),MATCH(I$2,mission_ACH!$2:$2,0)-MATCH($G$2,mission_ACH!$2:$2,0)+1,FALSE)</f>
        <v>unit</v>
      </c>
      <c r="J421" s="31">
        <f ca="1">VLOOKUP($G421,OFFSET(mission_ACH!$A$2,0,0,COUNTA($A:$A),MATCH(J$2,mission_ACH!$2:$2,0)-MATCH($G$2,mission_ACH!$2:$2,0)+1),MATCH(J$2,mission_ACH!$2:$2,0)-MATCH($G$2,mission_ACH!$2:$2,0)+1,FALSE)</f>
        <v>609</v>
      </c>
      <c r="K421" s="31" t="str">
        <f ca="1">IF(OR(I421="unit",I421="item"),VLOOKUP($G421,OFFSET(mission_ACH!$A$2,0,0,COUNTA($A:$A),MATCH(K$2,mission_ACH!$2:$2,0)-MATCH($G$2,mission_ACH!$2:$2,0)+1),MATCH(K$2,mission_ACH!$2:$2,0)-MATCH($G$2,mission_ACH!$2:$2,0)+1,FALSE),"")</f>
        <v>メガ癒しの果実</v>
      </c>
      <c r="L421" s="31">
        <f ca="1">VLOOKUP($G421,OFFSET(mission_ACH!$A$2,0,0,COUNTA($A:$A),MATCH(L$2,mission_ACH!$2:$2,0)-MATCH($G$2,mission_ACH!$2:$2,0)+1),MATCH(L$2,mission_ACH!$2:$2,0)-MATCH($G$2,mission_ACH!$2:$2,0)+1,FALSE)</f>
        <v>2</v>
      </c>
      <c r="M421" s="27">
        <v>40</v>
      </c>
      <c r="N421" s="2" t="s">
        <v>352</v>
      </c>
      <c r="O421" s="2" t="s">
        <v>352</v>
      </c>
    </row>
    <row r="422" spans="1:15" s="1" customFormat="1" ht="21" customHeight="1" x14ac:dyDescent="0.15">
      <c r="A422" s="27">
        <f t="shared" si="156"/>
        <v>30062</v>
      </c>
      <c r="B422" s="26" t="str">
        <f t="shared" ca="1" si="162"/>
        <v>ユニットを 650 種類手に入れよう！</v>
      </c>
      <c r="C422" s="27" t="s">
        <v>593</v>
      </c>
      <c r="D422" s="31" t="str">
        <f ca="1">VLOOKUP($C422,OFFSET(mission_unlock_criteria!$A$2,0,0,COUNTA(mission_unlock_criteria!$A:$A),MATCH(D$2,mission_unlock_criteria!$2:$2,0)-MATCH($C$2,mission_unlock_criteria!$2:$2,0)+1),MATCH(D$2,mission_unlock_criteria!$2:$2,0)-MATCH($C$2,mission_unlock_criteria!$2:$2,0)+1,FALSE)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625 に到達</v>
      </c>
      <c r="E422" s="2" t="s">
        <v>594</v>
      </c>
      <c r="F422" s="31" t="str">
        <f ca="1">VLOOKUP($E422,OFFSET(mission_ACH_criteria!$A$1,0,0,COUNTA(mission_ACH_criteria!$A:$A),MATCH(F$2,mission_ACH_criteria!$1:$1,0)-MATCH($E$2,mission_ACH_criteria!$1:$1,0)+1),MATCH(F$2,mission_ACH_criteria!$1:$1,0)-MATCH($E$2,mission_ACH_criteria!$1:$1,0)+1,FALSE)</f>
        <v>ユニットを 650 種類手に入れよう！</v>
      </c>
      <c r="G422" s="27" t="s">
        <v>2459</v>
      </c>
      <c r="H422" s="31" t="str">
        <f t="shared" ca="1" si="165"/>
        <v>ビットキー x 1</v>
      </c>
      <c r="I422" s="31" t="str">
        <f ca="1">VLOOKUP($G422,OFFSET(mission_ACH!$A$2,0,0,COUNTA($A:$A),MATCH(I$2,mission_ACH!$2:$2,0)-MATCH($G$2,mission_ACH!$2:$2,0)+1),MATCH(I$2,mission_ACH!$2:$2,0)-MATCH($G$2,mission_ACH!$2:$2,0)+1,FALSE)</f>
        <v>item</v>
      </c>
      <c r="J422" s="31">
        <f ca="1">VLOOKUP($G422,OFFSET(mission_ACH!$A$2,0,0,COUNTA($A:$A),MATCH(J$2,mission_ACH!$2:$2,0)-MATCH($G$2,mission_ACH!$2:$2,0)+1),MATCH(J$2,mission_ACH!$2:$2,0)-MATCH($G$2,mission_ACH!$2:$2,0)+1,FALSE)</f>
        <v>3</v>
      </c>
      <c r="K422" s="31" t="str">
        <f ca="1">IF(OR(I422="unit",I422="item"),VLOOKUP($G422,OFFSET(mission_ACH!$A$2,0,0,COUNTA($A:$A),MATCH(K$2,mission_ACH!$2:$2,0)-MATCH($G$2,mission_ACH!$2:$2,0)+1),MATCH(K$2,mission_ACH!$2:$2,0)-MATCH($G$2,mission_ACH!$2:$2,0)+1,FALSE),"")</f>
        <v>ビットキー</v>
      </c>
      <c r="L422" s="31">
        <f ca="1">VLOOKUP($G422,OFFSET(mission_ACH!$A$2,0,0,COUNTA($A:$A),MATCH(L$2,mission_ACH!$2:$2,0)-MATCH($G$2,mission_ACH!$2:$2,0)+1),MATCH(L$2,mission_ACH!$2:$2,0)-MATCH($G$2,mission_ACH!$2:$2,0)+1,FALSE)</f>
        <v>1</v>
      </c>
      <c r="M422" s="27">
        <v>40</v>
      </c>
      <c r="N422" s="2" t="s">
        <v>352</v>
      </c>
      <c r="O422" s="2" t="s">
        <v>352</v>
      </c>
    </row>
    <row r="423" spans="1:15" s="1" customFormat="1" ht="21" customHeight="1" x14ac:dyDescent="0.15">
      <c r="A423" s="27">
        <f t="shared" si="156"/>
        <v>30063</v>
      </c>
      <c r="B423" s="26" t="str">
        <f t="shared" ca="1" si="162"/>
        <v>ユニットを 675 種類手に入れよう！</v>
      </c>
      <c r="C423" s="27" t="s">
        <v>595</v>
      </c>
      <c r="D423" s="31" t="str">
        <f ca="1">VLOOKUP($C423,OFFSET(mission_unlock_criteria!$A$2,0,0,COUNTA(mission_unlock_criteria!$A:$A),MATCH(D$2,mission_unlock_criteria!$2:$2,0)-MATCH($C$2,mission_unlock_criteria!$2:$2,0)+1),MATCH(D$2,mission_unlock_criteria!$2:$2,0)-MATCH($C$2,mission_unlock_criteria!$2:$2,0)+1,FALSE)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650 に到達</v>
      </c>
      <c r="E423" s="2" t="s">
        <v>596</v>
      </c>
      <c r="F423" s="31" t="str">
        <f ca="1">VLOOKUP($E423,OFFSET(mission_ACH_criteria!$A$1,0,0,COUNTA(mission_ACH_criteria!$A:$A),MATCH(F$2,mission_ACH_criteria!$1:$1,0)-MATCH($E$2,mission_ACH_criteria!$1:$1,0)+1),MATCH(F$2,mission_ACH_criteria!$1:$1,0)-MATCH($E$2,mission_ACH_criteria!$1:$1,0)+1,FALSE)</f>
        <v>ユニットを 675 種類手に入れよう！</v>
      </c>
      <c r="G423" s="27" t="s">
        <v>2435</v>
      </c>
      <c r="H423" s="31" t="str">
        <f t="shared" ca="1" si="165"/>
        <v>メガ秘術の果実 x 2</v>
      </c>
      <c r="I423" s="31" t="str">
        <f ca="1">VLOOKUP($G423,OFFSET(mission_ACH!$A$2,0,0,COUNTA($A:$A),MATCH(I$2,mission_ACH!$2:$2,0)-MATCH($G$2,mission_ACH!$2:$2,0)+1),MATCH(I$2,mission_ACH!$2:$2,0)-MATCH($G$2,mission_ACH!$2:$2,0)+1,FALSE)</f>
        <v>unit</v>
      </c>
      <c r="J423" s="31">
        <f ca="1">VLOOKUP($G423,OFFSET(mission_ACH!$A$2,0,0,COUNTA($A:$A),MATCH(J$2,mission_ACH!$2:$2,0)-MATCH($G$2,mission_ACH!$2:$2,0)+1),MATCH(J$2,mission_ACH!$2:$2,0)-MATCH($G$2,mission_ACH!$2:$2,0)+1,FALSE)</f>
        <v>610</v>
      </c>
      <c r="K423" s="31" t="str">
        <f ca="1">IF(OR(I423="unit",I423="item"),VLOOKUP($G423,OFFSET(mission_ACH!$A$2,0,0,COUNTA($A:$A),MATCH(K$2,mission_ACH!$2:$2,0)-MATCH($G$2,mission_ACH!$2:$2,0)+1),MATCH(K$2,mission_ACH!$2:$2,0)-MATCH($G$2,mission_ACH!$2:$2,0)+1,FALSE),"")</f>
        <v>メガ秘術の果実</v>
      </c>
      <c r="L423" s="31">
        <f ca="1">VLOOKUP($G423,OFFSET(mission_ACH!$A$2,0,0,COUNTA($A:$A),MATCH(L$2,mission_ACH!$2:$2,0)-MATCH($G$2,mission_ACH!$2:$2,0)+1),MATCH(L$2,mission_ACH!$2:$2,0)-MATCH($G$2,mission_ACH!$2:$2,0)+1,FALSE)</f>
        <v>2</v>
      </c>
      <c r="M423" s="27">
        <v>40</v>
      </c>
      <c r="N423" s="2" t="s">
        <v>352</v>
      </c>
      <c r="O423" s="2" t="s">
        <v>352</v>
      </c>
    </row>
    <row r="424" spans="1:15" s="1" customFormat="1" ht="21" customHeight="1" x14ac:dyDescent="0.15">
      <c r="A424" s="27">
        <f t="shared" si="156"/>
        <v>30064</v>
      </c>
      <c r="B424" s="26" t="str">
        <f t="shared" ca="1" si="162"/>
        <v>ユニットを 700 種類手に入れよう！</v>
      </c>
      <c r="C424" s="27" t="s">
        <v>597</v>
      </c>
      <c r="D424" s="31" t="str">
        <f ca="1">VLOOKUP($C424,OFFSET(mission_unlock_criteria!$A$2,0,0,COUNTA(mission_unlock_criteria!$A:$A),MATCH(D$2,mission_unlock_criteria!$2:$2,0)-MATCH($C$2,mission_unlock_criteria!$2:$2,0)+1),MATCH(D$2,mission_unlock_criteria!$2:$2,0)-MATCH($C$2,mission_unlock_criteria!$2:$2,0)+1,FALSE)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675 に到達</v>
      </c>
      <c r="E424" s="2" t="s">
        <v>598</v>
      </c>
      <c r="F424" s="31" t="str">
        <f ca="1">VLOOKUP($E424,OFFSET(mission_ACH_criteria!$A$1,0,0,COUNTA(mission_ACH_criteria!$A:$A),MATCH(F$2,mission_ACH_criteria!$1:$1,0)-MATCH($E$2,mission_ACH_criteria!$1:$1,0)+1),MATCH(F$2,mission_ACH_criteria!$1:$1,0)-MATCH($E$2,mission_ACH_criteria!$1:$1,0)+1,FALSE)</f>
        <v>ユニットを 700 種類手に入れよう！</v>
      </c>
      <c r="G424" s="27" t="s">
        <v>107</v>
      </c>
      <c r="H424" s="31" t="str">
        <f t="shared" ca="1" si="165"/>
        <v>ポリゴン x 5</v>
      </c>
      <c r="I424" s="31" t="str">
        <f ca="1">VLOOKUP($G424,OFFSET(mission_ACH!$A$2,0,0,COUNTA($A:$A),MATCH(I$2,mission_ACH!$2:$2,0)-MATCH($G$2,mission_ACH!$2:$2,0)+1),MATCH(I$2,mission_ACH!$2:$2,0)-MATCH($G$2,mission_ACH!$2:$2,0)+1,FALSE)</f>
        <v>polygon</v>
      </c>
      <c r="J424" s="31">
        <f ca="1">VLOOKUP($G424,OFFSET(mission_ACH!$A$2,0,0,COUNTA($A:$A),MATCH(J$2,mission_ACH!$2:$2,0)-MATCH($G$2,mission_ACH!$2:$2,0)+1),MATCH(J$2,mission_ACH!$2:$2,0)-MATCH($G$2,mission_ACH!$2:$2,0)+1,FALSE)</f>
        <v>5</v>
      </c>
      <c r="K424" s="31" t="str">
        <f ca="1">IF(OR(I424="unit",I424="item"),VLOOKUP($G424,OFFSET(mission_ACH!$A$2,0,0,COUNTA($A:$A),MATCH(K$2,mission_ACH!$2:$2,0)-MATCH($G$2,mission_ACH!$2:$2,0)+1),MATCH(K$2,mission_ACH!$2:$2,0)-MATCH($G$2,mission_ACH!$2:$2,0)+1,FALSE),"")</f>
        <v/>
      </c>
      <c r="L424" s="31">
        <f ca="1">VLOOKUP($G424,OFFSET(mission_ACH!$A$2,0,0,COUNTA($A:$A),MATCH(L$2,mission_ACH!$2:$2,0)-MATCH($G$2,mission_ACH!$2:$2,0)+1),MATCH(L$2,mission_ACH!$2:$2,0)-MATCH($G$2,mission_ACH!$2:$2,0)+1,FALSE)</f>
        <v>0</v>
      </c>
      <c r="M424" s="27">
        <v>40</v>
      </c>
      <c r="N424" s="2" t="s">
        <v>352</v>
      </c>
      <c r="O424" s="2" t="s">
        <v>352</v>
      </c>
    </row>
    <row r="425" spans="1:15" s="1" customFormat="1" ht="21" customHeight="1" x14ac:dyDescent="0.15">
      <c r="A425" s="27">
        <f t="shared" si="156"/>
        <v>30065</v>
      </c>
      <c r="B425" s="26" t="str">
        <f t="shared" ca="1" si="162"/>
        <v>ユニットを 725 種類手に入れよう！</v>
      </c>
      <c r="C425" s="27" t="s">
        <v>599</v>
      </c>
      <c r="D425" s="31" t="str">
        <f ca="1">VLOOKUP($C425,OFFSET(mission_unlock_criteria!$A$2,0,0,COUNTA(mission_unlock_criteria!$A:$A),MATCH(D$2,mission_unlock_criteria!$2:$2,0)-MATCH($C$2,mission_unlock_criteria!$2:$2,0)+1),MATCH(D$2,mission_unlock_criteria!$2:$2,0)-MATCH($C$2,mission_unlock_criteria!$2:$2,0)+1,FALSE)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700 に到達</v>
      </c>
      <c r="E425" s="2" t="s">
        <v>600</v>
      </c>
      <c r="F425" s="31" t="str">
        <f ca="1">VLOOKUP($E425,OFFSET(mission_ACH_criteria!$A$1,0,0,COUNTA(mission_ACH_criteria!$A:$A),MATCH(F$2,mission_ACH_criteria!$1:$1,0)-MATCH($E$2,mission_ACH_criteria!$1:$1,0)+1),MATCH(F$2,mission_ACH_criteria!$1:$1,0)-MATCH($E$2,mission_ACH_criteria!$1:$1,0)+1,FALSE)</f>
        <v>ユニットを 725 種類手に入れよう！</v>
      </c>
      <c r="G425" s="27" t="s">
        <v>2437</v>
      </c>
      <c r="H425" s="31" t="str">
        <f t="shared" ca="1" si="165"/>
        <v>ギガ攻めの果実 x 1</v>
      </c>
      <c r="I425" s="31" t="str">
        <f ca="1">VLOOKUP($G425,OFFSET(mission_ACH!$A$2,0,0,COUNTA($A:$A),MATCH(I$2,mission_ACH!$2:$2,0)-MATCH($G$2,mission_ACH!$2:$2,0)+1),MATCH(I$2,mission_ACH!$2:$2,0)-MATCH($G$2,mission_ACH!$2:$2,0)+1,FALSE)</f>
        <v>unit</v>
      </c>
      <c r="J425" s="31">
        <f ca="1">VLOOKUP($G425,OFFSET(mission_ACH!$A$2,0,0,COUNTA($A:$A),MATCH(J$2,mission_ACH!$2:$2,0)-MATCH($G$2,mission_ACH!$2:$2,0)+1),MATCH(J$2,mission_ACH!$2:$2,0)-MATCH($G$2,mission_ACH!$2:$2,0)+1,FALSE)</f>
        <v>611</v>
      </c>
      <c r="K425" s="31" t="str">
        <f ca="1">IF(OR(I425="unit",I425="item"),VLOOKUP($G425,OFFSET(mission_ACH!$A$2,0,0,COUNTA($A:$A),MATCH(K$2,mission_ACH!$2:$2,0)-MATCH($G$2,mission_ACH!$2:$2,0)+1),MATCH(K$2,mission_ACH!$2:$2,0)-MATCH($G$2,mission_ACH!$2:$2,0)+1,FALSE),"")</f>
        <v>ギガ攻めの果実</v>
      </c>
      <c r="L425" s="31">
        <f ca="1">VLOOKUP($G425,OFFSET(mission_ACH!$A$2,0,0,COUNTA($A:$A),MATCH(L$2,mission_ACH!$2:$2,0)-MATCH($G$2,mission_ACH!$2:$2,0)+1),MATCH(L$2,mission_ACH!$2:$2,0)-MATCH($G$2,mission_ACH!$2:$2,0)+1,FALSE)</f>
        <v>1</v>
      </c>
      <c r="M425" s="27">
        <v>40</v>
      </c>
      <c r="N425" s="2" t="s">
        <v>352</v>
      </c>
      <c r="O425" s="2" t="s">
        <v>352</v>
      </c>
    </row>
    <row r="426" spans="1:15" s="1" customFormat="1" ht="21" customHeight="1" x14ac:dyDescent="0.15">
      <c r="A426" s="27">
        <f t="shared" ref="A426:A506" si="166">A425+1</f>
        <v>30066</v>
      </c>
      <c r="B426" s="26" t="str">
        <f t="shared" ca="1" si="162"/>
        <v>ユニットを 750 種類手に入れよう！</v>
      </c>
      <c r="C426" s="27" t="s">
        <v>601</v>
      </c>
      <c r="D426" s="31" t="str">
        <f ca="1">VLOOKUP($C426,OFFSET(mission_unlock_criteria!$A$2,0,0,COUNTA(mission_unlock_criteria!$A:$A),MATCH(D$2,mission_unlock_criteria!$2:$2,0)-MATCH($C$2,mission_unlock_criteria!$2:$2,0)+1),MATCH(D$2,mission_unlock_criteria!$2:$2,0)-MATCH($C$2,mission_unlock_criteria!$2:$2,0)+1,FALSE)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725 に到達</v>
      </c>
      <c r="E426" s="2" t="s">
        <v>602</v>
      </c>
      <c r="F426" s="31" t="str">
        <f ca="1">VLOOKUP($E426,OFFSET(mission_ACH_criteria!$A$1,0,0,COUNTA(mission_ACH_criteria!$A:$A),MATCH(F$2,mission_ACH_criteria!$1:$1,0)-MATCH($E$2,mission_ACH_criteria!$1:$1,0)+1),MATCH(F$2,mission_ACH_criteria!$1:$1,0)-MATCH($E$2,mission_ACH_criteria!$1:$1,0)+1,FALSE)</f>
        <v>ユニットを 750 種類手に入れよう！</v>
      </c>
      <c r="G426" s="27" t="s">
        <v>2461</v>
      </c>
      <c r="H426" s="31" t="str">
        <f t="shared" ca="1" si="165"/>
        <v>限界突破キー x 1</v>
      </c>
      <c r="I426" s="31" t="str">
        <f ca="1">VLOOKUP($G426,OFFSET(mission_ACH!$A$2,0,0,COUNTA($A:$A),MATCH(I$2,mission_ACH!$2:$2,0)-MATCH($G$2,mission_ACH!$2:$2,0)+1),MATCH(I$2,mission_ACH!$2:$2,0)-MATCH($G$2,mission_ACH!$2:$2,0)+1,FALSE)</f>
        <v>item</v>
      </c>
      <c r="J426" s="31">
        <f ca="1">VLOOKUP($G426,OFFSET(mission_ACH!$A$2,0,0,COUNTA($A:$A),MATCH(J$2,mission_ACH!$2:$2,0)-MATCH($G$2,mission_ACH!$2:$2,0)+1),MATCH(J$2,mission_ACH!$2:$2,0)-MATCH($G$2,mission_ACH!$2:$2,0)+1,FALSE)</f>
        <v>4</v>
      </c>
      <c r="K426" s="31" t="str">
        <f ca="1">IF(OR(I426="unit",I426="item"),VLOOKUP($G426,OFFSET(mission_ACH!$A$2,0,0,COUNTA($A:$A),MATCH(K$2,mission_ACH!$2:$2,0)-MATCH($G$2,mission_ACH!$2:$2,0)+1),MATCH(K$2,mission_ACH!$2:$2,0)-MATCH($G$2,mission_ACH!$2:$2,0)+1,FALSE),"")</f>
        <v>限界突破キー</v>
      </c>
      <c r="L426" s="31">
        <f ca="1">VLOOKUP($G426,OFFSET(mission_ACH!$A$2,0,0,COUNTA($A:$A),MATCH(L$2,mission_ACH!$2:$2,0)-MATCH($G$2,mission_ACH!$2:$2,0)+1),MATCH(L$2,mission_ACH!$2:$2,0)-MATCH($G$2,mission_ACH!$2:$2,0)+1,FALSE)</f>
        <v>1</v>
      </c>
      <c r="M426" s="27">
        <v>40</v>
      </c>
      <c r="N426" s="2" t="s">
        <v>352</v>
      </c>
      <c r="O426" s="2" t="s">
        <v>352</v>
      </c>
    </row>
    <row r="427" spans="1:15" s="1" customFormat="1" ht="21" customHeight="1" x14ac:dyDescent="0.15">
      <c r="A427" s="27">
        <f t="shared" si="166"/>
        <v>30067</v>
      </c>
      <c r="B427" s="26" t="str">
        <f t="shared" ca="1" si="162"/>
        <v>ユニットを 775 種類手に入れよう！</v>
      </c>
      <c r="C427" s="27" t="s">
        <v>603</v>
      </c>
      <c r="D427" s="31" t="str">
        <f ca="1">VLOOKUP($C427,OFFSET(mission_unlock_criteria!$A$2,0,0,COUNTA(mission_unlock_criteria!$A:$A),MATCH(D$2,mission_unlock_criteria!$2:$2,0)-MATCH($C$2,mission_unlock_criteria!$2:$2,0)+1),MATCH(D$2,mission_unlock_criteria!$2:$2,0)-MATCH($C$2,mission_unlock_criteria!$2:$2,0)+1,FALSE)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750 に到達</v>
      </c>
      <c r="E427" s="2" t="s">
        <v>604</v>
      </c>
      <c r="F427" s="31" t="str">
        <f ca="1">VLOOKUP($E427,OFFSET(mission_ACH_criteria!$A$1,0,0,COUNTA(mission_ACH_criteria!$A:$A),MATCH(F$2,mission_ACH_criteria!$1:$1,0)-MATCH($E$2,mission_ACH_criteria!$1:$1,0)+1),MATCH(F$2,mission_ACH_criteria!$1:$1,0)-MATCH($E$2,mission_ACH_criteria!$1:$1,0)+1,FALSE)</f>
        <v>ユニットを 775 種類手に入れよう！</v>
      </c>
      <c r="G427" s="27" t="s">
        <v>2442</v>
      </c>
      <c r="H427" s="31" t="str">
        <f t="shared" ca="1" si="165"/>
        <v>ギガ生命の果実 x 1</v>
      </c>
      <c r="I427" s="31" t="str">
        <f ca="1">VLOOKUP($G427,OFFSET(mission_ACH!$A$2,0,0,COUNTA($A:$A),MATCH(I$2,mission_ACH!$2:$2,0)-MATCH($G$2,mission_ACH!$2:$2,0)+1),MATCH(I$2,mission_ACH!$2:$2,0)-MATCH($G$2,mission_ACH!$2:$2,0)+1,FALSE)</f>
        <v>unit</v>
      </c>
      <c r="J427" s="31">
        <f ca="1">VLOOKUP($G427,OFFSET(mission_ACH!$A$2,0,0,COUNTA($A:$A),MATCH(J$2,mission_ACH!$2:$2,0)-MATCH($G$2,mission_ACH!$2:$2,0)+1),MATCH(J$2,mission_ACH!$2:$2,0)-MATCH($G$2,mission_ACH!$2:$2,0)+1,FALSE)</f>
        <v>612</v>
      </c>
      <c r="K427" s="31" t="str">
        <f ca="1">IF(OR(I427="unit",I427="item"),VLOOKUP($G427,OFFSET(mission_ACH!$A$2,0,0,COUNTA($A:$A),MATCH(K$2,mission_ACH!$2:$2,0)-MATCH($G$2,mission_ACH!$2:$2,0)+1),MATCH(K$2,mission_ACH!$2:$2,0)-MATCH($G$2,mission_ACH!$2:$2,0)+1,FALSE),"")</f>
        <v>ギガ生命の果実</v>
      </c>
      <c r="L427" s="31">
        <f ca="1">VLOOKUP($G427,OFFSET(mission_ACH!$A$2,0,0,COUNTA($A:$A),MATCH(L$2,mission_ACH!$2:$2,0)-MATCH($G$2,mission_ACH!$2:$2,0)+1),MATCH(L$2,mission_ACH!$2:$2,0)-MATCH($G$2,mission_ACH!$2:$2,0)+1,FALSE)</f>
        <v>1</v>
      </c>
      <c r="M427" s="27">
        <v>40</v>
      </c>
      <c r="N427" s="2" t="s">
        <v>352</v>
      </c>
      <c r="O427" s="2" t="s">
        <v>352</v>
      </c>
    </row>
    <row r="428" spans="1:15" s="1" customFormat="1" ht="21" customHeight="1" x14ac:dyDescent="0.15">
      <c r="A428" s="27">
        <f t="shared" si="166"/>
        <v>30068</v>
      </c>
      <c r="B428" s="26" t="str">
        <f t="shared" ca="1" si="162"/>
        <v>ユニットを 800 種類手に入れよう！</v>
      </c>
      <c r="C428" s="27" t="s">
        <v>605</v>
      </c>
      <c r="D428" s="31" t="str">
        <f ca="1">VLOOKUP($C428,OFFSET(mission_unlock_criteria!$A$2,0,0,COUNTA(mission_unlock_criteria!$A:$A),MATCH(D$2,mission_unlock_criteria!$2:$2,0)-MATCH($C$2,mission_unlock_criteria!$2:$2,0)+1),MATCH(D$2,mission_unlock_criteria!$2:$2,0)-MATCH($C$2,mission_unlock_criteria!$2:$2,0)+1,FALSE)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775 に到達</v>
      </c>
      <c r="E428" s="2" t="s">
        <v>606</v>
      </c>
      <c r="F428" s="31" t="str">
        <f ca="1">VLOOKUP($E428,OFFSET(mission_ACH_criteria!$A$1,0,0,COUNTA(mission_ACH_criteria!$A:$A),MATCH(F$2,mission_ACH_criteria!$1:$1,0)-MATCH($E$2,mission_ACH_criteria!$1:$1,0)+1),MATCH(F$2,mission_ACH_criteria!$1:$1,0)-MATCH($E$2,mission_ACH_criteria!$1:$1,0)+1,FALSE)</f>
        <v>ユニットを 800 種類手に入れよう！</v>
      </c>
      <c r="G428" s="27" t="s">
        <v>107</v>
      </c>
      <c r="H428" s="31" t="str">
        <f t="shared" ca="1" si="165"/>
        <v>ポリゴン x 5</v>
      </c>
      <c r="I428" s="31" t="str">
        <f ca="1">VLOOKUP($G428,OFFSET(mission_ACH!$A$2,0,0,COUNTA($A:$A),MATCH(I$2,mission_ACH!$2:$2,0)-MATCH($G$2,mission_ACH!$2:$2,0)+1),MATCH(I$2,mission_ACH!$2:$2,0)-MATCH($G$2,mission_ACH!$2:$2,0)+1,FALSE)</f>
        <v>polygon</v>
      </c>
      <c r="J428" s="31">
        <f ca="1">VLOOKUP($G428,OFFSET(mission_ACH!$A$2,0,0,COUNTA($A:$A),MATCH(J$2,mission_ACH!$2:$2,0)-MATCH($G$2,mission_ACH!$2:$2,0)+1),MATCH(J$2,mission_ACH!$2:$2,0)-MATCH($G$2,mission_ACH!$2:$2,0)+1,FALSE)</f>
        <v>5</v>
      </c>
      <c r="K428" s="31" t="str">
        <f ca="1">IF(OR(I428="unit",I428="item"),VLOOKUP($G428,OFFSET(mission_ACH!$A$2,0,0,COUNTA($A:$A),MATCH(K$2,mission_ACH!$2:$2,0)-MATCH($G$2,mission_ACH!$2:$2,0)+1),MATCH(K$2,mission_ACH!$2:$2,0)-MATCH($G$2,mission_ACH!$2:$2,0)+1,FALSE),"")</f>
        <v/>
      </c>
      <c r="L428" s="31">
        <f ca="1">VLOOKUP($G428,OFFSET(mission_ACH!$A$2,0,0,COUNTA($A:$A),MATCH(L$2,mission_ACH!$2:$2,0)-MATCH($G$2,mission_ACH!$2:$2,0)+1),MATCH(L$2,mission_ACH!$2:$2,0)-MATCH($G$2,mission_ACH!$2:$2,0)+1,FALSE)</f>
        <v>0</v>
      </c>
      <c r="M428" s="27">
        <v>40</v>
      </c>
      <c r="N428" s="2" t="s">
        <v>352</v>
      </c>
      <c r="O428" s="2" t="s">
        <v>352</v>
      </c>
    </row>
    <row r="429" spans="1:15" s="1" customFormat="1" ht="21" customHeight="1" x14ac:dyDescent="0.15">
      <c r="A429" s="27">
        <f t="shared" si="166"/>
        <v>30069</v>
      </c>
      <c r="B429" s="26" t="str">
        <f t="shared" ca="1" si="162"/>
        <v>ユニットを 825 種類手に入れよう！</v>
      </c>
      <c r="C429" s="27" t="s">
        <v>607</v>
      </c>
      <c r="D429" s="31" t="str">
        <f ca="1">VLOOKUP($C429,OFFSET(mission_unlock_criteria!$A$2,0,0,COUNTA(mission_unlock_criteria!$A:$A),MATCH(D$2,mission_unlock_criteria!$2:$2,0)-MATCH($C$2,mission_unlock_criteria!$2:$2,0)+1),MATCH(D$2,mission_unlock_criteria!$2:$2,0)-MATCH($C$2,mission_unlock_criteria!$2:$2,0)+1,FALSE)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800 に到達</v>
      </c>
      <c r="E429" s="2" t="s">
        <v>608</v>
      </c>
      <c r="F429" s="31" t="str">
        <f ca="1">VLOOKUP($E429,OFFSET(mission_ACH_criteria!$A$1,0,0,COUNTA(mission_ACH_criteria!$A:$A),MATCH(F$2,mission_ACH_criteria!$1:$1,0)-MATCH($E$2,mission_ACH_criteria!$1:$1,0)+1),MATCH(F$2,mission_ACH_criteria!$1:$1,0)-MATCH($E$2,mission_ACH_criteria!$1:$1,0)+1,FALSE)</f>
        <v>ユニットを 825 種類手に入れよう！</v>
      </c>
      <c r="G429" s="27" t="s">
        <v>2447</v>
      </c>
      <c r="H429" s="31" t="str">
        <f t="shared" ca="1" si="165"/>
        <v>ギガ癒しの果実 x 1</v>
      </c>
      <c r="I429" s="31" t="str">
        <f ca="1">VLOOKUP($G429,OFFSET(mission_ACH!$A$2,0,0,COUNTA($A:$A),MATCH(I$2,mission_ACH!$2:$2,0)-MATCH($G$2,mission_ACH!$2:$2,0)+1),MATCH(I$2,mission_ACH!$2:$2,0)-MATCH($G$2,mission_ACH!$2:$2,0)+1,FALSE)</f>
        <v>unit</v>
      </c>
      <c r="J429" s="31">
        <f ca="1">VLOOKUP($G429,OFFSET(mission_ACH!$A$2,0,0,COUNTA($A:$A),MATCH(J$2,mission_ACH!$2:$2,0)-MATCH($G$2,mission_ACH!$2:$2,0)+1),MATCH(J$2,mission_ACH!$2:$2,0)-MATCH($G$2,mission_ACH!$2:$2,0)+1,FALSE)</f>
        <v>613</v>
      </c>
      <c r="K429" s="31" t="str">
        <f ca="1">IF(OR(I429="unit",I429="item"),VLOOKUP($G429,OFFSET(mission_ACH!$A$2,0,0,COUNTA($A:$A),MATCH(K$2,mission_ACH!$2:$2,0)-MATCH($G$2,mission_ACH!$2:$2,0)+1),MATCH(K$2,mission_ACH!$2:$2,0)-MATCH($G$2,mission_ACH!$2:$2,0)+1,FALSE),"")</f>
        <v>ギガ癒しの果実</v>
      </c>
      <c r="L429" s="31">
        <f ca="1">VLOOKUP($G429,OFFSET(mission_ACH!$A$2,0,0,COUNTA($A:$A),MATCH(L$2,mission_ACH!$2:$2,0)-MATCH($G$2,mission_ACH!$2:$2,0)+1),MATCH(L$2,mission_ACH!$2:$2,0)-MATCH($G$2,mission_ACH!$2:$2,0)+1,FALSE)</f>
        <v>1</v>
      </c>
      <c r="M429" s="27">
        <v>40</v>
      </c>
      <c r="N429" s="2" t="s">
        <v>352</v>
      </c>
      <c r="O429" s="2" t="s">
        <v>352</v>
      </c>
    </row>
    <row r="430" spans="1:15" s="1" customFormat="1" ht="21" customHeight="1" x14ac:dyDescent="0.15">
      <c r="A430" s="27">
        <f t="shared" si="166"/>
        <v>30070</v>
      </c>
      <c r="B430" s="26" t="str">
        <f t="shared" ca="1" si="162"/>
        <v>ユニットを 850 種類手に入れよう！</v>
      </c>
      <c r="C430" s="27" t="s">
        <v>609</v>
      </c>
      <c r="D430" s="31" t="str">
        <f ca="1">VLOOKUP($C430,OFFSET(mission_unlock_criteria!$A$2,0,0,COUNTA(mission_unlock_criteria!$A:$A),MATCH(D$2,mission_unlock_criteria!$2:$2,0)-MATCH($C$2,mission_unlock_criteria!$2:$2,0)+1),MATCH(D$2,mission_unlock_criteria!$2:$2,0)-MATCH($C$2,mission_unlock_criteria!$2:$2,0)+1,FALSE)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825 に到達</v>
      </c>
      <c r="E430" s="2" t="s">
        <v>610</v>
      </c>
      <c r="F430" s="31" t="str">
        <f ca="1">VLOOKUP($E430,OFFSET(mission_ACH_criteria!$A$1,0,0,COUNTA(mission_ACH_criteria!$A:$A),MATCH(F$2,mission_ACH_criteria!$1:$1,0)-MATCH($E$2,mission_ACH_criteria!$1:$1,0)+1),MATCH(F$2,mission_ACH_criteria!$1:$1,0)-MATCH($E$2,mission_ACH_criteria!$1:$1,0)+1,FALSE)</f>
        <v>ユニットを 850 種類手に入れよう！</v>
      </c>
      <c r="G430" s="27" t="s">
        <v>2455</v>
      </c>
      <c r="H430" s="31" t="str">
        <f t="shared" ca="1" si="165"/>
        <v>マスターキー x 1</v>
      </c>
      <c r="I430" s="31" t="str">
        <f ca="1">VLOOKUP($G430,OFFSET(mission_ACH!$A$2,0,0,COUNTA($A:$A),MATCH(I$2,mission_ACH!$2:$2,0)-MATCH($G$2,mission_ACH!$2:$2,0)+1),MATCH(I$2,mission_ACH!$2:$2,0)-MATCH($G$2,mission_ACH!$2:$2,0)+1,FALSE)</f>
        <v>item</v>
      </c>
      <c r="J430" s="31">
        <f ca="1">VLOOKUP($G430,OFFSET(mission_ACH!$A$2,0,0,COUNTA($A:$A),MATCH(J$2,mission_ACH!$2:$2,0)-MATCH($G$2,mission_ACH!$2:$2,0)+1),MATCH(J$2,mission_ACH!$2:$2,0)-MATCH($G$2,mission_ACH!$2:$2,0)+1,FALSE)</f>
        <v>1</v>
      </c>
      <c r="K430" s="31" t="str">
        <f ca="1">IF(OR(I430="unit",I430="item"),VLOOKUP($G430,OFFSET(mission_ACH!$A$2,0,0,COUNTA($A:$A),MATCH(K$2,mission_ACH!$2:$2,0)-MATCH($G$2,mission_ACH!$2:$2,0)+1),MATCH(K$2,mission_ACH!$2:$2,0)-MATCH($G$2,mission_ACH!$2:$2,0)+1,FALSE),"")</f>
        <v>マスターキー</v>
      </c>
      <c r="L430" s="31">
        <f ca="1">VLOOKUP($G430,OFFSET(mission_ACH!$A$2,0,0,COUNTA($A:$A),MATCH(L$2,mission_ACH!$2:$2,0)-MATCH($G$2,mission_ACH!$2:$2,0)+1),MATCH(L$2,mission_ACH!$2:$2,0)-MATCH($G$2,mission_ACH!$2:$2,0)+1,FALSE)</f>
        <v>1</v>
      </c>
      <c r="M430" s="27">
        <v>40</v>
      </c>
      <c r="N430" s="2" t="s">
        <v>352</v>
      </c>
      <c r="O430" s="2" t="s">
        <v>352</v>
      </c>
    </row>
    <row r="431" spans="1:15" s="1" customFormat="1" ht="21" customHeight="1" x14ac:dyDescent="0.15">
      <c r="A431" s="27">
        <f t="shared" si="166"/>
        <v>30071</v>
      </c>
      <c r="B431" s="26" t="str">
        <f t="shared" ca="1" si="162"/>
        <v>ユニットを 875 種類手に入れよう！</v>
      </c>
      <c r="C431" s="27" t="s">
        <v>611</v>
      </c>
      <c r="D431" s="31" t="str">
        <f ca="1">VLOOKUP($C431,OFFSET(mission_unlock_criteria!$A$2,0,0,COUNTA(mission_unlock_criteria!$A:$A),MATCH(D$2,mission_unlock_criteria!$2:$2,0)-MATCH($C$2,mission_unlock_criteria!$2:$2,0)+1),MATCH(D$2,mission_unlock_criteria!$2:$2,0)-MATCH($C$2,mission_unlock_criteria!$2:$2,0)+1,FALSE)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850 に到達</v>
      </c>
      <c r="E431" s="2" t="s">
        <v>612</v>
      </c>
      <c r="F431" s="31" t="str">
        <f ca="1">VLOOKUP($E431,OFFSET(mission_ACH_criteria!$A$1,0,0,COUNTA(mission_ACH_criteria!$A:$A),MATCH(F$2,mission_ACH_criteria!$1:$1,0)-MATCH($E$2,mission_ACH_criteria!$1:$1,0)+1),MATCH(F$2,mission_ACH_criteria!$1:$1,0)-MATCH($E$2,mission_ACH_criteria!$1:$1,0)+1,FALSE)</f>
        <v>ユニットを 875 種類手に入れよう！</v>
      </c>
      <c r="G431" s="27" t="s">
        <v>2451</v>
      </c>
      <c r="H431" s="31" t="str">
        <f t="shared" ca="1" si="165"/>
        <v>ギガ秘術の果実 x 1</v>
      </c>
      <c r="I431" s="31" t="str">
        <f ca="1">VLOOKUP($G431,OFFSET(mission_ACH!$A$2,0,0,COUNTA($A:$A),MATCH(I$2,mission_ACH!$2:$2,0)-MATCH($G$2,mission_ACH!$2:$2,0)+1),MATCH(I$2,mission_ACH!$2:$2,0)-MATCH($G$2,mission_ACH!$2:$2,0)+1,FALSE)</f>
        <v>unit</v>
      </c>
      <c r="J431" s="31">
        <f ca="1">VLOOKUP($G431,OFFSET(mission_ACH!$A$2,0,0,COUNTA($A:$A),MATCH(J$2,mission_ACH!$2:$2,0)-MATCH($G$2,mission_ACH!$2:$2,0)+1),MATCH(J$2,mission_ACH!$2:$2,0)-MATCH($G$2,mission_ACH!$2:$2,0)+1,FALSE)</f>
        <v>614</v>
      </c>
      <c r="K431" s="31" t="str">
        <f ca="1">IF(OR(I431="unit",I431="item"),VLOOKUP($G431,OFFSET(mission_ACH!$A$2,0,0,COUNTA($A:$A),MATCH(K$2,mission_ACH!$2:$2,0)-MATCH($G$2,mission_ACH!$2:$2,0)+1),MATCH(K$2,mission_ACH!$2:$2,0)-MATCH($G$2,mission_ACH!$2:$2,0)+1,FALSE),"")</f>
        <v>ギガ秘術の果実</v>
      </c>
      <c r="L431" s="31">
        <f ca="1">VLOOKUP($G431,OFFSET(mission_ACH!$A$2,0,0,COUNTA($A:$A),MATCH(L$2,mission_ACH!$2:$2,0)-MATCH($G$2,mission_ACH!$2:$2,0)+1),MATCH(L$2,mission_ACH!$2:$2,0)-MATCH($G$2,mission_ACH!$2:$2,0)+1,FALSE)</f>
        <v>1</v>
      </c>
      <c r="M431" s="27">
        <v>40</v>
      </c>
      <c r="N431" s="2" t="s">
        <v>352</v>
      </c>
      <c r="O431" s="2" t="s">
        <v>352</v>
      </c>
    </row>
    <row r="432" spans="1:15" s="1" customFormat="1" ht="21" customHeight="1" x14ac:dyDescent="0.15">
      <c r="A432" s="27">
        <f t="shared" si="166"/>
        <v>30072</v>
      </c>
      <c r="B432" s="26" t="str">
        <f t="shared" ca="1" si="162"/>
        <v>ユニットを 900 種類手に入れよう！</v>
      </c>
      <c r="C432" s="27" t="s">
        <v>613</v>
      </c>
      <c r="D432" s="31" t="str">
        <f ca="1">VLOOKUP($C432,OFFSET(mission_unlock_criteria!$A$2,0,0,COUNTA(mission_unlock_criteria!$A:$A),MATCH(D$2,mission_unlock_criteria!$2:$2,0)-MATCH($C$2,mission_unlock_criteria!$2:$2,0)+1),MATCH(D$2,mission_unlock_criteria!$2:$2,0)-MATCH($C$2,mission_unlock_criteria!$2:$2,0)+1,FALSE)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875 に到達</v>
      </c>
      <c r="E432" s="2" t="s">
        <v>614</v>
      </c>
      <c r="F432" s="31" t="str">
        <f ca="1">VLOOKUP($E432,OFFSET(mission_ACH_criteria!$A$1,0,0,COUNTA(mission_ACH_criteria!$A:$A),MATCH(F$2,mission_ACH_criteria!$1:$1,0)-MATCH($E$2,mission_ACH_criteria!$1:$1,0)+1),MATCH(F$2,mission_ACH_criteria!$1:$1,0)-MATCH($E$2,mission_ACH_criteria!$1:$1,0)+1,FALSE)</f>
        <v>ユニットを 900 種類手に入れよう！</v>
      </c>
      <c r="G432" s="27" t="s">
        <v>107</v>
      </c>
      <c r="H432" s="31" t="str">
        <f t="shared" ca="1" si="165"/>
        <v>ポリゴン x 5</v>
      </c>
      <c r="I432" s="31" t="str">
        <f ca="1">VLOOKUP($G432,OFFSET(mission_ACH!$A$2,0,0,COUNTA($A:$A),MATCH(I$2,mission_ACH!$2:$2,0)-MATCH($G$2,mission_ACH!$2:$2,0)+1),MATCH(I$2,mission_ACH!$2:$2,0)-MATCH($G$2,mission_ACH!$2:$2,0)+1,FALSE)</f>
        <v>polygon</v>
      </c>
      <c r="J432" s="31">
        <f ca="1">VLOOKUP($G432,OFFSET(mission_ACH!$A$2,0,0,COUNTA($A:$A),MATCH(J$2,mission_ACH!$2:$2,0)-MATCH($G$2,mission_ACH!$2:$2,0)+1),MATCH(J$2,mission_ACH!$2:$2,0)-MATCH($G$2,mission_ACH!$2:$2,0)+1,FALSE)</f>
        <v>5</v>
      </c>
      <c r="K432" s="31" t="str">
        <f ca="1">IF(OR(I432="unit",I432="item"),VLOOKUP($G432,OFFSET(mission_ACH!$A$2,0,0,COUNTA($A:$A),MATCH(K$2,mission_ACH!$2:$2,0)-MATCH($G$2,mission_ACH!$2:$2,0)+1),MATCH(K$2,mission_ACH!$2:$2,0)-MATCH($G$2,mission_ACH!$2:$2,0)+1,FALSE),"")</f>
        <v/>
      </c>
      <c r="L432" s="31">
        <f ca="1">VLOOKUP($G432,OFFSET(mission_ACH!$A$2,0,0,COUNTA($A:$A),MATCH(L$2,mission_ACH!$2:$2,0)-MATCH($G$2,mission_ACH!$2:$2,0)+1),MATCH(L$2,mission_ACH!$2:$2,0)-MATCH($G$2,mission_ACH!$2:$2,0)+1,FALSE)</f>
        <v>0</v>
      </c>
      <c r="M432" s="27">
        <v>40</v>
      </c>
      <c r="N432" s="2" t="s">
        <v>352</v>
      </c>
      <c r="O432" s="2" t="s">
        <v>352</v>
      </c>
    </row>
    <row r="433" spans="1:15" s="1" customFormat="1" ht="21" customHeight="1" x14ac:dyDescent="0.15">
      <c r="A433" s="27">
        <f t="shared" si="166"/>
        <v>30073</v>
      </c>
      <c r="B433" s="26" t="str">
        <f t="shared" ca="1" si="162"/>
        <v>ユニットを 925 種類手に入れよう！</v>
      </c>
      <c r="C433" s="27" t="s">
        <v>615</v>
      </c>
      <c r="D433" s="31" t="str">
        <f ca="1">VLOOKUP($C433,OFFSET(mission_unlock_criteria!$A$2,0,0,COUNTA(mission_unlock_criteria!$A:$A),MATCH(D$2,mission_unlock_criteria!$2:$2,0)-MATCH($C$2,mission_unlock_criteria!$2:$2,0)+1),MATCH(D$2,mission_unlock_criteria!$2:$2,0)-MATCH($C$2,mission_unlock_criteria!$2:$2,0)+1,FALSE)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900 に到達</v>
      </c>
      <c r="E433" s="2" t="s">
        <v>616</v>
      </c>
      <c r="F433" s="31" t="str">
        <f ca="1">VLOOKUP($E433,OFFSET(mission_ACH_criteria!$A$1,0,0,COUNTA(mission_ACH_criteria!$A:$A),MATCH(F$2,mission_ACH_criteria!$1:$1,0)-MATCH($E$2,mission_ACH_criteria!$1:$1,0)+1),MATCH(F$2,mission_ACH_criteria!$1:$1,0)-MATCH($E$2,mission_ACH_criteria!$1:$1,0)+1,FALSE)</f>
        <v>ユニットを 925 種類手に入れよう！</v>
      </c>
      <c r="G433" s="27" t="s">
        <v>2439</v>
      </c>
      <c r="H433" s="31" t="str">
        <f t="shared" ca="1" si="165"/>
        <v>ギガ攻めの果実 x 2</v>
      </c>
      <c r="I433" s="31" t="str">
        <f ca="1">VLOOKUP($G433,OFFSET(mission_ACH!$A$2,0,0,COUNTA($A:$A),MATCH(I$2,mission_ACH!$2:$2,0)-MATCH($G$2,mission_ACH!$2:$2,0)+1),MATCH(I$2,mission_ACH!$2:$2,0)-MATCH($G$2,mission_ACH!$2:$2,0)+1,FALSE)</f>
        <v>unit</v>
      </c>
      <c r="J433" s="31">
        <f ca="1">VLOOKUP($G433,OFFSET(mission_ACH!$A$2,0,0,COUNTA($A:$A),MATCH(J$2,mission_ACH!$2:$2,0)-MATCH($G$2,mission_ACH!$2:$2,0)+1),MATCH(J$2,mission_ACH!$2:$2,0)-MATCH($G$2,mission_ACH!$2:$2,0)+1,FALSE)</f>
        <v>611</v>
      </c>
      <c r="K433" s="31" t="str">
        <f ca="1">IF(OR(I433="unit",I433="item"),VLOOKUP($G433,OFFSET(mission_ACH!$A$2,0,0,COUNTA($A:$A),MATCH(K$2,mission_ACH!$2:$2,0)-MATCH($G$2,mission_ACH!$2:$2,0)+1),MATCH(K$2,mission_ACH!$2:$2,0)-MATCH($G$2,mission_ACH!$2:$2,0)+1,FALSE),"")</f>
        <v>ギガ攻めの果実</v>
      </c>
      <c r="L433" s="31">
        <f ca="1">VLOOKUP($G433,OFFSET(mission_ACH!$A$2,0,0,COUNTA($A:$A),MATCH(L$2,mission_ACH!$2:$2,0)-MATCH($G$2,mission_ACH!$2:$2,0)+1),MATCH(L$2,mission_ACH!$2:$2,0)-MATCH($G$2,mission_ACH!$2:$2,0)+1,FALSE)</f>
        <v>2</v>
      </c>
      <c r="M433" s="27">
        <v>40</v>
      </c>
      <c r="N433" s="2" t="s">
        <v>352</v>
      </c>
      <c r="O433" s="2" t="s">
        <v>352</v>
      </c>
    </row>
    <row r="434" spans="1:15" s="1" customFormat="1" ht="21" customHeight="1" x14ac:dyDescent="0.15">
      <c r="A434" s="27">
        <f t="shared" si="166"/>
        <v>30074</v>
      </c>
      <c r="B434" s="26" t="str">
        <f t="shared" ca="1" si="162"/>
        <v>ユニットを 950 種類手に入れよう！</v>
      </c>
      <c r="C434" s="27" t="s">
        <v>617</v>
      </c>
      <c r="D434" s="31" t="str">
        <f ca="1">VLOOKUP($C434,OFFSET(mission_unlock_criteria!$A$2,0,0,COUNTA(mission_unlock_criteria!$A:$A),MATCH(D$2,mission_unlock_criteria!$2:$2,0)-MATCH($C$2,mission_unlock_criteria!$2:$2,0)+1),MATCH(D$2,mission_unlock_criteria!$2:$2,0)-MATCH($C$2,mission_unlock_criteria!$2:$2,0)+1,FALSE)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925 に到達</v>
      </c>
      <c r="E434" s="2" t="s">
        <v>618</v>
      </c>
      <c r="F434" s="31" t="str">
        <f ca="1">VLOOKUP($E434,OFFSET(mission_ACH_criteria!$A$1,0,0,COUNTA(mission_ACH_criteria!$A:$A),MATCH(F$2,mission_ACH_criteria!$1:$1,0)-MATCH($E$2,mission_ACH_criteria!$1:$1,0)+1),MATCH(F$2,mission_ACH_criteria!$1:$1,0)-MATCH($E$2,mission_ACH_criteria!$1:$1,0)+1,FALSE)</f>
        <v>ユニットを 950 種類手に入れよう！</v>
      </c>
      <c r="G434" s="27" t="s">
        <v>2467</v>
      </c>
      <c r="H434" s="31" t="str">
        <f t="shared" ca="1" si="165"/>
        <v>経験値キー x 2</v>
      </c>
      <c r="I434" s="31" t="str">
        <f ca="1">VLOOKUP($G434,OFFSET(mission_ACH!$A$2,0,0,COUNTA($A:$A),MATCH(I$2,mission_ACH!$2:$2,0)-MATCH($G$2,mission_ACH!$2:$2,0)+1),MATCH(I$2,mission_ACH!$2:$2,0)-MATCH($G$2,mission_ACH!$2:$2,0)+1,FALSE)</f>
        <v>item</v>
      </c>
      <c r="J434" s="31">
        <f ca="1">VLOOKUP($G434,OFFSET(mission_ACH!$A$2,0,0,COUNTA($A:$A),MATCH(J$2,mission_ACH!$2:$2,0)-MATCH($G$2,mission_ACH!$2:$2,0)+1),MATCH(J$2,mission_ACH!$2:$2,0)-MATCH($G$2,mission_ACH!$2:$2,0)+1,FALSE)</f>
        <v>2</v>
      </c>
      <c r="K434" s="31" t="str">
        <f ca="1">IF(OR(I434="unit",I434="item"),VLOOKUP($G434,OFFSET(mission_ACH!$A$2,0,0,COUNTA($A:$A),MATCH(K$2,mission_ACH!$2:$2,0)-MATCH($G$2,mission_ACH!$2:$2,0)+1),MATCH(K$2,mission_ACH!$2:$2,0)-MATCH($G$2,mission_ACH!$2:$2,0)+1,FALSE),"")</f>
        <v>経験値キー</v>
      </c>
      <c r="L434" s="31">
        <f ca="1">VLOOKUP($G434,OFFSET(mission_ACH!$A$2,0,0,COUNTA($A:$A),MATCH(L$2,mission_ACH!$2:$2,0)-MATCH($G$2,mission_ACH!$2:$2,0)+1),MATCH(L$2,mission_ACH!$2:$2,0)-MATCH($G$2,mission_ACH!$2:$2,0)+1,FALSE)</f>
        <v>2</v>
      </c>
      <c r="M434" s="27">
        <v>40</v>
      </c>
      <c r="N434" s="2" t="s">
        <v>352</v>
      </c>
      <c r="O434" s="2" t="s">
        <v>352</v>
      </c>
    </row>
    <row r="435" spans="1:15" s="1" customFormat="1" ht="21" customHeight="1" x14ac:dyDescent="0.15">
      <c r="A435" s="27">
        <f t="shared" si="166"/>
        <v>30075</v>
      </c>
      <c r="B435" s="26" t="str">
        <f t="shared" ca="1" si="162"/>
        <v>ユニットを 975 種類手に入れよう！</v>
      </c>
      <c r="C435" s="27" t="s">
        <v>619</v>
      </c>
      <c r="D435" s="31" t="str">
        <f ca="1">VLOOKUP($C435,OFFSET(mission_unlock_criteria!$A$2,0,0,COUNTA(mission_unlock_criteria!$A:$A),MATCH(D$2,mission_unlock_criteria!$2:$2,0)-MATCH($C$2,mission_unlock_criteria!$2:$2,0)+1),MATCH(D$2,mission_unlock_criteria!$2:$2,0)-MATCH($C$2,mission_unlock_criteria!$2:$2,0)+1,FALSE)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950 に到達</v>
      </c>
      <c r="E435" s="2" t="s">
        <v>620</v>
      </c>
      <c r="F435" s="31" t="str">
        <f ca="1">VLOOKUP($E435,OFFSET(mission_ACH_criteria!$A$1,0,0,COUNTA(mission_ACH_criteria!$A:$A),MATCH(F$2,mission_ACH_criteria!$1:$1,0)-MATCH($E$2,mission_ACH_criteria!$1:$1,0)+1),MATCH(F$2,mission_ACH_criteria!$1:$1,0)-MATCH($E$2,mission_ACH_criteria!$1:$1,0)+1,FALSE)</f>
        <v>ユニットを 975 種類手に入れよう！</v>
      </c>
      <c r="G435" s="27" t="s">
        <v>2444</v>
      </c>
      <c r="H435" s="31" t="str">
        <f t="shared" ca="1" si="165"/>
        <v>ギガ生命の果実 x 2</v>
      </c>
      <c r="I435" s="31" t="str">
        <f ca="1">VLOOKUP($G435,OFFSET(mission_ACH!$A$2,0,0,COUNTA($A:$A),MATCH(I$2,mission_ACH!$2:$2,0)-MATCH($G$2,mission_ACH!$2:$2,0)+1),MATCH(I$2,mission_ACH!$2:$2,0)-MATCH($G$2,mission_ACH!$2:$2,0)+1,FALSE)</f>
        <v>unit</v>
      </c>
      <c r="J435" s="31">
        <f ca="1">VLOOKUP($G435,OFFSET(mission_ACH!$A$2,0,0,COUNTA($A:$A),MATCH(J$2,mission_ACH!$2:$2,0)-MATCH($G$2,mission_ACH!$2:$2,0)+1),MATCH(J$2,mission_ACH!$2:$2,0)-MATCH($G$2,mission_ACH!$2:$2,0)+1,FALSE)</f>
        <v>612</v>
      </c>
      <c r="K435" s="31" t="str">
        <f ca="1">IF(OR(I435="unit",I435="item"),VLOOKUP($G435,OFFSET(mission_ACH!$A$2,0,0,COUNTA($A:$A),MATCH(K$2,mission_ACH!$2:$2,0)-MATCH($G$2,mission_ACH!$2:$2,0)+1),MATCH(K$2,mission_ACH!$2:$2,0)-MATCH($G$2,mission_ACH!$2:$2,0)+1,FALSE),"")</f>
        <v>ギガ生命の果実</v>
      </c>
      <c r="L435" s="31">
        <f ca="1">VLOOKUP($G435,OFFSET(mission_ACH!$A$2,0,0,COUNTA($A:$A),MATCH(L$2,mission_ACH!$2:$2,0)-MATCH($G$2,mission_ACH!$2:$2,0)+1),MATCH(L$2,mission_ACH!$2:$2,0)-MATCH($G$2,mission_ACH!$2:$2,0)+1,FALSE)</f>
        <v>2</v>
      </c>
      <c r="M435" s="27">
        <v>40</v>
      </c>
      <c r="N435" s="2" t="s">
        <v>352</v>
      </c>
      <c r="O435" s="2" t="s">
        <v>352</v>
      </c>
    </row>
    <row r="436" spans="1:15" s="1" customFormat="1" ht="21" customHeight="1" x14ac:dyDescent="0.15">
      <c r="A436" s="27">
        <f t="shared" si="166"/>
        <v>30076</v>
      </c>
      <c r="B436" s="26" t="str">
        <f t="shared" ca="1" si="162"/>
        <v>ユニットを 1000 種類手に入れよう！</v>
      </c>
      <c r="C436" s="27" t="s">
        <v>621</v>
      </c>
      <c r="D436" s="31" t="str">
        <f ca="1">VLOOKUP($C436,OFFSET(mission_unlock_criteria!$A$2,0,0,COUNTA(mission_unlock_criteria!$A:$A),MATCH(D$2,mission_unlock_criteria!$2:$2,0)-MATCH($C$2,mission_unlock_criteria!$2:$2,0)+1),MATCH(D$2,mission_unlock_criteria!$2:$2,0)-MATCH($C$2,mission_unlock_criteria!$2:$2,0)+1,FALSE)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975 に到達</v>
      </c>
      <c r="E436" s="2" t="s">
        <v>622</v>
      </c>
      <c r="F436" s="31" t="str">
        <f ca="1">VLOOKUP($E436,OFFSET(mission_ACH_criteria!$A$1,0,0,COUNTA(mission_ACH_criteria!$A:$A),MATCH(F$2,mission_ACH_criteria!$1:$1,0)-MATCH($E$2,mission_ACH_criteria!$1:$1,0)+1),MATCH(F$2,mission_ACH_criteria!$1:$1,0)-MATCH($E$2,mission_ACH_criteria!$1:$1,0)+1,FALSE)</f>
        <v>ユニットを 1000 種類手に入れよう！</v>
      </c>
      <c r="G436" s="27" t="s">
        <v>921</v>
      </c>
      <c r="H436" s="31" t="str">
        <f t="shared" ca="1" si="165"/>
        <v>ポリゴン x 50</v>
      </c>
      <c r="I436" s="31" t="str">
        <f ca="1">VLOOKUP($G436,OFFSET(mission_ACH!$A$2,0,0,COUNTA($A:$A),MATCH(I$2,mission_ACH!$2:$2,0)-MATCH($G$2,mission_ACH!$2:$2,0)+1),MATCH(I$2,mission_ACH!$2:$2,0)-MATCH($G$2,mission_ACH!$2:$2,0)+1,FALSE)</f>
        <v>polygon</v>
      </c>
      <c r="J436" s="31">
        <f ca="1">VLOOKUP($G436,OFFSET(mission_ACH!$A$2,0,0,COUNTA($A:$A),MATCH(J$2,mission_ACH!$2:$2,0)-MATCH($G$2,mission_ACH!$2:$2,0)+1),MATCH(J$2,mission_ACH!$2:$2,0)-MATCH($G$2,mission_ACH!$2:$2,0)+1,FALSE)</f>
        <v>50</v>
      </c>
      <c r="K436" s="31" t="str">
        <f ca="1">IF(OR(I436="unit",I436="item"),VLOOKUP($G436,OFFSET(mission_ACH!$A$2,0,0,COUNTA($A:$A),MATCH(K$2,mission_ACH!$2:$2,0)-MATCH($G$2,mission_ACH!$2:$2,0)+1),MATCH(K$2,mission_ACH!$2:$2,0)-MATCH($G$2,mission_ACH!$2:$2,0)+1,FALSE),"")</f>
        <v/>
      </c>
      <c r="L436" s="31">
        <f ca="1">VLOOKUP($G436,OFFSET(mission_ACH!$A$2,0,0,COUNTA($A:$A),MATCH(L$2,mission_ACH!$2:$2,0)-MATCH($G$2,mission_ACH!$2:$2,0)+1),MATCH(L$2,mission_ACH!$2:$2,0)-MATCH($G$2,mission_ACH!$2:$2,0)+1,FALSE)</f>
        <v>0</v>
      </c>
      <c r="M436" s="27">
        <v>40</v>
      </c>
      <c r="N436" s="2" t="s">
        <v>352</v>
      </c>
      <c r="O436" s="2" t="s">
        <v>352</v>
      </c>
    </row>
    <row r="437" spans="1:15" ht="21" customHeight="1" x14ac:dyDescent="0.15">
      <c r="A437" s="27">
        <f t="shared" si="166"/>
        <v>30077</v>
      </c>
      <c r="B437" s="26" t="str">
        <f t="shared" ref="B437:B484" ca="1" si="167">F437</f>
        <v>ユニットを 1025 種類手に入れよう！</v>
      </c>
      <c r="C437" s="27" t="s">
        <v>623</v>
      </c>
      <c r="D437" s="31" t="str">
        <f ca="1">VLOOKUP($C437,OFFSET(mission_unlock_criteria!$A$2,0,0,COUNTA(mission_unlock_criteria!$A:$A),MATCH(D$2,mission_unlock_criteria!$2:$2,0)-MATCH($C$2,mission_unlock_criteria!$2:$2,0)+1),MATCH(D$2,mission_unlock_criteria!$2:$2,0)-MATCH($C$2,mission_unlock_criteria!$2:$2,0)+1,FALSE)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1000 に到達</v>
      </c>
      <c r="E437" s="2" t="s">
        <v>2387</v>
      </c>
      <c r="F437" s="31" t="str">
        <f ca="1">VLOOKUP($E437,OFFSET(mission_ACH_criteria!$A$1,0,0,COUNTA(mission_ACH_criteria!$A:$A),MATCH(F$2,mission_ACH_criteria!$1:$1,0)-MATCH($E$2,mission_ACH_criteria!$1:$1,0)+1),MATCH(F$2,mission_ACH_criteria!$1:$1,0)-MATCH($E$2,mission_ACH_criteria!$1:$1,0)+1,FALSE)</f>
        <v>ユニットを 1025 種類手に入れよう！</v>
      </c>
      <c r="G437" s="27" t="s">
        <v>2448</v>
      </c>
      <c r="H437" s="31" t="str">
        <f t="shared" ca="1" si="165"/>
        <v>ギガ癒しの果実 x 2</v>
      </c>
      <c r="I437" s="31" t="str">
        <f ca="1">VLOOKUP($G437,OFFSET(mission_ACH!$A$2,0,0,COUNTA($A:$A),MATCH(I$2,mission_ACH!$2:$2,0)-MATCH($G$2,mission_ACH!$2:$2,0)+1),MATCH(I$2,mission_ACH!$2:$2,0)-MATCH($G$2,mission_ACH!$2:$2,0)+1,FALSE)</f>
        <v>unit</v>
      </c>
      <c r="J437" s="31">
        <f ca="1">VLOOKUP($G437,OFFSET(mission_ACH!$A$2,0,0,COUNTA($A:$A),MATCH(J$2,mission_ACH!$2:$2,0)-MATCH($G$2,mission_ACH!$2:$2,0)+1),MATCH(J$2,mission_ACH!$2:$2,0)-MATCH($G$2,mission_ACH!$2:$2,0)+1,FALSE)</f>
        <v>613</v>
      </c>
      <c r="K437" s="31" t="str">
        <f ca="1">IF(OR(I437="unit",I437="item"),VLOOKUP($G437,OFFSET(mission_ACH!$A$2,0,0,COUNTA($A:$A),MATCH(K$2,mission_ACH!$2:$2,0)-MATCH($G$2,mission_ACH!$2:$2,0)+1),MATCH(K$2,mission_ACH!$2:$2,0)-MATCH($G$2,mission_ACH!$2:$2,0)+1,FALSE),"")</f>
        <v>ギガ癒しの果実</v>
      </c>
      <c r="L437" s="31">
        <f ca="1">VLOOKUP($G437,OFFSET(mission_ACH!$A$2,0,0,COUNTA($A:$A),MATCH(L$2,mission_ACH!$2:$2,0)-MATCH($G$2,mission_ACH!$2:$2,0)+1),MATCH(L$2,mission_ACH!$2:$2,0)-MATCH($G$2,mission_ACH!$2:$2,0)+1,FALSE)</f>
        <v>2</v>
      </c>
      <c r="M437" s="27">
        <v>40</v>
      </c>
      <c r="N437" s="2" t="s">
        <v>352</v>
      </c>
      <c r="O437" s="2" t="s">
        <v>352</v>
      </c>
    </row>
    <row r="438" spans="1:15" ht="21" customHeight="1" x14ac:dyDescent="0.15">
      <c r="A438" s="27">
        <f t="shared" si="166"/>
        <v>30078</v>
      </c>
      <c r="B438" s="26" t="str">
        <f t="shared" ca="1" si="167"/>
        <v>ユニットを 1050 種類手に入れよう！</v>
      </c>
      <c r="C438" s="27" t="s">
        <v>2347</v>
      </c>
      <c r="D438" s="31" t="str">
        <f ca="1">VLOOKUP($C438,OFFSET(mission_unlock_criteria!$A$2,0,0,COUNTA(mission_unlock_criteria!$A:$A),MATCH(D$2,mission_unlock_criteria!$2:$2,0)-MATCH($C$2,mission_unlock_criteria!$2:$2,0)+1),MATCH(D$2,mission_unlock_criteria!$2:$2,0)-MATCH($C$2,mission_unlock_criteria!$2:$2,0)+1,FALSE)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1025 に到達</v>
      </c>
      <c r="E438" s="2" t="s">
        <v>2388</v>
      </c>
      <c r="F438" s="31" t="str">
        <f ca="1">VLOOKUP($E438,OFFSET(mission_ACH_criteria!$A$1,0,0,COUNTA(mission_ACH_criteria!$A:$A),MATCH(F$2,mission_ACH_criteria!$1:$1,0)-MATCH($E$2,mission_ACH_criteria!$1:$1,0)+1),MATCH(F$2,mission_ACH_criteria!$1:$1,0)-MATCH($E$2,mission_ACH_criteria!$1:$1,0)+1,FALSE)</f>
        <v>ユニットを 1050 種類手に入れよう！</v>
      </c>
      <c r="G438" s="27" t="s">
        <v>2468</v>
      </c>
      <c r="H438" s="31" t="str">
        <f t="shared" ca="1" si="165"/>
        <v>ビットキー x 2</v>
      </c>
      <c r="I438" s="31" t="str">
        <f ca="1">VLOOKUP($G438,OFFSET(mission_ACH!$A$2,0,0,COUNTA($A:$A),MATCH(I$2,mission_ACH!$2:$2,0)-MATCH($G$2,mission_ACH!$2:$2,0)+1),MATCH(I$2,mission_ACH!$2:$2,0)-MATCH($G$2,mission_ACH!$2:$2,0)+1,FALSE)</f>
        <v>item</v>
      </c>
      <c r="J438" s="31">
        <f ca="1">VLOOKUP($G438,OFFSET(mission_ACH!$A$2,0,0,COUNTA($A:$A),MATCH(J$2,mission_ACH!$2:$2,0)-MATCH($G$2,mission_ACH!$2:$2,0)+1),MATCH(J$2,mission_ACH!$2:$2,0)-MATCH($G$2,mission_ACH!$2:$2,0)+1,FALSE)</f>
        <v>3</v>
      </c>
      <c r="K438" s="31" t="str">
        <f ca="1">IF(OR(I438="unit",I438="item"),VLOOKUP($G438,OFFSET(mission_ACH!$A$2,0,0,COUNTA($A:$A),MATCH(K$2,mission_ACH!$2:$2,0)-MATCH($G$2,mission_ACH!$2:$2,0)+1),MATCH(K$2,mission_ACH!$2:$2,0)-MATCH($G$2,mission_ACH!$2:$2,0)+1,FALSE),"")</f>
        <v>ビットキー</v>
      </c>
      <c r="L438" s="31">
        <f ca="1">VLOOKUP($G438,OFFSET(mission_ACH!$A$2,0,0,COUNTA($A:$A),MATCH(L$2,mission_ACH!$2:$2,0)-MATCH($G$2,mission_ACH!$2:$2,0)+1),MATCH(L$2,mission_ACH!$2:$2,0)-MATCH($G$2,mission_ACH!$2:$2,0)+1,FALSE)</f>
        <v>2</v>
      </c>
      <c r="M438" s="27">
        <v>40</v>
      </c>
      <c r="N438" s="2" t="s">
        <v>352</v>
      </c>
      <c r="O438" s="2" t="s">
        <v>352</v>
      </c>
    </row>
    <row r="439" spans="1:15" ht="21" customHeight="1" x14ac:dyDescent="0.15">
      <c r="A439" s="27">
        <f t="shared" si="166"/>
        <v>30079</v>
      </c>
      <c r="B439" s="26" t="str">
        <f t="shared" ca="1" si="167"/>
        <v>ユニットを 1075 種類手に入れよう！</v>
      </c>
      <c r="C439" s="27" t="s">
        <v>2348</v>
      </c>
      <c r="D439" s="31" t="str">
        <f ca="1">VLOOKUP($C439,OFFSET(mission_unlock_criteria!$A$2,0,0,COUNTA(mission_unlock_criteria!$A:$A),MATCH(D$2,mission_unlock_criteria!$2:$2,0)-MATCH($C$2,mission_unlock_criteria!$2:$2,0)+1),MATCH(D$2,mission_unlock_criteria!$2:$2,0)-MATCH($C$2,mission_unlock_criteria!$2:$2,0)+1,FALSE)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1050 に到達</v>
      </c>
      <c r="E439" s="2" t="s">
        <v>2389</v>
      </c>
      <c r="F439" s="31" t="str">
        <f ca="1">VLOOKUP($E439,OFFSET(mission_ACH_criteria!$A$1,0,0,COUNTA(mission_ACH_criteria!$A:$A),MATCH(F$2,mission_ACH_criteria!$1:$1,0)-MATCH($E$2,mission_ACH_criteria!$1:$1,0)+1),MATCH(F$2,mission_ACH_criteria!$1:$1,0)-MATCH($E$2,mission_ACH_criteria!$1:$1,0)+1,FALSE)</f>
        <v>ユニットを 1075 種類手に入れよう！</v>
      </c>
      <c r="G439" s="27" t="s">
        <v>2452</v>
      </c>
      <c r="H439" s="31" t="str">
        <f t="shared" ca="1" si="165"/>
        <v>ギガ秘術の果実 x 2</v>
      </c>
      <c r="I439" s="31" t="str">
        <f ca="1">VLOOKUP($G439,OFFSET(mission_ACH!$A$2,0,0,COUNTA($A:$A),MATCH(I$2,mission_ACH!$2:$2,0)-MATCH($G$2,mission_ACH!$2:$2,0)+1),MATCH(I$2,mission_ACH!$2:$2,0)-MATCH($G$2,mission_ACH!$2:$2,0)+1,FALSE)</f>
        <v>unit</v>
      </c>
      <c r="J439" s="31">
        <f ca="1">VLOOKUP($G439,OFFSET(mission_ACH!$A$2,0,0,COUNTA($A:$A),MATCH(J$2,mission_ACH!$2:$2,0)-MATCH($G$2,mission_ACH!$2:$2,0)+1),MATCH(J$2,mission_ACH!$2:$2,0)-MATCH($G$2,mission_ACH!$2:$2,0)+1,FALSE)</f>
        <v>614</v>
      </c>
      <c r="K439" s="31" t="str">
        <f ca="1">IF(OR(I439="unit",I439="item"),VLOOKUP($G439,OFFSET(mission_ACH!$A$2,0,0,COUNTA($A:$A),MATCH(K$2,mission_ACH!$2:$2,0)-MATCH($G$2,mission_ACH!$2:$2,0)+1),MATCH(K$2,mission_ACH!$2:$2,0)-MATCH($G$2,mission_ACH!$2:$2,0)+1,FALSE),"")</f>
        <v>ギガ秘術の果実</v>
      </c>
      <c r="L439" s="31">
        <f ca="1">VLOOKUP($G439,OFFSET(mission_ACH!$A$2,0,0,COUNTA($A:$A),MATCH(L$2,mission_ACH!$2:$2,0)-MATCH($G$2,mission_ACH!$2:$2,0)+1),MATCH(L$2,mission_ACH!$2:$2,0)-MATCH($G$2,mission_ACH!$2:$2,0)+1,FALSE)</f>
        <v>2</v>
      </c>
      <c r="M439" s="27">
        <v>40</v>
      </c>
      <c r="N439" s="2" t="s">
        <v>352</v>
      </c>
      <c r="O439" s="2" t="s">
        <v>352</v>
      </c>
    </row>
    <row r="440" spans="1:15" ht="21" customHeight="1" x14ac:dyDescent="0.15">
      <c r="A440" s="27">
        <f t="shared" si="166"/>
        <v>30080</v>
      </c>
      <c r="B440" s="26" t="str">
        <f t="shared" ca="1" si="167"/>
        <v>ユニットを 1100 種類手に入れよう！</v>
      </c>
      <c r="C440" s="27" t="s">
        <v>2349</v>
      </c>
      <c r="D440" s="31" t="str">
        <f ca="1">VLOOKUP($C440,OFFSET(mission_unlock_criteria!$A$2,0,0,COUNTA(mission_unlock_criteria!$A:$A),MATCH(D$2,mission_unlock_criteria!$2:$2,0)-MATCH($C$2,mission_unlock_criteria!$2:$2,0)+1),MATCH(D$2,mission_unlock_criteria!$2:$2,0)-MATCH($C$2,mission_unlock_criteria!$2:$2,0)+1,FALSE)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1075 に到達</v>
      </c>
      <c r="E440" s="2" t="s">
        <v>2390</v>
      </c>
      <c r="F440" s="31" t="str">
        <f ca="1">VLOOKUP($E440,OFFSET(mission_ACH_criteria!$A$1,0,0,COUNTA(mission_ACH_criteria!$A:$A),MATCH(F$2,mission_ACH_criteria!$1:$1,0)-MATCH($E$2,mission_ACH_criteria!$1:$1,0)+1),MATCH(F$2,mission_ACH_criteria!$1:$1,0)-MATCH($E$2,mission_ACH_criteria!$1:$1,0)+1,FALSE)</f>
        <v>ユニットを 1100 種類手に入れよう！</v>
      </c>
      <c r="G440" s="27" t="s">
        <v>107</v>
      </c>
      <c r="H440" s="31" t="str">
        <f t="shared" ca="1" si="165"/>
        <v>ポリゴン x 5</v>
      </c>
      <c r="I440" s="31" t="str">
        <f ca="1">VLOOKUP($G440,OFFSET(mission_ACH!$A$2,0,0,COUNTA($A:$A),MATCH(I$2,mission_ACH!$2:$2,0)-MATCH($G$2,mission_ACH!$2:$2,0)+1),MATCH(I$2,mission_ACH!$2:$2,0)-MATCH($G$2,mission_ACH!$2:$2,0)+1,FALSE)</f>
        <v>polygon</v>
      </c>
      <c r="J440" s="31">
        <f ca="1">VLOOKUP($G440,OFFSET(mission_ACH!$A$2,0,0,COUNTA($A:$A),MATCH(J$2,mission_ACH!$2:$2,0)-MATCH($G$2,mission_ACH!$2:$2,0)+1),MATCH(J$2,mission_ACH!$2:$2,0)-MATCH($G$2,mission_ACH!$2:$2,0)+1,FALSE)</f>
        <v>5</v>
      </c>
      <c r="K440" s="31" t="str">
        <f ca="1">IF(OR(I440="unit",I440="item"),VLOOKUP($G440,OFFSET(mission_ACH!$A$2,0,0,COUNTA($A:$A),MATCH(K$2,mission_ACH!$2:$2,0)-MATCH($G$2,mission_ACH!$2:$2,0)+1),MATCH(K$2,mission_ACH!$2:$2,0)-MATCH($G$2,mission_ACH!$2:$2,0)+1,FALSE),"")</f>
        <v/>
      </c>
      <c r="L440" s="31">
        <f ca="1">VLOOKUP($G440,OFFSET(mission_ACH!$A$2,0,0,COUNTA($A:$A),MATCH(L$2,mission_ACH!$2:$2,0)-MATCH($G$2,mission_ACH!$2:$2,0)+1),MATCH(L$2,mission_ACH!$2:$2,0)-MATCH($G$2,mission_ACH!$2:$2,0)+1,FALSE)</f>
        <v>0</v>
      </c>
      <c r="M440" s="27">
        <v>40</v>
      </c>
      <c r="N440" s="2" t="s">
        <v>352</v>
      </c>
      <c r="O440" s="2" t="s">
        <v>352</v>
      </c>
    </row>
    <row r="441" spans="1:15" ht="21" customHeight="1" x14ac:dyDescent="0.15">
      <c r="A441" s="27">
        <f t="shared" si="166"/>
        <v>30081</v>
      </c>
      <c r="B441" s="26" t="str">
        <f t="shared" ca="1" si="167"/>
        <v>ユニットを 1125 種類手に入れよう！</v>
      </c>
      <c r="C441" s="27" t="s">
        <v>2350</v>
      </c>
      <c r="D441" s="31" t="str">
        <f ca="1">VLOOKUP($C441,OFFSET(mission_unlock_criteria!$A$2,0,0,COUNTA(mission_unlock_criteria!$A:$A),MATCH(D$2,mission_unlock_criteria!$2:$2,0)-MATCH($C$2,mission_unlock_criteria!$2:$2,0)+1),MATCH(D$2,mission_unlock_criteria!$2:$2,0)-MATCH($C$2,mission_unlock_criteria!$2:$2,0)+1,FALSE)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1100 に到達</v>
      </c>
      <c r="E441" s="2" t="s">
        <v>2391</v>
      </c>
      <c r="F441" s="31" t="str">
        <f ca="1">VLOOKUP($E441,OFFSET(mission_ACH_criteria!$A$1,0,0,COUNTA(mission_ACH_criteria!$A:$A),MATCH(F$2,mission_ACH_criteria!$1:$1,0)-MATCH($E$2,mission_ACH_criteria!$1:$1,0)+1),MATCH(F$2,mission_ACH_criteria!$1:$1,0)-MATCH($E$2,mission_ACH_criteria!$1:$1,0)+1,FALSE)</f>
        <v>ユニットを 1125 種類手に入れよう！</v>
      </c>
      <c r="G441" s="27" t="s">
        <v>2439</v>
      </c>
      <c r="H441" s="31" t="str">
        <f t="shared" ca="1" si="165"/>
        <v>ギガ攻めの果実 x 2</v>
      </c>
      <c r="I441" s="31" t="str">
        <f ca="1">VLOOKUP($G441,OFFSET(mission_ACH!$A$2,0,0,COUNTA($A:$A),MATCH(I$2,mission_ACH!$2:$2,0)-MATCH($G$2,mission_ACH!$2:$2,0)+1),MATCH(I$2,mission_ACH!$2:$2,0)-MATCH($G$2,mission_ACH!$2:$2,0)+1,FALSE)</f>
        <v>unit</v>
      </c>
      <c r="J441" s="31">
        <f ca="1">VLOOKUP($G441,OFFSET(mission_ACH!$A$2,0,0,COUNTA($A:$A),MATCH(J$2,mission_ACH!$2:$2,0)-MATCH($G$2,mission_ACH!$2:$2,0)+1),MATCH(J$2,mission_ACH!$2:$2,0)-MATCH($G$2,mission_ACH!$2:$2,0)+1,FALSE)</f>
        <v>611</v>
      </c>
      <c r="K441" s="31" t="str">
        <f ca="1">IF(OR(I441="unit",I441="item"),VLOOKUP($G441,OFFSET(mission_ACH!$A$2,0,0,COUNTA($A:$A),MATCH(K$2,mission_ACH!$2:$2,0)-MATCH($G$2,mission_ACH!$2:$2,0)+1),MATCH(K$2,mission_ACH!$2:$2,0)-MATCH($G$2,mission_ACH!$2:$2,0)+1,FALSE),"")</f>
        <v>ギガ攻めの果実</v>
      </c>
      <c r="L441" s="31">
        <f ca="1">VLOOKUP($G441,OFFSET(mission_ACH!$A$2,0,0,COUNTA($A:$A),MATCH(L$2,mission_ACH!$2:$2,0)-MATCH($G$2,mission_ACH!$2:$2,0)+1),MATCH(L$2,mission_ACH!$2:$2,0)-MATCH($G$2,mission_ACH!$2:$2,0)+1,FALSE)</f>
        <v>2</v>
      </c>
      <c r="M441" s="27">
        <v>40</v>
      </c>
      <c r="N441" s="2" t="s">
        <v>352</v>
      </c>
      <c r="O441" s="2" t="s">
        <v>352</v>
      </c>
    </row>
    <row r="442" spans="1:15" ht="21" customHeight="1" x14ac:dyDescent="0.15">
      <c r="A442" s="27">
        <f t="shared" si="166"/>
        <v>30082</v>
      </c>
      <c r="B442" s="26" t="str">
        <f t="shared" ca="1" si="167"/>
        <v>ユニットを 1150 種類手に入れよう！</v>
      </c>
      <c r="C442" s="27" t="s">
        <v>2351</v>
      </c>
      <c r="D442" s="31" t="str">
        <f ca="1">VLOOKUP($C442,OFFSET(mission_unlock_criteria!$A$2,0,0,COUNTA(mission_unlock_criteria!$A:$A),MATCH(D$2,mission_unlock_criteria!$2:$2,0)-MATCH($C$2,mission_unlock_criteria!$2:$2,0)+1),MATCH(D$2,mission_unlock_criteria!$2:$2,0)-MATCH($C$2,mission_unlock_criteria!$2:$2,0)+1,FALSE)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1125 に到達</v>
      </c>
      <c r="E442" s="2" t="s">
        <v>2392</v>
      </c>
      <c r="F442" s="31" t="str">
        <f ca="1">VLOOKUP($E442,OFFSET(mission_ACH_criteria!$A$1,0,0,COUNTA(mission_ACH_criteria!$A:$A),MATCH(F$2,mission_ACH_criteria!$1:$1,0)-MATCH($E$2,mission_ACH_criteria!$1:$1,0)+1),MATCH(F$2,mission_ACH_criteria!$1:$1,0)-MATCH($E$2,mission_ACH_criteria!$1:$1,0)+1,FALSE)</f>
        <v>ユニットを 1150 種類手に入れよう！</v>
      </c>
      <c r="G442" s="27" t="s">
        <v>2469</v>
      </c>
      <c r="H442" s="31" t="str">
        <f t="shared" ca="1" si="165"/>
        <v>限界突破キー x 2</v>
      </c>
      <c r="I442" s="31" t="str">
        <f ca="1">VLOOKUP($G442,OFFSET(mission_ACH!$A$2,0,0,COUNTA($A:$A),MATCH(I$2,mission_ACH!$2:$2,0)-MATCH($G$2,mission_ACH!$2:$2,0)+1),MATCH(I$2,mission_ACH!$2:$2,0)-MATCH($G$2,mission_ACH!$2:$2,0)+1,FALSE)</f>
        <v>item</v>
      </c>
      <c r="J442" s="31">
        <f ca="1">VLOOKUP($G442,OFFSET(mission_ACH!$A$2,0,0,COUNTA($A:$A),MATCH(J$2,mission_ACH!$2:$2,0)-MATCH($G$2,mission_ACH!$2:$2,0)+1),MATCH(J$2,mission_ACH!$2:$2,0)-MATCH($G$2,mission_ACH!$2:$2,0)+1,FALSE)</f>
        <v>4</v>
      </c>
      <c r="K442" s="31" t="str">
        <f ca="1">IF(OR(I442="unit",I442="item"),VLOOKUP($G442,OFFSET(mission_ACH!$A$2,0,0,COUNTA($A:$A),MATCH(K$2,mission_ACH!$2:$2,0)-MATCH($G$2,mission_ACH!$2:$2,0)+1),MATCH(K$2,mission_ACH!$2:$2,0)-MATCH($G$2,mission_ACH!$2:$2,0)+1,FALSE),"")</f>
        <v>限界突破キー</v>
      </c>
      <c r="L442" s="31">
        <f ca="1">VLOOKUP($G442,OFFSET(mission_ACH!$A$2,0,0,COUNTA($A:$A),MATCH(L$2,mission_ACH!$2:$2,0)-MATCH($G$2,mission_ACH!$2:$2,0)+1),MATCH(L$2,mission_ACH!$2:$2,0)-MATCH($G$2,mission_ACH!$2:$2,0)+1,FALSE)</f>
        <v>2</v>
      </c>
      <c r="M442" s="27">
        <v>40</v>
      </c>
      <c r="N442" s="2" t="s">
        <v>352</v>
      </c>
      <c r="O442" s="2" t="s">
        <v>352</v>
      </c>
    </row>
    <row r="443" spans="1:15" ht="21" customHeight="1" x14ac:dyDescent="0.15">
      <c r="A443" s="27">
        <f t="shared" si="166"/>
        <v>30083</v>
      </c>
      <c r="B443" s="26" t="str">
        <f t="shared" ca="1" si="167"/>
        <v>ユニットを 1175 種類手に入れよう！</v>
      </c>
      <c r="C443" s="27" t="s">
        <v>2352</v>
      </c>
      <c r="D443" s="31" t="str">
        <f ca="1">VLOOKUP($C443,OFFSET(mission_unlock_criteria!$A$2,0,0,COUNTA(mission_unlock_criteria!$A:$A),MATCH(D$2,mission_unlock_criteria!$2:$2,0)-MATCH($C$2,mission_unlock_criteria!$2:$2,0)+1),MATCH(D$2,mission_unlock_criteria!$2:$2,0)-MATCH($C$2,mission_unlock_criteria!$2:$2,0)+1,FALSE)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1150 に到達</v>
      </c>
      <c r="E443" s="2" t="s">
        <v>2393</v>
      </c>
      <c r="F443" s="31" t="str">
        <f ca="1">VLOOKUP($E443,OFFSET(mission_ACH_criteria!$A$1,0,0,COUNTA(mission_ACH_criteria!$A:$A),MATCH(F$2,mission_ACH_criteria!$1:$1,0)-MATCH($E$2,mission_ACH_criteria!$1:$1,0)+1),MATCH(F$2,mission_ACH_criteria!$1:$1,0)-MATCH($E$2,mission_ACH_criteria!$1:$1,0)+1,FALSE)</f>
        <v>ユニットを 1175 種類手に入れよう！</v>
      </c>
      <c r="G443" s="27" t="s">
        <v>2444</v>
      </c>
      <c r="H443" s="31" t="str">
        <f t="shared" ca="1" si="165"/>
        <v>ギガ生命の果実 x 2</v>
      </c>
      <c r="I443" s="31" t="str">
        <f ca="1">VLOOKUP($G443,OFFSET(mission_ACH!$A$2,0,0,COUNTA($A:$A),MATCH(I$2,mission_ACH!$2:$2,0)-MATCH($G$2,mission_ACH!$2:$2,0)+1),MATCH(I$2,mission_ACH!$2:$2,0)-MATCH($G$2,mission_ACH!$2:$2,0)+1,FALSE)</f>
        <v>unit</v>
      </c>
      <c r="J443" s="31">
        <f ca="1">VLOOKUP($G443,OFFSET(mission_ACH!$A$2,0,0,COUNTA($A:$A),MATCH(J$2,mission_ACH!$2:$2,0)-MATCH($G$2,mission_ACH!$2:$2,0)+1),MATCH(J$2,mission_ACH!$2:$2,0)-MATCH($G$2,mission_ACH!$2:$2,0)+1,FALSE)</f>
        <v>612</v>
      </c>
      <c r="K443" s="31" t="str">
        <f ca="1">IF(OR(I443="unit",I443="item"),VLOOKUP($G443,OFFSET(mission_ACH!$A$2,0,0,COUNTA($A:$A),MATCH(K$2,mission_ACH!$2:$2,0)-MATCH($G$2,mission_ACH!$2:$2,0)+1),MATCH(K$2,mission_ACH!$2:$2,0)-MATCH($G$2,mission_ACH!$2:$2,0)+1,FALSE),"")</f>
        <v>ギガ生命の果実</v>
      </c>
      <c r="L443" s="31">
        <f ca="1">VLOOKUP($G443,OFFSET(mission_ACH!$A$2,0,0,COUNTA($A:$A),MATCH(L$2,mission_ACH!$2:$2,0)-MATCH($G$2,mission_ACH!$2:$2,0)+1),MATCH(L$2,mission_ACH!$2:$2,0)-MATCH($G$2,mission_ACH!$2:$2,0)+1,FALSE)</f>
        <v>2</v>
      </c>
      <c r="M443" s="27">
        <v>40</v>
      </c>
      <c r="N443" s="2" t="s">
        <v>352</v>
      </c>
      <c r="O443" s="2" t="s">
        <v>352</v>
      </c>
    </row>
    <row r="444" spans="1:15" ht="21" customHeight="1" x14ac:dyDescent="0.15">
      <c r="A444" s="27">
        <f t="shared" si="166"/>
        <v>30084</v>
      </c>
      <c r="B444" s="26" t="str">
        <f t="shared" ca="1" si="167"/>
        <v>ユニットを 1200 種類手に入れよう！</v>
      </c>
      <c r="C444" s="27" t="s">
        <v>2353</v>
      </c>
      <c r="D444" s="31" t="str">
        <f ca="1">VLOOKUP($C444,OFFSET(mission_unlock_criteria!$A$2,0,0,COUNTA(mission_unlock_criteria!$A:$A),MATCH(D$2,mission_unlock_criteria!$2:$2,0)-MATCH($C$2,mission_unlock_criteria!$2:$2,0)+1),MATCH(D$2,mission_unlock_criteria!$2:$2,0)-MATCH($C$2,mission_unlock_criteria!$2:$2,0)+1,FALSE)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1175 に到達</v>
      </c>
      <c r="E444" s="2" t="s">
        <v>2394</v>
      </c>
      <c r="F444" s="31" t="str">
        <f ca="1">VLOOKUP($E444,OFFSET(mission_ACH_criteria!$A$1,0,0,COUNTA(mission_ACH_criteria!$A:$A),MATCH(F$2,mission_ACH_criteria!$1:$1,0)-MATCH($E$2,mission_ACH_criteria!$1:$1,0)+1),MATCH(F$2,mission_ACH_criteria!$1:$1,0)-MATCH($E$2,mission_ACH_criteria!$1:$1,0)+1,FALSE)</f>
        <v>ユニットを 1200 種類手に入れよう！</v>
      </c>
      <c r="G444" s="27" t="s">
        <v>107</v>
      </c>
      <c r="H444" s="31" t="str">
        <f t="shared" ca="1" si="165"/>
        <v>ポリゴン x 5</v>
      </c>
      <c r="I444" s="31" t="str">
        <f ca="1">VLOOKUP($G444,OFFSET(mission_ACH!$A$2,0,0,COUNTA($A:$A),MATCH(I$2,mission_ACH!$2:$2,0)-MATCH($G$2,mission_ACH!$2:$2,0)+1),MATCH(I$2,mission_ACH!$2:$2,0)-MATCH($G$2,mission_ACH!$2:$2,0)+1,FALSE)</f>
        <v>polygon</v>
      </c>
      <c r="J444" s="31">
        <f ca="1">VLOOKUP($G444,OFFSET(mission_ACH!$A$2,0,0,COUNTA($A:$A),MATCH(J$2,mission_ACH!$2:$2,0)-MATCH($G$2,mission_ACH!$2:$2,0)+1),MATCH(J$2,mission_ACH!$2:$2,0)-MATCH($G$2,mission_ACH!$2:$2,0)+1,FALSE)</f>
        <v>5</v>
      </c>
      <c r="K444" s="31" t="str">
        <f ca="1">IF(OR(I444="unit",I444="item"),VLOOKUP($G444,OFFSET(mission_ACH!$A$2,0,0,COUNTA($A:$A),MATCH(K$2,mission_ACH!$2:$2,0)-MATCH($G$2,mission_ACH!$2:$2,0)+1),MATCH(K$2,mission_ACH!$2:$2,0)-MATCH($G$2,mission_ACH!$2:$2,0)+1,FALSE),"")</f>
        <v/>
      </c>
      <c r="L444" s="31">
        <f ca="1">VLOOKUP($G444,OFFSET(mission_ACH!$A$2,0,0,COUNTA($A:$A),MATCH(L$2,mission_ACH!$2:$2,0)-MATCH($G$2,mission_ACH!$2:$2,0)+1),MATCH(L$2,mission_ACH!$2:$2,0)-MATCH($G$2,mission_ACH!$2:$2,0)+1,FALSE)</f>
        <v>0</v>
      </c>
      <c r="M444" s="27">
        <v>40</v>
      </c>
      <c r="N444" s="2" t="s">
        <v>352</v>
      </c>
      <c r="O444" s="2" t="s">
        <v>352</v>
      </c>
    </row>
    <row r="445" spans="1:15" ht="21" customHeight="1" x14ac:dyDescent="0.15">
      <c r="A445" s="27">
        <f t="shared" si="166"/>
        <v>30085</v>
      </c>
      <c r="B445" s="26" t="str">
        <f t="shared" ca="1" si="167"/>
        <v>ユニットを 1225 種類手に入れよう！</v>
      </c>
      <c r="C445" s="27" t="s">
        <v>2354</v>
      </c>
      <c r="D445" s="31" t="str">
        <f ca="1">VLOOKUP($C445,OFFSET(mission_unlock_criteria!$A$2,0,0,COUNTA(mission_unlock_criteria!$A:$A),MATCH(D$2,mission_unlock_criteria!$2:$2,0)-MATCH($C$2,mission_unlock_criteria!$2:$2,0)+1),MATCH(D$2,mission_unlock_criteria!$2:$2,0)-MATCH($C$2,mission_unlock_criteria!$2:$2,0)+1,FALSE)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1200 に到達</v>
      </c>
      <c r="E445" s="2" t="s">
        <v>2395</v>
      </c>
      <c r="F445" s="31" t="str">
        <f ca="1">VLOOKUP($E445,OFFSET(mission_ACH_criteria!$A$1,0,0,COUNTA(mission_ACH_criteria!$A:$A),MATCH(F$2,mission_ACH_criteria!$1:$1,0)-MATCH($E$2,mission_ACH_criteria!$1:$1,0)+1),MATCH(F$2,mission_ACH_criteria!$1:$1,0)-MATCH($E$2,mission_ACH_criteria!$1:$1,0)+1,FALSE)</f>
        <v>ユニットを 1225 種類手に入れよう！</v>
      </c>
      <c r="G445" s="27" t="s">
        <v>2448</v>
      </c>
      <c r="H445" s="31" t="str">
        <f t="shared" ca="1" si="165"/>
        <v>ギガ癒しの果実 x 2</v>
      </c>
      <c r="I445" s="31" t="str">
        <f ca="1">VLOOKUP($G445,OFFSET(mission_ACH!$A$2,0,0,COUNTA($A:$A),MATCH(I$2,mission_ACH!$2:$2,0)-MATCH($G$2,mission_ACH!$2:$2,0)+1),MATCH(I$2,mission_ACH!$2:$2,0)-MATCH($G$2,mission_ACH!$2:$2,0)+1,FALSE)</f>
        <v>unit</v>
      </c>
      <c r="J445" s="31">
        <f ca="1">VLOOKUP($G445,OFFSET(mission_ACH!$A$2,0,0,COUNTA($A:$A),MATCH(J$2,mission_ACH!$2:$2,0)-MATCH($G$2,mission_ACH!$2:$2,0)+1),MATCH(J$2,mission_ACH!$2:$2,0)-MATCH($G$2,mission_ACH!$2:$2,0)+1,FALSE)</f>
        <v>613</v>
      </c>
      <c r="K445" s="31" t="str">
        <f ca="1">IF(OR(I445="unit",I445="item"),VLOOKUP($G445,OFFSET(mission_ACH!$A$2,0,0,COUNTA($A:$A),MATCH(K$2,mission_ACH!$2:$2,0)-MATCH($G$2,mission_ACH!$2:$2,0)+1),MATCH(K$2,mission_ACH!$2:$2,0)-MATCH($G$2,mission_ACH!$2:$2,0)+1,FALSE),"")</f>
        <v>ギガ癒しの果実</v>
      </c>
      <c r="L445" s="31">
        <f ca="1">VLOOKUP($G445,OFFSET(mission_ACH!$A$2,0,0,COUNTA($A:$A),MATCH(L$2,mission_ACH!$2:$2,0)-MATCH($G$2,mission_ACH!$2:$2,0)+1),MATCH(L$2,mission_ACH!$2:$2,0)-MATCH($G$2,mission_ACH!$2:$2,0)+1,FALSE)</f>
        <v>2</v>
      </c>
      <c r="M445" s="27">
        <v>40</v>
      </c>
      <c r="N445" s="2" t="s">
        <v>352</v>
      </c>
      <c r="O445" s="2" t="s">
        <v>352</v>
      </c>
    </row>
    <row r="446" spans="1:15" ht="21" customHeight="1" x14ac:dyDescent="0.15">
      <c r="A446" s="27">
        <f t="shared" si="166"/>
        <v>30086</v>
      </c>
      <c r="B446" s="26" t="str">
        <f t="shared" ca="1" si="167"/>
        <v>ユニットを 1250 種類手に入れよう！</v>
      </c>
      <c r="C446" s="27" t="s">
        <v>2355</v>
      </c>
      <c r="D446" s="31" t="str">
        <f ca="1">VLOOKUP($C446,OFFSET(mission_unlock_criteria!$A$2,0,0,COUNTA(mission_unlock_criteria!$A:$A),MATCH(D$2,mission_unlock_criteria!$2:$2,0)-MATCH($C$2,mission_unlock_criteria!$2:$2,0)+1),MATCH(D$2,mission_unlock_criteria!$2:$2,0)-MATCH($C$2,mission_unlock_criteria!$2:$2,0)+1,FALSE)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1225 に到達</v>
      </c>
      <c r="E446" s="2" t="s">
        <v>108</v>
      </c>
      <c r="F446" s="31" t="str">
        <f ca="1">VLOOKUP($E446,OFFSET(mission_ACH_criteria!$A$1,0,0,COUNTA(mission_ACH_criteria!$A:$A),MATCH(F$2,mission_ACH_criteria!$1:$1,0)-MATCH($E$2,mission_ACH_criteria!$1:$1,0)+1),MATCH(F$2,mission_ACH_criteria!$1:$1,0)-MATCH($E$2,mission_ACH_criteria!$1:$1,0)+1,FALSE)</f>
        <v>ユニットを 1250 種類手に入れよう！</v>
      </c>
      <c r="G446" s="27" t="s">
        <v>2465</v>
      </c>
      <c r="H446" s="31" t="str">
        <f t="shared" ca="1" si="165"/>
        <v>マスターキー x 2</v>
      </c>
      <c r="I446" s="31" t="str">
        <f ca="1">VLOOKUP($G446,OFFSET(mission_ACH!$A$2,0,0,COUNTA($A:$A),MATCH(I$2,mission_ACH!$2:$2,0)-MATCH($G$2,mission_ACH!$2:$2,0)+1),MATCH(I$2,mission_ACH!$2:$2,0)-MATCH($G$2,mission_ACH!$2:$2,0)+1,FALSE)</f>
        <v>item</v>
      </c>
      <c r="J446" s="31">
        <f ca="1">VLOOKUP($G446,OFFSET(mission_ACH!$A$2,0,0,COUNTA($A:$A),MATCH(J$2,mission_ACH!$2:$2,0)-MATCH($G$2,mission_ACH!$2:$2,0)+1),MATCH(J$2,mission_ACH!$2:$2,0)-MATCH($G$2,mission_ACH!$2:$2,0)+1,FALSE)</f>
        <v>1</v>
      </c>
      <c r="K446" s="31" t="str">
        <f ca="1">IF(OR(I446="unit",I446="item"),VLOOKUP($G446,OFFSET(mission_ACH!$A$2,0,0,COUNTA($A:$A),MATCH(K$2,mission_ACH!$2:$2,0)-MATCH($G$2,mission_ACH!$2:$2,0)+1),MATCH(K$2,mission_ACH!$2:$2,0)-MATCH($G$2,mission_ACH!$2:$2,0)+1,FALSE),"")</f>
        <v>マスターキー</v>
      </c>
      <c r="L446" s="31">
        <f ca="1">VLOOKUP($G446,OFFSET(mission_ACH!$A$2,0,0,COUNTA($A:$A),MATCH(L$2,mission_ACH!$2:$2,0)-MATCH($G$2,mission_ACH!$2:$2,0)+1),MATCH(L$2,mission_ACH!$2:$2,0)-MATCH($G$2,mission_ACH!$2:$2,0)+1,FALSE)</f>
        <v>2</v>
      </c>
      <c r="M446" s="27">
        <v>40</v>
      </c>
      <c r="N446" s="2" t="s">
        <v>352</v>
      </c>
      <c r="O446" s="2" t="s">
        <v>352</v>
      </c>
    </row>
    <row r="447" spans="1:15" ht="21" customHeight="1" x14ac:dyDescent="0.15">
      <c r="A447" s="27">
        <f t="shared" si="166"/>
        <v>30087</v>
      </c>
      <c r="B447" s="26" t="str">
        <f t="shared" ca="1" si="167"/>
        <v>ユニットを 1275 種類手に入れよう！</v>
      </c>
      <c r="C447" s="27" t="s">
        <v>2356</v>
      </c>
      <c r="D447" s="31" t="str">
        <f ca="1">VLOOKUP($C447,OFFSET(mission_unlock_criteria!$A$2,0,0,COUNTA(mission_unlock_criteria!$A:$A),MATCH(D$2,mission_unlock_criteria!$2:$2,0)-MATCH($C$2,mission_unlock_criteria!$2:$2,0)+1),MATCH(D$2,mission_unlock_criteria!$2:$2,0)-MATCH($C$2,mission_unlock_criteria!$2:$2,0)+1,FALSE)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1250 に到達</v>
      </c>
      <c r="E447" s="2" t="s">
        <v>2396</v>
      </c>
      <c r="F447" s="31" t="str">
        <f ca="1">VLOOKUP($E447,OFFSET(mission_ACH_criteria!$A$1,0,0,COUNTA(mission_ACH_criteria!$A:$A),MATCH(F$2,mission_ACH_criteria!$1:$1,0)-MATCH($E$2,mission_ACH_criteria!$1:$1,0)+1),MATCH(F$2,mission_ACH_criteria!$1:$1,0)-MATCH($E$2,mission_ACH_criteria!$1:$1,0)+1,FALSE)</f>
        <v>ユニットを 1275 種類手に入れよう！</v>
      </c>
      <c r="G447" s="27" t="s">
        <v>2452</v>
      </c>
      <c r="H447" s="31" t="str">
        <f t="shared" ca="1" si="165"/>
        <v>ギガ秘術の果実 x 2</v>
      </c>
      <c r="I447" s="31" t="str">
        <f ca="1">VLOOKUP($G447,OFFSET(mission_ACH!$A$2,0,0,COUNTA($A:$A),MATCH(I$2,mission_ACH!$2:$2,0)-MATCH($G$2,mission_ACH!$2:$2,0)+1),MATCH(I$2,mission_ACH!$2:$2,0)-MATCH($G$2,mission_ACH!$2:$2,0)+1,FALSE)</f>
        <v>unit</v>
      </c>
      <c r="J447" s="31">
        <f ca="1">VLOOKUP($G447,OFFSET(mission_ACH!$A$2,0,0,COUNTA($A:$A),MATCH(J$2,mission_ACH!$2:$2,0)-MATCH($G$2,mission_ACH!$2:$2,0)+1),MATCH(J$2,mission_ACH!$2:$2,0)-MATCH($G$2,mission_ACH!$2:$2,0)+1,FALSE)</f>
        <v>614</v>
      </c>
      <c r="K447" s="31" t="str">
        <f ca="1">IF(OR(I447="unit",I447="item"),VLOOKUP($G447,OFFSET(mission_ACH!$A$2,0,0,COUNTA($A:$A),MATCH(K$2,mission_ACH!$2:$2,0)-MATCH($G$2,mission_ACH!$2:$2,0)+1),MATCH(K$2,mission_ACH!$2:$2,0)-MATCH($G$2,mission_ACH!$2:$2,0)+1,FALSE),"")</f>
        <v>ギガ秘術の果実</v>
      </c>
      <c r="L447" s="31">
        <f ca="1">VLOOKUP($G447,OFFSET(mission_ACH!$A$2,0,0,COUNTA($A:$A),MATCH(L$2,mission_ACH!$2:$2,0)-MATCH($G$2,mission_ACH!$2:$2,0)+1),MATCH(L$2,mission_ACH!$2:$2,0)-MATCH($G$2,mission_ACH!$2:$2,0)+1,FALSE)</f>
        <v>2</v>
      </c>
      <c r="M447" s="27">
        <v>40</v>
      </c>
      <c r="N447" s="2" t="s">
        <v>352</v>
      </c>
      <c r="O447" s="2" t="s">
        <v>352</v>
      </c>
    </row>
    <row r="448" spans="1:15" ht="21" customHeight="1" x14ac:dyDescent="0.15">
      <c r="A448" s="27">
        <f t="shared" si="166"/>
        <v>30088</v>
      </c>
      <c r="B448" s="26" t="str">
        <f t="shared" ca="1" si="167"/>
        <v>ユニットを 1300 種類手に入れよう！</v>
      </c>
      <c r="C448" s="27" t="s">
        <v>2357</v>
      </c>
      <c r="D448" s="31" t="str">
        <f ca="1">VLOOKUP($C448,OFFSET(mission_unlock_criteria!$A$2,0,0,COUNTA(mission_unlock_criteria!$A:$A),MATCH(D$2,mission_unlock_criteria!$2:$2,0)-MATCH($C$2,mission_unlock_criteria!$2:$2,0)+1),MATCH(D$2,mission_unlock_criteria!$2:$2,0)-MATCH($C$2,mission_unlock_criteria!$2:$2,0)+1,FALSE)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1275 に到達</v>
      </c>
      <c r="E448" s="2" t="s">
        <v>2397</v>
      </c>
      <c r="F448" s="31" t="str">
        <f ca="1">VLOOKUP($E448,OFFSET(mission_ACH_criteria!$A$1,0,0,COUNTA(mission_ACH_criteria!$A:$A),MATCH(F$2,mission_ACH_criteria!$1:$1,0)-MATCH($E$2,mission_ACH_criteria!$1:$1,0)+1),MATCH(F$2,mission_ACH_criteria!$1:$1,0)-MATCH($E$2,mission_ACH_criteria!$1:$1,0)+1,FALSE)</f>
        <v>ユニットを 1300 種類手に入れよう！</v>
      </c>
      <c r="G448" s="27" t="s">
        <v>107</v>
      </c>
      <c r="H448" s="31" t="str">
        <f t="shared" ca="1" si="165"/>
        <v>ポリゴン x 5</v>
      </c>
      <c r="I448" s="31" t="str">
        <f ca="1">VLOOKUP($G448,OFFSET(mission_ACH!$A$2,0,0,COUNTA($A:$A),MATCH(I$2,mission_ACH!$2:$2,0)-MATCH($G$2,mission_ACH!$2:$2,0)+1),MATCH(I$2,mission_ACH!$2:$2,0)-MATCH($G$2,mission_ACH!$2:$2,0)+1,FALSE)</f>
        <v>polygon</v>
      </c>
      <c r="J448" s="31">
        <f ca="1">VLOOKUP($G448,OFFSET(mission_ACH!$A$2,0,0,COUNTA($A:$A),MATCH(J$2,mission_ACH!$2:$2,0)-MATCH($G$2,mission_ACH!$2:$2,0)+1),MATCH(J$2,mission_ACH!$2:$2,0)-MATCH($G$2,mission_ACH!$2:$2,0)+1,FALSE)</f>
        <v>5</v>
      </c>
      <c r="K448" s="31" t="str">
        <f ca="1">IF(OR(I448="unit",I448="item"),VLOOKUP($G448,OFFSET(mission_ACH!$A$2,0,0,COUNTA($A:$A),MATCH(K$2,mission_ACH!$2:$2,0)-MATCH($G$2,mission_ACH!$2:$2,0)+1),MATCH(K$2,mission_ACH!$2:$2,0)-MATCH($G$2,mission_ACH!$2:$2,0)+1,FALSE),"")</f>
        <v/>
      </c>
      <c r="L448" s="31">
        <f ca="1">VLOOKUP($G448,OFFSET(mission_ACH!$A$2,0,0,COUNTA($A:$A),MATCH(L$2,mission_ACH!$2:$2,0)-MATCH($G$2,mission_ACH!$2:$2,0)+1),MATCH(L$2,mission_ACH!$2:$2,0)-MATCH($G$2,mission_ACH!$2:$2,0)+1,FALSE)</f>
        <v>0</v>
      </c>
      <c r="M448" s="27">
        <v>40</v>
      </c>
      <c r="N448" s="2" t="s">
        <v>352</v>
      </c>
      <c r="O448" s="2" t="s">
        <v>352</v>
      </c>
    </row>
    <row r="449" spans="1:15" ht="21" customHeight="1" x14ac:dyDescent="0.15">
      <c r="A449" s="27">
        <f t="shared" si="166"/>
        <v>30089</v>
      </c>
      <c r="B449" s="26" t="str">
        <f t="shared" ca="1" si="167"/>
        <v>ユニットを 1325 種類手に入れよう！</v>
      </c>
      <c r="C449" s="27" t="s">
        <v>2358</v>
      </c>
      <c r="D449" s="31" t="str">
        <f ca="1">VLOOKUP($C449,OFFSET(mission_unlock_criteria!$A$2,0,0,COUNTA(mission_unlock_criteria!$A:$A),MATCH(D$2,mission_unlock_criteria!$2:$2,0)-MATCH($C$2,mission_unlock_criteria!$2:$2,0)+1),MATCH(D$2,mission_unlock_criteria!$2:$2,0)-MATCH($C$2,mission_unlock_criteria!$2:$2,0)+1,FALSE)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1300 に到達</v>
      </c>
      <c r="E449" s="2" t="s">
        <v>2398</v>
      </c>
      <c r="F449" s="31" t="str">
        <f ca="1">VLOOKUP($E449,OFFSET(mission_ACH_criteria!$A$1,0,0,COUNTA(mission_ACH_criteria!$A:$A),MATCH(F$2,mission_ACH_criteria!$1:$1,0)-MATCH($E$2,mission_ACH_criteria!$1:$1,0)+1),MATCH(F$2,mission_ACH_criteria!$1:$1,0)-MATCH($E$2,mission_ACH_criteria!$1:$1,0)+1,FALSE)</f>
        <v>ユニットを 1325 種類手に入れよう！</v>
      </c>
      <c r="G449" s="27" t="s">
        <v>2440</v>
      </c>
      <c r="H449" s="31" t="str">
        <f t="shared" ca="1" si="165"/>
        <v>ギガ攻めの果実 x 3</v>
      </c>
      <c r="I449" s="31" t="str">
        <f ca="1">VLOOKUP($G449,OFFSET(mission_ACH!$A$2,0,0,COUNTA($A:$A),MATCH(I$2,mission_ACH!$2:$2,0)-MATCH($G$2,mission_ACH!$2:$2,0)+1),MATCH(I$2,mission_ACH!$2:$2,0)-MATCH($G$2,mission_ACH!$2:$2,0)+1,FALSE)</f>
        <v>unit</v>
      </c>
      <c r="J449" s="31">
        <f ca="1">VLOOKUP($G449,OFFSET(mission_ACH!$A$2,0,0,COUNTA($A:$A),MATCH(J$2,mission_ACH!$2:$2,0)-MATCH($G$2,mission_ACH!$2:$2,0)+1),MATCH(J$2,mission_ACH!$2:$2,0)-MATCH($G$2,mission_ACH!$2:$2,0)+1,FALSE)</f>
        <v>611</v>
      </c>
      <c r="K449" s="31" t="str">
        <f ca="1">IF(OR(I449="unit",I449="item"),VLOOKUP($G449,OFFSET(mission_ACH!$A$2,0,0,COUNTA($A:$A),MATCH(K$2,mission_ACH!$2:$2,0)-MATCH($G$2,mission_ACH!$2:$2,0)+1),MATCH(K$2,mission_ACH!$2:$2,0)-MATCH($G$2,mission_ACH!$2:$2,0)+1,FALSE),"")</f>
        <v>ギガ攻めの果実</v>
      </c>
      <c r="L449" s="31">
        <f ca="1">VLOOKUP($G449,OFFSET(mission_ACH!$A$2,0,0,COUNTA($A:$A),MATCH(L$2,mission_ACH!$2:$2,0)-MATCH($G$2,mission_ACH!$2:$2,0)+1),MATCH(L$2,mission_ACH!$2:$2,0)-MATCH($G$2,mission_ACH!$2:$2,0)+1,FALSE)</f>
        <v>3</v>
      </c>
      <c r="M449" s="27">
        <v>40</v>
      </c>
      <c r="N449" s="2" t="s">
        <v>352</v>
      </c>
      <c r="O449" s="2" t="s">
        <v>352</v>
      </c>
    </row>
    <row r="450" spans="1:15" ht="21" customHeight="1" x14ac:dyDescent="0.15">
      <c r="A450" s="27">
        <f t="shared" si="166"/>
        <v>30090</v>
      </c>
      <c r="B450" s="26" t="str">
        <f t="shared" ca="1" si="167"/>
        <v>ユニットを 1350 種類手に入れよう！</v>
      </c>
      <c r="C450" s="27" t="s">
        <v>2359</v>
      </c>
      <c r="D450" s="31" t="str">
        <f ca="1">VLOOKUP($C450,OFFSET(mission_unlock_criteria!$A$2,0,0,COUNTA(mission_unlock_criteria!$A:$A),MATCH(D$2,mission_unlock_criteria!$2:$2,0)-MATCH($C$2,mission_unlock_criteria!$2:$2,0)+1),MATCH(D$2,mission_unlock_criteria!$2:$2,0)-MATCH($C$2,mission_unlock_criteria!$2:$2,0)+1,FALSE)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1325 に到達</v>
      </c>
      <c r="E450" s="2" t="s">
        <v>2399</v>
      </c>
      <c r="F450" s="31" t="str">
        <f ca="1">VLOOKUP($E450,OFFSET(mission_ACH_criteria!$A$1,0,0,COUNTA(mission_ACH_criteria!$A:$A),MATCH(F$2,mission_ACH_criteria!$1:$1,0)-MATCH($E$2,mission_ACH_criteria!$1:$1,0)+1),MATCH(F$2,mission_ACH_criteria!$1:$1,0)-MATCH($E$2,mission_ACH_criteria!$1:$1,0)+1,FALSE)</f>
        <v>ユニットを 1350 種類手に入れよう！</v>
      </c>
      <c r="G450" s="27" t="s">
        <v>2467</v>
      </c>
      <c r="H450" s="31" t="str">
        <f t="shared" ca="1" si="165"/>
        <v>経験値キー x 2</v>
      </c>
      <c r="I450" s="31" t="str">
        <f ca="1">VLOOKUP($G450,OFFSET(mission_ACH!$A$2,0,0,COUNTA($A:$A),MATCH(I$2,mission_ACH!$2:$2,0)-MATCH($G$2,mission_ACH!$2:$2,0)+1),MATCH(I$2,mission_ACH!$2:$2,0)-MATCH($G$2,mission_ACH!$2:$2,0)+1,FALSE)</f>
        <v>item</v>
      </c>
      <c r="J450" s="31">
        <f ca="1">VLOOKUP($G450,OFFSET(mission_ACH!$A$2,0,0,COUNTA($A:$A),MATCH(J$2,mission_ACH!$2:$2,0)-MATCH($G$2,mission_ACH!$2:$2,0)+1),MATCH(J$2,mission_ACH!$2:$2,0)-MATCH($G$2,mission_ACH!$2:$2,0)+1,FALSE)</f>
        <v>2</v>
      </c>
      <c r="K450" s="31" t="str">
        <f ca="1">IF(OR(I450="unit",I450="item"),VLOOKUP($G450,OFFSET(mission_ACH!$A$2,0,0,COUNTA($A:$A),MATCH(K$2,mission_ACH!$2:$2,0)-MATCH($G$2,mission_ACH!$2:$2,0)+1),MATCH(K$2,mission_ACH!$2:$2,0)-MATCH($G$2,mission_ACH!$2:$2,0)+1,FALSE),"")</f>
        <v>経験値キー</v>
      </c>
      <c r="L450" s="31">
        <f ca="1">VLOOKUP($G450,OFFSET(mission_ACH!$A$2,0,0,COUNTA($A:$A),MATCH(L$2,mission_ACH!$2:$2,0)-MATCH($G$2,mission_ACH!$2:$2,0)+1),MATCH(L$2,mission_ACH!$2:$2,0)-MATCH($G$2,mission_ACH!$2:$2,0)+1,FALSE)</f>
        <v>2</v>
      </c>
      <c r="M450" s="27">
        <v>40</v>
      </c>
      <c r="N450" s="2" t="s">
        <v>352</v>
      </c>
      <c r="O450" s="2" t="s">
        <v>352</v>
      </c>
    </row>
    <row r="451" spans="1:15" ht="21" customHeight="1" x14ac:dyDescent="0.15">
      <c r="A451" s="27">
        <f t="shared" si="166"/>
        <v>30091</v>
      </c>
      <c r="B451" s="26" t="str">
        <f t="shared" ca="1" si="167"/>
        <v>ユニットを 1375 種類手に入れよう！</v>
      </c>
      <c r="C451" s="27" t="s">
        <v>2360</v>
      </c>
      <c r="D451" s="31" t="str">
        <f ca="1">VLOOKUP($C451,OFFSET(mission_unlock_criteria!$A$2,0,0,COUNTA(mission_unlock_criteria!$A:$A),MATCH(D$2,mission_unlock_criteria!$2:$2,0)-MATCH($C$2,mission_unlock_criteria!$2:$2,0)+1),MATCH(D$2,mission_unlock_criteria!$2:$2,0)-MATCH($C$2,mission_unlock_criteria!$2:$2,0)+1,FALSE)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1350 に到達</v>
      </c>
      <c r="E451" s="2" t="s">
        <v>2400</v>
      </c>
      <c r="F451" s="31" t="str">
        <f ca="1">VLOOKUP($E451,OFFSET(mission_ACH_criteria!$A$1,0,0,COUNTA(mission_ACH_criteria!$A:$A),MATCH(F$2,mission_ACH_criteria!$1:$1,0)-MATCH($E$2,mission_ACH_criteria!$1:$1,0)+1),MATCH(F$2,mission_ACH_criteria!$1:$1,0)-MATCH($E$2,mission_ACH_criteria!$1:$1,0)+1,FALSE)</f>
        <v>ユニットを 1375 種類手に入れよう！</v>
      </c>
      <c r="G451" s="27" t="s">
        <v>2445</v>
      </c>
      <c r="H451" s="31" t="str">
        <f t="shared" ca="1" si="165"/>
        <v>ギガ生命の果実 x 3</v>
      </c>
      <c r="I451" s="31" t="str">
        <f ca="1">VLOOKUP($G451,OFFSET(mission_ACH!$A$2,0,0,COUNTA($A:$A),MATCH(I$2,mission_ACH!$2:$2,0)-MATCH($G$2,mission_ACH!$2:$2,0)+1),MATCH(I$2,mission_ACH!$2:$2,0)-MATCH($G$2,mission_ACH!$2:$2,0)+1,FALSE)</f>
        <v>unit</v>
      </c>
      <c r="J451" s="31">
        <f ca="1">VLOOKUP($G451,OFFSET(mission_ACH!$A$2,0,0,COUNTA($A:$A),MATCH(J$2,mission_ACH!$2:$2,0)-MATCH($G$2,mission_ACH!$2:$2,0)+1),MATCH(J$2,mission_ACH!$2:$2,0)-MATCH($G$2,mission_ACH!$2:$2,0)+1,FALSE)</f>
        <v>612</v>
      </c>
      <c r="K451" s="31" t="str">
        <f ca="1">IF(OR(I451="unit",I451="item"),VLOOKUP($G451,OFFSET(mission_ACH!$A$2,0,0,COUNTA($A:$A),MATCH(K$2,mission_ACH!$2:$2,0)-MATCH($G$2,mission_ACH!$2:$2,0)+1),MATCH(K$2,mission_ACH!$2:$2,0)-MATCH($G$2,mission_ACH!$2:$2,0)+1,FALSE),"")</f>
        <v>ギガ生命の果実</v>
      </c>
      <c r="L451" s="31">
        <f ca="1">VLOOKUP($G451,OFFSET(mission_ACH!$A$2,0,0,COUNTA($A:$A),MATCH(L$2,mission_ACH!$2:$2,0)-MATCH($G$2,mission_ACH!$2:$2,0)+1),MATCH(L$2,mission_ACH!$2:$2,0)-MATCH($G$2,mission_ACH!$2:$2,0)+1,FALSE)</f>
        <v>3</v>
      </c>
      <c r="M451" s="27">
        <v>40</v>
      </c>
      <c r="N451" s="2" t="s">
        <v>352</v>
      </c>
      <c r="O451" s="2" t="s">
        <v>352</v>
      </c>
    </row>
    <row r="452" spans="1:15" ht="21" customHeight="1" x14ac:dyDescent="0.15">
      <c r="A452" s="27">
        <f t="shared" si="166"/>
        <v>30092</v>
      </c>
      <c r="B452" s="26" t="str">
        <f t="shared" ca="1" si="167"/>
        <v>ユニットを 1400 種類手に入れよう！</v>
      </c>
      <c r="C452" s="27" t="s">
        <v>2361</v>
      </c>
      <c r="D452" s="31" t="str">
        <f ca="1">VLOOKUP($C452,OFFSET(mission_unlock_criteria!$A$2,0,0,COUNTA(mission_unlock_criteria!$A:$A),MATCH(D$2,mission_unlock_criteria!$2:$2,0)-MATCH($C$2,mission_unlock_criteria!$2:$2,0)+1),MATCH(D$2,mission_unlock_criteria!$2:$2,0)-MATCH($C$2,mission_unlock_criteria!$2:$2,0)+1,FALSE)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1375 に到達</v>
      </c>
      <c r="E452" s="2" t="s">
        <v>2401</v>
      </c>
      <c r="F452" s="31" t="str">
        <f ca="1">VLOOKUP($E452,OFFSET(mission_ACH_criteria!$A$1,0,0,COUNTA(mission_ACH_criteria!$A:$A),MATCH(F$2,mission_ACH_criteria!$1:$1,0)-MATCH($E$2,mission_ACH_criteria!$1:$1,0)+1),MATCH(F$2,mission_ACH_criteria!$1:$1,0)-MATCH($E$2,mission_ACH_criteria!$1:$1,0)+1,FALSE)</f>
        <v>ユニットを 1400 種類手に入れよう！</v>
      </c>
      <c r="G452" s="27" t="s">
        <v>107</v>
      </c>
      <c r="H452" s="31" t="str">
        <f t="shared" ca="1" si="165"/>
        <v>ポリゴン x 5</v>
      </c>
      <c r="I452" s="31" t="str">
        <f ca="1">VLOOKUP($G452,OFFSET(mission_ACH!$A$2,0,0,COUNTA($A:$A),MATCH(I$2,mission_ACH!$2:$2,0)-MATCH($G$2,mission_ACH!$2:$2,0)+1),MATCH(I$2,mission_ACH!$2:$2,0)-MATCH($G$2,mission_ACH!$2:$2,0)+1,FALSE)</f>
        <v>polygon</v>
      </c>
      <c r="J452" s="31">
        <f ca="1">VLOOKUP($G452,OFFSET(mission_ACH!$A$2,0,0,COUNTA($A:$A),MATCH(J$2,mission_ACH!$2:$2,0)-MATCH($G$2,mission_ACH!$2:$2,0)+1),MATCH(J$2,mission_ACH!$2:$2,0)-MATCH($G$2,mission_ACH!$2:$2,0)+1,FALSE)</f>
        <v>5</v>
      </c>
      <c r="K452" s="31" t="str">
        <f ca="1">IF(OR(I452="unit",I452="item"),VLOOKUP($G452,OFFSET(mission_ACH!$A$2,0,0,COUNTA($A:$A),MATCH(K$2,mission_ACH!$2:$2,0)-MATCH($G$2,mission_ACH!$2:$2,0)+1),MATCH(K$2,mission_ACH!$2:$2,0)-MATCH($G$2,mission_ACH!$2:$2,0)+1,FALSE),"")</f>
        <v/>
      </c>
      <c r="L452" s="31">
        <f ca="1">VLOOKUP($G452,OFFSET(mission_ACH!$A$2,0,0,COUNTA($A:$A),MATCH(L$2,mission_ACH!$2:$2,0)-MATCH($G$2,mission_ACH!$2:$2,0)+1),MATCH(L$2,mission_ACH!$2:$2,0)-MATCH($G$2,mission_ACH!$2:$2,0)+1,FALSE)</f>
        <v>0</v>
      </c>
      <c r="M452" s="27">
        <v>40</v>
      </c>
      <c r="N452" s="2" t="s">
        <v>352</v>
      </c>
      <c r="O452" s="2" t="s">
        <v>352</v>
      </c>
    </row>
    <row r="453" spans="1:15" ht="21" customHeight="1" x14ac:dyDescent="0.15">
      <c r="A453" s="27">
        <f t="shared" si="166"/>
        <v>30093</v>
      </c>
      <c r="B453" s="26" t="str">
        <f t="shared" ca="1" si="167"/>
        <v>ユニットを 1425 種類手に入れよう！</v>
      </c>
      <c r="C453" s="27" t="s">
        <v>2362</v>
      </c>
      <c r="D453" s="31" t="str">
        <f ca="1">VLOOKUP($C453,OFFSET(mission_unlock_criteria!$A$2,0,0,COUNTA(mission_unlock_criteria!$A:$A),MATCH(D$2,mission_unlock_criteria!$2:$2,0)-MATCH($C$2,mission_unlock_criteria!$2:$2,0)+1),MATCH(D$2,mission_unlock_criteria!$2:$2,0)-MATCH($C$2,mission_unlock_criteria!$2:$2,0)+1,FALSE)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1400 に到達</v>
      </c>
      <c r="E453" s="2" t="s">
        <v>2402</v>
      </c>
      <c r="F453" s="31" t="str">
        <f ca="1">VLOOKUP($E453,OFFSET(mission_ACH_criteria!$A$1,0,0,COUNTA(mission_ACH_criteria!$A:$A),MATCH(F$2,mission_ACH_criteria!$1:$1,0)-MATCH($E$2,mission_ACH_criteria!$1:$1,0)+1),MATCH(F$2,mission_ACH_criteria!$1:$1,0)-MATCH($E$2,mission_ACH_criteria!$1:$1,0)+1,FALSE)</f>
        <v>ユニットを 1425 種類手に入れよう！</v>
      </c>
      <c r="G453" s="27" t="s">
        <v>2449</v>
      </c>
      <c r="H453" s="31" t="str">
        <f t="shared" ca="1" si="165"/>
        <v>ギガ癒しの果実 x 3</v>
      </c>
      <c r="I453" s="31" t="str">
        <f ca="1">VLOOKUP($G453,OFFSET(mission_ACH!$A$2,0,0,COUNTA($A:$A),MATCH(I$2,mission_ACH!$2:$2,0)-MATCH($G$2,mission_ACH!$2:$2,0)+1),MATCH(I$2,mission_ACH!$2:$2,0)-MATCH($G$2,mission_ACH!$2:$2,0)+1,FALSE)</f>
        <v>unit</v>
      </c>
      <c r="J453" s="31">
        <f ca="1">VLOOKUP($G453,OFFSET(mission_ACH!$A$2,0,0,COUNTA($A:$A),MATCH(J$2,mission_ACH!$2:$2,0)-MATCH($G$2,mission_ACH!$2:$2,0)+1),MATCH(J$2,mission_ACH!$2:$2,0)-MATCH($G$2,mission_ACH!$2:$2,0)+1,FALSE)</f>
        <v>613</v>
      </c>
      <c r="K453" s="31" t="str">
        <f ca="1">IF(OR(I453="unit",I453="item"),VLOOKUP($G453,OFFSET(mission_ACH!$A$2,0,0,COUNTA($A:$A),MATCH(K$2,mission_ACH!$2:$2,0)-MATCH($G$2,mission_ACH!$2:$2,0)+1),MATCH(K$2,mission_ACH!$2:$2,0)-MATCH($G$2,mission_ACH!$2:$2,0)+1,FALSE),"")</f>
        <v>ギガ癒しの果実</v>
      </c>
      <c r="L453" s="31">
        <f ca="1">VLOOKUP($G453,OFFSET(mission_ACH!$A$2,0,0,COUNTA($A:$A),MATCH(L$2,mission_ACH!$2:$2,0)-MATCH($G$2,mission_ACH!$2:$2,0)+1),MATCH(L$2,mission_ACH!$2:$2,0)-MATCH($G$2,mission_ACH!$2:$2,0)+1,FALSE)</f>
        <v>3</v>
      </c>
      <c r="M453" s="27">
        <v>40</v>
      </c>
      <c r="N453" s="2" t="s">
        <v>352</v>
      </c>
      <c r="O453" s="2" t="s">
        <v>352</v>
      </c>
    </row>
    <row r="454" spans="1:15" ht="21" customHeight="1" x14ac:dyDescent="0.15">
      <c r="A454" s="27">
        <f t="shared" si="166"/>
        <v>30094</v>
      </c>
      <c r="B454" s="26" t="str">
        <f t="shared" ca="1" si="167"/>
        <v>ユニットを 1450 種類手に入れよう！</v>
      </c>
      <c r="C454" s="27" t="s">
        <v>2363</v>
      </c>
      <c r="D454" s="31" t="str">
        <f ca="1">VLOOKUP($C454,OFFSET(mission_unlock_criteria!$A$2,0,0,COUNTA(mission_unlock_criteria!$A:$A),MATCH(D$2,mission_unlock_criteria!$2:$2,0)-MATCH($C$2,mission_unlock_criteria!$2:$2,0)+1),MATCH(D$2,mission_unlock_criteria!$2:$2,0)-MATCH($C$2,mission_unlock_criteria!$2:$2,0)+1,FALSE)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1425 に到達</v>
      </c>
      <c r="E454" s="2" t="s">
        <v>2403</v>
      </c>
      <c r="F454" s="31" t="str">
        <f ca="1">VLOOKUP($E454,OFFSET(mission_ACH_criteria!$A$1,0,0,COUNTA(mission_ACH_criteria!$A:$A),MATCH(F$2,mission_ACH_criteria!$1:$1,0)-MATCH($E$2,mission_ACH_criteria!$1:$1,0)+1),MATCH(F$2,mission_ACH_criteria!$1:$1,0)-MATCH($E$2,mission_ACH_criteria!$1:$1,0)+1,FALSE)</f>
        <v>ユニットを 1450 種類手に入れよう！</v>
      </c>
      <c r="G454" s="27" t="s">
        <v>2468</v>
      </c>
      <c r="H454" s="31" t="str">
        <f t="shared" ca="1" si="165"/>
        <v>ビットキー x 2</v>
      </c>
      <c r="I454" s="31" t="str">
        <f ca="1">VLOOKUP($G454,OFFSET(mission_ACH!$A$2,0,0,COUNTA($A:$A),MATCH(I$2,mission_ACH!$2:$2,0)-MATCH($G$2,mission_ACH!$2:$2,0)+1),MATCH(I$2,mission_ACH!$2:$2,0)-MATCH($G$2,mission_ACH!$2:$2,0)+1,FALSE)</f>
        <v>item</v>
      </c>
      <c r="J454" s="31">
        <f ca="1">VLOOKUP($G454,OFFSET(mission_ACH!$A$2,0,0,COUNTA($A:$A),MATCH(J$2,mission_ACH!$2:$2,0)-MATCH($G$2,mission_ACH!$2:$2,0)+1),MATCH(J$2,mission_ACH!$2:$2,0)-MATCH($G$2,mission_ACH!$2:$2,0)+1,FALSE)</f>
        <v>3</v>
      </c>
      <c r="K454" s="31" t="str">
        <f ca="1">IF(OR(I454="unit",I454="item"),VLOOKUP($G454,OFFSET(mission_ACH!$A$2,0,0,COUNTA($A:$A),MATCH(K$2,mission_ACH!$2:$2,0)-MATCH($G$2,mission_ACH!$2:$2,0)+1),MATCH(K$2,mission_ACH!$2:$2,0)-MATCH($G$2,mission_ACH!$2:$2,0)+1,FALSE),"")</f>
        <v>ビットキー</v>
      </c>
      <c r="L454" s="31">
        <f ca="1">VLOOKUP($G454,OFFSET(mission_ACH!$A$2,0,0,COUNTA($A:$A),MATCH(L$2,mission_ACH!$2:$2,0)-MATCH($G$2,mission_ACH!$2:$2,0)+1),MATCH(L$2,mission_ACH!$2:$2,0)-MATCH($G$2,mission_ACH!$2:$2,0)+1,FALSE)</f>
        <v>2</v>
      </c>
      <c r="M454" s="27">
        <v>40</v>
      </c>
      <c r="N454" s="2" t="s">
        <v>352</v>
      </c>
      <c r="O454" s="2" t="s">
        <v>352</v>
      </c>
    </row>
    <row r="455" spans="1:15" ht="21" customHeight="1" x14ac:dyDescent="0.15">
      <c r="A455" s="27">
        <f t="shared" si="166"/>
        <v>30095</v>
      </c>
      <c r="B455" s="26" t="str">
        <f t="shared" ca="1" si="167"/>
        <v>ユニットを 1475 種類手に入れよう！</v>
      </c>
      <c r="C455" s="27" t="s">
        <v>2364</v>
      </c>
      <c r="D455" s="31" t="str">
        <f ca="1">VLOOKUP($C455,OFFSET(mission_unlock_criteria!$A$2,0,0,COUNTA(mission_unlock_criteria!$A:$A),MATCH(D$2,mission_unlock_criteria!$2:$2,0)-MATCH($C$2,mission_unlock_criteria!$2:$2,0)+1),MATCH(D$2,mission_unlock_criteria!$2:$2,0)-MATCH($C$2,mission_unlock_criteria!$2:$2,0)+1,FALSE)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1450 に到達</v>
      </c>
      <c r="E455" s="2" t="s">
        <v>2404</v>
      </c>
      <c r="F455" s="31" t="str">
        <f ca="1">VLOOKUP($E455,OFFSET(mission_ACH_criteria!$A$1,0,0,COUNTA(mission_ACH_criteria!$A:$A),MATCH(F$2,mission_ACH_criteria!$1:$1,0)-MATCH($E$2,mission_ACH_criteria!$1:$1,0)+1),MATCH(F$2,mission_ACH_criteria!$1:$1,0)-MATCH($E$2,mission_ACH_criteria!$1:$1,0)+1,FALSE)</f>
        <v>ユニットを 1475 種類手に入れよう！</v>
      </c>
      <c r="G455" s="27" t="s">
        <v>2453</v>
      </c>
      <c r="H455" s="31" t="str">
        <f t="shared" ca="1" si="165"/>
        <v>ギガ秘術の果実 x 3</v>
      </c>
      <c r="I455" s="31" t="str">
        <f ca="1">VLOOKUP($G455,OFFSET(mission_ACH!$A$2,0,0,COUNTA($A:$A),MATCH(I$2,mission_ACH!$2:$2,0)-MATCH($G$2,mission_ACH!$2:$2,0)+1),MATCH(I$2,mission_ACH!$2:$2,0)-MATCH($G$2,mission_ACH!$2:$2,0)+1,FALSE)</f>
        <v>unit</v>
      </c>
      <c r="J455" s="31">
        <f ca="1">VLOOKUP($G455,OFFSET(mission_ACH!$A$2,0,0,COUNTA($A:$A),MATCH(J$2,mission_ACH!$2:$2,0)-MATCH($G$2,mission_ACH!$2:$2,0)+1),MATCH(J$2,mission_ACH!$2:$2,0)-MATCH($G$2,mission_ACH!$2:$2,0)+1,FALSE)</f>
        <v>614</v>
      </c>
      <c r="K455" s="31" t="str">
        <f ca="1">IF(OR(I455="unit",I455="item"),VLOOKUP($G455,OFFSET(mission_ACH!$A$2,0,0,COUNTA($A:$A),MATCH(K$2,mission_ACH!$2:$2,0)-MATCH($G$2,mission_ACH!$2:$2,0)+1),MATCH(K$2,mission_ACH!$2:$2,0)-MATCH($G$2,mission_ACH!$2:$2,0)+1,FALSE),"")</f>
        <v>ギガ秘術の果実</v>
      </c>
      <c r="L455" s="31">
        <f ca="1">VLOOKUP($G455,OFFSET(mission_ACH!$A$2,0,0,COUNTA($A:$A),MATCH(L$2,mission_ACH!$2:$2,0)-MATCH($G$2,mission_ACH!$2:$2,0)+1),MATCH(L$2,mission_ACH!$2:$2,0)-MATCH($G$2,mission_ACH!$2:$2,0)+1,FALSE)</f>
        <v>3</v>
      </c>
      <c r="M455" s="27">
        <v>40</v>
      </c>
      <c r="N455" s="2" t="s">
        <v>352</v>
      </c>
      <c r="O455" s="2" t="s">
        <v>352</v>
      </c>
    </row>
    <row r="456" spans="1:15" ht="21" customHeight="1" x14ac:dyDescent="0.15">
      <c r="A456" s="27">
        <f t="shared" si="166"/>
        <v>30096</v>
      </c>
      <c r="B456" s="26" t="str">
        <f t="shared" ca="1" si="167"/>
        <v>ユニットを 1500 種類手に入れよう！</v>
      </c>
      <c r="C456" s="27" t="s">
        <v>2365</v>
      </c>
      <c r="D456" s="31" t="str">
        <f ca="1">VLOOKUP($C456,OFFSET(mission_unlock_criteria!$A$2,0,0,COUNTA(mission_unlock_criteria!$A:$A),MATCH(D$2,mission_unlock_criteria!$2:$2,0)-MATCH($C$2,mission_unlock_criteria!$2:$2,0)+1),MATCH(D$2,mission_unlock_criteria!$2:$2,0)-MATCH($C$2,mission_unlock_criteria!$2:$2,0)+1,FALSE)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1475 に到達</v>
      </c>
      <c r="E456" s="2" t="s">
        <v>2405</v>
      </c>
      <c r="F456" s="31" t="str">
        <f ca="1">VLOOKUP($E456,OFFSET(mission_ACH_criteria!$A$1,0,0,COUNTA(mission_ACH_criteria!$A:$A),MATCH(F$2,mission_ACH_criteria!$1:$1,0)-MATCH($E$2,mission_ACH_criteria!$1:$1,0)+1),MATCH(F$2,mission_ACH_criteria!$1:$1,0)-MATCH($E$2,mission_ACH_criteria!$1:$1,0)+1,FALSE)</f>
        <v>ユニットを 1500 種類手に入れよう！</v>
      </c>
      <c r="G456" s="27" t="s">
        <v>921</v>
      </c>
      <c r="H456" s="31" t="str">
        <f t="shared" ca="1" si="165"/>
        <v>ポリゴン x 50</v>
      </c>
      <c r="I456" s="31" t="str">
        <f ca="1">VLOOKUP($G456,OFFSET(mission_ACH!$A$2,0,0,COUNTA($A:$A),MATCH(I$2,mission_ACH!$2:$2,0)-MATCH($G$2,mission_ACH!$2:$2,0)+1),MATCH(I$2,mission_ACH!$2:$2,0)-MATCH($G$2,mission_ACH!$2:$2,0)+1,FALSE)</f>
        <v>polygon</v>
      </c>
      <c r="J456" s="31">
        <f ca="1">VLOOKUP($G456,OFFSET(mission_ACH!$A$2,0,0,COUNTA($A:$A),MATCH(J$2,mission_ACH!$2:$2,0)-MATCH($G$2,mission_ACH!$2:$2,0)+1),MATCH(J$2,mission_ACH!$2:$2,0)-MATCH($G$2,mission_ACH!$2:$2,0)+1,FALSE)</f>
        <v>50</v>
      </c>
      <c r="K456" s="31" t="str">
        <f ca="1">IF(OR(I456="unit",I456="item"),VLOOKUP($G456,OFFSET(mission_ACH!$A$2,0,0,COUNTA($A:$A),MATCH(K$2,mission_ACH!$2:$2,0)-MATCH($G$2,mission_ACH!$2:$2,0)+1),MATCH(K$2,mission_ACH!$2:$2,0)-MATCH($G$2,mission_ACH!$2:$2,0)+1,FALSE),"")</f>
        <v/>
      </c>
      <c r="L456" s="31">
        <f ca="1">VLOOKUP($G456,OFFSET(mission_ACH!$A$2,0,0,COUNTA($A:$A),MATCH(L$2,mission_ACH!$2:$2,0)-MATCH($G$2,mission_ACH!$2:$2,0)+1),MATCH(L$2,mission_ACH!$2:$2,0)-MATCH($G$2,mission_ACH!$2:$2,0)+1,FALSE)</f>
        <v>0</v>
      </c>
      <c r="M456" s="27">
        <v>40</v>
      </c>
      <c r="N456" s="2" t="s">
        <v>352</v>
      </c>
      <c r="O456" s="2" t="s">
        <v>352</v>
      </c>
    </row>
    <row r="457" spans="1:15" ht="21" customHeight="1" x14ac:dyDescent="0.15">
      <c r="A457" s="27">
        <f t="shared" si="166"/>
        <v>30097</v>
      </c>
      <c r="B457" s="26" t="str">
        <f t="shared" ca="1" si="167"/>
        <v>ユニットを 1525 種類手に入れよう！</v>
      </c>
      <c r="C457" s="27" t="s">
        <v>2366</v>
      </c>
      <c r="D457" s="31" t="str">
        <f ca="1">VLOOKUP($C457,OFFSET(mission_unlock_criteria!$A$2,0,0,COUNTA(mission_unlock_criteria!$A:$A),MATCH(D$2,mission_unlock_criteria!$2:$2,0)-MATCH($C$2,mission_unlock_criteria!$2:$2,0)+1),MATCH(D$2,mission_unlock_criteria!$2:$2,0)-MATCH($C$2,mission_unlock_criteria!$2:$2,0)+1,FALSE)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1500 に到達</v>
      </c>
      <c r="E457" s="2" t="s">
        <v>2406</v>
      </c>
      <c r="F457" s="31" t="str">
        <f ca="1">VLOOKUP($E457,OFFSET(mission_ACH_criteria!$A$1,0,0,COUNTA(mission_ACH_criteria!$A:$A),MATCH(F$2,mission_ACH_criteria!$1:$1,0)-MATCH($E$2,mission_ACH_criteria!$1:$1,0)+1),MATCH(F$2,mission_ACH_criteria!$1:$1,0)-MATCH($E$2,mission_ACH_criteria!$1:$1,0)+1,FALSE)</f>
        <v>ユニットを 1525 種類手に入れよう！</v>
      </c>
      <c r="G457" s="27" t="s">
        <v>2440</v>
      </c>
      <c r="H457" s="31" t="str">
        <f t="shared" ca="1" si="165"/>
        <v>ギガ攻めの果実 x 3</v>
      </c>
      <c r="I457" s="31" t="str">
        <f ca="1">VLOOKUP($G457,OFFSET(mission_ACH!$A$2,0,0,COUNTA($A:$A),MATCH(I$2,mission_ACH!$2:$2,0)-MATCH($G$2,mission_ACH!$2:$2,0)+1),MATCH(I$2,mission_ACH!$2:$2,0)-MATCH($G$2,mission_ACH!$2:$2,0)+1,FALSE)</f>
        <v>unit</v>
      </c>
      <c r="J457" s="31">
        <f ca="1">VLOOKUP($G457,OFFSET(mission_ACH!$A$2,0,0,COUNTA($A:$A),MATCH(J$2,mission_ACH!$2:$2,0)-MATCH($G$2,mission_ACH!$2:$2,0)+1),MATCH(J$2,mission_ACH!$2:$2,0)-MATCH($G$2,mission_ACH!$2:$2,0)+1,FALSE)</f>
        <v>611</v>
      </c>
      <c r="K457" s="31" t="str">
        <f ca="1">IF(OR(I457="unit",I457="item"),VLOOKUP($G457,OFFSET(mission_ACH!$A$2,0,0,COUNTA($A:$A),MATCH(K$2,mission_ACH!$2:$2,0)-MATCH($G$2,mission_ACH!$2:$2,0)+1),MATCH(K$2,mission_ACH!$2:$2,0)-MATCH($G$2,mission_ACH!$2:$2,0)+1,FALSE),"")</f>
        <v>ギガ攻めの果実</v>
      </c>
      <c r="L457" s="31">
        <f ca="1">VLOOKUP($G457,OFFSET(mission_ACH!$A$2,0,0,COUNTA($A:$A),MATCH(L$2,mission_ACH!$2:$2,0)-MATCH($G$2,mission_ACH!$2:$2,0)+1),MATCH(L$2,mission_ACH!$2:$2,0)-MATCH($G$2,mission_ACH!$2:$2,0)+1,FALSE)</f>
        <v>3</v>
      </c>
      <c r="M457" s="27">
        <v>40</v>
      </c>
      <c r="N457" s="2" t="s">
        <v>352</v>
      </c>
      <c r="O457" s="2" t="s">
        <v>352</v>
      </c>
    </row>
    <row r="458" spans="1:15" ht="21" customHeight="1" x14ac:dyDescent="0.15">
      <c r="A458" s="27">
        <f t="shared" si="166"/>
        <v>30098</v>
      </c>
      <c r="B458" s="26" t="str">
        <f t="shared" ca="1" si="167"/>
        <v>ユニットを 1550 種類手に入れよう！</v>
      </c>
      <c r="C458" s="27" t="s">
        <v>2367</v>
      </c>
      <c r="D458" s="31" t="str">
        <f ca="1">VLOOKUP($C458,OFFSET(mission_unlock_criteria!$A$2,0,0,COUNTA(mission_unlock_criteria!$A:$A),MATCH(D$2,mission_unlock_criteria!$2:$2,0)-MATCH($C$2,mission_unlock_criteria!$2:$2,0)+1),MATCH(D$2,mission_unlock_criteria!$2:$2,0)-MATCH($C$2,mission_unlock_criteria!$2:$2,0)+1,FALSE)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1525 に到達</v>
      </c>
      <c r="E458" s="2" t="s">
        <v>2407</v>
      </c>
      <c r="F458" s="31" t="str">
        <f ca="1">VLOOKUP($E458,OFFSET(mission_ACH_criteria!$A$1,0,0,COUNTA(mission_ACH_criteria!$A:$A),MATCH(F$2,mission_ACH_criteria!$1:$1,0)-MATCH($E$2,mission_ACH_criteria!$1:$1,0)+1),MATCH(F$2,mission_ACH_criteria!$1:$1,0)-MATCH($E$2,mission_ACH_criteria!$1:$1,0)+1,FALSE)</f>
        <v>ユニットを 1550 種類手に入れよう！</v>
      </c>
      <c r="G458" s="27" t="s">
        <v>2469</v>
      </c>
      <c r="H458" s="31" t="str">
        <f t="shared" ca="1" si="165"/>
        <v>限界突破キー x 2</v>
      </c>
      <c r="I458" s="31" t="str">
        <f ca="1">VLOOKUP($G458,OFFSET(mission_ACH!$A$2,0,0,COUNTA($A:$A),MATCH(I$2,mission_ACH!$2:$2,0)-MATCH($G$2,mission_ACH!$2:$2,0)+1),MATCH(I$2,mission_ACH!$2:$2,0)-MATCH($G$2,mission_ACH!$2:$2,0)+1,FALSE)</f>
        <v>item</v>
      </c>
      <c r="J458" s="31">
        <f ca="1">VLOOKUP($G458,OFFSET(mission_ACH!$A$2,0,0,COUNTA($A:$A),MATCH(J$2,mission_ACH!$2:$2,0)-MATCH($G$2,mission_ACH!$2:$2,0)+1),MATCH(J$2,mission_ACH!$2:$2,0)-MATCH($G$2,mission_ACH!$2:$2,0)+1,FALSE)</f>
        <v>4</v>
      </c>
      <c r="K458" s="31" t="str">
        <f ca="1">IF(OR(I458="unit",I458="item"),VLOOKUP($G458,OFFSET(mission_ACH!$A$2,0,0,COUNTA($A:$A),MATCH(K$2,mission_ACH!$2:$2,0)-MATCH($G$2,mission_ACH!$2:$2,0)+1),MATCH(K$2,mission_ACH!$2:$2,0)-MATCH($G$2,mission_ACH!$2:$2,0)+1,FALSE),"")</f>
        <v>限界突破キー</v>
      </c>
      <c r="L458" s="31">
        <f ca="1">VLOOKUP($G458,OFFSET(mission_ACH!$A$2,0,0,COUNTA($A:$A),MATCH(L$2,mission_ACH!$2:$2,0)-MATCH($G$2,mission_ACH!$2:$2,0)+1),MATCH(L$2,mission_ACH!$2:$2,0)-MATCH($G$2,mission_ACH!$2:$2,0)+1,FALSE)</f>
        <v>2</v>
      </c>
      <c r="M458" s="27">
        <v>40</v>
      </c>
      <c r="N458" s="2" t="s">
        <v>352</v>
      </c>
      <c r="O458" s="2" t="s">
        <v>352</v>
      </c>
    </row>
    <row r="459" spans="1:15" ht="21" customHeight="1" x14ac:dyDescent="0.15">
      <c r="A459" s="27">
        <f t="shared" si="166"/>
        <v>30099</v>
      </c>
      <c r="B459" s="26" t="str">
        <f t="shared" ca="1" si="167"/>
        <v>ユニットを 1575 種類手に入れよう！</v>
      </c>
      <c r="C459" s="27" t="s">
        <v>2368</v>
      </c>
      <c r="D459" s="31" t="str">
        <f ca="1">VLOOKUP($C459,OFFSET(mission_unlock_criteria!$A$2,0,0,COUNTA(mission_unlock_criteria!$A:$A),MATCH(D$2,mission_unlock_criteria!$2:$2,0)-MATCH($C$2,mission_unlock_criteria!$2:$2,0)+1),MATCH(D$2,mission_unlock_criteria!$2:$2,0)-MATCH($C$2,mission_unlock_criteria!$2:$2,0)+1,FALSE)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1550 に到達</v>
      </c>
      <c r="E459" s="2" t="s">
        <v>2408</v>
      </c>
      <c r="F459" s="31" t="str">
        <f ca="1">VLOOKUP($E459,OFFSET(mission_ACH_criteria!$A$1,0,0,COUNTA(mission_ACH_criteria!$A:$A),MATCH(F$2,mission_ACH_criteria!$1:$1,0)-MATCH($E$2,mission_ACH_criteria!$1:$1,0)+1),MATCH(F$2,mission_ACH_criteria!$1:$1,0)-MATCH($E$2,mission_ACH_criteria!$1:$1,0)+1,FALSE)</f>
        <v>ユニットを 1575 種類手に入れよう！</v>
      </c>
      <c r="G459" s="27" t="s">
        <v>2445</v>
      </c>
      <c r="H459" s="31" t="str">
        <f t="shared" ca="1" si="165"/>
        <v>ギガ生命の果実 x 3</v>
      </c>
      <c r="I459" s="31" t="str">
        <f ca="1">VLOOKUP($G459,OFFSET(mission_ACH!$A$2,0,0,COUNTA($A:$A),MATCH(I$2,mission_ACH!$2:$2,0)-MATCH($G$2,mission_ACH!$2:$2,0)+1),MATCH(I$2,mission_ACH!$2:$2,0)-MATCH($G$2,mission_ACH!$2:$2,0)+1,FALSE)</f>
        <v>unit</v>
      </c>
      <c r="J459" s="31">
        <f ca="1">VLOOKUP($G459,OFFSET(mission_ACH!$A$2,0,0,COUNTA($A:$A),MATCH(J$2,mission_ACH!$2:$2,0)-MATCH($G$2,mission_ACH!$2:$2,0)+1),MATCH(J$2,mission_ACH!$2:$2,0)-MATCH($G$2,mission_ACH!$2:$2,0)+1,FALSE)</f>
        <v>612</v>
      </c>
      <c r="K459" s="31" t="str">
        <f ca="1">IF(OR(I459="unit",I459="item"),VLOOKUP($G459,OFFSET(mission_ACH!$A$2,0,0,COUNTA($A:$A),MATCH(K$2,mission_ACH!$2:$2,0)-MATCH($G$2,mission_ACH!$2:$2,0)+1),MATCH(K$2,mission_ACH!$2:$2,0)-MATCH($G$2,mission_ACH!$2:$2,0)+1,FALSE),"")</f>
        <v>ギガ生命の果実</v>
      </c>
      <c r="L459" s="31">
        <f ca="1">VLOOKUP($G459,OFFSET(mission_ACH!$A$2,0,0,COUNTA($A:$A),MATCH(L$2,mission_ACH!$2:$2,0)-MATCH($G$2,mission_ACH!$2:$2,0)+1),MATCH(L$2,mission_ACH!$2:$2,0)-MATCH($G$2,mission_ACH!$2:$2,0)+1,FALSE)</f>
        <v>3</v>
      </c>
      <c r="M459" s="27">
        <v>40</v>
      </c>
      <c r="N459" s="2" t="s">
        <v>352</v>
      </c>
      <c r="O459" s="2" t="s">
        <v>352</v>
      </c>
    </row>
    <row r="460" spans="1:15" ht="21" customHeight="1" x14ac:dyDescent="0.15">
      <c r="A460" s="27">
        <f t="shared" si="166"/>
        <v>30100</v>
      </c>
      <c r="B460" s="26" t="str">
        <f t="shared" ca="1" si="167"/>
        <v>ユニットを 1600 種類手に入れよう！</v>
      </c>
      <c r="C460" s="27" t="s">
        <v>2369</v>
      </c>
      <c r="D460" s="31" t="str">
        <f ca="1">VLOOKUP($C460,OFFSET(mission_unlock_criteria!$A$2,0,0,COUNTA(mission_unlock_criteria!$A:$A),MATCH(D$2,mission_unlock_criteria!$2:$2,0)-MATCH($C$2,mission_unlock_criteria!$2:$2,0)+1),MATCH(D$2,mission_unlock_criteria!$2:$2,0)-MATCH($C$2,mission_unlock_criteria!$2:$2,0)+1,FALSE)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1575 に到達</v>
      </c>
      <c r="E460" s="2" t="s">
        <v>2409</v>
      </c>
      <c r="F460" s="31" t="str">
        <f ca="1">VLOOKUP($E460,OFFSET(mission_ACH_criteria!$A$1,0,0,COUNTA(mission_ACH_criteria!$A:$A),MATCH(F$2,mission_ACH_criteria!$1:$1,0)-MATCH($E$2,mission_ACH_criteria!$1:$1,0)+1),MATCH(F$2,mission_ACH_criteria!$1:$1,0)-MATCH($E$2,mission_ACH_criteria!$1:$1,0)+1,FALSE)</f>
        <v>ユニットを 1600 種類手に入れよう！</v>
      </c>
      <c r="G460" s="27" t="s">
        <v>107</v>
      </c>
      <c r="H460" s="31" t="str">
        <f t="shared" ca="1" si="165"/>
        <v>ポリゴン x 5</v>
      </c>
      <c r="I460" s="31" t="str">
        <f ca="1">VLOOKUP($G460,OFFSET(mission_ACH!$A$2,0,0,COUNTA($A:$A),MATCH(I$2,mission_ACH!$2:$2,0)-MATCH($G$2,mission_ACH!$2:$2,0)+1),MATCH(I$2,mission_ACH!$2:$2,0)-MATCH($G$2,mission_ACH!$2:$2,0)+1,FALSE)</f>
        <v>polygon</v>
      </c>
      <c r="J460" s="31">
        <f ca="1">VLOOKUP($G460,OFFSET(mission_ACH!$A$2,0,0,COUNTA($A:$A),MATCH(J$2,mission_ACH!$2:$2,0)-MATCH($G$2,mission_ACH!$2:$2,0)+1),MATCH(J$2,mission_ACH!$2:$2,0)-MATCH($G$2,mission_ACH!$2:$2,0)+1,FALSE)</f>
        <v>5</v>
      </c>
      <c r="K460" s="31" t="str">
        <f ca="1">IF(OR(I460="unit",I460="item"),VLOOKUP($G460,OFFSET(mission_ACH!$A$2,0,0,COUNTA($A:$A),MATCH(K$2,mission_ACH!$2:$2,0)-MATCH($G$2,mission_ACH!$2:$2,0)+1),MATCH(K$2,mission_ACH!$2:$2,0)-MATCH($G$2,mission_ACH!$2:$2,0)+1,FALSE),"")</f>
        <v/>
      </c>
      <c r="L460" s="31">
        <f ca="1">VLOOKUP($G460,OFFSET(mission_ACH!$A$2,0,0,COUNTA($A:$A),MATCH(L$2,mission_ACH!$2:$2,0)-MATCH($G$2,mission_ACH!$2:$2,0)+1),MATCH(L$2,mission_ACH!$2:$2,0)-MATCH($G$2,mission_ACH!$2:$2,0)+1,FALSE)</f>
        <v>0</v>
      </c>
      <c r="M460" s="27">
        <v>40</v>
      </c>
      <c r="N460" s="2" t="s">
        <v>352</v>
      </c>
      <c r="O460" s="2" t="s">
        <v>352</v>
      </c>
    </row>
    <row r="461" spans="1:15" ht="21" customHeight="1" x14ac:dyDescent="0.15">
      <c r="A461" s="27">
        <f t="shared" si="166"/>
        <v>30101</v>
      </c>
      <c r="B461" s="26" t="str">
        <f t="shared" ca="1" si="167"/>
        <v>ユニットを 1625 種類手に入れよう！</v>
      </c>
      <c r="C461" s="27" t="s">
        <v>2370</v>
      </c>
      <c r="D461" s="31" t="str">
        <f ca="1">VLOOKUP($C461,OFFSET(mission_unlock_criteria!$A$2,0,0,COUNTA(mission_unlock_criteria!$A:$A),MATCH(D$2,mission_unlock_criteria!$2:$2,0)-MATCH($C$2,mission_unlock_criteria!$2:$2,0)+1),MATCH(D$2,mission_unlock_criteria!$2:$2,0)-MATCH($C$2,mission_unlock_criteria!$2:$2,0)+1,FALSE)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1600 に到達</v>
      </c>
      <c r="E461" s="2" t="s">
        <v>2410</v>
      </c>
      <c r="F461" s="31" t="str">
        <f ca="1">VLOOKUP($E461,OFFSET(mission_ACH_criteria!$A$1,0,0,COUNTA(mission_ACH_criteria!$A:$A),MATCH(F$2,mission_ACH_criteria!$1:$1,0)-MATCH($E$2,mission_ACH_criteria!$1:$1,0)+1),MATCH(F$2,mission_ACH_criteria!$1:$1,0)-MATCH($E$2,mission_ACH_criteria!$1:$1,0)+1,FALSE)</f>
        <v>ユニットを 1625 種類手に入れよう！</v>
      </c>
      <c r="G461" s="27" t="s">
        <v>2449</v>
      </c>
      <c r="H461" s="31" t="str">
        <f t="shared" ca="1" si="165"/>
        <v>ギガ癒しの果実 x 3</v>
      </c>
      <c r="I461" s="31" t="str">
        <f ca="1">VLOOKUP($G461,OFFSET(mission_ACH!$A$2,0,0,COUNTA($A:$A),MATCH(I$2,mission_ACH!$2:$2,0)-MATCH($G$2,mission_ACH!$2:$2,0)+1),MATCH(I$2,mission_ACH!$2:$2,0)-MATCH($G$2,mission_ACH!$2:$2,0)+1,FALSE)</f>
        <v>unit</v>
      </c>
      <c r="J461" s="31">
        <f ca="1">VLOOKUP($G461,OFFSET(mission_ACH!$A$2,0,0,COUNTA($A:$A),MATCH(J$2,mission_ACH!$2:$2,0)-MATCH($G$2,mission_ACH!$2:$2,0)+1),MATCH(J$2,mission_ACH!$2:$2,0)-MATCH($G$2,mission_ACH!$2:$2,0)+1,FALSE)</f>
        <v>613</v>
      </c>
      <c r="K461" s="31" t="str">
        <f ca="1">IF(OR(I461="unit",I461="item"),VLOOKUP($G461,OFFSET(mission_ACH!$A$2,0,0,COUNTA($A:$A),MATCH(K$2,mission_ACH!$2:$2,0)-MATCH($G$2,mission_ACH!$2:$2,0)+1),MATCH(K$2,mission_ACH!$2:$2,0)-MATCH($G$2,mission_ACH!$2:$2,0)+1,FALSE),"")</f>
        <v>ギガ癒しの果実</v>
      </c>
      <c r="L461" s="31">
        <f ca="1">VLOOKUP($G461,OFFSET(mission_ACH!$A$2,0,0,COUNTA($A:$A),MATCH(L$2,mission_ACH!$2:$2,0)-MATCH($G$2,mission_ACH!$2:$2,0)+1),MATCH(L$2,mission_ACH!$2:$2,0)-MATCH($G$2,mission_ACH!$2:$2,0)+1,FALSE)</f>
        <v>3</v>
      </c>
      <c r="M461" s="27">
        <v>40</v>
      </c>
      <c r="N461" s="2" t="s">
        <v>352</v>
      </c>
      <c r="O461" s="2" t="s">
        <v>352</v>
      </c>
    </row>
    <row r="462" spans="1:15" ht="21" customHeight="1" x14ac:dyDescent="0.15">
      <c r="A462" s="27">
        <f t="shared" si="166"/>
        <v>30102</v>
      </c>
      <c r="B462" s="26" t="str">
        <f t="shared" ca="1" si="167"/>
        <v>ユニットを 1650 種類手に入れよう！</v>
      </c>
      <c r="C462" s="27" t="s">
        <v>2371</v>
      </c>
      <c r="D462" s="31" t="str">
        <f ca="1">VLOOKUP($C462,OFFSET(mission_unlock_criteria!$A$2,0,0,COUNTA(mission_unlock_criteria!$A:$A),MATCH(D$2,mission_unlock_criteria!$2:$2,0)-MATCH($C$2,mission_unlock_criteria!$2:$2,0)+1),MATCH(D$2,mission_unlock_criteria!$2:$2,0)-MATCH($C$2,mission_unlock_criteria!$2:$2,0)+1,FALSE)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1625 に到達</v>
      </c>
      <c r="E462" s="2" t="s">
        <v>2411</v>
      </c>
      <c r="F462" s="31" t="str">
        <f ca="1">VLOOKUP($E462,OFFSET(mission_ACH_criteria!$A$1,0,0,COUNTA(mission_ACH_criteria!$A:$A),MATCH(F$2,mission_ACH_criteria!$1:$1,0)-MATCH($E$2,mission_ACH_criteria!$1:$1,0)+1),MATCH(F$2,mission_ACH_criteria!$1:$1,0)-MATCH($E$2,mission_ACH_criteria!$1:$1,0)+1,FALSE)</f>
        <v>ユニットを 1650 種類手に入れよう！</v>
      </c>
      <c r="G462" s="27" t="s">
        <v>2465</v>
      </c>
      <c r="H462" s="31" t="str">
        <f t="shared" ca="1" si="165"/>
        <v>マスターキー x 2</v>
      </c>
      <c r="I462" s="31" t="str">
        <f ca="1">VLOOKUP($G462,OFFSET(mission_ACH!$A$2,0,0,COUNTA($A:$A),MATCH(I$2,mission_ACH!$2:$2,0)-MATCH($G$2,mission_ACH!$2:$2,0)+1),MATCH(I$2,mission_ACH!$2:$2,0)-MATCH($G$2,mission_ACH!$2:$2,0)+1,FALSE)</f>
        <v>item</v>
      </c>
      <c r="J462" s="31">
        <f ca="1">VLOOKUP($G462,OFFSET(mission_ACH!$A$2,0,0,COUNTA($A:$A),MATCH(J$2,mission_ACH!$2:$2,0)-MATCH($G$2,mission_ACH!$2:$2,0)+1),MATCH(J$2,mission_ACH!$2:$2,0)-MATCH($G$2,mission_ACH!$2:$2,0)+1,FALSE)</f>
        <v>1</v>
      </c>
      <c r="K462" s="31" t="str">
        <f ca="1">IF(OR(I462="unit",I462="item"),VLOOKUP($G462,OFFSET(mission_ACH!$A$2,0,0,COUNTA($A:$A),MATCH(K$2,mission_ACH!$2:$2,0)-MATCH($G$2,mission_ACH!$2:$2,0)+1),MATCH(K$2,mission_ACH!$2:$2,0)-MATCH($G$2,mission_ACH!$2:$2,0)+1,FALSE),"")</f>
        <v>マスターキー</v>
      </c>
      <c r="L462" s="31">
        <f ca="1">VLOOKUP($G462,OFFSET(mission_ACH!$A$2,0,0,COUNTA($A:$A),MATCH(L$2,mission_ACH!$2:$2,0)-MATCH($G$2,mission_ACH!$2:$2,0)+1),MATCH(L$2,mission_ACH!$2:$2,0)-MATCH($G$2,mission_ACH!$2:$2,0)+1,FALSE)</f>
        <v>2</v>
      </c>
      <c r="M462" s="27">
        <v>40</v>
      </c>
      <c r="N462" s="2" t="s">
        <v>352</v>
      </c>
      <c r="O462" s="2" t="s">
        <v>352</v>
      </c>
    </row>
    <row r="463" spans="1:15" ht="21" customHeight="1" x14ac:dyDescent="0.15">
      <c r="A463" s="27">
        <f t="shared" si="166"/>
        <v>30103</v>
      </c>
      <c r="B463" s="26" t="str">
        <f t="shared" ca="1" si="167"/>
        <v>ユニットを 1675 種類手に入れよう！</v>
      </c>
      <c r="C463" s="27" t="s">
        <v>2372</v>
      </c>
      <c r="D463" s="31" t="str">
        <f ca="1">VLOOKUP($C463,OFFSET(mission_unlock_criteria!$A$2,0,0,COUNTA(mission_unlock_criteria!$A:$A),MATCH(D$2,mission_unlock_criteria!$2:$2,0)-MATCH($C$2,mission_unlock_criteria!$2:$2,0)+1),MATCH(D$2,mission_unlock_criteria!$2:$2,0)-MATCH($C$2,mission_unlock_criteria!$2:$2,0)+1,FALSE)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1650 に到達</v>
      </c>
      <c r="E463" s="2" t="s">
        <v>2412</v>
      </c>
      <c r="F463" s="31" t="str">
        <f ca="1">VLOOKUP($E463,OFFSET(mission_ACH_criteria!$A$1,0,0,COUNTA(mission_ACH_criteria!$A:$A),MATCH(F$2,mission_ACH_criteria!$1:$1,0)-MATCH($E$2,mission_ACH_criteria!$1:$1,0)+1),MATCH(F$2,mission_ACH_criteria!$1:$1,0)-MATCH($E$2,mission_ACH_criteria!$1:$1,0)+1,FALSE)</f>
        <v>ユニットを 1675 種類手に入れよう！</v>
      </c>
      <c r="G463" s="27" t="s">
        <v>2453</v>
      </c>
      <c r="H463" s="31" t="str">
        <f t="shared" ca="1" si="165"/>
        <v>ギガ秘術の果実 x 3</v>
      </c>
      <c r="I463" s="31" t="str">
        <f ca="1">VLOOKUP($G463,OFFSET(mission_ACH!$A$2,0,0,COUNTA($A:$A),MATCH(I$2,mission_ACH!$2:$2,0)-MATCH($G$2,mission_ACH!$2:$2,0)+1),MATCH(I$2,mission_ACH!$2:$2,0)-MATCH($G$2,mission_ACH!$2:$2,0)+1,FALSE)</f>
        <v>unit</v>
      </c>
      <c r="J463" s="31">
        <f ca="1">VLOOKUP($G463,OFFSET(mission_ACH!$A$2,0,0,COUNTA($A:$A),MATCH(J$2,mission_ACH!$2:$2,0)-MATCH($G$2,mission_ACH!$2:$2,0)+1),MATCH(J$2,mission_ACH!$2:$2,0)-MATCH($G$2,mission_ACH!$2:$2,0)+1,FALSE)</f>
        <v>614</v>
      </c>
      <c r="K463" s="31" t="str">
        <f ca="1">IF(OR(I463="unit",I463="item"),VLOOKUP($G463,OFFSET(mission_ACH!$A$2,0,0,COUNTA($A:$A),MATCH(K$2,mission_ACH!$2:$2,0)-MATCH($G$2,mission_ACH!$2:$2,0)+1),MATCH(K$2,mission_ACH!$2:$2,0)-MATCH($G$2,mission_ACH!$2:$2,0)+1,FALSE),"")</f>
        <v>ギガ秘術の果実</v>
      </c>
      <c r="L463" s="31">
        <f ca="1">VLOOKUP($G463,OFFSET(mission_ACH!$A$2,0,0,COUNTA($A:$A),MATCH(L$2,mission_ACH!$2:$2,0)-MATCH($G$2,mission_ACH!$2:$2,0)+1),MATCH(L$2,mission_ACH!$2:$2,0)-MATCH($G$2,mission_ACH!$2:$2,0)+1,FALSE)</f>
        <v>3</v>
      </c>
      <c r="M463" s="27">
        <v>40</v>
      </c>
      <c r="N463" s="2" t="s">
        <v>352</v>
      </c>
      <c r="O463" s="2" t="s">
        <v>352</v>
      </c>
    </row>
    <row r="464" spans="1:15" ht="21" customHeight="1" x14ac:dyDescent="0.15">
      <c r="A464" s="27">
        <f t="shared" si="166"/>
        <v>30104</v>
      </c>
      <c r="B464" s="26" t="str">
        <f t="shared" ca="1" si="167"/>
        <v>ユニットを 1700 種類手に入れよう！</v>
      </c>
      <c r="C464" s="27" t="s">
        <v>2373</v>
      </c>
      <c r="D464" s="31" t="str">
        <f ca="1">VLOOKUP($C464,OFFSET(mission_unlock_criteria!$A$2,0,0,COUNTA(mission_unlock_criteria!$A:$A),MATCH(D$2,mission_unlock_criteria!$2:$2,0)-MATCH($C$2,mission_unlock_criteria!$2:$2,0)+1),MATCH(D$2,mission_unlock_criteria!$2:$2,0)-MATCH($C$2,mission_unlock_criteria!$2:$2,0)+1,FALSE)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1675 に到達</v>
      </c>
      <c r="E464" s="2" t="s">
        <v>2413</v>
      </c>
      <c r="F464" s="31" t="str">
        <f ca="1">VLOOKUP($E464,OFFSET(mission_ACH_criteria!$A$1,0,0,COUNTA(mission_ACH_criteria!$A:$A),MATCH(F$2,mission_ACH_criteria!$1:$1,0)-MATCH($E$2,mission_ACH_criteria!$1:$1,0)+1),MATCH(F$2,mission_ACH_criteria!$1:$1,0)-MATCH($E$2,mission_ACH_criteria!$1:$1,0)+1,FALSE)</f>
        <v>ユニットを 1700 種類手に入れよう！</v>
      </c>
      <c r="G464" s="27" t="s">
        <v>107</v>
      </c>
      <c r="H464" s="31" t="str">
        <f t="shared" ca="1" si="165"/>
        <v>ポリゴン x 5</v>
      </c>
      <c r="I464" s="31" t="str">
        <f ca="1">VLOOKUP($G464,OFFSET(mission_ACH!$A$2,0,0,COUNTA($A:$A),MATCH(I$2,mission_ACH!$2:$2,0)-MATCH($G$2,mission_ACH!$2:$2,0)+1),MATCH(I$2,mission_ACH!$2:$2,0)-MATCH($G$2,mission_ACH!$2:$2,0)+1,FALSE)</f>
        <v>polygon</v>
      </c>
      <c r="J464" s="31">
        <f ca="1">VLOOKUP($G464,OFFSET(mission_ACH!$A$2,0,0,COUNTA($A:$A),MATCH(J$2,mission_ACH!$2:$2,0)-MATCH($G$2,mission_ACH!$2:$2,0)+1),MATCH(J$2,mission_ACH!$2:$2,0)-MATCH($G$2,mission_ACH!$2:$2,0)+1,FALSE)</f>
        <v>5</v>
      </c>
      <c r="K464" s="31" t="str">
        <f ca="1">IF(OR(I464="unit",I464="item"),VLOOKUP($G464,OFFSET(mission_ACH!$A$2,0,0,COUNTA($A:$A),MATCH(K$2,mission_ACH!$2:$2,0)-MATCH($G$2,mission_ACH!$2:$2,0)+1),MATCH(K$2,mission_ACH!$2:$2,0)-MATCH($G$2,mission_ACH!$2:$2,0)+1,FALSE),"")</f>
        <v/>
      </c>
      <c r="L464" s="31">
        <f ca="1">VLOOKUP($G464,OFFSET(mission_ACH!$A$2,0,0,COUNTA($A:$A),MATCH(L$2,mission_ACH!$2:$2,0)-MATCH($G$2,mission_ACH!$2:$2,0)+1),MATCH(L$2,mission_ACH!$2:$2,0)-MATCH($G$2,mission_ACH!$2:$2,0)+1,FALSE)</f>
        <v>0</v>
      </c>
      <c r="M464" s="27">
        <v>40</v>
      </c>
      <c r="N464" s="2" t="s">
        <v>352</v>
      </c>
      <c r="O464" s="2" t="s">
        <v>352</v>
      </c>
    </row>
    <row r="465" spans="1:15" ht="21" customHeight="1" x14ac:dyDescent="0.15">
      <c r="A465" s="27">
        <f t="shared" si="166"/>
        <v>30105</v>
      </c>
      <c r="B465" s="26" t="str">
        <f t="shared" ca="1" si="167"/>
        <v>ユニットを 1725 種類手に入れよう！</v>
      </c>
      <c r="C465" s="27" t="s">
        <v>2374</v>
      </c>
      <c r="D465" s="31" t="str">
        <f ca="1">VLOOKUP($C465,OFFSET(mission_unlock_criteria!$A$2,0,0,COUNTA(mission_unlock_criteria!$A:$A),MATCH(D$2,mission_unlock_criteria!$2:$2,0)-MATCH($C$2,mission_unlock_criteria!$2:$2,0)+1),MATCH(D$2,mission_unlock_criteria!$2:$2,0)-MATCH($C$2,mission_unlock_criteria!$2:$2,0)+1,FALSE)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1700 に到達</v>
      </c>
      <c r="E465" s="2" t="s">
        <v>2414</v>
      </c>
      <c r="F465" s="31" t="str">
        <f ca="1">VLOOKUP($E465,OFFSET(mission_ACH_criteria!$A$1,0,0,COUNTA(mission_ACH_criteria!$A:$A),MATCH(F$2,mission_ACH_criteria!$1:$1,0)-MATCH($E$2,mission_ACH_criteria!$1:$1,0)+1),MATCH(F$2,mission_ACH_criteria!$1:$1,0)-MATCH($E$2,mission_ACH_criteria!$1:$1,0)+1,FALSE)</f>
        <v>ユニットを 1725 種類手に入れよう！</v>
      </c>
      <c r="G465" s="27" t="s">
        <v>2440</v>
      </c>
      <c r="H465" s="31" t="str">
        <f t="shared" ca="1" si="165"/>
        <v>ギガ攻めの果実 x 3</v>
      </c>
      <c r="I465" s="31" t="str">
        <f ca="1">VLOOKUP($G465,OFFSET(mission_ACH!$A$2,0,0,COUNTA($A:$A),MATCH(I$2,mission_ACH!$2:$2,0)-MATCH($G$2,mission_ACH!$2:$2,0)+1),MATCH(I$2,mission_ACH!$2:$2,0)-MATCH($G$2,mission_ACH!$2:$2,0)+1,FALSE)</f>
        <v>unit</v>
      </c>
      <c r="J465" s="31">
        <f ca="1">VLOOKUP($G465,OFFSET(mission_ACH!$A$2,0,0,COUNTA($A:$A),MATCH(J$2,mission_ACH!$2:$2,0)-MATCH($G$2,mission_ACH!$2:$2,0)+1),MATCH(J$2,mission_ACH!$2:$2,0)-MATCH($G$2,mission_ACH!$2:$2,0)+1,FALSE)</f>
        <v>611</v>
      </c>
      <c r="K465" s="31" t="str">
        <f ca="1">IF(OR(I465="unit",I465="item"),VLOOKUP($G465,OFFSET(mission_ACH!$A$2,0,0,COUNTA($A:$A),MATCH(K$2,mission_ACH!$2:$2,0)-MATCH($G$2,mission_ACH!$2:$2,0)+1),MATCH(K$2,mission_ACH!$2:$2,0)-MATCH($G$2,mission_ACH!$2:$2,0)+1,FALSE),"")</f>
        <v>ギガ攻めの果実</v>
      </c>
      <c r="L465" s="31">
        <f ca="1">VLOOKUP($G465,OFFSET(mission_ACH!$A$2,0,0,COUNTA($A:$A),MATCH(L$2,mission_ACH!$2:$2,0)-MATCH($G$2,mission_ACH!$2:$2,0)+1),MATCH(L$2,mission_ACH!$2:$2,0)-MATCH($G$2,mission_ACH!$2:$2,0)+1,FALSE)</f>
        <v>3</v>
      </c>
      <c r="M465" s="27">
        <v>40</v>
      </c>
      <c r="N465" s="2" t="s">
        <v>352</v>
      </c>
      <c r="O465" s="2" t="s">
        <v>352</v>
      </c>
    </row>
    <row r="466" spans="1:15" ht="21" customHeight="1" x14ac:dyDescent="0.15">
      <c r="A466" s="27">
        <f t="shared" si="166"/>
        <v>30106</v>
      </c>
      <c r="B466" s="26" t="str">
        <f t="shared" ca="1" si="167"/>
        <v>ユニットを 1750 種類手に入れよう！</v>
      </c>
      <c r="C466" s="27" t="s">
        <v>2375</v>
      </c>
      <c r="D466" s="31" t="str">
        <f ca="1">VLOOKUP($C466,OFFSET(mission_unlock_criteria!$A$2,0,0,COUNTA(mission_unlock_criteria!$A:$A),MATCH(D$2,mission_unlock_criteria!$2:$2,0)-MATCH($C$2,mission_unlock_criteria!$2:$2,0)+1),MATCH(D$2,mission_unlock_criteria!$2:$2,0)-MATCH($C$2,mission_unlock_criteria!$2:$2,0)+1,FALSE)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1725 に到達</v>
      </c>
      <c r="E466" s="2" t="s">
        <v>2415</v>
      </c>
      <c r="F466" s="31" t="str">
        <f ca="1">VLOOKUP($E466,OFFSET(mission_ACH_criteria!$A$1,0,0,COUNTA(mission_ACH_criteria!$A:$A),MATCH(F$2,mission_ACH_criteria!$1:$1,0)-MATCH($E$2,mission_ACH_criteria!$1:$1,0)+1),MATCH(F$2,mission_ACH_criteria!$1:$1,0)-MATCH($E$2,mission_ACH_criteria!$1:$1,0)+1,FALSE)</f>
        <v>ユニットを 1750 種類手に入れよう！</v>
      </c>
      <c r="G466" s="27" t="s">
        <v>2465</v>
      </c>
      <c r="H466" s="31" t="str">
        <f t="shared" ca="1" si="165"/>
        <v>マスターキー x 2</v>
      </c>
      <c r="I466" s="31" t="str">
        <f ca="1">VLOOKUP($G466,OFFSET(mission_ACH!$A$2,0,0,COUNTA($A:$A),MATCH(I$2,mission_ACH!$2:$2,0)-MATCH($G$2,mission_ACH!$2:$2,0)+1),MATCH(I$2,mission_ACH!$2:$2,0)-MATCH($G$2,mission_ACH!$2:$2,0)+1,FALSE)</f>
        <v>item</v>
      </c>
      <c r="J466" s="31">
        <f ca="1">VLOOKUP($G466,OFFSET(mission_ACH!$A$2,0,0,COUNTA($A:$A),MATCH(J$2,mission_ACH!$2:$2,0)-MATCH($G$2,mission_ACH!$2:$2,0)+1),MATCH(J$2,mission_ACH!$2:$2,0)-MATCH($G$2,mission_ACH!$2:$2,0)+1,FALSE)</f>
        <v>1</v>
      </c>
      <c r="K466" s="31" t="str">
        <f ca="1">IF(OR(I466="unit",I466="item"),VLOOKUP($G466,OFFSET(mission_ACH!$A$2,0,0,COUNTA($A:$A),MATCH(K$2,mission_ACH!$2:$2,0)-MATCH($G$2,mission_ACH!$2:$2,0)+1),MATCH(K$2,mission_ACH!$2:$2,0)-MATCH($G$2,mission_ACH!$2:$2,0)+1,FALSE),"")</f>
        <v>マスターキー</v>
      </c>
      <c r="L466" s="31">
        <f ca="1">VLOOKUP($G466,OFFSET(mission_ACH!$A$2,0,0,COUNTA($A:$A),MATCH(L$2,mission_ACH!$2:$2,0)-MATCH($G$2,mission_ACH!$2:$2,0)+1),MATCH(L$2,mission_ACH!$2:$2,0)-MATCH($G$2,mission_ACH!$2:$2,0)+1,FALSE)</f>
        <v>2</v>
      </c>
      <c r="M466" s="27">
        <v>40</v>
      </c>
      <c r="N466" s="2" t="s">
        <v>352</v>
      </c>
      <c r="O466" s="2" t="s">
        <v>352</v>
      </c>
    </row>
    <row r="467" spans="1:15" ht="21" customHeight="1" x14ac:dyDescent="0.15">
      <c r="A467" s="27">
        <f t="shared" si="166"/>
        <v>30107</v>
      </c>
      <c r="B467" s="26" t="str">
        <f t="shared" ca="1" si="167"/>
        <v>ユニットを 1775 種類手に入れよう！</v>
      </c>
      <c r="C467" s="27" t="s">
        <v>2376</v>
      </c>
      <c r="D467" s="31" t="str">
        <f ca="1">VLOOKUP($C467,OFFSET(mission_unlock_criteria!$A$2,0,0,COUNTA(mission_unlock_criteria!$A:$A),MATCH(D$2,mission_unlock_criteria!$2:$2,0)-MATCH($C$2,mission_unlock_criteria!$2:$2,0)+1),MATCH(D$2,mission_unlock_criteria!$2:$2,0)-MATCH($C$2,mission_unlock_criteria!$2:$2,0)+1,FALSE)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1750 に到達</v>
      </c>
      <c r="E467" s="2" t="s">
        <v>2416</v>
      </c>
      <c r="F467" s="31" t="str">
        <f ca="1">VLOOKUP($E467,OFFSET(mission_ACH_criteria!$A$1,0,0,COUNTA(mission_ACH_criteria!$A:$A),MATCH(F$2,mission_ACH_criteria!$1:$1,0)-MATCH($E$2,mission_ACH_criteria!$1:$1,0)+1),MATCH(F$2,mission_ACH_criteria!$1:$1,0)-MATCH($E$2,mission_ACH_criteria!$1:$1,0)+1,FALSE)</f>
        <v>ユニットを 1775 種類手に入れよう！</v>
      </c>
      <c r="G467" s="27" t="s">
        <v>2445</v>
      </c>
      <c r="H467" s="31" t="str">
        <f t="shared" ca="1" si="165"/>
        <v>ギガ生命の果実 x 3</v>
      </c>
      <c r="I467" s="31" t="str">
        <f ca="1">VLOOKUP($G467,OFFSET(mission_ACH!$A$2,0,0,COUNTA($A:$A),MATCH(I$2,mission_ACH!$2:$2,0)-MATCH($G$2,mission_ACH!$2:$2,0)+1),MATCH(I$2,mission_ACH!$2:$2,0)-MATCH($G$2,mission_ACH!$2:$2,0)+1,FALSE)</f>
        <v>unit</v>
      </c>
      <c r="J467" s="31">
        <f ca="1">VLOOKUP($G467,OFFSET(mission_ACH!$A$2,0,0,COUNTA($A:$A),MATCH(J$2,mission_ACH!$2:$2,0)-MATCH($G$2,mission_ACH!$2:$2,0)+1),MATCH(J$2,mission_ACH!$2:$2,0)-MATCH($G$2,mission_ACH!$2:$2,0)+1,FALSE)</f>
        <v>612</v>
      </c>
      <c r="K467" s="31" t="str">
        <f ca="1">IF(OR(I467="unit",I467="item"),VLOOKUP($G467,OFFSET(mission_ACH!$A$2,0,0,COUNTA($A:$A),MATCH(K$2,mission_ACH!$2:$2,0)-MATCH($G$2,mission_ACH!$2:$2,0)+1),MATCH(K$2,mission_ACH!$2:$2,0)-MATCH($G$2,mission_ACH!$2:$2,0)+1,FALSE),"")</f>
        <v>ギガ生命の果実</v>
      </c>
      <c r="L467" s="31">
        <f ca="1">VLOOKUP($G467,OFFSET(mission_ACH!$A$2,0,0,COUNTA($A:$A),MATCH(L$2,mission_ACH!$2:$2,0)-MATCH($G$2,mission_ACH!$2:$2,0)+1),MATCH(L$2,mission_ACH!$2:$2,0)-MATCH($G$2,mission_ACH!$2:$2,0)+1,FALSE)</f>
        <v>3</v>
      </c>
      <c r="M467" s="27">
        <v>40</v>
      </c>
      <c r="N467" s="2" t="s">
        <v>352</v>
      </c>
      <c r="O467" s="2" t="s">
        <v>352</v>
      </c>
    </row>
    <row r="468" spans="1:15" ht="21" customHeight="1" x14ac:dyDescent="0.15">
      <c r="A468" s="27">
        <f t="shared" si="166"/>
        <v>30108</v>
      </c>
      <c r="B468" s="26" t="str">
        <f t="shared" ca="1" si="167"/>
        <v>ユニットを 1800 種類手に入れよう！</v>
      </c>
      <c r="C468" s="27" t="s">
        <v>2377</v>
      </c>
      <c r="D468" s="31" t="str">
        <f ca="1">VLOOKUP($C468,OFFSET(mission_unlock_criteria!$A$2,0,0,COUNTA(mission_unlock_criteria!$A:$A),MATCH(D$2,mission_unlock_criteria!$2:$2,0)-MATCH($C$2,mission_unlock_criteria!$2:$2,0)+1),MATCH(D$2,mission_unlock_criteria!$2:$2,0)-MATCH($C$2,mission_unlock_criteria!$2:$2,0)+1,FALSE)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1775 に到達</v>
      </c>
      <c r="E468" s="2" t="s">
        <v>2417</v>
      </c>
      <c r="F468" s="31" t="str">
        <f ca="1">VLOOKUP($E468,OFFSET(mission_ACH_criteria!$A$1,0,0,COUNTA(mission_ACH_criteria!$A:$A),MATCH(F$2,mission_ACH_criteria!$1:$1,0)-MATCH($E$2,mission_ACH_criteria!$1:$1,0)+1),MATCH(F$2,mission_ACH_criteria!$1:$1,0)-MATCH($E$2,mission_ACH_criteria!$1:$1,0)+1,FALSE)</f>
        <v>ユニットを 1800 種類手に入れよう！</v>
      </c>
      <c r="G468" s="27" t="s">
        <v>107</v>
      </c>
      <c r="H468" s="31" t="str">
        <f t="shared" ca="1" si="165"/>
        <v>ポリゴン x 5</v>
      </c>
      <c r="I468" s="31" t="str">
        <f ca="1">VLOOKUP($G468,OFFSET(mission_ACH!$A$2,0,0,COUNTA($A:$A),MATCH(I$2,mission_ACH!$2:$2,0)-MATCH($G$2,mission_ACH!$2:$2,0)+1),MATCH(I$2,mission_ACH!$2:$2,0)-MATCH($G$2,mission_ACH!$2:$2,0)+1,FALSE)</f>
        <v>polygon</v>
      </c>
      <c r="J468" s="31">
        <f ca="1">VLOOKUP($G468,OFFSET(mission_ACH!$A$2,0,0,COUNTA($A:$A),MATCH(J$2,mission_ACH!$2:$2,0)-MATCH($G$2,mission_ACH!$2:$2,0)+1),MATCH(J$2,mission_ACH!$2:$2,0)-MATCH($G$2,mission_ACH!$2:$2,0)+1,FALSE)</f>
        <v>5</v>
      </c>
      <c r="K468" s="31" t="str">
        <f ca="1">IF(OR(I468="unit",I468="item"),VLOOKUP($G468,OFFSET(mission_ACH!$A$2,0,0,COUNTA($A:$A),MATCH(K$2,mission_ACH!$2:$2,0)-MATCH($G$2,mission_ACH!$2:$2,0)+1),MATCH(K$2,mission_ACH!$2:$2,0)-MATCH($G$2,mission_ACH!$2:$2,0)+1,FALSE),"")</f>
        <v/>
      </c>
      <c r="L468" s="31">
        <f ca="1">VLOOKUP($G468,OFFSET(mission_ACH!$A$2,0,0,COUNTA($A:$A),MATCH(L$2,mission_ACH!$2:$2,0)-MATCH($G$2,mission_ACH!$2:$2,0)+1),MATCH(L$2,mission_ACH!$2:$2,0)-MATCH($G$2,mission_ACH!$2:$2,0)+1,FALSE)</f>
        <v>0</v>
      </c>
      <c r="M468" s="27">
        <v>40</v>
      </c>
      <c r="N468" s="2" t="s">
        <v>352</v>
      </c>
      <c r="O468" s="2" t="s">
        <v>352</v>
      </c>
    </row>
    <row r="469" spans="1:15" ht="21" customHeight="1" x14ac:dyDescent="0.15">
      <c r="A469" s="27">
        <f t="shared" si="166"/>
        <v>30109</v>
      </c>
      <c r="B469" s="26" t="str">
        <f t="shared" ca="1" si="167"/>
        <v>ユニットを 1825 種類手に入れよう！</v>
      </c>
      <c r="C469" s="27" t="s">
        <v>2378</v>
      </c>
      <c r="D469" s="31" t="str">
        <f ca="1">VLOOKUP($C469,OFFSET(mission_unlock_criteria!$A$2,0,0,COUNTA(mission_unlock_criteria!$A:$A),MATCH(D$2,mission_unlock_criteria!$2:$2,0)-MATCH($C$2,mission_unlock_criteria!$2:$2,0)+1),MATCH(D$2,mission_unlock_criteria!$2:$2,0)-MATCH($C$2,mission_unlock_criteria!$2:$2,0)+1,FALSE)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1800 に到達</v>
      </c>
      <c r="E469" s="2" t="s">
        <v>2418</v>
      </c>
      <c r="F469" s="31" t="str">
        <f ca="1">VLOOKUP($E469,OFFSET(mission_ACH_criteria!$A$1,0,0,COUNTA(mission_ACH_criteria!$A:$A),MATCH(F$2,mission_ACH_criteria!$1:$1,0)-MATCH($E$2,mission_ACH_criteria!$1:$1,0)+1),MATCH(F$2,mission_ACH_criteria!$1:$1,0)-MATCH($E$2,mission_ACH_criteria!$1:$1,0)+1,FALSE)</f>
        <v>ユニットを 1825 種類手に入れよう！</v>
      </c>
      <c r="G469" s="27" t="s">
        <v>2449</v>
      </c>
      <c r="H469" s="31" t="str">
        <f t="shared" ca="1" si="165"/>
        <v>ギガ癒しの果実 x 3</v>
      </c>
      <c r="I469" s="31" t="str">
        <f ca="1">VLOOKUP($G469,OFFSET(mission_ACH!$A$2,0,0,COUNTA($A:$A),MATCH(I$2,mission_ACH!$2:$2,0)-MATCH($G$2,mission_ACH!$2:$2,0)+1),MATCH(I$2,mission_ACH!$2:$2,0)-MATCH($G$2,mission_ACH!$2:$2,0)+1,FALSE)</f>
        <v>unit</v>
      </c>
      <c r="J469" s="31">
        <f ca="1">VLOOKUP($G469,OFFSET(mission_ACH!$A$2,0,0,COUNTA($A:$A),MATCH(J$2,mission_ACH!$2:$2,0)-MATCH($G$2,mission_ACH!$2:$2,0)+1),MATCH(J$2,mission_ACH!$2:$2,0)-MATCH($G$2,mission_ACH!$2:$2,0)+1,FALSE)</f>
        <v>613</v>
      </c>
      <c r="K469" s="31" t="str">
        <f ca="1">IF(OR(I469="unit",I469="item"),VLOOKUP($G469,OFFSET(mission_ACH!$A$2,0,0,COUNTA($A:$A),MATCH(K$2,mission_ACH!$2:$2,0)-MATCH($G$2,mission_ACH!$2:$2,0)+1),MATCH(K$2,mission_ACH!$2:$2,0)-MATCH($G$2,mission_ACH!$2:$2,0)+1,FALSE),"")</f>
        <v>ギガ癒しの果実</v>
      </c>
      <c r="L469" s="31">
        <f ca="1">VLOOKUP($G469,OFFSET(mission_ACH!$A$2,0,0,COUNTA($A:$A),MATCH(L$2,mission_ACH!$2:$2,0)-MATCH($G$2,mission_ACH!$2:$2,0)+1),MATCH(L$2,mission_ACH!$2:$2,0)-MATCH($G$2,mission_ACH!$2:$2,0)+1,FALSE)</f>
        <v>3</v>
      </c>
      <c r="M469" s="27">
        <v>40</v>
      </c>
      <c r="N469" s="2" t="s">
        <v>352</v>
      </c>
      <c r="O469" s="2" t="s">
        <v>352</v>
      </c>
    </row>
    <row r="470" spans="1:15" ht="21" customHeight="1" x14ac:dyDescent="0.15">
      <c r="A470" s="27">
        <f t="shared" si="166"/>
        <v>30110</v>
      </c>
      <c r="B470" s="26" t="str">
        <f t="shared" ca="1" si="167"/>
        <v>ユニットを 1850 種類手に入れよう！</v>
      </c>
      <c r="C470" s="27" t="s">
        <v>2379</v>
      </c>
      <c r="D470" s="31" t="str">
        <f ca="1">VLOOKUP($C470,OFFSET(mission_unlock_criteria!$A$2,0,0,COUNTA(mission_unlock_criteria!$A:$A),MATCH(D$2,mission_unlock_criteria!$2:$2,0)-MATCH($C$2,mission_unlock_criteria!$2:$2,0)+1),MATCH(D$2,mission_unlock_criteria!$2:$2,0)-MATCH($C$2,mission_unlock_criteria!$2:$2,0)+1,FALSE)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1825 に到達</v>
      </c>
      <c r="E470" s="2" t="s">
        <v>2419</v>
      </c>
      <c r="F470" s="31" t="str">
        <f ca="1">VLOOKUP($E470,OFFSET(mission_ACH_criteria!$A$1,0,0,COUNTA(mission_ACH_criteria!$A:$A),MATCH(F$2,mission_ACH_criteria!$1:$1,0)-MATCH($E$2,mission_ACH_criteria!$1:$1,0)+1),MATCH(F$2,mission_ACH_criteria!$1:$1,0)-MATCH($E$2,mission_ACH_criteria!$1:$1,0)+1,FALSE)</f>
        <v>ユニットを 1850 種類手に入れよう！</v>
      </c>
      <c r="G470" s="27" t="s">
        <v>2465</v>
      </c>
      <c r="H470" s="31" t="str">
        <f t="shared" ca="1" si="165"/>
        <v>マスターキー x 2</v>
      </c>
      <c r="I470" s="31" t="str">
        <f ca="1">VLOOKUP($G470,OFFSET(mission_ACH!$A$2,0,0,COUNTA($A:$A),MATCH(I$2,mission_ACH!$2:$2,0)-MATCH($G$2,mission_ACH!$2:$2,0)+1),MATCH(I$2,mission_ACH!$2:$2,0)-MATCH($G$2,mission_ACH!$2:$2,0)+1,FALSE)</f>
        <v>item</v>
      </c>
      <c r="J470" s="31">
        <f ca="1">VLOOKUP($G470,OFFSET(mission_ACH!$A$2,0,0,COUNTA($A:$A),MATCH(J$2,mission_ACH!$2:$2,0)-MATCH($G$2,mission_ACH!$2:$2,0)+1),MATCH(J$2,mission_ACH!$2:$2,0)-MATCH($G$2,mission_ACH!$2:$2,0)+1,FALSE)</f>
        <v>1</v>
      </c>
      <c r="K470" s="31" t="str">
        <f ca="1">IF(OR(I470="unit",I470="item"),VLOOKUP($G470,OFFSET(mission_ACH!$A$2,0,0,COUNTA($A:$A),MATCH(K$2,mission_ACH!$2:$2,0)-MATCH($G$2,mission_ACH!$2:$2,0)+1),MATCH(K$2,mission_ACH!$2:$2,0)-MATCH($G$2,mission_ACH!$2:$2,0)+1,FALSE),"")</f>
        <v>マスターキー</v>
      </c>
      <c r="L470" s="31">
        <f ca="1">VLOOKUP($G470,OFFSET(mission_ACH!$A$2,0,0,COUNTA($A:$A),MATCH(L$2,mission_ACH!$2:$2,0)-MATCH($G$2,mission_ACH!$2:$2,0)+1),MATCH(L$2,mission_ACH!$2:$2,0)-MATCH($G$2,mission_ACH!$2:$2,0)+1,FALSE)</f>
        <v>2</v>
      </c>
      <c r="M470" s="27">
        <v>40</v>
      </c>
      <c r="N470" s="2" t="s">
        <v>352</v>
      </c>
      <c r="O470" s="2" t="s">
        <v>352</v>
      </c>
    </row>
    <row r="471" spans="1:15" ht="21" customHeight="1" x14ac:dyDescent="0.15">
      <c r="A471" s="27">
        <f t="shared" si="166"/>
        <v>30111</v>
      </c>
      <c r="B471" s="26" t="str">
        <f t="shared" ca="1" si="167"/>
        <v>ユニットを 1875 種類手に入れよう！</v>
      </c>
      <c r="C471" s="27" t="s">
        <v>2380</v>
      </c>
      <c r="D471" s="31" t="str">
        <f ca="1">VLOOKUP($C471,OFFSET(mission_unlock_criteria!$A$2,0,0,COUNTA(mission_unlock_criteria!$A:$A),MATCH(D$2,mission_unlock_criteria!$2:$2,0)-MATCH($C$2,mission_unlock_criteria!$2:$2,0)+1),MATCH(D$2,mission_unlock_criteria!$2:$2,0)-MATCH($C$2,mission_unlock_criteria!$2:$2,0)+1,FALSE)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1850 に到達</v>
      </c>
      <c r="E471" s="2" t="s">
        <v>109</v>
      </c>
      <c r="F471" s="31" t="str">
        <f ca="1">VLOOKUP($E471,OFFSET(mission_ACH_criteria!$A$1,0,0,COUNTA(mission_ACH_criteria!$A:$A),MATCH(F$2,mission_ACH_criteria!$1:$1,0)-MATCH($E$2,mission_ACH_criteria!$1:$1,0)+1),MATCH(F$2,mission_ACH_criteria!$1:$1,0)-MATCH($E$2,mission_ACH_criteria!$1:$1,0)+1,FALSE)</f>
        <v>ユニットを 1875 種類手に入れよう！</v>
      </c>
      <c r="G471" s="27" t="s">
        <v>2453</v>
      </c>
      <c r="H471" s="31" t="str">
        <f t="shared" ca="1" si="165"/>
        <v>ギガ秘術の果実 x 3</v>
      </c>
      <c r="I471" s="31" t="str">
        <f ca="1">VLOOKUP($G471,OFFSET(mission_ACH!$A$2,0,0,COUNTA($A:$A),MATCH(I$2,mission_ACH!$2:$2,0)-MATCH($G$2,mission_ACH!$2:$2,0)+1),MATCH(I$2,mission_ACH!$2:$2,0)-MATCH($G$2,mission_ACH!$2:$2,0)+1,FALSE)</f>
        <v>unit</v>
      </c>
      <c r="J471" s="31">
        <f ca="1">VLOOKUP($G471,OFFSET(mission_ACH!$A$2,0,0,COUNTA($A:$A),MATCH(J$2,mission_ACH!$2:$2,0)-MATCH($G$2,mission_ACH!$2:$2,0)+1),MATCH(J$2,mission_ACH!$2:$2,0)-MATCH($G$2,mission_ACH!$2:$2,0)+1,FALSE)</f>
        <v>614</v>
      </c>
      <c r="K471" s="31" t="str">
        <f ca="1">IF(OR(I471="unit",I471="item"),VLOOKUP($G471,OFFSET(mission_ACH!$A$2,0,0,COUNTA($A:$A),MATCH(K$2,mission_ACH!$2:$2,0)-MATCH($G$2,mission_ACH!$2:$2,0)+1),MATCH(K$2,mission_ACH!$2:$2,0)-MATCH($G$2,mission_ACH!$2:$2,0)+1,FALSE),"")</f>
        <v>ギガ秘術の果実</v>
      </c>
      <c r="L471" s="31">
        <f ca="1">VLOOKUP($G471,OFFSET(mission_ACH!$A$2,0,0,COUNTA($A:$A),MATCH(L$2,mission_ACH!$2:$2,0)-MATCH($G$2,mission_ACH!$2:$2,0)+1),MATCH(L$2,mission_ACH!$2:$2,0)-MATCH($G$2,mission_ACH!$2:$2,0)+1,FALSE)</f>
        <v>3</v>
      </c>
      <c r="M471" s="27">
        <v>40</v>
      </c>
      <c r="N471" s="2" t="s">
        <v>352</v>
      </c>
      <c r="O471" s="2" t="s">
        <v>352</v>
      </c>
    </row>
    <row r="472" spans="1:15" ht="21" customHeight="1" x14ac:dyDescent="0.15">
      <c r="A472" s="27">
        <f t="shared" si="166"/>
        <v>30112</v>
      </c>
      <c r="B472" s="26" t="str">
        <f t="shared" ca="1" si="167"/>
        <v>ユニットを 1900 種類手に入れよう！</v>
      </c>
      <c r="C472" s="27" t="s">
        <v>2381</v>
      </c>
      <c r="D472" s="31" t="str">
        <f ca="1">VLOOKUP($C472,OFFSET(mission_unlock_criteria!$A$2,0,0,COUNTA(mission_unlock_criteria!$A:$A),MATCH(D$2,mission_unlock_criteria!$2:$2,0)-MATCH($C$2,mission_unlock_criteria!$2:$2,0)+1),MATCH(D$2,mission_unlock_criteria!$2:$2,0)-MATCH($C$2,mission_unlock_criteria!$2:$2,0)+1,FALSE)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1875 に到達</v>
      </c>
      <c r="E472" s="2" t="s">
        <v>2420</v>
      </c>
      <c r="F472" s="31" t="str">
        <f ca="1">VLOOKUP($E472,OFFSET(mission_ACH_criteria!$A$1,0,0,COUNTA(mission_ACH_criteria!$A:$A),MATCH(F$2,mission_ACH_criteria!$1:$1,0)-MATCH($E$2,mission_ACH_criteria!$1:$1,0)+1),MATCH(F$2,mission_ACH_criteria!$1:$1,0)-MATCH($E$2,mission_ACH_criteria!$1:$1,0)+1,FALSE)</f>
        <v>ユニットを 1900 種類手に入れよう！</v>
      </c>
      <c r="G472" s="27" t="s">
        <v>107</v>
      </c>
      <c r="H472" s="31" t="str">
        <f t="shared" ca="1" si="165"/>
        <v>ポリゴン x 5</v>
      </c>
      <c r="I472" s="31" t="str">
        <f ca="1">VLOOKUP($G472,OFFSET(mission_ACH!$A$2,0,0,COUNTA($A:$A),MATCH(I$2,mission_ACH!$2:$2,0)-MATCH($G$2,mission_ACH!$2:$2,0)+1),MATCH(I$2,mission_ACH!$2:$2,0)-MATCH($G$2,mission_ACH!$2:$2,0)+1,FALSE)</f>
        <v>polygon</v>
      </c>
      <c r="J472" s="31">
        <f ca="1">VLOOKUP($G472,OFFSET(mission_ACH!$A$2,0,0,COUNTA($A:$A),MATCH(J$2,mission_ACH!$2:$2,0)-MATCH($G$2,mission_ACH!$2:$2,0)+1),MATCH(J$2,mission_ACH!$2:$2,0)-MATCH($G$2,mission_ACH!$2:$2,0)+1,FALSE)</f>
        <v>5</v>
      </c>
      <c r="K472" s="31" t="str">
        <f ca="1">IF(OR(I472="unit",I472="item"),VLOOKUP($G472,OFFSET(mission_ACH!$A$2,0,0,COUNTA($A:$A),MATCH(K$2,mission_ACH!$2:$2,0)-MATCH($G$2,mission_ACH!$2:$2,0)+1),MATCH(K$2,mission_ACH!$2:$2,0)-MATCH($G$2,mission_ACH!$2:$2,0)+1,FALSE),"")</f>
        <v/>
      </c>
      <c r="L472" s="31">
        <f ca="1">VLOOKUP($G472,OFFSET(mission_ACH!$A$2,0,0,COUNTA($A:$A),MATCH(L$2,mission_ACH!$2:$2,0)-MATCH($G$2,mission_ACH!$2:$2,0)+1),MATCH(L$2,mission_ACH!$2:$2,0)-MATCH($G$2,mission_ACH!$2:$2,0)+1,FALSE)</f>
        <v>0</v>
      </c>
      <c r="M472" s="27">
        <v>40</v>
      </c>
      <c r="N472" s="2" t="s">
        <v>352</v>
      </c>
      <c r="O472" s="2" t="s">
        <v>352</v>
      </c>
    </row>
    <row r="473" spans="1:15" ht="21" customHeight="1" x14ac:dyDescent="0.15">
      <c r="A473" s="27">
        <f t="shared" si="166"/>
        <v>30113</v>
      </c>
      <c r="B473" s="26" t="str">
        <f t="shared" ca="1" si="167"/>
        <v>ユニットを 1925 種類手に入れよう！</v>
      </c>
      <c r="C473" s="27" t="s">
        <v>2382</v>
      </c>
      <c r="D473" s="31" t="str">
        <f ca="1">VLOOKUP($C473,OFFSET(mission_unlock_criteria!$A$2,0,0,COUNTA(mission_unlock_criteria!$A:$A),MATCH(D$2,mission_unlock_criteria!$2:$2,0)-MATCH($C$2,mission_unlock_criteria!$2:$2,0)+1),MATCH(D$2,mission_unlock_criteria!$2:$2,0)-MATCH($C$2,mission_unlock_criteria!$2:$2,0)+1,FALSE)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1900 に到達</v>
      </c>
      <c r="E473" s="2" t="s">
        <v>2421</v>
      </c>
      <c r="F473" s="31" t="str">
        <f ca="1">VLOOKUP($E473,OFFSET(mission_ACH_criteria!$A$1,0,0,COUNTA(mission_ACH_criteria!$A:$A),MATCH(F$2,mission_ACH_criteria!$1:$1,0)-MATCH($E$2,mission_ACH_criteria!$1:$1,0)+1),MATCH(F$2,mission_ACH_criteria!$1:$1,0)-MATCH($E$2,mission_ACH_criteria!$1:$1,0)+1,FALSE)</f>
        <v>ユニットを 1925 種類手に入れよう！</v>
      </c>
      <c r="G473" s="27" t="s">
        <v>2440</v>
      </c>
      <c r="H473" s="31" t="str">
        <f t="shared" ca="1" si="165"/>
        <v>ギガ攻めの果実 x 3</v>
      </c>
      <c r="I473" s="31" t="str">
        <f ca="1">VLOOKUP($G473,OFFSET(mission_ACH!$A$2,0,0,COUNTA($A:$A),MATCH(I$2,mission_ACH!$2:$2,0)-MATCH($G$2,mission_ACH!$2:$2,0)+1),MATCH(I$2,mission_ACH!$2:$2,0)-MATCH($G$2,mission_ACH!$2:$2,0)+1,FALSE)</f>
        <v>unit</v>
      </c>
      <c r="J473" s="31">
        <f ca="1">VLOOKUP($G473,OFFSET(mission_ACH!$A$2,0,0,COUNTA($A:$A),MATCH(J$2,mission_ACH!$2:$2,0)-MATCH($G$2,mission_ACH!$2:$2,0)+1),MATCH(J$2,mission_ACH!$2:$2,0)-MATCH($G$2,mission_ACH!$2:$2,0)+1,FALSE)</f>
        <v>611</v>
      </c>
      <c r="K473" s="31" t="str">
        <f ca="1">IF(OR(I473="unit",I473="item"),VLOOKUP($G473,OFFSET(mission_ACH!$A$2,0,0,COUNTA($A:$A),MATCH(K$2,mission_ACH!$2:$2,0)-MATCH($G$2,mission_ACH!$2:$2,0)+1),MATCH(K$2,mission_ACH!$2:$2,0)-MATCH($G$2,mission_ACH!$2:$2,0)+1,FALSE),"")</f>
        <v>ギガ攻めの果実</v>
      </c>
      <c r="L473" s="31">
        <f ca="1">VLOOKUP($G473,OFFSET(mission_ACH!$A$2,0,0,COUNTA($A:$A),MATCH(L$2,mission_ACH!$2:$2,0)-MATCH($G$2,mission_ACH!$2:$2,0)+1),MATCH(L$2,mission_ACH!$2:$2,0)-MATCH($G$2,mission_ACH!$2:$2,0)+1,FALSE)</f>
        <v>3</v>
      </c>
      <c r="M473" s="27">
        <v>40</v>
      </c>
      <c r="N473" s="2" t="s">
        <v>352</v>
      </c>
      <c r="O473" s="2" t="s">
        <v>352</v>
      </c>
    </row>
    <row r="474" spans="1:15" ht="21" customHeight="1" x14ac:dyDescent="0.15">
      <c r="A474" s="27">
        <f t="shared" si="166"/>
        <v>30114</v>
      </c>
      <c r="B474" s="26" t="str">
        <f t="shared" ca="1" si="167"/>
        <v>ユニットを 1950 種類手に入れよう！</v>
      </c>
      <c r="C474" s="27" t="s">
        <v>2383</v>
      </c>
      <c r="D474" s="31" t="str">
        <f ca="1">VLOOKUP($C474,OFFSET(mission_unlock_criteria!$A$2,0,0,COUNTA(mission_unlock_criteria!$A:$A),MATCH(D$2,mission_unlock_criteria!$2:$2,0)-MATCH($C$2,mission_unlock_criteria!$2:$2,0)+1),MATCH(D$2,mission_unlock_criteria!$2:$2,0)-MATCH($C$2,mission_unlock_criteria!$2:$2,0)+1,FALSE)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1925 に到達</v>
      </c>
      <c r="E474" s="2" t="s">
        <v>2422</v>
      </c>
      <c r="F474" s="31" t="str">
        <f ca="1">VLOOKUP($E474,OFFSET(mission_ACH_criteria!$A$1,0,0,COUNTA(mission_ACH_criteria!$A:$A),MATCH(F$2,mission_ACH_criteria!$1:$1,0)-MATCH($E$2,mission_ACH_criteria!$1:$1,0)+1),MATCH(F$2,mission_ACH_criteria!$1:$1,0)-MATCH($E$2,mission_ACH_criteria!$1:$1,0)+1,FALSE)</f>
        <v>ユニットを 1950 種類手に入れよう！</v>
      </c>
      <c r="G474" s="27" t="s">
        <v>2465</v>
      </c>
      <c r="H474" s="31" t="str">
        <f t="shared" ca="1" si="165"/>
        <v>マスターキー x 2</v>
      </c>
      <c r="I474" s="31" t="str">
        <f ca="1">VLOOKUP($G474,OFFSET(mission_ACH!$A$2,0,0,COUNTA($A:$A),MATCH(I$2,mission_ACH!$2:$2,0)-MATCH($G$2,mission_ACH!$2:$2,0)+1),MATCH(I$2,mission_ACH!$2:$2,0)-MATCH($G$2,mission_ACH!$2:$2,0)+1,FALSE)</f>
        <v>item</v>
      </c>
      <c r="J474" s="31">
        <f ca="1">VLOOKUP($G474,OFFSET(mission_ACH!$A$2,0,0,COUNTA($A:$A),MATCH(J$2,mission_ACH!$2:$2,0)-MATCH($G$2,mission_ACH!$2:$2,0)+1),MATCH(J$2,mission_ACH!$2:$2,0)-MATCH($G$2,mission_ACH!$2:$2,0)+1,FALSE)</f>
        <v>1</v>
      </c>
      <c r="K474" s="31" t="str">
        <f ca="1">IF(OR(I474="unit",I474="item"),VLOOKUP($G474,OFFSET(mission_ACH!$A$2,0,0,COUNTA($A:$A),MATCH(K$2,mission_ACH!$2:$2,0)-MATCH($G$2,mission_ACH!$2:$2,0)+1),MATCH(K$2,mission_ACH!$2:$2,0)-MATCH($G$2,mission_ACH!$2:$2,0)+1,FALSE),"")</f>
        <v>マスターキー</v>
      </c>
      <c r="L474" s="31">
        <f ca="1">VLOOKUP($G474,OFFSET(mission_ACH!$A$2,0,0,COUNTA($A:$A),MATCH(L$2,mission_ACH!$2:$2,0)-MATCH($G$2,mission_ACH!$2:$2,0)+1),MATCH(L$2,mission_ACH!$2:$2,0)-MATCH($G$2,mission_ACH!$2:$2,0)+1,FALSE)</f>
        <v>2</v>
      </c>
      <c r="M474" s="27">
        <v>40</v>
      </c>
      <c r="N474" s="2" t="s">
        <v>352</v>
      </c>
      <c r="O474" s="2" t="s">
        <v>352</v>
      </c>
    </row>
    <row r="475" spans="1:15" ht="21" customHeight="1" x14ac:dyDescent="0.15">
      <c r="A475" s="27">
        <f t="shared" si="166"/>
        <v>30115</v>
      </c>
      <c r="B475" s="26" t="str">
        <f t="shared" ca="1" si="167"/>
        <v>ユニットを 1975 種類手に入れよう！</v>
      </c>
      <c r="C475" s="27" t="s">
        <v>2384</v>
      </c>
      <c r="D475" s="31" t="str">
        <f ca="1">VLOOKUP($C475,OFFSET(mission_unlock_criteria!$A$2,0,0,COUNTA(mission_unlock_criteria!$A:$A),MATCH(D$2,mission_unlock_criteria!$2:$2,0)-MATCH($C$2,mission_unlock_criteria!$2:$2,0)+1),MATCH(D$2,mission_unlock_criteria!$2:$2,0)-MATCH($C$2,mission_unlock_criteria!$2:$2,0)+1,FALSE)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1950 に到達</v>
      </c>
      <c r="E475" s="2" t="s">
        <v>2423</v>
      </c>
      <c r="F475" s="31" t="str">
        <f ca="1">VLOOKUP($E475,OFFSET(mission_ACH_criteria!$A$1,0,0,COUNTA(mission_ACH_criteria!$A:$A),MATCH(F$2,mission_ACH_criteria!$1:$1,0)-MATCH($E$2,mission_ACH_criteria!$1:$1,0)+1),MATCH(F$2,mission_ACH_criteria!$1:$1,0)-MATCH($E$2,mission_ACH_criteria!$1:$1,0)+1,FALSE)</f>
        <v>ユニットを 1975 種類手に入れよう！</v>
      </c>
      <c r="G475" s="27" t="s">
        <v>2445</v>
      </c>
      <c r="H475" s="31" t="str">
        <f t="shared" ca="1" si="165"/>
        <v>ギガ生命の果実 x 3</v>
      </c>
      <c r="I475" s="31" t="str">
        <f ca="1">VLOOKUP($G475,OFFSET(mission_ACH!$A$2,0,0,COUNTA($A:$A),MATCH(I$2,mission_ACH!$2:$2,0)-MATCH($G$2,mission_ACH!$2:$2,0)+1),MATCH(I$2,mission_ACH!$2:$2,0)-MATCH($G$2,mission_ACH!$2:$2,0)+1,FALSE)</f>
        <v>unit</v>
      </c>
      <c r="J475" s="31">
        <f ca="1">VLOOKUP($G475,OFFSET(mission_ACH!$A$2,0,0,COUNTA($A:$A),MATCH(J$2,mission_ACH!$2:$2,0)-MATCH($G$2,mission_ACH!$2:$2,0)+1),MATCH(J$2,mission_ACH!$2:$2,0)-MATCH($G$2,mission_ACH!$2:$2,0)+1,FALSE)</f>
        <v>612</v>
      </c>
      <c r="K475" s="31" t="str">
        <f ca="1">IF(OR(I475="unit",I475="item"),VLOOKUP($G475,OFFSET(mission_ACH!$A$2,0,0,COUNTA($A:$A),MATCH(K$2,mission_ACH!$2:$2,0)-MATCH($G$2,mission_ACH!$2:$2,0)+1),MATCH(K$2,mission_ACH!$2:$2,0)-MATCH($G$2,mission_ACH!$2:$2,0)+1,FALSE),"")</f>
        <v>ギガ生命の果実</v>
      </c>
      <c r="L475" s="31">
        <f ca="1">VLOOKUP($G475,OFFSET(mission_ACH!$A$2,0,0,COUNTA($A:$A),MATCH(L$2,mission_ACH!$2:$2,0)-MATCH($G$2,mission_ACH!$2:$2,0)+1),MATCH(L$2,mission_ACH!$2:$2,0)-MATCH($G$2,mission_ACH!$2:$2,0)+1,FALSE)</f>
        <v>3</v>
      </c>
      <c r="M475" s="27">
        <v>40</v>
      </c>
      <c r="N475" s="2" t="s">
        <v>352</v>
      </c>
      <c r="O475" s="2" t="s">
        <v>352</v>
      </c>
    </row>
    <row r="476" spans="1:15" ht="21" customHeight="1" x14ac:dyDescent="0.15">
      <c r="A476" s="27">
        <f t="shared" si="166"/>
        <v>30116</v>
      </c>
      <c r="B476" s="26" t="str">
        <f t="shared" ca="1" si="167"/>
        <v>ユニットを 2000 種類手に入れよう！</v>
      </c>
      <c r="C476" s="27" t="s">
        <v>2385</v>
      </c>
      <c r="D476" s="31" t="str">
        <f ca="1">VLOOKUP($C476,OFFSET(mission_unlock_criteria!$A$2,0,0,COUNTA(mission_unlock_criteria!$A:$A),MATCH(D$2,mission_unlock_criteria!$2:$2,0)-MATCH($C$2,mission_unlock_criteria!$2:$2,0)+1),MATCH(D$2,mission_unlock_criteria!$2:$2,0)-MATCH($C$2,mission_unlock_criteria!$2:$2,0)+1,FALSE)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1975 に到達</v>
      </c>
      <c r="E476" s="2" t="s">
        <v>2424</v>
      </c>
      <c r="F476" s="31" t="str">
        <f ca="1">VLOOKUP($E476,OFFSET(mission_ACH_criteria!$A$1,0,0,COUNTA(mission_ACH_criteria!$A:$A),MATCH(F$2,mission_ACH_criteria!$1:$1,0)-MATCH($E$2,mission_ACH_criteria!$1:$1,0)+1),MATCH(F$2,mission_ACH_criteria!$1:$1,0)-MATCH($E$2,mission_ACH_criteria!$1:$1,0)+1,FALSE)</f>
        <v>ユニットを 2000 種類手に入れよう！</v>
      </c>
      <c r="G476" s="27" t="s">
        <v>921</v>
      </c>
      <c r="H476" s="31" t="str">
        <f t="shared" ca="1" si="165"/>
        <v>ポリゴン x 50</v>
      </c>
      <c r="I476" s="31" t="str">
        <f ca="1">VLOOKUP($G476,OFFSET(mission_ACH!$A$2,0,0,COUNTA($A:$A),MATCH(I$2,mission_ACH!$2:$2,0)-MATCH($G$2,mission_ACH!$2:$2,0)+1),MATCH(I$2,mission_ACH!$2:$2,0)-MATCH($G$2,mission_ACH!$2:$2,0)+1,FALSE)</f>
        <v>polygon</v>
      </c>
      <c r="J476" s="31">
        <f ca="1">VLOOKUP($G476,OFFSET(mission_ACH!$A$2,0,0,COUNTA($A:$A),MATCH(J$2,mission_ACH!$2:$2,0)-MATCH($G$2,mission_ACH!$2:$2,0)+1),MATCH(J$2,mission_ACH!$2:$2,0)-MATCH($G$2,mission_ACH!$2:$2,0)+1,FALSE)</f>
        <v>50</v>
      </c>
      <c r="K476" s="31" t="str">
        <f ca="1">IF(OR(I476="unit",I476="item"),VLOOKUP($G476,OFFSET(mission_ACH!$A$2,0,0,COUNTA($A:$A),MATCH(K$2,mission_ACH!$2:$2,0)-MATCH($G$2,mission_ACH!$2:$2,0)+1),MATCH(K$2,mission_ACH!$2:$2,0)-MATCH($G$2,mission_ACH!$2:$2,0)+1,FALSE),"")</f>
        <v/>
      </c>
      <c r="L476" s="31">
        <f ca="1">VLOOKUP($G476,OFFSET(mission_ACH!$A$2,0,0,COUNTA($A:$A),MATCH(L$2,mission_ACH!$2:$2,0)-MATCH($G$2,mission_ACH!$2:$2,0)+1),MATCH(L$2,mission_ACH!$2:$2,0)-MATCH($G$2,mission_ACH!$2:$2,0)+1,FALSE)</f>
        <v>0</v>
      </c>
      <c r="M476" s="27">
        <v>40</v>
      </c>
      <c r="N476" s="2" t="s">
        <v>352</v>
      </c>
      <c r="O476" s="2" t="s">
        <v>352</v>
      </c>
    </row>
    <row r="477" spans="1:15" ht="21" customHeight="1" x14ac:dyDescent="0.15">
      <c r="A477" s="27">
        <f t="shared" si="166"/>
        <v>30117</v>
      </c>
      <c r="B477" s="26" t="str">
        <f t="shared" ca="1" si="167"/>
        <v>タワーオブザクイーン1階をクリアしよう！</v>
      </c>
      <c r="C477" s="27" t="s">
        <v>331</v>
      </c>
      <c r="D477" s="31" t="str">
        <f ca="1">VLOOKUP($C477,OFFSET(mission_unlock_criteria!$A$2,0,0,COUNTA(mission_unlock_criteria!$A:$A),MATCH(D$2,mission_unlock_criteria!$2:$2,0)-MATCH($C$2,mission_unlock_criteria!$2:$2,0)+1),MATCH(D$2,mission_unlock_criteria!$2:$2,0)-MATCH($C$2,mission_unlock_criteria!$2:$2,0)+1,FALSE)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77" s="21" t="s">
        <v>2470</v>
      </c>
      <c r="F477" s="31" t="str">
        <f ca="1">VLOOKUP($E477,OFFSET(mission_ACH_criteria!$A$1,0,0,COUNTA(mission_ACH_criteria!$A:$A),MATCH(F$2,mission_ACH_criteria!$1:$1,0)-MATCH($E$2,mission_ACH_criteria!$1:$1,0)+1),MATCH(F$2,mission_ACH_criteria!$1:$1,0)-MATCH($E$2,mission_ACH_criteria!$1:$1,0)+1,FALSE)</f>
        <v>タワーオブザクイーン1階をクリアしよう！</v>
      </c>
      <c r="G477" s="27" t="s">
        <v>398</v>
      </c>
      <c r="H477" s="31" t="str">
        <f t="shared" ref="H477" ca="1" si="168">IF(I477="unit",K477&amp;" x "&amp;L477,IF(I477="polygon","ポリゴン x "&amp;J477,IF(I477="bit","ビット x "&amp;J477,IF(I477="link","リンク x "&amp;J477))))</f>
        <v>ポリゴン x 3</v>
      </c>
      <c r="I477" s="31" t="str">
        <f ca="1">VLOOKUP($G477,OFFSET(mission_ACH!$A$2,0,0,COUNTA($A:$A),MATCH(I$2,mission_ACH!$2:$2,0)-MATCH($G$2,mission_ACH!$2:$2,0)+1),MATCH(I$2,mission_ACH!$2:$2,0)-MATCH($G$2,mission_ACH!$2:$2,0)+1,FALSE)</f>
        <v>polygon</v>
      </c>
      <c r="J477" s="31">
        <f ca="1">VLOOKUP($G477,OFFSET(mission_ACH!$A$2,0,0,COUNTA($A:$A),MATCH(J$2,mission_ACH!$2:$2,0)-MATCH($G$2,mission_ACH!$2:$2,0)+1),MATCH(J$2,mission_ACH!$2:$2,0)-MATCH($G$2,mission_ACH!$2:$2,0)+1,FALSE)</f>
        <v>3</v>
      </c>
      <c r="K477" s="31" t="str">
        <f ca="1">IF(I477="unit",VLOOKUP($G477,OFFSET(mission_ACH!$A$2,0,0,COUNTA($A:$A),MATCH(K$2,mission_ACH!$2:$2,0)-MATCH($G$2,mission_ACH!$2:$2,0)+1),MATCH(K$2,mission_ACH!$2:$2,0)-MATCH($G$2,mission_ACH!$2:$2,0)+1,FALSE),"")</f>
        <v/>
      </c>
      <c r="L477" s="31">
        <f ca="1">VLOOKUP($G477,OFFSET(mission_ACH!$A$2,0,0,COUNTA($A:$A),MATCH(L$2,mission_ACH!$2:$2,0)-MATCH($G$2,mission_ACH!$2:$2,0)+1),MATCH(L$2,mission_ACH!$2:$2,0)-MATCH($G$2,mission_ACH!$2:$2,0)+1,FALSE)</f>
        <v>0</v>
      </c>
      <c r="M477" s="27">
        <v>111</v>
      </c>
      <c r="N477" s="87" t="s">
        <v>2471</v>
      </c>
      <c r="O477" s="87" t="s">
        <v>2472</v>
      </c>
    </row>
    <row r="478" spans="1:15" ht="21" customHeight="1" x14ac:dyDescent="0.15">
      <c r="A478" s="27">
        <f>A477+1</f>
        <v>30118</v>
      </c>
      <c r="B478" s="26" t="str">
        <f ca="1">F478</f>
        <v>ユニット 【ヨシノ】 を 5 体ゲットしよう！</v>
      </c>
      <c r="C478" s="27" t="s">
        <v>331</v>
      </c>
      <c r="D478" s="31" t="str">
        <f ca="1">VLOOKUP($C478,OFFSET(mission_unlock_criteria!$A$2,0,0,COUNTA(mission_unlock_criteria!$A:$A),MATCH(D$2,mission_unlock_criteria!$2:$2,0)-MATCH($C$2,mission_unlock_criteria!$2:$2,0)+1),MATCH(D$2,mission_unlock_criteria!$2:$2,0)-MATCH($C$2,mission_unlock_criteria!$2:$2,0)+1,FALSE)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78" s="21" t="s">
        <v>2484</v>
      </c>
      <c r="F478" s="31" t="str">
        <f ca="1">VLOOKUP($E478,OFFSET(mission_ACH_criteria!$A$1,0,0,COUNTA(mission_ACH_criteria!$A:$A),MATCH(F$2,mission_ACH_criteria!$1:$1,0)-MATCH($E$2,mission_ACH_criteria!$1:$1,0)+1),MATCH(F$2,mission_ACH_criteria!$1:$1,0)-MATCH($E$2,mission_ACH_criteria!$1:$1,0)+1,FALSE)</f>
        <v>ユニット 【ヨシノ】 を 5 体ゲットしよう！</v>
      </c>
      <c r="G478" s="27" t="s">
        <v>2476</v>
      </c>
      <c r="H478" s="31" t="str">
        <f ca="1">IF(OR(I478="unit",I478="item"),K478&amp;" x "&amp;L478,IF(I478="polygon","ポリゴン x "&amp;J478,IF(I478="bit","ビット x "&amp;J478,IF(I478="link","リンク x "&amp;J478))))</f>
        <v>桜の花びら x 5</v>
      </c>
      <c r="I478" s="31" t="str">
        <f ca="1">VLOOKUP($G478,OFFSET(mission_ACH!$A$2,0,0,COUNTA($A:$A),MATCH(I$2,mission_ACH!$2:$2,0)-MATCH($G$2,mission_ACH!$2:$2,0)+1),MATCH(I$2,mission_ACH!$2:$2,0)-MATCH($G$2,mission_ACH!$2:$2,0)+1,FALSE)</f>
        <v>item</v>
      </c>
      <c r="J478" s="31">
        <f ca="1">VLOOKUP($G478,OFFSET(mission_ACH!$A$2,0,0,COUNTA($A:$A),MATCH(J$2,mission_ACH!$2:$2,0)-MATCH($G$2,mission_ACH!$2:$2,0)+1),MATCH(J$2,mission_ACH!$2:$2,0)-MATCH($G$2,mission_ACH!$2:$2,0)+1,FALSE)</f>
        <v>705</v>
      </c>
      <c r="K478" s="31" t="str">
        <f ca="1">IF(OR(I478="unit",I478="item"),VLOOKUP($G478,OFFSET(mission_ACH!$A$2,0,0,COUNTA($A:$A),MATCH(K$2,mission_ACH!$2:$2,0)-MATCH($G$2,mission_ACH!$2:$2,0)+1),MATCH(K$2,mission_ACH!$2:$2,0)-MATCH($G$2,mission_ACH!$2:$2,0)+1,FALSE),"")</f>
        <v>桜の花びら</v>
      </c>
      <c r="L478" s="31">
        <f ca="1">VLOOKUP($G478,OFFSET(mission_ACH!$A$2,0,0,COUNTA($A:$A),MATCH(L$2,mission_ACH!$2:$2,0)-MATCH($G$2,mission_ACH!$2:$2,0)+1),MATCH(L$2,mission_ACH!$2:$2,0)-MATCH($G$2,mission_ACH!$2:$2,0)+1,FALSE)</f>
        <v>5</v>
      </c>
      <c r="M478" s="27">
        <v>40</v>
      </c>
      <c r="N478" s="87" t="s">
        <v>2490</v>
      </c>
      <c r="O478" s="87" t="s">
        <v>2491</v>
      </c>
    </row>
    <row r="479" spans="1:15" ht="21" customHeight="1" x14ac:dyDescent="0.15">
      <c r="A479" s="27">
        <f t="shared" si="166"/>
        <v>30119</v>
      </c>
      <c r="B479" s="26" t="str">
        <f t="shared" ca="1" si="167"/>
        <v>ユニット 【ヨシノ】 を 15 体ゲットしよう！</v>
      </c>
      <c r="C479" s="27" t="s">
        <v>2493</v>
      </c>
      <c r="D479" s="31" t="str">
        <f ca="1">VLOOKUP($C479,OFFSET(mission_unlock_criteria!$A$2,0,0,COUNTA(mission_unlock_criteria!$A:$A),MATCH(D$2,mission_unlock_criteria!$2:$2,0)-MATCH($C$2,mission_unlock_criteria!$2:$2,0)+1),MATCH(D$2,mission_unlock_criteria!$2:$2,0)-MATCH($C$2,mission_unlock_criteria!$2:$2,0)+1,FALSE)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ミッション 【ユニット 【ヨシノ】 を 5 体ゲットしよう！】 をクリア</v>
      </c>
      <c r="E479" s="21" t="s">
        <v>2485</v>
      </c>
      <c r="F479" s="31" t="str">
        <f ca="1">VLOOKUP($E479,OFFSET(mission_ACH_criteria!$A$1,0,0,COUNTA(mission_ACH_criteria!$A:$A),MATCH(F$2,mission_ACH_criteria!$1:$1,0)-MATCH($E$2,mission_ACH_criteria!$1:$1,0)+1),MATCH(F$2,mission_ACH_criteria!$1:$1,0)-MATCH($E$2,mission_ACH_criteria!$1:$1,0)+1,FALSE)</f>
        <v>ユニット 【ヨシノ】 を 15 体ゲットしよう！</v>
      </c>
      <c r="G479" s="27" t="s">
        <v>2478</v>
      </c>
      <c r="H479" s="31" t="str">
        <f ca="1">IF(OR(I479="unit",I479="item"),K479&amp;" x "&amp;L479,IF(I479="polygon","ポリゴン x "&amp;J479,IF(I479="bit","ビット x "&amp;J479,IF(I479="link","リンク x "&amp;J479))))</f>
        <v>桜の花びら x 10</v>
      </c>
      <c r="I479" s="31" t="str">
        <f ca="1">VLOOKUP($G479,OFFSET(mission_ACH!$A$2,0,0,COUNTA($A:$A),MATCH(I$2,mission_ACH!$2:$2,0)-MATCH($G$2,mission_ACH!$2:$2,0)+1),MATCH(I$2,mission_ACH!$2:$2,0)-MATCH($G$2,mission_ACH!$2:$2,0)+1,FALSE)</f>
        <v>item</v>
      </c>
      <c r="J479" s="31">
        <f ca="1">VLOOKUP($G479,OFFSET(mission_ACH!$A$2,0,0,COUNTA($A:$A),MATCH(J$2,mission_ACH!$2:$2,0)-MATCH($G$2,mission_ACH!$2:$2,0)+1),MATCH(J$2,mission_ACH!$2:$2,0)-MATCH($G$2,mission_ACH!$2:$2,0)+1,FALSE)</f>
        <v>705</v>
      </c>
      <c r="K479" s="31" t="str">
        <f ca="1">IF(OR(I479="unit",I479="item"),VLOOKUP($G479,OFFSET(mission_ACH!$A$2,0,0,COUNTA($A:$A),MATCH(K$2,mission_ACH!$2:$2,0)-MATCH($G$2,mission_ACH!$2:$2,0)+1),MATCH(K$2,mission_ACH!$2:$2,0)-MATCH($G$2,mission_ACH!$2:$2,0)+1,FALSE),"")</f>
        <v>桜の花びら</v>
      </c>
      <c r="L479" s="31">
        <f ca="1">VLOOKUP($G479,OFFSET(mission_ACH!$A$2,0,0,COUNTA($A:$A),MATCH(L$2,mission_ACH!$2:$2,0)-MATCH($G$2,mission_ACH!$2:$2,0)+1),MATCH(L$2,mission_ACH!$2:$2,0)-MATCH($G$2,mission_ACH!$2:$2,0)+1,FALSE)</f>
        <v>10</v>
      </c>
      <c r="M479" s="27">
        <v>40</v>
      </c>
      <c r="N479" s="87" t="s">
        <v>2490</v>
      </c>
      <c r="O479" s="87" t="s">
        <v>2491</v>
      </c>
    </row>
    <row r="480" spans="1:15" ht="21" customHeight="1" x14ac:dyDescent="0.15">
      <c r="A480" s="27">
        <f t="shared" si="166"/>
        <v>30120</v>
      </c>
      <c r="B480" s="26" t="str">
        <f t="shared" ca="1" si="167"/>
        <v>ユニット 【ヨシノ】 を 30 体ゲットしよう！</v>
      </c>
      <c r="C480" s="27" t="s">
        <v>2497</v>
      </c>
      <c r="D480" s="31" t="str">
        <f ca="1">VLOOKUP($C480,OFFSET(mission_unlock_criteria!$A$2,0,0,COUNTA(mission_unlock_criteria!$A:$A),MATCH(D$2,mission_unlock_criteria!$2:$2,0)-MATCH($C$2,mission_unlock_criteria!$2:$2,0)+1),MATCH(D$2,mission_unlock_criteria!$2:$2,0)-MATCH($C$2,mission_unlock_criteria!$2:$2,0)+1,FALSE)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ミッション 【ユニット 【ヨシノ】 を 15 体ゲットしよう！】 をクリア</v>
      </c>
      <c r="E480" s="21" t="s">
        <v>2486</v>
      </c>
      <c r="F480" s="31" t="str">
        <f ca="1">VLOOKUP($E480,OFFSET(mission_ACH_criteria!$A$1,0,0,COUNTA(mission_ACH_criteria!$A:$A),MATCH(F$2,mission_ACH_criteria!$1:$1,0)-MATCH($E$2,mission_ACH_criteria!$1:$1,0)+1),MATCH(F$2,mission_ACH_criteria!$1:$1,0)-MATCH($E$2,mission_ACH_criteria!$1:$1,0)+1,FALSE)</f>
        <v>ユニット 【ヨシノ】 を 30 体ゲットしよう！</v>
      </c>
      <c r="G480" s="27" t="s">
        <v>47</v>
      </c>
      <c r="H480" s="31" t="str">
        <f t="shared" ref="H480:H482" ca="1" si="169">IF(I480="unit",K480&amp;" x "&amp;L480,IF(I480="polygon","ポリゴン x "&amp;J480,IF(I480="bit","ビット x "&amp;J480,IF(I480="link","リンク x "&amp;J480))))</f>
        <v>ポリゴン x 1</v>
      </c>
      <c r="I480" s="31" t="str">
        <f ca="1">VLOOKUP($G480,OFFSET(mission_ACH!$A$2,0,0,COUNTA($A:$A),MATCH(I$2,mission_ACH!$2:$2,0)-MATCH($G$2,mission_ACH!$2:$2,0)+1),MATCH(I$2,mission_ACH!$2:$2,0)-MATCH($G$2,mission_ACH!$2:$2,0)+1,FALSE)</f>
        <v>polygon</v>
      </c>
      <c r="J480" s="31">
        <f ca="1">VLOOKUP($G480,OFFSET(mission_ACH!$A$2,0,0,COUNTA($A:$A),MATCH(J$2,mission_ACH!$2:$2,0)-MATCH($G$2,mission_ACH!$2:$2,0)+1),MATCH(J$2,mission_ACH!$2:$2,0)-MATCH($G$2,mission_ACH!$2:$2,0)+1,FALSE)</f>
        <v>1</v>
      </c>
      <c r="K480" s="31" t="str">
        <f ca="1">IF(OR(I480="unit",I480="item"),VLOOKUP($G480,OFFSET(mission_ACH!$A$2,0,0,COUNTA($A:$A),MATCH(K$2,mission_ACH!$2:$2,0)-MATCH($G$2,mission_ACH!$2:$2,0)+1),MATCH(K$2,mission_ACH!$2:$2,0)-MATCH($G$2,mission_ACH!$2:$2,0)+1,FALSE),"")</f>
        <v/>
      </c>
      <c r="L480" s="31">
        <f ca="1">VLOOKUP($G480,OFFSET(mission_ACH!$A$2,0,0,COUNTA($A:$A),MATCH(L$2,mission_ACH!$2:$2,0)-MATCH($G$2,mission_ACH!$2:$2,0)+1),MATCH(L$2,mission_ACH!$2:$2,0)-MATCH($G$2,mission_ACH!$2:$2,0)+1,FALSE)</f>
        <v>0</v>
      </c>
      <c r="M480" s="27">
        <v>40</v>
      </c>
      <c r="N480" s="87" t="s">
        <v>2490</v>
      </c>
      <c r="O480" s="87" t="s">
        <v>2491</v>
      </c>
    </row>
    <row r="481" spans="1:16" ht="21" customHeight="1" x14ac:dyDescent="0.15">
      <c r="A481" s="27">
        <f t="shared" si="166"/>
        <v>30121</v>
      </c>
      <c r="B481" s="26" t="str">
        <f t="shared" ca="1" si="167"/>
        <v>ユニット 【ヨシノ】 を 50 体ゲットしよう！</v>
      </c>
      <c r="C481" s="27" t="s">
        <v>2498</v>
      </c>
      <c r="D481" s="31" t="str">
        <f ca="1">VLOOKUP($C481,OFFSET(mission_unlock_criteria!$A$2,0,0,COUNTA(mission_unlock_criteria!$A:$A),MATCH(D$2,mission_unlock_criteria!$2:$2,0)-MATCH($C$2,mission_unlock_criteria!$2:$2,0)+1),MATCH(D$2,mission_unlock_criteria!$2:$2,0)-MATCH($C$2,mission_unlock_criteria!$2:$2,0)+1,FALSE)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ミッション 【ユニット 【ヨシノ】 を 30 体ゲットしよう！】 をクリア</v>
      </c>
      <c r="E481" s="21" t="s">
        <v>2487</v>
      </c>
      <c r="F481" s="31" t="str">
        <f ca="1">VLOOKUP($E481,OFFSET(mission_ACH_criteria!$A$1,0,0,COUNTA(mission_ACH_criteria!$A:$A),MATCH(F$2,mission_ACH_criteria!$1:$1,0)-MATCH($E$2,mission_ACH_criteria!$1:$1,0)+1),MATCH(F$2,mission_ACH_criteria!$1:$1,0)-MATCH($E$2,mission_ACH_criteria!$1:$1,0)+1,FALSE)</f>
        <v>ユニット 【ヨシノ】 を 50 体ゲットしよう！</v>
      </c>
      <c r="G481" s="27" t="s">
        <v>2508</v>
      </c>
      <c r="H481" s="31" t="str">
        <f t="shared" ca="1" si="169"/>
        <v>ポリゴン x 2</v>
      </c>
      <c r="I481" s="31" t="str">
        <f ca="1">VLOOKUP($G481,OFFSET(mission_ACH!$A$2,0,0,COUNTA($A:$A),MATCH(I$2,mission_ACH!$2:$2,0)-MATCH($G$2,mission_ACH!$2:$2,0)+1),MATCH(I$2,mission_ACH!$2:$2,0)-MATCH($G$2,mission_ACH!$2:$2,0)+1,FALSE)</f>
        <v>polygon</v>
      </c>
      <c r="J481" s="31">
        <f ca="1">VLOOKUP($G481,OFFSET(mission_ACH!$A$2,0,0,COUNTA($A:$A),MATCH(J$2,mission_ACH!$2:$2,0)-MATCH($G$2,mission_ACH!$2:$2,0)+1),MATCH(J$2,mission_ACH!$2:$2,0)-MATCH($G$2,mission_ACH!$2:$2,0)+1,FALSE)</f>
        <v>2</v>
      </c>
      <c r="K481" s="31" t="str">
        <f ca="1">IF(OR(I481="unit",I481="item"),VLOOKUP($G481,OFFSET(mission_ACH!$A$2,0,0,COUNTA($A:$A),MATCH(K$2,mission_ACH!$2:$2,0)-MATCH($G$2,mission_ACH!$2:$2,0)+1),MATCH(K$2,mission_ACH!$2:$2,0)-MATCH($G$2,mission_ACH!$2:$2,0)+1,FALSE),"")</f>
        <v/>
      </c>
      <c r="L481" s="31">
        <f ca="1">VLOOKUP($G481,OFFSET(mission_ACH!$A$2,0,0,COUNTA($A:$A),MATCH(L$2,mission_ACH!$2:$2,0)-MATCH($G$2,mission_ACH!$2:$2,0)+1),MATCH(L$2,mission_ACH!$2:$2,0)-MATCH($G$2,mission_ACH!$2:$2,0)+1,FALSE)</f>
        <v>0</v>
      </c>
      <c r="M481" s="27">
        <v>40</v>
      </c>
      <c r="N481" s="87" t="s">
        <v>2490</v>
      </c>
      <c r="O481" s="87" t="s">
        <v>2491</v>
      </c>
    </row>
    <row r="482" spans="1:16" ht="21" customHeight="1" x14ac:dyDescent="0.15">
      <c r="A482" s="27">
        <f t="shared" si="166"/>
        <v>30122</v>
      </c>
      <c r="B482" s="26" t="str">
        <f t="shared" ca="1" si="167"/>
        <v>ユニット 【ヨシノ】 を 70 体ゲットしよう！</v>
      </c>
      <c r="C482" s="27" t="s">
        <v>2499</v>
      </c>
      <c r="D482" s="31" t="str">
        <f ca="1">VLOOKUP($C482,OFFSET(mission_unlock_criteria!$A$2,0,0,COUNTA(mission_unlock_criteria!$A:$A),MATCH(D$2,mission_unlock_criteria!$2:$2,0)-MATCH($C$2,mission_unlock_criteria!$2:$2,0)+1),MATCH(D$2,mission_unlock_criteria!$2:$2,0)-MATCH($C$2,mission_unlock_criteria!$2:$2,0)+1,FALSE)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ミッション 【ユニット 【ヨシノ】 を 50 体ゲットしよう！】 をクリア</v>
      </c>
      <c r="E482" s="21" t="s">
        <v>2488</v>
      </c>
      <c r="F482" s="31" t="str">
        <f ca="1">VLOOKUP($E482,OFFSET(mission_ACH_criteria!$A$1,0,0,COUNTA(mission_ACH_criteria!$A:$A),MATCH(F$2,mission_ACH_criteria!$1:$1,0)-MATCH($E$2,mission_ACH_criteria!$1:$1,0)+1),MATCH(F$2,mission_ACH_criteria!$1:$1,0)-MATCH($E$2,mission_ACH_criteria!$1:$1,0)+1,FALSE)</f>
        <v>ユニット 【ヨシノ】 を 70 体ゲットしよう！</v>
      </c>
      <c r="G482" s="27" t="s">
        <v>2331</v>
      </c>
      <c r="H482" s="31" t="str">
        <f t="shared" ca="1" si="169"/>
        <v>ポリゴン x 3</v>
      </c>
      <c r="I482" s="31" t="str">
        <f ca="1">VLOOKUP($G482,OFFSET(mission_ACH!$A$2,0,0,COUNTA($A:$A),MATCH(I$2,mission_ACH!$2:$2,0)-MATCH($G$2,mission_ACH!$2:$2,0)+1),MATCH(I$2,mission_ACH!$2:$2,0)-MATCH($G$2,mission_ACH!$2:$2,0)+1,FALSE)</f>
        <v>polygon</v>
      </c>
      <c r="J482" s="31">
        <f ca="1">VLOOKUP($G482,OFFSET(mission_ACH!$A$2,0,0,COUNTA($A:$A),MATCH(J$2,mission_ACH!$2:$2,0)-MATCH($G$2,mission_ACH!$2:$2,0)+1),MATCH(J$2,mission_ACH!$2:$2,0)-MATCH($G$2,mission_ACH!$2:$2,0)+1,FALSE)</f>
        <v>3</v>
      </c>
      <c r="K482" s="31" t="str">
        <f ca="1">IF(OR(I482="unit",I482="item"),VLOOKUP($G482,OFFSET(mission_ACH!$A$2,0,0,COUNTA($A:$A),MATCH(K$2,mission_ACH!$2:$2,0)-MATCH($G$2,mission_ACH!$2:$2,0)+1),MATCH(K$2,mission_ACH!$2:$2,0)-MATCH($G$2,mission_ACH!$2:$2,0)+1,FALSE),"")</f>
        <v/>
      </c>
      <c r="L482" s="31">
        <f ca="1">VLOOKUP($G482,OFFSET(mission_ACH!$A$2,0,0,COUNTA($A:$A),MATCH(L$2,mission_ACH!$2:$2,0)-MATCH($G$2,mission_ACH!$2:$2,0)+1),MATCH(L$2,mission_ACH!$2:$2,0)-MATCH($G$2,mission_ACH!$2:$2,0)+1,FALSE)</f>
        <v>0</v>
      </c>
      <c r="M482" s="27">
        <v>40</v>
      </c>
      <c r="N482" s="87" t="s">
        <v>2490</v>
      </c>
      <c r="O482" s="87" t="s">
        <v>2491</v>
      </c>
    </row>
    <row r="483" spans="1:16" s="1" customFormat="1" ht="21" customHeight="1" x14ac:dyDescent="0.15">
      <c r="A483" s="27">
        <f t="shared" si="166"/>
        <v>30123</v>
      </c>
      <c r="B483" s="26" t="str">
        <f t="shared" ca="1" si="167"/>
        <v>花見キャンペーンをTwitterでツイートしよう！</v>
      </c>
      <c r="C483" s="27" t="s">
        <v>331</v>
      </c>
      <c r="D483" s="31" t="str">
        <f ca="1">VLOOKUP($C483,OFFSET(mission_unlock_criteria!$A$2,0,0,COUNTA(mission_unlock_criteria!$A:$A),MATCH(D$2,mission_unlock_criteria!$2:$2,0)-MATCH($C$2,mission_unlock_criteria!$2:$2,0)+1),MATCH(D$2,mission_unlock_criteria!$2:$2,0)-MATCH($C$2,mission_unlock_criteria!$2:$2,0)+1,FALSE)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83" s="2" t="s">
        <v>2500</v>
      </c>
      <c r="F483" s="31" t="str">
        <f ca="1">VLOOKUP($E483,OFFSET(mission_ACH_criteria!$A$1,0,0,COUNTA(mission_ACH_criteria!$A:$A),MATCH(F$2,mission_ACH_criteria!$1:$1,0)-MATCH($E$2,mission_ACH_criteria!$1:$1,0)+1),MATCH(F$2,mission_ACH_criteria!$1:$1,0)-MATCH($E$2,mission_ACH_criteria!$1:$1,0)+1,FALSE)</f>
        <v>花見キャンペーンをTwitterでツイートしよう！</v>
      </c>
      <c r="G483" s="27" t="s">
        <v>47</v>
      </c>
      <c r="H483" s="31" t="str">
        <f t="shared" ref="H483:H484" ca="1" si="170">IF(I483="unit",K483&amp;" x "&amp;L483,IF(I483="polygon","ポリゴン x "&amp;J483,IF(I483="bit","ビット x "&amp;J483,IF(I483="link","リンク x "&amp;J483))))</f>
        <v>ポリゴン x 1</v>
      </c>
      <c r="I483" s="31" t="str">
        <f ca="1">VLOOKUP($G483,OFFSET(mission_ACH!$A$2,0,0,COUNTA($A:$A),MATCH(I$2,mission_ACH!$2:$2,0)-MATCH($G$2,mission_ACH!$2:$2,0)+1),MATCH(I$2,mission_ACH!$2:$2,0)-MATCH($G$2,mission_ACH!$2:$2,0)+1,FALSE)</f>
        <v>polygon</v>
      </c>
      <c r="J483" s="31">
        <f ca="1">VLOOKUP($G483,OFFSET(mission_ACH!$A$2,0,0,COUNTA($A:$A),MATCH(J$2,mission_ACH!$2:$2,0)-MATCH($G$2,mission_ACH!$2:$2,0)+1),MATCH(J$2,mission_ACH!$2:$2,0)-MATCH($G$2,mission_ACH!$2:$2,0)+1,FALSE)</f>
        <v>1</v>
      </c>
      <c r="K483" s="31" t="str">
        <f ca="1">IF(OR(I483="unit",I483="item"),VLOOKUP($G483,OFFSET(mission_ACH!$A$2,0,0,COUNTA($A:$A),MATCH(K$2,mission_ACH!$2:$2,0)-MATCH($G$2,mission_ACH!$2:$2,0)+1),MATCH(K$2,mission_ACH!$2:$2,0)-MATCH($G$2,mission_ACH!$2:$2,0)+1,FALSE),"")</f>
        <v/>
      </c>
      <c r="L483" s="31">
        <f ca="1">VLOOKUP($G483,OFFSET(mission_ACH!$A$2,0,0,COUNTA($A:$A),MATCH(L$2,mission_ACH!$2:$2,0)-MATCH($G$2,mission_ACH!$2:$2,0)+1),MATCH(L$2,mission_ACH!$2:$2,0)-MATCH($G$2,mission_ACH!$2:$2,0)+1,FALSE)</f>
        <v>0</v>
      </c>
      <c r="M483" s="27">
        <v>51</v>
      </c>
      <c r="N483" s="87" t="s">
        <v>2490</v>
      </c>
      <c r="O483" s="87" t="s">
        <v>2491</v>
      </c>
    </row>
    <row r="484" spans="1:16" s="1" customFormat="1" ht="21" customHeight="1" x14ac:dyDescent="0.15">
      <c r="A484" s="27">
        <f t="shared" si="166"/>
        <v>30124</v>
      </c>
      <c r="B484" s="26" t="str">
        <f t="shared" ca="1" si="167"/>
        <v>花見キャンペーンをLINEでタイムライン投稿しよう！</v>
      </c>
      <c r="C484" s="27" t="s">
        <v>331</v>
      </c>
      <c r="D484" s="31" t="str">
        <f ca="1">VLOOKUP($C484,OFFSET(mission_unlock_criteria!$A$2,0,0,COUNTA(mission_unlock_criteria!$A:$A),MATCH(D$2,mission_unlock_criteria!$2:$2,0)-MATCH($C$2,mission_unlock_criteria!$2:$2,0)+1),MATCH(D$2,mission_unlock_criteria!$2:$2,0)-MATCH($C$2,mission_unlock_criteria!$2:$2,0)+1,FALSE)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84" s="2" t="s">
        <v>2501</v>
      </c>
      <c r="F484" s="31" t="str">
        <f ca="1">VLOOKUP($E484,OFFSET(mission_ACH_criteria!$A$1,0,0,COUNTA(mission_ACH_criteria!$A:$A),MATCH(F$2,mission_ACH_criteria!$1:$1,0)-MATCH($E$2,mission_ACH_criteria!$1:$1,0)+1),MATCH(F$2,mission_ACH_criteria!$1:$1,0)-MATCH($E$2,mission_ACH_criteria!$1:$1,0)+1,FALSE)</f>
        <v>花見キャンペーンをLINEでタイムライン投稿しよう！</v>
      </c>
      <c r="G484" s="27" t="s">
        <v>47</v>
      </c>
      <c r="H484" s="31" t="str">
        <f t="shared" ca="1" si="170"/>
        <v>ポリゴン x 1</v>
      </c>
      <c r="I484" s="31" t="str">
        <f ca="1">VLOOKUP($G484,OFFSET(mission_ACH!$A$2,0,0,COUNTA($A:$A),MATCH(I$2,mission_ACH!$2:$2,0)-MATCH($G$2,mission_ACH!$2:$2,0)+1),MATCH(I$2,mission_ACH!$2:$2,0)-MATCH($G$2,mission_ACH!$2:$2,0)+1,FALSE)</f>
        <v>polygon</v>
      </c>
      <c r="J484" s="31">
        <f ca="1">VLOOKUP($G484,OFFSET(mission_ACH!$A$2,0,0,COUNTA($A:$A),MATCH(J$2,mission_ACH!$2:$2,0)-MATCH($G$2,mission_ACH!$2:$2,0)+1),MATCH(J$2,mission_ACH!$2:$2,0)-MATCH($G$2,mission_ACH!$2:$2,0)+1,FALSE)</f>
        <v>1</v>
      </c>
      <c r="K484" s="31" t="str">
        <f ca="1">IF(OR(I484="unit",I484="item"),VLOOKUP($G484,OFFSET(mission_ACH!$A$2,0,0,COUNTA($A:$A),MATCH(K$2,mission_ACH!$2:$2,0)-MATCH($G$2,mission_ACH!$2:$2,0)+1),MATCH(K$2,mission_ACH!$2:$2,0)-MATCH($G$2,mission_ACH!$2:$2,0)+1,FALSE),"")</f>
        <v/>
      </c>
      <c r="L484" s="31">
        <f ca="1">VLOOKUP($G484,OFFSET(mission_ACH!$A$2,0,0,COUNTA($A:$A),MATCH(L$2,mission_ACH!$2:$2,0)-MATCH($G$2,mission_ACH!$2:$2,0)+1),MATCH(L$2,mission_ACH!$2:$2,0)-MATCH($G$2,mission_ACH!$2:$2,0)+1,FALSE)</f>
        <v>0</v>
      </c>
      <c r="M484" s="27">
        <v>50</v>
      </c>
      <c r="N484" s="87" t="s">
        <v>2490</v>
      </c>
      <c r="O484" s="87" t="s">
        <v>2491</v>
      </c>
    </row>
    <row r="485" spans="1:16" s="1" customFormat="1" ht="21" customHeight="1" x14ac:dyDescent="0.15">
      <c r="A485" s="27">
        <f t="shared" si="166"/>
        <v>30125</v>
      </c>
      <c r="B485" s="26" t="str">
        <f t="shared" ref="B485:B486" ca="1" si="171">F485</f>
        <v>クエスト 【上級】春呼ぶキミの行方 をクリアしよう！</v>
      </c>
      <c r="C485" s="27" t="s">
        <v>331</v>
      </c>
      <c r="D485" s="31" t="str">
        <f ca="1">VLOOKUP($C485,OFFSET(mission_unlock_criteria!$A$2,0,0,COUNTA(mission_unlock_criteria!$A:$A),MATCH(D$2,mission_unlock_criteria!$2:$2,0)-MATCH($C$2,mission_unlock_criteria!$2:$2,0)+1),MATCH(D$2,mission_unlock_criteria!$2:$2,0)-MATCH($C$2,mission_unlock_criteria!$2:$2,0)+1,FALSE)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85" s="2" t="s">
        <v>2504</v>
      </c>
      <c r="F485" s="31" t="str">
        <f ca="1">VLOOKUP($E485,OFFSET(mission_ACH_criteria!$A$1,0,0,COUNTA(mission_ACH_criteria!$A:$A),MATCH(F$2,mission_ACH_criteria!$1:$1,0)-MATCH($E$2,mission_ACH_criteria!$1:$1,0)+1),MATCH(F$2,mission_ACH_criteria!$1:$1,0)-MATCH($E$2,mission_ACH_criteria!$1:$1,0)+1,FALSE)</f>
        <v>クエスト 【上級】春呼ぶキミの行方 をクリアしよう！</v>
      </c>
      <c r="G485" s="27" t="s">
        <v>2475</v>
      </c>
      <c r="H485" s="31" t="str">
        <f ca="1">IF(OR(I485="unit",I485="item"),K485&amp;" x "&amp;L485,IF(I485="polygon","ポリゴン x "&amp;J485,IF(I485="bit","ビット x "&amp;J485,IF(I485="link","リンク x "&amp;J485))))</f>
        <v>桜の花びら x 3</v>
      </c>
      <c r="I485" s="31" t="str">
        <f ca="1">VLOOKUP($G485,OFFSET(mission_ACH!$A$2,0,0,COUNTA($A:$A),MATCH(I$2,mission_ACH!$2:$2,0)-MATCH($G$2,mission_ACH!$2:$2,0)+1),MATCH(I$2,mission_ACH!$2:$2,0)-MATCH($G$2,mission_ACH!$2:$2,0)+1,FALSE)</f>
        <v>item</v>
      </c>
      <c r="J485" s="31">
        <f ca="1">VLOOKUP($G485,OFFSET(mission_ACH!$A$2,0,0,COUNTA($A:$A),MATCH(J$2,mission_ACH!$2:$2,0)-MATCH($G$2,mission_ACH!$2:$2,0)+1),MATCH(J$2,mission_ACH!$2:$2,0)-MATCH($G$2,mission_ACH!$2:$2,0)+1,FALSE)</f>
        <v>705</v>
      </c>
      <c r="K485" s="31" t="str">
        <f ca="1">IF(OR(I485="unit",I485="item"),VLOOKUP($G485,OFFSET(mission_ACH!$A$2,0,0,COUNTA($A:$A),MATCH(K$2,mission_ACH!$2:$2,0)-MATCH($G$2,mission_ACH!$2:$2,0)+1),MATCH(K$2,mission_ACH!$2:$2,0)-MATCH($G$2,mission_ACH!$2:$2,0)+1,FALSE),"")</f>
        <v>桜の花びら</v>
      </c>
      <c r="L485" s="31">
        <f ca="1">VLOOKUP($G485,OFFSET(mission_ACH!$A$2,0,0,COUNTA($A:$A),MATCH(L$2,mission_ACH!$2:$2,0)-MATCH($G$2,mission_ACH!$2:$2,0)+1),MATCH(L$2,mission_ACH!$2:$2,0)-MATCH($G$2,mission_ACH!$2:$2,0)+1,FALSE)</f>
        <v>3</v>
      </c>
      <c r="M485" s="27">
        <v>46</v>
      </c>
      <c r="N485" s="87" t="s">
        <v>2490</v>
      </c>
      <c r="O485" s="87" t="s">
        <v>2491</v>
      </c>
    </row>
    <row r="486" spans="1:16" s="1" customFormat="1" ht="21" customHeight="1" x14ac:dyDescent="0.15">
      <c r="A486" s="27">
        <f t="shared" si="166"/>
        <v>30126</v>
      </c>
      <c r="B486" s="26" t="str">
        <f t="shared" ca="1" si="171"/>
        <v>クエスト 【ウィザード級】春呼ぶキミの行方 をクリアしよう！</v>
      </c>
      <c r="C486" s="27" t="s">
        <v>331</v>
      </c>
      <c r="D486" s="31" t="str">
        <f ca="1">VLOOKUP($C486,OFFSET(mission_unlock_criteria!$A$2,0,0,COUNTA(mission_unlock_criteria!$A:$A),MATCH(D$2,mission_unlock_criteria!$2:$2,0)-MATCH($C$2,mission_unlock_criteria!$2:$2,0)+1),MATCH(D$2,mission_unlock_criteria!$2:$2,0)-MATCH($C$2,mission_unlock_criteria!$2:$2,0)+1,FALSE)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86" s="2" t="s">
        <v>2505</v>
      </c>
      <c r="F486" s="31" t="str">
        <f ca="1">VLOOKUP($E486,OFFSET(mission_ACH_criteria!$A$1,0,0,COUNTA(mission_ACH_criteria!$A:$A),MATCH(F$2,mission_ACH_criteria!$1:$1,0)-MATCH($E$2,mission_ACH_criteria!$1:$1,0)+1),MATCH(F$2,mission_ACH_criteria!$1:$1,0)-MATCH($E$2,mission_ACH_criteria!$1:$1,0)+1,FALSE)</f>
        <v>クエスト 【ウィザード級】春呼ぶキミの行方 をクリアしよう！</v>
      </c>
      <c r="G486" s="27" t="s">
        <v>2476</v>
      </c>
      <c r="H486" s="31" t="str">
        <f ca="1">IF(OR(I486="unit",I486="item"),K486&amp;" x "&amp;L486,IF(I486="polygon","ポリゴン x "&amp;J486,IF(I486="bit","ビット x "&amp;J486,IF(I486="link","リンク x "&amp;J486))))</f>
        <v>桜の花びら x 5</v>
      </c>
      <c r="I486" s="31" t="str">
        <f ca="1">VLOOKUP($G486,OFFSET(mission_ACH!$A$2,0,0,COUNTA($A:$A),MATCH(I$2,mission_ACH!$2:$2,0)-MATCH($G$2,mission_ACH!$2:$2,0)+1),MATCH(I$2,mission_ACH!$2:$2,0)-MATCH($G$2,mission_ACH!$2:$2,0)+1,FALSE)</f>
        <v>item</v>
      </c>
      <c r="J486" s="31">
        <f ca="1">VLOOKUP($G486,OFFSET(mission_ACH!$A$2,0,0,COUNTA($A:$A),MATCH(J$2,mission_ACH!$2:$2,0)-MATCH($G$2,mission_ACH!$2:$2,0)+1),MATCH(J$2,mission_ACH!$2:$2,0)-MATCH($G$2,mission_ACH!$2:$2,0)+1,FALSE)</f>
        <v>705</v>
      </c>
      <c r="K486" s="31" t="str">
        <f ca="1">IF(OR(I486="unit",I486="item"),VLOOKUP($G486,OFFSET(mission_ACH!$A$2,0,0,COUNTA($A:$A),MATCH(K$2,mission_ACH!$2:$2,0)-MATCH($G$2,mission_ACH!$2:$2,0)+1),MATCH(K$2,mission_ACH!$2:$2,0)-MATCH($G$2,mission_ACH!$2:$2,0)+1,FALSE),"")</f>
        <v>桜の花びら</v>
      </c>
      <c r="L486" s="31">
        <f ca="1">VLOOKUP($G486,OFFSET(mission_ACH!$A$2,0,0,COUNTA($A:$A),MATCH(L$2,mission_ACH!$2:$2,0)-MATCH($G$2,mission_ACH!$2:$2,0)+1),MATCH(L$2,mission_ACH!$2:$2,0)-MATCH($G$2,mission_ACH!$2:$2,0)+1,FALSE)</f>
        <v>5</v>
      </c>
      <c r="M486" s="27">
        <v>45</v>
      </c>
      <c r="N486" s="87" t="s">
        <v>2490</v>
      </c>
      <c r="O486" s="87" t="s">
        <v>2491</v>
      </c>
    </row>
    <row r="487" spans="1:16" ht="21" customHeight="1" x14ac:dyDescent="0.15">
      <c r="A487" s="27">
        <f t="shared" si="166"/>
        <v>30127</v>
      </c>
      <c r="B487" s="26" t="str">
        <f ca="1">F487</f>
        <v>「第１回クラフィユニット人気投票アンケート」に投票しよう！</v>
      </c>
      <c r="C487" s="27" t="s">
        <v>331</v>
      </c>
      <c r="D487" s="31" t="str">
        <f ca="1">VLOOKUP($C487,OFFSET(mission_unlock_criteria!$A$2,0,0,COUNTA(mission_unlock_criteria!$A:$A),MATCH(D$2,mission_unlock_criteria!$2:$2,0)-MATCH($C$2,mission_unlock_criteria!$2:$2,0)+1),MATCH(D$2,mission_unlock_criteria!$2:$2,0)-MATCH($C$2,mission_unlock_criteria!$2:$2,0)+1,FALSE)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87" s="2" t="s">
        <v>2512</v>
      </c>
      <c r="F487" s="31" t="str">
        <f ca="1">VLOOKUP($E487,OFFSET(mission_ACH_criteria!$A$1,0,0,COUNTA(mission_ACH_criteria!$A:$A),MATCH(F$2,mission_ACH_criteria!$1:$1,0)-MATCH($E$2,mission_ACH_criteria!$1:$1,0)+1),MATCH(F$2,mission_ACH_criteria!$1:$1,0)-MATCH($E$2,mission_ACH_criteria!$1:$1,0)+1,FALSE)</f>
        <v>「第１回クラフィユニット人気投票アンケート」に投票しよう！</v>
      </c>
      <c r="G487" s="27" t="s">
        <v>47</v>
      </c>
      <c r="H487" s="31" t="str">
        <f t="shared" ref="H487:H493" ca="1" si="172">IF(I487="unit",K487&amp;" x "&amp;L487,IF(I487="polygon","ポリゴン x "&amp;J487,IF(I487="bit","ビット x "&amp;J487,IF(I487="link","リンク x "&amp;J487))))</f>
        <v>ポリゴン x 1</v>
      </c>
      <c r="I487" s="31" t="str">
        <f ca="1">VLOOKUP($G487,OFFSET(mission_ACH!$A$2,0,0,COUNTA($A:$A),MATCH(I$2,mission_ACH!$2:$2,0)-MATCH($G$2,mission_ACH!$2:$2,0)+1),MATCH(I$2,mission_ACH!$2:$2,0)-MATCH($G$2,mission_ACH!$2:$2,0)+1,FALSE)</f>
        <v>polygon</v>
      </c>
      <c r="J487" s="31">
        <f ca="1">VLOOKUP($G487,OFFSET(mission_ACH!$A$2,0,0,COUNTA($A:$A),MATCH(J$2,mission_ACH!$2:$2,0)-MATCH($G$2,mission_ACH!$2:$2,0)+1),MATCH(J$2,mission_ACH!$2:$2,0)-MATCH($G$2,mission_ACH!$2:$2,0)+1,FALSE)</f>
        <v>1</v>
      </c>
      <c r="K487" s="31" t="str">
        <f ca="1">IF(I487="unit",VLOOKUP($G487,OFFSET(mission_ACH!$A$2,0,0,COUNTA($A:$A),MATCH(K$2,mission_ACH!$2:$2,0)-MATCH($G$2,mission_ACH!$2:$2,0)+1),MATCH(K$2,mission_ACH!$2:$2,0)-MATCH($G$2,mission_ACH!$2:$2,0)+1,FALSE),"")</f>
        <v/>
      </c>
      <c r="L487" s="31">
        <f ca="1">VLOOKUP($G487,OFFSET(mission_ACH!$A$2,0,0,COUNTA($A:$A),MATCH(L$2,mission_ACH!$2:$2,0)-MATCH($G$2,mission_ACH!$2:$2,0)+1),MATCH(L$2,mission_ACH!$2:$2,0)-MATCH($G$2,mission_ACH!$2:$2,0)+1,FALSE)</f>
        <v>0</v>
      </c>
      <c r="M487" s="76">
        <v>100</v>
      </c>
      <c r="N487" s="87" t="s">
        <v>2515</v>
      </c>
      <c r="O487" s="87" t="s">
        <v>2516</v>
      </c>
    </row>
    <row r="488" spans="1:16" ht="21" customHeight="1" x14ac:dyDescent="0.15">
      <c r="A488" s="27">
        <f t="shared" si="166"/>
        <v>30128</v>
      </c>
      <c r="B488" s="26" t="str">
        <f ca="1">F488</f>
        <v>クエスト オイラーチャレンジ をクリアしよう！</v>
      </c>
      <c r="C488" s="27" t="s">
        <v>331</v>
      </c>
      <c r="D488" s="31" t="str">
        <f ca="1">VLOOKUP($C488,OFFSET(mission_unlock_criteria!$A$2,0,0,COUNTA(mission_unlock_criteria!$A:$A),MATCH(D$2,mission_unlock_criteria!$2:$2,0)-MATCH($C$2,mission_unlock_criteria!$2:$2,0)+1),MATCH(D$2,mission_unlock_criteria!$2:$2,0)-MATCH($C$2,mission_unlock_criteria!$2:$2,0)+1,FALSE)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88" s="21" t="s">
        <v>2517</v>
      </c>
      <c r="F488" s="31" t="str">
        <f ca="1">VLOOKUP($E488,OFFSET(mission_ACH_criteria!$A$1,0,0,COUNTA(mission_ACH_criteria!$A:$A),MATCH(F$2,mission_ACH_criteria!$1:$1,0)-MATCH($E$2,mission_ACH_criteria!$1:$1,0)+1),MATCH(F$2,mission_ACH_criteria!$1:$1,0)-MATCH($E$2,mission_ACH_criteria!$1:$1,0)+1,FALSE)</f>
        <v>クエスト オイラーチャレンジ をクリアしよう！</v>
      </c>
      <c r="G488" s="27" t="s">
        <v>398</v>
      </c>
      <c r="H488" s="31" t="str">
        <f t="shared" ca="1" si="172"/>
        <v>ポリゴン x 3</v>
      </c>
      <c r="I488" s="31" t="str">
        <f ca="1">VLOOKUP($G488,OFFSET(mission_ACH!$A$2,0,0,COUNTA($A:$A),MATCH(I$2,mission_ACH!$2:$2,0)-MATCH($G$2,mission_ACH!$2:$2,0)+1),MATCH(I$2,mission_ACH!$2:$2,0)-MATCH($G$2,mission_ACH!$2:$2,0)+1,FALSE)</f>
        <v>polygon</v>
      </c>
      <c r="J488" s="31">
        <f ca="1">VLOOKUP($G488,OFFSET(mission_ACH!$A$2,0,0,COUNTA($A:$A),MATCH(J$2,mission_ACH!$2:$2,0)-MATCH($G$2,mission_ACH!$2:$2,0)+1),MATCH(J$2,mission_ACH!$2:$2,0)-MATCH($G$2,mission_ACH!$2:$2,0)+1,FALSE)</f>
        <v>3</v>
      </c>
      <c r="K488" s="31" t="str">
        <f ca="1">IF(I488="unit",VLOOKUP($G488,OFFSET(mission_ACH!$A$2,0,0,COUNTA($A:$A),MATCH(K$2,mission_ACH!$2:$2,0)-MATCH($G$2,mission_ACH!$2:$2,0)+1),MATCH(K$2,mission_ACH!$2:$2,0)-MATCH($G$2,mission_ACH!$2:$2,0)+1,FALSE),"")</f>
        <v/>
      </c>
      <c r="L488" s="31">
        <f ca="1">VLOOKUP($G488,OFFSET(mission_ACH!$A$2,0,0,COUNTA($A:$A),MATCH(L$2,mission_ACH!$2:$2,0)-MATCH($G$2,mission_ACH!$2:$2,0)+1),MATCH(L$2,mission_ACH!$2:$2,0)-MATCH($G$2,mission_ACH!$2:$2,0)+1,FALSE)</f>
        <v>0</v>
      </c>
      <c r="M488" s="27">
        <v>106</v>
      </c>
      <c r="N488" s="87" t="s">
        <v>2519</v>
      </c>
      <c r="O488" s="87" t="s">
        <v>2520</v>
      </c>
      <c r="P488" s="137"/>
    </row>
    <row r="489" spans="1:16" s="1" customFormat="1" ht="21" customHeight="1" x14ac:dyDescent="0.15">
      <c r="A489" s="27">
        <f t="shared" si="166"/>
        <v>30129</v>
      </c>
      <c r="B489" s="26" t="str">
        <f t="shared" ref="B489:B490" ca="1" si="173">F489</f>
        <v>クエスト 【超絶級】スカルズ襲来 をクリアしよう！</v>
      </c>
      <c r="C489" s="27" t="s">
        <v>331</v>
      </c>
      <c r="D489" s="31" t="str">
        <f ca="1">VLOOKUP($C489,OFFSET(mission_unlock_criteria!$A$2,0,0,COUNTA(mission_unlock_criteria!$A:$A),MATCH(D$2,mission_unlock_criteria!$2:$2,0)-MATCH($C$2,mission_unlock_criteria!$2:$2,0)+1),MATCH(D$2,mission_unlock_criteria!$2:$2,0)-MATCH($C$2,mission_unlock_criteria!$2:$2,0)+1,FALSE)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89" s="2" t="s">
        <v>2527</v>
      </c>
      <c r="F489" s="31" t="str">
        <f ca="1">VLOOKUP($E489,OFFSET(mission_ACH_criteria!$A$1,0,0,COUNTA(mission_ACH_criteria!$A:$A),MATCH(F$2,mission_ACH_criteria!$1:$1,0)-MATCH($E$2,mission_ACH_criteria!$1:$1,0)+1),MATCH(F$2,mission_ACH_criteria!$1:$1,0)-MATCH($E$2,mission_ACH_criteria!$1:$1,0)+1,FALSE)</f>
        <v>クエスト 【超絶級】スカルズ襲来 をクリアしよう！</v>
      </c>
      <c r="G489" s="27" t="s">
        <v>1270</v>
      </c>
      <c r="H489" s="31" t="str">
        <f ca="1">IF(OR(I489="unit",I489="item"),K489&amp;" x "&amp;L489,IF(I489="polygon","ポリゴン x "&amp;J489,IF(I489="bit","ビット x "&amp;J489,IF(I489="link","リンク x "&amp;J489))))</f>
        <v>リトルハンプティ x 1</v>
      </c>
      <c r="I489" s="31" t="str">
        <f ca="1">VLOOKUP($G489,OFFSET(mission_ACH!$A$2,0,0,COUNTA($A:$A),MATCH(I$2,mission_ACH!$2:$2,0)-MATCH($G$2,mission_ACH!$2:$2,0)+1),MATCH(I$2,mission_ACH!$2:$2,0)-MATCH($G$2,mission_ACH!$2:$2,0)+1,FALSE)</f>
        <v>unit</v>
      </c>
      <c r="J489" s="31">
        <f ca="1">VLOOKUP($G489,OFFSET(mission_ACH!$A$2,0,0,COUNTA($A:$A),MATCH(J$2,mission_ACH!$2:$2,0)-MATCH($G$2,mission_ACH!$2:$2,0)+1),MATCH(J$2,mission_ACH!$2:$2,0)-MATCH($G$2,mission_ACH!$2:$2,0)+1,FALSE)</f>
        <v>837</v>
      </c>
      <c r="K489" s="31" t="str">
        <f ca="1">IF(OR(I489="unit",I489="item"),VLOOKUP($G489,OFFSET(mission_ACH!$A$2,0,0,COUNTA($A:$A),MATCH(K$2,mission_ACH!$2:$2,0)-MATCH($G$2,mission_ACH!$2:$2,0)+1),MATCH(K$2,mission_ACH!$2:$2,0)-MATCH($G$2,mission_ACH!$2:$2,0)+1,FALSE),"")</f>
        <v>リトルハンプティ</v>
      </c>
      <c r="L489" s="31">
        <f ca="1">VLOOKUP($G489,OFFSET(mission_ACH!$A$2,0,0,COUNTA($A:$A),MATCH(L$2,mission_ACH!$2:$2,0)-MATCH($G$2,mission_ACH!$2:$2,0)+1),MATCH(L$2,mission_ACH!$2:$2,0)-MATCH($G$2,mission_ACH!$2:$2,0)+1,FALSE)</f>
        <v>1</v>
      </c>
      <c r="M489" s="27">
        <v>46</v>
      </c>
      <c r="N489" s="87" t="s">
        <v>2521</v>
      </c>
      <c r="O489" s="87" t="s">
        <v>2522</v>
      </c>
    </row>
    <row r="490" spans="1:16" s="1" customFormat="1" ht="21" customHeight="1" x14ac:dyDescent="0.15">
      <c r="A490" s="27">
        <f t="shared" si="166"/>
        <v>30130</v>
      </c>
      <c r="B490" s="26" t="str">
        <f t="shared" ca="1" si="173"/>
        <v>クエスト 【ウィザード級】スカルズ襲来 をクリアしよう！</v>
      </c>
      <c r="C490" s="27" t="s">
        <v>331</v>
      </c>
      <c r="D490" s="31" t="str">
        <f ca="1">VLOOKUP($C490,OFFSET(mission_unlock_criteria!$A$2,0,0,COUNTA(mission_unlock_criteria!$A:$A),MATCH(D$2,mission_unlock_criteria!$2:$2,0)-MATCH($C$2,mission_unlock_criteria!$2:$2,0)+1),MATCH(D$2,mission_unlock_criteria!$2:$2,0)-MATCH($C$2,mission_unlock_criteria!$2:$2,0)+1,FALSE)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90" s="2" t="s">
        <v>2536</v>
      </c>
      <c r="F490" s="31" t="str">
        <f ca="1">VLOOKUP($E490,OFFSET(mission_ACH_criteria!$A$1,0,0,COUNTA(mission_ACH_criteria!$A:$A),MATCH(F$2,mission_ACH_criteria!$1:$1,0)-MATCH($E$2,mission_ACH_criteria!$1:$1,0)+1),MATCH(F$2,mission_ACH_criteria!$1:$1,0)-MATCH($E$2,mission_ACH_criteria!$1:$1,0)+1,FALSE)</f>
        <v>クエスト 【ウィザード級】スカルズ襲来 をクリアしよう！</v>
      </c>
      <c r="G490" s="27" t="s">
        <v>47</v>
      </c>
      <c r="H490" s="31" t="str">
        <f ca="1">IF(OR(I490="unit",I490="item"),K490&amp;" x "&amp;L490,IF(I490="polygon","ポリゴン x "&amp;J490,IF(I490="bit","ビット x "&amp;J490,IF(I490="link","リンク x "&amp;J490))))</f>
        <v>ポリゴン x 1</v>
      </c>
      <c r="I490" s="31" t="str">
        <f ca="1">VLOOKUP($G490,OFFSET(mission_ACH!$A$2,0,0,COUNTA($A:$A),MATCH(I$2,mission_ACH!$2:$2,0)-MATCH($G$2,mission_ACH!$2:$2,0)+1),MATCH(I$2,mission_ACH!$2:$2,0)-MATCH($G$2,mission_ACH!$2:$2,0)+1,FALSE)</f>
        <v>polygon</v>
      </c>
      <c r="J490" s="31">
        <f ca="1">VLOOKUP($G490,OFFSET(mission_ACH!$A$2,0,0,COUNTA($A:$A),MATCH(J$2,mission_ACH!$2:$2,0)-MATCH($G$2,mission_ACH!$2:$2,0)+1),MATCH(J$2,mission_ACH!$2:$2,0)-MATCH($G$2,mission_ACH!$2:$2,0)+1,FALSE)</f>
        <v>1</v>
      </c>
      <c r="K490" s="31" t="str">
        <f ca="1">IF(OR(I490="unit",I490="item"),VLOOKUP($G490,OFFSET(mission_ACH!$A$2,0,0,COUNTA($A:$A),MATCH(K$2,mission_ACH!$2:$2,0)-MATCH($G$2,mission_ACH!$2:$2,0)+1),MATCH(K$2,mission_ACH!$2:$2,0)-MATCH($G$2,mission_ACH!$2:$2,0)+1,FALSE),"")</f>
        <v/>
      </c>
      <c r="L490" s="31">
        <f ca="1">VLOOKUP($G490,OFFSET(mission_ACH!$A$2,0,0,COUNTA($A:$A),MATCH(L$2,mission_ACH!$2:$2,0)-MATCH($G$2,mission_ACH!$2:$2,0)+1),MATCH(L$2,mission_ACH!$2:$2,0)-MATCH($G$2,mission_ACH!$2:$2,0)+1,FALSE)</f>
        <v>0</v>
      </c>
      <c r="M490" s="27">
        <v>45</v>
      </c>
      <c r="N490" s="87" t="s">
        <v>2521</v>
      </c>
      <c r="O490" s="87" t="s">
        <v>2522</v>
      </c>
    </row>
    <row r="491" spans="1:16" s="1" customFormat="1" ht="21" customHeight="1" x14ac:dyDescent="0.15">
      <c r="A491" s="27">
        <f t="shared" si="166"/>
        <v>30131</v>
      </c>
      <c r="B491" s="26" t="str">
        <f t="shared" ref="B491:B494" ca="1" si="174">F491</f>
        <v>1000億BKキャンペーンをTwitterでツイートしよう！</v>
      </c>
      <c r="C491" s="27" t="s">
        <v>331</v>
      </c>
      <c r="D491" s="31" t="str">
        <f ca="1">VLOOKUP($C491,OFFSET(mission_unlock_criteria!$A$2,0,0,COUNTA(mission_unlock_criteria!$A:$A),MATCH(D$2,mission_unlock_criteria!$2:$2,0)-MATCH($C$2,mission_unlock_criteria!$2:$2,0)+1),MATCH(D$2,mission_unlock_criteria!$2:$2,0)-MATCH($C$2,mission_unlock_criteria!$2:$2,0)+1,FALSE)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91" s="2" t="s">
        <v>2525</v>
      </c>
      <c r="F491" s="31" t="str">
        <f ca="1">VLOOKUP($E491,OFFSET(mission_ACH_criteria!$A$1,0,0,COUNTA(mission_ACH_criteria!$A:$A),MATCH(F$2,mission_ACH_criteria!$1:$1,0)-MATCH($E$2,mission_ACH_criteria!$1:$1,0)+1),MATCH(F$2,mission_ACH_criteria!$1:$1,0)-MATCH($E$2,mission_ACH_criteria!$1:$1,0)+1,FALSE)</f>
        <v>1000億BKキャンペーンをTwitterでツイートしよう！</v>
      </c>
      <c r="G491" s="27" t="s">
        <v>47</v>
      </c>
      <c r="H491" s="31" t="str">
        <f t="shared" ca="1" si="172"/>
        <v>ポリゴン x 1</v>
      </c>
      <c r="I491" s="31" t="str">
        <f ca="1">VLOOKUP($G491,OFFSET(mission_ACH!$A$2,0,0,COUNTA($A:$A),MATCH(I$2,mission_ACH!$2:$2,0)-MATCH($G$2,mission_ACH!$2:$2,0)+1),MATCH(I$2,mission_ACH!$2:$2,0)-MATCH($G$2,mission_ACH!$2:$2,0)+1,FALSE)</f>
        <v>polygon</v>
      </c>
      <c r="J491" s="31">
        <f ca="1">VLOOKUP($G491,OFFSET(mission_ACH!$A$2,0,0,COUNTA($A:$A),MATCH(J$2,mission_ACH!$2:$2,0)-MATCH($G$2,mission_ACH!$2:$2,0)+1),MATCH(J$2,mission_ACH!$2:$2,0)-MATCH($G$2,mission_ACH!$2:$2,0)+1,FALSE)</f>
        <v>1</v>
      </c>
      <c r="K491" s="31" t="str">
        <f ca="1">IF(OR(I491="unit",I491="item"),VLOOKUP($G491,OFFSET(mission_ACH!$A$2,0,0,COUNTA($A:$A),MATCH(K$2,mission_ACH!$2:$2,0)-MATCH($G$2,mission_ACH!$2:$2,0)+1),MATCH(K$2,mission_ACH!$2:$2,0)-MATCH($G$2,mission_ACH!$2:$2,0)+1,FALSE),"")</f>
        <v/>
      </c>
      <c r="L491" s="31">
        <f ca="1">VLOOKUP($G491,OFFSET(mission_ACH!$A$2,0,0,COUNTA($A:$A),MATCH(L$2,mission_ACH!$2:$2,0)-MATCH($G$2,mission_ACH!$2:$2,0)+1),MATCH(L$2,mission_ACH!$2:$2,0)-MATCH($G$2,mission_ACH!$2:$2,0)+1,FALSE)</f>
        <v>0</v>
      </c>
      <c r="M491" s="27">
        <v>51</v>
      </c>
      <c r="N491" s="87" t="s">
        <v>2521</v>
      </c>
      <c r="O491" s="87" t="s">
        <v>2522</v>
      </c>
    </row>
    <row r="492" spans="1:16" s="1" customFormat="1" ht="21" customHeight="1" x14ac:dyDescent="0.15">
      <c r="A492" s="27">
        <f t="shared" ref="A492" si="175">A491+1</f>
        <v>30132</v>
      </c>
      <c r="B492" s="26" t="str">
        <f t="shared" ca="1" si="174"/>
        <v>1000億BKキャンペーンをLINEでタイムライン投稿しよう！</v>
      </c>
      <c r="C492" s="27" t="s">
        <v>331</v>
      </c>
      <c r="D492" s="31" t="str">
        <f ca="1">VLOOKUP($C492,OFFSET(mission_unlock_criteria!$A$2,0,0,COUNTA(mission_unlock_criteria!$A:$A),MATCH(D$2,mission_unlock_criteria!$2:$2,0)-MATCH($C$2,mission_unlock_criteria!$2:$2,0)+1),MATCH(D$2,mission_unlock_criteria!$2:$2,0)-MATCH($C$2,mission_unlock_criteria!$2:$2,0)+1,FALSE)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92" s="2" t="s">
        <v>2526</v>
      </c>
      <c r="F492" s="31" t="str">
        <f ca="1">VLOOKUP($E492,OFFSET(mission_ACH_criteria!$A$1,0,0,COUNTA(mission_ACH_criteria!$A:$A),MATCH(F$2,mission_ACH_criteria!$1:$1,0)-MATCH($E$2,mission_ACH_criteria!$1:$1,0)+1),MATCH(F$2,mission_ACH_criteria!$1:$1,0)-MATCH($E$2,mission_ACH_criteria!$1:$1,0)+1,FALSE)</f>
        <v>1000億BKキャンペーンをLINEでタイムライン投稿しよう！</v>
      </c>
      <c r="G492" s="27" t="s">
        <v>47</v>
      </c>
      <c r="H492" s="31" t="str">
        <f t="shared" ca="1" si="172"/>
        <v>ポリゴン x 1</v>
      </c>
      <c r="I492" s="31" t="str">
        <f ca="1">VLOOKUP($G492,OFFSET(mission_ACH!$A$2,0,0,COUNTA($A:$A),MATCH(I$2,mission_ACH!$2:$2,0)-MATCH($G$2,mission_ACH!$2:$2,0)+1),MATCH(I$2,mission_ACH!$2:$2,0)-MATCH($G$2,mission_ACH!$2:$2,0)+1,FALSE)</f>
        <v>polygon</v>
      </c>
      <c r="J492" s="31">
        <f ca="1">VLOOKUP($G492,OFFSET(mission_ACH!$A$2,0,0,COUNTA($A:$A),MATCH(J$2,mission_ACH!$2:$2,0)-MATCH($G$2,mission_ACH!$2:$2,0)+1),MATCH(J$2,mission_ACH!$2:$2,0)-MATCH($G$2,mission_ACH!$2:$2,0)+1,FALSE)</f>
        <v>1</v>
      </c>
      <c r="K492" s="31" t="str">
        <f ca="1">IF(OR(I492="unit",I492="item"),VLOOKUP($G492,OFFSET(mission_ACH!$A$2,0,0,COUNTA($A:$A),MATCH(K$2,mission_ACH!$2:$2,0)-MATCH($G$2,mission_ACH!$2:$2,0)+1),MATCH(K$2,mission_ACH!$2:$2,0)-MATCH($G$2,mission_ACH!$2:$2,0)+1,FALSE),"")</f>
        <v/>
      </c>
      <c r="L492" s="31">
        <f ca="1">VLOOKUP($G492,OFFSET(mission_ACH!$A$2,0,0,COUNTA($A:$A),MATCH(L$2,mission_ACH!$2:$2,0)-MATCH($G$2,mission_ACH!$2:$2,0)+1),MATCH(L$2,mission_ACH!$2:$2,0)-MATCH($G$2,mission_ACH!$2:$2,0)+1,FALSE)</f>
        <v>0</v>
      </c>
      <c r="M492" s="27">
        <v>50</v>
      </c>
      <c r="N492" s="87" t="s">
        <v>2521</v>
      </c>
      <c r="O492" s="87" t="s">
        <v>2522</v>
      </c>
    </row>
    <row r="493" spans="1:16" ht="21" customHeight="1" x14ac:dyDescent="0.15">
      <c r="A493" s="27">
        <f t="shared" si="166"/>
        <v>30133</v>
      </c>
      <c r="B493" s="26" t="str">
        <f t="shared" ca="1" si="174"/>
        <v>タワーオブザクイーン1階をクリアしよう！</v>
      </c>
      <c r="C493" s="27" t="s">
        <v>331</v>
      </c>
      <c r="D493" s="31" t="str">
        <f ca="1">VLOOKUP($C493,OFFSET(mission_unlock_criteria!$A$2,0,0,COUNTA(mission_unlock_criteria!$A:$A),MATCH(D$2,mission_unlock_criteria!$2:$2,0)-MATCH($C$2,mission_unlock_criteria!$2:$2,0)+1),MATCH(D$2,mission_unlock_criteria!$2:$2,0)-MATCH($C$2,mission_unlock_criteria!$2:$2,0)+1,FALSE)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93" s="21" t="s">
        <v>2533</v>
      </c>
      <c r="F493" s="31" t="str">
        <f ca="1">VLOOKUP($E493,OFFSET(mission_ACH_criteria!$A$1,0,0,COUNTA(mission_ACH_criteria!$A:$A),MATCH(F$2,mission_ACH_criteria!$1:$1,0)-MATCH($E$2,mission_ACH_criteria!$1:$1,0)+1),MATCH(F$2,mission_ACH_criteria!$1:$1,0)-MATCH($E$2,mission_ACH_criteria!$1:$1,0)+1,FALSE)</f>
        <v>タワーオブザクイーン1階をクリアしよう！</v>
      </c>
      <c r="G493" s="27" t="s">
        <v>398</v>
      </c>
      <c r="H493" s="31" t="str">
        <f t="shared" ca="1" si="172"/>
        <v>ポリゴン x 3</v>
      </c>
      <c r="I493" s="31" t="str">
        <f ca="1">VLOOKUP($G493,OFFSET(mission_ACH!$A$2,0,0,COUNTA($A:$A),MATCH(I$2,mission_ACH!$2:$2,0)-MATCH($G$2,mission_ACH!$2:$2,0)+1),MATCH(I$2,mission_ACH!$2:$2,0)-MATCH($G$2,mission_ACH!$2:$2,0)+1,FALSE)</f>
        <v>polygon</v>
      </c>
      <c r="J493" s="31">
        <f ca="1">VLOOKUP($G493,OFFSET(mission_ACH!$A$2,0,0,COUNTA($A:$A),MATCH(J$2,mission_ACH!$2:$2,0)-MATCH($G$2,mission_ACH!$2:$2,0)+1),MATCH(J$2,mission_ACH!$2:$2,0)-MATCH($G$2,mission_ACH!$2:$2,0)+1,FALSE)</f>
        <v>3</v>
      </c>
      <c r="K493" s="31" t="str">
        <f ca="1">IF(I493="unit",VLOOKUP($G493,OFFSET(mission_ACH!$A$2,0,0,COUNTA($A:$A),MATCH(K$2,mission_ACH!$2:$2,0)-MATCH($G$2,mission_ACH!$2:$2,0)+1),MATCH(K$2,mission_ACH!$2:$2,0)-MATCH($G$2,mission_ACH!$2:$2,0)+1,FALSE),"")</f>
        <v/>
      </c>
      <c r="L493" s="31">
        <f ca="1">VLOOKUP($G493,OFFSET(mission_ACH!$A$2,0,0,COUNTA($A:$A),MATCH(L$2,mission_ACH!$2:$2,0)-MATCH($G$2,mission_ACH!$2:$2,0)+1),MATCH(L$2,mission_ACH!$2:$2,0)-MATCH($G$2,mission_ACH!$2:$2,0)+1,FALSE)</f>
        <v>0</v>
      </c>
      <c r="M493" s="27">
        <v>111</v>
      </c>
      <c r="N493" s="87" t="s">
        <v>2534</v>
      </c>
      <c r="O493" s="87" t="s">
        <v>2535</v>
      </c>
    </row>
    <row r="494" spans="1:16" s="1" customFormat="1" ht="21" customHeight="1" x14ac:dyDescent="0.15">
      <c r="A494" s="27">
        <f t="shared" si="166"/>
        <v>30134</v>
      </c>
      <c r="B494" s="26" t="str">
        <f t="shared" ca="1" si="174"/>
        <v>クエスト 【スコアアタック】スカルズ襲来 をクリアしよう！</v>
      </c>
      <c r="C494" s="27" t="s">
        <v>331</v>
      </c>
      <c r="D494" s="31" t="str">
        <f ca="1">VLOOKUP($C494,OFFSET(mission_unlock_criteria!$A$2,0,0,COUNTA(mission_unlock_criteria!$A:$A),MATCH(D$2,mission_unlock_criteria!$2:$2,0)-MATCH($C$2,mission_unlock_criteria!$2:$2,0)+1),MATCH(D$2,mission_unlock_criteria!$2:$2,0)-MATCH($C$2,mission_unlock_criteria!$2:$2,0)+1,FALSE)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94" s="2" t="s">
        <v>2537</v>
      </c>
      <c r="F494" s="31" t="str">
        <f ca="1">VLOOKUP($E494,OFFSET(mission_ACH_criteria!$A$1,0,0,COUNTA(mission_ACH_criteria!$A:$A),MATCH(F$2,mission_ACH_criteria!$1:$1,0)-MATCH($E$2,mission_ACH_criteria!$1:$1,0)+1),MATCH(F$2,mission_ACH_criteria!$1:$1,0)-MATCH($E$2,mission_ACH_criteria!$1:$1,0)+1,FALSE)</f>
        <v>クエスト 【スコアアタック】スカルズ襲来 をクリアしよう！</v>
      </c>
      <c r="G494" s="27" t="s">
        <v>47</v>
      </c>
      <c r="H494" s="31" t="str">
        <f ca="1">IF(OR(I494="unit",I494="item"),K494&amp;" x "&amp;L494,IF(I494="polygon","ポリゴン x "&amp;J494,IF(I494="bit","ビット x "&amp;J494,IF(I494="link","リンク x "&amp;J494))))</f>
        <v>ポリゴン x 1</v>
      </c>
      <c r="I494" s="31" t="str">
        <f ca="1">VLOOKUP($G494,OFFSET(mission_ACH!$A$2,0,0,COUNTA($A:$A),MATCH(I$2,mission_ACH!$2:$2,0)-MATCH($G$2,mission_ACH!$2:$2,0)+1),MATCH(I$2,mission_ACH!$2:$2,0)-MATCH($G$2,mission_ACH!$2:$2,0)+1,FALSE)</f>
        <v>polygon</v>
      </c>
      <c r="J494" s="31">
        <f ca="1">VLOOKUP($G494,OFFSET(mission_ACH!$A$2,0,0,COUNTA($A:$A),MATCH(J$2,mission_ACH!$2:$2,0)-MATCH($G$2,mission_ACH!$2:$2,0)+1),MATCH(J$2,mission_ACH!$2:$2,0)-MATCH($G$2,mission_ACH!$2:$2,0)+1,FALSE)</f>
        <v>1</v>
      </c>
      <c r="K494" s="31" t="str">
        <f ca="1">IF(OR(I494="unit",I494="item"),VLOOKUP($G494,OFFSET(mission_ACH!$A$2,0,0,COUNTA($A:$A),MATCH(K$2,mission_ACH!$2:$2,0)-MATCH($G$2,mission_ACH!$2:$2,0)+1),MATCH(K$2,mission_ACH!$2:$2,0)-MATCH($G$2,mission_ACH!$2:$2,0)+1,FALSE),"")</f>
        <v/>
      </c>
      <c r="L494" s="31">
        <f ca="1">VLOOKUP($G494,OFFSET(mission_ACH!$A$2,0,0,COUNTA($A:$A),MATCH(L$2,mission_ACH!$2:$2,0)-MATCH($G$2,mission_ACH!$2:$2,0)+1),MATCH(L$2,mission_ACH!$2:$2,0)-MATCH($G$2,mission_ACH!$2:$2,0)+1,FALSE)</f>
        <v>0</v>
      </c>
      <c r="M494" s="27">
        <v>45</v>
      </c>
      <c r="N494" s="87" t="s">
        <v>2539</v>
      </c>
      <c r="O494" s="87" t="s">
        <v>2522</v>
      </c>
    </row>
    <row r="495" spans="1:16" ht="21" customHeight="1" x14ac:dyDescent="0.15">
      <c r="A495" s="27">
        <f t="shared" si="166"/>
        <v>30135</v>
      </c>
      <c r="B495" s="26" t="str">
        <f ca="1">F495</f>
        <v>クエスト ヘンペルチャレンジ  をクリアしよう！</v>
      </c>
      <c r="C495" s="27" t="s">
        <v>331</v>
      </c>
      <c r="D495" s="31" t="str">
        <f ca="1">VLOOKUP($C495,OFFSET(mission_unlock_criteria!$A$2,0,0,COUNTA(mission_unlock_criteria!$A:$A),MATCH(D$2,mission_unlock_criteria!$2:$2,0)-MATCH($C$2,mission_unlock_criteria!$2:$2,0)+1),MATCH(D$2,mission_unlock_criteria!$2:$2,0)-MATCH($C$2,mission_unlock_criteria!$2:$2,0)+1,FALSE)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95" s="21" t="s">
        <v>2540</v>
      </c>
      <c r="F495" s="31" t="str">
        <f ca="1">VLOOKUP($E495,OFFSET(mission_ACH_criteria!$A$1,0,0,COUNTA(mission_ACH_criteria!$A:$A),MATCH(F$2,mission_ACH_criteria!$1:$1,0)-MATCH($E$2,mission_ACH_criteria!$1:$1,0)+1),MATCH(F$2,mission_ACH_criteria!$1:$1,0)-MATCH($E$2,mission_ACH_criteria!$1:$1,0)+1,FALSE)</f>
        <v>クエスト ヘンペルチャレンジ  をクリアしよう！</v>
      </c>
      <c r="G495" s="27" t="s">
        <v>398</v>
      </c>
      <c r="H495" s="31" t="str">
        <f t="shared" ref="H495" ca="1" si="176">IF(I495="unit",K495&amp;" x "&amp;L495,IF(I495="polygon","ポリゴン x "&amp;J495,IF(I495="bit","ビット x "&amp;J495,IF(I495="link","リンク x "&amp;J495))))</f>
        <v>ポリゴン x 3</v>
      </c>
      <c r="I495" s="31" t="str">
        <f ca="1">VLOOKUP($G495,OFFSET(mission_ACH!$A$2,0,0,COUNTA($A:$A),MATCH(I$2,mission_ACH!$2:$2,0)-MATCH($G$2,mission_ACH!$2:$2,0)+1),MATCH(I$2,mission_ACH!$2:$2,0)-MATCH($G$2,mission_ACH!$2:$2,0)+1,FALSE)</f>
        <v>polygon</v>
      </c>
      <c r="J495" s="31">
        <f ca="1">VLOOKUP($G495,OFFSET(mission_ACH!$A$2,0,0,COUNTA($A:$A),MATCH(J$2,mission_ACH!$2:$2,0)-MATCH($G$2,mission_ACH!$2:$2,0)+1),MATCH(J$2,mission_ACH!$2:$2,0)-MATCH($G$2,mission_ACH!$2:$2,0)+1,FALSE)</f>
        <v>3</v>
      </c>
      <c r="K495" s="31" t="str">
        <f ca="1">IF(I495="unit",VLOOKUP($G495,OFFSET(mission_ACH!$A$2,0,0,COUNTA($A:$A),MATCH(K$2,mission_ACH!$2:$2,0)-MATCH($G$2,mission_ACH!$2:$2,0)+1),MATCH(K$2,mission_ACH!$2:$2,0)-MATCH($G$2,mission_ACH!$2:$2,0)+1,FALSE),"")</f>
        <v/>
      </c>
      <c r="L495" s="31">
        <f ca="1">VLOOKUP($G495,OFFSET(mission_ACH!$A$2,0,0,COUNTA($A:$A),MATCH(L$2,mission_ACH!$2:$2,0)-MATCH($G$2,mission_ACH!$2:$2,0)+1),MATCH(L$2,mission_ACH!$2:$2,0)-MATCH($G$2,mission_ACH!$2:$2,0)+1,FALSE)</f>
        <v>0</v>
      </c>
      <c r="M495" s="27">
        <v>106</v>
      </c>
      <c r="N495" s="87" t="s">
        <v>2542</v>
      </c>
      <c r="O495" s="87" t="s">
        <v>2543</v>
      </c>
      <c r="P495" s="137"/>
    </row>
    <row r="496" spans="1:16" ht="21" customHeight="1" x14ac:dyDescent="0.15">
      <c r="A496" s="27">
        <f t="shared" si="166"/>
        <v>30136</v>
      </c>
      <c r="B496" s="26" t="str">
        <f ca="1">F496</f>
        <v>クエスト フロイトチャレンジ をクリアしよう！</v>
      </c>
      <c r="C496" s="27" t="s">
        <v>331</v>
      </c>
      <c r="D496" s="31" t="str">
        <f ca="1">VLOOKUP($C496,OFFSET(mission_unlock_criteria!$A$2,0,0,COUNTA(mission_unlock_criteria!$A:$A),MATCH(D$2,mission_unlock_criteria!$2:$2,0)-MATCH($C$2,mission_unlock_criteria!$2:$2,0)+1),MATCH(D$2,mission_unlock_criteria!$2:$2,0)-MATCH($C$2,mission_unlock_criteria!$2:$2,0)+1,FALSE)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96" s="21" t="s">
        <v>2544</v>
      </c>
      <c r="F496" s="31" t="str">
        <f ca="1">VLOOKUP($E496,OFFSET(mission_ACH_criteria!$A$1,0,0,COUNTA(mission_ACH_criteria!$A:$A),MATCH(F$2,mission_ACH_criteria!$1:$1,0)-MATCH($E$2,mission_ACH_criteria!$1:$1,0)+1),MATCH(F$2,mission_ACH_criteria!$1:$1,0)-MATCH($E$2,mission_ACH_criteria!$1:$1,0)+1,FALSE)</f>
        <v>クエスト フロイトチャレンジ をクリアしよう！</v>
      </c>
      <c r="G496" s="27" t="s">
        <v>398</v>
      </c>
      <c r="H496" s="31" t="str">
        <f t="shared" ref="H496:H498" ca="1" si="177">IF(I496="unit",K496&amp;" x "&amp;L496,IF(I496="polygon","ポリゴン x "&amp;J496,IF(I496="bit","ビット x "&amp;J496,IF(I496="link","リンク x "&amp;J496))))</f>
        <v>ポリゴン x 3</v>
      </c>
      <c r="I496" s="31" t="str">
        <f ca="1">VLOOKUP($G496,OFFSET(mission_ACH!$A$2,0,0,COUNTA($A:$A),MATCH(I$2,mission_ACH!$2:$2,0)-MATCH($G$2,mission_ACH!$2:$2,0)+1),MATCH(I$2,mission_ACH!$2:$2,0)-MATCH($G$2,mission_ACH!$2:$2,0)+1,FALSE)</f>
        <v>polygon</v>
      </c>
      <c r="J496" s="31">
        <f ca="1">VLOOKUP($G496,OFFSET(mission_ACH!$A$2,0,0,COUNTA($A:$A),MATCH(J$2,mission_ACH!$2:$2,0)-MATCH($G$2,mission_ACH!$2:$2,0)+1),MATCH(J$2,mission_ACH!$2:$2,0)-MATCH($G$2,mission_ACH!$2:$2,0)+1,FALSE)</f>
        <v>3</v>
      </c>
      <c r="K496" s="31" t="str">
        <f ca="1">IF(I496="unit",VLOOKUP($G496,OFFSET(mission_ACH!$A$2,0,0,COUNTA($A:$A),MATCH(K$2,mission_ACH!$2:$2,0)-MATCH($G$2,mission_ACH!$2:$2,0)+1),MATCH(K$2,mission_ACH!$2:$2,0)-MATCH($G$2,mission_ACH!$2:$2,0)+1,FALSE),"")</f>
        <v/>
      </c>
      <c r="L496" s="31">
        <f ca="1">VLOOKUP($G496,OFFSET(mission_ACH!$A$2,0,0,COUNTA($A:$A),MATCH(L$2,mission_ACH!$2:$2,0)-MATCH($G$2,mission_ACH!$2:$2,0)+1),MATCH(L$2,mission_ACH!$2:$2,0)-MATCH($G$2,mission_ACH!$2:$2,0)+1,FALSE)</f>
        <v>0</v>
      </c>
      <c r="M496" s="27">
        <v>106</v>
      </c>
      <c r="N496" s="87" t="s">
        <v>2546</v>
      </c>
      <c r="O496" s="87" t="s">
        <v>2547</v>
      </c>
      <c r="P496" s="137"/>
    </row>
    <row r="497" spans="1:15" s="1" customFormat="1" ht="21" customHeight="1" x14ac:dyDescent="0.15">
      <c r="A497" s="27">
        <f t="shared" si="166"/>
        <v>30137</v>
      </c>
      <c r="B497" s="26" t="str">
        <f t="shared" ref="B497:B501" ca="1" si="178">F497</f>
        <v>クエスト 【上級】スカー襲来 をクリアしよう！</v>
      </c>
      <c r="C497" s="27" t="s">
        <v>331</v>
      </c>
      <c r="D497" s="31" t="str">
        <f ca="1">VLOOKUP($C497,OFFSET(mission_unlock_criteria!$A$2,0,0,COUNTA(mission_unlock_criteria!$A:$A),MATCH(D$2,mission_unlock_criteria!$2:$2,0)-MATCH($C$2,mission_unlock_criteria!$2:$2,0)+1),MATCH(D$2,mission_unlock_criteria!$2:$2,0)-MATCH($C$2,mission_unlock_criteria!$2:$2,0)+1,FALSE)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97" s="21" t="s">
        <v>2551</v>
      </c>
      <c r="F497" s="31" t="str">
        <f ca="1">VLOOKUP($E497,OFFSET(mission_ACH_criteria!$A$1,0,0,COUNTA(mission_ACH_criteria!$A:$A),MATCH(F$2,mission_ACH_criteria!$1:$1,0)-MATCH($E$2,mission_ACH_criteria!$1:$1,0)+1),MATCH(F$2,mission_ACH_criteria!$1:$1,0)-MATCH($E$2,mission_ACH_criteria!$1:$1,0)+1,FALSE)</f>
        <v>クエスト 【上級】スカー襲来 をクリアしよう！</v>
      </c>
      <c r="G497" s="27" t="s">
        <v>2143</v>
      </c>
      <c r="H497" s="31" t="str">
        <f t="shared" ca="1" si="177"/>
        <v>メガ秘術の果実 x 1</v>
      </c>
      <c r="I497" s="31" t="str">
        <f ca="1">VLOOKUP($G497,OFFSET(mission_ACH!$A$2,0,0,COUNTA($A:$A),MATCH(I$2,mission_ACH!$2:$2,0)-MATCH($G$2,mission_ACH!$2:$2,0)+1),MATCH(I$2,mission_ACH!$2:$2,0)-MATCH($G$2,mission_ACH!$2:$2,0)+1,FALSE)</f>
        <v>unit</v>
      </c>
      <c r="J497" s="31">
        <f ca="1">VLOOKUP($G497,OFFSET(mission_ACH!$A$2,0,0,COUNTA($A:$A),MATCH(J$2,mission_ACH!$2:$2,0)-MATCH($G$2,mission_ACH!$2:$2,0)+1),MATCH(J$2,mission_ACH!$2:$2,0)-MATCH($G$2,mission_ACH!$2:$2,0)+1,FALSE)</f>
        <v>610</v>
      </c>
      <c r="K497" s="31" t="str">
        <f ca="1">IF(I497="unit",VLOOKUP($G497,OFFSET(mission_ACH!$A$2,0,0,COUNTA($A:$A),MATCH(K$2,mission_ACH!$2:$2,0)-MATCH($G$2,mission_ACH!$2:$2,0)+1),MATCH(K$2,mission_ACH!$2:$2,0)-MATCH($G$2,mission_ACH!$2:$2,0)+1,FALSE),"")</f>
        <v>メガ秘術の果実</v>
      </c>
      <c r="L497" s="31">
        <f ca="1">VLOOKUP($G497,OFFSET(mission_ACH!$A$2,0,0,COUNTA($A:$A),MATCH(L$2,mission_ACH!$2:$2,0)-MATCH($G$2,mission_ACH!$2:$2,0)+1),MATCH(L$2,mission_ACH!$2:$2,0)-MATCH($G$2,mission_ACH!$2:$2,0)+1,FALSE)</f>
        <v>1</v>
      </c>
      <c r="M497" s="27">
        <v>107</v>
      </c>
      <c r="N497" s="87" t="s">
        <v>2554</v>
      </c>
      <c r="O497" s="87" t="s">
        <v>2555</v>
      </c>
    </row>
    <row r="498" spans="1:15" s="1" customFormat="1" ht="21" customHeight="1" x14ac:dyDescent="0.15">
      <c r="A498" s="27">
        <f t="shared" ref="A498" si="179">A497+1</f>
        <v>30138</v>
      </c>
      <c r="B498" s="26" t="str">
        <f t="shared" ca="1" si="178"/>
        <v>クエスト 【超級】スカー襲来 をクリアしよう！</v>
      </c>
      <c r="C498" s="27" t="s">
        <v>331</v>
      </c>
      <c r="D498" s="31" t="str">
        <f ca="1">VLOOKUP($C498,OFFSET(mission_unlock_criteria!$A$2,0,0,COUNTA(mission_unlock_criteria!$A:$A),MATCH(D$2,mission_unlock_criteria!$2:$2,0)-MATCH($C$2,mission_unlock_criteria!$2:$2,0)+1),MATCH(D$2,mission_unlock_criteria!$2:$2,0)-MATCH($C$2,mission_unlock_criteria!$2:$2,0)+1,FALSE)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98" s="21" t="s">
        <v>2552</v>
      </c>
      <c r="F498" s="31" t="str">
        <f ca="1">VLOOKUP($E498,OFFSET(mission_ACH_criteria!$A$1,0,0,COUNTA(mission_ACH_criteria!$A:$A),MATCH(F$2,mission_ACH_criteria!$1:$1,0)-MATCH($E$2,mission_ACH_criteria!$1:$1,0)+1),MATCH(F$2,mission_ACH_criteria!$1:$1,0)-MATCH($E$2,mission_ACH_criteria!$1:$1,0)+1,FALSE)</f>
        <v>クエスト 【超級】スカー襲来 をクリアしよう！</v>
      </c>
      <c r="G498" s="27" t="s">
        <v>2143</v>
      </c>
      <c r="H498" s="31" t="str">
        <f t="shared" ca="1" si="177"/>
        <v>メガ秘術の果実 x 1</v>
      </c>
      <c r="I498" s="31" t="str">
        <f ca="1">VLOOKUP($G498,OFFSET(mission_ACH!$A$2,0,0,COUNTA($A:$A),MATCH(I$2,mission_ACH!$2:$2,0)-MATCH($G$2,mission_ACH!$2:$2,0)+1),MATCH(I$2,mission_ACH!$2:$2,0)-MATCH($G$2,mission_ACH!$2:$2,0)+1,FALSE)</f>
        <v>unit</v>
      </c>
      <c r="J498" s="31">
        <f ca="1">VLOOKUP($G498,OFFSET(mission_ACH!$A$2,0,0,COUNTA($A:$A),MATCH(J$2,mission_ACH!$2:$2,0)-MATCH($G$2,mission_ACH!$2:$2,0)+1),MATCH(J$2,mission_ACH!$2:$2,0)-MATCH($G$2,mission_ACH!$2:$2,0)+1,FALSE)</f>
        <v>610</v>
      </c>
      <c r="K498" s="31" t="str">
        <f ca="1">IF(I498="unit",VLOOKUP($G498,OFFSET(mission_ACH!$A$2,0,0,COUNTA($A:$A),MATCH(K$2,mission_ACH!$2:$2,0)-MATCH($G$2,mission_ACH!$2:$2,0)+1),MATCH(K$2,mission_ACH!$2:$2,0)-MATCH($G$2,mission_ACH!$2:$2,0)+1,FALSE),"")</f>
        <v>メガ秘術の果実</v>
      </c>
      <c r="L498" s="31">
        <f ca="1">VLOOKUP($G498,OFFSET(mission_ACH!$A$2,0,0,COUNTA($A:$A),MATCH(L$2,mission_ACH!$2:$2,0)-MATCH($G$2,mission_ACH!$2:$2,0)+1),MATCH(L$2,mission_ACH!$2:$2,0)-MATCH($G$2,mission_ACH!$2:$2,0)+1,FALSE)</f>
        <v>1</v>
      </c>
      <c r="M498" s="27">
        <v>108</v>
      </c>
      <c r="N498" s="87" t="s">
        <v>2554</v>
      </c>
      <c r="O498" s="87" t="s">
        <v>2555</v>
      </c>
    </row>
    <row r="499" spans="1:15" s="1" customFormat="1" ht="21" customHeight="1" x14ac:dyDescent="0.15">
      <c r="A499" s="27">
        <f t="shared" si="166"/>
        <v>30139</v>
      </c>
      <c r="B499" s="26" t="str">
        <f t="shared" ca="1" si="178"/>
        <v>クエスト 【ウィザード級】スカー襲来 をクリアしよう！</v>
      </c>
      <c r="C499" s="27" t="s">
        <v>331</v>
      </c>
      <c r="D499" s="31" t="str">
        <f ca="1">VLOOKUP($C499,OFFSET(mission_unlock_criteria!$A$2,0,0,COUNTA(mission_unlock_criteria!$A:$A),MATCH(D$2,mission_unlock_criteria!$2:$2,0)-MATCH($C$2,mission_unlock_criteria!$2:$2,0)+1),MATCH(D$2,mission_unlock_criteria!$2:$2,0)-MATCH($C$2,mission_unlock_criteria!$2:$2,0)+1,FALSE)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499" s="2" t="s">
        <v>2553</v>
      </c>
      <c r="F499" s="31" t="str">
        <f ca="1">VLOOKUP($E499,OFFSET(mission_ACH_criteria!$A$1,0,0,COUNTA(mission_ACH_criteria!$A:$A),MATCH(F$2,mission_ACH_criteria!$1:$1,0)-MATCH($E$2,mission_ACH_criteria!$1:$1,0)+1),MATCH(F$2,mission_ACH_criteria!$1:$1,0)-MATCH($E$2,mission_ACH_criteria!$1:$1,0)+1,FALSE)</f>
        <v>クエスト 【ウィザード級】スカー襲来 をクリアしよう！</v>
      </c>
      <c r="G499" s="27" t="s">
        <v>47</v>
      </c>
      <c r="H499" s="31" t="str">
        <f ca="1">IF(OR(I499="unit",I499="item"),K499&amp;" x "&amp;L499,IF(I499="polygon","ポリゴン x "&amp;J499,IF(I499="bit","ビット x "&amp;J499,IF(I499="link","リンク x "&amp;J499))))</f>
        <v>ポリゴン x 1</v>
      </c>
      <c r="I499" s="31" t="str">
        <f ca="1">VLOOKUP($G499,OFFSET(mission_ACH!$A$2,0,0,COUNTA($A:$A),MATCH(I$2,mission_ACH!$2:$2,0)-MATCH($G$2,mission_ACH!$2:$2,0)+1),MATCH(I$2,mission_ACH!$2:$2,0)-MATCH($G$2,mission_ACH!$2:$2,0)+1,FALSE)</f>
        <v>polygon</v>
      </c>
      <c r="J499" s="31">
        <f ca="1">VLOOKUP($G499,OFFSET(mission_ACH!$A$2,0,0,COUNTA($A:$A),MATCH(J$2,mission_ACH!$2:$2,0)-MATCH($G$2,mission_ACH!$2:$2,0)+1),MATCH(J$2,mission_ACH!$2:$2,0)-MATCH($G$2,mission_ACH!$2:$2,0)+1,FALSE)</f>
        <v>1</v>
      </c>
      <c r="K499" s="31" t="str">
        <f ca="1">IF(OR(I499="unit",I499="item"),VLOOKUP($G499,OFFSET(mission_ACH!$A$2,0,0,COUNTA($A:$A),MATCH(K$2,mission_ACH!$2:$2,0)-MATCH($G$2,mission_ACH!$2:$2,0)+1),MATCH(K$2,mission_ACH!$2:$2,0)-MATCH($G$2,mission_ACH!$2:$2,0)+1,FALSE),"")</f>
        <v/>
      </c>
      <c r="L499" s="31">
        <f ca="1">VLOOKUP($G499,OFFSET(mission_ACH!$A$2,0,0,COUNTA($A:$A),MATCH(L$2,mission_ACH!$2:$2,0)-MATCH($G$2,mission_ACH!$2:$2,0)+1),MATCH(L$2,mission_ACH!$2:$2,0)-MATCH($G$2,mission_ACH!$2:$2,0)+1,FALSE)</f>
        <v>0</v>
      </c>
      <c r="M499" s="27">
        <v>109</v>
      </c>
      <c r="N499" s="87" t="s">
        <v>2554</v>
      </c>
      <c r="O499" s="87" t="s">
        <v>2555</v>
      </c>
    </row>
    <row r="500" spans="1:15" s="1" customFormat="1" ht="21" customHeight="1" x14ac:dyDescent="0.15">
      <c r="A500" s="27">
        <f t="shared" si="166"/>
        <v>30140</v>
      </c>
      <c r="B500" s="26" t="str">
        <f t="shared" ca="1" si="178"/>
        <v>鋼の錬金術師コラボをTwitterでツイートしよう！</v>
      </c>
      <c r="C500" s="27" t="s">
        <v>331</v>
      </c>
      <c r="D500" s="31" t="str">
        <f ca="1">VLOOKUP($C500,OFFSET(mission_unlock_criteria!$A$2,0,0,COUNTA(mission_unlock_criteria!$A:$A),MATCH(D$2,mission_unlock_criteria!$2:$2,0)-MATCH($C$2,mission_unlock_criteria!$2:$2,0)+1),MATCH(D$2,mission_unlock_criteria!$2:$2,0)-MATCH($C$2,mission_unlock_criteria!$2:$2,0)+1,FALSE)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500" s="2" t="s">
        <v>2558</v>
      </c>
      <c r="F500" s="31" t="str">
        <f ca="1">VLOOKUP($E500,OFFSET(mission_ACH_criteria!$A$1,0,0,COUNTA(mission_ACH_criteria!$A:$A),MATCH(F$2,mission_ACH_criteria!$1:$1,0)-MATCH($E$2,mission_ACH_criteria!$1:$1,0)+1),MATCH(F$2,mission_ACH_criteria!$1:$1,0)-MATCH($E$2,mission_ACH_criteria!$1:$1,0)+1,FALSE)</f>
        <v>鋼の錬金術師コラボをTwitterでツイートしよう！</v>
      </c>
      <c r="G500" s="27" t="s">
        <v>47</v>
      </c>
      <c r="H500" s="31" t="str">
        <f t="shared" ref="H500:H501" ca="1" si="180">IF(I500="unit",K500&amp;" x "&amp;L500,IF(I500="polygon","ポリゴン x "&amp;J500,IF(I500="bit","ビット x "&amp;J500,IF(I500="link","リンク x "&amp;J500))))</f>
        <v>ポリゴン x 1</v>
      </c>
      <c r="I500" s="31" t="str">
        <f ca="1">VLOOKUP($G500,OFFSET(mission_ACH!$A$2,0,0,COUNTA($A:$A),MATCH(I$2,mission_ACH!$2:$2,0)-MATCH($G$2,mission_ACH!$2:$2,0)+1),MATCH(I$2,mission_ACH!$2:$2,0)-MATCH($G$2,mission_ACH!$2:$2,0)+1,FALSE)</f>
        <v>polygon</v>
      </c>
      <c r="J500" s="31">
        <f ca="1">VLOOKUP($G500,OFFSET(mission_ACH!$A$2,0,0,COUNTA($A:$A),MATCH(J$2,mission_ACH!$2:$2,0)-MATCH($G$2,mission_ACH!$2:$2,0)+1),MATCH(J$2,mission_ACH!$2:$2,0)-MATCH($G$2,mission_ACH!$2:$2,0)+1,FALSE)</f>
        <v>1</v>
      </c>
      <c r="K500" s="31" t="str">
        <f ca="1">IF(OR(I500="unit",I500="item"),VLOOKUP($G500,OFFSET(mission_ACH!$A$2,0,0,COUNTA($A:$A),MATCH(K$2,mission_ACH!$2:$2,0)-MATCH($G$2,mission_ACH!$2:$2,0)+1),MATCH(K$2,mission_ACH!$2:$2,0)-MATCH($G$2,mission_ACH!$2:$2,0)+1,FALSE),"")</f>
        <v/>
      </c>
      <c r="L500" s="31">
        <f ca="1">VLOOKUP($G500,OFFSET(mission_ACH!$A$2,0,0,COUNTA($A:$A),MATCH(L$2,mission_ACH!$2:$2,0)-MATCH($G$2,mission_ACH!$2:$2,0)+1),MATCH(L$2,mission_ACH!$2:$2,0)-MATCH($G$2,mission_ACH!$2:$2,0)+1,FALSE)</f>
        <v>0</v>
      </c>
      <c r="M500" s="27">
        <v>110</v>
      </c>
      <c r="N500" s="87" t="s">
        <v>2554</v>
      </c>
      <c r="O500" s="87" t="s">
        <v>2555</v>
      </c>
    </row>
    <row r="501" spans="1:15" s="1" customFormat="1" ht="21" customHeight="1" x14ac:dyDescent="0.15">
      <c r="A501" s="27">
        <f t="shared" ref="A501:A503" si="181">A500+1</f>
        <v>30141</v>
      </c>
      <c r="B501" s="26" t="str">
        <f t="shared" ca="1" si="178"/>
        <v>鋼の錬金術師コラボをLINEでタイムライン投稿しよう！</v>
      </c>
      <c r="C501" s="27" t="s">
        <v>331</v>
      </c>
      <c r="D501" s="31" t="str">
        <f ca="1">VLOOKUP($C501,OFFSET(mission_unlock_criteria!$A$2,0,0,COUNTA(mission_unlock_criteria!$A:$A),MATCH(D$2,mission_unlock_criteria!$2:$2,0)-MATCH($C$2,mission_unlock_criteria!$2:$2,0)+1),MATCH(D$2,mission_unlock_criteria!$2:$2,0)-MATCH($C$2,mission_unlock_criteria!$2:$2,0)+1,FALSE)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501" s="2" t="s">
        <v>2559</v>
      </c>
      <c r="F501" s="31" t="str">
        <f ca="1">VLOOKUP($E501,OFFSET(mission_ACH_criteria!$A$1,0,0,COUNTA(mission_ACH_criteria!$A:$A),MATCH(F$2,mission_ACH_criteria!$1:$1,0)-MATCH($E$2,mission_ACH_criteria!$1:$1,0)+1),MATCH(F$2,mission_ACH_criteria!$1:$1,0)-MATCH($E$2,mission_ACH_criteria!$1:$1,0)+1,FALSE)</f>
        <v>鋼の錬金術師コラボをLINEでタイムライン投稿しよう！</v>
      </c>
      <c r="G501" s="27" t="s">
        <v>47</v>
      </c>
      <c r="H501" s="31" t="str">
        <f t="shared" ca="1" si="180"/>
        <v>ポリゴン x 1</v>
      </c>
      <c r="I501" s="31" t="str">
        <f ca="1">VLOOKUP($G501,OFFSET(mission_ACH!$A$2,0,0,COUNTA($A:$A),MATCH(I$2,mission_ACH!$2:$2,0)-MATCH($G$2,mission_ACH!$2:$2,0)+1),MATCH(I$2,mission_ACH!$2:$2,0)-MATCH($G$2,mission_ACH!$2:$2,0)+1,FALSE)</f>
        <v>polygon</v>
      </c>
      <c r="J501" s="31">
        <f ca="1">VLOOKUP($G501,OFFSET(mission_ACH!$A$2,0,0,COUNTA($A:$A),MATCH(J$2,mission_ACH!$2:$2,0)-MATCH($G$2,mission_ACH!$2:$2,0)+1),MATCH(J$2,mission_ACH!$2:$2,0)-MATCH($G$2,mission_ACH!$2:$2,0)+1,FALSE)</f>
        <v>1</v>
      </c>
      <c r="K501" s="31" t="str">
        <f ca="1">IF(OR(I501="unit",I501="item"),VLOOKUP($G501,OFFSET(mission_ACH!$A$2,0,0,COUNTA($A:$A),MATCH(K$2,mission_ACH!$2:$2,0)-MATCH($G$2,mission_ACH!$2:$2,0)+1),MATCH(K$2,mission_ACH!$2:$2,0)-MATCH($G$2,mission_ACH!$2:$2,0)+1,FALSE),"")</f>
        <v/>
      </c>
      <c r="L501" s="31">
        <f ca="1">VLOOKUP($G501,OFFSET(mission_ACH!$A$2,0,0,COUNTA($A:$A),MATCH(L$2,mission_ACH!$2:$2,0)-MATCH($G$2,mission_ACH!$2:$2,0)+1),MATCH(L$2,mission_ACH!$2:$2,0)-MATCH($G$2,mission_ACH!$2:$2,0)+1,FALSE)</f>
        <v>0</v>
      </c>
      <c r="M501" s="27">
        <v>110</v>
      </c>
      <c r="N501" s="87" t="s">
        <v>2554</v>
      </c>
      <c r="O501" s="87" t="s">
        <v>2555</v>
      </c>
    </row>
    <row r="502" spans="1:15" s="1" customFormat="1" ht="21" customHeight="1" x14ac:dyDescent="0.15">
      <c r="A502" s="27">
        <f t="shared" si="166"/>
        <v>30142</v>
      </c>
      <c r="B502" s="26" t="str">
        <f t="shared" ref="B502:B510" ca="1" si="182">F502</f>
        <v>サントラ第一弾の情報をチェックしよう！</v>
      </c>
      <c r="C502" s="27" t="s">
        <v>331</v>
      </c>
      <c r="D502" s="31" t="str">
        <f ca="1">VLOOKUP($C502,OFFSET(mission_unlock_criteria!$A$2,0,0,COUNTA(mission_unlock_criteria!$A:$A),MATCH(D$2,mission_unlock_criteria!$2:$2,0)-MATCH($C$2,mission_unlock_criteria!$2:$2,0)+1),MATCH(D$2,mission_unlock_criteria!$2:$2,0)-MATCH($C$2,mission_unlock_criteria!$2:$2,0)+1,FALSE)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502" s="2" t="s">
        <v>2566</v>
      </c>
      <c r="F502" s="31" t="str">
        <f ca="1">VLOOKUP($E502,OFFSET(mission_ACH_criteria!$A$1,0,0,COUNTA(mission_ACH_criteria!$A:$A),MATCH(F$2,mission_ACH_criteria!$1:$1,0)-MATCH($E$2,mission_ACH_criteria!$1:$1,0)+1),MATCH(F$2,mission_ACH_criteria!$1:$1,0)-MATCH($E$2,mission_ACH_criteria!$1:$1,0)+1,FALSE)</f>
        <v>サントラ第一弾の情報をチェックしよう！</v>
      </c>
      <c r="G502" s="27" t="s">
        <v>47</v>
      </c>
      <c r="H502" s="31" t="str">
        <f t="shared" ref="H502:H503" ca="1" si="183">IF(I502="unit",K502&amp;" x "&amp;L502,IF(I502="polygon","ポリゴン x "&amp;J502,IF(I502="bit","ビット x "&amp;J502,IF(I502="link","リンク x "&amp;J502))))</f>
        <v>ポリゴン x 1</v>
      </c>
      <c r="I502" s="31" t="str">
        <f ca="1">VLOOKUP($G502,OFFSET(mission_ACH!$A$2,0,0,COUNTA($A:$A),MATCH(I$2,mission_ACH!$2:$2,0)-MATCH($G$2,mission_ACH!$2:$2,0)+1),MATCH(I$2,mission_ACH!$2:$2,0)-MATCH($G$2,mission_ACH!$2:$2,0)+1,FALSE)</f>
        <v>polygon</v>
      </c>
      <c r="J502" s="31">
        <f ca="1">VLOOKUP($G502,OFFSET(mission_ACH!$A$2,0,0,COUNTA($A:$A),MATCH(J$2,mission_ACH!$2:$2,0)-MATCH($G$2,mission_ACH!$2:$2,0)+1),MATCH(J$2,mission_ACH!$2:$2,0)-MATCH($G$2,mission_ACH!$2:$2,0)+1,FALSE)</f>
        <v>1</v>
      </c>
      <c r="K502" s="31" t="str">
        <f ca="1">IF(OR(I502="unit",I502="item"),VLOOKUP($G502,OFFSET(mission_ACH!$A$2,0,0,COUNTA($A:$A),MATCH(K$2,mission_ACH!$2:$2,0)-MATCH($G$2,mission_ACH!$2:$2,0)+1),MATCH(K$2,mission_ACH!$2:$2,0)-MATCH($G$2,mission_ACH!$2:$2,0)+1,FALSE),"")</f>
        <v/>
      </c>
      <c r="L502" s="31">
        <f ca="1">VLOOKUP($G502,OFFSET(mission_ACH!$A$2,0,0,COUNTA($A:$A),MATCH(L$2,mission_ACH!$2:$2,0)-MATCH($G$2,mission_ACH!$2:$2,0)+1),MATCH(L$2,mission_ACH!$2:$2,0)-MATCH($G$2,mission_ACH!$2:$2,0)+1,FALSE)</f>
        <v>0</v>
      </c>
      <c r="M502" s="27">
        <v>111</v>
      </c>
      <c r="N502" s="87" t="s">
        <v>2571</v>
      </c>
      <c r="O502" s="87" t="s">
        <v>2572</v>
      </c>
    </row>
    <row r="503" spans="1:15" s="1" customFormat="1" ht="21" customHeight="1" x14ac:dyDescent="0.15">
      <c r="A503" s="27">
        <f t="shared" si="181"/>
        <v>30143</v>
      </c>
      <c r="B503" s="26" t="str">
        <f t="shared" ca="1" si="182"/>
        <v>サントラ第二弾の情報をチェックしよう！</v>
      </c>
      <c r="C503" s="27" t="s">
        <v>331</v>
      </c>
      <c r="D503" s="31" t="str">
        <f ca="1">VLOOKUP($C503,OFFSET(mission_unlock_criteria!$A$2,0,0,COUNTA(mission_unlock_criteria!$A:$A),MATCH(D$2,mission_unlock_criteria!$2:$2,0)-MATCH($C$2,mission_unlock_criteria!$2:$2,0)+1),MATCH(D$2,mission_unlock_criteria!$2:$2,0)-MATCH($C$2,mission_unlock_criteria!$2:$2,0)+1,FALSE)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503" s="2" t="s">
        <v>2567</v>
      </c>
      <c r="F503" s="31" t="str">
        <f ca="1">VLOOKUP($E503,OFFSET(mission_ACH_criteria!$A$1,0,0,COUNTA(mission_ACH_criteria!$A:$A),MATCH(F$2,mission_ACH_criteria!$1:$1,0)-MATCH($E$2,mission_ACH_criteria!$1:$1,0)+1),MATCH(F$2,mission_ACH_criteria!$1:$1,0)-MATCH($E$2,mission_ACH_criteria!$1:$1,0)+1,FALSE)</f>
        <v>サントラ第二弾の情報をチェックしよう！</v>
      </c>
      <c r="G503" s="27" t="s">
        <v>47</v>
      </c>
      <c r="H503" s="31" t="str">
        <f t="shared" ca="1" si="183"/>
        <v>ポリゴン x 1</v>
      </c>
      <c r="I503" s="31" t="str">
        <f ca="1">VLOOKUP($G503,OFFSET(mission_ACH!$A$2,0,0,COUNTA($A:$A),MATCH(I$2,mission_ACH!$2:$2,0)-MATCH($G$2,mission_ACH!$2:$2,0)+1),MATCH(I$2,mission_ACH!$2:$2,0)-MATCH($G$2,mission_ACH!$2:$2,0)+1,FALSE)</f>
        <v>polygon</v>
      </c>
      <c r="J503" s="31">
        <f ca="1">VLOOKUP($G503,OFFSET(mission_ACH!$A$2,0,0,COUNTA($A:$A),MATCH(J$2,mission_ACH!$2:$2,0)-MATCH($G$2,mission_ACH!$2:$2,0)+1),MATCH(J$2,mission_ACH!$2:$2,0)-MATCH($G$2,mission_ACH!$2:$2,0)+1,FALSE)</f>
        <v>1</v>
      </c>
      <c r="K503" s="31" t="str">
        <f ca="1">IF(OR(I503="unit",I503="item"),VLOOKUP($G503,OFFSET(mission_ACH!$A$2,0,0,COUNTA($A:$A),MATCH(K$2,mission_ACH!$2:$2,0)-MATCH($G$2,mission_ACH!$2:$2,0)+1),MATCH(K$2,mission_ACH!$2:$2,0)-MATCH($G$2,mission_ACH!$2:$2,0)+1,FALSE),"")</f>
        <v/>
      </c>
      <c r="L503" s="31">
        <f ca="1">VLOOKUP($G503,OFFSET(mission_ACH!$A$2,0,0,COUNTA($A:$A),MATCH(L$2,mission_ACH!$2:$2,0)-MATCH($G$2,mission_ACH!$2:$2,0)+1),MATCH(L$2,mission_ACH!$2:$2,0)-MATCH($G$2,mission_ACH!$2:$2,0)+1,FALSE)</f>
        <v>0</v>
      </c>
      <c r="M503" s="27">
        <v>999</v>
      </c>
      <c r="N503" s="87" t="s">
        <v>2573</v>
      </c>
      <c r="O503" s="87" t="s">
        <v>2572</v>
      </c>
    </row>
    <row r="504" spans="1:15" s="1" customFormat="1" ht="21" customHeight="1" x14ac:dyDescent="0.15">
      <c r="A504" s="27">
        <f t="shared" si="166"/>
        <v>30144</v>
      </c>
      <c r="B504" s="26" t="str">
        <f t="shared" ca="1" si="182"/>
        <v>【ウィザード級】聖なる夜に祝福を をクリアしよう！</v>
      </c>
      <c r="C504" s="27" t="s">
        <v>331</v>
      </c>
      <c r="D504" s="31" t="str">
        <f ca="1">VLOOKUP($C504,OFFSET(mission_unlock_criteria!$A$2,0,0,COUNTA(mission_unlock_criteria!$A:$A),MATCH(D$2,mission_unlock_criteria!$2:$2,0)-MATCH($C$2,mission_unlock_criteria!$2:$2,0)+1),MATCH(D$2,mission_unlock_criteria!$2:$2,0)-MATCH($C$2,mission_unlock_criteria!$2:$2,0)+1,FALSE)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504" s="2" t="s">
        <v>2574</v>
      </c>
      <c r="F504" s="31" t="str">
        <f ca="1">VLOOKUP($E504,OFFSET(mission_ACH_criteria!$A$1,0,0,COUNTA(mission_ACH_criteria!$A:$A),MATCH(F$2,mission_ACH_criteria!$1:$1,0)-MATCH($E$2,mission_ACH_criteria!$1:$1,0)+1),MATCH(F$2,mission_ACH_criteria!$1:$1,0)-MATCH($E$2,mission_ACH_criteria!$1:$1,0)+1,FALSE)</f>
        <v>【ウィザード級】聖なる夜に祝福を をクリアしよう！</v>
      </c>
      <c r="G504" s="27" t="s">
        <v>2581</v>
      </c>
      <c r="H504" s="31" t="str">
        <f t="shared" ref="H504:H505" ca="1" si="184">IF(OR(I504="unit",I504="item"),K504&amp;" x "&amp;L504,IF(I504="polygon","ポリゴン x "&amp;J504,IF(I504="bit","ビット x "&amp;J504,IF(I504="link","リンク x "&amp;J504))))</f>
        <v>ウィンターチケット x 5</v>
      </c>
      <c r="I504" s="31" t="str">
        <f ca="1">VLOOKUP($G504,OFFSET(mission_ACH!$A$2,0,0,COUNTA($A:$A),MATCH(I$2,mission_ACH!$2:$2,0)-MATCH($G$2,mission_ACH!$2:$2,0)+1),MATCH(I$2,mission_ACH!$2:$2,0)-MATCH($G$2,mission_ACH!$2:$2,0)+1,FALSE)</f>
        <v>item</v>
      </c>
      <c r="J504" s="31">
        <f ca="1">VLOOKUP($G504,OFFSET(mission_ACH!$A$2,0,0,COUNTA($A:$A),MATCH(J$2,mission_ACH!$2:$2,0)-MATCH($G$2,mission_ACH!$2:$2,0)+1),MATCH(J$2,mission_ACH!$2:$2,0)-MATCH($G$2,mission_ACH!$2:$2,0)+1,FALSE)</f>
        <v>702</v>
      </c>
      <c r="K504" s="31" t="str">
        <f ca="1">IF(OR(I504="unit",I504="item"),VLOOKUP($G504,OFFSET(mission_ACH!$A$2,0,0,COUNTA($A:$A),MATCH(K$2,mission_ACH!$2:$2,0)-MATCH($G$2,mission_ACH!$2:$2,0)+1),MATCH(K$2,mission_ACH!$2:$2,0)-MATCH($G$2,mission_ACH!$2:$2,0)+1,FALSE),"")</f>
        <v>ウィンターチケット</v>
      </c>
      <c r="L504" s="31">
        <f ca="1">VLOOKUP($G504,OFFSET(mission_ACH!$A$2,0,0,COUNTA($A:$A),MATCH(L$2,mission_ACH!$2:$2,0)-MATCH($G$2,mission_ACH!$2:$2,0)+1),MATCH(L$2,mission_ACH!$2:$2,0)-MATCH($G$2,mission_ACH!$2:$2,0)+1,FALSE)</f>
        <v>5</v>
      </c>
      <c r="M504" s="27">
        <v>112</v>
      </c>
      <c r="N504" s="87" t="s">
        <v>2571</v>
      </c>
      <c r="O504" s="87" t="s">
        <v>2578</v>
      </c>
    </row>
    <row r="505" spans="1:15" s="1" customFormat="1" ht="21" customHeight="1" x14ac:dyDescent="0.15">
      <c r="A505" s="27">
        <f t="shared" ref="A505" si="185">A504+1</f>
        <v>30145</v>
      </c>
      <c r="B505" s="26" t="str">
        <f t="shared" ca="1" si="182"/>
        <v>【ｳｨｻﾞ】酉の初めはたまごから をクリアしよう！</v>
      </c>
      <c r="C505" s="27" t="s">
        <v>331</v>
      </c>
      <c r="D505" s="31" t="str">
        <f ca="1">VLOOKUP($C505,OFFSET(mission_unlock_criteria!$A$2,0,0,COUNTA(mission_unlock_criteria!$A:$A),MATCH(D$2,mission_unlock_criteria!$2:$2,0)-MATCH($C$2,mission_unlock_criteria!$2:$2,0)+1),MATCH(D$2,mission_unlock_criteria!$2:$2,0)-MATCH($C$2,mission_unlock_criteria!$2:$2,0)+1,FALSE)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505" s="2" t="s">
        <v>2575</v>
      </c>
      <c r="F505" s="31" t="str">
        <f ca="1">VLOOKUP($E505,OFFSET(mission_ACH_criteria!$A$1,0,0,COUNTA(mission_ACH_criteria!$A:$A),MATCH(F$2,mission_ACH_criteria!$1:$1,0)-MATCH($E$2,mission_ACH_criteria!$1:$1,0)+1),MATCH(F$2,mission_ACH_criteria!$1:$1,0)-MATCH($E$2,mission_ACH_criteria!$1:$1,0)+1,FALSE)</f>
        <v>【ｳｨｻﾞ】酉の初めはたまごから をクリアしよう！</v>
      </c>
      <c r="G505" s="27" t="s">
        <v>47</v>
      </c>
      <c r="H505" s="31" t="str">
        <f t="shared" ca="1" si="184"/>
        <v>ポリゴン x 1</v>
      </c>
      <c r="I505" s="31" t="str">
        <f ca="1">VLOOKUP($G505,OFFSET(mission_ACH!$A$2,0,0,COUNTA($A:$A),MATCH(I$2,mission_ACH!$2:$2,0)-MATCH($G$2,mission_ACH!$2:$2,0)+1),MATCH(I$2,mission_ACH!$2:$2,0)-MATCH($G$2,mission_ACH!$2:$2,0)+1,FALSE)</f>
        <v>polygon</v>
      </c>
      <c r="J505" s="31">
        <f ca="1">VLOOKUP($G505,OFFSET(mission_ACH!$A$2,0,0,COUNTA($A:$A),MATCH(J$2,mission_ACH!$2:$2,0)-MATCH($G$2,mission_ACH!$2:$2,0)+1),MATCH(J$2,mission_ACH!$2:$2,0)-MATCH($G$2,mission_ACH!$2:$2,0)+1,FALSE)</f>
        <v>1</v>
      </c>
      <c r="K505" s="31" t="str">
        <f ca="1">IF(OR(I505="unit",I505="item"),VLOOKUP($G505,OFFSET(mission_ACH!$A$2,0,0,COUNTA($A:$A),MATCH(K$2,mission_ACH!$2:$2,0)-MATCH($G$2,mission_ACH!$2:$2,0)+1),MATCH(K$2,mission_ACH!$2:$2,0)-MATCH($G$2,mission_ACH!$2:$2,0)+1,FALSE),"")</f>
        <v/>
      </c>
      <c r="L505" s="31">
        <f ca="1">VLOOKUP($G505,OFFSET(mission_ACH!$A$2,0,0,COUNTA($A:$A),MATCH(L$2,mission_ACH!$2:$2,0)-MATCH($G$2,mission_ACH!$2:$2,0)+1),MATCH(L$2,mission_ACH!$2:$2,0)-MATCH($G$2,mission_ACH!$2:$2,0)+1,FALSE)</f>
        <v>0</v>
      </c>
      <c r="M505" s="27">
        <v>113</v>
      </c>
      <c r="N505" s="87" t="s">
        <v>2579</v>
      </c>
      <c r="O505" s="87" t="s">
        <v>2572</v>
      </c>
    </row>
    <row r="506" spans="1:15" s="1" customFormat="1" ht="21" customHeight="1" x14ac:dyDescent="0.15">
      <c r="A506" s="27">
        <f t="shared" si="166"/>
        <v>30146</v>
      </c>
      <c r="B506" s="26" t="str">
        <f t="shared" ca="1" si="182"/>
        <v>【上級】ヘルレイザー襲来 をクリアしよう！</v>
      </c>
      <c r="C506" s="27" t="s">
        <v>331</v>
      </c>
      <c r="D506" s="31" t="str">
        <f ca="1">VLOOKUP($C506,OFFSET(mission_unlock_criteria!$A$2,0,0,COUNTA(mission_unlock_criteria!$A:$A),MATCH(D$2,mission_unlock_criteria!$2:$2,0)-MATCH($C$2,mission_unlock_criteria!$2:$2,0)+1),MATCH(D$2,mission_unlock_criteria!$2:$2,0)-MATCH($C$2,mission_unlock_criteria!$2:$2,0)+1,FALSE)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506" s="21" t="s">
        <v>2589</v>
      </c>
      <c r="F506" s="31" t="str">
        <f ca="1">VLOOKUP($E506,OFFSET(mission_ACH_criteria!$A$1,0,0,COUNTA(mission_ACH_criteria!$A:$A),MATCH(F$2,mission_ACH_criteria!$1:$1,0)-MATCH($E$2,mission_ACH_criteria!$1:$1,0)+1),MATCH(F$2,mission_ACH_criteria!$1:$1,0)-MATCH($E$2,mission_ACH_criteria!$1:$1,0)+1,FALSE)</f>
        <v>【上級】ヘルレイザー襲来 をクリアしよう！</v>
      </c>
      <c r="G506" s="27" t="s">
        <v>2143</v>
      </c>
      <c r="H506" s="31" t="str">
        <f t="shared" ref="H506:H507" ca="1" si="186">IF(I506="unit",K506&amp;" x "&amp;L506,IF(I506="polygon","ポリゴン x "&amp;J506,IF(I506="bit","ビット x "&amp;J506,IF(I506="link","リンク x "&amp;J506))))</f>
        <v>メガ秘術の果実 x 1</v>
      </c>
      <c r="I506" s="31" t="str">
        <f ca="1">VLOOKUP($G506,OFFSET(mission_ACH!$A$2,0,0,COUNTA($A:$A),MATCH(I$2,mission_ACH!$2:$2,0)-MATCH($G$2,mission_ACH!$2:$2,0)+1),MATCH(I$2,mission_ACH!$2:$2,0)-MATCH($G$2,mission_ACH!$2:$2,0)+1,FALSE)</f>
        <v>unit</v>
      </c>
      <c r="J506" s="31">
        <f ca="1">VLOOKUP($G506,OFFSET(mission_ACH!$A$2,0,0,COUNTA($A:$A),MATCH(J$2,mission_ACH!$2:$2,0)-MATCH($G$2,mission_ACH!$2:$2,0)+1),MATCH(J$2,mission_ACH!$2:$2,0)-MATCH($G$2,mission_ACH!$2:$2,0)+1,FALSE)</f>
        <v>610</v>
      </c>
      <c r="K506" s="31" t="str">
        <f ca="1">IF(I506="unit",VLOOKUP($G506,OFFSET(mission_ACH!$A$2,0,0,COUNTA($A:$A),MATCH(K$2,mission_ACH!$2:$2,0)-MATCH($G$2,mission_ACH!$2:$2,0)+1),MATCH(K$2,mission_ACH!$2:$2,0)-MATCH($G$2,mission_ACH!$2:$2,0)+1,FALSE),"")</f>
        <v>メガ秘術の果実</v>
      </c>
      <c r="L506" s="31">
        <f ca="1">VLOOKUP($G506,OFFSET(mission_ACH!$A$2,0,0,COUNTA($A:$A),MATCH(L$2,mission_ACH!$2:$2,0)-MATCH($G$2,mission_ACH!$2:$2,0)+1),MATCH(L$2,mission_ACH!$2:$2,0)-MATCH($G$2,mission_ACH!$2:$2,0)+1,FALSE)</f>
        <v>1</v>
      </c>
      <c r="M506" s="27">
        <v>114</v>
      </c>
      <c r="N506" s="87" t="s">
        <v>2592</v>
      </c>
      <c r="O506" s="87" t="s">
        <v>2593</v>
      </c>
    </row>
    <row r="507" spans="1:15" s="1" customFormat="1" ht="21" customHeight="1" x14ac:dyDescent="0.15">
      <c r="A507" s="27">
        <f t="shared" ref="A507:A539" si="187">A506+1</f>
        <v>30147</v>
      </c>
      <c r="B507" s="26" t="str">
        <f t="shared" ca="1" si="182"/>
        <v>【超絶級】ヘルレイザー襲来 をクリアしよう！</v>
      </c>
      <c r="C507" s="27" t="s">
        <v>331</v>
      </c>
      <c r="D507" s="31" t="str">
        <f ca="1">VLOOKUP($C507,OFFSET(mission_unlock_criteria!$A$2,0,0,COUNTA(mission_unlock_criteria!$A:$A),MATCH(D$2,mission_unlock_criteria!$2:$2,0)-MATCH($C$2,mission_unlock_criteria!$2:$2,0)+1),MATCH(D$2,mission_unlock_criteria!$2:$2,0)-MATCH($C$2,mission_unlock_criteria!$2:$2,0)+1,FALSE)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507" s="21" t="s">
        <v>2584</v>
      </c>
      <c r="F507" s="31" t="str">
        <f ca="1">VLOOKUP($E507,OFFSET(mission_ACH_criteria!$A$1,0,0,COUNTA(mission_ACH_criteria!$A:$A),MATCH(F$2,mission_ACH_criteria!$1:$1,0)-MATCH($E$2,mission_ACH_criteria!$1:$1,0)+1),MATCH(F$2,mission_ACH_criteria!$1:$1,0)-MATCH($E$2,mission_ACH_criteria!$1:$1,0)+1,FALSE)</f>
        <v>【超絶級】ヘルレイザー襲来 をクリアしよう！</v>
      </c>
      <c r="G507" s="27" t="s">
        <v>2670</v>
      </c>
      <c r="H507" s="31" t="str">
        <f t="shared" ca="1" si="186"/>
        <v>リトルハンプティ x 1</v>
      </c>
      <c r="I507" s="31" t="str">
        <f ca="1">VLOOKUP($G507,OFFSET(mission_ACH!$A$2,0,0,COUNTA($A:$A),MATCH(I$2,mission_ACH!$2:$2,0)-MATCH($G$2,mission_ACH!$2:$2,0)+1),MATCH(I$2,mission_ACH!$2:$2,0)-MATCH($G$2,mission_ACH!$2:$2,0)+1,FALSE)</f>
        <v>unit</v>
      </c>
      <c r="J507" s="31">
        <f ca="1">VLOOKUP($G507,OFFSET(mission_ACH!$A$2,0,0,COUNTA($A:$A),MATCH(J$2,mission_ACH!$2:$2,0)-MATCH($G$2,mission_ACH!$2:$2,0)+1),MATCH(J$2,mission_ACH!$2:$2,0)-MATCH($G$2,mission_ACH!$2:$2,0)+1,FALSE)</f>
        <v>837</v>
      </c>
      <c r="K507" s="31" t="str">
        <f ca="1">IF(I507="unit",VLOOKUP($G507,OFFSET(mission_ACH!$A$2,0,0,COUNTA($A:$A),MATCH(K$2,mission_ACH!$2:$2,0)-MATCH($G$2,mission_ACH!$2:$2,0)+1),MATCH(K$2,mission_ACH!$2:$2,0)-MATCH($G$2,mission_ACH!$2:$2,0)+1,FALSE),"")</f>
        <v>リトルハンプティ</v>
      </c>
      <c r="L507" s="31">
        <f ca="1">VLOOKUP($G507,OFFSET(mission_ACH!$A$2,0,0,COUNTA($A:$A),MATCH(L$2,mission_ACH!$2:$2,0)-MATCH($G$2,mission_ACH!$2:$2,0)+1),MATCH(L$2,mission_ACH!$2:$2,0)-MATCH($G$2,mission_ACH!$2:$2,0)+1,FALSE)</f>
        <v>1</v>
      </c>
      <c r="M507" s="27">
        <v>115</v>
      </c>
      <c r="N507" s="87" t="s">
        <v>2592</v>
      </c>
      <c r="O507" s="87" t="s">
        <v>2593</v>
      </c>
    </row>
    <row r="508" spans="1:15" s="1" customFormat="1" ht="21" customHeight="1" x14ac:dyDescent="0.15">
      <c r="A508" s="27">
        <f t="shared" si="187"/>
        <v>30148</v>
      </c>
      <c r="B508" s="26" t="str">
        <f t="shared" ca="1" si="182"/>
        <v>【ウィザード級】ヘルレイザー襲来 をクリアしよう！</v>
      </c>
      <c r="C508" s="27" t="s">
        <v>331</v>
      </c>
      <c r="D508" s="31" t="str">
        <f ca="1">VLOOKUP($C508,OFFSET(mission_unlock_criteria!$A$2,0,0,COUNTA(mission_unlock_criteria!$A:$A),MATCH(D$2,mission_unlock_criteria!$2:$2,0)-MATCH($C$2,mission_unlock_criteria!$2:$2,0)+1),MATCH(D$2,mission_unlock_criteria!$2:$2,0)-MATCH($C$2,mission_unlock_criteria!$2:$2,0)+1,FALSE)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508" s="21" t="s">
        <v>2585</v>
      </c>
      <c r="F508" s="31" t="str">
        <f ca="1">VLOOKUP($E508,OFFSET(mission_ACH_criteria!$A$1,0,0,COUNTA(mission_ACH_criteria!$A:$A),MATCH(F$2,mission_ACH_criteria!$1:$1,0)-MATCH($E$2,mission_ACH_criteria!$1:$1,0)+1),MATCH(F$2,mission_ACH_criteria!$1:$1,0)-MATCH($E$2,mission_ACH_criteria!$1:$1,0)+1,FALSE)</f>
        <v>【ウィザード級】ヘルレイザー襲来 をクリアしよう！</v>
      </c>
      <c r="G508" s="27" t="s">
        <v>47</v>
      </c>
      <c r="H508" s="31" t="str">
        <f t="shared" ref="H508" ca="1" si="188">IF(OR(I508="unit",I508="item"),K508&amp;" x "&amp;L508,IF(I508="polygon","ポリゴン x "&amp;J508,IF(I508="bit","ビット x "&amp;J508,IF(I508="link","リンク x "&amp;J508))))</f>
        <v>ポリゴン x 1</v>
      </c>
      <c r="I508" s="31" t="str">
        <f ca="1">VLOOKUP($G508,OFFSET(mission_ACH!$A$2,0,0,COUNTA($A:$A),MATCH(I$2,mission_ACH!$2:$2,0)-MATCH($G$2,mission_ACH!$2:$2,0)+1),MATCH(I$2,mission_ACH!$2:$2,0)-MATCH($G$2,mission_ACH!$2:$2,0)+1,FALSE)</f>
        <v>polygon</v>
      </c>
      <c r="J508" s="31">
        <f ca="1">VLOOKUP($G508,OFFSET(mission_ACH!$A$2,0,0,COUNTA($A:$A),MATCH(J$2,mission_ACH!$2:$2,0)-MATCH($G$2,mission_ACH!$2:$2,0)+1),MATCH(J$2,mission_ACH!$2:$2,0)-MATCH($G$2,mission_ACH!$2:$2,0)+1,FALSE)</f>
        <v>1</v>
      </c>
      <c r="K508" s="31" t="str">
        <f ca="1">IF(OR(I508="unit",I508="item"),VLOOKUP($G508,OFFSET(mission_ACH!$A$2,0,0,COUNTA($A:$A),MATCH(K$2,mission_ACH!$2:$2,0)-MATCH($G$2,mission_ACH!$2:$2,0)+1),MATCH(K$2,mission_ACH!$2:$2,0)-MATCH($G$2,mission_ACH!$2:$2,0)+1,FALSE),"")</f>
        <v/>
      </c>
      <c r="L508" s="31">
        <f ca="1">VLOOKUP($G508,OFFSET(mission_ACH!$A$2,0,0,COUNTA($A:$A),MATCH(L$2,mission_ACH!$2:$2,0)-MATCH($G$2,mission_ACH!$2:$2,0)+1),MATCH(L$2,mission_ACH!$2:$2,0)-MATCH($G$2,mission_ACH!$2:$2,0)+1,FALSE)</f>
        <v>0</v>
      </c>
      <c r="M508" s="27">
        <v>116</v>
      </c>
      <c r="N508" s="87" t="s">
        <v>2592</v>
      </c>
      <c r="O508" s="87" t="s">
        <v>2593</v>
      </c>
    </row>
    <row r="509" spans="1:15" s="1" customFormat="1" ht="21" customHeight="1" x14ac:dyDescent="0.15">
      <c r="A509" s="27">
        <f t="shared" si="187"/>
        <v>30149</v>
      </c>
      <c r="B509" s="26" t="str">
        <f t="shared" ca="1" si="182"/>
        <v>全世界800万DL突破をTwitterでツイートしよう！</v>
      </c>
      <c r="C509" s="27" t="s">
        <v>331</v>
      </c>
      <c r="D509" s="31" t="str">
        <f ca="1">VLOOKUP($C509,OFFSET(mission_unlock_criteria!$A$2,0,0,COUNTA(mission_unlock_criteria!$A:$A),MATCH(D$2,mission_unlock_criteria!$2:$2,0)-MATCH($C$2,mission_unlock_criteria!$2:$2,0)+1),MATCH(D$2,mission_unlock_criteria!$2:$2,0)-MATCH($C$2,mission_unlock_criteria!$2:$2,0)+1,FALSE)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509" s="2" t="s">
        <v>2590</v>
      </c>
      <c r="F509" s="31" t="str">
        <f ca="1">VLOOKUP($E509,OFFSET(mission_ACH_criteria!$A$1,0,0,COUNTA(mission_ACH_criteria!$A:$A),MATCH(F$2,mission_ACH_criteria!$1:$1,0)-MATCH($E$2,mission_ACH_criteria!$1:$1,0)+1),MATCH(F$2,mission_ACH_criteria!$1:$1,0)-MATCH($E$2,mission_ACH_criteria!$1:$1,0)+1,FALSE)</f>
        <v>全世界800万DL突破をTwitterでツイートしよう！</v>
      </c>
      <c r="G509" s="27" t="s">
        <v>47</v>
      </c>
      <c r="H509" s="31" t="str">
        <f t="shared" ref="H509:H510" ca="1" si="189">IF(I509="unit",K509&amp;" x "&amp;L509,IF(I509="polygon","ポリゴン x "&amp;J509,IF(I509="bit","ビット x "&amp;J509,IF(I509="link","リンク x "&amp;J509))))</f>
        <v>ポリゴン x 1</v>
      </c>
      <c r="I509" s="31" t="str">
        <f ca="1">VLOOKUP($G509,OFFSET(mission_ACH!$A$2,0,0,COUNTA($A:$A),MATCH(I$2,mission_ACH!$2:$2,0)-MATCH($G$2,mission_ACH!$2:$2,0)+1),MATCH(I$2,mission_ACH!$2:$2,0)-MATCH($G$2,mission_ACH!$2:$2,0)+1,FALSE)</f>
        <v>polygon</v>
      </c>
      <c r="J509" s="31">
        <f ca="1">VLOOKUP($G509,OFFSET(mission_ACH!$A$2,0,0,COUNTA($A:$A),MATCH(J$2,mission_ACH!$2:$2,0)-MATCH($G$2,mission_ACH!$2:$2,0)+1),MATCH(J$2,mission_ACH!$2:$2,0)-MATCH($G$2,mission_ACH!$2:$2,0)+1,FALSE)</f>
        <v>1</v>
      </c>
      <c r="K509" s="31" t="str">
        <f ca="1">IF(OR(I509="unit",I509="item"),VLOOKUP($G509,OFFSET(mission_ACH!$A$2,0,0,COUNTA($A:$A),MATCH(K$2,mission_ACH!$2:$2,0)-MATCH($G$2,mission_ACH!$2:$2,0)+1),MATCH(K$2,mission_ACH!$2:$2,0)-MATCH($G$2,mission_ACH!$2:$2,0)+1,FALSE),"")</f>
        <v/>
      </c>
      <c r="L509" s="31">
        <f ca="1">VLOOKUP($G509,OFFSET(mission_ACH!$A$2,0,0,COUNTA($A:$A),MATCH(L$2,mission_ACH!$2:$2,0)-MATCH($G$2,mission_ACH!$2:$2,0)+1),MATCH(L$2,mission_ACH!$2:$2,0)-MATCH($G$2,mission_ACH!$2:$2,0)+1,FALSE)</f>
        <v>0</v>
      </c>
      <c r="M509" s="27">
        <v>117</v>
      </c>
      <c r="N509" s="87" t="s">
        <v>2592</v>
      </c>
      <c r="O509" s="87" t="s">
        <v>2593</v>
      </c>
    </row>
    <row r="510" spans="1:15" s="1" customFormat="1" ht="21" customHeight="1" x14ac:dyDescent="0.15">
      <c r="A510" s="27">
        <f t="shared" si="187"/>
        <v>30150</v>
      </c>
      <c r="B510" s="26" t="str">
        <f t="shared" ca="1" si="182"/>
        <v>全世界800万DL突破をLINEでタイムライン投稿しよう！</v>
      </c>
      <c r="C510" s="27" t="s">
        <v>331</v>
      </c>
      <c r="D510" s="31" t="str">
        <f ca="1">VLOOKUP($C510,OFFSET(mission_unlock_criteria!$A$2,0,0,COUNTA(mission_unlock_criteria!$A:$A),MATCH(D$2,mission_unlock_criteria!$2:$2,0)-MATCH($C$2,mission_unlock_criteria!$2:$2,0)+1),MATCH(D$2,mission_unlock_criteria!$2:$2,0)-MATCH($C$2,mission_unlock_criteria!$2:$2,0)+1,FALSE)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510" s="2" t="s">
        <v>2591</v>
      </c>
      <c r="F510" s="31" t="str">
        <f ca="1">VLOOKUP($E510,OFFSET(mission_ACH_criteria!$A$1,0,0,COUNTA(mission_ACH_criteria!$A:$A),MATCH(F$2,mission_ACH_criteria!$1:$1,0)-MATCH($E$2,mission_ACH_criteria!$1:$1,0)+1),MATCH(F$2,mission_ACH_criteria!$1:$1,0)-MATCH($E$2,mission_ACH_criteria!$1:$1,0)+1,FALSE)</f>
        <v>全世界800万DL突破をLINEでタイムライン投稿しよう！</v>
      </c>
      <c r="G510" s="27" t="s">
        <v>47</v>
      </c>
      <c r="H510" s="31" t="str">
        <f t="shared" ca="1" si="189"/>
        <v>ポリゴン x 1</v>
      </c>
      <c r="I510" s="31" t="str">
        <f ca="1">VLOOKUP($G510,OFFSET(mission_ACH!$A$2,0,0,COUNTA($A:$A),MATCH(I$2,mission_ACH!$2:$2,0)-MATCH($G$2,mission_ACH!$2:$2,0)+1),MATCH(I$2,mission_ACH!$2:$2,0)-MATCH($G$2,mission_ACH!$2:$2,0)+1,FALSE)</f>
        <v>polygon</v>
      </c>
      <c r="J510" s="31">
        <f ca="1">VLOOKUP($G510,OFFSET(mission_ACH!$A$2,0,0,COUNTA($A:$A),MATCH(J$2,mission_ACH!$2:$2,0)-MATCH($G$2,mission_ACH!$2:$2,0)+1),MATCH(J$2,mission_ACH!$2:$2,0)-MATCH($G$2,mission_ACH!$2:$2,0)+1,FALSE)</f>
        <v>1</v>
      </c>
      <c r="K510" s="31" t="str">
        <f ca="1">IF(OR(I510="unit",I510="item"),VLOOKUP($G510,OFFSET(mission_ACH!$A$2,0,0,COUNTA($A:$A),MATCH(K$2,mission_ACH!$2:$2,0)-MATCH($G$2,mission_ACH!$2:$2,0)+1),MATCH(K$2,mission_ACH!$2:$2,0)-MATCH($G$2,mission_ACH!$2:$2,0)+1,FALSE),"")</f>
        <v/>
      </c>
      <c r="L510" s="31">
        <f ca="1">VLOOKUP($G510,OFFSET(mission_ACH!$A$2,0,0,COUNTA($A:$A),MATCH(L$2,mission_ACH!$2:$2,0)-MATCH($G$2,mission_ACH!$2:$2,0)+1),MATCH(L$2,mission_ACH!$2:$2,0)-MATCH($G$2,mission_ACH!$2:$2,0)+1,FALSE)</f>
        <v>0</v>
      </c>
      <c r="M510" s="27">
        <v>118</v>
      </c>
      <c r="N510" s="87" t="s">
        <v>2592</v>
      </c>
      <c r="O510" s="87" t="s">
        <v>2593</v>
      </c>
    </row>
    <row r="511" spans="1:15" ht="21" customHeight="1" x14ac:dyDescent="0.15">
      <c r="A511" s="27">
        <f t="shared" si="187"/>
        <v>30151</v>
      </c>
      <c r="B511" s="26" t="str">
        <f t="shared" ref="B511" ca="1" si="190">F511</f>
        <v>チュートリアルをクリアしよう！</v>
      </c>
      <c r="C511" s="27" t="s">
        <v>331</v>
      </c>
      <c r="D511" s="31" t="str">
        <f ca="1">VLOOKUP($C511,OFFSET(mission_unlock_criteria!$A$2,0,0,COUNTA(mission_unlock_criteria!$A:$A),MATCH(D$2,mission_unlock_criteria!$2:$2,0)-MATCH($C$2,mission_unlock_criteria!$2:$2,0)+1),MATCH(D$2,mission_unlock_criteria!$2:$2,0)-MATCH($C$2,mission_unlock_criteria!$2:$2,0)+1,FALSE)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511" s="2" t="s">
        <v>2596</v>
      </c>
      <c r="F511" s="31" t="str">
        <f ca="1">VLOOKUP($E511,OFFSET(mission_ACH_criteria!$A$1,0,0,COUNTA(mission_ACH_criteria!$A:$A),MATCH(F$2,mission_ACH_criteria!$1:$1,0)-MATCH($E$2,mission_ACH_criteria!$1:$1,0)+1),MATCH(F$2,mission_ACH_criteria!$1:$1,0)-MATCH($E$2,mission_ACH_criteria!$1:$1,0)+1,FALSE)</f>
        <v>チュートリアルをクリアしよう！</v>
      </c>
      <c r="G511" s="27" t="s">
        <v>2645</v>
      </c>
      <c r="H511" s="31" t="str">
        <f ca="1">"二つ名 &lt;"&amp;VLOOKUP(J511,[1]titles_data!$A:$E,5,FALSE)&amp;"&gt;"</f>
        <v>二つ名 &lt;歩き始めた&gt;</v>
      </c>
      <c r="I511" s="31" t="str">
        <f ca="1">VLOOKUP($G511,OFFSET(mission_ACH!$A$2,0,0,COUNTA($A:$A),MATCH(I$2,mission_ACH!$2:$2,0)-MATCH($G$2,mission_ACH!$2:$2,0)+1),MATCH(I$2,mission_ACH!$2:$2,0)-MATCH($G$2,mission_ACH!$2:$2,0)+1,FALSE)</f>
        <v>title</v>
      </c>
      <c r="J511" s="31">
        <f ca="1">VLOOKUP($G511,OFFSET(mission_ACH!$A$2,0,0,COUNTA($A:$A),MATCH(J$2,mission_ACH!$2:$2,0)-MATCH($G$2,mission_ACH!$2:$2,0)+1),MATCH(J$2,mission_ACH!$2:$2,0)-MATCH($G$2,mission_ACH!$2:$2,0)+1,FALSE)</f>
        <v>110011</v>
      </c>
      <c r="K511" s="31" t="str">
        <f ca="1">IF(OR(I511="unit",I511="item"),VLOOKUP($G511,OFFSET(mission_ACH!$A$2,0,0,COUNTA($A:$A),MATCH(K$2,mission_ACH!$2:$2,0)-MATCH($G$2,mission_ACH!$2:$2,0)+1),MATCH(K$2,mission_ACH!$2:$2,0)-MATCH($G$2,mission_ACH!$2:$2,0)+1,FALSE),"")</f>
        <v/>
      </c>
      <c r="L511" s="31">
        <f ca="1">VLOOKUP($G511,OFFSET(mission_ACH!$A$2,0,0,COUNTA($A:$A),MATCH(L$2,mission_ACH!$2:$2,0)-MATCH($G$2,mission_ACH!$2:$2,0)+1),MATCH(L$2,mission_ACH!$2:$2,0)-MATCH($G$2,mission_ACH!$2:$2,0)+1,FALSE)</f>
        <v>0</v>
      </c>
      <c r="M511" s="27">
        <v>30</v>
      </c>
      <c r="N511" s="87" t="s">
        <v>864</v>
      </c>
      <c r="O511" s="87" t="s">
        <v>864</v>
      </c>
    </row>
    <row r="512" spans="1:15" ht="21" customHeight="1" x14ac:dyDescent="0.15">
      <c r="A512" s="27">
        <f t="shared" si="187"/>
        <v>30152</v>
      </c>
      <c r="B512" s="26" t="str">
        <f t="shared" ref="B512:B530" ca="1" si="191">F512</f>
        <v>チュートリアルをクリアしよう！</v>
      </c>
      <c r="C512" s="27" t="s">
        <v>331</v>
      </c>
      <c r="D512" s="31" t="str">
        <f ca="1">VLOOKUP($C512,OFFSET(mission_unlock_criteria!$A$2,0,0,COUNTA(mission_unlock_criteria!$A:$A),MATCH(D$2,mission_unlock_criteria!$2:$2,0)-MATCH($C$2,mission_unlock_criteria!$2:$2,0)+1),MATCH(D$2,mission_unlock_criteria!$2:$2,0)-MATCH($C$2,mission_unlock_criteria!$2:$2,0)+1,FALSE)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512" s="2" t="s">
        <v>2597</v>
      </c>
      <c r="F512" s="31" t="str">
        <f ca="1">VLOOKUP($E512,OFFSET(mission_ACH_criteria!$A$1,0,0,COUNTA(mission_ACH_criteria!$A:$A),MATCH(F$2,mission_ACH_criteria!$1:$1,0)-MATCH($E$2,mission_ACH_criteria!$1:$1,0)+1),MATCH(F$2,mission_ACH_criteria!$1:$1,0)-MATCH($E$2,mission_ACH_criteria!$1:$1,0)+1,FALSE)</f>
        <v>チュートリアルをクリアしよう！</v>
      </c>
      <c r="G512" s="27" t="s">
        <v>2646</v>
      </c>
      <c r="H512" s="31" t="str">
        <f ca="1">"二つ名 &lt;"&amp;VLOOKUP(J512,[1]titles_data!$A:$E,5,FALSE)&amp;"&gt;"</f>
        <v>二つ名 &lt;クラフィっ子&gt;</v>
      </c>
      <c r="I512" s="31" t="str">
        <f ca="1">VLOOKUP($G512,OFFSET(mission_ACH!$A$2,0,0,COUNTA($A:$A),MATCH(I$2,mission_ACH!$2:$2,0)-MATCH($G$2,mission_ACH!$2:$2,0)+1),MATCH(I$2,mission_ACH!$2:$2,0)-MATCH($G$2,mission_ACH!$2:$2,0)+1,FALSE)</f>
        <v>title</v>
      </c>
      <c r="J512" s="31">
        <f ca="1">VLOOKUP($G512,OFFSET(mission_ACH!$A$2,0,0,COUNTA($A:$A),MATCH(J$2,mission_ACH!$2:$2,0)-MATCH($G$2,mission_ACH!$2:$2,0)+1),MATCH(J$2,mission_ACH!$2:$2,0)-MATCH($G$2,mission_ACH!$2:$2,0)+1,FALSE)</f>
        <v>110012</v>
      </c>
      <c r="K512" s="31" t="str">
        <f ca="1">IF(OR(I512="unit",I512="item"),VLOOKUP($G512,OFFSET(mission_ACH!$A$2,0,0,COUNTA($A:$A),MATCH(K$2,mission_ACH!$2:$2,0)-MATCH($G$2,mission_ACH!$2:$2,0)+1),MATCH(K$2,mission_ACH!$2:$2,0)-MATCH($G$2,mission_ACH!$2:$2,0)+1,FALSE),"")</f>
        <v/>
      </c>
      <c r="L512" s="31">
        <f ca="1">VLOOKUP($G512,OFFSET(mission_ACH!$A$2,0,0,COUNTA($A:$A),MATCH(L$2,mission_ACH!$2:$2,0)-MATCH($G$2,mission_ACH!$2:$2,0)+1),MATCH(L$2,mission_ACH!$2:$2,0)-MATCH($G$2,mission_ACH!$2:$2,0)+1,FALSE)</f>
        <v>0</v>
      </c>
      <c r="M512" s="27">
        <v>30</v>
      </c>
      <c r="N512" s="87" t="s">
        <v>864</v>
      </c>
      <c r="O512" s="87" t="s">
        <v>864</v>
      </c>
    </row>
    <row r="513" spans="1:15" ht="21" customHeight="1" x14ac:dyDescent="0.15">
      <c r="A513" s="27">
        <f t="shared" si="187"/>
        <v>30153</v>
      </c>
      <c r="B513" s="26" t="str">
        <f t="shared" ca="1" si="191"/>
        <v>チュートリアルをクリアしよう！</v>
      </c>
      <c r="C513" s="27" t="s">
        <v>331</v>
      </c>
      <c r="D513" s="31" t="str">
        <f ca="1">VLOOKUP($C513,OFFSET(mission_unlock_criteria!$A$2,0,0,COUNTA(mission_unlock_criteria!$A:$A),MATCH(D$2,mission_unlock_criteria!$2:$2,0)-MATCH($C$2,mission_unlock_criteria!$2:$2,0)+1),MATCH(D$2,mission_unlock_criteria!$2:$2,0)-MATCH($C$2,mission_unlock_criteria!$2:$2,0)+1,FALSE)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513" s="2" t="s">
        <v>2598</v>
      </c>
      <c r="F513" s="31" t="str">
        <f ca="1">VLOOKUP($E513,OFFSET(mission_ACH_criteria!$A$1,0,0,COUNTA(mission_ACH_criteria!$A:$A),MATCH(F$2,mission_ACH_criteria!$1:$1,0)-MATCH($E$2,mission_ACH_criteria!$1:$1,0)+1),MATCH(F$2,mission_ACH_criteria!$1:$1,0)-MATCH($E$2,mission_ACH_criteria!$1:$1,0)+1,FALSE)</f>
        <v>チュートリアルをクリアしよう！</v>
      </c>
      <c r="G513" s="27" t="s">
        <v>2647</v>
      </c>
      <c r="H513" s="31" t="str">
        <f ca="1">"二つ名 &lt;"&amp;VLOOKUP(J513,[1]titles_data!$A:$E,5,FALSE)&amp;"&gt;"</f>
        <v>二つ名 &lt;新人&gt;</v>
      </c>
      <c r="I513" s="31" t="str">
        <f ca="1">VLOOKUP($G513,OFFSET(mission_ACH!$A$2,0,0,COUNTA($A:$A),MATCH(I$2,mission_ACH!$2:$2,0)-MATCH($G$2,mission_ACH!$2:$2,0)+1),MATCH(I$2,mission_ACH!$2:$2,0)-MATCH($G$2,mission_ACH!$2:$2,0)+1,FALSE)</f>
        <v>title</v>
      </c>
      <c r="J513" s="31">
        <f ca="1">VLOOKUP($G513,OFFSET(mission_ACH!$A$2,0,0,COUNTA($A:$A),MATCH(J$2,mission_ACH!$2:$2,0)-MATCH($G$2,mission_ACH!$2:$2,0)+1),MATCH(J$2,mission_ACH!$2:$2,0)-MATCH($G$2,mission_ACH!$2:$2,0)+1,FALSE)</f>
        <v>110021</v>
      </c>
      <c r="K513" s="31" t="str">
        <f ca="1">IF(OR(I513="unit",I513="item"),VLOOKUP($G513,OFFSET(mission_ACH!$A$2,0,0,COUNTA($A:$A),MATCH(K$2,mission_ACH!$2:$2,0)-MATCH($G$2,mission_ACH!$2:$2,0)+1),MATCH(K$2,mission_ACH!$2:$2,0)-MATCH($G$2,mission_ACH!$2:$2,0)+1,FALSE),"")</f>
        <v/>
      </c>
      <c r="L513" s="31">
        <f ca="1">VLOOKUP($G513,OFFSET(mission_ACH!$A$2,0,0,COUNTA($A:$A),MATCH(L$2,mission_ACH!$2:$2,0)-MATCH($G$2,mission_ACH!$2:$2,0)+1),MATCH(L$2,mission_ACH!$2:$2,0)-MATCH($G$2,mission_ACH!$2:$2,0)+1,FALSE)</f>
        <v>0</v>
      </c>
      <c r="M513" s="27">
        <v>30</v>
      </c>
      <c r="N513" s="87" t="s">
        <v>864</v>
      </c>
      <c r="O513" s="87" t="s">
        <v>864</v>
      </c>
    </row>
    <row r="514" spans="1:15" ht="21" customHeight="1" x14ac:dyDescent="0.15">
      <c r="A514" s="27">
        <f t="shared" si="187"/>
        <v>30154</v>
      </c>
      <c r="B514" s="26" t="str">
        <f t="shared" ca="1" si="191"/>
        <v>チュートリアルをクリアしよう！</v>
      </c>
      <c r="C514" s="27" t="s">
        <v>331</v>
      </c>
      <c r="D514" s="31" t="str">
        <f ca="1">VLOOKUP($C514,OFFSET(mission_unlock_criteria!$A$2,0,0,COUNTA(mission_unlock_criteria!$A:$A),MATCH(D$2,mission_unlock_criteria!$2:$2,0)-MATCH($C$2,mission_unlock_criteria!$2:$2,0)+1),MATCH(D$2,mission_unlock_criteria!$2:$2,0)-MATCH($C$2,mission_unlock_criteria!$2:$2,0)+1,FALSE)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514" s="2" t="s">
        <v>2599</v>
      </c>
      <c r="F514" s="31" t="str">
        <f ca="1">VLOOKUP($E514,OFFSET(mission_ACH_criteria!$A$1,0,0,COUNTA(mission_ACH_criteria!$A:$A),MATCH(F$2,mission_ACH_criteria!$1:$1,0)-MATCH($E$2,mission_ACH_criteria!$1:$1,0)+1),MATCH(F$2,mission_ACH_criteria!$1:$1,0)-MATCH($E$2,mission_ACH_criteria!$1:$1,0)+1,FALSE)</f>
        <v>チュートリアルをクリアしよう！</v>
      </c>
      <c r="G514" s="27" t="s">
        <v>2648</v>
      </c>
      <c r="H514" s="31" t="str">
        <f ca="1">"二つ名 &lt;"&amp;VLOOKUP(J514,[1]titles_data!$A:$E,5,FALSE)&amp;"&gt;"</f>
        <v>二つ名 &lt;ひよっこクラファー&gt;</v>
      </c>
      <c r="I514" s="31" t="str">
        <f ca="1">VLOOKUP($G514,OFFSET(mission_ACH!$A$2,0,0,COUNTA($A:$A),MATCH(I$2,mission_ACH!$2:$2,0)-MATCH($G$2,mission_ACH!$2:$2,0)+1),MATCH(I$2,mission_ACH!$2:$2,0)-MATCH($G$2,mission_ACH!$2:$2,0)+1,FALSE)</f>
        <v>title</v>
      </c>
      <c r="J514" s="31">
        <f ca="1">VLOOKUP($G514,OFFSET(mission_ACH!$A$2,0,0,COUNTA($A:$A),MATCH(J$2,mission_ACH!$2:$2,0)-MATCH($G$2,mission_ACH!$2:$2,0)+1),MATCH(J$2,mission_ACH!$2:$2,0)-MATCH($G$2,mission_ACH!$2:$2,0)+1,FALSE)</f>
        <v>110022</v>
      </c>
      <c r="K514" s="31" t="str">
        <f ca="1">IF(OR(I514="unit",I514="item"),VLOOKUP($G514,OFFSET(mission_ACH!$A$2,0,0,COUNTA($A:$A),MATCH(K$2,mission_ACH!$2:$2,0)-MATCH($G$2,mission_ACH!$2:$2,0)+1),MATCH(K$2,mission_ACH!$2:$2,0)-MATCH($G$2,mission_ACH!$2:$2,0)+1,FALSE),"")</f>
        <v/>
      </c>
      <c r="L514" s="31">
        <f ca="1">VLOOKUP($G514,OFFSET(mission_ACH!$A$2,0,0,COUNTA($A:$A),MATCH(L$2,mission_ACH!$2:$2,0)-MATCH($G$2,mission_ACH!$2:$2,0)+1),MATCH(L$2,mission_ACH!$2:$2,0)-MATCH($G$2,mission_ACH!$2:$2,0)+1,FALSE)</f>
        <v>0</v>
      </c>
      <c r="M514" s="27">
        <v>30</v>
      </c>
      <c r="N514" s="87" t="s">
        <v>864</v>
      </c>
      <c r="O514" s="87" t="s">
        <v>864</v>
      </c>
    </row>
    <row r="515" spans="1:15" ht="21" customHeight="1" x14ac:dyDescent="0.15">
      <c r="A515" s="27">
        <f t="shared" si="187"/>
        <v>30155</v>
      </c>
      <c r="B515" s="26" t="str">
        <f t="shared" ca="1" si="191"/>
        <v>プレイヤーランクを 10 まで上げよう！</v>
      </c>
      <c r="C515" s="27" t="s">
        <v>331</v>
      </c>
      <c r="D515" s="31" t="str">
        <f ca="1">VLOOKUP($C515,OFFSET(mission_unlock_criteria!$A$2,0,0,COUNTA(mission_unlock_criteria!$A:$A),MATCH(D$2,mission_unlock_criteria!$2:$2,0)-MATCH($C$2,mission_unlock_criteria!$2:$2,0)+1),MATCH(D$2,mission_unlock_criteria!$2:$2,0)-MATCH($C$2,mission_unlock_criteria!$2:$2,0)+1,FALSE)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515" s="2" t="s">
        <v>2600</v>
      </c>
      <c r="F515" s="31" t="str">
        <f ca="1">VLOOKUP($E515,OFFSET(mission_ACH_criteria!$A$1,0,0,COUNTA(mission_ACH_criteria!$A:$A),MATCH(F$2,mission_ACH_criteria!$1:$1,0)-MATCH($E$2,mission_ACH_criteria!$1:$1,0)+1),MATCH(F$2,mission_ACH_criteria!$1:$1,0)-MATCH($E$2,mission_ACH_criteria!$1:$1,0)+1,FALSE)</f>
        <v>プレイヤーランクを 10 まで上げよう！</v>
      </c>
      <c r="G515" s="27" t="s">
        <v>2649</v>
      </c>
      <c r="H515" s="31" t="str">
        <f ca="1">"二つ名 &lt;"&amp;VLOOKUP(J515,[1]titles_data!$A:$E,5,FALSE)&amp;"&gt;"</f>
        <v>二つ名 &lt;上を目指す&gt;</v>
      </c>
      <c r="I515" s="31" t="str">
        <f ca="1">VLOOKUP($G515,OFFSET(mission_ACH!$A$2,0,0,COUNTA($A:$A),MATCH(I$2,mission_ACH!$2:$2,0)-MATCH($G$2,mission_ACH!$2:$2,0)+1),MATCH(I$2,mission_ACH!$2:$2,0)-MATCH($G$2,mission_ACH!$2:$2,0)+1,FALSE)</f>
        <v>title</v>
      </c>
      <c r="J515" s="31">
        <f ca="1">VLOOKUP($G515,OFFSET(mission_ACH!$A$2,0,0,COUNTA($A:$A),MATCH(J$2,mission_ACH!$2:$2,0)-MATCH($G$2,mission_ACH!$2:$2,0)+1),MATCH(J$2,mission_ACH!$2:$2,0)-MATCH($G$2,mission_ACH!$2:$2,0)+1,FALSE)</f>
        <v>110031</v>
      </c>
      <c r="K515" s="31" t="str">
        <f ca="1">IF(OR(I515="unit",I515="item"),VLOOKUP($G515,OFFSET(mission_ACH!$A$2,0,0,COUNTA($A:$A),MATCH(K$2,mission_ACH!$2:$2,0)-MATCH($G$2,mission_ACH!$2:$2,0)+1),MATCH(K$2,mission_ACH!$2:$2,0)-MATCH($G$2,mission_ACH!$2:$2,0)+1,FALSE),"")</f>
        <v/>
      </c>
      <c r="L515" s="31">
        <f ca="1">VLOOKUP($G515,OFFSET(mission_ACH!$A$2,0,0,COUNTA($A:$A),MATCH(L$2,mission_ACH!$2:$2,0)-MATCH($G$2,mission_ACH!$2:$2,0)+1),MATCH(L$2,mission_ACH!$2:$2,0)-MATCH($G$2,mission_ACH!$2:$2,0)+1,FALSE)</f>
        <v>0</v>
      </c>
      <c r="M515" s="27">
        <v>30</v>
      </c>
      <c r="N515" s="87" t="s">
        <v>864</v>
      </c>
      <c r="O515" s="87" t="s">
        <v>864</v>
      </c>
    </row>
    <row r="516" spans="1:15" ht="21" customHeight="1" x14ac:dyDescent="0.15">
      <c r="A516" s="27">
        <f t="shared" si="187"/>
        <v>30156</v>
      </c>
      <c r="B516" s="26" t="str">
        <f t="shared" ca="1" si="191"/>
        <v>プレイヤーランクを 10 まで上げよう！</v>
      </c>
      <c r="C516" s="27" t="s">
        <v>331</v>
      </c>
      <c r="D516" s="31" t="str">
        <f ca="1">VLOOKUP($C516,OFFSET(mission_unlock_criteria!$A$2,0,0,COUNTA(mission_unlock_criteria!$A:$A),MATCH(D$2,mission_unlock_criteria!$2:$2,0)-MATCH($C$2,mission_unlock_criteria!$2:$2,0)+1),MATCH(D$2,mission_unlock_criteria!$2:$2,0)-MATCH($C$2,mission_unlock_criteria!$2:$2,0)+1,FALSE)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516" s="2" t="s">
        <v>2601</v>
      </c>
      <c r="F516" s="31" t="str">
        <f ca="1">VLOOKUP($E516,OFFSET(mission_ACH_criteria!$A$1,0,0,COUNTA(mission_ACH_criteria!$A:$A),MATCH(F$2,mission_ACH_criteria!$1:$1,0)-MATCH($E$2,mission_ACH_criteria!$1:$1,0)+1),MATCH(F$2,mission_ACH_criteria!$1:$1,0)-MATCH($E$2,mission_ACH_criteria!$1:$1,0)+1,FALSE)</f>
        <v>プレイヤーランクを 10 まで上げよう！</v>
      </c>
      <c r="G516" s="27" t="s">
        <v>2650</v>
      </c>
      <c r="H516" s="31" t="str">
        <f ca="1">"二つ名 &lt;"&amp;VLOOKUP(J516,[1]titles_data!$A:$E,5,FALSE)&amp;"&gt;"</f>
        <v>二つ名 &lt;アマクラファー&gt;</v>
      </c>
      <c r="I516" s="31" t="str">
        <f ca="1">VLOOKUP($G516,OFFSET(mission_ACH!$A$2,0,0,COUNTA($A:$A),MATCH(I$2,mission_ACH!$2:$2,0)-MATCH($G$2,mission_ACH!$2:$2,0)+1),MATCH(I$2,mission_ACH!$2:$2,0)-MATCH($G$2,mission_ACH!$2:$2,0)+1,FALSE)</f>
        <v>title</v>
      </c>
      <c r="J516" s="31">
        <f ca="1">VLOOKUP($G516,OFFSET(mission_ACH!$A$2,0,0,COUNTA($A:$A),MATCH(J$2,mission_ACH!$2:$2,0)-MATCH($G$2,mission_ACH!$2:$2,0)+1),MATCH(J$2,mission_ACH!$2:$2,0)-MATCH($G$2,mission_ACH!$2:$2,0)+1,FALSE)</f>
        <v>110032</v>
      </c>
      <c r="K516" s="31" t="str">
        <f ca="1">IF(OR(I516="unit",I516="item"),VLOOKUP($G516,OFFSET(mission_ACH!$A$2,0,0,COUNTA($A:$A),MATCH(K$2,mission_ACH!$2:$2,0)-MATCH($G$2,mission_ACH!$2:$2,0)+1),MATCH(K$2,mission_ACH!$2:$2,0)-MATCH($G$2,mission_ACH!$2:$2,0)+1,FALSE),"")</f>
        <v/>
      </c>
      <c r="L516" s="31">
        <f ca="1">VLOOKUP($G516,OFFSET(mission_ACH!$A$2,0,0,COUNTA($A:$A),MATCH(L$2,mission_ACH!$2:$2,0)-MATCH($G$2,mission_ACH!$2:$2,0)+1),MATCH(L$2,mission_ACH!$2:$2,0)-MATCH($G$2,mission_ACH!$2:$2,0)+1,FALSE)</f>
        <v>0</v>
      </c>
      <c r="M516" s="27">
        <v>30</v>
      </c>
      <c r="N516" s="87" t="s">
        <v>864</v>
      </c>
      <c r="O516" s="87" t="s">
        <v>864</v>
      </c>
    </row>
    <row r="517" spans="1:15" ht="21" customHeight="1" x14ac:dyDescent="0.15">
      <c r="A517" s="27">
        <f t="shared" si="187"/>
        <v>30157</v>
      </c>
      <c r="B517" s="26" t="str">
        <f t="shared" ca="1" si="191"/>
        <v>プレイヤーランクを 30 まで上げよう！</v>
      </c>
      <c r="C517" s="27" t="s">
        <v>2641</v>
      </c>
      <c r="D517" s="31" t="str">
        <f ca="1">VLOOKUP($C517,OFFSET(mission_unlock_criteria!$A$2,0,0,COUNTA(mission_unlock_criteria!$A:$A),MATCH(D$2,mission_unlock_criteria!$2:$2,0)-MATCH($C$2,mission_unlock_criteria!$2:$2,0)+1),MATCH(D$2,mission_unlock_criteria!$2:$2,0)-MATCH($C$2,mission_unlock_criteria!$2:$2,0)+1,FALSE)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10 に到達</v>
      </c>
      <c r="E517" s="2" t="s">
        <v>2602</v>
      </c>
      <c r="F517" s="31" t="str">
        <f ca="1">VLOOKUP($E517,OFFSET(mission_ACH_criteria!$A$1,0,0,COUNTA(mission_ACH_criteria!$A:$A),MATCH(F$2,mission_ACH_criteria!$1:$1,0)-MATCH($E$2,mission_ACH_criteria!$1:$1,0)+1),MATCH(F$2,mission_ACH_criteria!$1:$1,0)-MATCH($E$2,mission_ACH_criteria!$1:$1,0)+1,FALSE)</f>
        <v>プレイヤーランクを 30 まで上げよう！</v>
      </c>
      <c r="G517" s="27" t="s">
        <v>2651</v>
      </c>
      <c r="H517" s="31" t="str">
        <f ca="1">"二つ名 &lt;"&amp;VLOOKUP(J517,[1]titles_data!$A:$E,5,FALSE)&amp;"&gt;"</f>
        <v>二つ名 &lt;一般&gt;</v>
      </c>
      <c r="I517" s="31" t="str">
        <f ca="1">VLOOKUP($G517,OFFSET(mission_ACH!$A$2,0,0,COUNTA($A:$A),MATCH(I$2,mission_ACH!$2:$2,0)-MATCH($G$2,mission_ACH!$2:$2,0)+1),MATCH(I$2,mission_ACH!$2:$2,0)-MATCH($G$2,mission_ACH!$2:$2,0)+1,FALSE)</f>
        <v>title</v>
      </c>
      <c r="J517" s="31">
        <f ca="1">VLOOKUP($G517,OFFSET(mission_ACH!$A$2,0,0,COUNTA($A:$A),MATCH(J$2,mission_ACH!$2:$2,0)-MATCH($G$2,mission_ACH!$2:$2,0)+1),MATCH(J$2,mission_ACH!$2:$2,0)-MATCH($G$2,mission_ACH!$2:$2,0)+1,FALSE)</f>
        <v>110041</v>
      </c>
      <c r="K517" s="31" t="str">
        <f ca="1">IF(OR(I517="unit",I517="item"),VLOOKUP($G517,OFFSET(mission_ACH!$A$2,0,0,COUNTA($A:$A),MATCH(K$2,mission_ACH!$2:$2,0)-MATCH($G$2,mission_ACH!$2:$2,0)+1),MATCH(K$2,mission_ACH!$2:$2,0)-MATCH($G$2,mission_ACH!$2:$2,0)+1,FALSE),"")</f>
        <v/>
      </c>
      <c r="L517" s="31">
        <f ca="1">VLOOKUP($G517,OFFSET(mission_ACH!$A$2,0,0,COUNTA($A:$A),MATCH(L$2,mission_ACH!$2:$2,0)-MATCH($G$2,mission_ACH!$2:$2,0)+1),MATCH(L$2,mission_ACH!$2:$2,0)-MATCH($G$2,mission_ACH!$2:$2,0)+1,FALSE)</f>
        <v>0</v>
      </c>
      <c r="M517" s="27">
        <v>30</v>
      </c>
      <c r="N517" s="87" t="s">
        <v>864</v>
      </c>
      <c r="O517" s="87" t="s">
        <v>864</v>
      </c>
    </row>
    <row r="518" spans="1:15" ht="21" customHeight="1" x14ac:dyDescent="0.15">
      <c r="A518" s="27">
        <f t="shared" si="187"/>
        <v>30158</v>
      </c>
      <c r="B518" s="26" t="str">
        <f t="shared" ca="1" si="191"/>
        <v>プレイヤーランクを 30 まで上げよう！</v>
      </c>
      <c r="C518" s="27" t="s">
        <v>2641</v>
      </c>
      <c r="D518" s="31" t="str">
        <f ca="1">VLOOKUP($C518,OFFSET(mission_unlock_criteria!$A$2,0,0,COUNTA(mission_unlock_criteria!$A:$A),MATCH(D$2,mission_unlock_criteria!$2:$2,0)-MATCH($C$2,mission_unlock_criteria!$2:$2,0)+1),MATCH(D$2,mission_unlock_criteria!$2:$2,0)-MATCH($C$2,mission_unlock_criteria!$2:$2,0)+1,FALSE)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10 に到達</v>
      </c>
      <c r="E518" s="2" t="s">
        <v>2603</v>
      </c>
      <c r="F518" s="31" t="str">
        <f ca="1">VLOOKUP($E518,OFFSET(mission_ACH_criteria!$A$1,0,0,COUNTA(mission_ACH_criteria!$A:$A),MATCH(F$2,mission_ACH_criteria!$1:$1,0)-MATCH($E$2,mission_ACH_criteria!$1:$1,0)+1),MATCH(F$2,mission_ACH_criteria!$1:$1,0)-MATCH($E$2,mission_ACH_criteria!$1:$1,0)+1,FALSE)</f>
        <v>プレイヤーランクを 30 まで上げよう！</v>
      </c>
      <c r="G518" s="27" t="s">
        <v>2652</v>
      </c>
      <c r="H518" s="31" t="str">
        <f ca="1">"二つ名 &lt;"&amp;VLOOKUP(J518,[1]titles_data!$A:$E,5,FALSE)&amp;"&gt;"</f>
        <v>二つ名 &lt;クラファー&gt;</v>
      </c>
      <c r="I518" s="31" t="str">
        <f ca="1">VLOOKUP($G518,OFFSET(mission_ACH!$A$2,0,0,COUNTA($A:$A),MATCH(I$2,mission_ACH!$2:$2,0)-MATCH($G$2,mission_ACH!$2:$2,0)+1),MATCH(I$2,mission_ACH!$2:$2,0)-MATCH($G$2,mission_ACH!$2:$2,0)+1,FALSE)</f>
        <v>title</v>
      </c>
      <c r="J518" s="31">
        <f ca="1">VLOOKUP($G518,OFFSET(mission_ACH!$A$2,0,0,COUNTA($A:$A),MATCH(J$2,mission_ACH!$2:$2,0)-MATCH($G$2,mission_ACH!$2:$2,0)+1),MATCH(J$2,mission_ACH!$2:$2,0)-MATCH($G$2,mission_ACH!$2:$2,0)+1,FALSE)</f>
        <v>110042</v>
      </c>
      <c r="K518" s="31" t="str">
        <f ca="1">IF(OR(I518="unit",I518="item"),VLOOKUP($G518,OFFSET(mission_ACH!$A$2,0,0,COUNTA($A:$A),MATCH(K$2,mission_ACH!$2:$2,0)-MATCH($G$2,mission_ACH!$2:$2,0)+1),MATCH(K$2,mission_ACH!$2:$2,0)-MATCH($G$2,mission_ACH!$2:$2,0)+1,FALSE),"")</f>
        <v/>
      </c>
      <c r="L518" s="31">
        <f ca="1">VLOOKUP($G518,OFFSET(mission_ACH!$A$2,0,0,COUNTA($A:$A),MATCH(L$2,mission_ACH!$2:$2,0)-MATCH($G$2,mission_ACH!$2:$2,0)+1),MATCH(L$2,mission_ACH!$2:$2,0)-MATCH($G$2,mission_ACH!$2:$2,0)+1,FALSE)</f>
        <v>0</v>
      </c>
      <c r="M518" s="27">
        <v>30</v>
      </c>
      <c r="N518" s="87" t="s">
        <v>864</v>
      </c>
      <c r="O518" s="87" t="s">
        <v>864</v>
      </c>
    </row>
    <row r="519" spans="1:15" ht="21" customHeight="1" x14ac:dyDescent="0.15">
      <c r="A519" s="27">
        <f t="shared" si="187"/>
        <v>30159</v>
      </c>
      <c r="B519" s="26" t="str">
        <f t="shared" ca="1" si="191"/>
        <v>プレイヤーランクを 50 まで上げよう！</v>
      </c>
      <c r="C519" s="27" t="s">
        <v>2642</v>
      </c>
      <c r="D519" s="31" t="str">
        <f ca="1">VLOOKUP($C519,OFFSET(mission_unlock_criteria!$A$2,0,0,COUNTA(mission_unlock_criteria!$A:$A),MATCH(D$2,mission_unlock_criteria!$2:$2,0)-MATCH($C$2,mission_unlock_criteria!$2:$2,0)+1),MATCH(D$2,mission_unlock_criteria!$2:$2,0)-MATCH($C$2,mission_unlock_criteria!$2:$2,0)+1,FALSE)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30 に到達</v>
      </c>
      <c r="E519" s="2" t="s">
        <v>2604</v>
      </c>
      <c r="F519" s="31" t="str">
        <f ca="1">VLOOKUP($E519,OFFSET(mission_ACH_criteria!$A$1,0,0,COUNTA(mission_ACH_criteria!$A:$A),MATCH(F$2,mission_ACH_criteria!$1:$1,0)-MATCH($E$2,mission_ACH_criteria!$1:$1,0)+1),MATCH(F$2,mission_ACH_criteria!$1:$1,0)-MATCH($E$2,mission_ACH_criteria!$1:$1,0)+1,FALSE)</f>
        <v>プレイヤーランクを 50 まで上げよう！</v>
      </c>
      <c r="G519" s="27" t="s">
        <v>2653</v>
      </c>
      <c r="H519" s="31" t="str">
        <f ca="1">"二つ名 &lt;"&amp;VLOOKUP(J519,[1]titles_data!$A:$E,5,FALSE)&amp;"&gt;"</f>
        <v>二つ名 &lt;立派な&gt;</v>
      </c>
      <c r="I519" s="31" t="str">
        <f ca="1">VLOOKUP($G519,OFFSET(mission_ACH!$A$2,0,0,COUNTA($A:$A),MATCH(I$2,mission_ACH!$2:$2,0)-MATCH($G$2,mission_ACH!$2:$2,0)+1),MATCH(I$2,mission_ACH!$2:$2,0)-MATCH($G$2,mission_ACH!$2:$2,0)+1,FALSE)</f>
        <v>title</v>
      </c>
      <c r="J519" s="31">
        <f ca="1">VLOOKUP($G519,OFFSET(mission_ACH!$A$2,0,0,COUNTA($A:$A),MATCH(J$2,mission_ACH!$2:$2,0)-MATCH($G$2,mission_ACH!$2:$2,0)+1),MATCH(J$2,mission_ACH!$2:$2,0)-MATCH($G$2,mission_ACH!$2:$2,0)+1,FALSE)</f>
        <v>110051</v>
      </c>
      <c r="K519" s="31" t="str">
        <f ca="1">IF(OR(I519="unit",I519="item"),VLOOKUP($G519,OFFSET(mission_ACH!$A$2,0,0,COUNTA($A:$A),MATCH(K$2,mission_ACH!$2:$2,0)-MATCH($G$2,mission_ACH!$2:$2,0)+1),MATCH(K$2,mission_ACH!$2:$2,0)-MATCH($G$2,mission_ACH!$2:$2,0)+1,FALSE),"")</f>
        <v/>
      </c>
      <c r="L519" s="31">
        <f ca="1">VLOOKUP($G519,OFFSET(mission_ACH!$A$2,0,0,COUNTA($A:$A),MATCH(L$2,mission_ACH!$2:$2,0)-MATCH($G$2,mission_ACH!$2:$2,0)+1),MATCH(L$2,mission_ACH!$2:$2,0)-MATCH($G$2,mission_ACH!$2:$2,0)+1,FALSE)</f>
        <v>0</v>
      </c>
      <c r="M519" s="27">
        <v>30</v>
      </c>
      <c r="N519" s="87" t="s">
        <v>864</v>
      </c>
      <c r="O519" s="87" t="s">
        <v>864</v>
      </c>
    </row>
    <row r="520" spans="1:15" ht="21" customHeight="1" x14ac:dyDescent="0.15">
      <c r="A520" s="27">
        <f t="shared" si="187"/>
        <v>30160</v>
      </c>
      <c r="B520" s="26" t="str">
        <f t="shared" ca="1" si="191"/>
        <v>プレイヤーランクを 50 まで上げよう！</v>
      </c>
      <c r="C520" s="27" t="s">
        <v>2642</v>
      </c>
      <c r="D520" s="31" t="str">
        <f ca="1">VLOOKUP($C520,OFFSET(mission_unlock_criteria!$A$2,0,0,COUNTA(mission_unlock_criteria!$A:$A),MATCH(D$2,mission_unlock_criteria!$2:$2,0)-MATCH($C$2,mission_unlock_criteria!$2:$2,0)+1),MATCH(D$2,mission_unlock_criteria!$2:$2,0)-MATCH($C$2,mission_unlock_criteria!$2:$2,0)+1,FALSE)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30 に到達</v>
      </c>
      <c r="E520" s="2" t="s">
        <v>2605</v>
      </c>
      <c r="F520" s="31" t="str">
        <f ca="1">VLOOKUP($E520,OFFSET(mission_ACH_criteria!$A$1,0,0,COUNTA(mission_ACH_criteria!$A:$A),MATCH(F$2,mission_ACH_criteria!$1:$1,0)-MATCH($E$2,mission_ACH_criteria!$1:$1,0)+1),MATCH(F$2,mission_ACH_criteria!$1:$1,0)-MATCH($E$2,mission_ACH_criteria!$1:$1,0)+1,FALSE)</f>
        <v>プレイヤーランクを 50 まで上げよう！</v>
      </c>
      <c r="G520" s="27" t="s">
        <v>2654</v>
      </c>
      <c r="H520" s="31" t="str">
        <f ca="1">"二つ名 &lt;"&amp;VLOOKUP(J520,[1]titles_data!$A:$E,5,FALSE)&amp;"&gt;"</f>
        <v>二つ名 &lt;クラファー先輩&gt;</v>
      </c>
      <c r="I520" s="31" t="str">
        <f ca="1">VLOOKUP($G520,OFFSET(mission_ACH!$A$2,0,0,COUNTA($A:$A),MATCH(I$2,mission_ACH!$2:$2,0)-MATCH($G$2,mission_ACH!$2:$2,0)+1),MATCH(I$2,mission_ACH!$2:$2,0)-MATCH($G$2,mission_ACH!$2:$2,0)+1,FALSE)</f>
        <v>title</v>
      </c>
      <c r="J520" s="31">
        <f ca="1">VLOOKUP($G520,OFFSET(mission_ACH!$A$2,0,0,COUNTA($A:$A),MATCH(J$2,mission_ACH!$2:$2,0)-MATCH($G$2,mission_ACH!$2:$2,0)+1),MATCH(J$2,mission_ACH!$2:$2,0)-MATCH($G$2,mission_ACH!$2:$2,0)+1,FALSE)</f>
        <v>110052</v>
      </c>
      <c r="K520" s="31" t="str">
        <f ca="1">IF(OR(I520="unit",I520="item"),VLOOKUP($G520,OFFSET(mission_ACH!$A$2,0,0,COUNTA($A:$A),MATCH(K$2,mission_ACH!$2:$2,0)-MATCH($G$2,mission_ACH!$2:$2,0)+1),MATCH(K$2,mission_ACH!$2:$2,0)-MATCH($G$2,mission_ACH!$2:$2,0)+1,FALSE),"")</f>
        <v/>
      </c>
      <c r="L520" s="31">
        <f ca="1">VLOOKUP($G520,OFFSET(mission_ACH!$A$2,0,0,COUNTA($A:$A),MATCH(L$2,mission_ACH!$2:$2,0)-MATCH($G$2,mission_ACH!$2:$2,0)+1),MATCH(L$2,mission_ACH!$2:$2,0)-MATCH($G$2,mission_ACH!$2:$2,0)+1,FALSE)</f>
        <v>0</v>
      </c>
      <c r="M520" s="27">
        <v>30</v>
      </c>
      <c r="N520" s="87" t="s">
        <v>864</v>
      </c>
      <c r="O520" s="87" t="s">
        <v>864</v>
      </c>
    </row>
    <row r="521" spans="1:15" ht="21" customHeight="1" x14ac:dyDescent="0.15">
      <c r="A521" s="27">
        <f t="shared" si="187"/>
        <v>30161</v>
      </c>
      <c r="B521" s="26" t="str">
        <f t="shared" ca="1" si="191"/>
        <v>プレイヤーランクを 70 まで上げよう！</v>
      </c>
      <c r="C521" s="27" t="s">
        <v>1320</v>
      </c>
      <c r="D521" s="31" t="str">
        <f ca="1">VLOOKUP($C521,OFFSET(mission_unlock_criteria!$A$2,0,0,COUNTA(mission_unlock_criteria!$A:$A),MATCH(D$2,mission_unlock_criteria!$2:$2,0)-MATCH($C$2,mission_unlock_criteria!$2:$2,0)+1),MATCH(D$2,mission_unlock_criteria!$2:$2,0)-MATCH($C$2,mission_unlock_criteria!$2:$2,0)+1,FALSE)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50 に到達</v>
      </c>
      <c r="E521" s="2" t="s">
        <v>2606</v>
      </c>
      <c r="F521" s="31" t="str">
        <f ca="1">VLOOKUP($E521,OFFSET(mission_ACH_criteria!$A$1,0,0,COUNTA(mission_ACH_criteria!$A:$A),MATCH(F$2,mission_ACH_criteria!$1:$1,0)-MATCH($E$2,mission_ACH_criteria!$1:$1,0)+1),MATCH(F$2,mission_ACH_criteria!$1:$1,0)-MATCH($E$2,mission_ACH_criteria!$1:$1,0)+1,FALSE)</f>
        <v>プレイヤーランクを 70 まで上げよう！</v>
      </c>
      <c r="G521" s="27" t="s">
        <v>2655</v>
      </c>
      <c r="H521" s="31" t="str">
        <f ca="1">"二つ名 &lt;"&amp;VLOOKUP(J521,[1]titles_data!$A:$E,5,FALSE)&amp;"&gt;"</f>
        <v>二つ名 &lt;ハイスペック&gt;</v>
      </c>
      <c r="I521" s="31" t="str">
        <f ca="1">VLOOKUP($G521,OFFSET(mission_ACH!$A$2,0,0,COUNTA($A:$A),MATCH(I$2,mission_ACH!$2:$2,0)-MATCH($G$2,mission_ACH!$2:$2,0)+1),MATCH(I$2,mission_ACH!$2:$2,0)-MATCH($G$2,mission_ACH!$2:$2,0)+1,FALSE)</f>
        <v>title</v>
      </c>
      <c r="J521" s="31">
        <f ca="1">VLOOKUP($G521,OFFSET(mission_ACH!$A$2,0,0,COUNTA($A:$A),MATCH(J$2,mission_ACH!$2:$2,0)-MATCH($G$2,mission_ACH!$2:$2,0)+1),MATCH(J$2,mission_ACH!$2:$2,0)-MATCH($G$2,mission_ACH!$2:$2,0)+1,FALSE)</f>
        <v>110061</v>
      </c>
      <c r="K521" s="31" t="str">
        <f ca="1">IF(OR(I521="unit",I521="item"),VLOOKUP($G521,OFFSET(mission_ACH!$A$2,0,0,COUNTA($A:$A),MATCH(K$2,mission_ACH!$2:$2,0)-MATCH($G$2,mission_ACH!$2:$2,0)+1),MATCH(K$2,mission_ACH!$2:$2,0)-MATCH($G$2,mission_ACH!$2:$2,0)+1,FALSE),"")</f>
        <v/>
      </c>
      <c r="L521" s="31">
        <f ca="1">VLOOKUP($G521,OFFSET(mission_ACH!$A$2,0,0,COUNTA($A:$A),MATCH(L$2,mission_ACH!$2:$2,0)-MATCH($G$2,mission_ACH!$2:$2,0)+1),MATCH(L$2,mission_ACH!$2:$2,0)-MATCH($G$2,mission_ACH!$2:$2,0)+1,FALSE)</f>
        <v>0</v>
      </c>
      <c r="M521" s="27">
        <v>30</v>
      </c>
      <c r="N521" s="87" t="s">
        <v>864</v>
      </c>
      <c r="O521" s="87" t="s">
        <v>864</v>
      </c>
    </row>
    <row r="522" spans="1:15" ht="21" customHeight="1" x14ac:dyDescent="0.15">
      <c r="A522" s="27">
        <f t="shared" si="187"/>
        <v>30162</v>
      </c>
      <c r="B522" s="26" t="str">
        <f t="shared" ca="1" si="191"/>
        <v>プレイヤーランクを 70 まで上げよう！</v>
      </c>
      <c r="C522" s="27" t="s">
        <v>1320</v>
      </c>
      <c r="D522" s="31" t="str">
        <f ca="1">VLOOKUP($C522,OFFSET(mission_unlock_criteria!$A$2,0,0,COUNTA(mission_unlock_criteria!$A:$A),MATCH(D$2,mission_unlock_criteria!$2:$2,0)-MATCH($C$2,mission_unlock_criteria!$2:$2,0)+1),MATCH(D$2,mission_unlock_criteria!$2:$2,0)-MATCH($C$2,mission_unlock_criteria!$2:$2,0)+1,FALSE)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50 に到達</v>
      </c>
      <c r="E522" s="2" t="s">
        <v>2607</v>
      </c>
      <c r="F522" s="31" t="str">
        <f ca="1">VLOOKUP($E522,OFFSET(mission_ACH_criteria!$A$1,0,0,COUNTA(mission_ACH_criteria!$A:$A),MATCH(F$2,mission_ACH_criteria!$1:$1,0)-MATCH($E$2,mission_ACH_criteria!$1:$1,0)+1),MATCH(F$2,mission_ACH_criteria!$1:$1,0)-MATCH($E$2,mission_ACH_criteria!$1:$1,0)+1,FALSE)</f>
        <v>プレイヤーランクを 70 まで上げよう！</v>
      </c>
      <c r="G522" s="27" t="s">
        <v>2656</v>
      </c>
      <c r="H522" s="31" t="str">
        <f ca="1">"二つ名 &lt;"&amp;VLOOKUP(J522,[1]titles_data!$A:$E,5,FALSE)&amp;"&gt;"</f>
        <v>二つ名 &lt;クラファー先生&gt;</v>
      </c>
      <c r="I522" s="31" t="str">
        <f ca="1">VLOOKUP($G522,OFFSET(mission_ACH!$A$2,0,0,COUNTA($A:$A),MATCH(I$2,mission_ACH!$2:$2,0)-MATCH($G$2,mission_ACH!$2:$2,0)+1),MATCH(I$2,mission_ACH!$2:$2,0)-MATCH($G$2,mission_ACH!$2:$2,0)+1,FALSE)</f>
        <v>title</v>
      </c>
      <c r="J522" s="31">
        <f ca="1">VLOOKUP($G522,OFFSET(mission_ACH!$A$2,0,0,COUNTA($A:$A),MATCH(J$2,mission_ACH!$2:$2,0)-MATCH($G$2,mission_ACH!$2:$2,0)+1),MATCH(J$2,mission_ACH!$2:$2,0)-MATCH($G$2,mission_ACH!$2:$2,0)+1,FALSE)</f>
        <v>110062</v>
      </c>
      <c r="K522" s="31" t="str">
        <f ca="1">IF(OR(I522="unit",I522="item"),VLOOKUP($G522,OFFSET(mission_ACH!$A$2,0,0,COUNTA($A:$A),MATCH(K$2,mission_ACH!$2:$2,0)-MATCH($G$2,mission_ACH!$2:$2,0)+1),MATCH(K$2,mission_ACH!$2:$2,0)-MATCH($G$2,mission_ACH!$2:$2,0)+1,FALSE),"")</f>
        <v/>
      </c>
      <c r="L522" s="31">
        <f ca="1">VLOOKUP($G522,OFFSET(mission_ACH!$A$2,0,0,COUNTA($A:$A),MATCH(L$2,mission_ACH!$2:$2,0)-MATCH($G$2,mission_ACH!$2:$2,0)+1),MATCH(L$2,mission_ACH!$2:$2,0)-MATCH($G$2,mission_ACH!$2:$2,0)+1,FALSE)</f>
        <v>0</v>
      </c>
      <c r="M522" s="27">
        <v>30</v>
      </c>
      <c r="N522" s="87" t="s">
        <v>864</v>
      </c>
      <c r="O522" s="87" t="s">
        <v>864</v>
      </c>
    </row>
    <row r="523" spans="1:15" ht="21" customHeight="1" x14ac:dyDescent="0.15">
      <c r="A523" s="27">
        <f t="shared" si="187"/>
        <v>30163</v>
      </c>
      <c r="B523" s="26" t="str">
        <f t="shared" ca="1" si="191"/>
        <v>プレイヤーランクを 100 まで上げよう！</v>
      </c>
      <c r="C523" s="27" t="s">
        <v>2643</v>
      </c>
      <c r="D523" s="31" t="str">
        <f ca="1">VLOOKUP($C523,OFFSET(mission_unlock_criteria!$A$2,0,0,COUNTA(mission_unlock_criteria!$A:$A),MATCH(D$2,mission_unlock_criteria!$2:$2,0)-MATCH($C$2,mission_unlock_criteria!$2:$2,0)+1),MATCH(D$2,mission_unlock_criteria!$2:$2,0)-MATCH($C$2,mission_unlock_criteria!$2:$2,0)+1,FALSE)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70 に到達</v>
      </c>
      <c r="E523" s="2" t="s">
        <v>2608</v>
      </c>
      <c r="F523" s="31" t="str">
        <f ca="1">VLOOKUP($E523,OFFSET(mission_ACH_criteria!$A$1,0,0,COUNTA(mission_ACH_criteria!$A:$A),MATCH(F$2,mission_ACH_criteria!$1:$1,0)-MATCH($E$2,mission_ACH_criteria!$1:$1,0)+1),MATCH(F$2,mission_ACH_criteria!$1:$1,0)-MATCH($E$2,mission_ACH_criteria!$1:$1,0)+1,FALSE)</f>
        <v>プレイヤーランクを 100 まで上げよう！</v>
      </c>
      <c r="G523" s="27" t="s">
        <v>2657</v>
      </c>
      <c r="H523" s="31" t="str">
        <f ca="1">"二つ名 &lt;"&amp;VLOOKUP(J523,[1]titles_data!$A:$E,5,FALSE)&amp;"&gt;"</f>
        <v>二つ名 &lt;憧れの&gt;</v>
      </c>
      <c r="I523" s="31" t="str">
        <f ca="1">VLOOKUP($G523,OFFSET(mission_ACH!$A$2,0,0,COUNTA($A:$A),MATCH(I$2,mission_ACH!$2:$2,0)-MATCH($G$2,mission_ACH!$2:$2,0)+1),MATCH(I$2,mission_ACH!$2:$2,0)-MATCH($G$2,mission_ACH!$2:$2,0)+1,FALSE)</f>
        <v>title</v>
      </c>
      <c r="J523" s="31">
        <f ca="1">VLOOKUP($G523,OFFSET(mission_ACH!$A$2,0,0,COUNTA($A:$A),MATCH(J$2,mission_ACH!$2:$2,0)-MATCH($G$2,mission_ACH!$2:$2,0)+1),MATCH(J$2,mission_ACH!$2:$2,0)-MATCH($G$2,mission_ACH!$2:$2,0)+1,FALSE)</f>
        <v>110071</v>
      </c>
      <c r="K523" s="31" t="str">
        <f ca="1">IF(OR(I523="unit",I523="item"),VLOOKUP($G523,OFFSET(mission_ACH!$A$2,0,0,COUNTA($A:$A),MATCH(K$2,mission_ACH!$2:$2,0)-MATCH($G$2,mission_ACH!$2:$2,0)+1),MATCH(K$2,mission_ACH!$2:$2,0)-MATCH($G$2,mission_ACH!$2:$2,0)+1,FALSE),"")</f>
        <v/>
      </c>
      <c r="L523" s="31">
        <f ca="1">VLOOKUP($G523,OFFSET(mission_ACH!$A$2,0,0,COUNTA($A:$A),MATCH(L$2,mission_ACH!$2:$2,0)-MATCH($G$2,mission_ACH!$2:$2,0)+1),MATCH(L$2,mission_ACH!$2:$2,0)-MATCH($G$2,mission_ACH!$2:$2,0)+1,FALSE)</f>
        <v>0</v>
      </c>
      <c r="M523" s="27">
        <v>30</v>
      </c>
      <c r="N523" s="87" t="s">
        <v>864</v>
      </c>
      <c r="O523" s="87" t="s">
        <v>864</v>
      </c>
    </row>
    <row r="524" spans="1:15" ht="21" customHeight="1" x14ac:dyDescent="0.15">
      <c r="A524" s="27">
        <f t="shared" si="187"/>
        <v>30164</v>
      </c>
      <c r="B524" s="26" t="str">
        <f t="shared" ca="1" si="191"/>
        <v>プレイヤーランクを 100 まで上げよう！</v>
      </c>
      <c r="C524" s="27" t="s">
        <v>2643</v>
      </c>
      <c r="D524" s="31" t="str">
        <f ca="1">VLOOKUP($C524,OFFSET(mission_unlock_criteria!$A$2,0,0,COUNTA(mission_unlock_criteria!$A:$A),MATCH(D$2,mission_unlock_criteria!$2:$2,0)-MATCH($C$2,mission_unlock_criteria!$2:$2,0)+1),MATCH(D$2,mission_unlock_criteria!$2:$2,0)-MATCH($C$2,mission_unlock_criteria!$2:$2,0)+1,FALSE)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70 に到達</v>
      </c>
      <c r="E524" s="2" t="s">
        <v>2609</v>
      </c>
      <c r="F524" s="31" t="str">
        <f ca="1">VLOOKUP($E524,OFFSET(mission_ACH_criteria!$A$1,0,0,COUNTA(mission_ACH_criteria!$A:$A),MATCH(F$2,mission_ACH_criteria!$1:$1,0)-MATCH($E$2,mission_ACH_criteria!$1:$1,0)+1),MATCH(F$2,mission_ACH_criteria!$1:$1,0)-MATCH($E$2,mission_ACH_criteria!$1:$1,0)+1,FALSE)</f>
        <v>プレイヤーランクを 100 まで上げよう！</v>
      </c>
      <c r="G524" s="27" t="s">
        <v>2658</v>
      </c>
      <c r="H524" s="31" t="str">
        <f ca="1">"二つ名 &lt;"&amp;VLOOKUP(J524,[1]titles_data!$A:$E,5,FALSE)&amp;"&gt;"</f>
        <v>二つ名 &lt;プロクラファー&gt;</v>
      </c>
      <c r="I524" s="31" t="str">
        <f ca="1">VLOOKUP($G524,OFFSET(mission_ACH!$A$2,0,0,COUNTA($A:$A),MATCH(I$2,mission_ACH!$2:$2,0)-MATCH($G$2,mission_ACH!$2:$2,0)+1),MATCH(I$2,mission_ACH!$2:$2,0)-MATCH($G$2,mission_ACH!$2:$2,0)+1,FALSE)</f>
        <v>title</v>
      </c>
      <c r="J524" s="31">
        <f ca="1">VLOOKUP($G524,OFFSET(mission_ACH!$A$2,0,0,COUNTA($A:$A),MATCH(J$2,mission_ACH!$2:$2,0)-MATCH($G$2,mission_ACH!$2:$2,0)+1),MATCH(J$2,mission_ACH!$2:$2,0)-MATCH($G$2,mission_ACH!$2:$2,0)+1,FALSE)</f>
        <v>110072</v>
      </c>
      <c r="K524" s="31" t="str">
        <f ca="1">IF(OR(I524="unit",I524="item"),VLOOKUP($G524,OFFSET(mission_ACH!$A$2,0,0,COUNTA($A:$A),MATCH(K$2,mission_ACH!$2:$2,0)-MATCH($G$2,mission_ACH!$2:$2,0)+1),MATCH(K$2,mission_ACH!$2:$2,0)-MATCH($G$2,mission_ACH!$2:$2,0)+1,FALSE),"")</f>
        <v/>
      </c>
      <c r="L524" s="31">
        <f ca="1">VLOOKUP($G524,OFFSET(mission_ACH!$A$2,0,0,COUNTA($A:$A),MATCH(L$2,mission_ACH!$2:$2,0)-MATCH($G$2,mission_ACH!$2:$2,0)+1),MATCH(L$2,mission_ACH!$2:$2,0)-MATCH($G$2,mission_ACH!$2:$2,0)+1,FALSE)</f>
        <v>0</v>
      </c>
      <c r="M524" s="27">
        <v>30</v>
      </c>
      <c r="N524" s="87" t="s">
        <v>864</v>
      </c>
      <c r="O524" s="87" t="s">
        <v>864</v>
      </c>
    </row>
    <row r="525" spans="1:15" ht="21" customHeight="1" x14ac:dyDescent="0.15">
      <c r="A525" s="27">
        <f t="shared" si="187"/>
        <v>30165</v>
      </c>
      <c r="B525" s="26" t="str">
        <f t="shared" ca="1" si="191"/>
        <v>プレイヤーランクを 150 まで上げよう！</v>
      </c>
      <c r="C525" s="27" t="s">
        <v>2644</v>
      </c>
      <c r="D525" s="31" t="str">
        <f ca="1">VLOOKUP($C525,OFFSET(mission_unlock_criteria!$A$2,0,0,COUNTA(mission_unlock_criteria!$A:$A),MATCH(D$2,mission_unlock_criteria!$2:$2,0)-MATCH($C$2,mission_unlock_criteria!$2:$2,0)+1),MATCH(D$2,mission_unlock_criteria!$2:$2,0)-MATCH($C$2,mission_unlock_criteria!$2:$2,0)+1,FALSE)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100 に到達</v>
      </c>
      <c r="E525" s="2" t="s">
        <v>2610</v>
      </c>
      <c r="F525" s="31" t="str">
        <f ca="1">VLOOKUP($E525,OFFSET(mission_ACH_criteria!$A$1,0,0,COUNTA(mission_ACH_criteria!$A:$A),MATCH(F$2,mission_ACH_criteria!$1:$1,0)-MATCH($E$2,mission_ACH_criteria!$1:$1,0)+1),MATCH(F$2,mission_ACH_criteria!$1:$1,0)-MATCH($E$2,mission_ACH_criteria!$1:$1,0)+1,FALSE)</f>
        <v>プレイヤーランクを 150 まで上げよう！</v>
      </c>
      <c r="G525" s="27" t="s">
        <v>2659</v>
      </c>
      <c r="H525" s="31" t="str">
        <f ca="1">"二つ名 &lt;"&amp;VLOOKUP(J525,[1]titles_data!$A:$E,5,FALSE)&amp;"&gt;"</f>
        <v>二つ名 &lt;カリスマ&gt;</v>
      </c>
      <c r="I525" s="31" t="str">
        <f ca="1">VLOOKUP($G525,OFFSET(mission_ACH!$A$2,0,0,COUNTA($A:$A),MATCH(I$2,mission_ACH!$2:$2,0)-MATCH($G$2,mission_ACH!$2:$2,0)+1),MATCH(I$2,mission_ACH!$2:$2,0)-MATCH($G$2,mission_ACH!$2:$2,0)+1,FALSE)</f>
        <v>title</v>
      </c>
      <c r="J525" s="31">
        <f ca="1">VLOOKUP($G525,OFFSET(mission_ACH!$A$2,0,0,COUNTA($A:$A),MATCH(J$2,mission_ACH!$2:$2,0)-MATCH($G$2,mission_ACH!$2:$2,0)+1),MATCH(J$2,mission_ACH!$2:$2,0)-MATCH($G$2,mission_ACH!$2:$2,0)+1,FALSE)</f>
        <v>110081</v>
      </c>
      <c r="K525" s="31" t="str">
        <f ca="1">IF(OR(I525="unit",I525="item"),VLOOKUP($G525,OFFSET(mission_ACH!$A$2,0,0,COUNTA($A:$A),MATCH(K$2,mission_ACH!$2:$2,0)-MATCH($G$2,mission_ACH!$2:$2,0)+1),MATCH(K$2,mission_ACH!$2:$2,0)-MATCH($G$2,mission_ACH!$2:$2,0)+1,FALSE),"")</f>
        <v/>
      </c>
      <c r="L525" s="31">
        <f ca="1">VLOOKUP($G525,OFFSET(mission_ACH!$A$2,0,0,COUNTA($A:$A),MATCH(L$2,mission_ACH!$2:$2,0)-MATCH($G$2,mission_ACH!$2:$2,0)+1),MATCH(L$2,mission_ACH!$2:$2,0)-MATCH($G$2,mission_ACH!$2:$2,0)+1,FALSE)</f>
        <v>0</v>
      </c>
      <c r="M525" s="27">
        <v>30</v>
      </c>
      <c r="N525" s="87" t="s">
        <v>864</v>
      </c>
      <c r="O525" s="87" t="s">
        <v>864</v>
      </c>
    </row>
    <row r="526" spans="1:15" ht="21" customHeight="1" x14ac:dyDescent="0.15">
      <c r="A526" s="27">
        <f t="shared" si="187"/>
        <v>30166</v>
      </c>
      <c r="B526" s="26" t="str">
        <f t="shared" ca="1" si="191"/>
        <v>プレイヤーランクを 150 まで上げよう！</v>
      </c>
      <c r="C526" s="27" t="s">
        <v>2644</v>
      </c>
      <c r="D526" s="31" t="str">
        <f ca="1">VLOOKUP($C526,OFFSET(mission_unlock_criteria!$A$2,0,0,COUNTA(mission_unlock_criteria!$A:$A),MATCH(D$2,mission_unlock_criteria!$2:$2,0)-MATCH($C$2,mission_unlock_criteria!$2:$2,0)+1),MATCH(D$2,mission_unlock_criteria!$2:$2,0)-MATCH($C$2,mission_unlock_criteria!$2:$2,0)+1,FALSE)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100 に到達</v>
      </c>
      <c r="E526" s="2" t="s">
        <v>2611</v>
      </c>
      <c r="F526" s="31" t="str">
        <f ca="1">VLOOKUP($E526,OFFSET(mission_ACH_criteria!$A$1,0,0,COUNTA(mission_ACH_criteria!$A:$A),MATCH(F$2,mission_ACH_criteria!$1:$1,0)-MATCH($E$2,mission_ACH_criteria!$1:$1,0)+1),MATCH(F$2,mission_ACH_criteria!$1:$1,0)-MATCH($E$2,mission_ACH_criteria!$1:$1,0)+1,FALSE)</f>
        <v>プレイヤーランクを 150 まで上げよう！</v>
      </c>
      <c r="G526" s="27" t="s">
        <v>2660</v>
      </c>
      <c r="H526" s="31" t="str">
        <f ca="1">"二つ名 &lt;"&amp;VLOOKUP(J526,[1]titles_data!$A:$E,5,FALSE)&amp;"&gt;"</f>
        <v>二つ名 &lt;クラファー名人&gt;</v>
      </c>
      <c r="I526" s="31" t="str">
        <f ca="1">VLOOKUP($G526,OFFSET(mission_ACH!$A$2,0,0,COUNTA($A:$A),MATCH(I$2,mission_ACH!$2:$2,0)-MATCH($G$2,mission_ACH!$2:$2,0)+1),MATCH(I$2,mission_ACH!$2:$2,0)-MATCH($G$2,mission_ACH!$2:$2,0)+1,FALSE)</f>
        <v>title</v>
      </c>
      <c r="J526" s="31">
        <f ca="1">VLOOKUP($G526,OFFSET(mission_ACH!$A$2,0,0,COUNTA($A:$A),MATCH(J$2,mission_ACH!$2:$2,0)-MATCH($G$2,mission_ACH!$2:$2,0)+1),MATCH(J$2,mission_ACH!$2:$2,0)-MATCH($G$2,mission_ACH!$2:$2,0)+1,FALSE)</f>
        <v>110082</v>
      </c>
      <c r="K526" s="31" t="str">
        <f ca="1">IF(OR(I526="unit",I526="item"),VLOOKUP($G526,OFFSET(mission_ACH!$A$2,0,0,COUNTA($A:$A),MATCH(K$2,mission_ACH!$2:$2,0)-MATCH($G$2,mission_ACH!$2:$2,0)+1),MATCH(K$2,mission_ACH!$2:$2,0)-MATCH($G$2,mission_ACH!$2:$2,0)+1,FALSE),"")</f>
        <v/>
      </c>
      <c r="L526" s="31">
        <f ca="1">VLOOKUP($G526,OFFSET(mission_ACH!$A$2,0,0,COUNTA($A:$A),MATCH(L$2,mission_ACH!$2:$2,0)-MATCH($G$2,mission_ACH!$2:$2,0)+1),MATCH(L$2,mission_ACH!$2:$2,0)-MATCH($G$2,mission_ACH!$2:$2,0)+1,FALSE)</f>
        <v>0</v>
      </c>
      <c r="M526" s="27">
        <v>30</v>
      </c>
      <c r="N526" s="87" t="s">
        <v>864</v>
      </c>
      <c r="O526" s="87" t="s">
        <v>864</v>
      </c>
    </row>
    <row r="527" spans="1:15" ht="21" customHeight="1" x14ac:dyDescent="0.15">
      <c r="A527" s="27">
        <f t="shared" si="187"/>
        <v>30167</v>
      </c>
      <c r="B527" s="26" t="str">
        <f t="shared" ca="1" si="191"/>
        <v>プレイヤーランクを 200 まで上げよう！</v>
      </c>
      <c r="C527" s="27" t="s">
        <v>2636</v>
      </c>
      <c r="D527" s="31" t="str">
        <f ca="1">VLOOKUP($C527,OFFSET(mission_unlock_criteria!$A$2,0,0,COUNTA(mission_unlock_criteria!$A:$A),MATCH(D$2,mission_unlock_criteria!$2:$2,0)-MATCH($C$2,mission_unlock_criteria!$2:$2,0)+1),MATCH(D$2,mission_unlock_criteria!$2:$2,0)-MATCH($C$2,mission_unlock_criteria!$2:$2,0)+1,FALSE)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150 に到達</v>
      </c>
      <c r="E527" s="2" t="s">
        <v>2612</v>
      </c>
      <c r="F527" s="31" t="str">
        <f ca="1">VLOOKUP($E527,OFFSET(mission_ACH_criteria!$A$1,0,0,COUNTA(mission_ACH_criteria!$A:$A),MATCH(F$2,mission_ACH_criteria!$1:$1,0)-MATCH($E$2,mission_ACH_criteria!$1:$1,0)+1),MATCH(F$2,mission_ACH_criteria!$1:$1,0)-MATCH($E$2,mission_ACH_criteria!$1:$1,0)+1,FALSE)</f>
        <v>プレイヤーランクを 200 まで上げよう！</v>
      </c>
      <c r="G527" s="27" t="s">
        <v>2661</v>
      </c>
      <c r="H527" s="31" t="str">
        <f ca="1">"二つ名 &lt;"&amp;VLOOKUP(J527,[1]titles_data!$A:$E,5,FALSE)&amp;"&gt;"</f>
        <v>二つ名 &lt;伝説の&gt;</v>
      </c>
      <c r="I527" s="31" t="str">
        <f ca="1">VLOOKUP($G527,OFFSET(mission_ACH!$A$2,0,0,COUNTA($A:$A),MATCH(I$2,mission_ACH!$2:$2,0)-MATCH($G$2,mission_ACH!$2:$2,0)+1),MATCH(I$2,mission_ACH!$2:$2,0)-MATCH($G$2,mission_ACH!$2:$2,0)+1,FALSE)</f>
        <v>title</v>
      </c>
      <c r="J527" s="31">
        <f ca="1">VLOOKUP($G527,OFFSET(mission_ACH!$A$2,0,0,COUNTA($A:$A),MATCH(J$2,mission_ACH!$2:$2,0)-MATCH($G$2,mission_ACH!$2:$2,0)+1),MATCH(J$2,mission_ACH!$2:$2,0)-MATCH($G$2,mission_ACH!$2:$2,0)+1,FALSE)</f>
        <v>110091</v>
      </c>
      <c r="K527" s="31" t="str">
        <f ca="1">IF(OR(I527="unit",I527="item"),VLOOKUP($G527,OFFSET(mission_ACH!$A$2,0,0,COUNTA($A:$A),MATCH(K$2,mission_ACH!$2:$2,0)-MATCH($G$2,mission_ACH!$2:$2,0)+1),MATCH(K$2,mission_ACH!$2:$2,0)-MATCH($G$2,mission_ACH!$2:$2,0)+1,FALSE),"")</f>
        <v/>
      </c>
      <c r="L527" s="31">
        <f ca="1">VLOOKUP($G527,OFFSET(mission_ACH!$A$2,0,0,COUNTA($A:$A),MATCH(L$2,mission_ACH!$2:$2,0)-MATCH($G$2,mission_ACH!$2:$2,0)+1),MATCH(L$2,mission_ACH!$2:$2,0)-MATCH($G$2,mission_ACH!$2:$2,0)+1,FALSE)</f>
        <v>0</v>
      </c>
      <c r="M527" s="27">
        <v>30</v>
      </c>
      <c r="N527" s="87" t="s">
        <v>864</v>
      </c>
      <c r="O527" s="87" t="s">
        <v>864</v>
      </c>
    </row>
    <row r="528" spans="1:15" ht="21" customHeight="1" x14ac:dyDescent="0.15">
      <c r="A528" s="27">
        <f t="shared" si="187"/>
        <v>30168</v>
      </c>
      <c r="B528" s="26" t="str">
        <f t="shared" ca="1" si="191"/>
        <v>プレイヤーランクを 200 まで上げよう！</v>
      </c>
      <c r="C528" s="27" t="s">
        <v>2636</v>
      </c>
      <c r="D528" s="31" t="str">
        <f ca="1">VLOOKUP($C528,OFFSET(mission_unlock_criteria!$A$2,0,0,COUNTA(mission_unlock_criteria!$A:$A),MATCH(D$2,mission_unlock_criteria!$2:$2,0)-MATCH($C$2,mission_unlock_criteria!$2:$2,0)+1),MATCH(D$2,mission_unlock_criteria!$2:$2,0)-MATCH($C$2,mission_unlock_criteria!$2:$2,0)+1,FALSE)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150 に到達</v>
      </c>
      <c r="E528" s="2" t="s">
        <v>2613</v>
      </c>
      <c r="F528" s="31" t="str">
        <f ca="1">VLOOKUP($E528,OFFSET(mission_ACH_criteria!$A$1,0,0,COUNTA(mission_ACH_criteria!$A:$A),MATCH(F$2,mission_ACH_criteria!$1:$1,0)-MATCH($E$2,mission_ACH_criteria!$1:$1,0)+1),MATCH(F$2,mission_ACH_criteria!$1:$1,0)-MATCH($E$2,mission_ACH_criteria!$1:$1,0)+1,FALSE)</f>
        <v>プレイヤーランクを 200 まで上げよう！</v>
      </c>
      <c r="G528" s="27" t="s">
        <v>2662</v>
      </c>
      <c r="H528" s="31" t="str">
        <f ca="1">"二つ名 &lt;"&amp;VLOOKUP(J528,[1]titles_data!$A:$E,5,FALSE)&amp;"&gt;"</f>
        <v>二つ名 &lt;クラファー王&gt;</v>
      </c>
      <c r="I528" s="31" t="str">
        <f ca="1">VLOOKUP($G528,OFFSET(mission_ACH!$A$2,0,0,COUNTA($A:$A),MATCH(I$2,mission_ACH!$2:$2,0)-MATCH($G$2,mission_ACH!$2:$2,0)+1),MATCH(I$2,mission_ACH!$2:$2,0)-MATCH($G$2,mission_ACH!$2:$2,0)+1,FALSE)</f>
        <v>title</v>
      </c>
      <c r="J528" s="31">
        <f ca="1">VLOOKUP($G528,OFFSET(mission_ACH!$A$2,0,0,COUNTA($A:$A),MATCH(J$2,mission_ACH!$2:$2,0)-MATCH($G$2,mission_ACH!$2:$2,0)+1),MATCH(J$2,mission_ACH!$2:$2,0)-MATCH($G$2,mission_ACH!$2:$2,0)+1,FALSE)</f>
        <v>110092</v>
      </c>
      <c r="K528" s="31" t="str">
        <f ca="1">IF(OR(I528="unit",I528="item"),VLOOKUP($G528,OFFSET(mission_ACH!$A$2,0,0,COUNTA($A:$A),MATCH(K$2,mission_ACH!$2:$2,0)-MATCH($G$2,mission_ACH!$2:$2,0)+1),MATCH(K$2,mission_ACH!$2:$2,0)-MATCH($G$2,mission_ACH!$2:$2,0)+1,FALSE),"")</f>
        <v/>
      </c>
      <c r="L528" s="31">
        <f ca="1">VLOOKUP($G528,OFFSET(mission_ACH!$A$2,0,0,COUNTA($A:$A),MATCH(L$2,mission_ACH!$2:$2,0)-MATCH($G$2,mission_ACH!$2:$2,0)+1),MATCH(L$2,mission_ACH!$2:$2,0)-MATCH($G$2,mission_ACH!$2:$2,0)+1,FALSE)</f>
        <v>0</v>
      </c>
      <c r="M528" s="27">
        <v>30</v>
      </c>
      <c r="N528" s="87" t="s">
        <v>864</v>
      </c>
      <c r="O528" s="87" t="s">
        <v>864</v>
      </c>
    </row>
    <row r="529" spans="1:16" ht="21" customHeight="1" x14ac:dyDescent="0.15">
      <c r="A529" s="27">
        <f t="shared" si="187"/>
        <v>30169</v>
      </c>
      <c r="B529" s="26" t="str">
        <f t="shared" ca="1" si="191"/>
        <v>プレイヤーランクを 250 まで上げよう！</v>
      </c>
      <c r="C529" s="27" t="s">
        <v>2637</v>
      </c>
      <c r="D529" s="31" t="str">
        <f ca="1">VLOOKUP($C529,OFFSET(mission_unlock_criteria!$A$2,0,0,COUNTA(mission_unlock_criteria!$A:$A),MATCH(D$2,mission_unlock_criteria!$2:$2,0)-MATCH($C$2,mission_unlock_criteria!$2:$2,0)+1),MATCH(D$2,mission_unlock_criteria!$2:$2,0)-MATCH($C$2,mission_unlock_criteria!$2:$2,0)+1,FALSE)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200 に到達</v>
      </c>
      <c r="E529" s="2" t="s">
        <v>2614</v>
      </c>
      <c r="F529" s="31" t="str">
        <f ca="1">VLOOKUP($E529,OFFSET(mission_ACH_criteria!$A$1,0,0,COUNTA(mission_ACH_criteria!$A:$A),MATCH(F$2,mission_ACH_criteria!$1:$1,0)-MATCH($E$2,mission_ACH_criteria!$1:$1,0)+1),MATCH(F$2,mission_ACH_criteria!$1:$1,0)-MATCH($E$2,mission_ACH_criteria!$1:$1,0)+1,FALSE)</f>
        <v>プレイヤーランクを 250 まで上げよう！</v>
      </c>
      <c r="G529" s="27" t="s">
        <v>2663</v>
      </c>
      <c r="H529" s="31" t="str">
        <f ca="1">"二つ名 &lt;"&amp;VLOOKUP(J529,[1]titles_data!$A:$E,5,FALSE)&amp;"&gt;"</f>
        <v>二つ名 &lt;超越的な&gt;</v>
      </c>
      <c r="I529" s="31" t="str">
        <f ca="1">VLOOKUP($G529,OFFSET(mission_ACH!$A$2,0,0,COUNTA($A:$A),MATCH(I$2,mission_ACH!$2:$2,0)-MATCH($G$2,mission_ACH!$2:$2,0)+1),MATCH(I$2,mission_ACH!$2:$2,0)-MATCH($G$2,mission_ACH!$2:$2,0)+1,FALSE)</f>
        <v>title</v>
      </c>
      <c r="J529" s="31">
        <f ca="1">VLOOKUP($G529,OFFSET(mission_ACH!$A$2,0,0,COUNTA($A:$A),MATCH(J$2,mission_ACH!$2:$2,0)-MATCH($G$2,mission_ACH!$2:$2,0)+1),MATCH(J$2,mission_ACH!$2:$2,0)-MATCH($G$2,mission_ACH!$2:$2,0)+1,FALSE)</f>
        <v>110101</v>
      </c>
      <c r="K529" s="31" t="str">
        <f ca="1">IF(OR(I529="unit",I529="item"),VLOOKUP($G529,OFFSET(mission_ACH!$A$2,0,0,COUNTA($A:$A),MATCH(K$2,mission_ACH!$2:$2,0)-MATCH($G$2,mission_ACH!$2:$2,0)+1),MATCH(K$2,mission_ACH!$2:$2,0)-MATCH($G$2,mission_ACH!$2:$2,0)+1,FALSE),"")</f>
        <v/>
      </c>
      <c r="L529" s="31">
        <f ca="1">VLOOKUP($G529,OFFSET(mission_ACH!$A$2,0,0,COUNTA($A:$A),MATCH(L$2,mission_ACH!$2:$2,0)-MATCH($G$2,mission_ACH!$2:$2,0)+1),MATCH(L$2,mission_ACH!$2:$2,0)-MATCH($G$2,mission_ACH!$2:$2,0)+1,FALSE)</f>
        <v>0</v>
      </c>
      <c r="M529" s="27">
        <v>30</v>
      </c>
      <c r="N529" s="87" t="s">
        <v>864</v>
      </c>
      <c r="O529" s="87" t="s">
        <v>864</v>
      </c>
    </row>
    <row r="530" spans="1:16" ht="21" customHeight="1" x14ac:dyDescent="0.15">
      <c r="A530" s="27">
        <f t="shared" si="187"/>
        <v>30170</v>
      </c>
      <c r="B530" s="26" t="str">
        <f t="shared" ca="1" si="191"/>
        <v>プレイヤーランクを 250 まで上げよう！</v>
      </c>
      <c r="C530" s="27" t="s">
        <v>2637</v>
      </c>
      <c r="D530" s="31" t="str">
        <f ca="1">VLOOKUP($C530,OFFSET(mission_unlock_criteria!$A$2,0,0,COUNTA(mission_unlock_criteria!$A:$A),MATCH(D$2,mission_unlock_criteria!$2:$2,0)-MATCH($C$2,mission_unlock_criteria!$2:$2,0)+1),MATCH(D$2,mission_unlock_criteria!$2:$2,0)-MATCH($C$2,mission_unlock_criteria!$2:$2,0)+1,FALSE)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200 に到達</v>
      </c>
      <c r="E530" s="2" t="s">
        <v>2615</v>
      </c>
      <c r="F530" s="31" t="str">
        <f ca="1">VLOOKUP($E530,OFFSET(mission_ACH_criteria!$A$1,0,0,COUNTA(mission_ACH_criteria!$A:$A),MATCH(F$2,mission_ACH_criteria!$1:$1,0)-MATCH($E$2,mission_ACH_criteria!$1:$1,0)+1),MATCH(F$2,mission_ACH_criteria!$1:$1,0)-MATCH($E$2,mission_ACH_criteria!$1:$1,0)+1,FALSE)</f>
        <v>プレイヤーランクを 250 まで上げよう！</v>
      </c>
      <c r="G530" s="27" t="s">
        <v>2664</v>
      </c>
      <c r="H530" s="31" t="str">
        <f ca="1">"二つ名 &lt;"&amp;VLOOKUP(J530,[1]titles_data!$A:$E,5,FALSE)&amp;"&gt;"</f>
        <v>二つ名 &lt;クラファー狂&gt;</v>
      </c>
      <c r="I530" s="31" t="str">
        <f ca="1">VLOOKUP($G530,OFFSET(mission_ACH!$A$2,0,0,COUNTA($A:$A),MATCH(I$2,mission_ACH!$2:$2,0)-MATCH($G$2,mission_ACH!$2:$2,0)+1),MATCH(I$2,mission_ACH!$2:$2,0)-MATCH($G$2,mission_ACH!$2:$2,0)+1,FALSE)</f>
        <v>title</v>
      </c>
      <c r="J530" s="31">
        <f ca="1">VLOOKUP($G530,OFFSET(mission_ACH!$A$2,0,0,COUNTA($A:$A),MATCH(J$2,mission_ACH!$2:$2,0)-MATCH($G$2,mission_ACH!$2:$2,0)+1),MATCH(J$2,mission_ACH!$2:$2,0)-MATCH($G$2,mission_ACH!$2:$2,0)+1,FALSE)</f>
        <v>110102</v>
      </c>
      <c r="K530" s="31" t="str">
        <f ca="1">IF(OR(I530="unit",I530="item"),VLOOKUP($G530,OFFSET(mission_ACH!$A$2,0,0,COUNTA($A:$A),MATCH(K$2,mission_ACH!$2:$2,0)-MATCH($G$2,mission_ACH!$2:$2,0)+1),MATCH(K$2,mission_ACH!$2:$2,0)-MATCH($G$2,mission_ACH!$2:$2,0)+1,FALSE),"")</f>
        <v/>
      </c>
      <c r="L530" s="31">
        <f ca="1">VLOOKUP($G530,OFFSET(mission_ACH!$A$2,0,0,COUNTA($A:$A),MATCH(L$2,mission_ACH!$2:$2,0)-MATCH($G$2,mission_ACH!$2:$2,0)+1),MATCH(L$2,mission_ACH!$2:$2,0)-MATCH($G$2,mission_ACH!$2:$2,0)+1,FALSE)</f>
        <v>0</v>
      </c>
      <c r="M530" s="27">
        <v>30</v>
      </c>
      <c r="N530" s="87" t="s">
        <v>864</v>
      </c>
      <c r="O530" s="87" t="s">
        <v>864</v>
      </c>
    </row>
    <row r="531" spans="1:16" ht="21" customHeight="1" x14ac:dyDescent="0.15">
      <c r="A531" s="27">
        <f t="shared" si="187"/>
        <v>30171</v>
      </c>
      <c r="B531" s="26" t="str">
        <f t="shared" ref="B531" ca="1" si="192">F531</f>
        <v>プレイヤーランクを 300 まで上げよう！</v>
      </c>
      <c r="C531" s="27" t="s">
        <v>2638</v>
      </c>
      <c r="D531" s="31" t="str">
        <f ca="1">VLOOKUP($C531,OFFSET(mission_unlock_criteria!$A$2,0,0,COUNTA(mission_unlock_criteria!$A:$A),MATCH(D$2,mission_unlock_criteria!$2:$2,0)-MATCH($C$2,mission_unlock_criteria!$2:$2,0)+1),MATCH(D$2,mission_unlock_criteria!$2:$2,0)-MATCH($C$2,mission_unlock_criteria!$2:$2,0)+1,FALSE)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250 に到達</v>
      </c>
      <c r="E531" s="2" t="s">
        <v>2616</v>
      </c>
      <c r="F531" s="31" t="str">
        <f ca="1">VLOOKUP($E531,OFFSET(mission_ACH_criteria!$A$1,0,0,COUNTA(mission_ACH_criteria!$A:$A),MATCH(F$2,mission_ACH_criteria!$1:$1,0)-MATCH($E$2,mission_ACH_criteria!$1:$1,0)+1),MATCH(F$2,mission_ACH_criteria!$1:$1,0)-MATCH($E$2,mission_ACH_criteria!$1:$1,0)+1,FALSE)</f>
        <v>プレイヤーランクを 300 まで上げよう！</v>
      </c>
      <c r="G531" s="27" t="s">
        <v>2665</v>
      </c>
      <c r="H531" s="31" t="str">
        <f ca="1">"二つ名 &lt;"&amp;VLOOKUP(J531,[1]titles_data!$A:$E,5,FALSE)&amp;"&gt;"</f>
        <v>二つ名 &lt;偉大な&gt;</v>
      </c>
      <c r="I531" s="31" t="str">
        <f ca="1">VLOOKUP($G531,OFFSET(mission_ACH!$A$2,0,0,COUNTA($A:$A),MATCH(I$2,mission_ACH!$2:$2,0)-MATCH($G$2,mission_ACH!$2:$2,0)+1),MATCH(I$2,mission_ACH!$2:$2,0)-MATCH($G$2,mission_ACH!$2:$2,0)+1,FALSE)</f>
        <v>title</v>
      </c>
      <c r="J531" s="31">
        <f ca="1">VLOOKUP($G531,OFFSET(mission_ACH!$A$2,0,0,COUNTA($A:$A),MATCH(J$2,mission_ACH!$2:$2,0)-MATCH($G$2,mission_ACH!$2:$2,0)+1),MATCH(J$2,mission_ACH!$2:$2,0)-MATCH($G$2,mission_ACH!$2:$2,0)+1,FALSE)</f>
        <v>110111</v>
      </c>
      <c r="K531" s="31" t="str">
        <f ca="1">IF(OR(I531="unit",I531="item"),VLOOKUP($G531,OFFSET(mission_ACH!$A$2,0,0,COUNTA($A:$A),MATCH(K$2,mission_ACH!$2:$2,0)-MATCH($G$2,mission_ACH!$2:$2,0)+1),MATCH(K$2,mission_ACH!$2:$2,0)-MATCH($G$2,mission_ACH!$2:$2,0)+1,FALSE),"")</f>
        <v/>
      </c>
      <c r="L531" s="31">
        <f ca="1">VLOOKUP($G531,OFFSET(mission_ACH!$A$2,0,0,COUNTA($A:$A),MATCH(L$2,mission_ACH!$2:$2,0)-MATCH($G$2,mission_ACH!$2:$2,0)+1),MATCH(L$2,mission_ACH!$2:$2,0)-MATCH($G$2,mission_ACH!$2:$2,0)+1,FALSE)</f>
        <v>0</v>
      </c>
      <c r="M531" s="27">
        <v>30</v>
      </c>
      <c r="N531" s="87" t="s">
        <v>864</v>
      </c>
      <c r="O531" s="87" t="s">
        <v>864</v>
      </c>
    </row>
    <row r="532" spans="1:16" ht="21" customHeight="1" x14ac:dyDescent="0.15">
      <c r="A532" s="27">
        <f t="shared" si="187"/>
        <v>30172</v>
      </c>
      <c r="B532" s="26" t="str">
        <f t="shared" ref="B532:B534" ca="1" si="193">F532</f>
        <v>プレイヤーランクを 300 まで上げよう！</v>
      </c>
      <c r="C532" s="27" t="s">
        <v>2638</v>
      </c>
      <c r="D532" s="31" t="str">
        <f ca="1">VLOOKUP($C532,OFFSET(mission_unlock_criteria!$A$2,0,0,COUNTA(mission_unlock_criteria!$A:$A),MATCH(D$2,mission_unlock_criteria!$2:$2,0)-MATCH($C$2,mission_unlock_criteria!$2:$2,0)+1),MATCH(D$2,mission_unlock_criteria!$2:$2,0)-MATCH($C$2,mission_unlock_criteria!$2:$2,0)+1,FALSE)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250 に到達</v>
      </c>
      <c r="E532" s="2" t="s">
        <v>2617</v>
      </c>
      <c r="F532" s="31" t="str">
        <f ca="1">VLOOKUP($E532,OFFSET(mission_ACH_criteria!$A$1,0,0,COUNTA(mission_ACH_criteria!$A:$A),MATCH(F$2,mission_ACH_criteria!$1:$1,0)-MATCH($E$2,mission_ACH_criteria!$1:$1,0)+1),MATCH(F$2,mission_ACH_criteria!$1:$1,0)-MATCH($E$2,mission_ACH_criteria!$1:$1,0)+1,FALSE)</f>
        <v>プレイヤーランクを 300 まで上げよう！</v>
      </c>
      <c r="G532" s="27" t="s">
        <v>2666</v>
      </c>
      <c r="H532" s="31" t="str">
        <f ca="1">"二つ名 &lt;"&amp;VLOOKUP(J532,[1]titles_data!$A:$E,5,FALSE)&amp;"&gt;"</f>
        <v>二つ名 &lt;クラファー帝&gt;</v>
      </c>
      <c r="I532" s="31" t="str">
        <f ca="1">VLOOKUP($G532,OFFSET(mission_ACH!$A$2,0,0,COUNTA($A:$A),MATCH(I$2,mission_ACH!$2:$2,0)-MATCH($G$2,mission_ACH!$2:$2,0)+1),MATCH(I$2,mission_ACH!$2:$2,0)-MATCH($G$2,mission_ACH!$2:$2,0)+1,FALSE)</f>
        <v>title</v>
      </c>
      <c r="J532" s="31">
        <f ca="1">VLOOKUP($G532,OFFSET(mission_ACH!$A$2,0,0,COUNTA($A:$A),MATCH(J$2,mission_ACH!$2:$2,0)-MATCH($G$2,mission_ACH!$2:$2,0)+1),MATCH(J$2,mission_ACH!$2:$2,0)-MATCH($G$2,mission_ACH!$2:$2,0)+1,FALSE)</f>
        <v>110112</v>
      </c>
      <c r="K532" s="31" t="str">
        <f ca="1">IF(OR(I532="unit",I532="item"),VLOOKUP($G532,OFFSET(mission_ACH!$A$2,0,0,COUNTA($A:$A),MATCH(K$2,mission_ACH!$2:$2,0)-MATCH($G$2,mission_ACH!$2:$2,0)+1),MATCH(K$2,mission_ACH!$2:$2,0)-MATCH($G$2,mission_ACH!$2:$2,0)+1,FALSE),"")</f>
        <v/>
      </c>
      <c r="L532" s="31">
        <f ca="1">VLOOKUP($G532,OFFSET(mission_ACH!$A$2,0,0,COUNTA($A:$A),MATCH(L$2,mission_ACH!$2:$2,0)-MATCH($G$2,mission_ACH!$2:$2,0)+1),MATCH(L$2,mission_ACH!$2:$2,0)-MATCH($G$2,mission_ACH!$2:$2,0)+1,FALSE)</f>
        <v>0</v>
      </c>
      <c r="M532" s="27">
        <v>30</v>
      </c>
      <c r="N532" s="87" t="s">
        <v>864</v>
      </c>
      <c r="O532" s="87" t="s">
        <v>864</v>
      </c>
    </row>
    <row r="533" spans="1:16" ht="21" customHeight="1" x14ac:dyDescent="0.15">
      <c r="A533" s="27">
        <f t="shared" si="187"/>
        <v>30173</v>
      </c>
      <c r="B533" s="26" t="str">
        <f t="shared" ca="1" si="193"/>
        <v>プレイヤーランクを 400 まで上げよう！</v>
      </c>
      <c r="C533" s="27" t="s">
        <v>2639</v>
      </c>
      <c r="D533" s="31" t="str">
        <f ca="1">VLOOKUP($C533,OFFSET(mission_unlock_criteria!$A$2,0,0,COUNTA(mission_unlock_criteria!$A:$A),MATCH(D$2,mission_unlock_criteria!$2:$2,0)-MATCH($C$2,mission_unlock_criteria!$2:$2,0)+1),MATCH(D$2,mission_unlock_criteria!$2:$2,0)-MATCH($C$2,mission_unlock_criteria!$2:$2,0)+1,FALSE)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300 に到達</v>
      </c>
      <c r="E533" s="2" t="s">
        <v>2618</v>
      </c>
      <c r="F533" s="31" t="str">
        <f ca="1">VLOOKUP($E533,OFFSET(mission_ACH_criteria!$A$1,0,0,COUNTA(mission_ACH_criteria!$A:$A),MATCH(F$2,mission_ACH_criteria!$1:$1,0)-MATCH($E$2,mission_ACH_criteria!$1:$1,0)+1),MATCH(F$2,mission_ACH_criteria!$1:$1,0)-MATCH($E$2,mission_ACH_criteria!$1:$1,0)+1,FALSE)</f>
        <v>プレイヤーランクを 400 まで上げよう！</v>
      </c>
      <c r="G533" s="27" t="s">
        <v>2667</v>
      </c>
      <c r="H533" s="31" t="str">
        <f ca="1">"二つ名 &lt;"&amp;VLOOKUP(J533,[1]titles_data!$A:$E,5,FALSE)&amp;"&gt;"</f>
        <v>二つ名 &lt;マスターオブ&gt;</v>
      </c>
      <c r="I533" s="31" t="str">
        <f ca="1">VLOOKUP($G533,OFFSET(mission_ACH!$A$2,0,0,COUNTA($A:$A),MATCH(I$2,mission_ACH!$2:$2,0)-MATCH($G$2,mission_ACH!$2:$2,0)+1),MATCH(I$2,mission_ACH!$2:$2,0)-MATCH($G$2,mission_ACH!$2:$2,0)+1,FALSE)</f>
        <v>title</v>
      </c>
      <c r="J533" s="31">
        <f ca="1">VLOOKUP($G533,OFFSET(mission_ACH!$A$2,0,0,COUNTA($A:$A),MATCH(J$2,mission_ACH!$2:$2,0)-MATCH($G$2,mission_ACH!$2:$2,0)+1),MATCH(J$2,mission_ACH!$2:$2,0)-MATCH($G$2,mission_ACH!$2:$2,0)+1,FALSE)</f>
        <v>110121</v>
      </c>
      <c r="K533" s="31" t="str">
        <f ca="1">IF(OR(I533="unit",I533="item"),VLOOKUP($G533,OFFSET(mission_ACH!$A$2,0,0,COUNTA($A:$A),MATCH(K$2,mission_ACH!$2:$2,0)-MATCH($G$2,mission_ACH!$2:$2,0)+1),MATCH(K$2,mission_ACH!$2:$2,0)-MATCH($G$2,mission_ACH!$2:$2,0)+1,FALSE),"")</f>
        <v/>
      </c>
      <c r="L533" s="31">
        <f ca="1">VLOOKUP($G533,OFFSET(mission_ACH!$A$2,0,0,COUNTA($A:$A),MATCH(L$2,mission_ACH!$2:$2,0)-MATCH($G$2,mission_ACH!$2:$2,0)+1),MATCH(L$2,mission_ACH!$2:$2,0)-MATCH($G$2,mission_ACH!$2:$2,0)+1,FALSE)</f>
        <v>0</v>
      </c>
      <c r="M533" s="27">
        <v>30</v>
      </c>
      <c r="N533" s="87" t="s">
        <v>864</v>
      </c>
      <c r="O533" s="87" t="s">
        <v>864</v>
      </c>
    </row>
    <row r="534" spans="1:16" ht="21" customHeight="1" x14ac:dyDescent="0.15">
      <c r="A534" s="27">
        <f t="shared" si="187"/>
        <v>30174</v>
      </c>
      <c r="B534" s="26" t="str">
        <f t="shared" ca="1" si="193"/>
        <v>プレイヤーランクを 400 まで上げよう！</v>
      </c>
      <c r="C534" s="27" t="s">
        <v>2639</v>
      </c>
      <c r="D534" s="31" t="str">
        <f ca="1">VLOOKUP($C534,OFFSET(mission_unlock_criteria!$A$2,0,0,COUNTA(mission_unlock_criteria!$A:$A),MATCH(D$2,mission_unlock_criteria!$2:$2,0)-MATCH($C$2,mission_unlock_criteria!$2:$2,0)+1),MATCH(D$2,mission_unlock_criteria!$2:$2,0)-MATCH($C$2,mission_unlock_criteria!$2:$2,0)+1,FALSE)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プレイヤーランクが 300 に到達</v>
      </c>
      <c r="E534" s="2" t="s">
        <v>2619</v>
      </c>
      <c r="F534" s="31" t="str">
        <f ca="1">VLOOKUP($E534,OFFSET(mission_ACH_criteria!$A$1,0,0,COUNTA(mission_ACH_criteria!$A:$A),MATCH(F$2,mission_ACH_criteria!$1:$1,0)-MATCH($E$2,mission_ACH_criteria!$1:$1,0)+1),MATCH(F$2,mission_ACH_criteria!$1:$1,0)-MATCH($E$2,mission_ACH_criteria!$1:$1,0)+1,FALSE)</f>
        <v>プレイヤーランクを 400 まで上げよう！</v>
      </c>
      <c r="G534" s="27" t="s">
        <v>2668</v>
      </c>
      <c r="H534" s="31" t="str">
        <f ca="1">"二つ名 &lt;"&amp;VLOOKUP(J534,[1]titles_data!$A:$E,5,FALSE)&amp;"&gt;"</f>
        <v>二つ名 &lt;クラファー仙人&gt;</v>
      </c>
      <c r="I534" s="31" t="str">
        <f ca="1">VLOOKUP($G534,OFFSET(mission_ACH!$A$2,0,0,COUNTA($A:$A),MATCH(I$2,mission_ACH!$2:$2,0)-MATCH($G$2,mission_ACH!$2:$2,0)+1),MATCH(I$2,mission_ACH!$2:$2,0)-MATCH($G$2,mission_ACH!$2:$2,0)+1,FALSE)</f>
        <v>title</v>
      </c>
      <c r="J534" s="31">
        <f ca="1">VLOOKUP($G534,OFFSET(mission_ACH!$A$2,0,0,COUNTA($A:$A),MATCH(J$2,mission_ACH!$2:$2,0)-MATCH($G$2,mission_ACH!$2:$2,0)+1),MATCH(J$2,mission_ACH!$2:$2,0)-MATCH($G$2,mission_ACH!$2:$2,0)+1,FALSE)</f>
        <v>110122</v>
      </c>
      <c r="K534" s="31" t="str">
        <f ca="1">IF(OR(I534="unit",I534="item"),VLOOKUP($G534,OFFSET(mission_ACH!$A$2,0,0,COUNTA($A:$A),MATCH(K$2,mission_ACH!$2:$2,0)-MATCH($G$2,mission_ACH!$2:$2,0)+1),MATCH(K$2,mission_ACH!$2:$2,0)-MATCH($G$2,mission_ACH!$2:$2,0)+1,FALSE),"")</f>
        <v/>
      </c>
      <c r="L534" s="31">
        <f ca="1">VLOOKUP($G534,OFFSET(mission_ACH!$A$2,0,0,COUNTA($A:$A),MATCH(L$2,mission_ACH!$2:$2,0)-MATCH($G$2,mission_ACH!$2:$2,0)+1),MATCH(L$2,mission_ACH!$2:$2,0)-MATCH($G$2,mission_ACH!$2:$2,0)+1,FALSE)</f>
        <v>0</v>
      </c>
      <c r="M534" s="27">
        <v>30</v>
      </c>
      <c r="N534" s="87" t="s">
        <v>864</v>
      </c>
      <c r="O534" s="87" t="s">
        <v>864</v>
      </c>
    </row>
    <row r="535" spans="1:16" ht="21" customHeight="1" x14ac:dyDescent="0.15">
      <c r="A535" s="27">
        <f t="shared" si="187"/>
        <v>30175</v>
      </c>
      <c r="B535" s="26" t="str">
        <f ca="1">F535</f>
        <v>クエスト ラグランジュチャレンジ  をクリアしよう！</v>
      </c>
      <c r="C535" s="27" t="s">
        <v>893</v>
      </c>
      <c r="D535" s="31" t="str">
        <f ca="1">VLOOKUP($C535,OFFSET(mission_unlock_criteria!$A$2,0,0,COUNTA(mission_unlock_criteria!$A:$A),MATCH(D$2,mission_unlock_criteria!$2:$2,0)-MATCH($C$2,mission_unlock_criteria!$2:$2,0)+1),MATCH(D$2,mission_unlock_criteria!$2:$2,0)-MATCH($C$2,mission_unlock_criteria!$2:$2,0)+1,FALSE)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535" s="21" t="s">
        <v>2674</v>
      </c>
      <c r="F535" s="31" t="str">
        <f ca="1">VLOOKUP($E535,OFFSET(mission_ACH_criteria!$A$1,0,0,COUNTA(mission_ACH_criteria!$A:$A),MATCH(F$2,mission_ACH_criteria!$1:$1,0)-MATCH($E$2,mission_ACH_criteria!$1:$1,0)+1),MATCH(F$2,mission_ACH_criteria!$1:$1,0)-MATCH($E$2,mission_ACH_criteria!$1:$1,0)+1,FALSE)</f>
        <v>クエスト ラグランジュチャレンジ  をクリアしよう！</v>
      </c>
      <c r="G535" s="27" t="s">
        <v>398</v>
      </c>
      <c r="H535" s="31" t="str">
        <f t="shared" ref="H535" ca="1" si="194">IF(I535="unit",K535&amp;" x "&amp;L535,IF(I535="polygon","ポリゴン x "&amp;J535,IF(I535="bit","ビット x "&amp;J535,IF(I535="link","リンク x "&amp;J535))))</f>
        <v>ポリゴン x 3</v>
      </c>
      <c r="I535" s="31" t="str">
        <f ca="1">VLOOKUP($G535,OFFSET(mission_ACH!$A$2,0,0,COUNTA($A:$A),MATCH(I$2,mission_ACH!$2:$2,0)-MATCH($G$2,mission_ACH!$2:$2,0)+1),MATCH(I$2,mission_ACH!$2:$2,0)-MATCH($G$2,mission_ACH!$2:$2,0)+1,FALSE)</f>
        <v>polygon</v>
      </c>
      <c r="J535" s="31">
        <f ca="1">VLOOKUP($G535,OFFSET(mission_ACH!$A$2,0,0,COUNTA($A:$A),MATCH(J$2,mission_ACH!$2:$2,0)-MATCH($G$2,mission_ACH!$2:$2,0)+1),MATCH(J$2,mission_ACH!$2:$2,0)-MATCH($G$2,mission_ACH!$2:$2,0)+1,FALSE)</f>
        <v>3</v>
      </c>
      <c r="K535" s="31" t="str">
        <f ca="1">IF(I535="unit",VLOOKUP($G535,OFFSET(mission_ACH!$A$2,0,0,COUNTA($A:$A),MATCH(K$2,mission_ACH!$2:$2,0)-MATCH($G$2,mission_ACH!$2:$2,0)+1),MATCH(K$2,mission_ACH!$2:$2,0)-MATCH($G$2,mission_ACH!$2:$2,0)+1,FALSE),"")</f>
        <v/>
      </c>
      <c r="L535" s="31">
        <f ca="1">VLOOKUP($G535,OFFSET(mission_ACH!$A$2,0,0,COUNTA($A:$A),MATCH(L$2,mission_ACH!$2:$2,0)-MATCH($G$2,mission_ACH!$2:$2,0)+1),MATCH(L$2,mission_ACH!$2:$2,0)-MATCH($G$2,mission_ACH!$2:$2,0)+1,FALSE)</f>
        <v>0</v>
      </c>
      <c r="M535" s="27">
        <v>106</v>
      </c>
      <c r="N535" s="87" t="s">
        <v>2676</v>
      </c>
      <c r="O535" s="87" t="s">
        <v>2677</v>
      </c>
      <c r="P535" s="137"/>
    </row>
    <row r="536" spans="1:16" ht="21" customHeight="1" x14ac:dyDescent="0.15">
      <c r="A536" s="27">
        <f t="shared" si="187"/>
        <v>30176</v>
      </c>
      <c r="B536" s="26" t="str">
        <f t="shared" ref="B536" ca="1" si="195">F536</f>
        <v>ユニットを 100 種類手に入れよう！</v>
      </c>
      <c r="C536" s="27" t="s">
        <v>893</v>
      </c>
      <c r="D536" s="31" t="str">
        <f ca="1">VLOOKUP($C536,OFFSET(mission_unlock_criteria!$A$2,0,0,COUNTA(mission_unlock_criteria!$A:$A),MATCH(D$2,mission_unlock_criteria!$2:$2,0)-MATCH($C$2,mission_unlock_criteria!$2:$2,0)+1),MATCH(D$2,mission_unlock_criteria!$2:$2,0)-MATCH($C$2,mission_unlock_criteria!$2:$2,0)+1,FALSE)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536" s="2" t="s">
        <v>2679</v>
      </c>
      <c r="F536" s="31" t="str">
        <f ca="1">VLOOKUP($E536,OFFSET(mission_ACH_criteria!$A$1,0,0,COUNTA(mission_ACH_criteria!$A:$A),MATCH(F$2,mission_ACH_criteria!$1:$1,0)-MATCH($E$2,mission_ACH_criteria!$1:$1,0)+1),MATCH(F$2,mission_ACH_criteria!$1:$1,0)-MATCH($E$2,mission_ACH_criteria!$1:$1,0)+1,FALSE)</f>
        <v>ユニットを 100 種類手に入れよう！</v>
      </c>
      <c r="G536" s="27" t="s">
        <v>2680</v>
      </c>
      <c r="H536" s="31" t="str">
        <f ca="1">"二つ名 &lt;"&amp;VLOOKUP(J536,[1]titles_data!$A:$E,5,FALSE)&amp;"&gt;"</f>
        <v>二つ名 &lt;集め始めた&gt;</v>
      </c>
      <c r="I536" s="31" t="str">
        <f ca="1">VLOOKUP($G536,OFFSET(mission_ACH!$A$2,0,0,COUNTA($A:$A),MATCH(I$2,mission_ACH!$2:$2,0)-MATCH($G$2,mission_ACH!$2:$2,0)+1),MATCH(I$2,mission_ACH!$2:$2,0)-MATCH($G$2,mission_ACH!$2:$2,0)+1,FALSE)</f>
        <v>title</v>
      </c>
      <c r="J536" s="31">
        <f ca="1">VLOOKUP($G536,OFFSET(mission_ACH!$A$2,0,0,COUNTA($A:$A),MATCH(J$2,mission_ACH!$2:$2,0)-MATCH($G$2,mission_ACH!$2:$2,0)+1),MATCH(J$2,mission_ACH!$2:$2,0)-MATCH($G$2,mission_ACH!$2:$2,0)+1,FALSE)</f>
        <v>120011</v>
      </c>
      <c r="K536" s="31" t="str">
        <f ca="1">IF(OR(I536="unit",I536="item"),VLOOKUP($G536,OFFSET(mission_ACH!$A$2,0,0,COUNTA($A:$A),MATCH(K$2,mission_ACH!$2:$2,0)-MATCH($G$2,mission_ACH!$2:$2,0)+1),MATCH(K$2,mission_ACH!$2:$2,0)-MATCH($G$2,mission_ACH!$2:$2,0)+1,FALSE),"")</f>
        <v/>
      </c>
      <c r="L536" s="31">
        <f ca="1">VLOOKUP($G536,OFFSET(mission_ACH!$A$2,0,0,COUNTA($A:$A),MATCH(L$2,mission_ACH!$2:$2,0)-MATCH($G$2,mission_ACH!$2:$2,0)+1),MATCH(L$2,mission_ACH!$2:$2,0)-MATCH($G$2,mission_ACH!$2:$2,0)+1,FALSE)</f>
        <v>0</v>
      </c>
      <c r="M536" s="27">
        <v>39</v>
      </c>
      <c r="N536" s="87" t="s">
        <v>864</v>
      </c>
      <c r="O536" s="87" t="s">
        <v>864</v>
      </c>
    </row>
    <row r="537" spans="1:16" ht="21" customHeight="1" x14ac:dyDescent="0.15">
      <c r="A537" s="27">
        <f t="shared" si="187"/>
        <v>30177</v>
      </c>
      <c r="B537" s="26" t="str">
        <f t="shared" ref="B537:B538" ca="1" si="196">F537</f>
        <v>ユニットを 100 種類手に入れよう！</v>
      </c>
      <c r="C537" s="27" t="s">
        <v>893</v>
      </c>
      <c r="D537" s="31" t="str">
        <f ca="1">VLOOKUP($C537,OFFSET(mission_unlock_criteria!$A$2,0,0,COUNTA(mission_unlock_criteria!$A:$A),MATCH(D$2,mission_unlock_criteria!$2:$2,0)-MATCH($C$2,mission_unlock_criteria!$2:$2,0)+1),MATCH(D$2,mission_unlock_criteria!$2:$2,0)-MATCH($C$2,mission_unlock_criteria!$2:$2,0)+1,FALSE)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537" s="2" t="s">
        <v>2695</v>
      </c>
      <c r="F537" s="31" t="str">
        <f ca="1">VLOOKUP($E537,OFFSET(mission_ACH_criteria!$A$1,0,0,COUNTA(mission_ACH_criteria!$A:$A),MATCH(F$2,mission_ACH_criteria!$1:$1,0)-MATCH($E$2,mission_ACH_criteria!$1:$1,0)+1),MATCH(F$2,mission_ACH_criteria!$1:$1,0)-MATCH($E$2,mission_ACH_criteria!$1:$1,0)+1,FALSE)</f>
        <v>ユニットを 100 種類手に入れよう！</v>
      </c>
      <c r="G537" s="27" t="s">
        <v>2681</v>
      </c>
      <c r="H537" s="31" t="str">
        <f ca="1">"二つ名 &lt;"&amp;VLOOKUP(J537,[1]titles_data!$A:$E,5,FALSE)&amp;"&gt;"</f>
        <v>二つ名 &lt;ファン&gt;</v>
      </c>
      <c r="I537" s="31" t="str">
        <f ca="1">VLOOKUP($G537,OFFSET(mission_ACH!$A$2,0,0,COUNTA($A:$A),MATCH(I$2,mission_ACH!$2:$2,0)-MATCH($G$2,mission_ACH!$2:$2,0)+1),MATCH(I$2,mission_ACH!$2:$2,0)-MATCH($G$2,mission_ACH!$2:$2,0)+1,FALSE)</f>
        <v>title</v>
      </c>
      <c r="J537" s="31">
        <f ca="1">VLOOKUP($G537,OFFSET(mission_ACH!$A$2,0,0,COUNTA($A:$A),MATCH(J$2,mission_ACH!$2:$2,0)-MATCH($G$2,mission_ACH!$2:$2,0)+1),MATCH(J$2,mission_ACH!$2:$2,0)-MATCH($G$2,mission_ACH!$2:$2,0)+1,FALSE)</f>
        <v>120012</v>
      </c>
      <c r="K537" s="31" t="str">
        <f ca="1">IF(OR(I537="unit",I537="item"),VLOOKUP($G537,OFFSET(mission_ACH!$A$2,0,0,COUNTA($A:$A),MATCH(K$2,mission_ACH!$2:$2,0)-MATCH($G$2,mission_ACH!$2:$2,0)+1),MATCH(K$2,mission_ACH!$2:$2,0)-MATCH($G$2,mission_ACH!$2:$2,0)+1,FALSE),"")</f>
        <v/>
      </c>
      <c r="L537" s="31">
        <f ca="1">VLOOKUP($G537,OFFSET(mission_ACH!$A$2,0,0,COUNTA($A:$A),MATCH(L$2,mission_ACH!$2:$2,0)-MATCH($G$2,mission_ACH!$2:$2,0)+1),MATCH(L$2,mission_ACH!$2:$2,0)-MATCH($G$2,mission_ACH!$2:$2,0)+1,FALSE)</f>
        <v>0</v>
      </c>
      <c r="M537" s="27">
        <v>39</v>
      </c>
      <c r="N537" s="87" t="s">
        <v>864</v>
      </c>
      <c r="O537" s="87" t="s">
        <v>864</v>
      </c>
    </row>
    <row r="538" spans="1:16" ht="21" customHeight="1" x14ac:dyDescent="0.15">
      <c r="A538" s="27">
        <f t="shared" si="187"/>
        <v>30178</v>
      </c>
      <c r="B538" s="26" t="str">
        <f t="shared" ca="1" si="196"/>
        <v>ユニットを 250 種類手に入れよう！</v>
      </c>
      <c r="C538" s="27" t="s">
        <v>2682</v>
      </c>
      <c r="D538" s="31" t="str">
        <f ca="1">VLOOKUP($C538,OFFSET(mission_unlock_criteria!$A$2,0,0,COUNTA(mission_unlock_criteria!$A:$A),MATCH(D$2,mission_unlock_criteria!$2:$2,0)-MATCH($C$2,mission_unlock_criteria!$2:$2,0)+1),MATCH(D$2,mission_unlock_criteria!$2:$2,0)-MATCH($C$2,mission_unlock_criteria!$2:$2,0)+1,FALSE)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100 に到達</v>
      </c>
      <c r="E538" s="2" t="s">
        <v>2696</v>
      </c>
      <c r="F538" s="31" t="str">
        <f ca="1">VLOOKUP($E538,OFFSET(mission_ACH_criteria!$A$1,0,0,COUNTA(mission_ACH_criteria!$A:$A),MATCH(F$2,mission_ACH_criteria!$1:$1,0)-MATCH($E$2,mission_ACH_criteria!$1:$1,0)+1),MATCH(F$2,mission_ACH_criteria!$1:$1,0)-MATCH($E$2,mission_ACH_criteria!$1:$1,0)+1,FALSE)</f>
        <v>ユニットを 250 種類手に入れよう！</v>
      </c>
      <c r="G538" s="27" t="s">
        <v>2684</v>
      </c>
      <c r="H538" s="31" t="str">
        <f ca="1">"二つ名 &lt;"&amp;VLOOKUP(J538,[1]titles_data!$A:$E,5,FALSE)&amp;"&gt;"</f>
        <v>二つ名 &lt;巷で噂の&gt;</v>
      </c>
      <c r="I538" s="31" t="str">
        <f ca="1">VLOOKUP($G538,OFFSET(mission_ACH!$A$2,0,0,COUNTA($A:$A),MATCH(I$2,mission_ACH!$2:$2,0)-MATCH($G$2,mission_ACH!$2:$2,0)+1),MATCH(I$2,mission_ACH!$2:$2,0)-MATCH($G$2,mission_ACH!$2:$2,0)+1,FALSE)</f>
        <v>title</v>
      </c>
      <c r="J538" s="31">
        <f ca="1">VLOOKUP($G538,OFFSET(mission_ACH!$A$2,0,0,COUNTA($A:$A),MATCH(J$2,mission_ACH!$2:$2,0)-MATCH($G$2,mission_ACH!$2:$2,0)+1),MATCH(J$2,mission_ACH!$2:$2,0)-MATCH($G$2,mission_ACH!$2:$2,0)+1,FALSE)</f>
        <v>120021</v>
      </c>
      <c r="K538" s="31" t="str">
        <f ca="1">IF(OR(I538="unit",I538="item"),VLOOKUP($G538,OFFSET(mission_ACH!$A$2,0,0,COUNTA($A:$A),MATCH(K$2,mission_ACH!$2:$2,0)-MATCH($G$2,mission_ACH!$2:$2,0)+1),MATCH(K$2,mission_ACH!$2:$2,0)-MATCH($G$2,mission_ACH!$2:$2,0)+1,FALSE),"")</f>
        <v/>
      </c>
      <c r="L538" s="31">
        <f ca="1">VLOOKUP($G538,OFFSET(mission_ACH!$A$2,0,0,COUNTA($A:$A),MATCH(L$2,mission_ACH!$2:$2,0)-MATCH($G$2,mission_ACH!$2:$2,0)+1),MATCH(L$2,mission_ACH!$2:$2,0)-MATCH($G$2,mission_ACH!$2:$2,0)+1,FALSE)</f>
        <v>0</v>
      </c>
      <c r="M538" s="27">
        <v>39</v>
      </c>
      <c r="N538" s="87" t="s">
        <v>864</v>
      </c>
      <c r="O538" s="87" t="s">
        <v>864</v>
      </c>
    </row>
    <row r="539" spans="1:16" ht="21" customHeight="1" x14ac:dyDescent="0.15">
      <c r="A539" s="27">
        <f t="shared" si="187"/>
        <v>30179</v>
      </c>
      <c r="B539" s="26" t="str">
        <f t="shared" ref="B539" ca="1" si="197">F539</f>
        <v>ユニットを 250 種類手に入れよう！</v>
      </c>
      <c r="C539" s="27" t="s">
        <v>2682</v>
      </c>
      <c r="D539" s="31" t="str">
        <f ca="1">VLOOKUP($C539,OFFSET(mission_unlock_criteria!$A$2,0,0,COUNTA(mission_unlock_criteria!$A:$A),MATCH(D$2,mission_unlock_criteria!$2:$2,0)-MATCH($C$2,mission_unlock_criteria!$2:$2,0)+1),MATCH(D$2,mission_unlock_criteria!$2:$2,0)-MATCH($C$2,mission_unlock_criteria!$2:$2,0)+1,FALSE)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100 に到達</v>
      </c>
      <c r="E539" s="2" t="s">
        <v>2697</v>
      </c>
      <c r="F539" s="31" t="str">
        <f ca="1">VLOOKUP($E539,OFFSET(mission_ACH_criteria!$A$1,0,0,COUNTA(mission_ACH_criteria!$A:$A),MATCH(F$2,mission_ACH_criteria!$1:$1,0)-MATCH($E$2,mission_ACH_criteria!$1:$1,0)+1),MATCH(F$2,mission_ACH_criteria!$1:$1,0)-MATCH($E$2,mission_ACH_criteria!$1:$1,0)+1,FALSE)</f>
        <v>ユニットを 250 種類手に入れよう！</v>
      </c>
      <c r="G539" s="27" t="s">
        <v>2685</v>
      </c>
      <c r="H539" s="31" t="str">
        <f ca="1">"二つ名 &lt;"&amp;VLOOKUP(J539,[1]titles_data!$A:$E,5,FALSE)&amp;"&gt;"</f>
        <v>二つ名 &lt;マニア&gt;</v>
      </c>
      <c r="I539" s="31" t="str">
        <f ca="1">VLOOKUP($G539,OFFSET(mission_ACH!$A$2,0,0,COUNTA($A:$A),MATCH(I$2,mission_ACH!$2:$2,0)-MATCH($G$2,mission_ACH!$2:$2,0)+1),MATCH(I$2,mission_ACH!$2:$2,0)-MATCH($G$2,mission_ACH!$2:$2,0)+1,FALSE)</f>
        <v>title</v>
      </c>
      <c r="J539" s="31">
        <f ca="1">VLOOKUP($G539,OFFSET(mission_ACH!$A$2,0,0,COUNTA($A:$A),MATCH(J$2,mission_ACH!$2:$2,0)-MATCH($G$2,mission_ACH!$2:$2,0)+1),MATCH(J$2,mission_ACH!$2:$2,0)-MATCH($G$2,mission_ACH!$2:$2,0)+1,FALSE)</f>
        <v>120022</v>
      </c>
      <c r="K539" s="31" t="str">
        <f ca="1">IF(OR(I539="unit",I539="item"),VLOOKUP($G539,OFFSET(mission_ACH!$A$2,0,0,COUNTA($A:$A),MATCH(K$2,mission_ACH!$2:$2,0)-MATCH($G$2,mission_ACH!$2:$2,0)+1),MATCH(K$2,mission_ACH!$2:$2,0)-MATCH($G$2,mission_ACH!$2:$2,0)+1,FALSE),"")</f>
        <v/>
      </c>
      <c r="L539" s="31">
        <f ca="1">VLOOKUP($G539,OFFSET(mission_ACH!$A$2,0,0,COUNTA($A:$A),MATCH(L$2,mission_ACH!$2:$2,0)-MATCH($G$2,mission_ACH!$2:$2,0)+1),MATCH(L$2,mission_ACH!$2:$2,0)-MATCH($G$2,mission_ACH!$2:$2,0)+1,FALSE)</f>
        <v>0</v>
      </c>
      <c r="M539" s="27">
        <v>39</v>
      </c>
      <c r="N539" s="87" t="s">
        <v>864</v>
      </c>
      <c r="O539" s="87" t="s">
        <v>864</v>
      </c>
    </row>
    <row r="540" spans="1:16" ht="21" customHeight="1" x14ac:dyDescent="0.15">
      <c r="A540" s="27">
        <f t="shared" ref="A540:A549" si="198">A539+1</f>
        <v>30180</v>
      </c>
      <c r="B540" s="26" t="str">
        <f ca="1">F540</f>
        <v>ユニットを 500 種類手に入れよう！</v>
      </c>
      <c r="C540" s="27" t="s">
        <v>2686</v>
      </c>
      <c r="D540" s="31" t="str">
        <f ca="1">VLOOKUP($C540,OFFSET(mission_unlock_criteria!$A$2,0,0,COUNTA(mission_unlock_criteria!$A:$A),MATCH(D$2,mission_unlock_criteria!$2:$2,0)-MATCH($C$2,mission_unlock_criteria!$2:$2,0)+1),MATCH(D$2,mission_unlock_criteria!$2:$2,0)-MATCH($C$2,mission_unlock_criteria!$2:$2,0)+1,FALSE)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250 に到達</v>
      </c>
      <c r="E540" s="2" t="s">
        <v>2698</v>
      </c>
      <c r="F540" s="31" t="str">
        <f ca="1">VLOOKUP($E540,OFFSET(mission_ACH_criteria!$A$1,0,0,COUNTA(mission_ACH_criteria!$A:$A),MATCH(F$2,mission_ACH_criteria!$1:$1,0)-MATCH($E$2,mission_ACH_criteria!$1:$1,0)+1),MATCH(F$2,mission_ACH_criteria!$1:$1,0)-MATCH($E$2,mission_ACH_criteria!$1:$1,0)+1,FALSE)</f>
        <v>ユニットを 500 種類手に入れよう！</v>
      </c>
      <c r="G540" s="27" t="s">
        <v>2687</v>
      </c>
      <c r="H540" s="31" t="str">
        <f ca="1">"二つ名 &lt;"&amp;VLOOKUP(J540,[1]titles_data!$A:$E,5,FALSE)&amp;"&gt;"</f>
        <v>二つ名 &lt;手当たり次第の&gt;</v>
      </c>
      <c r="I540" s="31" t="str">
        <f ca="1">VLOOKUP($G540,OFFSET(mission_ACH!$A$2,0,0,COUNTA($A:$A),MATCH(I$2,mission_ACH!$2:$2,0)-MATCH($G$2,mission_ACH!$2:$2,0)+1),MATCH(I$2,mission_ACH!$2:$2,0)-MATCH($G$2,mission_ACH!$2:$2,0)+1,FALSE)</f>
        <v>title</v>
      </c>
      <c r="J540" s="31">
        <f ca="1">VLOOKUP($G540,OFFSET(mission_ACH!$A$2,0,0,COUNTA($A:$A),MATCH(J$2,mission_ACH!$2:$2,0)-MATCH($G$2,mission_ACH!$2:$2,0)+1),MATCH(J$2,mission_ACH!$2:$2,0)-MATCH($G$2,mission_ACH!$2:$2,0)+1,FALSE)</f>
        <v>120031</v>
      </c>
      <c r="K540" s="31" t="str">
        <f ca="1">IF(OR(I540="unit",I540="item"),VLOOKUP($G540,OFFSET(mission_ACH!$A$2,0,0,COUNTA($A:$A),MATCH(K$2,mission_ACH!$2:$2,0)-MATCH($G$2,mission_ACH!$2:$2,0)+1),MATCH(K$2,mission_ACH!$2:$2,0)-MATCH($G$2,mission_ACH!$2:$2,0)+1,FALSE),"")</f>
        <v/>
      </c>
      <c r="L540" s="31">
        <f ca="1">VLOOKUP($G540,OFFSET(mission_ACH!$A$2,0,0,COUNTA($A:$A),MATCH(L$2,mission_ACH!$2:$2,0)-MATCH($G$2,mission_ACH!$2:$2,0)+1),MATCH(L$2,mission_ACH!$2:$2,0)-MATCH($G$2,mission_ACH!$2:$2,0)+1,FALSE)</f>
        <v>0</v>
      </c>
      <c r="M540" s="27">
        <v>39</v>
      </c>
      <c r="N540" s="87" t="s">
        <v>864</v>
      </c>
      <c r="O540" s="87" t="s">
        <v>864</v>
      </c>
    </row>
    <row r="541" spans="1:16" ht="21" customHeight="1" x14ac:dyDescent="0.15">
      <c r="A541" s="27">
        <f t="shared" si="198"/>
        <v>30181</v>
      </c>
      <c r="B541" s="26" t="str">
        <f t="shared" ref="B541" ca="1" si="199">F541</f>
        <v>ユニットを 500 種類手に入れよう！</v>
      </c>
      <c r="C541" s="27" t="s">
        <v>2686</v>
      </c>
      <c r="D541" s="31" t="str">
        <f ca="1">VLOOKUP($C541,OFFSET(mission_unlock_criteria!$A$2,0,0,COUNTA(mission_unlock_criteria!$A:$A),MATCH(D$2,mission_unlock_criteria!$2:$2,0)-MATCH($C$2,mission_unlock_criteria!$2:$2,0)+1),MATCH(D$2,mission_unlock_criteria!$2:$2,0)-MATCH($C$2,mission_unlock_criteria!$2:$2,0)+1,FALSE)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250 に到達</v>
      </c>
      <c r="E541" s="2" t="s">
        <v>2699</v>
      </c>
      <c r="F541" s="31" t="str">
        <f ca="1">VLOOKUP($E541,OFFSET(mission_ACH_criteria!$A$1,0,0,COUNTA(mission_ACH_criteria!$A:$A),MATCH(F$2,mission_ACH_criteria!$1:$1,0)-MATCH($E$2,mission_ACH_criteria!$1:$1,0)+1),MATCH(F$2,mission_ACH_criteria!$1:$1,0)-MATCH($E$2,mission_ACH_criteria!$1:$1,0)+1,FALSE)</f>
        <v>ユニットを 500 種類手に入れよう！</v>
      </c>
      <c r="G541" s="27" t="s">
        <v>2688</v>
      </c>
      <c r="H541" s="31" t="str">
        <f ca="1">"二つ名 &lt;"&amp;VLOOKUP(J541,[1]titles_data!$A:$E,5,FALSE)&amp;"&gt;"</f>
        <v>二つ名 &lt;コレクター&gt;</v>
      </c>
      <c r="I541" s="31" t="str">
        <f ca="1">VLOOKUP($G541,OFFSET(mission_ACH!$A$2,0,0,COUNTA($A:$A),MATCH(I$2,mission_ACH!$2:$2,0)-MATCH($G$2,mission_ACH!$2:$2,0)+1),MATCH(I$2,mission_ACH!$2:$2,0)-MATCH($G$2,mission_ACH!$2:$2,0)+1,FALSE)</f>
        <v>title</v>
      </c>
      <c r="J541" s="31">
        <f ca="1">VLOOKUP($G541,OFFSET(mission_ACH!$A$2,0,0,COUNTA($A:$A),MATCH(J$2,mission_ACH!$2:$2,0)-MATCH($G$2,mission_ACH!$2:$2,0)+1),MATCH(J$2,mission_ACH!$2:$2,0)-MATCH($G$2,mission_ACH!$2:$2,0)+1,FALSE)</f>
        <v>120032</v>
      </c>
      <c r="K541" s="31" t="str">
        <f ca="1">IF(OR(I541="unit",I541="item"),VLOOKUP($G541,OFFSET(mission_ACH!$A$2,0,0,COUNTA($A:$A),MATCH(K$2,mission_ACH!$2:$2,0)-MATCH($G$2,mission_ACH!$2:$2,0)+1),MATCH(K$2,mission_ACH!$2:$2,0)-MATCH($G$2,mission_ACH!$2:$2,0)+1,FALSE),"")</f>
        <v/>
      </c>
      <c r="L541" s="31">
        <f ca="1">VLOOKUP($G541,OFFSET(mission_ACH!$A$2,0,0,COUNTA($A:$A),MATCH(L$2,mission_ACH!$2:$2,0)-MATCH($G$2,mission_ACH!$2:$2,0)+1),MATCH(L$2,mission_ACH!$2:$2,0)-MATCH($G$2,mission_ACH!$2:$2,0)+1,FALSE)</f>
        <v>0</v>
      </c>
      <c r="M541" s="27">
        <v>39</v>
      </c>
      <c r="N541" s="87" t="s">
        <v>864</v>
      </c>
      <c r="O541" s="87" t="s">
        <v>864</v>
      </c>
    </row>
    <row r="542" spans="1:16" ht="21" customHeight="1" x14ac:dyDescent="0.15">
      <c r="A542" s="27">
        <f t="shared" si="198"/>
        <v>30182</v>
      </c>
      <c r="B542" s="26" t="str">
        <f ca="1">F542</f>
        <v>ユニットを 750 種類手に入れよう！</v>
      </c>
      <c r="C542" s="27" t="s">
        <v>2701</v>
      </c>
      <c r="D542" s="31" t="str">
        <f ca="1">VLOOKUP($C542,OFFSET(mission_unlock_criteria!$A$2,0,0,COUNTA(mission_unlock_criteria!$A:$A),MATCH(D$2,mission_unlock_criteria!$2:$2,0)-MATCH($C$2,mission_unlock_criteria!$2:$2,0)+1),MATCH(D$2,mission_unlock_criteria!$2:$2,0)-MATCH($C$2,mission_unlock_criteria!$2:$2,0)+1,FALSE)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500 に到達</v>
      </c>
      <c r="E542" s="2" t="s">
        <v>2702</v>
      </c>
      <c r="F542" s="31" t="str">
        <f ca="1">VLOOKUP($E542,OFFSET(mission_ACH_criteria!$A$1,0,0,COUNTA(mission_ACH_criteria!$A:$A),MATCH(F$2,mission_ACH_criteria!$1:$1,0)-MATCH($E$2,mission_ACH_criteria!$1:$1,0)+1),MATCH(F$2,mission_ACH_criteria!$1:$1,0)-MATCH($E$2,mission_ACH_criteria!$1:$1,0)+1,FALSE)</f>
        <v>ユニットを 750 種類手に入れよう！</v>
      </c>
      <c r="G542" s="27" t="s">
        <v>2689</v>
      </c>
      <c r="H542" s="31" t="str">
        <f ca="1">"二つ名 &lt;"&amp;VLOOKUP(J542,[1]titles_data!$A:$E,5,FALSE)&amp;"&gt;"</f>
        <v>二つ名 &lt;博識の&gt;</v>
      </c>
      <c r="I542" s="31" t="str">
        <f ca="1">VLOOKUP($G542,OFFSET(mission_ACH!$A$2,0,0,COUNTA($A:$A),MATCH(I$2,mission_ACH!$2:$2,0)-MATCH($G$2,mission_ACH!$2:$2,0)+1),MATCH(I$2,mission_ACH!$2:$2,0)-MATCH($G$2,mission_ACH!$2:$2,0)+1,FALSE)</f>
        <v>title</v>
      </c>
      <c r="J542" s="31">
        <f ca="1">VLOOKUP($G542,OFFSET(mission_ACH!$A$2,0,0,COUNTA($A:$A),MATCH(J$2,mission_ACH!$2:$2,0)-MATCH($G$2,mission_ACH!$2:$2,0)+1),MATCH(J$2,mission_ACH!$2:$2,0)-MATCH($G$2,mission_ACH!$2:$2,0)+1,FALSE)</f>
        <v>120041</v>
      </c>
      <c r="K542" s="31" t="str">
        <f ca="1">IF(OR(I542="unit",I542="item"),VLOOKUP($G542,OFFSET(mission_ACH!$A$2,0,0,COUNTA($A:$A),MATCH(K$2,mission_ACH!$2:$2,0)-MATCH($G$2,mission_ACH!$2:$2,0)+1),MATCH(K$2,mission_ACH!$2:$2,0)-MATCH($G$2,mission_ACH!$2:$2,0)+1,FALSE),"")</f>
        <v/>
      </c>
      <c r="L542" s="31">
        <f ca="1">VLOOKUP($G542,OFFSET(mission_ACH!$A$2,0,0,COUNTA($A:$A),MATCH(L$2,mission_ACH!$2:$2,0)-MATCH($G$2,mission_ACH!$2:$2,0)+1),MATCH(L$2,mission_ACH!$2:$2,0)-MATCH($G$2,mission_ACH!$2:$2,0)+1,FALSE)</f>
        <v>0</v>
      </c>
      <c r="M542" s="27">
        <v>39</v>
      </c>
      <c r="N542" s="87" t="s">
        <v>864</v>
      </c>
      <c r="O542" s="87" t="s">
        <v>864</v>
      </c>
    </row>
    <row r="543" spans="1:16" ht="21" customHeight="1" x14ac:dyDescent="0.15">
      <c r="A543" s="27">
        <f t="shared" si="198"/>
        <v>30183</v>
      </c>
      <c r="B543" s="26" t="str">
        <f t="shared" ref="B543" ca="1" si="200">F543</f>
        <v>ユニットを 750 種類手に入れよう！</v>
      </c>
      <c r="C543" s="27" t="s">
        <v>2701</v>
      </c>
      <c r="D543" s="31" t="str">
        <f ca="1">VLOOKUP($C543,OFFSET(mission_unlock_criteria!$A$2,0,0,COUNTA(mission_unlock_criteria!$A:$A),MATCH(D$2,mission_unlock_criteria!$2:$2,0)-MATCH($C$2,mission_unlock_criteria!$2:$2,0)+1),MATCH(D$2,mission_unlock_criteria!$2:$2,0)-MATCH($C$2,mission_unlock_criteria!$2:$2,0)+1,FALSE)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500 に到達</v>
      </c>
      <c r="E543" s="2" t="s">
        <v>2703</v>
      </c>
      <c r="F543" s="31" t="str">
        <f ca="1">VLOOKUP($E543,OFFSET(mission_ACH_criteria!$A$1,0,0,COUNTA(mission_ACH_criteria!$A:$A),MATCH(F$2,mission_ACH_criteria!$1:$1,0)-MATCH($E$2,mission_ACH_criteria!$1:$1,0)+1),MATCH(F$2,mission_ACH_criteria!$1:$1,0)-MATCH($E$2,mission_ACH_criteria!$1:$1,0)+1,FALSE)</f>
        <v>ユニットを 750 種類手に入れよう！</v>
      </c>
      <c r="G543" s="27" t="s">
        <v>2690</v>
      </c>
      <c r="H543" s="31" t="str">
        <f ca="1">"二つ名 &lt;"&amp;VLOOKUP(J543,[1]titles_data!$A:$E,5,FALSE)&amp;"&gt;"</f>
        <v>二つ名 &lt;マイスター&gt;</v>
      </c>
      <c r="I543" s="31" t="str">
        <f ca="1">VLOOKUP($G543,OFFSET(mission_ACH!$A$2,0,0,COUNTA($A:$A),MATCH(I$2,mission_ACH!$2:$2,0)-MATCH($G$2,mission_ACH!$2:$2,0)+1),MATCH(I$2,mission_ACH!$2:$2,0)-MATCH($G$2,mission_ACH!$2:$2,0)+1,FALSE)</f>
        <v>title</v>
      </c>
      <c r="J543" s="31">
        <f ca="1">VLOOKUP($G543,OFFSET(mission_ACH!$A$2,0,0,COUNTA($A:$A),MATCH(J$2,mission_ACH!$2:$2,0)-MATCH($G$2,mission_ACH!$2:$2,0)+1),MATCH(J$2,mission_ACH!$2:$2,0)-MATCH($G$2,mission_ACH!$2:$2,0)+1,FALSE)</f>
        <v>120042</v>
      </c>
      <c r="K543" s="31" t="str">
        <f ca="1">IF(OR(I543="unit",I543="item"),VLOOKUP($G543,OFFSET(mission_ACH!$A$2,0,0,COUNTA($A:$A),MATCH(K$2,mission_ACH!$2:$2,0)-MATCH($G$2,mission_ACH!$2:$2,0)+1),MATCH(K$2,mission_ACH!$2:$2,0)-MATCH($G$2,mission_ACH!$2:$2,0)+1,FALSE),"")</f>
        <v/>
      </c>
      <c r="L543" s="31">
        <f ca="1">VLOOKUP($G543,OFFSET(mission_ACH!$A$2,0,0,COUNTA($A:$A),MATCH(L$2,mission_ACH!$2:$2,0)-MATCH($G$2,mission_ACH!$2:$2,0)+1),MATCH(L$2,mission_ACH!$2:$2,0)-MATCH($G$2,mission_ACH!$2:$2,0)+1,FALSE)</f>
        <v>0</v>
      </c>
      <c r="M543" s="27">
        <v>39</v>
      </c>
      <c r="N543" s="87" t="s">
        <v>864</v>
      </c>
      <c r="O543" s="87" t="s">
        <v>864</v>
      </c>
    </row>
    <row r="544" spans="1:16" ht="21" customHeight="1" x14ac:dyDescent="0.15">
      <c r="A544" s="27">
        <f t="shared" si="198"/>
        <v>30184</v>
      </c>
      <c r="B544" s="26" t="str">
        <f ca="1">F544</f>
        <v>ユニットを 1000 種類手に入れよう！</v>
      </c>
      <c r="C544" s="27" t="s">
        <v>2705</v>
      </c>
      <c r="D544" s="31" t="str">
        <f ca="1">VLOOKUP($C544,OFFSET(mission_unlock_criteria!$A$2,0,0,COUNTA(mission_unlock_criteria!$A:$A),MATCH(D$2,mission_unlock_criteria!$2:$2,0)-MATCH($C$2,mission_unlock_criteria!$2:$2,0)+1),MATCH(D$2,mission_unlock_criteria!$2:$2,0)-MATCH($C$2,mission_unlock_criteria!$2:$2,0)+1,FALSE)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750 に到達</v>
      </c>
      <c r="E544" s="2" t="s">
        <v>2706</v>
      </c>
      <c r="F544" s="31" t="str">
        <f ca="1">VLOOKUP($E544,OFFSET(mission_ACH_criteria!$A$1,0,0,COUNTA(mission_ACH_criteria!$A:$A),MATCH(F$2,mission_ACH_criteria!$1:$1,0)-MATCH($E$2,mission_ACH_criteria!$1:$1,0)+1),MATCH(F$2,mission_ACH_criteria!$1:$1,0)-MATCH($E$2,mission_ACH_criteria!$1:$1,0)+1,FALSE)</f>
        <v>ユニットを 1000 種類手に入れよう！</v>
      </c>
      <c r="G544" s="27" t="s">
        <v>2691</v>
      </c>
      <c r="H544" s="31" t="str">
        <f ca="1">"二つ名 &lt;"&amp;VLOOKUP(J544,[1]titles_data!$A:$E,5,FALSE)&amp;"&gt;"</f>
        <v>二つ名 &lt;知りすぎた&gt;</v>
      </c>
      <c r="I544" s="31" t="str">
        <f ca="1">VLOOKUP($G544,OFFSET(mission_ACH!$A$2,0,0,COUNTA($A:$A),MATCH(I$2,mission_ACH!$2:$2,0)-MATCH($G$2,mission_ACH!$2:$2,0)+1),MATCH(I$2,mission_ACH!$2:$2,0)-MATCH($G$2,mission_ACH!$2:$2,0)+1,FALSE)</f>
        <v>title</v>
      </c>
      <c r="J544" s="31">
        <f ca="1">VLOOKUP($G544,OFFSET(mission_ACH!$A$2,0,0,COUNTA($A:$A),MATCH(J$2,mission_ACH!$2:$2,0)-MATCH($G$2,mission_ACH!$2:$2,0)+1),MATCH(J$2,mission_ACH!$2:$2,0)-MATCH($G$2,mission_ACH!$2:$2,0)+1,FALSE)</f>
        <v>120051</v>
      </c>
      <c r="K544" s="31" t="str">
        <f ca="1">IF(OR(I544="unit",I544="item"),VLOOKUP($G544,OFFSET(mission_ACH!$A$2,0,0,COUNTA($A:$A),MATCH(K$2,mission_ACH!$2:$2,0)-MATCH($G$2,mission_ACH!$2:$2,0)+1),MATCH(K$2,mission_ACH!$2:$2,0)-MATCH($G$2,mission_ACH!$2:$2,0)+1,FALSE),"")</f>
        <v/>
      </c>
      <c r="L544" s="31">
        <f ca="1">VLOOKUP($G544,OFFSET(mission_ACH!$A$2,0,0,COUNTA($A:$A),MATCH(L$2,mission_ACH!$2:$2,0)-MATCH($G$2,mission_ACH!$2:$2,0)+1),MATCH(L$2,mission_ACH!$2:$2,0)-MATCH($G$2,mission_ACH!$2:$2,0)+1,FALSE)</f>
        <v>0</v>
      </c>
      <c r="M544" s="27">
        <v>39</v>
      </c>
      <c r="N544" s="87" t="s">
        <v>864</v>
      </c>
      <c r="O544" s="87" t="s">
        <v>864</v>
      </c>
    </row>
    <row r="545" spans="1:15" ht="21" customHeight="1" x14ac:dyDescent="0.15">
      <c r="A545" s="27">
        <f t="shared" si="198"/>
        <v>30185</v>
      </c>
      <c r="B545" s="26" t="str">
        <f t="shared" ref="B545" ca="1" si="201">F545</f>
        <v>ユニットを 1000 種類手に入れよう！</v>
      </c>
      <c r="C545" s="27" t="s">
        <v>2705</v>
      </c>
      <c r="D545" s="31" t="str">
        <f ca="1">VLOOKUP($C545,OFFSET(mission_unlock_criteria!$A$2,0,0,COUNTA(mission_unlock_criteria!$A:$A),MATCH(D$2,mission_unlock_criteria!$2:$2,0)-MATCH($C$2,mission_unlock_criteria!$2:$2,0)+1),MATCH(D$2,mission_unlock_criteria!$2:$2,0)-MATCH($C$2,mission_unlock_criteria!$2:$2,0)+1,FALSE)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750 に到達</v>
      </c>
      <c r="E545" s="2" t="s">
        <v>2707</v>
      </c>
      <c r="F545" s="31" t="str">
        <f ca="1">VLOOKUP($E545,OFFSET(mission_ACH_criteria!$A$1,0,0,COUNTA(mission_ACH_criteria!$A:$A),MATCH(F$2,mission_ACH_criteria!$1:$1,0)-MATCH($E$2,mission_ACH_criteria!$1:$1,0)+1),MATCH(F$2,mission_ACH_criteria!$1:$1,0)-MATCH($E$2,mission_ACH_criteria!$1:$1,0)+1,FALSE)</f>
        <v>ユニットを 1000 種類手に入れよう！</v>
      </c>
      <c r="G545" s="27" t="s">
        <v>2692</v>
      </c>
      <c r="H545" s="31" t="str">
        <f ca="1">"二つ名 &lt;"&amp;VLOOKUP(J545,[1]titles_data!$A:$E,5,FALSE)&amp;"&gt;"</f>
        <v>二つ名 &lt;プロフェッサー&gt;</v>
      </c>
      <c r="I545" s="31" t="str">
        <f ca="1">VLOOKUP($G545,OFFSET(mission_ACH!$A$2,0,0,COUNTA($A:$A),MATCH(I$2,mission_ACH!$2:$2,0)-MATCH($G$2,mission_ACH!$2:$2,0)+1),MATCH(I$2,mission_ACH!$2:$2,0)-MATCH($G$2,mission_ACH!$2:$2,0)+1,FALSE)</f>
        <v>title</v>
      </c>
      <c r="J545" s="31">
        <f ca="1">VLOOKUP($G545,OFFSET(mission_ACH!$A$2,0,0,COUNTA($A:$A),MATCH(J$2,mission_ACH!$2:$2,0)-MATCH($G$2,mission_ACH!$2:$2,0)+1),MATCH(J$2,mission_ACH!$2:$2,0)-MATCH($G$2,mission_ACH!$2:$2,0)+1,FALSE)</f>
        <v>120052</v>
      </c>
      <c r="K545" s="31" t="str">
        <f ca="1">IF(OR(I545="unit",I545="item"),VLOOKUP($G545,OFFSET(mission_ACH!$A$2,0,0,COUNTA($A:$A),MATCH(K$2,mission_ACH!$2:$2,0)-MATCH($G$2,mission_ACH!$2:$2,0)+1),MATCH(K$2,mission_ACH!$2:$2,0)-MATCH($G$2,mission_ACH!$2:$2,0)+1,FALSE),"")</f>
        <v/>
      </c>
      <c r="L545" s="31">
        <f ca="1">VLOOKUP($G545,OFFSET(mission_ACH!$A$2,0,0,COUNTA($A:$A),MATCH(L$2,mission_ACH!$2:$2,0)-MATCH($G$2,mission_ACH!$2:$2,0)+1),MATCH(L$2,mission_ACH!$2:$2,0)-MATCH($G$2,mission_ACH!$2:$2,0)+1,FALSE)</f>
        <v>0</v>
      </c>
      <c r="M545" s="27">
        <v>39</v>
      </c>
      <c r="N545" s="87" t="s">
        <v>864</v>
      </c>
      <c r="O545" s="87" t="s">
        <v>864</v>
      </c>
    </row>
    <row r="546" spans="1:15" ht="21" customHeight="1" x14ac:dyDescent="0.15">
      <c r="A546" s="27">
        <f t="shared" si="198"/>
        <v>30186</v>
      </c>
      <c r="B546" s="26" t="str">
        <f ca="1">F546</f>
        <v>ユニットを 1250 種類手に入れよう！</v>
      </c>
      <c r="C546" s="27" t="s">
        <v>2709</v>
      </c>
      <c r="D546" s="31" t="str">
        <f ca="1">VLOOKUP($C546,OFFSET(mission_unlock_criteria!$A$2,0,0,COUNTA(mission_unlock_criteria!$A:$A),MATCH(D$2,mission_unlock_criteria!$2:$2,0)-MATCH($C$2,mission_unlock_criteria!$2:$2,0)+1),MATCH(D$2,mission_unlock_criteria!$2:$2,0)-MATCH($C$2,mission_unlock_criteria!$2:$2,0)+1,FALSE)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1000 に到達</v>
      </c>
      <c r="E546" s="2" t="s">
        <v>2710</v>
      </c>
      <c r="F546" s="31" t="str">
        <f ca="1">VLOOKUP($E546,OFFSET(mission_ACH_criteria!$A$1,0,0,COUNTA(mission_ACH_criteria!$A:$A),MATCH(F$2,mission_ACH_criteria!$1:$1,0)-MATCH($E$2,mission_ACH_criteria!$1:$1,0)+1),MATCH(F$2,mission_ACH_criteria!$1:$1,0)-MATCH($E$2,mission_ACH_criteria!$1:$1,0)+1,FALSE)</f>
        <v>ユニットを 1250 種類手に入れよう！</v>
      </c>
      <c r="G546" s="27" t="s">
        <v>2693</v>
      </c>
      <c r="H546" s="31" t="str">
        <f ca="1">"二つ名 &lt;"&amp;VLOOKUP(J546,[1]titles_data!$A:$E,5,FALSE)&amp;"&gt;"</f>
        <v>二つ名 &lt;果て無き道の&gt;</v>
      </c>
      <c r="I546" s="31" t="str">
        <f ca="1">VLOOKUP($G546,OFFSET(mission_ACH!$A$2,0,0,COUNTA($A:$A),MATCH(I$2,mission_ACH!$2:$2,0)-MATCH($G$2,mission_ACH!$2:$2,0)+1),MATCH(I$2,mission_ACH!$2:$2,0)-MATCH($G$2,mission_ACH!$2:$2,0)+1,FALSE)</f>
        <v>title</v>
      </c>
      <c r="J546" s="31">
        <f ca="1">VLOOKUP($G546,OFFSET(mission_ACH!$A$2,0,0,COUNTA($A:$A),MATCH(J$2,mission_ACH!$2:$2,0)-MATCH($G$2,mission_ACH!$2:$2,0)+1),MATCH(J$2,mission_ACH!$2:$2,0)-MATCH($G$2,mission_ACH!$2:$2,0)+1,FALSE)</f>
        <v>120061</v>
      </c>
      <c r="K546" s="31" t="str">
        <f ca="1">IF(OR(I546="unit",I546="item"),VLOOKUP($G546,OFFSET(mission_ACH!$A$2,0,0,COUNTA($A:$A),MATCH(K$2,mission_ACH!$2:$2,0)-MATCH($G$2,mission_ACH!$2:$2,0)+1),MATCH(K$2,mission_ACH!$2:$2,0)-MATCH($G$2,mission_ACH!$2:$2,0)+1,FALSE),"")</f>
        <v/>
      </c>
      <c r="L546" s="31">
        <f ca="1">VLOOKUP($G546,OFFSET(mission_ACH!$A$2,0,0,COUNTA($A:$A),MATCH(L$2,mission_ACH!$2:$2,0)-MATCH($G$2,mission_ACH!$2:$2,0)+1),MATCH(L$2,mission_ACH!$2:$2,0)-MATCH($G$2,mission_ACH!$2:$2,0)+1,FALSE)</f>
        <v>0</v>
      </c>
      <c r="M546" s="27">
        <v>39</v>
      </c>
      <c r="N546" s="87" t="s">
        <v>864</v>
      </c>
      <c r="O546" s="87" t="s">
        <v>864</v>
      </c>
    </row>
    <row r="547" spans="1:15" ht="21" customHeight="1" x14ac:dyDescent="0.15">
      <c r="A547" s="27">
        <f t="shared" si="198"/>
        <v>30187</v>
      </c>
      <c r="B547" s="26" t="str">
        <f t="shared" ref="B547:B549" ca="1" si="202">F547</f>
        <v>ユニットを 1250 種類手に入れよう！</v>
      </c>
      <c r="C547" s="27" t="s">
        <v>2709</v>
      </c>
      <c r="D547" s="31" t="str">
        <f ca="1">VLOOKUP($C547,OFFSET(mission_unlock_criteria!$A$2,0,0,COUNTA(mission_unlock_criteria!$A:$A),MATCH(D$2,mission_unlock_criteria!$2:$2,0)-MATCH($C$2,mission_unlock_criteria!$2:$2,0)+1),MATCH(D$2,mission_unlock_criteria!$2:$2,0)-MATCH($C$2,mission_unlock_criteria!$2:$2,0)+1,FALSE)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ユニット図鑑数が 1000 に到達</v>
      </c>
      <c r="E547" s="2" t="s">
        <v>2711</v>
      </c>
      <c r="F547" s="31" t="str">
        <f ca="1">VLOOKUP($E547,OFFSET(mission_ACH_criteria!$A$1,0,0,COUNTA(mission_ACH_criteria!$A:$A),MATCH(F$2,mission_ACH_criteria!$1:$1,0)-MATCH($E$2,mission_ACH_criteria!$1:$1,0)+1),MATCH(F$2,mission_ACH_criteria!$1:$1,0)-MATCH($E$2,mission_ACH_criteria!$1:$1,0)+1,FALSE)</f>
        <v>ユニットを 1250 種類手に入れよう！</v>
      </c>
      <c r="G547" s="27" t="s">
        <v>2694</v>
      </c>
      <c r="H547" s="31" t="str">
        <f ca="1">"二つ名 &lt;"&amp;VLOOKUP(J547,[1]titles_data!$A:$E,5,FALSE)&amp;"&gt;"</f>
        <v>二つ名 &lt;インデックス&gt;</v>
      </c>
      <c r="I547" s="31" t="str">
        <f ca="1">VLOOKUP($G547,OFFSET(mission_ACH!$A$2,0,0,COUNTA($A:$A),MATCH(I$2,mission_ACH!$2:$2,0)-MATCH($G$2,mission_ACH!$2:$2,0)+1),MATCH(I$2,mission_ACH!$2:$2,0)-MATCH($G$2,mission_ACH!$2:$2,0)+1,FALSE)</f>
        <v>title</v>
      </c>
      <c r="J547" s="31">
        <f ca="1">VLOOKUP($G547,OFFSET(mission_ACH!$A$2,0,0,COUNTA($A:$A),MATCH(J$2,mission_ACH!$2:$2,0)-MATCH($G$2,mission_ACH!$2:$2,0)+1),MATCH(J$2,mission_ACH!$2:$2,0)-MATCH($G$2,mission_ACH!$2:$2,0)+1,FALSE)</f>
        <v>120062</v>
      </c>
      <c r="K547" s="31" t="str">
        <f ca="1">IF(OR(I547="unit",I547="item"),VLOOKUP($G547,OFFSET(mission_ACH!$A$2,0,0,COUNTA($A:$A),MATCH(K$2,mission_ACH!$2:$2,0)-MATCH($G$2,mission_ACH!$2:$2,0)+1),MATCH(K$2,mission_ACH!$2:$2,0)-MATCH($G$2,mission_ACH!$2:$2,0)+1,FALSE),"")</f>
        <v/>
      </c>
      <c r="L547" s="31">
        <f ca="1">VLOOKUP($G547,OFFSET(mission_ACH!$A$2,0,0,COUNTA($A:$A),MATCH(L$2,mission_ACH!$2:$2,0)-MATCH($G$2,mission_ACH!$2:$2,0)+1),MATCH(L$2,mission_ACH!$2:$2,0)-MATCH($G$2,mission_ACH!$2:$2,0)+1,FALSE)</f>
        <v>0</v>
      </c>
      <c r="M547" s="27">
        <v>39</v>
      </c>
      <c r="N547" s="87" t="s">
        <v>864</v>
      </c>
      <c r="O547" s="87" t="s">
        <v>864</v>
      </c>
    </row>
    <row r="548" spans="1:15" s="1" customFormat="1" ht="21" customHeight="1" x14ac:dyDescent="0.15">
      <c r="A548" s="27">
        <f t="shared" si="198"/>
        <v>30188</v>
      </c>
      <c r="B548" s="26" t="str">
        <f t="shared" ca="1" si="202"/>
        <v>クエスト 【ｳｨｻﾞ】後光射す白無垢装束 をクリアしよう！</v>
      </c>
      <c r="C548" s="27" t="s">
        <v>331</v>
      </c>
      <c r="D548" s="31" t="str">
        <f ca="1">VLOOKUP($C548,OFFSET(mission_unlock_criteria!$A$2,0,0,COUNTA(mission_unlock_criteria!$A:$A),MATCH(D$2,mission_unlock_criteria!$2:$2,0)-MATCH($C$2,mission_unlock_criteria!$2:$2,0)+1),MATCH(D$2,mission_unlock_criteria!$2:$2,0)-MATCH($C$2,mission_unlock_criteria!$2:$2,0)+1,FALSE)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548" s="2" t="s">
        <v>2713</v>
      </c>
      <c r="F548" s="31" t="str">
        <f ca="1">VLOOKUP($E548,OFFSET(mission_ACH_criteria!$A$1,0,0,COUNTA(mission_ACH_criteria!$A:$A),MATCH(F$2,mission_ACH_criteria!$1:$1,0)-MATCH($E$2,mission_ACH_criteria!$1:$1,0)+1),MATCH(F$2,mission_ACH_criteria!$1:$1,0)-MATCH($E$2,mission_ACH_criteria!$1:$1,0)+1,FALSE)</f>
        <v>クエスト 【ｳｨｻﾞ】後光射す白無垢装束 をクリアしよう！</v>
      </c>
      <c r="G548" s="27" t="s">
        <v>47</v>
      </c>
      <c r="H548" s="31" t="str">
        <f t="shared" ref="H548:H549" ca="1" si="203">IF(OR(I548="unit",I548="item"),K548&amp;" x "&amp;L548,IF(I548="polygon","ポリゴン x "&amp;J548,IF(I548="bit","ビット x "&amp;J548,IF(I548="link","リンク x "&amp;J548))))</f>
        <v>ポリゴン x 1</v>
      </c>
      <c r="I548" s="31" t="str">
        <f ca="1">VLOOKUP($G548,OFFSET(mission_ACH!$A$2,0,0,COUNTA($A:$A),MATCH(I$2,mission_ACH!$2:$2,0)-MATCH($G$2,mission_ACH!$2:$2,0)+1),MATCH(I$2,mission_ACH!$2:$2,0)-MATCH($G$2,mission_ACH!$2:$2,0)+1,FALSE)</f>
        <v>polygon</v>
      </c>
      <c r="J548" s="31">
        <f ca="1">VLOOKUP($G548,OFFSET(mission_ACH!$A$2,0,0,COUNTA($A:$A),MATCH(J$2,mission_ACH!$2:$2,0)-MATCH($G$2,mission_ACH!$2:$2,0)+1),MATCH(J$2,mission_ACH!$2:$2,0)-MATCH($G$2,mission_ACH!$2:$2,0)+1,FALSE)</f>
        <v>1</v>
      </c>
      <c r="K548" s="31" t="str">
        <f ca="1">IF(OR(I548="unit",I548="item"),VLOOKUP($G548,OFFSET(mission_ACH!$A$2,0,0,COUNTA($A:$A),MATCH(K$2,mission_ACH!$2:$2,0)-MATCH($G$2,mission_ACH!$2:$2,0)+1),MATCH(K$2,mission_ACH!$2:$2,0)-MATCH($G$2,mission_ACH!$2:$2,0)+1,FALSE),"")</f>
        <v/>
      </c>
      <c r="L548" s="31">
        <f ca="1">VLOOKUP($G548,OFFSET(mission_ACH!$A$2,0,0,COUNTA($A:$A),MATCH(L$2,mission_ACH!$2:$2,0)-MATCH($G$2,mission_ACH!$2:$2,0)+1),MATCH(L$2,mission_ACH!$2:$2,0)-MATCH($G$2,mission_ACH!$2:$2,0)+1,FALSE)</f>
        <v>0</v>
      </c>
      <c r="M548" s="27">
        <v>109</v>
      </c>
      <c r="N548" s="87" t="s">
        <v>2715</v>
      </c>
      <c r="O548" s="87" t="s">
        <v>2716</v>
      </c>
    </row>
    <row r="549" spans="1:15" s="1" customFormat="1" ht="21" customHeight="1" x14ac:dyDescent="0.15">
      <c r="A549" s="27">
        <f t="shared" si="198"/>
        <v>30189</v>
      </c>
      <c r="B549" s="26" t="str">
        <f t="shared" ca="1" si="202"/>
        <v>クエスト 【ｳｨｻﾞ】嫁入り道具はチェーンソー をクリアしよう！</v>
      </c>
      <c r="C549" s="27" t="s">
        <v>331</v>
      </c>
      <c r="D549" s="31" t="str">
        <f ca="1">VLOOKUP($C549,OFFSET(mission_unlock_criteria!$A$2,0,0,COUNTA(mission_unlock_criteria!$A:$A),MATCH(D$2,mission_unlock_criteria!$2:$2,0)-MATCH($C$2,mission_unlock_criteria!$2:$2,0)+1),MATCH(D$2,mission_unlock_criteria!$2:$2,0)-MATCH($C$2,mission_unlock_criteria!$2:$2,0)+1,FALSE)</f>
        <v>クエスト 【練習でクラッシュ！】 をクリア</v>
      </c>
      <c r="E549" s="2" t="s">
        <v>2714</v>
      </c>
      <c r="F549" s="31" t="str">
        <f ca="1">VLOOKUP($E549,OFFSET(mission_ACH_criteria!$A$1,0,0,COUNTA(mission_ACH_criteria!$A:$A),MATCH(F$2,mission_ACH_criteria!$1:$1,0)-MATCH($E$2,mission_ACH_criteria!$1:$1,0)+1),MATCH(F$2,mission_ACH_criteria!$1:$1,0)-MATCH($E$2,mission_ACH_criteria!$1:$1,0)+1,FALSE)</f>
        <v>クエスト 【ｳｨｻﾞ】嫁入り道具はチェーンソー をクリアしよう！</v>
      </c>
      <c r="G549" s="27" t="s">
        <v>47</v>
      </c>
      <c r="H549" s="31" t="str">
        <f t="shared" ca="1" si="203"/>
        <v>ポリゴン x 1</v>
      </c>
      <c r="I549" s="31" t="str">
        <f ca="1">VLOOKUP($G549,OFFSET(mission_ACH!$A$2,0,0,COUNTA($A:$A),MATCH(I$2,mission_ACH!$2:$2,0)-MATCH($G$2,mission_ACH!$2:$2,0)+1),MATCH(I$2,mission_ACH!$2:$2,0)-MATCH($G$2,mission_ACH!$2:$2,0)+1,FALSE)</f>
        <v>polygon</v>
      </c>
      <c r="J549" s="31">
        <f ca="1">VLOOKUP($G549,OFFSET(mission_ACH!$A$2,0,0,COUNTA($A:$A),MATCH(J$2,mission_ACH!$2:$2,0)-MATCH($G$2,mission_ACH!$2:$2,0)+1),MATCH(J$2,mission_ACH!$2:$2,0)-MATCH($G$2,mission_ACH!$2:$2,0)+1,FALSE)</f>
        <v>1</v>
      </c>
      <c r="K549" s="31" t="str">
        <f ca="1">IF(OR(I549="unit",I549="item"),VLOOKUP($G549,OFFSET(mission_ACH!$A$2,0,0,COUNTA($A:$A),MATCH(K$2,mission_ACH!$2:$2,0)-MATCH($G$2,mission_ACH!$2:$2,0)+1),MATCH(K$2,mission_ACH!$2:$2,0)-MATCH($G$2,mission_ACH!$2:$2,0)+1,FALSE),"")</f>
        <v/>
      </c>
      <c r="L549" s="31">
        <f ca="1">VLOOKUP($G549,OFFSET(mission_ACH!$A$2,0,0,COUNTA($A:$A),MATCH(L$2,mission_ACH!$2:$2,0)-MATCH($G$2,mission_ACH!$2:$2,0)+1),MATCH(L$2,mission_ACH!$2:$2,0)-MATCH($G$2,mission_ACH!$2:$2,0)+1,FALSE)</f>
        <v>0</v>
      </c>
      <c r="M549" s="27">
        <v>109</v>
      </c>
      <c r="N549" s="87" t="s">
        <v>2715</v>
      </c>
      <c r="O549" s="87" t="s">
        <v>2716</v>
      </c>
    </row>
  </sheetData>
  <autoFilter ref="A2:O248"/>
  <mergeCells count="1">
    <mergeCell ref="H1:L1"/>
  </mergeCells>
  <phoneticPr fontId="5"/>
  <conditionalFormatting sqref="P170:P177 P149:P167 P115:P135 P292:P293 P248:P255 P1:P17 P190:P219 P246 P224:P242 P244 P395:P399 P437:P476 P331 P401 P511:P534 P550:P1048576">
    <cfRule type="cellIs" dxfId="78" priority="91" stopIfTrue="1" operator="equal">
      <formula>"ユニット"</formula>
    </cfRule>
  </conditionalFormatting>
  <conditionalFormatting sqref="P178:P189">
    <cfRule type="cellIs" dxfId="77" priority="90" stopIfTrue="1" operator="equal">
      <formula>"ユニット"</formula>
    </cfRule>
  </conditionalFormatting>
  <conditionalFormatting sqref="P168">
    <cfRule type="cellIs" dxfId="76" priority="87" stopIfTrue="1" operator="equal">
      <formula>"ユニット"</formula>
    </cfRule>
  </conditionalFormatting>
  <conditionalFormatting sqref="P169">
    <cfRule type="cellIs" dxfId="75" priority="86" stopIfTrue="1" operator="equal">
      <formula>"ユニット"</formula>
    </cfRule>
  </conditionalFormatting>
  <conditionalFormatting sqref="P136:P140">
    <cfRule type="cellIs" dxfId="74" priority="85" stopIfTrue="1" operator="equal">
      <formula>"ユニット"</formula>
    </cfRule>
  </conditionalFormatting>
  <conditionalFormatting sqref="P141">
    <cfRule type="cellIs" dxfId="73" priority="84" stopIfTrue="1" operator="equal">
      <formula>"ユニット"</formula>
    </cfRule>
  </conditionalFormatting>
  <conditionalFormatting sqref="P143:P148">
    <cfRule type="cellIs" dxfId="72" priority="83" stopIfTrue="1" operator="equal">
      <formula>"ユニット"</formula>
    </cfRule>
  </conditionalFormatting>
  <conditionalFormatting sqref="P142">
    <cfRule type="cellIs" dxfId="71" priority="82" stopIfTrue="1" operator="equal">
      <formula>"ユニット"</formula>
    </cfRule>
  </conditionalFormatting>
  <conditionalFormatting sqref="P316">
    <cfRule type="cellIs" dxfId="70" priority="77" stopIfTrue="1" operator="equal">
      <formula>"ユニット"</formula>
    </cfRule>
  </conditionalFormatting>
  <conditionalFormatting sqref="P320">
    <cfRule type="cellIs" dxfId="69" priority="74" stopIfTrue="1" operator="equal">
      <formula>"ユニット"</formula>
    </cfRule>
  </conditionalFormatting>
  <conditionalFormatting sqref="P318:P319">
    <cfRule type="cellIs" dxfId="68" priority="75" stopIfTrue="1" operator="equal">
      <formula>"ユニット"</formula>
    </cfRule>
  </conditionalFormatting>
  <conditionalFormatting sqref="P321">
    <cfRule type="cellIs" dxfId="67" priority="73" stopIfTrue="1" operator="equal">
      <formula>"ユニット"</formula>
    </cfRule>
  </conditionalFormatting>
  <conditionalFormatting sqref="P322">
    <cfRule type="cellIs" dxfId="66" priority="72" stopIfTrue="1" operator="equal">
      <formula>"ユニット"</formula>
    </cfRule>
  </conditionalFormatting>
  <conditionalFormatting sqref="P323">
    <cfRule type="cellIs" dxfId="65" priority="71" stopIfTrue="1" operator="equal">
      <formula>"ユニット"</formula>
    </cfRule>
  </conditionalFormatting>
  <conditionalFormatting sqref="P324">
    <cfRule type="cellIs" dxfId="64" priority="70" stopIfTrue="1" operator="equal">
      <formula>"ユニット"</formula>
    </cfRule>
  </conditionalFormatting>
  <conditionalFormatting sqref="P325">
    <cfRule type="cellIs" dxfId="63" priority="69" stopIfTrue="1" operator="equal">
      <formula>"ユニット"</formula>
    </cfRule>
  </conditionalFormatting>
  <conditionalFormatting sqref="P326">
    <cfRule type="cellIs" dxfId="62" priority="68" stopIfTrue="1" operator="equal">
      <formula>"ユニット"</formula>
    </cfRule>
  </conditionalFormatting>
  <conditionalFormatting sqref="P327">
    <cfRule type="cellIs" dxfId="61" priority="67" stopIfTrue="1" operator="equal">
      <formula>"ユニット"</formula>
    </cfRule>
  </conditionalFormatting>
  <conditionalFormatting sqref="P328">
    <cfRule type="cellIs" dxfId="60" priority="66" stopIfTrue="1" operator="equal">
      <formula>"ユニット"</formula>
    </cfRule>
  </conditionalFormatting>
  <conditionalFormatting sqref="P329">
    <cfRule type="cellIs" dxfId="59" priority="65" stopIfTrue="1" operator="equal">
      <formula>"ユニット"</formula>
    </cfRule>
  </conditionalFormatting>
  <conditionalFormatting sqref="P330">
    <cfRule type="cellIs" dxfId="58" priority="64" stopIfTrue="1" operator="equal">
      <formula>"ユニット"</formula>
    </cfRule>
  </conditionalFormatting>
  <conditionalFormatting sqref="P332">
    <cfRule type="cellIs" dxfId="57" priority="62" stopIfTrue="1" operator="equal">
      <formula>"ユニット"</formula>
    </cfRule>
  </conditionalFormatting>
  <conditionalFormatting sqref="P333">
    <cfRule type="cellIs" dxfId="56" priority="61" stopIfTrue="1" operator="equal">
      <formula>"ユニット"</formula>
    </cfRule>
  </conditionalFormatting>
  <conditionalFormatting sqref="P334">
    <cfRule type="cellIs" dxfId="55" priority="60" stopIfTrue="1" operator="equal">
      <formula>"ユニット"</formula>
    </cfRule>
  </conditionalFormatting>
  <conditionalFormatting sqref="P335">
    <cfRule type="cellIs" dxfId="54" priority="59" stopIfTrue="1" operator="equal">
      <formula>"ユニット"</formula>
    </cfRule>
  </conditionalFormatting>
  <conditionalFormatting sqref="P247 P243 P245">
    <cfRule type="cellIs" dxfId="53" priority="58" stopIfTrue="1" operator="equal">
      <formula>"ユニット"</formula>
    </cfRule>
  </conditionalFormatting>
  <conditionalFormatting sqref="P336">
    <cfRule type="cellIs" dxfId="52" priority="57" stopIfTrue="1" operator="equal">
      <formula>"ユニット"</formula>
    </cfRule>
  </conditionalFormatting>
  <conditionalFormatting sqref="P220">
    <cfRule type="cellIs" dxfId="51" priority="51" stopIfTrue="1" operator="equal">
      <formula>"ユニット"</formula>
    </cfRule>
  </conditionalFormatting>
  <conditionalFormatting sqref="P221">
    <cfRule type="cellIs" dxfId="50" priority="50" stopIfTrue="1" operator="equal">
      <formula>"ユニット"</formula>
    </cfRule>
  </conditionalFormatting>
  <conditionalFormatting sqref="P222">
    <cfRule type="cellIs" dxfId="49" priority="49" stopIfTrue="1" operator="equal">
      <formula>"ユニット"</formula>
    </cfRule>
  </conditionalFormatting>
  <conditionalFormatting sqref="P223">
    <cfRule type="cellIs" dxfId="48" priority="48" stopIfTrue="1" operator="equal">
      <formula>"ユニット"</formula>
    </cfRule>
  </conditionalFormatting>
  <conditionalFormatting sqref="P359">
    <cfRule type="cellIs" dxfId="47" priority="47" stopIfTrue="1" operator="equal">
      <formula>"ユニット"</formula>
    </cfRule>
  </conditionalFormatting>
  <conditionalFormatting sqref="P360:P361">
    <cfRule type="cellIs" dxfId="46" priority="46" stopIfTrue="1" operator="equal">
      <formula>"ユニット"</formula>
    </cfRule>
  </conditionalFormatting>
  <conditionalFormatting sqref="P362">
    <cfRule type="cellIs" dxfId="45" priority="45" stopIfTrue="1" operator="equal">
      <formula>"ユニット"</formula>
    </cfRule>
  </conditionalFormatting>
  <conditionalFormatting sqref="P369:P389">
    <cfRule type="cellIs" dxfId="44" priority="44" stopIfTrue="1" operator="equal">
      <formula>"ユニット"</formula>
    </cfRule>
  </conditionalFormatting>
  <conditionalFormatting sqref="P390:P394">
    <cfRule type="cellIs" dxfId="43" priority="43" stopIfTrue="1" operator="equal">
      <formula>"ユニット"</formula>
    </cfRule>
  </conditionalFormatting>
  <conditionalFormatting sqref="P400">
    <cfRule type="cellIs" dxfId="42" priority="39" stopIfTrue="1" operator="equal">
      <formula>"ユニット"</formula>
    </cfRule>
  </conditionalFormatting>
  <conditionalFormatting sqref="P402">
    <cfRule type="cellIs" dxfId="41" priority="38" stopIfTrue="1" operator="equal">
      <formula>"ユニット"</formula>
    </cfRule>
  </conditionalFormatting>
  <conditionalFormatting sqref="P403">
    <cfRule type="cellIs" dxfId="40" priority="37" stopIfTrue="1" operator="equal">
      <formula>"ユニット"</formula>
    </cfRule>
  </conditionalFormatting>
  <conditionalFormatting sqref="P404">
    <cfRule type="cellIs" dxfId="39" priority="36" stopIfTrue="1" operator="equal">
      <formula>"ユニット"</formula>
    </cfRule>
  </conditionalFormatting>
  <conditionalFormatting sqref="P405">
    <cfRule type="cellIs" dxfId="38" priority="35" stopIfTrue="1" operator="equal">
      <formula>"ユニット"</formula>
    </cfRule>
  </conditionalFormatting>
  <conditionalFormatting sqref="P406:P407">
    <cfRule type="cellIs" dxfId="37" priority="34" stopIfTrue="1" operator="equal">
      <formula>"ユニット"</formula>
    </cfRule>
  </conditionalFormatting>
  <conditionalFormatting sqref="P408:P415">
    <cfRule type="cellIs" dxfId="36" priority="33" stopIfTrue="1" operator="equal">
      <formula>"ユニット"</formula>
    </cfRule>
  </conditionalFormatting>
  <conditionalFormatting sqref="P416:P436">
    <cfRule type="cellIs" dxfId="35" priority="32" stopIfTrue="1" operator="equal">
      <formula>"ユニット"</formula>
    </cfRule>
  </conditionalFormatting>
  <conditionalFormatting sqref="P477">
    <cfRule type="cellIs" dxfId="34" priority="31" stopIfTrue="1" operator="equal">
      <formula>"ユニット"</formula>
    </cfRule>
  </conditionalFormatting>
  <conditionalFormatting sqref="P483:P486">
    <cfRule type="cellIs" dxfId="33" priority="30" stopIfTrue="1" operator="equal">
      <formula>"ユニット"</formula>
    </cfRule>
  </conditionalFormatting>
  <conditionalFormatting sqref="P491:P492">
    <cfRule type="cellIs" dxfId="32" priority="27" stopIfTrue="1" operator="equal">
      <formula>"ユニット"</formula>
    </cfRule>
  </conditionalFormatting>
  <conditionalFormatting sqref="P489:P490">
    <cfRule type="cellIs" dxfId="31" priority="26" stopIfTrue="1" operator="equal">
      <formula>"ユニット"</formula>
    </cfRule>
  </conditionalFormatting>
  <conditionalFormatting sqref="P493">
    <cfRule type="cellIs" dxfId="30" priority="25" stopIfTrue="1" operator="equal">
      <formula>"ユニット"</formula>
    </cfRule>
  </conditionalFormatting>
  <conditionalFormatting sqref="P494">
    <cfRule type="cellIs" dxfId="29" priority="24" stopIfTrue="1" operator="equal">
      <formula>"ユニット"</formula>
    </cfRule>
  </conditionalFormatting>
  <conditionalFormatting sqref="P497">
    <cfRule type="cellIs" dxfId="28" priority="23" stopIfTrue="1" operator="equal">
      <formula>"ユニット"</formula>
    </cfRule>
  </conditionalFormatting>
  <conditionalFormatting sqref="P498">
    <cfRule type="cellIs" dxfId="27" priority="22" stopIfTrue="1" operator="equal">
      <formula>"ユニット"</formula>
    </cfRule>
  </conditionalFormatting>
  <conditionalFormatting sqref="P499">
    <cfRule type="cellIs" dxfId="26" priority="21" stopIfTrue="1" operator="equal">
      <formula>"ユニット"</formula>
    </cfRule>
  </conditionalFormatting>
  <conditionalFormatting sqref="P500:P501">
    <cfRule type="cellIs" dxfId="25" priority="20" stopIfTrue="1" operator="equal">
      <formula>"ユニット"</formula>
    </cfRule>
  </conditionalFormatting>
  <conditionalFormatting sqref="P502:P503">
    <cfRule type="cellIs" dxfId="24" priority="19" stopIfTrue="1" operator="equal">
      <formula>"ユニット"</formula>
    </cfRule>
  </conditionalFormatting>
  <conditionalFormatting sqref="P504:P505">
    <cfRule type="cellIs" dxfId="23" priority="18" stopIfTrue="1" operator="equal">
      <formula>"ユニット"</formula>
    </cfRule>
  </conditionalFormatting>
  <conditionalFormatting sqref="P506">
    <cfRule type="cellIs" dxfId="22" priority="17" stopIfTrue="1" operator="equal">
      <formula>"ユニット"</formula>
    </cfRule>
  </conditionalFormatting>
  <conditionalFormatting sqref="P507">
    <cfRule type="cellIs" dxfId="21" priority="16" stopIfTrue="1" operator="equal">
      <formula>"ユニット"</formula>
    </cfRule>
  </conditionalFormatting>
  <conditionalFormatting sqref="P508">
    <cfRule type="cellIs" dxfId="20" priority="15" stopIfTrue="1" operator="equal">
      <formula>"ユニット"</formula>
    </cfRule>
  </conditionalFormatting>
  <conditionalFormatting sqref="P509:P510">
    <cfRule type="cellIs" dxfId="19" priority="14" stopIfTrue="1" operator="equal">
      <formula>"ユニット"</formula>
    </cfRule>
  </conditionalFormatting>
  <conditionalFormatting sqref="P536">
    <cfRule type="cellIs" dxfId="18" priority="13" stopIfTrue="1" operator="equal">
      <formula>"ユニット"</formula>
    </cfRule>
  </conditionalFormatting>
  <conditionalFormatting sqref="P537">
    <cfRule type="cellIs" dxfId="17" priority="12" stopIfTrue="1" operator="equal">
      <formula>"ユニット"</formula>
    </cfRule>
  </conditionalFormatting>
  <conditionalFormatting sqref="P538">
    <cfRule type="cellIs" dxfId="16" priority="11" stopIfTrue="1" operator="equal">
      <formula>"ユニット"</formula>
    </cfRule>
  </conditionalFormatting>
  <conditionalFormatting sqref="P539">
    <cfRule type="cellIs" dxfId="15" priority="10" stopIfTrue="1" operator="equal">
      <formula>"ユニット"</formula>
    </cfRule>
  </conditionalFormatting>
  <conditionalFormatting sqref="P540">
    <cfRule type="cellIs" dxfId="14" priority="9" stopIfTrue="1" operator="equal">
      <formula>"ユニット"</formula>
    </cfRule>
  </conditionalFormatting>
  <conditionalFormatting sqref="P541">
    <cfRule type="cellIs" dxfId="13" priority="8" stopIfTrue="1" operator="equal">
      <formula>"ユニット"</formula>
    </cfRule>
  </conditionalFormatting>
  <conditionalFormatting sqref="P542">
    <cfRule type="cellIs" dxfId="12" priority="7" stopIfTrue="1" operator="equal">
      <formula>"ユニット"</formula>
    </cfRule>
  </conditionalFormatting>
  <conditionalFormatting sqref="P543">
    <cfRule type="cellIs" dxfId="11" priority="6" stopIfTrue="1" operator="equal">
      <formula>"ユニット"</formula>
    </cfRule>
  </conditionalFormatting>
  <conditionalFormatting sqref="P544">
    <cfRule type="cellIs" dxfId="10" priority="5" stopIfTrue="1" operator="equal">
      <formula>"ユニット"</formula>
    </cfRule>
  </conditionalFormatting>
  <conditionalFormatting sqref="P545">
    <cfRule type="cellIs" dxfId="9" priority="4" stopIfTrue="1" operator="equal">
      <formula>"ユニット"</formula>
    </cfRule>
  </conditionalFormatting>
  <conditionalFormatting sqref="P546">
    <cfRule type="cellIs" dxfId="8" priority="3" stopIfTrue="1" operator="equal">
      <formula>"ユニット"</formula>
    </cfRule>
  </conditionalFormatting>
  <conditionalFormatting sqref="P547">
    <cfRule type="cellIs" dxfId="7" priority="2" stopIfTrue="1" operator="equal">
      <formula>"ユニット"</formula>
    </cfRule>
  </conditionalFormatting>
  <conditionalFormatting sqref="P548:P549">
    <cfRule type="cellIs" dxfId="6" priority="1" stopIfTrue="1" operator="equal">
      <formula>"ユニット"</formula>
    </cfRule>
  </conditionalFormatting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 enableFormatConditionsCalculation="0">
    <tabColor rgb="FF0000FF"/>
    <outlinePr summaryBelow="0" summaryRight="0"/>
  </sheetPr>
  <dimension ref="A1:G200"/>
  <sheetViews>
    <sheetView showGridLines="0" workbookViewId="0">
      <pane ySplit="2" topLeftCell="A177" activePane="bottomLeft" state="frozen"/>
      <selection pane="bottomLeft" activeCell="D83" sqref="D83"/>
    </sheetView>
  </sheetViews>
  <sheetFormatPr baseColWidth="12" defaultColWidth="12.796875" defaultRowHeight="21" customHeight="1" x14ac:dyDescent="0.15"/>
  <cols>
    <col min="1" max="1" width="20.3984375" style="1" bestFit="1" customWidth="1"/>
    <col min="2" max="2" width="19" style="18" customWidth="1"/>
    <col min="3" max="3" width="19.19921875" style="18" bestFit="1" customWidth="1"/>
    <col min="4" max="4" width="18" style="18" bestFit="1" customWidth="1"/>
    <col min="5" max="5" width="22.3984375" style="18" customWidth="1"/>
    <col min="6" max="16384" width="12.796875" style="1"/>
  </cols>
  <sheetData>
    <row r="1" spans="1:5" ht="21" customHeight="1" x14ac:dyDescent="0.15">
      <c r="A1" s="19" t="s">
        <v>505</v>
      </c>
      <c r="B1" s="19" t="s">
        <v>551</v>
      </c>
      <c r="C1" s="19" t="s">
        <v>552</v>
      </c>
      <c r="D1" s="19" t="s">
        <v>555</v>
      </c>
      <c r="E1" s="43" t="s">
        <v>560</v>
      </c>
    </row>
    <row r="2" spans="1:5" ht="21" customHeight="1" x14ac:dyDescent="0.15">
      <c r="A2" s="9" t="s">
        <v>546</v>
      </c>
      <c r="B2" s="9" t="s">
        <v>548</v>
      </c>
      <c r="C2" s="9" t="s">
        <v>550</v>
      </c>
      <c r="D2" s="9" t="s">
        <v>554</v>
      </c>
      <c r="E2" s="24" t="s">
        <v>563</v>
      </c>
    </row>
    <row r="3" spans="1:5" ht="21" customHeight="1" x14ac:dyDescent="0.15">
      <c r="A3" s="8">
        <v>1</v>
      </c>
      <c r="B3" s="95" t="s">
        <v>795</v>
      </c>
      <c r="C3" s="95" t="s">
        <v>798</v>
      </c>
      <c r="D3" s="48">
        <v>1</v>
      </c>
      <c r="E3" s="31" t="str">
        <f ca="1">VLOOKUP(D3,OFFSET(weekly_mission_groups!$B$2,0,0,COUNTA(weekly_mission_groups!$B:$B),MATCH(E$2,weekly_mission_groups!$2:$2,0)-MATCH(D$2,weekly_mission_groups!$2:$2,0)+1),MATCH(E$2,weekly_mission_groups!$2:$2,0)-MATCH(D$2,weekly_mission_groups!$2:$2,0)+1,FALSE)</f>
        <v>シリーズ1-1</v>
      </c>
    </row>
    <row r="4" spans="1:5" ht="21" customHeight="1" x14ac:dyDescent="0.15">
      <c r="A4" s="8">
        <v>2</v>
      </c>
      <c r="B4" s="95" t="s">
        <v>796</v>
      </c>
      <c r="C4" s="95" t="s">
        <v>799</v>
      </c>
      <c r="D4" s="48">
        <v>2</v>
      </c>
      <c r="E4" s="31" t="str">
        <f ca="1">VLOOKUP(D4,OFFSET(weekly_mission_groups!$B$2,0,0,COUNTA(weekly_mission_groups!$B:$B),MATCH(E$2,weekly_mission_groups!$2:$2,0)-MATCH(D$2,weekly_mission_groups!$2:$2,0)+1),MATCH(E$2,weekly_mission_groups!$2:$2,0)-MATCH(D$2,weekly_mission_groups!$2:$2,0)+1,FALSE)</f>
        <v>シリーズ1-2</v>
      </c>
    </row>
    <row r="5" spans="1:5" ht="21" customHeight="1" x14ac:dyDescent="0.15">
      <c r="A5" s="8">
        <v>3</v>
      </c>
      <c r="B5" s="95" t="s">
        <v>797</v>
      </c>
      <c r="C5" s="95" t="s">
        <v>800</v>
      </c>
      <c r="D5" s="48">
        <v>3</v>
      </c>
      <c r="E5" s="31" t="str">
        <f ca="1">VLOOKUP(D5,OFFSET(weekly_mission_groups!$B$2,0,0,COUNTA(weekly_mission_groups!$B:$B),MATCH(E$2,weekly_mission_groups!$2:$2,0)-MATCH(D$2,weekly_mission_groups!$2:$2,0)+1),MATCH(E$2,weekly_mission_groups!$2:$2,0)-MATCH(D$2,weekly_mission_groups!$2:$2,0)+1,FALSE)</f>
        <v>シリーズ1-3</v>
      </c>
    </row>
    <row r="6" spans="1:5" ht="21" customHeight="1" x14ac:dyDescent="0.15">
      <c r="A6" s="8">
        <v>4</v>
      </c>
      <c r="B6" s="95" t="s">
        <v>801</v>
      </c>
      <c r="C6" s="95" t="s">
        <v>802</v>
      </c>
      <c r="D6" s="48">
        <v>1</v>
      </c>
      <c r="E6" s="31" t="str">
        <f ca="1">VLOOKUP(D6,OFFSET(weekly_mission_groups!$B$2,0,0,COUNTA(weekly_mission_groups!$B:$B),MATCH(E$2,weekly_mission_groups!$2:$2,0)-MATCH(D$2,weekly_mission_groups!$2:$2,0)+1),MATCH(E$2,weekly_mission_groups!$2:$2,0)-MATCH(D$2,weekly_mission_groups!$2:$2,0)+1,FALSE)</f>
        <v>シリーズ1-1</v>
      </c>
    </row>
    <row r="7" spans="1:5" ht="21" customHeight="1" x14ac:dyDescent="0.15">
      <c r="A7" s="8">
        <v>5</v>
      </c>
      <c r="B7" s="95" t="s">
        <v>803</v>
      </c>
      <c r="C7" s="95" t="s">
        <v>804</v>
      </c>
      <c r="D7" s="48">
        <v>2</v>
      </c>
      <c r="E7" s="31" t="str">
        <f ca="1">VLOOKUP(D7,OFFSET(weekly_mission_groups!$B$2,0,0,COUNTA(weekly_mission_groups!$B:$B),MATCH(E$2,weekly_mission_groups!$2:$2,0)-MATCH(D$2,weekly_mission_groups!$2:$2,0)+1),MATCH(E$2,weekly_mission_groups!$2:$2,0)-MATCH(D$2,weekly_mission_groups!$2:$2,0)+1,FALSE)</f>
        <v>シリーズ1-2</v>
      </c>
    </row>
    <row r="8" spans="1:5" ht="21" customHeight="1" x14ac:dyDescent="0.15">
      <c r="A8" s="8">
        <v>6</v>
      </c>
      <c r="B8" s="95" t="s">
        <v>805</v>
      </c>
      <c r="C8" s="95" t="s">
        <v>806</v>
      </c>
      <c r="D8" s="62">
        <v>4</v>
      </c>
      <c r="E8" s="31" t="str">
        <f ca="1">VLOOKUP(D8,OFFSET(weekly_mission_groups!$B$2,0,0,COUNTA(weekly_mission_groups!$B:$B),MATCH(E$2,weekly_mission_groups!$2:$2,0)-MATCH(D$2,weekly_mission_groups!$2:$2,0)+1),MATCH(E$2,weekly_mission_groups!$2:$2,0)-MATCH(D$2,weekly_mission_groups!$2:$2,0)+1,FALSE)</f>
        <v>シリーズ2-1</v>
      </c>
    </row>
    <row r="9" spans="1:5" ht="21" customHeight="1" x14ac:dyDescent="0.15">
      <c r="A9" s="8">
        <v>7</v>
      </c>
      <c r="B9" s="95" t="s">
        <v>807</v>
      </c>
      <c r="C9" s="95" t="s">
        <v>808</v>
      </c>
      <c r="D9" s="48">
        <v>5</v>
      </c>
      <c r="E9" s="31" t="str">
        <f ca="1">VLOOKUP(D9,OFFSET(weekly_mission_groups!$B$2,0,0,COUNTA(weekly_mission_groups!$B:$B),MATCH(E$2,weekly_mission_groups!$2:$2,0)-MATCH(D$2,weekly_mission_groups!$2:$2,0)+1),MATCH(E$2,weekly_mission_groups!$2:$2,0)-MATCH(D$2,weekly_mission_groups!$2:$2,0)+1,FALSE)</f>
        <v>シリーズ2-2</v>
      </c>
    </row>
    <row r="10" spans="1:5" ht="21" customHeight="1" x14ac:dyDescent="0.15">
      <c r="A10" s="8">
        <v>8</v>
      </c>
      <c r="B10" s="95" t="s">
        <v>809</v>
      </c>
      <c r="C10" s="95" t="s">
        <v>810</v>
      </c>
      <c r="D10" s="48">
        <v>6</v>
      </c>
      <c r="E10" s="31" t="str">
        <f ca="1">VLOOKUP(D10,OFFSET(weekly_mission_groups!$B$2,0,0,COUNTA(weekly_mission_groups!$B:$B),MATCH(E$2,weekly_mission_groups!$2:$2,0)-MATCH(D$2,weekly_mission_groups!$2:$2,0)+1),MATCH(E$2,weekly_mission_groups!$2:$2,0)-MATCH(D$2,weekly_mission_groups!$2:$2,0)+1,FALSE)</f>
        <v>シリーズ2-3</v>
      </c>
    </row>
    <row r="11" spans="1:5" ht="21" customHeight="1" x14ac:dyDescent="0.15">
      <c r="A11" s="8">
        <v>9</v>
      </c>
      <c r="B11" s="95" t="s">
        <v>811</v>
      </c>
      <c r="C11" s="95" t="s">
        <v>812</v>
      </c>
      <c r="D11" s="48">
        <v>4</v>
      </c>
      <c r="E11" s="31" t="str">
        <f ca="1">VLOOKUP(D11,OFFSET(weekly_mission_groups!$B$2,0,0,COUNTA(weekly_mission_groups!$B:$B),MATCH(E$2,weekly_mission_groups!$2:$2,0)-MATCH(D$2,weekly_mission_groups!$2:$2,0)+1),MATCH(E$2,weekly_mission_groups!$2:$2,0)-MATCH(D$2,weekly_mission_groups!$2:$2,0)+1,FALSE)</f>
        <v>シリーズ2-1</v>
      </c>
    </row>
    <row r="12" spans="1:5" ht="21" customHeight="1" x14ac:dyDescent="0.15">
      <c r="A12" s="8">
        <v>10</v>
      </c>
      <c r="B12" s="95" t="s">
        <v>813</v>
      </c>
      <c r="C12" s="95" t="s">
        <v>814</v>
      </c>
      <c r="D12" s="48">
        <v>5</v>
      </c>
      <c r="E12" s="31" t="str">
        <f ca="1">VLOOKUP(D12,OFFSET(weekly_mission_groups!$B$2,0,0,COUNTA(weekly_mission_groups!$B:$B),MATCH(E$2,weekly_mission_groups!$2:$2,0)-MATCH(D$2,weekly_mission_groups!$2:$2,0)+1),MATCH(E$2,weekly_mission_groups!$2:$2,0)-MATCH(D$2,weekly_mission_groups!$2:$2,0)+1,FALSE)</f>
        <v>シリーズ2-2</v>
      </c>
    </row>
    <row r="13" spans="1:5" ht="21" customHeight="1" x14ac:dyDescent="0.15">
      <c r="A13" s="8">
        <v>11</v>
      </c>
      <c r="B13" s="95" t="s">
        <v>815</v>
      </c>
      <c r="C13" s="95" t="s">
        <v>816</v>
      </c>
      <c r="D13" s="48">
        <v>6</v>
      </c>
      <c r="E13" s="31" t="str">
        <f ca="1">VLOOKUP(D13,OFFSET(weekly_mission_groups!$B$2,0,0,COUNTA(weekly_mission_groups!$B:$B),MATCH(E$2,weekly_mission_groups!$2:$2,0)-MATCH(D$2,weekly_mission_groups!$2:$2,0)+1),MATCH(E$2,weekly_mission_groups!$2:$2,0)-MATCH(D$2,weekly_mission_groups!$2:$2,0)+1,FALSE)</f>
        <v>シリーズ2-3</v>
      </c>
    </row>
    <row r="14" spans="1:5" ht="21" customHeight="1" x14ac:dyDescent="0.15">
      <c r="A14" s="8">
        <v>12</v>
      </c>
      <c r="B14" s="95" t="s">
        <v>817</v>
      </c>
      <c r="C14" s="95" t="s">
        <v>818</v>
      </c>
      <c r="D14" s="48">
        <v>4</v>
      </c>
      <c r="E14" s="31" t="str">
        <f ca="1">VLOOKUP(D14,OFFSET(weekly_mission_groups!$B$2,0,0,COUNTA(weekly_mission_groups!$B:$B),MATCH(E$2,weekly_mission_groups!$2:$2,0)-MATCH(D$2,weekly_mission_groups!$2:$2,0)+1),MATCH(E$2,weekly_mission_groups!$2:$2,0)-MATCH(D$2,weekly_mission_groups!$2:$2,0)+1,FALSE)</f>
        <v>シリーズ2-1</v>
      </c>
    </row>
    <row r="15" spans="1:5" ht="21" customHeight="1" x14ac:dyDescent="0.15">
      <c r="A15" s="8">
        <v>13</v>
      </c>
      <c r="B15" s="95" t="s">
        <v>819</v>
      </c>
      <c r="C15" s="95" t="s">
        <v>820</v>
      </c>
      <c r="D15" s="48">
        <v>5</v>
      </c>
      <c r="E15" s="31" t="str">
        <f ca="1">VLOOKUP(D15,OFFSET(weekly_mission_groups!$B$2,0,0,COUNTA(weekly_mission_groups!$B:$B),MATCH(E$2,weekly_mission_groups!$2:$2,0)-MATCH(D$2,weekly_mission_groups!$2:$2,0)+1),MATCH(E$2,weekly_mission_groups!$2:$2,0)-MATCH(D$2,weekly_mission_groups!$2:$2,0)+1,FALSE)</f>
        <v>シリーズ2-2</v>
      </c>
    </row>
    <row r="16" spans="1:5" ht="21" customHeight="1" x14ac:dyDescent="0.15">
      <c r="A16" s="8">
        <v>14</v>
      </c>
      <c r="B16" s="95" t="s">
        <v>821</v>
      </c>
      <c r="C16" s="95" t="s">
        <v>822</v>
      </c>
      <c r="D16" s="48">
        <v>6</v>
      </c>
      <c r="E16" s="31" t="str">
        <f ca="1">VLOOKUP(D16,OFFSET(weekly_mission_groups!$B$2,0,0,COUNTA(weekly_mission_groups!$B:$B),MATCH(E$2,weekly_mission_groups!$2:$2,0)-MATCH(D$2,weekly_mission_groups!$2:$2,0)+1),MATCH(E$2,weekly_mission_groups!$2:$2,0)-MATCH(D$2,weekly_mission_groups!$2:$2,0)+1,FALSE)</f>
        <v>シリーズ2-3</v>
      </c>
    </row>
    <row r="17" spans="1:5" ht="21" customHeight="1" x14ac:dyDescent="0.15">
      <c r="A17" s="8">
        <v>15</v>
      </c>
      <c r="B17" s="95" t="s">
        <v>823</v>
      </c>
      <c r="C17" s="95" t="s">
        <v>835</v>
      </c>
      <c r="D17" s="48">
        <v>4</v>
      </c>
      <c r="E17" s="31" t="str">
        <f ca="1">VLOOKUP(D17,OFFSET(weekly_mission_groups!$B$2,0,0,COUNTA(weekly_mission_groups!$B:$B),MATCH(E$2,weekly_mission_groups!$2:$2,0)-MATCH(D$2,weekly_mission_groups!$2:$2,0)+1),MATCH(E$2,weekly_mission_groups!$2:$2,0)-MATCH(D$2,weekly_mission_groups!$2:$2,0)+1,FALSE)</f>
        <v>シリーズ2-1</v>
      </c>
    </row>
    <row r="18" spans="1:5" ht="21" customHeight="1" x14ac:dyDescent="0.15">
      <c r="A18" s="8">
        <v>16</v>
      </c>
      <c r="B18" s="95" t="s">
        <v>824</v>
      </c>
      <c r="C18" s="95" t="s">
        <v>836</v>
      </c>
      <c r="D18" s="48">
        <v>5</v>
      </c>
      <c r="E18" s="31" t="str">
        <f ca="1">VLOOKUP(D18,OFFSET(weekly_mission_groups!$B$2,0,0,COUNTA(weekly_mission_groups!$B:$B),MATCH(E$2,weekly_mission_groups!$2:$2,0)-MATCH(D$2,weekly_mission_groups!$2:$2,0)+1),MATCH(E$2,weekly_mission_groups!$2:$2,0)-MATCH(D$2,weekly_mission_groups!$2:$2,0)+1,FALSE)</f>
        <v>シリーズ2-2</v>
      </c>
    </row>
    <row r="19" spans="1:5" ht="21" customHeight="1" x14ac:dyDescent="0.15">
      <c r="A19" s="8">
        <v>17</v>
      </c>
      <c r="B19" s="95" t="s">
        <v>825</v>
      </c>
      <c r="C19" s="95" t="s">
        <v>837</v>
      </c>
      <c r="D19" s="48">
        <v>6</v>
      </c>
      <c r="E19" s="31" t="str">
        <f ca="1">VLOOKUP(D19,OFFSET(weekly_mission_groups!$B$2,0,0,COUNTA(weekly_mission_groups!$B:$B),MATCH(E$2,weekly_mission_groups!$2:$2,0)-MATCH(D$2,weekly_mission_groups!$2:$2,0)+1),MATCH(E$2,weekly_mission_groups!$2:$2,0)-MATCH(D$2,weekly_mission_groups!$2:$2,0)+1,FALSE)</f>
        <v>シリーズ2-3</v>
      </c>
    </row>
    <row r="20" spans="1:5" ht="21" customHeight="1" x14ac:dyDescent="0.15">
      <c r="A20" s="8">
        <v>18</v>
      </c>
      <c r="B20" s="95" t="s">
        <v>826</v>
      </c>
      <c r="C20" s="95" t="s">
        <v>838</v>
      </c>
      <c r="D20" s="48">
        <v>7</v>
      </c>
      <c r="E20" s="31" t="str">
        <f ca="1">VLOOKUP(D20,OFFSET(weekly_mission_groups!$B$2,0,0,COUNTA(weekly_mission_groups!$B:$B),MATCH(E$2,weekly_mission_groups!$2:$2,0)-MATCH(D$2,weekly_mission_groups!$2:$2,0)+1),MATCH(E$2,weekly_mission_groups!$2:$2,0)-MATCH(D$2,weekly_mission_groups!$2:$2,0)+1,FALSE)</f>
        <v>シリーズ3-1</v>
      </c>
    </row>
    <row r="21" spans="1:5" ht="21" customHeight="1" x14ac:dyDescent="0.15">
      <c r="A21" s="8">
        <v>19</v>
      </c>
      <c r="B21" s="95" t="s">
        <v>827</v>
      </c>
      <c r="C21" s="95" t="s">
        <v>839</v>
      </c>
      <c r="D21" s="48">
        <v>8</v>
      </c>
      <c r="E21" s="31" t="str">
        <f ca="1">VLOOKUP(D21,OFFSET(weekly_mission_groups!$B$2,0,0,COUNTA(weekly_mission_groups!$B:$B),MATCH(E$2,weekly_mission_groups!$2:$2,0)-MATCH(D$2,weekly_mission_groups!$2:$2,0)+1),MATCH(E$2,weekly_mission_groups!$2:$2,0)-MATCH(D$2,weekly_mission_groups!$2:$2,0)+1,FALSE)</f>
        <v>シリーズ3-2</v>
      </c>
    </row>
    <row r="22" spans="1:5" ht="21" customHeight="1" x14ac:dyDescent="0.15">
      <c r="A22" s="8">
        <v>20</v>
      </c>
      <c r="B22" s="95" t="s">
        <v>828</v>
      </c>
      <c r="C22" s="95" t="s">
        <v>840</v>
      </c>
      <c r="D22" s="48">
        <v>9</v>
      </c>
      <c r="E22" s="31" t="str">
        <f ca="1">VLOOKUP(D22,OFFSET(weekly_mission_groups!$B$2,0,0,COUNTA(weekly_mission_groups!$B:$B),MATCH(E$2,weekly_mission_groups!$2:$2,0)-MATCH(D$2,weekly_mission_groups!$2:$2,0)+1),MATCH(E$2,weekly_mission_groups!$2:$2,0)-MATCH(D$2,weekly_mission_groups!$2:$2,0)+1,FALSE)</f>
        <v>シリーズ3-3</v>
      </c>
    </row>
    <row r="23" spans="1:5" ht="21" customHeight="1" x14ac:dyDescent="0.15">
      <c r="A23" s="8">
        <v>21</v>
      </c>
      <c r="B23" s="95" t="s">
        <v>829</v>
      </c>
      <c r="C23" s="95" t="s">
        <v>841</v>
      </c>
      <c r="D23" s="48">
        <v>7</v>
      </c>
      <c r="E23" s="31" t="str">
        <f ca="1">VLOOKUP(D23,OFFSET(weekly_mission_groups!$B$2,0,0,COUNTA(weekly_mission_groups!$B:$B),MATCH(E$2,weekly_mission_groups!$2:$2,0)-MATCH(D$2,weekly_mission_groups!$2:$2,0)+1),MATCH(E$2,weekly_mission_groups!$2:$2,0)-MATCH(D$2,weekly_mission_groups!$2:$2,0)+1,FALSE)</f>
        <v>シリーズ3-1</v>
      </c>
    </row>
    <row r="24" spans="1:5" ht="21" customHeight="1" x14ac:dyDescent="0.15">
      <c r="A24" s="8">
        <v>22</v>
      </c>
      <c r="B24" s="95" t="s">
        <v>830</v>
      </c>
      <c r="C24" s="95" t="s">
        <v>842</v>
      </c>
      <c r="D24" s="48">
        <v>8</v>
      </c>
      <c r="E24" s="31" t="str">
        <f ca="1">VLOOKUP(D24,OFFSET(weekly_mission_groups!$B$2,0,0,COUNTA(weekly_mission_groups!$B:$B),MATCH(E$2,weekly_mission_groups!$2:$2,0)-MATCH(D$2,weekly_mission_groups!$2:$2,0)+1),MATCH(E$2,weekly_mission_groups!$2:$2,0)-MATCH(D$2,weekly_mission_groups!$2:$2,0)+1,FALSE)</f>
        <v>シリーズ3-2</v>
      </c>
    </row>
    <row r="25" spans="1:5" ht="21" customHeight="1" x14ac:dyDescent="0.15">
      <c r="A25" s="8">
        <v>23</v>
      </c>
      <c r="B25" s="95" t="s">
        <v>831</v>
      </c>
      <c r="C25" s="95" t="s">
        <v>843</v>
      </c>
      <c r="D25" s="48">
        <v>9</v>
      </c>
      <c r="E25" s="31" t="str">
        <f ca="1">VLOOKUP(D25,OFFSET(weekly_mission_groups!$B$2,0,0,COUNTA(weekly_mission_groups!$B:$B),MATCH(E$2,weekly_mission_groups!$2:$2,0)-MATCH(D$2,weekly_mission_groups!$2:$2,0)+1),MATCH(E$2,weekly_mission_groups!$2:$2,0)-MATCH(D$2,weekly_mission_groups!$2:$2,0)+1,FALSE)</f>
        <v>シリーズ3-3</v>
      </c>
    </row>
    <row r="26" spans="1:5" ht="21" customHeight="1" x14ac:dyDescent="0.15">
      <c r="A26" s="8">
        <v>24</v>
      </c>
      <c r="B26" s="95" t="s">
        <v>832</v>
      </c>
      <c r="C26" s="95" t="s">
        <v>844</v>
      </c>
      <c r="D26" s="48">
        <v>7</v>
      </c>
      <c r="E26" s="31" t="str">
        <f ca="1">VLOOKUP(D26,OFFSET(weekly_mission_groups!$B$2,0,0,COUNTA(weekly_mission_groups!$B:$B),MATCH(E$2,weekly_mission_groups!$2:$2,0)-MATCH(D$2,weekly_mission_groups!$2:$2,0)+1),MATCH(E$2,weekly_mission_groups!$2:$2,0)-MATCH(D$2,weekly_mission_groups!$2:$2,0)+1,FALSE)</f>
        <v>シリーズ3-1</v>
      </c>
    </row>
    <row r="27" spans="1:5" ht="21" customHeight="1" x14ac:dyDescent="0.15">
      <c r="A27" s="8">
        <v>25</v>
      </c>
      <c r="B27" s="95" t="s">
        <v>833</v>
      </c>
      <c r="C27" s="95" t="s">
        <v>845</v>
      </c>
      <c r="D27" s="48">
        <v>8</v>
      </c>
      <c r="E27" s="31" t="str">
        <f ca="1">VLOOKUP(D27,OFFSET(weekly_mission_groups!$B$2,0,0,COUNTA(weekly_mission_groups!$B:$B),MATCH(E$2,weekly_mission_groups!$2:$2,0)-MATCH(D$2,weekly_mission_groups!$2:$2,0)+1),MATCH(E$2,weekly_mission_groups!$2:$2,0)-MATCH(D$2,weekly_mission_groups!$2:$2,0)+1,FALSE)</f>
        <v>シリーズ3-2</v>
      </c>
    </row>
    <row r="28" spans="1:5" ht="21" customHeight="1" x14ac:dyDescent="0.15">
      <c r="A28" s="8">
        <v>26</v>
      </c>
      <c r="B28" s="95" t="s">
        <v>834</v>
      </c>
      <c r="C28" s="95" t="s">
        <v>846</v>
      </c>
      <c r="D28" s="48">
        <v>9</v>
      </c>
      <c r="E28" s="31" t="str">
        <f ca="1">VLOOKUP(D28,OFFSET(weekly_mission_groups!$B$2,0,0,COUNTA(weekly_mission_groups!$B:$B),MATCH(E$2,weekly_mission_groups!$2:$2,0)-MATCH(D$2,weekly_mission_groups!$2:$2,0)+1),MATCH(E$2,weekly_mission_groups!$2:$2,0)-MATCH(D$2,weekly_mission_groups!$2:$2,0)+1,FALSE)</f>
        <v>シリーズ3-3</v>
      </c>
    </row>
    <row r="29" spans="1:5" ht="21" customHeight="1" x14ac:dyDescent="0.15">
      <c r="A29" s="8">
        <v>27</v>
      </c>
      <c r="B29" s="95" t="s">
        <v>871</v>
      </c>
      <c r="C29" s="95" t="s">
        <v>872</v>
      </c>
      <c r="D29" s="48">
        <v>7</v>
      </c>
      <c r="E29" s="31" t="str">
        <f ca="1">VLOOKUP(D29,OFFSET(weekly_mission_groups!$B$2,0,0,COUNTA(weekly_mission_groups!$B:$B),MATCH(E$2,weekly_mission_groups!$2:$2,0)-MATCH(D$2,weekly_mission_groups!$2:$2,0)+1),MATCH(E$2,weekly_mission_groups!$2:$2,0)-MATCH(D$2,weekly_mission_groups!$2:$2,0)+1,FALSE)</f>
        <v>シリーズ3-1</v>
      </c>
    </row>
    <row r="30" spans="1:5" ht="21" customHeight="1" x14ac:dyDescent="0.15">
      <c r="A30" s="8">
        <v>28</v>
      </c>
      <c r="B30" s="95" t="s">
        <v>873</v>
      </c>
      <c r="C30" s="95" t="s">
        <v>874</v>
      </c>
      <c r="D30" s="48">
        <v>8</v>
      </c>
      <c r="E30" s="31" t="str">
        <f ca="1">VLOOKUP(D30,OFFSET(weekly_mission_groups!$B$2,0,0,COUNTA(weekly_mission_groups!$B:$B),MATCH(E$2,weekly_mission_groups!$2:$2,0)-MATCH(D$2,weekly_mission_groups!$2:$2,0)+1),MATCH(E$2,weekly_mission_groups!$2:$2,0)-MATCH(D$2,weekly_mission_groups!$2:$2,0)+1,FALSE)</f>
        <v>シリーズ3-2</v>
      </c>
    </row>
    <row r="31" spans="1:5" ht="21" customHeight="1" x14ac:dyDescent="0.15">
      <c r="A31" s="8">
        <v>29</v>
      </c>
      <c r="B31" s="95" t="s">
        <v>875</v>
      </c>
      <c r="C31" s="95" t="s">
        <v>876</v>
      </c>
      <c r="D31" s="48">
        <v>9</v>
      </c>
      <c r="E31" s="31" t="str">
        <f ca="1">VLOOKUP(D31,OFFSET(weekly_mission_groups!$B$2,0,0,COUNTA(weekly_mission_groups!$B:$B),MATCH(E$2,weekly_mission_groups!$2:$2,0)-MATCH(D$2,weekly_mission_groups!$2:$2,0)+1),MATCH(E$2,weekly_mission_groups!$2:$2,0)-MATCH(D$2,weekly_mission_groups!$2:$2,0)+1,FALSE)</f>
        <v>シリーズ3-3</v>
      </c>
    </row>
    <row r="32" spans="1:5" ht="21" customHeight="1" x14ac:dyDescent="0.15">
      <c r="A32" s="8">
        <v>30</v>
      </c>
      <c r="B32" s="95" t="s">
        <v>877</v>
      </c>
      <c r="C32" s="95" t="s">
        <v>878</v>
      </c>
      <c r="D32" s="48">
        <v>7</v>
      </c>
      <c r="E32" s="31" t="str">
        <f ca="1">VLOOKUP(D32,OFFSET(weekly_mission_groups!$B$2,0,0,COUNTA(weekly_mission_groups!$B:$B),MATCH(E$2,weekly_mission_groups!$2:$2,0)-MATCH(D$2,weekly_mission_groups!$2:$2,0)+1),MATCH(E$2,weekly_mission_groups!$2:$2,0)-MATCH(D$2,weekly_mission_groups!$2:$2,0)+1,FALSE)</f>
        <v>シリーズ3-1</v>
      </c>
    </row>
    <row r="33" spans="1:7" ht="21" customHeight="1" x14ac:dyDescent="0.15">
      <c r="A33" s="8">
        <v>31</v>
      </c>
      <c r="B33" s="95" t="s">
        <v>879</v>
      </c>
      <c r="C33" s="95" t="s">
        <v>880</v>
      </c>
      <c r="D33" s="48">
        <v>8</v>
      </c>
      <c r="E33" s="31" t="str">
        <f ca="1">VLOOKUP(D33,OFFSET(weekly_mission_groups!$B$2,0,0,COUNTA(weekly_mission_groups!$B:$B),MATCH(E$2,weekly_mission_groups!$2:$2,0)-MATCH(D$2,weekly_mission_groups!$2:$2,0)+1),MATCH(E$2,weekly_mission_groups!$2:$2,0)-MATCH(D$2,weekly_mission_groups!$2:$2,0)+1,FALSE)</f>
        <v>シリーズ3-2</v>
      </c>
    </row>
    <row r="34" spans="1:7" ht="21" customHeight="1" x14ac:dyDescent="0.15">
      <c r="A34" s="8">
        <v>32</v>
      </c>
      <c r="B34" s="95" t="s">
        <v>881</v>
      </c>
      <c r="C34" s="95" t="s">
        <v>882</v>
      </c>
      <c r="D34" s="48">
        <v>9</v>
      </c>
      <c r="E34" s="31" t="str">
        <f ca="1">VLOOKUP(D34,OFFSET(weekly_mission_groups!$B$2,0,0,COUNTA(weekly_mission_groups!$B:$B),MATCH(E$2,weekly_mission_groups!$2:$2,0)-MATCH(D$2,weekly_mission_groups!$2:$2,0)+1),MATCH(E$2,weekly_mission_groups!$2:$2,0)-MATCH(D$2,weekly_mission_groups!$2:$2,0)+1,FALSE)</f>
        <v>シリーズ3-3</v>
      </c>
    </row>
    <row r="35" spans="1:7" ht="21" customHeight="1" x14ac:dyDescent="0.15">
      <c r="A35" s="8">
        <v>33</v>
      </c>
      <c r="B35" s="95" t="s">
        <v>883</v>
      </c>
      <c r="C35" s="95" t="s">
        <v>884</v>
      </c>
      <c r="D35" s="48">
        <v>7</v>
      </c>
      <c r="E35" s="31" t="str">
        <f ca="1">VLOOKUP(D35,OFFSET(weekly_mission_groups!$B$2,0,0,COUNTA(weekly_mission_groups!$B:$B),MATCH(E$2,weekly_mission_groups!$2:$2,0)-MATCH(D$2,weekly_mission_groups!$2:$2,0)+1),MATCH(E$2,weekly_mission_groups!$2:$2,0)-MATCH(D$2,weekly_mission_groups!$2:$2,0)+1,FALSE)</f>
        <v>シリーズ3-1</v>
      </c>
    </row>
    <row r="36" spans="1:7" ht="21" customHeight="1" x14ac:dyDescent="0.15">
      <c r="A36" s="8">
        <f>A35+1</f>
        <v>34</v>
      </c>
      <c r="B36" s="95" t="s">
        <v>1045</v>
      </c>
      <c r="C36" s="95" t="s">
        <v>1046</v>
      </c>
      <c r="D36" s="48">
        <v>8</v>
      </c>
      <c r="E36" s="31" t="str">
        <f ca="1">VLOOKUP(D36,OFFSET(weekly_mission_groups!$B$2,0,0,COUNTA(weekly_mission_groups!$B:$B),MATCH(E$2,weekly_mission_groups!$2:$2,0)-MATCH(D$2,weekly_mission_groups!$2:$2,0)+1),MATCH(E$2,weekly_mission_groups!$2:$2,0)-MATCH(D$2,weekly_mission_groups!$2:$2,0)+1,FALSE)</f>
        <v>シリーズ3-2</v>
      </c>
    </row>
    <row r="37" spans="1:7" ht="21" customHeight="1" x14ac:dyDescent="0.15">
      <c r="A37" s="8">
        <f t="shared" ref="A37:A100" si="0">A36+1</f>
        <v>35</v>
      </c>
      <c r="B37" s="95" t="s">
        <v>1047</v>
      </c>
      <c r="C37" s="95" t="s">
        <v>1050</v>
      </c>
      <c r="D37" s="48">
        <v>9</v>
      </c>
      <c r="E37" s="31" t="str">
        <f ca="1">VLOOKUP(D37,OFFSET(weekly_mission_groups!$B$2,0,0,COUNTA(weekly_mission_groups!$B:$B),MATCH(E$2,weekly_mission_groups!$2:$2,0)-MATCH(D$2,weekly_mission_groups!$2:$2,0)+1),MATCH(E$2,weekly_mission_groups!$2:$2,0)-MATCH(D$2,weekly_mission_groups!$2:$2,0)+1,FALSE)</f>
        <v>シリーズ3-3</v>
      </c>
    </row>
    <row r="38" spans="1:7" ht="21" customHeight="1" x14ac:dyDescent="0.15">
      <c r="A38" s="8">
        <f t="shared" si="0"/>
        <v>36</v>
      </c>
      <c r="B38" s="95" t="s">
        <v>1048</v>
      </c>
      <c r="C38" s="95" t="s">
        <v>1051</v>
      </c>
      <c r="D38" s="48">
        <v>7</v>
      </c>
      <c r="E38" s="31" t="str">
        <f ca="1">VLOOKUP(D38,OFFSET(weekly_mission_groups!$B$2,0,0,COUNTA(weekly_mission_groups!$B:$B),MATCH(E$2,weekly_mission_groups!$2:$2,0)-MATCH(D$2,weekly_mission_groups!$2:$2,0)+1),MATCH(E$2,weekly_mission_groups!$2:$2,0)-MATCH(D$2,weekly_mission_groups!$2:$2,0)+1,FALSE)</f>
        <v>シリーズ3-1</v>
      </c>
    </row>
    <row r="39" spans="1:7" ht="21" customHeight="1" x14ac:dyDescent="0.15">
      <c r="A39" s="8">
        <f t="shared" si="0"/>
        <v>37</v>
      </c>
      <c r="B39" s="95" t="s">
        <v>1049</v>
      </c>
      <c r="C39" s="95" t="s">
        <v>1052</v>
      </c>
      <c r="D39" s="48">
        <v>8</v>
      </c>
      <c r="E39" s="31" t="str">
        <f ca="1">VLOOKUP(D39,OFFSET(weekly_mission_groups!$B$2,0,0,COUNTA(weekly_mission_groups!$B:$B),MATCH(E$2,weekly_mission_groups!$2:$2,0)-MATCH(D$2,weekly_mission_groups!$2:$2,0)+1),MATCH(E$2,weekly_mission_groups!$2:$2,0)-MATCH(D$2,weekly_mission_groups!$2:$2,0)+1,FALSE)</f>
        <v>シリーズ3-2</v>
      </c>
    </row>
    <row r="40" spans="1:7" ht="21" customHeight="1" x14ac:dyDescent="0.15">
      <c r="A40" s="8">
        <f t="shared" si="0"/>
        <v>38</v>
      </c>
      <c r="B40" s="96" t="str">
        <f>TEXT(B39+7,"yyyy-mm-dd h:mm:ss")</f>
        <v>2016-05-02 2:00:00</v>
      </c>
      <c r="C40" s="96" t="str">
        <f>TEXT(C39+7,"yyyy-mm-dd h:mm:ss")</f>
        <v>2016-05-09 1:59:59</v>
      </c>
      <c r="D40" s="62">
        <v>10</v>
      </c>
      <c r="E40" s="31" t="str">
        <f ca="1">VLOOKUP(D40,OFFSET(weekly_mission_groups!$B$2,0,0,COUNTA(weekly_mission_groups!$B:$B),MATCH(E$2,weekly_mission_groups!$2:$2,0)-MATCH(D$2,weekly_mission_groups!$2:$2,0)+1),MATCH(E$2,weekly_mission_groups!$2:$2,0)-MATCH(D$2,weekly_mission_groups!$2:$2,0)+1,FALSE)</f>
        <v>シリーズ4-1</v>
      </c>
      <c r="G40" s="97"/>
    </row>
    <row r="41" spans="1:7" ht="21" customHeight="1" x14ac:dyDescent="0.15">
      <c r="A41" s="8">
        <f t="shared" si="0"/>
        <v>39</v>
      </c>
      <c r="B41" s="96" t="str">
        <f t="shared" ref="B41:B104" si="1">TEXT(B40+7,"yyyy-mm-dd h:mm:ss")</f>
        <v>2016-05-09 2:00:00</v>
      </c>
      <c r="C41" s="96" t="str">
        <f t="shared" ref="C41:C104" si="2">TEXT(C40+7,"yyyy-mm-dd h:mm:ss")</f>
        <v>2016-05-16 1:59:59</v>
      </c>
      <c r="D41" s="48">
        <v>11</v>
      </c>
      <c r="E41" s="31" t="str">
        <f ca="1">VLOOKUP(D41,OFFSET(weekly_mission_groups!$B$2,0,0,COUNTA(weekly_mission_groups!$B:$B),MATCH(E$2,weekly_mission_groups!$2:$2,0)-MATCH(D$2,weekly_mission_groups!$2:$2,0)+1),MATCH(E$2,weekly_mission_groups!$2:$2,0)-MATCH(D$2,weekly_mission_groups!$2:$2,0)+1,FALSE)</f>
        <v>シリーズ4-2</v>
      </c>
    </row>
    <row r="42" spans="1:7" ht="21" customHeight="1" x14ac:dyDescent="0.15">
      <c r="A42" s="8">
        <f t="shared" si="0"/>
        <v>40</v>
      </c>
      <c r="B42" s="96" t="str">
        <f t="shared" si="1"/>
        <v>2016-05-16 2:00:00</v>
      </c>
      <c r="C42" s="96" t="str">
        <f t="shared" si="2"/>
        <v>2016-05-23 1:59:59</v>
      </c>
      <c r="D42" s="48">
        <v>12</v>
      </c>
      <c r="E42" s="31" t="str">
        <f ca="1">VLOOKUP(D42,OFFSET(weekly_mission_groups!$B$2,0,0,COUNTA(weekly_mission_groups!$B:$B),MATCH(E$2,weekly_mission_groups!$2:$2,0)-MATCH(D$2,weekly_mission_groups!$2:$2,0)+1),MATCH(E$2,weekly_mission_groups!$2:$2,0)-MATCH(D$2,weekly_mission_groups!$2:$2,0)+1,FALSE)</f>
        <v>シリーズ4-3</v>
      </c>
    </row>
    <row r="43" spans="1:7" ht="21" customHeight="1" x14ac:dyDescent="0.15">
      <c r="A43" s="8">
        <f t="shared" si="0"/>
        <v>41</v>
      </c>
      <c r="B43" s="96" t="str">
        <f t="shared" si="1"/>
        <v>2016-05-23 2:00:00</v>
      </c>
      <c r="C43" s="96" t="str">
        <f t="shared" si="2"/>
        <v>2016-05-30 1:59:59</v>
      </c>
      <c r="D43" s="48">
        <v>10</v>
      </c>
      <c r="E43" s="31" t="str">
        <f ca="1">VLOOKUP(D43,OFFSET(weekly_mission_groups!$B$2,0,0,COUNTA(weekly_mission_groups!$B:$B),MATCH(E$2,weekly_mission_groups!$2:$2,0)-MATCH(D$2,weekly_mission_groups!$2:$2,0)+1),MATCH(E$2,weekly_mission_groups!$2:$2,0)-MATCH(D$2,weekly_mission_groups!$2:$2,0)+1,FALSE)</f>
        <v>シリーズ4-1</v>
      </c>
    </row>
    <row r="44" spans="1:7" ht="21" customHeight="1" x14ac:dyDescent="0.15">
      <c r="A44" s="8">
        <f t="shared" si="0"/>
        <v>42</v>
      </c>
      <c r="B44" s="96" t="str">
        <f t="shared" si="1"/>
        <v>2016-05-30 2:00:00</v>
      </c>
      <c r="C44" s="96" t="str">
        <f t="shared" si="2"/>
        <v>2016-06-06 1:59:59</v>
      </c>
      <c r="D44" s="48">
        <v>11</v>
      </c>
      <c r="E44" s="31" t="str">
        <f ca="1">VLOOKUP(D44,OFFSET(weekly_mission_groups!$B$2,0,0,COUNTA(weekly_mission_groups!$B:$B),MATCH(E$2,weekly_mission_groups!$2:$2,0)-MATCH(D$2,weekly_mission_groups!$2:$2,0)+1),MATCH(E$2,weekly_mission_groups!$2:$2,0)-MATCH(D$2,weekly_mission_groups!$2:$2,0)+1,FALSE)</f>
        <v>シリーズ4-2</v>
      </c>
    </row>
    <row r="45" spans="1:7" ht="21" customHeight="1" x14ac:dyDescent="0.15">
      <c r="A45" s="8">
        <f t="shared" si="0"/>
        <v>43</v>
      </c>
      <c r="B45" s="96" t="str">
        <f t="shared" si="1"/>
        <v>2016-06-06 2:00:00</v>
      </c>
      <c r="C45" s="96" t="str">
        <f t="shared" si="2"/>
        <v>2016-06-13 1:59:59</v>
      </c>
      <c r="D45" s="48">
        <v>12</v>
      </c>
      <c r="E45" s="31" t="str">
        <f ca="1">VLOOKUP(D45,OFFSET(weekly_mission_groups!$B$2,0,0,COUNTA(weekly_mission_groups!$B:$B),MATCH(E$2,weekly_mission_groups!$2:$2,0)-MATCH(D$2,weekly_mission_groups!$2:$2,0)+1),MATCH(E$2,weekly_mission_groups!$2:$2,0)-MATCH(D$2,weekly_mission_groups!$2:$2,0)+1,FALSE)</f>
        <v>シリーズ4-3</v>
      </c>
    </row>
    <row r="46" spans="1:7" ht="21" customHeight="1" x14ac:dyDescent="0.15">
      <c r="A46" s="2">
        <f t="shared" si="0"/>
        <v>44</v>
      </c>
      <c r="B46" s="96" t="str">
        <f t="shared" si="1"/>
        <v>2016-06-13 2:00:00</v>
      </c>
      <c r="C46" s="96" t="str">
        <f t="shared" si="2"/>
        <v>2016-06-20 1:59:59</v>
      </c>
      <c r="D46" s="48">
        <v>10</v>
      </c>
      <c r="E46" s="26" t="str">
        <f ca="1">VLOOKUP(D46,OFFSET(weekly_mission_groups!$B$2,0,0,COUNTA(weekly_mission_groups!$B:$B),MATCH(E$2,weekly_mission_groups!$2:$2,0)-MATCH(D$2,weekly_mission_groups!$2:$2,0)+1),MATCH(E$2,weekly_mission_groups!$2:$2,0)-MATCH(D$2,weekly_mission_groups!$2:$2,0)+1,FALSE)</f>
        <v>シリーズ4-1</v>
      </c>
    </row>
    <row r="47" spans="1:7" ht="21" customHeight="1" x14ac:dyDescent="0.15">
      <c r="A47" s="2">
        <f t="shared" si="0"/>
        <v>45</v>
      </c>
      <c r="B47" s="96" t="str">
        <f t="shared" si="1"/>
        <v>2016-06-20 2:00:00</v>
      </c>
      <c r="C47" s="96" t="str">
        <f t="shared" si="2"/>
        <v>2016-06-27 1:59:59</v>
      </c>
      <c r="D47" s="48">
        <v>11</v>
      </c>
      <c r="E47" s="26" t="str">
        <f ca="1">VLOOKUP(D47,OFFSET(weekly_mission_groups!$B$2,0,0,COUNTA(weekly_mission_groups!$B:$B),MATCH(E$2,weekly_mission_groups!$2:$2,0)-MATCH(D$2,weekly_mission_groups!$2:$2,0)+1),MATCH(E$2,weekly_mission_groups!$2:$2,0)-MATCH(D$2,weekly_mission_groups!$2:$2,0)+1,FALSE)</f>
        <v>シリーズ4-2</v>
      </c>
    </row>
    <row r="48" spans="1:7" ht="21" customHeight="1" x14ac:dyDescent="0.15">
      <c r="A48" s="2">
        <v>1000</v>
      </c>
      <c r="B48" s="96" t="str">
        <f t="shared" si="1"/>
        <v>2016-06-27 2:00:00</v>
      </c>
      <c r="C48" s="96" t="str">
        <f t="shared" si="2"/>
        <v>2016-07-04 1:59:59</v>
      </c>
      <c r="D48" s="48">
        <v>100</v>
      </c>
      <c r="E48" s="26" t="str">
        <f ca="1">VLOOKUP(D48,OFFSET(weekly_mission_groups!$B$2,0,0,COUNTA(weekly_mission_groups!$B:$B),MATCH(E$2,weekly_mission_groups!$2:$2,0)-MATCH(D$2,weekly_mission_groups!$2:$2,0)+1),MATCH(E$2,weekly_mission_groups!$2:$2,0)-MATCH(D$2,weekly_mission_groups!$2:$2,0)+1,FALSE)</f>
        <v>週間ミッション強化</v>
      </c>
    </row>
    <row r="49" spans="1:5" ht="21" customHeight="1" x14ac:dyDescent="0.15">
      <c r="A49" s="2">
        <v>46</v>
      </c>
      <c r="B49" s="96" t="str">
        <f t="shared" si="1"/>
        <v>2016-07-04 2:00:00</v>
      </c>
      <c r="C49" s="96" t="str">
        <f t="shared" si="2"/>
        <v>2016-07-11 1:59:59</v>
      </c>
      <c r="D49" s="48">
        <v>10</v>
      </c>
      <c r="E49" s="26" t="str">
        <f ca="1">VLOOKUP(D49,OFFSET(weekly_mission_groups!$B$2,0,0,COUNTA(weekly_mission_groups!$B:$B),MATCH(E$2,weekly_mission_groups!$2:$2,0)-MATCH(D$2,weekly_mission_groups!$2:$2,0)+1),MATCH(E$2,weekly_mission_groups!$2:$2,0)-MATCH(D$2,weekly_mission_groups!$2:$2,0)+1,FALSE)</f>
        <v>シリーズ4-1</v>
      </c>
    </row>
    <row r="50" spans="1:5" ht="21" customHeight="1" x14ac:dyDescent="0.15">
      <c r="A50" s="2">
        <f t="shared" si="0"/>
        <v>47</v>
      </c>
      <c r="B50" s="96" t="str">
        <f t="shared" si="1"/>
        <v>2016-07-11 2:00:00</v>
      </c>
      <c r="C50" s="96" t="str">
        <f t="shared" si="2"/>
        <v>2016-07-18 1:59:59</v>
      </c>
      <c r="D50" s="48">
        <v>11</v>
      </c>
      <c r="E50" s="26" t="str">
        <f ca="1">VLOOKUP(D50,OFFSET(weekly_mission_groups!$B$2,0,0,COUNTA(weekly_mission_groups!$B:$B),MATCH(E$2,weekly_mission_groups!$2:$2,0)-MATCH(D$2,weekly_mission_groups!$2:$2,0)+1),MATCH(E$2,weekly_mission_groups!$2:$2,0)-MATCH(D$2,weekly_mission_groups!$2:$2,0)+1,FALSE)</f>
        <v>シリーズ4-2</v>
      </c>
    </row>
    <row r="51" spans="1:5" ht="21" customHeight="1" x14ac:dyDescent="0.15">
      <c r="A51" s="2">
        <f t="shared" si="0"/>
        <v>48</v>
      </c>
      <c r="B51" s="96" t="str">
        <f t="shared" si="1"/>
        <v>2016-07-18 2:00:00</v>
      </c>
      <c r="C51" s="96" t="str">
        <f t="shared" si="2"/>
        <v>2016-07-25 1:59:59</v>
      </c>
      <c r="D51" s="48">
        <v>12</v>
      </c>
      <c r="E51" s="26" t="str">
        <f ca="1">VLOOKUP(D51,OFFSET(weekly_mission_groups!$B$2,0,0,COUNTA(weekly_mission_groups!$B:$B),MATCH(E$2,weekly_mission_groups!$2:$2,0)-MATCH(D$2,weekly_mission_groups!$2:$2,0)+1),MATCH(E$2,weekly_mission_groups!$2:$2,0)-MATCH(D$2,weekly_mission_groups!$2:$2,0)+1,FALSE)</f>
        <v>シリーズ4-3</v>
      </c>
    </row>
    <row r="52" spans="1:5" ht="21" customHeight="1" x14ac:dyDescent="0.15">
      <c r="A52" s="2">
        <f t="shared" si="0"/>
        <v>49</v>
      </c>
      <c r="B52" s="96" t="str">
        <f t="shared" si="1"/>
        <v>2016-07-25 2:00:00</v>
      </c>
      <c r="C52" s="96" t="str">
        <f t="shared" si="2"/>
        <v>2016-08-01 1:59:59</v>
      </c>
      <c r="D52" s="77">
        <v>13</v>
      </c>
      <c r="E52" s="26" t="str">
        <f ca="1">VLOOKUP(D52,OFFSET(weekly_mission_groups!$B$2,0,0,COUNTA(weekly_mission_groups!$B:$B),MATCH(E$2,weekly_mission_groups!$2:$2,0)-MATCH(D$2,weekly_mission_groups!$2:$2,0)+1),MATCH(E$2,weekly_mission_groups!$2:$2,0)-MATCH(D$2,weekly_mission_groups!$2:$2,0)+1,FALSE)</f>
        <v>シリーズ5-1</v>
      </c>
    </row>
    <row r="53" spans="1:5" ht="21" customHeight="1" x14ac:dyDescent="0.15">
      <c r="A53" s="2">
        <f t="shared" si="0"/>
        <v>50</v>
      </c>
      <c r="B53" s="96" t="str">
        <f t="shared" si="1"/>
        <v>2016-08-01 2:00:00</v>
      </c>
      <c r="C53" s="96" t="str">
        <f t="shared" si="2"/>
        <v>2016-08-08 1:59:59</v>
      </c>
      <c r="D53" s="77">
        <v>14</v>
      </c>
      <c r="E53" s="26" t="str">
        <f ca="1">VLOOKUP(D53,OFFSET(weekly_mission_groups!$B$2,0,0,COUNTA(weekly_mission_groups!$B:$B),MATCH(E$2,weekly_mission_groups!$2:$2,0)-MATCH(D$2,weekly_mission_groups!$2:$2,0)+1),MATCH(E$2,weekly_mission_groups!$2:$2,0)-MATCH(D$2,weekly_mission_groups!$2:$2,0)+1,FALSE)</f>
        <v>シリーズ5-2</v>
      </c>
    </row>
    <row r="54" spans="1:5" ht="21" customHeight="1" x14ac:dyDescent="0.15">
      <c r="A54" s="2">
        <f t="shared" si="0"/>
        <v>51</v>
      </c>
      <c r="B54" s="96" t="str">
        <f t="shared" si="1"/>
        <v>2016-08-08 2:00:00</v>
      </c>
      <c r="C54" s="96" t="str">
        <f t="shared" si="2"/>
        <v>2016-08-15 1:59:59</v>
      </c>
      <c r="D54" s="77">
        <v>15</v>
      </c>
      <c r="E54" s="26" t="str">
        <f ca="1">VLOOKUP(D54,OFFSET(weekly_mission_groups!$B$2,0,0,COUNTA(weekly_mission_groups!$B:$B),MATCH(E$2,weekly_mission_groups!$2:$2,0)-MATCH(D$2,weekly_mission_groups!$2:$2,0)+1),MATCH(E$2,weekly_mission_groups!$2:$2,0)-MATCH(D$2,weekly_mission_groups!$2:$2,0)+1,FALSE)</f>
        <v>シリーズ5-3</v>
      </c>
    </row>
    <row r="55" spans="1:5" ht="21" customHeight="1" x14ac:dyDescent="0.15">
      <c r="A55" s="2">
        <f t="shared" si="0"/>
        <v>52</v>
      </c>
      <c r="B55" s="96" t="str">
        <f t="shared" si="1"/>
        <v>2016-08-15 2:00:00</v>
      </c>
      <c r="C55" s="96" t="str">
        <f t="shared" si="2"/>
        <v>2016-08-22 1:59:59</v>
      </c>
      <c r="D55" s="31">
        <f>D52</f>
        <v>13</v>
      </c>
      <c r="E55" s="26" t="str">
        <f ca="1">VLOOKUP(D55,OFFSET(weekly_mission_groups!$B$2,0,0,COUNTA(weekly_mission_groups!$B:$B),MATCH(E$2,weekly_mission_groups!$2:$2,0)-MATCH(D$2,weekly_mission_groups!$2:$2,0)+1),MATCH(E$2,weekly_mission_groups!$2:$2,0)-MATCH(D$2,weekly_mission_groups!$2:$2,0)+1,FALSE)</f>
        <v>シリーズ5-1</v>
      </c>
    </row>
    <row r="56" spans="1:5" ht="21" customHeight="1" x14ac:dyDescent="0.15">
      <c r="A56" s="2">
        <f t="shared" si="0"/>
        <v>53</v>
      </c>
      <c r="B56" s="96" t="str">
        <f t="shared" si="1"/>
        <v>2016-08-22 2:00:00</v>
      </c>
      <c r="C56" s="96" t="str">
        <f t="shared" si="2"/>
        <v>2016-08-29 1:59:59</v>
      </c>
      <c r="D56" s="31">
        <f t="shared" ref="D56:D60" si="3">D53</f>
        <v>14</v>
      </c>
      <c r="E56" s="26" t="str">
        <f ca="1">VLOOKUP(D56,OFFSET(weekly_mission_groups!$B$2,0,0,COUNTA(weekly_mission_groups!$B:$B),MATCH(E$2,weekly_mission_groups!$2:$2,0)-MATCH(D$2,weekly_mission_groups!$2:$2,0)+1),MATCH(E$2,weekly_mission_groups!$2:$2,0)-MATCH(D$2,weekly_mission_groups!$2:$2,0)+1,FALSE)</f>
        <v>シリーズ5-2</v>
      </c>
    </row>
    <row r="57" spans="1:5" ht="21" customHeight="1" x14ac:dyDescent="0.15">
      <c r="A57" s="2">
        <f t="shared" si="0"/>
        <v>54</v>
      </c>
      <c r="B57" s="96" t="str">
        <f t="shared" si="1"/>
        <v>2016-08-29 2:00:00</v>
      </c>
      <c r="C57" s="96" t="str">
        <f t="shared" si="2"/>
        <v>2016-09-05 1:59:59</v>
      </c>
      <c r="D57" s="31">
        <f t="shared" si="3"/>
        <v>15</v>
      </c>
      <c r="E57" s="26" t="str">
        <f ca="1">VLOOKUP(D57,OFFSET(weekly_mission_groups!$B$2,0,0,COUNTA(weekly_mission_groups!$B:$B),MATCH(E$2,weekly_mission_groups!$2:$2,0)-MATCH(D$2,weekly_mission_groups!$2:$2,0)+1),MATCH(E$2,weekly_mission_groups!$2:$2,0)-MATCH(D$2,weekly_mission_groups!$2:$2,0)+1,FALSE)</f>
        <v>シリーズ5-3</v>
      </c>
    </row>
    <row r="58" spans="1:5" ht="21" customHeight="1" x14ac:dyDescent="0.15">
      <c r="A58" s="2">
        <f t="shared" si="0"/>
        <v>55</v>
      </c>
      <c r="B58" s="96" t="str">
        <f t="shared" si="1"/>
        <v>2016-09-05 2:00:00</v>
      </c>
      <c r="C58" s="96" t="str">
        <f t="shared" si="2"/>
        <v>2016-09-12 1:59:59</v>
      </c>
      <c r="D58" s="31">
        <v>13</v>
      </c>
      <c r="E58" s="26" t="str">
        <f ca="1">VLOOKUP(D58,OFFSET(weekly_mission_groups!$B$2,0,0,COUNTA(weekly_mission_groups!$B:$B),MATCH(E$2,weekly_mission_groups!$2:$2,0)-MATCH(D$2,weekly_mission_groups!$2:$2,0)+1),MATCH(E$2,weekly_mission_groups!$2:$2,0)-MATCH(D$2,weekly_mission_groups!$2:$2,0)+1,FALSE)</f>
        <v>シリーズ5-1</v>
      </c>
    </row>
    <row r="59" spans="1:5" ht="21" customHeight="1" x14ac:dyDescent="0.15">
      <c r="A59" s="2">
        <f t="shared" si="0"/>
        <v>56</v>
      </c>
      <c r="B59" s="96" t="str">
        <f t="shared" si="1"/>
        <v>2016-09-12 2:00:00</v>
      </c>
      <c r="C59" s="96" t="str">
        <f t="shared" si="2"/>
        <v>2016-09-19 1:59:59</v>
      </c>
      <c r="D59" s="31">
        <f t="shared" si="3"/>
        <v>14</v>
      </c>
      <c r="E59" s="26" t="str">
        <f ca="1">VLOOKUP(D59,OFFSET(weekly_mission_groups!$B$2,0,0,COUNTA(weekly_mission_groups!$B:$B),MATCH(E$2,weekly_mission_groups!$2:$2,0)-MATCH(D$2,weekly_mission_groups!$2:$2,0)+1),MATCH(E$2,weekly_mission_groups!$2:$2,0)-MATCH(D$2,weekly_mission_groups!$2:$2,0)+1,FALSE)</f>
        <v>シリーズ5-2</v>
      </c>
    </row>
    <row r="60" spans="1:5" ht="21" customHeight="1" x14ac:dyDescent="0.15">
      <c r="A60" s="2">
        <f t="shared" si="0"/>
        <v>57</v>
      </c>
      <c r="B60" s="96" t="str">
        <f t="shared" si="1"/>
        <v>2016-09-19 2:00:00</v>
      </c>
      <c r="C60" s="96" t="str">
        <f t="shared" si="2"/>
        <v>2016-09-26 1:59:59</v>
      </c>
      <c r="D60" s="31">
        <f t="shared" si="3"/>
        <v>15</v>
      </c>
      <c r="E60" s="26" t="str">
        <f ca="1">VLOOKUP(D60,OFFSET(weekly_mission_groups!$B$2,0,0,COUNTA(weekly_mission_groups!$B:$B),MATCH(E$2,weekly_mission_groups!$2:$2,0)-MATCH(D$2,weekly_mission_groups!$2:$2,0)+1),MATCH(E$2,weekly_mission_groups!$2:$2,0)-MATCH(D$2,weekly_mission_groups!$2:$2,0)+1,FALSE)</f>
        <v>シリーズ5-3</v>
      </c>
    </row>
    <row r="61" spans="1:5" ht="21" customHeight="1" x14ac:dyDescent="0.15">
      <c r="A61" s="2">
        <f t="shared" si="0"/>
        <v>58</v>
      </c>
      <c r="B61" s="96" t="str">
        <f t="shared" si="1"/>
        <v>2016-09-26 2:00:00</v>
      </c>
      <c r="C61" s="96" t="str">
        <f t="shared" si="2"/>
        <v>2016-10-03 1:59:59</v>
      </c>
      <c r="D61" s="77">
        <v>101</v>
      </c>
      <c r="E61" s="26" t="str">
        <f ca="1">VLOOKUP(D61,OFFSET(weekly_mission_groups!$B$2,0,0,COUNTA(weekly_mission_groups!$B:$B),MATCH(E$2,weekly_mission_groups!$2:$2,0)-MATCH(D$2,weekly_mission_groups!$2:$2,0)+1),MATCH(E$2,weekly_mission_groups!$2:$2,0)-MATCH(D$2,weekly_mission_groups!$2:$2,0)+1,FALSE)</f>
        <v>週間ミッション強化</v>
      </c>
    </row>
    <row r="62" spans="1:5" ht="21" customHeight="1" x14ac:dyDescent="0.15">
      <c r="A62" s="2">
        <f t="shared" si="0"/>
        <v>59</v>
      </c>
      <c r="B62" s="96" t="str">
        <f t="shared" si="1"/>
        <v>2016-10-03 2:00:00</v>
      </c>
      <c r="C62" s="96" t="str">
        <f t="shared" si="2"/>
        <v>2016-10-10 1:59:59</v>
      </c>
      <c r="D62" s="31">
        <f t="shared" ref="D62:D124" si="4">D59</f>
        <v>14</v>
      </c>
      <c r="E62" s="26" t="str">
        <f ca="1">VLOOKUP(D62,OFFSET(weekly_mission_groups!$B$2,0,0,COUNTA(weekly_mission_groups!$B:$B),MATCH(E$2,weekly_mission_groups!$2:$2,0)-MATCH(D$2,weekly_mission_groups!$2:$2,0)+1),MATCH(E$2,weekly_mission_groups!$2:$2,0)-MATCH(D$2,weekly_mission_groups!$2:$2,0)+1,FALSE)</f>
        <v>シリーズ5-2</v>
      </c>
    </row>
    <row r="63" spans="1:5" ht="21" customHeight="1" x14ac:dyDescent="0.15">
      <c r="A63" s="2">
        <f t="shared" si="0"/>
        <v>60</v>
      </c>
      <c r="B63" s="96" t="str">
        <f t="shared" si="1"/>
        <v>2016-10-10 2:00:00</v>
      </c>
      <c r="C63" s="96" t="str">
        <f t="shared" si="2"/>
        <v>2016-10-17 1:59:59</v>
      </c>
      <c r="D63" s="31">
        <f t="shared" si="4"/>
        <v>15</v>
      </c>
      <c r="E63" s="26" t="str">
        <f ca="1">VLOOKUP(D63,OFFSET(weekly_mission_groups!$B$2,0,0,COUNTA(weekly_mission_groups!$B:$B),MATCH(E$2,weekly_mission_groups!$2:$2,0)-MATCH(D$2,weekly_mission_groups!$2:$2,0)+1),MATCH(E$2,weekly_mission_groups!$2:$2,0)-MATCH(D$2,weekly_mission_groups!$2:$2,0)+1,FALSE)</f>
        <v>シリーズ5-3</v>
      </c>
    </row>
    <row r="64" spans="1:5" ht="21" customHeight="1" x14ac:dyDescent="0.15">
      <c r="A64" s="2">
        <f t="shared" si="0"/>
        <v>61</v>
      </c>
      <c r="B64" s="96" t="str">
        <f t="shared" si="1"/>
        <v>2016-10-17 2:00:00</v>
      </c>
      <c r="C64" s="96" t="str">
        <f t="shared" si="2"/>
        <v>2016-10-24 1:59:59</v>
      </c>
      <c r="D64" s="77">
        <v>13</v>
      </c>
      <c r="E64" s="26" t="str">
        <f ca="1">VLOOKUP(D64,OFFSET(weekly_mission_groups!$B$2,0,0,COUNTA(weekly_mission_groups!$B:$B),MATCH(E$2,weekly_mission_groups!$2:$2,0)-MATCH(D$2,weekly_mission_groups!$2:$2,0)+1),MATCH(E$2,weekly_mission_groups!$2:$2,0)-MATCH(D$2,weekly_mission_groups!$2:$2,0)+1,FALSE)</f>
        <v>シリーズ5-1</v>
      </c>
    </row>
    <row r="65" spans="1:5" ht="21" customHeight="1" x14ac:dyDescent="0.15">
      <c r="A65" s="2">
        <f t="shared" si="0"/>
        <v>62</v>
      </c>
      <c r="B65" s="96" t="str">
        <f t="shared" si="1"/>
        <v>2016-10-24 2:00:00</v>
      </c>
      <c r="C65" s="96" t="str">
        <f t="shared" si="2"/>
        <v>2016-10-31 1:59:59</v>
      </c>
      <c r="D65" s="31">
        <f t="shared" si="4"/>
        <v>14</v>
      </c>
      <c r="E65" s="26" t="str">
        <f ca="1">VLOOKUP(D65,OFFSET(weekly_mission_groups!$B$2,0,0,COUNTA(weekly_mission_groups!$B:$B),MATCH(E$2,weekly_mission_groups!$2:$2,0)-MATCH(D$2,weekly_mission_groups!$2:$2,0)+1),MATCH(E$2,weekly_mission_groups!$2:$2,0)-MATCH(D$2,weekly_mission_groups!$2:$2,0)+1,FALSE)</f>
        <v>シリーズ5-2</v>
      </c>
    </row>
    <row r="66" spans="1:5" ht="21" customHeight="1" x14ac:dyDescent="0.15">
      <c r="A66" s="2">
        <f t="shared" si="0"/>
        <v>63</v>
      </c>
      <c r="B66" s="96" t="str">
        <f t="shared" si="1"/>
        <v>2016-10-31 2:00:00</v>
      </c>
      <c r="C66" s="96" t="str">
        <f t="shared" si="2"/>
        <v>2016-11-07 1:59:59</v>
      </c>
      <c r="D66" s="31">
        <f t="shared" si="4"/>
        <v>15</v>
      </c>
      <c r="E66" s="26" t="str">
        <f ca="1">VLOOKUP(D66,OFFSET(weekly_mission_groups!$B$2,0,0,COUNTA(weekly_mission_groups!$B:$B),MATCH(E$2,weekly_mission_groups!$2:$2,0)-MATCH(D$2,weekly_mission_groups!$2:$2,0)+1),MATCH(E$2,weekly_mission_groups!$2:$2,0)-MATCH(D$2,weekly_mission_groups!$2:$2,0)+1,FALSE)</f>
        <v>シリーズ5-3</v>
      </c>
    </row>
    <row r="67" spans="1:5" ht="21" customHeight="1" x14ac:dyDescent="0.15">
      <c r="A67" s="2">
        <f t="shared" si="0"/>
        <v>64</v>
      </c>
      <c r="B67" s="96" t="str">
        <f t="shared" si="1"/>
        <v>2016-11-07 2:00:00</v>
      </c>
      <c r="C67" s="96" t="str">
        <f t="shared" si="2"/>
        <v>2016-11-14 1:59:59</v>
      </c>
      <c r="D67" s="31">
        <f>D64</f>
        <v>13</v>
      </c>
      <c r="E67" s="26" t="str">
        <f ca="1">VLOOKUP(D67,OFFSET(weekly_mission_groups!$B$2,0,0,COUNTA(weekly_mission_groups!$B:$B),MATCH(E$2,weekly_mission_groups!$2:$2,0)-MATCH(D$2,weekly_mission_groups!$2:$2,0)+1),MATCH(E$2,weekly_mission_groups!$2:$2,0)-MATCH(D$2,weekly_mission_groups!$2:$2,0)+1,FALSE)</f>
        <v>シリーズ5-1</v>
      </c>
    </row>
    <row r="68" spans="1:5" ht="21" customHeight="1" x14ac:dyDescent="0.15">
      <c r="A68" s="2">
        <f t="shared" si="0"/>
        <v>65</v>
      </c>
      <c r="B68" s="96" t="str">
        <f t="shared" si="1"/>
        <v>2016-11-14 2:00:00</v>
      </c>
      <c r="C68" s="96" t="str">
        <f t="shared" si="2"/>
        <v>2016-11-21 1:59:59</v>
      </c>
      <c r="D68" s="31">
        <f t="shared" si="4"/>
        <v>14</v>
      </c>
      <c r="E68" s="26" t="str">
        <f ca="1">VLOOKUP(D68,OFFSET(weekly_mission_groups!$B$2,0,0,COUNTA(weekly_mission_groups!$B:$B),MATCH(E$2,weekly_mission_groups!$2:$2,0)-MATCH(D$2,weekly_mission_groups!$2:$2,0)+1),MATCH(E$2,weekly_mission_groups!$2:$2,0)-MATCH(D$2,weekly_mission_groups!$2:$2,0)+1,FALSE)</f>
        <v>シリーズ5-2</v>
      </c>
    </row>
    <row r="69" spans="1:5" ht="21" customHeight="1" x14ac:dyDescent="0.15">
      <c r="A69" s="2">
        <f t="shared" si="0"/>
        <v>66</v>
      </c>
      <c r="B69" s="96" t="str">
        <f t="shared" si="1"/>
        <v>2016-11-21 2:00:00</v>
      </c>
      <c r="C69" s="96" t="str">
        <f t="shared" si="2"/>
        <v>2016-11-28 1:59:59</v>
      </c>
      <c r="D69" s="31">
        <f t="shared" si="4"/>
        <v>15</v>
      </c>
      <c r="E69" s="26" t="str">
        <f ca="1">VLOOKUP(D69,OFFSET(weekly_mission_groups!$B$2,0,0,COUNTA(weekly_mission_groups!$B:$B),MATCH(E$2,weekly_mission_groups!$2:$2,0)-MATCH(D$2,weekly_mission_groups!$2:$2,0)+1),MATCH(E$2,weekly_mission_groups!$2:$2,0)-MATCH(D$2,weekly_mission_groups!$2:$2,0)+1,FALSE)</f>
        <v>シリーズ5-3</v>
      </c>
    </row>
    <row r="70" spans="1:5" ht="21" customHeight="1" x14ac:dyDescent="0.15">
      <c r="A70" s="2">
        <f t="shared" si="0"/>
        <v>67</v>
      </c>
      <c r="B70" s="96" t="str">
        <f t="shared" si="1"/>
        <v>2016-11-28 2:00:00</v>
      </c>
      <c r="C70" s="96" t="str">
        <f t="shared" si="2"/>
        <v>2016-12-05 1:59:59</v>
      </c>
      <c r="D70" s="77">
        <v>102</v>
      </c>
      <c r="E70" s="26" t="str">
        <f ca="1">VLOOKUP(D70,OFFSET(weekly_mission_groups!$B$2,0,0,COUNTA(weekly_mission_groups!$B:$B),MATCH(E$2,weekly_mission_groups!$2:$2,0)-MATCH(D$2,weekly_mission_groups!$2:$2,0)+1),MATCH(E$2,weekly_mission_groups!$2:$2,0)-MATCH(D$2,weekly_mission_groups!$2:$2,0)+1,FALSE)</f>
        <v>全世界700万DL記念ミッション</v>
      </c>
    </row>
    <row r="71" spans="1:5" ht="21" customHeight="1" x14ac:dyDescent="0.15">
      <c r="A71" s="2">
        <f t="shared" si="0"/>
        <v>68</v>
      </c>
      <c r="B71" s="96" t="str">
        <f t="shared" si="1"/>
        <v>2016-12-05 2:00:00</v>
      </c>
      <c r="C71" s="96" t="str">
        <f t="shared" si="2"/>
        <v>2016-12-12 1:59:59</v>
      </c>
      <c r="D71" s="31">
        <f t="shared" si="4"/>
        <v>14</v>
      </c>
      <c r="E71" s="26" t="str">
        <f ca="1">VLOOKUP(D71,OFFSET(weekly_mission_groups!$B$2,0,0,COUNTA(weekly_mission_groups!$B:$B),MATCH(E$2,weekly_mission_groups!$2:$2,0)-MATCH(D$2,weekly_mission_groups!$2:$2,0)+1),MATCH(E$2,weekly_mission_groups!$2:$2,0)-MATCH(D$2,weekly_mission_groups!$2:$2,0)+1,FALSE)</f>
        <v>シリーズ5-2</v>
      </c>
    </row>
    <row r="72" spans="1:5" ht="21" customHeight="1" x14ac:dyDescent="0.15">
      <c r="A72" s="2">
        <f t="shared" si="0"/>
        <v>69</v>
      </c>
      <c r="B72" s="96" t="str">
        <f t="shared" si="1"/>
        <v>2016-12-12 2:00:00</v>
      </c>
      <c r="C72" s="96" t="str">
        <f t="shared" si="2"/>
        <v>2016-12-19 1:59:59</v>
      </c>
      <c r="D72" s="31">
        <f t="shared" si="4"/>
        <v>15</v>
      </c>
      <c r="E72" s="26" t="str">
        <f ca="1">VLOOKUP(D72,OFFSET(weekly_mission_groups!$B$2,0,0,COUNTA(weekly_mission_groups!$B:$B),MATCH(E$2,weekly_mission_groups!$2:$2,0)-MATCH(D$2,weekly_mission_groups!$2:$2,0)+1),MATCH(E$2,weekly_mission_groups!$2:$2,0)-MATCH(D$2,weekly_mission_groups!$2:$2,0)+1,FALSE)</f>
        <v>シリーズ5-3</v>
      </c>
    </row>
    <row r="73" spans="1:5" ht="21" customHeight="1" x14ac:dyDescent="0.15">
      <c r="A73" s="2">
        <f t="shared" si="0"/>
        <v>70</v>
      </c>
      <c r="B73" s="96" t="str">
        <f t="shared" si="1"/>
        <v>2016-12-19 2:00:00</v>
      </c>
      <c r="C73" s="96" t="str">
        <f t="shared" si="2"/>
        <v>2016-12-26 1:59:59</v>
      </c>
      <c r="D73" s="77">
        <v>13</v>
      </c>
      <c r="E73" s="26" t="str">
        <f ca="1">VLOOKUP(D73,OFFSET(weekly_mission_groups!$B$2,0,0,COUNTA(weekly_mission_groups!$B:$B),MATCH(E$2,weekly_mission_groups!$2:$2,0)-MATCH(D$2,weekly_mission_groups!$2:$2,0)+1),MATCH(E$2,weekly_mission_groups!$2:$2,0)-MATCH(D$2,weekly_mission_groups!$2:$2,0)+1,FALSE)</f>
        <v>シリーズ5-1</v>
      </c>
    </row>
    <row r="74" spans="1:5" ht="21" customHeight="1" x14ac:dyDescent="0.15">
      <c r="A74" s="2">
        <f t="shared" si="0"/>
        <v>71</v>
      </c>
      <c r="B74" s="96" t="str">
        <f t="shared" si="1"/>
        <v>2016-12-26 2:00:00</v>
      </c>
      <c r="C74" s="96" t="str">
        <f t="shared" si="2"/>
        <v>2017-01-02 1:59:59</v>
      </c>
      <c r="D74" s="31">
        <f t="shared" si="4"/>
        <v>14</v>
      </c>
      <c r="E74" s="26" t="str">
        <f ca="1">VLOOKUP(D74,OFFSET(weekly_mission_groups!$B$2,0,0,COUNTA(weekly_mission_groups!$B:$B),MATCH(E$2,weekly_mission_groups!$2:$2,0)-MATCH(D$2,weekly_mission_groups!$2:$2,0)+1),MATCH(E$2,weekly_mission_groups!$2:$2,0)-MATCH(D$2,weekly_mission_groups!$2:$2,0)+1,FALSE)</f>
        <v>シリーズ5-2</v>
      </c>
    </row>
    <row r="75" spans="1:5" ht="21" customHeight="1" x14ac:dyDescent="0.15">
      <c r="A75" s="2">
        <f t="shared" si="0"/>
        <v>72</v>
      </c>
      <c r="B75" s="96" t="str">
        <f t="shared" si="1"/>
        <v>2017-01-02 2:00:00</v>
      </c>
      <c r="C75" s="96" t="str">
        <f t="shared" si="2"/>
        <v>2017-01-09 1:59:59</v>
      </c>
      <c r="D75" s="31">
        <f t="shared" si="4"/>
        <v>15</v>
      </c>
      <c r="E75" s="26" t="str">
        <f ca="1">VLOOKUP(D75,OFFSET(weekly_mission_groups!$B$2,0,0,COUNTA(weekly_mission_groups!$B:$B),MATCH(E$2,weekly_mission_groups!$2:$2,0)-MATCH(D$2,weekly_mission_groups!$2:$2,0)+1),MATCH(E$2,weekly_mission_groups!$2:$2,0)-MATCH(D$2,weekly_mission_groups!$2:$2,0)+1,FALSE)</f>
        <v>シリーズ5-3</v>
      </c>
    </row>
    <row r="76" spans="1:5" ht="21" customHeight="1" x14ac:dyDescent="0.15">
      <c r="A76" s="2">
        <f t="shared" si="0"/>
        <v>73</v>
      </c>
      <c r="B76" s="96" t="str">
        <f t="shared" si="1"/>
        <v>2017-01-09 2:00:00</v>
      </c>
      <c r="C76" s="96" t="str">
        <f t="shared" si="2"/>
        <v>2017-01-16 1:59:59</v>
      </c>
      <c r="D76" s="31">
        <f t="shared" si="4"/>
        <v>13</v>
      </c>
      <c r="E76" s="26" t="str">
        <f ca="1">VLOOKUP(D76,OFFSET(weekly_mission_groups!$B$2,0,0,COUNTA(weekly_mission_groups!$B:$B),MATCH(E$2,weekly_mission_groups!$2:$2,0)-MATCH(D$2,weekly_mission_groups!$2:$2,0)+1),MATCH(E$2,weekly_mission_groups!$2:$2,0)-MATCH(D$2,weekly_mission_groups!$2:$2,0)+1,FALSE)</f>
        <v>シリーズ5-1</v>
      </c>
    </row>
    <row r="77" spans="1:5" ht="21" customHeight="1" x14ac:dyDescent="0.15">
      <c r="A77" s="2">
        <f t="shared" si="0"/>
        <v>74</v>
      </c>
      <c r="B77" s="96" t="str">
        <f t="shared" si="1"/>
        <v>2017-01-16 2:00:00</v>
      </c>
      <c r="C77" s="96" t="str">
        <f t="shared" si="2"/>
        <v>2017-01-23 1:59:59</v>
      </c>
      <c r="D77" s="31">
        <f t="shared" si="4"/>
        <v>14</v>
      </c>
      <c r="E77" s="26" t="str">
        <f ca="1">VLOOKUP(D77,OFFSET(weekly_mission_groups!$B$2,0,0,COUNTA(weekly_mission_groups!$B:$B),MATCH(E$2,weekly_mission_groups!$2:$2,0)-MATCH(D$2,weekly_mission_groups!$2:$2,0)+1),MATCH(E$2,weekly_mission_groups!$2:$2,0)-MATCH(D$2,weekly_mission_groups!$2:$2,0)+1,FALSE)</f>
        <v>シリーズ5-2</v>
      </c>
    </row>
    <row r="78" spans="1:5" ht="21" customHeight="1" x14ac:dyDescent="0.15">
      <c r="A78" s="2">
        <f t="shared" si="0"/>
        <v>75</v>
      </c>
      <c r="B78" s="96" t="str">
        <f t="shared" si="1"/>
        <v>2017-01-23 2:00:00</v>
      </c>
      <c r="C78" s="96" t="str">
        <f t="shared" si="2"/>
        <v>2017-01-30 1:59:59</v>
      </c>
      <c r="D78" s="31">
        <f t="shared" si="4"/>
        <v>15</v>
      </c>
      <c r="E78" s="26" t="str">
        <f ca="1">VLOOKUP(D78,OFFSET(weekly_mission_groups!$B$2,0,0,COUNTA(weekly_mission_groups!$B:$B),MATCH(E$2,weekly_mission_groups!$2:$2,0)-MATCH(D$2,weekly_mission_groups!$2:$2,0)+1),MATCH(E$2,weekly_mission_groups!$2:$2,0)-MATCH(D$2,weekly_mission_groups!$2:$2,0)+1,FALSE)</f>
        <v>シリーズ5-3</v>
      </c>
    </row>
    <row r="79" spans="1:5" ht="21" customHeight="1" x14ac:dyDescent="0.15">
      <c r="A79" s="2">
        <f t="shared" si="0"/>
        <v>76</v>
      </c>
      <c r="B79" s="96" t="str">
        <f t="shared" si="1"/>
        <v>2017-01-30 2:00:00</v>
      </c>
      <c r="C79" s="96" t="str">
        <f t="shared" si="2"/>
        <v>2017-02-06 1:59:59</v>
      </c>
      <c r="D79" s="31">
        <f t="shared" si="4"/>
        <v>13</v>
      </c>
      <c r="E79" s="26" t="str">
        <f ca="1">VLOOKUP(D79,OFFSET(weekly_mission_groups!$B$2,0,0,COUNTA(weekly_mission_groups!$B:$B),MATCH(E$2,weekly_mission_groups!$2:$2,0)-MATCH(D$2,weekly_mission_groups!$2:$2,0)+1),MATCH(E$2,weekly_mission_groups!$2:$2,0)-MATCH(D$2,weekly_mission_groups!$2:$2,0)+1,FALSE)</f>
        <v>シリーズ5-1</v>
      </c>
    </row>
    <row r="80" spans="1:5" ht="21" customHeight="1" x14ac:dyDescent="0.15">
      <c r="A80" s="2">
        <f t="shared" si="0"/>
        <v>77</v>
      </c>
      <c r="B80" s="96" t="str">
        <f t="shared" si="1"/>
        <v>2017-02-06 2:00:00</v>
      </c>
      <c r="C80" s="96" t="str">
        <f t="shared" si="2"/>
        <v>2017-02-13 1:59:59</v>
      </c>
      <c r="D80" s="31">
        <f t="shared" si="4"/>
        <v>14</v>
      </c>
      <c r="E80" s="26" t="str">
        <f ca="1">VLOOKUP(D80,OFFSET(weekly_mission_groups!$B$2,0,0,COUNTA(weekly_mission_groups!$B:$B),MATCH(E$2,weekly_mission_groups!$2:$2,0)-MATCH(D$2,weekly_mission_groups!$2:$2,0)+1),MATCH(E$2,weekly_mission_groups!$2:$2,0)-MATCH(D$2,weekly_mission_groups!$2:$2,0)+1,FALSE)</f>
        <v>シリーズ5-2</v>
      </c>
    </row>
    <row r="81" spans="1:5" ht="21" customHeight="1" x14ac:dyDescent="0.15">
      <c r="A81" s="2">
        <f t="shared" si="0"/>
        <v>78</v>
      </c>
      <c r="B81" s="96" t="str">
        <f t="shared" si="1"/>
        <v>2017-02-13 2:00:00</v>
      </c>
      <c r="C81" s="96" t="str">
        <f t="shared" si="2"/>
        <v>2017-02-20 1:59:59</v>
      </c>
      <c r="D81" s="31">
        <f t="shared" si="4"/>
        <v>15</v>
      </c>
      <c r="E81" s="26" t="str">
        <f ca="1">VLOOKUP(D81,OFFSET(weekly_mission_groups!$B$2,0,0,COUNTA(weekly_mission_groups!$B:$B),MATCH(E$2,weekly_mission_groups!$2:$2,0)-MATCH(D$2,weekly_mission_groups!$2:$2,0)+1),MATCH(E$2,weekly_mission_groups!$2:$2,0)-MATCH(D$2,weekly_mission_groups!$2:$2,0)+1,FALSE)</f>
        <v>シリーズ5-3</v>
      </c>
    </row>
    <row r="82" spans="1:5" ht="21" customHeight="1" x14ac:dyDescent="0.15">
      <c r="A82" s="2">
        <f t="shared" si="0"/>
        <v>79</v>
      </c>
      <c r="B82" s="96" t="str">
        <f t="shared" si="1"/>
        <v>2017-02-20 2:00:00</v>
      </c>
      <c r="C82" s="96" t="str">
        <f t="shared" si="2"/>
        <v>2017-02-27 1:59:59</v>
      </c>
      <c r="D82" s="77">
        <v>103</v>
      </c>
      <c r="E82" s="26" t="str">
        <f ca="1">VLOOKUP(D82,OFFSET(weekly_mission_groups!$B$2,0,0,COUNTA(weekly_mission_groups!$B:$B),MATCH(E$2,weekly_mission_groups!$2:$2,0)-MATCH(D$2,weekly_mission_groups!$2:$2,0)+1),MATCH(E$2,weekly_mission_groups!$2:$2,0)-MATCH(D$2,weekly_mission_groups!$2:$2,0)+1,FALSE)</f>
        <v>週間ミッション強化</v>
      </c>
    </row>
    <row r="83" spans="1:5" ht="21" customHeight="1" x14ac:dyDescent="0.15">
      <c r="A83" s="2">
        <f t="shared" si="0"/>
        <v>80</v>
      </c>
      <c r="B83" s="96" t="str">
        <f>TEXT(B82+7,"yyyy-mm-dd h:mm:ss")</f>
        <v>2017-02-27 2:00:00</v>
      </c>
      <c r="C83" s="96" t="str">
        <f>TEXT(C82+7,"yyyy-mm-dd h:mm:ss")</f>
        <v>2017-03-06 1:59:59</v>
      </c>
      <c r="D83" s="77">
        <v>17</v>
      </c>
      <c r="E83" s="26" t="str">
        <f ca="1">VLOOKUP(D83,OFFSET(weekly_mission_groups!$B$2,0,0,COUNTA(weekly_mission_groups!$B:$B),MATCH(E$2,weekly_mission_groups!$2:$2,0)-MATCH(D$2,weekly_mission_groups!$2:$2,0)+1),MATCH(E$2,weekly_mission_groups!$2:$2,0)-MATCH(D$2,weekly_mission_groups!$2:$2,0)+1,FALSE)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84" spans="1:5" ht="21" customHeight="1" x14ac:dyDescent="0.15">
      <c r="A84" s="2">
        <f t="shared" si="0"/>
        <v>81</v>
      </c>
      <c r="B84" s="96" t="str">
        <f t="shared" si="1"/>
        <v>2017-03-06 2:00:00</v>
      </c>
      <c r="C84" s="96" t="str">
        <f t="shared" si="2"/>
        <v>2017-03-13 1:59:59</v>
      </c>
      <c r="D84" s="77">
        <v>18</v>
      </c>
      <c r="E84" s="26" t="str">
        <f ca="1">VLOOKUP(D84,OFFSET(weekly_mission_groups!$B$2,0,0,COUNTA(weekly_mission_groups!$B:$B),MATCH(E$2,weekly_mission_groups!$2:$2,0)-MATCH(D$2,weekly_mission_groups!$2:$2,0)+1),MATCH(E$2,weekly_mission_groups!$2:$2,0)-MATCH(D$2,weekly_mission_groups!$2:$2,0)+1,FALSE)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85" spans="1:5" ht="21" customHeight="1" x14ac:dyDescent="0.15">
      <c r="A85" s="2">
        <f t="shared" si="0"/>
        <v>82</v>
      </c>
      <c r="B85" s="96" t="str">
        <f t="shared" si="1"/>
        <v>2017-03-13 2:00:00</v>
      </c>
      <c r="C85" s="96" t="str">
        <f t="shared" si="2"/>
        <v>2017-03-20 1:59:59</v>
      </c>
      <c r="D85" s="77">
        <v>16</v>
      </c>
      <c r="E85" s="26" t="str">
        <f ca="1">VLOOKUP(D85,OFFSET(weekly_mission_groups!$B$2,0,0,COUNTA(weekly_mission_groups!$B:$B),MATCH(E$2,weekly_mission_groups!$2:$2,0)-MATCH(D$2,weekly_mission_groups!$2:$2,0)+1),MATCH(E$2,weekly_mission_groups!$2:$2,0)-MATCH(D$2,weekly_mission_groups!$2:$2,0)+1,FALSE)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86" spans="1:5" ht="21" customHeight="1" x14ac:dyDescent="0.15">
      <c r="A86" s="2">
        <f t="shared" si="0"/>
        <v>83</v>
      </c>
      <c r="B86" s="96" t="str">
        <f t="shared" si="1"/>
        <v>2017-03-20 2:00:00</v>
      </c>
      <c r="C86" s="96" t="str">
        <f t="shared" si="2"/>
        <v>2017-03-27 1:59:59</v>
      </c>
      <c r="D86" s="31">
        <f>D83</f>
        <v>17</v>
      </c>
      <c r="E86" s="26" t="str">
        <f ca="1">VLOOKUP(D86,OFFSET(weekly_mission_groups!$B$2,0,0,COUNTA(weekly_mission_groups!$B:$B),MATCH(E$2,weekly_mission_groups!$2:$2,0)-MATCH(D$2,weekly_mission_groups!$2:$2,0)+1),MATCH(E$2,weekly_mission_groups!$2:$2,0)-MATCH(D$2,weekly_mission_groups!$2:$2,0)+1,FALSE)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87" spans="1:5" ht="21" customHeight="1" x14ac:dyDescent="0.15">
      <c r="A87" s="2">
        <f t="shared" si="0"/>
        <v>84</v>
      </c>
      <c r="B87" s="96" t="str">
        <f t="shared" si="1"/>
        <v>2017-03-27 2:00:00</v>
      </c>
      <c r="C87" s="96" t="str">
        <f t="shared" si="2"/>
        <v>2017-04-03 1:59:59</v>
      </c>
      <c r="D87" s="31">
        <f>D84</f>
        <v>18</v>
      </c>
      <c r="E87" s="26" t="str">
        <f ca="1">VLOOKUP(D87,OFFSET(weekly_mission_groups!$B$2,0,0,COUNTA(weekly_mission_groups!$B:$B),MATCH(E$2,weekly_mission_groups!$2:$2,0)-MATCH(D$2,weekly_mission_groups!$2:$2,0)+1),MATCH(E$2,weekly_mission_groups!$2:$2,0)-MATCH(D$2,weekly_mission_groups!$2:$2,0)+1,FALSE)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88" spans="1:5" ht="21" customHeight="1" x14ac:dyDescent="0.15">
      <c r="A88" s="2">
        <f t="shared" si="0"/>
        <v>85</v>
      </c>
      <c r="B88" s="96" t="str">
        <f t="shared" si="1"/>
        <v>2017-04-03 2:00:00</v>
      </c>
      <c r="C88" s="96" t="str">
        <f t="shared" si="2"/>
        <v>2017-04-10 1:59:59</v>
      </c>
      <c r="D88" s="31">
        <f>D85</f>
        <v>16</v>
      </c>
      <c r="E88" s="26" t="str">
        <f ca="1">VLOOKUP(D88,OFFSET(weekly_mission_groups!$B$2,0,0,COUNTA(weekly_mission_groups!$B:$B),MATCH(E$2,weekly_mission_groups!$2:$2,0)-MATCH(D$2,weekly_mission_groups!$2:$2,0)+1),MATCH(E$2,weekly_mission_groups!$2:$2,0)-MATCH(D$2,weekly_mission_groups!$2:$2,0)+1,FALSE)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89" spans="1:5" ht="21" customHeight="1" x14ac:dyDescent="0.15">
      <c r="A89" s="2">
        <f t="shared" si="0"/>
        <v>86</v>
      </c>
      <c r="B89" s="96" t="str">
        <f t="shared" si="1"/>
        <v>2017-04-10 2:00:00</v>
      </c>
      <c r="C89" s="96" t="str">
        <f t="shared" si="2"/>
        <v>2017-04-17 1:59:59</v>
      </c>
      <c r="D89" s="31">
        <f t="shared" si="4"/>
        <v>17</v>
      </c>
      <c r="E89" s="26" t="str">
        <f ca="1">VLOOKUP(D89,OFFSET(weekly_mission_groups!$B$2,0,0,COUNTA(weekly_mission_groups!$B:$B),MATCH(E$2,weekly_mission_groups!$2:$2,0)-MATCH(D$2,weekly_mission_groups!$2:$2,0)+1),MATCH(E$2,weekly_mission_groups!$2:$2,0)-MATCH(D$2,weekly_mission_groups!$2:$2,0)+1,FALSE)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90" spans="1:5" ht="21" customHeight="1" x14ac:dyDescent="0.15">
      <c r="A90" s="2">
        <f t="shared" si="0"/>
        <v>87</v>
      </c>
      <c r="B90" s="96" t="str">
        <f t="shared" si="1"/>
        <v>2017-04-17 2:00:00</v>
      </c>
      <c r="C90" s="96" t="str">
        <f t="shared" si="2"/>
        <v>2017-04-24 1:59:59</v>
      </c>
      <c r="D90" s="31">
        <f t="shared" si="4"/>
        <v>18</v>
      </c>
      <c r="E90" s="26" t="str">
        <f ca="1">VLOOKUP(D90,OFFSET(weekly_mission_groups!$B$2,0,0,COUNTA(weekly_mission_groups!$B:$B),MATCH(E$2,weekly_mission_groups!$2:$2,0)-MATCH(D$2,weekly_mission_groups!$2:$2,0)+1),MATCH(E$2,weekly_mission_groups!$2:$2,0)-MATCH(D$2,weekly_mission_groups!$2:$2,0)+1,FALSE)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91" spans="1:5" ht="21" customHeight="1" x14ac:dyDescent="0.15">
      <c r="A91" s="2">
        <f t="shared" si="0"/>
        <v>88</v>
      </c>
      <c r="B91" s="96" t="str">
        <f t="shared" si="1"/>
        <v>2017-04-24 2:00:00</v>
      </c>
      <c r="C91" s="96" t="str">
        <f t="shared" si="2"/>
        <v>2017-05-01 1:59:59</v>
      </c>
      <c r="D91" s="31">
        <f t="shared" si="4"/>
        <v>16</v>
      </c>
      <c r="E91" s="26" t="str">
        <f ca="1">VLOOKUP(D91,OFFSET(weekly_mission_groups!$B$2,0,0,COUNTA(weekly_mission_groups!$B:$B),MATCH(E$2,weekly_mission_groups!$2:$2,0)-MATCH(D$2,weekly_mission_groups!$2:$2,0)+1),MATCH(E$2,weekly_mission_groups!$2:$2,0)-MATCH(D$2,weekly_mission_groups!$2:$2,0)+1,FALSE)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92" spans="1:5" ht="21" customHeight="1" x14ac:dyDescent="0.15">
      <c r="A92" s="2">
        <f t="shared" si="0"/>
        <v>89</v>
      </c>
      <c r="B92" s="96" t="str">
        <f t="shared" si="1"/>
        <v>2017-05-01 2:00:00</v>
      </c>
      <c r="C92" s="96" t="str">
        <f t="shared" si="2"/>
        <v>2017-05-08 1:59:59</v>
      </c>
      <c r="D92" s="31">
        <f t="shared" si="4"/>
        <v>17</v>
      </c>
      <c r="E92" s="26" t="str">
        <f ca="1">VLOOKUP(D92,OFFSET(weekly_mission_groups!$B$2,0,0,COUNTA(weekly_mission_groups!$B:$B),MATCH(E$2,weekly_mission_groups!$2:$2,0)-MATCH(D$2,weekly_mission_groups!$2:$2,0)+1),MATCH(E$2,weekly_mission_groups!$2:$2,0)-MATCH(D$2,weekly_mission_groups!$2:$2,0)+1,FALSE)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93" spans="1:5" ht="21" customHeight="1" x14ac:dyDescent="0.15">
      <c r="A93" s="2">
        <f t="shared" si="0"/>
        <v>90</v>
      </c>
      <c r="B93" s="96" t="str">
        <f t="shared" si="1"/>
        <v>2017-05-08 2:00:00</v>
      </c>
      <c r="C93" s="96" t="str">
        <f t="shared" si="2"/>
        <v>2017-05-15 1:59:59</v>
      </c>
      <c r="D93" s="31">
        <f t="shared" si="4"/>
        <v>18</v>
      </c>
      <c r="E93" s="26" t="str">
        <f ca="1">VLOOKUP(D93,OFFSET(weekly_mission_groups!$B$2,0,0,COUNTA(weekly_mission_groups!$B:$B),MATCH(E$2,weekly_mission_groups!$2:$2,0)-MATCH(D$2,weekly_mission_groups!$2:$2,0)+1),MATCH(E$2,weekly_mission_groups!$2:$2,0)-MATCH(D$2,weekly_mission_groups!$2:$2,0)+1,FALSE)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94" spans="1:5" ht="21" customHeight="1" x14ac:dyDescent="0.15">
      <c r="A94" s="2">
        <f t="shared" si="0"/>
        <v>91</v>
      </c>
      <c r="B94" s="96" t="str">
        <f t="shared" si="1"/>
        <v>2017-05-15 2:00:00</v>
      </c>
      <c r="C94" s="96" t="str">
        <f t="shared" si="2"/>
        <v>2017-05-22 1:59:59</v>
      </c>
      <c r="D94" s="31">
        <f t="shared" si="4"/>
        <v>16</v>
      </c>
      <c r="E94" s="26" t="str">
        <f ca="1">VLOOKUP(D94,OFFSET(weekly_mission_groups!$B$2,0,0,COUNTA(weekly_mission_groups!$B:$B),MATCH(E$2,weekly_mission_groups!$2:$2,0)-MATCH(D$2,weekly_mission_groups!$2:$2,0)+1),MATCH(E$2,weekly_mission_groups!$2:$2,0)-MATCH(D$2,weekly_mission_groups!$2:$2,0)+1,FALSE)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95" spans="1:5" ht="21" customHeight="1" x14ac:dyDescent="0.15">
      <c r="A95" s="2">
        <f t="shared" si="0"/>
        <v>92</v>
      </c>
      <c r="B95" s="96" t="str">
        <f t="shared" si="1"/>
        <v>2017-05-22 2:00:00</v>
      </c>
      <c r="C95" s="96" t="str">
        <f t="shared" si="2"/>
        <v>2017-05-29 1:59:59</v>
      </c>
      <c r="D95" s="31">
        <f t="shared" si="4"/>
        <v>17</v>
      </c>
      <c r="E95" s="26" t="str">
        <f ca="1">VLOOKUP(D95,OFFSET(weekly_mission_groups!$B$2,0,0,COUNTA(weekly_mission_groups!$B:$B),MATCH(E$2,weekly_mission_groups!$2:$2,0)-MATCH(D$2,weekly_mission_groups!$2:$2,0)+1),MATCH(E$2,weekly_mission_groups!$2:$2,0)-MATCH(D$2,weekly_mission_groups!$2:$2,0)+1,FALSE)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96" spans="1:5" ht="21" customHeight="1" x14ac:dyDescent="0.15">
      <c r="A96" s="2">
        <f t="shared" si="0"/>
        <v>93</v>
      </c>
      <c r="B96" s="96" t="str">
        <f t="shared" si="1"/>
        <v>2017-05-29 2:00:00</v>
      </c>
      <c r="C96" s="96" t="str">
        <f t="shared" si="2"/>
        <v>2017-06-05 1:59:59</v>
      </c>
      <c r="D96" s="31">
        <f t="shared" si="4"/>
        <v>18</v>
      </c>
      <c r="E96" s="26" t="str">
        <f ca="1">VLOOKUP(D96,OFFSET(weekly_mission_groups!$B$2,0,0,COUNTA(weekly_mission_groups!$B:$B),MATCH(E$2,weekly_mission_groups!$2:$2,0)-MATCH(D$2,weekly_mission_groups!$2:$2,0)+1),MATCH(E$2,weekly_mission_groups!$2:$2,0)-MATCH(D$2,weekly_mission_groups!$2:$2,0)+1,FALSE)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97" spans="1:5" ht="21" customHeight="1" x14ac:dyDescent="0.15">
      <c r="A97" s="2">
        <f t="shared" si="0"/>
        <v>94</v>
      </c>
      <c r="B97" s="96" t="str">
        <f t="shared" si="1"/>
        <v>2017-06-05 2:00:00</v>
      </c>
      <c r="C97" s="96" t="str">
        <f t="shared" si="2"/>
        <v>2017-06-12 1:59:59</v>
      </c>
      <c r="D97" s="31">
        <f t="shared" si="4"/>
        <v>16</v>
      </c>
      <c r="E97" s="26" t="str">
        <f ca="1">VLOOKUP(D97,OFFSET(weekly_mission_groups!$B$2,0,0,COUNTA(weekly_mission_groups!$B:$B),MATCH(E$2,weekly_mission_groups!$2:$2,0)-MATCH(D$2,weekly_mission_groups!$2:$2,0)+1),MATCH(E$2,weekly_mission_groups!$2:$2,0)-MATCH(D$2,weekly_mission_groups!$2:$2,0)+1,FALSE)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98" spans="1:5" ht="21" customHeight="1" x14ac:dyDescent="0.15">
      <c r="A98" s="2">
        <f t="shared" si="0"/>
        <v>95</v>
      </c>
      <c r="B98" s="96" t="str">
        <f t="shared" si="1"/>
        <v>2017-06-12 2:00:00</v>
      </c>
      <c r="C98" s="96" t="str">
        <f t="shared" si="2"/>
        <v>2017-06-19 1:59:59</v>
      </c>
      <c r="D98" s="31">
        <f t="shared" si="4"/>
        <v>17</v>
      </c>
      <c r="E98" s="26" t="str">
        <f ca="1">VLOOKUP(D98,OFFSET(weekly_mission_groups!$B$2,0,0,COUNTA(weekly_mission_groups!$B:$B),MATCH(E$2,weekly_mission_groups!$2:$2,0)-MATCH(D$2,weekly_mission_groups!$2:$2,0)+1),MATCH(E$2,weekly_mission_groups!$2:$2,0)-MATCH(D$2,weekly_mission_groups!$2:$2,0)+1,FALSE)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99" spans="1:5" ht="21" customHeight="1" x14ac:dyDescent="0.15">
      <c r="A99" s="2">
        <f t="shared" si="0"/>
        <v>96</v>
      </c>
      <c r="B99" s="96" t="str">
        <f t="shared" si="1"/>
        <v>2017-06-19 2:00:00</v>
      </c>
      <c r="C99" s="96" t="str">
        <f t="shared" si="2"/>
        <v>2017-06-26 1:59:59</v>
      </c>
      <c r="D99" s="31">
        <f t="shared" si="4"/>
        <v>18</v>
      </c>
      <c r="E99" s="26" t="str">
        <f ca="1">VLOOKUP(D99,OFFSET(weekly_mission_groups!$B$2,0,0,COUNTA(weekly_mission_groups!$B:$B),MATCH(E$2,weekly_mission_groups!$2:$2,0)-MATCH(D$2,weekly_mission_groups!$2:$2,0)+1),MATCH(E$2,weekly_mission_groups!$2:$2,0)-MATCH(D$2,weekly_mission_groups!$2:$2,0)+1,FALSE)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100" spans="1:5" ht="21" customHeight="1" x14ac:dyDescent="0.15">
      <c r="A100" s="2">
        <f t="shared" si="0"/>
        <v>97</v>
      </c>
      <c r="B100" s="96" t="str">
        <f t="shared" si="1"/>
        <v>2017-06-26 2:00:00</v>
      </c>
      <c r="C100" s="96" t="str">
        <f t="shared" si="2"/>
        <v>2017-07-03 1:59:59</v>
      </c>
      <c r="D100" s="31">
        <f t="shared" si="4"/>
        <v>16</v>
      </c>
      <c r="E100" s="26" t="str">
        <f ca="1">VLOOKUP(D100,OFFSET(weekly_mission_groups!$B$2,0,0,COUNTA(weekly_mission_groups!$B:$B),MATCH(E$2,weekly_mission_groups!$2:$2,0)-MATCH(D$2,weekly_mission_groups!$2:$2,0)+1),MATCH(E$2,weekly_mission_groups!$2:$2,0)-MATCH(D$2,weekly_mission_groups!$2:$2,0)+1,FALSE)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101" spans="1:5" ht="21" customHeight="1" x14ac:dyDescent="0.15">
      <c r="A101" s="2">
        <f t="shared" ref="A101:A164" si="5">A100+1</f>
        <v>98</v>
      </c>
      <c r="B101" s="96" t="str">
        <f t="shared" si="1"/>
        <v>2017-07-03 2:00:00</v>
      </c>
      <c r="C101" s="96" t="str">
        <f t="shared" si="2"/>
        <v>2017-07-10 1:59:59</v>
      </c>
      <c r="D101" s="31">
        <f t="shared" si="4"/>
        <v>17</v>
      </c>
      <c r="E101" s="26" t="str">
        <f ca="1">VLOOKUP(D101,OFFSET(weekly_mission_groups!$B$2,0,0,COUNTA(weekly_mission_groups!$B:$B),MATCH(E$2,weekly_mission_groups!$2:$2,0)-MATCH(D$2,weekly_mission_groups!$2:$2,0)+1),MATCH(E$2,weekly_mission_groups!$2:$2,0)-MATCH(D$2,weekly_mission_groups!$2:$2,0)+1,FALSE)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102" spans="1:5" ht="21" customHeight="1" x14ac:dyDescent="0.15">
      <c r="A102" s="2">
        <f t="shared" si="5"/>
        <v>99</v>
      </c>
      <c r="B102" s="96" t="str">
        <f t="shared" si="1"/>
        <v>2017-07-10 2:00:00</v>
      </c>
      <c r="C102" s="96" t="str">
        <f t="shared" si="2"/>
        <v>2017-07-17 1:59:59</v>
      </c>
      <c r="D102" s="31">
        <f t="shared" si="4"/>
        <v>18</v>
      </c>
      <c r="E102" s="26" t="str">
        <f ca="1">VLOOKUP(D102,OFFSET(weekly_mission_groups!$B$2,0,0,COUNTA(weekly_mission_groups!$B:$B),MATCH(E$2,weekly_mission_groups!$2:$2,0)-MATCH(D$2,weekly_mission_groups!$2:$2,0)+1),MATCH(E$2,weekly_mission_groups!$2:$2,0)-MATCH(D$2,weekly_mission_groups!$2:$2,0)+1,FALSE)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103" spans="1:5" ht="21" customHeight="1" x14ac:dyDescent="0.15">
      <c r="A103" s="2">
        <f t="shared" si="5"/>
        <v>100</v>
      </c>
      <c r="B103" s="96" t="str">
        <f t="shared" si="1"/>
        <v>2017-07-17 2:00:00</v>
      </c>
      <c r="C103" s="96" t="str">
        <f t="shared" si="2"/>
        <v>2017-07-24 1:59:59</v>
      </c>
      <c r="D103" s="31">
        <f t="shared" si="4"/>
        <v>16</v>
      </c>
      <c r="E103" s="26" t="str">
        <f ca="1">VLOOKUP(D103,OFFSET(weekly_mission_groups!$B$2,0,0,COUNTA(weekly_mission_groups!$B:$B),MATCH(E$2,weekly_mission_groups!$2:$2,0)-MATCH(D$2,weekly_mission_groups!$2:$2,0)+1),MATCH(E$2,weekly_mission_groups!$2:$2,0)-MATCH(D$2,weekly_mission_groups!$2:$2,0)+1,FALSE)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104" spans="1:5" ht="21" customHeight="1" x14ac:dyDescent="0.15">
      <c r="A104" s="2">
        <f t="shared" si="5"/>
        <v>101</v>
      </c>
      <c r="B104" s="96" t="str">
        <f t="shared" si="1"/>
        <v>2017-07-24 2:00:00</v>
      </c>
      <c r="C104" s="96" t="str">
        <f t="shared" si="2"/>
        <v>2017-07-31 1:59:59</v>
      </c>
      <c r="D104" s="31">
        <f t="shared" si="4"/>
        <v>17</v>
      </c>
      <c r="E104" s="26" t="str">
        <f ca="1">VLOOKUP(D104,OFFSET(weekly_mission_groups!$B$2,0,0,COUNTA(weekly_mission_groups!$B:$B),MATCH(E$2,weekly_mission_groups!$2:$2,0)-MATCH(D$2,weekly_mission_groups!$2:$2,0)+1),MATCH(E$2,weekly_mission_groups!$2:$2,0)-MATCH(D$2,weekly_mission_groups!$2:$2,0)+1,FALSE)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105" spans="1:5" ht="21" customHeight="1" x14ac:dyDescent="0.15">
      <c r="A105" s="2">
        <f t="shared" si="5"/>
        <v>102</v>
      </c>
      <c r="B105" s="96" t="str">
        <f t="shared" ref="B105:B168" si="6">TEXT(B104+7,"yyyy-mm-dd h:mm:ss")</f>
        <v>2017-07-31 2:00:00</v>
      </c>
      <c r="C105" s="96" t="str">
        <f t="shared" ref="C105:C168" si="7">TEXT(C104+7,"yyyy-mm-dd h:mm:ss")</f>
        <v>2017-08-07 1:59:59</v>
      </c>
      <c r="D105" s="31">
        <f t="shared" si="4"/>
        <v>18</v>
      </c>
      <c r="E105" s="26" t="str">
        <f ca="1">VLOOKUP(D105,OFFSET(weekly_mission_groups!$B$2,0,0,COUNTA(weekly_mission_groups!$B:$B),MATCH(E$2,weekly_mission_groups!$2:$2,0)-MATCH(D$2,weekly_mission_groups!$2:$2,0)+1),MATCH(E$2,weekly_mission_groups!$2:$2,0)-MATCH(D$2,weekly_mission_groups!$2:$2,0)+1,FALSE)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106" spans="1:5" ht="21" customHeight="1" x14ac:dyDescent="0.15">
      <c r="A106" s="2">
        <f t="shared" si="5"/>
        <v>103</v>
      </c>
      <c r="B106" s="96" t="str">
        <f t="shared" si="6"/>
        <v>2017-08-07 2:00:00</v>
      </c>
      <c r="C106" s="96" t="str">
        <f t="shared" si="7"/>
        <v>2017-08-14 1:59:59</v>
      </c>
      <c r="D106" s="31">
        <f t="shared" si="4"/>
        <v>16</v>
      </c>
      <c r="E106" s="26" t="str">
        <f ca="1">VLOOKUP(D106,OFFSET(weekly_mission_groups!$B$2,0,0,COUNTA(weekly_mission_groups!$B:$B),MATCH(E$2,weekly_mission_groups!$2:$2,0)-MATCH(D$2,weekly_mission_groups!$2:$2,0)+1),MATCH(E$2,weekly_mission_groups!$2:$2,0)-MATCH(D$2,weekly_mission_groups!$2:$2,0)+1,FALSE)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107" spans="1:5" ht="21" customHeight="1" x14ac:dyDescent="0.15">
      <c r="A107" s="2">
        <f t="shared" si="5"/>
        <v>104</v>
      </c>
      <c r="B107" s="96" t="str">
        <f t="shared" si="6"/>
        <v>2017-08-14 2:00:00</v>
      </c>
      <c r="C107" s="96" t="str">
        <f t="shared" si="7"/>
        <v>2017-08-21 1:59:59</v>
      </c>
      <c r="D107" s="31">
        <f t="shared" si="4"/>
        <v>17</v>
      </c>
      <c r="E107" s="26" t="str">
        <f ca="1">VLOOKUP(D107,OFFSET(weekly_mission_groups!$B$2,0,0,COUNTA(weekly_mission_groups!$B:$B),MATCH(E$2,weekly_mission_groups!$2:$2,0)-MATCH(D$2,weekly_mission_groups!$2:$2,0)+1),MATCH(E$2,weekly_mission_groups!$2:$2,0)-MATCH(D$2,weekly_mission_groups!$2:$2,0)+1,FALSE)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108" spans="1:5" ht="21" customHeight="1" x14ac:dyDescent="0.15">
      <c r="A108" s="2">
        <f t="shared" si="5"/>
        <v>105</v>
      </c>
      <c r="B108" s="96" t="str">
        <f t="shared" si="6"/>
        <v>2017-08-21 2:00:00</v>
      </c>
      <c r="C108" s="96" t="str">
        <f t="shared" si="7"/>
        <v>2017-08-28 1:59:59</v>
      </c>
      <c r="D108" s="31">
        <f t="shared" si="4"/>
        <v>18</v>
      </c>
      <c r="E108" s="26" t="str">
        <f ca="1">VLOOKUP(D108,OFFSET(weekly_mission_groups!$B$2,0,0,COUNTA(weekly_mission_groups!$B:$B),MATCH(E$2,weekly_mission_groups!$2:$2,0)-MATCH(D$2,weekly_mission_groups!$2:$2,0)+1),MATCH(E$2,weekly_mission_groups!$2:$2,0)-MATCH(D$2,weekly_mission_groups!$2:$2,0)+1,FALSE)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109" spans="1:5" ht="21" customHeight="1" x14ac:dyDescent="0.15">
      <c r="A109" s="2">
        <f t="shared" si="5"/>
        <v>106</v>
      </c>
      <c r="B109" s="96" t="str">
        <f t="shared" si="6"/>
        <v>2017-08-28 2:00:00</v>
      </c>
      <c r="C109" s="96" t="str">
        <f t="shared" si="7"/>
        <v>2017-09-04 1:59:59</v>
      </c>
      <c r="D109" s="31">
        <f t="shared" si="4"/>
        <v>16</v>
      </c>
      <c r="E109" s="26" t="str">
        <f ca="1">VLOOKUP(D109,OFFSET(weekly_mission_groups!$B$2,0,0,COUNTA(weekly_mission_groups!$B:$B),MATCH(E$2,weekly_mission_groups!$2:$2,0)-MATCH(D$2,weekly_mission_groups!$2:$2,0)+1),MATCH(E$2,weekly_mission_groups!$2:$2,0)-MATCH(D$2,weekly_mission_groups!$2:$2,0)+1,FALSE)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110" spans="1:5" ht="21" customHeight="1" x14ac:dyDescent="0.15">
      <c r="A110" s="2">
        <f t="shared" si="5"/>
        <v>107</v>
      </c>
      <c r="B110" s="96" t="str">
        <f t="shared" si="6"/>
        <v>2017-09-04 2:00:00</v>
      </c>
      <c r="C110" s="96" t="str">
        <f t="shared" si="7"/>
        <v>2017-09-11 1:59:59</v>
      </c>
      <c r="D110" s="31">
        <f t="shared" si="4"/>
        <v>17</v>
      </c>
      <c r="E110" s="26" t="str">
        <f ca="1">VLOOKUP(D110,OFFSET(weekly_mission_groups!$B$2,0,0,COUNTA(weekly_mission_groups!$B:$B),MATCH(E$2,weekly_mission_groups!$2:$2,0)-MATCH(D$2,weekly_mission_groups!$2:$2,0)+1),MATCH(E$2,weekly_mission_groups!$2:$2,0)-MATCH(D$2,weekly_mission_groups!$2:$2,0)+1,FALSE)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111" spans="1:5" ht="21" customHeight="1" x14ac:dyDescent="0.15">
      <c r="A111" s="2">
        <f t="shared" si="5"/>
        <v>108</v>
      </c>
      <c r="B111" s="96" t="str">
        <f t="shared" si="6"/>
        <v>2017-09-11 2:00:00</v>
      </c>
      <c r="C111" s="96" t="str">
        <f t="shared" si="7"/>
        <v>2017-09-18 1:59:59</v>
      </c>
      <c r="D111" s="31">
        <f t="shared" si="4"/>
        <v>18</v>
      </c>
      <c r="E111" s="26" t="str">
        <f ca="1">VLOOKUP(D111,OFFSET(weekly_mission_groups!$B$2,0,0,COUNTA(weekly_mission_groups!$B:$B),MATCH(E$2,weekly_mission_groups!$2:$2,0)-MATCH(D$2,weekly_mission_groups!$2:$2,0)+1),MATCH(E$2,weekly_mission_groups!$2:$2,0)-MATCH(D$2,weekly_mission_groups!$2:$2,0)+1,FALSE)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112" spans="1:5" ht="21" customHeight="1" x14ac:dyDescent="0.15">
      <c r="A112" s="2">
        <f t="shared" si="5"/>
        <v>109</v>
      </c>
      <c r="B112" s="96" t="str">
        <f t="shared" si="6"/>
        <v>2017-09-18 2:00:00</v>
      </c>
      <c r="C112" s="96" t="str">
        <f t="shared" si="7"/>
        <v>2017-09-25 1:59:59</v>
      </c>
      <c r="D112" s="31">
        <f t="shared" si="4"/>
        <v>16</v>
      </c>
      <c r="E112" s="26" t="str">
        <f ca="1">VLOOKUP(D112,OFFSET(weekly_mission_groups!$B$2,0,0,COUNTA(weekly_mission_groups!$B:$B),MATCH(E$2,weekly_mission_groups!$2:$2,0)-MATCH(D$2,weekly_mission_groups!$2:$2,0)+1),MATCH(E$2,weekly_mission_groups!$2:$2,0)-MATCH(D$2,weekly_mission_groups!$2:$2,0)+1,FALSE)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113" spans="1:5" ht="21" customHeight="1" x14ac:dyDescent="0.15">
      <c r="A113" s="2">
        <f t="shared" si="5"/>
        <v>110</v>
      </c>
      <c r="B113" s="96" t="str">
        <f t="shared" si="6"/>
        <v>2017-09-25 2:00:00</v>
      </c>
      <c r="C113" s="96" t="str">
        <f t="shared" si="7"/>
        <v>2017-10-02 1:59:59</v>
      </c>
      <c r="D113" s="31">
        <f t="shared" si="4"/>
        <v>17</v>
      </c>
      <c r="E113" s="26" t="str">
        <f ca="1">VLOOKUP(D113,OFFSET(weekly_mission_groups!$B$2,0,0,COUNTA(weekly_mission_groups!$B:$B),MATCH(E$2,weekly_mission_groups!$2:$2,0)-MATCH(D$2,weekly_mission_groups!$2:$2,0)+1),MATCH(E$2,weekly_mission_groups!$2:$2,0)-MATCH(D$2,weekly_mission_groups!$2:$2,0)+1,FALSE)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114" spans="1:5" ht="21" customHeight="1" x14ac:dyDescent="0.15">
      <c r="A114" s="2">
        <f t="shared" si="5"/>
        <v>111</v>
      </c>
      <c r="B114" s="96" t="str">
        <f t="shared" si="6"/>
        <v>2017-10-02 2:00:00</v>
      </c>
      <c r="C114" s="96" t="str">
        <f t="shared" si="7"/>
        <v>2017-10-09 1:59:59</v>
      </c>
      <c r="D114" s="31">
        <f t="shared" si="4"/>
        <v>18</v>
      </c>
      <c r="E114" s="26" t="str">
        <f ca="1">VLOOKUP(D114,OFFSET(weekly_mission_groups!$B$2,0,0,COUNTA(weekly_mission_groups!$B:$B),MATCH(E$2,weekly_mission_groups!$2:$2,0)-MATCH(D$2,weekly_mission_groups!$2:$2,0)+1),MATCH(E$2,weekly_mission_groups!$2:$2,0)-MATCH(D$2,weekly_mission_groups!$2:$2,0)+1,FALSE)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115" spans="1:5" ht="21" customHeight="1" x14ac:dyDescent="0.15">
      <c r="A115" s="2">
        <f t="shared" si="5"/>
        <v>112</v>
      </c>
      <c r="B115" s="96" t="str">
        <f t="shared" si="6"/>
        <v>2017-10-09 2:00:00</v>
      </c>
      <c r="C115" s="96" t="str">
        <f t="shared" si="7"/>
        <v>2017-10-16 1:59:59</v>
      </c>
      <c r="D115" s="31">
        <f t="shared" si="4"/>
        <v>16</v>
      </c>
      <c r="E115" s="26" t="str">
        <f ca="1">VLOOKUP(D115,OFFSET(weekly_mission_groups!$B$2,0,0,COUNTA(weekly_mission_groups!$B:$B),MATCH(E$2,weekly_mission_groups!$2:$2,0)-MATCH(D$2,weekly_mission_groups!$2:$2,0)+1),MATCH(E$2,weekly_mission_groups!$2:$2,0)-MATCH(D$2,weekly_mission_groups!$2:$2,0)+1,FALSE)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116" spans="1:5" ht="21" customHeight="1" x14ac:dyDescent="0.15">
      <c r="A116" s="2">
        <f t="shared" si="5"/>
        <v>113</v>
      </c>
      <c r="B116" s="96" t="str">
        <f t="shared" si="6"/>
        <v>2017-10-16 2:00:00</v>
      </c>
      <c r="C116" s="96" t="str">
        <f t="shared" si="7"/>
        <v>2017-10-23 1:59:59</v>
      </c>
      <c r="D116" s="31">
        <f t="shared" si="4"/>
        <v>17</v>
      </c>
      <c r="E116" s="26" t="str">
        <f ca="1">VLOOKUP(D116,OFFSET(weekly_mission_groups!$B$2,0,0,COUNTA(weekly_mission_groups!$B:$B),MATCH(E$2,weekly_mission_groups!$2:$2,0)-MATCH(D$2,weekly_mission_groups!$2:$2,0)+1),MATCH(E$2,weekly_mission_groups!$2:$2,0)-MATCH(D$2,weekly_mission_groups!$2:$2,0)+1,FALSE)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117" spans="1:5" ht="21" customHeight="1" x14ac:dyDescent="0.15">
      <c r="A117" s="2">
        <f t="shared" si="5"/>
        <v>114</v>
      </c>
      <c r="B117" s="96" t="str">
        <f t="shared" si="6"/>
        <v>2017-10-23 2:00:00</v>
      </c>
      <c r="C117" s="96" t="str">
        <f t="shared" si="7"/>
        <v>2017-10-30 1:59:59</v>
      </c>
      <c r="D117" s="31">
        <f t="shared" si="4"/>
        <v>18</v>
      </c>
      <c r="E117" s="26" t="str">
        <f ca="1">VLOOKUP(D117,OFFSET(weekly_mission_groups!$B$2,0,0,COUNTA(weekly_mission_groups!$B:$B),MATCH(E$2,weekly_mission_groups!$2:$2,0)-MATCH(D$2,weekly_mission_groups!$2:$2,0)+1),MATCH(E$2,weekly_mission_groups!$2:$2,0)-MATCH(D$2,weekly_mission_groups!$2:$2,0)+1,FALSE)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118" spans="1:5" ht="21" customHeight="1" x14ac:dyDescent="0.15">
      <c r="A118" s="2">
        <f t="shared" si="5"/>
        <v>115</v>
      </c>
      <c r="B118" s="96" t="str">
        <f t="shared" si="6"/>
        <v>2017-10-30 2:00:00</v>
      </c>
      <c r="C118" s="96" t="str">
        <f t="shared" si="7"/>
        <v>2017-11-06 1:59:59</v>
      </c>
      <c r="D118" s="31">
        <f t="shared" si="4"/>
        <v>16</v>
      </c>
      <c r="E118" s="26" t="str">
        <f ca="1">VLOOKUP(D118,OFFSET(weekly_mission_groups!$B$2,0,0,COUNTA(weekly_mission_groups!$B:$B),MATCH(E$2,weekly_mission_groups!$2:$2,0)-MATCH(D$2,weekly_mission_groups!$2:$2,0)+1),MATCH(E$2,weekly_mission_groups!$2:$2,0)-MATCH(D$2,weekly_mission_groups!$2:$2,0)+1,FALSE)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119" spans="1:5" ht="21" customHeight="1" x14ac:dyDescent="0.15">
      <c r="A119" s="2">
        <f t="shared" si="5"/>
        <v>116</v>
      </c>
      <c r="B119" s="96" t="str">
        <f t="shared" si="6"/>
        <v>2017-11-06 2:00:00</v>
      </c>
      <c r="C119" s="96" t="str">
        <f t="shared" si="7"/>
        <v>2017-11-13 1:59:59</v>
      </c>
      <c r="D119" s="31">
        <f t="shared" si="4"/>
        <v>17</v>
      </c>
      <c r="E119" s="26" t="str">
        <f ca="1">VLOOKUP(D119,OFFSET(weekly_mission_groups!$B$2,0,0,COUNTA(weekly_mission_groups!$B:$B),MATCH(E$2,weekly_mission_groups!$2:$2,0)-MATCH(D$2,weekly_mission_groups!$2:$2,0)+1),MATCH(E$2,weekly_mission_groups!$2:$2,0)-MATCH(D$2,weekly_mission_groups!$2:$2,0)+1,FALSE)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120" spans="1:5" ht="21" customHeight="1" x14ac:dyDescent="0.15">
      <c r="A120" s="2">
        <f t="shared" si="5"/>
        <v>117</v>
      </c>
      <c r="B120" s="96" t="str">
        <f t="shared" si="6"/>
        <v>2017-11-13 2:00:00</v>
      </c>
      <c r="C120" s="96" t="str">
        <f t="shared" si="7"/>
        <v>2017-11-20 1:59:59</v>
      </c>
      <c r="D120" s="31">
        <f t="shared" si="4"/>
        <v>18</v>
      </c>
      <c r="E120" s="26" t="str">
        <f ca="1">VLOOKUP(D120,OFFSET(weekly_mission_groups!$B$2,0,0,COUNTA(weekly_mission_groups!$B:$B),MATCH(E$2,weekly_mission_groups!$2:$2,0)-MATCH(D$2,weekly_mission_groups!$2:$2,0)+1),MATCH(E$2,weekly_mission_groups!$2:$2,0)-MATCH(D$2,weekly_mission_groups!$2:$2,0)+1,FALSE)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121" spans="1:5" ht="21" customHeight="1" x14ac:dyDescent="0.15">
      <c r="A121" s="2">
        <f t="shared" si="5"/>
        <v>118</v>
      </c>
      <c r="B121" s="96" t="str">
        <f t="shared" si="6"/>
        <v>2017-11-20 2:00:00</v>
      </c>
      <c r="C121" s="96" t="str">
        <f t="shared" si="7"/>
        <v>2017-11-27 1:59:59</v>
      </c>
      <c r="D121" s="31">
        <f t="shared" si="4"/>
        <v>16</v>
      </c>
      <c r="E121" s="26" t="str">
        <f ca="1">VLOOKUP(D121,OFFSET(weekly_mission_groups!$B$2,0,0,COUNTA(weekly_mission_groups!$B:$B),MATCH(E$2,weekly_mission_groups!$2:$2,0)-MATCH(D$2,weekly_mission_groups!$2:$2,0)+1),MATCH(E$2,weekly_mission_groups!$2:$2,0)-MATCH(D$2,weekly_mission_groups!$2:$2,0)+1,FALSE)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122" spans="1:5" ht="21" customHeight="1" x14ac:dyDescent="0.15">
      <c r="A122" s="2">
        <f t="shared" si="5"/>
        <v>119</v>
      </c>
      <c r="B122" s="96" t="str">
        <f t="shared" si="6"/>
        <v>2017-11-27 2:00:00</v>
      </c>
      <c r="C122" s="96" t="str">
        <f t="shared" si="7"/>
        <v>2017-12-04 1:59:59</v>
      </c>
      <c r="D122" s="31">
        <f t="shared" si="4"/>
        <v>17</v>
      </c>
      <c r="E122" s="26" t="str">
        <f ca="1">VLOOKUP(D122,OFFSET(weekly_mission_groups!$B$2,0,0,COUNTA(weekly_mission_groups!$B:$B),MATCH(E$2,weekly_mission_groups!$2:$2,0)-MATCH(D$2,weekly_mission_groups!$2:$2,0)+1),MATCH(E$2,weekly_mission_groups!$2:$2,0)-MATCH(D$2,weekly_mission_groups!$2:$2,0)+1,FALSE)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123" spans="1:5" ht="21" customHeight="1" x14ac:dyDescent="0.15">
      <c r="A123" s="2">
        <f t="shared" si="5"/>
        <v>120</v>
      </c>
      <c r="B123" s="96" t="str">
        <f t="shared" si="6"/>
        <v>2017-12-04 2:00:00</v>
      </c>
      <c r="C123" s="96" t="str">
        <f t="shared" si="7"/>
        <v>2017-12-11 1:59:59</v>
      </c>
      <c r="D123" s="31">
        <f t="shared" si="4"/>
        <v>18</v>
      </c>
      <c r="E123" s="26" t="str">
        <f ca="1">VLOOKUP(D123,OFFSET(weekly_mission_groups!$B$2,0,0,COUNTA(weekly_mission_groups!$B:$B),MATCH(E$2,weekly_mission_groups!$2:$2,0)-MATCH(D$2,weekly_mission_groups!$2:$2,0)+1),MATCH(E$2,weekly_mission_groups!$2:$2,0)-MATCH(D$2,weekly_mission_groups!$2:$2,0)+1,FALSE)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124" spans="1:5" ht="21" customHeight="1" x14ac:dyDescent="0.15">
      <c r="A124" s="2">
        <f t="shared" si="5"/>
        <v>121</v>
      </c>
      <c r="B124" s="96" t="str">
        <f t="shared" si="6"/>
        <v>2017-12-11 2:00:00</v>
      </c>
      <c r="C124" s="96" t="str">
        <f t="shared" si="7"/>
        <v>2017-12-18 1:59:59</v>
      </c>
      <c r="D124" s="31">
        <f t="shared" si="4"/>
        <v>16</v>
      </c>
      <c r="E124" s="26" t="str">
        <f ca="1">VLOOKUP(D124,OFFSET(weekly_mission_groups!$B$2,0,0,COUNTA(weekly_mission_groups!$B:$B),MATCH(E$2,weekly_mission_groups!$2:$2,0)-MATCH(D$2,weekly_mission_groups!$2:$2,0)+1),MATCH(E$2,weekly_mission_groups!$2:$2,0)-MATCH(D$2,weekly_mission_groups!$2:$2,0)+1,FALSE)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125" spans="1:5" ht="21" customHeight="1" x14ac:dyDescent="0.15">
      <c r="A125" s="2">
        <f t="shared" si="5"/>
        <v>122</v>
      </c>
      <c r="B125" s="96" t="str">
        <f t="shared" si="6"/>
        <v>2017-12-18 2:00:00</v>
      </c>
      <c r="C125" s="96" t="str">
        <f t="shared" si="7"/>
        <v>2017-12-25 1:59:59</v>
      </c>
      <c r="D125" s="31">
        <f t="shared" ref="D125:D188" si="8">D122</f>
        <v>17</v>
      </c>
      <c r="E125" s="26" t="str">
        <f ca="1">VLOOKUP(D125,OFFSET(weekly_mission_groups!$B$2,0,0,COUNTA(weekly_mission_groups!$B:$B),MATCH(E$2,weekly_mission_groups!$2:$2,0)-MATCH(D$2,weekly_mission_groups!$2:$2,0)+1),MATCH(E$2,weekly_mission_groups!$2:$2,0)-MATCH(D$2,weekly_mission_groups!$2:$2,0)+1,FALSE)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126" spans="1:5" ht="21" customHeight="1" x14ac:dyDescent="0.15">
      <c r="A126" s="2">
        <f t="shared" si="5"/>
        <v>123</v>
      </c>
      <c r="B126" s="96" t="str">
        <f t="shared" si="6"/>
        <v>2017-12-25 2:00:00</v>
      </c>
      <c r="C126" s="96" t="str">
        <f t="shared" si="7"/>
        <v>2018-01-01 1:59:59</v>
      </c>
      <c r="D126" s="31">
        <f t="shared" si="8"/>
        <v>18</v>
      </c>
      <c r="E126" s="26" t="str">
        <f ca="1">VLOOKUP(D126,OFFSET(weekly_mission_groups!$B$2,0,0,COUNTA(weekly_mission_groups!$B:$B),MATCH(E$2,weekly_mission_groups!$2:$2,0)-MATCH(D$2,weekly_mission_groups!$2:$2,0)+1),MATCH(E$2,weekly_mission_groups!$2:$2,0)-MATCH(D$2,weekly_mission_groups!$2:$2,0)+1,FALSE)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127" spans="1:5" ht="21" customHeight="1" x14ac:dyDescent="0.15">
      <c r="A127" s="2">
        <f t="shared" si="5"/>
        <v>124</v>
      </c>
      <c r="B127" s="96" t="str">
        <f t="shared" si="6"/>
        <v>2018-01-01 2:00:00</v>
      </c>
      <c r="C127" s="96" t="str">
        <f t="shared" si="7"/>
        <v>2018-01-08 1:59:59</v>
      </c>
      <c r="D127" s="31">
        <f t="shared" si="8"/>
        <v>16</v>
      </c>
      <c r="E127" s="26" t="str">
        <f ca="1">VLOOKUP(D127,OFFSET(weekly_mission_groups!$B$2,0,0,COUNTA(weekly_mission_groups!$B:$B),MATCH(E$2,weekly_mission_groups!$2:$2,0)-MATCH(D$2,weekly_mission_groups!$2:$2,0)+1),MATCH(E$2,weekly_mission_groups!$2:$2,0)-MATCH(D$2,weekly_mission_groups!$2:$2,0)+1,FALSE)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128" spans="1:5" ht="21" customHeight="1" x14ac:dyDescent="0.15">
      <c r="A128" s="2">
        <f t="shared" si="5"/>
        <v>125</v>
      </c>
      <c r="B128" s="96" t="str">
        <f t="shared" si="6"/>
        <v>2018-01-08 2:00:00</v>
      </c>
      <c r="C128" s="96" t="str">
        <f t="shared" si="7"/>
        <v>2018-01-15 1:59:59</v>
      </c>
      <c r="D128" s="31">
        <f t="shared" si="8"/>
        <v>17</v>
      </c>
      <c r="E128" s="26" t="str">
        <f ca="1">VLOOKUP(D128,OFFSET(weekly_mission_groups!$B$2,0,0,COUNTA(weekly_mission_groups!$B:$B),MATCH(E$2,weekly_mission_groups!$2:$2,0)-MATCH(D$2,weekly_mission_groups!$2:$2,0)+1),MATCH(E$2,weekly_mission_groups!$2:$2,0)-MATCH(D$2,weekly_mission_groups!$2:$2,0)+1,FALSE)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129" spans="1:5" ht="21" customHeight="1" x14ac:dyDescent="0.15">
      <c r="A129" s="2">
        <f t="shared" si="5"/>
        <v>126</v>
      </c>
      <c r="B129" s="96" t="str">
        <f t="shared" si="6"/>
        <v>2018-01-15 2:00:00</v>
      </c>
      <c r="C129" s="96" t="str">
        <f t="shared" si="7"/>
        <v>2018-01-22 1:59:59</v>
      </c>
      <c r="D129" s="31">
        <f t="shared" si="8"/>
        <v>18</v>
      </c>
      <c r="E129" s="26" t="str">
        <f ca="1">VLOOKUP(D129,OFFSET(weekly_mission_groups!$B$2,0,0,COUNTA(weekly_mission_groups!$B:$B),MATCH(E$2,weekly_mission_groups!$2:$2,0)-MATCH(D$2,weekly_mission_groups!$2:$2,0)+1),MATCH(E$2,weekly_mission_groups!$2:$2,0)-MATCH(D$2,weekly_mission_groups!$2:$2,0)+1,FALSE)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130" spans="1:5" ht="21" customHeight="1" x14ac:dyDescent="0.15">
      <c r="A130" s="2">
        <f t="shared" si="5"/>
        <v>127</v>
      </c>
      <c r="B130" s="96" t="str">
        <f t="shared" si="6"/>
        <v>2018-01-22 2:00:00</v>
      </c>
      <c r="C130" s="96" t="str">
        <f t="shared" si="7"/>
        <v>2018-01-29 1:59:59</v>
      </c>
      <c r="D130" s="31">
        <f t="shared" si="8"/>
        <v>16</v>
      </c>
      <c r="E130" s="26" t="str">
        <f ca="1">VLOOKUP(D130,OFFSET(weekly_mission_groups!$B$2,0,0,COUNTA(weekly_mission_groups!$B:$B),MATCH(E$2,weekly_mission_groups!$2:$2,0)-MATCH(D$2,weekly_mission_groups!$2:$2,0)+1),MATCH(E$2,weekly_mission_groups!$2:$2,0)-MATCH(D$2,weekly_mission_groups!$2:$2,0)+1,FALSE)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131" spans="1:5" ht="21" customHeight="1" x14ac:dyDescent="0.15">
      <c r="A131" s="2">
        <f t="shared" si="5"/>
        <v>128</v>
      </c>
      <c r="B131" s="96" t="str">
        <f t="shared" si="6"/>
        <v>2018-01-29 2:00:00</v>
      </c>
      <c r="C131" s="96" t="str">
        <f t="shared" si="7"/>
        <v>2018-02-05 1:59:59</v>
      </c>
      <c r="D131" s="31">
        <f t="shared" si="8"/>
        <v>17</v>
      </c>
      <c r="E131" s="26" t="str">
        <f ca="1">VLOOKUP(D131,OFFSET(weekly_mission_groups!$B$2,0,0,COUNTA(weekly_mission_groups!$B:$B),MATCH(E$2,weekly_mission_groups!$2:$2,0)-MATCH(D$2,weekly_mission_groups!$2:$2,0)+1),MATCH(E$2,weekly_mission_groups!$2:$2,0)-MATCH(D$2,weekly_mission_groups!$2:$2,0)+1,FALSE)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132" spans="1:5" ht="21" customHeight="1" x14ac:dyDescent="0.15">
      <c r="A132" s="2">
        <f t="shared" si="5"/>
        <v>129</v>
      </c>
      <c r="B132" s="96" t="str">
        <f t="shared" si="6"/>
        <v>2018-02-05 2:00:00</v>
      </c>
      <c r="C132" s="96" t="str">
        <f t="shared" si="7"/>
        <v>2018-02-12 1:59:59</v>
      </c>
      <c r="D132" s="31">
        <f t="shared" si="8"/>
        <v>18</v>
      </c>
      <c r="E132" s="26" t="str">
        <f ca="1">VLOOKUP(D132,OFFSET(weekly_mission_groups!$B$2,0,0,COUNTA(weekly_mission_groups!$B:$B),MATCH(E$2,weekly_mission_groups!$2:$2,0)-MATCH(D$2,weekly_mission_groups!$2:$2,0)+1),MATCH(E$2,weekly_mission_groups!$2:$2,0)-MATCH(D$2,weekly_mission_groups!$2:$2,0)+1,FALSE)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133" spans="1:5" ht="21" customHeight="1" x14ac:dyDescent="0.15">
      <c r="A133" s="2">
        <f t="shared" si="5"/>
        <v>130</v>
      </c>
      <c r="B133" s="96" t="str">
        <f t="shared" si="6"/>
        <v>2018-02-12 2:00:00</v>
      </c>
      <c r="C133" s="96" t="str">
        <f t="shared" si="7"/>
        <v>2018-02-19 1:59:59</v>
      </c>
      <c r="D133" s="31">
        <f t="shared" si="8"/>
        <v>16</v>
      </c>
      <c r="E133" s="26" t="str">
        <f ca="1">VLOOKUP(D133,OFFSET(weekly_mission_groups!$B$2,0,0,COUNTA(weekly_mission_groups!$B:$B),MATCH(E$2,weekly_mission_groups!$2:$2,0)-MATCH(D$2,weekly_mission_groups!$2:$2,0)+1),MATCH(E$2,weekly_mission_groups!$2:$2,0)-MATCH(D$2,weekly_mission_groups!$2:$2,0)+1,FALSE)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134" spans="1:5" ht="21" customHeight="1" x14ac:dyDescent="0.15">
      <c r="A134" s="2">
        <f t="shared" si="5"/>
        <v>131</v>
      </c>
      <c r="B134" s="96" t="str">
        <f t="shared" si="6"/>
        <v>2018-02-19 2:00:00</v>
      </c>
      <c r="C134" s="96" t="str">
        <f t="shared" si="7"/>
        <v>2018-02-26 1:59:59</v>
      </c>
      <c r="D134" s="31">
        <f t="shared" si="8"/>
        <v>17</v>
      </c>
      <c r="E134" s="26" t="str">
        <f ca="1">VLOOKUP(D134,OFFSET(weekly_mission_groups!$B$2,0,0,COUNTA(weekly_mission_groups!$B:$B),MATCH(E$2,weekly_mission_groups!$2:$2,0)-MATCH(D$2,weekly_mission_groups!$2:$2,0)+1),MATCH(E$2,weekly_mission_groups!$2:$2,0)-MATCH(D$2,weekly_mission_groups!$2:$2,0)+1,FALSE)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135" spans="1:5" ht="21" customHeight="1" x14ac:dyDescent="0.15">
      <c r="A135" s="2">
        <f t="shared" si="5"/>
        <v>132</v>
      </c>
      <c r="B135" s="96" t="str">
        <f t="shared" si="6"/>
        <v>2018-02-26 2:00:00</v>
      </c>
      <c r="C135" s="96" t="str">
        <f t="shared" si="7"/>
        <v>2018-03-05 1:59:59</v>
      </c>
      <c r="D135" s="31">
        <f t="shared" si="8"/>
        <v>18</v>
      </c>
      <c r="E135" s="26" t="str">
        <f ca="1">VLOOKUP(D135,OFFSET(weekly_mission_groups!$B$2,0,0,COUNTA(weekly_mission_groups!$B:$B),MATCH(E$2,weekly_mission_groups!$2:$2,0)-MATCH(D$2,weekly_mission_groups!$2:$2,0)+1),MATCH(E$2,weekly_mission_groups!$2:$2,0)-MATCH(D$2,weekly_mission_groups!$2:$2,0)+1,FALSE)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136" spans="1:5" ht="21" customHeight="1" x14ac:dyDescent="0.15">
      <c r="A136" s="2">
        <f t="shared" si="5"/>
        <v>133</v>
      </c>
      <c r="B136" s="96" t="str">
        <f t="shared" si="6"/>
        <v>2018-03-05 2:00:00</v>
      </c>
      <c r="C136" s="96" t="str">
        <f t="shared" si="7"/>
        <v>2018-03-12 1:59:59</v>
      </c>
      <c r="D136" s="31">
        <f t="shared" si="8"/>
        <v>16</v>
      </c>
      <c r="E136" s="26" t="str">
        <f ca="1">VLOOKUP(D136,OFFSET(weekly_mission_groups!$B$2,0,0,COUNTA(weekly_mission_groups!$B:$B),MATCH(E$2,weekly_mission_groups!$2:$2,0)-MATCH(D$2,weekly_mission_groups!$2:$2,0)+1),MATCH(E$2,weekly_mission_groups!$2:$2,0)-MATCH(D$2,weekly_mission_groups!$2:$2,0)+1,FALSE)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137" spans="1:5" ht="21" customHeight="1" x14ac:dyDescent="0.15">
      <c r="A137" s="2">
        <f t="shared" si="5"/>
        <v>134</v>
      </c>
      <c r="B137" s="96" t="str">
        <f t="shared" si="6"/>
        <v>2018-03-12 2:00:00</v>
      </c>
      <c r="C137" s="96" t="str">
        <f t="shared" si="7"/>
        <v>2018-03-19 1:59:59</v>
      </c>
      <c r="D137" s="31">
        <f t="shared" si="8"/>
        <v>17</v>
      </c>
      <c r="E137" s="26" t="str">
        <f ca="1">VLOOKUP(D137,OFFSET(weekly_mission_groups!$B$2,0,0,COUNTA(weekly_mission_groups!$B:$B),MATCH(E$2,weekly_mission_groups!$2:$2,0)-MATCH(D$2,weekly_mission_groups!$2:$2,0)+1),MATCH(E$2,weekly_mission_groups!$2:$2,0)-MATCH(D$2,weekly_mission_groups!$2:$2,0)+1,FALSE)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138" spans="1:5" ht="21" customHeight="1" x14ac:dyDescent="0.15">
      <c r="A138" s="2">
        <f t="shared" si="5"/>
        <v>135</v>
      </c>
      <c r="B138" s="96" t="str">
        <f t="shared" si="6"/>
        <v>2018-03-19 2:00:00</v>
      </c>
      <c r="C138" s="96" t="str">
        <f t="shared" si="7"/>
        <v>2018-03-26 1:59:59</v>
      </c>
      <c r="D138" s="31">
        <f t="shared" si="8"/>
        <v>18</v>
      </c>
      <c r="E138" s="26" t="str">
        <f ca="1">VLOOKUP(D138,OFFSET(weekly_mission_groups!$B$2,0,0,COUNTA(weekly_mission_groups!$B:$B),MATCH(E$2,weekly_mission_groups!$2:$2,0)-MATCH(D$2,weekly_mission_groups!$2:$2,0)+1),MATCH(E$2,weekly_mission_groups!$2:$2,0)-MATCH(D$2,weekly_mission_groups!$2:$2,0)+1,FALSE)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139" spans="1:5" ht="21" customHeight="1" x14ac:dyDescent="0.15">
      <c r="A139" s="2">
        <f t="shared" si="5"/>
        <v>136</v>
      </c>
      <c r="B139" s="96" t="str">
        <f t="shared" si="6"/>
        <v>2018-03-26 2:00:00</v>
      </c>
      <c r="C139" s="96" t="str">
        <f t="shared" si="7"/>
        <v>2018-04-02 1:59:59</v>
      </c>
      <c r="D139" s="31">
        <f t="shared" si="8"/>
        <v>16</v>
      </c>
      <c r="E139" s="26" t="str">
        <f ca="1">VLOOKUP(D139,OFFSET(weekly_mission_groups!$B$2,0,0,COUNTA(weekly_mission_groups!$B:$B),MATCH(E$2,weekly_mission_groups!$2:$2,0)-MATCH(D$2,weekly_mission_groups!$2:$2,0)+1),MATCH(E$2,weekly_mission_groups!$2:$2,0)-MATCH(D$2,weekly_mission_groups!$2:$2,0)+1,FALSE)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140" spans="1:5" ht="21" customHeight="1" x14ac:dyDescent="0.15">
      <c r="A140" s="2">
        <f t="shared" si="5"/>
        <v>137</v>
      </c>
      <c r="B140" s="96" t="str">
        <f t="shared" si="6"/>
        <v>2018-04-02 2:00:00</v>
      </c>
      <c r="C140" s="96" t="str">
        <f t="shared" si="7"/>
        <v>2018-04-09 1:59:59</v>
      </c>
      <c r="D140" s="31">
        <f t="shared" si="8"/>
        <v>17</v>
      </c>
      <c r="E140" s="26" t="str">
        <f ca="1">VLOOKUP(D140,OFFSET(weekly_mission_groups!$B$2,0,0,COUNTA(weekly_mission_groups!$B:$B),MATCH(E$2,weekly_mission_groups!$2:$2,0)-MATCH(D$2,weekly_mission_groups!$2:$2,0)+1),MATCH(E$2,weekly_mission_groups!$2:$2,0)-MATCH(D$2,weekly_mission_groups!$2:$2,0)+1,FALSE)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141" spans="1:5" ht="21" customHeight="1" x14ac:dyDescent="0.15">
      <c r="A141" s="2">
        <f t="shared" si="5"/>
        <v>138</v>
      </c>
      <c r="B141" s="96" t="str">
        <f t="shared" si="6"/>
        <v>2018-04-09 2:00:00</v>
      </c>
      <c r="C141" s="96" t="str">
        <f t="shared" si="7"/>
        <v>2018-04-16 1:59:59</v>
      </c>
      <c r="D141" s="31">
        <f t="shared" si="8"/>
        <v>18</v>
      </c>
      <c r="E141" s="26" t="str">
        <f ca="1">VLOOKUP(D141,OFFSET(weekly_mission_groups!$B$2,0,0,COUNTA(weekly_mission_groups!$B:$B),MATCH(E$2,weekly_mission_groups!$2:$2,0)-MATCH(D$2,weekly_mission_groups!$2:$2,0)+1),MATCH(E$2,weekly_mission_groups!$2:$2,0)-MATCH(D$2,weekly_mission_groups!$2:$2,0)+1,FALSE)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142" spans="1:5" ht="21" customHeight="1" x14ac:dyDescent="0.15">
      <c r="A142" s="2">
        <f t="shared" si="5"/>
        <v>139</v>
      </c>
      <c r="B142" s="96" t="str">
        <f t="shared" si="6"/>
        <v>2018-04-16 2:00:00</v>
      </c>
      <c r="C142" s="96" t="str">
        <f t="shared" si="7"/>
        <v>2018-04-23 1:59:59</v>
      </c>
      <c r="D142" s="31">
        <f t="shared" si="8"/>
        <v>16</v>
      </c>
      <c r="E142" s="26" t="str">
        <f ca="1">VLOOKUP(D142,OFFSET(weekly_mission_groups!$B$2,0,0,COUNTA(weekly_mission_groups!$B:$B),MATCH(E$2,weekly_mission_groups!$2:$2,0)-MATCH(D$2,weekly_mission_groups!$2:$2,0)+1),MATCH(E$2,weekly_mission_groups!$2:$2,0)-MATCH(D$2,weekly_mission_groups!$2:$2,0)+1,FALSE)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143" spans="1:5" ht="21" customHeight="1" x14ac:dyDescent="0.15">
      <c r="A143" s="2">
        <f t="shared" si="5"/>
        <v>140</v>
      </c>
      <c r="B143" s="96" t="str">
        <f t="shared" si="6"/>
        <v>2018-04-23 2:00:00</v>
      </c>
      <c r="C143" s="96" t="str">
        <f t="shared" si="7"/>
        <v>2018-04-30 1:59:59</v>
      </c>
      <c r="D143" s="31">
        <f t="shared" si="8"/>
        <v>17</v>
      </c>
      <c r="E143" s="26" t="str">
        <f ca="1">VLOOKUP(D143,OFFSET(weekly_mission_groups!$B$2,0,0,COUNTA(weekly_mission_groups!$B:$B),MATCH(E$2,weekly_mission_groups!$2:$2,0)-MATCH(D$2,weekly_mission_groups!$2:$2,0)+1),MATCH(E$2,weekly_mission_groups!$2:$2,0)-MATCH(D$2,weekly_mission_groups!$2:$2,0)+1,FALSE)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144" spans="1:5" ht="21" customHeight="1" x14ac:dyDescent="0.15">
      <c r="A144" s="2">
        <f t="shared" si="5"/>
        <v>141</v>
      </c>
      <c r="B144" s="96" t="str">
        <f t="shared" si="6"/>
        <v>2018-04-30 2:00:00</v>
      </c>
      <c r="C144" s="96" t="str">
        <f t="shared" si="7"/>
        <v>2018-05-07 1:59:59</v>
      </c>
      <c r="D144" s="31">
        <f t="shared" si="8"/>
        <v>18</v>
      </c>
      <c r="E144" s="26" t="str">
        <f ca="1">VLOOKUP(D144,OFFSET(weekly_mission_groups!$B$2,0,0,COUNTA(weekly_mission_groups!$B:$B),MATCH(E$2,weekly_mission_groups!$2:$2,0)-MATCH(D$2,weekly_mission_groups!$2:$2,0)+1),MATCH(E$2,weekly_mission_groups!$2:$2,0)-MATCH(D$2,weekly_mission_groups!$2:$2,0)+1,FALSE)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145" spans="1:5" ht="21" customHeight="1" x14ac:dyDescent="0.15">
      <c r="A145" s="2">
        <f t="shared" si="5"/>
        <v>142</v>
      </c>
      <c r="B145" s="96" t="str">
        <f t="shared" si="6"/>
        <v>2018-05-07 2:00:00</v>
      </c>
      <c r="C145" s="96" t="str">
        <f t="shared" si="7"/>
        <v>2018-05-14 1:59:59</v>
      </c>
      <c r="D145" s="31">
        <f t="shared" si="8"/>
        <v>16</v>
      </c>
      <c r="E145" s="26" t="str">
        <f ca="1">VLOOKUP(D145,OFFSET(weekly_mission_groups!$B$2,0,0,COUNTA(weekly_mission_groups!$B:$B),MATCH(E$2,weekly_mission_groups!$2:$2,0)-MATCH(D$2,weekly_mission_groups!$2:$2,0)+1),MATCH(E$2,weekly_mission_groups!$2:$2,0)-MATCH(D$2,weekly_mission_groups!$2:$2,0)+1,FALSE)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146" spans="1:5" ht="21" customHeight="1" x14ac:dyDescent="0.15">
      <c r="A146" s="2">
        <f t="shared" si="5"/>
        <v>143</v>
      </c>
      <c r="B146" s="96" t="str">
        <f t="shared" si="6"/>
        <v>2018-05-14 2:00:00</v>
      </c>
      <c r="C146" s="96" t="str">
        <f t="shared" si="7"/>
        <v>2018-05-21 1:59:59</v>
      </c>
      <c r="D146" s="31">
        <f t="shared" si="8"/>
        <v>17</v>
      </c>
      <c r="E146" s="26" t="str">
        <f ca="1">VLOOKUP(D146,OFFSET(weekly_mission_groups!$B$2,0,0,COUNTA(weekly_mission_groups!$B:$B),MATCH(E$2,weekly_mission_groups!$2:$2,0)-MATCH(D$2,weekly_mission_groups!$2:$2,0)+1),MATCH(E$2,weekly_mission_groups!$2:$2,0)-MATCH(D$2,weekly_mission_groups!$2:$2,0)+1,FALSE)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147" spans="1:5" ht="21" customHeight="1" x14ac:dyDescent="0.15">
      <c r="A147" s="2">
        <f t="shared" si="5"/>
        <v>144</v>
      </c>
      <c r="B147" s="96" t="str">
        <f t="shared" si="6"/>
        <v>2018-05-21 2:00:00</v>
      </c>
      <c r="C147" s="96" t="str">
        <f t="shared" si="7"/>
        <v>2018-05-28 1:59:59</v>
      </c>
      <c r="D147" s="31">
        <f t="shared" si="8"/>
        <v>18</v>
      </c>
      <c r="E147" s="26" t="str">
        <f ca="1">VLOOKUP(D147,OFFSET(weekly_mission_groups!$B$2,0,0,COUNTA(weekly_mission_groups!$B:$B),MATCH(E$2,weekly_mission_groups!$2:$2,0)-MATCH(D$2,weekly_mission_groups!$2:$2,0)+1),MATCH(E$2,weekly_mission_groups!$2:$2,0)-MATCH(D$2,weekly_mission_groups!$2:$2,0)+1,FALSE)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148" spans="1:5" ht="21" customHeight="1" x14ac:dyDescent="0.15">
      <c r="A148" s="2">
        <f t="shared" si="5"/>
        <v>145</v>
      </c>
      <c r="B148" s="96" t="str">
        <f t="shared" si="6"/>
        <v>2018-05-28 2:00:00</v>
      </c>
      <c r="C148" s="96" t="str">
        <f t="shared" si="7"/>
        <v>2018-06-04 1:59:59</v>
      </c>
      <c r="D148" s="31">
        <f t="shared" si="8"/>
        <v>16</v>
      </c>
      <c r="E148" s="26" t="str">
        <f ca="1">VLOOKUP(D148,OFFSET(weekly_mission_groups!$B$2,0,0,COUNTA(weekly_mission_groups!$B:$B),MATCH(E$2,weekly_mission_groups!$2:$2,0)-MATCH(D$2,weekly_mission_groups!$2:$2,0)+1),MATCH(E$2,weekly_mission_groups!$2:$2,0)-MATCH(D$2,weekly_mission_groups!$2:$2,0)+1,FALSE)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149" spans="1:5" ht="21" customHeight="1" x14ac:dyDescent="0.15">
      <c r="A149" s="2">
        <f t="shared" si="5"/>
        <v>146</v>
      </c>
      <c r="B149" s="96" t="str">
        <f t="shared" si="6"/>
        <v>2018-06-04 2:00:00</v>
      </c>
      <c r="C149" s="96" t="str">
        <f t="shared" si="7"/>
        <v>2018-06-11 1:59:59</v>
      </c>
      <c r="D149" s="31">
        <f t="shared" si="8"/>
        <v>17</v>
      </c>
      <c r="E149" s="26" t="str">
        <f ca="1">VLOOKUP(D149,OFFSET(weekly_mission_groups!$B$2,0,0,COUNTA(weekly_mission_groups!$B:$B),MATCH(E$2,weekly_mission_groups!$2:$2,0)-MATCH(D$2,weekly_mission_groups!$2:$2,0)+1),MATCH(E$2,weekly_mission_groups!$2:$2,0)-MATCH(D$2,weekly_mission_groups!$2:$2,0)+1,FALSE)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150" spans="1:5" ht="21" customHeight="1" x14ac:dyDescent="0.15">
      <c r="A150" s="2">
        <f t="shared" si="5"/>
        <v>147</v>
      </c>
      <c r="B150" s="96" t="str">
        <f t="shared" si="6"/>
        <v>2018-06-11 2:00:00</v>
      </c>
      <c r="C150" s="96" t="str">
        <f t="shared" si="7"/>
        <v>2018-06-18 1:59:59</v>
      </c>
      <c r="D150" s="31">
        <f t="shared" si="8"/>
        <v>18</v>
      </c>
      <c r="E150" s="26" t="str">
        <f ca="1">VLOOKUP(D150,OFFSET(weekly_mission_groups!$B$2,0,0,COUNTA(weekly_mission_groups!$B:$B),MATCH(E$2,weekly_mission_groups!$2:$2,0)-MATCH(D$2,weekly_mission_groups!$2:$2,0)+1),MATCH(E$2,weekly_mission_groups!$2:$2,0)-MATCH(D$2,weekly_mission_groups!$2:$2,0)+1,FALSE)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151" spans="1:5" ht="21" customHeight="1" x14ac:dyDescent="0.15">
      <c r="A151" s="2">
        <f t="shared" si="5"/>
        <v>148</v>
      </c>
      <c r="B151" s="96" t="str">
        <f t="shared" si="6"/>
        <v>2018-06-18 2:00:00</v>
      </c>
      <c r="C151" s="96" t="str">
        <f t="shared" si="7"/>
        <v>2018-06-25 1:59:59</v>
      </c>
      <c r="D151" s="31">
        <f t="shared" si="8"/>
        <v>16</v>
      </c>
      <c r="E151" s="26" t="str">
        <f ca="1">VLOOKUP(D151,OFFSET(weekly_mission_groups!$B$2,0,0,COUNTA(weekly_mission_groups!$B:$B),MATCH(E$2,weekly_mission_groups!$2:$2,0)-MATCH(D$2,weekly_mission_groups!$2:$2,0)+1),MATCH(E$2,weekly_mission_groups!$2:$2,0)-MATCH(D$2,weekly_mission_groups!$2:$2,0)+1,FALSE)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152" spans="1:5" ht="21" customHeight="1" x14ac:dyDescent="0.15">
      <c r="A152" s="2">
        <f t="shared" si="5"/>
        <v>149</v>
      </c>
      <c r="B152" s="96" t="str">
        <f t="shared" si="6"/>
        <v>2018-06-25 2:00:00</v>
      </c>
      <c r="C152" s="96" t="str">
        <f t="shared" si="7"/>
        <v>2018-07-02 1:59:59</v>
      </c>
      <c r="D152" s="31">
        <f t="shared" si="8"/>
        <v>17</v>
      </c>
      <c r="E152" s="26" t="str">
        <f ca="1">VLOOKUP(D152,OFFSET(weekly_mission_groups!$B$2,0,0,COUNTA(weekly_mission_groups!$B:$B),MATCH(E$2,weekly_mission_groups!$2:$2,0)-MATCH(D$2,weekly_mission_groups!$2:$2,0)+1),MATCH(E$2,weekly_mission_groups!$2:$2,0)-MATCH(D$2,weekly_mission_groups!$2:$2,0)+1,FALSE)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153" spans="1:5" ht="21" customHeight="1" x14ac:dyDescent="0.15">
      <c r="A153" s="2">
        <f t="shared" si="5"/>
        <v>150</v>
      </c>
      <c r="B153" s="96" t="str">
        <f t="shared" si="6"/>
        <v>2018-07-02 2:00:00</v>
      </c>
      <c r="C153" s="96" t="str">
        <f t="shared" si="7"/>
        <v>2018-07-09 1:59:59</v>
      </c>
      <c r="D153" s="31">
        <f t="shared" si="8"/>
        <v>18</v>
      </c>
      <c r="E153" s="26" t="str">
        <f ca="1">VLOOKUP(D153,OFFSET(weekly_mission_groups!$B$2,0,0,COUNTA(weekly_mission_groups!$B:$B),MATCH(E$2,weekly_mission_groups!$2:$2,0)-MATCH(D$2,weekly_mission_groups!$2:$2,0)+1),MATCH(E$2,weekly_mission_groups!$2:$2,0)-MATCH(D$2,weekly_mission_groups!$2:$2,0)+1,FALSE)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154" spans="1:5" ht="21" customHeight="1" x14ac:dyDescent="0.15">
      <c r="A154" s="2">
        <f t="shared" si="5"/>
        <v>151</v>
      </c>
      <c r="B154" s="96" t="str">
        <f t="shared" si="6"/>
        <v>2018-07-09 2:00:00</v>
      </c>
      <c r="C154" s="96" t="str">
        <f t="shared" si="7"/>
        <v>2018-07-16 1:59:59</v>
      </c>
      <c r="D154" s="31">
        <f t="shared" si="8"/>
        <v>16</v>
      </c>
      <c r="E154" s="26" t="str">
        <f ca="1">VLOOKUP(D154,OFFSET(weekly_mission_groups!$B$2,0,0,COUNTA(weekly_mission_groups!$B:$B),MATCH(E$2,weekly_mission_groups!$2:$2,0)-MATCH(D$2,weekly_mission_groups!$2:$2,0)+1),MATCH(E$2,weekly_mission_groups!$2:$2,0)-MATCH(D$2,weekly_mission_groups!$2:$2,0)+1,FALSE)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155" spans="1:5" ht="21" customHeight="1" x14ac:dyDescent="0.15">
      <c r="A155" s="2">
        <f t="shared" si="5"/>
        <v>152</v>
      </c>
      <c r="B155" s="96" t="str">
        <f t="shared" si="6"/>
        <v>2018-07-16 2:00:00</v>
      </c>
      <c r="C155" s="96" t="str">
        <f t="shared" si="7"/>
        <v>2018-07-23 1:59:59</v>
      </c>
      <c r="D155" s="31">
        <f t="shared" si="8"/>
        <v>17</v>
      </c>
      <c r="E155" s="26" t="str">
        <f ca="1">VLOOKUP(D155,OFFSET(weekly_mission_groups!$B$2,0,0,COUNTA(weekly_mission_groups!$B:$B),MATCH(E$2,weekly_mission_groups!$2:$2,0)-MATCH(D$2,weekly_mission_groups!$2:$2,0)+1),MATCH(E$2,weekly_mission_groups!$2:$2,0)-MATCH(D$2,weekly_mission_groups!$2:$2,0)+1,FALSE)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156" spans="1:5" ht="21" customHeight="1" x14ac:dyDescent="0.15">
      <c r="A156" s="2">
        <f t="shared" si="5"/>
        <v>153</v>
      </c>
      <c r="B156" s="96" t="str">
        <f t="shared" si="6"/>
        <v>2018-07-23 2:00:00</v>
      </c>
      <c r="C156" s="96" t="str">
        <f t="shared" si="7"/>
        <v>2018-07-30 1:59:59</v>
      </c>
      <c r="D156" s="31">
        <f t="shared" si="8"/>
        <v>18</v>
      </c>
      <c r="E156" s="26" t="str">
        <f ca="1">VLOOKUP(D156,OFFSET(weekly_mission_groups!$B$2,0,0,COUNTA(weekly_mission_groups!$B:$B),MATCH(E$2,weekly_mission_groups!$2:$2,0)-MATCH(D$2,weekly_mission_groups!$2:$2,0)+1),MATCH(E$2,weekly_mission_groups!$2:$2,0)-MATCH(D$2,weekly_mission_groups!$2:$2,0)+1,FALSE)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157" spans="1:5" ht="21" customHeight="1" x14ac:dyDescent="0.15">
      <c r="A157" s="2">
        <f t="shared" si="5"/>
        <v>154</v>
      </c>
      <c r="B157" s="96" t="str">
        <f t="shared" si="6"/>
        <v>2018-07-30 2:00:00</v>
      </c>
      <c r="C157" s="96" t="str">
        <f t="shared" si="7"/>
        <v>2018-08-06 1:59:59</v>
      </c>
      <c r="D157" s="31">
        <f t="shared" si="8"/>
        <v>16</v>
      </c>
      <c r="E157" s="26" t="str">
        <f ca="1">VLOOKUP(D157,OFFSET(weekly_mission_groups!$B$2,0,0,COUNTA(weekly_mission_groups!$B:$B),MATCH(E$2,weekly_mission_groups!$2:$2,0)-MATCH(D$2,weekly_mission_groups!$2:$2,0)+1),MATCH(E$2,weekly_mission_groups!$2:$2,0)-MATCH(D$2,weekly_mission_groups!$2:$2,0)+1,FALSE)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158" spans="1:5" ht="21" customHeight="1" x14ac:dyDescent="0.15">
      <c r="A158" s="2">
        <f t="shared" si="5"/>
        <v>155</v>
      </c>
      <c r="B158" s="96" t="str">
        <f t="shared" si="6"/>
        <v>2018-08-06 2:00:00</v>
      </c>
      <c r="C158" s="96" t="str">
        <f t="shared" si="7"/>
        <v>2018-08-13 1:59:59</v>
      </c>
      <c r="D158" s="31">
        <f t="shared" si="8"/>
        <v>17</v>
      </c>
      <c r="E158" s="26" t="str">
        <f ca="1">VLOOKUP(D158,OFFSET(weekly_mission_groups!$B$2,0,0,COUNTA(weekly_mission_groups!$B:$B),MATCH(E$2,weekly_mission_groups!$2:$2,0)-MATCH(D$2,weekly_mission_groups!$2:$2,0)+1),MATCH(E$2,weekly_mission_groups!$2:$2,0)-MATCH(D$2,weekly_mission_groups!$2:$2,0)+1,FALSE)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159" spans="1:5" ht="21" customHeight="1" x14ac:dyDescent="0.15">
      <c r="A159" s="2">
        <f t="shared" si="5"/>
        <v>156</v>
      </c>
      <c r="B159" s="96" t="str">
        <f t="shared" si="6"/>
        <v>2018-08-13 2:00:00</v>
      </c>
      <c r="C159" s="96" t="str">
        <f t="shared" si="7"/>
        <v>2018-08-20 1:59:59</v>
      </c>
      <c r="D159" s="31">
        <f t="shared" si="8"/>
        <v>18</v>
      </c>
      <c r="E159" s="26" t="str">
        <f ca="1">VLOOKUP(D159,OFFSET(weekly_mission_groups!$B$2,0,0,COUNTA(weekly_mission_groups!$B:$B),MATCH(E$2,weekly_mission_groups!$2:$2,0)-MATCH(D$2,weekly_mission_groups!$2:$2,0)+1),MATCH(E$2,weekly_mission_groups!$2:$2,0)-MATCH(D$2,weekly_mission_groups!$2:$2,0)+1,FALSE)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160" spans="1:5" ht="21" customHeight="1" x14ac:dyDescent="0.15">
      <c r="A160" s="2">
        <f t="shared" si="5"/>
        <v>157</v>
      </c>
      <c r="B160" s="96" t="str">
        <f t="shared" si="6"/>
        <v>2018-08-20 2:00:00</v>
      </c>
      <c r="C160" s="96" t="str">
        <f t="shared" si="7"/>
        <v>2018-08-27 1:59:59</v>
      </c>
      <c r="D160" s="31">
        <f t="shared" si="8"/>
        <v>16</v>
      </c>
      <c r="E160" s="26" t="str">
        <f ca="1">VLOOKUP(D160,OFFSET(weekly_mission_groups!$B$2,0,0,COUNTA(weekly_mission_groups!$B:$B),MATCH(E$2,weekly_mission_groups!$2:$2,0)-MATCH(D$2,weekly_mission_groups!$2:$2,0)+1),MATCH(E$2,weekly_mission_groups!$2:$2,0)-MATCH(D$2,weekly_mission_groups!$2:$2,0)+1,FALSE)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161" spans="1:5" ht="21" customHeight="1" x14ac:dyDescent="0.15">
      <c r="A161" s="2">
        <f t="shared" si="5"/>
        <v>158</v>
      </c>
      <c r="B161" s="96" t="str">
        <f t="shared" si="6"/>
        <v>2018-08-27 2:00:00</v>
      </c>
      <c r="C161" s="96" t="str">
        <f t="shared" si="7"/>
        <v>2018-09-03 1:59:59</v>
      </c>
      <c r="D161" s="31">
        <f t="shared" si="8"/>
        <v>17</v>
      </c>
      <c r="E161" s="26" t="str">
        <f ca="1">VLOOKUP(D161,OFFSET(weekly_mission_groups!$B$2,0,0,COUNTA(weekly_mission_groups!$B:$B),MATCH(E$2,weekly_mission_groups!$2:$2,0)-MATCH(D$2,weekly_mission_groups!$2:$2,0)+1),MATCH(E$2,weekly_mission_groups!$2:$2,0)-MATCH(D$2,weekly_mission_groups!$2:$2,0)+1,FALSE)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162" spans="1:5" ht="21" customHeight="1" x14ac:dyDescent="0.15">
      <c r="A162" s="2">
        <f t="shared" si="5"/>
        <v>159</v>
      </c>
      <c r="B162" s="96" t="str">
        <f t="shared" si="6"/>
        <v>2018-09-03 2:00:00</v>
      </c>
      <c r="C162" s="96" t="str">
        <f t="shared" si="7"/>
        <v>2018-09-10 1:59:59</v>
      </c>
      <c r="D162" s="31">
        <f t="shared" si="8"/>
        <v>18</v>
      </c>
      <c r="E162" s="26" t="str">
        <f ca="1">VLOOKUP(D162,OFFSET(weekly_mission_groups!$B$2,0,0,COUNTA(weekly_mission_groups!$B:$B),MATCH(E$2,weekly_mission_groups!$2:$2,0)-MATCH(D$2,weekly_mission_groups!$2:$2,0)+1),MATCH(E$2,weekly_mission_groups!$2:$2,0)-MATCH(D$2,weekly_mission_groups!$2:$2,0)+1,FALSE)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163" spans="1:5" ht="21" customHeight="1" x14ac:dyDescent="0.15">
      <c r="A163" s="2">
        <f t="shared" si="5"/>
        <v>160</v>
      </c>
      <c r="B163" s="96" t="str">
        <f t="shared" si="6"/>
        <v>2018-09-10 2:00:00</v>
      </c>
      <c r="C163" s="96" t="str">
        <f t="shared" si="7"/>
        <v>2018-09-17 1:59:59</v>
      </c>
      <c r="D163" s="31">
        <f t="shared" si="8"/>
        <v>16</v>
      </c>
      <c r="E163" s="26" t="str">
        <f ca="1">VLOOKUP(D163,OFFSET(weekly_mission_groups!$B$2,0,0,COUNTA(weekly_mission_groups!$B:$B),MATCH(E$2,weekly_mission_groups!$2:$2,0)-MATCH(D$2,weekly_mission_groups!$2:$2,0)+1),MATCH(E$2,weekly_mission_groups!$2:$2,0)-MATCH(D$2,weekly_mission_groups!$2:$2,0)+1,FALSE)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164" spans="1:5" ht="21" customHeight="1" x14ac:dyDescent="0.15">
      <c r="A164" s="2">
        <f t="shared" si="5"/>
        <v>161</v>
      </c>
      <c r="B164" s="96" t="str">
        <f t="shared" si="6"/>
        <v>2018-09-17 2:00:00</v>
      </c>
      <c r="C164" s="96" t="str">
        <f t="shared" si="7"/>
        <v>2018-09-24 1:59:59</v>
      </c>
      <c r="D164" s="31">
        <f t="shared" si="8"/>
        <v>17</v>
      </c>
      <c r="E164" s="26" t="str">
        <f ca="1">VLOOKUP(D164,OFFSET(weekly_mission_groups!$B$2,0,0,COUNTA(weekly_mission_groups!$B:$B),MATCH(E$2,weekly_mission_groups!$2:$2,0)-MATCH(D$2,weekly_mission_groups!$2:$2,0)+1),MATCH(E$2,weekly_mission_groups!$2:$2,0)-MATCH(D$2,weekly_mission_groups!$2:$2,0)+1,FALSE)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165" spans="1:5" ht="21" customHeight="1" x14ac:dyDescent="0.15">
      <c r="A165" s="2">
        <f t="shared" ref="A165:A200" si="9">A164+1</f>
        <v>162</v>
      </c>
      <c r="B165" s="96" t="str">
        <f t="shared" si="6"/>
        <v>2018-09-24 2:00:00</v>
      </c>
      <c r="C165" s="96" t="str">
        <f t="shared" si="7"/>
        <v>2018-10-01 1:59:59</v>
      </c>
      <c r="D165" s="31">
        <f t="shared" si="8"/>
        <v>18</v>
      </c>
      <c r="E165" s="26" t="str">
        <f ca="1">VLOOKUP(D165,OFFSET(weekly_mission_groups!$B$2,0,0,COUNTA(weekly_mission_groups!$B:$B),MATCH(E$2,weekly_mission_groups!$2:$2,0)-MATCH(D$2,weekly_mission_groups!$2:$2,0)+1),MATCH(E$2,weekly_mission_groups!$2:$2,0)-MATCH(D$2,weekly_mission_groups!$2:$2,0)+1,FALSE)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166" spans="1:5" ht="21" customHeight="1" x14ac:dyDescent="0.15">
      <c r="A166" s="2">
        <f t="shared" si="9"/>
        <v>163</v>
      </c>
      <c r="B166" s="96" t="str">
        <f t="shared" si="6"/>
        <v>2018-10-01 2:00:00</v>
      </c>
      <c r="C166" s="96" t="str">
        <f t="shared" si="7"/>
        <v>2018-10-08 1:59:59</v>
      </c>
      <c r="D166" s="31">
        <f t="shared" si="8"/>
        <v>16</v>
      </c>
      <c r="E166" s="26" t="str">
        <f ca="1">VLOOKUP(D166,OFFSET(weekly_mission_groups!$B$2,0,0,COUNTA(weekly_mission_groups!$B:$B),MATCH(E$2,weekly_mission_groups!$2:$2,0)-MATCH(D$2,weekly_mission_groups!$2:$2,0)+1),MATCH(E$2,weekly_mission_groups!$2:$2,0)-MATCH(D$2,weekly_mission_groups!$2:$2,0)+1,FALSE)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167" spans="1:5" ht="21" customHeight="1" x14ac:dyDescent="0.15">
      <c r="A167" s="2">
        <f t="shared" si="9"/>
        <v>164</v>
      </c>
      <c r="B167" s="96" t="str">
        <f t="shared" si="6"/>
        <v>2018-10-08 2:00:00</v>
      </c>
      <c r="C167" s="96" t="str">
        <f t="shared" si="7"/>
        <v>2018-10-15 1:59:59</v>
      </c>
      <c r="D167" s="31">
        <f t="shared" si="8"/>
        <v>17</v>
      </c>
      <c r="E167" s="26" t="str">
        <f ca="1">VLOOKUP(D167,OFFSET(weekly_mission_groups!$B$2,0,0,COUNTA(weekly_mission_groups!$B:$B),MATCH(E$2,weekly_mission_groups!$2:$2,0)-MATCH(D$2,weekly_mission_groups!$2:$2,0)+1),MATCH(E$2,weekly_mission_groups!$2:$2,0)-MATCH(D$2,weekly_mission_groups!$2:$2,0)+1,FALSE)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168" spans="1:5" ht="21" customHeight="1" x14ac:dyDescent="0.15">
      <c r="A168" s="2">
        <f t="shared" si="9"/>
        <v>165</v>
      </c>
      <c r="B168" s="96" t="str">
        <f t="shared" si="6"/>
        <v>2018-10-15 2:00:00</v>
      </c>
      <c r="C168" s="96" t="str">
        <f t="shared" si="7"/>
        <v>2018-10-22 1:59:59</v>
      </c>
      <c r="D168" s="31">
        <f t="shared" si="8"/>
        <v>18</v>
      </c>
      <c r="E168" s="26" t="str">
        <f ca="1">VLOOKUP(D168,OFFSET(weekly_mission_groups!$B$2,0,0,COUNTA(weekly_mission_groups!$B:$B),MATCH(E$2,weekly_mission_groups!$2:$2,0)-MATCH(D$2,weekly_mission_groups!$2:$2,0)+1),MATCH(E$2,weekly_mission_groups!$2:$2,0)-MATCH(D$2,weekly_mission_groups!$2:$2,0)+1,FALSE)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169" spans="1:5" ht="21" customHeight="1" x14ac:dyDescent="0.15">
      <c r="A169" s="2">
        <f t="shared" si="9"/>
        <v>166</v>
      </c>
      <c r="B169" s="96" t="str">
        <f t="shared" ref="B169:B200" si="10">TEXT(B168+7,"yyyy-mm-dd h:mm:ss")</f>
        <v>2018-10-22 2:00:00</v>
      </c>
      <c r="C169" s="96" t="str">
        <f t="shared" ref="C169:C200" si="11">TEXT(C168+7,"yyyy-mm-dd h:mm:ss")</f>
        <v>2018-10-29 1:59:59</v>
      </c>
      <c r="D169" s="31">
        <f t="shared" si="8"/>
        <v>16</v>
      </c>
      <c r="E169" s="26" t="str">
        <f ca="1">VLOOKUP(D169,OFFSET(weekly_mission_groups!$B$2,0,0,COUNTA(weekly_mission_groups!$B:$B),MATCH(E$2,weekly_mission_groups!$2:$2,0)-MATCH(D$2,weekly_mission_groups!$2:$2,0)+1),MATCH(E$2,weekly_mission_groups!$2:$2,0)-MATCH(D$2,weekly_mission_groups!$2:$2,0)+1,FALSE)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170" spans="1:5" ht="21" customHeight="1" x14ac:dyDescent="0.15">
      <c r="A170" s="2">
        <f t="shared" si="9"/>
        <v>167</v>
      </c>
      <c r="B170" s="96" t="str">
        <f t="shared" si="10"/>
        <v>2018-10-29 2:00:00</v>
      </c>
      <c r="C170" s="96" t="str">
        <f t="shared" si="11"/>
        <v>2018-11-05 1:59:59</v>
      </c>
      <c r="D170" s="31">
        <f t="shared" si="8"/>
        <v>17</v>
      </c>
      <c r="E170" s="26" t="str">
        <f ca="1">VLOOKUP(D170,OFFSET(weekly_mission_groups!$B$2,0,0,COUNTA(weekly_mission_groups!$B:$B),MATCH(E$2,weekly_mission_groups!$2:$2,0)-MATCH(D$2,weekly_mission_groups!$2:$2,0)+1),MATCH(E$2,weekly_mission_groups!$2:$2,0)-MATCH(D$2,weekly_mission_groups!$2:$2,0)+1,FALSE)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171" spans="1:5" ht="21" customHeight="1" x14ac:dyDescent="0.15">
      <c r="A171" s="2">
        <f t="shared" si="9"/>
        <v>168</v>
      </c>
      <c r="B171" s="96" t="str">
        <f t="shared" si="10"/>
        <v>2018-11-05 2:00:00</v>
      </c>
      <c r="C171" s="96" t="str">
        <f t="shared" si="11"/>
        <v>2018-11-12 1:59:59</v>
      </c>
      <c r="D171" s="31">
        <f t="shared" si="8"/>
        <v>18</v>
      </c>
      <c r="E171" s="26" t="str">
        <f ca="1">VLOOKUP(D171,OFFSET(weekly_mission_groups!$B$2,0,0,COUNTA(weekly_mission_groups!$B:$B),MATCH(E$2,weekly_mission_groups!$2:$2,0)-MATCH(D$2,weekly_mission_groups!$2:$2,0)+1),MATCH(E$2,weekly_mission_groups!$2:$2,0)-MATCH(D$2,weekly_mission_groups!$2:$2,0)+1,FALSE)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172" spans="1:5" ht="21" customHeight="1" x14ac:dyDescent="0.15">
      <c r="A172" s="2">
        <f t="shared" si="9"/>
        <v>169</v>
      </c>
      <c r="B172" s="96" t="str">
        <f t="shared" si="10"/>
        <v>2018-11-12 2:00:00</v>
      </c>
      <c r="C172" s="96" t="str">
        <f t="shared" si="11"/>
        <v>2018-11-19 1:59:59</v>
      </c>
      <c r="D172" s="31">
        <f t="shared" si="8"/>
        <v>16</v>
      </c>
      <c r="E172" s="26" t="str">
        <f ca="1">VLOOKUP(D172,OFFSET(weekly_mission_groups!$B$2,0,0,COUNTA(weekly_mission_groups!$B:$B),MATCH(E$2,weekly_mission_groups!$2:$2,0)-MATCH(D$2,weekly_mission_groups!$2:$2,0)+1),MATCH(E$2,weekly_mission_groups!$2:$2,0)-MATCH(D$2,weekly_mission_groups!$2:$2,0)+1,FALSE)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173" spans="1:5" ht="21" customHeight="1" x14ac:dyDescent="0.15">
      <c r="A173" s="2">
        <f t="shared" si="9"/>
        <v>170</v>
      </c>
      <c r="B173" s="96" t="str">
        <f t="shared" si="10"/>
        <v>2018-11-19 2:00:00</v>
      </c>
      <c r="C173" s="96" t="str">
        <f t="shared" si="11"/>
        <v>2018-11-26 1:59:59</v>
      </c>
      <c r="D173" s="31">
        <f t="shared" si="8"/>
        <v>17</v>
      </c>
      <c r="E173" s="26" t="str">
        <f ca="1">VLOOKUP(D173,OFFSET(weekly_mission_groups!$B$2,0,0,COUNTA(weekly_mission_groups!$B:$B),MATCH(E$2,weekly_mission_groups!$2:$2,0)-MATCH(D$2,weekly_mission_groups!$2:$2,0)+1),MATCH(E$2,weekly_mission_groups!$2:$2,0)-MATCH(D$2,weekly_mission_groups!$2:$2,0)+1,FALSE)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174" spans="1:5" ht="21" customHeight="1" x14ac:dyDescent="0.15">
      <c r="A174" s="2">
        <f t="shared" si="9"/>
        <v>171</v>
      </c>
      <c r="B174" s="96" t="str">
        <f t="shared" si="10"/>
        <v>2018-11-26 2:00:00</v>
      </c>
      <c r="C174" s="96" t="str">
        <f t="shared" si="11"/>
        <v>2018-12-03 1:59:59</v>
      </c>
      <c r="D174" s="31">
        <f t="shared" si="8"/>
        <v>18</v>
      </c>
      <c r="E174" s="26" t="str">
        <f ca="1">VLOOKUP(D174,OFFSET(weekly_mission_groups!$B$2,0,0,COUNTA(weekly_mission_groups!$B:$B),MATCH(E$2,weekly_mission_groups!$2:$2,0)-MATCH(D$2,weekly_mission_groups!$2:$2,0)+1),MATCH(E$2,weekly_mission_groups!$2:$2,0)-MATCH(D$2,weekly_mission_groups!$2:$2,0)+1,FALSE)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175" spans="1:5" ht="21" customHeight="1" x14ac:dyDescent="0.15">
      <c r="A175" s="2">
        <f t="shared" si="9"/>
        <v>172</v>
      </c>
      <c r="B175" s="96" t="str">
        <f t="shared" si="10"/>
        <v>2018-12-03 2:00:00</v>
      </c>
      <c r="C175" s="96" t="str">
        <f t="shared" si="11"/>
        <v>2018-12-10 1:59:59</v>
      </c>
      <c r="D175" s="31">
        <f t="shared" si="8"/>
        <v>16</v>
      </c>
      <c r="E175" s="26" t="str">
        <f ca="1">VLOOKUP(D175,OFFSET(weekly_mission_groups!$B$2,0,0,COUNTA(weekly_mission_groups!$B:$B),MATCH(E$2,weekly_mission_groups!$2:$2,0)-MATCH(D$2,weekly_mission_groups!$2:$2,0)+1),MATCH(E$2,weekly_mission_groups!$2:$2,0)-MATCH(D$2,weekly_mission_groups!$2:$2,0)+1,FALSE)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176" spans="1:5" ht="21" customHeight="1" x14ac:dyDescent="0.15">
      <c r="A176" s="2">
        <f t="shared" si="9"/>
        <v>173</v>
      </c>
      <c r="B176" s="96" t="str">
        <f t="shared" si="10"/>
        <v>2018-12-10 2:00:00</v>
      </c>
      <c r="C176" s="96" t="str">
        <f t="shared" si="11"/>
        <v>2018-12-17 1:59:59</v>
      </c>
      <c r="D176" s="31">
        <f t="shared" si="8"/>
        <v>17</v>
      </c>
      <c r="E176" s="26" t="str">
        <f ca="1">VLOOKUP(D176,OFFSET(weekly_mission_groups!$B$2,0,0,COUNTA(weekly_mission_groups!$B:$B),MATCH(E$2,weekly_mission_groups!$2:$2,0)-MATCH(D$2,weekly_mission_groups!$2:$2,0)+1),MATCH(E$2,weekly_mission_groups!$2:$2,0)-MATCH(D$2,weekly_mission_groups!$2:$2,0)+1,FALSE)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177" spans="1:5" ht="21" customHeight="1" x14ac:dyDescent="0.15">
      <c r="A177" s="2">
        <f t="shared" si="9"/>
        <v>174</v>
      </c>
      <c r="B177" s="96" t="str">
        <f t="shared" si="10"/>
        <v>2018-12-17 2:00:00</v>
      </c>
      <c r="C177" s="96" t="str">
        <f t="shared" si="11"/>
        <v>2018-12-24 1:59:59</v>
      </c>
      <c r="D177" s="31">
        <f t="shared" si="8"/>
        <v>18</v>
      </c>
      <c r="E177" s="26" t="str">
        <f ca="1">VLOOKUP(D177,OFFSET(weekly_mission_groups!$B$2,0,0,COUNTA(weekly_mission_groups!$B:$B),MATCH(E$2,weekly_mission_groups!$2:$2,0)-MATCH(D$2,weekly_mission_groups!$2:$2,0)+1),MATCH(E$2,weekly_mission_groups!$2:$2,0)-MATCH(D$2,weekly_mission_groups!$2:$2,0)+1,FALSE)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178" spans="1:5" ht="21" customHeight="1" x14ac:dyDescent="0.15">
      <c r="A178" s="2">
        <f t="shared" si="9"/>
        <v>175</v>
      </c>
      <c r="B178" s="96" t="str">
        <f t="shared" si="10"/>
        <v>2018-12-24 2:00:00</v>
      </c>
      <c r="C178" s="96" t="str">
        <f t="shared" si="11"/>
        <v>2018-12-31 1:59:59</v>
      </c>
      <c r="D178" s="31">
        <f t="shared" si="8"/>
        <v>16</v>
      </c>
      <c r="E178" s="26" t="str">
        <f ca="1">VLOOKUP(D178,OFFSET(weekly_mission_groups!$B$2,0,0,COUNTA(weekly_mission_groups!$B:$B),MATCH(E$2,weekly_mission_groups!$2:$2,0)-MATCH(D$2,weekly_mission_groups!$2:$2,0)+1),MATCH(E$2,weekly_mission_groups!$2:$2,0)-MATCH(D$2,weekly_mission_groups!$2:$2,0)+1,FALSE)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179" spans="1:5" ht="21" customHeight="1" x14ac:dyDescent="0.15">
      <c r="A179" s="2">
        <f t="shared" si="9"/>
        <v>176</v>
      </c>
      <c r="B179" s="96" t="str">
        <f t="shared" si="10"/>
        <v>2018-12-31 2:00:00</v>
      </c>
      <c r="C179" s="96" t="str">
        <f t="shared" si="11"/>
        <v>2019-01-07 1:59:59</v>
      </c>
      <c r="D179" s="31">
        <f t="shared" si="8"/>
        <v>17</v>
      </c>
      <c r="E179" s="26" t="str">
        <f ca="1">VLOOKUP(D179,OFFSET(weekly_mission_groups!$B$2,0,0,COUNTA(weekly_mission_groups!$B:$B),MATCH(E$2,weekly_mission_groups!$2:$2,0)-MATCH(D$2,weekly_mission_groups!$2:$2,0)+1),MATCH(E$2,weekly_mission_groups!$2:$2,0)-MATCH(D$2,weekly_mission_groups!$2:$2,0)+1,FALSE)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180" spans="1:5" ht="21" customHeight="1" x14ac:dyDescent="0.15">
      <c r="A180" s="2">
        <f t="shared" si="9"/>
        <v>177</v>
      </c>
      <c r="B180" s="96" t="str">
        <f t="shared" si="10"/>
        <v>2019-01-07 2:00:00</v>
      </c>
      <c r="C180" s="96" t="str">
        <f t="shared" si="11"/>
        <v>2019-01-14 1:59:59</v>
      </c>
      <c r="D180" s="31">
        <f t="shared" si="8"/>
        <v>18</v>
      </c>
      <c r="E180" s="26" t="str">
        <f ca="1">VLOOKUP(D180,OFFSET(weekly_mission_groups!$B$2,0,0,COUNTA(weekly_mission_groups!$B:$B),MATCH(E$2,weekly_mission_groups!$2:$2,0)-MATCH(D$2,weekly_mission_groups!$2:$2,0)+1),MATCH(E$2,weekly_mission_groups!$2:$2,0)-MATCH(D$2,weekly_mission_groups!$2:$2,0)+1,FALSE)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181" spans="1:5" ht="21" customHeight="1" x14ac:dyDescent="0.15">
      <c r="A181" s="2">
        <f t="shared" si="9"/>
        <v>178</v>
      </c>
      <c r="B181" s="96" t="str">
        <f t="shared" si="10"/>
        <v>2019-01-14 2:00:00</v>
      </c>
      <c r="C181" s="96" t="str">
        <f t="shared" si="11"/>
        <v>2019-01-21 1:59:59</v>
      </c>
      <c r="D181" s="31">
        <f t="shared" si="8"/>
        <v>16</v>
      </c>
      <c r="E181" s="26" t="str">
        <f ca="1">VLOOKUP(D181,OFFSET(weekly_mission_groups!$B$2,0,0,COUNTA(weekly_mission_groups!$B:$B),MATCH(E$2,weekly_mission_groups!$2:$2,0)-MATCH(D$2,weekly_mission_groups!$2:$2,0)+1),MATCH(E$2,weekly_mission_groups!$2:$2,0)-MATCH(D$2,weekly_mission_groups!$2:$2,0)+1,FALSE)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182" spans="1:5" ht="21" customHeight="1" x14ac:dyDescent="0.15">
      <c r="A182" s="2">
        <f t="shared" si="9"/>
        <v>179</v>
      </c>
      <c r="B182" s="96" t="str">
        <f t="shared" si="10"/>
        <v>2019-01-21 2:00:00</v>
      </c>
      <c r="C182" s="96" t="str">
        <f t="shared" si="11"/>
        <v>2019-01-28 1:59:59</v>
      </c>
      <c r="D182" s="31">
        <f t="shared" si="8"/>
        <v>17</v>
      </c>
      <c r="E182" s="26" t="str">
        <f ca="1">VLOOKUP(D182,OFFSET(weekly_mission_groups!$B$2,0,0,COUNTA(weekly_mission_groups!$B:$B),MATCH(E$2,weekly_mission_groups!$2:$2,0)-MATCH(D$2,weekly_mission_groups!$2:$2,0)+1),MATCH(E$2,weekly_mission_groups!$2:$2,0)-MATCH(D$2,weekly_mission_groups!$2:$2,0)+1,FALSE)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183" spans="1:5" ht="21" customHeight="1" x14ac:dyDescent="0.15">
      <c r="A183" s="2">
        <f t="shared" si="9"/>
        <v>180</v>
      </c>
      <c r="B183" s="96" t="str">
        <f t="shared" si="10"/>
        <v>2019-01-28 2:00:00</v>
      </c>
      <c r="C183" s="96" t="str">
        <f t="shared" si="11"/>
        <v>2019-02-04 1:59:59</v>
      </c>
      <c r="D183" s="31">
        <f t="shared" si="8"/>
        <v>18</v>
      </c>
      <c r="E183" s="26" t="str">
        <f ca="1">VLOOKUP(D183,OFFSET(weekly_mission_groups!$B$2,0,0,COUNTA(weekly_mission_groups!$B:$B),MATCH(E$2,weekly_mission_groups!$2:$2,0)-MATCH(D$2,weekly_mission_groups!$2:$2,0)+1),MATCH(E$2,weekly_mission_groups!$2:$2,0)-MATCH(D$2,weekly_mission_groups!$2:$2,0)+1,FALSE)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184" spans="1:5" ht="21" customHeight="1" x14ac:dyDescent="0.15">
      <c r="A184" s="2">
        <f t="shared" si="9"/>
        <v>181</v>
      </c>
      <c r="B184" s="96" t="str">
        <f t="shared" si="10"/>
        <v>2019-02-04 2:00:00</v>
      </c>
      <c r="C184" s="96" t="str">
        <f t="shared" si="11"/>
        <v>2019-02-11 1:59:59</v>
      </c>
      <c r="D184" s="31">
        <f t="shared" si="8"/>
        <v>16</v>
      </c>
      <c r="E184" s="26" t="str">
        <f ca="1">VLOOKUP(D184,OFFSET(weekly_mission_groups!$B$2,0,0,COUNTA(weekly_mission_groups!$B:$B),MATCH(E$2,weekly_mission_groups!$2:$2,0)-MATCH(D$2,weekly_mission_groups!$2:$2,0)+1),MATCH(E$2,weekly_mission_groups!$2:$2,0)-MATCH(D$2,weekly_mission_groups!$2:$2,0)+1,FALSE)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185" spans="1:5" ht="21" customHeight="1" x14ac:dyDescent="0.15">
      <c r="A185" s="2">
        <f t="shared" si="9"/>
        <v>182</v>
      </c>
      <c r="B185" s="96" t="str">
        <f t="shared" si="10"/>
        <v>2019-02-11 2:00:00</v>
      </c>
      <c r="C185" s="96" t="str">
        <f t="shared" si="11"/>
        <v>2019-02-18 1:59:59</v>
      </c>
      <c r="D185" s="31">
        <f t="shared" si="8"/>
        <v>17</v>
      </c>
      <c r="E185" s="26" t="str">
        <f ca="1">VLOOKUP(D185,OFFSET(weekly_mission_groups!$B$2,0,0,COUNTA(weekly_mission_groups!$B:$B),MATCH(E$2,weekly_mission_groups!$2:$2,0)-MATCH(D$2,weekly_mission_groups!$2:$2,0)+1),MATCH(E$2,weekly_mission_groups!$2:$2,0)-MATCH(D$2,weekly_mission_groups!$2:$2,0)+1,FALSE)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186" spans="1:5" ht="21" customHeight="1" x14ac:dyDescent="0.15">
      <c r="A186" s="2">
        <f t="shared" si="9"/>
        <v>183</v>
      </c>
      <c r="B186" s="96" t="str">
        <f t="shared" si="10"/>
        <v>2019-02-18 2:00:00</v>
      </c>
      <c r="C186" s="96" t="str">
        <f t="shared" si="11"/>
        <v>2019-02-25 1:59:59</v>
      </c>
      <c r="D186" s="31">
        <f t="shared" si="8"/>
        <v>18</v>
      </c>
      <c r="E186" s="26" t="str">
        <f ca="1">VLOOKUP(D186,OFFSET(weekly_mission_groups!$B$2,0,0,COUNTA(weekly_mission_groups!$B:$B),MATCH(E$2,weekly_mission_groups!$2:$2,0)-MATCH(D$2,weekly_mission_groups!$2:$2,0)+1),MATCH(E$2,weekly_mission_groups!$2:$2,0)-MATCH(D$2,weekly_mission_groups!$2:$2,0)+1,FALSE)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187" spans="1:5" ht="21" customHeight="1" x14ac:dyDescent="0.15">
      <c r="A187" s="2">
        <f t="shared" si="9"/>
        <v>184</v>
      </c>
      <c r="B187" s="96" t="str">
        <f t="shared" si="10"/>
        <v>2019-02-25 2:00:00</v>
      </c>
      <c r="C187" s="96" t="str">
        <f t="shared" si="11"/>
        <v>2019-03-04 1:59:59</v>
      </c>
      <c r="D187" s="31">
        <f t="shared" si="8"/>
        <v>16</v>
      </c>
      <c r="E187" s="26" t="str">
        <f ca="1">VLOOKUP(D187,OFFSET(weekly_mission_groups!$B$2,0,0,COUNTA(weekly_mission_groups!$B:$B),MATCH(E$2,weekly_mission_groups!$2:$2,0)-MATCH(D$2,weekly_mission_groups!$2:$2,0)+1),MATCH(E$2,weekly_mission_groups!$2:$2,0)-MATCH(D$2,weekly_mission_groups!$2:$2,0)+1,FALSE)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188" spans="1:5" ht="21" customHeight="1" x14ac:dyDescent="0.15">
      <c r="A188" s="2">
        <f t="shared" si="9"/>
        <v>185</v>
      </c>
      <c r="B188" s="96" t="str">
        <f t="shared" si="10"/>
        <v>2019-03-04 2:00:00</v>
      </c>
      <c r="C188" s="96" t="str">
        <f t="shared" si="11"/>
        <v>2019-03-11 1:59:59</v>
      </c>
      <c r="D188" s="31">
        <f t="shared" si="8"/>
        <v>17</v>
      </c>
      <c r="E188" s="26" t="str">
        <f ca="1">VLOOKUP(D188,OFFSET(weekly_mission_groups!$B$2,0,0,COUNTA(weekly_mission_groups!$B:$B),MATCH(E$2,weekly_mission_groups!$2:$2,0)-MATCH(D$2,weekly_mission_groups!$2:$2,0)+1),MATCH(E$2,weekly_mission_groups!$2:$2,0)-MATCH(D$2,weekly_mission_groups!$2:$2,0)+1,FALSE)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189" spans="1:5" ht="21" customHeight="1" x14ac:dyDescent="0.15">
      <c r="A189" s="2">
        <f t="shared" si="9"/>
        <v>186</v>
      </c>
      <c r="B189" s="96" t="str">
        <f t="shared" si="10"/>
        <v>2019-03-11 2:00:00</v>
      </c>
      <c r="C189" s="96" t="str">
        <f t="shared" si="11"/>
        <v>2019-03-18 1:59:59</v>
      </c>
      <c r="D189" s="31">
        <f t="shared" ref="D189:D200" si="12">D186</f>
        <v>18</v>
      </c>
      <c r="E189" s="26" t="str">
        <f ca="1">VLOOKUP(D189,OFFSET(weekly_mission_groups!$B$2,0,0,COUNTA(weekly_mission_groups!$B:$B),MATCH(E$2,weekly_mission_groups!$2:$2,0)-MATCH(D$2,weekly_mission_groups!$2:$2,0)+1),MATCH(E$2,weekly_mission_groups!$2:$2,0)-MATCH(D$2,weekly_mission_groups!$2:$2,0)+1,FALSE)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190" spans="1:5" ht="21" customHeight="1" x14ac:dyDescent="0.15">
      <c r="A190" s="2">
        <f t="shared" si="9"/>
        <v>187</v>
      </c>
      <c r="B190" s="96" t="str">
        <f t="shared" si="10"/>
        <v>2019-03-18 2:00:00</v>
      </c>
      <c r="C190" s="96" t="str">
        <f t="shared" si="11"/>
        <v>2019-03-25 1:59:59</v>
      </c>
      <c r="D190" s="31">
        <f t="shared" si="12"/>
        <v>16</v>
      </c>
      <c r="E190" s="26" t="str">
        <f ca="1">VLOOKUP(D190,OFFSET(weekly_mission_groups!$B$2,0,0,COUNTA(weekly_mission_groups!$B:$B),MATCH(E$2,weekly_mission_groups!$2:$2,0)-MATCH(D$2,weekly_mission_groups!$2:$2,0)+1),MATCH(E$2,weekly_mission_groups!$2:$2,0)-MATCH(D$2,weekly_mission_groups!$2:$2,0)+1,FALSE)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191" spans="1:5" ht="21" customHeight="1" x14ac:dyDescent="0.15">
      <c r="A191" s="2">
        <f t="shared" si="9"/>
        <v>188</v>
      </c>
      <c r="B191" s="96" t="str">
        <f t="shared" si="10"/>
        <v>2019-03-25 2:00:00</v>
      </c>
      <c r="C191" s="96" t="str">
        <f t="shared" si="11"/>
        <v>2019-04-01 1:59:59</v>
      </c>
      <c r="D191" s="31">
        <f t="shared" si="12"/>
        <v>17</v>
      </c>
      <c r="E191" s="26" t="str">
        <f ca="1">VLOOKUP(D191,OFFSET(weekly_mission_groups!$B$2,0,0,COUNTA(weekly_mission_groups!$B:$B),MATCH(E$2,weekly_mission_groups!$2:$2,0)-MATCH(D$2,weekly_mission_groups!$2:$2,0)+1),MATCH(E$2,weekly_mission_groups!$2:$2,0)-MATCH(D$2,weekly_mission_groups!$2:$2,0)+1,FALSE)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192" spans="1:5" ht="21" customHeight="1" x14ac:dyDescent="0.15">
      <c r="A192" s="2">
        <f t="shared" si="9"/>
        <v>189</v>
      </c>
      <c r="B192" s="96" t="str">
        <f t="shared" si="10"/>
        <v>2019-04-01 2:00:00</v>
      </c>
      <c r="C192" s="96" t="str">
        <f t="shared" si="11"/>
        <v>2019-04-08 1:59:59</v>
      </c>
      <c r="D192" s="31">
        <f t="shared" si="12"/>
        <v>18</v>
      </c>
      <c r="E192" s="26" t="str">
        <f ca="1">VLOOKUP(D192,OFFSET(weekly_mission_groups!$B$2,0,0,COUNTA(weekly_mission_groups!$B:$B),MATCH(E$2,weekly_mission_groups!$2:$2,0)-MATCH(D$2,weekly_mission_groups!$2:$2,0)+1),MATCH(E$2,weekly_mission_groups!$2:$2,0)-MATCH(D$2,weekly_mission_groups!$2:$2,0)+1,FALSE)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193" spans="1:5" ht="21" customHeight="1" x14ac:dyDescent="0.15">
      <c r="A193" s="2">
        <f t="shared" si="9"/>
        <v>190</v>
      </c>
      <c r="B193" s="96" t="str">
        <f t="shared" si="10"/>
        <v>2019-04-08 2:00:00</v>
      </c>
      <c r="C193" s="96" t="str">
        <f t="shared" si="11"/>
        <v>2019-04-15 1:59:59</v>
      </c>
      <c r="D193" s="31">
        <f t="shared" si="12"/>
        <v>16</v>
      </c>
      <c r="E193" s="26" t="str">
        <f ca="1">VLOOKUP(D193,OFFSET(weekly_mission_groups!$B$2,0,0,COUNTA(weekly_mission_groups!$B:$B),MATCH(E$2,weekly_mission_groups!$2:$2,0)-MATCH(D$2,weekly_mission_groups!$2:$2,0)+1),MATCH(E$2,weekly_mission_groups!$2:$2,0)-MATCH(D$2,weekly_mission_groups!$2:$2,0)+1,FALSE)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194" spans="1:5" ht="21" customHeight="1" x14ac:dyDescent="0.15">
      <c r="A194" s="2">
        <f t="shared" si="9"/>
        <v>191</v>
      </c>
      <c r="B194" s="96" t="str">
        <f t="shared" si="10"/>
        <v>2019-04-15 2:00:00</v>
      </c>
      <c r="C194" s="96" t="str">
        <f t="shared" si="11"/>
        <v>2019-04-22 1:59:59</v>
      </c>
      <c r="D194" s="31">
        <f t="shared" si="12"/>
        <v>17</v>
      </c>
      <c r="E194" s="26" t="str">
        <f ca="1">VLOOKUP(D194,OFFSET(weekly_mission_groups!$B$2,0,0,COUNTA(weekly_mission_groups!$B:$B),MATCH(E$2,weekly_mission_groups!$2:$2,0)-MATCH(D$2,weekly_mission_groups!$2:$2,0)+1),MATCH(E$2,weekly_mission_groups!$2:$2,0)-MATCH(D$2,weekly_mission_groups!$2:$2,0)+1,FALSE)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195" spans="1:5" ht="21" customHeight="1" x14ac:dyDescent="0.15">
      <c r="A195" s="2">
        <f t="shared" si="9"/>
        <v>192</v>
      </c>
      <c r="B195" s="96" t="str">
        <f t="shared" si="10"/>
        <v>2019-04-22 2:00:00</v>
      </c>
      <c r="C195" s="96" t="str">
        <f t="shared" si="11"/>
        <v>2019-04-29 1:59:59</v>
      </c>
      <c r="D195" s="31">
        <f t="shared" si="12"/>
        <v>18</v>
      </c>
      <c r="E195" s="26" t="str">
        <f ca="1">VLOOKUP(D195,OFFSET(weekly_mission_groups!$B$2,0,0,COUNTA(weekly_mission_groups!$B:$B),MATCH(E$2,weekly_mission_groups!$2:$2,0)-MATCH(D$2,weekly_mission_groups!$2:$2,0)+1),MATCH(E$2,weekly_mission_groups!$2:$2,0)-MATCH(D$2,weekly_mission_groups!$2:$2,0)+1,FALSE)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196" spans="1:5" ht="21" customHeight="1" x14ac:dyDescent="0.15">
      <c r="A196" s="2">
        <f t="shared" si="9"/>
        <v>193</v>
      </c>
      <c r="B196" s="96" t="str">
        <f t="shared" si="10"/>
        <v>2019-04-29 2:00:00</v>
      </c>
      <c r="C196" s="96" t="str">
        <f t="shared" si="11"/>
        <v>2019-05-06 1:59:59</v>
      </c>
      <c r="D196" s="31">
        <f t="shared" si="12"/>
        <v>16</v>
      </c>
      <c r="E196" s="26" t="str">
        <f ca="1">VLOOKUP(D196,OFFSET(weekly_mission_groups!$B$2,0,0,COUNTA(weekly_mission_groups!$B:$B),MATCH(E$2,weekly_mission_groups!$2:$2,0)-MATCH(D$2,weekly_mission_groups!$2:$2,0)+1),MATCH(E$2,weekly_mission_groups!$2:$2,0)-MATCH(D$2,weekly_mission_groups!$2:$2,0)+1,FALSE)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197" spans="1:5" ht="21" customHeight="1" x14ac:dyDescent="0.15">
      <c r="A197" s="2">
        <f t="shared" si="9"/>
        <v>194</v>
      </c>
      <c r="B197" s="96" t="str">
        <f t="shared" si="10"/>
        <v>2019-05-06 2:00:00</v>
      </c>
      <c r="C197" s="96" t="str">
        <f t="shared" si="11"/>
        <v>2019-05-13 1:59:59</v>
      </c>
      <c r="D197" s="31">
        <f t="shared" si="12"/>
        <v>17</v>
      </c>
      <c r="E197" s="26" t="str">
        <f ca="1">VLOOKUP(D197,OFFSET(weekly_mission_groups!$B$2,0,0,COUNTA(weekly_mission_groups!$B:$B),MATCH(E$2,weekly_mission_groups!$2:$2,0)-MATCH(D$2,weekly_mission_groups!$2:$2,0)+1),MATCH(E$2,weekly_mission_groups!$2:$2,0)-MATCH(D$2,weekly_mission_groups!$2:$2,0)+1,FALSE)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  <row r="198" spans="1:5" ht="21" customHeight="1" x14ac:dyDescent="0.15">
      <c r="A198" s="2">
        <f t="shared" si="9"/>
        <v>195</v>
      </c>
      <c r="B198" s="96" t="str">
        <f t="shared" si="10"/>
        <v>2019-05-13 2:00:00</v>
      </c>
      <c r="C198" s="96" t="str">
        <f t="shared" si="11"/>
        <v>2019-05-20 1:59:59</v>
      </c>
      <c r="D198" s="31">
        <f t="shared" si="12"/>
        <v>18</v>
      </c>
      <c r="E198" s="26" t="str">
        <f ca="1">VLOOKUP(D198,OFFSET(weekly_mission_groups!$B$2,0,0,COUNTA(weekly_mission_groups!$B:$B),MATCH(E$2,weekly_mission_groups!$2:$2,0)-MATCH(D$2,weekly_mission_groups!$2:$2,0)+1),MATCH(E$2,weekly_mission_groups!$2:$2,0)-MATCH(D$2,weekly_mission_groups!$2:$2,0)+1,FALSE)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シリーズ6-3</v>
      </c>
    </row>
    <row r="199" spans="1:5" ht="21" customHeight="1" x14ac:dyDescent="0.15">
      <c r="A199" s="2">
        <f t="shared" si="9"/>
        <v>196</v>
      </c>
      <c r="B199" s="96" t="str">
        <f t="shared" si="10"/>
        <v>2019-05-20 2:00:00</v>
      </c>
      <c r="C199" s="96" t="str">
        <f t="shared" si="11"/>
        <v>2019-05-27 1:59:59</v>
      </c>
      <c r="D199" s="31">
        <f t="shared" si="12"/>
        <v>16</v>
      </c>
      <c r="E199" s="26" t="str">
        <f ca="1">VLOOKUP(D199,OFFSET(weekly_mission_groups!$B$2,0,0,COUNTA(weekly_mission_groups!$B:$B),MATCH(E$2,weekly_mission_groups!$2:$2,0)-MATCH(D$2,weekly_mission_groups!$2:$2,0)+1),MATCH(E$2,weekly_mission_groups!$2:$2,0)-MATCH(D$2,weekly_mission_groups!$2:$2,0)+1,FALSE)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シリーズ6-1</v>
      </c>
    </row>
    <row r="200" spans="1:5" ht="21" customHeight="1" x14ac:dyDescent="0.15">
      <c r="A200" s="2">
        <f t="shared" si="9"/>
        <v>197</v>
      </c>
      <c r="B200" s="96" t="str">
        <f t="shared" si="10"/>
        <v>2019-05-27 2:00:00</v>
      </c>
      <c r="C200" s="96" t="str">
        <f t="shared" si="11"/>
        <v>2019-06-03 1:59:59</v>
      </c>
      <c r="D200" s="31">
        <f t="shared" si="12"/>
        <v>17</v>
      </c>
      <c r="E200" s="26" t="str">
        <f ca="1">VLOOKUP(D200,OFFSET(weekly_mission_groups!$B$2,0,0,COUNTA(weekly_mission_groups!$B:$B),MATCH(E$2,weekly_mission_groups!$2:$2,0)-MATCH(D$2,weekly_mission_groups!$2:$2,0)+1),MATCH(E$2,weekly_mission_groups!$2:$2,0)-MATCH(D$2,weekly_mission_groups!$2:$2,0)+1,FALSE)</f>
        <v>シリーズ6-2</v>
      </c>
    </row>
  </sheetData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>
    <tabColor rgb="FF0000FF"/>
    <outlinePr summaryBelow="0" summaryRight="0"/>
  </sheetPr>
  <dimension ref="A1:L294"/>
  <sheetViews>
    <sheetView showGridLines="0" workbookViewId="0">
      <pane ySplit="2" topLeftCell="A159" activePane="bottomLeft" state="frozen"/>
      <selection pane="bottomLeft" activeCell="A190" sqref="A190"/>
    </sheetView>
  </sheetViews>
  <sheetFormatPr baseColWidth="12" defaultColWidth="12.796875" defaultRowHeight="21" customHeight="1" outlineLevelCol="1" x14ac:dyDescent="0.15"/>
  <cols>
    <col min="1" max="1" width="6.796875" style="1" bestFit="1" customWidth="1"/>
    <col min="2" max="2" width="20.3984375" style="1" bestFit="1" customWidth="1"/>
    <col min="3" max="3" width="22.3984375" style="18" customWidth="1"/>
    <col min="4" max="4" width="24.19921875" style="18" customWidth="1"/>
    <col min="5" max="5" width="47.3984375" style="18" bestFit="1" customWidth="1" outlineLevel="1"/>
    <col min="6" max="6" width="26.796875" style="18" customWidth="1" outlineLevel="1"/>
    <col min="7" max="7" width="13.3984375" style="18" bestFit="1" customWidth="1"/>
    <col min="8" max="16384" width="12.796875" style="1"/>
  </cols>
  <sheetData>
    <row r="1" spans="1:12" ht="21" customHeight="1" x14ac:dyDescent="0.15">
      <c r="A1" s="50" t="s">
        <v>561</v>
      </c>
      <c r="B1" s="20" t="s">
        <v>505</v>
      </c>
      <c r="C1" s="43" t="s">
        <v>560</v>
      </c>
      <c r="D1" s="47" t="s">
        <v>555</v>
      </c>
      <c r="E1" s="43" t="s">
        <v>559</v>
      </c>
      <c r="F1" s="43" t="s">
        <v>8</v>
      </c>
      <c r="G1" s="33" t="s">
        <v>557</v>
      </c>
    </row>
    <row r="2" spans="1:12" ht="21" customHeight="1" x14ac:dyDescent="0.15">
      <c r="A2" s="51" t="s">
        <v>562</v>
      </c>
      <c r="B2" s="10" t="s">
        <v>738</v>
      </c>
      <c r="C2" s="24" t="s">
        <v>558</v>
      </c>
      <c r="D2" s="49" t="s">
        <v>565</v>
      </c>
      <c r="E2" s="24" t="s">
        <v>564</v>
      </c>
      <c r="F2" s="24" t="s">
        <v>676</v>
      </c>
      <c r="G2" s="23" t="s">
        <v>556</v>
      </c>
      <c r="I2" s="1" t="s">
        <v>1222</v>
      </c>
      <c r="J2" s="1" t="s">
        <v>1223</v>
      </c>
      <c r="K2" s="1" t="s">
        <v>1224</v>
      </c>
      <c r="L2" s="1" t="s">
        <v>1225</v>
      </c>
    </row>
    <row r="3" spans="1:12" ht="21" customHeight="1" x14ac:dyDescent="0.15">
      <c r="A3" s="50" t="str">
        <f t="shared" ref="A3" si="0">B3&amp;"_"&amp;D3</f>
        <v>1_1021</v>
      </c>
      <c r="B3" s="48">
        <v>1</v>
      </c>
      <c r="C3" s="157" t="s">
        <v>677</v>
      </c>
      <c r="D3" s="8">
        <v>1021</v>
      </c>
      <c r="E3" s="31" t="str">
        <f ca="1">VLOOKUP(D3,OFFSET(weekly_missions!$A$2,0,0,COUNTA(weekly_missions!$A:$A),MATCH(E$2,weekly_missions!$2:$2,0)-MATCH(D$2,weekly_missions!$2:$2,0)+1),MATCH(E$2,weekly_missions!$2:$2,0)-MATCH(D$2,weekly_missions!$2:$2,0)+1,FALSE)</f>
        <v>クエストを通算 20 回クリアしよう！</v>
      </c>
      <c r="F3" s="31" t="str">
        <f ca="1">VLOOKUP(D3,OFFSET(weekly_missions!$A$2,0,0,COUNTA(weekly_missions!$A:$A),MATCH(F$2,weekly_missions!$2:$2,0)-MATCH(D$2,weekly_missions!$2:$2,0)+1),MATCH(F$2,weekly_missions!$2:$2,0)-MATCH(D$2,weekly_missions!$2:$2,0)+1,FALSE)</f>
        <v>攻めの果実 x 1</v>
      </c>
      <c r="G3" s="53">
        <v>1</v>
      </c>
    </row>
    <row r="4" spans="1:12" ht="21" customHeight="1" x14ac:dyDescent="0.15">
      <c r="A4" s="50" t="str">
        <f>B4&amp;"_"&amp;D4</f>
        <v>1_2021</v>
      </c>
      <c r="B4" s="48">
        <v>1</v>
      </c>
      <c r="C4" s="158"/>
      <c r="D4" s="8">
        <v>2021</v>
      </c>
      <c r="E4" s="31" t="str">
        <f ca="1">VLOOKUP(D4,OFFSET(weekly_missions!$A$2,0,0,COUNTA(weekly_missions!$A:$A),MATCH(E$2,weekly_missions!$2:$2,0)-MATCH(D$2,weekly_missions!$2:$2,0)+1),MATCH(E$2,weekly_missions!$2:$2,0)-MATCH(D$2,weekly_missions!$2:$2,0)+1,FALSE)</f>
        <v>マルチプレイを 20 回プレイしよう！</v>
      </c>
      <c r="F4" s="31" t="str">
        <f ca="1">VLOOKUP(D4,OFFSET(weekly_missions!$A$2,0,0,COUNTA(weekly_missions!$A:$A),MATCH(F$2,weekly_missions!$2:$2,0)-MATCH(D$2,weekly_missions!$2:$2,0)+1),MATCH(F$2,weekly_missions!$2:$2,0)-MATCH(D$2,weekly_missions!$2:$2,0)+1,FALSE)</f>
        <v>癒しの果実 x 1</v>
      </c>
      <c r="G4" s="53">
        <v>2</v>
      </c>
    </row>
    <row r="5" spans="1:12" ht="21" customHeight="1" x14ac:dyDescent="0.15">
      <c r="A5" s="50" t="str">
        <f t="shared" ref="A5:A26" si="1">B5&amp;"_"&amp;D5</f>
        <v>1_3031</v>
      </c>
      <c r="B5" s="52">
        <v>1</v>
      </c>
      <c r="C5" s="158"/>
      <c r="D5" s="8">
        <v>3031</v>
      </c>
      <c r="E5" s="31" t="str">
        <f ca="1">VLOOKUP(D5,OFFSET(weekly_missions!$A$2,0,0,COUNTA(weekly_missions!$A:$A),MATCH(E$2,weekly_missions!$2:$2,0)-MATCH(D$2,weekly_missions!$2:$2,0)+1),MATCH(E$2,weekly_missions!$2:$2,0)-MATCH(D$2,weekly_missions!$2:$2,0)+1,FALSE)</f>
        <v>通算 3 日ログインしよう！</v>
      </c>
      <c r="F5" s="31" t="str">
        <f ca="1">VLOOKUP(D5,OFFSET(weekly_missions!$A$2,0,0,COUNTA(weekly_missions!$A:$A),MATCH(F$2,weekly_missions!$2:$2,0)-MATCH(D$2,weekly_missions!$2:$2,0)+1),MATCH(F$2,weekly_missions!$2:$2,0)-MATCH(D$2,weekly_missions!$2:$2,0)+1,FALSE)</f>
        <v>生命の果実 x 1</v>
      </c>
      <c r="G5" s="53">
        <v>3</v>
      </c>
    </row>
    <row r="6" spans="1:12" ht="21" customHeight="1" x14ac:dyDescent="0.15">
      <c r="A6" s="50" t="str">
        <f t="shared" ref="A6" si="2">B6&amp;"_"&amp;D6</f>
        <v>1_3071</v>
      </c>
      <c r="B6" s="52">
        <v>1</v>
      </c>
      <c r="C6" s="158"/>
      <c r="D6" s="8">
        <v>3071</v>
      </c>
      <c r="E6" s="31" t="str">
        <f ca="1">VLOOKUP(D6,OFFSET(weekly_missions!$A$2,0,0,COUNTA(weekly_missions!$A:$A),MATCH(E$2,weekly_missions!$2:$2,0)-MATCH(D$2,weekly_missions!$2:$2,0)+1),MATCH(E$2,weekly_missions!$2:$2,0)-MATCH(D$2,weekly_missions!$2:$2,0)+1,FALSE)</f>
        <v>通算 7 日ログインしよう！</v>
      </c>
      <c r="F6" s="31" t="str">
        <f ca="1">VLOOKUP(D6,OFFSET(weekly_missions!$A$2,0,0,COUNTA(weekly_missions!$A:$A),MATCH(F$2,weekly_missions!$2:$2,0)-MATCH(D$2,weekly_missions!$2:$2,0)+1),MATCH(F$2,weekly_missions!$2:$2,0)-MATCH(D$2,weekly_missions!$2:$2,0)+1,FALSE)</f>
        <v>攻めの果実 x 1</v>
      </c>
      <c r="G6" s="53">
        <v>4</v>
      </c>
    </row>
    <row r="7" spans="1:12" ht="21" customHeight="1" x14ac:dyDescent="0.15">
      <c r="A7" s="50" t="str">
        <f t="shared" si="1"/>
        <v>1_9201</v>
      </c>
      <c r="B7" s="48">
        <v>1</v>
      </c>
      <c r="C7" s="158"/>
      <c r="D7" s="8">
        <v>9201</v>
      </c>
      <c r="E7" s="31" t="str">
        <f ca="1">VLOOKUP(D7,OFFSET(weekly_missions!$A$2,0,0,COUNTA(weekly_missions!$A:$A),MATCH(E$2,weekly_missions!$2:$2,0)-MATCH(D$2,weekly_missions!$2:$2,0)+1),MATCH(E$2,weekly_missions!$2:$2,0)-MATCH(D$2,weekly_missions!$2:$2,0)+1,FALSE)</f>
        <v>ユニット 【ガイル】 を 3 体ゲットしよう！</v>
      </c>
      <c r="F7" s="31" t="str">
        <f ca="1">VLOOKUP(D7,OFFSET(weekly_missions!$A$2,0,0,COUNTA(weekly_missions!$A:$A),MATCH(F$2,weekly_missions!$2:$2,0)-MATCH(D$2,weekly_missions!$2:$2,0)+1),MATCH(F$2,weekly_missions!$2:$2,0)-MATCH(D$2,weekly_missions!$2:$2,0)+1,FALSE)</f>
        <v>癒しの果実 x 1</v>
      </c>
      <c r="G7" s="53">
        <v>5</v>
      </c>
    </row>
    <row r="8" spans="1:12" ht="21" customHeight="1" x14ac:dyDescent="0.15">
      <c r="A8" s="50" t="str">
        <f t="shared" ref="A8" si="3">B8&amp;"_"&amp;D8</f>
        <v>1_9301</v>
      </c>
      <c r="B8" s="48">
        <v>1</v>
      </c>
      <c r="C8" s="159"/>
      <c r="D8" s="8">
        <v>9301</v>
      </c>
      <c r="E8" s="31" t="str">
        <f ca="1">VLOOKUP(D8,OFFSET(weekly_missions!$A$2,0,0,COUNTA(weekly_missions!$A:$A),MATCH(E$2,weekly_missions!$2:$2,0)-MATCH(D$2,weekly_missions!$2:$2,0)+1),MATCH(E$2,weekly_missions!$2:$2,0)-MATCH(D$2,weekly_missions!$2:$2,0)+1,FALSE)</f>
        <v>ユニット 【ストール】 を 3 体ゲットしよう！</v>
      </c>
      <c r="F8" s="31" t="str">
        <f ca="1">VLOOKUP(D8,OFFSET(weekly_missions!$A$2,0,0,COUNTA(weekly_missions!$A:$A),MATCH(F$2,weekly_missions!$2:$2,0)-MATCH(D$2,weekly_missions!$2:$2,0)+1),MATCH(F$2,weekly_missions!$2:$2,0)-MATCH(D$2,weekly_missions!$2:$2,0)+1,FALSE)</f>
        <v>生命の果実 x 1</v>
      </c>
      <c r="G8" s="53">
        <v>6</v>
      </c>
    </row>
    <row r="9" spans="1:12" ht="21" customHeight="1" x14ac:dyDescent="0.15">
      <c r="A9" s="50" t="str">
        <f t="shared" si="1"/>
        <v>2_1022</v>
      </c>
      <c r="B9" s="48">
        <v>2</v>
      </c>
      <c r="C9" s="157" t="s">
        <v>678</v>
      </c>
      <c r="D9" s="8">
        <v>1022</v>
      </c>
      <c r="E9" s="31" t="str">
        <f ca="1">VLOOKUP(D9,OFFSET(weekly_missions!$A$2,0,0,COUNTA(weekly_missions!$A:$A),MATCH(E$2,weekly_missions!$2:$2,0)-MATCH(D$2,weekly_missions!$2:$2,0)+1),MATCH(E$2,weekly_missions!$2:$2,0)-MATCH(D$2,weekly_missions!$2:$2,0)+1,FALSE)</f>
        <v>クエストを通算 20 回クリアしよう！</v>
      </c>
      <c r="F9" s="31" t="str">
        <f ca="1">VLOOKUP(D9,OFFSET(weekly_missions!$A$2,0,0,COUNTA(weekly_missions!$A:$A),MATCH(F$2,weekly_missions!$2:$2,0)-MATCH(D$2,weekly_missions!$2:$2,0)+1),MATCH(F$2,weekly_missions!$2:$2,0)-MATCH(D$2,weekly_missions!$2:$2,0)+1,FALSE)</f>
        <v>生命の果実 x 1</v>
      </c>
      <c r="G9" s="53">
        <v>1</v>
      </c>
    </row>
    <row r="10" spans="1:12" ht="21" customHeight="1" x14ac:dyDescent="0.15">
      <c r="A10" s="50" t="str">
        <f t="shared" si="1"/>
        <v>2_2022</v>
      </c>
      <c r="B10" s="48">
        <v>2</v>
      </c>
      <c r="C10" s="158"/>
      <c r="D10" s="8">
        <v>2022</v>
      </c>
      <c r="E10" s="31" t="str">
        <f ca="1">VLOOKUP(D10,OFFSET(weekly_missions!$A$2,0,0,COUNTA(weekly_missions!$A:$A),MATCH(E$2,weekly_missions!$2:$2,0)-MATCH(D$2,weekly_missions!$2:$2,0)+1),MATCH(E$2,weekly_missions!$2:$2,0)-MATCH(D$2,weekly_missions!$2:$2,0)+1,FALSE)</f>
        <v>マルチプレイを 20 回プレイしよう！</v>
      </c>
      <c r="F10" s="31" t="str">
        <f ca="1">VLOOKUP(D10,OFFSET(weekly_missions!$A$2,0,0,COUNTA(weekly_missions!$A:$A),MATCH(F$2,weekly_missions!$2:$2,0)-MATCH(D$2,weekly_missions!$2:$2,0)+1),MATCH(F$2,weekly_missions!$2:$2,0)-MATCH(D$2,weekly_missions!$2:$2,0)+1,FALSE)</f>
        <v>攻めの果実 x 1</v>
      </c>
      <c r="G10" s="53">
        <v>2</v>
      </c>
    </row>
    <row r="11" spans="1:12" ht="21" customHeight="1" x14ac:dyDescent="0.15">
      <c r="A11" s="50" t="str">
        <f t="shared" si="1"/>
        <v>2_3032</v>
      </c>
      <c r="B11" s="48">
        <v>2</v>
      </c>
      <c r="C11" s="158"/>
      <c r="D11" s="8">
        <v>3032</v>
      </c>
      <c r="E11" s="31" t="str">
        <f ca="1">VLOOKUP(D11,OFFSET(weekly_missions!$A$2,0,0,COUNTA(weekly_missions!$A:$A),MATCH(E$2,weekly_missions!$2:$2,0)-MATCH(D$2,weekly_missions!$2:$2,0)+1),MATCH(E$2,weekly_missions!$2:$2,0)-MATCH(D$2,weekly_missions!$2:$2,0)+1,FALSE)</f>
        <v>通算 3 日ログインしよう！</v>
      </c>
      <c r="F11" s="31" t="str">
        <f ca="1">VLOOKUP(D11,OFFSET(weekly_missions!$A$2,0,0,COUNTA(weekly_missions!$A:$A),MATCH(F$2,weekly_missions!$2:$2,0)-MATCH(D$2,weekly_missions!$2:$2,0)+1),MATCH(F$2,weekly_missions!$2:$2,0)-MATCH(D$2,weekly_missions!$2:$2,0)+1,FALSE)</f>
        <v>癒しの果実 x 1</v>
      </c>
      <c r="G11" s="53">
        <v>3</v>
      </c>
    </row>
    <row r="12" spans="1:12" ht="21" customHeight="1" x14ac:dyDescent="0.15">
      <c r="A12" s="50" t="str">
        <f t="shared" ref="A12" si="4">B12&amp;"_"&amp;D12</f>
        <v>2_3072</v>
      </c>
      <c r="B12" s="48">
        <v>2</v>
      </c>
      <c r="C12" s="158"/>
      <c r="D12" s="8">
        <v>3072</v>
      </c>
      <c r="E12" s="31" t="str">
        <f ca="1">VLOOKUP(D12,OFFSET(weekly_missions!$A$2,0,0,COUNTA(weekly_missions!$A:$A),MATCH(E$2,weekly_missions!$2:$2,0)-MATCH(D$2,weekly_missions!$2:$2,0)+1),MATCH(E$2,weekly_missions!$2:$2,0)-MATCH(D$2,weekly_missions!$2:$2,0)+1,FALSE)</f>
        <v>通算 7 日ログインしよう！</v>
      </c>
      <c r="F12" s="31" t="str">
        <f ca="1">VLOOKUP(D12,OFFSET(weekly_missions!$A$2,0,0,COUNTA(weekly_missions!$A:$A),MATCH(F$2,weekly_missions!$2:$2,0)-MATCH(D$2,weekly_missions!$2:$2,0)+1),MATCH(F$2,weekly_missions!$2:$2,0)-MATCH(D$2,weekly_missions!$2:$2,0)+1,FALSE)</f>
        <v>生命の果実 x 1</v>
      </c>
      <c r="G12" s="53">
        <v>4</v>
      </c>
    </row>
    <row r="13" spans="1:12" ht="21" customHeight="1" x14ac:dyDescent="0.15">
      <c r="A13" s="50" t="str">
        <f t="shared" si="1"/>
        <v>2_9202</v>
      </c>
      <c r="B13" s="48">
        <v>2</v>
      </c>
      <c r="C13" s="158"/>
      <c r="D13" s="8">
        <v>9202</v>
      </c>
      <c r="E13" s="31" t="str">
        <f ca="1">VLOOKUP(D13,OFFSET(weekly_missions!$A$2,0,0,COUNTA(weekly_missions!$A:$A),MATCH(E$2,weekly_missions!$2:$2,0)-MATCH(D$2,weekly_missions!$2:$2,0)+1),MATCH(E$2,weekly_missions!$2:$2,0)-MATCH(D$2,weekly_missions!$2:$2,0)+1,FALSE)</f>
        <v>ユニット 【ゴクウ】 を 3 体ゲットしよう！</v>
      </c>
      <c r="F13" s="31" t="str">
        <f ca="1">VLOOKUP(D13,OFFSET(weekly_missions!$A$2,0,0,COUNTA(weekly_missions!$A:$A),MATCH(F$2,weekly_missions!$2:$2,0)-MATCH(D$2,weekly_missions!$2:$2,0)+1),MATCH(F$2,weekly_missions!$2:$2,0)-MATCH(D$2,weekly_missions!$2:$2,0)+1,FALSE)</f>
        <v>攻めの果実 x 1</v>
      </c>
      <c r="G13" s="53">
        <v>5</v>
      </c>
    </row>
    <row r="14" spans="1:12" ht="21" customHeight="1" x14ac:dyDescent="0.15">
      <c r="A14" s="50" t="str">
        <f t="shared" si="1"/>
        <v>2_9302</v>
      </c>
      <c r="B14" s="48">
        <v>2</v>
      </c>
      <c r="C14" s="159"/>
      <c r="D14" s="8">
        <v>9302</v>
      </c>
      <c r="E14" s="31" t="str">
        <f ca="1">VLOOKUP(D14,OFFSET(weekly_missions!$A$2,0,0,COUNTA(weekly_missions!$A:$A),MATCH(E$2,weekly_missions!$2:$2,0)-MATCH(D$2,weekly_missions!$2:$2,0)+1),MATCH(E$2,weekly_missions!$2:$2,0)-MATCH(D$2,weekly_missions!$2:$2,0)+1,FALSE)</f>
        <v>ユニット 【ダックス】 を 3 体ゲットしよう！</v>
      </c>
      <c r="F14" s="31" t="str">
        <f ca="1">VLOOKUP(D14,OFFSET(weekly_missions!$A$2,0,0,COUNTA(weekly_missions!$A:$A),MATCH(F$2,weekly_missions!$2:$2,0)-MATCH(D$2,weekly_missions!$2:$2,0)+1),MATCH(F$2,weekly_missions!$2:$2,0)-MATCH(D$2,weekly_missions!$2:$2,0)+1,FALSE)</f>
        <v>癒しの果実 x 1</v>
      </c>
      <c r="G14" s="53">
        <v>6</v>
      </c>
    </row>
    <row r="15" spans="1:12" ht="21" customHeight="1" x14ac:dyDescent="0.15">
      <c r="A15" s="50" t="str">
        <f t="shared" si="1"/>
        <v>3_1023</v>
      </c>
      <c r="B15" s="48">
        <v>3</v>
      </c>
      <c r="C15" s="157" t="s">
        <v>679</v>
      </c>
      <c r="D15" s="8">
        <v>1023</v>
      </c>
      <c r="E15" s="31" t="str">
        <f ca="1">VLOOKUP(D15,OFFSET(weekly_missions!$A$2,0,0,COUNTA(weekly_missions!$A:$A),MATCH(E$2,weekly_missions!$2:$2,0)-MATCH(D$2,weekly_missions!$2:$2,0)+1),MATCH(E$2,weekly_missions!$2:$2,0)-MATCH(D$2,weekly_missions!$2:$2,0)+1,FALSE)</f>
        <v>クエストを通算 20 回クリアしよう！</v>
      </c>
      <c r="F15" s="31" t="str">
        <f ca="1">VLOOKUP(D15,OFFSET(weekly_missions!$A$2,0,0,COUNTA(weekly_missions!$A:$A),MATCH(F$2,weekly_missions!$2:$2,0)-MATCH(D$2,weekly_missions!$2:$2,0)+1),MATCH(F$2,weekly_missions!$2:$2,0)-MATCH(D$2,weekly_missions!$2:$2,0)+1,FALSE)</f>
        <v>癒しの果実 x 1</v>
      </c>
      <c r="G15" s="53">
        <v>1</v>
      </c>
    </row>
    <row r="16" spans="1:12" ht="21" customHeight="1" x14ac:dyDescent="0.15">
      <c r="A16" s="50" t="str">
        <f t="shared" si="1"/>
        <v>3_2023</v>
      </c>
      <c r="B16" s="48">
        <v>3</v>
      </c>
      <c r="C16" s="158"/>
      <c r="D16" s="8">
        <v>2023</v>
      </c>
      <c r="E16" s="31" t="str">
        <f ca="1">VLOOKUP(D16,OFFSET(weekly_missions!$A$2,0,0,COUNTA(weekly_missions!$A:$A),MATCH(E$2,weekly_missions!$2:$2,0)-MATCH(D$2,weekly_missions!$2:$2,0)+1),MATCH(E$2,weekly_missions!$2:$2,0)-MATCH(D$2,weekly_missions!$2:$2,0)+1,FALSE)</f>
        <v>マルチプレイを 20 回プレイしよう！</v>
      </c>
      <c r="F16" s="31" t="str">
        <f ca="1">VLOOKUP(D16,OFFSET(weekly_missions!$A$2,0,0,COUNTA(weekly_missions!$A:$A),MATCH(F$2,weekly_missions!$2:$2,0)-MATCH(D$2,weekly_missions!$2:$2,0)+1),MATCH(F$2,weekly_missions!$2:$2,0)-MATCH(D$2,weekly_missions!$2:$2,0)+1,FALSE)</f>
        <v>生命の果実 x 1</v>
      </c>
      <c r="G16" s="53">
        <v>2</v>
      </c>
    </row>
    <row r="17" spans="1:7" ht="21" customHeight="1" x14ac:dyDescent="0.15">
      <c r="A17" s="50" t="str">
        <f t="shared" si="1"/>
        <v>3_3033</v>
      </c>
      <c r="B17" s="48">
        <v>3</v>
      </c>
      <c r="C17" s="158"/>
      <c r="D17" s="8">
        <v>3033</v>
      </c>
      <c r="E17" s="31" t="str">
        <f ca="1">VLOOKUP(D17,OFFSET(weekly_missions!$A$2,0,0,COUNTA(weekly_missions!$A:$A),MATCH(E$2,weekly_missions!$2:$2,0)-MATCH(D$2,weekly_missions!$2:$2,0)+1),MATCH(E$2,weekly_missions!$2:$2,0)-MATCH(D$2,weekly_missions!$2:$2,0)+1,FALSE)</f>
        <v>通算 3 日ログインしよう！</v>
      </c>
      <c r="F17" s="31" t="str">
        <f ca="1">VLOOKUP(D17,OFFSET(weekly_missions!$A$2,0,0,COUNTA(weekly_missions!$A:$A),MATCH(F$2,weekly_missions!$2:$2,0)-MATCH(D$2,weekly_missions!$2:$2,0)+1),MATCH(F$2,weekly_missions!$2:$2,0)-MATCH(D$2,weekly_missions!$2:$2,0)+1,FALSE)</f>
        <v>攻めの果実 x 1</v>
      </c>
      <c r="G17" s="53">
        <v>3</v>
      </c>
    </row>
    <row r="18" spans="1:7" ht="21" customHeight="1" x14ac:dyDescent="0.15">
      <c r="A18" s="50" t="str">
        <f t="shared" ref="A18" si="5">B18&amp;"_"&amp;D18</f>
        <v>3_3073</v>
      </c>
      <c r="B18" s="48">
        <v>3</v>
      </c>
      <c r="C18" s="158"/>
      <c r="D18" s="8">
        <v>3073</v>
      </c>
      <c r="E18" s="31" t="str">
        <f ca="1">VLOOKUP(D18,OFFSET(weekly_missions!$A$2,0,0,COUNTA(weekly_missions!$A:$A),MATCH(E$2,weekly_missions!$2:$2,0)-MATCH(D$2,weekly_missions!$2:$2,0)+1),MATCH(E$2,weekly_missions!$2:$2,0)-MATCH(D$2,weekly_missions!$2:$2,0)+1,FALSE)</f>
        <v>通算 7 日ログインしよう！</v>
      </c>
      <c r="F18" s="31" t="str">
        <f ca="1">VLOOKUP(D18,OFFSET(weekly_missions!$A$2,0,0,COUNTA(weekly_missions!$A:$A),MATCH(F$2,weekly_missions!$2:$2,0)-MATCH(D$2,weekly_missions!$2:$2,0)+1),MATCH(F$2,weekly_missions!$2:$2,0)-MATCH(D$2,weekly_missions!$2:$2,0)+1,FALSE)</f>
        <v>癒しの果実 x 1</v>
      </c>
      <c r="G18" s="53">
        <v>4</v>
      </c>
    </row>
    <row r="19" spans="1:7" ht="21" customHeight="1" x14ac:dyDescent="0.15">
      <c r="A19" s="50" t="str">
        <f t="shared" si="1"/>
        <v>3_9203</v>
      </c>
      <c r="B19" s="48">
        <v>3</v>
      </c>
      <c r="C19" s="158"/>
      <c r="D19" s="8">
        <v>9203</v>
      </c>
      <c r="E19" s="31" t="str">
        <f ca="1">VLOOKUP(D19,OFFSET(weekly_missions!$A$2,0,0,COUNTA(weekly_missions!$A:$A),MATCH(E$2,weekly_missions!$2:$2,0)-MATCH(D$2,weekly_missions!$2:$2,0)+1),MATCH(E$2,weekly_missions!$2:$2,0)-MATCH(D$2,weekly_missions!$2:$2,0)+1,FALSE)</f>
        <v>ユニット 【F2】 を 3 体ゲットしよう！</v>
      </c>
      <c r="F19" s="31" t="str">
        <f ca="1">VLOOKUP(D19,OFFSET(weekly_missions!$A$2,0,0,COUNTA(weekly_missions!$A:$A),MATCH(F$2,weekly_missions!$2:$2,0)-MATCH(D$2,weekly_missions!$2:$2,0)+1),MATCH(F$2,weekly_missions!$2:$2,0)-MATCH(D$2,weekly_missions!$2:$2,0)+1,FALSE)</f>
        <v>生命の果実 x 1</v>
      </c>
      <c r="G19" s="53">
        <v>5</v>
      </c>
    </row>
    <row r="20" spans="1:7" ht="21" customHeight="1" x14ac:dyDescent="0.15">
      <c r="A20" s="50" t="str">
        <f t="shared" si="1"/>
        <v>3_9303</v>
      </c>
      <c r="B20" s="48">
        <v>3</v>
      </c>
      <c r="C20" s="159"/>
      <c r="D20" s="8">
        <v>9303</v>
      </c>
      <c r="E20" s="31" t="str">
        <f ca="1">VLOOKUP(D20,OFFSET(weekly_missions!$A$2,0,0,COUNTA(weekly_missions!$A:$A),MATCH(E$2,weekly_missions!$2:$2,0)-MATCH(D$2,weekly_missions!$2:$2,0)+1),MATCH(E$2,weekly_missions!$2:$2,0)-MATCH(D$2,weekly_missions!$2:$2,0)+1,FALSE)</f>
        <v>ユニット 【ファイアフォックス】 を 3 体ゲットしよう！</v>
      </c>
      <c r="F20" s="31" t="str">
        <f ca="1">VLOOKUP(D20,OFFSET(weekly_missions!$A$2,0,0,COUNTA(weekly_missions!$A:$A),MATCH(F$2,weekly_missions!$2:$2,0)-MATCH(D$2,weekly_missions!$2:$2,0)+1),MATCH(F$2,weekly_missions!$2:$2,0)-MATCH(D$2,weekly_missions!$2:$2,0)+1,FALSE)</f>
        <v>攻めの果実 x 1</v>
      </c>
      <c r="G20" s="53">
        <v>6</v>
      </c>
    </row>
    <row r="21" spans="1:7" ht="21" customHeight="1" x14ac:dyDescent="0.15">
      <c r="A21" s="50" t="str">
        <f t="shared" ref="A21" si="6">B21&amp;"_"&amp;D21</f>
        <v>4_10000</v>
      </c>
      <c r="B21" s="48">
        <v>4</v>
      </c>
      <c r="C21" s="157" t="s">
        <v>688</v>
      </c>
      <c r="D21" s="8">
        <v>10000</v>
      </c>
      <c r="E21" s="31" t="str">
        <f ca="1">VLOOKUP(D21,OFFSET(weekly_missions!$A$2,0,0,COUNTA(weekly_missions!$A:$A),MATCH(E$2,weekly_missions!$2:$2,0)-MATCH(D$2,weekly_missions!$2:$2,0)+1),MATCH(E$2,weekly_missions!$2:$2,0)-MATCH(D$2,weekly_missions!$2:$2,0)+1,FALSE)</f>
        <v>ゲリラクエスト：メタルダックを捕獲せよ！ 【上級】 をクリアしよう！</v>
      </c>
      <c r="F21" s="31" t="str">
        <f ca="1">VLOOKUP(D21,OFFSET(weekly_missions!$A$2,0,0,COUNTA(weekly_missions!$A:$A),MATCH(F$2,weekly_missions!$2:$2,0)-MATCH(D$2,weekly_missions!$2:$2,0)+1),MATCH(F$2,weekly_missions!$2:$2,0)-MATCH(D$2,weekly_missions!$2:$2,0)+1,FALSE)</f>
        <v>ゴールドダック x 3</v>
      </c>
      <c r="G21" s="53">
        <v>8</v>
      </c>
    </row>
    <row r="22" spans="1:7" ht="21" customHeight="1" x14ac:dyDescent="0.15">
      <c r="A22" s="50" t="str">
        <f t="shared" ref="A22" si="7">B22&amp;"_"&amp;D22</f>
        <v>4_10004</v>
      </c>
      <c r="B22" s="48">
        <v>4</v>
      </c>
      <c r="C22" s="158"/>
      <c r="D22" s="8">
        <v>10004</v>
      </c>
      <c r="E22" s="31" t="str">
        <f ca="1">VLOOKUP(D22,OFFSET(weekly_missions!$A$2,0,0,COUNTA(weekly_missions!$A:$A),MATCH(E$2,weekly_missions!$2:$2,0)-MATCH(D$2,weekly_missions!$2:$2,0)+1),MATCH(E$2,weekly_missions!$2:$2,0)-MATCH(D$2,weekly_missions!$2:$2,0)+1,FALSE)</f>
        <v>土日限定クエスト：ゴールドカジノ【上級】 をクリアしよう！</v>
      </c>
      <c r="F22" s="31" t="str">
        <f ca="1">VLOOKUP(D22,OFFSET(weekly_missions!$A$2,0,0,COUNTA(weekly_missions!$A:$A),MATCH(F$2,weekly_missions!$2:$2,0)-MATCH(D$2,weekly_missions!$2:$2,0)+1),MATCH(F$2,weekly_missions!$2:$2,0)-MATCH(D$2,weekly_missions!$2:$2,0)+1,FALSE)</f>
        <v>癒しの果実 x 3</v>
      </c>
      <c r="G22" s="53">
        <v>7</v>
      </c>
    </row>
    <row r="23" spans="1:7" ht="21" customHeight="1" x14ac:dyDescent="0.15">
      <c r="A23" s="50" t="str">
        <f t="shared" ref="A23:A25" si="8">B23&amp;"_"&amp;D23</f>
        <v>4_3004</v>
      </c>
      <c r="B23" s="48">
        <v>4</v>
      </c>
      <c r="C23" s="158"/>
      <c r="D23" s="8">
        <v>3004</v>
      </c>
      <c r="E23" s="31" t="str">
        <f ca="1">VLOOKUP(D23,OFFSET(weekly_missions!$A$2,0,0,COUNTA(weekly_missions!$A:$A),MATCH(E$2,weekly_missions!$2:$2,0)-MATCH(D$2,weekly_missions!$2:$2,0)+1),MATCH(E$2,weekly_missions!$2:$2,0)-MATCH(D$2,weekly_missions!$2:$2,0)+1,FALSE)</f>
        <v>通算 1 日ログインしよう！</v>
      </c>
      <c r="F23" s="31" t="str">
        <f ca="1">VLOOKUP(D23,OFFSET(weekly_missions!$A$2,0,0,COUNTA(weekly_missions!$A:$A),MATCH(F$2,weekly_missions!$2:$2,0)-MATCH(D$2,weekly_missions!$2:$2,0)+1),MATCH(F$2,weekly_missions!$2:$2,0)-MATCH(D$2,weekly_missions!$2:$2,0)+1,FALSE)</f>
        <v>攻めの果実 x 3</v>
      </c>
      <c r="G23" s="53">
        <v>6</v>
      </c>
    </row>
    <row r="24" spans="1:7" ht="21" customHeight="1" x14ac:dyDescent="0.15">
      <c r="A24" s="50" t="str">
        <f t="shared" si="8"/>
        <v>4_3034</v>
      </c>
      <c r="B24" s="48">
        <v>4</v>
      </c>
      <c r="C24" s="158"/>
      <c r="D24" s="8">
        <v>3034</v>
      </c>
      <c r="E24" s="31" t="str">
        <f ca="1">VLOOKUP(D24,OFFSET(weekly_missions!$A$2,0,0,COUNTA(weekly_missions!$A:$A),MATCH(E$2,weekly_missions!$2:$2,0)-MATCH(D$2,weekly_missions!$2:$2,0)+1),MATCH(E$2,weekly_missions!$2:$2,0)-MATCH(D$2,weekly_missions!$2:$2,0)+1,FALSE)</f>
        <v>通算 3 日ログインしよう！</v>
      </c>
      <c r="F24" s="31" t="str">
        <f ca="1">VLOOKUP(D24,OFFSET(weekly_missions!$A$2,0,0,COUNTA(weekly_missions!$A:$A),MATCH(F$2,weekly_missions!$2:$2,0)-MATCH(D$2,weekly_missions!$2:$2,0)+1),MATCH(F$2,weekly_missions!$2:$2,0)-MATCH(D$2,weekly_missions!$2:$2,0)+1,FALSE)</f>
        <v>生命の果実 x 3</v>
      </c>
      <c r="G24" s="53">
        <v>5</v>
      </c>
    </row>
    <row r="25" spans="1:7" ht="21" customHeight="1" x14ac:dyDescent="0.15">
      <c r="A25" s="50" t="str">
        <f t="shared" si="8"/>
        <v>4_3074</v>
      </c>
      <c r="B25" s="48">
        <v>4</v>
      </c>
      <c r="C25" s="158"/>
      <c r="D25" s="8">
        <v>3074</v>
      </c>
      <c r="E25" s="31" t="str">
        <f ca="1">VLOOKUP(D25,OFFSET(weekly_missions!$A$2,0,0,COUNTA(weekly_missions!$A:$A),MATCH(E$2,weekly_missions!$2:$2,0)-MATCH(D$2,weekly_missions!$2:$2,0)+1),MATCH(E$2,weekly_missions!$2:$2,0)-MATCH(D$2,weekly_missions!$2:$2,0)+1,FALSE)</f>
        <v>通算 7 日ログインしよう！</v>
      </c>
      <c r="F25" s="31" t="str">
        <f ca="1">VLOOKUP(D25,OFFSET(weekly_missions!$A$2,0,0,COUNTA(weekly_missions!$A:$A),MATCH(F$2,weekly_missions!$2:$2,0)-MATCH(D$2,weekly_missions!$2:$2,0)+1),MATCH(F$2,weekly_missions!$2:$2,0)-MATCH(D$2,weekly_missions!$2:$2,0)+1,FALSE)</f>
        <v>癒しの果実 x 3</v>
      </c>
      <c r="G25" s="53">
        <v>4</v>
      </c>
    </row>
    <row r="26" spans="1:7" ht="21" customHeight="1" x14ac:dyDescent="0.15">
      <c r="A26" s="50" t="str">
        <f t="shared" si="1"/>
        <v>4_1004</v>
      </c>
      <c r="B26" s="48">
        <v>4</v>
      </c>
      <c r="C26" s="158"/>
      <c r="D26" s="8">
        <v>1004</v>
      </c>
      <c r="E26" s="31" t="str">
        <f ca="1">VLOOKUP(D26,OFFSET(weekly_missions!$A$2,0,0,COUNTA(weekly_missions!$A:$A),MATCH(E$2,weekly_missions!$2:$2,0)-MATCH(D$2,weekly_missions!$2:$2,0)+1),MATCH(E$2,weekly_missions!$2:$2,0)-MATCH(D$2,weekly_missions!$2:$2,0)+1,FALSE)</f>
        <v>クエストを通算 5 回クリアしよう！</v>
      </c>
      <c r="F26" s="31" t="str">
        <f ca="1">VLOOKUP(D26,OFFSET(weekly_missions!$A$2,0,0,COUNTA(weekly_missions!$A:$A),MATCH(F$2,weekly_missions!$2:$2,0)-MATCH(D$2,weekly_missions!$2:$2,0)+1),MATCH(F$2,weekly_missions!$2:$2,0)-MATCH(D$2,weekly_missions!$2:$2,0)+1,FALSE)</f>
        <v>生命の果実 x 3</v>
      </c>
      <c r="G26" s="53">
        <v>3</v>
      </c>
    </row>
    <row r="27" spans="1:7" ht="21" customHeight="1" x14ac:dyDescent="0.15">
      <c r="A27" s="50" t="str">
        <f>B27&amp;"_"&amp;D27</f>
        <v>4_1024</v>
      </c>
      <c r="B27" s="48">
        <v>4</v>
      </c>
      <c r="C27" s="158"/>
      <c r="D27" s="8">
        <v>1024</v>
      </c>
      <c r="E27" s="31" t="str">
        <f ca="1">VLOOKUP(D27,OFFSET(weekly_missions!$A$2,0,0,COUNTA(weekly_missions!$A:$A),MATCH(E$2,weekly_missions!$2:$2,0)-MATCH(D$2,weekly_missions!$2:$2,0)+1),MATCH(E$2,weekly_missions!$2:$2,0)-MATCH(D$2,weekly_missions!$2:$2,0)+1,FALSE)</f>
        <v>クエストを通算 20 回クリアしよう！</v>
      </c>
      <c r="F27" s="31" t="str">
        <f ca="1">VLOOKUP(D27,OFFSET(weekly_missions!$A$2,0,0,COUNTA(weekly_missions!$A:$A),MATCH(F$2,weekly_missions!$2:$2,0)-MATCH(D$2,weekly_missions!$2:$2,0)+1),MATCH(F$2,weekly_missions!$2:$2,0)-MATCH(D$2,weekly_missions!$2:$2,0)+1,FALSE)</f>
        <v>癒しの果実 x 3</v>
      </c>
      <c r="G27" s="53">
        <v>2</v>
      </c>
    </row>
    <row r="28" spans="1:7" ht="21" customHeight="1" x14ac:dyDescent="0.15">
      <c r="A28" s="50" t="str">
        <f>B28&amp;"_"&amp;D28</f>
        <v>4_2024</v>
      </c>
      <c r="B28" s="48">
        <v>4</v>
      </c>
      <c r="C28" s="159"/>
      <c r="D28" s="8">
        <v>2024</v>
      </c>
      <c r="E28" s="31" t="str">
        <f ca="1">VLOOKUP(D28,OFFSET(weekly_missions!$A$2,0,0,COUNTA(weekly_missions!$A:$A),MATCH(E$2,weekly_missions!$2:$2,0)-MATCH(D$2,weekly_missions!$2:$2,0)+1),MATCH(E$2,weekly_missions!$2:$2,0)-MATCH(D$2,weekly_missions!$2:$2,0)+1,FALSE)</f>
        <v>マルチプレイを 20 回プレイしよう！</v>
      </c>
      <c r="F28" s="31" t="str">
        <f ca="1">VLOOKUP(D28,OFFSET(weekly_missions!$A$2,0,0,COUNTA(weekly_missions!$A:$A),MATCH(F$2,weekly_missions!$2:$2,0)-MATCH(D$2,weekly_missions!$2:$2,0)+1),MATCH(F$2,weekly_missions!$2:$2,0)-MATCH(D$2,weekly_missions!$2:$2,0)+1,FALSE)</f>
        <v>攻めの果実 x 3</v>
      </c>
      <c r="G28" s="53">
        <v>1</v>
      </c>
    </row>
    <row r="29" spans="1:7" ht="21" customHeight="1" x14ac:dyDescent="0.15">
      <c r="A29" s="50" t="str">
        <f t="shared" ref="A29:A34" si="9">B29&amp;"_"&amp;D29</f>
        <v>5_10000</v>
      </c>
      <c r="B29" s="48">
        <v>5</v>
      </c>
      <c r="C29" s="157" t="s">
        <v>734</v>
      </c>
      <c r="D29" s="8">
        <v>10000</v>
      </c>
      <c r="E29" s="31" t="str">
        <f ca="1">VLOOKUP(D29,OFFSET(weekly_missions!$A$2,0,0,COUNTA(weekly_missions!$A:$A),MATCH(E$2,weekly_missions!$2:$2,0)-MATCH(D$2,weekly_missions!$2:$2,0)+1),MATCH(E$2,weekly_missions!$2:$2,0)-MATCH(D$2,weekly_missions!$2:$2,0)+1,FALSE)</f>
        <v>ゲリラクエスト：メタルダックを捕獲せよ！ 【上級】 をクリアしよう！</v>
      </c>
      <c r="F29" s="31" t="str">
        <f ca="1">VLOOKUP(D29,OFFSET(weekly_missions!$A$2,0,0,COUNTA(weekly_missions!$A:$A),MATCH(F$2,weekly_missions!$2:$2,0)-MATCH(D$2,weekly_missions!$2:$2,0)+1),MATCH(F$2,weekly_missions!$2:$2,0)-MATCH(D$2,weekly_missions!$2:$2,0)+1,FALSE)</f>
        <v>ゴールドダック x 3</v>
      </c>
      <c r="G29" s="53">
        <v>8</v>
      </c>
    </row>
    <row r="30" spans="1:7" ht="21" customHeight="1" x14ac:dyDescent="0.15">
      <c r="A30" s="50" t="str">
        <f t="shared" si="9"/>
        <v>5_10005</v>
      </c>
      <c r="B30" s="48">
        <v>5</v>
      </c>
      <c r="C30" s="158"/>
      <c r="D30" s="8">
        <v>10005</v>
      </c>
      <c r="E30" s="31" t="str">
        <f ca="1">VLOOKUP(D30,OFFSET(weekly_missions!$A$2,0,0,COUNTA(weekly_missions!$A:$A),MATCH(E$2,weekly_missions!$2:$2,0)-MATCH(D$2,weekly_missions!$2:$2,0)+1),MATCH(E$2,weekly_missions!$2:$2,0)-MATCH(D$2,weekly_missions!$2:$2,0)+1,FALSE)</f>
        <v>土日限定クエスト：ゴールドカジノ【上級】 をクリアしよう！</v>
      </c>
      <c r="F30" s="31" t="str">
        <f ca="1">VLOOKUP(D30,OFFSET(weekly_missions!$A$2,0,0,COUNTA(weekly_missions!$A:$A),MATCH(F$2,weekly_missions!$2:$2,0)-MATCH(D$2,weekly_missions!$2:$2,0)+1),MATCH(F$2,weekly_missions!$2:$2,0)-MATCH(D$2,weekly_missions!$2:$2,0)+1,FALSE)</f>
        <v>攻めの果実 x 3</v>
      </c>
      <c r="G30" s="53">
        <v>7</v>
      </c>
    </row>
    <row r="31" spans="1:7" ht="21" customHeight="1" x14ac:dyDescent="0.15">
      <c r="A31" s="50" t="str">
        <f t="shared" si="9"/>
        <v>5_3005</v>
      </c>
      <c r="B31" s="48">
        <v>5</v>
      </c>
      <c r="C31" s="158"/>
      <c r="D31" s="8">
        <v>3005</v>
      </c>
      <c r="E31" s="31" t="str">
        <f ca="1">VLOOKUP(D31,OFFSET(weekly_missions!$A$2,0,0,COUNTA(weekly_missions!$A:$A),MATCH(E$2,weekly_missions!$2:$2,0)-MATCH(D$2,weekly_missions!$2:$2,0)+1),MATCH(E$2,weekly_missions!$2:$2,0)-MATCH(D$2,weekly_missions!$2:$2,0)+1,FALSE)</f>
        <v>通算 1 日ログインしよう！</v>
      </c>
      <c r="F31" s="31" t="str">
        <f ca="1">VLOOKUP(D31,OFFSET(weekly_missions!$A$2,0,0,COUNTA(weekly_missions!$A:$A),MATCH(F$2,weekly_missions!$2:$2,0)-MATCH(D$2,weekly_missions!$2:$2,0)+1),MATCH(F$2,weekly_missions!$2:$2,0)-MATCH(D$2,weekly_missions!$2:$2,0)+1,FALSE)</f>
        <v>生命の果実 x 3</v>
      </c>
      <c r="G31" s="53">
        <v>6</v>
      </c>
    </row>
    <row r="32" spans="1:7" ht="21" customHeight="1" x14ac:dyDescent="0.15">
      <c r="A32" s="50" t="str">
        <f t="shared" si="9"/>
        <v>5_3035</v>
      </c>
      <c r="B32" s="48">
        <v>5</v>
      </c>
      <c r="C32" s="158"/>
      <c r="D32" s="8">
        <v>3035</v>
      </c>
      <c r="E32" s="31" t="str">
        <f ca="1">VLOOKUP(D32,OFFSET(weekly_missions!$A$2,0,0,COUNTA(weekly_missions!$A:$A),MATCH(E$2,weekly_missions!$2:$2,0)-MATCH(D$2,weekly_missions!$2:$2,0)+1),MATCH(E$2,weekly_missions!$2:$2,0)-MATCH(D$2,weekly_missions!$2:$2,0)+1,FALSE)</f>
        <v>通算 3 日ログインしよう！</v>
      </c>
      <c r="F32" s="31" t="str">
        <f ca="1">VLOOKUP(D32,OFFSET(weekly_missions!$A$2,0,0,COUNTA(weekly_missions!$A:$A),MATCH(F$2,weekly_missions!$2:$2,0)-MATCH(D$2,weekly_missions!$2:$2,0)+1),MATCH(F$2,weekly_missions!$2:$2,0)-MATCH(D$2,weekly_missions!$2:$2,0)+1,FALSE)</f>
        <v>癒しの果実 x 3</v>
      </c>
      <c r="G32" s="53">
        <v>5</v>
      </c>
    </row>
    <row r="33" spans="1:7" ht="21" customHeight="1" x14ac:dyDescent="0.15">
      <c r="A33" s="50" t="str">
        <f t="shared" si="9"/>
        <v>5_3075</v>
      </c>
      <c r="B33" s="48">
        <v>5</v>
      </c>
      <c r="C33" s="158"/>
      <c r="D33" s="8">
        <v>3075</v>
      </c>
      <c r="E33" s="31" t="str">
        <f ca="1">VLOOKUP(D33,OFFSET(weekly_missions!$A$2,0,0,COUNTA(weekly_missions!$A:$A),MATCH(E$2,weekly_missions!$2:$2,0)-MATCH(D$2,weekly_missions!$2:$2,0)+1),MATCH(E$2,weekly_missions!$2:$2,0)-MATCH(D$2,weekly_missions!$2:$2,0)+1,FALSE)</f>
        <v>通算 7 日ログインしよう！</v>
      </c>
      <c r="F33" s="31" t="str">
        <f ca="1">VLOOKUP(D33,OFFSET(weekly_missions!$A$2,0,0,COUNTA(weekly_missions!$A:$A),MATCH(F$2,weekly_missions!$2:$2,0)-MATCH(D$2,weekly_missions!$2:$2,0)+1),MATCH(F$2,weekly_missions!$2:$2,0)-MATCH(D$2,weekly_missions!$2:$2,0)+1,FALSE)</f>
        <v>攻めの果実 x 3</v>
      </c>
      <c r="G33" s="53">
        <v>4</v>
      </c>
    </row>
    <row r="34" spans="1:7" ht="21" customHeight="1" x14ac:dyDescent="0.15">
      <c r="A34" s="50" t="str">
        <f t="shared" si="9"/>
        <v>5_1005</v>
      </c>
      <c r="B34" s="48">
        <v>5</v>
      </c>
      <c r="C34" s="158"/>
      <c r="D34" s="8">
        <v>1005</v>
      </c>
      <c r="E34" s="31" t="str">
        <f ca="1">VLOOKUP(D34,OFFSET(weekly_missions!$A$2,0,0,COUNTA(weekly_missions!$A:$A),MATCH(E$2,weekly_missions!$2:$2,0)-MATCH(D$2,weekly_missions!$2:$2,0)+1),MATCH(E$2,weekly_missions!$2:$2,0)-MATCH(D$2,weekly_missions!$2:$2,0)+1,FALSE)</f>
        <v>クエストを通算 5 回クリアしよう！</v>
      </c>
      <c r="F34" s="31" t="str">
        <f ca="1">VLOOKUP(D34,OFFSET(weekly_missions!$A$2,0,0,COUNTA(weekly_missions!$A:$A),MATCH(F$2,weekly_missions!$2:$2,0)-MATCH(D$2,weekly_missions!$2:$2,0)+1),MATCH(F$2,weekly_missions!$2:$2,0)-MATCH(D$2,weekly_missions!$2:$2,0)+1,FALSE)</f>
        <v>癒しの果実 x 3</v>
      </c>
      <c r="G34" s="53">
        <v>3</v>
      </c>
    </row>
    <row r="35" spans="1:7" ht="21" customHeight="1" x14ac:dyDescent="0.15">
      <c r="A35" s="50" t="str">
        <f>B35&amp;"_"&amp;D35</f>
        <v>5_1025</v>
      </c>
      <c r="B35" s="48">
        <v>5</v>
      </c>
      <c r="C35" s="158"/>
      <c r="D35" s="8">
        <v>1025</v>
      </c>
      <c r="E35" s="31" t="str">
        <f ca="1">VLOOKUP(D35,OFFSET(weekly_missions!$A$2,0,0,COUNTA(weekly_missions!$A:$A),MATCH(E$2,weekly_missions!$2:$2,0)-MATCH(D$2,weekly_missions!$2:$2,0)+1),MATCH(E$2,weekly_missions!$2:$2,0)-MATCH(D$2,weekly_missions!$2:$2,0)+1,FALSE)</f>
        <v>クエストを通算 20 回クリアしよう！</v>
      </c>
      <c r="F35" s="31" t="str">
        <f ca="1">VLOOKUP(D35,OFFSET(weekly_missions!$A$2,0,0,COUNTA(weekly_missions!$A:$A),MATCH(F$2,weekly_missions!$2:$2,0)-MATCH(D$2,weekly_missions!$2:$2,0)+1),MATCH(F$2,weekly_missions!$2:$2,0)-MATCH(D$2,weekly_missions!$2:$2,0)+1,FALSE)</f>
        <v>攻めの果実 x 3</v>
      </c>
      <c r="G35" s="53">
        <v>2</v>
      </c>
    </row>
    <row r="36" spans="1:7" ht="21" customHeight="1" x14ac:dyDescent="0.15">
      <c r="A36" s="50" t="str">
        <f>B36&amp;"_"&amp;D36</f>
        <v>5_2025</v>
      </c>
      <c r="B36" s="48">
        <v>5</v>
      </c>
      <c r="C36" s="159"/>
      <c r="D36" s="8">
        <v>2025</v>
      </c>
      <c r="E36" s="31" t="str">
        <f ca="1">VLOOKUP(D36,OFFSET(weekly_missions!$A$2,0,0,COUNTA(weekly_missions!$A:$A),MATCH(E$2,weekly_missions!$2:$2,0)-MATCH(D$2,weekly_missions!$2:$2,0)+1),MATCH(E$2,weekly_missions!$2:$2,0)-MATCH(D$2,weekly_missions!$2:$2,0)+1,FALSE)</f>
        <v>マルチプレイを 20 回プレイしよう！</v>
      </c>
      <c r="F36" s="31" t="str">
        <f ca="1">VLOOKUP(D36,OFFSET(weekly_missions!$A$2,0,0,COUNTA(weekly_missions!$A:$A),MATCH(F$2,weekly_missions!$2:$2,0)-MATCH(D$2,weekly_missions!$2:$2,0)+1),MATCH(F$2,weekly_missions!$2:$2,0)-MATCH(D$2,weekly_missions!$2:$2,0)+1,FALSE)</f>
        <v>生命の果実 x 3</v>
      </c>
      <c r="G36" s="53">
        <v>1</v>
      </c>
    </row>
    <row r="37" spans="1:7" ht="21" customHeight="1" x14ac:dyDescent="0.15">
      <c r="A37" s="50" t="str">
        <f t="shared" ref="A37:A42" si="10">B37&amp;"_"&amp;D37</f>
        <v>6_10000</v>
      </c>
      <c r="B37" s="48">
        <v>6</v>
      </c>
      <c r="C37" s="157" t="s">
        <v>735</v>
      </c>
      <c r="D37" s="8">
        <v>10000</v>
      </c>
      <c r="E37" s="31" t="str">
        <f ca="1">VLOOKUP(D37,OFFSET(weekly_missions!$A$2,0,0,COUNTA(weekly_missions!$A:$A),MATCH(E$2,weekly_missions!$2:$2,0)-MATCH(D$2,weekly_missions!$2:$2,0)+1),MATCH(E$2,weekly_missions!$2:$2,0)-MATCH(D$2,weekly_missions!$2:$2,0)+1,FALSE)</f>
        <v>ゲリラクエスト：メタルダックを捕獲せよ！ 【上級】 をクリアしよう！</v>
      </c>
      <c r="F37" s="31" t="str">
        <f ca="1">VLOOKUP(D37,OFFSET(weekly_missions!$A$2,0,0,COUNTA(weekly_missions!$A:$A),MATCH(F$2,weekly_missions!$2:$2,0)-MATCH(D$2,weekly_missions!$2:$2,0)+1),MATCH(F$2,weekly_missions!$2:$2,0)-MATCH(D$2,weekly_missions!$2:$2,0)+1,FALSE)</f>
        <v>ゴールドダック x 3</v>
      </c>
      <c r="G37" s="53">
        <v>8</v>
      </c>
    </row>
    <row r="38" spans="1:7" ht="21" customHeight="1" x14ac:dyDescent="0.15">
      <c r="A38" s="50" t="str">
        <f t="shared" si="10"/>
        <v>6_10006</v>
      </c>
      <c r="B38" s="48">
        <v>6</v>
      </c>
      <c r="C38" s="158"/>
      <c r="D38" s="8">
        <v>10006</v>
      </c>
      <c r="E38" s="31" t="str">
        <f ca="1">VLOOKUP(D38,OFFSET(weekly_missions!$A$2,0,0,COUNTA(weekly_missions!$A:$A),MATCH(E$2,weekly_missions!$2:$2,0)-MATCH(D$2,weekly_missions!$2:$2,0)+1),MATCH(E$2,weekly_missions!$2:$2,0)-MATCH(D$2,weekly_missions!$2:$2,0)+1,FALSE)</f>
        <v>土日限定クエスト：ゴールドカジノ【上級】 をクリアしよう！</v>
      </c>
      <c r="F38" s="31" t="str">
        <f ca="1">VLOOKUP(D38,OFFSET(weekly_missions!$A$2,0,0,COUNTA(weekly_missions!$A:$A),MATCH(F$2,weekly_missions!$2:$2,0)-MATCH(D$2,weekly_missions!$2:$2,0)+1),MATCH(F$2,weekly_missions!$2:$2,0)-MATCH(D$2,weekly_missions!$2:$2,0)+1,FALSE)</f>
        <v>生命の果実 x 3</v>
      </c>
      <c r="G38" s="53">
        <v>7</v>
      </c>
    </row>
    <row r="39" spans="1:7" ht="21" customHeight="1" x14ac:dyDescent="0.15">
      <c r="A39" s="50" t="str">
        <f t="shared" si="10"/>
        <v>6_3006</v>
      </c>
      <c r="B39" s="48">
        <v>6</v>
      </c>
      <c r="C39" s="158"/>
      <c r="D39" s="8">
        <v>3006</v>
      </c>
      <c r="E39" s="31" t="str">
        <f ca="1">VLOOKUP(D39,OFFSET(weekly_missions!$A$2,0,0,COUNTA(weekly_missions!$A:$A),MATCH(E$2,weekly_missions!$2:$2,0)-MATCH(D$2,weekly_missions!$2:$2,0)+1),MATCH(E$2,weekly_missions!$2:$2,0)-MATCH(D$2,weekly_missions!$2:$2,0)+1,FALSE)</f>
        <v>通算 1 日ログインしよう！</v>
      </c>
      <c r="F39" s="31" t="str">
        <f ca="1">VLOOKUP(D39,OFFSET(weekly_missions!$A$2,0,0,COUNTA(weekly_missions!$A:$A),MATCH(F$2,weekly_missions!$2:$2,0)-MATCH(D$2,weekly_missions!$2:$2,0)+1),MATCH(F$2,weekly_missions!$2:$2,0)-MATCH(D$2,weekly_missions!$2:$2,0)+1,FALSE)</f>
        <v>癒しの果実 x 3</v>
      </c>
      <c r="G39" s="53">
        <v>6</v>
      </c>
    </row>
    <row r="40" spans="1:7" ht="21" customHeight="1" x14ac:dyDescent="0.15">
      <c r="A40" s="50" t="str">
        <f t="shared" si="10"/>
        <v>6_3036</v>
      </c>
      <c r="B40" s="48">
        <v>6</v>
      </c>
      <c r="C40" s="158"/>
      <c r="D40" s="8">
        <v>3036</v>
      </c>
      <c r="E40" s="31" t="str">
        <f ca="1">VLOOKUP(D40,OFFSET(weekly_missions!$A$2,0,0,COUNTA(weekly_missions!$A:$A),MATCH(E$2,weekly_missions!$2:$2,0)-MATCH(D$2,weekly_missions!$2:$2,0)+1),MATCH(E$2,weekly_missions!$2:$2,0)-MATCH(D$2,weekly_missions!$2:$2,0)+1,FALSE)</f>
        <v>通算 3 日ログインしよう！</v>
      </c>
      <c r="F40" s="31" t="str">
        <f ca="1">VLOOKUP(D40,OFFSET(weekly_missions!$A$2,0,0,COUNTA(weekly_missions!$A:$A),MATCH(F$2,weekly_missions!$2:$2,0)-MATCH(D$2,weekly_missions!$2:$2,0)+1),MATCH(F$2,weekly_missions!$2:$2,0)-MATCH(D$2,weekly_missions!$2:$2,0)+1,FALSE)</f>
        <v>攻めの果実 x 3</v>
      </c>
      <c r="G40" s="53">
        <v>5</v>
      </c>
    </row>
    <row r="41" spans="1:7" ht="21" customHeight="1" x14ac:dyDescent="0.15">
      <c r="A41" s="50" t="str">
        <f t="shared" si="10"/>
        <v>6_3076</v>
      </c>
      <c r="B41" s="48">
        <v>6</v>
      </c>
      <c r="C41" s="158"/>
      <c r="D41" s="8">
        <v>3076</v>
      </c>
      <c r="E41" s="31" t="str">
        <f ca="1">VLOOKUP(D41,OFFSET(weekly_missions!$A$2,0,0,COUNTA(weekly_missions!$A:$A),MATCH(E$2,weekly_missions!$2:$2,0)-MATCH(D$2,weekly_missions!$2:$2,0)+1),MATCH(E$2,weekly_missions!$2:$2,0)-MATCH(D$2,weekly_missions!$2:$2,0)+1,FALSE)</f>
        <v>通算 7 日ログインしよう！</v>
      </c>
      <c r="F41" s="31" t="str">
        <f ca="1">VLOOKUP(D41,OFFSET(weekly_missions!$A$2,0,0,COUNTA(weekly_missions!$A:$A),MATCH(F$2,weekly_missions!$2:$2,0)-MATCH(D$2,weekly_missions!$2:$2,0)+1),MATCH(F$2,weekly_missions!$2:$2,0)-MATCH(D$2,weekly_missions!$2:$2,0)+1,FALSE)</f>
        <v>生命の果実 x 3</v>
      </c>
      <c r="G41" s="53">
        <v>4</v>
      </c>
    </row>
    <row r="42" spans="1:7" ht="21" customHeight="1" x14ac:dyDescent="0.15">
      <c r="A42" s="50" t="str">
        <f t="shared" si="10"/>
        <v>6_1006</v>
      </c>
      <c r="B42" s="48">
        <v>6</v>
      </c>
      <c r="C42" s="158"/>
      <c r="D42" s="8">
        <v>1006</v>
      </c>
      <c r="E42" s="31" t="str">
        <f ca="1">VLOOKUP(D42,OFFSET(weekly_missions!$A$2,0,0,COUNTA(weekly_missions!$A:$A),MATCH(E$2,weekly_missions!$2:$2,0)-MATCH(D$2,weekly_missions!$2:$2,0)+1),MATCH(E$2,weekly_missions!$2:$2,0)-MATCH(D$2,weekly_missions!$2:$2,0)+1,FALSE)</f>
        <v>クエストを通算 5 回クリアしよう！</v>
      </c>
      <c r="F42" s="31" t="str">
        <f ca="1">VLOOKUP(D42,OFFSET(weekly_missions!$A$2,0,0,COUNTA(weekly_missions!$A:$A),MATCH(F$2,weekly_missions!$2:$2,0)-MATCH(D$2,weekly_missions!$2:$2,0)+1),MATCH(F$2,weekly_missions!$2:$2,0)-MATCH(D$2,weekly_missions!$2:$2,0)+1,FALSE)</f>
        <v>攻めの果実 x 3</v>
      </c>
      <c r="G42" s="53">
        <v>3</v>
      </c>
    </row>
    <row r="43" spans="1:7" ht="21" customHeight="1" x14ac:dyDescent="0.15">
      <c r="A43" s="50" t="str">
        <f>B43&amp;"_"&amp;D43</f>
        <v>6_1026</v>
      </c>
      <c r="B43" s="48">
        <v>6</v>
      </c>
      <c r="C43" s="158"/>
      <c r="D43" s="8">
        <v>1026</v>
      </c>
      <c r="E43" s="31" t="str">
        <f ca="1">VLOOKUP(D43,OFFSET(weekly_missions!$A$2,0,0,COUNTA(weekly_missions!$A:$A),MATCH(E$2,weekly_missions!$2:$2,0)-MATCH(D$2,weekly_missions!$2:$2,0)+1),MATCH(E$2,weekly_missions!$2:$2,0)-MATCH(D$2,weekly_missions!$2:$2,0)+1,FALSE)</f>
        <v>クエストを通算 20 回クリアしよう！</v>
      </c>
      <c r="F43" s="31" t="str">
        <f ca="1">VLOOKUP(D43,OFFSET(weekly_missions!$A$2,0,0,COUNTA(weekly_missions!$A:$A),MATCH(F$2,weekly_missions!$2:$2,0)-MATCH(D$2,weekly_missions!$2:$2,0)+1),MATCH(F$2,weekly_missions!$2:$2,0)-MATCH(D$2,weekly_missions!$2:$2,0)+1,FALSE)</f>
        <v>生命の果実 x 3</v>
      </c>
      <c r="G43" s="53">
        <v>2</v>
      </c>
    </row>
    <row r="44" spans="1:7" ht="21" customHeight="1" x14ac:dyDescent="0.15">
      <c r="A44" s="50" t="str">
        <f>B44&amp;"_"&amp;D44</f>
        <v>6_2026</v>
      </c>
      <c r="B44" s="48">
        <v>6</v>
      </c>
      <c r="C44" s="159"/>
      <c r="D44" s="8">
        <v>2026</v>
      </c>
      <c r="E44" s="31" t="str">
        <f ca="1">VLOOKUP(D44,OFFSET(weekly_missions!$A$2,0,0,COUNTA(weekly_missions!$A:$A),MATCH(E$2,weekly_missions!$2:$2,0)-MATCH(D$2,weekly_missions!$2:$2,0)+1),MATCH(E$2,weekly_missions!$2:$2,0)-MATCH(D$2,weekly_missions!$2:$2,0)+1,FALSE)</f>
        <v>マルチプレイを 20 回プレイしよう！</v>
      </c>
      <c r="F44" s="31" t="str">
        <f ca="1">VLOOKUP(D44,OFFSET(weekly_missions!$A$2,0,0,COUNTA(weekly_missions!$A:$A),MATCH(F$2,weekly_missions!$2:$2,0)-MATCH(D$2,weekly_missions!$2:$2,0)+1),MATCH(F$2,weekly_missions!$2:$2,0)-MATCH(D$2,weekly_missions!$2:$2,0)+1,FALSE)</f>
        <v>癒しの果実 x 3</v>
      </c>
      <c r="G44" s="53">
        <v>1</v>
      </c>
    </row>
    <row r="45" spans="1:7" ht="21" customHeight="1" x14ac:dyDescent="0.15">
      <c r="A45" s="50" t="str">
        <f t="shared" ref="A45:A50" si="11">B45&amp;"_"&amp;D45</f>
        <v>7_10000</v>
      </c>
      <c r="B45" s="48">
        <v>7</v>
      </c>
      <c r="C45" s="157" t="s">
        <v>855</v>
      </c>
      <c r="D45" s="8">
        <v>10000</v>
      </c>
      <c r="E45" s="31" t="str">
        <f ca="1">VLOOKUP(D45,OFFSET(weekly_missions!$A$2,0,0,COUNTA(weekly_missions!$A:$A),MATCH(E$2,weekly_missions!$2:$2,0)-MATCH(D$2,weekly_missions!$2:$2,0)+1),MATCH(E$2,weekly_missions!$2:$2,0)-MATCH(D$2,weekly_missions!$2:$2,0)+1,FALSE)</f>
        <v>ゲリラクエスト：メタルダックを捕獲せよ！ 【上級】 をクリアしよう！</v>
      </c>
      <c r="F45" s="31" t="str">
        <f ca="1">VLOOKUP(D45,OFFSET(weekly_missions!$A$2,0,0,COUNTA(weekly_missions!$A:$A),MATCH(F$2,weekly_missions!$2:$2,0)-MATCH(D$2,weekly_missions!$2:$2,0)+1),MATCH(F$2,weekly_missions!$2:$2,0)-MATCH(D$2,weekly_missions!$2:$2,0)+1,FALSE)</f>
        <v>ゴールドダック x 3</v>
      </c>
      <c r="G45" s="53">
        <v>8</v>
      </c>
    </row>
    <row r="46" spans="1:7" ht="21" customHeight="1" x14ac:dyDescent="0.15">
      <c r="A46" s="50" t="str">
        <f t="shared" si="11"/>
        <v>7_10004</v>
      </c>
      <c r="B46" s="48">
        <v>7</v>
      </c>
      <c r="C46" s="158"/>
      <c r="D46" s="8">
        <v>10004</v>
      </c>
      <c r="E46" s="31" t="str">
        <f ca="1">VLOOKUP(D46,OFFSET(weekly_missions!$A$2,0,0,COUNTA(weekly_missions!$A:$A),MATCH(E$2,weekly_missions!$2:$2,0)-MATCH(D$2,weekly_missions!$2:$2,0)+1),MATCH(E$2,weekly_missions!$2:$2,0)-MATCH(D$2,weekly_missions!$2:$2,0)+1,FALSE)</f>
        <v>土日限定クエスト：ゴールドカジノ【上級】 をクリアしよう！</v>
      </c>
      <c r="F46" s="31" t="str">
        <f ca="1">VLOOKUP(D46,OFFSET(weekly_missions!$A$2,0,0,COUNTA(weekly_missions!$A:$A),MATCH(F$2,weekly_missions!$2:$2,0)-MATCH(D$2,weekly_missions!$2:$2,0)+1),MATCH(F$2,weekly_missions!$2:$2,0)-MATCH(D$2,weekly_missions!$2:$2,0)+1,FALSE)</f>
        <v>癒しの果実 x 3</v>
      </c>
      <c r="G46" s="53">
        <v>7</v>
      </c>
    </row>
    <row r="47" spans="1:7" ht="21" customHeight="1" x14ac:dyDescent="0.15">
      <c r="A47" s="50" t="str">
        <f t="shared" si="11"/>
        <v>7_3004</v>
      </c>
      <c r="B47" s="48">
        <v>7</v>
      </c>
      <c r="C47" s="158"/>
      <c r="D47" s="8">
        <v>3004</v>
      </c>
      <c r="E47" s="31" t="str">
        <f ca="1">VLOOKUP(D47,OFFSET(weekly_missions!$A$2,0,0,COUNTA(weekly_missions!$A:$A),MATCH(E$2,weekly_missions!$2:$2,0)-MATCH(D$2,weekly_missions!$2:$2,0)+1),MATCH(E$2,weekly_missions!$2:$2,0)-MATCH(D$2,weekly_missions!$2:$2,0)+1,FALSE)</f>
        <v>通算 1 日ログインしよう！</v>
      </c>
      <c r="F47" s="31" t="str">
        <f ca="1">VLOOKUP(D47,OFFSET(weekly_missions!$A$2,0,0,COUNTA(weekly_missions!$A:$A),MATCH(F$2,weekly_missions!$2:$2,0)-MATCH(D$2,weekly_missions!$2:$2,0)+1),MATCH(F$2,weekly_missions!$2:$2,0)-MATCH(D$2,weekly_missions!$2:$2,0)+1,FALSE)</f>
        <v>攻めの果実 x 3</v>
      </c>
      <c r="G47" s="53">
        <v>6</v>
      </c>
    </row>
    <row r="48" spans="1:7" ht="21" customHeight="1" x14ac:dyDescent="0.15">
      <c r="A48" s="50" t="str">
        <f t="shared" si="11"/>
        <v>7_3034</v>
      </c>
      <c r="B48" s="48">
        <v>7</v>
      </c>
      <c r="C48" s="158"/>
      <c r="D48" s="8">
        <v>3034</v>
      </c>
      <c r="E48" s="31" t="str">
        <f ca="1">VLOOKUP(D48,OFFSET(weekly_missions!$A$2,0,0,COUNTA(weekly_missions!$A:$A),MATCH(E$2,weekly_missions!$2:$2,0)-MATCH(D$2,weekly_missions!$2:$2,0)+1),MATCH(E$2,weekly_missions!$2:$2,0)-MATCH(D$2,weekly_missions!$2:$2,0)+1,FALSE)</f>
        <v>通算 3 日ログインしよう！</v>
      </c>
      <c r="F48" s="31" t="str">
        <f ca="1">VLOOKUP(D48,OFFSET(weekly_missions!$A$2,0,0,COUNTA(weekly_missions!$A:$A),MATCH(F$2,weekly_missions!$2:$2,0)-MATCH(D$2,weekly_missions!$2:$2,0)+1),MATCH(F$2,weekly_missions!$2:$2,0)-MATCH(D$2,weekly_missions!$2:$2,0)+1,FALSE)</f>
        <v>生命の果実 x 3</v>
      </c>
      <c r="G48" s="53">
        <v>5</v>
      </c>
    </row>
    <row r="49" spans="1:7" ht="21" customHeight="1" x14ac:dyDescent="0.15">
      <c r="A49" s="50" t="str">
        <f t="shared" si="11"/>
        <v>7_3074</v>
      </c>
      <c r="B49" s="48">
        <v>7</v>
      </c>
      <c r="C49" s="158"/>
      <c r="D49" s="8">
        <v>3074</v>
      </c>
      <c r="E49" s="31" t="str">
        <f ca="1">VLOOKUP(D49,OFFSET(weekly_missions!$A$2,0,0,COUNTA(weekly_missions!$A:$A),MATCH(E$2,weekly_missions!$2:$2,0)-MATCH(D$2,weekly_missions!$2:$2,0)+1),MATCH(E$2,weekly_missions!$2:$2,0)-MATCH(D$2,weekly_missions!$2:$2,0)+1,FALSE)</f>
        <v>通算 7 日ログインしよう！</v>
      </c>
      <c r="F49" s="31" t="str">
        <f ca="1">VLOOKUP(D49,OFFSET(weekly_missions!$A$2,0,0,COUNTA(weekly_missions!$A:$A),MATCH(F$2,weekly_missions!$2:$2,0)-MATCH(D$2,weekly_missions!$2:$2,0)+1),MATCH(F$2,weekly_missions!$2:$2,0)-MATCH(D$2,weekly_missions!$2:$2,0)+1,FALSE)</f>
        <v>癒しの果実 x 3</v>
      </c>
      <c r="G49" s="53">
        <v>4</v>
      </c>
    </row>
    <row r="50" spans="1:7" ht="21" customHeight="1" x14ac:dyDescent="0.15">
      <c r="A50" s="50" t="str">
        <f t="shared" si="11"/>
        <v>7_1004</v>
      </c>
      <c r="B50" s="48">
        <v>7</v>
      </c>
      <c r="C50" s="158"/>
      <c r="D50" s="8">
        <v>1004</v>
      </c>
      <c r="E50" s="31" t="str">
        <f ca="1">VLOOKUP(D50,OFFSET(weekly_missions!$A$2,0,0,COUNTA(weekly_missions!$A:$A),MATCH(E$2,weekly_missions!$2:$2,0)-MATCH(D$2,weekly_missions!$2:$2,0)+1),MATCH(E$2,weekly_missions!$2:$2,0)-MATCH(D$2,weekly_missions!$2:$2,0)+1,FALSE)</f>
        <v>クエストを通算 5 回クリアしよう！</v>
      </c>
      <c r="F50" s="31" t="str">
        <f ca="1">VLOOKUP(D50,OFFSET(weekly_missions!$A$2,0,0,COUNTA(weekly_missions!$A:$A),MATCH(F$2,weekly_missions!$2:$2,0)-MATCH(D$2,weekly_missions!$2:$2,0)+1),MATCH(F$2,weekly_missions!$2:$2,0)-MATCH(D$2,weekly_missions!$2:$2,0)+1,FALSE)</f>
        <v>生命の果実 x 3</v>
      </c>
      <c r="G50" s="53">
        <v>3</v>
      </c>
    </row>
    <row r="51" spans="1:7" ht="21" customHeight="1" x14ac:dyDescent="0.15">
      <c r="A51" s="50" t="str">
        <f>B51&amp;"_"&amp;D51</f>
        <v>7_1024</v>
      </c>
      <c r="B51" s="48">
        <v>7</v>
      </c>
      <c r="C51" s="158"/>
      <c r="D51" s="8">
        <v>1024</v>
      </c>
      <c r="E51" s="31" t="str">
        <f ca="1">VLOOKUP(D51,OFFSET(weekly_missions!$A$2,0,0,COUNTA(weekly_missions!$A:$A),MATCH(E$2,weekly_missions!$2:$2,0)-MATCH(D$2,weekly_missions!$2:$2,0)+1),MATCH(E$2,weekly_missions!$2:$2,0)-MATCH(D$2,weekly_missions!$2:$2,0)+1,FALSE)</f>
        <v>クエストを通算 20 回クリアしよう！</v>
      </c>
      <c r="F51" s="31" t="str">
        <f ca="1">VLOOKUP(D51,OFFSET(weekly_missions!$A$2,0,0,COUNTA(weekly_missions!$A:$A),MATCH(F$2,weekly_missions!$2:$2,0)-MATCH(D$2,weekly_missions!$2:$2,0)+1),MATCH(F$2,weekly_missions!$2:$2,0)-MATCH(D$2,weekly_missions!$2:$2,0)+1,FALSE)</f>
        <v>癒しの果実 x 3</v>
      </c>
      <c r="G51" s="53">
        <v>2</v>
      </c>
    </row>
    <row r="52" spans="1:7" ht="21" customHeight="1" x14ac:dyDescent="0.15">
      <c r="A52" s="50" t="str">
        <f>B52&amp;"_"&amp;D52</f>
        <v>7_2024</v>
      </c>
      <c r="B52" s="48">
        <v>7</v>
      </c>
      <c r="C52" s="158"/>
      <c r="D52" s="8">
        <v>2024</v>
      </c>
      <c r="E52" s="31" t="str">
        <f ca="1">VLOOKUP(D52,OFFSET(weekly_missions!$A$2,0,0,COUNTA(weekly_missions!$A:$A),MATCH(E$2,weekly_missions!$2:$2,0)-MATCH(D$2,weekly_missions!$2:$2,0)+1),MATCH(E$2,weekly_missions!$2:$2,0)-MATCH(D$2,weekly_missions!$2:$2,0)+1,FALSE)</f>
        <v>マルチプレイを 20 回プレイしよう！</v>
      </c>
      <c r="F52" s="31" t="str">
        <f ca="1">VLOOKUP(D52,OFFSET(weekly_missions!$A$2,0,0,COUNTA(weekly_missions!$A:$A),MATCH(F$2,weekly_missions!$2:$2,0)-MATCH(D$2,weekly_missions!$2:$2,0)+1),MATCH(F$2,weekly_missions!$2:$2,0)-MATCH(D$2,weekly_missions!$2:$2,0)+1,FALSE)</f>
        <v>攻めの果実 x 3</v>
      </c>
      <c r="G52" s="53">
        <v>1</v>
      </c>
    </row>
    <row r="53" spans="1:7" ht="21" customHeight="1" x14ac:dyDescent="0.15">
      <c r="A53" s="50" t="str">
        <f>B53&amp;"_"&amp;D53</f>
        <v>7_2030</v>
      </c>
      <c r="B53" s="48">
        <v>7</v>
      </c>
      <c r="C53" s="159"/>
      <c r="D53" s="8">
        <v>2030</v>
      </c>
      <c r="E53" s="31" t="str">
        <f ca="1">VLOOKUP(D53,OFFSET(weekly_missions!$A$2,0,0,COUNTA(weekly_missions!$A:$A),MATCH(E$2,weekly_missions!$2:$2,0)-MATCH(D$2,weekly_missions!$2:$2,0)+1),MATCH(E$2,weekly_missions!$2:$2,0)-MATCH(D$2,weekly_missions!$2:$2,0)+1,FALSE)</f>
        <v>マルチプレイを 30 回プレイしよう！</v>
      </c>
      <c r="F53" s="31" t="str">
        <f ca="1">VLOOKUP(D53,OFFSET(weekly_missions!$A$2,0,0,COUNTA(weekly_missions!$A:$A),MATCH(F$2,weekly_missions!$2:$2,0)-MATCH(D$2,weekly_missions!$2:$2,0)+1),MATCH(F$2,weekly_missions!$2:$2,0)-MATCH(D$2,weekly_missions!$2:$2,0)+1,FALSE)</f>
        <v>秘術の果実 x 1</v>
      </c>
      <c r="G53" s="53">
        <v>1</v>
      </c>
    </row>
    <row r="54" spans="1:7" ht="21" customHeight="1" x14ac:dyDescent="0.15">
      <c r="A54" s="50" t="str">
        <f t="shared" ref="A54:A59" si="12">B54&amp;"_"&amp;D54</f>
        <v>8_10000</v>
      </c>
      <c r="B54" s="48">
        <v>8</v>
      </c>
      <c r="C54" s="157" t="s">
        <v>856</v>
      </c>
      <c r="D54" s="8">
        <v>10000</v>
      </c>
      <c r="E54" s="31" t="str">
        <f ca="1">VLOOKUP(D54,OFFSET(weekly_missions!$A$2,0,0,COUNTA(weekly_missions!$A:$A),MATCH(E$2,weekly_missions!$2:$2,0)-MATCH(D$2,weekly_missions!$2:$2,0)+1),MATCH(E$2,weekly_missions!$2:$2,0)-MATCH(D$2,weekly_missions!$2:$2,0)+1,FALSE)</f>
        <v>ゲリラクエスト：メタルダックを捕獲せよ！ 【上級】 をクリアしよう！</v>
      </c>
      <c r="F54" s="31" t="str">
        <f ca="1">VLOOKUP(D54,OFFSET(weekly_missions!$A$2,0,0,COUNTA(weekly_missions!$A:$A),MATCH(F$2,weekly_missions!$2:$2,0)-MATCH(D$2,weekly_missions!$2:$2,0)+1),MATCH(F$2,weekly_missions!$2:$2,0)-MATCH(D$2,weekly_missions!$2:$2,0)+1,FALSE)</f>
        <v>ゴールドダック x 3</v>
      </c>
      <c r="G54" s="53">
        <v>8</v>
      </c>
    </row>
    <row r="55" spans="1:7" ht="21" customHeight="1" x14ac:dyDescent="0.15">
      <c r="A55" s="50" t="str">
        <f t="shared" si="12"/>
        <v>8_10005</v>
      </c>
      <c r="B55" s="48">
        <v>8</v>
      </c>
      <c r="C55" s="158"/>
      <c r="D55" s="8">
        <v>10005</v>
      </c>
      <c r="E55" s="31" t="str">
        <f ca="1">VLOOKUP(D55,OFFSET(weekly_missions!$A$2,0,0,COUNTA(weekly_missions!$A:$A),MATCH(E$2,weekly_missions!$2:$2,0)-MATCH(D$2,weekly_missions!$2:$2,0)+1),MATCH(E$2,weekly_missions!$2:$2,0)-MATCH(D$2,weekly_missions!$2:$2,0)+1,FALSE)</f>
        <v>土日限定クエスト：ゴールドカジノ【上級】 をクリアしよう！</v>
      </c>
      <c r="F55" s="31" t="str">
        <f ca="1">VLOOKUP(D55,OFFSET(weekly_missions!$A$2,0,0,COUNTA(weekly_missions!$A:$A),MATCH(F$2,weekly_missions!$2:$2,0)-MATCH(D$2,weekly_missions!$2:$2,0)+1),MATCH(F$2,weekly_missions!$2:$2,0)-MATCH(D$2,weekly_missions!$2:$2,0)+1,FALSE)</f>
        <v>攻めの果実 x 3</v>
      </c>
      <c r="G55" s="53">
        <v>7</v>
      </c>
    </row>
    <row r="56" spans="1:7" ht="21" customHeight="1" x14ac:dyDescent="0.15">
      <c r="A56" s="50" t="str">
        <f t="shared" si="12"/>
        <v>8_3005</v>
      </c>
      <c r="B56" s="48">
        <v>8</v>
      </c>
      <c r="C56" s="158"/>
      <c r="D56" s="8">
        <v>3005</v>
      </c>
      <c r="E56" s="31" t="str">
        <f ca="1">VLOOKUP(D56,OFFSET(weekly_missions!$A$2,0,0,COUNTA(weekly_missions!$A:$A),MATCH(E$2,weekly_missions!$2:$2,0)-MATCH(D$2,weekly_missions!$2:$2,0)+1),MATCH(E$2,weekly_missions!$2:$2,0)-MATCH(D$2,weekly_missions!$2:$2,0)+1,FALSE)</f>
        <v>通算 1 日ログインしよう！</v>
      </c>
      <c r="F56" s="31" t="str">
        <f ca="1">VLOOKUP(D56,OFFSET(weekly_missions!$A$2,0,0,COUNTA(weekly_missions!$A:$A),MATCH(F$2,weekly_missions!$2:$2,0)-MATCH(D$2,weekly_missions!$2:$2,0)+1),MATCH(F$2,weekly_missions!$2:$2,0)-MATCH(D$2,weekly_missions!$2:$2,0)+1,FALSE)</f>
        <v>生命の果実 x 3</v>
      </c>
      <c r="G56" s="53">
        <v>6</v>
      </c>
    </row>
    <row r="57" spans="1:7" ht="21" customHeight="1" x14ac:dyDescent="0.15">
      <c r="A57" s="50" t="str">
        <f t="shared" si="12"/>
        <v>8_3035</v>
      </c>
      <c r="B57" s="48">
        <v>8</v>
      </c>
      <c r="C57" s="158"/>
      <c r="D57" s="8">
        <v>3035</v>
      </c>
      <c r="E57" s="31" t="str">
        <f ca="1">VLOOKUP(D57,OFFSET(weekly_missions!$A$2,0,0,COUNTA(weekly_missions!$A:$A),MATCH(E$2,weekly_missions!$2:$2,0)-MATCH(D$2,weekly_missions!$2:$2,0)+1),MATCH(E$2,weekly_missions!$2:$2,0)-MATCH(D$2,weekly_missions!$2:$2,0)+1,FALSE)</f>
        <v>通算 3 日ログインしよう！</v>
      </c>
      <c r="F57" s="31" t="str">
        <f ca="1">VLOOKUP(D57,OFFSET(weekly_missions!$A$2,0,0,COUNTA(weekly_missions!$A:$A),MATCH(F$2,weekly_missions!$2:$2,0)-MATCH(D$2,weekly_missions!$2:$2,0)+1),MATCH(F$2,weekly_missions!$2:$2,0)-MATCH(D$2,weekly_missions!$2:$2,0)+1,FALSE)</f>
        <v>癒しの果実 x 3</v>
      </c>
      <c r="G57" s="53">
        <v>5</v>
      </c>
    </row>
    <row r="58" spans="1:7" ht="21" customHeight="1" x14ac:dyDescent="0.15">
      <c r="A58" s="50" t="str">
        <f t="shared" si="12"/>
        <v>8_3075</v>
      </c>
      <c r="B58" s="48">
        <v>8</v>
      </c>
      <c r="C58" s="158"/>
      <c r="D58" s="8">
        <v>3075</v>
      </c>
      <c r="E58" s="31" t="str">
        <f ca="1">VLOOKUP(D58,OFFSET(weekly_missions!$A$2,0,0,COUNTA(weekly_missions!$A:$A),MATCH(E$2,weekly_missions!$2:$2,0)-MATCH(D$2,weekly_missions!$2:$2,0)+1),MATCH(E$2,weekly_missions!$2:$2,0)-MATCH(D$2,weekly_missions!$2:$2,0)+1,FALSE)</f>
        <v>通算 7 日ログインしよう！</v>
      </c>
      <c r="F58" s="31" t="str">
        <f ca="1">VLOOKUP(D58,OFFSET(weekly_missions!$A$2,0,0,COUNTA(weekly_missions!$A:$A),MATCH(F$2,weekly_missions!$2:$2,0)-MATCH(D$2,weekly_missions!$2:$2,0)+1),MATCH(F$2,weekly_missions!$2:$2,0)-MATCH(D$2,weekly_missions!$2:$2,0)+1,FALSE)</f>
        <v>攻めの果実 x 3</v>
      </c>
      <c r="G58" s="53">
        <v>4</v>
      </c>
    </row>
    <row r="59" spans="1:7" ht="21" customHeight="1" x14ac:dyDescent="0.15">
      <c r="A59" s="50" t="str">
        <f t="shared" si="12"/>
        <v>8_1005</v>
      </c>
      <c r="B59" s="48">
        <v>8</v>
      </c>
      <c r="C59" s="158"/>
      <c r="D59" s="8">
        <v>1005</v>
      </c>
      <c r="E59" s="31" t="str">
        <f ca="1">VLOOKUP(D59,OFFSET(weekly_missions!$A$2,0,0,COUNTA(weekly_missions!$A:$A),MATCH(E$2,weekly_missions!$2:$2,0)-MATCH(D$2,weekly_missions!$2:$2,0)+1),MATCH(E$2,weekly_missions!$2:$2,0)-MATCH(D$2,weekly_missions!$2:$2,0)+1,FALSE)</f>
        <v>クエストを通算 5 回クリアしよう！</v>
      </c>
      <c r="F59" s="31" t="str">
        <f ca="1">VLOOKUP(D59,OFFSET(weekly_missions!$A$2,0,0,COUNTA(weekly_missions!$A:$A),MATCH(F$2,weekly_missions!$2:$2,0)-MATCH(D$2,weekly_missions!$2:$2,0)+1),MATCH(F$2,weekly_missions!$2:$2,0)-MATCH(D$2,weekly_missions!$2:$2,0)+1,FALSE)</f>
        <v>癒しの果実 x 3</v>
      </c>
      <c r="G59" s="53">
        <v>3</v>
      </c>
    </row>
    <row r="60" spans="1:7" ht="21" customHeight="1" x14ac:dyDescent="0.15">
      <c r="A60" s="50" t="str">
        <f>B60&amp;"_"&amp;D60</f>
        <v>8_1025</v>
      </c>
      <c r="B60" s="48">
        <v>8</v>
      </c>
      <c r="C60" s="158"/>
      <c r="D60" s="8">
        <v>1025</v>
      </c>
      <c r="E60" s="31" t="str">
        <f ca="1">VLOOKUP(D60,OFFSET(weekly_missions!$A$2,0,0,COUNTA(weekly_missions!$A:$A),MATCH(E$2,weekly_missions!$2:$2,0)-MATCH(D$2,weekly_missions!$2:$2,0)+1),MATCH(E$2,weekly_missions!$2:$2,0)-MATCH(D$2,weekly_missions!$2:$2,0)+1,FALSE)</f>
        <v>クエストを通算 20 回クリアしよう！</v>
      </c>
      <c r="F60" s="31" t="str">
        <f ca="1">VLOOKUP(D60,OFFSET(weekly_missions!$A$2,0,0,COUNTA(weekly_missions!$A:$A),MATCH(F$2,weekly_missions!$2:$2,0)-MATCH(D$2,weekly_missions!$2:$2,0)+1),MATCH(F$2,weekly_missions!$2:$2,0)-MATCH(D$2,weekly_missions!$2:$2,0)+1,FALSE)</f>
        <v>攻めの果実 x 3</v>
      </c>
      <c r="G60" s="53">
        <v>2</v>
      </c>
    </row>
    <row r="61" spans="1:7" ht="21" customHeight="1" x14ac:dyDescent="0.15">
      <c r="A61" s="50" t="str">
        <f>B61&amp;"_"&amp;D61</f>
        <v>8_2025</v>
      </c>
      <c r="B61" s="48">
        <v>8</v>
      </c>
      <c r="C61" s="158"/>
      <c r="D61" s="8">
        <v>2025</v>
      </c>
      <c r="E61" s="31" t="str">
        <f ca="1">VLOOKUP(D61,OFFSET(weekly_missions!$A$2,0,0,COUNTA(weekly_missions!$A:$A),MATCH(E$2,weekly_missions!$2:$2,0)-MATCH(D$2,weekly_missions!$2:$2,0)+1),MATCH(E$2,weekly_missions!$2:$2,0)-MATCH(D$2,weekly_missions!$2:$2,0)+1,FALSE)</f>
        <v>マルチプレイを 20 回プレイしよう！</v>
      </c>
      <c r="F61" s="31" t="str">
        <f ca="1">VLOOKUP(D61,OFFSET(weekly_missions!$A$2,0,0,COUNTA(weekly_missions!$A:$A),MATCH(F$2,weekly_missions!$2:$2,0)-MATCH(D$2,weekly_missions!$2:$2,0)+1),MATCH(F$2,weekly_missions!$2:$2,0)-MATCH(D$2,weekly_missions!$2:$2,0)+1,FALSE)</f>
        <v>生命の果実 x 3</v>
      </c>
      <c r="G61" s="53">
        <v>1</v>
      </c>
    </row>
    <row r="62" spans="1:7" ht="21" customHeight="1" x14ac:dyDescent="0.15">
      <c r="A62" s="50" t="str">
        <f>B62&amp;"_"&amp;D62</f>
        <v>8_2030</v>
      </c>
      <c r="B62" s="48">
        <v>8</v>
      </c>
      <c r="C62" s="159"/>
      <c r="D62" s="8">
        <v>2030</v>
      </c>
      <c r="E62" s="31" t="str">
        <f ca="1">VLOOKUP(D62,OFFSET(weekly_missions!$A$2,0,0,COUNTA(weekly_missions!$A:$A),MATCH(E$2,weekly_missions!$2:$2,0)-MATCH(D$2,weekly_missions!$2:$2,0)+1),MATCH(E$2,weekly_missions!$2:$2,0)-MATCH(D$2,weekly_missions!$2:$2,0)+1,FALSE)</f>
        <v>マルチプレイを 30 回プレイしよう！</v>
      </c>
      <c r="F62" s="31" t="str">
        <f ca="1">VLOOKUP(D62,OFFSET(weekly_missions!$A$2,0,0,COUNTA(weekly_missions!$A:$A),MATCH(F$2,weekly_missions!$2:$2,0)-MATCH(D$2,weekly_missions!$2:$2,0)+1),MATCH(F$2,weekly_missions!$2:$2,0)-MATCH(D$2,weekly_missions!$2:$2,0)+1,FALSE)</f>
        <v>秘術の果実 x 1</v>
      </c>
      <c r="G62" s="53">
        <v>1</v>
      </c>
    </row>
    <row r="63" spans="1:7" ht="21" customHeight="1" x14ac:dyDescent="0.15">
      <c r="A63" s="50" t="str">
        <f t="shared" ref="A63:A68" si="13">B63&amp;"_"&amp;D63</f>
        <v>9_10000</v>
      </c>
      <c r="B63" s="48">
        <v>9</v>
      </c>
      <c r="C63" s="157" t="s">
        <v>857</v>
      </c>
      <c r="D63" s="8">
        <v>10000</v>
      </c>
      <c r="E63" s="31" t="str">
        <f ca="1">VLOOKUP(D63,OFFSET(weekly_missions!$A$2,0,0,COUNTA(weekly_missions!$A:$A),MATCH(E$2,weekly_missions!$2:$2,0)-MATCH(D$2,weekly_missions!$2:$2,0)+1),MATCH(E$2,weekly_missions!$2:$2,0)-MATCH(D$2,weekly_missions!$2:$2,0)+1,FALSE)</f>
        <v>ゲリラクエスト：メタルダックを捕獲せよ！ 【上級】 をクリアしよう！</v>
      </c>
      <c r="F63" s="31" t="str">
        <f ca="1">VLOOKUP(D63,OFFSET(weekly_missions!$A$2,0,0,COUNTA(weekly_missions!$A:$A),MATCH(F$2,weekly_missions!$2:$2,0)-MATCH(D$2,weekly_missions!$2:$2,0)+1),MATCH(F$2,weekly_missions!$2:$2,0)-MATCH(D$2,weekly_missions!$2:$2,0)+1,FALSE)</f>
        <v>ゴールドダック x 3</v>
      </c>
      <c r="G63" s="53">
        <v>8</v>
      </c>
    </row>
    <row r="64" spans="1:7" ht="21" customHeight="1" x14ac:dyDescent="0.15">
      <c r="A64" s="50" t="str">
        <f t="shared" si="13"/>
        <v>9_10006</v>
      </c>
      <c r="B64" s="48">
        <v>9</v>
      </c>
      <c r="C64" s="158"/>
      <c r="D64" s="8">
        <v>10006</v>
      </c>
      <c r="E64" s="31" t="str">
        <f ca="1">VLOOKUP(D64,OFFSET(weekly_missions!$A$2,0,0,COUNTA(weekly_missions!$A:$A),MATCH(E$2,weekly_missions!$2:$2,0)-MATCH(D$2,weekly_missions!$2:$2,0)+1),MATCH(E$2,weekly_missions!$2:$2,0)-MATCH(D$2,weekly_missions!$2:$2,0)+1,FALSE)</f>
        <v>土日限定クエスト：ゴールドカジノ【上級】 をクリアしよう！</v>
      </c>
      <c r="F64" s="31" t="str">
        <f ca="1">VLOOKUP(D64,OFFSET(weekly_missions!$A$2,0,0,COUNTA(weekly_missions!$A:$A),MATCH(F$2,weekly_missions!$2:$2,0)-MATCH(D$2,weekly_missions!$2:$2,0)+1),MATCH(F$2,weekly_missions!$2:$2,0)-MATCH(D$2,weekly_missions!$2:$2,0)+1,FALSE)</f>
        <v>生命の果実 x 3</v>
      </c>
      <c r="G64" s="53">
        <v>7</v>
      </c>
    </row>
    <row r="65" spans="1:12" ht="21" customHeight="1" x14ac:dyDescent="0.15">
      <c r="A65" s="50" t="str">
        <f t="shared" si="13"/>
        <v>9_3006</v>
      </c>
      <c r="B65" s="48">
        <v>9</v>
      </c>
      <c r="C65" s="158"/>
      <c r="D65" s="8">
        <v>3006</v>
      </c>
      <c r="E65" s="31" t="str">
        <f ca="1">VLOOKUP(D65,OFFSET(weekly_missions!$A$2,0,0,COUNTA(weekly_missions!$A:$A),MATCH(E$2,weekly_missions!$2:$2,0)-MATCH(D$2,weekly_missions!$2:$2,0)+1),MATCH(E$2,weekly_missions!$2:$2,0)-MATCH(D$2,weekly_missions!$2:$2,0)+1,FALSE)</f>
        <v>通算 1 日ログインしよう！</v>
      </c>
      <c r="F65" s="31" t="str">
        <f ca="1">VLOOKUP(D65,OFFSET(weekly_missions!$A$2,0,0,COUNTA(weekly_missions!$A:$A),MATCH(F$2,weekly_missions!$2:$2,0)-MATCH(D$2,weekly_missions!$2:$2,0)+1),MATCH(F$2,weekly_missions!$2:$2,0)-MATCH(D$2,weekly_missions!$2:$2,0)+1,FALSE)</f>
        <v>癒しの果実 x 3</v>
      </c>
      <c r="G65" s="53">
        <v>6</v>
      </c>
    </row>
    <row r="66" spans="1:12" ht="21" customHeight="1" x14ac:dyDescent="0.15">
      <c r="A66" s="50" t="str">
        <f t="shared" si="13"/>
        <v>9_3036</v>
      </c>
      <c r="B66" s="48">
        <v>9</v>
      </c>
      <c r="C66" s="158"/>
      <c r="D66" s="8">
        <v>3036</v>
      </c>
      <c r="E66" s="31" t="str">
        <f ca="1">VLOOKUP(D66,OFFSET(weekly_missions!$A$2,0,0,COUNTA(weekly_missions!$A:$A),MATCH(E$2,weekly_missions!$2:$2,0)-MATCH(D$2,weekly_missions!$2:$2,0)+1),MATCH(E$2,weekly_missions!$2:$2,0)-MATCH(D$2,weekly_missions!$2:$2,0)+1,FALSE)</f>
        <v>通算 3 日ログインしよう！</v>
      </c>
      <c r="F66" s="31" t="str">
        <f ca="1">VLOOKUP(D66,OFFSET(weekly_missions!$A$2,0,0,COUNTA(weekly_missions!$A:$A),MATCH(F$2,weekly_missions!$2:$2,0)-MATCH(D$2,weekly_missions!$2:$2,0)+1),MATCH(F$2,weekly_missions!$2:$2,0)-MATCH(D$2,weekly_missions!$2:$2,0)+1,FALSE)</f>
        <v>攻めの果実 x 3</v>
      </c>
      <c r="G66" s="53">
        <v>5</v>
      </c>
    </row>
    <row r="67" spans="1:12" ht="21" customHeight="1" x14ac:dyDescent="0.15">
      <c r="A67" s="50" t="str">
        <f t="shared" si="13"/>
        <v>9_3076</v>
      </c>
      <c r="B67" s="48">
        <v>9</v>
      </c>
      <c r="C67" s="158"/>
      <c r="D67" s="8">
        <v>3076</v>
      </c>
      <c r="E67" s="31" t="str">
        <f ca="1">VLOOKUP(D67,OFFSET(weekly_missions!$A$2,0,0,COUNTA(weekly_missions!$A:$A),MATCH(E$2,weekly_missions!$2:$2,0)-MATCH(D$2,weekly_missions!$2:$2,0)+1),MATCH(E$2,weekly_missions!$2:$2,0)-MATCH(D$2,weekly_missions!$2:$2,0)+1,FALSE)</f>
        <v>通算 7 日ログインしよう！</v>
      </c>
      <c r="F67" s="31" t="str">
        <f ca="1">VLOOKUP(D67,OFFSET(weekly_missions!$A$2,0,0,COUNTA(weekly_missions!$A:$A),MATCH(F$2,weekly_missions!$2:$2,0)-MATCH(D$2,weekly_missions!$2:$2,0)+1),MATCH(F$2,weekly_missions!$2:$2,0)-MATCH(D$2,weekly_missions!$2:$2,0)+1,FALSE)</f>
        <v>生命の果実 x 3</v>
      </c>
      <c r="G67" s="53">
        <v>4</v>
      </c>
    </row>
    <row r="68" spans="1:12" ht="21" customHeight="1" x14ac:dyDescent="0.15">
      <c r="A68" s="50" t="str">
        <f t="shared" si="13"/>
        <v>9_1006</v>
      </c>
      <c r="B68" s="48">
        <v>9</v>
      </c>
      <c r="C68" s="158"/>
      <c r="D68" s="8">
        <v>1006</v>
      </c>
      <c r="E68" s="31" t="str">
        <f ca="1">VLOOKUP(D68,OFFSET(weekly_missions!$A$2,0,0,COUNTA(weekly_missions!$A:$A),MATCH(E$2,weekly_missions!$2:$2,0)-MATCH(D$2,weekly_missions!$2:$2,0)+1),MATCH(E$2,weekly_missions!$2:$2,0)-MATCH(D$2,weekly_missions!$2:$2,0)+1,FALSE)</f>
        <v>クエストを通算 5 回クリアしよう！</v>
      </c>
      <c r="F68" s="31" t="str">
        <f ca="1">VLOOKUP(D68,OFFSET(weekly_missions!$A$2,0,0,COUNTA(weekly_missions!$A:$A),MATCH(F$2,weekly_missions!$2:$2,0)-MATCH(D$2,weekly_missions!$2:$2,0)+1),MATCH(F$2,weekly_missions!$2:$2,0)-MATCH(D$2,weekly_missions!$2:$2,0)+1,FALSE)</f>
        <v>攻めの果実 x 3</v>
      </c>
      <c r="G68" s="53">
        <v>3</v>
      </c>
    </row>
    <row r="69" spans="1:12" ht="21" customHeight="1" x14ac:dyDescent="0.15">
      <c r="A69" s="50" t="str">
        <f>B69&amp;"_"&amp;D69</f>
        <v>9_1026</v>
      </c>
      <c r="B69" s="48">
        <v>9</v>
      </c>
      <c r="C69" s="158"/>
      <c r="D69" s="8">
        <v>1026</v>
      </c>
      <c r="E69" s="31" t="str">
        <f ca="1">VLOOKUP(D69,OFFSET(weekly_missions!$A$2,0,0,COUNTA(weekly_missions!$A:$A),MATCH(E$2,weekly_missions!$2:$2,0)-MATCH(D$2,weekly_missions!$2:$2,0)+1),MATCH(E$2,weekly_missions!$2:$2,0)-MATCH(D$2,weekly_missions!$2:$2,0)+1,FALSE)</f>
        <v>クエストを通算 20 回クリアしよう！</v>
      </c>
      <c r="F69" s="31" t="str">
        <f ca="1">VLOOKUP(D69,OFFSET(weekly_missions!$A$2,0,0,COUNTA(weekly_missions!$A:$A),MATCH(F$2,weekly_missions!$2:$2,0)-MATCH(D$2,weekly_missions!$2:$2,0)+1),MATCH(F$2,weekly_missions!$2:$2,0)-MATCH(D$2,weekly_missions!$2:$2,0)+1,FALSE)</f>
        <v>生命の果実 x 3</v>
      </c>
      <c r="G69" s="53">
        <v>2</v>
      </c>
    </row>
    <row r="70" spans="1:12" ht="21" customHeight="1" x14ac:dyDescent="0.15">
      <c r="A70" s="50" t="str">
        <f>B70&amp;"_"&amp;D70</f>
        <v>9_2026</v>
      </c>
      <c r="B70" s="48">
        <v>9</v>
      </c>
      <c r="C70" s="158"/>
      <c r="D70" s="8">
        <v>2026</v>
      </c>
      <c r="E70" s="31" t="str">
        <f ca="1">VLOOKUP(D70,OFFSET(weekly_missions!$A$2,0,0,COUNTA(weekly_missions!$A:$A),MATCH(E$2,weekly_missions!$2:$2,0)-MATCH(D$2,weekly_missions!$2:$2,0)+1),MATCH(E$2,weekly_missions!$2:$2,0)-MATCH(D$2,weekly_missions!$2:$2,0)+1,FALSE)</f>
        <v>マルチプレイを 20 回プレイしよう！</v>
      </c>
      <c r="F70" s="31" t="str">
        <f ca="1">VLOOKUP(D70,OFFSET(weekly_missions!$A$2,0,0,COUNTA(weekly_missions!$A:$A),MATCH(F$2,weekly_missions!$2:$2,0)-MATCH(D$2,weekly_missions!$2:$2,0)+1),MATCH(F$2,weekly_missions!$2:$2,0)-MATCH(D$2,weekly_missions!$2:$2,0)+1,FALSE)</f>
        <v>癒しの果実 x 3</v>
      </c>
      <c r="G70" s="53">
        <v>1</v>
      </c>
    </row>
    <row r="71" spans="1:12" ht="21" customHeight="1" x14ac:dyDescent="0.15">
      <c r="A71" s="50" t="str">
        <f>B71&amp;"_"&amp;D71</f>
        <v>9_2030</v>
      </c>
      <c r="B71" s="48">
        <v>9</v>
      </c>
      <c r="C71" s="159"/>
      <c r="D71" s="8">
        <v>2030</v>
      </c>
      <c r="E71" s="31" t="str">
        <f ca="1">VLOOKUP(D71,OFFSET(weekly_missions!$A$2,0,0,COUNTA(weekly_missions!$A:$A),MATCH(E$2,weekly_missions!$2:$2,0)-MATCH(D$2,weekly_missions!$2:$2,0)+1),MATCH(E$2,weekly_missions!$2:$2,0)-MATCH(D$2,weekly_missions!$2:$2,0)+1,FALSE)</f>
        <v>マルチプレイを 30 回プレイしよう！</v>
      </c>
      <c r="F71" s="31" t="str">
        <f ca="1">VLOOKUP(D71,OFFSET(weekly_missions!$A$2,0,0,COUNTA(weekly_missions!$A:$A),MATCH(F$2,weekly_missions!$2:$2,0)-MATCH(D$2,weekly_missions!$2:$2,0)+1),MATCH(F$2,weekly_missions!$2:$2,0)-MATCH(D$2,weekly_missions!$2:$2,0)+1,FALSE)</f>
        <v>秘術の果実 x 1</v>
      </c>
      <c r="G71" s="53">
        <v>1</v>
      </c>
    </row>
    <row r="72" spans="1:12" ht="21" customHeight="1" x14ac:dyDescent="0.15">
      <c r="A72" s="50" t="str">
        <f t="shared" ref="A72:A77" si="14">B72&amp;"_"&amp;D72</f>
        <v>10_40030</v>
      </c>
      <c r="B72" s="48">
        <v>10</v>
      </c>
      <c r="C72" s="157" t="s">
        <v>1146</v>
      </c>
      <c r="D72" s="94">
        <v>40030</v>
      </c>
      <c r="E72" s="31" t="str">
        <f ca="1">VLOOKUP(D72,OFFSET(weekly_missions!$A$2,0,0,COUNTA(weekly_missions!$A:$A),MATCH(E$2,weekly_missions!$2:$2,0)-MATCH(D$2,weekly_missions!$2:$2,0)+1),MATCH(E$2,weekly_missions!$2:$2,0)-MATCH(D$2,weekly_missions!$2:$2,0)+1,FALSE)</f>
        <v>通算 3 日ログインしよう！</v>
      </c>
      <c r="F72" s="31" t="str">
        <f ca="1">VLOOKUP(D72,OFFSET(weekly_missions!$A$2,0,0,COUNTA(weekly_missions!$A:$A),MATCH(F$2,weekly_missions!$2:$2,0)-MATCH(D$2,weekly_missions!$2:$2,0)+1),MATCH(F$2,weekly_missions!$2:$2,0)-MATCH(D$2,weekly_missions!$2:$2,0)+1,FALSE)</f>
        <v>ビット x 30000</v>
      </c>
      <c r="G72" s="53">
        <v>1000</v>
      </c>
      <c r="H72" s="1" t="s">
        <v>1147</v>
      </c>
    </row>
    <row r="73" spans="1:12" ht="21" customHeight="1" x14ac:dyDescent="0.15">
      <c r="A73" s="50" t="str">
        <f t="shared" si="14"/>
        <v>10_40050</v>
      </c>
      <c r="B73" s="48">
        <v>10</v>
      </c>
      <c r="C73" s="158"/>
      <c r="D73" s="94">
        <v>40050</v>
      </c>
      <c r="E73" s="31" t="str">
        <f ca="1">VLOOKUP(D73,OFFSET(weekly_missions!$A$2,0,0,COUNTA(weekly_missions!$A:$A),MATCH(E$2,weekly_missions!$2:$2,0)-MATCH(D$2,weekly_missions!$2:$2,0)+1),MATCH(E$2,weekly_missions!$2:$2,0)-MATCH(D$2,weekly_missions!$2:$2,0)+1,FALSE)</f>
        <v>通算 5 日ログインしよう！</v>
      </c>
      <c r="F73" s="31" t="str">
        <f ca="1">VLOOKUP(D73,OFFSET(weekly_missions!$A$2,0,0,COUNTA(weekly_missions!$A:$A),MATCH(F$2,weekly_missions!$2:$2,0)-MATCH(D$2,weekly_missions!$2:$2,0)+1),MATCH(F$2,weekly_missions!$2:$2,0)-MATCH(D$2,weekly_missions!$2:$2,0)+1,FALSE)</f>
        <v>リンク x 500</v>
      </c>
      <c r="G73" s="53">
        <v>1001</v>
      </c>
      <c r="H73" s="1" t="s">
        <v>1148</v>
      </c>
    </row>
    <row r="74" spans="1:12" ht="21" customHeight="1" x14ac:dyDescent="0.15">
      <c r="A74" s="50" t="str">
        <f t="shared" si="14"/>
        <v>10_40070</v>
      </c>
      <c r="B74" s="48">
        <v>10</v>
      </c>
      <c r="C74" s="158"/>
      <c r="D74" s="94">
        <v>40070</v>
      </c>
      <c r="E74" s="31" t="str">
        <f ca="1">VLOOKUP(D74,OFFSET(weekly_missions!$A$2,0,0,COUNTA(weekly_missions!$A:$A),MATCH(E$2,weekly_missions!$2:$2,0)-MATCH(D$2,weekly_missions!$2:$2,0)+1),MATCH(E$2,weekly_missions!$2:$2,0)-MATCH(D$2,weekly_missions!$2:$2,0)+1,FALSE)</f>
        <v>通算 7 日ログインしよう！</v>
      </c>
      <c r="F74" s="31" t="str">
        <f ca="1">VLOOKUP(D74,OFFSET(weekly_missions!$A$2,0,0,COUNTA(weekly_missions!$A:$A),MATCH(F$2,weekly_missions!$2:$2,0)-MATCH(D$2,weekly_missions!$2:$2,0)+1),MATCH(F$2,weekly_missions!$2:$2,0)-MATCH(D$2,weekly_missions!$2:$2,0)+1,FALSE)</f>
        <v>ポリゴン x 1</v>
      </c>
      <c r="G74" s="53">
        <v>1002</v>
      </c>
      <c r="H74" s="1" t="s">
        <v>1149</v>
      </c>
    </row>
    <row r="75" spans="1:12" ht="21" customHeight="1" x14ac:dyDescent="0.15">
      <c r="A75" s="50" t="str">
        <f t="shared" si="14"/>
        <v>10_41030</v>
      </c>
      <c r="B75" s="48">
        <v>10</v>
      </c>
      <c r="C75" s="158"/>
      <c r="D75" s="93">
        <v>41030</v>
      </c>
      <c r="E75" s="31" t="str">
        <f ca="1">VLOOKUP(D75,OFFSET(weekly_missions!$A$2,0,0,COUNTA(weekly_missions!$A:$A),MATCH(E$2,weekly_missions!$2:$2,0)-MATCH(D$2,weekly_missions!$2:$2,0)+1),MATCH(E$2,weekly_missions!$2:$2,0)-MATCH(D$2,weekly_missions!$2:$2,0)+1,FALSE)</f>
        <v>クエストを通算 3 回クリアしよう！</v>
      </c>
      <c r="F75" s="31" t="str">
        <f ca="1">VLOOKUP(D75,OFFSET(weekly_missions!$A$2,0,0,COUNTA(weekly_missions!$A:$A),MATCH(F$2,weekly_missions!$2:$2,0)-MATCH(D$2,weekly_missions!$2:$2,0)+1),MATCH(F$2,weekly_missions!$2:$2,0)-MATCH(D$2,weekly_missions!$2:$2,0)+1,FALSE)</f>
        <v>メガ攻めの果実 x 1</v>
      </c>
      <c r="G75" s="53">
        <v>30</v>
      </c>
      <c r="H75" s="1" t="s">
        <v>1150</v>
      </c>
    </row>
    <row r="76" spans="1:12" ht="21" customHeight="1" x14ac:dyDescent="0.15">
      <c r="A76" s="50" t="str">
        <f t="shared" si="14"/>
        <v>10_41052</v>
      </c>
      <c r="B76" s="48">
        <v>10</v>
      </c>
      <c r="C76" s="158"/>
      <c r="D76" s="77">
        <v>41052</v>
      </c>
      <c r="E76" s="31" t="str">
        <f ca="1">VLOOKUP(D76,OFFSET(weekly_missions!$A$2,0,0,COUNTA(weekly_missions!$A:$A),MATCH(E$2,weekly_missions!$2:$2,0)-MATCH(D$2,weekly_missions!$2:$2,0)+1),MATCH(E$2,weekly_missions!$2:$2,0)-MATCH(D$2,weekly_missions!$2:$2,0)+1,FALSE)</f>
        <v>クエストを通算 5 回クリアしよう！</v>
      </c>
      <c r="F76" s="31" t="str">
        <f ca="1">VLOOKUP(D76,OFFSET(weekly_missions!$A$2,0,0,COUNTA(weekly_missions!$A:$A),MATCH(F$2,weekly_missions!$2:$2,0)-MATCH(D$2,weekly_missions!$2:$2,0)+1),MATCH(F$2,weekly_missions!$2:$2,0)-MATCH(D$2,weekly_missions!$2:$2,0)+1,FALSE)</f>
        <v>水のメタルダック x 1</v>
      </c>
      <c r="G76" s="53">
        <v>50</v>
      </c>
      <c r="H76" s="1" t="s">
        <v>1151</v>
      </c>
      <c r="I76" s="1" t="s">
        <v>1226</v>
      </c>
      <c r="J76" s="1" t="s">
        <v>1232</v>
      </c>
      <c r="K76" s="1" t="s">
        <v>1229</v>
      </c>
    </row>
    <row r="77" spans="1:12" ht="21" customHeight="1" x14ac:dyDescent="0.15">
      <c r="A77" s="50" t="str">
        <f t="shared" si="14"/>
        <v>10_41101</v>
      </c>
      <c r="B77" s="48">
        <v>10</v>
      </c>
      <c r="C77" s="158"/>
      <c r="D77" s="93">
        <v>41101</v>
      </c>
      <c r="E77" s="31" t="str">
        <f ca="1">VLOOKUP(D77,OFFSET(weekly_missions!$A$2,0,0,COUNTA(weekly_missions!$A:$A),MATCH(E$2,weekly_missions!$2:$2,0)-MATCH(D$2,weekly_missions!$2:$2,0)+1),MATCH(E$2,weekly_missions!$2:$2,0)-MATCH(D$2,weekly_missions!$2:$2,0)+1,FALSE)</f>
        <v>クエストを通算 10 回クリアしよう！</v>
      </c>
      <c r="F77" s="31" t="str">
        <f ca="1">VLOOKUP(D77,OFFSET(weekly_missions!$A$2,0,0,COUNTA(weekly_missions!$A:$A),MATCH(F$2,weekly_missions!$2:$2,0)-MATCH(D$2,weekly_missions!$2:$2,0)+1),MATCH(F$2,weekly_missions!$2:$2,0)-MATCH(D$2,weekly_missions!$2:$2,0)+1,FALSE)</f>
        <v>メガ生命の果実 x 1</v>
      </c>
      <c r="G77" s="53">
        <v>100</v>
      </c>
      <c r="H77" s="1" t="s">
        <v>1152</v>
      </c>
    </row>
    <row r="78" spans="1:12" ht="21" customHeight="1" x14ac:dyDescent="0.15">
      <c r="A78" s="50" t="str">
        <f>B78&amp;"_"&amp;D78</f>
        <v>10_41153</v>
      </c>
      <c r="B78" s="48">
        <v>10</v>
      </c>
      <c r="C78" s="158"/>
      <c r="D78" s="77">
        <v>41153</v>
      </c>
      <c r="E78" s="31" t="str">
        <f ca="1">VLOOKUP(D78,OFFSET(weekly_missions!$A$2,0,0,COUNTA(weekly_missions!$A:$A),MATCH(E$2,weekly_missions!$2:$2,0)-MATCH(D$2,weekly_missions!$2:$2,0)+1),MATCH(E$2,weekly_missions!$2:$2,0)-MATCH(D$2,weekly_missions!$2:$2,0)+1,FALSE)</f>
        <v>クエストを通算 15 回クリアしよう！</v>
      </c>
      <c r="F78" s="31" t="str">
        <f ca="1">VLOOKUP(D78,OFFSET(weekly_missions!$A$2,0,0,COUNTA(weekly_missions!$A:$A),MATCH(F$2,weekly_missions!$2:$2,0)-MATCH(D$2,weekly_missions!$2:$2,0)+1),MATCH(F$2,weekly_missions!$2:$2,0)-MATCH(D$2,weekly_missions!$2:$2,0)+1,FALSE)</f>
        <v>雷のメタルダック x 1</v>
      </c>
      <c r="G78" s="53">
        <v>150</v>
      </c>
      <c r="H78" s="1" t="s">
        <v>1153</v>
      </c>
      <c r="J78" s="1" t="s">
        <v>1226</v>
      </c>
      <c r="K78" s="1" t="s">
        <v>1226</v>
      </c>
      <c r="L78" s="1" t="s">
        <v>1229</v>
      </c>
    </row>
    <row r="79" spans="1:12" ht="21" customHeight="1" x14ac:dyDescent="0.15">
      <c r="A79" s="50" t="str">
        <f>B79&amp;"_"&amp;D79</f>
        <v>10_41202</v>
      </c>
      <c r="B79" s="48">
        <v>10</v>
      </c>
      <c r="C79" s="158"/>
      <c r="D79" s="93">
        <v>41202</v>
      </c>
      <c r="E79" s="31" t="str">
        <f ca="1">VLOOKUP(D79,OFFSET(weekly_missions!$A$2,0,0,COUNTA(weekly_missions!$A:$A),MATCH(E$2,weekly_missions!$2:$2,0)-MATCH(D$2,weekly_missions!$2:$2,0)+1),MATCH(E$2,weekly_missions!$2:$2,0)-MATCH(D$2,weekly_missions!$2:$2,0)+1,FALSE)</f>
        <v>クエストを通算 20 回クリアしよう！</v>
      </c>
      <c r="F79" s="31" t="str">
        <f ca="1">VLOOKUP(D79,OFFSET(weekly_missions!$A$2,0,0,COUNTA(weekly_missions!$A:$A),MATCH(F$2,weekly_missions!$2:$2,0)-MATCH(D$2,weekly_missions!$2:$2,0)+1),MATCH(F$2,weekly_missions!$2:$2,0)-MATCH(D$2,weekly_missions!$2:$2,0)+1,FALSE)</f>
        <v>メガ癒しの果実 x 1</v>
      </c>
      <c r="G79" s="53">
        <v>200</v>
      </c>
      <c r="H79" s="1" t="s">
        <v>1154</v>
      </c>
    </row>
    <row r="80" spans="1:12" ht="21" customHeight="1" x14ac:dyDescent="0.15">
      <c r="A80" s="50" t="str">
        <f>B80&amp;"_"&amp;D80</f>
        <v>10_41300</v>
      </c>
      <c r="B80" s="48">
        <v>10</v>
      </c>
      <c r="C80" s="158"/>
      <c r="D80" s="94">
        <v>41300</v>
      </c>
      <c r="E80" s="31" t="str">
        <f ca="1">VLOOKUP(D80,OFFSET(weekly_missions!$A$2,0,0,COUNTA(weekly_missions!$A:$A),MATCH(E$2,weekly_missions!$2:$2,0)-MATCH(D$2,weekly_missions!$2:$2,0)+1),MATCH(E$2,weekly_missions!$2:$2,0)-MATCH(D$2,weekly_missions!$2:$2,0)+1,FALSE)</f>
        <v>クエストを通算 30 回クリアしよう！</v>
      </c>
      <c r="F80" s="31" t="str">
        <f ca="1">VLOOKUP(D80,OFFSET(weekly_missions!$A$2,0,0,COUNTA(weekly_missions!$A:$A),MATCH(F$2,weekly_missions!$2:$2,0)-MATCH(D$2,weekly_missions!$2:$2,0)+1),MATCH(F$2,weekly_missions!$2:$2,0)-MATCH(D$2,weekly_missions!$2:$2,0)+1,FALSE)</f>
        <v>秘術の果実 x 1</v>
      </c>
      <c r="G80" s="53">
        <v>300</v>
      </c>
      <c r="H80" s="1" t="s">
        <v>1155</v>
      </c>
    </row>
    <row r="81" spans="1:11" ht="21" customHeight="1" x14ac:dyDescent="0.15">
      <c r="A81" s="50" t="str">
        <f t="shared" ref="A81:A83" si="15">B81&amp;"_"&amp;D81</f>
        <v>10_42031</v>
      </c>
      <c r="B81" s="48">
        <v>10</v>
      </c>
      <c r="C81" s="158"/>
      <c r="D81" s="93">
        <v>42031</v>
      </c>
      <c r="E81" s="31" t="str">
        <f ca="1">VLOOKUP(D81,OFFSET(weekly_missions!$A$2,0,0,COUNTA(weekly_missions!$A:$A),MATCH(E$2,weekly_missions!$2:$2,0)-MATCH(D$2,weekly_missions!$2:$2,0)+1),MATCH(E$2,weekly_missions!$2:$2,0)-MATCH(D$2,weekly_missions!$2:$2,0)+1,FALSE)</f>
        <v>マルチプレイを 3 回プレイしよう！</v>
      </c>
      <c r="F81" s="31" t="str">
        <f ca="1">VLOOKUP(D81,OFFSET(weekly_missions!$A$2,0,0,COUNTA(weekly_missions!$A:$A),MATCH(F$2,weekly_missions!$2:$2,0)-MATCH(D$2,weekly_missions!$2:$2,0)+1),MATCH(F$2,weekly_missions!$2:$2,0)-MATCH(D$2,weekly_missions!$2:$2,0)+1,FALSE)</f>
        <v>メガ生命の果実 x 1</v>
      </c>
      <c r="G81" s="53">
        <v>31</v>
      </c>
      <c r="H81" s="1" t="s">
        <v>1156</v>
      </c>
    </row>
    <row r="82" spans="1:11" ht="21" customHeight="1" x14ac:dyDescent="0.15">
      <c r="A82" s="50" t="str">
        <f t="shared" si="15"/>
        <v>10_42050</v>
      </c>
      <c r="B82" s="48">
        <v>10</v>
      </c>
      <c r="C82" s="158"/>
      <c r="D82" s="77">
        <v>42050</v>
      </c>
      <c r="E82" s="31" t="str">
        <f ca="1">VLOOKUP(D82,OFFSET(weekly_missions!$A$2,0,0,COUNTA(weekly_missions!$A:$A),MATCH(E$2,weekly_missions!$2:$2,0)-MATCH(D$2,weekly_missions!$2:$2,0)+1),MATCH(E$2,weekly_missions!$2:$2,0)-MATCH(D$2,weekly_missions!$2:$2,0)+1,FALSE)</f>
        <v>マルチプレイを 5 回プレイしよう！</v>
      </c>
      <c r="F82" s="31" t="str">
        <f ca="1">VLOOKUP(D82,OFFSET(weekly_missions!$A$2,0,0,COUNTA(weekly_missions!$A:$A),MATCH(F$2,weekly_missions!$2:$2,0)-MATCH(D$2,weekly_missions!$2:$2,0)+1),MATCH(F$2,weekly_missions!$2:$2,0)-MATCH(D$2,weekly_missions!$2:$2,0)+1,FALSE)</f>
        <v>炎のメタルダック x 1</v>
      </c>
      <c r="G82" s="53">
        <v>51</v>
      </c>
      <c r="H82" s="1" t="s">
        <v>1157</v>
      </c>
      <c r="I82" s="1" t="s">
        <v>1233</v>
      </c>
      <c r="J82" s="1" t="s">
        <v>1226</v>
      </c>
      <c r="K82" s="1" t="s">
        <v>1230</v>
      </c>
    </row>
    <row r="83" spans="1:11" ht="21" customHeight="1" x14ac:dyDescent="0.15">
      <c r="A83" s="50" t="str">
        <f t="shared" si="15"/>
        <v>10_42102</v>
      </c>
      <c r="B83" s="48">
        <v>10</v>
      </c>
      <c r="C83" s="158"/>
      <c r="D83" s="93">
        <v>42102</v>
      </c>
      <c r="E83" s="31" t="str">
        <f ca="1">VLOOKUP(D83,OFFSET(weekly_missions!$A$2,0,0,COUNTA(weekly_missions!$A:$A),MATCH(E$2,weekly_missions!$2:$2,0)-MATCH(D$2,weekly_missions!$2:$2,0)+1),MATCH(E$2,weekly_missions!$2:$2,0)-MATCH(D$2,weekly_missions!$2:$2,0)+1,FALSE)</f>
        <v>マルチプレイを 10 回プレイしよう！</v>
      </c>
      <c r="F83" s="31" t="str">
        <f ca="1">VLOOKUP(D83,OFFSET(weekly_missions!$A$2,0,0,COUNTA(weekly_missions!$A:$A),MATCH(F$2,weekly_missions!$2:$2,0)-MATCH(D$2,weekly_missions!$2:$2,0)+1),MATCH(F$2,weekly_missions!$2:$2,0)-MATCH(D$2,weekly_missions!$2:$2,0)+1,FALSE)</f>
        <v>メガ癒しの果実 x 1</v>
      </c>
      <c r="G83" s="53">
        <v>101</v>
      </c>
      <c r="H83" s="1" t="s">
        <v>1158</v>
      </c>
    </row>
    <row r="84" spans="1:11" ht="21" customHeight="1" x14ac:dyDescent="0.15">
      <c r="A84" s="50" t="str">
        <f>B84&amp;"_"&amp;D84</f>
        <v>10_42151</v>
      </c>
      <c r="B84" s="48">
        <v>10</v>
      </c>
      <c r="C84" s="158"/>
      <c r="D84" s="77">
        <v>42151</v>
      </c>
      <c r="E84" s="31" t="str">
        <f ca="1">VLOOKUP(D84,OFFSET(weekly_missions!$A$2,0,0,COUNTA(weekly_missions!$A:$A),MATCH(E$2,weekly_missions!$2:$2,0)-MATCH(D$2,weekly_missions!$2:$2,0)+1),MATCH(E$2,weekly_missions!$2:$2,0)-MATCH(D$2,weekly_missions!$2:$2,0)+1,FALSE)</f>
        <v>マルチプレイを 15 回プレイしよう！</v>
      </c>
      <c r="F84" s="31" t="str">
        <f ca="1">VLOOKUP(D84,OFFSET(weekly_missions!$A$2,0,0,COUNTA(weekly_missions!$A:$A),MATCH(F$2,weekly_missions!$2:$2,0)-MATCH(D$2,weekly_missions!$2:$2,0)+1),MATCH(F$2,weekly_missions!$2:$2,0)-MATCH(D$2,weekly_missions!$2:$2,0)+1,FALSE)</f>
        <v>森のメタルダック x 1</v>
      </c>
      <c r="G84" s="53">
        <v>151</v>
      </c>
      <c r="H84" s="1" t="s">
        <v>1159</v>
      </c>
      <c r="I84" s="1" t="s">
        <v>1231</v>
      </c>
      <c r="J84" s="1" t="s">
        <v>1229</v>
      </c>
      <c r="K84" s="1" t="s">
        <v>1226</v>
      </c>
    </row>
    <row r="85" spans="1:11" ht="21" customHeight="1" x14ac:dyDescent="0.15">
      <c r="A85" s="50" t="str">
        <f>B85&amp;"_"&amp;D85</f>
        <v>10_42200</v>
      </c>
      <c r="B85" s="48">
        <v>10</v>
      </c>
      <c r="C85" s="158"/>
      <c r="D85" s="93">
        <v>42200</v>
      </c>
      <c r="E85" s="31" t="str">
        <f ca="1">VLOOKUP(D85,OFFSET(weekly_missions!$A$2,0,0,COUNTA(weekly_missions!$A:$A),MATCH(E$2,weekly_missions!$2:$2,0)-MATCH(D$2,weekly_missions!$2:$2,0)+1),MATCH(E$2,weekly_missions!$2:$2,0)-MATCH(D$2,weekly_missions!$2:$2,0)+1,FALSE)</f>
        <v>マルチプレイを 20 回プレイしよう！</v>
      </c>
      <c r="F85" s="31" t="str">
        <f ca="1">VLOOKUP(D85,OFFSET(weekly_missions!$A$2,0,0,COUNTA(weekly_missions!$A:$A),MATCH(F$2,weekly_missions!$2:$2,0)-MATCH(D$2,weekly_missions!$2:$2,0)+1),MATCH(F$2,weekly_missions!$2:$2,0)-MATCH(D$2,weekly_missions!$2:$2,0)+1,FALSE)</f>
        <v>メガ攻めの果実 x 1</v>
      </c>
      <c r="G85" s="53">
        <v>202</v>
      </c>
      <c r="H85" s="1" t="s">
        <v>1160</v>
      </c>
    </row>
    <row r="86" spans="1:11" ht="21" customHeight="1" x14ac:dyDescent="0.15">
      <c r="A86" s="50" t="str">
        <f>B86&amp;"_"&amp;D86</f>
        <v>10_42300</v>
      </c>
      <c r="B86" s="48">
        <v>10</v>
      </c>
      <c r="C86" s="158"/>
      <c r="D86" s="94">
        <v>42300</v>
      </c>
      <c r="E86" s="31" t="str">
        <f ca="1">VLOOKUP(D86,OFFSET(weekly_missions!$A$2,0,0,COUNTA(weekly_missions!$A:$A),MATCH(E$2,weekly_missions!$2:$2,0)-MATCH(D$2,weekly_missions!$2:$2,0)+1),MATCH(E$2,weekly_missions!$2:$2,0)-MATCH(D$2,weekly_missions!$2:$2,0)+1,FALSE)</f>
        <v>マルチプレイを 30 回プレイしよう！</v>
      </c>
      <c r="F86" s="31" t="str">
        <f ca="1">VLOOKUP(D86,OFFSET(weekly_missions!$A$2,0,0,COUNTA(weekly_missions!$A:$A),MATCH(F$2,weekly_missions!$2:$2,0)-MATCH(D$2,weekly_missions!$2:$2,0)+1),MATCH(F$2,weekly_missions!$2:$2,0)-MATCH(D$2,weekly_missions!$2:$2,0)+1,FALSE)</f>
        <v>ポリゴン x 1</v>
      </c>
      <c r="G86" s="53">
        <v>301</v>
      </c>
      <c r="H86" s="1" t="s">
        <v>1161</v>
      </c>
    </row>
    <row r="87" spans="1:11" ht="21" customHeight="1" x14ac:dyDescent="0.15">
      <c r="A87" s="50" t="str">
        <f>B87&amp;"_"&amp;D87</f>
        <v>10_43000</v>
      </c>
      <c r="B87" s="48">
        <v>10</v>
      </c>
      <c r="C87" s="158"/>
      <c r="D87" s="94">
        <v>43000</v>
      </c>
      <c r="E87" s="31" t="str">
        <f ca="1">VLOOKUP(D87,OFFSET(weekly_missions!$A$2,0,0,COUNTA(weekly_missions!$A:$A),MATCH(E$2,weekly_missions!$2:$2,0)-MATCH(D$2,weekly_missions!$2:$2,0)+1),MATCH(E$2,weekly_missions!$2:$2,0)-MATCH(D$2,weekly_missions!$2:$2,0)+1,FALSE)</f>
        <v>ゲリラクエスト：メタルダックを捕獲せよ！ 【上級】 をクリアしよう！</v>
      </c>
      <c r="F87" s="31" t="str">
        <f ca="1">VLOOKUP(D87,OFFSET(weekly_missions!$A$2,0,0,COUNTA(weekly_missions!$A:$A),MATCH(F$2,weekly_missions!$2:$2,0)-MATCH(D$2,weekly_missions!$2:$2,0)+1),MATCH(F$2,weekly_missions!$2:$2,0)-MATCH(D$2,weekly_missions!$2:$2,0)+1,FALSE)</f>
        <v>ビット x 60000</v>
      </c>
      <c r="G87" s="53">
        <v>2</v>
      </c>
      <c r="H87" s="1" t="s">
        <v>1162</v>
      </c>
    </row>
    <row r="88" spans="1:11" ht="21" customHeight="1" x14ac:dyDescent="0.15">
      <c r="A88" s="50" t="str">
        <f>B88&amp;"_"&amp;D88</f>
        <v>10_43001</v>
      </c>
      <c r="B88" s="48">
        <v>10</v>
      </c>
      <c r="C88" s="159"/>
      <c r="D88" s="94">
        <v>43001</v>
      </c>
      <c r="E88" s="31" t="str">
        <f ca="1">VLOOKUP(D88,OFFSET(weekly_missions!$A$2,0,0,COUNTA(weekly_missions!$A:$A),MATCH(E$2,weekly_missions!$2:$2,0)-MATCH(D$2,weekly_missions!$2:$2,0)+1),MATCH(E$2,weekly_missions!$2:$2,0)-MATCH(D$2,weekly_missions!$2:$2,0)+1,FALSE)</f>
        <v>土日限定クエスト：【上級】ゴールドカジノ をクリアしよう！</v>
      </c>
      <c r="F88" s="31" t="str">
        <f ca="1">VLOOKUP(D88,OFFSET(weekly_missions!$A$2,0,0,COUNTA(weekly_missions!$A:$A),MATCH(F$2,weekly_missions!$2:$2,0)-MATCH(D$2,weekly_missions!$2:$2,0)+1),MATCH(F$2,weekly_missions!$2:$2,0)-MATCH(D$2,weekly_missions!$2:$2,0)+1,FALSE)</f>
        <v>リンク x 300</v>
      </c>
      <c r="G88" s="53">
        <v>1</v>
      </c>
      <c r="H88" s="1" t="s">
        <v>1163</v>
      </c>
    </row>
    <row r="89" spans="1:11" ht="21" customHeight="1" x14ac:dyDescent="0.15">
      <c r="A89" s="50" t="str">
        <f t="shared" ref="A89:A94" si="16">B89&amp;"_"&amp;D89</f>
        <v>11_40030</v>
      </c>
      <c r="B89" s="48">
        <v>11</v>
      </c>
      <c r="C89" s="157" t="s">
        <v>1221</v>
      </c>
      <c r="D89" s="94">
        <v>40030</v>
      </c>
      <c r="E89" s="31" t="str">
        <f ca="1">VLOOKUP(D89,OFFSET(weekly_missions!$A$2,0,0,COUNTA(weekly_missions!$A:$A),MATCH(E$2,weekly_missions!$2:$2,0)-MATCH(D$2,weekly_missions!$2:$2,0)+1),MATCH(E$2,weekly_missions!$2:$2,0)-MATCH(D$2,weekly_missions!$2:$2,0)+1,FALSE)</f>
        <v>通算 3 日ログインしよう！</v>
      </c>
      <c r="F89" s="31" t="str">
        <f ca="1">VLOOKUP(D89,OFFSET(weekly_missions!$A$2,0,0,COUNTA(weekly_missions!$A:$A),MATCH(F$2,weekly_missions!$2:$2,0)-MATCH(D$2,weekly_missions!$2:$2,0)+1),MATCH(F$2,weekly_missions!$2:$2,0)-MATCH(D$2,weekly_missions!$2:$2,0)+1,FALSE)</f>
        <v>ビット x 30000</v>
      </c>
      <c r="G89" s="53">
        <v>1000</v>
      </c>
      <c r="H89" s="1" t="s">
        <v>1147</v>
      </c>
    </row>
    <row r="90" spans="1:11" ht="21" customHeight="1" x14ac:dyDescent="0.15">
      <c r="A90" s="50" t="str">
        <f t="shared" si="16"/>
        <v>11_40050</v>
      </c>
      <c r="B90" s="48">
        <v>11</v>
      </c>
      <c r="C90" s="158"/>
      <c r="D90" s="94">
        <v>40050</v>
      </c>
      <c r="E90" s="31" t="str">
        <f ca="1">VLOOKUP(D90,OFFSET(weekly_missions!$A$2,0,0,COUNTA(weekly_missions!$A:$A),MATCH(E$2,weekly_missions!$2:$2,0)-MATCH(D$2,weekly_missions!$2:$2,0)+1),MATCH(E$2,weekly_missions!$2:$2,0)-MATCH(D$2,weekly_missions!$2:$2,0)+1,FALSE)</f>
        <v>通算 5 日ログインしよう！</v>
      </c>
      <c r="F90" s="31" t="str">
        <f ca="1">VLOOKUP(D90,OFFSET(weekly_missions!$A$2,0,0,COUNTA(weekly_missions!$A:$A),MATCH(F$2,weekly_missions!$2:$2,0)-MATCH(D$2,weekly_missions!$2:$2,0)+1),MATCH(F$2,weekly_missions!$2:$2,0)-MATCH(D$2,weekly_missions!$2:$2,0)+1,FALSE)</f>
        <v>リンク x 500</v>
      </c>
      <c r="G90" s="53">
        <v>1001</v>
      </c>
      <c r="H90" s="1" t="s">
        <v>1148</v>
      </c>
    </row>
    <row r="91" spans="1:11" ht="21" customHeight="1" x14ac:dyDescent="0.15">
      <c r="A91" s="50" t="str">
        <f t="shared" si="16"/>
        <v>11_40070</v>
      </c>
      <c r="B91" s="48">
        <v>11</v>
      </c>
      <c r="C91" s="158"/>
      <c r="D91" s="94">
        <v>40070</v>
      </c>
      <c r="E91" s="31" t="str">
        <f ca="1">VLOOKUP(D91,OFFSET(weekly_missions!$A$2,0,0,COUNTA(weekly_missions!$A:$A),MATCH(E$2,weekly_missions!$2:$2,0)-MATCH(D$2,weekly_missions!$2:$2,0)+1),MATCH(E$2,weekly_missions!$2:$2,0)-MATCH(D$2,weekly_missions!$2:$2,0)+1,FALSE)</f>
        <v>通算 7 日ログインしよう！</v>
      </c>
      <c r="F91" s="31" t="str">
        <f ca="1">VLOOKUP(D91,OFFSET(weekly_missions!$A$2,0,0,COUNTA(weekly_missions!$A:$A),MATCH(F$2,weekly_missions!$2:$2,0)-MATCH(D$2,weekly_missions!$2:$2,0)+1),MATCH(F$2,weekly_missions!$2:$2,0)-MATCH(D$2,weekly_missions!$2:$2,0)+1,FALSE)</f>
        <v>ポリゴン x 1</v>
      </c>
      <c r="G91" s="53">
        <v>1002</v>
      </c>
      <c r="H91" s="1" t="s">
        <v>1149</v>
      </c>
    </row>
    <row r="92" spans="1:11" ht="21" customHeight="1" x14ac:dyDescent="0.15">
      <c r="A92" s="50" t="str">
        <f t="shared" si="16"/>
        <v>11_41031</v>
      </c>
      <c r="B92" s="48">
        <v>11</v>
      </c>
      <c r="C92" s="158"/>
      <c r="D92" s="93">
        <v>41031</v>
      </c>
      <c r="E92" s="31" t="str">
        <f ca="1">VLOOKUP(D92,OFFSET(weekly_missions!$A$2,0,0,COUNTA(weekly_missions!$A:$A),MATCH(E$2,weekly_missions!$2:$2,0)-MATCH(D$2,weekly_missions!$2:$2,0)+1),MATCH(E$2,weekly_missions!$2:$2,0)-MATCH(D$2,weekly_missions!$2:$2,0)+1,FALSE)</f>
        <v>クエストを通算 3 回クリアしよう！</v>
      </c>
      <c r="F92" s="31" t="str">
        <f ca="1">VLOOKUP(D92,OFFSET(weekly_missions!$A$2,0,0,COUNTA(weekly_missions!$A:$A),MATCH(F$2,weekly_missions!$2:$2,0)-MATCH(D$2,weekly_missions!$2:$2,0)+1),MATCH(F$2,weekly_missions!$2:$2,0)-MATCH(D$2,weekly_missions!$2:$2,0)+1,FALSE)</f>
        <v>メガ生命の果実 x 1</v>
      </c>
      <c r="G92" s="53">
        <v>30</v>
      </c>
      <c r="H92" s="1" t="s">
        <v>1150</v>
      </c>
    </row>
    <row r="93" spans="1:11" ht="21" customHeight="1" x14ac:dyDescent="0.15">
      <c r="A93" s="50" t="str">
        <f t="shared" si="16"/>
        <v>11_41050</v>
      </c>
      <c r="B93" s="48">
        <v>11</v>
      </c>
      <c r="C93" s="158"/>
      <c r="D93" s="77">
        <v>41050</v>
      </c>
      <c r="E93" s="31" t="str">
        <f ca="1">VLOOKUP(D93,OFFSET(weekly_missions!$A$2,0,0,COUNTA(weekly_missions!$A:$A),MATCH(E$2,weekly_missions!$2:$2,0)-MATCH(D$2,weekly_missions!$2:$2,0)+1),MATCH(E$2,weekly_missions!$2:$2,0)-MATCH(D$2,weekly_missions!$2:$2,0)+1,FALSE)</f>
        <v>クエストを通算 5 回クリアしよう！</v>
      </c>
      <c r="F93" s="31" t="str">
        <f ca="1">VLOOKUP(D93,OFFSET(weekly_missions!$A$2,0,0,COUNTA(weekly_missions!$A:$A),MATCH(F$2,weekly_missions!$2:$2,0)-MATCH(D$2,weekly_missions!$2:$2,0)+1),MATCH(F$2,weekly_missions!$2:$2,0)-MATCH(D$2,weekly_missions!$2:$2,0)+1,FALSE)</f>
        <v>炎のメタルダック x 1</v>
      </c>
      <c r="G93" s="53">
        <v>50</v>
      </c>
      <c r="H93" s="1" t="s">
        <v>1151</v>
      </c>
      <c r="I93" s="1" t="s">
        <v>1238</v>
      </c>
      <c r="J93" s="1" t="s">
        <v>1234</v>
      </c>
      <c r="K93" s="1" t="s">
        <v>1226</v>
      </c>
    </row>
    <row r="94" spans="1:11" ht="21" customHeight="1" x14ac:dyDescent="0.15">
      <c r="A94" s="50" t="str">
        <f t="shared" si="16"/>
        <v>11_41102</v>
      </c>
      <c r="B94" s="48">
        <v>11</v>
      </c>
      <c r="C94" s="158"/>
      <c r="D94" s="93">
        <v>41102</v>
      </c>
      <c r="E94" s="31" t="str">
        <f ca="1">VLOOKUP(D94,OFFSET(weekly_missions!$A$2,0,0,COUNTA(weekly_missions!$A:$A),MATCH(E$2,weekly_missions!$2:$2,0)-MATCH(D$2,weekly_missions!$2:$2,0)+1),MATCH(E$2,weekly_missions!$2:$2,0)-MATCH(D$2,weekly_missions!$2:$2,0)+1,FALSE)</f>
        <v>クエストを通算 10 回クリアしよう！</v>
      </c>
      <c r="F94" s="31" t="str">
        <f ca="1">VLOOKUP(D94,OFFSET(weekly_missions!$A$2,0,0,COUNTA(weekly_missions!$A:$A),MATCH(F$2,weekly_missions!$2:$2,0)-MATCH(D$2,weekly_missions!$2:$2,0)+1),MATCH(F$2,weekly_missions!$2:$2,0)-MATCH(D$2,weekly_missions!$2:$2,0)+1,FALSE)</f>
        <v>メガ癒しの果実 x 1</v>
      </c>
      <c r="G94" s="53">
        <v>100</v>
      </c>
      <c r="H94" s="1" t="s">
        <v>1152</v>
      </c>
    </row>
    <row r="95" spans="1:11" ht="21" customHeight="1" x14ac:dyDescent="0.15">
      <c r="A95" s="50" t="str">
        <f>B95&amp;"_"&amp;D95</f>
        <v>11_41151</v>
      </c>
      <c r="B95" s="48">
        <v>11</v>
      </c>
      <c r="C95" s="158"/>
      <c r="D95" s="77">
        <v>41151</v>
      </c>
      <c r="E95" s="31" t="str">
        <f ca="1">VLOOKUP(D95,OFFSET(weekly_missions!$A$2,0,0,COUNTA(weekly_missions!$A:$A),MATCH(E$2,weekly_missions!$2:$2,0)-MATCH(D$2,weekly_missions!$2:$2,0)+1),MATCH(E$2,weekly_missions!$2:$2,0)-MATCH(D$2,weekly_missions!$2:$2,0)+1,FALSE)</f>
        <v>クエストを通算 15 回クリアしよう！</v>
      </c>
      <c r="F95" s="31" t="str">
        <f ca="1">VLOOKUP(D95,OFFSET(weekly_missions!$A$2,0,0,COUNTA(weekly_missions!$A:$A),MATCH(F$2,weekly_missions!$2:$2,0)-MATCH(D$2,weekly_missions!$2:$2,0)+1),MATCH(F$2,weekly_missions!$2:$2,0)-MATCH(D$2,weekly_missions!$2:$2,0)+1,FALSE)</f>
        <v>森のメタルダック x 1</v>
      </c>
      <c r="G95" s="53">
        <v>150</v>
      </c>
      <c r="H95" s="1" t="s">
        <v>1153</v>
      </c>
      <c r="I95" s="1" t="s">
        <v>1226</v>
      </c>
      <c r="J95" s="1" t="s">
        <v>1237</v>
      </c>
      <c r="K95" s="1" t="s">
        <v>1226</v>
      </c>
    </row>
    <row r="96" spans="1:11" ht="21" customHeight="1" x14ac:dyDescent="0.15">
      <c r="A96" s="50" t="str">
        <f>B96&amp;"_"&amp;D96</f>
        <v>11_41200</v>
      </c>
      <c r="B96" s="48">
        <v>11</v>
      </c>
      <c r="C96" s="158"/>
      <c r="D96" s="93">
        <v>41200</v>
      </c>
      <c r="E96" s="31" t="str">
        <f ca="1">VLOOKUP(D96,OFFSET(weekly_missions!$A$2,0,0,COUNTA(weekly_missions!$A:$A),MATCH(E$2,weekly_missions!$2:$2,0)-MATCH(D$2,weekly_missions!$2:$2,0)+1),MATCH(E$2,weekly_missions!$2:$2,0)-MATCH(D$2,weekly_missions!$2:$2,0)+1,FALSE)</f>
        <v>クエストを通算 20 回クリアしよう！</v>
      </c>
      <c r="F96" s="31" t="str">
        <f ca="1">VLOOKUP(D96,OFFSET(weekly_missions!$A$2,0,0,COUNTA(weekly_missions!$A:$A),MATCH(F$2,weekly_missions!$2:$2,0)-MATCH(D$2,weekly_missions!$2:$2,0)+1),MATCH(F$2,weekly_missions!$2:$2,0)-MATCH(D$2,weekly_missions!$2:$2,0)+1,FALSE)</f>
        <v>メガ攻めの果実 x 1</v>
      </c>
      <c r="G96" s="53">
        <v>200</v>
      </c>
      <c r="H96" s="1" t="s">
        <v>1154</v>
      </c>
    </row>
    <row r="97" spans="1:12" ht="21" customHeight="1" x14ac:dyDescent="0.15">
      <c r="A97" s="50" t="str">
        <f>B97&amp;"_"&amp;D97</f>
        <v>11_41300</v>
      </c>
      <c r="B97" s="48">
        <v>11</v>
      </c>
      <c r="C97" s="158"/>
      <c r="D97" s="94">
        <v>41300</v>
      </c>
      <c r="E97" s="31" t="str">
        <f ca="1">VLOOKUP(D97,OFFSET(weekly_missions!$A$2,0,0,COUNTA(weekly_missions!$A:$A),MATCH(E$2,weekly_missions!$2:$2,0)-MATCH(D$2,weekly_missions!$2:$2,0)+1),MATCH(E$2,weekly_missions!$2:$2,0)-MATCH(D$2,weekly_missions!$2:$2,0)+1,FALSE)</f>
        <v>クエストを通算 30 回クリアしよう！</v>
      </c>
      <c r="F97" s="31" t="str">
        <f ca="1">VLOOKUP(D97,OFFSET(weekly_missions!$A$2,0,0,COUNTA(weekly_missions!$A:$A),MATCH(F$2,weekly_missions!$2:$2,0)-MATCH(D$2,weekly_missions!$2:$2,0)+1),MATCH(F$2,weekly_missions!$2:$2,0)-MATCH(D$2,weekly_missions!$2:$2,0)+1,FALSE)</f>
        <v>秘術の果実 x 1</v>
      </c>
      <c r="G97" s="53">
        <v>300</v>
      </c>
      <c r="H97" s="1" t="s">
        <v>1155</v>
      </c>
    </row>
    <row r="98" spans="1:12" ht="21" customHeight="1" x14ac:dyDescent="0.15">
      <c r="A98" s="50" t="str">
        <f t="shared" ref="A98:A100" si="17">B98&amp;"_"&amp;D98</f>
        <v>11_42032</v>
      </c>
      <c r="B98" s="48">
        <v>11</v>
      </c>
      <c r="C98" s="158"/>
      <c r="D98" s="93">
        <v>42032</v>
      </c>
      <c r="E98" s="31" t="str">
        <f ca="1">VLOOKUP(D98,OFFSET(weekly_missions!$A$2,0,0,COUNTA(weekly_missions!$A:$A),MATCH(E$2,weekly_missions!$2:$2,0)-MATCH(D$2,weekly_missions!$2:$2,0)+1),MATCH(E$2,weekly_missions!$2:$2,0)-MATCH(D$2,weekly_missions!$2:$2,0)+1,FALSE)</f>
        <v>マルチプレイを 3 回プレイしよう！</v>
      </c>
      <c r="F98" s="31" t="str">
        <f ca="1">VLOOKUP(D98,OFFSET(weekly_missions!$A$2,0,0,COUNTA(weekly_missions!$A:$A),MATCH(F$2,weekly_missions!$2:$2,0)-MATCH(D$2,weekly_missions!$2:$2,0)+1),MATCH(F$2,weekly_missions!$2:$2,0)-MATCH(D$2,weekly_missions!$2:$2,0)+1,FALSE)</f>
        <v>メガ癒しの果実 x 1</v>
      </c>
      <c r="G98" s="53">
        <v>31</v>
      </c>
      <c r="H98" s="1" t="s">
        <v>1156</v>
      </c>
    </row>
    <row r="99" spans="1:12" ht="21" customHeight="1" x14ac:dyDescent="0.15">
      <c r="A99" s="50" t="str">
        <f t="shared" si="17"/>
        <v>11_42053</v>
      </c>
      <c r="B99" s="48">
        <v>11</v>
      </c>
      <c r="C99" s="158"/>
      <c r="D99" s="77">
        <v>42053</v>
      </c>
      <c r="E99" s="31" t="str">
        <f ca="1">VLOOKUP(D99,OFFSET(weekly_missions!$A$2,0,0,COUNTA(weekly_missions!$A:$A),MATCH(E$2,weekly_missions!$2:$2,0)-MATCH(D$2,weekly_missions!$2:$2,0)+1),MATCH(E$2,weekly_missions!$2:$2,0)-MATCH(D$2,weekly_missions!$2:$2,0)+1,FALSE)</f>
        <v>マルチプレイを 5 回プレイしよう！</v>
      </c>
      <c r="F99" s="31" t="str">
        <f ca="1">VLOOKUP(D99,OFFSET(weekly_missions!$A$2,0,0,COUNTA(weekly_missions!$A:$A),MATCH(F$2,weekly_missions!$2:$2,0)-MATCH(D$2,weekly_missions!$2:$2,0)+1),MATCH(F$2,weekly_missions!$2:$2,0)-MATCH(D$2,weekly_missions!$2:$2,0)+1,FALSE)</f>
        <v>雷のメタルダック x 1</v>
      </c>
      <c r="G99" s="53">
        <v>51</v>
      </c>
      <c r="H99" s="1" t="s">
        <v>1157</v>
      </c>
      <c r="I99" s="1" t="s">
        <v>1235</v>
      </c>
      <c r="K99" s="1" t="s">
        <v>1230</v>
      </c>
      <c r="L99" s="1" t="s">
        <v>1229</v>
      </c>
    </row>
    <row r="100" spans="1:12" ht="21" customHeight="1" x14ac:dyDescent="0.15">
      <c r="A100" s="50" t="str">
        <f t="shared" si="17"/>
        <v>11_42100</v>
      </c>
      <c r="B100" s="48">
        <v>11</v>
      </c>
      <c r="C100" s="158"/>
      <c r="D100" s="93">
        <v>42100</v>
      </c>
      <c r="E100" s="31" t="str">
        <f ca="1">VLOOKUP(D100,OFFSET(weekly_missions!$A$2,0,0,COUNTA(weekly_missions!$A:$A),MATCH(E$2,weekly_missions!$2:$2,0)-MATCH(D$2,weekly_missions!$2:$2,0)+1),MATCH(E$2,weekly_missions!$2:$2,0)-MATCH(D$2,weekly_missions!$2:$2,0)+1,FALSE)</f>
        <v>マルチプレイを 10 回プレイしよう！</v>
      </c>
      <c r="F100" s="31" t="str">
        <f ca="1">VLOOKUP(D100,OFFSET(weekly_missions!$A$2,0,0,COUNTA(weekly_missions!$A:$A),MATCH(F$2,weekly_missions!$2:$2,0)-MATCH(D$2,weekly_missions!$2:$2,0)+1),MATCH(F$2,weekly_missions!$2:$2,0)-MATCH(D$2,weekly_missions!$2:$2,0)+1,FALSE)</f>
        <v>メガ攻めの果実 x 1</v>
      </c>
      <c r="G100" s="53">
        <v>101</v>
      </c>
      <c r="H100" s="1" t="s">
        <v>1158</v>
      </c>
    </row>
    <row r="101" spans="1:12" ht="21" customHeight="1" x14ac:dyDescent="0.15">
      <c r="A101" s="50" t="str">
        <f>B101&amp;"_"&amp;D101</f>
        <v>11_42152</v>
      </c>
      <c r="B101" s="48">
        <v>11</v>
      </c>
      <c r="C101" s="158"/>
      <c r="D101" s="77">
        <v>42152</v>
      </c>
      <c r="E101" s="31" t="str">
        <f ca="1">VLOOKUP(D101,OFFSET(weekly_missions!$A$2,0,0,COUNTA(weekly_missions!$A:$A),MATCH(E$2,weekly_missions!$2:$2,0)-MATCH(D$2,weekly_missions!$2:$2,0)+1),MATCH(E$2,weekly_missions!$2:$2,0)-MATCH(D$2,weekly_missions!$2:$2,0)+1,FALSE)</f>
        <v>マルチプレイを 15 回プレイしよう！</v>
      </c>
      <c r="F101" s="31" t="str">
        <f ca="1">VLOOKUP(D101,OFFSET(weekly_missions!$A$2,0,0,COUNTA(weekly_missions!$A:$A),MATCH(F$2,weekly_missions!$2:$2,0)-MATCH(D$2,weekly_missions!$2:$2,0)+1),MATCH(F$2,weekly_missions!$2:$2,0)-MATCH(D$2,weekly_missions!$2:$2,0)+1,FALSE)</f>
        <v>水のメタルダック x 1</v>
      </c>
      <c r="G101" s="53">
        <v>151</v>
      </c>
      <c r="H101" s="1" t="s">
        <v>1159</v>
      </c>
      <c r="I101" s="1" t="s">
        <v>1236</v>
      </c>
      <c r="J101" s="1" t="s">
        <v>1226</v>
      </c>
      <c r="K101" s="1" t="s">
        <v>1229</v>
      </c>
    </row>
    <row r="102" spans="1:12" ht="21" customHeight="1" x14ac:dyDescent="0.15">
      <c r="A102" s="50" t="str">
        <f>B102&amp;"_"&amp;D102</f>
        <v>11_42201</v>
      </c>
      <c r="B102" s="48">
        <v>11</v>
      </c>
      <c r="C102" s="158"/>
      <c r="D102" s="93">
        <v>42201</v>
      </c>
      <c r="E102" s="31" t="str">
        <f ca="1">VLOOKUP(D102,OFFSET(weekly_missions!$A$2,0,0,COUNTA(weekly_missions!$A:$A),MATCH(E$2,weekly_missions!$2:$2,0)-MATCH(D$2,weekly_missions!$2:$2,0)+1),MATCH(E$2,weekly_missions!$2:$2,0)-MATCH(D$2,weekly_missions!$2:$2,0)+1,FALSE)</f>
        <v>マルチプレイを 20 回プレイしよう！</v>
      </c>
      <c r="F102" s="31" t="str">
        <f ca="1">VLOOKUP(D102,OFFSET(weekly_missions!$A$2,0,0,COUNTA(weekly_missions!$A:$A),MATCH(F$2,weekly_missions!$2:$2,0)-MATCH(D$2,weekly_missions!$2:$2,0)+1),MATCH(F$2,weekly_missions!$2:$2,0)-MATCH(D$2,weekly_missions!$2:$2,0)+1,FALSE)</f>
        <v>メガ生命の果実 x 1</v>
      </c>
      <c r="G102" s="53">
        <v>202</v>
      </c>
      <c r="H102" s="1" t="s">
        <v>1160</v>
      </c>
    </row>
    <row r="103" spans="1:12" ht="21" customHeight="1" x14ac:dyDescent="0.15">
      <c r="A103" s="50" t="str">
        <f>B103&amp;"_"&amp;D103</f>
        <v>11_42300</v>
      </c>
      <c r="B103" s="48">
        <v>11</v>
      </c>
      <c r="C103" s="158"/>
      <c r="D103" s="94">
        <v>42300</v>
      </c>
      <c r="E103" s="31" t="str">
        <f ca="1">VLOOKUP(D103,OFFSET(weekly_missions!$A$2,0,0,COUNTA(weekly_missions!$A:$A),MATCH(E$2,weekly_missions!$2:$2,0)-MATCH(D$2,weekly_missions!$2:$2,0)+1),MATCH(E$2,weekly_missions!$2:$2,0)-MATCH(D$2,weekly_missions!$2:$2,0)+1,FALSE)</f>
        <v>マルチプレイを 30 回プレイしよう！</v>
      </c>
      <c r="F103" s="31" t="str">
        <f ca="1">VLOOKUP(D103,OFFSET(weekly_missions!$A$2,0,0,COUNTA(weekly_missions!$A:$A),MATCH(F$2,weekly_missions!$2:$2,0)-MATCH(D$2,weekly_missions!$2:$2,0)+1),MATCH(F$2,weekly_missions!$2:$2,0)-MATCH(D$2,weekly_missions!$2:$2,0)+1,FALSE)</f>
        <v>ポリゴン x 1</v>
      </c>
      <c r="G103" s="53">
        <v>301</v>
      </c>
      <c r="H103" s="1" t="s">
        <v>1161</v>
      </c>
    </row>
    <row r="104" spans="1:12" ht="21" customHeight="1" x14ac:dyDescent="0.15">
      <c r="A104" s="50" t="str">
        <f>B104&amp;"_"&amp;D104</f>
        <v>11_43000</v>
      </c>
      <c r="B104" s="48">
        <v>11</v>
      </c>
      <c r="C104" s="158"/>
      <c r="D104" s="94">
        <v>43000</v>
      </c>
      <c r="E104" s="31" t="str">
        <f ca="1">VLOOKUP(D104,OFFSET(weekly_missions!$A$2,0,0,COUNTA(weekly_missions!$A:$A),MATCH(E$2,weekly_missions!$2:$2,0)-MATCH(D$2,weekly_missions!$2:$2,0)+1),MATCH(E$2,weekly_missions!$2:$2,0)-MATCH(D$2,weekly_missions!$2:$2,0)+1,FALSE)</f>
        <v>ゲリラクエスト：メタルダックを捕獲せよ！ 【上級】 をクリアしよう！</v>
      </c>
      <c r="F104" s="31" t="str">
        <f ca="1">VLOOKUP(D104,OFFSET(weekly_missions!$A$2,0,0,COUNTA(weekly_missions!$A:$A),MATCH(F$2,weekly_missions!$2:$2,0)-MATCH(D$2,weekly_missions!$2:$2,0)+1),MATCH(F$2,weekly_missions!$2:$2,0)-MATCH(D$2,weekly_missions!$2:$2,0)+1,FALSE)</f>
        <v>ビット x 60000</v>
      </c>
      <c r="G104" s="53">
        <v>2</v>
      </c>
      <c r="H104" s="1" t="s">
        <v>1162</v>
      </c>
    </row>
    <row r="105" spans="1:12" ht="21" customHeight="1" x14ac:dyDescent="0.15">
      <c r="A105" s="50" t="str">
        <f>B105&amp;"_"&amp;D105</f>
        <v>11_43001</v>
      </c>
      <c r="B105" s="48">
        <v>11</v>
      </c>
      <c r="C105" s="159"/>
      <c r="D105" s="94">
        <v>43001</v>
      </c>
      <c r="E105" s="31" t="str">
        <f ca="1">VLOOKUP(D105,OFFSET(weekly_missions!$A$2,0,0,COUNTA(weekly_missions!$A:$A),MATCH(E$2,weekly_missions!$2:$2,0)-MATCH(D$2,weekly_missions!$2:$2,0)+1),MATCH(E$2,weekly_missions!$2:$2,0)-MATCH(D$2,weekly_missions!$2:$2,0)+1,FALSE)</f>
        <v>土日限定クエスト：【上級】ゴールドカジノ をクリアしよう！</v>
      </c>
      <c r="F105" s="31" t="str">
        <f ca="1">VLOOKUP(D105,OFFSET(weekly_missions!$A$2,0,0,COUNTA(weekly_missions!$A:$A),MATCH(F$2,weekly_missions!$2:$2,0)-MATCH(D$2,weekly_missions!$2:$2,0)+1),MATCH(F$2,weekly_missions!$2:$2,0)-MATCH(D$2,weekly_missions!$2:$2,0)+1,FALSE)</f>
        <v>リンク x 300</v>
      </c>
      <c r="G105" s="53">
        <v>1</v>
      </c>
      <c r="H105" s="1" t="s">
        <v>1163</v>
      </c>
    </row>
    <row r="106" spans="1:12" ht="21" customHeight="1" x14ac:dyDescent="0.15">
      <c r="A106" s="50" t="str">
        <f t="shared" ref="A106:A111" si="18">B106&amp;"_"&amp;D106</f>
        <v>12_40030</v>
      </c>
      <c r="B106" s="48">
        <v>12</v>
      </c>
      <c r="C106" s="157" t="s">
        <v>1227</v>
      </c>
      <c r="D106" s="94">
        <v>40030</v>
      </c>
      <c r="E106" s="31" t="str">
        <f ca="1">VLOOKUP(D106,OFFSET(weekly_missions!$A$2,0,0,COUNTA(weekly_missions!$A:$A),MATCH(E$2,weekly_missions!$2:$2,0)-MATCH(D$2,weekly_missions!$2:$2,0)+1),MATCH(E$2,weekly_missions!$2:$2,0)-MATCH(D$2,weekly_missions!$2:$2,0)+1,FALSE)</f>
        <v>通算 3 日ログインしよう！</v>
      </c>
      <c r="F106" s="31" t="str">
        <f ca="1">VLOOKUP(D106,OFFSET(weekly_missions!$A$2,0,0,COUNTA(weekly_missions!$A:$A),MATCH(F$2,weekly_missions!$2:$2,0)-MATCH(D$2,weekly_missions!$2:$2,0)+1),MATCH(F$2,weekly_missions!$2:$2,0)-MATCH(D$2,weekly_missions!$2:$2,0)+1,FALSE)</f>
        <v>ビット x 30000</v>
      </c>
      <c r="G106" s="53">
        <v>1000</v>
      </c>
      <c r="H106" s="1" t="s">
        <v>1147</v>
      </c>
    </row>
    <row r="107" spans="1:12" ht="21" customHeight="1" x14ac:dyDescent="0.15">
      <c r="A107" s="50" t="str">
        <f t="shared" si="18"/>
        <v>12_40050</v>
      </c>
      <c r="B107" s="48">
        <v>12</v>
      </c>
      <c r="C107" s="158"/>
      <c r="D107" s="94">
        <v>40050</v>
      </c>
      <c r="E107" s="31" t="str">
        <f ca="1">VLOOKUP(D107,OFFSET(weekly_missions!$A$2,0,0,COUNTA(weekly_missions!$A:$A),MATCH(E$2,weekly_missions!$2:$2,0)-MATCH(D$2,weekly_missions!$2:$2,0)+1),MATCH(E$2,weekly_missions!$2:$2,0)-MATCH(D$2,weekly_missions!$2:$2,0)+1,FALSE)</f>
        <v>通算 5 日ログインしよう！</v>
      </c>
      <c r="F107" s="31" t="str">
        <f ca="1">VLOOKUP(D107,OFFSET(weekly_missions!$A$2,0,0,COUNTA(weekly_missions!$A:$A),MATCH(F$2,weekly_missions!$2:$2,0)-MATCH(D$2,weekly_missions!$2:$2,0)+1),MATCH(F$2,weekly_missions!$2:$2,0)-MATCH(D$2,weekly_missions!$2:$2,0)+1,FALSE)</f>
        <v>リンク x 500</v>
      </c>
      <c r="G107" s="53">
        <v>1001</v>
      </c>
      <c r="H107" s="1" t="s">
        <v>1148</v>
      </c>
    </row>
    <row r="108" spans="1:12" ht="21" customHeight="1" x14ac:dyDescent="0.15">
      <c r="A108" s="50" t="str">
        <f t="shared" si="18"/>
        <v>12_40070</v>
      </c>
      <c r="B108" s="48">
        <v>12</v>
      </c>
      <c r="C108" s="158"/>
      <c r="D108" s="94">
        <v>40070</v>
      </c>
      <c r="E108" s="31" t="str">
        <f ca="1">VLOOKUP(D108,OFFSET(weekly_missions!$A$2,0,0,COUNTA(weekly_missions!$A:$A),MATCH(E$2,weekly_missions!$2:$2,0)-MATCH(D$2,weekly_missions!$2:$2,0)+1),MATCH(E$2,weekly_missions!$2:$2,0)-MATCH(D$2,weekly_missions!$2:$2,0)+1,FALSE)</f>
        <v>通算 7 日ログインしよう！</v>
      </c>
      <c r="F108" s="31" t="str">
        <f ca="1">VLOOKUP(D108,OFFSET(weekly_missions!$A$2,0,0,COUNTA(weekly_missions!$A:$A),MATCH(F$2,weekly_missions!$2:$2,0)-MATCH(D$2,weekly_missions!$2:$2,0)+1),MATCH(F$2,weekly_missions!$2:$2,0)-MATCH(D$2,weekly_missions!$2:$2,0)+1,FALSE)</f>
        <v>ポリゴン x 1</v>
      </c>
      <c r="G108" s="53">
        <v>1002</v>
      </c>
      <c r="H108" s="1" t="s">
        <v>1149</v>
      </c>
    </row>
    <row r="109" spans="1:12" ht="21" customHeight="1" x14ac:dyDescent="0.15">
      <c r="A109" s="50" t="str">
        <f t="shared" si="18"/>
        <v>12_41032</v>
      </c>
      <c r="B109" s="48">
        <v>12</v>
      </c>
      <c r="C109" s="158"/>
      <c r="D109" s="93">
        <v>41032</v>
      </c>
      <c r="E109" s="31" t="str">
        <f ca="1">VLOOKUP(D109,OFFSET(weekly_missions!$A$2,0,0,COUNTA(weekly_missions!$A:$A),MATCH(E$2,weekly_missions!$2:$2,0)-MATCH(D$2,weekly_missions!$2:$2,0)+1),MATCH(E$2,weekly_missions!$2:$2,0)-MATCH(D$2,weekly_missions!$2:$2,0)+1,FALSE)</f>
        <v>クエストを通算 3 回クリアしよう！</v>
      </c>
      <c r="F109" s="31" t="str">
        <f ca="1">VLOOKUP(D109,OFFSET(weekly_missions!$A$2,0,0,COUNTA(weekly_missions!$A:$A),MATCH(F$2,weekly_missions!$2:$2,0)-MATCH(D$2,weekly_missions!$2:$2,0)+1),MATCH(F$2,weekly_missions!$2:$2,0)-MATCH(D$2,weekly_missions!$2:$2,0)+1,FALSE)</f>
        <v>メガ癒しの果実 x 1</v>
      </c>
      <c r="G109" s="53">
        <v>30</v>
      </c>
      <c r="H109" s="1" t="s">
        <v>1150</v>
      </c>
    </row>
    <row r="110" spans="1:12" ht="21" customHeight="1" x14ac:dyDescent="0.15">
      <c r="A110" s="50" t="str">
        <f t="shared" si="18"/>
        <v>12_41051</v>
      </c>
      <c r="B110" s="48">
        <v>12</v>
      </c>
      <c r="C110" s="158"/>
      <c r="D110" s="77">
        <v>41051</v>
      </c>
      <c r="E110" s="31" t="str">
        <f ca="1">VLOOKUP(D110,OFFSET(weekly_missions!$A$2,0,0,COUNTA(weekly_missions!$A:$A),MATCH(E$2,weekly_missions!$2:$2,0)-MATCH(D$2,weekly_missions!$2:$2,0)+1),MATCH(E$2,weekly_missions!$2:$2,0)-MATCH(D$2,weekly_missions!$2:$2,0)+1,FALSE)</f>
        <v>クエストを通算 5 回クリアしよう！</v>
      </c>
      <c r="F110" s="31" t="str">
        <f ca="1">VLOOKUP(D110,OFFSET(weekly_missions!$A$2,0,0,COUNTA(weekly_missions!$A:$A),MATCH(F$2,weekly_missions!$2:$2,0)-MATCH(D$2,weekly_missions!$2:$2,0)+1),MATCH(F$2,weekly_missions!$2:$2,0)-MATCH(D$2,weekly_missions!$2:$2,0)+1,FALSE)</f>
        <v>森のメタルダック x 1</v>
      </c>
      <c r="G110" s="53">
        <v>50</v>
      </c>
      <c r="H110" s="1" t="s">
        <v>1151</v>
      </c>
      <c r="I110" s="1" t="s">
        <v>1228</v>
      </c>
      <c r="J110" s="1" t="s">
        <v>1229</v>
      </c>
      <c r="K110" s="1" t="s">
        <v>1239</v>
      </c>
    </row>
    <row r="111" spans="1:12" ht="21" customHeight="1" x14ac:dyDescent="0.15">
      <c r="A111" s="50" t="str">
        <f t="shared" si="18"/>
        <v>12_41100</v>
      </c>
      <c r="B111" s="48">
        <v>12</v>
      </c>
      <c r="C111" s="158"/>
      <c r="D111" s="93">
        <v>41100</v>
      </c>
      <c r="E111" s="31" t="str">
        <f ca="1">VLOOKUP(D111,OFFSET(weekly_missions!$A$2,0,0,COUNTA(weekly_missions!$A:$A),MATCH(E$2,weekly_missions!$2:$2,0)-MATCH(D$2,weekly_missions!$2:$2,0)+1),MATCH(E$2,weekly_missions!$2:$2,0)-MATCH(D$2,weekly_missions!$2:$2,0)+1,FALSE)</f>
        <v>クエストを通算 10 回クリアしよう！</v>
      </c>
      <c r="F111" s="31" t="str">
        <f ca="1">VLOOKUP(D111,OFFSET(weekly_missions!$A$2,0,0,COUNTA(weekly_missions!$A:$A),MATCH(F$2,weekly_missions!$2:$2,0)-MATCH(D$2,weekly_missions!$2:$2,0)+1),MATCH(F$2,weekly_missions!$2:$2,0)-MATCH(D$2,weekly_missions!$2:$2,0)+1,FALSE)</f>
        <v>メガ攻めの果実 x 1</v>
      </c>
      <c r="G111" s="53">
        <v>100</v>
      </c>
      <c r="H111" s="1" t="s">
        <v>1152</v>
      </c>
    </row>
    <row r="112" spans="1:12" ht="21" customHeight="1" x14ac:dyDescent="0.15">
      <c r="A112" s="50" t="str">
        <f>B112&amp;"_"&amp;D112</f>
        <v>12_41153</v>
      </c>
      <c r="B112" s="48">
        <v>12</v>
      </c>
      <c r="C112" s="158"/>
      <c r="D112" s="77">
        <v>41153</v>
      </c>
      <c r="E112" s="31" t="str">
        <f ca="1">VLOOKUP(D112,OFFSET(weekly_missions!$A$2,0,0,COUNTA(weekly_missions!$A:$A),MATCH(E$2,weekly_missions!$2:$2,0)-MATCH(D$2,weekly_missions!$2:$2,0)+1),MATCH(E$2,weekly_missions!$2:$2,0)-MATCH(D$2,weekly_missions!$2:$2,0)+1,FALSE)</f>
        <v>クエストを通算 15 回クリアしよう！</v>
      </c>
      <c r="F112" s="31" t="str">
        <f ca="1">VLOOKUP(D112,OFFSET(weekly_missions!$A$2,0,0,COUNTA(weekly_missions!$A:$A),MATCH(F$2,weekly_missions!$2:$2,0)-MATCH(D$2,weekly_missions!$2:$2,0)+1),MATCH(F$2,weekly_missions!$2:$2,0)-MATCH(D$2,weekly_missions!$2:$2,0)+1,FALSE)</f>
        <v>雷のメタルダック x 1</v>
      </c>
      <c r="G112" s="53">
        <v>150</v>
      </c>
      <c r="H112" s="1" t="s">
        <v>1153</v>
      </c>
      <c r="I112" s="1" t="s">
        <v>1226</v>
      </c>
      <c r="J112" s="1" t="s">
        <v>1226</v>
      </c>
      <c r="L112" s="1" t="s">
        <v>1229</v>
      </c>
    </row>
    <row r="113" spans="1:11" ht="21" customHeight="1" x14ac:dyDescent="0.15">
      <c r="A113" s="50" t="str">
        <f>B113&amp;"_"&amp;D113</f>
        <v>12_41201</v>
      </c>
      <c r="B113" s="48">
        <v>12</v>
      </c>
      <c r="C113" s="158"/>
      <c r="D113" s="93">
        <v>41201</v>
      </c>
      <c r="E113" s="31" t="str">
        <f ca="1">VLOOKUP(D113,OFFSET(weekly_missions!$A$2,0,0,COUNTA(weekly_missions!$A:$A),MATCH(E$2,weekly_missions!$2:$2,0)-MATCH(D$2,weekly_missions!$2:$2,0)+1),MATCH(E$2,weekly_missions!$2:$2,0)-MATCH(D$2,weekly_missions!$2:$2,0)+1,FALSE)</f>
        <v>クエストを通算 20 回クリアしよう！</v>
      </c>
      <c r="F113" s="31" t="str">
        <f ca="1">VLOOKUP(D113,OFFSET(weekly_missions!$A$2,0,0,COUNTA(weekly_missions!$A:$A),MATCH(F$2,weekly_missions!$2:$2,0)-MATCH(D$2,weekly_missions!$2:$2,0)+1),MATCH(F$2,weekly_missions!$2:$2,0)-MATCH(D$2,weekly_missions!$2:$2,0)+1,FALSE)</f>
        <v>メガ生命の果実 x 1</v>
      </c>
      <c r="G113" s="53">
        <v>200</v>
      </c>
      <c r="H113" s="1" t="s">
        <v>1154</v>
      </c>
    </row>
    <row r="114" spans="1:11" ht="21" customHeight="1" x14ac:dyDescent="0.15">
      <c r="A114" s="50" t="str">
        <f>B114&amp;"_"&amp;D114</f>
        <v>12_41300</v>
      </c>
      <c r="B114" s="48">
        <v>12</v>
      </c>
      <c r="C114" s="158"/>
      <c r="D114" s="94">
        <v>41300</v>
      </c>
      <c r="E114" s="31" t="str">
        <f ca="1">VLOOKUP(D114,OFFSET(weekly_missions!$A$2,0,0,COUNTA(weekly_missions!$A:$A),MATCH(E$2,weekly_missions!$2:$2,0)-MATCH(D$2,weekly_missions!$2:$2,0)+1),MATCH(E$2,weekly_missions!$2:$2,0)-MATCH(D$2,weekly_missions!$2:$2,0)+1,FALSE)</f>
        <v>クエストを通算 30 回クリアしよう！</v>
      </c>
      <c r="F114" s="31" t="str">
        <f ca="1">VLOOKUP(D114,OFFSET(weekly_missions!$A$2,0,0,COUNTA(weekly_missions!$A:$A),MATCH(F$2,weekly_missions!$2:$2,0)-MATCH(D$2,weekly_missions!$2:$2,0)+1),MATCH(F$2,weekly_missions!$2:$2,0)-MATCH(D$2,weekly_missions!$2:$2,0)+1,FALSE)</f>
        <v>秘術の果実 x 1</v>
      </c>
      <c r="G114" s="53">
        <v>300</v>
      </c>
      <c r="H114" s="1" t="s">
        <v>1155</v>
      </c>
    </row>
    <row r="115" spans="1:11" ht="21" customHeight="1" x14ac:dyDescent="0.15">
      <c r="A115" s="50" t="str">
        <f t="shared" ref="A115:A117" si="19">B115&amp;"_"&amp;D115</f>
        <v>12_42030</v>
      </c>
      <c r="B115" s="48">
        <v>12</v>
      </c>
      <c r="C115" s="158"/>
      <c r="D115" s="93">
        <v>42030</v>
      </c>
      <c r="E115" s="31" t="str">
        <f ca="1">VLOOKUP(D115,OFFSET(weekly_missions!$A$2,0,0,COUNTA(weekly_missions!$A:$A),MATCH(E$2,weekly_missions!$2:$2,0)-MATCH(D$2,weekly_missions!$2:$2,0)+1),MATCH(E$2,weekly_missions!$2:$2,0)-MATCH(D$2,weekly_missions!$2:$2,0)+1,FALSE)</f>
        <v>マルチプレイを 3 回プレイしよう！</v>
      </c>
      <c r="F115" s="31" t="str">
        <f ca="1">VLOOKUP(D115,OFFSET(weekly_missions!$A$2,0,0,COUNTA(weekly_missions!$A:$A),MATCH(F$2,weekly_missions!$2:$2,0)-MATCH(D$2,weekly_missions!$2:$2,0)+1),MATCH(F$2,weekly_missions!$2:$2,0)-MATCH(D$2,weekly_missions!$2:$2,0)+1,FALSE)</f>
        <v>メガ攻めの果実 x 1</v>
      </c>
      <c r="G115" s="53">
        <v>31</v>
      </c>
      <c r="H115" s="1" t="s">
        <v>1156</v>
      </c>
    </row>
    <row r="116" spans="1:11" ht="21" customHeight="1" x14ac:dyDescent="0.15">
      <c r="A116" s="50" t="str">
        <f t="shared" si="19"/>
        <v>12_42052</v>
      </c>
      <c r="B116" s="48">
        <v>12</v>
      </c>
      <c r="C116" s="158"/>
      <c r="D116" s="77">
        <v>42052</v>
      </c>
      <c r="E116" s="31" t="str">
        <f ca="1">VLOOKUP(D116,OFFSET(weekly_missions!$A$2,0,0,COUNTA(weekly_missions!$A:$A),MATCH(E$2,weekly_missions!$2:$2,0)-MATCH(D$2,weekly_missions!$2:$2,0)+1),MATCH(E$2,weekly_missions!$2:$2,0)-MATCH(D$2,weekly_missions!$2:$2,0)+1,FALSE)</f>
        <v>マルチプレイを 5 回プレイしよう！</v>
      </c>
      <c r="F116" s="31" t="str">
        <f ca="1">VLOOKUP(D116,OFFSET(weekly_missions!$A$2,0,0,COUNTA(weekly_missions!$A:$A),MATCH(F$2,weekly_missions!$2:$2,0)-MATCH(D$2,weekly_missions!$2:$2,0)+1),MATCH(F$2,weekly_missions!$2:$2,0)-MATCH(D$2,weekly_missions!$2:$2,0)+1,FALSE)</f>
        <v>水のメタルダック x 1</v>
      </c>
      <c r="G116" s="53">
        <v>51</v>
      </c>
      <c r="H116" s="1" t="s">
        <v>1157</v>
      </c>
      <c r="I116" s="1" t="s">
        <v>1240</v>
      </c>
      <c r="J116" s="1" t="s">
        <v>1235</v>
      </c>
      <c r="K116" s="1" t="s">
        <v>1241</v>
      </c>
    </row>
    <row r="117" spans="1:11" ht="21" customHeight="1" x14ac:dyDescent="0.15">
      <c r="A117" s="50" t="str">
        <f t="shared" si="19"/>
        <v>12_42101</v>
      </c>
      <c r="B117" s="48">
        <v>12</v>
      </c>
      <c r="C117" s="158"/>
      <c r="D117" s="93">
        <v>42101</v>
      </c>
      <c r="E117" s="31" t="str">
        <f ca="1">VLOOKUP(D117,OFFSET(weekly_missions!$A$2,0,0,COUNTA(weekly_missions!$A:$A),MATCH(E$2,weekly_missions!$2:$2,0)-MATCH(D$2,weekly_missions!$2:$2,0)+1),MATCH(E$2,weekly_missions!$2:$2,0)-MATCH(D$2,weekly_missions!$2:$2,0)+1,FALSE)</f>
        <v>マルチプレイを 10 回プレイしよう！</v>
      </c>
      <c r="F117" s="31" t="str">
        <f ca="1">VLOOKUP(D117,OFFSET(weekly_missions!$A$2,0,0,COUNTA(weekly_missions!$A:$A),MATCH(F$2,weekly_missions!$2:$2,0)-MATCH(D$2,weekly_missions!$2:$2,0)+1),MATCH(F$2,weekly_missions!$2:$2,0)-MATCH(D$2,weekly_missions!$2:$2,0)+1,FALSE)</f>
        <v>メガ生命の果実 x 1</v>
      </c>
      <c r="G117" s="53">
        <v>101</v>
      </c>
      <c r="H117" s="1" t="s">
        <v>1158</v>
      </c>
    </row>
    <row r="118" spans="1:11" ht="21" customHeight="1" x14ac:dyDescent="0.15">
      <c r="A118" s="50" t="str">
        <f t="shared" ref="A118:A225" si="20">B118&amp;"_"&amp;D118</f>
        <v>12_42150</v>
      </c>
      <c r="B118" s="48">
        <v>12</v>
      </c>
      <c r="C118" s="158"/>
      <c r="D118" s="77">
        <v>42150</v>
      </c>
      <c r="E118" s="31" t="str">
        <f ca="1">VLOOKUP(D118,OFFSET(weekly_missions!$A$2,0,0,COUNTA(weekly_missions!$A:$A),MATCH(E$2,weekly_missions!$2:$2,0)-MATCH(D$2,weekly_missions!$2:$2,0)+1),MATCH(E$2,weekly_missions!$2:$2,0)-MATCH(D$2,weekly_missions!$2:$2,0)+1,FALSE)</f>
        <v>マルチプレイを 15 回プレイしよう！</v>
      </c>
      <c r="F118" s="31" t="str">
        <f ca="1">VLOOKUP(D118,OFFSET(weekly_missions!$A$2,0,0,COUNTA(weekly_missions!$A:$A),MATCH(F$2,weekly_missions!$2:$2,0)-MATCH(D$2,weekly_missions!$2:$2,0)+1),MATCH(F$2,weekly_missions!$2:$2,0)-MATCH(D$2,weekly_missions!$2:$2,0)+1,FALSE)</f>
        <v>炎のメタルダック x 1</v>
      </c>
      <c r="G118" s="53">
        <v>151</v>
      </c>
      <c r="H118" s="1" t="s">
        <v>1159</v>
      </c>
      <c r="I118" s="1" t="s">
        <v>1242</v>
      </c>
      <c r="J118" s="1" t="s">
        <v>1226</v>
      </c>
      <c r="K118" s="1" t="s">
        <v>1240</v>
      </c>
    </row>
    <row r="119" spans="1:11" ht="21" customHeight="1" x14ac:dyDescent="0.15">
      <c r="A119" s="50" t="str">
        <f t="shared" si="20"/>
        <v>12_42202</v>
      </c>
      <c r="B119" s="48">
        <v>12</v>
      </c>
      <c r="C119" s="158"/>
      <c r="D119" s="93">
        <v>42202</v>
      </c>
      <c r="E119" s="31" t="str">
        <f ca="1">VLOOKUP(D119,OFFSET(weekly_missions!$A$2,0,0,COUNTA(weekly_missions!$A:$A),MATCH(E$2,weekly_missions!$2:$2,0)-MATCH(D$2,weekly_missions!$2:$2,0)+1),MATCH(E$2,weekly_missions!$2:$2,0)-MATCH(D$2,weekly_missions!$2:$2,0)+1,FALSE)</f>
        <v>マルチプレイを 20 回プレイしよう！</v>
      </c>
      <c r="F119" s="31" t="str">
        <f ca="1">VLOOKUP(D119,OFFSET(weekly_missions!$A$2,0,0,COUNTA(weekly_missions!$A:$A),MATCH(F$2,weekly_missions!$2:$2,0)-MATCH(D$2,weekly_missions!$2:$2,0)+1),MATCH(F$2,weekly_missions!$2:$2,0)-MATCH(D$2,weekly_missions!$2:$2,0)+1,FALSE)</f>
        <v>メガ癒しの果実 x 1</v>
      </c>
      <c r="G119" s="53">
        <v>202</v>
      </c>
      <c r="H119" s="1" t="s">
        <v>1160</v>
      </c>
    </row>
    <row r="120" spans="1:11" ht="21" customHeight="1" x14ac:dyDescent="0.15">
      <c r="A120" s="50" t="str">
        <f t="shared" si="20"/>
        <v>12_42300</v>
      </c>
      <c r="B120" s="48">
        <v>12</v>
      </c>
      <c r="C120" s="158"/>
      <c r="D120" s="94">
        <v>42300</v>
      </c>
      <c r="E120" s="31" t="str">
        <f ca="1">VLOOKUP(D120,OFFSET(weekly_missions!$A$2,0,0,COUNTA(weekly_missions!$A:$A),MATCH(E$2,weekly_missions!$2:$2,0)-MATCH(D$2,weekly_missions!$2:$2,0)+1),MATCH(E$2,weekly_missions!$2:$2,0)-MATCH(D$2,weekly_missions!$2:$2,0)+1,FALSE)</f>
        <v>マルチプレイを 30 回プレイしよう！</v>
      </c>
      <c r="F120" s="31" t="str">
        <f ca="1">VLOOKUP(D120,OFFSET(weekly_missions!$A$2,0,0,COUNTA(weekly_missions!$A:$A),MATCH(F$2,weekly_missions!$2:$2,0)-MATCH(D$2,weekly_missions!$2:$2,0)+1),MATCH(F$2,weekly_missions!$2:$2,0)-MATCH(D$2,weekly_missions!$2:$2,0)+1,FALSE)</f>
        <v>ポリゴン x 1</v>
      </c>
      <c r="G120" s="53">
        <v>301</v>
      </c>
      <c r="H120" s="1" t="s">
        <v>1161</v>
      </c>
    </row>
    <row r="121" spans="1:11" ht="21" customHeight="1" x14ac:dyDescent="0.15">
      <c r="A121" s="50" t="str">
        <f t="shared" si="20"/>
        <v>12_43000</v>
      </c>
      <c r="B121" s="48">
        <v>12</v>
      </c>
      <c r="C121" s="158"/>
      <c r="D121" s="94">
        <v>43000</v>
      </c>
      <c r="E121" s="31" t="str">
        <f ca="1">VLOOKUP(D121,OFFSET(weekly_missions!$A$2,0,0,COUNTA(weekly_missions!$A:$A),MATCH(E$2,weekly_missions!$2:$2,0)-MATCH(D$2,weekly_missions!$2:$2,0)+1),MATCH(E$2,weekly_missions!$2:$2,0)-MATCH(D$2,weekly_missions!$2:$2,0)+1,FALSE)</f>
        <v>ゲリラクエスト：メタルダックを捕獲せよ！ 【上級】 をクリアしよう！</v>
      </c>
      <c r="F121" s="31" t="str">
        <f ca="1">VLOOKUP(D121,OFFSET(weekly_missions!$A$2,0,0,COUNTA(weekly_missions!$A:$A),MATCH(F$2,weekly_missions!$2:$2,0)-MATCH(D$2,weekly_missions!$2:$2,0)+1),MATCH(F$2,weekly_missions!$2:$2,0)-MATCH(D$2,weekly_missions!$2:$2,0)+1,FALSE)</f>
        <v>ビット x 60000</v>
      </c>
      <c r="G121" s="53">
        <v>2</v>
      </c>
      <c r="H121" s="1" t="s">
        <v>1162</v>
      </c>
    </row>
    <row r="122" spans="1:11" ht="21" customHeight="1" x14ac:dyDescent="0.15">
      <c r="A122" s="50" t="str">
        <f t="shared" si="20"/>
        <v>12_43001</v>
      </c>
      <c r="B122" s="48">
        <v>12</v>
      </c>
      <c r="C122" s="159"/>
      <c r="D122" s="94">
        <v>43001</v>
      </c>
      <c r="E122" s="31" t="str">
        <f ca="1">VLOOKUP(D122,OFFSET(weekly_missions!$A$2,0,0,COUNTA(weekly_missions!$A:$A),MATCH(E$2,weekly_missions!$2:$2,0)-MATCH(D$2,weekly_missions!$2:$2,0)+1),MATCH(E$2,weekly_missions!$2:$2,0)-MATCH(D$2,weekly_missions!$2:$2,0)+1,FALSE)</f>
        <v>土日限定クエスト：【上級】ゴールドカジノ をクリアしよう！</v>
      </c>
      <c r="F122" s="31" t="str">
        <f ca="1">VLOOKUP(D122,OFFSET(weekly_missions!$A$2,0,0,COUNTA(weekly_missions!$A:$A),MATCH(F$2,weekly_missions!$2:$2,0)-MATCH(D$2,weekly_missions!$2:$2,0)+1),MATCH(F$2,weekly_missions!$2:$2,0)-MATCH(D$2,weekly_missions!$2:$2,0)+1,FALSE)</f>
        <v>リンク x 300</v>
      </c>
      <c r="G122" s="53">
        <v>1</v>
      </c>
      <c r="H122" s="1" t="s">
        <v>1163</v>
      </c>
    </row>
    <row r="123" spans="1:11" ht="21" customHeight="1" x14ac:dyDescent="0.15">
      <c r="A123" s="50" t="str">
        <f t="shared" si="20"/>
        <v>13_40030</v>
      </c>
      <c r="B123" s="48">
        <v>13</v>
      </c>
      <c r="C123" s="157" t="s">
        <v>1600</v>
      </c>
      <c r="D123" s="94">
        <v>40030</v>
      </c>
      <c r="E123" s="31" t="str">
        <f ca="1">VLOOKUP(D123,OFFSET(weekly_missions!$A$2,0,0,COUNTA(weekly_missions!$A:$A),MATCH(E$2,weekly_missions!$2:$2,0)-MATCH(D$2,weekly_missions!$2:$2,0)+1),MATCH(E$2,weekly_missions!$2:$2,0)-MATCH(D$2,weekly_missions!$2:$2,0)+1,FALSE)</f>
        <v>通算 3 日ログインしよう！</v>
      </c>
      <c r="F123" s="31" t="str">
        <f ca="1">VLOOKUP(D123,OFFSET(weekly_missions!$A$2,0,0,COUNTA(weekly_missions!$A:$A),MATCH(F$2,weekly_missions!$2:$2,0)-MATCH(D$2,weekly_missions!$2:$2,0)+1),MATCH(F$2,weekly_missions!$2:$2,0)-MATCH(D$2,weekly_missions!$2:$2,0)+1,FALSE)</f>
        <v>ビット x 30000</v>
      </c>
      <c r="G123" s="53">
        <v>1000</v>
      </c>
      <c r="H123" s="1" t="s">
        <v>1147</v>
      </c>
    </row>
    <row r="124" spans="1:11" ht="21" customHeight="1" x14ac:dyDescent="0.15">
      <c r="A124" s="50" t="str">
        <f t="shared" si="20"/>
        <v>13_40050</v>
      </c>
      <c r="B124" s="48">
        <v>13</v>
      </c>
      <c r="C124" s="158"/>
      <c r="D124" s="94">
        <v>40050</v>
      </c>
      <c r="E124" s="31" t="str">
        <f ca="1">VLOOKUP(D124,OFFSET(weekly_missions!$A$2,0,0,COUNTA(weekly_missions!$A:$A),MATCH(E$2,weekly_missions!$2:$2,0)-MATCH(D$2,weekly_missions!$2:$2,0)+1),MATCH(E$2,weekly_missions!$2:$2,0)-MATCH(D$2,weekly_missions!$2:$2,0)+1,FALSE)</f>
        <v>通算 5 日ログインしよう！</v>
      </c>
      <c r="F124" s="31" t="str">
        <f ca="1">VLOOKUP(D124,OFFSET(weekly_missions!$A$2,0,0,COUNTA(weekly_missions!$A:$A),MATCH(F$2,weekly_missions!$2:$2,0)-MATCH(D$2,weekly_missions!$2:$2,0)+1),MATCH(F$2,weekly_missions!$2:$2,0)-MATCH(D$2,weekly_missions!$2:$2,0)+1,FALSE)</f>
        <v>リンク x 500</v>
      </c>
      <c r="G124" s="53">
        <v>1001</v>
      </c>
      <c r="H124" s="1" t="s">
        <v>1148</v>
      </c>
    </row>
    <row r="125" spans="1:11" ht="21" customHeight="1" x14ac:dyDescent="0.15">
      <c r="A125" s="50" t="str">
        <f t="shared" si="20"/>
        <v>13_40070</v>
      </c>
      <c r="B125" s="48">
        <v>13</v>
      </c>
      <c r="C125" s="158"/>
      <c r="D125" s="94">
        <v>40070</v>
      </c>
      <c r="E125" s="31" t="str">
        <f ca="1">VLOOKUP(D125,OFFSET(weekly_missions!$A$2,0,0,COUNTA(weekly_missions!$A:$A),MATCH(E$2,weekly_missions!$2:$2,0)-MATCH(D$2,weekly_missions!$2:$2,0)+1),MATCH(E$2,weekly_missions!$2:$2,0)-MATCH(D$2,weekly_missions!$2:$2,0)+1,FALSE)</f>
        <v>通算 7 日ログインしよう！</v>
      </c>
      <c r="F125" s="31" t="str">
        <f ca="1">VLOOKUP(D125,OFFSET(weekly_missions!$A$2,0,0,COUNTA(weekly_missions!$A:$A),MATCH(F$2,weekly_missions!$2:$2,0)-MATCH(D$2,weekly_missions!$2:$2,0)+1),MATCH(F$2,weekly_missions!$2:$2,0)-MATCH(D$2,weekly_missions!$2:$2,0)+1,FALSE)</f>
        <v>ポリゴン x 1</v>
      </c>
      <c r="G125" s="53">
        <v>1002</v>
      </c>
      <c r="H125" s="1" t="s">
        <v>1149</v>
      </c>
    </row>
    <row r="126" spans="1:11" ht="21" customHeight="1" x14ac:dyDescent="0.15">
      <c r="A126" s="50" t="str">
        <f t="shared" si="20"/>
        <v>13_41030</v>
      </c>
      <c r="B126" s="48">
        <v>13</v>
      </c>
      <c r="C126" s="158"/>
      <c r="D126" s="93">
        <v>41030</v>
      </c>
      <c r="E126" s="31" t="str">
        <f ca="1">VLOOKUP(D126,OFFSET(weekly_missions!$A$2,0,0,COUNTA(weekly_missions!$A:$A),MATCH(E$2,weekly_missions!$2:$2,0)-MATCH(D$2,weekly_missions!$2:$2,0)+1),MATCH(E$2,weekly_missions!$2:$2,0)-MATCH(D$2,weekly_missions!$2:$2,0)+1,FALSE)</f>
        <v>クエストを通算 3 回クリアしよう！</v>
      </c>
      <c r="F126" s="31" t="str">
        <f ca="1">VLOOKUP(D126,OFFSET(weekly_missions!$A$2,0,0,COUNTA(weekly_missions!$A:$A),MATCH(F$2,weekly_missions!$2:$2,0)-MATCH(D$2,weekly_missions!$2:$2,0)+1),MATCH(F$2,weekly_missions!$2:$2,0)-MATCH(D$2,weekly_missions!$2:$2,0)+1,FALSE)</f>
        <v>メガ攻めの果実 x 1</v>
      </c>
      <c r="G126" s="53">
        <v>30</v>
      </c>
      <c r="H126" s="1" t="s">
        <v>1150</v>
      </c>
    </row>
    <row r="127" spans="1:11" ht="21" customHeight="1" x14ac:dyDescent="0.15">
      <c r="A127" s="50" t="str">
        <f t="shared" si="20"/>
        <v>13_41052</v>
      </c>
      <c r="B127" s="48">
        <v>13</v>
      </c>
      <c r="C127" s="158"/>
      <c r="D127" s="77">
        <v>41052</v>
      </c>
      <c r="E127" s="31" t="str">
        <f ca="1">VLOOKUP(D127,OFFSET(weekly_missions!$A$2,0,0,COUNTA(weekly_missions!$A:$A),MATCH(E$2,weekly_missions!$2:$2,0)-MATCH(D$2,weekly_missions!$2:$2,0)+1),MATCH(E$2,weekly_missions!$2:$2,0)-MATCH(D$2,weekly_missions!$2:$2,0)+1,FALSE)</f>
        <v>クエストを通算 5 回クリアしよう！</v>
      </c>
      <c r="F127" s="31" t="str">
        <f ca="1">VLOOKUP(D127,OFFSET(weekly_missions!$A$2,0,0,COUNTA(weekly_missions!$A:$A),MATCH(F$2,weekly_missions!$2:$2,0)-MATCH(D$2,weekly_missions!$2:$2,0)+1),MATCH(F$2,weekly_missions!$2:$2,0)-MATCH(D$2,weekly_missions!$2:$2,0)+1,FALSE)</f>
        <v>水のメタルダック x 1</v>
      </c>
      <c r="G127" s="53">
        <v>50</v>
      </c>
      <c r="H127" s="1" t="s">
        <v>1151</v>
      </c>
      <c r="I127" s="1" t="s">
        <v>1226</v>
      </c>
      <c r="J127" s="1" t="s">
        <v>1226</v>
      </c>
      <c r="K127" s="1" t="s">
        <v>1229</v>
      </c>
    </row>
    <row r="128" spans="1:11" ht="21" customHeight="1" x14ac:dyDescent="0.15">
      <c r="A128" s="50" t="str">
        <f t="shared" si="20"/>
        <v>13_41101</v>
      </c>
      <c r="B128" s="48">
        <v>13</v>
      </c>
      <c r="C128" s="158"/>
      <c r="D128" s="93">
        <v>41101</v>
      </c>
      <c r="E128" s="31" t="str">
        <f ca="1">VLOOKUP(D128,OFFSET(weekly_missions!$A$2,0,0,COUNTA(weekly_missions!$A:$A),MATCH(E$2,weekly_missions!$2:$2,0)-MATCH(D$2,weekly_missions!$2:$2,0)+1),MATCH(E$2,weekly_missions!$2:$2,0)-MATCH(D$2,weekly_missions!$2:$2,0)+1,FALSE)</f>
        <v>クエストを通算 10 回クリアしよう！</v>
      </c>
      <c r="F128" s="31" t="str">
        <f ca="1">VLOOKUP(D128,OFFSET(weekly_missions!$A$2,0,0,COUNTA(weekly_missions!$A:$A),MATCH(F$2,weekly_missions!$2:$2,0)-MATCH(D$2,weekly_missions!$2:$2,0)+1),MATCH(F$2,weekly_missions!$2:$2,0)-MATCH(D$2,weekly_missions!$2:$2,0)+1,FALSE)</f>
        <v>メガ生命の果実 x 1</v>
      </c>
      <c r="G128" s="53">
        <v>100</v>
      </c>
      <c r="H128" s="1" t="s">
        <v>1152</v>
      </c>
    </row>
    <row r="129" spans="1:12" ht="21" customHeight="1" x14ac:dyDescent="0.15">
      <c r="A129" s="50" t="str">
        <f>B129&amp;"_"&amp;D129</f>
        <v>13_41153</v>
      </c>
      <c r="B129" s="48">
        <v>13</v>
      </c>
      <c r="C129" s="158"/>
      <c r="D129" s="77">
        <v>41153</v>
      </c>
      <c r="E129" s="31" t="str">
        <f ca="1">VLOOKUP(D129,OFFSET(weekly_missions!$A$2,0,0,COUNTA(weekly_missions!$A:$A),MATCH(E$2,weekly_missions!$2:$2,0)-MATCH(D$2,weekly_missions!$2:$2,0)+1),MATCH(E$2,weekly_missions!$2:$2,0)-MATCH(D$2,weekly_missions!$2:$2,0)+1,FALSE)</f>
        <v>クエストを通算 15 回クリアしよう！</v>
      </c>
      <c r="F129" s="31" t="str">
        <f ca="1">VLOOKUP(D129,OFFSET(weekly_missions!$A$2,0,0,COUNTA(weekly_missions!$A:$A),MATCH(F$2,weekly_missions!$2:$2,0)-MATCH(D$2,weekly_missions!$2:$2,0)+1),MATCH(F$2,weekly_missions!$2:$2,0)-MATCH(D$2,weekly_missions!$2:$2,0)+1,FALSE)</f>
        <v>雷のメタルダック x 1</v>
      </c>
      <c r="G129" s="53">
        <v>150</v>
      </c>
      <c r="H129" s="1" t="s">
        <v>1153</v>
      </c>
      <c r="J129" s="1" t="s">
        <v>1226</v>
      </c>
      <c r="K129" s="1" t="s">
        <v>1226</v>
      </c>
      <c r="L129" s="1" t="s">
        <v>1229</v>
      </c>
    </row>
    <row r="130" spans="1:12" ht="21" customHeight="1" x14ac:dyDescent="0.15">
      <c r="A130" s="50" t="str">
        <f>B130&amp;"_"&amp;D130</f>
        <v>13_41202</v>
      </c>
      <c r="B130" s="48">
        <v>13</v>
      </c>
      <c r="C130" s="158"/>
      <c r="D130" s="93">
        <v>41202</v>
      </c>
      <c r="E130" s="31" t="str">
        <f ca="1">VLOOKUP(D130,OFFSET(weekly_missions!$A$2,0,0,COUNTA(weekly_missions!$A:$A),MATCH(E$2,weekly_missions!$2:$2,0)-MATCH(D$2,weekly_missions!$2:$2,0)+1),MATCH(E$2,weekly_missions!$2:$2,0)-MATCH(D$2,weekly_missions!$2:$2,0)+1,FALSE)</f>
        <v>クエストを通算 20 回クリアしよう！</v>
      </c>
      <c r="F130" s="31" t="str">
        <f ca="1">VLOOKUP(D130,OFFSET(weekly_missions!$A$2,0,0,COUNTA(weekly_missions!$A:$A),MATCH(F$2,weekly_missions!$2:$2,0)-MATCH(D$2,weekly_missions!$2:$2,0)+1),MATCH(F$2,weekly_missions!$2:$2,0)-MATCH(D$2,weekly_missions!$2:$2,0)+1,FALSE)</f>
        <v>メガ癒しの果実 x 1</v>
      </c>
      <c r="G130" s="53">
        <v>200</v>
      </c>
      <c r="H130" s="1" t="s">
        <v>1154</v>
      </c>
    </row>
    <row r="131" spans="1:12" ht="21" customHeight="1" x14ac:dyDescent="0.15">
      <c r="A131" s="50" t="str">
        <f>B131&amp;"_"&amp;D131</f>
        <v>13_41300</v>
      </c>
      <c r="B131" s="48">
        <v>13</v>
      </c>
      <c r="C131" s="158"/>
      <c r="D131" s="94">
        <v>41300</v>
      </c>
      <c r="E131" s="31" t="str">
        <f ca="1">VLOOKUP(D131,OFFSET(weekly_missions!$A$2,0,0,COUNTA(weekly_missions!$A:$A),MATCH(E$2,weekly_missions!$2:$2,0)-MATCH(D$2,weekly_missions!$2:$2,0)+1),MATCH(E$2,weekly_missions!$2:$2,0)-MATCH(D$2,weekly_missions!$2:$2,0)+1,FALSE)</f>
        <v>クエストを通算 30 回クリアしよう！</v>
      </c>
      <c r="F131" s="31" t="str">
        <f ca="1">VLOOKUP(D131,OFFSET(weekly_missions!$A$2,0,0,COUNTA(weekly_missions!$A:$A),MATCH(F$2,weekly_missions!$2:$2,0)-MATCH(D$2,weekly_missions!$2:$2,0)+1),MATCH(F$2,weekly_missions!$2:$2,0)-MATCH(D$2,weekly_missions!$2:$2,0)+1,FALSE)</f>
        <v>秘術の果実 x 1</v>
      </c>
      <c r="G131" s="53">
        <v>300</v>
      </c>
      <c r="H131" s="1" t="s">
        <v>1155</v>
      </c>
    </row>
    <row r="132" spans="1:12" ht="21" customHeight="1" x14ac:dyDescent="0.15">
      <c r="A132" s="50" t="str">
        <f t="shared" ref="A132:A134" si="21">B132&amp;"_"&amp;D132</f>
        <v>13_42031</v>
      </c>
      <c r="B132" s="48">
        <v>13</v>
      </c>
      <c r="C132" s="158"/>
      <c r="D132" s="93">
        <v>42031</v>
      </c>
      <c r="E132" s="31" t="str">
        <f ca="1">VLOOKUP(D132,OFFSET(weekly_missions!$A$2,0,0,COUNTA(weekly_missions!$A:$A),MATCH(E$2,weekly_missions!$2:$2,0)-MATCH(D$2,weekly_missions!$2:$2,0)+1),MATCH(E$2,weekly_missions!$2:$2,0)-MATCH(D$2,weekly_missions!$2:$2,0)+1,FALSE)</f>
        <v>マルチプレイを 3 回プレイしよう！</v>
      </c>
      <c r="F132" s="31" t="str">
        <f ca="1">VLOOKUP(D132,OFFSET(weekly_missions!$A$2,0,0,COUNTA(weekly_missions!$A:$A),MATCH(F$2,weekly_missions!$2:$2,0)-MATCH(D$2,weekly_missions!$2:$2,0)+1),MATCH(F$2,weekly_missions!$2:$2,0)-MATCH(D$2,weekly_missions!$2:$2,0)+1,FALSE)</f>
        <v>メガ生命の果実 x 1</v>
      </c>
      <c r="G132" s="53">
        <v>31</v>
      </c>
      <c r="H132" s="1" t="s">
        <v>1156</v>
      </c>
    </row>
    <row r="133" spans="1:12" ht="21" customHeight="1" x14ac:dyDescent="0.15">
      <c r="A133" s="50" t="str">
        <f t="shared" si="21"/>
        <v>13_42050</v>
      </c>
      <c r="B133" s="48">
        <v>13</v>
      </c>
      <c r="C133" s="158"/>
      <c r="D133" s="77">
        <v>42050</v>
      </c>
      <c r="E133" s="31" t="str">
        <f ca="1">VLOOKUP(D133,OFFSET(weekly_missions!$A$2,0,0,COUNTA(weekly_missions!$A:$A),MATCH(E$2,weekly_missions!$2:$2,0)-MATCH(D$2,weekly_missions!$2:$2,0)+1),MATCH(E$2,weekly_missions!$2:$2,0)-MATCH(D$2,weekly_missions!$2:$2,0)+1,FALSE)</f>
        <v>マルチプレイを 5 回プレイしよう！</v>
      </c>
      <c r="F133" s="31" t="str">
        <f ca="1">VLOOKUP(D133,OFFSET(weekly_missions!$A$2,0,0,COUNTA(weekly_missions!$A:$A),MATCH(F$2,weekly_missions!$2:$2,0)-MATCH(D$2,weekly_missions!$2:$2,0)+1),MATCH(F$2,weekly_missions!$2:$2,0)-MATCH(D$2,weekly_missions!$2:$2,0)+1,FALSE)</f>
        <v>炎のメタルダック x 1</v>
      </c>
      <c r="G133" s="53">
        <v>51</v>
      </c>
      <c r="H133" s="1" t="s">
        <v>1157</v>
      </c>
      <c r="I133" s="1" t="s">
        <v>1233</v>
      </c>
      <c r="J133" s="1" t="s">
        <v>1226</v>
      </c>
      <c r="K133" s="1" t="s">
        <v>1226</v>
      </c>
    </row>
    <row r="134" spans="1:12" ht="21" customHeight="1" x14ac:dyDescent="0.15">
      <c r="A134" s="50" t="str">
        <f t="shared" si="21"/>
        <v>13_42102</v>
      </c>
      <c r="B134" s="48">
        <v>13</v>
      </c>
      <c r="C134" s="158"/>
      <c r="D134" s="93">
        <v>42102</v>
      </c>
      <c r="E134" s="31" t="str">
        <f ca="1">VLOOKUP(D134,OFFSET(weekly_missions!$A$2,0,0,COUNTA(weekly_missions!$A:$A),MATCH(E$2,weekly_missions!$2:$2,0)-MATCH(D$2,weekly_missions!$2:$2,0)+1),MATCH(E$2,weekly_missions!$2:$2,0)-MATCH(D$2,weekly_missions!$2:$2,0)+1,FALSE)</f>
        <v>マルチプレイを 10 回プレイしよう！</v>
      </c>
      <c r="F134" s="31" t="str">
        <f ca="1">VLOOKUP(D134,OFFSET(weekly_missions!$A$2,0,0,COUNTA(weekly_missions!$A:$A),MATCH(F$2,weekly_missions!$2:$2,0)-MATCH(D$2,weekly_missions!$2:$2,0)+1),MATCH(F$2,weekly_missions!$2:$2,0)-MATCH(D$2,weekly_missions!$2:$2,0)+1,FALSE)</f>
        <v>メガ癒しの果実 x 1</v>
      </c>
      <c r="G134" s="53">
        <v>101</v>
      </c>
      <c r="H134" s="1" t="s">
        <v>1158</v>
      </c>
    </row>
    <row r="135" spans="1:12" ht="21" customHeight="1" x14ac:dyDescent="0.15">
      <c r="A135" s="50" t="str">
        <f>B135&amp;"_"&amp;D135</f>
        <v>13_42151</v>
      </c>
      <c r="B135" s="48">
        <v>13</v>
      </c>
      <c r="C135" s="158"/>
      <c r="D135" s="77">
        <v>42151</v>
      </c>
      <c r="E135" s="31" t="str">
        <f ca="1">VLOOKUP(D135,OFFSET(weekly_missions!$A$2,0,0,COUNTA(weekly_missions!$A:$A),MATCH(E$2,weekly_missions!$2:$2,0)-MATCH(D$2,weekly_missions!$2:$2,0)+1),MATCH(E$2,weekly_missions!$2:$2,0)-MATCH(D$2,weekly_missions!$2:$2,0)+1,FALSE)</f>
        <v>マルチプレイを 15 回プレイしよう！</v>
      </c>
      <c r="F135" s="31" t="str">
        <f ca="1">VLOOKUP(D135,OFFSET(weekly_missions!$A$2,0,0,COUNTA(weekly_missions!$A:$A),MATCH(F$2,weekly_missions!$2:$2,0)-MATCH(D$2,weekly_missions!$2:$2,0)+1),MATCH(F$2,weekly_missions!$2:$2,0)-MATCH(D$2,weekly_missions!$2:$2,0)+1,FALSE)</f>
        <v>森のメタルダック x 1</v>
      </c>
      <c r="G135" s="53">
        <v>151</v>
      </c>
      <c r="H135" s="1" t="s">
        <v>1159</v>
      </c>
      <c r="I135" s="1" t="s">
        <v>1226</v>
      </c>
      <c r="J135" s="1" t="s">
        <v>1229</v>
      </c>
      <c r="K135" s="1" t="s">
        <v>1226</v>
      </c>
    </row>
    <row r="136" spans="1:12" ht="21" customHeight="1" x14ac:dyDescent="0.15">
      <c r="A136" s="50" t="str">
        <f>B136&amp;"_"&amp;D136</f>
        <v>13_42200</v>
      </c>
      <c r="B136" s="48">
        <v>13</v>
      </c>
      <c r="C136" s="158"/>
      <c r="D136" s="93">
        <v>42200</v>
      </c>
      <c r="E136" s="31" t="str">
        <f ca="1">VLOOKUP(D136,OFFSET(weekly_missions!$A$2,0,0,COUNTA(weekly_missions!$A:$A),MATCH(E$2,weekly_missions!$2:$2,0)-MATCH(D$2,weekly_missions!$2:$2,0)+1),MATCH(E$2,weekly_missions!$2:$2,0)-MATCH(D$2,weekly_missions!$2:$2,0)+1,FALSE)</f>
        <v>マルチプレイを 20 回プレイしよう！</v>
      </c>
      <c r="F136" s="31" t="str">
        <f ca="1">VLOOKUP(D136,OFFSET(weekly_missions!$A$2,0,0,COUNTA(weekly_missions!$A:$A),MATCH(F$2,weekly_missions!$2:$2,0)-MATCH(D$2,weekly_missions!$2:$2,0)+1),MATCH(F$2,weekly_missions!$2:$2,0)-MATCH(D$2,weekly_missions!$2:$2,0)+1,FALSE)</f>
        <v>メガ攻めの果実 x 1</v>
      </c>
      <c r="G136" s="53">
        <v>202</v>
      </c>
      <c r="H136" s="1" t="s">
        <v>1160</v>
      </c>
    </row>
    <row r="137" spans="1:12" ht="21" customHeight="1" x14ac:dyDescent="0.15">
      <c r="A137" s="50" t="str">
        <f>B137&amp;"_"&amp;D137</f>
        <v>13_42300</v>
      </c>
      <c r="B137" s="48">
        <v>13</v>
      </c>
      <c r="C137" s="158"/>
      <c r="D137" s="94">
        <v>42300</v>
      </c>
      <c r="E137" s="31" t="str">
        <f ca="1">VLOOKUP(D137,OFFSET(weekly_missions!$A$2,0,0,COUNTA(weekly_missions!$A:$A),MATCH(E$2,weekly_missions!$2:$2,0)-MATCH(D$2,weekly_missions!$2:$2,0)+1),MATCH(E$2,weekly_missions!$2:$2,0)-MATCH(D$2,weekly_missions!$2:$2,0)+1,FALSE)</f>
        <v>マルチプレイを 30 回プレイしよう！</v>
      </c>
      <c r="F137" s="31" t="str">
        <f ca="1">VLOOKUP(D137,OFFSET(weekly_missions!$A$2,0,0,COUNTA(weekly_missions!$A:$A),MATCH(F$2,weekly_missions!$2:$2,0)-MATCH(D$2,weekly_missions!$2:$2,0)+1),MATCH(F$2,weekly_missions!$2:$2,0)-MATCH(D$2,weekly_missions!$2:$2,0)+1,FALSE)</f>
        <v>ポリゴン x 1</v>
      </c>
      <c r="G137" s="53">
        <v>301</v>
      </c>
      <c r="H137" s="1" t="s">
        <v>1161</v>
      </c>
    </row>
    <row r="138" spans="1:12" ht="21" customHeight="1" x14ac:dyDescent="0.15">
      <c r="A138" s="50" t="str">
        <f>B138&amp;"_"&amp;D138</f>
        <v>13_43002</v>
      </c>
      <c r="B138" s="48">
        <v>13</v>
      </c>
      <c r="C138" s="158"/>
      <c r="D138" s="94">
        <v>43002</v>
      </c>
      <c r="E138" s="31" t="str">
        <f ca="1">VLOOKUP(D138,OFFSET(weekly_missions!$A$2,0,0,COUNTA(weekly_missions!$A:$A),MATCH(E$2,weekly_missions!$2:$2,0)-MATCH(D$2,weekly_missions!$2:$2,0)+1),MATCH(E$2,weekly_missions!$2:$2,0)-MATCH(D$2,weekly_missions!$2:$2,0)+1,FALSE)</f>
        <v>ゲリラクエスト：【超級】メタルダックを捕獲せよ！をクリアしよう！</v>
      </c>
      <c r="F138" s="31" t="str">
        <f ca="1">VLOOKUP(D138,OFFSET(weekly_missions!$A$2,0,0,COUNTA(weekly_missions!$A:$A),MATCH(F$2,weekly_missions!$2:$2,0)-MATCH(D$2,weekly_missions!$2:$2,0)+1),MATCH(F$2,weekly_missions!$2:$2,0)-MATCH(D$2,weekly_missions!$2:$2,0)+1,FALSE)</f>
        <v>ビット x 100000</v>
      </c>
      <c r="G138" s="53">
        <v>2</v>
      </c>
      <c r="H138" s="1" t="s">
        <v>1162</v>
      </c>
    </row>
    <row r="139" spans="1:12" ht="21" customHeight="1" x14ac:dyDescent="0.15">
      <c r="A139" s="50" t="str">
        <f>B139&amp;"_"&amp;D139</f>
        <v>13_43001</v>
      </c>
      <c r="B139" s="48">
        <v>13</v>
      </c>
      <c r="C139" s="159"/>
      <c r="D139" s="94">
        <v>43001</v>
      </c>
      <c r="E139" s="31" t="str">
        <f ca="1">VLOOKUP(D139,OFFSET(weekly_missions!$A$2,0,0,COUNTA(weekly_missions!$A:$A),MATCH(E$2,weekly_missions!$2:$2,0)-MATCH(D$2,weekly_missions!$2:$2,0)+1),MATCH(E$2,weekly_missions!$2:$2,0)-MATCH(D$2,weekly_missions!$2:$2,0)+1,FALSE)</f>
        <v>土日限定クエスト：【上級】ゴールドカジノ をクリアしよう！</v>
      </c>
      <c r="F139" s="31" t="str">
        <f ca="1">VLOOKUP(D139,OFFSET(weekly_missions!$A$2,0,0,COUNTA(weekly_missions!$A:$A),MATCH(F$2,weekly_missions!$2:$2,0)-MATCH(D$2,weekly_missions!$2:$2,0)+1),MATCH(F$2,weekly_missions!$2:$2,0)-MATCH(D$2,weekly_missions!$2:$2,0)+1,FALSE)</f>
        <v>リンク x 300</v>
      </c>
      <c r="G139" s="53">
        <v>1</v>
      </c>
      <c r="H139" s="1" t="s">
        <v>1163</v>
      </c>
    </row>
    <row r="140" spans="1:12" ht="21" customHeight="1" x14ac:dyDescent="0.15">
      <c r="A140" s="50" t="str">
        <f t="shared" ref="A140:A145" si="22">B140&amp;"_"&amp;D140</f>
        <v>14_40030</v>
      </c>
      <c r="B140" s="48">
        <v>14</v>
      </c>
      <c r="C140" s="157" t="s">
        <v>1601</v>
      </c>
      <c r="D140" s="94">
        <v>40030</v>
      </c>
      <c r="E140" s="31" t="str">
        <f ca="1">VLOOKUP(D140,OFFSET(weekly_missions!$A$2,0,0,COUNTA(weekly_missions!$A:$A),MATCH(E$2,weekly_missions!$2:$2,0)-MATCH(D$2,weekly_missions!$2:$2,0)+1),MATCH(E$2,weekly_missions!$2:$2,0)-MATCH(D$2,weekly_missions!$2:$2,0)+1,FALSE)</f>
        <v>通算 3 日ログインしよう！</v>
      </c>
      <c r="F140" s="31" t="str">
        <f ca="1">VLOOKUP(D140,OFFSET(weekly_missions!$A$2,0,0,COUNTA(weekly_missions!$A:$A),MATCH(F$2,weekly_missions!$2:$2,0)-MATCH(D$2,weekly_missions!$2:$2,0)+1),MATCH(F$2,weekly_missions!$2:$2,0)-MATCH(D$2,weekly_missions!$2:$2,0)+1,FALSE)</f>
        <v>ビット x 30000</v>
      </c>
      <c r="G140" s="53">
        <v>1000</v>
      </c>
      <c r="H140" s="1" t="s">
        <v>1147</v>
      </c>
    </row>
    <row r="141" spans="1:12" ht="21" customHeight="1" x14ac:dyDescent="0.15">
      <c r="A141" s="50" t="str">
        <f t="shared" si="22"/>
        <v>14_40050</v>
      </c>
      <c r="B141" s="48">
        <v>14</v>
      </c>
      <c r="C141" s="158"/>
      <c r="D141" s="94">
        <v>40050</v>
      </c>
      <c r="E141" s="31" t="str">
        <f ca="1">VLOOKUP(D141,OFFSET(weekly_missions!$A$2,0,0,COUNTA(weekly_missions!$A:$A),MATCH(E$2,weekly_missions!$2:$2,0)-MATCH(D$2,weekly_missions!$2:$2,0)+1),MATCH(E$2,weekly_missions!$2:$2,0)-MATCH(D$2,weekly_missions!$2:$2,0)+1,FALSE)</f>
        <v>通算 5 日ログインしよう！</v>
      </c>
      <c r="F141" s="31" t="str">
        <f ca="1">VLOOKUP(D141,OFFSET(weekly_missions!$A$2,0,0,COUNTA(weekly_missions!$A:$A),MATCH(F$2,weekly_missions!$2:$2,0)-MATCH(D$2,weekly_missions!$2:$2,0)+1),MATCH(F$2,weekly_missions!$2:$2,0)-MATCH(D$2,weekly_missions!$2:$2,0)+1,FALSE)</f>
        <v>リンク x 500</v>
      </c>
      <c r="G141" s="53">
        <v>1001</v>
      </c>
      <c r="H141" s="1" t="s">
        <v>1148</v>
      </c>
    </row>
    <row r="142" spans="1:12" ht="21" customHeight="1" x14ac:dyDescent="0.15">
      <c r="A142" s="50" t="str">
        <f t="shared" si="22"/>
        <v>14_40070</v>
      </c>
      <c r="B142" s="48">
        <v>14</v>
      </c>
      <c r="C142" s="158"/>
      <c r="D142" s="94">
        <v>40070</v>
      </c>
      <c r="E142" s="31" t="str">
        <f ca="1">VLOOKUP(D142,OFFSET(weekly_missions!$A$2,0,0,COUNTA(weekly_missions!$A:$A),MATCH(E$2,weekly_missions!$2:$2,0)-MATCH(D$2,weekly_missions!$2:$2,0)+1),MATCH(E$2,weekly_missions!$2:$2,0)-MATCH(D$2,weekly_missions!$2:$2,0)+1,FALSE)</f>
        <v>通算 7 日ログインしよう！</v>
      </c>
      <c r="F142" s="31" t="str">
        <f ca="1">VLOOKUP(D142,OFFSET(weekly_missions!$A$2,0,0,COUNTA(weekly_missions!$A:$A),MATCH(F$2,weekly_missions!$2:$2,0)-MATCH(D$2,weekly_missions!$2:$2,0)+1),MATCH(F$2,weekly_missions!$2:$2,0)-MATCH(D$2,weekly_missions!$2:$2,0)+1,FALSE)</f>
        <v>ポリゴン x 1</v>
      </c>
      <c r="G142" s="53">
        <v>1002</v>
      </c>
      <c r="H142" s="1" t="s">
        <v>1149</v>
      </c>
    </row>
    <row r="143" spans="1:12" ht="21" customHeight="1" x14ac:dyDescent="0.15">
      <c r="A143" s="50" t="str">
        <f t="shared" si="22"/>
        <v>14_41031</v>
      </c>
      <c r="B143" s="48">
        <v>14</v>
      </c>
      <c r="C143" s="158"/>
      <c r="D143" s="93">
        <v>41031</v>
      </c>
      <c r="E143" s="31" t="str">
        <f ca="1">VLOOKUP(D143,OFFSET(weekly_missions!$A$2,0,0,COUNTA(weekly_missions!$A:$A),MATCH(E$2,weekly_missions!$2:$2,0)-MATCH(D$2,weekly_missions!$2:$2,0)+1),MATCH(E$2,weekly_missions!$2:$2,0)-MATCH(D$2,weekly_missions!$2:$2,0)+1,FALSE)</f>
        <v>クエストを通算 3 回クリアしよう！</v>
      </c>
      <c r="F143" s="31" t="str">
        <f ca="1">VLOOKUP(D143,OFFSET(weekly_missions!$A$2,0,0,COUNTA(weekly_missions!$A:$A),MATCH(F$2,weekly_missions!$2:$2,0)-MATCH(D$2,weekly_missions!$2:$2,0)+1),MATCH(F$2,weekly_missions!$2:$2,0)-MATCH(D$2,weekly_missions!$2:$2,0)+1,FALSE)</f>
        <v>メガ生命の果実 x 1</v>
      </c>
      <c r="G143" s="53">
        <v>30</v>
      </c>
      <c r="H143" s="1" t="s">
        <v>1150</v>
      </c>
    </row>
    <row r="144" spans="1:12" ht="21" customHeight="1" x14ac:dyDescent="0.15">
      <c r="A144" s="50" t="str">
        <f t="shared" si="22"/>
        <v>14_41050</v>
      </c>
      <c r="B144" s="48">
        <v>14</v>
      </c>
      <c r="C144" s="158"/>
      <c r="D144" s="77">
        <v>41050</v>
      </c>
      <c r="E144" s="31" t="str">
        <f ca="1">VLOOKUP(D144,OFFSET(weekly_missions!$A$2,0,0,COUNTA(weekly_missions!$A:$A),MATCH(E$2,weekly_missions!$2:$2,0)-MATCH(D$2,weekly_missions!$2:$2,0)+1),MATCH(E$2,weekly_missions!$2:$2,0)-MATCH(D$2,weekly_missions!$2:$2,0)+1,FALSE)</f>
        <v>クエストを通算 5 回クリアしよう！</v>
      </c>
      <c r="F144" s="31" t="str">
        <f ca="1">VLOOKUP(D144,OFFSET(weekly_missions!$A$2,0,0,COUNTA(weekly_missions!$A:$A),MATCH(F$2,weekly_missions!$2:$2,0)-MATCH(D$2,weekly_missions!$2:$2,0)+1),MATCH(F$2,weekly_missions!$2:$2,0)-MATCH(D$2,weekly_missions!$2:$2,0)+1,FALSE)</f>
        <v>炎のメタルダック x 1</v>
      </c>
      <c r="G144" s="53">
        <v>50</v>
      </c>
      <c r="H144" s="1" t="s">
        <v>1151</v>
      </c>
      <c r="I144" s="1" t="s">
        <v>1233</v>
      </c>
      <c r="J144" s="1" t="s">
        <v>1234</v>
      </c>
      <c r="K144" s="1" t="s">
        <v>1226</v>
      </c>
    </row>
    <row r="145" spans="1:12" ht="21" customHeight="1" x14ac:dyDescent="0.15">
      <c r="A145" s="50" t="str">
        <f t="shared" si="22"/>
        <v>14_41102</v>
      </c>
      <c r="B145" s="48">
        <v>14</v>
      </c>
      <c r="C145" s="158"/>
      <c r="D145" s="93">
        <v>41102</v>
      </c>
      <c r="E145" s="31" t="str">
        <f ca="1">VLOOKUP(D145,OFFSET(weekly_missions!$A$2,0,0,COUNTA(weekly_missions!$A:$A),MATCH(E$2,weekly_missions!$2:$2,0)-MATCH(D$2,weekly_missions!$2:$2,0)+1),MATCH(E$2,weekly_missions!$2:$2,0)-MATCH(D$2,weekly_missions!$2:$2,0)+1,FALSE)</f>
        <v>クエストを通算 10 回クリアしよう！</v>
      </c>
      <c r="F145" s="31" t="str">
        <f ca="1">VLOOKUP(D145,OFFSET(weekly_missions!$A$2,0,0,COUNTA(weekly_missions!$A:$A),MATCH(F$2,weekly_missions!$2:$2,0)-MATCH(D$2,weekly_missions!$2:$2,0)+1),MATCH(F$2,weekly_missions!$2:$2,0)-MATCH(D$2,weekly_missions!$2:$2,0)+1,FALSE)</f>
        <v>メガ癒しの果実 x 1</v>
      </c>
      <c r="G145" s="53">
        <v>100</v>
      </c>
      <c r="H145" s="1" t="s">
        <v>1152</v>
      </c>
    </row>
    <row r="146" spans="1:12" ht="21" customHeight="1" x14ac:dyDescent="0.15">
      <c r="A146" s="50" t="str">
        <f>B146&amp;"_"&amp;D146</f>
        <v>14_41151</v>
      </c>
      <c r="B146" s="48">
        <v>14</v>
      </c>
      <c r="C146" s="158"/>
      <c r="D146" s="77">
        <v>41151</v>
      </c>
      <c r="E146" s="31" t="str">
        <f ca="1">VLOOKUP(D146,OFFSET(weekly_missions!$A$2,0,0,COUNTA(weekly_missions!$A:$A),MATCH(E$2,weekly_missions!$2:$2,0)-MATCH(D$2,weekly_missions!$2:$2,0)+1),MATCH(E$2,weekly_missions!$2:$2,0)-MATCH(D$2,weekly_missions!$2:$2,0)+1,FALSE)</f>
        <v>クエストを通算 15 回クリアしよう！</v>
      </c>
      <c r="F146" s="31" t="str">
        <f ca="1">VLOOKUP(D146,OFFSET(weekly_missions!$A$2,0,0,COUNTA(weekly_missions!$A:$A),MATCH(F$2,weekly_missions!$2:$2,0)-MATCH(D$2,weekly_missions!$2:$2,0)+1),MATCH(F$2,weekly_missions!$2:$2,0)-MATCH(D$2,weekly_missions!$2:$2,0)+1,FALSE)</f>
        <v>森のメタルダック x 1</v>
      </c>
      <c r="G146" s="53">
        <v>150</v>
      </c>
      <c r="H146" s="1" t="s">
        <v>1153</v>
      </c>
      <c r="I146" s="1" t="s">
        <v>1226</v>
      </c>
      <c r="J146" s="1" t="s">
        <v>1233</v>
      </c>
      <c r="K146" s="1" t="s">
        <v>1226</v>
      </c>
    </row>
    <row r="147" spans="1:12" ht="21" customHeight="1" x14ac:dyDescent="0.15">
      <c r="A147" s="50" t="str">
        <f>B147&amp;"_"&amp;D147</f>
        <v>14_41200</v>
      </c>
      <c r="B147" s="48">
        <v>14</v>
      </c>
      <c r="C147" s="158"/>
      <c r="D147" s="93">
        <v>41200</v>
      </c>
      <c r="E147" s="31" t="str">
        <f ca="1">VLOOKUP(D147,OFFSET(weekly_missions!$A$2,0,0,COUNTA(weekly_missions!$A:$A),MATCH(E$2,weekly_missions!$2:$2,0)-MATCH(D$2,weekly_missions!$2:$2,0)+1),MATCH(E$2,weekly_missions!$2:$2,0)-MATCH(D$2,weekly_missions!$2:$2,0)+1,FALSE)</f>
        <v>クエストを通算 20 回クリアしよう！</v>
      </c>
      <c r="F147" s="31" t="str">
        <f ca="1">VLOOKUP(D147,OFFSET(weekly_missions!$A$2,0,0,COUNTA(weekly_missions!$A:$A),MATCH(F$2,weekly_missions!$2:$2,0)-MATCH(D$2,weekly_missions!$2:$2,0)+1),MATCH(F$2,weekly_missions!$2:$2,0)-MATCH(D$2,weekly_missions!$2:$2,0)+1,FALSE)</f>
        <v>メガ攻めの果実 x 1</v>
      </c>
      <c r="G147" s="53">
        <v>200</v>
      </c>
      <c r="H147" s="1" t="s">
        <v>1154</v>
      </c>
    </row>
    <row r="148" spans="1:12" ht="21" customHeight="1" x14ac:dyDescent="0.15">
      <c r="A148" s="50" t="str">
        <f>B148&amp;"_"&amp;D148</f>
        <v>14_41300</v>
      </c>
      <c r="B148" s="48">
        <v>14</v>
      </c>
      <c r="C148" s="158"/>
      <c r="D148" s="94">
        <v>41300</v>
      </c>
      <c r="E148" s="31" t="str">
        <f ca="1">VLOOKUP(D148,OFFSET(weekly_missions!$A$2,0,0,COUNTA(weekly_missions!$A:$A),MATCH(E$2,weekly_missions!$2:$2,0)-MATCH(D$2,weekly_missions!$2:$2,0)+1),MATCH(E$2,weekly_missions!$2:$2,0)-MATCH(D$2,weekly_missions!$2:$2,0)+1,FALSE)</f>
        <v>クエストを通算 30 回クリアしよう！</v>
      </c>
      <c r="F148" s="31" t="str">
        <f ca="1">VLOOKUP(D148,OFFSET(weekly_missions!$A$2,0,0,COUNTA(weekly_missions!$A:$A),MATCH(F$2,weekly_missions!$2:$2,0)-MATCH(D$2,weekly_missions!$2:$2,0)+1),MATCH(F$2,weekly_missions!$2:$2,0)-MATCH(D$2,weekly_missions!$2:$2,0)+1,FALSE)</f>
        <v>秘術の果実 x 1</v>
      </c>
      <c r="G148" s="53">
        <v>300</v>
      </c>
      <c r="H148" s="1" t="s">
        <v>1155</v>
      </c>
    </row>
    <row r="149" spans="1:12" ht="21" customHeight="1" x14ac:dyDescent="0.15">
      <c r="A149" s="50" t="str">
        <f t="shared" ref="A149:A151" si="23">B149&amp;"_"&amp;D149</f>
        <v>14_42032</v>
      </c>
      <c r="B149" s="48">
        <v>14</v>
      </c>
      <c r="C149" s="158"/>
      <c r="D149" s="93">
        <v>42032</v>
      </c>
      <c r="E149" s="31" t="str">
        <f ca="1">VLOOKUP(D149,OFFSET(weekly_missions!$A$2,0,0,COUNTA(weekly_missions!$A:$A),MATCH(E$2,weekly_missions!$2:$2,0)-MATCH(D$2,weekly_missions!$2:$2,0)+1),MATCH(E$2,weekly_missions!$2:$2,0)-MATCH(D$2,weekly_missions!$2:$2,0)+1,FALSE)</f>
        <v>マルチプレイを 3 回プレイしよう！</v>
      </c>
      <c r="F149" s="31" t="str">
        <f ca="1">VLOOKUP(D149,OFFSET(weekly_missions!$A$2,0,0,COUNTA(weekly_missions!$A:$A),MATCH(F$2,weekly_missions!$2:$2,0)-MATCH(D$2,weekly_missions!$2:$2,0)+1),MATCH(F$2,weekly_missions!$2:$2,0)-MATCH(D$2,weekly_missions!$2:$2,0)+1,FALSE)</f>
        <v>メガ癒しの果実 x 1</v>
      </c>
      <c r="G149" s="53">
        <v>31</v>
      </c>
      <c r="H149" s="1" t="s">
        <v>1156</v>
      </c>
    </row>
    <row r="150" spans="1:12" ht="21" customHeight="1" x14ac:dyDescent="0.15">
      <c r="A150" s="50" t="str">
        <f t="shared" si="23"/>
        <v>14_42053</v>
      </c>
      <c r="B150" s="48">
        <v>14</v>
      </c>
      <c r="C150" s="158"/>
      <c r="D150" s="77">
        <v>42053</v>
      </c>
      <c r="E150" s="31" t="str">
        <f ca="1">VLOOKUP(D150,OFFSET(weekly_missions!$A$2,0,0,COUNTA(weekly_missions!$A:$A),MATCH(E$2,weekly_missions!$2:$2,0)-MATCH(D$2,weekly_missions!$2:$2,0)+1),MATCH(E$2,weekly_missions!$2:$2,0)-MATCH(D$2,weekly_missions!$2:$2,0)+1,FALSE)</f>
        <v>マルチプレイを 5 回プレイしよう！</v>
      </c>
      <c r="F150" s="31" t="str">
        <f ca="1">VLOOKUP(D150,OFFSET(weekly_missions!$A$2,0,0,COUNTA(weekly_missions!$A:$A),MATCH(F$2,weekly_missions!$2:$2,0)-MATCH(D$2,weekly_missions!$2:$2,0)+1),MATCH(F$2,weekly_missions!$2:$2,0)-MATCH(D$2,weekly_missions!$2:$2,0)+1,FALSE)</f>
        <v>雷のメタルダック x 1</v>
      </c>
      <c r="G150" s="53">
        <v>51</v>
      </c>
      <c r="H150" s="1" t="s">
        <v>1157</v>
      </c>
      <c r="I150" s="1" t="s">
        <v>1235</v>
      </c>
      <c r="K150" s="1" t="s">
        <v>1226</v>
      </c>
      <c r="L150" s="1" t="s">
        <v>1229</v>
      </c>
    </row>
    <row r="151" spans="1:12" ht="21" customHeight="1" x14ac:dyDescent="0.15">
      <c r="A151" s="50" t="str">
        <f t="shared" si="23"/>
        <v>14_42100</v>
      </c>
      <c r="B151" s="48">
        <v>14</v>
      </c>
      <c r="C151" s="158"/>
      <c r="D151" s="93">
        <v>42100</v>
      </c>
      <c r="E151" s="31" t="str">
        <f ca="1">VLOOKUP(D151,OFFSET(weekly_missions!$A$2,0,0,COUNTA(weekly_missions!$A:$A),MATCH(E$2,weekly_missions!$2:$2,0)-MATCH(D$2,weekly_missions!$2:$2,0)+1),MATCH(E$2,weekly_missions!$2:$2,0)-MATCH(D$2,weekly_missions!$2:$2,0)+1,FALSE)</f>
        <v>マルチプレイを 10 回プレイしよう！</v>
      </c>
      <c r="F151" s="31" t="str">
        <f ca="1">VLOOKUP(D151,OFFSET(weekly_missions!$A$2,0,0,COUNTA(weekly_missions!$A:$A),MATCH(F$2,weekly_missions!$2:$2,0)-MATCH(D$2,weekly_missions!$2:$2,0)+1),MATCH(F$2,weekly_missions!$2:$2,0)-MATCH(D$2,weekly_missions!$2:$2,0)+1,FALSE)</f>
        <v>メガ攻めの果実 x 1</v>
      </c>
      <c r="G151" s="53">
        <v>101</v>
      </c>
      <c r="H151" s="1" t="s">
        <v>1158</v>
      </c>
    </row>
    <row r="152" spans="1:12" ht="21" customHeight="1" x14ac:dyDescent="0.15">
      <c r="A152" s="50" t="str">
        <f>B152&amp;"_"&amp;D152</f>
        <v>14_42152</v>
      </c>
      <c r="B152" s="48">
        <v>14</v>
      </c>
      <c r="C152" s="158"/>
      <c r="D152" s="77">
        <v>42152</v>
      </c>
      <c r="E152" s="31" t="str">
        <f ca="1">VLOOKUP(D152,OFFSET(weekly_missions!$A$2,0,0,COUNTA(weekly_missions!$A:$A),MATCH(E$2,weekly_missions!$2:$2,0)-MATCH(D$2,weekly_missions!$2:$2,0)+1),MATCH(E$2,weekly_missions!$2:$2,0)-MATCH(D$2,weekly_missions!$2:$2,0)+1,FALSE)</f>
        <v>マルチプレイを 15 回プレイしよう！</v>
      </c>
      <c r="F152" s="31" t="str">
        <f ca="1">VLOOKUP(D152,OFFSET(weekly_missions!$A$2,0,0,COUNTA(weekly_missions!$A:$A),MATCH(F$2,weekly_missions!$2:$2,0)-MATCH(D$2,weekly_missions!$2:$2,0)+1),MATCH(F$2,weekly_missions!$2:$2,0)-MATCH(D$2,weekly_missions!$2:$2,0)+1,FALSE)</f>
        <v>水のメタルダック x 1</v>
      </c>
      <c r="G152" s="53">
        <v>151</v>
      </c>
      <c r="H152" s="1" t="s">
        <v>1159</v>
      </c>
      <c r="I152" s="1" t="s">
        <v>1235</v>
      </c>
      <c r="J152" s="1" t="s">
        <v>1226</v>
      </c>
      <c r="K152" s="1" t="s">
        <v>1229</v>
      </c>
    </row>
    <row r="153" spans="1:12" ht="21" customHeight="1" x14ac:dyDescent="0.15">
      <c r="A153" s="50" t="str">
        <f>B153&amp;"_"&amp;D153</f>
        <v>14_42201</v>
      </c>
      <c r="B153" s="48">
        <v>14</v>
      </c>
      <c r="C153" s="158"/>
      <c r="D153" s="93">
        <v>42201</v>
      </c>
      <c r="E153" s="31" t="str">
        <f ca="1">VLOOKUP(D153,OFFSET(weekly_missions!$A$2,0,0,COUNTA(weekly_missions!$A:$A),MATCH(E$2,weekly_missions!$2:$2,0)-MATCH(D$2,weekly_missions!$2:$2,0)+1),MATCH(E$2,weekly_missions!$2:$2,0)-MATCH(D$2,weekly_missions!$2:$2,0)+1,FALSE)</f>
        <v>マルチプレイを 20 回プレイしよう！</v>
      </c>
      <c r="F153" s="31" t="str">
        <f ca="1">VLOOKUP(D153,OFFSET(weekly_missions!$A$2,0,0,COUNTA(weekly_missions!$A:$A),MATCH(F$2,weekly_missions!$2:$2,0)-MATCH(D$2,weekly_missions!$2:$2,0)+1),MATCH(F$2,weekly_missions!$2:$2,0)-MATCH(D$2,weekly_missions!$2:$2,0)+1,FALSE)</f>
        <v>メガ生命の果実 x 1</v>
      </c>
      <c r="G153" s="53">
        <v>202</v>
      </c>
      <c r="H153" s="1" t="s">
        <v>1160</v>
      </c>
    </row>
    <row r="154" spans="1:12" ht="21" customHeight="1" x14ac:dyDescent="0.15">
      <c r="A154" s="50" t="str">
        <f>B154&amp;"_"&amp;D154</f>
        <v>14_42300</v>
      </c>
      <c r="B154" s="48">
        <v>14</v>
      </c>
      <c r="C154" s="158"/>
      <c r="D154" s="94">
        <v>42300</v>
      </c>
      <c r="E154" s="31" t="str">
        <f ca="1">VLOOKUP(D154,OFFSET(weekly_missions!$A$2,0,0,COUNTA(weekly_missions!$A:$A),MATCH(E$2,weekly_missions!$2:$2,0)-MATCH(D$2,weekly_missions!$2:$2,0)+1),MATCH(E$2,weekly_missions!$2:$2,0)-MATCH(D$2,weekly_missions!$2:$2,0)+1,FALSE)</f>
        <v>マルチプレイを 30 回プレイしよう！</v>
      </c>
      <c r="F154" s="31" t="str">
        <f ca="1">VLOOKUP(D154,OFFSET(weekly_missions!$A$2,0,0,COUNTA(weekly_missions!$A:$A),MATCH(F$2,weekly_missions!$2:$2,0)-MATCH(D$2,weekly_missions!$2:$2,0)+1),MATCH(F$2,weekly_missions!$2:$2,0)-MATCH(D$2,weekly_missions!$2:$2,0)+1,FALSE)</f>
        <v>ポリゴン x 1</v>
      </c>
      <c r="G154" s="53">
        <v>301</v>
      </c>
      <c r="H154" s="1" t="s">
        <v>1161</v>
      </c>
    </row>
    <row r="155" spans="1:12" ht="21" customHeight="1" x14ac:dyDescent="0.15">
      <c r="A155" s="50" t="str">
        <f>B155&amp;"_"&amp;D155</f>
        <v>14_43002</v>
      </c>
      <c r="B155" s="48">
        <v>14</v>
      </c>
      <c r="C155" s="158"/>
      <c r="D155" s="94">
        <v>43002</v>
      </c>
      <c r="E155" s="31" t="str">
        <f ca="1">VLOOKUP(D155,OFFSET(weekly_missions!$A$2,0,0,COUNTA(weekly_missions!$A:$A),MATCH(E$2,weekly_missions!$2:$2,0)-MATCH(D$2,weekly_missions!$2:$2,0)+1),MATCH(E$2,weekly_missions!$2:$2,0)-MATCH(D$2,weekly_missions!$2:$2,0)+1,FALSE)</f>
        <v>ゲリラクエスト：【超級】メタルダックを捕獲せよ！をクリアしよう！</v>
      </c>
      <c r="F155" s="31" t="str">
        <f ca="1">VLOOKUP(D155,OFFSET(weekly_missions!$A$2,0,0,COUNTA(weekly_missions!$A:$A),MATCH(F$2,weekly_missions!$2:$2,0)-MATCH(D$2,weekly_missions!$2:$2,0)+1),MATCH(F$2,weekly_missions!$2:$2,0)-MATCH(D$2,weekly_missions!$2:$2,0)+1,FALSE)</f>
        <v>ビット x 100000</v>
      </c>
      <c r="G155" s="53">
        <v>2</v>
      </c>
      <c r="H155" s="1" t="s">
        <v>1162</v>
      </c>
    </row>
    <row r="156" spans="1:12" ht="21" customHeight="1" x14ac:dyDescent="0.15">
      <c r="A156" s="50" t="str">
        <f>B156&amp;"_"&amp;D156</f>
        <v>14_43001</v>
      </c>
      <c r="B156" s="48">
        <v>14</v>
      </c>
      <c r="C156" s="159"/>
      <c r="D156" s="94">
        <v>43001</v>
      </c>
      <c r="E156" s="31" t="str">
        <f ca="1">VLOOKUP(D156,OFFSET(weekly_missions!$A$2,0,0,COUNTA(weekly_missions!$A:$A),MATCH(E$2,weekly_missions!$2:$2,0)-MATCH(D$2,weekly_missions!$2:$2,0)+1),MATCH(E$2,weekly_missions!$2:$2,0)-MATCH(D$2,weekly_missions!$2:$2,0)+1,FALSE)</f>
        <v>土日限定クエスト：【上級】ゴールドカジノ をクリアしよう！</v>
      </c>
      <c r="F156" s="31" t="str">
        <f ca="1">VLOOKUP(D156,OFFSET(weekly_missions!$A$2,0,0,COUNTA(weekly_missions!$A:$A),MATCH(F$2,weekly_missions!$2:$2,0)-MATCH(D$2,weekly_missions!$2:$2,0)+1),MATCH(F$2,weekly_missions!$2:$2,0)-MATCH(D$2,weekly_missions!$2:$2,0)+1,FALSE)</f>
        <v>リンク x 300</v>
      </c>
      <c r="G156" s="53">
        <v>1</v>
      </c>
      <c r="H156" s="1" t="s">
        <v>1163</v>
      </c>
    </row>
    <row r="157" spans="1:12" ht="21" customHeight="1" x14ac:dyDescent="0.15">
      <c r="A157" s="50" t="str">
        <f t="shared" ref="A157:A162" si="24">B157&amp;"_"&amp;D157</f>
        <v>15_40030</v>
      </c>
      <c r="B157" s="48">
        <v>15</v>
      </c>
      <c r="C157" s="157" t="s">
        <v>1602</v>
      </c>
      <c r="D157" s="94">
        <v>40030</v>
      </c>
      <c r="E157" s="31" t="str">
        <f ca="1">VLOOKUP(D157,OFFSET(weekly_missions!$A$2,0,0,COUNTA(weekly_missions!$A:$A),MATCH(E$2,weekly_missions!$2:$2,0)-MATCH(D$2,weekly_missions!$2:$2,0)+1),MATCH(E$2,weekly_missions!$2:$2,0)-MATCH(D$2,weekly_missions!$2:$2,0)+1,FALSE)</f>
        <v>通算 3 日ログインしよう！</v>
      </c>
      <c r="F157" s="31" t="str">
        <f ca="1">VLOOKUP(D157,OFFSET(weekly_missions!$A$2,0,0,COUNTA(weekly_missions!$A:$A),MATCH(F$2,weekly_missions!$2:$2,0)-MATCH(D$2,weekly_missions!$2:$2,0)+1),MATCH(F$2,weekly_missions!$2:$2,0)-MATCH(D$2,weekly_missions!$2:$2,0)+1,FALSE)</f>
        <v>ビット x 30000</v>
      </c>
      <c r="G157" s="53">
        <v>1000</v>
      </c>
      <c r="H157" s="1" t="s">
        <v>1147</v>
      </c>
    </row>
    <row r="158" spans="1:12" ht="21" customHeight="1" x14ac:dyDescent="0.15">
      <c r="A158" s="50" t="str">
        <f t="shared" si="24"/>
        <v>15_40050</v>
      </c>
      <c r="B158" s="48">
        <v>15</v>
      </c>
      <c r="C158" s="158"/>
      <c r="D158" s="94">
        <v>40050</v>
      </c>
      <c r="E158" s="31" t="str">
        <f ca="1">VLOOKUP(D158,OFFSET(weekly_missions!$A$2,0,0,COUNTA(weekly_missions!$A:$A),MATCH(E$2,weekly_missions!$2:$2,0)-MATCH(D$2,weekly_missions!$2:$2,0)+1),MATCH(E$2,weekly_missions!$2:$2,0)-MATCH(D$2,weekly_missions!$2:$2,0)+1,FALSE)</f>
        <v>通算 5 日ログインしよう！</v>
      </c>
      <c r="F158" s="31" t="str">
        <f ca="1">VLOOKUP(D158,OFFSET(weekly_missions!$A$2,0,0,COUNTA(weekly_missions!$A:$A),MATCH(F$2,weekly_missions!$2:$2,0)-MATCH(D$2,weekly_missions!$2:$2,0)+1),MATCH(F$2,weekly_missions!$2:$2,0)-MATCH(D$2,weekly_missions!$2:$2,0)+1,FALSE)</f>
        <v>リンク x 500</v>
      </c>
      <c r="G158" s="53">
        <v>1001</v>
      </c>
      <c r="H158" s="1" t="s">
        <v>1148</v>
      </c>
    </row>
    <row r="159" spans="1:12" ht="21" customHeight="1" x14ac:dyDescent="0.15">
      <c r="A159" s="50" t="str">
        <f t="shared" si="24"/>
        <v>15_40070</v>
      </c>
      <c r="B159" s="48">
        <v>15</v>
      </c>
      <c r="C159" s="158"/>
      <c r="D159" s="94">
        <v>40070</v>
      </c>
      <c r="E159" s="31" t="str">
        <f ca="1">VLOOKUP(D159,OFFSET(weekly_missions!$A$2,0,0,COUNTA(weekly_missions!$A:$A),MATCH(E$2,weekly_missions!$2:$2,0)-MATCH(D$2,weekly_missions!$2:$2,0)+1),MATCH(E$2,weekly_missions!$2:$2,0)-MATCH(D$2,weekly_missions!$2:$2,0)+1,FALSE)</f>
        <v>通算 7 日ログインしよう！</v>
      </c>
      <c r="F159" s="31" t="str">
        <f ca="1">VLOOKUP(D159,OFFSET(weekly_missions!$A$2,0,0,COUNTA(weekly_missions!$A:$A),MATCH(F$2,weekly_missions!$2:$2,0)-MATCH(D$2,weekly_missions!$2:$2,0)+1),MATCH(F$2,weekly_missions!$2:$2,0)-MATCH(D$2,weekly_missions!$2:$2,0)+1,FALSE)</f>
        <v>ポリゴン x 1</v>
      </c>
      <c r="G159" s="53">
        <v>1002</v>
      </c>
      <c r="H159" s="1" t="s">
        <v>1149</v>
      </c>
    </row>
    <row r="160" spans="1:12" ht="21" customHeight="1" x14ac:dyDescent="0.15">
      <c r="A160" s="50" t="str">
        <f t="shared" si="24"/>
        <v>15_41032</v>
      </c>
      <c r="B160" s="48">
        <v>15</v>
      </c>
      <c r="C160" s="158"/>
      <c r="D160" s="93">
        <v>41032</v>
      </c>
      <c r="E160" s="31" t="str">
        <f ca="1">VLOOKUP(D160,OFFSET(weekly_missions!$A$2,0,0,COUNTA(weekly_missions!$A:$A),MATCH(E$2,weekly_missions!$2:$2,0)-MATCH(D$2,weekly_missions!$2:$2,0)+1),MATCH(E$2,weekly_missions!$2:$2,0)-MATCH(D$2,weekly_missions!$2:$2,0)+1,FALSE)</f>
        <v>クエストを通算 3 回クリアしよう！</v>
      </c>
      <c r="F160" s="31" t="str">
        <f ca="1">VLOOKUP(D160,OFFSET(weekly_missions!$A$2,0,0,COUNTA(weekly_missions!$A:$A),MATCH(F$2,weekly_missions!$2:$2,0)-MATCH(D$2,weekly_missions!$2:$2,0)+1),MATCH(F$2,weekly_missions!$2:$2,0)-MATCH(D$2,weekly_missions!$2:$2,0)+1,FALSE)</f>
        <v>メガ癒しの果実 x 1</v>
      </c>
      <c r="G160" s="53">
        <v>30</v>
      </c>
      <c r="H160" s="1" t="s">
        <v>1150</v>
      </c>
    </row>
    <row r="161" spans="1:12" ht="21" customHeight="1" x14ac:dyDescent="0.15">
      <c r="A161" s="50" t="str">
        <f t="shared" si="24"/>
        <v>15_41051</v>
      </c>
      <c r="B161" s="48">
        <v>15</v>
      </c>
      <c r="C161" s="158"/>
      <c r="D161" s="77">
        <v>41051</v>
      </c>
      <c r="E161" s="31" t="str">
        <f ca="1">VLOOKUP(D161,OFFSET(weekly_missions!$A$2,0,0,COUNTA(weekly_missions!$A:$A),MATCH(E$2,weekly_missions!$2:$2,0)-MATCH(D$2,weekly_missions!$2:$2,0)+1),MATCH(E$2,weekly_missions!$2:$2,0)-MATCH(D$2,weekly_missions!$2:$2,0)+1,FALSE)</f>
        <v>クエストを通算 5 回クリアしよう！</v>
      </c>
      <c r="F161" s="31" t="str">
        <f ca="1">VLOOKUP(D161,OFFSET(weekly_missions!$A$2,0,0,COUNTA(weekly_missions!$A:$A),MATCH(F$2,weekly_missions!$2:$2,0)-MATCH(D$2,weekly_missions!$2:$2,0)+1),MATCH(F$2,weekly_missions!$2:$2,0)-MATCH(D$2,weekly_missions!$2:$2,0)+1,FALSE)</f>
        <v>森のメタルダック x 1</v>
      </c>
      <c r="G161" s="53">
        <v>50</v>
      </c>
      <c r="H161" s="1" t="s">
        <v>1151</v>
      </c>
      <c r="I161" s="1" t="s">
        <v>1226</v>
      </c>
      <c r="J161" s="1" t="s">
        <v>1229</v>
      </c>
      <c r="K161" s="1" t="s">
        <v>1235</v>
      </c>
    </row>
    <row r="162" spans="1:12" ht="21" customHeight="1" x14ac:dyDescent="0.15">
      <c r="A162" s="50" t="str">
        <f t="shared" si="24"/>
        <v>15_41100</v>
      </c>
      <c r="B162" s="48">
        <v>15</v>
      </c>
      <c r="C162" s="158"/>
      <c r="D162" s="93">
        <v>41100</v>
      </c>
      <c r="E162" s="31" t="str">
        <f ca="1">VLOOKUP(D162,OFFSET(weekly_missions!$A$2,0,0,COUNTA(weekly_missions!$A:$A),MATCH(E$2,weekly_missions!$2:$2,0)-MATCH(D$2,weekly_missions!$2:$2,0)+1),MATCH(E$2,weekly_missions!$2:$2,0)-MATCH(D$2,weekly_missions!$2:$2,0)+1,FALSE)</f>
        <v>クエストを通算 10 回クリアしよう！</v>
      </c>
      <c r="F162" s="31" t="str">
        <f ca="1">VLOOKUP(D162,OFFSET(weekly_missions!$A$2,0,0,COUNTA(weekly_missions!$A:$A),MATCH(F$2,weekly_missions!$2:$2,0)-MATCH(D$2,weekly_missions!$2:$2,0)+1),MATCH(F$2,weekly_missions!$2:$2,0)-MATCH(D$2,weekly_missions!$2:$2,0)+1,FALSE)</f>
        <v>メガ攻めの果実 x 1</v>
      </c>
      <c r="G162" s="53">
        <v>100</v>
      </c>
      <c r="H162" s="1" t="s">
        <v>1152</v>
      </c>
    </row>
    <row r="163" spans="1:12" ht="21" customHeight="1" x14ac:dyDescent="0.15">
      <c r="A163" s="50" t="str">
        <f>B163&amp;"_"&amp;D163</f>
        <v>15_41153</v>
      </c>
      <c r="B163" s="48">
        <v>15</v>
      </c>
      <c r="C163" s="158"/>
      <c r="D163" s="77">
        <v>41153</v>
      </c>
      <c r="E163" s="31" t="str">
        <f ca="1">VLOOKUP(D163,OFFSET(weekly_missions!$A$2,0,0,COUNTA(weekly_missions!$A:$A),MATCH(E$2,weekly_missions!$2:$2,0)-MATCH(D$2,weekly_missions!$2:$2,0)+1),MATCH(E$2,weekly_missions!$2:$2,0)-MATCH(D$2,weekly_missions!$2:$2,0)+1,FALSE)</f>
        <v>クエストを通算 15 回クリアしよう！</v>
      </c>
      <c r="F163" s="31" t="str">
        <f ca="1">VLOOKUP(D163,OFFSET(weekly_missions!$A$2,0,0,COUNTA(weekly_missions!$A:$A),MATCH(F$2,weekly_missions!$2:$2,0)-MATCH(D$2,weekly_missions!$2:$2,0)+1),MATCH(F$2,weekly_missions!$2:$2,0)-MATCH(D$2,weekly_missions!$2:$2,0)+1,FALSE)</f>
        <v>雷のメタルダック x 1</v>
      </c>
      <c r="G163" s="53">
        <v>150</v>
      </c>
      <c r="H163" s="1" t="s">
        <v>1153</v>
      </c>
      <c r="I163" s="1" t="s">
        <v>1226</v>
      </c>
      <c r="J163" s="1" t="s">
        <v>1226</v>
      </c>
      <c r="L163" s="1" t="s">
        <v>1229</v>
      </c>
    </row>
    <row r="164" spans="1:12" ht="21" customHeight="1" x14ac:dyDescent="0.15">
      <c r="A164" s="50" t="str">
        <f>B164&amp;"_"&amp;D164</f>
        <v>15_41201</v>
      </c>
      <c r="B164" s="48">
        <v>15</v>
      </c>
      <c r="C164" s="158"/>
      <c r="D164" s="93">
        <v>41201</v>
      </c>
      <c r="E164" s="31" t="str">
        <f ca="1">VLOOKUP(D164,OFFSET(weekly_missions!$A$2,0,0,COUNTA(weekly_missions!$A:$A),MATCH(E$2,weekly_missions!$2:$2,0)-MATCH(D$2,weekly_missions!$2:$2,0)+1),MATCH(E$2,weekly_missions!$2:$2,0)-MATCH(D$2,weekly_missions!$2:$2,0)+1,FALSE)</f>
        <v>クエストを通算 20 回クリアしよう！</v>
      </c>
      <c r="F164" s="31" t="str">
        <f ca="1">VLOOKUP(D164,OFFSET(weekly_missions!$A$2,0,0,COUNTA(weekly_missions!$A:$A),MATCH(F$2,weekly_missions!$2:$2,0)-MATCH(D$2,weekly_missions!$2:$2,0)+1),MATCH(F$2,weekly_missions!$2:$2,0)-MATCH(D$2,weekly_missions!$2:$2,0)+1,FALSE)</f>
        <v>メガ生命の果実 x 1</v>
      </c>
      <c r="G164" s="53">
        <v>200</v>
      </c>
      <c r="H164" s="1" t="s">
        <v>1154</v>
      </c>
    </row>
    <row r="165" spans="1:12" ht="21" customHeight="1" x14ac:dyDescent="0.15">
      <c r="A165" s="50" t="str">
        <f>B165&amp;"_"&amp;D165</f>
        <v>15_41300</v>
      </c>
      <c r="B165" s="48">
        <v>15</v>
      </c>
      <c r="C165" s="158"/>
      <c r="D165" s="94">
        <v>41300</v>
      </c>
      <c r="E165" s="31" t="str">
        <f ca="1">VLOOKUP(D165,OFFSET(weekly_missions!$A$2,0,0,COUNTA(weekly_missions!$A:$A),MATCH(E$2,weekly_missions!$2:$2,0)-MATCH(D$2,weekly_missions!$2:$2,0)+1),MATCH(E$2,weekly_missions!$2:$2,0)-MATCH(D$2,weekly_missions!$2:$2,0)+1,FALSE)</f>
        <v>クエストを通算 30 回クリアしよう！</v>
      </c>
      <c r="F165" s="31" t="str">
        <f ca="1">VLOOKUP(D165,OFFSET(weekly_missions!$A$2,0,0,COUNTA(weekly_missions!$A:$A),MATCH(F$2,weekly_missions!$2:$2,0)-MATCH(D$2,weekly_missions!$2:$2,0)+1),MATCH(F$2,weekly_missions!$2:$2,0)-MATCH(D$2,weekly_missions!$2:$2,0)+1,FALSE)</f>
        <v>秘術の果実 x 1</v>
      </c>
      <c r="G165" s="53">
        <v>300</v>
      </c>
      <c r="H165" s="1" t="s">
        <v>1155</v>
      </c>
    </row>
    <row r="166" spans="1:12" ht="21" customHeight="1" x14ac:dyDescent="0.15">
      <c r="A166" s="50" t="str">
        <f t="shared" ref="A166:A179" si="25">B166&amp;"_"&amp;D166</f>
        <v>15_42030</v>
      </c>
      <c r="B166" s="48">
        <v>15</v>
      </c>
      <c r="C166" s="158"/>
      <c r="D166" s="93">
        <v>42030</v>
      </c>
      <c r="E166" s="31" t="str">
        <f ca="1">VLOOKUP(D166,OFFSET(weekly_missions!$A$2,0,0,COUNTA(weekly_missions!$A:$A),MATCH(E$2,weekly_missions!$2:$2,0)-MATCH(D$2,weekly_missions!$2:$2,0)+1),MATCH(E$2,weekly_missions!$2:$2,0)-MATCH(D$2,weekly_missions!$2:$2,0)+1,FALSE)</f>
        <v>マルチプレイを 3 回プレイしよう！</v>
      </c>
      <c r="F166" s="31" t="str">
        <f ca="1">VLOOKUP(D166,OFFSET(weekly_missions!$A$2,0,0,COUNTA(weekly_missions!$A:$A),MATCH(F$2,weekly_missions!$2:$2,0)-MATCH(D$2,weekly_missions!$2:$2,0)+1),MATCH(F$2,weekly_missions!$2:$2,0)-MATCH(D$2,weekly_missions!$2:$2,0)+1,FALSE)</f>
        <v>メガ攻めの果実 x 1</v>
      </c>
      <c r="G166" s="53">
        <v>31</v>
      </c>
      <c r="H166" s="1" t="s">
        <v>1156</v>
      </c>
    </row>
    <row r="167" spans="1:12" ht="21" customHeight="1" x14ac:dyDescent="0.15">
      <c r="A167" s="50" t="str">
        <f t="shared" si="25"/>
        <v>15_42052</v>
      </c>
      <c r="B167" s="48">
        <v>15</v>
      </c>
      <c r="C167" s="158"/>
      <c r="D167" s="77">
        <v>42052</v>
      </c>
      <c r="E167" s="31" t="str">
        <f ca="1">VLOOKUP(D167,OFFSET(weekly_missions!$A$2,0,0,COUNTA(weekly_missions!$A:$A),MATCH(E$2,weekly_missions!$2:$2,0)-MATCH(D$2,weekly_missions!$2:$2,0)+1),MATCH(E$2,weekly_missions!$2:$2,0)-MATCH(D$2,weekly_missions!$2:$2,0)+1,FALSE)</f>
        <v>マルチプレイを 5 回プレイしよう！</v>
      </c>
      <c r="F167" s="31" t="str">
        <f ca="1">VLOOKUP(D167,OFFSET(weekly_missions!$A$2,0,0,COUNTA(weekly_missions!$A:$A),MATCH(F$2,weekly_missions!$2:$2,0)-MATCH(D$2,weekly_missions!$2:$2,0)+1),MATCH(F$2,weekly_missions!$2:$2,0)-MATCH(D$2,weekly_missions!$2:$2,0)+1,FALSE)</f>
        <v>水のメタルダック x 1</v>
      </c>
      <c r="G167" s="53">
        <v>51</v>
      </c>
      <c r="H167" s="1" t="s">
        <v>1157</v>
      </c>
      <c r="I167" s="1" t="s">
        <v>1240</v>
      </c>
      <c r="J167" s="1" t="s">
        <v>1235</v>
      </c>
      <c r="K167" s="1" t="s">
        <v>1229</v>
      </c>
    </row>
    <row r="168" spans="1:12" ht="21" customHeight="1" x14ac:dyDescent="0.15">
      <c r="A168" s="50" t="str">
        <f t="shared" si="25"/>
        <v>15_42101</v>
      </c>
      <c r="B168" s="48">
        <v>15</v>
      </c>
      <c r="C168" s="158"/>
      <c r="D168" s="93">
        <v>42101</v>
      </c>
      <c r="E168" s="31" t="str">
        <f ca="1">VLOOKUP(D168,OFFSET(weekly_missions!$A$2,0,0,COUNTA(weekly_missions!$A:$A),MATCH(E$2,weekly_missions!$2:$2,0)-MATCH(D$2,weekly_missions!$2:$2,0)+1),MATCH(E$2,weekly_missions!$2:$2,0)-MATCH(D$2,weekly_missions!$2:$2,0)+1,FALSE)</f>
        <v>マルチプレイを 10 回プレイしよう！</v>
      </c>
      <c r="F168" s="31" t="str">
        <f ca="1">VLOOKUP(D168,OFFSET(weekly_missions!$A$2,0,0,COUNTA(weekly_missions!$A:$A),MATCH(F$2,weekly_missions!$2:$2,0)-MATCH(D$2,weekly_missions!$2:$2,0)+1),MATCH(F$2,weekly_missions!$2:$2,0)-MATCH(D$2,weekly_missions!$2:$2,0)+1,FALSE)</f>
        <v>メガ生命の果実 x 1</v>
      </c>
      <c r="G168" s="53">
        <v>101</v>
      </c>
      <c r="H168" s="1" t="s">
        <v>1158</v>
      </c>
    </row>
    <row r="169" spans="1:12" ht="21" customHeight="1" x14ac:dyDescent="0.15">
      <c r="A169" s="50" t="str">
        <f t="shared" si="25"/>
        <v>15_42150</v>
      </c>
      <c r="B169" s="48">
        <v>15</v>
      </c>
      <c r="C169" s="158"/>
      <c r="D169" s="77">
        <v>42150</v>
      </c>
      <c r="E169" s="31" t="str">
        <f ca="1">VLOOKUP(D169,OFFSET(weekly_missions!$A$2,0,0,COUNTA(weekly_missions!$A:$A),MATCH(E$2,weekly_missions!$2:$2,0)-MATCH(D$2,weekly_missions!$2:$2,0)+1),MATCH(E$2,weekly_missions!$2:$2,0)-MATCH(D$2,weekly_missions!$2:$2,0)+1,FALSE)</f>
        <v>マルチプレイを 15 回プレイしよう！</v>
      </c>
      <c r="F169" s="31" t="str">
        <f ca="1">VLOOKUP(D169,OFFSET(weekly_missions!$A$2,0,0,COUNTA(weekly_missions!$A:$A),MATCH(F$2,weekly_missions!$2:$2,0)-MATCH(D$2,weekly_missions!$2:$2,0)+1),MATCH(F$2,weekly_missions!$2:$2,0)-MATCH(D$2,weekly_missions!$2:$2,0)+1,FALSE)</f>
        <v>炎のメタルダック x 1</v>
      </c>
      <c r="G169" s="53">
        <v>151</v>
      </c>
      <c r="H169" s="1" t="s">
        <v>1159</v>
      </c>
      <c r="I169" s="1" t="s">
        <v>1242</v>
      </c>
      <c r="J169" s="1" t="s">
        <v>1226</v>
      </c>
      <c r="K169" s="1" t="s">
        <v>1240</v>
      </c>
    </row>
    <row r="170" spans="1:12" ht="21" customHeight="1" x14ac:dyDescent="0.15">
      <c r="A170" s="50" t="str">
        <f t="shared" si="25"/>
        <v>15_42202</v>
      </c>
      <c r="B170" s="48">
        <v>15</v>
      </c>
      <c r="C170" s="158"/>
      <c r="D170" s="93">
        <v>42202</v>
      </c>
      <c r="E170" s="31" t="str">
        <f ca="1">VLOOKUP(D170,OFFSET(weekly_missions!$A$2,0,0,COUNTA(weekly_missions!$A:$A),MATCH(E$2,weekly_missions!$2:$2,0)-MATCH(D$2,weekly_missions!$2:$2,0)+1),MATCH(E$2,weekly_missions!$2:$2,0)-MATCH(D$2,weekly_missions!$2:$2,0)+1,FALSE)</f>
        <v>マルチプレイを 20 回プレイしよう！</v>
      </c>
      <c r="F170" s="31" t="str">
        <f ca="1">VLOOKUP(D170,OFFSET(weekly_missions!$A$2,0,0,COUNTA(weekly_missions!$A:$A),MATCH(F$2,weekly_missions!$2:$2,0)-MATCH(D$2,weekly_missions!$2:$2,0)+1),MATCH(F$2,weekly_missions!$2:$2,0)-MATCH(D$2,weekly_missions!$2:$2,0)+1,FALSE)</f>
        <v>メガ癒しの果実 x 1</v>
      </c>
      <c r="G170" s="53">
        <v>202</v>
      </c>
      <c r="H170" s="1" t="s">
        <v>1160</v>
      </c>
    </row>
    <row r="171" spans="1:12" ht="21" customHeight="1" x14ac:dyDescent="0.15">
      <c r="A171" s="50" t="str">
        <f t="shared" si="25"/>
        <v>15_42300</v>
      </c>
      <c r="B171" s="48">
        <v>15</v>
      </c>
      <c r="C171" s="158"/>
      <c r="D171" s="94">
        <v>42300</v>
      </c>
      <c r="E171" s="31" t="str">
        <f ca="1">VLOOKUP(D171,OFFSET(weekly_missions!$A$2,0,0,COUNTA(weekly_missions!$A:$A),MATCH(E$2,weekly_missions!$2:$2,0)-MATCH(D$2,weekly_missions!$2:$2,0)+1),MATCH(E$2,weekly_missions!$2:$2,0)-MATCH(D$2,weekly_missions!$2:$2,0)+1,FALSE)</f>
        <v>マルチプレイを 30 回プレイしよう！</v>
      </c>
      <c r="F171" s="31" t="str">
        <f ca="1">VLOOKUP(D171,OFFSET(weekly_missions!$A$2,0,0,COUNTA(weekly_missions!$A:$A),MATCH(F$2,weekly_missions!$2:$2,0)-MATCH(D$2,weekly_missions!$2:$2,0)+1),MATCH(F$2,weekly_missions!$2:$2,0)-MATCH(D$2,weekly_missions!$2:$2,0)+1,FALSE)</f>
        <v>ポリゴン x 1</v>
      </c>
      <c r="G171" s="53">
        <v>301</v>
      </c>
      <c r="H171" s="1" t="s">
        <v>1161</v>
      </c>
    </row>
    <row r="172" spans="1:12" ht="21" customHeight="1" x14ac:dyDescent="0.15">
      <c r="A172" s="50" t="str">
        <f t="shared" si="25"/>
        <v>15_43002</v>
      </c>
      <c r="B172" s="48">
        <v>15</v>
      </c>
      <c r="C172" s="158"/>
      <c r="D172" s="94">
        <v>43002</v>
      </c>
      <c r="E172" s="31" t="str">
        <f ca="1">VLOOKUP(D172,OFFSET(weekly_missions!$A$2,0,0,COUNTA(weekly_missions!$A:$A),MATCH(E$2,weekly_missions!$2:$2,0)-MATCH(D$2,weekly_missions!$2:$2,0)+1),MATCH(E$2,weekly_missions!$2:$2,0)-MATCH(D$2,weekly_missions!$2:$2,0)+1,FALSE)</f>
        <v>ゲリラクエスト：【超級】メタルダックを捕獲せよ！をクリアしよう！</v>
      </c>
      <c r="F172" s="31" t="str">
        <f ca="1">VLOOKUP(D172,OFFSET(weekly_missions!$A$2,0,0,COUNTA(weekly_missions!$A:$A),MATCH(F$2,weekly_missions!$2:$2,0)-MATCH(D$2,weekly_missions!$2:$2,0)+1),MATCH(F$2,weekly_missions!$2:$2,0)-MATCH(D$2,weekly_missions!$2:$2,0)+1,FALSE)</f>
        <v>ビット x 100000</v>
      </c>
      <c r="G172" s="53">
        <v>2</v>
      </c>
      <c r="H172" s="1" t="s">
        <v>1162</v>
      </c>
    </row>
    <row r="173" spans="1:12" ht="21" customHeight="1" x14ac:dyDescent="0.15">
      <c r="A173" s="50" t="str">
        <f t="shared" si="25"/>
        <v>15_43001</v>
      </c>
      <c r="B173" s="48">
        <v>15</v>
      </c>
      <c r="C173" s="159"/>
      <c r="D173" s="94">
        <v>43001</v>
      </c>
      <c r="E173" s="31" t="str">
        <f ca="1">VLOOKUP(D173,OFFSET(weekly_missions!$A$2,0,0,COUNTA(weekly_missions!$A:$A),MATCH(E$2,weekly_missions!$2:$2,0)-MATCH(D$2,weekly_missions!$2:$2,0)+1),MATCH(E$2,weekly_missions!$2:$2,0)-MATCH(D$2,weekly_missions!$2:$2,0)+1,FALSE)</f>
        <v>土日限定クエスト：【上級】ゴールドカジノ をクリアしよう！</v>
      </c>
      <c r="F173" s="31" t="str">
        <f ca="1">VLOOKUP(D173,OFFSET(weekly_missions!$A$2,0,0,COUNTA(weekly_missions!$A:$A),MATCH(F$2,weekly_missions!$2:$2,0)-MATCH(D$2,weekly_missions!$2:$2,0)+1),MATCH(F$2,weekly_missions!$2:$2,0)-MATCH(D$2,weekly_missions!$2:$2,0)+1,FALSE)</f>
        <v>リンク x 300</v>
      </c>
      <c r="G173" s="53">
        <v>1</v>
      </c>
      <c r="H173" s="1" t="s">
        <v>1163</v>
      </c>
    </row>
    <row r="174" spans="1:12" ht="21" customHeight="1" x14ac:dyDescent="0.15">
      <c r="A174" s="50" t="str">
        <f t="shared" si="25"/>
        <v>16_40030</v>
      </c>
      <c r="B174" s="48">
        <v>16</v>
      </c>
      <c r="C174" s="157" t="s">
        <v>2224</v>
      </c>
      <c r="D174" s="94">
        <v>40030</v>
      </c>
      <c r="E174" s="31" t="str">
        <f ca="1">VLOOKUP(D174,OFFSET(weekly_missions!$A$2,0,0,COUNTA(weekly_missions!$A:$A),MATCH(E$2,weekly_missions!$2:$2,0)-MATCH(D$2,weekly_missions!$2:$2,0)+1),MATCH(E$2,weekly_missions!$2:$2,0)-MATCH(D$2,weekly_missions!$2:$2,0)+1,FALSE)</f>
        <v>通算 3 日ログインしよう！</v>
      </c>
      <c r="F174" s="31" t="str">
        <f ca="1">VLOOKUP(D174,OFFSET(weekly_missions!$A$2,0,0,COUNTA(weekly_missions!$A:$A),MATCH(F$2,weekly_missions!$2:$2,0)-MATCH(D$2,weekly_missions!$2:$2,0)+1),MATCH(F$2,weekly_missions!$2:$2,0)-MATCH(D$2,weekly_missions!$2:$2,0)+1,FALSE)</f>
        <v>ビット x 30000</v>
      </c>
      <c r="G174" s="53">
        <v>1000</v>
      </c>
      <c r="H174" s="1" t="s">
        <v>1147</v>
      </c>
    </row>
    <row r="175" spans="1:12" ht="21" customHeight="1" x14ac:dyDescent="0.15">
      <c r="A175" s="50" t="str">
        <f t="shared" si="25"/>
        <v>16_40050</v>
      </c>
      <c r="B175" s="48">
        <v>16</v>
      </c>
      <c r="C175" s="158"/>
      <c r="D175" s="94">
        <v>40050</v>
      </c>
      <c r="E175" s="31" t="str">
        <f ca="1">VLOOKUP(D175,OFFSET(weekly_missions!$A$2,0,0,COUNTA(weekly_missions!$A:$A),MATCH(E$2,weekly_missions!$2:$2,0)-MATCH(D$2,weekly_missions!$2:$2,0)+1),MATCH(E$2,weekly_missions!$2:$2,0)-MATCH(D$2,weekly_missions!$2:$2,0)+1,FALSE)</f>
        <v>通算 5 日ログインしよう！</v>
      </c>
      <c r="F175" s="31" t="str">
        <f ca="1">VLOOKUP(D175,OFFSET(weekly_missions!$A$2,0,0,COUNTA(weekly_missions!$A:$A),MATCH(F$2,weekly_missions!$2:$2,0)-MATCH(D$2,weekly_missions!$2:$2,0)+1),MATCH(F$2,weekly_missions!$2:$2,0)-MATCH(D$2,weekly_missions!$2:$2,0)+1,FALSE)</f>
        <v>リンク x 500</v>
      </c>
      <c r="G175" s="53">
        <v>1001</v>
      </c>
      <c r="H175" s="1" t="s">
        <v>1148</v>
      </c>
    </row>
    <row r="176" spans="1:12" ht="21" customHeight="1" x14ac:dyDescent="0.15">
      <c r="A176" s="50" t="str">
        <f t="shared" si="25"/>
        <v>16_40070</v>
      </c>
      <c r="B176" s="48">
        <v>16</v>
      </c>
      <c r="C176" s="158"/>
      <c r="D176" s="94">
        <v>40070</v>
      </c>
      <c r="E176" s="31" t="str">
        <f ca="1">VLOOKUP(D176,OFFSET(weekly_missions!$A$2,0,0,COUNTA(weekly_missions!$A:$A),MATCH(E$2,weekly_missions!$2:$2,0)-MATCH(D$2,weekly_missions!$2:$2,0)+1),MATCH(E$2,weekly_missions!$2:$2,0)-MATCH(D$2,weekly_missions!$2:$2,0)+1,FALSE)</f>
        <v>通算 7 日ログインしよう！</v>
      </c>
      <c r="F176" s="31" t="str">
        <f ca="1">VLOOKUP(D176,OFFSET(weekly_missions!$A$2,0,0,COUNTA(weekly_missions!$A:$A),MATCH(F$2,weekly_missions!$2:$2,0)-MATCH(D$2,weekly_missions!$2:$2,0)+1),MATCH(F$2,weekly_missions!$2:$2,0)-MATCH(D$2,weekly_missions!$2:$2,0)+1,FALSE)</f>
        <v>ポリゴン x 1</v>
      </c>
      <c r="G176" s="53">
        <v>1002</v>
      </c>
      <c r="H176" s="1" t="s">
        <v>1149</v>
      </c>
    </row>
    <row r="177" spans="1:12" ht="21" customHeight="1" x14ac:dyDescent="0.15">
      <c r="A177" s="50" t="str">
        <f t="shared" si="25"/>
        <v>16_41030</v>
      </c>
      <c r="B177" s="48">
        <v>16</v>
      </c>
      <c r="C177" s="158"/>
      <c r="D177" s="93">
        <v>41030</v>
      </c>
      <c r="E177" s="31" t="str">
        <f ca="1">VLOOKUP(D177,OFFSET(weekly_missions!$A$2,0,0,COUNTA(weekly_missions!$A:$A),MATCH(E$2,weekly_missions!$2:$2,0)-MATCH(D$2,weekly_missions!$2:$2,0)+1),MATCH(E$2,weekly_missions!$2:$2,0)-MATCH(D$2,weekly_missions!$2:$2,0)+1,FALSE)</f>
        <v>クエストを通算 3 回クリアしよう！</v>
      </c>
      <c r="F177" s="31" t="str">
        <f ca="1">VLOOKUP(D177,OFFSET(weekly_missions!$A$2,0,0,COUNTA(weekly_missions!$A:$A),MATCH(F$2,weekly_missions!$2:$2,0)-MATCH(D$2,weekly_missions!$2:$2,0)+1),MATCH(F$2,weekly_missions!$2:$2,0)-MATCH(D$2,weekly_missions!$2:$2,0)+1,FALSE)</f>
        <v>メガ攻めの果実 x 1</v>
      </c>
      <c r="G177" s="53">
        <v>30</v>
      </c>
      <c r="H177" s="1" t="s">
        <v>1150</v>
      </c>
    </row>
    <row r="178" spans="1:12" ht="21" customHeight="1" x14ac:dyDescent="0.15">
      <c r="A178" s="50" t="str">
        <f t="shared" si="25"/>
        <v>16_41052</v>
      </c>
      <c r="B178" s="48">
        <v>16</v>
      </c>
      <c r="C178" s="158"/>
      <c r="D178" s="77">
        <v>41052</v>
      </c>
      <c r="E178" s="31" t="str">
        <f ca="1">VLOOKUP(D178,OFFSET(weekly_missions!$A$2,0,0,COUNTA(weekly_missions!$A:$A),MATCH(E$2,weekly_missions!$2:$2,0)-MATCH(D$2,weekly_missions!$2:$2,0)+1),MATCH(E$2,weekly_missions!$2:$2,0)-MATCH(D$2,weekly_missions!$2:$2,0)+1,FALSE)</f>
        <v>クエストを通算 5 回クリアしよう！</v>
      </c>
      <c r="F178" s="31" t="str">
        <f ca="1">VLOOKUP(D178,OFFSET(weekly_missions!$A$2,0,0,COUNTA(weekly_missions!$A:$A),MATCH(F$2,weekly_missions!$2:$2,0)-MATCH(D$2,weekly_missions!$2:$2,0)+1),MATCH(F$2,weekly_missions!$2:$2,0)-MATCH(D$2,weekly_missions!$2:$2,0)+1,FALSE)</f>
        <v>水のメタルダック x 1</v>
      </c>
      <c r="G178" s="53">
        <v>50</v>
      </c>
      <c r="H178" s="1" t="s">
        <v>1151</v>
      </c>
      <c r="I178" s="1" t="s">
        <v>1226</v>
      </c>
      <c r="J178" s="1" t="s">
        <v>1226</v>
      </c>
      <c r="K178" s="1" t="s">
        <v>1229</v>
      </c>
    </row>
    <row r="179" spans="1:12" ht="21" customHeight="1" x14ac:dyDescent="0.15">
      <c r="A179" s="50" t="str">
        <f t="shared" si="25"/>
        <v>16_41101</v>
      </c>
      <c r="B179" s="48">
        <v>16</v>
      </c>
      <c r="C179" s="158"/>
      <c r="D179" s="93">
        <v>41101</v>
      </c>
      <c r="E179" s="31" t="str">
        <f ca="1">VLOOKUP(D179,OFFSET(weekly_missions!$A$2,0,0,COUNTA(weekly_missions!$A:$A),MATCH(E$2,weekly_missions!$2:$2,0)-MATCH(D$2,weekly_missions!$2:$2,0)+1),MATCH(E$2,weekly_missions!$2:$2,0)-MATCH(D$2,weekly_missions!$2:$2,0)+1,FALSE)</f>
        <v>クエストを通算 10 回クリアしよう！</v>
      </c>
      <c r="F179" s="31" t="str">
        <f ca="1">VLOOKUP(D179,OFFSET(weekly_missions!$A$2,0,0,COUNTA(weekly_missions!$A:$A),MATCH(F$2,weekly_missions!$2:$2,0)-MATCH(D$2,weekly_missions!$2:$2,0)+1),MATCH(F$2,weekly_missions!$2:$2,0)-MATCH(D$2,weekly_missions!$2:$2,0)+1,FALSE)</f>
        <v>メガ生命の果実 x 1</v>
      </c>
      <c r="G179" s="53">
        <v>100</v>
      </c>
      <c r="H179" s="1" t="s">
        <v>1152</v>
      </c>
    </row>
    <row r="180" spans="1:12" ht="21" customHeight="1" x14ac:dyDescent="0.15">
      <c r="A180" s="50" t="str">
        <f>B180&amp;"_"&amp;D180</f>
        <v>16_41153</v>
      </c>
      <c r="B180" s="48">
        <v>16</v>
      </c>
      <c r="C180" s="158"/>
      <c r="D180" s="77">
        <v>41153</v>
      </c>
      <c r="E180" s="31" t="str">
        <f ca="1">VLOOKUP(D180,OFFSET(weekly_missions!$A$2,0,0,COUNTA(weekly_missions!$A:$A),MATCH(E$2,weekly_missions!$2:$2,0)-MATCH(D$2,weekly_missions!$2:$2,0)+1),MATCH(E$2,weekly_missions!$2:$2,0)-MATCH(D$2,weekly_missions!$2:$2,0)+1,FALSE)</f>
        <v>クエストを通算 15 回クリアしよう！</v>
      </c>
      <c r="F180" s="31" t="str">
        <f ca="1">VLOOKUP(D180,OFFSET(weekly_missions!$A$2,0,0,COUNTA(weekly_missions!$A:$A),MATCH(F$2,weekly_missions!$2:$2,0)-MATCH(D$2,weekly_missions!$2:$2,0)+1),MATCH(F$2,weekly_missions!$2:$2,0)-MATCH(D$2,weekly_missions!$2:$2,0)+1,FALSE)</f>
        <v>雷のメタルダック x 1</v>
      </c>
      <c r="G180" s="53">
        <v>150</v>
      </c>
      <c r="H180" s="1" t="s">
        <v>1153</v>
      </c>
      <c r="J180" s="1" t="s">
        <v>1226</v>
      </c>
      <c r="K180" s="1" t="s">
        <v>1226</v>
      </c>
      <c r="L180" s="1" t="s">
        <v>1229</v>
      </c>
    </row>
    <row r="181" spans="1:12" ht="21" customHeight="1" x14ac:dyDescent="0.15">
      <c r="A181" s="50" t="str">
        <f>B181&amp;"_"&amp;D181</f>
        <v>16_41202</v>
      </c>
      <c r="B181" s="48">
        <v>16</v>
      </c>
      <c r="C181" s="158"/>
      <c r="D181" s="93">
        <v>41202</v>
      </c>
      <c r="E181" s="31" t="str">
        <f ca="1">VLOOKUP(D181,OFFSET(weekly_missions!$A$2,0,0,COUNTA(weekly_missions!$A:$A),MATCH(E$2,weekly_missions!$2:$2,0)-MATCH(D$2,weekly_missions!$2:$2,0)+1),MATCH(E$2,weekly_missions!$2:$2,0)-MATCH(D$2,weekly_missions!$2:$2,0)+1,FALSE)</f>
        <v>クエストを通算 20 回クリアしよう！</v>
      </c>
      <c r="F181" s="31" t="str">
        <f ca="1">VLOOKUP(D181,OFFSET(weekly_missions!$A$2,0,0,COUNTA(weekly_missions!$A:$A),MATCH(F$2,weekly_missions!$2:$2,0)-MATCH(D$2,weekly_missions!$2:$2,0)+1),MATCH(F$2,weekly_missions!$2:$2,0)-MATCH(D$2,weekly_missions!$2:$2,0)+1,FALSE)</f>
        <v>メガ癒しの果実 x 1</v>
      </c>
      <c r="G181" s="53">
        <v>200</v>
      </c>
      <c r="H181" s="1" t="s">
        <v>1154</v>
      </c>
    </row>
    <row r="182" spans="1:12" ht="21" customHeight="1" x14ac:dyDescent="0.15">
      <c r="A182" s="50" t="str">
        <f>B182&amp;"_"&amp;D182</f>
        <v>16_41300</v>
      </c>
      <c r="B182" s="48">
        <v>16</v>
      </c>
      <c r="C182" s="158"/>
      <c r="D182" s="94">
        <v>41300</v>
      </c>
      <c r="E182" s="31" t="str">
        <f ca="1">VLOOKUP(D182,OFFSET(weekly_missions!$A$2,0,0,COUNTA(weekly_missions!$A:$A),MATCH(E$2,weekly_missions!$2:$2,0)-MATCH(D$2,weekly_missions!$2:$2,0)+1),MATCH(E$2,weekly_missions!$2:$2,0)-MATCH(D$2,weekly_missions!$2:$2,0)+1,FALSE)</f>
        <v>クエストを通算 30 回クリアしよう！</v>
      </c>
      <c r="F182" s="31" t="str">
        <f ca="1">VLOOKUP(D182,OFFSET(weekly_missions!$A$2,0,0,COUNTA(weekly_missions!$A:$A),MATCH(F$2,weekly_missions!$2:$2,0)-MATCH(D$2,weekly_missions!$2:$2,0)+1),MATCH(F$2,weekly_missions!$2:$2,0)-MATCH(D$2,weekly_missions!$2:$2,0)+1,FALSE)</f>
        <v>秘術の果実 x 1</v>
      </c>
      <c r="G182" s="53">
        <v>300</v>
      </c>
      <c r="H182" s="1" t="s">
        <v>1155</v>
      </c>
    </row>
    <row r="183" spans="1:12" ht="21" customHeight="1" x14ac:dyDescent="0.15">
      <c r="A183" s="50" t="str">
        <f t="shared" ref="A183:A185" si="26">B183&amp;"_"&amp;D183</f>
        <v>16_42031</v>
      </c>
      <c r="B183" s="48">
        <v>16</v>
      </c>
      <c r="C183" s="158"/>
      <c r="D183" s="93">
        <v>42031</v>
      </c>
      <c r="E183" s="31" t="str">
        <f ca="1">VLOOKUP(D183,OFFSET(weekly_missions!$A$2,0,0,COUNTA(weekly_missions!$A:$A),MATCH(E$2,weekly_missions!$2:$2,0)-MATCH(D$2,weekly_missions!$2:$2,0)+1),MATCH(E$2,weekly_missions!$2:$2,0)-MATCH(D$2,weekly_missions!$2:$2,0)+1,FALSE)</f>
        <v>マルチプレイを 3 回プレイしよう！</v>
      </c>
      <c r="F183" s="31" t="str">
        <f ca="1">VLOOKUP(D183,OFFSET(weekly_missions!$A$2,0,0,COUNTA(weekly_missions!$A:$A),MATCH(F$2,weekly_missions!$2:$2,0)-MATCH(D$2,weekly_missions!$2:$2,0)+1),MATCH(F$2,weekly_missions!$2:$2,0)-MATCH(D$2,weekly_missions!$2:$2,0)+1,FALSE)</f>
        <v>メガ生命の果実 x 1</v>
      </c>
      <c r="G183" s="53">
        <v>31</v>
      </c>
      <c r="H183" s="1" t="s">
        <v>1156</v>
      </c>
    </row>
    <row r="184" spans="1:12" ht="21" customHeight="1" x14ac:dyDescent="0.15">
      <c r="A184" s="50" t="str">
        <f t="shared" si="26"/>
        <v>16_42050</v>
      </c>
      <c r="B184" s="48">
        <v>16</v>
      </c>
      <c r="C184" s="158"/>
      <c r="D184" s="77">
        <v>42050</v>
      </c>
      <c r="E184" s="31" t="str">
        <f ca="1">VLOOKUP(D184,OFFSET(weekly_missions!$A$2,0,0,COUNTA(weekly_missions!$A:$A),MATCH(E$2,weekly_missions!$2:$2,0)-MATCH(D$2,weekly_missions!$2:$2,0)+1),MATCH(E$2,weekly_missions!$2:$2,0)-MATCH(D$2,weekly_missions!$2:$2,0)+1,FALSE)</f>
        <v>マルチプレイを 5 回プレイしよう！</v>
      </c>
      <c r="F184" s="31" t="str">
        <f ca="1">VLOOKUP(D184,OFFSET(weekly_missions!$A$2,0,0,COUNTA(weekly_missions!$A:$A),MATCH(F$2,weekly_missions!$2:$2,0)-MATCH(D$2,weekly_missions!$2:$2,0)+1),MATCH(F$2,weekly_missions!$2:$2,0)-MATCH(D$2,weekly_missions!$2:$2,0)+1,FALSE)</f>
        <v>炎のメタルダック x 1</v>
      </c>
      <c r="G184" s="53">
        <v>51</v>
      </c>
      <c r="H184" s="1" t="s">
        <v>1157</v>
      </c>
      <c r="I184" s="1" t="s">
        <v>1229</v>
      </c>
      <c r="J184" s="1" t="s">
        <v>1226</v>
      </c>
      <c r="K184" s="1" t="s">
        <v>1226</v>
      </c>
    </row>
    <row r="185" spans="1:12" ht="21" customHeight="1" x14ac:dyDescent="0.15">
      <c r="A185" s="50" t="str">
        <f t="shared" si="26"/>
        <v>16_42102</v>
      </c>
      <c r="B185" s="48">
        <v>16</v>
      </c>
      <c r="C185" s="158"/>
      <c r="D185" s="93">
        <v>42102</v>
      </c>
      <c r="E185" s="31" t="str">
        <f ca="1">VLOOKUP(D185,OFFSET(weekly_missions!$A$2,0,0,COUNTA(weekly_missions!$A:$A),MATCH(E$2,weekly_missions!$2:$2,0)-MATCH(D$2,weekly_missions!$2:$2,0)+1),MATCH(E$2,weekly_missions!$2:$2,0)-MATCH(D$2,weekly_missions!$2:$2,0)+1,FALSE)</f>
        <v>マルチプレイを 10 回プレイしよう！</v>
      </c>
      <c r="F185" s="31" t="str">
        <f ca="1">VLOOKUP(D185,OFFSET(weekly_missions!$A$2,0,0,COUNTA(weekly_missions!$A:$A),MATCH(F$2,weekly_missions!$2:$2,0)-MATCH(D$2,weekly_missions!$2:$2,0)+1),MATCH(F$2,weekly_missions!$2:$2,0)-MATCH(D$2,weekly_missions!$2:$2,0)+1,FALSE)</f>
        <v>メガ癒しの果実 x 1</v>
      </c>
      <c r="G185" s="53">
        <v>101</v>
      </c>
      <c r="H185" s="1" t="s">
        <v>1158</v>
      </c>
    </row>
    <row r="186" spans="1:12" ht="21" customHeight="1" x14ac:dyDescent="0.15">
      <c r="A186" s="50" t="str">
        <f>B186&amp;"_"&amp;D186</f>
        <v>16_42151</v>
      </c>
      <c r="B186" s="48">
        <v>16</v>
      </c>
      <c r="C186" s="158"/>
      <c r="D186" s="77">
        <v>42151</v>
      </c>
      <c r="E186" s="31" t="str">
        <f ca="1">VLOOKUP(D186,OFFSET(weekly_missions!$A$2,0,0,COUNTA(weekly_missions!$A:$A),MATCH(E$2,weekly_missions!$2:$2,0)-MATCH(D$2,weekly_missions!$2:$2,0)+1),MATCH(E$2,weekly_missions!$2:$2,0)-MATCH(D$2,weekly_missions!$2:$2,0)+1,FALSE)</f>
        <v>マルチプレイを 15 回プレイしよう！</v>
      </c>
      <c r="F186" s="31" t="str">
        <f ca="1">VLOOKUP(D186,OFFSET(weekly_missions!$A$2,0,0,COUNTA(weekly_missions!$A:$A),MATCH(F$2,weekly_missions!$2:$2,0)-MATCH(D$2,weekly_missions!$2:$2,0)+1),MATCH(F$2,weekly_missions!$2:$2,0)-MATCH(D$2,weekly_missions!$2:$2,0)+1,FALSE)</f>
        <v>森のメタルダック x 1</v>
      </c>
      <c r="G186" s="53">
        <v>151</v>
      </c>
      <c r="H186" s="1" t="s">
        <v>1159</v>
      </c>
      <c r="I186" s="1" t="s">
        <v>1226</v>
      </c>
      <c r="J186" s="1" t="s">
        <v>1229</v>
      </c>
      <c r="K186" s="1" t="s">
        <v>1226</v>
      </c>
    </row>
    <row r="187" spans="1:12" ht="21" customHeight="1" x14ac:dyDescent="0.15">
      <c r="A187" s="50" t="str">
        <f>B187&amp;"_"&amp;D187</f>
        <v>16_42200</v>
      </c>
      <c r="B187" s="48">
        <v>16</v>
      </c>
      <c r="C187" s="158"/>
      <c r="D187" s="93">
        <v>42200</v>
      </c>
      <c r="E187" s="31" t="str">
        <f ca="1">VLOOKUP(D187,OFFSET(weekly_missions!$A$2,0,0,COUNTA(weekly_missions!$A:$A),MATCH(E$2,weekly_missions!$2:$2,0)-MATCH(D$2,weekly_missions!$2:$2,0)+1),MATCH(E$2,weekly_missions!$2:$2,0)-MATCH(D$2,weekly_missions!$2:$2,0)+1,FALSE)</f>
        <v>マルチプレイを 20 回プレイしよう！</v>
      </c>
      <c r="F187" s="31" t="str">
        <f ca="1">VLOOKUP(D187,OFFSET(weekly_missions!$A$2,0,0,COUNTA(weekly_missions!$A:$A),MATCH(F$2,weekly_missions!$2:$2,0)-MATCH(D$2,weekly_missions!$2:$2,0)+1),MATCH(F$2,weekly_missions!$2:$2,0)-MATCH(D$2,weekly_missions!$2:$2,0)+1,FALSE)</f>
        <v>メガ攻めの果実 x 1</v>
      </c>
      <c r="G187" s="53">
        <v>202</v>
      </c>
      <c r="H187" s="1" t="s">
        <v>1160</v>
      </c>
    </row>
    <row r="188" spans="1:12" ht="21" customHeight="1" x14ac:dyDescent="0.15">
      <c r="A188" s="50" t="str">
        <f>B188&amp;"_"&amp;D188</f>
        <v>16_42300</v>
      </c>
      <c r="B188" s="48">
        <v>16</v>
      </c>
      <c r="C188" s="158"/>
      <c r="D188" s="94">
        <v>42300</v>
      </c>
      <c r="E188" s="31" t="str">
        <f ca="1">VLOOKUP(D188,OFFSET(weekly_missions!$A$2,0,0,COUNTA(weekly_missions!$A:$A),MATCH(E$2,weekly_missions!$2:$2,0)-MATCH(D$2,weekly_missions!$2:$2,0)+1),MATCH(E$2,weekly_missions!$2:$2,0)-MATCH(D$2,weekly_missions!$2:$2,0)+1,FALSE)</f>
        <v>マルチプレイを 30 回プレイしよう！</v>
      </c>
      <c r="F188" s="31" t="str">
        <f ca="1">VLOOKUP(D188,OFFSET(weekly_missions!$A$2,0,0,COUNTA(weekly_missions!$A:$A),MATCH(F$2,weekly_missions!$2:$2,0)-MATCH(D$2,weekly_missions!$2:$2,0)+1),MATCH(F$2,weekly_missions!$2:$2,0)-MATCH(D$2,weekly_missions!$2:$2,0)+1,FALSE)</f>
        <v>ポリゴン x 1</v>
      </c>
      <c r="G188" s="53">
        <v>301</v>
      </c>
      <c r="H188" s="1" t="s">
        <v>1161</v>
      </c>
    </row>
    <row r="189" spans="1:12" ht="21" customHeight="1" x14ac:dyDescent="0.15">
      <c r="A189" s="50" t="str">
        <f>B189&amp;"_"&amp;D189</f>
        <v>16_43002</v>
      </c>
      <c r="B189" s="48">
        <v>16</v>
      </c>
      <c r="C189" s="158"/>
      <c r="D189" s="94">
        <v>43002</v>
      </c>
      <c r="E189" s="31" t="str">
        <f ca="1">VLOOKUP(D189,OFFSET(weekly_missions!$A$2,0,0,COUNTA(weekly_missions!$A:$A),MATCH(E$2,weekly_missions!$2:$2,0)-MATCH(D$2,weekly_missions!$2:$2,0)+1),MATCH(E$2,weekly_missions!$2:$2,0)-MATCH(D$2,weekly_missions!$2:$2,0)+1,FALSE)</f>
        <v>ゲリラクエスト：【超級】メタルダックを捕獲せよ！をクリアしよう！</v>
      </c>
      <c r="F189" s="31" t="str">
        <f ca="1">VLOOKUP(D189,OFFSET(weekly_missions!$A$2,0,0,COUNTA(weekly_missions!$A:$A),MATCH(F$2,weekly_missions!$2:$2,0)-MATCH(D$2,weekly_missions!$2:$2,0)+1),MATCH(F$2,weekly_missions!$2:$2,0)-MATCH(D$2,weekly_missions!$2:$2,0)+1,FALSE)</f>
        <v>ビット x 100000</v>
      </c>
      <c r="G189" s="53">
        <v>2</v>
      </c>
      <c r="H189" s="1" t="s">
        <v>1162</v>
      </c>
    </row>
    <row r="190" spans="1:12" ht="21" customHeight="1" x14ac:dyDescent="0.15">
      <c r="A190" s="50" t="str">
        <f>B190&amp;"_"&amp;D190</f>
        <v>16_43003</v>
      </c>
      <c r="B190" s="48">
        <v>16</v>
      </c>
      <c r="C190" s="159"/>
      <c r="D190" s="94">
        <v>43003</v>
      </c>
      <c r="E190" s="31" t="str">
        <f ca="1">VLOOKUP(D190,OFFSET(weekly_missions!$A$2,0,0,COUNTA(weekly_missions!$A:$A),MATCH(E$2,weekly_missions!$2:$2,0)-MATCH(D$2,weekly_missions!$2:$2,0)+1),MATCH(E$2,weekly_missions!$2:$2,0)-MATCH(D$2,weekly_missions!$2:$2,0)+1,FALSE)</f>
        <v>土日限定クエスト：【超級】ゴールドカジノ をクリアしよう！</v>
      </c>
      <c r="F190" s="31" t="str">
        <f ca="1">VLOOKUP(D190,OFFSET(weekly_missions!$A$2,0,0,COUNTA(weekly_missions!$A:$A),MATCH(F$2,weekly_missions!$2:$2,0)-MATCH(D$2,weekly_missions!$2:$2,0)+1),MATCH(F$2,weekly_missions!$2:$2,0)-MATCH(D$2,weekly_missions!$2:$2,0)+1,FALSE)</f>
        <v>リンク x 500</v>
      </c>
      <c r="G190" s="53">
        <v>1</v>
      </c>
      <c r="H190" s="1" t="s">
        <v>1163</v>
      </c>
    </row>
    <row r="191" spans="1:12" ht="21" customHeight="1" x14ac:dyDescent="0.15">
      <c r="A191" s="50" t="str">
        <f t="shared" ref="A191:A196" si="27">B191&amp;"_"&amp;D191</f>
        <v>17_40030</v>
      </c>
      <c r="B191" s="48">
        <v>17</v>
      </c>
      <c r="C191" s="157" t="s">
        <v>2225</v>
      </c>
      <c r="D191" s="94">
        <v>40030</v>
      </c>
      <c r="E191" s="31" t="str">
        <f ca="1">VLOOKUP(D191,OFFSET(weekly_missions!$A$2,0,0,COUNTA(weekly_missions!$A:$A),MATCH(E$2,weekly_missions!$2:$2,0)-MATCH(D$2,weekly_missions!$2:$2,0)+1),MATCH(E$2,weekly_missions!$2:$2,0)-MATCH(D$2,weekly_missions!$2:$2,0)+1,FALSE)</f>
        <v>通算 3 日ログインしよう！</v>
      </c>
      <c r="F191" s="31" t="str">
        <f ca="1">VLOOKUP(D191,OFFSET(weekly_missions!$A$2,0,0,COUNTA(weekly_missions!$A:$A),MATCH(F$2,weekly_missions!$2:$2,0)-MATCH(D$2,weekly_missions!$2:$2,0)+1),MATCH(F$2,weekly_missions!$2:$2,0)-MATCH(D$2,weekly_missions!$2:$2,0)+1,FALSE)</f>
        <v>ビット x 30000</v>
      </c>
      <c r="G191" s="53">
        <v>1000</v>
      </c>
      <c r="H191" s="1" t="s">
        <v>1147</v>
      </c>
    </row>
    <row r="192" spans="1:12" ht="21" customHeight="1" x14ac:dyDescent="0.15">
      <c r="A192" s="50" t="str">
        <f t="shared" si="27"/>
        <v>17_40050</v>
      </c>
      <c r="B192" s="48">
        <v>17</v>
      </c>
      <c r="C192" s="158"/>
      <c r="D192" s="94">
        <v>40050</v>
      </c>
      <c r="E192" s="31" t="str">
        <f ca="1">VLOOKUP(D192,OFFSET(weekly_missions!$A$2,0,0,COUNTA(weekly_missions!$A:$A),MATCH(E$2,weekly_missions!$2:$2,0)-MATCH(D$2,weekly_missions!$2:$2,0)+1),MATCH(E$2,weekly_missions!$2:$2,0)-MATCH(D$2,weekly_missions!$2:$2,0)+1,FALSE)</f>
        <v>通算 5 日ログインしよう！</v>
      </c>
      <c r="F192" s="31" t="str">
        <f ca="1">VLOOKUP(D192,OFFSET(weekly_missions!$A$2,0,0,COUNTA(weekly_missions!$A:$A),MATCH(F$2,weekly_missions!$2:$2,0)-MATCH(D$2,weekly_missions!$2:$2,0)+1),MATCH(F$2,weekly_missions!$2:$2,0)-MATCH(D$2,weekly_missions!$2:$2,0)+1,FALSE)</f>
        <v>リンク x 500</v>
      </c>
      <c r="G192" s="53">
        <v>1001</v>
      </c>
      <c r="H192" s="1" t="s">
        <v>1148</v>
      </c>
    </row>
    <row r="193" spans="1:12" ht="21" customHeight="1" x14ac:dyDescent="0.15">
      <c r="A193" s="50" t="str">
        <f t="shared" si="27"/>
        <v>17_40070</v>
      </c>
      <c r="B193" s="48">
        <v>17</v>
      </c>
      <c r="C193" s="158"/>
      <c r="D193" s="94">
        <v>40070</v>
      </c>
      <c r="E193" s="31" t="str">
        <f ca="1">VLOOKUP(D193,OFFSET(weekly_missions!$A$2,0,0,COUNTA(weekly_missions!$A:$A),MATCH(E$2,weekly_missions!$2:$2,0)-MATCH(D$2,weekly_missions!$2:$2,0)+1),MATCH(E$2,weekly_missions!$2:$2,0)-MATCH(D$2,weekly_missions!$2:$2,0)+1,FALSE)</f>
        <v>通算 7 日ログインしよう！</v>
      </c>
      <c r="F193" s="31" t="str">
        <f ca="1">VLOOKUP(D193,OFFSET(weekly_missions!$A$2,0,0,COUNTA(weekly_missions!$A:$A),MATCH(F$2,weekly_missions!$2:$2,0)-MATCH(D$2,weekly_missions!$2:$2,0)+1),MATCH(F$2,weekly_missions!$2:$2,0)-MATCH(D$2,weekly_missions!$2:$2,0)+1,FALSE)</f>
        <v>ポリゴン x 1</v>
      </c>
      <c r="G193" s="53">
        <v>1002</v>
      </c>
      <c r="H193" s="1" t="s">
        <v>1149</v>
      </c>
    </row>
    <row r="194" spans="1:12" ht="21" customHeight="1" x14ac:dyDescent="0.15">
      <c r="A194" s="50" t="str">
        <f t="shared" si="27"/>
        <v>17_41031</v>
      </c>
      <c r="B194" s="48">
        <v>17</v>
      </c>
      <c r="C194" s="158"/>
      <c r="D194" s="93">
        <v>41031</v>
      </c>
      <c r="E194" s="31" t="str">
        <f ca="1">VLOOKUP(D194,OFFSET(weekly_missions!$A$2,0,0,COUNTA(weekly_missions!$A:$A),MATCH(E$2,weekly_missions!$2:$2,0)-MATCH(D$2,weekly_missions!$2:$2,0)+1),MATCH(E$2,weekly_missions!$2:$2,0)-MATCH(D$2,weekly_missions!$2:$2,0)+1,FALSE)</f>
        <v>クエストを通算 3 回クリアしよう！</v>
      </c>
      <c r="F194" s="31" t="str">
        <f ca="1">VLOOKUP(D194,OFFSET(weekly_missions!$A$2,0,0,COUNTA(weekly_missions!$A:$A),MATCH(F$2,weekly_missions!$2:$2,0)-MATCH(D$2,weekly_missions!$2:$2,0)+1),MATCH(F$2,weekly_missions!$2:$2,0)-MATCH(D$2,weekly_missions!$2:$2,0)+1,FALSE)</f>
        <v>メガ生命の果実 x 1</v>
      </c>
      <c r="G194" s="53">
        <v>30</v>
      </c>
      <c r="H194" s="1" t="s">
        <v>1150</v>
      </c>
    </row>
    <row r="195" spans="1:12" ht="21" customHeight="1" x14ac:dyDescent="0.15">
      <c r="A195" s="50" t="str">
        <f t="shared" si="27"/>
        <v>17_41050</v>
      </c>
      <c r="B195" s="48">
        <v>17</v>
      </c>
      <c r="C195" s="158"/>
      <c r="D195" s="77">
        <v>41050</v>
      </c>
      <c r="E195" s="31" t="str">
        <f ca="1">VLOOKUP(D195,OFFSET(weekly_missions!$A$2,0,0,COUNTA(weekly_missions!$A:$A),MATCH(E$2,weekly_missions!$2:$2,0)-MATCH(D$2,weekly_missions!$2:$2,0)+1),MATCH(E$2,weekly_missions!$2:$2,0)-MATCH(D$2,weekly_missions!$2:$2,0)+1,FALSE)</f>
        <v>クエストを通算 5 回クリアしよう！</v>
      </c>
      <c r="F195" s="31" t="str">
        <f ca="1">VLOOKUP(D195,OFFSET(weekly_missions!$A$2,0,0,COUNTA(weekly_missions!$A:$A),MATCH(F$2,weekly_missions!$2:$2,0)-MATCH(D$2,weekly_missions!$2:$2,0)+1),MATCH(F$2,weekly_missions!$2:$2,0)-MATCH(D$2,weekly_missions!$2:$2,0)+1,FALSE)</f>
        <v>炎のメタルダック x 1</v>
      </c>
      <c r="G195" s="53">
        <v>50</v>
      </c>
      <c r="H195" s="1" t="s">
        <v>1151</v>
      </c>
      <c r="I195" s="1" t="s">
        <v>1229</v>
      </c>
      <c r="J195" s="1" t="s">
        <v>1228</v>
      </c>
      <c r="K195" s="1" t="s">
        <v>1226</v>
      </c>
    </row>
    <row r="196" spans="1:12" ht="21" customHeight="1" x14ac:dyDescent="0.15">
      <c r="A196" s="50" t="str">
        <f t="shared" si="27"/>
        <v>17_41102</v>
      </c>
      <c r="B196" s="48">
        <v>17</v>
      </c>
      <c r="C196" s="158"/>
      <c r="D196" s="93">
        <v>41102</v>
      </c>
      <c r="E196" s="31" t="str">
        <f ca="1">VLOOKUP(D196,OFFSET(weekly_missions!$A$2,0,0,COUNTA(weekly_missions!$A:$A),MATCH(E$2,weekly_missions!$2:$2,0)-MATCH(D$2,weekly_missions!$2:$2,0)+1),MATCH(E$2,weekly_missions!$2:$2,0)-MATCH(D$2,weekly_missions!$2:$2,0)+1,FALSE)</f>
        <v>クエストを通算 10 回クリアしよう！</v>
      </c>
      <c r="F196" s="31" t="str">
        <f ca="1">VLOOKUP(D196,OFFSET(weekly_missions!$A$2,0,0,COUNTA(weekly_missions!$A:$A),MATCH(F$2,weekly_missions!$2:$2,0)-MATCH(D$2,weekly_missions!$2:$2,0)+1),MATCH(F$2,weekly_missions!$2:$2,0)-MATCH(D$2,weekly_missions!$2:$2,0)+1,FALSE)</f>
        <v>メガ癒しの果実 x 1</v>
      </c>
      <c r="G196" s="53">
        <v>100</v>
      </c>
      <c r="H196" s="1" t="s">
        <v>1152</v>
      </c>
    </row>
    <row r="197" spans="1:12" ht="21" customHeight="1" x14ac:dyDescent="0.15">
      <c r="A197" s="50" t="str">
        <f>B197&amp;"_"&amp;D197</f>
        <v>17_41151</v>
      </c>
      <c r="B197" s="48">
        <v>17</v>
      </c>
      <c r="C197" s="158"/>
      <c r="D197" s="77">
        <v>41151</v>
      </c>
      <c r="E197" s="31" t="str">
        <f ca="1">VLOOKUP(D197,OFFSET(weekly_missions!$A$2,0,0,COUNTA(weekly_missions!$A:$A),MATCH(E$2,weekly_missions!$2:$2,0)-MATCH(D$2,weekly_missions!$2:$2,0)+1),MATCH(E$2,weekly_missions!$2:$2,0)-MATCH(D$2,weekly_missions!$2:$2,0)+1,FALSE)</f>
        <v>クエストを通算 15 回クリアしよう！</v>
      </c>
      <c r="F197" s="31" t="str">
        <f ca="1">VLOOKUP(D197,OFFSET(weekly_missions!$A$2,0,0,COUNTA(weekly_missions!$A:$A),MATCH(F$2,weekly_missions!$2:$2,0)-MATCH(D$2,weekly_missions!$2:$2,0)+1),MATCH(F$2,weekly_missions!$2:$2,0)-MATCH(D$2,weekly_missions!$2:$2,0)+1,FALSE)</f>
        <v>森のメタルダック x 1</v>
      </c>
      <c r="G197" s="53">
        <v>150</v>
      </c>
      <c r="H197" s="1" t="s">
        <v>1153</v>
      </c>
      <c r="I197" s="1" t="s">
        <v>1226</v>
      </c>
      <c r="J197" s="1" t="s">
        <v>1229</v>
      </c>
      <c r="K197" s="1" t="s">
        <v>1226</v>
      </c>
    </row>
    <row r="198" spans="1:12" ht="21" customHeight="1" x14ac:dyDescent="0.15">
      <c r="A198" s="50" t="str">
        <f>B198&amp;"_"&amp;D198</f>
        <v>17_41200</v>
      </c>
      <c r="B198" s="48">
        <v>17</v>
      </c>
      <c r="C198" s="158"/>
      <c r="D198" s="93">
        <v>41200</v>
      </c>
      <c r="E198" s="31" t="str">
        <f ca="1">VLOOKUP(D198,OFFSET(weekly_missions!$A$2,0,0,COUNTA(weekly_missions!$A:$A),MATCH(E$2,weekly_missions!$2:$2,0)-MATCH(D$2,weekly_missions!$2:$2,0)+1),MATCH(E$2,weekly_missions!$2:$2,0)-MATCH(D$2,weekly_missions!$2:$2,0)+1,FALSE)</f>
        <v>クエストを通算 20 回クリアしよう！</v>
      </c>
      <c r="F198" s="31" t="str">
        <f ca="1">VLOOKUP(D198,OFFSET(weekly_missions!$A$2,0,0,COUNTA(weekly_missions!$A:$A),MATCH(F$2,weekly_missions!$2:$2,0)-MATCH(D$2,weekly_missions!$2:$2,0)+1),MATCH(F$2,weekly_missions!$2:$2,0)-MATCH(D$2,weekly_missions!$2:$2,0)+1,FALSE)</f>
        <v>メガ攻めの果実 x 1</v>
      </c>
      <c r="G198" s="53">
        <v>200</v>
      </c>
      <c r="H198" s="1" t="s">
        <v>1154</v>
      </c>
    </row>
    <row r="199" spans="1:12" ht="21" customHeight="1" x14ac:dyDescent="0.15">
      <c r="A199" s="50" t="str">
        <f>B199&amp;"_"&amp;D199</f>
        <v>17_41300</v>
      </c>
      <c r="B199" s="48">
        <v>17</v>
      </c>
      <c r="C199" s="158"/>
      <c r="D199" s="94">
        <v>41300</v>
      </c>
      <c r="E199" s="31" t="str">
        <f ca="1">VLOOKUP(D199,OFFSET(weekly_missions!$A$2,0,0,COUNTA(weekly_missions!$A:$A),MATCH(E$2,weekly_missions!$2:$2,0)-MATCH(D$2,weekly_missions!$2:$2,0)+1),MATCH(E$2,weekly_missions!$2:$2,0)-MATCH(D$2,weekly_missions!$2:$2,0)+1,FALSE)</f>
        <v>クエストを通算 30 回クリアしよう！</v>
      </c>
      <c r="F199" s="31" t="str">
        <f ca="1">VLOOKUP(D199,OFFSET(weekly_missions!$A$2,0,0,COUNTA(weekly_missions!$A:$A),MATCH(F$2,weekly_missions!$2:$2,0)-MATCH(D$2,weekly_missions!$2:$2,0)+1),MATCH(F$2,weekly_missions!$2:$2,0)-MATCH(D$2,weekly_missions!$2:$2,0)+1,FALSE)</f>
        <v>秘術の果実 x 1</v>
      </c>
      <c r="G199" s="53">
        <v>300</v>
      </c>
      <c r="H199" s="1" t="s">
        <v>1155</v>
      </c>
    </row>
    <row r="200" spans="1:12" ht="21" customHeight="1" x14ac:dyDescent="0.15">
      <c r="A200" s="50" t="str">
        <f t="shared" ref="A200:A202" si="28">B200&amp;"_"&amp;D200</f>
        <v>17_42032</v>
      </c>
      <c r="B200" s="48">
        <v>17</v>
      </c>
      <c r="C200" s="158"/>
      <c r="D200" s="93">
        <v>42032</v>
      </c>
      <c r="E200" s="31" t="str">
        <f ca="1">VLOOKUP(D200,OFFSET(weekly_missions!$A$2,0,0,COUNTA(weekly_missions!$A:$A),MATCH(E$2,weekly_missions!$2:$2,0)-MATCH(D$2,weekly_missions!$2:$2,0)+1),MATCH(E$2,weekly_missions!$2:$2,0)-MATCH(D$2,weekly_missions!$2:$2,0)+1,FALSE)</f>
        <v>マルチプレイを 3 回プレイしよう！</v>
      </c>
      <c r="F200" s="31" t="str">
        <f ca="1">VLOOKUP(D200,OFFSET(weekly_missions!$A$2,0,0,COUNTA(weekly_missions!$A:$A),MATCH(F$2,weekly_missions!$2:$2,0)-MATCH(D$2,weekly_missions!$2:$2,0)+1),MATCH(F$2,weekly_missions!$2:$2,0)-MATCH(D$2,weekly_missions!$2:$2,0)+1,FALSE)</f>
        <v>メガ癒しの果実 x 1</v>
      </c>
      <c r="G200" s="53">
        <v>31</v>
      </c>
      <c r="H200" s="1" t="s">
        <v>1156</v>
      </c>
    </row>
    <row r="201" spans="1:12" ht="21" customHeight="1" x14ac:dyDescent="0.15">
      <c r="A201" s="50" t="str">
        <f t="shared" si="28"/>
        <v>17_42053</v>
      </c>
      <c r="B201" s="48">
        <v>17</v>
      </c>
      <c r="C201" s="158"/>
      <c r="D201" s="77">
        <v>42053</v>
      </c>
      <c r="E201" s="31" t="str">
        <f ca="1">VLOOKUP(D201,OFFSET(weekly_missions!$A$2,0,0,COUNTA(weekly_missions!$A:$A),MATCH(E$2,weekly_missions!$2:$2,0)-MATCH(D$2,weekly_missions!$2:$2,0)+1),MATCH(E$2,weekly_missions!$2:$2,0)-MATCH(D$2,weekly_missions!$2:$2,0)+1,FALSE)</f>
        <v>マルチプレイを 5 回プレイしよう！</v>
      </c>
      <c r="F201" s="31" t="str">
        <f ca="1">VLOOKUP(D201,OFFSET(weekly_missions!$A$2,0,0,COUNTA(weekly_missions!$A:$A),MATCH(F$2,weekly_missions!$2:$2,0)-MATCH(D$2,weekly_missions!$2:$2,0)+1),MATCH(F$2,weekly_missions!$2:$2,0)-MATCH(D$2,weekly_missions!$2:$2,0)+1,FALSE)</f>
        <v>雷のメタルダック x 1</v>
      </c>
      <c r="G201" s="53">
        <v>51</v>
      </c>
      <c r="H201" s="1" t="s">
        <v>1157</v>
      </c>
      <c r="I201" s="1" t="s">
        <v>1228</v>
      </c>
      <c r="K201" s="1" t="s">
        <v>1226</v>
      </c>
      <c r="L201" s="1" t="s">
        <v>1229</v>
      </c>
    </row>
    <row r="202" spans="1:12" ht="21" customHeight="1" x14ac:dyDescent="0.15">
      <c r="A202" s="50" t="str">
        <f t="shared" si="28"/>
        <v>17_42100</v>
      </c>
      <c r="B202" s="48">
        <v>17</v>
      </c>
      <c r="C202" s="158"/>
      <c r="D202" s="93">
        <v>42100</v>
      </c>
      <c r="E202" s="31" t="str">
        <f ca="1">VLOOKUP(D202,OFFSET(weekly_missions!$A$2,0,0,COUNTA(weekly_missions!$A:$A),MATCH(E$2,weekly_missions!$2:$2,0)-MATCH(D$2,weekly_missions!$2:$2,0)+1),MATCH(E$2,weekly_missions!$2:$2,0)-MATCH(D$2,weekly_missions!$2:$2,0)+1,FALSE)</f>
        <v>マルチプレイを 10 回プレイしよう！</v>
      </c>
      <c r="F202" s="31" t="str">
        <f ca="1">VLOOKUP(D202,OFFSET(weekly_missions!$A$2,0,0,COUNTA(weekly_missions!$A:$A),MATCH(F$2,weekly_missions!$2:$2,0)-MATCH(D$2,weekly_missions!$2:$2,0)+1),MATCH(F$2,weekly_missions!$2:$2,0)-MATCH(D$2,weekly_missions!$2:$2,0)+1,FALSE)</f>
        <v>メガ攻めの果実 x 1</v>
      </c>
      <c r="G202" s="53">
        <v>101</v>
      </c>
      <c r="H202" s="1" t="s">
        <v>1158</v>
      </c>
    </row>
    <row r="203" spans="1:12" ht="21" customHeight="1" x14ac:dyDescent="0.15">
      <c r="A203" s="50" t="str">
        <f>B203&amp;"_"&amp;D203</f>
        <v>17_42152</v>
      </c>
      <c r="B203" s="48">
        <v>17</v>
      </c>
      <c r="C203" s="158"/>
      <c r="D203" s="77">
        <v>42152</v>
      </c>
      <c r="E203" s="31" t="str">
        <f ca="1">VLOOKUP(D203,OFFSET(weekly_missions!$A$2,0,0,COUNTA(weekly_missions!$A:$A),MATCH(E$2,weekly_missions!$2:$2,0)-MATCH(D$2,weekly_missions!$2:$2,0)+1),MATCH(E$2,weekly_missions!$2:$2,0)-MATCH(D$2,weekly_missions!$2:$2,0)+1,FALSE)</f>
        <v>マルチプレイを 15 回プレイしよう！</v>
      </c>
      <c r="F203" s="31" t="str">
        <f ca="1">VLOOKUP(D203,OFFSET(weekly_missions!$A$2,0,0,COUNTA(weekly_missions!$A:$A),MATCH(F$2,weekly_missions!$2:$2,0)-MATCH(D$2,weekly_missions!$2:$2,0)+1),MATCH(F$2,weekly_missions!$2:$2,0)-MATCH(D$2,weekly_missions!$2:$2,0)+1,FALSE)</f>
        <v>水のメタルダック x 1</v>
      </c>
      <c r="G203" s="53">
        <v>151</v>
      </c>
      <c r="H203" s="1" t="s">
        <v>1159</v>
      </c>
      <c r="I203" s="1" t="s">
        <v>1228</v>
      </c>
      <c r="J203" s="1" t="s">
        <v>1226</v>
      </c>
      <c r="K203" s="1" t="s">
        <v>1229</v>
      </c>
    </row>
    <row r="204" spans="1:12" ht="21" customHeight="1" x14ac:dyDescent="0.15">
      <c r="A204" s="50" t="str">
        <f>B204&amp;"_"&amp;D204</f>
        <v>17_42201</v>
      </c>
      <c r="B204" s="48">
        <v>17</v>
      </c>
      <c r="C204" s="158"/>
      <c r="D204" s="93">
        <v>42201</v>
      </c>
      <c r="E204" s="31" t="str">
        <f ca="1">VLOOKUP(D204,OFFSET(weekly_missions!$A$2,0,0,COUNTA(weekly_missions!$A:$A),MATCH(E$2,weekly_missions!$2:$2,0)-MATCH(D$2,weekly_missions!$2:$2,0)+1),MATCH(E$2,weekly_missions!$2:$2,0)-MATCH(D$2,weekly_missions!$2:$2,0)+1,FALSE)</f>
        <v>マルチプレイを 20 回プレイしよう！</v>
      </c>
      <c r="F204" s="31" t="str">
        <f ca="1">VLOOKUP(D204,OFFSET(weekly_missions!$A$2,0,0,COUNTA(weekly_missions!$A:$A),MATCH(F$2,weekly_missions!$2:$2,0)-MATCH(D$2,weekly_missions!$2:$2,0)+1),MATCH(F$2,weekly_missions!$2:$2,0)-MATCH(D$2,weekly_missions!$2:$2,0)+1,FALSE)</f>
        <v>メガ生命の果実 x 1</v>
      </c>
      <c r="G204" s="53">
        <v>202</v>
      </c>
      <c r="H204" s="1" t="s">
        <v>1160</v>
      </c>
    </row>
    <row r="205" spans="1:12" ht="21" customHeight="1" x14ac:dyDescent="0.15">
      <c r="A205" s="50" t="str">
        <f>B205&amp;"_"&amp;D205</f>
        <v>17_42300</v>
      </c>
      <c r="B205" s="48">
        <v>17</v>
      </c>
      <c r="C205" s="158"/>
      <c r="D205" s="94">
        <v>42300</v>
      </c>
      <c r="E205" s="31" t="str">
        <f ca="1">VLOOKUP(D205,OFFSET(weekly_missions!$A$2,0,0,COUNTA(weekly_missions!$A:$A),MATCH(E$2,weekly_missions!$2:$2,0)-MATCH(D$2,weekly_missions!$2:$2,0)+1),MATCH(E$2,weekly_missions!$2:$2,0)-MATCH(D$2,weekly_missions!$2:$2,0)+1,FALSE)</f>
        <v>マルチプレイを 30 回プレイしよう！</v>
      </c>
      <c r="F205" s="31" t="str">
        <f ca="1">VLOOKUP(D205,OFFSET(weekly_missions!$A$2,0,0,COUNTA(weekly_missions!$A:$A),MATCH(F$2,weekly_missions!$2:$2,0)-MATCH(D$2,weekly_missions!$2:$2,0)+1),MATCH(F$2,weekly_missions!$2:$2,0)-MATCH(D$2,weekly_missions!$2:$2,0)+1,FALSE)</f>
        <v>ポリゴン x 1</v>
      </c>
      <c r="G205" s="53">
        <v>301</v>
      </c>
      <c r="H205" s="1" t="s">
        <v>1161</v>
      </c>
    </row>
    <row r="206" spans="1:12" ht="21" customHeight="1" x14ac:dyDescent="0.15">
      <c r="A206" s="50" t="str">
        <f>B206&amp;"_"&amp;D206</f>
        <v>17_43002</v>
      </c>
      <c r="B206" s="48">
        <v>17</v>
      </c>
      <c r="C206" s="158"/>
      <c r="D206" s="94">
        <v>43002</v>
      </c>
      <c r="E206" s="31" t="str">
        <f ca="1">VLOOKUP(D206,OFFSET(weekly_missions!$A$2,0,0,COUNTA(weekly_missions!$A:$A),MATCH(E$2,weekly_missions!$2:$2,0)-MATCH(D$2,weekly_missions!$2:$2,0)+1),MATCH(E$2,weekly_missions!$2:$2,0)-MATCH(D$2,weekly_missions!$2:$2,0)+1,FALSE)</f>
        <v>ゲリラクエスト：【超級】メタルダックを捕獲せよ！をクリアしよう！</v>
      </c>
      <c r="F206" s="31" t="str">
        <f ca="1">VLOOKUP(D206,OFFSET(weekly_missions!$A$2,0,0,COUNTA(weekly_missions!$A:$A),MATCH(F$2,weekly_missions!$2:$2,0)-MATCH(D$2,weekly_missions!$2:$2,0)+1),MATCH(F$2,weekly_missions!$2:$2,0)-MATCH(D$2,weekly_missions!$2:$2,0)+1,FALSE)</f>
        <v>ビット x 100000</v>
      </c>
      <c r="G206" s="53">
        <v>2</v>
      </c>
      <c r="H206" s="1" t="s">
        <v>1162</v>
      </c>
    </row>
    <row r="207" spans="1:12" ht="21" customHeight="1" x14ac:dyDescent="0.15">
      <c r="A207" s="50" t="str">
        <f>B207&amp;"_"&amp;D207</f>
        <v>17_43003</v>
      </c>
      <c r="B207" s="48">
        <v>17</v>
      </c>
      <c r="C207" s="159"/>
      <c r="D207" s="94">
        <v>43003</v>
      </c>
      <c r="E207" s="31" t="str">
        <f ca="1">VLOOKUP(D207,OFFSET(weekly_missions!$A$2,0,0,COUNTA(weekly_missions!$A:$A),MATCH(E$2,weekly_missions!$2:$2,0)-MATCH(D$2,weekly_missions!$2:$2,0)+1),MATCH(E$2,weekly_missions!$2:$2,0)-MATCH(D$2,weekly_missions!$2:$2,0)+1,FALSE)</f>
        <v>土日限定クエスト：【超級】ゴールドカジノ をクリアしよう！</v>
      </c>
      <c r="F207" s="31" t="str">
        <f ca="1">VLOOKUP(D207,OFFSET(weekly_missions!$A$2,0,0,COUNTA(weekly_missions!$A:$A),MATCH(F$2,weekly_missions!$2:$2,0)-MATCH(D$2,weekly_missions!$2:$2,0)+1),MATCH(F$2,weekly_missions!$2:$2,0)-MATCH(D$2,weekly_missions!$2:$2,0)+1,FALSE)</f>
        <v>リンク x 500</v>
      </c>
      <c r="G207" s="53">
        <v>1</v>
      </c>
      <c r="H207" s="1" t="s">
        <v>1163</v>
      </c>
    </row>
    <row r="208" spans="1:12" ht="21" customHeight="1" x14ac:dyDescent="0.15">
      <c r="A208" s="50" t="str">
        <f t="shared" ref="A208:A213" si="29">B208&amp;"_"&amp;D208</f>
        <v>18_40030</v>
      </c>
      <c r="B208" s="48">
        <v>18</v>
      </c>
      <c r="C208" s="157" t="s">
        <v>2226</v>
      </c>
      <c r="D208" s="94">
        <v>40030</v>
      </c>
      <c r="E208" s="31" t="str">
        <f ca="1">VLOOKUP(D208,OFFSET(weekly_missions!$A$2,0,0,COUNTA(weekly_missions!$A:$A),MATCH(E$2,weekly_missions!$2:$2,0)-MATCH(D$2,weekly_missions!$2:$2,0)+1),MATCH(E$2,weekly_missions!$2:$2,0)-MATCH(D$2,weekly_missions!$2:$2,0)+1,FALSE)</f>
        <v>通算 3 日ログインしよう！</v>
      </c>
      <c r="F208" s="31" t="str">
        <f ca="1">VLOOKUP(D208,OFFSET(weekly_missions!$A$2,0,0,COUNTA(weekly_missions!$A:$A),MATCH(F$2,weekly_missions!$2:$2,0)-MATCH(D$2,weekly_missions!$2:$2,0)+1),MATCH(F$2,weekly_missions!$2:$2,0)-MATCH(D$2,weekly_missions!$2:$2,0)+1,FALSE)</f>
        <v>ビット x 30000</v>
      </c>
      <c r="G208" s="53">
        <v>1000</v>
      </c>
      <c r="H208" s="1" t="s">
        <v>1147</v>
      </c>
    </row>
    <row r="209" spans="1:12" ht="21" customHeight="1" x14ac:dyDescent="0.15">
      <c r="A209" s="50" t="str">
        <f t="shared" si="29"/>
        <v>18_40050</v>
      </c>
      <c r="B209" s="48">
        <v>18</v>
      </c>
      <c r="C209" s="158"/>
      <c r="D209" s="94">
        <v>40050</v>
      </c>
      <c r="E209" s="31" t="str">
        <f ca="1">VLOOKUP(D209,OFFSET(weekly_missions!$A$2,0,0,COUNTA(weekly_missions!$A:$A),MATCH(E$2,weekly_missions!$2:$2,0)-MATCH(D$2,weekly_missions!$2:$2,0)+1),MATCH(E$2,weekly_missions!$2:$2,0)-MATCH(D$2,weekly_missions!$2:$2,0)+1,FALSE)</f>
        <v>通算 5 日ログインしよう！</v>
      </c>
      <c r="F209" s="31" t="str">
        <f ca="1">VLOOKUP(D209,OFFSET(weekly_missions!$A$2,0,0,COUNTA(weekly_missions!$A:$A),MATCH(F$2,weekly_missions!$2:$2,0)-MATCH(D$2,weekly_missions!$2:$2,0)+1),MATCH(F$2,weekly_missions!$2:$2,0)-MATCH(D$2,weekly_missions!$2:$2,0)+1,FALSE)</f>
        <v>リンク x 500</v>
      </c>
      <c r="G209" s="53">
        <v>1001</v>
      </c>
      <c r="H209" s="1" t="s">
        <v>1148</v>
      </c>
    </row>
    <row r="210" spans="1:12" ht="21" customHeight="1" x14ac:dyDescent="0.15">
      <c r="A210" s="50" t="str">
        <f t="shared" si="29"/>
        <v>18_40070</v>
      </c>
      <c r="B210" s="48">
        <v>18</v>
      </c>
      <c r="C210" s="158"/>
      <c r="D210" s="94">
        <v>40070</v>
      </c>
      <c r="E210" s="31" t="str">
        <f ca="1">VLOOKUP(D210,OFFSET(weekly_missions!$A$2,0,0,COUNTA(weekly_missions!$A:$A),MATCH(E$2,weekly_missions!$2:$2,0)-MATCH(D$2,weekly_missions!$2:$2,0)+1),MATCH(E$2,weekly_missions!$2:$2,0)-MATCH(D$2,weekly_missions!$2:$2,0)+1,FALSE)</f>
        <v>通算 7 日ログインしよう！</v>
      </c>
      <c r="F210" s="31" t="str">
        <f ca="1">VLOOKUP(D210,OFFSET(weekly_missions!$A$2,0,0,COUNTA(weekly_missions!$A:$A),MATCH(F$2,weekly_missions!$2:$2,0)-MATCH(D$2,weekly_missions!$2:$2,0)+1),MATCH(F$2,weekly_missions!$2:$2,0)-MATCH(D$2,weekly_missions!$2:$2,0)+1,FALSE)</f>
        <v>ポリゴン x 1</v>
      </c>
      <c r="G210" s="53">
        <v>1002</v>
      </c>
      <c r="H210" s="1" t="s">
        <v>1149</v>
      </c>
    </row>
    <row r="211" spans="1:12" ht="21" customHeight="1" x14ac:dyDescent="0.15">
      <c r="A211" s="50" t="str">
        <f t="shared" si="29"/>
        <v>18_41032</v>
      </c>
      <c r="B211" s="48">
        <v>18</v>
      </c>
      <c r="C211" s="158"/>
      <c r="D211" s="93">
        <v>41032</v>
      </c>
      <c r="E211" s="31" t="str">
        <f ca="1">VLOOKUP(D211,OFFSET(weekly_missions!$A$2,0,0,COUNTA(weekly_missions!$A:$A),MATCH(E$2,weekly_missions!$2:$2,0)-MATCH(D$2,weekly_missions!$2:$2,0)+1),MATCH(E$2,weekly_missions!$2:$2,0)-MATCH(D$2,weekly_missions!$2:$2,0)+1,FALSE)</f>
        <v>クエストを通算 3 回クリアしよう！</v>
      </c>
      <c r="F211" s="31" t="str">
        <f ca="1">VLOOKUP(D211,OFFSET(weekly_missions!$A$2,0,0,COUNTA(weekly_missions!$A:$A),MATCH(F$2,weekly_missions!$2:$2,0)-MATCH(D$2,weekly_missions!$2:$2,0)+1),MATCH(F$2,weekly_missions!$2:$2,0)-MATCH(D$2,weekly_missions!$2:$2,0)+1,FALSE)</f>
        <v>メガ癒しの果実 x 1</v>
      </c>
      <c r="G211" s="53">
        <v>30</v>
      </c>
      <c r="H211" s="1" t="s">
        <v>1150</v>
      </c>
    </row>
    <row r="212" spans="1:12" ht="21" customHeight="1" x14ac:dyDescent="0.15">
      <c r="A212" s="50" t="str">
        <f t="shared" si="29"/>
        <v>18_41051</v>
      </c>
      <c r="B212" s="48">
        <v>18</v>
      </c>
      <c r="C212" s="158"/>
      <c r="D212" s="77">
        <v>41051</v>
      </c>
      <c r="E212" s="31" t="str">
        <f ca="1">VLOOKUP(D212,OFFSET(weekly_missions!$A$2,0,0,COUNTA(weekly_missions!$A:$A),MATCH(E$2,weekly_missions!$2:$2,0)-MATCH(D$2,weekly_missions!$2:$2,0)+1),MATCH(E$2,weekly_missions!$2:$2,0)-MATCH(D$2,weekly_missions!$2:$2,0)+1,FALSE)</f>
        <v>クエストを通算 5 回クリアしよう！</v>
      </c>
      <c r="F212" s="31" t="str">
        <f ca="1">VLOOKUP(D212,OFFSET(weekly_missions!$A$2,0,0,COUNTA(weekly_missions!$A:$A),MATCH(F$2,weekly_missions!$2:$2,0)-MATCH(D$2,weekly_missions!$2:$2,0)+1),MATCH(F$2,weekly_missions!$2:$2,0)-MATCH(D$2,weekly_missions!$2:$2,0)+1,FALSE)</f>
        <v>森のメタルダック x 1</v>
      </c>
      <c r="G212" s="53">
        <v>50</v>
      </c>
      <c r="H212" s="1" t="s">
        <v>1151</v>
      </c>
      <c r="I212" s="1" t="s">
        <v>1226</v>
      </c>
      <c r="J212" s="1" t="s">
        <v>1229</v>
      </c>
      <c r="K212" s="1" t="s">
        <v>1228</v>
      </c>
    </row>
    <row r="213" spans="1:12" ht="21" customHeight="1" x14ac:dyDescent="0.15">
      <c r="A213" s="50" t="str">
        <f t="shared" si="29"/>
        <v>18_41100</v>
      </c>
      <c r="B213" s="48">
        <v>18</v>
      </c>
      <c r="C213" s="158"/>
      <c r="D213" s="93">
        <v>41100</v>
      </c>
      <c r="E213" s="31" t="str">
        <f ca="1">VLOOKUP(D213,OFFSET(weekly_missions!$A$2,0,0,COUNTA(weekly_missions!$A:$A),MATCH(E$2,weekly_missions!$2:$2,0)-MATCH(D$2,weekly_missions!$2:$2,0)+1),MATCH(E$2,weekly_missions!$2:$2,0)-MATCH(D$2,weekly_missions!$2:$2,0)+1,FALSE)</f>
        <v>クエストを通算 10 回クリアしよう！</v>
      </c>
      <c r="F213" s="31" t="str">
        <f ca="1">VLOOKUP(D213,OFFSET(weekly_missions!$A$2,0,0,COUNTA(weekly_missions!$A:$A),MATCH(F$2,weekly_missions!$2:$2,0)-MATCH(D$2,weekly_missions!$2:$2,0)+1),MATCH(F$2,weekly_missions!$2:$2,0)-MATCH(D$2,weekly_missions!$2:$2,0)+1,FALSE)</f>
        <v>メガ攻めの果実 x 1</v>
      </c>
      <c r="G213" s="53">
        <v>100</v>
      </c>
      <c r="H213" s="1" t="s">
        <v>1152</v>
      </c>
    </row>
    <row r="214" spans="1:12" ht="21" customHeight="1" x14ac:dyDescent="0.15">
      <c r="A214" s="50" t="str">
        <f>B214&amp;"_"&amp;D214</f>
        <v>18_41153</v>
      </c>
      <c r="B214" s="48">
        <v>18</v>
      </c>
      <c r="C214" s="158"/>
      <c r="D214" s="77">
        <v>41153</v>
      </c>
      <c r="E214" s="31" t="str">
        <f ca="1">VLOOKUP(D214,OFFSET(weekly_missions!$A$2,0,0,COUNTA(weekly_missions!$A:$A),MATCH(E$2,weekly_missions!$2:$2,0)-MATCH(D$2,weekly_missions!$2:$2,0)+1),MATCH(E$2,weekly_missions!$2:$2,0)-MATCH(D$2,weekly_missions!$2:$2,0)+1,FALSE)</f>
        <v>クエストを通算 15 回クリアしよう！</v>
      </c>
      <c r="F214" s="31" t="str">
        <f ca="1">VLOOKUP(D214,OFFSET(weekly_missions!$A$2,0,0,COUNTA(weekly_missions!$A:$A),MATCH(F$2,weekly_missions!$2:$2,0)-MATCH(D$2,weekly_missions!$2:$2,0)+1),MATCH(F$2,weekly_missions!$2:$2,0)-MATCH(D$2,weekly_missions!$2:$2,0)+1,FALSE)</f>
        <v>雷のメタルダック x 1</v>
      </c>
      <c r="G214" s="53">
        <v>150</v>
      </c>
      <c r="H214" s="1" t="s">
        <v>1153</v>
      </c>
      <c r="I214" s="1" t="s">
        <v>1226</v>
      </c>
      <c r="J214" s="1" t="s">
        <v>1226</v>
      </c>
      <c r="L214" s="1" t="s">
        <v>1229</v>
      </c>
    </row>
    <row r="215" spans="1:12" ht="21" customHeight="1" x14ac:dyDescent="0.15">
      <c r="A215" s="50" t="str">
        <f>B215&amp;"_"&amp;D215</f>
        <v>18_41201</v>
      </c>
      <c r="B215" s="48">
        <v>18</v>
      </c>
      <c r="C215" s="158"/>
      <c r="D215" s="93">
        <v>41201</v>
      </c>
      <c r="E215" s="31" t="str">
        <f ca="1">VLOOKUP(D215,OFFSET(weekly_missions!$A$2,0,0,COUNTA(weekly_missions!$A:$A),MATCH(E$2,weekly_missions!$2:$2,0)-MATCH(D$2,weekly_missions!$2:$2,0)+1),MATCH(E$2,weekly_missions!$2:$2,0)-MATCH(D$2,weekly_missions!$2:$2,0)+1,FALSE)</f>
        <v>クエストを通算 20 回クリアしよう！</v>
      </c>
      <c r="F215" s="31" t="str">
        <f ca="1">VLOOKUP(D215,OFFSET(weekly_missions!$A$2,0,0,COUNTA(weekly_missions!$A:$A),MATCH(F$2,weekly_missions!$2:$2,0)-MATCH(D$2,weekly_missions!$2:$2,0)+1),MATCH(F$2,weekly_missions!$2:$2,0)-MATCH(D$2,weekly_missions!$2:$2,0)+1,FALSE)</f>
        <v>メガ生命の果実 x 1</v>
      </c>
      <c r="G215" s="53">
        <v>200</v>
      </c>
      <c r="H215" s="1" t="s">
        <v>1154</v>
      </c>
    </row>
    <row r="216" spans="1:12" ht="21" customHeight="1" x14ac:dyDescent="0.15">
      <c r="A216" s="50" t="str">
        <f>B216&amp;"_"&amp;D216</f>
        <v>18_41300</v>
      </c>
      <c r="B216" s="48">
        <v>18</v>
      </c>
      <c r="C216" s="158"/>
      <c r="D216" s="94">
        <v>41300</v>
      </c>
      <c r="E216" s="31" t="str">
        <f ca="1">VLOOKUP(D216,OFFSET(weekly_missions!$A$2,0,0,COUNTA(weekly_missions!$A:$A),MATCH(E$2,weekly_missions!$2:$2,0)-MATCH(D$2,weekly_missions!$2:$2,0)+1),MATCH(E$2,weekly_missions!$2:$2,0)-MATCH(D$2,weekly_missions!$2:$2,0)+1,FALSE)</f>
        <v>クエストを通算 30 回クリアしよう！</v>
      </c>
      <c r="F216" s="31" t="str">
        <f ca="1">VLOOKUP(D216,OFFSET(weekly_missions!$A$2,0,0,COUNTA(weekly_missions!$A:$A),MATCH(F$2,weekly_missions!$2:$2,0)-MATCH(D$2,weekly_missions!$2:$2,0)+1),MATCH(F$2,weekly_missions!$2:$2,0)-MATCH(D$2,weekly_missions!$2:$2,0)+1,FALSE)</f>
        <v>秘術の果実 x 1</v>
      </c>
      <c r="G216" s="53">
        <v>300</v>
      </c>
      <c r="H216" s="1" t="s">
        <v>1155</v>
      </c>
    </row>
    <row r="217" spans="1:12" ht="21" customHeight="1" x14ac:dyDescent="0.15">
      <c r="A217" s="50" t="str">
        <f t="shared" ref="A217:A224" si="30">B217&amp;"_"&amp;D217</f>
        <v>18_42030</v>
      </c>
      <c r="B217" s="48">
        <v>18</v>
      </c>
      <c r="C217" s="158"/>
      <c r="D217" s="93">
        <v>42030</v>
      </c>
      <c r="E217" s="31" t="str">
        <f ca="1">VLOOKUP(D217,OFFSET(weekly_missions!$A$2,0,0,COUNTA(weekly_missions!$A:$A),MATCH(E$2,weekly_missions!$2:$2,0)-MATCH(D$2,weekly_missions!$2:$2,0)+1),MATCH(E$2,weekly_missions!$2:$2,0)-MATCH(D$2,weekly_missions!$2:$2,0)+1,FALSE)</f>
        <v>マルチプレイを 3 回プレイしよう！</v>
      </c>
      <c r="F217" s="31" t="str">
        <f ca="1">VLOOKUP(D217,OFFSET(weekly_missions!$A$2,0,0,COUNTA(weekly_missions!$A:$A),MATCH(F$2,weekly_missions!$2:$2,0)-MATCH(D$2,weekly_missions!$2:$2,0)+1),MATCH(F$2,weekly_missions!$2:$2,0)-MATCH(D$2,weekly_missions!$2:$2,0)+1,FALSE)</f>
        <v>メガ攻めの果実 x 1</v>
      </c>
      <c r="G217" s="53">
        <v>31</v>
      </c>
      <c r="H217" s="1" t="s">
        <v>1156</v>
      </c>
    </row>
    <row r="218" spans="1:12" ht="21" customHeight="1" x14ac:dyDescent="0.15">
      <c r="A218" s="50" t="str">
        <f t="shared" si="30"/>
        <v>18_42052</v>
      </c>
      <c r="B218" s="48">
        <v>18</v>
      </c>
      <c r="C218" s="158"/>
      <c r="D218" s="77">
        <v>42052</v>
      </c>
      <c r="E218" s="31" t="str">
        <f ca="1">VLOOKUP(D218,OFFSET(weekly_missions!$A$2,0,0,COUNTA(weekly_missions!$A:$A),MATCH(E$2,weekly_missions!$2:$2,0)-MATCH(D$2,weekly_missions!$2:$2,0)+1),MATCH(E$2,weekly_missions!$2:$2,0)-MATCH(D$2,weekly_missions!$2:$2,0)+1,FALSE)</f>
        <v>マルチプレイを 5 回プレイしよう！</v>
      </c>
      <c r="F218" s="31" t="str">
        <f ca="1">VLOOKUP(D218,OFFSET(weekly_missions!$A$2,0,0,COUNTA(weekly_missions!$A:$A),MATCH(F$2,weekly_missions!$2:$2,0)-MATCH(D$2,weekly_missions!$2:$2,0)+1),MATCH(F$2,weekly_missions!$2:$2,0)-MATCH(D$2,weekly_missions!$2:$2,0)+1,FALSE)</f>
        <v>水のメタルダック x 1</v>
      </c>
      <c r="G218" s="53">
        <v>51</v>
      </c>
      <c r="H218" s="1" t="s">
        <v>1157</v>
      </c>
      <c r="I218" s="1" t="s">
        <v>1228</v>
      </c>
      <c r="J218" s="1" t="s">
        <v>1228</v>
      </c>
      <c r="K218" s="1" t="s">
        <v>1229</v>
      </c>
    </row>
    <row r="219" spans="1:12" ht="21" customHeight="1" x14ac:dyDescent="0.15">
      <c r="A219" s="50" t="str">
        <f t="shared" si="30"/>
        <v>18_42101</v>
      </c>
      <c r="B219" s="48">
        <v>18</v>
      </c>
      <c r="C219" s="158"/>
      <c r="D219" s="93">
        <v>42101</v>
      </c>
      <c r="E219" s="31" t="str">
        <f ca="1">VLOOKUP(D219,OFFSET(weekly_missions!$A$2,0,0,COUNTA(weekly_missions!$A:$A),MATCH(E$2,weekly_missions!$2:$2,0)-MATCH(D$2,weekly_missions!$2:$2,0)+1),MATCH(E$2,weekly_missions!$2:$2,0)-MATCH(D$2,weekly_missions!$2:$2,0)+1,FALSE)</f>
        <v>マルチプレイを 10 回プレイしよう！</v>
      </c>
      <c r="F219" s="31" t="str">
        <f ca="1">VLOOKUP(D219,OFFSET(weekly_missions!$A$2,0,0,COUNTA(weekly_missions!$A:$A),MATCH(F$2,weekly_missions!$2:$2,0)-MATCH(D$2,weekly_missions!$2:$2,0)+1),MATCH(F$2,weekly_missions!$2:$2,0)-MATCH(D$2,weekly_missions!$2:$2,0)+1,FALSE)</f>
        <v>メガ生命の果実 x 1</v>
      </c>
      <c r="G219" s="53">
        <v>101</v>
      </c>
      <c r="H219" s="1" t="s">
        <v>1158</v>
      </c>
    </row>
    <row r="220" spans="1:12" ht="21" customHeight="1" x14ac:dyDescent="0.15">
      <c r="A220" s="50" t="str">
        <f t="shared" si="30"/>
        <v>18_42150</v>
      </c>
      <c r="B220" s="48">
        <v>18</v>
      </c>
      <c r="C220" s="158"/>
      <c r="D220" s="77">
        <v>42150</v>
      </c>
      <c r="E220" s="31" t="str">
        <f ca="1">VLOOKUP(D220,OFFSET(weekly_missions!$A$2,0,0,COUNTA(weekly_missions!$A:$A),MATCH(E$2,weekly_missions!$2:$2,0)-MATCH(D$2,weekly_missions!$2:$2,0)+1),MATCH(E$2,weekly_missions!$2:$2,0)-MATCH(D$2,weekly_missions!$2:$2,0)+1,FALSE)</f>
        <v>マルチプレイを 15 回プレイしよう！</v>
      </c>
      <c r="F220" s="31" t="str">
        <f ca="1">VLOOKUP(D220,OFFSET(weekly_missions!$A$2,0,0,COUNTA(weekly_missions!$A:$A),MATCH(F$2,weekly_missions!$2:$2,0)-MATCH(D$2,weekly_missions!$2:$2,0)+1),MATCH(F$2,weekly_missions!$2:$2,0)-MATCH(D$2,weekly_missions!$2:$2,0)+1,FALSE)</f>
        <v>炎のメタルダック x 1</v>
      </c>
      <c r="G220" s="53">
        <v>151</v>
      </c>
      <c r="H220" s="1" t="s">
        <v>1159</v>
      </c>
      <c r="I220" s="1" t="s">
        <v>1229</v>
      </c>
      <c r="J220" s="1" t="s">
        <v>1226</v>
      </c>
      <c r="K220" s="1" t="s">
        <v>1228</v>
      </c>
    </row>
    <row r="221" spans="1:12" ht="21" customHeight="1" x14ac:dyDescent="0.15">
      <c r="A221" s="50" t="str">
        <f t="shared" si="30"/>
        <v>18_42202</v>
      </c>
      <c r="B221" s="48">
        <v>18</v>
      </c>
      <c r="C221" s="158"/>
      <c r="D221" s="93">
        <v>42202</v>
      </c>
      <c r="E221" s="31" t="str">
        <f ca="1">VLOOKUP(D221,OFFSET(weekly_missions!$A$2,0,0,COUNTA(weekly_missions!$A:$A),MATCH(E$2,weekly_missions!$2:$2,0)-MATCH(D$2,weekly_missions!$2:$2,0)+1),MATCH(E$2,weekly_missions!$2:$2,0)-MATCH(D$2,weekly_missions!$2:$2,0)+1,FALSE)</f>
        <v>マルチプレイを 20 回プレイしよう！</v>
      </c>
      <c r="F221" s="31" t="str">
        <f ca="1">VLOOKUP(D221,OFFSET(weekly_missions!$A$2,0,0,COUNTA(weekly_missions!$A:$A),MATCH(F$2,weekly_missions!$2:$2,0)-MATCH(D$2,weekly_missions!$2:$2,0)+1),MATCH(F$2,weekly_missions!$2:$2,0)-MATCH(D$2,weekly_missions!$2:$2,0)+1,FALSE)</f>
        <v>メガ癒しの果実 x 1</v>
      </c>
      <c r="G221" s="53">
        <v>202</v>
      </c>
      <c r="H221" s="1" t="s">
        <v>1160</v>
      </c>
    </row>
    <row r="222" spans="1:12" ht="21" customHeight="1" x14ac:dyDescent="0.15">
      <c r="A222" s="50" t="str">
        <f t="shared" si="30"/>
        <v>18_42300</v>
      </c>
      <c r="B222" s="48">
        <v>18</v>
      </c>
      <c r="C222" s="158"/>
      <c r="D222" s="94">
        <v>42300</v>
      </c>
      <c r="E222" s="31" t="str">
        <f ca="1">VLOOKUP(D222,OFFSET(weekly_missions!$A$2,0,0,COUNTA(weekly_missions!$A:$A),MATCH(E$2,weekly_missions!$2:$2,0)-MATCH(D$2,weekly_missions!$2:$2,0)+1),MATCH(E$2,weekly_missions!$2:$2,0)-MATCH(D$2,weekly_missions!$2:$2,0)+1,FALSE)</f>
        <v>マルチプレイを 30 回プレイしよう！</v>
      </c>
      <c r="F222" s="31" t="str">
        <f ca="1">VLOOKUP(D222,OFFSET(weekly_missions!$A$2,0,0,COUNTA(weekly_missions!$A:$A),MATCH(F$2,weekly_missions!$2:$2,0)-MATCH(D$2,weekly_missions!$2:$2,0)+1),MATCH(F$2,weekly_missions!$2:$2,0)-MATCH(D$2,weekly_missions!$2:$2,0)+1,FALSE)</f>
        <v>ポリゴン x 1</v>
      </c>
      <c r="G222" s="53">
        <v>301</v>
      </c>
      <c r="H222" s="1" t="s">
        <v>1161</v>
      </c>
    </row>
    <row r="223" spans="1:12" ht="21" customHeight="1" x14ac:dyDescent="0.15">
      <c r="A223" s="50" t="str">
        <f t="shared" si="30"/>
        <v>18_43002</v>
      </c>
      <c r="B223" s="48">
        <v>18</v>
      </c>
      <c r="C223" s="158"/>
      <c r="D223" s="94">
        <v>43002</v>
      </c>
      <c r="E223" s="31" t="str">
        <f ca="1">VLOOKUP(D223,OFFSET(weekly_missions!$A$2,0,0,COUNTA(weekly_missions!$A:$A),MATCH(E$2,weekly_missions!$2:$2,0)-MATCH(D$2,weekly_missions!$2:$2,0)+1),MATCH(E$2,weekly_missions!$2:$2,0)-MATCH(D$2,weekly_missions!$2:$2,0)+1,FALSE)</f>
        <v>ゲリラクエスト：【超級】メタルダックを捕獲せよ！をクリアしよう！</v>
      </c>
      <c r="F223" s="31" t="str">
        <f ca="1">VLOOKUP(D223,OFFSET(weekly_missions!$A$2,0,0,COUNTA(weekly_missions!$A:$A),MATCH(F$2,weekly_missions!$2:$2,0)-MATCH(D$2,weekly_missions!$2:$2,0)+1),MATCH(F$2,weekly_missions!$2:$2,0)-MATCH(D$2,weekly_missions!$2:$2,0)+1,FALSE)</f>
        <v>ビット x 100000</v>
      </c>
      <c r="G223" s="53">
        <v>2</v>
      </c>
      <c r="H223" s="1" t="s">
        <v>1162</v>
      </c>
    </row>
    <row r="224" spans="1:12" ht="21" customHeight="1" x14ac:dyDescent="0.15">
      <c r="A224" s="50" t="str">
        <f t="shared" si="30"/>
        <v>18_43003</v>
      </c>
      <c r="B224" s="48">
        <v>18</v>
      </c>
      <c r="C224" s="159"/>
      <c r="D224" s="94">
        <v>43003</v>
      </c>
      <c r="E224" s="31" t="str">
        <f ca="1">VLOOKUP(D224,OFFSET(weekly_missions!$A$2,0,0,COUNTA(weekly_missions!$A:$A),MATCH(E$2,weekly_missions!$2:$2,0)-MATCH(D$2,weekly_missions!$2:$2,0)+1),MATCH(E$2,weekly_missions!$2:$2,0)-MATCH(D$2,weekly_missions!$2:$2,0)+1,FALSE)</f>
        <v>土日限定クエスト：【超級】ゴールドカジノ をクリアしよう！</v>
      </c>
      <c r="F224" s="31" t="str">
        <f ca="1">VLOOKUP(D224,OFFSET(weekly_missions!$A$2,0,0,COUNTA(weekly_missions!$A:$A),MATCH(F$2,weekly_missions!$2:$2,0)-MATCH(D$2,weekly_missions!$2:$2,0)+1),MATCH(F$2,weekly_missions!$2:$2,0)-MATCH(D$2,weekly_missions!$2:$2,0)+1,FALSE)</f>
        <v>リンク x 500</v>
      </c>
      <c r="G224" s="53">
        <v>1</v>
      </c>
      <c r="H224" s="1" t="s">
        <v>1163</v>
      </c>
    </row>
    <row r="225" spans="1:7" ht="21" customHeight="1" x14ac:dyDescent="0.15">
      <c r="A225" s="50" t="str">
        <f t="shared" si="20"/>
        <v>100_3007</v>
      </c>
      <c r="B225" s="2">
        <v>100</v>
      </c>
      <c r="C225" s="160" t="s">
        <v>1512</v>
      </c>
      <c r="D225" s="107">
        <v>3007</v>
      </c>
      <c r="E225" s="31" t="str">
        <f ca="1">VLOOKUP(D225,OFFSET(weekly_missions!$A$2,0,0,COUNTA(weekly_missions!$A:$A),MATCH(E$2,weekly_missions!$2:$2,0)-MATCH(D$2,weekly_missions!$2:$2,0)+1),MATCH(E$2,weekly_missions!$2:$2,0)-MATCH(D$2,weekly_missions!$2:$2,0)+1,FALSE)</f>
        <v>通算 1 日ログインしよう！</v>
      </c>
      <c r="F225" s="31" t="str">
        <f ca="1">VLOOKUP(D225,OFFSET(weekly_missions!$A$2,0,0,COUNTA(weekly_missions!$A:$A),MATCH(F$2,weekly_missions!$2:$2,0)-MATCH(D$2,weekly_missions!$2:$2,0)+1),MATCH(F$2,weekly_missions!$2:$2,0)-MATCH(D$2,weekly_missions!$2:$2,0)+1,FALSE)</f>
        <v>ビット x 100000</v>
      </c>
      <c r="G225" s="107">
        <v>1000</v>
      </c>
    </row>
    <row r="226" spans="1:7" ht="21" customHeight="1" x14ac:dyDescent="0.15">
      <c r="A226" s="50" t="str">
        <f t="shared" ref="A226:A246" si="31">B226&amp;"_"&amp;D226</f>
        <v>100_3008</v>
      </c>
      <c r="B226" s="2">
        <v>100</v>
      </c>
      <c r="C226" s="160"/>
      <c r="D226" s="107">
        <v>3008</v>
      </c>
      <c r="E226" s="31" t="str">
        <f ca="1">VLOOKUP(D226,OFFSET(weekly_missions!$A$2,0,0,COUNTA(weekly_missions!$A:$A),MATCH(E$2,weekly_missions!$2:$2,0)-MATCH(D$2,weekly_missions!$2:$2,0)+1),MATCH(E$2,weekly_missions!$2:$2,0)-MATCH(D$2,weekly_missions!$2:$2,0)+1,FALSE)</f>
        <v>通算 2 日ログインしよう！</v>
      </c>
      <c r="F226" s="31" t="str">
        <f ca="1">VLOOKUP(D226,OFFSET(weekly_missions!$A$2,0,0,COUNTA(weekly_missions!$A:$A),MATCH(F$2,weekly_missions!$2:$2,0)-MATCH(D$2,weekly_missions!$2:$2,0)+1),MATCH(F$2,weekly_missions!$2:$2,0)-MATCH(D$2,weekly_missions!$2:$2,0)+1,FALSE)</f>
        <v>ビット x 200000</v>
      </c>
      <c r="G226" s="107">
        <v>1001</v>
      </c>
    </row>
    <row r="227" spans="1:7" ht="21" customHeight="1" x14ac:dyDescent="0.15">
      <c r="A227" s="50" t="str">
        <f t="shared" si="31"/>
        <v>100_3037</v>
      </c>
      <c r="B227" s="2">
        <v>100</v>
      </c>
      <c r="C227" s="160"/>
      <c r="D227" s="107">
        <v>3037</v>
      </c>
      <c r="E227" s="31" t="str">
        <f ca="1">VLOOKUP(D227,OFFSET(weekly_missions!$A$2,0,0,COUNTA(weekly_missions!$A:$A),MATCH(E$2,weekly_missions!$2:$2,0)-MATCH(D$2,weekly_missions!$2:$2,0)+1),MATCH(E$2,weekly_missions!$2:$2,0)-MATCH(D$2,weekly_missions!$2:$2,0)+1,FALSE)</f>
        <v>通算 3 日ログインしよう！</v>
      </c>
      <c r="F227" s="31" t="str">
        <f ca="1">VLOOKUP(D227,OFFSET(weekly_missions!$A$2,0,0,COUNTA(weekly_missions!$A:$A),MATCH(F$2,weekly_missions!$2:$2,0)-MATCH(D$2,weekly_missions!$2:$2,0)+1),MATCH(F$2,weekly_missions!$2:$2,0)-MATCH(D$2,weekly_missions!$2:$2,0)+1,FALSE)</f>
        <v>ビット x 300000</v>
      </c>
      <c r="G227" s="107">
        <v>1002</v>
      </c>
    </row>
    <row r="228" spans="1:7" ht="21" customHeight="1" x14ac:dyDescent="0.15">
      <c r="A228" s="50" t="str">
        <f t="shared" si="31"/>
        <v>100_3041</v>
      </c>
      <c r="B228" s="2">
        <v>100</v>
      </c>
      <c r="C228" s="160"/>
      <c r="D228" s="107">
        <v>3041</v>
      </c>
      <c r="E228" s="31" t="str">
        <f ca="1">VLOOKUP(D228,OFFSET(weekly_missions!$A$2,0,0,COUNTA(weekly_missions!$A:$A),MATCH(E$2,weekly_missions!$2:$2,0)-MATCH(D$2,weekly_missions!$2:$2,0)+1),MATCH(E$2,weekly_missions!$2:$2,0)-MATCH(D$2,weekly_missions!$2:$2,0)+1,FALSE)</f>
        <v>通算 4 日ログインしよう！</v>
      </c>
      <c r="F228" s="31" t="str">
        <f ca="1">VLOOKUP(D228,OFFSET(weekly_missions!$A$2,0,0,COUNTA(weekly_missions!$A:$A),MATCH(F$2,weekly_missions!$2:$2,0)-MATCH(D$2,weekly_missions!$2:$2,0)+1),MATCH(F$2,weekly_missions!$2:$2,0)-MATCH(D$2,weekly_missions!$2:$2,0)+1,FALSE)</f>
        <v>ビット x 400000</v>
      </c>
      <c r="G228" s="107">
        <v>1003</v>
      </c>
    </row>
    <row r="229" spans="1:7" ht="21" customHeight="1" x14ac:dyDescent="0.15">
      <c r="A229" s="50" t="str">
        <f t="shared" si="31"/>
        <v>100_3051</v>
      </c>
      <c r="B229" s="2">
        <v>100</v>
      </c>
      <c r="C229" s="160"/>
      <c r="D229" s="107">
        <v>3051</v>
      </c>
      <c r="E229" s="31" t="str">
        <f ca="1">VLOOKUP(D229,OFFSET(weekly_missions!$A$2,0,0,COUNTA(weekly_missions!$A:$A),MATCH(E$2,weekly_missions!$2:$2,0)-MATCH(D$2,weekly_missions!$2:$2,0)+1),MATCH(E$2,weekly_missions!$2:$2,0)-MATCH(D$2,weekly_missions!$2:$2,0)+1,FALSE)</f>
        <v>通算 5 日ログインしよう！</v>
      </c>
      <c r="F229" s="31" t="str">
        <f ca="1">VLOOKUP(D229,OFFSET(weekly_missions!$A$2,0,0,COUNTA(weekly_missions!$A:$A),MATCH(F$2,weekly_missions!$2:$2,0)-MATCH(D$2,weekly_missions!$2:$2,0)+1),MATCH(F$2,weekly_missions!$2:$2,0)-MATCH(D$2,weekly_missions!$2:$2,0)+1,FALSE)</f>
        <v>リトルハンプティ x 1</v>
      </c>
      <c r="G229" s="107">
        <v>1004</v>
      </c>
    </row>
    <row r="230" spans="1:7" ht="21" customHeight="1" x14ac:dyDescent="0.15">
      <c r="A230" s="50" t="str">
        <f t="shared" si="31"/>
        <v>100_3061</v>
      </c>
      <c r="B230" s="2">
        <v>100</v>
      </c>
      <c r="C230" s="160"/>
      <c r="D230" s="107">
        <v>3061</v>
      </c>
      <c r="E230" s="31" t="str">
        <f ca="1">VLOOKUP(D230,OFFSET(weekly_missions!$A$2,0,0,COUNTA(weekly_missions!$A:$A),MATCH(E$2,weekly_missions!$2:$2,0)-MATCH(D$2,weekly_missions!$2:$2,0)+1),MATCH(E$2,weekly_missions!$2:$2,0)-MATCH(D$2,weekly_missions!$2:$2,0)+1,FALSE)</f>
        <v>通算 6 日ログインしよう！</v>
      </c>
      <c r="F230" s="31" t="str">
        <f ca="1">VLOOKUP(D230,OFFSET(weekly_missions!$A$2,0,0,COUNTA(weekly_missions!$A:$A),MATCH(F$2,weekly_missions!$2:$2,0)-MATCH(D$2,weekly_missions!$2:$2,0)+1),MATCH(F$2,weekly_missions!$2:$2,0)-MATCH(D$2,weekly_missions!$2:$2,0)+1,FALSE)</f>
        <v>ポリゴン x 1</v>
      </c>
      <c r="G230" s="107">
        <v>1005</v>
      </c>
    </row>
    <row r="231" spans="1:7" ht="21" customHeight="1" x14ac:dyDescent="0.15">
      <c r="A231" s="50" t="str">
        <f t="shared" si="31"/>
        <v>100_3077</v>
      </c>
      <c r="B231" s="2">
        <v>100</v>
      </c>
      <c r="C231" s="160"/>
      <c r="D231" s="107">
        <v>3077</v>
      </c>
      <c r="E231" s="31" t="str">
        <f ca="1">VLOOKUP(D231,OFFSET(weekly_missions!$A$2,0,0,COUNTA(weekly_missions!$A:$A),MATCH(E$2,weekly_missions!$2:$2,0)-MATCH(D$2,weekly_missions!$2:$2,0)+1),MATCH(E$2,weekly_missions!$2:$2,0)-MATCH(D$2,weekly_missions!$2:$2,0)+1,FALSE)</f>
        <v>通算 7 日ログインしよう！</v>
      </c>
      <c r="F231" s="31" t="str">
        <f ca="1">VLOOKUP(D231,OFFSET(weekly_missions!$A$2,0,0,COUNTA(weekly_missions!$A:$A),MATCH(F$2,weekly_missions!$2:$2,0)-MATCH(D$2,weekly_missions!$2:$2,0)+1),MATCH(F$2,weekly_missions!$2:$2,0)-MATCH(D$2,weekly_missions!$2:$2,0)+1,FALSE)</f>
        <v>ポリゴン x 4</v>
      </c>
      <c r="G231" s="107">
        <v>1006</v>
      </c>
    </row>
    <row r="232" spans="1:7" ht="21" customHeight="1" x14ac:dyDescent="0.15">
      <c r="A232" s="50" t="str">
        <f t="shared" si="31"/>
        <v>100_41033</v>
      </c>
      <c r="B232" s="2">
        <v>100</v>
      </c>
      <c r="C232" s="160"/>
      <c r="D232" s="107">
        <v>41033</v>
      </c>
      <c r="E232" s="31" t="str">
        <f ca="1">VLOOKUP(D232,OFFSET(weekly_missions!$A$2,0,0,COUNTA(weekly_missions!$A:$A),MATCH(E$2,weekly_missions!$2:$2,0)-MATCH(D$2,weekly_missions!$2:$2,0)+1),MATCH(E$2,weekly_missions!$2:$2,0)-MATCH(D$2,weekly_missions!$2:$2,0)+1,FALSE)</f>
        <v>クエストを通算 3 回クリアしよう！</v>
      </c>
      <c r="F232" s="31" t="str">
        <f ca="1">VLOOKUP(D232,OFFSET(weekly_missions!$A$2,0,0,COUNTA(weekly_missions!$A:$A),MATCH(F$2,weekly_missions!$2:$2,0)-MATCH(D$2,weekly_missions!$2:$2,0)+1),MATCH(F$2,weekly_missions!$2:$2,0)-MATCH(D$2,weekly_missions!$2:$2,0)+1,FALSE)</f>
        <v>雷のメタルジェントル x 1</v>
      </c>
      <c r="G232" s="107">
        <v>30</v>
      </c>
    </row>
    <row r="233" spans="1:7" ht="21" customHeight="1" x14ac:dyDescent="0.15">
      <c r="A233" s="50" t="str">
        <f t="shared" si="31"/>
        <v>100_41054</v>
      </c>
      <c r="B233" s="2">
        <v>100</v>
      </c>
      <c r="C233" s="160"/>
      <c r="D233" s="107">
        <v>41054</v>
      </c>
      <c r="E233" s="31" t="str">
        <f ca="1">VLOOKUP(D233,OFFSET(weekly_missions!$A$2,0,0,COUNTA(weekly_missions!$A:$A),MATCH(E$2,weekly_missions!$2:$2,0)-MATCH(D$2,weekly_missions!$2:$2,0)+1),MATCH(E$2,weekly_missions!$2:$2,0)-MATCH(D$2,weekly_missions!$2:$2,0)+1,FALSE)</f>
        <v>クエストを通算 5 回クリアしよう！</v>
      </c>
      <c r="F233" s="31" t="str">
        <f ca="1">VLOOKUP(D233,OFFSET(weekly_missions!$A$2,0,0,COUNTA(weekly_missions!$A:$A),MATCH(F$2,weekly_missions!$2:$2,0)-MATCH(D$2,weekly_missions!$2:$2,0)+1),MATCH(F$2,weekly_missions!$2:$2,0)-MATCH(D$2,weekly_missions!$2:$2,0)+1,FALSE)</f>
        <v>森のメタルジェントル x 1</v>
      </c>
      <c r="G233" s="107">
        <v>50</v>
      </c>
    </row>
    <row r="234" spans="1:7" ht="21" customHeight="1" x14ac:dyDescent="0.15">
      <c r="A234" s="50" t="str">
        <f t="shared" si="31"/>
        <v>100_41103</v>
      </c>
      <c r="B234" s="2">
        <v>100</v>
      </c>
      <c r="C234" s="160"/>
      <c r="D234" s="107">
        <v>41103</v>
      </c>
      <c r="E234" s="31" t="str">
        <f ca="1">VLOOKUP(D234,OFFSET(weekly_missions!$A$2,0,0,COUNTA(weekly_missions!$A:$A),MATCH(E$2,weekly_missions!$2:$2,0)-MATCH(D$2,weekly_missions!$2:$2,0)+1),MATCH(E$2,weekly_missions!$2:$2,0)-MATCH(D$2,weekly_missions!$2:$2,0)+1,FALSE)</f>
        <v>クエストを通算 10 回クリアしよう！</v>
      </c>
      <c r="F234" s="31" t="str">
        <f ca="1">VLOOKUP(D234,OFFSET(weekly_missions!$A$2,0,0,COUNTA(weekly_missions!$A:$A),MATCH(F$2,weekly_missions!$2:$2,0)-MATCH(D$2,weekly_missions!$2:$2,0)+1),MATCH(F$2,weekly_missions!$2:$2,0)-MATCH(D$2,weekly_missions!$2:$2,0)+1,FALSE)</f>
        <v>ギガ生命の果実 x 1</v>
      </c>
      <c r="G234" s="107">
        <v>100</v>
      </c>
    </row>
    <row r="235" spans="1:7" ht="21" customHeight="1" x14ac:dyDescent="0.15">
      <c r="A235" s="50" t="str">
        <f t="shared" si="31"/>
        <v>100_41154</v>
      </c>
      <c r="B235" s="2">
        <v>100</v>
      </c>
      <c r="C235" s="160"/>
      <c r="D235" s="107">
        <v>41154</v>
      </c>
      <c r="E235" s="31" t="str">
        <f ca="1">VLOOKUP(D235,OFFSET(weekly_missions!$A$2,0,0,COUNTA(weekly_missions!$A:$A),MATCH(E$2,weekly_missions!$2:$2,0)-MATCH(D$2,weekly_missions!$2:$2,0)+1),MATCH(E$2,weekly_missions!$2:$2,0)-MATCH(D$2,weekly_missions!$2:$2,0)+1,FALSE)</f>
        <v>クエストを通算 15 回クリアしよう！</v>
      </c>
      <c r="F235" s="31" t="str">
        <f ca="1">VLOOKUP(D235,OFFSET(weekly_missions!$A$2,0,0,COUNTA(weekly_missions!$A:$A),MATCH(F$2,weekly_missions!$2:$2,0)-MATCH(D$2,weekly_missions!$2:$2,0)+1),MATCH(F$2,weekly_missions!$2:$2,0)-MATCH(D$2,weekly_missions!$2:$2,0)+1,FALSE)</f>
        <v>ギガ癒しの果実 x 1</v>
      </c>
      <c r="G235" s="107">
        <v>150</v>
      </c>
    </row>
    <row r="236" spans="1:7" ht="21" customHeight="1" x14ac:dyDescent="0.15">
      <c r="A236" s="50" t="str">
        <f t="shared" si="31"/>
        <v>100_41203</v>
      </c>
      <c r="B236" s="2">
        <v>100</v>
      </c>
      <c r="C236" s="160"/>
      <c r="D236" s="107">
        <v>41203</v>
      </c>
      <c r="E236" s="31" t="str">
        <f ca="1">VLOOKUP(D236,OFFSET(weekly_missions!$A$2,0,0,COUNTA(weekly_missions!$A:$A),MATCH(E$2,weekly_missions!$2:$2,0)-MATCH(D$2,weekly_missions!$2:$2,0)+1),MATCH(E$2,weekly_missions!$2:$2,0)-MATCH(D$2,weekly_missions!$2:$2,0)+1,FALSE)</f>
        <v>クエストを通算 20 回クリアしよう！</v>
      </c>
      <c r="F236" s="31" t="str">
        <f ca="1">VLOOKUP(D236,OFFSET(weekly_missions!$A$2,0,0,COUNTA(weekly_missions!$A:$A),MATCH(F$2,weekly_missions!$2:$2,0)-MATCH(D$2,weekly_missions!$2:$2,0)+1),MATCH(F$2,weekly_missions!$2:$2,0)-MATCH(D$2,weekly_missions!$2:$2,0)+1,FALSE)</f>
        <v>ギガ攻めの果実 x 1</v>
      </c>
      <c r="G236" s="107">
        <v>200</v>
      </c>
    </row>
    <row r="237" spans="1:7" ht="21" customHeight="1" x14ac:dyDescent="0.15">
      <c r="A237" s="50" t="str">
        <f t="shared" si="31"/>
        <v>100_41301</v>
      </c>
      <c r="B237" s="2">
        <v>100</v>
      </c>
      <c r="C237" s="160"/>
      <c r="D237" s="107">
        <v>41301</v>
      </c>
      <c r="E237" s="31" t="str">
        <f ca="1">VLOOKUP(D237,OFFSET(weekly_missions!$A$2,0,0,COUNTA(weekly_missions!$A:$A),MATCH(E$2,weekly_missions!$2:$2,0)-MATCH(D$2,weekly_missions!$2:$2,0)+1),MATCH(E$2,weekly_missions!$2:$2,0)-MATCH(D$2,weekly_missions!$2:$2,0)+1,FALSE)</f>
        <v>クエストを通算 30 回クリアしよう！</v>
      </c>
      <c r="F237" s="31" t="str">
        <f ca="1">VLOOKUP(D237,OFFSET(weekly_missions!$A$2,0,0,COUNTA(weekly_missions!$A:$A),MATCH(F$2,weekly_missions!$2:$2,0)-MATCH(D$2,weekly_missions!$2:$2,0)+1),MATCH(F$2,weekly_missions!$2:$2,0)-MATCH(D$2,weekly_missions!$2:$2,0)+1,FALSE)</f>
        <v>メガ秘術の果実 x 1</v>
      </c>
      <c r="G237" s="107">
        <v>300</v>
      </c>
    </row>
    <row r="238" spans="1:7" ht="21" customHeight="1" x14ac:dyDescent="0.15">
      <c r="A238" s="50" t="str">
        <f t="shared" si="31"/>
        <v>100_41400</v>
      </c>
      <c r="B238" s="2">
        <v>100</v>
      </c>
      <c r="C238" s="160"/>
      <c r="D238" s="107">
        <v>41400</v>
      </c>
      <c r="E238" s="31" t="str">
        <f ca="1">VLOOKUP(D238,OFFSET(weekly_missions!$A$2,0,0,COUNTA(weekly_missions!$A:$A),MATCH(E$2,weekly_missions!$2:$2,0)-MATCH(D$2,weekly_missions!$2:$2,0)+1),MATCH(E$2,weekly_missions!$2:$2,0)-MATCH(D$2,weekly_missions!$2:$2,0)+1,FALSE)</f>
        <v>クエストを通算 40 回クリアしよう！</v>
      </c>
      <c r="F238" s="31" t="str">
        <f ca="1">VLOOKUP(D238,OFFSET(weekly_missions!$A$2,0,0,COUNTA(weekly_missions!$A:$A),MATCH(F$2,weekly_missions!$2:$2,0)-MATCH(D$2,weekly_missions!$2:$2,0)+1),MATCH(F$2,weekly_missions!$2:$2,0)-MATCH(D$2,weekly_missions!$2:$2,0)+1,FALSE)</f>
        <v>ギガ秘術の果実 x 1</v>
      </c>
      <c r="G238" s="107">
        <v>400</v>
      </c>
    </row>
    <row r="239" spans="1:7" ht="21" customHeight="1" x14ac:dyDescent="0.15">
      <c r="A239" s="50" t="str">
        <f t="shared" si="31"/>
        <v>100_42033</v>
      </c>
      <c r="B239" s="2">
        <v>100</v>
      </c>
      <c r="C239" s="160"/>
      <c r="D239" s="107">
        <v>42033</v>
      </c>
      <c r="E239" s="31" t="str">
        <f ca="1">VLOOKUP(D239,OFFSET(weekly_missions!$A$2,0,0,COUNTA(weekly_missions!$A:$A),MATCH(E$2,weekly_missions!$2:$2,0)-MATCH(D$2,weekly_missions!$2:$2,0)+1),MATCH(E$2,weekly_missions!$2:$2,0)-MATCH(D$2,weekly_missions!$2:$2,0)+1,FALSE)</f>
        <v>マルチプレイを 3 回プレイしよう！</v>
      </c>
      <c r="F239" s="31" t="str">
        <f ca="1">VLOOKUP(D239,OFFSET(weekly_missions!$A$2,0,0,COUNTA(weekly_missions!$A:$A),MATCH(F$2,weekly_missions!$2:$2,0)-MATCH(D$2,weekly_missions!$2:$2,0)+1),MATCH(F$2,weekly_missions!$2:$2,0)-MATCH(D$2,weekly_missions!$2:$2,0)+1,FALSE)</f>
        <v>水のメタルジェントル x 1</v>
      </c>
      <c r="G239" s="107">
        <v>31</v>
      </c>
    </row>
    <row r="240" spans="1:7" ht="21" customHeight="1" x14ac:dyDescent="0.15">
      <c r="A240" s="50" t="str">
        <f t="shared" si="31"/>
        <v>100_42054</v>
      </c>
      <c r="B240" s="2">
        <v>100</v>
      </c>
      <c r="C240" s="160"/>
      <c r="D240" s="107">
        <v>42054</v>
      </c>
      <c r="E240" s="31" t="str">
        <f ca="1">VLOOKUP(D240,OFFSET(weekly_missions!$A$2,0,0,COUNTA(weekly_missions!$A:$A),MATCH(E$2,weekly_missions!$2:$2,0)-MATCH(D$2,weekly_missions!$2:$2,0)+1),MATCH(E$2,weekly_missions!$2:$2,0)-MATCH(D$2,weekly_missions!$2:$2,0)+1,FALSE)</f>
        <v>マルチプレイを 5 回プレイしよう！</v>
      </c>
      <c r="F240" s="31" t="str">
        <f ca="1">VLOOKUP(D240,OFFSET(weekly_missions!$A$2,0,0,COUNTA(weekly_missions!$A:$A),MATCH(F$2,weekly_missions!$2:$2,0)-MATCH(D$2,weekly_missions!$2:$2,0)+1),MATCH(F$2,weekly_missions!$2:$2,0)-MATCH(D$2,weekly_missions!$2:$2,0)+1,FALSE)</f>
        <v>炎のメタルジェントル x 1</v>
      </c>
      <c r="G240" s="107">
        <v>51</v>
      </c>
    </row>
    <row r="241" spans="1:7" ht="21" customHeight="1" x14ac:dyDescent="0.15">
      <c r="A241" s="50" t="str">
        <f t="shared" si="31"/>
        <v>100_42103</v>
      </c>
      <c r="B241" s="2">
        <v>100</v>
      </c>
      <c r="C241" s="160"/>
      <c r="D241" s="107">
        <v>42103</v>
      </c>
      <c r="E241" s="31" t="str">
        <f ca="1">VLOOKUP(D241,OFFSET(weekly_missions!$A$2,0,0,COUNTA(weekly_missions!$A:$A),MATCH(E$2,weekly_missions!$2:$2,0)-MATCH(D$2,weekly_missions!$2:$2,0)+1),MATCH(E$2,weekly_missions!$2:$2,0)-MATCH(D$2,weekly_missions!$2:$2,0)+1,FALSE)</f>
        <v>マルチプレイを 10 回プレイしよう！</v>
      </c>
      <c r="F241" s="31" t="str">
        <f ca="1">VLOOKUP(D241,OFFSET(weekly_missions!$A$2,0,0,COUNTA(weekly_missions!$A:$A),MATCH(F$2,weekly_missions!$2:$2,0)-MATCH(D$2,weekly_missions!$2:$2,0)+1),MATCH(F$2,weekly_missions!$2:$2,0)-MATCH(D$2,weekly_missions!$2:$2,0)+1,FALSE)</f>
        <v>ギガ生命の果実 x 1</v>
      </c>
      <c r="G241" s="107">
        <v>101</v>
      </c>
    </row>
    <row r="242" spans="1:7" ht="21" customHeight="1" x14ac:dyDescent="0.15">
      <c r="A242" s="50" t="str">
        <f t="shared" si="31"/>
        <v>100_42154</v>
      </c>
      <c r="B242" s="2">
        <v>100</v>
      </c>
      <c r="C242" s="160"/>
      <c r="D242" s="107">
        <v>42154</v>
      </c>
      <c r="E242" s="31" t="str">
        <f ca="1">VLOOKUP(D242,OFFSET(weekly_missions!$A$2,0,0,COUNTA(weekly_missions!$A:$A),MATCH(E$2,weekly_missions!$2:$2,0)-MATCH(D$2,weekly_missions!$2:$2,0)+1),MATCH(E$2,weekly_missions!$2:$2,0)-MATCH(D$2,weekly_missions!$2:$2,0)+1,FALSE)</f>
        <v>マルチプレイを 15 回プレイしよう！</v>
      </c>
      <c r="F242" s="31" t="str">
        <f ca="1">VLOOKUP(D242,OFFSET(weekly_missions!$A$2,0,0,COUNTA(weekly_missions!$A:$A),MATCH(F$2,weekly_missions!$2:$2,0)-MATCH(D$2,weekly_missions!$2:$2,0)+1),MATCH(F$2,weekly_missions!$2:$2,0)-MATCH(D$2,weekly_missions!$2:$2,0)+1,FALSE)</f>
        <v>ギガ癒しの果実 x 1</v>
      </c>
      <c r="G242" s="107">
        <v>151</v>
      </c>
    </row>
    <row r="243" spans="1:7" ht="21" customHeight="1" x14ac:dyDescent="0.15">
      <c r="A243" s="50" t="str">
        <f t="shared" si="31"/>
        <v>100_42203</v>
      </c>
      <c r="B243" s="2">
        <v>100</v>
      </c>
      <c r="C243" s="160"/>
      <c r="D243" s="107">
        <v>42203</v>
      </c>
      <c r="E243" s="31" t="str">
        <f ca="1">VLOOKUP(D243,OFFSET(weekly_missions!$A$2,0,0,COUNTA(weekly_missions!$A:$A),MATCH(E$2,weekly_missions!$2:$2,0)-MATCH(D$2,weekly_missions!$2:$2,0)+1),MATCH(E$2,weekly_missions!$2:$2,0)-MATCH(D$2,weekly_missions!$2:$2,0)+1,FALSE)</f>
        <v>マルチプレイを 20 回プレイしよう！</v>
      </c>
      <c r="F243" s="31" t="str">
        <f ca="1">VLOOKUP(D243,OFFSET(weekly_missions!$A$2,0,0,COUNTA(weekly_missions!$A:$A),MATCH(F$2,weekly_missions!$2:$2,0)-MATCH(D$2,weekly_missions!$2:$2,0)+1),MATCH(F$2,weekly_missions!$2:$2,0)-MATCH(D$2,weekly_missions!$2:$2,0)+1,FALSE)</f>
        <v>ギガ攻めの果実 x 1</v>
      </c>
      <c r="G243" s="107">
        <v>201</v>
      </c>
    </row>
    <row r="244" spans="1:7" ht="21" customHeight="1" x14ac:dyDescent="0.15">
      <c r="A244" s="50" t="str">
        <f t="shared" si="31"/>
        <v>100_42301</v>
      </c>
      <c r="B244" s="2">
        <v>100</v>
      </c>
      <c r="C244" s="160"/>
      <c r="D244" s="107">
        <v>42301</v>
      </c>
      <c r="E244" s="31" t="str">
        <f ca="1">VLOOKUP(D244,OFFSET(weekly_missions!$A$2,0,0,COUNTA(weekly_missions!$A:$A),MATCH(E$2,weekly_missions!$2:$2,0)-MATCH(D$2,weekly_missions!$2:$2,0)+1),MATCH(E$2,weekly_missions!$2:$2,0)-MATCH(D$2,weekly_missions!$2:$2,0)+1,FALSE)</f>
        <v>マルチプレイを 30 回プレイしよう！</v>
      </c>
      <c r="F244" s="31" t="str">
        <f ca="1">VLOOKUP(D244,OFFSET(weekly_missions!$A$2,0,0,COUNTA(weekly_missions!$A:$A),MATCH(F$2,weekly_missions!$2:$2,0)-MATCH(D$2,weekly_missions!$2:$2,0)+1),MATCH(F$2,weekly_missions!$2:$2,0)-MATCH(D$2,weekly_missions!$2:$2,0)+1,FALSE)</f>
        <v>ポリゴン x 1</v>
      </c>
      <c r="G244" s="107">
        <v>301</v>
      </c>
    </row>
    <row r="245" spans="1:7" ht="21" customHeight="1" x14ac:dyDescent="0.15">
      <c r="A245" s="50" t="str">
        <f t="shared" si="31"/>
        <v>100_42400</v>
      </c>
      <c r="B245" s="2">
        <v>100</v>
      </c>
      <c r="C245" s="160"/>
      <c r="D245" s="107">
        <v>42400</v>
      </c>
      <c r="E245" s="31" t="str">
        <f ca="1">VLOOKUP(D245,OFFSET(weekly_missions!$A$2,0,0,COUNTA(weekly_missions!$A:$A),MATCH(E$2,weekly_missions!$2:$2,0)-MATCH(D$2,weekly_missions!$2:$2,0)+1),MATCH(E$2,weekly_missions!$2:$2,0)-MATCH(D$2,weekly_missions!$2:$2,0)+1,FALSE)</f>
        <v>マルチプレイを 40 回プレイしよう！</v>
      </c>
      <c r="F245" s="31" t="str">
        <f ca="1">VLOOKUP(D245,OFFSET(weekly_missions!$A$2,0,0,COUNTA(weekly_missions!$A:$A),MATCH(F$2,weekly_missions!$2:$2,0)-MATCH(D$2,weekly_missions!$2:$2,0)+1),MATCH(F$2,weekly_missions!$2:$2,0)-MATCH(D$2,weekly_missions!$2:$2,0)+1,FALSE)</f>
        <v>ポリゴン x 4</v>
      </c>
      <c r="G245" s="107">
        <v>401</v>
      </c>
    </row>
    <row r="246" spans="1:7" ht="21" customHeight="1" x14ac:dyDescent="0.15">
      <c r="A246" s="50" t="str">
        <f t="shared" si="31"/>
        <v>101_3009</v>
      </c>
      <c r="B246" s="2">
        <v>101</v>
      </c>
      <c r="C246" s="160" t="s">
        <v>1853</v>
      </c>
      <c r="D246" s="107">
        <v>3009</v>
      </c>
      <c r="E246" s="31" t="str">
        <f ca="1">VLOOKUP(D246,OFFSET(weekly_missions!$A$2,0,0,COUNTA(weekly_missions!$A:$A),MATCH(E$2,weekly_missions!$2:$2,0)-MATCH(D$2,weekly_missions!$2:$2,0)+1),MATCH(E$2,weekly_missions!$2:$2,0)-MATCH(D$2,weekly_missions!$2:$2,0)+1,FALSE)</f>
        <v>通算 1 日ログインしよう！</v>
      </c>
      <c r="F246" s="31" t="str">
        <f ca="1">VLOOKUP(D246,OFFSET(weekly_missions!$A$2,0,0,COUNTA(weekly_missions!$A:$A),MATCH(F$2,weekly_missions!$2:$2,0)-MATCH(D$2,weekly_missions!$2:$2,0)+1),MATCH(F$2,weekly_missions!$2:$2,0)-MATCH(D$2,weekly_missions!$2:$2,0)+1,FALSE)</f>
        <v>メガ生命の果実 x 1</v>
      </c>
      <c r="G246" s="107">
        <v>1000</v>
      </c>
    </row>
    <row r="247" spans="1:7" ht="21" customHeight="1" x14ac:dyDescent="0.15">
      <c r="A247" s="50" t="str">
        <f t="shared" ref="A247:A262" si="32">B247&amp;"_"&amp;D247</f>
        <v>101_3021</v>
      </c>
      <c r="B247" s="2">
        <v>101</v>
      </c>
      <c r="C247" s="160"/>
      <c r="D247" s="107">
        <v>3021</v>
      </c>
      <c r="E247" s="31" t="str">
        <f ca="1">VLOOKUP(D247,OFFSET(weekly_missions!$A$2,0,0,COUNTA(weekly_missions!$A:$A),MATCH(E$2,weekly_missions!$2:$2,0)-MATCH(D$2,weekly_missions!$2:$2,0)+1),MATCH(E$2,weekly_missions!$2:$2,0)-MATCH(D$2,weekly_missions!$2:$2,0)+1,FALSE)</f>
        <v>通算 2 日ログインしよう！</v>
      </c>
      <c r="F247" s="31" t="str">
        <f ca="1">VLOOKUP(D247,OFFSET(weekly_missions!$A$2,0,0,COUNTA(weekly_missions!$A:$A),MATCH(F$2,weekly_missions!$2:$2,0)-MATCH(D$2,weekly_missions!$2:$2,0)+1),MATCH(F$2,weekly_missions!$2:$2,0)-MATCH(D$2,weekly_missions!$2:$2,0)+1,FALSE)</f>
        <v>メガ癒しの果実 x 1</v>
      </c>
      <c r="G247" s="107">
        <v>1001</v>
      </c>
    </row>
    <row r="248" spans="1:7" ht="21" customHeight="1" x14ac:dyDescent="0.15">
      <c r="A248" s="50" t="str">
        <f t="shared" si="32"/>
        <v>101_3038</v>
      </c>
      <c r="B248" s="2">
        <v>101</v>
      </c>
      <c r="C248" s="160"/>
      <c r="D248" s="107">
        <v>3038</v>
      </c>
      <c r="E248" s="31" t="str">
        <f ca="1">VLOOKUP(D248,OFFSET(weekly_missions!$A$2,0,0,COUNTA(weekly_missions!$A:$A),MATCH(E$2,weekly_missions!$2:$2,0)-MATCH(D$2,weekly_missions!$2:$2,0)+1),MATCH(E$2,weekly_missions!$2:$2,0)-MATCH(D$2,weekly_missions!$2:$2,0)+1,FALSE)</f>
        <v>通算 3 日ログインしよう！</v>
      </c>
      <c r="F248" s="31" t="str">
        <f ca="1">VLOOKUP(D248,OFFSET(weekly_missions!$A$2,0,0,COUNTA(weekly_missions!$A:$A),MATCH(F$2,weekly_missions!$2:$2,0)-MATCH(D$2,weekly_missions!$2:$2,0)+1),MATCH(F$2,weekly_missions!$2:$2,0)-MATCH(D$2,weekly_missions!$2:$2,0)+1,FALSE)</f>
        <v>メガ攻めの果実 x 1</v>
      </c>
      <c r="G248" s="107">
        <v>1002</v>
      </c>
    </row>
    <row r="249" spans="1:7" ht="21" customHeight="1" x14ac:dyDescent="0.15">
      <c r="A249" s="50" t="str">
        <f t="shared" si="32"/>
        <v>101_3041</v>
      </c>
      <c r="B249" s="2">
        <v>101</v>
      </c>
      <c r="C249" s="160"/>
      <c r="D249" s="107">
        <v>3041</v>
      </c>
      <c r="E249" s="31" t="str">
        <f ca="1">VLOOKUP(D249,OFFSET(weekly_missions!$A$2,0,0,COUNTA(weekly_missions!$A:$A),MATCH(E$2,weekly_missions!$2:$2,0)-MATCH(D$2,weekly_missions!$2:$2,0)+1),MATCH(E$2,weekly_missions!$2:$2,0)-MATCH(D$2,weekly_missions!$2:$2,0)+1,FALSE)</f>
        <v>通算 4 日ログインしよう！</v>
      </c>
      <c r="F249" s="31" t="str">
        <f ca="1">VLOOKUP(D249,OFFSET(weekly_missions!$A$2,0,0,COUNTA(weekly_missions!$A:$A),MATCH(F$2,weekly_missions!$2:$2,0)-MATCH(D$2,weekly_missions!$2:$2,0)+1),MATCH(F$2,weekly_missions!$2:$2,0)-MATCH(D$2,weekly_missions!$2:$2,0)+1,FALSE)</f>
        <v>ビット x 400000</v>
      </c>
      <c r="G249" s="107">
        <v>1003</v>
      </c>
    </row>
    <row r="250" spans="1:7" ht="21" customHeight="1" x14ac:dyDescent="0.15">
      <c r="A250" s="50" t="str">
        <f t="shared" si="32"/>
        <v>101_3051</v>
      </c>
      <c r="B250" s="2">
        <v>101</v>
      </c>
      <c r="C250" s="160"/>
      <c r="D250" s="107">
        <v>3051</v>
      </c>
      <c r="E250" s="31" t="str">
        <f ca="1">VLOOKUP(D250,OFFSET(weekly_missions!$A$2,0,0,COUNTA(weekly_missions!$A:$A),MATCH(E$2,weekly_missions!$2:$2,0)-MATCH(D$2,weekly_missions!$2:$2,0)+1),MATCH(E$2,weekly_missions!$2:$2,0)-MATCH(D$2,weekly_missions!$2:$2,0)+1,FALSE)</f>
        <v>通算 5 日ログインしよう！</v>
      </c>
      <c r="F250" s="31" t="str">
        <f ca="1">VLOOKUP(D250,OFFSET(weekly_missions!$A$2,0,0,COUNTA(weekly_missions!$A:$A),MATCH(F$2,weekly_missions!$2:$2,0)-MATCH(D$2,weekly_missions!$2:$2,0)+1),MATCH(F$2,weekly_missions!$2:$2,0)-MATCH(D$2,weekly_missions!$2:$2,0)+1,FALSE)</f>
        <v>リトルハンプティ x 1</v>
      </c>
      <c r="G250" s="107">
        <v>1004</v>
      </c>
    </row>
    <row r="251" spans="1:7" ht="21" customHeight="1" x14ac:dyDescent="0.15">
      <c r="A251" s="50" t="str">
        <f t="shared" si="32"/>
        <v>101_3061</v>
      </c>
      <c r="B251" s="2">
        <v>101</v>
      </c>
      <c r="C251" s="160"/>
      <c r="D251" s="107">
        <v>3061</v>
      </c>
      <c r="E251" s="31" t="str">
        <f ca="1">VLOOKUP(D251,OFFSET(weekly_missions!$A$2,0,0,COUNTA(weekly_missions!$A:$A),MATCH(E$2,weekly_missions!$2:$2,0)-MATCH(D$2,weekly_missions!$2:$2,0)+1),MATCH(E$2,weekly_missions!$2:$2,0)-MATCH(D$2,weekly_missions!$2:$2,0)+1,FALSE)</f>
        <v>通算 6 日ログインしよう！</v>
      </c>
      <c r="F251" s="31" t="str">
        <f ca="1">VLOOKUP(D251,OFFSET(weekly_missions!$A$2,0,0,COUNTA(weekly_missions!$A:$A),MATCH(F$2,weekly_missions!$2:$2,0)-MATCH(D$2,weekly_missions!$2:$2,0)+1),MATCH(F$2,weekly_missions!$2:$2,0)-MATCH(D$2,weekly_missions!$2:$2,0)+1,FALSE)</f>
        <v>ポリゴン x 1</v>
      </c>
      <c r="G251" s="107">
        <v>1005</v>
      </c>
    </row>
    <row r="252" spans="1:7" ht="21" customHeight="1" x14ac:dyDescent="0.15">
      <c r="A252" s="50" t="str">
        <f t="shared" si="32"/>
        <v>101_3077</v>
      </c>
      <c r="B252" s="2">
        <v>101</v>
      </c>
      <c r="C252" s="160"/>
      <c r="D252" s="107">
        <v>3077</v>
      </c>
      <c r="E252" s="31" t="str">
        <f ca="1">VLOOKUP(D252,OFFSET(weekly_missions!$A$2,0,0,COUNTA(weekly_missions!$A:$A),MATCH(E$2,weekly_missions!$2:$2,0)-MATCH(D$2,weekly_missions!$2:$2,0)+1),MATCH(E$2,weekly_missions!$2:$2,0)-MATCH(D$2,weekly_missions!$2:$2,0)+1,FALSE)</f>
        <v>通算 7 日ログインしよう！</v>
      </c>
      <c r="F252" s="31" t="str">
        <f ca="1">VLOOKUP(D252,OFFSET(weekly_missions!$A$2,0,0,COUNTA(weekly_missions!$A:$A),MATCH(F$2,weekly_missions!$2:$2,0)-MATCH(D$2,weekly_missions!$2:$2,0)+1),MATCH(F$2,weekly_missions!$2:$2,0)-MATCH(D$2,weekly_missions!$2:$2,0)+1,FALSE)</f>
        <v>ポリゴン x 4</v>
      </c>
      <c r="G252" s="107">
        <v>1006</v>
      </c>
    </row>
    <row r="253" spans="1:7" ht="21" customHeight="1" x14ac:dyDescent="0.15">
      <c r="A253" s="50" t="str">
        <f t="shared" si="32"/>
        <v>101_41033</v>
      </c>
      <c r="B253" s="2">
        <v>101</v>
      </c>
      <c r="C253" s="160"/>
      <c r="D253" s="107">
        <v>41033</v>
      </c>
      <c r="E253" s="31" t="str">
        <f ca="1">VLOOKUP(D253,OFFSET(weekly_missions!$A$2,0,0,COUNTA(weekly_missions!$A:$A),MATCH(E$2,weekly_missions!$2:$2,0)-MATCH(D$2,weekly_missions!$2:$2,0)+1),MATCH(E$2,weekly_missions!$2:$2,0)-MATCH(D$2,weekly_missions!$2:$2,0)+1,FALSE)</f>
        <v>クエストを通算 3 回クリアしよう！</v>
      </c>
      <c r="F253" s="31" t="str">
        <f ca="1">VLOOKUP(D253,OFFSET(weekly_missions!$A$2,0,0,COUNTA(weekly_missions!$A:$A),MATCH(F$2,weekly_missions!$2:$2,0)-MATCH(D$2,weekly_missions!$2:$2,0)+1),MATCH(F$2,weekly_missions!$2:$2,0)-MATCH(D$2,weekly_missions!$2:$2,0)+1,FALSE)</f>
        <v>雷のメタルジェントル x 1</v>
      </c>
      <c r="G253" s="107">
        <v>30</v>
      </c>
    </row>
    <row r="254" spans="1:7" ht="21" customHeight="1" x14ac:dyDescent="0.15">
      <c r="A254" s="50" t="str">
        <f t="shared" si="32"/>
        <v>101_41054</v>
      </c>
      <c r="B254" s="2">
        <v>101</v>
      </c>
      <c r="C254" s="160"/>
      <c r="D254" s="107">
        <v>41054</v>
      </c>
      <c r="E254" s="31" t="str">
        <f ca="1">VLOOKUP(D254,OFFSET(weekly_missions!$A$2,0,0,COUNTA(weekly_missions!$A:$A),MATCH(E$2,weekly_missions!$2:$2,0)-MATCH(D$2,weekly_missions!$2:$2,0)+1),MATCH(E$2,weekly_missions!$2:$2,0)-MATCH(D$2,weekly_missions!$2:$2,0)+1,FALSE)</f>
        <v>クエストを通算 5 回クリアしよう！</v>
      </c>
      <c r="F254" s="31" t="str">
        <f ca="1">VLOOKUP(D254,OFFSET(weekly_missions!$A$2,0,0,COUNTA(weekly_missions!$A:$A),MATCH(F$2,weekly_missions!$2:$2,0)-MATCH(D$2,weekly_missions!$2:$2,0)+1),MATCH(F$2,weekly_missions!$2:$2,0)-MATCH(D$2,weekly_missions!$2:$2,0)+1,FALSE)</f>
        <v>森のメタルジェントル x 1</v>
      </c>
      <c r="G254" s="107">
        <v>50</v>
      </c>
    </row>
    <row r="255" spans="1:7" ht="21" customHeight="1" x14ac:dyDescent="0.15">
      <c r="A255" s="50" t="str">
        <f t="shared" si="32"/>
        <v>101_41070</v>
      </c>
      <c r="B255" s="2">
        <v>101</v>
      </c>
      <c r="C255" s="160"/>
      <c r="D255" s="107">
        <v>41070</v>
      </c>
      <c r="E255" s="31" t="str">
        <f ca="1">VLOOKUP(D255,OFFSET(weekly_missions!$A$2,0,0,COUNTA(weekly_missions!$A:$A),MATCH(E$2,weekly_missions!$2:$2,0)-MATCH(D$2,weekly_missions!$2:$2,0)+1),MATCH(E$2,weekly_missions!$2:$2,0)-MATCH(D$2,weekly_missions!$2:$2,0)+1,FALSE)</f>
        <v>クエストを通算 7 回クリアしよう！</v>
      </c>
      <c r="F255" s="31" t="str">
        <f ca="1">VLOOKUP(D255,OFFSET(weekly_missions!$A$2,0,0,COUNTA(weekly_missions!$A:$A),MATCH(F$2,weekly_missions!$2:$2,0)-MATCH(D$2,weekly_missions!$2:$2,0)+1),MATCH(F$2,weekly_missions!$2:$2,0)-MATCH(D$2,weekly_missions!$2:$2,0)+1,FALSE)</f>
        <v>炎のメタルジェントル x 1</v>
      </c>
      <c r="G255" s="107">
        <v>70</v>
      </c>
    </row>
    <row r="256" spans="1:7" ht="21" customHeight="1" x14ac:dyDescent="0.15">
      <c r="A256" s="50" t="str">
        <f t="shared" si="32"/>
        <v>101_41090</v>
      </c>
      <c r="B256" s="2">
        <v>101</v>
      </c>
      <c r="C256" s="160"/>
      <c r="D256" s="107">
        <v>41090</v>
      </c>
      <c r="E256" s="31" t="str">
        <f ca="1">VLOOKUP(D256,OFFSET(weekly_missions!$A$2,0,0,COUNTA(weekly_missions!$A:$A),MATCH(E$2,weekly_missions!$2:$2,0)-MATCH(D$2,weekly_missions!$2:$2,0)+1),MATCH(E$2,weekly_missions!$2:$2,0)-MATCH(D$2,weekly_missions!$2:$2,0)+1,FALSE)</f>
        <v>クエストを通算 9 回クリアしよう！</v>
      </c>
      <c r="F256" s="31" t="str">
        <f ca="1">VLOOKUP(D256,OFFSET(weekly_missions!$A$2,0,0,COUNTA(weekly_missions!$A:$A),MATCH(F$2,weekly_missions!$2:$2,0)-MATCH(D$2,weekly_missions!$2:$2,0)+1),MATCH(F$2,weekly_missions!$2:$2,0)-MATCH(D$2,weekly_missions!$2:$2,0)+1,FALSE)</f>
        <v>水のメタルジェントル x 1</v>
      </c>
      <c r="G256" s="107">
        <v>90</v>
      </c>
    </row>
    <row r="257" spans="1:7" ht="21" customHeight="1" x14ac:dyDescent="0.15">
      <c r="A257" s="50" t="str">
        <f t="shared" si="32"/>
        <v>101_41110</v>
      </c>
      <c r="B257" s="2">
        <v>101</v>
      </c>
      <c r="C257" s="160"/>
      <c r="D257" s="107">
        <v>41110</v>
      </c>
      <c r="E257" s="31" t="str">
        <f ca="1">VLOOKUP(D257,OFFSET(weekly_missions!$A$2,0,0,COUNTA(weekly_missions!$A:$A),MATCH(E$2,weekly_missions!$2:$2,0)-MATCH(D$2,weekly_missions!$2:$2,0)+1),MATCH(E$2,weekly_missions!$2:$2,0)-MATCH(D$2,weekly_missions!$2:$2,0)+1,FALSE)</f>
        <v>クエストを通算 11 回クリアしよう！</v>
      </c>
      <c r="F257" s="31" t="str">
        <f ca="1">VLOOKUP(D257,OFFSET(weekly_missions!$A$2,0,0,COUNTA(weekly_missions!$A:$A),MATCH(F$2,weekly_missions!$2:$2,0)-MATCH(D$2,weekly_missions!$2:$2,0)+1),MATCH(F$2,weekly_missions!$2:$2,0)-MATCH(D$2,weekly_missions!$2:$2,0)+1,FALSE)</f>
        <v>ギガ生命の果実 x 1</v>
      </c>
      <c r="G257" s="107">
        <v>110</v>
      </c>
    </row>
    <row r="258" spans="1:7" ht="21" customHeight="1" x14ac:dyDescent="0.15">
      <c r="A258" s="50" t="str">
        <f t="shared" si="32"/>
        <v>101_41130</v>
      </c>
      <c r="B258" s="2">
        <v>101</v>
      </c>
      <c r="C258" s="160"/>
      <c r="D258" s="107">
        <v>41130</v>
      </c>
      <c r="E258" s="31" t="str">
        <f ca="1">VLOOKUP(D258,OFFSET(weekly_missions!$A$2,0,0,COUNTA(weekly_missions!$A:$A),MATCH(E$2,weekly_missions!$2:$2,0)-MATCH(D$2,weekly_missions!$2:$2,0)+1),MATCH(E$2,weekly_missions!$2:$2,0)-MATCH(D$2,weekly_missions!$2:$2,0)+1,FALSE)</f>
        <v>クエストを通算 13 回クリアしよう！</v>
      </c>
      <c r="F258" s="31" t="str">
        <f ca="1">VLOOKUP(D258,OFFSET(weekly_missions!$A$2,0,0,COUNTA(weekly_missions!$A:$A),MATCH(F$2,weekly_missions!$2:$2,0)-MATCH(D$2,weekly_missions!$2:$2,0)+1),MATCH(F$2,weekly_missions!$2:$2,0)-MATCH(D$2,weekly_missions!$2:$2,0)+1,FALSE)</f>
        <v>ギガ癒しの果実 x 1</v>
      </c>
      <c r="G258" s="107">
        <v>130</v>
      </c>
    </row>
    <row r="259" spans="1:7" ht="21" customHeight="1" x14ac:dyDescent="0.15">
      <c r="A259" s="50" t="str">
        <f t="shared" si="32"/>
        <v>101_41155</v>
      </c>
      <c r="B259" s="2">
        <v>101</v>
      </c>
      <c r="C259" s="160"/>
      <c r="D259" s="107">
        <v>41155</v>
      </c>
      <c r="E259" s="31" t="str">
        <f ca="1">VLOOKUP(D259,OFFSET(weekly_missions!$A$2,0,0,COUNTA(weekly_missions!$A:$A),MATCH(E$2,weekly_missions!$2:$2,0)-MATCH(D$2,weekly_missions!$2:$2,0)+1),MATCH(E$2,weekly_missions!$2:$2,0)-MATCH(D$2,weekly_missions!$2:$2,0)+1,FALSE)</f>
        <v>クエストを通算 15 回クリアしよう！</v>
      </c>
      <c r="F259" s="31" t="str">
        <f ca="1">VLOOKUP(D259,OFFSET(weekly_missions!$A$2,0,0,COUNTA(weekly_missions!$A:$A),MATCH(F$2,weekly_missions!$2:$2,0)-MATCH(D$2,weekly_missions!$2:$2,0)+1),MATCH(F$2,weekly_missions!$2:$2,0)-MATCH(D$2,weekly_missions!$2:$2,0)+1,FALSE)</f>
        <v>ギガ攻めの果実 x 1</v>
      </c>
      <c r="G259" s="107">
        <v>150</v>
      </c>
    </row>
    <row r="260" spans="1:7" ht="21" customHeight="1" x14ac:dyDescent="0.15">
      <c r="A260" s="50" t="str">
        <f t="shared" si="32"/>
        <v>101_41204</v>
      </c>
      <c r="B260" s="2">
        <v>101</v>
      </c>
      <c r="C260" s="160"/>
      <c r="D260" s="107">
        <v>41204</v>
      </c>
      <c r="E260" s="31" t="str">
        <f ca="1">VLOOKUP(D260,OFFSET(weekly_missions!$A$2,0,0,COUNTA(weekly_missions!$A:$A),MATCH(E$2,weekly_missions!$2:$2,0)-MATCH(D$2,weekly_missions!$2:$2,0)+1),MATCH(E$2,weekly_missions!$2:$2,0)-MATCH(D$2,weekly_missions!$2:$2,0)+1,FALSE)</f>
        <v>クエストを通算 20 回クリアしよう！</v>
      </c>
      <c r="F260" s="31" t="str">
        <f ca="1">VLOOKUP(D260,OFFSET(weekly_missions!$A$2,0,0,COUNTA(weekly_missions!$A:$A),MATCH(F$2,weekly_missions!$2:$2,0)-MATCH(D$2,weekly_missions!$2:$2,0)+1),MATCH(F$2,weekly_missions!$2:$2,0)-MATCH(D$2,weekly_missions!$2:$2,0)+1,FALSE)</f>
        <v>メガ秘術の果実 x 1</v>
      </c>
      <c r="G260" s="107">
        <v>200</v>
      </c>
    </row>
    <row r="261" spans="1:7" ht="21" customHeight="1" x14ac:dyDescent="0.15">
      <c r="A261" s="50" t="str">
        <f t="shared" si="32"/>
        <v>101_41302</v>
      </c>
      <c r="B261" s="2">
        <v>101</v>
      </c>
      <c r="C261" s="160"/>
      <c r="D261" s="107">
        <v>41302</v>
      </c>
      <c r="E261" s="31" t="str">
        <f ca="1">VLOOKUP(D261,OFFSET(weekly_missions!$A$2,0,0,COUNTA(weekly_missions!$A:$A),MATCH(E$2,weekly_missions!$2:$2,0)-MATCH(D$2,weekly_missions!$2:$2,0)+1),MATCH(E$2,weekly_missions!$2:$2,0)-MATCH(D$2,weekly_missions!$2:$2,0)+1,FALSE)</f>
        <v>クエストを通算 30 回クリアしよう！</v>
      </c>
      <c r="F261" s="31" t="str">
        <f ca="1">VLOOKUP(D261,OFFSET(weekly_missions!$A$2,0,0,COUNTA(weekly_missions!$A:$A),MATCH(F$2,weekly_missions!$2:$2,0)-MATCH(D$2,weekly_missions!$2:$2,0)+1),MATCH(F$2,weekly_missions!$2:$2,0)-MATCH(D$2,weekly_missions!$2:$2,0)+1,FALSE)</f>
        <v>ギガ秘術の果実 x 1</v>
      </c>
      <c r="G261" s="107">
        <v>300</v>
      </c>
    </row>
    <row r="262" spans="1:7" ht="21" customHeight="1" x14ac:dyDescent="0.15">
      <c r="A262" s="50" t="str">
        <f t="shared" si="32"/>
        <v>102_44001</v>
      </c>
      <c r="B262" s="2">
        <v>102</v>
      </c>
      <c r="C262" s="161" t="s">
        <v>1948</v>
      </c>
      <c r="D262" s="107">
        <v>44001</v>
      </c>
      <c r="E262" s="31" t="str">
        <f ca="1">VLOOKUP(D262,OFFSET(weekly_missions!$A$2,0,0,COUNTA(weekly_missions!$A:$A),MATCH(E$2,weekly_missions!$2:$2,0)-MATCH(D$2,weekly_missions!$2:$2,0)+1),MATCH(E$2,weekly_missions!$2:$2,0)-MATCH(D$2,weekly_missions!$2:$2,0)+1,FALSE)</f>
        <v>通算 1 日ログインしよう！</v>
      </c>
      <c r="F262" s="31" t="str">
        <f ca="1">VLOOKUP(D262,OFFSET(weekly_missions!$A$2,0,0,COUNTA(weekly_missions!$A:$A),MATCH(F$2,weekly_missions!$2:$2,0)-MATCH(D$2,weekly_missions!$2:$2,0)+1),MATCH(F$2,weekly_missions!$2:$2,0)-MATCH(D$2,weekly_missions!$2:$2,0)+1,FALSE)</f>
        <v>ポリゴン x 1</v>
      </c>
      <c r="G262" s="107">
        <v>1000</v>
      </c>
    </row>
    <row r="263" spans="1:7" ht="21" customHeight="1" x14ac:dyDescent="0.15">
      <c r="A263" s="50" t="str">
        <f t="shared" ref="A263:A268" si="33">B263&amp;"_"&amp;D263</f>
        <v>102_44002</v>
      </c>
      <c r="B263" s="2">
        <v>102</v>
      </c>
      <c r="C263" s="162"/>
      <c r="D263" s="107">
        <v>44002</v>
      </c>
      <c r="E263" s="31" t="str">
        <f ca="1">VLOOKUP(D263,OFFSET(weekly_missions!$A$2,0,0,COUNTA(weekly_missions!$A:$A),MATCH(E$2,weekly_missions!$2:$2,0)-MATCH(D$2,weekly_missions!$2:$2,0)+1),MATCH(E$2,weekly_missions!$2:$2,0)-MATCH(D$2,weekly_missions!$2:$2,0)+1,FALSE)</f>
        <v>通算 2 日ログインしよう！</v>
      </c>
      <c r="F263" s="31" t="str">
        <f ca="1">VLOOKUP(D263,OFFSET(weekly_missions!$A$2,0,0,COUNTA(weekly_missions!$A:$A),MATCH(F$2,weekly_missions!$2:$2,0)-MATCH(D$2,weekly_missions!$2:$2,0)+1),MATCH(F$2,weekly_missions!$2:$2,0)-MATCH(D$2,weekly_missions!$2:$2,0)+1,FALSE)</f>
        <v>ポリゴン x 2</v>
      </c>
      <c r="G263" s="107">
        <v>1001</v>
      </c>
    </row>
    <row r="264" spans="1:7" ht="21" customHeight="1" x14ac:dyDescent="0.15">
      <c r="A264" s="50" t="str">
        <f t="shared" si="33"/>
        <v>102_44003</v>
      </c>
      <c r="B264" s="2">
        <v>102</v>
      </c>
      <c r="C264" s="162"/>
      <c r="D264" s="107">
        <v>44003</v>
      </c>
      <c r="E264" s="31" t="str">
        <f ca="1">VLOOKUP(D264,OFFSET(weekly_missions!$A$2,0,0,COUNTA(weekly_missions!$A:$A),MATCH(E$2,weekly_missions!$2:$2,0)-MATCH(D$2,weekly_missions!$2:$2,0)+1),MATCH(E$2,weekly_missions!$2:$2,0)-MATCH(D$2,weekly_missions!$2:$2,0)+1,FALSE)</f>
        <v>通算 3 日ログインしよう！</v>
      </c>
      <c r="F264" s="31" t="str">
        <f ca="1">VLOOKUP(D264,OFFSET(weekly_missions!$A$2,0,0,COUNTA(weekly_missions!$A:$A),MATCH(F$2,weekly_missions!$2:$2,0)-MATCH(D$2,weekly_missions!$2:$2,0)+1),MATCH(F$2,weekly_missions!$2:$2,0)-MATCH(D$2,weekly_missions!$2:$2,0)+1,FALSE)</f>
        <v>ポリゴン x 3</v>
      </c>
      <c r="G264" s="107">
        <v>1002</v>
      </c>
    </row>
    <row r="265" spans="1:7" ht="21" customHeight="1" x14ac:dyDescent="0.15">
      <c r="A265" s="50" t="str">
        <f t="shared" si="33"/>
        <v>102_44004</v>
      </c>
      <c r="B265" s="2">
        <v>102</v>
      </c>
      <c r="C265" s="162"/>
      <c r="D265" s="107">
        <v>44004</v>
      </c>
      <c r="E265" s="31" t="str">
        <f ca="1">VLOOKUP(D265,OFFSET(weekly_missions!$A$2,0,0,COUNTA(weekly_missions!$A:$A),MATCH(E$2,weekly_missions!$2:$2,0)-MATCH(D$2,weekly_missions!$2:$2,0)+1),MATCH(E$2,weekly_missions!$2:$2,0)-MATCH(D$2,weekly_missions!$2:$2,0)+1,FALSE)</f>
        <v>通算 4 日ログインしよう！</v>
      </c>
      <c r="F265" s="31" t="str">
        <f ca="1">VLOOKUP(D265,OFFSET(weekly_missions!$A$2,0,0,COUNTA(weekly_missions!$A:$A),MATCH(F$2,weekly_missions!$2:$2,0)-MATCH(D$2,weekly_missions!$2:$2,0)+1),MATCH(F$2,weekly_missions!$2:$2,0)-MATCH(D$2,weekly_missions!$2:$2,0)+1,FALSE)</f>
        <v>ポリゴン x 4</v>
      </c>
      <c r="G265" s="107">
        <v>1003</v>
      </c>
    </row>
    <row r="266" spans="1:7" ht="21" customHeight="1" x14ac:dyDescent="0.15">
      <c r="A266" s="50" t="str">
        <f t="shared" si="33"/>
        <v>102_44005</v>
      </c>
      <c r="B266" s="2">
        <v>102</v>
      </c>
      <c r="C266" s="162"/>
      <c r="D266" s="107">
        <v>44005</v>
      </c>
      <c r="E266" s="31" t="str">
        <f ca="1">VLOOKUP(D266,OFFSET(weekly_missions!$A$2,0,0,COUNTA(weekly_missions!$A:$A),MATCH(E$2,weekly_missions!$2:$2,0)-MATCH(D$2,weekly_missions!$2:$2,0)+1),MATCH(E$2,weekly_missions!$2:$2,0)-MATCH(D$2,weekly_missions!$2:$2,0)+1,FALSE)</f>
        <v>通算 5 日ログインしよう！</v>
      </c>
      <c r="F266" s="31" t="str">
        <f ca="1">VLOOKUP(D266,OFFSET(weekly_missions!$A$2,0,0,COUNTA(weekly_missions!$A:$A),MATCH(F$2,weekly_missions!$2:$2,0)-MATCH(D$2,weekly_missions!$2:$2,0)+1),MATCH(F$2,weekly_missions!$2:$2,0)-MATCH(D$2,weekly_missions!$2:$2,0)+1,FALSE)</f>
        <v>ポリゴン x 5</v>
      </c>
      <c r="G266" s="107">
        <v>1004</v>
      </c>
    </row>
    <row r="267" spans="1:7" ht="21" customHeight="1" x14ac:dyDescent="0.15">
      <c r="A267" s="50" t="str">
        <f t="shared" si="33"/>
        <v>102_44006</v>
      </c>
      <c r="B267" s="2">
        <v>102</v>
      </c>
      <c r="C267" s="162"/>
      <c r="D267" s="107">
        <v>44006</v>
      </c>
      <c r="E267" s="31" t="str">
        <f ca="1">VLOOKUP(D267,OFFSET(weekly_missions!$A$2,0,0,COUNTA(weekly_missions!$A:$A),MATCH(E$2,weekly_missions!$2:$2,0)-MATCH(D$2,weekly_missions!$2:$2,0)+1),MATCH(E$2,weekly_missions!$2:$2,0)-MATCH(D$2,weekly_missions!$2:$2,0)+1,FALSE)</f>
        <v>通算 6 日ログインしよう！</v>
      </c>
      <c r="F267" s="31" t="str">
        <f ca="1">VLOOKUP(D267,OFFSET(weekly_missions!$A$2,0,0,COUNTA(weekly_missions!$A:$A),MATCH(F$2,weekly_missions!$2:$2,0)-MATCH(D$2,weekly_missions!$2:$2,0)+1),MATCH(F$2,weekly_missions!$2:$2,0)-MATCH(D$2,weekly_missions!$2:$2,0)+1,FALSE)</f>
        <v>ポリゴン x 5</v>
      </c>
      <c r="G267" s="107">
        <v>1005</v>
      </c>
    </row>
    <row r="268" spans="1:7" ht="21" customHeight="1" x14ac:dyDescent="0.15">
      <c r="A268" s="50" t="str">
        <f t="shared" si="33"/>
        <v>102_44007</v>
      </c>
      <c r="B268" s="2">
        <v>102</v>
      </c>
      <c r="C268" s="162"/>
      <c r="D268" s="107">
        <v>44007</v>
      </c>
      <c r="E268" s="31" t="str">
        <f ca="1">VLOOKUP(D268,OFFSET(weekly_missions!$A$2,0,0,COUNTA(weekly_missions!$A:$A),MATCH(E$2,weekly_missions!$2:$2,0)-MATCH(D$2,weekly_missions!$2:$2,0)+1),MATCH(E$2,weekly_missions!$2:$2,0)-MATCH(D$2,weekly_missions!$2:$2,0)+1,FALSE)</f>
        <v>通算 7 日ログインしよう！</v>
      </c>
      <c r="F268" s="31" t="str">
        <f ca="1">VLOOKUP(D268,OFFSET(weekly_missions!$A$2,0,0,COUNTA(weekly_missions!$A:$A),MATCH(F$2,weekly_missions!$2:$2,0)-MATCH(D$2,weekly_missions!$2:$2,0)+1),MATCH(F$2,weekly_missions!$2:$2,0)-MATCH(D$2,weekly_missions!$2:$2,0)+1,FALSE)</f>
        <v>ポリゴン x 5</v>
      </c>
      <c r="G268" s="107">
        <v>1006</v>
      </c>
    </row>
    <row r="269" spans="1:7" ht="21" customHeight="1" x14ac:dyDescent="0.15">
      <c r="A269" s="50" t="str">
        <f t="shared" ref="A269:A277" si="34">B269&amp;"_"&amp;D269</f>
        <v>102_45001</v>
      </c>
      <c r="B269" s="2">
        <v>102</v>
      </c>
      <c r="C269" s="162"/>
      <c r="D269" s="8">
        <v>45001</v>
      </c>
      <c r="E269" s="31" t="str">
        <f ca="1">VLOOKUP(D269,OFFSET(weekly_missions!$A$2,0,0,COUNTA(weekly_missions!$A:$A),MATCH(E$2,weekly_missions!$2:$2,0)-MATCH(D$2,weekly_missions!$2:$2,0)+1),MATCH(E$2,weekly_missions!$2:$2,0)-MATCH(D$2,weekly_missions!$2:$2,0)+1,FALSE)</f>
        <v>クエストを通算 1 回クリアしよう！</v>
      </c>
      <c r="F269" s="31" t="str">
        <f ca="1">VLOOKUP(D269,OFFSET(weekly_missions!$A$2,0,0,COUNTA(weekly_missions!$A:$A),MATCH(F$2,weekly_missions!$2:$2,0)-MATCH(D$2,weekly_missions!$2:$2,0)+1),MATCH(F$2,weekly_missions!$2:$2,0)-MATCH(D$2,weekly_missions!$2:$2,0)+1,FALSE)</f>
        <v>リトルハンプティ x 1</v>
      </c>
      <c r="G269" s="107">
        <v>1007</v>
      </c>
    </row>
    <row r="270" spans="1:7" ht="21" customHeight="1" x14ac:dyDescent="0.15">
      <c r="A270" s="50" t="str">
        <f t="shared" si="34"/>
        <v>102_45002</v>
      </c>
      <c r="B270" s="2">
        <v>102</v>
      </c>
      <c r="C270" s="162"/>
      <c r="D270" s="8">
        <v>45002</v>
      </c>
      <c r="E270" s="31" t="str">
        <f ca="1">VLOOKUP(D270,OFFSET(weekly_missions!$A$2,0,0,COUNTA(weekly_missions!$A:$A),MATCH(E$2,weekly_missions!$2:$2,0)-MATCH(D$2,weekly_missions!$2:$2,0)+1),MATCH(E$2,weekly_missions!$2:$2,0)-MATCH(D$2,weekly_missions!$2:$2,0)+1,FALSE)</f>
        <v>クエストを通算 3 回クリアしよう！</v>
      </c>
      <c r="F270" s="31" t="str">
        <f ca="1">VLOOKUP(D270,OFFSET(weekly_missions!$A$2,0,0,COUNTA(weekly_missions!$A:$A),MATCH(F$2,weekly_missions!$2:$2,0)-MATCH(D$2,weekly_missions!$2:$2,0)+1),MATCH(F$2,weekly_missions!$2:$2,0)-MATCH(D$2,weekly_missions!$2:$2,0)+1,FALSE)</f>
        <v>マスターキー x 3</v>
      </c>
      <c r="G270" s="107">
        <v>1008</v>
      </c>
    </row>
    <row r="271" spans="1:7" ht="21" customHeight="1" x14ac:dyDescent="0.15">
      <c r="A271" s="50" t="str">
        <f t="shared" si="34"/>
        <v>102_45003</v>
      </c>
      <c r="B271" s="2">
        <v>102</v>
      </c>
      <c r="C271" s="162"/>
      <c r="D271" s="8">
        <v>45003</v>
      </c>
      <c r="E271" s="31" t="str">
        <f ca="1">VLOOKUP(D271,OFFSET(weekly_missions!$A$2,0,0,COUNTA(weekly_missions!$A:$A),MATCH(E$2,weekly_missions!$2:$2,0)-MATCH(D$2,weekly_missions!$2:$2,0)+1),MATCH(E$2,weekly_missions!$2:$2,0)-MATCH(D$2,weekly_missions!$2:$2,0)+1,FALSE)</f>
        <v>クエストを通算 5 回クリアしよう！</v>
      </c>
      <c r="F271" s="31" t="str">
        <f ca="1">VLOOKUP(D271,OFFSET(weekly_missions!$A$2,0,0,COUNTA(weekly_missions!$A:$A),MATCH(F$2,weekly_missions!$2:$2,0)-MATCH(D$2,weekly_missions!$2:$2,0)+1),MATCH(F$2,weekly_missions!$2:$2,0)-MATCH(D$2,weekly_missions!$2:$2,0)+1,FALSE)</f>
        <v>リンク x 2000</v>
      </c>
      <c r="G271" s="107">
        <v>1009</v>
      </c>
    </row>
    <row r="272" spans="1:7" ht="21" customHeight="1" x14ac:dyDescent="0.15">
      <c r="A272" s="50" t="str">
        <f t="shared" si="34"/>
        <v>102_45004</v>
      </c>
      <c r="B272" s="2">
        <v>102</v>
      </c>
      <c r="C272" s="162"/>
      <c r="D272" s="8">
        <v>45004</v>
      </c>
      <c r="E272" s="31" t="str">
        <f ca="1">VLOOKUP(D272,OFFSET(weekly_missions!$A$2,0,0,COUNTA(weekly_missions!$A:$A),MATCH(E$2,weekly_missions!$2:$2,0)-MATCH(D$2,weekly_missions!$2:$2,0)+1),MATCH(E$2,weekly_missions!$2:$2,0)-MATCH(D$2,weekly_missions!$2:$2,0)+1,FALSE)</f>
        <v>クエストを通算 7 回クリアしよう！</v>
      </c>
      <c r="F272" s="31" t="str">
        <f ca="1">VLOOKUP(D272,OFFSET(weekly_missions!$A$2,0,0,COUNTA(weekly_missions!$A:$A),MATCH(F$2,weekly_missions!$2:$2,0)-MATCH(D$2,weekly_missions!$2:$2,0)+1),MATCH(F$2,weekly_missions!$2:$2,0)-MATCH(D$2,weekly_missions!$2:$2,0)+1,FALSE)</f>
        <v>ギガ秘術の果実 x 2</v>
      </c>
      <c r="G272" s="107">
        <v>1010</v>
      </c>
    </row>
    <row r="273" spans="1:7" ht="21" customHeight="1" x14ac:dyDescent="0.15">
      <c r="A273" s="50" t="str">
        <f t="shared" si="34"/>
        <v>102_45005</v>
      </c>
      <c r="B273" s="2">
        <v>102</v>
      </c>
      <c r="C273" s="162"/>
      <c r="D273" s="8">
        <v>45005</v>
      </c>
      <c r="E273" s="31" t="str">
        <f ca="1">VLOOKUP(D273,OFFSET(weekly_missions!$A$2,0,0,COUNTA(weekly_missions!$A:$A),MATCH(E$2,weekly_missions!$2:$2,0)-MATCH(D$2,weekly_missions!$2:$2,0)+1),MATCH(E$2,weekly_missions!$2:$2,0)-MATCH(D$2,weekly_missions!$2:$2,0)+1,FALSE)</f>
        <v>クエストを通算 10 回クリアしよう！</v>
      </c>
      <c r="F273" s="31" t="str">
        <f ca="1">VLOOKUP(D273,OFFSET(weekly_missions!$A$2,0,0,COUNTA(weekly_missions!$A:$A),MATCH(F$2,weekly_missions!$2:$2,0)-MATCH(D$2,weekly_missions!$2:$2,0)+1),MATCH(F$2,weekly_missions!$2:$2,0)-MATCH(D$2,weekly_missions!$2:$2,0)+1,FALSE)</f>
        <v>ビット x 1000000</v>
      </c>
      <c r="G273" s="107">
        <v>1011</v>
      </c>
    </row>
    <row r="274" spans="1:7" ht="21" customHeight="1" x14ac:dyDescent="0.15">
      <c r="A274" s="50" t="str">
        <f t="shared" si="34"/>
        <v>102_45006</v>
      </c>
      <c r="B274" s="2">
        <v>102</v>
      </c>
      <c r="C274" s="162"/>
      <c r="D274" s="8">
        <v>45006</v>
      </c>
      <c r="E274" s="31" t="str">
        <f ca="1">VLOOKUP(D274,OFFSET(weekly_missions!$A$2,0,0,COUNTA(weekly_missions!$A:$A),MATCH(E$2,weekly_missions!$2:$2,0)-MATCH(D$2,weekly_missions!$2:$2,0)+1),MATCH(E$2,weekly_missions!$2:$2,0)-MATCH(D$2,weekly_missions!$2:$2,0)+1,FALSE)</f>
        <v>クエストを通算 13 回クリアしよう！</v>
      </c>
      <c r="F274" s="31" t="str">
        <f ca="1">VLOOKUP(D274,OFFSET(weekly_missions!$A$2,0,0,COUNTA(weekly_missions!$A:$A),MATCH(F$2,weekly_missions!$2:$2,0)-MATCH(D$2,weekly_missions!$2:$2,0)+1),MATCH(F$2,weekly_missions!$2:$2,0)-MATCH(D$2,weekly_missions!$2:$2,0)+1,FALSE)</f>
        <v>ギガ生命の果実 x 3</v>
      </c>
      <c r="G274" s="107">
        <v>1012</v>
      </c>
    </row>
    <row r="275" spans="1:7" ht="21" customHeight="1" x14ac:dyDescent="0.15">
      <c r="A275" s="50" t="str">
        <f t="shared" si="34"/>
        <v>102_45007</v>
      </c>
      <c r="B275" s="2">
        <v>102</v>
      </c>
      <c r="C275" s="162"/>
      <c r="D275" s="8">
        <v>45007</v>
      </c>
      <c r="E275" s="31" t="str">
        <f ca="1">VLOOKUP(D275,OFFSET(weekly_missions!$A$2,0,0,COUNTA(weekly_missions!$A:$A),MATCH(E$2,weekly_missions!$2:$2,0)-MATCH(D$2,weekly_missions!$2:$2,0)+1),MATCH(E$2,weekly_missions!$2:$2,0)-MATCH(D$2,weekly_missions!$2:$2,0)+1,FALSE)</f>
        <v>クエストを通算 16 回クリアしよう！</v>
      </c>
      <c r="F275" s="31" t="str">
        <f ca="1">VLOOKUP(D275,OFFSET(weekly_missions!$A$2,0,0,COUNTA(weekly_missions!$A:$A),MATCH(F$2,weekly_missions!$2:$2,0)-MATCH(D$2,weekly_missions!$2:$2,0)+1),MATCH(F$2,weekly_missions!$2:$2,0)-MATCH(D$2,weekly_missions!$2:$2,0)+1,FALSE)</f>
        <v>ギガ癒しの果実 x 3</v>
      </c>
      <c r="G275" s="107">
        <v>1013</v>
      </c>
    </row>
    <row r="276" spans="1:7" ht="21" customHeight="1" x14ac:dyDescent="0.15">
      <c r="A276" s="50" t="str">
        <f t="shared" si="34"/>
        <v>102_45008</v>
      </c>
      <c r="B276" s="2">
        <v>102</v>
      </c>
      <c r="C276" s="162"/>
      <c r="D276" s="8">
        <v>45008</v>
      </c>
      <c r="E276" s="31" t="str">
        <f ca="1">VLOOKUP(D276,OFFSET(weekly_missions!$A$2,0,0,COUNTA(weekly_missions!$A:$A),MATCH(E$2,weekly_missions!$2:$2,0)-MATCH(D$2,weekly_missions!$2:$2,0)+1),MATCH(E$2,weekly_missions!$2:$2,0)-MATCH(D$2,weekly_missions!$2:$2,0)+1,FALSE)</f>
        <v>クエストを通算 20 回クリアしよう！</v>
      </c>
      <c r="F276" s="31" t="str">
        <f ca="1">VLOOKUP(D276,OFFSET(weekly_missions!$A$2,0,0,COUNTA(weekly_missions!$A:$A),MATCH(F$2,weekly_missions!$2:$2,0)-MATCH(D$2,weekly_missions!$2:$2,0)+1),MATCH(F$2,weekly_missions!$2:$2,0)-MATCH(D$2,weekly_missions!$2:$2,0)+1,FALSE)</f>
        <v>ギガ攻めの果実 x 3</v>
      </c>
      <c r="G276" s="107">
        <v>1014</v>
      </c>
    </row>
    <row r="277" spans="1:7" ht="21" customHeight="1" x14ac:dyDescent="0.15">
      <c r="A277" s="50" t="str">
        <f t="shared" si="34"/>
        <v>102_45009</v>
      </c>
      <c r="B277" s="2">
        <v>102</v>
      </c>
      <c r="C277" s="162"/>
      <c r="D277" s="8">
        <v>45009</v>
      </c>
      <c r="E277" s="31" t="str">
        <f ca="1">VLOOKUP(D277,OFFSET(weekly_missions!$A$2,0,0,COUNTA(weekly_missions!$A:$A),MATCH(E$2,weekly_missions!$2:$2,0)-MATCH(D$2,weekly_missions!$2:$2,0)+1),MATCH(E$2,weekly_missions!$2:$2,0)-MATCH(D$2,weekly_missions!$2:$2,0)+1,FALSE)</f>
        <v>クエストを通算 25 回クリアしよう！</v>
      </c>
      <c r="F277" s="31" t="str">
        <f ca="1">VLOOKUP(D277,OFFSET(weekly_missions!$A$2,0,0,COUNTA(weekly_missions!$A:$A),MATCH(F$2,weekly_missions!$2:$2,0)-MATCH(D$2,weekly_missions!$2:$2,0)+1),MATCH(F$2,weekly_missions!$2:$2,0)-MATCH(D$2,weekly_missions!$2:$2,0)+1,FALSE)</f>
        <v>ビット x 2000000</v>
      </c>
      <c r="G277" s="107">
        <v>1015</v>
      </c>
    </row>
    <row r="278" spans="1:7" ht="21" customHeight="1" x14ac:dyDescent="0.15">
      <c r="A278" s="50" t="str">
        <f t="shared" ref="A278:A294" si="35">B278&amp;"_"&amp;D278</f>
        <v>102_45010</v>
      </c>
      <c r="B278" s="2">
        <v>102</v>
      </c>
      <c r="C278" s="163"/>
      <c r="D278" s="8">
        <v>45010</v>
      </c>
      <c r="E278" s="31" t="str">
        <f ca="1">VLOOKUP(D278,OFFSET(weekly_missions!$A$2,0,0,COUNTA(weekly_missions!$A:$A),MATCH(E$2,weekly_missions!$2:$2,0)-MATCH(D$2,weekly_missions!$2:$2,0)+1),MATCH(E$2,weekly_missions!$2:$2,0)-MATCH(D$2,weekly_missions!$2:$2,0)+1,FALSE)</f>
        <v>クエストを通算 30 回クリアしよう！</v>
      </c>
      <c r="F278" s="31" t="str">
        <f ca="1">VLOOKUP(D278,OFFSET(weekly_missions!$A$2,0,0,COUNTA(weekly_missions!$A:$A),MATCH(F$2,weekly_missions!$2:$2,0)-MATCH(D$2,weekly_missions!$2:$2,0)+1),MATCH(F$2,weekly_missions!$2:$2,0)-MATCH(D$2,weekly_missions!$2:$2,0)+1,FALSE)</f>
        <v>リトルハンプティ x 2</v>
      </c>
      <c r="G278" s="107">
        <v>1016</v>
      </c>
    </row>
    <row r="279" spans="1:7" ht="21" customHeight="1" x14ac:dyDescent="0.15">
      <c r="A279" s="50" t="str">
        <f t="shared" si="35"/>
        <v>103_3009</v>
      </c>
      <c r="B279" s="2">
        <v>103</v>
      </c>
      <c r="C279" s="160" t="s">
        <v>1853</v>
      </c>
      <c r="D279" s="107">
        <v>3009</v>
      </c>
      <c r="E279" s="31" t="str">
        <f ca="1">VLOOKUP(D279,OFFSET(weekly_missions!$A$2,0,0,COUNTA(weekly_missions!$A:$A),MATCH(E$2,weekly_missions!$2:$2,0)-MATCH(D$2,weekly_missions!$2:$2,0)+1),MATCH(E$2,weekly_missions!$2:$2,0)-MATCH(D$2,weekly_missions!$2:$2,0)+1,FALSE)</f>
        <v>通算 1 日ログインしよう！</v>
      </c>
      <c r="F279" s="31" t="str">
        <f ca="1">VLOOKUP(D279,OFFSET(weekly_missions!$A$2,0,0,COUNTA(weekly_missions!$A:$A),MATCH(F$2,weekly_missions!$2:$2,0)-MATCH(D$2,weekly_missions!$2:$2,0)+1),MATCH(F$2,weekly_missions!$2:$2,0)-MATCH(D$2,weekly_missions!$2:$2,0)+1,FALSE)</f>
        <v>メガ生命の果実 x 1</v>
      </c>
      <c r="G279" s="107">
        <v>1000</v>
      </c>
    </row>
    <row r="280" spans="1:7" ht="21" customHeight="1" x14ac:dyDescent="0.15">
      <c r="A280" s="50" t="str">
        <f t="shared" si="35"/>
        <v>103_3021</v>
      </c>
      <c r="B280" s="2">
        <v>103</v>
      </c>
      <c r="C280" s="160"/>
      <c r="D280" s="107">
        <v>3021</v>
      </c>
      <c r="E280" s="31" t="str">
        <f ca="1">VLOOKUP(D280,OFFSET(weekly_missions!$A$2,0,0,COUNTA(weekly_missions!$A:$A),MATCH(E$2,weekly_missions!$2:$2,0)-MATCH(D$2,weekly_missions!$2:$2,0)+1),MATCH(E$2,weekly_missions!$2:$2,0)-MATCH(D$2,weekly_missions!$2:$2,0)+1,FALSE)</f>
        <v>通算 2 日ログインしよう！</v>
      </c>
      <c r="F280" s="31" t="str">
        <f ca="1">VLOOKUP(D280,OFFSET(weekly_missions!$A$2,0,0,COUNTA(weekly_missions!$A:$A),MATCH(F$2,weekly_missions!$2:$2,0)-MATCH(D$2,weekly_missions!$2:$2,0)+1),MATCH(F$2,weekly_missions!$2:$2,0)-MATCH(D$2,weekly_missions!$2:$2,0)+1,FALSE)</f>
        <v>メガ癒しの果実 x 1</v>
      </c>
      <c r="G280" s="107">
        <v>1001</v>
      </c>
    </row>
    <row r="281" spans="1:7" ht="21" customHeight="1" x14ac:dyDescent="0.15">
      <c r="A281" s="50" t="str">
        <f t="shared" si="35"/>
        <v>103_3038</v>
      </c>
      <c r="B281" s="2">
        <v>103</v>
      </c>
      <c r="C281" s="160"/>
      <c r="D281" s="107">
        <v>3038</v>
      </c>
      <c r="E281" s="31" t="str">
        <f ca="1">VLOOKUP(D281,OFFSET(weekly_missions!$A$2,0,0,COUNTA(weekly_missions!$A:$A),MATCH(E$2,weekly_missions!$2:$2,0)-MATCH(D$2,weekly_missions!$2:$2,0)+1),MATCH(E$2,weekly_missions!$2:$2,0)-MATCH(D$2,weekly_missions!$2:$2,0)+1,FALSE)</f>
        <v>通算 3 日ログインしよう！</v>
      </c>
      <c r="F281" s="31" t="str">
        <f ca="1">VLOOKUP(D281,OFFSET(weekly_missions!$A$2,0,0,COUNTA(weekly_missions!$A:$A),MATCH(F$2,weekly_missions!$2:$2,0)-MATCH(D$2,weekly_missions!$2:$2,0)+1),MATCH(F$2,weekly_missions!$2:$2,0)-MATCH(D$2,weekly_missions!$2:$2,0)+1,FALSE)</f>
        <v>メガ攻めの果実 x 1</v>
      </c>
      <c r="G281" s="107">
        <v>1002</v>
      </c>
    </row>
    <row r="282" spans="1:7" ht="21" customHeight="1" x14ac:dyDescent="0.15">
      <c r="A282" s="50" t="str">
        <f t="shared" si="35"/>
        <v>103_3041</v>
      </c>
      <c r="B282" s="2">
        <v>103</v>
      </c>
      <c r="C282" s="160"/>
      <c r="D282" s="107">
        <v>3041</v>
      </c>
      <c r="E282" s="31" t="str">
        <f ca="1">VLOOKUP(D282,OFFSET(weekly_missions!$A$2,0,0,COUNTA(weekly_missions!$A:$A),MATCH(E$2,weekly_missions!$2:$2,0)-MATCH(D$2,weekly_missions!$2:$2,0)+1),MATCH(E$2,weekly_missions!$2:$2,0)-MATCH(D$2,weekly_missions!$2:$2,0)+1,FALSE)</f>
        <v>通算 4 日ログインしよう！</v>
      </c>
      <c r="F282" s="31" t="str">
        <f ca="1">VLOOKUP(D282,OFFSET(weekly_missions!$A$2,0,0,COUNTA(weekly_missions!$A:$A),MATCH(F$2,weekly_missions!$2:$2,0)-MATCH(D$2,weekly_missions!$2:$2,0)+1),MATCH(F$2,weekly_missions!$2:$2,0)-MATCH(D$2,weekly_missions!$2:$2,0)+1,FALSE)</f>
        <v>ビット x 400000</v>
      </c>
      <c r="G282" s="107">
        <v>1003</v>
      </c>
    </row>
    <row r="283" spans="1:7" ht="21" customHeight="1" x14ac:dyDescent="0.15">
      <c r="A283" s="50" t="str">
        <f t="shared" si="35"/>
        <v>103_3051</v>
      </c>
      <c r="B283" s="2">
        <v>103</v>
      </c>
      <c r="C283" s="160"/>
      <c r="D283" s="107">
        <v>3051</v>
      </c>
      <c r="E283" s="31" t="str">
        <f ca="1">VLOOKUP(D283,OFFSET(weekly_missions!$A$2,0,0,COUNTA(weekly_missions!$A:$A),MATCH(E$2,weekly_missions!$2:$2,0)-MATCH(D$2,weekly_missions!$2:$2,0)+1),MATCH(E$2,weekly_missions!$2:$2,0)-MATCH(D$2,weekly_missions!$2:$2,0)+1,FALSE)</f>
        <v>通算 5 日ログインしよう！</v>
      </c>
      <c r="F283" s="31" t="str">
        <f ca="1">VLOOKUP(D283,OFFSET(weekly_missions!$A$2,0,0,COUNTA(weekly_missions!$A:$A),MATCH(F$2,weekly_missions!$2:$2,0)-MATCH(D$2,weekly_missions!$2:$2,0)+1),MATCH(F$2,weekly_missions!$2:$2,0)-MATCH(D$2,weekly_missions!$2:$2,0)+1,FALSE)</f>
        <v>リトルハンプティ x 1</v>
      </c>
      <c r="G283" s="107">
        <v>1004</v>
      </c>
    </row>
    <row r="284" spans="1:7" ht="21" customHeight="1" x14ac:dyDescent="0.15">
      <c r="A284" s="50" t="str">
        <f t="shared" si="35"/>
        <v>103_3061</v>
      </c>
      <c r="B284" s="2">
        <v>103</v>
      </c>
      <c r="C284" s="160"/>
      <c r="D284" s="107">
        <v>3061</v>
      </c>
      <c r="E284" s="31" t="str">
        <f ca="1">VLOOKUP(D284,OFFSET(weekly_missions!$A$2,0,0,COUNTA(weekly_missions!$A:$A),MATCH(E$2,weekly_missions!$2:$2,0)-MATCH(D$2,weekly_missions!$2:$2,0)+1),MATCH(E$2,weekly_missions!$2:$2,0)-MATCH(D$2,weekly_missions!$2:$2,0)+1,FALSE)</f>
        <v>通算 6 日ログインしよう！</v>
      </c>
      <c r="F284" s="31" t="str">
        <f ca="1">VLOOKUP(D284,OFFSET(weekly_missions!$A$2,0,0,COUNTA(weekly_missions!$A:$A),MATCH(F$2,weekly_missions!$2:$2,0)-MATCH(D$2,weekly_missions!$2:$2,0)+1),MATCH(F$2,weekly_missions!$2:$2,0)-MATCH(D$2,weekly_missions!$2:$2,0)+1,FALSE)</f>
        <v>ポリゴン x 1</v>
      </c>
      <c r="G284" s="107">
        <v>1005</v>
      </c>
    </row>
    <row r="285" spans="1:7" ht="21" customHeight="1" x14ac:dyDescent="0.15">
      <c r="A285" s="50" t="str">
        <f t="shared" si="35"/>
        <v>103_3077</v>
      </c>
      <c r="B285" s="2">
        <v>103</v>
      </c>
      <c r="C285" s="160"/>
      <c r="D285" s="107">
        <v>3077</v>
      </c>
      <c r="E285" s="31" t="str">
        <f ca="1">VLOOKUP(D285,OFFSET(weekly_missions!$A$2,0,0,COUNTA(weekly_missions!$A:$A),MATCH(E$2,weekly_missions!$2:$2,0)-MATCH(D$2,weekly_missions!$2:$2,0)+1),MATCH(E$2,weekly_missions!$2:$2,0)-MATCH(D$2,weekly_missions!$2:$2,0)+1,FALSE)</f>
        <v>通算 7 日ログインしよう！</v>
      </c>
      <c r="F285" s="31" t="str">
        <f ca="1">VLOOKUP(D285,OFFSET(weekly_missions!$A$2,0,0,COUNTA(weekly_missions!$A:$A),MATCH(F$2,weekly_missions!$2:$2,0)-MATCH(D$2,weekly_missions!$2:$2,0)+1),MATCH(F$2,weekly_missions!$2:$2,0)-MATCH(D$2,weekly_missions!$2:$2,0)+1,FALSE)</f>
        <v>ポリゴン x 4</v>
      </c>
      <c r="G285" s="107">
        <v>1006</v>
      </c>
    </row>
    <row r="286" spans="1:7" ht="21" customHeight="1" x14ac:dyDescent="0.15">
      <c r="A286" s="50" t="str">
        <f t="shared" si="35"/>
        <v>103_41033</v>
      </c>
      <c r="B286" s="2">
        <v>103</v>
      </c>
      <c r="C286" s="160"/>
      <c r="D286" s="107">
        <v>41033</v>
      </c>
      <c r="E286" s="31" t="str">
        <f ca="1">VLOOKUP(D286,OFFSET(weekly_missions!$A$2,0,0,COUNTA(weekly_missions!$A:$A),MATCH(E$2,weekly_missions!$2:$2,0)-MATCH(D$2,weekly_missions!$2:$2,0)+1),MATCH(E$2,weekly_missions!$2:$2,0)-MATCH(D$2,weekly_missions!$2:$2,0)+1,FALSE)</f>
        <v>クエストを通算 3 回クリアしよう！</v>
      </c>
      <c r="F286" s="31" t="str">
        <f ca="1">VLOOKUP(D286,OFFSET(weekly_missions!$A$2,0,0,COUNTA(weekly_missions!$A:$A),MATCH(F$2,weekly_missions!$2:$2,0)-MATCH(D$2,weekly_missions!$2:$2,0)+1),MATCH(F$2,weekly_missions!$2:$2,0)-MATCH(D$2,weekly_missions!$2:$2,0)+1,FALSE)</f>
        <v>雷のメタルジェントル x 1</v>
      </c>
      <c r="G286" s="107">
        <v>30</v>
      </c>
    </row>
    <row r="287" spans="1:7" ht="21" customHeight="1" x14ac:dyDescent="0.15">
      <c r="A287" s="50" t="str">
        <f t="shared" si="35"/>
        <v>103_41054</v>
      </c>
      <c r="B287" s="2">
        <v>103</v>
      </c>
      <c r="C287" s="160"/>
      <c r="D287" s="107">
        <v>41054</v>
      </c>
      <c r="E287" s="31" t="str">
        <f ca="1">VLOOKUP(D287,OFFSET(weekly_missions!$A$2,0,0,COUNTA(weekly_missions!$A:$A),MATCH(E$2,weekly_missions!$2:$2,0)-MATCH(D$2,weekly_missions!$2:$2,0)+1),MATCH(E$2,weekly_missions!$2:$2,0)-MATCH(D$2,weekly_missions!$2:$2,0)+1,FALSE)</f>
        <v>クエストを通算 5 回クリアしよう！</v>
      </c>
      <c r="F287" s="31" t="str">
        <f ca="1">VLOOKUP(D287,OFFSET(weekly_missions!$A$2,0,0,COUNTA(weekly_missions!$A:$A),MATCH(F$2,weekly_missions!$2:$2,0)-MATCH(D$2,weekly_missions!$2:$2,0)+1),MATCH(F$2,weekly_missions!$2:$2,0)-MATCH(D$2,weekly_missions!$2:$2,0)+1,FALSE)</f>
        <v>森のメタルジェントル x 1</v>
      </c>
      <c r="G287" s="107">
        <v>50</v>
      </c>
    </row>
    <row r="288" spans="1:7" ht="21" customHeight="1" x14ac:dyDescent="0.15">
      <c r="A288" s="50" t="str">
        <f t="shared" si="35"/>
        <v>103_41070</v>
      </c>
      <c r="B288" s="2">
        <v>103</v>
      </c>
      <c r="C288" s="160"/>
      <c r="D288" s="107">
        <v>41070</v>
      </c>
      <c r="E288" s="31" t="str">
        <f ca="1">VLOOKUP(D288,OFFSET(weekly_missions!$A$2,0,0,COUNTA(weekly_missions!$A:$A),MATCH(E$2,weekly_missions!$2:$2,0)-MATCH(D$2,weekly_missions!$2:$2,0)+1),MATCH(E$2,weekly_missions!$2:$2,0)-MATCH(D$2,weekly_missions!$2:$2,0)+1,FALSE)</f>
        <v>クエストを通算 7 回クリアしよう！</v>
      </c>
      <c r="F288" s="31" t="str">
        <f ca="1">VLOOKUP(D288,OFFSET(weekly_missions!$A$2,0,0,COUNTA(weekly_missions!$A:$A),MATCH(F$2,weekly_missions!$2:$2,0)-MATCH(D$2,weekly_missions!$2:$2,0)+1),MATCH(F$2,weekly_missions!$2:$2,0)-MATCH(D$2,weekly_missions!$2:$2,0)+1,FALSE)</f>
        <v>炎のメタルジェントル x 1</v>
      </c>
      <c r="G288" s="107">
        <v>70</v>
      </c>
    </row>
    <row r="289" spans="1:7" ht="21" customHeight="1" x14ac:dyDescent="0.15">
      <c r="A289" s="50" t="str">
        <f t="shared" si="35"/>
        <v>103_41090</v>
      </c>
      <c r="B289" s="2">
        <v>103</v>
      </c>
      <c r="C289" s="160"/>
      <c r="D289" s="107">
        <v>41090</v>
      </c>
      <c r="E289" s="31" t="str">
        <f ca="1">VLOOKUP(D289,OFFSET(weekly_missions!$A$2,0,0,COUNTA(weekly_missions!$A:$A),MATCH(E$2,weekly_missions!$2:$2,0)-MATCH(D$2,weekly_missions!$2:$2,0)+1),MATCH(E$2,weekly_missions!$2:$2,0)-MATCH(D$2,weekly_missions!$2:$2,0)+1,FALSE)</f>
        <v>クエストを通算 9 回クリアしよう！</v>
      </c>
      <c r="F289" s="31" t="str">
        <f ca="1">VLOOKUP(D289,OFFSET(weekly_missions!$A$2,0,0,COUNTA(weekly_missions!$A:$A),MATCH(F$2,weekly_missions!$2:$2,0)-MATCH(D$2,weekly_missions!$2:$2,0)+1),MATCH(F$2,weekly_missions!$2:$2,0)-MATCH(D$2,weekly_missions!$2:$2,0)+1,FALSE)</f>
        <v>水のメタルジェントル x 1</v>
      </c>
      <c r="G289" s="107">
        <v>90</v>
      </c>
    </row>
    <row r="290" spans="1:7" ht="21" customHeight="1" x14ac:dyDescent="0.15">
      <c r="A290" s="50" t="str">
        <f t="shared" si="35"/>
        <v>103_41110</v>
      </c>
      <c r="B290" s="2">
        <v>103</v>
      </c>
      <c r="C290" s="160"/>
      <c r="D290" s="107">
        <v>41110</v>
      </c>
      <c r="E290" s="31" t="str">
        <f ca="1">VLOOKUP(D290,OFFSET(weekly_missions!$A$2,0,0,COUNTA(weekly_missions!$A:$A),MATCH(E$2,weekly_missions!$2:$2,0)-MATCH(D$2,weekly_missions!$2:$2,0)+1),MATCH(E$2,weekly_missions!$2:$2,0)-MATCH(D$2,weekly_missions!$2:$2,0)+1,FALSE)</f>
        <v>クエストを通算 11 回クリアしよう！</v>
      </c>
      <c r="F290" s="31" t="str">
        <f ca="1">VLOOKUP(D290,OFFSET(weekly_missions!$A$2,0,0,COUNTA(weekly_missions!$A:$A),MATCH(F$2,weekly_missions!$2:$2,0)-MATCH(D$2,weekly_missions!$2:$2,0)+1),MATCH(F$2,weekly_missions!$2:$2,0)-MATCH(D$2,weekly_missions!$2:$2,0)+1,FALSE)</f>
        <v>ギガ生命の果実 x 1</v>
      </c>
      <c r="G290" s="107">
        <v>110</v>
      </c>
    </row>
    <row r="291" spans="1:7" ht="21" customHeight="1" x14ac:dyDescent="0.15">
      <c r="A291" s="50" t="str">
        <f t="shared" si="35"/>
        <v>103_41130</v>
      </c>
      <c r="B291" s="2">
        <v>103</v>
      </c>
      <c r="C291" s="160"/>
      <c r="D291" s="107">
        <v>41130</v>
      </c>
      <c r="E291" s="31" t="str">
        <f ca="1">VLOOKUP(D291,OFFSET(weekly_missions!$A$2,0,0,COUNTA(weekly_missions!$A:$A),MATCH(E$2,weekly_missions!$2:$2,0)-MATCH(D$2,weekly_missions!$2:$2,0)+1),MATCH(E$2,weekly_missions!$2:$2,0)-MATCH(D$2,weekly_missions!$2:$2,0)+1,FALSE)</f>
        <v>クエストを通算 13 回クリアしよう！</v>
      </c>
      <c r="F291" s="31" t="str">
        <f ca="1">VLOOKUP(D291,OFFSET(weekly_missions!$A$2,0,0,COUNTA(weekly_missions!$A:$A),MATCH(F$2,weekly_missions!$2:$2,0)-MATCH(D$2,weekly_missions!$2:$2,0)+1),MATCH(F$2,weekly_missions!$2:$2,0)-MATCH(D$2,weekly_missions!$2:$2,0)+1,FALSE)</f>
        <v>ギガ癒しの果実 x 1</v>
      </c>
      <c r="G291" s="107">
        <v>130</v>
      </c>
    </row>
    <row r="292" spans="1:7" ht="21" customHeight="1" x14ac:dyDescent="0.15">
      <c r="A292" s="50" t="str">
        <f t="shared" si="35"/>
        <v>103_41155</v>
      </c>
      <c r="B292" s="2">
        <v>103</v>
      </c>
      <c r="C292" s="160"/>
      <c r="D292" s="107">
        <v>41155</v>
      </c>
      <c r="E292" s="31" t="str">
        <f ca="1">VLOOKUP(D292,OFFSET(weekly_missions!$A$2,0,0,COUNTA(weekly_missions!$A:$A),MATCH(E$2,weekly_missions!$2:$2,0)-MATCH(D$2,weekly_missions!$2:$2,0)+1),MATCH(E$2,weekly_missions!$2:$2,0)-MATCH(D$2,weekly_missions!$2:$2,0)+1,FALSE)</f>
        <v>クエストを通算 15 回クリアしよう！</v>
      </c>
      <c r="F292" s="31" t="str">
        <f ca="1">VLOOKUP(D292,OFFSET(weekly_missions!$A$2,0,0,COUNTA(weekly_missions!$A:$A),MATCH(F$2,weekly_missions!$2:$2,0)-MATCH(D$2,weekly_missions!$2:$2,0)+1),MATCH(F$2,weekly_missions!$2:$2,0)-MATCH(D$2,weekly_missions!$2:$2,0)+1,FALSE)</f>
        <v>ギガ攻めの果実 x 1</v>
      </c>
      <c r="G292" s="107">
        <v>150</v>
      </c>
    </row>
    <row r="293" spans="1:7" ht="21" customHeight="1" x14ac:dyDescent="0.15">
      <c r="A293" s="50" t="str">
        <f t="shared" si="35"/>
        <v>103_41204</v>
      </c>
      <c r="B293" s="2">
        <v>103</v>
      </c>
      <c r="C293" s="160"/>
      <c r="D293" s="107">
        <v>41204</v>
      </c>
      <c r="E293" s="31" t="str">
        <f ca="1">VLOOKUP(D293,OFFSET(weekly_missions!$A$2,0,0,COUNTA(weekly_missions!$A:$A),MATCH(E$2,weekly_missions!$2:$2,0)-MATCH(D$2,weekly_missions!$2:$2,0)+1),MATCH(E$2,weekly_missions!$2:$2,0)-MATCH(D$2,weekly_missions!$2:$2,0)+1,FALSE)</f>
        <v>クエストを通算 20 回クリアしよう！</v>
      </c>
      <c r="F293" s="31" t="str">
        <f ca="1">VLOOKUP(D293,OFFSET(weekly_missions!$A$2,0,0,COUNTA(weekly_missions!$A:$A),MATCH(F$2,weekly_missions!$2:$2,0)-MATCH(D$2,weekly_missions!$2:$2,0)+1),MATCH(F$2,weekly_missions!$2:$2,0)-MATCH(D$2,weekly_missions!$2:$2,0)+1,FALSE)</f>
        <v>メガ秘術の果実 x 1</v>
      </c>
      <c r="G293" s="107">
        <v>200</v>
      </c>
    </row>
    <row r="294" spans="1:7" ht="21" customHeight="1" x14ac:dyDescent="0.15">
      <c r="A294" s="50" t="str">
        <f t="shared" si="35"/>
        <v>103_41302</v>
      </c>
      <c r="B294" s="2">
        <v>103</v>
      </c>
      <c r="C294" s="160"/>
      <c r="D294" s="107">
        <v>41302</v>
      </c>
      <c r="E294" s="31" t="str">
        <f ca="1">VLOOKUP(D294,OFFSET(weekly_missions!$A$2,0,0,COUNTA(weekly_missions!$A:$A),MATCH(E$2,weekly_missions!$2:$2,0)-MATCH(D$2,weekly_missions!$2:$2,0)+1),MATCH(E$2,weekly_missions!$2:$2,0)-MATCH(D$2,weekly_missions!$2:$2,0)+1,FALSE)</f>
        <v>クエストを通算 30 回クリアしよう！</v>
      </c>
      <c r="F294" s="31" t="str">
        <f ca="1">VLOOKUP(D294,OFFSET(weekly_missions!$A$2,0,0,COUNTA(weekly_missions!$A:$A),MATCH(F$2,weekly_missions!$2:$2,0)-MATCH(D$2,weekly_missions!$2:$2,0)+1),MATCH(F$2,weekly_missions!$2:$2,0)-MATCH(D$2,weekly_missions!$2:$2,0)+1,FALSE)</f>
        <v>ギガ秘術の果実 x 1</v>
      </c>
      <c r="G294" s="107">
        <v>300</v>
      </c>
    </row>
  </sheetData>
  <autoFilter ref="A2:G2"/>
  <mergeCells count="22">
    <mergeCell ref="C45:C53"/>
    <mergeCell ref="C123:C139"/>
    <mergeCell ref="C140:C156"/>
    <mergeCell ref="C279:C294"/>
    <mergeCell ref="C3:C8"/>
    <mergeCell ref="C9:C14"/>
    <mergeCell ref="C15:C20"/>
    <mergeCell ref="C21:C28"/>
    <mergeCell ref="C29:C36"/>
    <mergeCell ref="C37:C44"/>
    <mergeCell ref="C72:C88"/>
    <mergeCell ref="C89:C105"/>
    <mergeCell ref="C106:C122"/>
    <mergeCell ref="C63:C71"/>
    <mergeCell ref="C54:C62"/>
    <mergeCell ref="C262:C278"/>
    <mergeCell ref="C157:C173"/>
    <mergeCell ref="C246:C261"/>
    <mergeCell ref="C225:C245"/>
    <mergeCell ref="C174:C190"/>
    <mergeCell ref="C191:C207"/>
    <mergeCell ref="C208:C224"/>
  </mergeCells>
  <phoneticPr fontId="5"/>
  <pageMargins left="0.75" right="0.75" top="1" bottom="1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0000FF"/>
    <outlinePr summaryBelow="0" summaryRight="0"/>
  </sheetPr>
  <dimension ref="A1:H134"/>
  <sheetViews>
    <sheetView showGridLines="0" workbookViewId="0">
      <pane xSplit="1" ySplit="2" topLeftCell="B115" activePane="bottomRight" state="frozen"/>
      <selection pane="topRight" activeCell="C1" sqref="C1"/>
      <selection pane="bottomLeft" activeCell="A4" sqref="A4"/>
      <selection pane="bottomRight" activeCell="A117" sqref="A117:XFD117"/>
    </sheetView>
  </sheetViews>
  <sheetFormatPr baseColWidth="12" defaultColWidth="12.796875" defaultRowHeight="21" customHeight="1" outlineLevelCol="1" x14ac:dyDescent="0.15"/>
  <cols>
    <col min="1" max="1" width="19" style="1" bestFit="1" customWidth="1"/>
    <col min="2" max="2" width="23.19921875" style="18" bestFit="1" customWidth="1"/>
    <col min="3" max="3" width="59.59765625" style="1" bestFit="1" customWidth="1" outlineLevel="1"/>
    <col min="4" max="4" width="15.19921875" style="18" bestFit="1" customWidth="1"/>
    <col min="5" max="5" width="22.3984375" style="18" customWidth="1"/>
    <col min="6" max="6" width="14" style="1" bestFit="1" customWidth="1" outlineLevel="1"/>
    <col min="7" max="7" width="14.3984375" style="1" bestFit="1" customWidth="1" outlineLevel="1"/>
    <col min="8" max="8" width="14.796875" style="1" bestFit="1" customWidth="1" outlineLevel="1"/>
    <col min="9" max="16384" width="12.796875" style="1"/>
  </cols>
  <sheetData>
    <row r="1" spans="1:8" ht="21" customHeight="1" x14ac:dyDescent="0.15">
      <c r="A1" s="20" t="s">
        <v>505</v>
      </c>
      <c r="B1" s="20" t="s">
        <v>7</v>
      </c>
      <c r="C1" s="25" t="s">
        <v>274</v>
      </c>
      <c r="D1" s="33" t="s">
        <v>8</v>
      </c>
      <c r="E1" s="164" t="s">
        <v>8</v>
      </c>
      <c r="F1" s="165"/>
      <c r="G1" s="165"/>
      <c r="H1" s="166"/>
    </row>
    <row r="2" spans="1:8" ht="21" customHeight="1" x14ac:dyDescent="0.15">
      <c r="A2" s="10" t="s">
        <v>6</v>
      </c>
      <c r="B2" s="10" t="s">
        <v>5</v>
      </c>
      <c r="C2" s="25" t="s">
        <v>255</v>
      </c>
      <c r="D2" s="23" t="s">
        <v>229</v>
      </c>
      <c r="E2" s="25" t="s">
        <v>285</v>
      </c>
      <c r="F2" s="25" t="s">
        <v>244</v>
      </c>
      <c r="G2" s="25" t="s">
        <v>245</v>
      </c>
      <c r="H2" s="25" t="s">
        <v>246</v>
      </c>
    </row>
    <row r="3" spans="1:8" ht="21" customHeight="1" x14ac:dyDescent="0.15">
      <c r="A3" s="8">
        <v>1004</v>
      </c>
      <c r="B3" s="2" t="s">
        <v>716</v>
      </c>
      <c r="C3" s="31" t="str">
        <f ca="1">VLOOKUP($B3,OFFSET(mission_ACH_criteria!$A$1,0,0,COUNTA(mission_ACH_criteria!$A:$A),MATCH(C$2,mission_ACH_criteria!$1:$1,0)-MATCH($B$2,mission_ACH_criteria!$1:$1,0)+1),MATCH(C$2,mission_ACH_criteria!$1:$1,0)-MATCH($B$2,mission_ACH_criteria!$1:$1,0)+1,FALSE)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5 回クリアしよう！</v>
      </c>
      <c r="D3" s="27" t="s">
        <v>733</v>
      </c>
      <c r="E3" s="31" t="str">
        <f ca="1">VLOOKUP($D3,OFFSET(mission_ACH!$A$2,0,0,COUNTA(mission_ACH!$A:$A),MATCH(E$2,mission_ACH!$2:$2,0)-MATCH($D$2,mission_ACH!$2:$2,0)+1),MATCH(E$2,mission_ACH!$2:$2,0)-MATCH($D$2,mission_ACH!$2:$2,0)+1,FALSE)</f>
        <v>生命の果実 x 3</v>
      </c>
      <c r="F3" s="31" t="str">
        <f ca="1">VLOOKUP($D3,OFFSET(mission_ACH!$A$2,0,0,COUNTA(mission_ACH!$A:$A),MATCH(F$2,mission_ACH!$2:$2,0)-MATCH($D$2,mission_ACH!$2:$2,0)+1),MATCH(F$2,mission_ACH!$2:$2,0)-MATCH($D$2,mission_ACH!$2:$2,0)+1,FALSE)</f>
        <v>unit</v>
      </c>
      <c r="G3" s="31">
        <f ca="1">VLOOKUP($D3,OFFSET(mission_ACH!$A$2,0,0,COUNTA(mission_ACH!$A:$A),MATCH(G$2,mission_ACH!$2:$2,0)-MATCH($D$2,mission_ACH!$2:$2,0)+1),MATCH(G$2,mission_ACH!$2:$2,0)-MATCH($D$2,mission_ACH!$2:$2,0)+1,FALSE)</f>
        <v>122</v>
      </c>
      <c r="H3" s="31">
        <f ca="1">VLOOKUP($D3,OFFSET(mission_ACH!$A$2,0,0,COUNTA(mission_ACH!$A:$A),MATCH(H$2,mission_ACH!$2:$2,0)-MATCH($D$2,mission_ACH!$2:$2,0)+1),MATCH(H$2,mission_ACH!$2:$2,0)-MATCH($D$2,mission_ACH!$2:$2,0)+1,FALSE)</f>
        <v>3</v>
      </c>
    </row>
    <row r="4" spans="1:8" ht="21" customHeight="1" x14ac:dyDescent="0.15">
      <c r="A4" s="8">
        <v>1005</v>
      </c>
      <c r="B4" s="2" t="s">
        <v>702</v>
      </c>
      <c r="C4" s="31" t="str">
        <f ca="1">VLOOKUP($B4,OFFSET(mission_ACH_criteria!$A$1,0,0,COUNTA(mission_ACH_criteria!$A:$A),MATCH(C$2,mission_ACH_criteria!$1:$1,0)-MATCH($B$2,mission_ACH_criteria!$1:$1,0)+1),MATCH(C$2,mission_ACH_criteria!$1:$1,0)-MATCH($B$2,mission_ACH_criteria!$1:$1,0)+1,FALSE)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5 回クリアしよう！</v>
      </c>
      <c r="D4" s="27" t="s">
        <v>729</v>
      </c>
      <c r="E4" s="31" t="str">
        <f ca="1">VLOOKUP($D4,OFFSET(mission_ACH!$A$2,0,0,COUNTA(mission_ACH!$A:$A),MATCH(E$2,mission_ACH!$2:$2,0)-MATCH($D$2,mission_ACH!$2:$2,0)+1),MATCH(E$2,mission_ACH!$2:$2,0)-MATCH($D$2,mission_ACH!$2:$2,0)+1,FALSE)</f>
        <v>癒しの果実 x 3</v>
      </c>
      <c r="F4" s="31" t="str">
        <f ca="1">VLOOKUP($D4,OFFSET(mission_ACH!$A$2,0,0,COUNTA(mission_ACH!$A:$A),MATCH(F$2,mission_ACH!$2:$2,0)-MATCH($D$2,mission_ACH!$2:$2,0)+1),MATCH(F$2,mission_ACH!$2:$2,0)-MATCH($D$2,mission_ACH!$2:$2,0)+1,FALSE)</f>
        <v>unit</v>
      </c>
      <c r="G4" s="31">
        <f ca="1">VLOOKUP($D4,OFFSET(mission_ACH!$A$2,0,0,COUNTA(mission_ACH!$A:$A),MATCH(G$2,mission_ACH!$2:$2,0)-MATCH($D$2,mission_ACH!$2:$2,0)+1),MATCH(G$2,mission_ACH!$2:$2,0)-MATCH($D$2,mission_ACH!$2:$2,0)+1,FALSE)</f>
        <v>123</v>
      </c>
      <c r="H4" s="31">
        <f ca="1">VLOOKUP($D4,OFFSET(mission_ACH!$A$2,0,0,COUNTA(mission_ACH!$A:$A),MATCH(H$2,mission_ACH!$2:$2,0)-MATCH($D$2,mission_ACH!$2:$2,0)+1),MATCH(H$2,mission_ACH!$2:$2,0)-MATCH($D$2,mission_ACH!$2:$2,0)+1,FALSE)</f>
        <v>3</v>
      </c>
    </row>
    <row r="5" spans="1:8" ht="21" customHeight="1" x14ac:dyDescent="0.15">
      <c r="A5" s="8">
        <v>1006</v>
      </c>
      <c r="B5" s="2" t="s">
        <v>703</v>
      </c>
      <c r="C5" s="31" t="str">
        <f ca="1">VLOOKUP($B5,OFFSET(mission_ACH_criteria!$A$1,0,0,COUNTA(mission_ACH_criteria!$A:$A),MATCH(C$2,mission_ACH_criteria!$1:$1,0)-MATCH($B$2,mission_ACH_criteria!$1:$1,0)+1),MATCH(C$2,mission_ACH_criteria!$1:$1,0)-MATCH($B$2,mission_ACH_criteria!$1:$1,0)+1,FALSE)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5 回クリアしよう！</v>
      </c>
      <c r="D5" s="27" t="s">
        <v>731</v>
      </c>
      <c r="E5" s="31" t="str">
        <f ca="1">VLOOKUP($D5,OFFSET(mission_ACH!$A$2,0,0,COUNTA(mission_ACH!$A:$A),MATCH(E$2,mission_ACH!$2:$2,0)-MATCH($D$2,mission_ACH!$2:$2,0)+1),MATCH(E$2,mission_ACH!$2:$2,0)-MATCH($D$2,mission_ACH!$2:$2,0)+1,FALSE)</f>
        <v>攻めの果実 x 3</v>
      </c>
      <c r="F5" s="31" t="str">
        <f ca="1">VLOOKUP($D5,OFFSET(mission_ACH!$A$2,0,0,COUNTA(mission_ACH!$A:$A),MATCH(F$2,mission_ACH!$2:$2,0)-MATCH($D$2,mission_ACH!$2:$2,0)+1),MATCH(F$2,mission_ACH!$2:$2,0)-MATCH($D$2,mission_ACH!$2:$2,0)+1,FALSE)</f>
        <v>unit</v>
      </c>
      <c r="G5" s="31">
        <f ca="1">VLOOKUP($D5,OFFSET(mission_ACH!$A$2,0,0,COUNTA(mission_ACH!$A:$A),MATCH(G$2,mission_ACH!$2:$2,0)-MATCH($D$2,mission_ACH!$2:$2,0)+1),MATCH(G$2,mission_ACH!$2:$2,0)-MATCH($D$2,mission_ACH!$2:$2,0)+1,FALSE)</f>
        <v>121</v>
      </c>
      <c r="H5" s="31">
        <f ca="1">VLOOKUP($D5,OFFSET(mission_ACH!$A$2,0,0,COUNTA(mission_ACH!$A:$A),MATCH(H$2,mission_ACH!$2:$2,0)-MATCH($D$2,mission_ACH!$2:$2,0)+1),MATCH(H$2,mission_ACH!$2:$2,0)-MATCH($D$2,mission_ACH!$2:$2,0)+1,FALSE)</f>
        <v>3</v>
      </c>
    </row>
    <row r="6" spans="1:8" ht="21" customHeight="1" x14ac:dyDescent="0.15">
      <c r="A6" s="8">
        <v>1021</v>
      </c>
      <c r="B6" s="2" t="s">
        <v>642</v>
      </c>
      <c r="C6" s="31" t="str">
        <f ca="1">VLOOKUP($B6,OFFSET(mission_ACH_criteria!$A$1,0,0,COUNTA(mission_ACH_criteria!$A:$A),MATCH(C$2,mission_ACH_criteria!$1:$1,0)-MATCH($B$2,mission_ACH_criteria!$1:$1,0)+1),MATCH(C$2,mission_ACH_criteria!$1:$1,0)-MATCH($B$2,mission_ACH_criteria!$1:$1,0)+1,FALSE)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20 回クリアしよう！</v>
      </c>
      <c r="D6" s="27" t="s">
        <v>445</v>
      </c>
      <c r="E6" s="31" t="str">
        <f ca="1">VLOOKUP($D6,OFFSET(mission_ACH!$A$2,0,0,COUNTA(mission_ACH!$A:$A),MATCH(E$2,mission_ACH!$2:$2,0)-MATCH($D$2,mission_ACH!$2:$2,0)+1),MATCH(E$2,mission_ACH!$2:$2,0)-MATCH($D$2,mission_ACH!$2:$2,0)+1,FALSE)</f>
        <v>攻めの果実 x 1</v>
      </c>
      <c r="F6" s="31" t="str">
        <f ca="1">VLOOKUP($D6,OFFSET(mission_ACH!$A$2,0,0,COUNTA(mission_ACH!$A:$A),MATCH(F$2,mission_ACH!$2:$2,0)-MATCH($D$2,mission_ACH!$2:$2,0)+1),MATCH(F$2,mission_ACH!$2:$2,0)-MATCH($D$2,mission_ACH!$2:$2,0)+1,FALSE)</f>
        <v>unit</v>
      </c>
      <c r="G6" s="31">
        <f ca="1">VLOOKUP($D6,OFFSET(mission_ACH!$A$2,0,0,COUNTA(mission_ACH!$A:$A),MATCH(G$2,mission_ACH!$2:$2,0)-MATCH($D$2,mission_ACH!$2:$2,0)+1),MATCH(G$2,mission_ACH!$2:$2,0)-MATCH($D$2,mission_ACH!$2:$2,0)+1,FALSE)</f>
        <v>121</v>
      </c>
      <c r="H6" s="31">
        <f ca="1">VLOOKUP($D6,OFFSET(mission_ACH!$A$2,0,0,COUNTA(mission_ACH!$A:$A),MATCH(H$2,mission_ACH!$2:$2,0)-MATCH($D$2,mission_ACH!$2:$2,0)+1),MATCH(H$2,mission_ACH!$2:$2,0)-MATCH($D$2,mission_ACH!$2:$2,0)+1,FALSE)</f>
        <v>1</v>
      </c>
    </row>
    <row r="7" spans="1:8" ht="21" customHeight="1" x14ac:dyDescent="0.15">
      <c r="A7" s="8">
        <v>1022</v>
      </c>
      <c r="B7" s="2" t="s">
        <v>646</v>
      </c>
      <c r="C7" s="31" t="str">
        <f ca="1">VLOOKUP($B7,OFFSET(mission_ACH_criteria!$A$1,0,0,COUNTA(mission_ACH_criteria!$A:$A),MATCH(C$2,mission_ACH_criteria!$1:$1,0)-MATCH($B$2,mission_ACH_criteria!$1:$1,0)+1),MATCH(C$2,mission_ACH_criteria!$1:$1,0)-MATCH($B$2,mission_ACH_criteria!$1:$1,0)+1,FALSE)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20 回クリアしよう！</v>
      </c>
      <c r="D7" s="27" t="s">
        <v>447</v>
      </c>
      <c r="E7" s="31" t="str">
        <f ca="1">VLOOKUP($D7,OFFSET(mission_ACH!$A$2,0,0,COUNTA(mission_ACH!$A:$A),MATCH(E$2,mission_ACH!$2:$2,0)-MATCH($D$2,mission_ACH!$2:$2,0)+1),MATCH(E$2,mission_ACH!$2:$2,0)-MATCH($D$2,mission_ACH!$2:$2,0)+1,FALSE)</f>
        <v>生命の果実 x 1</v>
      </c>
      <c r="F7" s="31" t="str">
        <f ca="1">VLOOKUP($D7,OFFSET(mission_ACH!$A$2,0,0,COUNTA(mission_ACH!$A:$A),MATCH(F$2,mission_ACH!$2:$2,0)-MATCH($D$2,mission_ACH!$2:$2,0)+1),MATCH(F$2,mission_ACH!$2:$2,0)-MATCH($D$2,mission_ACH!$2:$2,0)+1,FALSE)</f>
        <v>unit</v>
      </c>
      <c r="G7" s="31">
        <f ca="1">VLOOKUP($D7,OFFSET(mission_ACH!$A$2,0,0,COUNTA(mission_ACH!$A:$A),MATCH(G$2,mission_ACH!$2:$2,0)-MATCH($D$2,mission_ACH!$2:$2,0)+1),MATCH(G$2,mission_ACH!$2:$2,0)-MATCH($D$2,mission_ACH!$2:$2,0)+1,FALSE)</f>
        <v>122</v>
      </c>
      <c r="H7" s="31">
        <f ca="1">VLOOKUP($D7,OFFSET(mission_ACH!$A$2,0,0,COUNTA(mission_ACH!$A:$A),MATCH(H$2,mission_ACH!$2:$2,0)-MATCH($D$2,mission_ACH!$2:$2,0)+1),MATCH(H$2,mission_ACH!$2:$2,0)-MATCH($D$2,mission_ACH!$2:$2,0)+1,FALSE)</f>
        <v>1</v>
      </c>
    </row>
    <row r="8" spans="1:8" ht="21" customHeight="1" x14ac:dyDescent="0.15">
      <c r="A8" s="8">
        <v>1023</v>
      </c>
      <c r="B8" s="2" t="s">
        <v>644</v>
      </c>
      <c r="C8" s="31" t="str">
        <f ca="1">VLOOKUP($B8,OFFSET(mission_ACH_criteria!$A$1,0,0,COUNTA(mission_ACH_criteria!$A:$A),MATCH(C$2,mission_ACH_criteria!$1:$1,0)-MATCH($B$2,mission_ACH_criteria!$1:$1,0)+1),MATCH(C$2,mission_ACH_criteria!$1:$1,0)-MATCH($B$2,mission_ACH_criteria!$1:$1,0)+1,FALSE)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20 回クリアしよう！</v>
      </c>
      <c r="D8" s="27" t="s">
        <v>449</v>
      </c>
      <c r="E8" s="31" t="str">
        <f ca="1">VLOOKUP($D8,OFFSET(mission_ACH!$A$2,0,0,COUNTA(mission_ACH!$A:$A),MATCH(E$2,mission_ACH!$2:$2,0)-MATCH($D$2,mission_ACH!$2:$2,0)+1),MATCH(E$2,mission_ACH!$2:$2,0)-MATCH($D$2,mission_ACH!$2:$2,0)+1,FALSE)</f>
        <v>癒しの果実 x 1</v>
      </c>
      <c r="F8" s="31" t="str">
        <f ca="1">VLOOKUP($D8,OFFSET(mission_ACH!$A$2,0,0,COUNTA(mission_ACH!$A:$A),MATCH(F$2,mission_ACH!$2:$2,0)-MATCH($D$2,mission_ACH!$2:$2,0)+1),MATCH(F$2,mission_ACH!$2:$2,0)-MATCH($D$2,mission_ACH!$2:$2,0)+1,FALSE)</f>
        <v>unit</v>
      </c>
      <c r="G8" s="31">
        <f ca="1">VLOOKUP($D8,OFFSET(mission_ACH!$A$2,0,0,COUNTA(mission_ACH!$A:$A),MATCH(G$2,mission_ACH!$2:$2,0)-MATCH($D$2,mission_ACH!$2:$2,0)+1),MATCH(G$2,mission_ACH!$2:$2,0)-MATCH($D$2,mission_ACH!$2:$2,0)+1,FALSE)</f>
        <v>123</v>
      </c>
      <c r="H8" s="31">
        <f ca="1">VLOOKUP($D8,OFFSET(mission_ACH!$A$2,0,0,COUNTA(mission_ACH!$A:$A),MATCH(H$2,mission_ACH!$2:$2,0)-MATCH($D$2,mission_ACH!$2:$2,0)+1),MATCH(H$2,mission_ACH!$2:$2,0)-MATCH($D$2,mission_ACH!$2:$2,0)+1,FALSE)</f>
        <v>1</v>
      </c>
    </row>
    <row r="9" spans="1:8" ht="21" customHeight="1" x14ac:dyDescent="0.15">
      <c r="A9" s="8">
        <v>1024</v>
      </c>
      <c r="B9" s="2" t="s">
        <v>717</v>
      </c>
      <c r="C9" s="31" t="str">
        <f ca="1">VLOOKUP($B9,OFFSET(mission_ACH_criteria!$A$1,0,0,COUNTA(mission_ACH_criteria!$A:$A),MATCH(C$2,mission_ACH_criteria!$1:$1,0)-MATCH($B$2,mission_ACH_criteria!$1:$1,0)+1),MATCH(C$2,mission_ACH_criteria!$1:$1,0)-MATCH($B$2,mission_ACH_criteria!$1:$1,0)+1,FALSE)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20 回クリアしよう！</v>
      </c>
      <c r="D9" s="27" t="s">
        <v>730</v>
      </c>
      <c r="E9" s="31" t="str">
        <f ca="1">VLOOKUP($D9,OFFSET(mission_ACH!$A$2,0,0,COUNTA(mission_ACH!$A:$A),MATCH(E$2,mission_ACH!$2:$2,0)-MATCH($D$2,mission_ACH!$2:$2,0)+1),MATCH(E$2,mission_ACH!$2:$2,0)-MATCH($D$2,mission_ACH!$2:$2,0)+1,FALSE)</f>
        <v>癒しの果実 x 3</v>
      </c>
      <c r="F9" s="31" t="str">
        <f ca="1">VLOOKUP($D9,OFFSET(mission_ACH!$A$2,0,0,COUNTA(mission_ACH!$A:$A),MATCH(F$2,mission_ACH!$2:$2,0)-MATCH($D$2,mission_ACH!$2:$2,0)+1),MATCH(F$2,mission_ACH!$2:$2,0)-MATCH($D$2,mission_ACH!$2:$2,0)+1,FALSE)</f>
        <v>unit</v>
      </c>
      <c r="G9" s="31">
        <f ca="1">VLOOKUP($D9,OFFSET(mission_ACH!$A$2,0,0,COUNTA(mission_ACH!$A:$A),MATCH(G$2,mission_ACH!$2:$2,0)-MATCH($D$2,mission_ACH!$2:$2,0)+1),MATCH(G$2,mission_ACH!$2:$2,0)-MATCH($D$2,mission_ACH!$2:$2,0)+1,FALSE)</f>
        <v>123</v>
      </c>
      <c r="H9" s="31">
        <f ca="1">VLOOKUP($D9,OFFSET(mission_ACH!$A$2,0,0,COUNTA(mission_ACH!$A:$A),MATCH(H$2,mission_ACH!$2:$2,0)-MATCH($D$2,mission_ACH!$2:$2,0)+1),MATCH(H$2,mission_ACH!$2:$2,0)-MATCH($D$2,mission_ACH!$2:$2,0)+1,FALSE)</f>
        <v>3</v>
      </c>
    </row>
    <row r="10" spans="1:8" ht="21" customHeight="1" x14ac:dyDescent="0.15">
      <c r="A10" s="8">
        <v>1025</v>
      </c>
      <c r="B10" s="2" t="s">
        <v>690</v>
      </c>
      <c r="C10" s="31" t="str">
        <f ca="1">VLOOKUP($B10,OFFSET(mission_ACH_criteria!$A$1,0,0,COUNTA(mission_ACH_criteria!$A:$A),MATCH(C$2,mission_ACH_criteria!$1:$1,0)-MATCH($B$2,mission_ACH_criteria!$1:$1,0)+1),MATCH(C$2,mission_ACH_criteria!$1:$1,0)-MATCH($B$2,mission_ACH_criteria!$1:$1,0)+1,FALSE)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20 回クリアしよう！</v>
      </c>
      <c r="D10" s="27" t="s">
        <v>731</v>
      </c>
      <c r="E10" s="31" t="str">
        <f ca="1">VLOOKUP($D10,OFFSET(mission_ACH!$A$2,0,0,COUNTA(mission_ACH!$A:$A),MATCH(E$2,mission_ACH!$2:$2,0)-MATCH($D$2,mission_ACH!$2:$2,0)+1),MATCH(E$2,mission_ACH!$2:$2,0)-MATCH($D$2,mission_ACH!$2:$2,0)+1,FALSE)</f>
        <v>攻めの果実 x 3</v>
      </c>
      <c r="F10" s="31" t="str">
        <f ca="1">VLOOKUP($D10,OFFSET(mission_ACH!$A$2,0,0,COUNTA(mission_ACH!$A:$A),MATCH(F$2,mission_ACH!$2:$2,0)-MATCH($D$2,mission_ACH!$2:$2,0)+1),MATCH(F$2,mission_ACH!$2:$2,0)-MATCH($D$2,mission_ACH!$2:$2,0)+1,FALSE)</f>
        <v>unit</v>
      </c>
      <c r="G10" s="31">
        <f ca="1">VLOOKUP($D10,OFFSET(mission_ACH!$A$2,0,0,COUNTA(mission_ACH!$A:$A),MATCH(G$2,mission_ACH!$2:$2,0)-MATCH($D$2,mission_ACH!$2:$2,0)+1),MATCH(G$2,mission_ACH!$2:$2,0)-MATCH($D$2,mission_ACH!$2:$2,0)+1,FALSE)</f>
        <v>121</v>
      </c>
      <c r="H10" s="31">
        <f ca="1">VLOOKUP($D10,OFFSET(mission_ACH!$A$2,0,0,COUNTA(mission_ACH!$A:$A),MATCH(H$2,mission_ACH!$2:$2,0)-MATCH($D$2,mission_ACH!$2:$2,0)+1),MATCH(H$2,mission_ACH!$2:$2,0)-MATCH($D$2,mission_ACH!$2:$2,0)+1,FALSE)</f>
        <v>3</v>
      </c>
    </row>
    <row r="11" spans="1:8" ht="21" customHeight="1" x14ac:dyDescent="0.15">
      <c r="A11" s="8">
        <v>1026</v>
      </c>
      <c r="B11" s="2" t="s">
        <v>691</v>
      </c>
      <c r="C11" s="31" t="str">
        <f ca="1">VLOOKUP($B11,OFFSET(mission_ACH_criteria!$A$1,0,0,COUNTA(mission_ACH_criteria!$A:$A),MATCH(C$2,mission_ACH_criteria!$1:$1,0)-MATCH($B$2,mission_ACH_criteria!$1:$1,0)+1),MATCH(C$2,mission_ACH_criteria!$1:$1,0)-MATCH($B$2,mission_ACH_criteria!$1:$1,0)+1,FALSE)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20 回クリアしよう！</v>
      </c>
      <c r="D11" s="27" t="s">
        <v>728</v>
      </c>
      <c r="E11" s="31" t="str">
        <f ca="1">VLOOKUP($D11,OFFSET(mission_ACH!$A$2,0,0,COUNTA(mission_ACH!$A:$A),MATCH(E$2,mission_ACH!$2:$2,0)-MATCH($D$2,mission_ACH!$2:$2,0)+1),MATCH(E$2,mission_ACH!$2:$2,0)-MATCH($D$2,mission_ACH!$2:$2,0)+1,FALSE)</f>
        <v>生命の果実 x 3</v>
      </c>
      <c r="F11" s="31" t="str">
        <f ca="1">VLOOKUP($D11,OFFSET(mission_ACH!$A$2,0,0,COUNTA(mission_ACH!$A:$A),MATCH(F$2,mission_ACH!$2:$2,0)-MATCH($D$2,mission_ACH!$2:$2,0)+1),MATCH(F$2,mission_ACH!$2:$2,0)-MATCH($D$2,mission_ACH!$2:$2,0)+1,FALSE)</f>
        <v>unit</v>
      </c>
      <c r="G11" s="31">
        <f ca="1">VLOOKUP($D11,OFFSET(mission_ACH!$A$2,0,0,COUNTA(mission_ACH!$A:$A),MATCH(G$2,mission_ACH!$2:$2,0)-MATCH($D$2,mission_ACH!$2:$2,0)+1),MATCH(G$2,mission_ACH!$2:$2,0)-MATCH($D$2,mission_ACH!$2:$2,0)+1,FALSE)</f>
        <v>122</v>
      </c>
      <c r="H11" s="31">
        <f ca="1">VLOOKUP($D11,OFFSET(mission_ACH!$A$2,0,0,COUNTA(mission_ACH!$A:$A),MATCH(H$2,mission_ACH!$2:$2,0)-MATCH($D$2,mission_ACH!$2:$2,0)+1),MATCH(H$2,mission_ACH!$2:$2,0)-MATCH($D$2,mission_ACH!$2:$2,0)+1,FALSE)</f>
        <v>3</v>
      </c>
    </row>
    <row r="12" spans="1:8" ht="21" customHeight="1" x14ac:dyDescent="0.15">
      <c r="A12" s="8">
        <v>2021</v>
      </c>
      <c r="B12" s="2" t="s">
        <v>650</v>
      </c>
      <c r="C12" s="31" t="str">
        <f ca="1">VLOOKUP($B12,OFFSET(mission_ACH_criteria!$A$1,0,0,COUNTA(mission_ACH_criteria!$A:$A),MATCH(C$2,mission_ACH_criteria!$1:$1,0)-MATCH($B$2,mission_ACH_criteria!$1:$1,0)+1),MATCH(C$2,mission_ACH_criteria!$1:$1,0)-MATCH($B$2,mission_ACH_criteria!$1:$1,0)+1,FALSE)</f>
        <v>マルチプレイを 20 回プレイしよう！</v>
      </c>
      <c r="D12" s="27" t="s">
        <v>449</v>
      </c>
      <c r="E12" s="31" t="str">
        <f ca="1">VLOOKUP($D12,OFFSET(mission_ACH!$A$2,0,0,COUNTA(mission_ACH!$A:$A),MATCH(E$2,mission_ACH!$2:$2,0)-MATCH($D$2,mission_ACH!$2:$2,0)+1),MATCH(E$2,mission_ACH!$2:$2,0)-MATCH($D$2,mission_ACH!$2:$2,0)+1,FALSE)</f>
        <v>癒しの果実 x 1</v>
      </c>
      <c r="F12" s="31" t="str">
        <f ca="1">VLOOKUP($D12,OFFSET(mission_ACH!$A$2,0,0,COUNTA(mission_ACH!$A:$A),MATCH(F$2,mission_ACH!$2:$2,0)-MATCH($D$2,mission_ACH!$2:$2,0)+1),MATCH(F$2,mission_ACH!$2:$2,0)-MATCH($D$2,mission_ACH!$2:$2,0)+1,FALSE)</f>
        <v>unit</v>
      </c>
      <c r="G12" s="31">
        <f ca="1">VLOOKUP($D12,OFFSET(mission_ACH!$A$2,0,0,COUNTA(mission_ACH!$A:$A),MATCH(G$2,mission_ACH!$2:$2,0)-MATCH($D$2,mission_ACH!$2:$2,0)+1),MATCH(G$2,mission_ACH!$2:$2,0)-MATCH($D$2,mission_ACH!$2:$2,0)+1,FALSE)</f>
        <v>123</v>
      </c>
      <c r="H12" s="31">
        <f ca="1">VLOOKUP($D12,OFFSET(mission_ACH!$A$2,0,0,COUNTA(mission_ACH!$A:$A),MATCH(H$2,mission_ACH!$2:$2,0)-MATCH($D$2,mission_ACH!$2:$2,0)+1),MATCH(H$2,mission_ACH!$2:$2,0)-MATCH($D$2,mission_ACH!$2:$2,0)+1,FALSE)</f>
        <v>1</v>
      </c>
    </row>
    <row r="13" spans="1:8" ht="21" customHeight="1" x14ac:dyDescent="0.15">
      <c r="A13" s="8">
        <v>2022</v>
      </c>
      <c r="B13" s="2" t="s">
        <v>648</v>
      </c>
      <c r="C13" s="31" t="str">
        <f ca="1">VLOOKUP($B13,OFFSET(mission_ACH_criteria!$A$1,0,0,COUNTA(mission_ACH_criteria!$A:$A),MATCH(C$2,mission_ACH_criteria!$1:$1,0)-MATCH($B$2,mission_ACH_criteria!$1:$1,0)+1),MATCH(C$2,mission_ACH_criteria!$1:$1,0)-MATCH($B$2,mission_ACH_criteria!$1:$1,0)+1,FALSE)</f>
        <v>マルチプレイを 20 回プレイしよう！</v>
      </c>
      <c r="D13" s="27" t="s">
        <v>445</v>
      </c>
      <c r="E13" s="31" t="str">
        <f ca="1">VLOOKUP($D13,OFFSET(mission_ACH!$A$2,0,0,COUNTA(mission_ACH!$A:$A),MATCH(E$2,mission_ACH!$2:$2,0)-MATCH($D$2,mission_ACH!$2:$2,0)+1),MATCH(E$2,mission_ACH!$2:$2,0)-MATCH($D$2,mission_ACH!$2:$2,0)+1,FALSE)</f>
        <v>攻めの果実 x 1</v>
      </c>
      <c r="F13" s="31" t="str">
        <f ca="1">VLOOKUP($D13,OFFSET(mission_ACH!$A$2,0,0,COUNTA(mission_ACH!$A:$A),MATCH(F$2,mission_ACH!$2:$2,0)-MATCH($D$2,mission_ACH!$2:$2,0)+1),MATCH(F$2,mission_ACH!$2:$2,0)-MATCH($D$2,mission_ACH!$2:$2,0)+1,FALSE)</f>
        <v>unit</v>
      </c>
      <c r="G13" s="31">
        <f ca="1">VLOOKUP($D13,OFFSET(mission_ACH!$A$2,0,0,COUNTA(mission_ACH!$A:$A),MATCH(G$2,mission_ACH!$2:$2,0)-MATCH($D$2,mission_ACH!$2:$2,0)+1),MATCH(G$2,mission_ACH!$2:$2,0)-MATCH($D$2,mission_ACH!$2:$2,0)+1,FALSE)</f>
        <v>121</v>
      </c>
      <c r="H13" s="31">
        <f ca="1">VLOOKUP($D13,OFFSET(mission_ACH!$A$2,0,0,COUNTA(mission_ACH!$A:$A),MATCH(H$2,mission_ACH!$2:$2,0)-MATCH($D$2,mission_ACH!$2:$2,0)+1),MATCH(H$2,mission_ACH!$2:$2,0)-MATCH($D$2,mission_ACH!$2:$2,0)+1,FALSE)</f>
        <v>1</v>
      </c>
    </row>
    <row r="14" spans="1:8" ht="21" customHeight="1" x14ac:dyDescent="0.15">
      <c r="A14" s="8">
        <v>2023</v>
      </c>
      <c r="B14" s="2" t="s">
        <v>651</v>
      </c>
      <c r="C14" s="31" t="str">
        <f ca="1">VLOOKUP($B14,OFFSET(mission_ACH_criteria!$A$1,0,0,COUNTA(mission_ACH_criteria!$A:$A),MATCH(C$2,mission_ACH_criteria!$1:$1,0)-MATCH($B$2,mission_ACH_criteria!$1:$1,0)+1),MATCH(C$2,mission_ACH_criteria!$1:$1,0)-MATCH($B$2,mission_ACH_criteria!$1:$1,0)+1,FALSE)</f>
        <v>マルチプレイを 20 回プレイしよう！</v>
      </c>
      <c r="D14" s="27" t="s">
        <v>447</v>
      </c>
      <c r="E14" s="31" t="str">
        <f ca="1">VLOOKUP($D14,OFFSET(mission_ACH!$A$2,0,0,COUNTA(mission_ACH!$A:$A),MATCH(E$2,mission_ACH!$2:$2,0)-MATCH($D$2,mission_ACH!$2:$2,0)+1),MATCH(E$2,mission_ACH!$2:$2,0)-MATCH($D$2,mission_ACH!$2:$2,0)+1,FALSE)</f>
        <v>生命の果実 x 1</v>
      </c>
      <c r="F14" s="31" t="str">
        <f ca="1">VLOOKUP($D14,OFFSET(mission_ACH!$A$2,0,0,COUNTA(mission_ACH!$A:$A),MATCH(F$2,mission_ACH!$2:$2,0)-MATCH($D$2,mission_ACH!$2:$2,0)+1),MATCH(F$2,mission_ACH!$2:$2,0)-MATCH($D$2,mission_ACH!$2:$2,0)+1,FALSE)</f>
        <v>unit</v>
      </c>
      <c r="G14" s="31">
        <f ca="1">VLOOKUP($D14,OFFSET(mission_ACH!$A$2,0,0,COUNTA(mission_ACH!$A:$A),MATCH(G$2,mission_ACH!$2:$2,0)-MATCH($D$2,mission_ACH!$2:$2,0)+1),MATCH(G$2,mission_ACH!$2:$2,0)-MATCH($D$2,mission_ACH!$2:$2,0)+1,FALSE)</f>
        <v>122</v>
      </c>
      <c r="H14" s="31">
        <f ca="1">VLOOKUP($D14,OFFSET(mission_ACH!$A$2,0,0,COUNTA(mission_ACH!$A:$A),MATCH(H$2,mission_ACH!$2:$2,0)-MATCH($D$2,mission_ACH!$2:$2,0)+1),MATCH(H$2,mission_ACH!$2:$2,0)-MATCH($D$2,mission_ACH!$2:$2,0)+1,FALSE)</f>
        <v>1</v>
      </c>
    </row>
    <row r="15" spans="1:8" ht="21" customHeight="1" x14ac:dyDescent="0.15">
      <c r="A15" s="8">
        <v>2024</v>
      </c>
      <c r="B15" s="2" t="s">
        <v>718</v>
      </c>
      <c r="C15" s="31" t="str">
        <f ca="1">VLOOKUP($B15,OFFSET(mission_ACH_criteria!$A$1,0,0,COUNTA(mission_ACH_criteria!$A:$A),MATCH(C$2,mission_ACH_criteria!$1:$1,0)-MATCH($B$2,mission_ACH_criteria!$1:$1,0)+1),MATCH(C$2,mission_ACH_criteria!$1:$1,0)-MATCH($B$2,mission_ACH_criteria!$1:$1,0)+1,FALSE)</f>
        <v>マルチプレイを 20 回プレイしよう！</v>
      </c>
      <c r="D15" s="27" t="s">
        <v>731</v>
      </c>
      <c r="E15" s="31" t="str">
        <f ca="1">VLOOKUP($D15,OFFSET(mission_ACH!$A$2,0,0,COUNTA(mission_ACH!$A:$A),MATCH(E$2,mission_ACH!$2:$2,0)-MATCH($D$2,mission_ACH!$2:$2,0)+1),MATCH(E$2,mission_ACH!$2:$2,0)-MATCH($D$2,mission_ACH!$2:$2,0)+1,FALSE)</f>
        <v>攻めの果実 x 3</v>
      </c>
      <c r="F15" s="31" t="str">
        <f ca="1">VLOOKUP($D15,OFFSET(mission_ACH!$A$2,0,0,COUNTA(mission_ACH!$A:$A),MATCH(F$2,mission_ACH!$2:$2,0)-MATCH($D$2,mission_ACH!$2:$2,0)+1),MATCH(F$2,mission_ACH!$2:$2,0)-MATCH($D$2,mission_ACH!$2:$2,0)+1,FALSE)</f>
        <v>unit</v>
      </c>
      <c r="G15" s="31">
        <f ca="1">VLOOKUP($D15,OFFSET(mission_ACH!$A$2,0,0,COUNTA(mission_ACH!$A:$A),MATCH(G$2,mission_ACH!$2:$2,0)-MATCH($D$2,mission_ACH!$2:$2,0)+1),MATCH(G$2,mission_ACH!$2:$2,0)-MATCH($D$2,mission_ACH!$2:$2,0)+1,FALSE)</f>
        <v>121</v>
      </c>
      <c r="H15" s="31">
        <f ca="1">VLOOKUP($D15,OFFSET(mission_ACH!$A$2,0,0,COUNTA(mission_ACH!$A:$A),MATCH(H$2,mission_ACH!$2:$2,0)-MATCH($D$2,mission_ACH!$2:$2,0)+1),MATCH(H$2,mission_ACH!$2:$2,0)-MATCH($D$2,mission_ACH!$2:$2,0)+1,FALSE)</f>
        <v>3</v>
      </c>
    </row>
    <row r="16" spans="1:8" ht="21" customHeight="1" x14ac:dyDescent="0.15">
      <c r="A16" s="8">
        <v>2025</v>
      </c>
      <c r="B16" s="2" t="s">
        <v>719</v>
      </c>
      <c r="C16" s="31" t="str">
        <f ca="1">VLOOKUP($B16,OFFSET(mission_ACH_criteria!$A$1,0,0,COUNTA(mission_ACH_criteria!$A:$A),MATCH(C$2,mission_ACH_criteria!$1:$1,0)-MATCH($B$2,mission_ACH_criteria!$1:$1,0)+1),MATCH(C$2,mission_ACH_criteria!$1:$1,0)-MATCH($B$2,mission_ACH_criteria!$1:$1,0)+1,FALSE)</f>
        <v>マルチプレイを 20 回プレイしよう！</v>
      </c>
      <c r="D16" s="27" t="s">
        <v>733</v>
      </c>
      <c r="E16" s="31" t="str">
        <f ca="1">VLOOKUP($D16,OFFSET(mission_ACH!$A$2,0,0,COUNTA(mission_ACH!$A:$A),MATCH(E$2,mission_ACH!$2:$2,0)-MATCH($D$2,mission_ACH!$2:$2,0)+1),MATCH(E$2,mission_ACH!$2:$2,0)-MATCH($D$2,mission_ACH!$2:$2,0)+1,FALSE)</f>
        <v>生命の果実 x 3</v>
      </c>
      <c r="F16" s="31" t="str">
        <f ca="1">VLOOKUP($D16,OFFSET(mission_ACH!$A$2,0,0,COUNTA(mission_ACH!$A:$A),MATCH(F$2,mission_ACH!$2:$2,0)-MATCH($D$2,mission_ACH!$2:$2,0)+1),MATCH(F$2,mission_ACH!$2:$2,0)-MATCH($D$2,mission_ACH!$2:$2,0)+1,FALSE)</f>
        <v>unit</v>
      </c>
      <c r="G16" s="31">
        <f ca="1">VLOOKUP($D16,OFFSET(mission_ACH!$A$2,0,0,COUNTA(mission_ACH!$A:$A),MATCH(G$2,mission_ACH!$2:$2,0)-MATCH($D$2,mission_ACH!$2:$2,0)+1),MATCH(G$2,mission_ACH!$2:$2,0)-MATCH($D$2,mission_ACH!$2:$2,0)+1,FALSE)</f>
        <v>122</v>
      </c>
      <c r="H16" s="31">
        <f ca="1">VLOOKUP($D16,OFFSET(mission_ACH!$A$2,0,0,COUNTA(mission_ACH!$A:$A),MATCH(H$2,mission_ACH!$2:$2,0)-MATCH($D$2,mission_ACH!$2:$2,0)+1),MATCH(H$2,mission_ACH!$2:$2,0)-MATCH($D$2,mission_ACH!$2:$2,0)+1,FALSE)</f>
        <v>3</v>
      </c>
    </row>
    <row r="17" spans="1:8" ht="21" customHeight="1" x14ac:dyDescent="0.15">
      <c r="A17" s="8">
        <v>2026</v>
      </c>
      <c r="B17" s="2" t="s">
        <v>720</v>
      </c>
      <c r="C17" s="31" t="str">
        <f ca="1">VLOOKUP($B17,OFFSET(mission_ACH_criteria!$A$1,0,0,COUNTA(mission_ACH_criteria!$A:$A),MATCH(C$2,mission_ACH_criteria!$1:$1,0)-MATCH($B$2,mission_ACH_criteria!$1:$1,0)+1),MATCH(C$2,mission_ACH_criteria!$1:$1,0)-MATCH($B$2,mission_ACH_criteria!$1:$1,0)+1,FALSE)</f>
        <v>マルチプレイを 20 回プレイしよう！</v>
      </c>
      <c r="D17" s="27" t="s">
        <v>729</v>
      </c>
      <c r="E17" s="31" t="str">
        <f ca="1">VLOOKUP($D17,OFFSET(mission_ACH!$A$2,0,0,COUNTA(mission_ACH!$A:$A),MATCH(E$2,mission_ACH!$2:$2,0)-MATCH($D$2,mission_ACH!$2:$2,0)+1),MATCH(E$2,mission_ACH!$2:$2,0)-MATCH($D$2,mission_ACH!$2:$2,0)+1,FALSE)</f>
        <v>癒しの果実 x 3</v>
      </c>
      <c r="F17" s="31" t="str">
        <f ca="1">VLOOKUP($D17,OFFSET(mission_ACH!$A$2,0,0,COUNTA(mission_ACH!$A:$A),MATCH(F$2,mission_ACH!$2:$2,0)-MATCH($D$2,mission_ACH!$2:$2,0)+1),MATCH(F$2,mission_ACH!$2:$2,0)-MATCH($D$2,mission_ACH!$2:$2,0)+1,FALSE)</f>
        <v>unit</v>
      </c>
      <c r="G17" s="31">
        <f ca="1">VLOOKUP($D17,OFFSET(mission_ACH!$A$2,0,0,COUNTA(mission_ACH!$A:$A),MATCH(G$2,mission_ACH!$2:$2,0)-MATCH($D$2,mission_ACH!$2:$2,0)+1),MATCH(G$2,mission_ACH!$2:$2,0)-MATCH($D$2,mission_ACH!$2:$2,0)+1,FALSE)</f>
        <v>123</v>
      </c>
      <c r="H17" s="31">
        <f ca="1">VLOOKUP($D17,OFFSET(mission_ACH!$A$2,0,0,COUNTA(mission_ACH!$A:$A),MATCH(H$2,mission_ACH!$2:$2,0)-MATCH($D$2,mission_ACH!$2:$2,0)+1),MATCH(H$2,mission_ACH!$2:$2,0)-MATCH($D$2,mission_ACH!$2:$2,0)+1,FALSE)</f>
        <v>3</v>
      </c>
    </row>
    <row r="18" spans="1:8" ht="21" customHeight="1" x14ac:dyDescent="0.15">
      <c r="A18" s="8">
        <v>2030</v>
      </c>
      <c r="B18" s="2" t="s">
        <v>858</v>
      </c>
      <c r="C18" s="31" t="str">
        <f ca="1">VLOOKUP($B18,OFFSET(mission_ACH_criteria!$A$1,0,0,COUNTA(mission_ACH_criteria!$A:$A),MATCH(C$2,mission_ACH_criteria!$1:$1,0)-MATCH($B$2,mission_ACH_criteria!$1:$1,0)+1),MATCH(C$2,mission_ACH_criteria!$1:$1,0)-MATCH($B$2,mission_ACH_criteria!$1:$1,0)+1,FALSE)</f>
        <v>マルチプレイを 30 回プレイしよう！</v>
      </c>
      <c r="D18" s="27" t="s">
        <v>418</v>
      </c>
      <c r="E18" s="31" t="str">
        <f ca="1">VLOOKUP($D18,OFFSET(mission_ACH!$A$2,0,0,COUNTA(mission_ACH!$A:$A),MATCH(E$2,mission_ACH!$2:$2,0)-MATCH($D$2,mission_ACH!$2:$2,0)+1),MATCH(E$2,mission_ACH!$2:$2,0)-MATCH($D$2,mission_ACH!$2:$2,0)+1,FALSE)</f>
        <v>秘術の果実 x 1</v>
      </c>
      <c r="F18" s="31" t="str">
        <f ca="1">VLOOKUP($D18,OFFSET(mission_ACH!$A$2,0,0,COUNTA(mission_ACH!$A:$A),MATCH(F$2,mission_ACH!$2:$2,0)-MATCH($D$2,mission_ACH!$2:$2,0)+1),MATCH(F$2,mission_ACH!$2:$2,0)-MATCH($D$2,mission_ACH!$2:$2,0)+1,FALSE)</f>
        <v>unit</v>
      </c>
      <c r="G18" s="31">
        <f ca="1">VLOOKUP($D18,OFFSET(mission_ACH!$A$2,0,0,COUNTA(mission_ACH!$A:$A),MATCH(G$2,mission_ACH!$2:$2,0)-MATCH($D$2,mission_ACH!$2:$2,0)+1),MATCH(G$2,mission_ACH!$2:$2,0)-MATCH($D$2,mission_ACH!$2:$2,0)+1,FALSE)</f>
        <v>125</v>
      </c>
      <c r="H18" s="31">
        <f ca="1">VLOOKUP($D18,OFFSET(mission_ACH!$A$2,0,0,COUNTA(mission_ACH!$A:$A),MATCH(H$2,mission_ACH!$2:$2,0)-MATCH($D$2,mission_ACH!$2:$2,0)+1),MATCH(H$2,mission_ACH!$2:$2,0)-MATCH($D$2,mission_ACH!$2:$2,0)+1,FALSE)</f>
        <v>1</v>
      </c>
    </row>
    <row r="19" spans="1:8" ht="21" customHeight="1" x14ac:dyDescent="0.15">
      <c r="A19" s="8">
        <v>3004</v>
      </c>
      <c r="B19" s="2" t="s">
        <v>698</v>
      </c>
      <c r="C19" s="31" t="str">
        <f ca="1">VLOOKUP($B19,OFFSET(mission_ACH_criteria!$A$1,0,0,COUNTA(mission_ACH_criteria!$A:$A),MATCH(C$2,mission_ACH_criteria!$1:$1,0)-MATCH($B$2,mission_ACH_criteria!$1:$1,0)+1),MATCH(C$2,mission_ACH_criteria!$1:$1,0)-MATCH($B$2,mission_ACH_criteria!$1:$1,0)+1,FALSE)</f>
        <v>通算 1 日ログインしよう！</v>
      </c>
      <c r="D19" s="27" t="s">
        <v>727</v>
      </c>
      <c r="E19" s="31" t="str">
        <f ca="1">VLOOKUP($D19,OFFSET(mission_ACH!$A$2,0,0,COUNTA(mission_ACH!$A:$A),MATCH(E$2,mission_ACH!$2:$2,0)-MATCH($D$2,mission_ACH!$2:$2,0)+1),MATCH(E$2,mission_ACH!$2:$2,0)-MATCH($D$2,mission_ACH!$2:$2,0)+1,FALSE)</f>
        <v>攻めの果実 x 3</v>
      </c>
      <c r="F19" s="31" t="str">
        <f ca="1">VLOOKUP($D19,OFFSET(mission_ACH!$A$2,0,0,COUNTA(mission_ACH!$A:$A),MATCH(F$2,mission_ACH!$2:$2,0)-MATCH($D$2,mission_ACH!$2:$2,0)+1),MATCH(F$2,mission_ACH!$2:$2,0)-MATCH($D$2,mission_ACH!$2:$2,0)+1,FALSE)</f>
        <v>unit</v>
      </c>
      <c r="G19" s="31">
        <f ca="1">VLOOKUP($D19,OFFSET(mission_ACH!$A$2,0,0,COUNTA(mission_ACH!$A:$A),MATCH(G$2,mission_ACH!$2:$2,0)-MATCH($D$2,mission_ACH!$2:$2,0)+1),MATCH(G$2,mission_ACH!$2:$2,0)-MATCH($D$2,mission_ACH!$2:$2,0)+1,FALSE)</f>
        <v>121</v>
      </c>
      <c r="H19" s="31">
        <f ca="1">VLOOKUP($D19,OFFSET(mission_ACH!$A$2,0,0,COUNTA(mission_ACH!$A:$A),MATCH(H$2,mission_ACH!$2:$2,0)-MATCH($D$2,mission_ACH!$2:$2,0)+1),MATCH(H$2,mission_ACH!$2:$2,0)-MATCH($D$2,mission_ACH!$2:$2,0)+1,FALSE)</f>
        <v>3</v>
      </c>
    </row>
    <row r="20" spans="1:8" ht="21" customHeight="1" x14ac:dyDescent="0.15">
      <c r="A20" s="8">
        <v>3005</v>
      </c>
      <c r="B20" s="2" t="s">
        <v>721</v>
      </c>
      <c r="C20" s="31" t="str">
        <f ca="1">VLOOKUP($B20,OFFSET(mission_ACH_criteria!$A$1,0,0,COUNTA(mission_ACH_criteria!$A:$A),MATCH(C$2,mission_ACH_criteria!$1:$1,0)-MATCH($B$2,mission_ACH_criteria!$1:$1,0)+1),MATCH(C$2,mission_ACH_criteria!$1:$1,0)-MATCH($B$2,mission_ACH_criteria!$1:$1,0)+1,FALSE)</f>
        <v>通算 1 日ログインしよう！</v>
      </c>
      <c r="D20" s="27" t="s">
        <v>728</v>
      </c>
      <c r="E20" s="31" t="str">
        <f ca="1">VLOOKUP($D20,OFFSET(mission_ACH!$A$2,0,0,COUNTA(mission_ACH!$A:$A),MATCH(E$2,mission_ACH!$2:$2,0)-MATCH($D$2,mission_ACH!$2:$2,0)+1),MATCH(E$2,mission_ACH!$2:$2,0)-MATCH($D$2,mission_ACH!$2:$2,0)+1,FALSE)</f>
        <v>生命の果実 x 3</v>
      </c>
      <c r="F20" s="31" t="str">
        <f ca="1">VLOOKUP($D20,OFFSET(mission_ACH!$A$2,0,0,COUNTA(mission_ACH!$A:$A),MATCH(F$2,mission_ACH!$2:$2,0)-MATCH($D$2,mission_ACH!$2:$2,0)+1),MATCH(F$2,mission_ACH!$2:$2,0)-MATCH($D$2,mission_ACH!$2:$2,0)+1,FALSE)</f>
        <v>unit</v>
      </c>
      <c r="G20" s="31">
        <f ca="1">VLOOKUP($D20,OFFSET(mission_ACH!$A$2,0,0,COUNTA(mission_ACH!$A:$A),MATCH(G$2,mission_ACH!$2:$2,0)-MATCH($D$2,mission_ACH!$2:$2,0)+1),MATCH(G$2,mission_ACH!$2:$2,0)-MATCH($D$2,mission_ACH!$2:$2,0)+1,FALSE)</f>
        <v>122</v>
      </c>
      <c r="H20" s="31">
        <f ca="1">VLOOKUP($D20,OFFSET(mission_ACH!$A$2,0,0,COUNTA(mission_ACH!$A:$A),MATCH(H$2,mission_ACH!$2:$2,0)-MATCH($D$2,mission_ACH!$2:$2,0)+1),MATCH(H$2,mission_ACH!$2:$2,0)-MATCH($D$2,mission_ACH!$2:$2,0)+1,FALSE)</f>
        <v>3</v>
      </c>
    </row>
    <row r="21" spans="1:8" ht="21" customHeight="1" x14ac:dyDescent="0.15">
      <c r="A21" s="8">
        <v>3006</v>
      </c>
      <c r="B21" s="2" t="s">
        <v>722</v>
      </c>
      <c r="C21" s="31" t="str">
        <f ca="1">VLOOKUP($B21,OFFSET(mission_ACH_criteria!$A$1,0,0,COUNTA(mission_ACH_criteria!$A:$A),MATCH(C$2,mission_ACH_criteria!$1:$1,0)-MATCH($B$2,mission_ACH_criteria!$1:$1,0)+1),MATCH(C$2,mission_ACH_criteria!$1:$1,0)-MATCH($B$2,mission_ACH_criteria!$1:$1,0)+1,FALSE)</f>
        <v>通算 1 日ログインしよう！</v>
      </c>
      <c r="D21" s="27" t="s">
        <v>730</v>
      </c>
      <c r="E21" s="31" t="str">
        <f ca="1">VLOOKUP($D21,OFFSET(mission_ACH!$A$2,0,0,COUNTA(mission_ACH!$A:$A),MATCH(E$2,mission_ACH!$2:$2,0)-MATCH($D$2,mission_ACH!$2:$2,0)+1),MATCH(E$2,mission_ACH!$2:$2,0)-MATCH($D$2,mission_ACH!$2:$2,0)+1,FALSE)</f>
        <v>癒しの果実 x 3</v>
      </c>
      <c r="F21" s="31" t="str">
        <f ca="1">VLOOKUP($D21,OFFSET(mission_ACH!$A$2,0,0,COUNTA(mission_ACH!$A:$A),MATCH(F$2,mission_ACH!$2:$2,0)-MATCH($D$2,mission_ACH!$2:$2,0)+1),MATCH(F$2,mission_ACH!$2:$2,0)-MATCH($D$2,mission_ACH!$2:$2,0)+1,FALSE)</f>
        <v>unit</v>
      </c>
      <c r="G21" s="31">
        <f ca="1">VLOOKUP($D21,OFFSET(mission_ACH!$A$2,0,0,COUNTA(mission_ACH!$A:$A),MATCH(G$2,mission_ACH!$2:$2,0)-MATCH($D$2,mission_ACH!$2:$2,0)+1),MATCH(G$2,mission_ACH!$2:$2,0)-MATCH($D$2,mission_ACH!$2:$2,0)+1,FALSE)</f>
        <v>123</v>
      </c>
      <c r="H21" s="31">
        <f ca="1">VLOOKUP($D21,OFFSET(mission_ACH!$A$2,0,0,COUNTA(mission_ACH!$A:$A),MATCH(H$2,mission_ACH!$2:$2,0)-MATCH($D$2,mission_ACH!$2:$2,0)+1),MATCH(H$2,mission_ACH!$2:$2,0)-MATCH($D$2,mission_ACH!$2:$2,0)+1,FALSE)</f>
        <v>3</v>
      </c>
    </row>
    <row r="22" spans="1:8" ht="21" customHeight="1" x14ac:dyDescent="0.15">
      <c r="A22" s="8">
        <v>3007</v>
      </c>
      <c r="B22" s="2" t="s">
        <v>1507</v>
      </c>
      <c r="C22" s="31" t="str">
        <f ca="1">VLOOKUP($B22,OFFSET(mission_ACH_criteria!$A$1,0,0,COUNTA(mission_ACH_criteria!$A:$A),MATCH(C$2,mission_ACH_criteria!$1:$1,0)-MATCH($B$2,mission_ACH_criteria!$1:$1,0)+1),MATCH(C$2,mission_ACH_criteria!$1:$1,0)-MATCH($B$2,mission_ACH_criteria!$1:$1,0)+1,FALSE)</f>
        <v>通算 1 日ログインしよう！</v>
      </c>
      <c r="D22" s="27" t="s">
        <v>1513</v>
      </c>
      <c r="E22" s="31" t="str">
        <f ca="1">VLOOKUP($D22,OFFSET(mission_ACH!$A$2,0,0,COUNTA(mission_ACH!$A:$A),MATCH(E$2,mission_ACH!$2:$2,0)-MATCH($D$2,mission_ACH!$2:$2,0)+1),MATCH(E$2,mission_ACH!$2:$2,0)-MATCH($D$2,mission_ACH!$2:$2,0)+1,FALSE)</f>
        <v>ビット x 100000</v>
      </c>
      <c r="F22" s="31" t="str">
        <f ca="1">VLOOKUP($D22,OFFSET(mission_ACH!$A$2,0,0,COUNTA(mission_ACH!$A:$A),MATCH(F$2,mission_ACH!$2:$2,0)-MATCH($D$2,mission_ACH!$2:$2,0)+1),MATCH(F$2,mission_ACH!$2:$2,0)-MATCH($D$2,mission_ACH!$2:$2,0)+1,FALSE)</f>
        <v>bit</v>
      </c>
      <c r="G22" s="31">
        <f ca="1">VLOOKUP($D22,OFFSET(mission_ACH!$A$2,0,0,COUNTA(mission_ACH!$A:$A),MATCH(G$2,mission_ACH!$2:$2,0)-MATCH($D$2,mission_ACH!$2:$2,0)+1),MATCH(G$2,mission_ACH!$2:$2,0)-MATCH($D$2,mission_ACH!$2:$2,0)+1,FALSE)</f>
        <v>100000</v>
      </c>
      <c r="H22" s="31">
        <f ca="1">VLOOKUP($D22,OFFSET(mission_ACH!$A$2,0,0,COUNTA(mission_ACH!$A:$A),MATCH(H$2,mission_ACH!$2:$2,0)-MATCH($D$2,mission_ACH!$2:$2,0)+1),MATCH(H$2,mission_ACH!$2:$2,0)-MATCH($D$2,mission_ACH!$2:$2,0)+1,FALSE)</f>
        <v>0</v>
      </c>
    </row>
    <row r="23" spans="1:8" ht="21" customHeight="1" x14ac:dyDescent="0.15">
      <c r="A23" s="8">
        <v>3008</v>
      </c>
      <c r="B23" s="2" t="s">
        <v>1508</v>
      </c>
      <c r="C23" s="31" t="str">
        <f ca="1">VLOOKUP($B23,OFFSET(mission_ACH_criteria!$A$1,0,0,COUNTA(mission_ACH_criteria!$A:$A),MATCH(C$2,mission_ACH_criteria!$1:$1,0)-MATCH($B$2,mission_ACH_criteria!$1:$1,0)+1),MATCH(C$2,mission_ACH_criteria!$1:$1,0)-MATCH($B$2,mission_ACH_criteria!$1:$1,0)+1,FALSE)</f>
        <v>通算 2 日ログインしよう！</v>
      </c>
      <c r="D23" s="27" t="s">
        <v>1514</v>
      </c>
      <c r="E23" s="31" t="str">
        <f ca="1">VLOOKUP($D23,OFFSET(mission_ACH!$A$2,0,0,COUNTA(mission_ACH!$A:$A),MATCH(E$2,mission_ACH!$2:$2,0)-MATCH($D$2,mission_ACH!$2:$2,0)+1),MATCH(E$2,mission_ACH!$2:$2,0)-MATCH($D$2,mission_ACH!$2:$2,0)+1,FALSE)</f>
        <v>ビット x 200000</v>
      </c>
      <c r="F23" s="31" t="str">
        <f ca="1">VLOOKUP($D23,OFFSET(mission_ACH!$A$2,0,0,COUNTA(mission_ACH!$A:$A),MATCH(F$2,mission_ACH!$2:$2,0)-MATCH($D$2,mission_ACH!$2:$2,0)+1),MATCH(F$2,mission_ACH!$2:$2,0)-MATCH($D$2,mission_ACH!$2:$2,0)+1,FALSE)</f>
        <v>bit</v>
      </c>
      <c r="G23" s="31">
        <f ca="1">VLOOKUP($D23,OFFSET(mission_ACH!$A$2,0,0,COUNTA(mission_ACH!$A:$A),MATCH(G$2,mission_ACH!$2:$2,0)-MATCH($D$2,mission_ACH!$2:$2,0)+1),MATCH(G$2,mission_ACH!$2:$2,0)-MATCH($D$2,mission_ACH!$2:$2,0)+1,FALSE)</f>
        <v>200000</v>
      </c>
      <c r="H23" s="31">
        <f ca="1">VLOOKUP($D23,OFFSET(mission_ACH!$A$2,0,0,COUNTA(mission_ACH!$A:$A),MATCH(H$2,mission_ACH!$2:$2,0)-MATCH($D$2,mission_ACH!$2:$2,0)+1),MATCH(H$2,mission_ACH!$2:$2,0)-MATCH($D$2,mission_ACH!$2:$2,0)+1,FALSE)</f>
        <v>0</v>
      </c>
    </row>
    <row r="24" spans="1:8" ht="21" customHeight="1" x14ac:dyDescent="0.15">
      <c r="A24" s="115">
        <v>3009</v>
      </c>
      <c r="B24" s="2" t="s">
        <v>1814</v>
      </c>
      <c r="C24" s="31" t="str">
        <f ca="1">VLOOKUP($B24,OFFSET(mission_ACH_criteria!$A$1,0,0,COUNTA(mission_ACH_criteria!$A:$A),MATCH(C$2,mission_ACH_criteria!$1:$1,0)-MATCH($B$2,mission_ACH_criteria!$1:$1,0)+1),MATCH(C$2,mission_ACH_criteria!$1:$1,0)-MATCH($B$2,mission_ACH_criteria!$1:$1,0)+1,FALSE)</f>
        <v>通算 1 日ログインしよう！</v>
      </c>
      <c r="D24" s="27" t="s">
        <v>1817</v>
      </c>
      <c r="E24" s="31" t="str">
        <f ca="1">VLOOKUP($D24,OFFSET(mission_ACH!$A$2,0,0,COUNTA(mission_ACH!$A:$A),MATCH(E$2,mission_ACH!$2:$2,0)-MATCH($D$2,mission_ACH!$2:$2,0)+1),MATCH(E$2,mission_ACH!$2:$2,0)-MATCH($D$2,mission_ACH!$2:$2,0)+1,FALSE)</f>
        <v>メガ生命の果実 x 1</v>
      </c>
      <c r="F24" s="31" t="str">
        <f ca="1">VLOOKUP($D24,OFFSET(mission_ACH!$A$2,0,0,COUNTA(mission_ACH!$A:$A),MATCH(F$2,mission_ACH!$2:$2,0)-MATCH($D$2,mission_ACH!$2:$2,0)+1),MATCH(F$2,mission_ACH!$2:$2,0)-MATCH($D$2,mission_ACH!$2:$2,0)+1,FALSE)</f>
        <v>unit</v>
      </c>
      <c r="G24" s="31">
        <f ca="1">VLOOKUP($D24,OFFSET(mission_ACH!$A$2,0,0,COUNTA(mission_ACH!$A:$A),MATCH(G$2,mission_ACH!$2:$2,0)-MATCH($D$2,mission_ACH!$2:$2,0)+1),MATCH(G$2,mission_ACH!$2:$2,0)-MATCH($D$2,mission_ACH!$2:$2,0)+1,FALSE)</f>
        <v>608</v>
      </c>
      <c r="H24" s="31">
        <f ca="1">VLOOKUP($D24,OFFSET(mission_ACH!$A$2,0,0,COUNTA(mission_ACH!$A:$A),MATCH(H$2,mission_ACH!$2:$2,0)-MATCH($D$2,mission_ACH!$2:$2,0)+1),MATCH(H$2,mission_ACH!$2:$2,0)-MATCH($D$2,mission_ACH!$2:$2,0)+1,FALSE)</f>
        <v>1</v>
      </c>
    </row>
    <row r="25" spans="1:8" ht="21" customHeight="1" x14ac:dyDescent="0.15">
      <c r="A25" s="115">
        <v>3021</v>
      </c>
      <c r="B25" s="2" t="s">
        <v>1821</v>
      </c>
      <c r="C25" s="31" t="str">
        <f ca="1">VLOOKUP($B25,OFFSET(mission_ACH_criteria!$A$1,0,0,COUNTA(mission_ACH_criteria!$A:$A),MATCH(C$2,mission_ACH_criteria!$1:$1,0)-MATCH($B$2,mission_ACH_criteria!$1:$1,0)+1),MATCH(C$2,mission_ACH_criteria!$1:$1,0)-MATCH($B$2,mission_ACH_criteria!$1:$1,0)+1,FALSE)</f>
        <v>通算 2 日ログインしよう！</v>
      </c>
      <c r="D25" s="27" t="s">
        <v>1820</v>
      </c>
      <c r="E25" s="31" t="str">
        <f ca="1">VLOOKUP($D25,OFFSET(mission_ACH!$A$2,0,0,COUNTA(mission_ACH!$A:$A),MATCH(E$2,mission_ACH!$2:$2,0)-MATCH($D$2,mission_ACH!$2:$2,0)+1),MATCH(E$2,mission_ACH!$2:$2,0)-MATCH($D$2,mission_ACH!$2:$2,0)+1,FALSE)</f>
        <v>メガ癒しの果実 x 1</v>
      </c>
      <c r="F25" s="31" t="str">
        <f ca="1">VLOOKUP($D25,OFFSET(mission_ACH!$A$2,0,0,COUNTA(mission_ACH!$A:$A),MATCH(F$2,mission_ACH!$2:$2,0)-MATCH($D$2,mission_ACH!$2:$2,0)+1),MATCH(F$2,mission_ACH!$2:$2,0)-MATCH($D$2,mission_ACH!$2:$2,0)+1,FALSE)</f>
        <v>unit</v>
      </c>
      <c r="G25" s="31">
        <f ca="1">VLOOKUP($D25,OFFSET(mission_ACH!$A$2,0,0,COUNTA(mission_ACH!$A:$A),MATCH(G$2,mission_ACH!$2:$2,0)-MATCH($D$2,mission_ACH!$2:$2,0)+1),MATCH(G$2,mission_ACH!$2:$2,0)-MATCH($D$2,mission_ACH!$2:$2,0)+1,FALSE)</f>
        <v>609</v>
      </c>
      <c r="H25" s="31">
        <f ca="1">VLOOKUP($D25,OFFSET(mission_ACH!$A$2,0,0,COUNTA(mission_ACH!$A:$A),MATCH(H$2,mission_ACH!$2:$2,0)-MATCH($D$2,mission_ACH!$2:$2,0)+1),MATCH(H$2,mission_ACH!$2:$2,0)-MATCH($D$2,mission_ACH!$2:$2,0)+1,FALSE)</f>
        <v>1</v>
      </c>
    </row>
    <row r="26" spans="1:8" ht="21" customHeight="1" x14ac:dyDescent="0.15">
      <c r="A26" s="8">
        <v>3031</v>
      </c>
      <c r="B26" s="2" t="s">
        <v>1510</v>
      </c>
      <c r="C26" s="31" t="str">
        <f ca="1">VLOOKUP($B26,OFFSET(mission_ACH_criteria!$A$1,0,0,COUNTA(mission_ACH_criteria!$A:$A),MATCH(C$2,mission_ACH_criteria!$1:$1,0)-MATCH($B$2,mission_ACH_criteria!$1:$1,0)+1),MATCH(C$2,mission_ACH_criteria!$1:$1,0)-MATCH($B$2,mission_ACH_criteria!$1:$1,0)+1,FALSE)</f>
        <v>通算 3 日ログインしよう！</v>
      </c>
      <c r="D26" s="27" t="s">
        <v>447</v>
      </c>
      <c r="E26" s="31" t="str">
        <f ca="1">VLOOKUP($D26,OFFSET(mission_ACH!$A$2,0,0,COUNTA(mission_ACH!$A:$A),MATCH(E$2,mission_ACH!$2:$2,0)-MATCH($D$2,mission_ACH!$2:$2,0)+1),MATCH(E$2,mission_ACH!$2:$2,0)-MATCH($D$2,mission_ACH!$2:$2,0)+1,FALSE)</f>
        <v>生命の果実 x 1</v>
      </c>
      <c r="F26" s="31" t="str">
        <f ca="1">VLOOKUP($D26,OFFSET(mission_ACH!$A$2,0,0,COUNTA(mission_ACH!$A:$A),MATCH(F$2,mission_ACH!$2:$2,0)-MATCH($D$2,mission_ACH!$2:$2,0)+1),MATCH(F$2,mission_ACH!$2:$2,0)-MATCH($D$2,mission_ACH!$2:$2,0)+1,FALSE)</f>
        <v>unit</v>
      </c>
      <c r="G26" s="31">
        <f ca="1">VLOOKUP($D26,OFFSET(mission_ACH!$A$2,0,0,COUNTA(mission_ACH!$A:$A),MATCH(G$2,mission_ACH!$2:$2,0)-MATCH($D$2,mission_ACH!$2:$2,0)+1),MATCH(G$2,mission_ACH!$2:$2,0)-MATCH($D$2,mission_ACH!$2:$2,0)+1,FALSE)</f>
        <v>122</v>
      </c>
      <c r="H26" s="31">
        <f ca="1">VLOOKUP($D26,OFFSET(mission_ACH!$A$2,0,0,COUNTA(mission_ACH!$A:$A),MATCH(H$2,mission_ACH!$2:$2,0)-MATCH($D$2,mission_ACH!$2:$2,0)+1),MATCH(H$2,mission_ACH!$2:$2,0)-MATCH($D$2,mission_ACH!$2:$2,0)+1,FALSE)</f>
        <v>1</v>
      </c>
    </row>
    <row r="27" spans="1:8" ht="21" customHeight="1" x14ac:dyDescent="0.15">
      <c r="A27" s="8">
        <v>3032</v>
      </c>
      <c r="B27" s="2" t="s">
        <v>656</v>
      </c>
      <c r="C27" s="31" t="str">
        <f ca="1">VLOOKUP($B27,OFFSET(mission_ACH_criteria!$A$1,0,0,COUNTA(mission_ACH_criteria!$A:$A),MATCH(C$2,mission_ACH_criteria!$1:$1,0)-MATCH($B$2,mission_ACH_criteria!$1:$1,0)+1),MATCH(C$2,mission_ACH_criteria!$1:$1,0)-MATCH($B$2,mission_ACH_criteria!$1:$1,0)+1,FALSE)</f>
        <v>通算 3 日ログインしよう！</v>
      </c>
      <c r="D27" s="27" t="s">
        <v>449</v>
      </c>
      <c r="E27" s="31" t="str">
        <f ca="1">VLOOKUP($D27,OFFSET(mission_ACH!$A$2,0,0,COUNTA(mission_ACH!$A:$A),MATCH(E$2,mission_ACH!$2:$2,0)-MATCH($D$2,mission_ACH!$2:$2,0)+1),MATCH(E$2,mission_ACH!$2:$2,0)-MATCH($D$2,mission_ACH!$2:$2,0)+1,FALSE)</f>
        <v>癒しの果実 x 1</v>
      </c>
      <c r="F27" s="31" t="str">
        <f ca="1">VLOOKUP($D27,OFFSET(mission_ACH!$A$2,0,0,COUNTA(mission_ACH!$A:$A),MATCH(F$2,mission_ACH!$2:$2,0)-MATCH($D$2,mission_ACH!$2:$2,0)+1),MATCH(F$2,mission_ACH!$2:$2,0)-MATCH($D$2,mission_ACH!$2:$2,0)+1,FALSE)</f>
        <v>unit</v>
      </c>
      <c r="G27" s="31">
        <f ca="1">VLOOKUP($D27,OFFSET(mission_ACH!$A$2,0,0,COUNTA(mission_ACH!$A:$A),MATCH(G$2,mission_ACH!$2:$2,0)-MATCH($D$2,mission_ACH!$2:$2,0)+1),MATCH(G$2,mission_ACH!$2:$2,0)-MATCH($D$2,mission_ACH!$2:$2,0)+1,FALSE)</f>
        <v>123</v>
      </c>
      <c r="H27" s="31">
        <f ca="1">VLOOKUP($D27,OFFSET(mission_ACH!$A$2,0,0,COUNTA(mission_ACH!$A:$A),MATCH(H$2,mission_ACH!$2:$2,0)-MATCH($D$2,mission_ACH!$2:$2,0)+1),MATCH(H$2,mission_ACH!$2:$2,0)-MATCH($D$2,mission_ACH!$2:$2,0)+1,FALSE)</f>
        <v>1</v>
      </c>
    </row>
    <row r="28" spans="1:8" ht="21" customHeight="1" x14ac:dyDescent="0.15">
      <c r="A28" s="8">
        <v>3033</v>
      </c>
      <c r="B28" s="2" t="s">
        <v>654</v>
      </c>
      <c r="C28" s="31" t="str">
        <f ca="1">VLOOKUP($B28,OFFSET(mission_ACH_criteria!$A$1,0,0,COUNTA(mission_ACH_criteria!$A:$A),MATCH(C$2,mission_ACH_criteria!$1:$1,0)-MATCH($B$2,mission_ACH_criteria!$1:$1,0)+1),MATCH(C$2,mission_ACH_criteria!$1:$1,0)-MATCH($B$2,mission_ACH_criteria!$1:$1,0)+1,FALSE)</f>
        <v>通算 3 日ログインしよう！</v>
      </c>
      <c r="D28" s="27" t="s">
        <v>445</v>
      </c>
      <c r="E28" s="31" t="str">
        <f ca="1">VLOOKUP($D28,OFFSET(mission_ACH!$A$2,0,0,COUNTA(mission_ACH!$A:$A),MATCH(E$2,mission_ACH!$2:$2,0)-MATCH($D$2,mission_ACH!$2:$2,0)+1),MATCH(E$2,mission_ACH!$2:$2,0)-MATCH($D$2,mission_ACH!$2:$2,0)+1,FALSE)</f>
        <v>攻めの果実 x 1</v>
      </c>
      <c r="F28" s="31" t="str">
        <f ca="1">VLOOKUP($D28,OFFSET(mission_ACH!$A$2,0,0,COUNTA(mission_ACH!$A:$A),MATCH(F$2,mission_ACH!$2:$2,0)-MATCH($D$2,mission_ACH!$2:$2,0)+1),MATCH(F$2,mission_ACH!$2:$2,0)-MATCH($D$2,mission_ACH!$2:$2,0)+1,FALSE)</f>
        <v>unit</v>
      </c>
      <c r="G28" s="31">
        <f ca="1">VLOOKUP($D28,OFFSET(mission_ACH!$A$2,0,0,COUNTA(mission_ACH!$A:$A),MATCH(G$2,mission_ACH!$2:$2,0)-MATCH($D$2,mission_ACH!$2:$2,0)+1),MATCH(G$2,mission_ACH!$2:$2,0)-MATCH($D$2,mission_ACH!$2:$2,0)+1,FALSE)</f>
        <v>121</v>
      </c>
      <c r="H28" s="31">
        <f ca="1">VLOOKUP($D28,OFFSET(mission_ACH!$A$2,0,0,COUNTA(mission_ACH!$A:$A),MATCH(H$2,mission_ACH!$2:$2,0)-MATCH($D$2,mission_ACH!$2:$2,0)+1),MATCH(H$2,mission_ACH!$2:$2,0)-MATCH($D$2,mission_ACH!$2:$2,0)+1,FALSE)</f>
        <v>1</v>
      </c>
    </row>
    <row r="29" spans="1:8" ht="21" customHeight="1" x14ac:dyDescent="0.15">
      <c r="A29" s="8">
        <v>3034</v>
      </c>
      <c r="B29" s="2" t="s">
        <v>704</v>
      </c>
      <c r="C29" s="31" t="str">
        <f ca="1">VLOOKUP($B29,OFFSET(mission_ACH_criteria!$A$1,0,0,COUNTA(mission_ACH_criteria!$A:$A),MATCH(C$2,mission_ACH_criteria!$1:$1,0)-MATCH($B$2,mission_ACH_criteria!$1:$1,0)+1),MATCH(C$2,mission_ACH_criteria!$1:$1,0)-MATCH($B$2,mission_ACH_criteria!$1:$1,0)+1,FALSE)</f>
        <v>通算 3 日ログインしよう！</v>
      </c>
      <c r="D29" s="27" t="s">
        <v>728</v>
      </c>
      <c r="E29" s="31" t="str">
        <f ca="1">VLOOKUP($D29,OFFSET(mission_ACH!$A$2,0,0,COUNTA(mission_ACH!$A:$A),MATCH(E$2,mission_ACH!$2:$2,0)-MATCH($D$2,mission_ACH!$2:$2,0)+1),MATCH(E$2,mission_ACH!$2:$2,0)-MATCH($D$2,mission_ACH!$2:$2,0)+1,FALSE)</f>
        <v>生命の果実 x 3</v>
      </c>
      <c r="F29" s="31" t="str">
        <f ca="1">VLOOKUP($D29,OFFSET(mission_ACH!$A$2,0,0,COUNTA(mission_ACH!$A:$A),MATCH(F$2,mission_ACH!$2:$2,0)-MATCH($D$2,mission_ACH!$2:$2,0)+1),MATCH(F$2,mission_ACH!$2:$2,0)-MATCH($D$2,mission_ACH!$2:$2,0)+1,FALSE)</f>
        <v>unit</v>
      </c>
      <c r="G29" s="31">
        <f ca="1">VLOOKUP($D29,OFFSET(mission_ACH!$A$2,0,0,COUNTA(mission_ACH!$A:$A),MATCH(G$2,mission_ACH!$2:$2,0)-MATCH($D$2,mission_ACH!$2:$2,0)+1),MATCH(G$2,mission_ACH!$2:$2,0)-MATCH($D$2,mission_ACH!$2:$2,0)+1,FALSE)</f>
        <v>122</v>
      </c>
      <c r="H29" s="31">
        <f ca="1">VLOOKUP($D29,OFFSET(mission_ACH!$A$2,0,0,COUNTA(mission_ACH!$A:$A),MATCH(H$2,mission_ACH!$2:$2,0)-MATCH($D$2,mission_ACH!$2:$2,0)+1),MATCH(H$2,mission_ACH!$2:$2,0)-MATCH($D$2,mission_ACH!$2:$2,0)+1,FALSE)</f>
        <v>3</v>
      </c>
    </row>
    <row r="30" spans="1:8" ht="21" customHeight="1" x14ac:dyDescent="0.15">
      <c r="A30" s="8">
        <v>3035</v>
      </c>
      <c r="B30" s="2" t="s">
        <v>705</v>
      </c>
      <c r="C30" s="31" t="str">
        <f ca="1">VLOOKUP($B30,OFFSET(mission_ACH_criteria!$A$1,0,0,COUNTA(mission_ACH_criteria!$A:$A),MATCH(C$2,mission_ACH_criteria!$1:$1,0)-MATCH($B$2,mission_ACH_criteria!$1:$1,0)+1),MATCH(C$2,mission_ACH_criteria!$1:$1,0)-MATCH($B$2,mission_ACH_criteria!$1:$1,0)+1,FALSE)</f>
        <v>通算 3 日ログインしよう！</v>
      </c>
      <c r="D30" s="27" t="s">
        <v>729</v>
      </c>
      <c r="E30" s="31" t="str">
        <f ca="1">VLOOKUP($D30,OFFSET(mission_ACH!$A$2,0,0,COUNTA(mission_ACH!$A:$A),MATCH(E$2,mission_ACH!$2:$2,0)-MATCH($D$2,mission_ACH!$2:$2,0)+1),MATCH(E$2,mission_ACH!$2:$2,0)-MATCH($D$2,mission_ACH!$2:$2,0)+1,FALSE)</f>
        <v>癒しの果実 x 3</v>
      </c>
      <c r="F30" s="31" t="str">
        <f ca="1">VLOOKUP($D30,OFFSET(mission_ACH!$A$2,0,0,COUNTA(mission_ACH!$A:$A),MATCH(F$2,mission_ACH!$2:$2,0)-MATCH($D$2,mission_ACH!$2:$2,0)+1),MATCH(F$2,mission_ACH!$2:$2,0)-MATCH($D$2,mission_ACH!$2:$2,0)+1,FALSE)</f>
        <v>unit</v>
      </c>
      <c r="G30" s="31">
        <f ca="1">VLOOKUP($D30,OFFSET(mission_ACH!$A$2,0,0,COUNTA(mission_ACH!$A:$A),MATCH(G$2,mission_ACH!$2:$2,0)-MATCH($D$2,mission_ACH!$2:$2,0)+1),MATCH(G$2,mission_ACH!$2:$2,0)-MATCH($D$2,mission_ACH!$2:$2,0)+1,FALSE)</f>
        <v>123</v>
      </c>
      <c r="H30" s="31">
        <f ca="1">VLOOKUP($D30,OFFSET(mission_ACH!$A$2,0,0,COUNTA(mission_ACH!$A:$A),MATCH(H$2,mission_ACH!$2:$2,0)-MATCH($D$2,mission_ACH!$2:$2,0)+1),MATCH(H$2,mission_ACH!$2:$2,0)-MATCH($D$2,mission_ACH!$2:$2,0)+1,FALSE)</f>
        <v>3</v>
      </c>
    </row>
    <row r="31" spans="1:8" ht="21" customHeight="1" x14ac:dyDescent="0.15">
      <c r="A31" s="8">
        <v>3036</v>
      </c>
      <c r="B31" s="2" t="s">
        <v>1509</v>
      </c>
      <c r="C31" s="31" t="str">
        <f ca="1">VLOOKUP($B31,OFFSET(mission_ACH_criteria!$A$1,0,0,COUNTA(mission_ACH_criteria!$A:$A),MATCH(C$2,mission_ACH_criteria!$1:$1,0)-MATCH($B$2,mission_ACH_criteria!$1:$1,0)+1),MATCH(C$2,mission_ACH_criteria!$1:$1,0)-MATCH($B$2,mission_ACH_criteria!$1:$1,0)+1,FALSE)</f>
        <v>通算 3 日ログインしよう！</v>
      </c>
      <c r="D31" s="27" t="s">
        <v>727</v>
      </c>
      <c r="E31" s="31" t="str">
        <f ca="1">VLOOKUP($D31,OFFSET(mission_ACH!$A$2,0,0,COUNTA(mission_ACH!$A:$A),MATCH(E$2,mission_ACH!$2:$2,0)-MATCH($D$2,mission_ACH!$2:$2,0)+1),MATCH(E$2,mission_ACH!$2:$2,0)-MATCH($D$2,mission_ACH!$2:$2,0)+1,FALSE)</f>
        <v>攻めの果実 x 3</v>
      </c>
      <c r="F31" s="31" t="str">
        <f ca="1">VLOOKUP($D31,OFFSET(mission_ACH!$A$2,0,0,COUNTA(mission_ACH!$A:$A),MATCH(F$2,mission_ACH!$2:$2,0)-MATCH($D$2,mission_ACH!$2:$2,0)+1),MATCH(F$2,mission_ACH!$2:$2,0)-MATCH($D$2,mission_ACH!$2:$2,0)+1,FALSE)</f>
        <v>unit</v>
      </c>
      <c r="G31" s="31">
        <f ca="1">VLOOKUP($D31,OFFSET(mission_ACH!$A$2,0,0,COUNTA(mission_ACH!$A:$A),MATCH(G$2,mission_ACH!$2:$2,0)-MATCH($D$2,mission_ACH!$2:$2,0)+1),MATCH(G$2,mission_ACH!$2:$2,0)-MATCH($D$2,mission_ACH!$2:$2,0)+1,FALSE)</f>
        <v>121</v>
      </c>
      <c r="H31" s="31">
        <f ca="1">VLOOKUP($D31,OFFSET(mission_ACH!$A$2,0,0,COUNTA(mission_ACH!$A:$A),MATCH(H$2,mission_ACH!$2:$2,0)-MATCH($D$2,mission_ACH!$2:$2,0)+1),MATCH(H$2,mission_ACH!$2:$2,0)-MATCH($D$2,mission_ACH!$2:$2,0)+1,FALSE)</f>
        <v>3</v>
      </c>
    </row>
    <row r="32" spans="1:8" ht="21" customHeight="1" x14ac:dyDescent="0.15">
      <c r="A32" s="8">
        <v>3037</v>
      </c>
      <c r="B32" s="2" t="s">
        <v>1469</v>
      </c>
      <c r="C32" s="31" t="str">
        <f ca="1">VLOOKUP($B32,OFFSET(mission_ACH_criteria!$A$1,0,0,COUNTA(mission_ACH_criteria!$A:$A),MATCH(C$2,mission_ACH_criteria!$1:$1,0)-MATCH($B$2,mission_ACH_criteria!$1:$1,0)+1),MATCH(C$2,mission_ACH_criteria!$1:$1,0)-MATCH($B$2,mission_ACH_criteria!$1:$1,0)+1,FALSE)</f>
        <v>通算 3 日ログインしよう！</v>
      </c>
      <c r="D32" s="27" t="s">
        <v>1515</v>
      </c>
      <c r="E32" s="31" t="str">
        <f ca="1">VLOOKUP($D32,OFFSET(mission_ACH!$A$2,0,0,COUNTA(mission_ACH!$A:$A),MATCH(E$2,mission_ACH!$2:$2,0)-MATCH($D$2,mission_ACH!$2:$2,0)+1),MATCH(E$2,mission_ACH!$2:$2,0)-MATCH($D$2,mission_ACH!$2:$2,0)+1,FALSE)</f>
        <v>ビット x 300000</v>
      </c>
      <c r="F32" s="31" t="str">
        <f ca="1">VLOOKUP($D32,OFFSET(mission_ACH!$A$2,0,0,COUNTA(mission_ACH!$A:$A),MATCH(F$2,mission_ACH!$2:$2,0)-MATCH($D$2,mission_ACH!$2:$2,0)+1),MATCH(F$2,mission_ACH!$2:$2,0)-MATCH($D$2,mission_ACH!$2:$2,0)+1,FALSE)</f>
        <v>bit</v>
      </c>
      <c r="G32" s="31">
        <f ca="1">VLOOKUP($D32,OFFSET(mission_ACH!$A$2,0,0,COUNTA(mission_ACH!$A:$A),MATCH(G$2,mission_ACH!$2:$2,0)-MATCH($D$2,mission_ACH!$2:$2,0)+1),MATCH(G$2,mission_ACH!$2:$2,0)-MATCH($D$2,mission_ACH!$2:$2,0)+1,FALSE)</f>
        <v>300000</v>
      </c>
      <c r="H32" s="31">
        <f ca="1">VLOOKUP($D32,OFFSET(mission_ACH!$A$2,0,0,COUNTA(mission_ACH!$A:$A),MATCH(H$2,mission_ACH!$2:$2,0)-MATCH($D$2,mission_ACH!$2:$2,0)+1),MATCH(H$2,mission_ACH!$2:$2,0)-MATCH($D$2,mission_ACH!$2:$2,0)+1,FALSE)</f>
        <v>0</v>
      </c>
    </row>
    <row r="33" spans="1:8" ht="21" customHeight="1" x14ac:dyDescent="0.15">
      <c r="A33" s="115">
        <v>3038</v>
      </c>
      <c r="B33" s="2" t="s">
        <v>1824</v>
      </c>
      <c r="C33" s="31" t="str">
        <f ca="1">VLOOKUP($B33,OFFSET(mission_ACH_criteria!$A$1,0,0,COUNTA(mission_ACH_criteria!$A:$A),MATCH(C$2,mission_ACH_criteria!$1:$1,0)-MATCH($B$2,mission_ACH_criteria!$1:$1,0)+1),MATCH(C$2,mission_ACH_criteria!$1:$1,0)-MATCH($B$2,mission_ACH_criteria!$1:$1,0)+1,FALSE)</f>
        <v>通算 3 日ログインしよう！</v>
      </c>
      <c r="D33" s="27" t="s">
        <v>1825</v>
      </c>
      <c r="E33" s="31" t="str">
        <f ca="1">VLOOKUP($D33,OFFSET(mission_ACH!$A$2,0,0,COUNTA(mission_ACH!$A:$A),MATCH(E$2,mission_ACH!$2:$2,0)-MATCH($D$2,mission_ACH!$2:$2,0)+1),MATCH(E$2,mission_ACH!$2:$2,0)-MATCH($D$2,mission_ACH!$2:$2,0)+1,FALSE)</f>
        <v>メガ攻めの果実 x 1</v>
      </c>
      <c r="F33" s="31" t="str">
        <f ca="1">VLOOKUP($D33,OFFSET(mission_ACH!$A$2,0,0,COUNTA(mission_ACH!$A:$A),MATCH(F$2,mission_ACH!$2:$2,0)-MATCH($D$2,mission_ACH!$2:$2,0)+1),MATCH(F$2,mission_ACH!$2:$2,0)-MATCH($D$2,mission_ACH!$2:$2,0)+1,FALSE)</f>
        <v>unit</v>
      </c>
      <c r="G33" s="31">
        <f ca="1">VLOOKUP($D33,OFFSET(mission_ACH!$A$2,0,0,COUNTA(mission_ACH!$A:$A),MATCH(G$2,mission_ACH!$2:$2,0)-MATCH($D$2,mission_ACH!$2:$2,0)+1),MATCH(G$2,mission_ACH!$2:$2,0)-MATCH($D$2,mission_ACH!$2:$2,0)+1,FALSE)</f>
        <v>607</v>
      </c>
      <c r="H33" s="31">
        <f ca="1">VLOOKUP($D33,OFFSET(mission_ACH!$A$2,0,0,COUNTA(mission_ACH!$A:$A),MATCH(H$2,mission_ACH!$2:$2,0)-MATCH($D$2,mission_ACH!$2:$2,0)+1),MATCH(H$2,mission_ACH!$2:$2,0)-MATCH($D$2,mission_ACH!$2:$2,0)+1,FALSE)</f>
        <v>1</v>
      </c>
    </row>
    <row r="34" spans="1:8" ht="21" customHeight="1" x14ac:dyDescent="0.15">
      <c r="A34" s="8">
        <v>3041</v>
      </c>
      <c r="B34" s="2" t="s">
        <v>1511</v>
      </c>
      <c r="C34" s="31" t="str">
        <f ca="1">VLOOKUP($B34,OFFSET(mission_ACH_criteria!$A$1,0,0,COUNTA(mission_ACH_criteria!$A:$A),MATCH(C$2,mission_ACH_criteria!$1:$1,0)-MATCH($B$2,mission_ACH_criteria!$1:$1,0)+1),MATCH(C$2,mission_ACH_criteria!$1:$1,0)-MATCH($B$2,mission_ACH_criteria!$1:$1,0)+1,FALSE)</f>
        <v>通算 4 日ログインしよう！</v>
      </c>
      <c r="D34" s="27" t="s">
        <v>1516</v>
      </c>
      <c r="E34" s="31" t="str">
        <f ca="1">VLOOKUP($D34,OFFSET(mission_ACH!$A$2,0,0,COUNTA(mission_ACH!$A:$A),MATCH(E$2,mission_ACH!$2:$2,0)-MATCH($D$2,mission_ACH!$2:$2,0)+1),MATCH(E$2,mission_ACH!$2:$2,0)-MATCH($D$2,mission_ACH!$2:$2,0)+1,FALSE)</f>
        <v>ビット x 400000</v>
      </c>
      <c r="F34" s="31" t="str">
        <f ca="1">VLOOKUP($D34,OFFSET(mission_ACH!$A$2,0,0,COUNTA(mission_ACH!$A:$A),MATCH(F$2,mission_ACH!$2:$2,0)-MATCH($D$2,mission_ACH!$2:$2,0)+1),MATCH(F$2,mission_ACH!$2:$2,0)-MATCH($D$2,mission_ACH!$2:$2,0)+1,FALSE)</f>
        <v>bit</v>
      </c>
      <c r="G34" s="31">
        <f ca="1">VLOOKUP($D34,OFFSET(mission_ACH!$A$2,0,0,COUNTA(mission_ACH!$A:$A),MATCH(G$2,mission_ACH!$2:$2,0)-MATCH($D$2,mission_ACH!$2:$2,0)+1),MATCH(G$2,mission_ACH!$2:$2,0)-MATCH($D$2,mission_ACH!$2:$2,0)+1,FALSE)</f>
        <v>400000</v>
      </c>
      <c r="H34" s="31">
        <f ca="1">VLOOKUP($D34,OFFSET(mission_ACH!$A$2,0,0,COUNTA(mission_ACH!$A:$A),MATCH(H$2,mission_ACH!$2:$2,0)-MATCH($D$2,mission_ACH!$2:$2,0)+1),MATCH(H$2,mission_ACH!$2:$2,0)-MATCH($D$2,mission_ACH!$2:$2,0)+1,FALSE)</f>
        <v>0</v>
      </c>
    </row>
    <row r="35" spans="1:8" ht="21" customHeight="1" x14ac:dyDescent="0.15">
      <c r="A35" s="8">
        <v>3051</v>
      </c>
      <c r="B35" s="2" t="s">
        <v>1471</v>
      </c>
      <c r="C35" s="31" t="str">
        <f ca="1">VLOOKUP($B35,OFFSET(mission_ACH_criteria!$A$1,0,0,COUNTA(mission_ACH_criteria!$A:$A),MATCH(C$2,mission_ACH_criteria!$1:$1,0)-MATCH($B$2,mission_ACH_criteria!$1:$1,0)+1),MATCH(C$2,mission_ACH_criteria!$1:$1,0)-MATCH($B$2,mission_ACH_criteria!$1:$1,0)+1,FALSE)</f>
        <v>通算 5 日ログインしよう！</v>
      </c>
      <c r="D35" s="27" t="s">
        <v>1759</v>
      </c>
      <c r="E35" s="31" t="str">
        <f ca="1">VLOOKUP($D35,OFFSET(mission_ACH!$A$2,0,0,COUNTA(mission_ACH!$A:$A),MATCH(E$2,mission_ACH!$2:$2,0)-MATCH($D$2,mission_ACH!$2:$2,0)+1),MATCH(E$2,mission_ACH!$2:$2,0)-MATCH($D$2,mission_ACH!$2:$2,0)+1,FALSE)</f>
        <v>リトルハンプティ x 1</v>
      </c>
      <c r="F35" s="31" t="str">
        <f ca="1">VLOOKUP($D35,OFFSET(mission_ACH!$A$2,0,0,COUNTA(mission_ACH!$A:$A),MATCH(F$2,mission_ACH!$2:$2,0)-MATCH($D$2,mission_ACH!$2:$2,0)+1),MATCH(F$2,mission_ACH!$2:$2,0)-MATCH($D$2,mission_ACH!$2:$2,0)+1,FALSE)</f>
        <v>unit</v>
      </c>
      <c r="G35" s="31">
        <f ca="1">VLOOKUP($D35,OFFSET(mission_ACH!$A$2,0,0,COUNTA(mission_ACH!$A:$A),MATCH(G$2,mission_ACH!$2:$2,0)-MATCH($D$2,mission_ACH!$2:$2,0)+1),MATCH(G$2,mission_ACH!$2:$2,0)-MATCH($D$2,mission_ACH!$2:$2,0)+1,FALSE)</f>
        <v>837</v>
      </c>
      <c r="H35" s="31">
        <f ca="1">VLOOKUP($D35,OFFSET(mission_ACH!$A$2,0,0,COUNTA(mission_ACH!$A:$A),MATCH(H$2,mission_ACH!$2:$2,0)-MATCH($D$2,mission_ACH!$2:$2,0)+1),MATCH(H$2,mission_ACH!$2:$2,0)-MATCH($D$2,mission_ACH!$2:$2,0)+1,FALSE)</f>
        <v>1</v>
      </c>
    </row>
    <row r="36" spans="1:8" ht="21" customHeight="1" x14ac:dyDescent="0.15">
      <c r="A36" s="8">
        <v>3061</v>
      </c>
      <c r="B36" s="2" t="s">
        <v>1472</v>
      </c>
      <c r="C36" s="31" t="str">
        <f ca="1">VLOOKUP($B36,OFFSET(mission_ACH_criteria!$A$1,0,0,COUNTA(mission_ACH_criteria!$A:$A),MATCH(C$2,mission_ACH_criteria!$1:$1,0)-MATCH($B$2,mission_ACH_criteria!$1:$1,0)+1),MATCH(C$2,mission_ACH_criteria!$1:$1,0)-MATCH($B$2,mission_ACH_criteria!$1:$1,0)+1,FALSE)</f>
        <v>通算 6 日ログインしよう！</v>
      </c>
      <c r="D36" s="27" t="s">
        <v>1518</v>
      </c>
      <c r="E36" s="31" t="str">
        <f ca="1">VLOOKUP($D36,OFFSET(mission_ACH!$A$2,0,0,COUNTA(mission_ACH!$A:$A),MATCH(E$2,mission_ACH!$2:$2,0)-MATCH($D$2,mission_ACH!$2:$2,0)+1),MATCH(E$2,mission_ACH!$2:$2,0)-MATCH($D$2,mission_ACH!$2:$2,0)+1,FALSE)</f>
        <v>ポリゴン x 1</v>
      </c>
      <c r="F36" s="31" t="str">
        <f ca="1">VLOOKUP($D36,OFFSET(mission_ACH!$A$2,0,0,COUNTA(mission_ACH!$A:$A),MATCH(F$2,mission_ACH!$2:$2,0)-MATCH($D$2,mission_ACH!$2:$2,0)+1),MATCH(F$2,mission_ACH!$2:$2,0)-MATCH($D$2,mission_ACH!$2:$2,0)+1,FALSE)</f>
        <v>polygon</v>
      </c>
      <c r="G36" s="31">
        <f ca="1">VLOOKUP($D36,OFFSET(mission_ACH!$A$2,0,0,COUNTA(mission_ACH!$A:$A),MATCH(G$2,mission_ACH!$2:$2,0)-MATCH($D$2,mission_ACH!$2:$2,0)+1),MATCH(G$2,mission_ACH!$2:$2,0)-MATCH($D$2,mission_ACH!$2:$2,0)+1,FALSE)</f>
        <v>1</v>
      </c>
      <c r="H36" s="31">
        <f ca="1">VLOOKUP($D36,OFFSET(mission_ACH!$A$2,0,0,COUNTA(mission_ACH!$A:$A),MATCH(H$2,mission_ACH!$2:$2,0)-MATCH($D$2,mission_ACH!$2:$2,0)+1),MATCH(H$2,mission_ACH!$2:$2,0)-MATCH($D$2,mission_ACH!$2:$2,0)+1,FALSE)</f>
        <v>0</v>
      </c>
    </row>
    <row r="37" spans="1:8" ht="21" customHeight="1" x14ac:dyDescent="0.15">
      <c r="A37" s="8">
        <v>3071</v>
      </c>
      <c r="B37" s="2" t="s">
        <v>638</v>
      </c>
      <c r="C37" s="31" t="str">
        <f ca="1">VLOOKUP($B37,OFFSET(mission_ACH_criteria!$A$1,0,0,COUNTA(mission_ACH_criteria!$A:$A),MATCH(C$2,mission_ACH_criteria!$1:$1,0)-MATCH($B$2,mission_ACH_criteria!$1:$1,0)+1),MATCH(C$2,mission_ACH_criteria!$1:$1,0)-MATCH($B$2,mission_ACH_criteria!$1:$1,0)+1,FALSE)</f>
        <v>通算 7 日ログインしよう！</v>
      </c>
      <c r="D37" s="27" t="s">
        <v>445</v>
      </c>
      <c r="E37" s="31" t="str">
        <f ca="1">VLOOKUP($D37,OFFSET(mission_ACH!$A$2,0,0,COUNTA(mission_ACH!$A:$A),MATCH(E$2,mission_ACH!$2:$2,0)-MATCH($D$2,mission_ACH!$2:$2,0)+1),MATCH(E$2,mission_ACH!$2:$2,0)-MATCH($D$2,mission_ACH!$2:$2,0)+1,FALSE)</f>
        <v>攻めの果実 x 1</v>
      </c>
      <c r="F37" s="31" t="str">
        <f ca="1">VLOOKUP($D37,OFFSET(mission_ACH!$A$2,0,0,COUNTA(mission_ACH!$A:$A),MATCH(F$2,mission_ACH!$2:$2,0)-MATCH($D$2,mission_ACH!$2:$2,0)+1),MATCH(F$2,mission_ACH!$2:$2,0)-MATCH($D$2,mission_ACH!$2:$2,0)+1,FALSE)</f>
        <v>unit</v>
      </c>
      <c r="G37" s="31">
        <f ca="1">VLOOKUP($D37,OFFSET(mission_ACH!$A$2,0,0,COUNTA(mission_ACH!$A:$A),MATCH(G$2,mission_ACH!$2:$2,0)-MATCH($D$2,mission_ACH!$2:$2,0)+1),MATCH(G$2,mission_ACH!$2:$2,0)-MATCH($D$2,mission_ACH!$2:$2,0)+1,FALSE)</f>
        <v>121</v>
      </c>
      <c r="H37" s="31">
        <f ca="1">VLOOKUP($D37,OFFSET(mission_ACH!$A$2,0,0,COUNTA(mission_ACH!$A:$A),MATCH(H$2,mission_ACH!$2:$2,0)-MATCH($D$2,mission_ACH!$2:$2,0)+1),MATCH(H$2,mission_ACH!$2:$2,0)-MATCH($D$2,mission_ACH!$2:$2,0)+1,FALSE)</f>
        <v>1</v>
      </c>
    </row>
    <row r="38" spans="1:8" ht="21" customHeight="1" x14ac:dyDescent="0.15">
      <c r="A38" s="8">
        <v>3072</v>
      </c>
      <c r="B38" s="2" t="s">
        <v>639</v>
      </c>
      <c r="C38" s="31" t="str">
        <f ca="1">VLOOKUP($B38,OFFSET(mission_ACH_criteria!$A$1,0,0,COUNTA(mission_ACH_criteria!$A:$A),MATCH(C$2,mission_ACH_criteria!$1:$1,0)-MATCH($B$2,mission_ACH_criteria!$1:$1,0)+1),MATCH(C$2,mission_ACH_criteria!$1:$1,0)-MATCH($B$2,mission_ACH_criteria!$1:$1,0)+1,FALSE)</f>
        <v>通算 7 日ログインしよう！</v>
      </c>
      <c r="D38" s="27" t="s">
        <v>447</v>
      </c>
      <c r="E38" s="31" t="str">
        <f ca="1">VLOOKUP($D38,OFFSET(mission_ACH!$A$2,0,0,COUNTA(mission_ACH!$A:$A),MATCH(E$2,mission_ACH!$2:$2,0)-MATCH($D$2,mission_ACH!$2:$2,0)+1),MATCH(E$2,mission_ACH!$2:$2,0)-MATCH($D$2,mission_ACH!$2:$2,0)+1,FALSE)</f>
        <v>生命の果実 x 1</v>
      </c>
      <c r="F38" s="31" t="str">
        <f ca="1">VLOOKUP($D38,OFFSET(mission_ACH!$A$2,0,0,COUNTA(mission_ACH!$A:$A),MATCH(F$2,mission_ACH!$2:$2,0)-MATCH($D$2,mission_ACH!$2:$2,0)+1),MATCH(F$2,mission_ACH!$2:$2,0)-MATCH($D$2,mission_ACH!$2:$2,0)+1,FALSE)</f>
        <v>unit</v>
      </c>
      <c r="G38" s="31">
        <f ca="1">VLOOKUP($D38,OFFSET(mission_ACH!$A$2,0,0,COUNTA(mission_ACH!$A:$A),MATCH(G$2,mission_ACH!$2:$2,0)-MATCH($D$2,mission_ACH!$2:$2,0)+1),MATCH(G$2,mission_ACH!$2:$2,0)-MATCH($D$2,mission_ACH!$2:$2,0)+1,FALSE)</f>
        <v>122</v>
      </c>
      <c r="H38" s="31">
        <f ca="1">VLOOKUP($D38,OFFSET(mission_ACH!$A$2,0,0,COUNTA(mission_ACH!$A:$A),MATCH(H$2,mission_ACH!$2:$2,0)-MATCH($D$2,mission_ACH!$2:$2,0)+1),MATCH(H$2,mission_ACH!$2:$2,0)-MATCH($D$2,mission_ACH!$2:$2,0)+1,FALSE)</f>
        <v>1</v>
      </c>
    </row>
    <row r="39" spans="1:8" ht="21" customHeight="1" x14ac:dyDescent="0.15">
      <c r="A39" s="8">
        <v>3073</v>
      </c>
      <c r="B39" s="2" t="s">
        <v>640</v>
      </c>
      <c r="C39" s="31" t="str">
        <f ca="1">VLOOKUP($B39,OFFSET(mission_ACH_criteria!$A$1,0,0,COUNTA(mission_ACH_criteria!$A:$A),MATCH(C$2,mission_ACH_criteria!$1:$1,0)-MATCH($B$2,mission_ACH_criteria!$1:$1,0)+1),MATCH(C$2,mission_ACH_criteria!$1:$1,0)-MATCH($B$2,mission_ACH_criteria!$1:$1,0)+1,FALSE)</f>
        <v>通算 7 日ログインしよう！</v>
      </c>
      <c r="D39" s="27" t="s">
        <v>449</v>
      </c>
      <c r="E39" s="31" t="str">
        <f ca="1">VLOOKUP($D39,OFFSET(mission_ACH!$A$2,0,0,COUNTA(mission_ACH!$A:$A),MATCH(E$2,mission_ACH!$2:$2,0)-MATCH($D$2,mission_ACH!$2:$2,0)+1),MATCH(E$2,mission_ACH!$2:$2,0)-MATCH($D$2,mission_ACH!$2:$2,0)+1,FALSE)</f>
        <v>癒しの果実 x 1</v>
      </c>
      <c r="F39" s="31" t="str">
        <f ca="1">VLOOKUP($D39,OFFSET(mission_ACH!$A$2,0,0,COUNTA(mission_ACH!$A:$A),MATCH(F$2,mission_ACH!$2:$2,0)-MATCH($D$2,mission_ACH!$2:$2,0)+1),MATCH(F$2,mission_ACH!$2:$2,0)-MATCH($D$2,mission_ACH!$2:$2,0)+1,FALSE)</f>
        <v>unit</v>
      </c>
      <c r="G39" s="31">
        <f ca="1">VLOOKUP($D39,OFFSET(mission_ACH!$A$2,0,0,COUNTA(mission_ACH!$A:$A),MATCH(G$2,mission_ACH!$2:$2,0)-MATCH($D$2,mission_ACH!$2:$2,0)+1),MATCH(G$2,mission_ACH!$2:$2,0)-MATCH($D$2,mission_ACH!$2:$2,0)+1,FALSE)</f>
        <v>123</v>
      </c>
      <c r="H39" s="31">
        <f ca="1">VLOOKUP($D39,OFFSET(mission_ACH!$A$2,0,0,COUNTA(mission_ACH!$A:$A),MATCH(H$2,mission_ACH!$2:$2,0)-MATCH($D$2,mission_ACH!$2:$2,0)+1),MATCH(H$2,mission_ACH!$2:$2,0)-MATCH($D$2,mission_ACH!$2:$2,0)+1,FALSE)</f>
        <v>1</v>
      </c>
    </row>
    <row r="40" spans="1:8" ht="21" customHeight="1" x14ac:dyDescent="0.15">
      <c r="A40" s="8">
        <v>3074</v>
      </c>
      <c r="B40" s="2" t="s">
        <v>706</v>
      </c>
      <c r="C40" s="31" t="str">
        <f ca="1">VLOOKUP($B40,OFFSET(mission_ACH_criteria!$A$1,0,0,COUNTA(mission_ACH_criteria!$A:$A),MATCH(C$2,mission_ACH_criteria!$1:$1,0)-MATCH($B$2,mission_ACH_criteria!$1:$1,0)+1),MATCH(C$2,mission_ACH_criteria!$1:$1,0)-MATCH($B$2,mission_ACH_criteria!$1:$1,0)+1,FALSE)</f>
        <v>通算 7 日ログインしよう！</v>
      </c>
      <c r="D40" s="27" t="s">
        <v>730</v>
      </c>
      <c r="E40" s="31" t="str">
        <f ca="1">VLOOKUP($D40,OFFSET(mission_ACH!$A$2,0,0,COUNTA(mission_ACH!$A:$A),MATCH(E$2,mission_ACH!$2:$2,0)-MATCH($D$2,mission_ACH!$2:$2,0)+1),MATCH(E$2,mission_ACH!$2:$2,0)-MATCH($D$2,mission_ACH!$2:$2,0)+1,FALSE)</f>
        <v>癒しの果実 x 3</v>
      </c>
      <c r="F40" s="31" t="str">
        <f ca="1">VLOOKUP($D40,OFFSET(mission_ACH!$A$2,0,0,COUNTA(mission_ACH!$A:$A),MATCH(F$2,mission_ACH!$2:$2,0)-MATCH($D$2,mission_ACH!$2:$2,0)+1),MATCH(F$2,mission_ACH!$2:$2,0)-MATCH($D$2,mission_ACH!$2:$2,0)+1,FALSE)</f>
        <v>unit</v>
      </c>
      <c r="G40" s="31">
        <f ca="1">VLOOKUP($D40,OFFSET(mission_ACH!$A$2,0,0,COUNTA(mission_ACH!$A:$A),MATCH(G$2,mission_ACH!$2:$2,0)-MATCH($D$2,mission_ACH!$2:$2,0)+1),MATCH(G$2,mission_ACH!$2:$2,0)-MATCH($D$2,mission_ACH!$2:$2,0)+1,FALSE)</f>
        <v>123</v>
      </c>
      <c r="H40" s="31">
        <f ca="1">VLOOKUP($D40,OFFSET(mission_ACH!$A$2,0,0,COUNTA(mission_ACH!$A:$A),MATCH(H$2,mission_ACH!$2:$2,0)-MATCH($D$2,mission_ACH!$2:$2,0)+1),MATCH(H$2,mission_ACH!$2:$2,0)-MATCH($D$2,mission_ACH!$2:$2,0)+1,FALSE)</f>
        <v>3</v>
      </c>
    </row>
    <row r="41" spans="1:8" ht="21" customHeight="1" x14ac:dyDescent="0.15">
      <c r="A41" s="8">
        <v>3075</v>
      </c>
      <c r="B41" s="2" t="s">
        <v>707</v>
      </c>
      <c r="C41" s="31" t="str">
        <f ca="1">VLOOKUP($B41,OFFSET(mission_ACH_criteria!$A$1,0,0,COUNTA(mission_ACH_criteria!$A:$A),MATCH(C$2,mission_ACH_criteria!$1:$1,0)-MATCH($B$2,mission_ACH_criteria!$1:$1,0)+1),MATCH(C$2,mission_ACH_criteria!$1:$1,0)-MATCH($B$2,mission_ACH_criteria!$1:$1,0)+1,FALSE)</f>
        <v>通算 7 日ログインしよう！</v>
      </c>
      <c r="D41" s="27" t="s">
        <v>731</v>
      </c>
      <c r="E41" s="31" t="str">
        <f ca="1">VLOOKUP($D41,OFFSET(mission_ACH!$A$2,0,0,COUNTA(mission_ACH!$A:$A),MATCH(E$2,mission_ACH!$2:$2,0)-MATCH($D$2,mission_ACH!$2:$2,0)+1),MATCH(E$2,mission_ACH!$2:$2,0)-MATCH($D$2,mission_ACH!$2:$2,0)+1,FALSE)</f>
        <v>攻めの果実 x 3</v>
      </c>
      <c r="F41" s="31" t="str">
        <f ca="1">VLOOKUP($D41,OFFSET(mission_ACH!$A$2,0,0,COUNTA(mission_ACH!$A:$A),MATCH(F$2,mission_ACH!$2:$2,0)-MATCH($D$2,mission_ACH!$2:$2,0)+1),MATCH(F$2,mission_ACH!$2:$2,0)-MATCH($D$2,mission_ACH!$2:$2,0)+1,FALSE)</f>
        <v>unit</v>
      </c>
      <c r="G41" s="31">
        <f ca="1">VLOOKUP($D41,OFFSET(mission_ACH!$A$2,0,0,COUNTA(mission_ACH!$A:$A),MATCH(G$2,mission_ACH!$2:$2,0)-MATCH($D$2,mission_ACH!$2:$2,0)+1),MATCH(G$2,mission_ACH!$2:$2,0)-MATCH($D$2,mission_ACH!$2:$2,0)+1,FALSE)</f>
        <v>121</v>
      </c>
      <c r="H41" s="31">
        <f ca="1">VLOOKUP($D41,OFFSET(mission_ACH!$A$2,0,0,COUNTA(mission_ACH!$A:$A),MATCH(H$2,mission_ACH!$2:$2,0)-MATCH($D$2,mission_ACH!$2:$2,0)+1),MATCH(H$2,mission_ACH!$2:$2,0)-MATCH($D$2,mission_ACH!$2:$2,0)+1,FALSE)</f>
        <v>3</v>
      </c>
    </row>
    <row r="42" spans="1:8" ht="21" customHeight="1" x14ac:dyDescent="0.15">
      <c r="A42" s="8">
        <v>3076</v>
      </c>
      <c r="B42" s="2" t="s">
        <v>723</v>
      </c>
      <c r="C42" s="31" t="str">
        <f ca="1">VLOOKUP($B42,OFFSET(mission_ACH_criteria!$A$1,0,0,COUNTA(mission_ACH_criteria!$A:$A),MATCH(C$2,mission_ACH_criteria!$1:$1,0)-MATCH($B$2,mission_ACH_criteria!$1:$1,0)+1),MATCH(C$2,mission_ACH_criteria!$1:$1,0)-MATCH($B$2,mission_ACH_criteria!$1:$1,0)+1,FALSE)</f>
        <v>通算 7 日ログインしよう！</v>
      </c>
      <c r="D42" s="27" t="s">
        <v>732</v>
      </c>
      <c r="E42" s="31" t="str">
        <f ca="1">VLOOKUP($D42,OFFSET(mission_ACH!$A$2,0,0,COUNTA(mission_ACH!$A:$A),MATCH(E$2,mission_ACH!$2:$2,0)-MATCH($D$2,mission_ACH!$2:$2,0)+1),MATCH(E$2,mission_ACH!$2:$2,0)-MATCH($D$2,mission_ACH!$2:$2,0)+1,FALSE)</f>
        <v>生命の果実 x 3</v>
      </c>
      <c r="F42" s="31" t="str">
        <f ca="1">VLOOKUP($D42,OFFSET(mission_ACH!$A$2,0,0,COUNTA(mission_ACH!$A:$A),MATCH(F$2,mission_ACH!$2:$2,0)-MATCH($D$2,mission_ACH!$2:$2,0)+1),MATCH(F$2,mission_ACH!$2:$2,0)-MATCH($D$2,mission_ACH!$2:$2,0)+1,FALSE)</f>
        <v>unit</v>
      </c>
      <c r="G42" s="31">
        <f ca="1">VLOOKUP($D42,OFFSET(mission_ACH!$A$2,0,0,COUNTA(mission_ACH!$A:$A),MATCH(G$2,mission_ACH!$2:$2,0)-MATCH($D$2,mission_ACH!$2:$2,0)+1),MATCH(G$2,mission_ACH!$2:$2,0)-MATCH($D$2,mission_ACH!$2:$2,0)+1,FALSE)</f>
        <v>122</v>
      </c>
      <c r="H42" s="31">
        <f ca="1">VLOOKUP($D42,OFFSET(mission_ACH!$A$2,0,0,COUNTA(mission_ACH!$A:$A),MATCH(H$2,mission_ACH!$2:$2,0)-MATCH($D$2,mission_ACH!$2:$2,0)+1),MATCH(H$2,mission_ACH!$2:$2,0)-MATCH($D$2,mission_ACH!$2:$2,0)+1,FALSE)</f>
        <v>3</v>
      </c>
    </row>
    <row r="43" spans="1:8" ht="21" customHeight="1" x14ac:dyDescent="0.15">
      <c r="A43" s="8">
        <v>3077</v>
      </c>
      <c r="B43" s="2" t="s">
        <v>1464</v>
      </c>
      <c r="C43" s="31" t="str">
        <f ca="1">VLOOKUP($B43,OFFSET(mission_ACH_criteria!$A$1,0,0,COUNTA(mission_ACH_criteria!$A:$A),MATCH(C$2,mission_ACH_criteria!$1:$1,0)-MATCH($B$2,mission_ACH_criteria!$1:$1,0)+1),MATCH(C$2,mission_ACH_criteria!$1:$1,0)-MATCH($B$2,mission_ACH_criteria!$1:$1,0)+1,FALSE)</f>
        <v>通算 7 日ログインしよう！</v>
      </c>
      <c r="D43" s="27" t="s">
        <v>1519</v>
      </c>
      <c r="E43" s="31" t="str">
        <f ca="1">VLOOKUP($D43,OFFSET(mission_ACH!$A$2,0,0,COUNTA(mission_ACH!$A:$A),MATCH(E$2,mission_ACH!$2:$2,0)-MATCH($D$2,mission_ACH!$2:$2,0)+1),MATCH(E$2,mission_ACH!$2:$2,0)-MATCH($D$2,mission_ACH!$2:$2,0)+1,FALSE)</f>
        <v>ポリゴン x 4</v>
      </c>
      <c r="F43" s="31" t="str">
        <f ca="1">VLOOKUP($D43,OFFSET(mission_ACH!$A$2,0,0,COUNTA(mission_ACH!$A:$A),MATCH(F$2,mission_ACH!$2:$2,0)-MATCH($D$2,mission_ACH!$2:$2,0)+1),MATCH(F$2,mission_ACH!$2:$2,0)-MATCH($D$2,mission_ACH!$2:$2,0)+1,FALSE)</f>
        <v>polygon</v>
      </c>
      <c r="G43" s="31">
        <f ca="1">VLOOKUP($D43,OFFSET(mission_ACH!$A$2,0,0,COUNTA(mission_ACH!$A:$A),MATCH(G$2,mission_ACH!$2:$2,0)-MATCH($D$2,mission_ACH!$2:$2,0)+1),MATCH(G$2,mission_ACH!$2:$2,0)-MATCH($D$2,mission_ACH!$2:$2,0)+1,FALSE)</f>
        <v>4</v>
      </c>
      <c r="H43" s="31">
        <f ca="1">VLOOKUP($D43,OFFSET(mission_ACH!$A$2,0,0,COUNTA(mission_ACH!$A:$A),MATCH(H$2,mission_ACH!$2:$2,0)-MATCH($D$2,mission_ACH!$2:$2,0)+1),MATCH(H$2,mission_ACH!$2:$2,0)-MATCH($D$2,mission_ACH!$2:$2,0)+1,FALSE)</f>
        <v>0</v>
      </c>
    </row>
    <row r="44" spans="1:8" ht="21" customHeight="1" x14ac:dyDescent="0.15">
      <c r="A44" s="8">
        <v>9201</v>
      </c>
      <c r="B44" s="2" t="s">
        <v>665</v>
      </c>
      <c r="C44" s="31" t="str">
        <f ca="1">VLOOKUP($B44,OFFSET(mission_ACH_criteria!$A$1,0,0,COUNTA(mission_ACH_criteria!$A:$A),MATCH(C$2,mission_ACH_criteria!$1:$1,0)-MATCH($B$2,mission_ACH_criteria!$1:$1,0)+1),MATCH(C$2,mission_ACH_criteria!$1:$1,0)-MATCH($B$2,mission_ACH_criteria!$1:$1,0)+1,FALSE)</f>
        <v>ユニット 【ガイル】 を 3 体ゲットしよう！</v>
      </c>
      <c r="D44" s="27" t="s">
        <v>449</v>
      </c>
      <c r="E44" s="31" t="str">
        <f ca="1">VLOOKUP($D44,OFFSET(mission_ACH!$A$2,0,0,COUNTA(mission_ACH!$A:$A),MATCH(E$2,mission_ACH!$2:$2,0)-MATCH($D$2,mission_ACH!$2:$2,0)+1),MATCH(E$2,mission_ACH!$2:$2,0)-MATCH($D$2,mission_ACH!$2:$2,0)+1,FALSE)</f>
        <v>癒しの果実 x 1</v>
      </c>
      <c r="F44" s="31" t="str">
        <f ca="1">VLOOKUP($D44,OFFSET(mission_ACH!$A$2,0,0,COUNTA(mission_ACH!$A:$A),MATCH(F$2,mission_ACH!$2:$2,0)-MATCH($D$2,mission_ACH!$2:$2,0)+1),MATCH(F$2,mission_ACH!$2:$2,0)-MATCH($D$2,mission_ACH!$2:$2,0)+1,FALSE)</f>
        <v>unit</v>
      </c>
      <c r="G44" s="31">
        <f ca="1">VLOOKUP($D44,OFFSET(mission_ACH!$A$2,0,0,COUNTA(mission_ACH!$A:$A),MATCH(G$2,mission_ACH!$2:$2,0)-MATCH($D$2,mission_ACH!$2:$2,0)+1),MATCH(G$2,mission_ACH!$2:$2,0)-MATCH($D$2,mission_ACH!$2:$2,0)+1,FALSE)</f>
        <v>123</v>
      </c>
      <c r="H44" s="31">
        <f ca="1">VLOOKUP($D44,OFFSET(mission_ACH!$A$2,0,0,COUNTA(mission_ACH!$A:$A),MATCH(H$2,mission_ACH!$2:$2,0)-MATCH($D$2,mission_ACH!$2:$2,0)+1),MATCH(H$2,mission_ACH!$2:$2,0)-MATCH($D$2,mission_ACH!$2:$2,0)+1,FALSE)</f>
        <v>1</v>
      </c>
    </row>
    <row r="45" spans="1:8" ht="21" customHeight="1" x14ac:dyDescent="0.15">
      <c r="A45" s="8">
        <v>9202</v>
      </c>
      <c r="B45" s="2" t="s">
        <v>663</v>
      </c>
      <c r="C45" s="31" t="str">
        <f ca="1">VLOOKUP($B45,OFFSET(mission_ACH_criteria!$A$1,0,0,COUNTA(mission_ACH_criteria!$A:$A),MATCH(C$2,mission_ACH_criteria!$1:$1,0)-MATCH($B$2,mission_ACH_criteria!$1:$1,0)+1),MATCH(C$2,mission_ACH_criteria!$1:$1,0)-MATCH($B$2,mission_ACH_criteria!$1:$1,0)+1,FALSE)</f>
        <v>ユニット 【ゴクウ】 を 3 体ゲットしよう！</v>
      </c>
      <c r="D45" s="27" t="s">
        <v>445</v>
      </c>
      <c r="E45" s="31" t="str">
        <f ca="1">VLOOKUP($D45,OFFSET(mission_ACH!$A$2,0,0,COUNTA(mission_ACH!$A:$A),MATCH(E$2,mission_ACH!$2:$2,0)-MATCH($D$2,mission_ACH!$2:$2,0)+1),MATCH(E$2,mission_ACH!$2:$2,0)-MATCH($D$2,mission_ACH!$2:$2,0)+1,FALSE)</f>
        <v>攻めの果実 x 1</v>
      </c>
      <c r="F45" s="31" t="str">
        <f ca="1">VLOOKUP($D45,OFFSET(mission_ACH!$A$2,0,0,COUNTA(mission_ACH!$A:$A),MATCH(F$2,mission_ACH!$2:$2,0)-MATCH($D$2,mission_ACH!$2:$2,0)+1),MATCH(F$2,mission_ACH!$2:$2,0)-MATCH($D$2,mission_ACH!$2:$2,0)+1,FALSE)</f>
        <v>unit</v>
      </c>
      <c r="G45" s="31">
        <f ca="1">VLOOKUP($D45,OFFSET(mission_ACH!$A$2,0,0,COUNTA(mission_ACH!$A:$A),MATCH(G$2,mission_ACH!$2:$2,0)-MATCH($D$2,mission_ACH!$2:$2,0)+1),MATCH(G$2,mission_ACH!$2:$2,0)-MATCH($D$2,mission_ACH!$2:$2,0)+1,FALSE)</f>
        <v>121</v>
      </c>
      <c r="H45" s="31">
        <f ca="1">VLOOKUP($D45,OFFSET(mission_ACH!$A$2,0,0,COUNTA(mission_ACH!$A:$A),MATCH(H$2,mission_ACH!$2:$2,0)-MATCH($D$2,mission_ACH!$2:$2,0)+1),MATCH(H$2,mission_ACH!$2:$2,0)-MATCH($D$2,mission_ACH!$2:$2,0)+1,FALSE)</f>
        <v>1</v>
      </c>
    </row>
    <row r="46" spans="1:8" ht="21" customHeight="1" x14ac:dyDescent="0.15">
      <c r="A46" s="8">
        <v>9203</v>
      </c>
      <c r="B46" s="2" t="s">
        <v>664</v>
      </c>
      <c r="C46" s="31" t="str">
        <f ca="1">VLOOKUP($B46,OFFSET(mission_ACH_criteria!$A$1,0,0,COUNTA(mission_ACH_criteria!$A:$A),MATCH(C$2,mission_ACH_criteria!$1:$1,0)-MATCH($B$2,mission_ACH_criteria!$1:$1,0)+1),MATCH(C$2,mission_ACH_criteria!$1:$1,0)-MATCH($B$2,mission_ACH_criteria!$1:$1,0)+1,FALSE)</f>
        <v>ユニット 【F2】 を 3 体ゲットしよう！</v>
      </c>
      <c r="D46" s="27" t="s">
        <v>447</v>
      </c>
      <c r="E46" s="31" t="str">
        <f ca="1">VLOOKUP($D46,OFFSET(mission_ACH!$A$2,0,0,COUNTA(mission_ACH!$A:$A),MATCH(E$2,mission_ACH!$2:$2,0)-MATCH($D$2,mission_ACH!$2:$2,0)+1),MATCH(E$2,mission_ACH!$2:$2,0)-MATCH($D$2,mission_ACH!$2:$2,0)+1,FALSE)</f>
        <v>生命の果実 x 1</v>
      </c>
      <c r="F46" s="31" t="str">
        <f ca="1">VLOOKUP($D46,OFFSET(mission_ACH!$A$2,0,0,COUNTA(mission_ACH!$A:$A),MATCH(F$2,mission_ACH!$2:$2,0)-MATCH($D$2,mission_ACH!$2:$2,0)+1),MATCH(F$2,mission_ACH!$2:$2,0)-MATCH($D$2,mission_ACH!$2:$2,0)+1,FALSE)</f>
        <v>unit</v>
      </c>
      <c r="G46" s="31">
        <f ca="1">VLOOKUP($D46,OFFSET(mission_ACH!$A$2,0,0,COUNTA(mission_ACH!$A:$A),MATCH(G$2,mission_ACH!$2:$2,0)-MATCH($D$2,mission_ACH!$2:$2,0)+1),MATCH(G$2,mission_ACH!$2:$2,0)-MATCH($D$2,mission_ACH!$2:$2,0)+1,FALSE)</f>
        <v>122</v>
      </c>
      <c r="H46" s="31">
        <f ca="1">VLOOKUP($D46,OFFSET(mission_ACH!$A$2,0,0,COUNTA(mission_ACH!$A:$A),MATCH(H$2,mission_ACH!$2:$2,0)-MATCH($D$2,mission_ACH!$2:$2,0)+1),MATCH(H$2,mission_ACH!$2:$2,0)-MATCH($D$2,mission_ACH!$2:$2,0)+1,FALSE)</f>
        <v>1</v>
      </c>
    </row>
    <row r="47" spans="1:8" ht="21" customHeight="1" x14ac:dyDescent="0.15">
      <c r="A47" s="8">
        <v>9301</v>
      </c>
      <c r="B47" s="2" t="s">
        <v>667</v>
      </c>
      <c r="C47" s="31" t="str">
        <f ca="1">VLOOKUP($B47,OFFSET(mission_ACH_criteria!$A$1,0,0,COUNTA(mission_ACH_criteria!$A:$A),MATCH(C$2,mission_ACH_criteria!$1:$1,0)-MATCH($B$2,mission_ACH_criteria!$1:$1,0)+1),MATCH(C$2,mission_ACH_criteria!$1:$1,0)-MATCH($B$2,mission_ACH_criteria!$1:$1,0)+1,FALSE)</f>
        <v>ユニット 【ストール】 を 3 体ゲットしよう！</v>
      </c>
      <c r="D47" s="27" t="s">
        <v>447</v>
      </c>
      <c r="E47" s="31" t="str">
        <f ca="1">VLOOKUP($D47,OFFSET(mission_ACH!$A$2,0,0,COUNTA(mission_ACH!$A:$A),MATCH(E$2,mission_ACH!$2:$2,0)-MATCH($D$2,mission_ACH!$2:$2,0)+1),MATCH(E$2,mission_ACH!$2:$2,0)-MATCH($D$2,mission_ACH!$2:$2,0)+1,FALSE)</f>
        <v>生命の果実 x 1</v>
      </c>
      <c r="F47" s="31" t="str">
        <f ca="1">VLOOKUP($D47,OFFSET(mission_ACH!$A$2,0,0,COUNTA(mission_ACH!$A:$A),MATCH(F$2,mission_ACH!$2:$2,0)-MATCH($D$2,mission_ACH!$2:$2,0)+1),MATCH(F$2,mission_ACH!$2:$2,0)-MATCH($D$2,mission_ACH!$2:$2,0)+1,FALSE)</f>
        <v>unit</v>
      </c>
      <c r="G47" s="31">
        <f ca="1">VLOOKUP($D47,OFFSET(mission_ACH!$A$2,0,0,COUNTA(mission_ACH!$A:$A),MATCH(G$2,mission_ACH!$2:$2,0)-MATCH($D$2,mission_ACH!$2:$2,0)+1),MATCH(G$2,mission_ACH!$2:$2,0)-MATCH($D$2,mission_ACH!$2:$2,0)+1,FALSE)</f>
        <v>122</v>
      </c>
      <c r="H47" s="31">
        <f ca="1">VLOOKUP($D47,OFFSET(mission_ACH!$A$2,0,0,COUNTA(mission_ACH!$A:$A),MATCH(H$2,mission_ACH!$2:$2,0)-MATCH($D$2,mission_ACH!$2:$2,0)+1),MATCH(H$2,mission_ACH!$2:$2,0)-MATCH($D$2,mission_ACH!$2:$2,0)+1,FALSE)</f>
        <v>1</v>
      </c>
    </row>
    <row r="48" spans="1:8" ht="21" customHeight="1" x14ac:dyDescent="0.15">
      <c r="A48" s="8">
        <v>9302</v>
      </c>
      <c r="B48" s="2" t="s">
        <v>668</v>
      </c>
      <c r="C48" s="31" t="str">
        <f ca="1">VLOOKUP($B48,OFFSET(mission_ACH_criteria!$A$1,0,0,COUNTA(mission_ACH_criteria!$A:$A),MATCH(C$2,mission_ACH_criteria!$1:$1,0)-MATCH($B$2,mission_ACH_criteria!$1:$1,0)+1),MATCH(C$2,mission_ACH_criteria!$1:$1,0)-MATCH($B$2,mission_ACH_criteria!$1:$1,0)+1,FALSE)</f>
        <v>ユニット 【ダックス】 を 3 体ゲットしよう！</v>
      </c>
      <c r="D48" s="27" t="s">
        <v>449</v>
      </c>
      <c r="E48" s="31" t="str">
        <f ca="1">VLOOKUP($D48,OFFSET(mission_ACH!$A$2,0,0,COUNTA(mission_ACH!$A:$A),MATCH(E$2,mission_ACH!$2:$2,0)-MATCH($D$2,mission_ACH!$2:$2,0)+1),MATCH(E$2,mission_ACH!$2:$2,0)-MATCH($D$2,mission_ACH!$2:$2,0)+1,FALSE)</f>
        <v>癒しの果実 x 1</v>
      </c>
      <c r="F48" s="31" t="str">
        <f ca="1">VLOOKUP($D48,OFFSET(mission_ACH!$A$2,0,0,COUNTA(mission_ACH!$A:$A),MATCH(F$2,mission_ACH!$2:$2,0)-MATCH($D$2,mission_ACH!$2:$2,0)+1),MATCH(F$2,mission_ACH!$2:$2,0)-MATCH($D$2,mission_ACH!$2:$2,0)+1,FALSE)</f>
        <v>unit</v>
      </c>
      <c r="G48" s="31">
        <f ca="1">VLOOKUP($D48,OFFSET(mission_ACH!$A$2,0,0,COUNTA(mission_ACH!$A:$A),MATCH(G$2,mission_ACH!$2:$2,0)-MATCH($D$2,mission_ACH!$2:$2,0)+1),MATCH(G$2,mission_ACH!$2:$2,0)-MATCH($D$2,mission_ACH!$2:$2,0)+1,FALSE)</f>
        <v>123</v>
      </c>
      <c r="H48" s="31">
        <f ca="1">VLOOKUP($D48,OFFSET(mission_ACH!$A$2,0,0,COUNTA(mission_ACH!$A:$A),MATCH(H$2,mission_ACH!$2:$2,0)-MATCH($D$2,mission_ACH!$2:$2,0)+1),MATCH(H$2,mission_ACH!$2:$2,0)-MATCH($D$2,mission_ACH!$2:$2,0)+1,FALSE)</f>
        <v>1</v>
      </c>
    </row>
    <row r="49" spans="1:8" ht="21" customHeight="1" x14ac:dyDescent="0.15">
      <c r="A49" s="8">
        <v>9303</v>
      </c>
      <c r="B49" s="2" t="s">
        <v>666</v>
      </c>
      <c r="C49" s="31" t="str">
        <f ca="1">VLOOKUP($B49,OFFSET(mission_ACH_criteria!$A$1,0,0,COUNTA(mission_ACH_criteria!$A:$A),MATCH(C$2,mission_ACH_criteria!$1:$1,0)-MATCH($B$2,mission_ACH_criteria!$1:$1,0)+1),MATCH(C$2,mission_ACH_criteria!$1:$1,0)-MATCH($B$2,mission_ACH_criteria!$1:$1,0)+1,FALSE)</f>
        <v>ユニット 【ファイアフォックス】 を 3 体ゲットしよう！</v>
      </c>
      <c r="D49" s="27" t="s">
        <v>445</v>
      </c>
      <c r="E49" s="31" t="str">
        <f ca="1">VLOOKUP($D49,OFFSET(mission_ACH!$A$2,0,0,COUNTA(mission_ACH!$A:$A),MATCH(E$2,mission_ACH!$2:$2,0)-MATCH($D$2,mission_ACH!$2:$2,0)+1),MATCH(E$2,mission_ACH!$2:$2,0)-MATCH($D$2,mission_ACH!$2:$2,0)+1,FALSE)</f>
        <v>攻めの果実 x 1</v>
      </c>
      <c r="F49" s="31" t="str">
        <f ca="1">VLOOKUP($D49,OFFSET(mission_ACH!$A$2,0,0,COUNTA(mission_ACH!$A:$A),MATCH(F$2,mission_ACH!$2:$2,0)-MATCH($D$2,mission_ACH!$2:$2,0)+1),MATCH(F$2,mission_ACH!$2:$2,0)-MATCH($D$2,mission_ACH!$2:$2,0)+1,FALSE)</f>
        <v>unit</v>
      </c>
      <c r="G49" s="31">
        <f ca="1">VLOOKUP($D49,OFFSET(mission_ACH!$A$2,0,0,COUNTA(mission_ACH!$A:$A),MATCH(G$2,mission_ACH!$2:$2,0)-MATCH($D$2,mission_ACH!$2:$2,0)+1),MATCH(G$2,mission_ACH!$2:$2,0)-MATCH($D$2,mission_ACH!$2:$2,0)+1,FALSE)</f>
        <v>121</v>
      </c>
      <c r="H49" s="31">
        <f ca="1">VLOOKUP($D49,OFFSET(mission_ACH!$A$2,0,0,COUNTA(mission_ACH!$A:$A),MATCH(H$2,mission_ACH!$2:$2,0)-MATCH($D$2,mission_ACH!$2:$2,0)+1),MATCH(H$2,mission_ACH!$2:$2,0)-MATCH($D$2,mission_ACH!$2:$2,0)+1,FALSE)</f>
        <v>1</v>
      </c>
    </row>
    <row r="50" spans="1:8" ht="21" customHeight="1" x14ac:dyDescent="0.15">
      <c r="A50" s="8">
        <v>10000</v>
      </c>
      <c r="B50" s="2" t="s">
        <v>736</v>
      </c>
      <c r="C50" s="31" t="str">
        <f ca="1">VLOOKUP($B50,OFFSET(mission_ACH_criteria!$A$1,0,0,COUNTA(mission_ACH_criteria!$A:$A),MATCH(C$2,mission_ACH_criteria!$1:$1,0)-MATCH($B$2,mission_ACH_criteria!$1:$1,0)+1),MATCH(C$2,mission_ACH_criteria!$1:$1,0)-MATCH($B$2,mission_ACH_criteria!$1:$1,0)+1,FALSE)</f>
        <v>ゲリラクエスト：メタルダックを捕獲せよ！ 【上級】 をクリアしよう！</v>
      </c>
      <c r="D50" s="27" t="s">
        <v>737</v>
      </c>
      <c r="E50" s="31" t="str">
        <f ca="1">VLOOKUP($D50,OFFSET(mission_ACH!$A$2,0,0,COUNTA(mission_ACH!$A:$A),MATCH(E$2,mission_ACH!$2:$2,0)-MATCH($D$2,mission_ACH!$2:$2,0)+1),MATCH(E$2,mission_ACH!$2:$2,0)-MATCH($D$2,mission_ACH!$2:$2,0)+1,FALSE)</f>
        <v>ゴールドダック x 3</v>
      </c>
      <c r="F50" s="31" t="str">
        <f ca="1">VLOOKUP($D50,OFFSET(mission_ACH!$A$2,0,0,COUNTA(mission_ACH!$A:$A),MATCH(F$2,mission_ACH!$2:$2,0)-MATCH($D$2,mission_ACH!$2:$2,0)+1),MATCH(F$2,mission_ACH!$2:$2,0)-MATCH($D$2,mission_ACH!$2:$2,0)+1,FALSE)</f>
        <v>unit</v>
      </c>
      <c r="G50" s="31">
        <f ca="1">VLOOKUP($D50,OFFSET(mission_ACH!$A$2,0,0,COUNTA(mission_ACH!$A:$A),MATCH(G$2,mission_ACH!$2:$2,0)-MATCH($D$2,mission_ACH!$2:$2,0)+1),MATCH(G$2,mission_ACH!$2:$2,0)-MATCH($D$2,mission_ACH!$2:$2,0)+1,FALSE)</f>
        <v>119</v>
      </c>
      <c r="H50" s="31">
        <f ca="1">VLOOKUP($D50,OFFSET(mission_ACH!$A$2,0,0,COUNTA(mission_ACH!$A:$A),MATCH(H$2,mission_ACH!$2:$2,0)-MATCH($D$2,mission_ACH!$2:$2,0)+1),MATCH(H$2,mission_ACH!$2:$2,0)-MATCH($D$2,mission_ACH!$2:$2,0)+1,FALSE)</f>
        <v>3</v>
      </c>
    </row>
    <row r="51" spans="1:8" ht="21" customHeight="1" x14ac:dyDescent="0.15">
      <c r="A51" s="8">
        <v>10004</v>
      </c>
      <c r="B51" s="2" t="s">
        <v>724</v>
      </c>
      <c r="C51" s="31" t="str">
        <f ca="1">VLOOKUP($B51,OFFSET(mission_ACH_criteria!$A$1,0,0,COUNTA(mission_ACH_criteria!$A:$A),MATCH(C$2,mission_ACH_criteria!$1:$1,0)-MATCH($B$2,mission_ACH_criteria!$1:$1,0)+1),MATCH(C$2,mission_ACH_criteria!$1:$1,0)-MATCH($B$2,mission_ACH_criteria!$1:$1,0)+1,FALSE)</f>
        <v>土日限定クエスト：ゴールドカジノ【上級】 をクリアしよう！</v>
      </c>
      <c r="D51" s="27" t="s">
        <v>730</v>
      </c>
      <c r="E51" s="31" t="str">
        <f ca="1">VLOOKUP($D51,OFFSET(mission_ACH!$A$2,0,0,COUNTA(mission_ACH!$A:$A),MATCH(E$2,mission_ACH!$2:$2,0)-MATCH($D$2,mission_ACH!$2:$2,0)+1),MATCH(E$2,mission_ACH!$2:$2,0)-MATCH($D$2,mission_ACH!$2:$2,0)+1,FALSE)</f>
        <v>癒しの果実 x 3</v>
      </c>
      <c r="F51" s="31" t="str">
        <f ca="1">VLOOKUP($D51,OFFSET(mission_ACH!$A$2,0,0,COUNTA(mission_ACH!$A:$A),MATCH(F$2,mission_ACH!$2:$2,0)-MATCH($D$2,mission_ACH!$2:$2,0)+1),MATCH(F$2,mission_ACH!$2:$2,0)-MATCH($D$2,mission_ACH!$2:$2,0)+1,FALSE)</f>
        <v>unit</v>
      </c>
      <c r="G51" s="31">
        <f ca="1">VLOOKUP($D51,OFFSET(mission_ACH!$A$2,0,0,COUNTA(mission_ACH!$A:$A),MATCH(G$2,mission_ACH!$2:$2,0)-MATCH($D$2,mission_ACH!$2:$2,0)+1),MATCH(G$2,mission_ACH!$2:$2,0)-MATCH($D$2,mission_ACH!$2:$2,0)+1,FALSE)</f>
        <v>123</v>
      </c>
      <c r="H51" s="31">
        <f ca="1">VLOOKUP($D51,OFFSET(mission_ACH!$A$2,0,0,COUNTA(mission_ACH!$A:$A),MATCH(H$2,mission_ACH!$2:$2,0)-MATCH($D$2,mission_ACH!$2:$2,0)+1),MATCH(H$2,mission_ACH!$2:$2,0)-MATCH($D$2,mission_ACH!$2:$2,0)+1,FALSE)</f>
        <v>3</v>
      </c>
    </row>
    <row r="52" spans="1:8" ht="21" customHeight="1" x14ac:dyDescent="0.15">
      <c r="A52" s="8">
        <v>10005</v>
      </c>
      <c r="B52" s="2" t="s">
        <v>725</v>
      </c>
      <c r="C52" s="31" t="str">
        <f ca="1">VLOOKUP($B52,OFFSET(mission_ACH_criteria!$A$1,0,0,COUNTA(mission_ACH_criteria!$A:$A),MATCH(C$2,mission_ACH_criteria!$1:$1,0)-MATCH($B$2,mission_ACH_criteria!$1:$1,0)+1),MATCH(C$2,mission_ACH_criteria!$1:$1,0)-MATCH($B$2,mission_ACH_criteria!$1:$1,0)+1,FALSE)</f>
        <v>土日限定クエスト：ゴールドカジノ【上級】 をクリアしよう！</v>
      </c>
      <c r="D52" s="27" t="s">
        <v>727</v>
      </c>
      <c r="E52" s="31" t="str">
        <f ca="1">VLOOKUP($D52,OFFSET(mission_ACH!$A$2,0,0,COUNTA(mission_ACH!$A:$A),MATCH(E$2,mission_ACH!$2:$2,0)-MATCH($D$2,mission_ACH!$2:$2,0)+1),MATCH(E$2,mission_ACH!$2:$2,0)-MATCH($D$2,mission_ACH!$2:$2,0)+1,FALSE)</f>
        <v>攻めの果実 x 3</v>
      </c>
      <c r="F52" s="31" t="str">
        <f ca="1">VLOOKUP($D52,OFFSET(mission_ACH!$A$2,0,0,COUNTA(mission_ACH!$A:$A),MATCH(F$2,mission_ACH!$2:$2,0)-MATCH($D$2,mission_ACH!$2:$2,0)+1),MATCH(F$2,mission_ACH!$2:$2,0)-MATCH($D$2,mission_ACH!$2:$2,0)+1,FALSE)</f>
        <v>unit</v>
      </c>
      <c r="G52" s="31">
        <f ca="1">VLOOKUP($D52,OFFSET(mission_ACH!$A$2,0,0,COUNTA(mission_ACH!$A:$A),MATCH(G$2,mission_ACH!$2:$2,0)-MATCH($D$2,mission_ACH!$2:$2,0)+1),MATCH(G$2,mission_ACH!$2:$2,0)-MATCH($D$2,mission_ACH!$2:$2,0)+1,FALSE)</f>
        <v>121</v>
      </c>
      <c r="H52" s="31">
        <f ca="1">VLOOKUP($D52,OFFSET(mission_ACH!$A$2,0,0,COUNTA(mission_ACH!$A:$A),MATCH(H$2,mission_ACH!$2:$2,0)-MATCH($D$2,mission_ACH!$2:$2,0)+1),MATCH(H$2,mission_ACH!$2:$2,0)-MATCH($D$2,mission_ACH!$2:$2,0)+1,FALSE)</f>
        <v>3</v>
      </c>
    </row>
    <row r="53" spans="1:8" ht="21" customHeight="1" x14ac:dyDescent="0.15">
      <c r="A53" s="8">
        <v>10006</v>
      </c>
      <c r="B53" s="2" t="s">
        <v>726</v>
      </c>
      <c r="C53" s="31" t="str">
        <f ca="1">VLOOKUP($B53,OFFSET(mission_ACH_criteria!$A$1,0,0,COUNTA(mission_ACH_criteria!$A:$A),MATCH(C$2,mission_ACH_criteria!$1:$1,0)-MATCH($B$2,mission_ACH_criteria!$1:$1,0)+1),MATCH(C$2,mission_ACH_criteria!$1:$1,0)-MATCH($B$2,mission_ACH_criteria!$1:$1,0)+1,FALSE)</f>
        <v>土日限定クエスト：ゴールドカジノ【上級】 をクリアしよう！</v>
      </c>
      <c r="D53" s="27" t="s">
        <v>733</v>
      </c>
      <c r="E53" s="31" t="str">
        <f ca="1">VLOOKUP($D53,OFFSET(mission_ACH!$A$2,0,0,COUNTA(mission_ACH!$A:$A),MATCH(E$2,mission_ACH!$2:$2,0)-MATCH($D$2,mission_ACH!$2:$2,0)+1),MATCH(E$2,mission_ACH!$2:$2,0)-MATCH($D$2,mission_ACH!$2:$2,0)+1,FALSE)</f>
        <v>生命の果実 x 3</v>
      </c>
      <c r="F53" s="31" t="str">
        <f ca="1">VLOOKUP($D53,OFFSET(mission_ACH!$A$2,0,0,COUNTA(mission_ACH!$A:$A),MATCH(F$2,mission_ACH!$2:$2,0)-MATCH($D$2,mission_ACH!$2:$2,0)+1),MATCH(F$2,mission_ACH!$2:$2,0)-MATCH($D$2,mission_ACH!$2:$2,0)+1,FALSE)</f>
        <v>unit</v>
      </c>
      <c r="G53" s="31">
        <f ca="1">VLOOKUP($D53,OFFSET(mission_ACH!$A$2,0,0,COUNTA(mission_ACH!$A:$A),MATCH(G$2,mission_ACH!$2:$2,0)-MATCH($D$2,mission_ACH!$2:$2,0)+1),MATCH(G$2,mission_ACH!$2:$2,0)-MATCH($D$2,mission_ACH!$2:$2,0)+1,FALSE)</f>
        <v>122</v>
      </c>
      <c r="H53" s="31">
        <f ca="1">VLOOKUP($D53,OFFSET(mission_ACH!$A$2,0,0,COUNTA(mission_ACH!$A:$A),MATCH(H$2,mission_ACH!$2:$2,0)-MATCH($D$2,mission_ACH!$2:$2,0)+1),MATCH(H$2,mission_ACH!$2:$2,0)-MATCH($D$2,mission_ACH!$2:$2,0)+1,FALSE)</f>
        <v>3</v>
      </c>
    </row>
    <row r="54" spans="1:8" ht="21" customHeight="1" x14ac:dyDescent="0.15">
      <c r="A54" s="8">
        <v>40030</v>
      </c>
      <c r="B54" s="2" t="s">
        <v>1213</v>
      </c>
      <c r="C54" s="31" t="str">
        <f ca="1">VLOOKUP($B54,OFFSET(mission_ACH_criteria!$A$1,0,0,COUNTA(mission_ACH_criteria!$A:$A),MATCH(C$2,mission_ACH_criteria!$1:$1,0)-MATCH($B$2,mission_ACH_criteria!$1:$1,0)+1),MATCH(C$2,mission_ACH_criteria!$1:$1,0)-MATCH($B$2,mission_ACH_criteria!$1:$1,0)+1,FALSE)</f>
        <v>通算 3 日ログインしよう！</v>
      </c>
      <c r="D54" s="27" t="s">
        <v>1136</v>
      </c>
      <c r="E54" s="31" t="str">
        <f ca="1">VLOOKUP($D54,OFFSET(mission_ACH!$A$2,0,0,COUNTA(mission_ACH!$A:$A),MATCH(E$2,mission_ACH!$2:$2,0)-MATCH($D$2,mission_ACH!$2:$2,0)+1),MATCH(E$2,mission_ACH!$2:$2,0)-MATCH($D$2,mission_ACH!$2:$2,0)+1,FALSE)</f>
        <v>ビット x 30000</v>
      </c>
      <c r="F54" s="31" t="str">
        <f ca="1">VLOOKUP($D54,OFFSET(mission_ACH!$A$2,0,0,COUNTA(mission_ACH!$A:$A),MATCH(F$2,mission_ACH!$2:$2,0)-MATCH($D$2,mission_ACH!$2:$2,0)+1),MATCH(F$2,mission_ACH!$2:$2,0)-MATCH($D$2,mission_ACH!$2:$2,0)+1,FALSE)</f>
        <v>bit</v>
      </c>
      <c r="G54" s="31">
        <f ca="1">VLOOKUP($D54,OFFSET(mission_ACH!$A$2,0,0,COUNTA(mission_ACH!$A:$A),MATCH(G$2,mission_ACH!$2:$2,0)-MATCH($D$2,mission_ACH!$2:$2,0)+1),MATCH(G$2,mission_ACH!$2:$2,0)-MATCH($D$2,mission_ACH!$2:$2,0)+1,FALSE)</f>
        <v>30000</v>
      </c>
      <c r="H54" s="31">
        <f ca="1">VLOOKUP($D54,OFFSET(mission_ACH!$A$2,0,0,COUNTA(mission_ACH!$A:$A),MATCH(H$2,mission_ACH!$2:$2,0)-MATCH($D$2,mission_ACH!$2:$2,0)+1),MATCH(H$2,mission_ACH!$2:$2,0)-MATCH($D$2,mission_ACH!$2:$2,0)+1,FALSE)</f>
        <v>0</v>
      </c>
    </row>
    <row r="55" spans="1:8" ht="21" customHeight="1" x14ac:dyDescent="0.15">
      <c r="A55" s="8">
        <v>40050</v>
      </c>
      <c r="B55" s="2" t="s">
        <v>1214</v>
      </c>
      <c r="C55" s="31" t="str">
        <f ca="1">VLOOKUP($B55,OFFSET(mission_ACH_criteria!$A$1,0,0,COUNTA(mission_ACH_criteria!$A:$A),MATCH(C$2,mission_ACH_criteria!$1:$1,0)-MATCH($B$2,mission_ACH_criteria!$1:$1,0)+1),MATCH(C$2,mission_ACH_criteria!$1:$1,0)-MATCH($B$2,mission_ACH_criteria!$1:$1,0)+1,FALSE)</f>
        <v>通算 5 日ログインしよう！</v>
      </c>
      <c r="D55" s="27" t="s">
        <v>1165</v>
      </c>
      <c r="E55" s="31" t="str">
        <f ca="1">VLOOKUP($D55,OFFSET(mission_ACH!$A$2,0,0,COUNTA(mission_ACH!$A:$A),MATCH(E$2,mission_ACH!$2:$2,0)-MATCH($D$2,mission_ACH!$2:$2,0)+1),MATCH(E$2,mission_ACH!$2:$2,0)-MATCH($D$2,mission_ACH!$2:$2,0)+1,FALSE)</f>
        <v>リンク x 500</v>
      </c>
      <c r="F55" s="31" t="str">
        <f ca="1">VLOOKUP($D55,OFFSET(mission_ACH!$A$2,0,0,COUNTA(mission_ACH!$A:$A),MATCH(F$2,mission_ACH!$2:$2,0)-MATCH($D$2,mission_ACH!$2:$2,0)+1),MATCH(F$2,mission_ACH!$2:$2,0)-MATCH($D$2,mission_ACH!$2:$2,0)+1,FALSE)</f>
        <v>link</v>
      </c>
      <c r="G55" s="31">
        <f ca="1">VLOOKUP($D55,OFFSET(mission_ACH!$A$2,0,0,COUNTA(mission_ACH!$A:$A),MATCH(G$2,mission_ACH!$2:$2,0)-MATCH($D$2,mission_ACH!$2:$2,0)+1),MATCH(G$2,mission_ACH!$2:$2,0)-MATCH($D$2,mission_ACH!$2:$2,0)+1,FALSE)</f>
        <v>500</v>
      </c>
      <c r="H55" s="31">
        <f ca="1">VLOOKUP($D55,OFFSET(mission_ACH!$A$2,0,0,COUNTA(mission_ACH!$A:$A),MATCH(H$2,mission_ACH!$2:$2,0)-MATCH($D$2,mission_ACH!$2:$2,0)+1),MATCH(H$2,mission_ACH!$2:$2,0)-MATCH($D$2,mission_ACH!$2:$2,0)+1,FALSE)</f>
        <v>0</v>
      </c>
    </row>
    <row r="56" spans="1:8" ht="21" customHeight="1" x14ac:dyDescent="0.15">
      <c r="A56" s="8">
        <v>40070</v>
      </c>
      <c r="B56" s="2" t="s">
        <v>1215</v>
      </c>
      <c r="C56" s="31" t="str">
        <f ca="1">VLOOKUP($B56,OFFSET(mission_ACH_criteria!$A$1,0,0,COUNTA(mission_ACH_criteria!$A:$A),MATCH(C$2,mission_ACH_criteria!$1:$1,0)-MATCH($B$2,mission_ACH_criteria!$1:$1,0)+1),MATCH(C$2,mission_ACH_criteria!$1:$1,0)-MATCH($B$2,mission_ACH_criteria!$1:$1,0)+1,FALSE)</f>
        <v>通算 7 日ログインしよう！</v>
      </c>
      <c r="D56" s="27" t="s">
        <v>1166</v>
      </c>
      <c r="E56" s="31" t="str">
        <f ca="1">VLOOKUP($D56,OFFSET(mission_ACH!$A$2,0,0,COUNTA(mission_ACH!$A:$A),MATCH(E$2,mission_ACH!$2:$2,0)-MATCH($D$2,mission_ACH!$2:$2,0)+1),MATCH(E$2,mission_ACH!$2:$2,0)-MATCH($D$2,mission_ACH!$2:$2,0)+1,FALSE)</f>
        <v>ポリゴン x 1</v>
      </c>
      <c r="F56" s="31" t="str">
        <f ca="1">VLOOKUP($D56,OFFSET(mission_ACH!$A$2,0,0,COUNTA(mission_ACH!$A:$A),MATCH(F$2,mission_ACH!$2:$2,0)-MATCH($D$2,mission_ACH!$2:$2,0)+1),MATCH(F$2,mission_ACH!$2:$2,0)-MATCH($D$2,mission_ACH!$2:$2,0)+1,FALSE)</f>
        <v>polygon</v>
      </c>
      <c r="G56" s="31">
        <f ca="1">VLOOKUP($D56,OFFSET(mission_ACH!$A$2,0,0,COUNTA(mission_ACH!$A:$A),MATCH(G$2,mission_ACH!$2:$2,0)-MATCH($D$2,mission_ACH!$2:$2,0)+1),MATCH(G$2,mission_ACH!$2:$2,0)-MATCH($D$2,mission_ACH!$2:$2,0)+1,FALSE)</f>
        <v>1</v>
      </c>
      <c r="H56" s="31">
        <f ca="1">VLOOKUP($D56,OFFSET(mission_ACH!$A$2,0,0,COUNTA(mission_ACH!$A:$A),MATCH(H$2,mission_ACH!$2:$2,0)-MATCH($D$2,mission_ACH!$2:$2,0)+1),MATCH(H$2,mission_ACH!$2:$2,0)-MATCH($D$2,mission_ACH!$2:$2,0)+1,FALSE)</f>
        <v>0</v>
      </c>
    </row>
    <row r="57" spans="1:8" ht="21" customHeight="1" x14ac:dyDescent="0.15">
      <c r="A57" s="8">
        <v>41030</v>
      </c>
      <c r="B57" s="2" t="s">
        <v>1169</v>
      </c>
      <c r="C57" s="31" t="str">
        <f ca="1">VLOOKUP($B57,OFFSET(mission_ACH_criteria!$A$1,0,0,COUNTA(mission_ACH_criteria!$A:$A),MATCH(C$2,mission_ACH_criteria!$1:$1,0)-MATCH($B$2,mission_ACH_criteria!$1:$1,0)+1),MATCH(C$2,mission_ACH_criteria!$1:$1,0)-MATCH($B$2,mission_ACH_criteria!$1:$1,0)+1,FALSE)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3 回クリアしよう！</v>
      </c>
      <c r="D57" s="27" t="s">
        <v>1815</v>
      </c>
      <c r="E57" s="31" t="str">
        <f ca="1">VLOOKUP($D57,OFFSET(mission_ACH!$A$2,0,0,COUNTA(mission_ACH!$A:$A),MATCH(E$2,mission_ACH!$2:$2,0)-MATCH($D$2,mission_ACH!$2:$2,0)+1),MATCH(E$2,mission_ACH!$2:$2,0)-MATCH($D$2,mission_ACH!$2:$2,0)+1,FALSE)</f>
        <v>メガ攻めの果実 x 1</v>
      </c>
      <c r="F57" s="31" t="str">
        <f ca="1">VLOOKUP($D57,OFFSET(mission_ACH!$A$2,0,0,COUNTA(mission_ACH!$A:$A),MATCH(F$2,mission_ACH!$2:$2,0)-MATCH($D$2,mission_ACH!$2:$2,0)+1),MATCH(F$2,mission_ACH!$2:$2,0)-MATCH($D$2,mission_ACH!$2:$2,0)+1,FALSE)</f>
        <v>unit</v>
      </c>
      <c r="G57" s="31">
        <f ca="1">VLOOKUP($D57,OFFSET(mission_ACH!$A$2,0,0,COUNTA(mission_ACH!$A:$A),MATCH(G$2,mission_ACH!$2:$2,0)-MATCH($D$2,mission_ACH!$2:$2,0)+1),MATCH(G$2,mission_ACH!$2:$2,0)-MATCH($D$2,mission_ACH!$2:$2,0)+1,FALSE)</f>
        <v>607</v>
      </c>
      <c r="H57" s="31">
        <f ca="1">VLOOKUP($D57,OFFSET(mission_ACH!$A$2,0,0,COUNTA(mission_ACH!$A:$A),MATCH(H$2,mission_ACH!$2:$2,0)-MATCH($D$2,mission_ACH!$2:$2,0)+1),MATCH(H$2,mission_ACH!$2:$2,0)-MATCH($D$2,mission_ACH!$2:$2,0)+1,FALSE)</f>
        <v>1</v>
      </c>
    </row>
    <row r="58" spans="1:8" ht="21" customHeight="1" x14ac:dyDescent="0.15">
      <c r="A58" s="8">
        <v>41031</v>
      </c>
      <c r="B58" s="2" t="s">
        <v>1170</v>
      </c>
      <c r="C58" s="31" t="str">
        <f ca="1">VLOOKUP($B58,OFFSET(mission_ACH_criteria!$A$1,0,0,COUNTA(mission_ACH_criteria!$A:$A),MATCH(C$2,mission_ACH_criteria!$1:$1,0)-MATCH($B$2,mission_ACH_criteria!$1:$1,0)+1),MATCH(C$2,mission_ACH_criteria!$1:$1,0)-MATCH($B$2,mission_ACH_criteria!$1:$1,0)+1,FALSE)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3 回クリアしよう！</v>
      </c>
      <c r="D58" s="27" t="s">
        <v>1816</v>
      </c>
      <c r="E58" s="31" t="str">
        <f ca="1">VLOOKUP($D58,OFFSET(mission_ACH!$A$2,0,0,COUNTA(mission_ACH!$A:$A),MATCH(E$2,mission_ACH!$2:$2,0)-MATCH($D$2,mission_ACH!$2:$2,0)+1),MATCH(E$2,mission_ACH!$2:$2,0)-MATCH($D$2,mission_ACH!$2:$2,0)+1,FALSE)</f>
        <v>メガ生命の果実 x 1</v>
      </c>
      <c r="F58" s="31" t="str">
        <f ca="1">VLOOKUP($D58,OFFSET(mission_ACH!$A$2,0,0,COUNTA(mission_ACH!$A:$A),MATCH(F$2,mission_ACH!$2:$2,0)-MATCH($D$2,mission_ACH!$2:$2,0)+1),MATCH(F$2,mission_ACH!$2:$2,0)-MATCH($D$2,mission_ACH!$2:$2,0)+1,FALSE)</f>
        <v>unit</v>
      </c>
      <c r="G58" s="31">
        <f ca="1">VLOOKUP($D58,OFFSET(mission_ACH!$A$2,0,0,COUNTA(mission_ACH!$A:$A),MATCH(G$2,mission_ACH!$2:$2,0)-MATCH($D$2,mission_ACH!$2:$2,0)+1),MATCH(G$2,mission_ACH!$2:$2,0)-MATCH($D$2,mission_ACH!$2:$2,0)+1,FALSE)</f>
        <v>608</v>
      </c>
      <c r="H58" s="31">
        <f ca="1">VLOOKUP($D58,OFFSET(mission_ACH!$A$2,0,0,COUNTA(mission_ACH!$A:$A),MATCH(H$2,mission_ACH!$2:$2,0)-MATCH($D$2,mission_ACH!$2:$2,0)+1),MATCH(H$2,mission_ACH!$2:$2,0)-MATCH($D$2,mission_ACH!$2:$2,0)+1,FALSE)</f>
        <v>1</v>
      </c>
    </row>
    <row r="59" spans="1:8" ht="21" customHeight="1" x14ac:dyDescent="0.15">
      <c r="A59" s="8">
        <v>41032</v>
      </c>
      <c r="B59" s="2" t="s">
        <v>1171</v>
      </c>
      <c r="C59" s="31" t="str">
        <f ca="1">VLOOKUP($B59,OFFSET(mission_ACH_criteria!$A$1,0,0,COUNTA(mission_ACH_criteria!$A:$A),MATCH(C$2,mission_ACH_criteria!$1:$1,0)-MATCH($B$2,mission_ACH_criteria!$1:$1,0)+1),MATCH(C$2,mission_ACH_criteria!$1:$1,0)-MATCH($B$2,mission_ACH_criteria!$1:$1,0)+1,FALSE)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3 回クリアしよう！</v>
      </c>
      <c r="D59" s="27" t="s">
        <v>1144</v>
      </c>
      <c r="E59" s="31" t="str">
        <f ca="1">VLOOKUP($D59,OFFSET(mission_ACH!$A$2,0,0,COUNTA(mission_ACH!$A:$A),MATCH(E$2,mission_ACH!$2:$2,0)-MATCH($D$2,mission_ACH!$2:$2,0)+1),MATCH(E$2,mission_ACH!$2:$2,0)-MATCH($D$2,mission_ACH!$2:$2,0)+1,FALSE)</f>
        <v>メガ癒しの果実 x 1</v>
      </c>
      <c r="F59" s="31" t="str">
        <f ca="1">VLOOKUP($D59,OFFSET(mission_ACH!$A$2,0,0,COUNTA(mission_ACH!$A:$A),MATCH(F$2,mission_ACH!$2:$2,0)-MATCH($D$2,mission_ACH!$2:$2,0)+1),MATCH(F$2,mission_ACH!$2:$2,0)-MATCH($D$2,mission_ACH!$2:$2,0)+1,FALSE)</f>
        <v>unit</v>
      </c>
      <c r="G59" s="31">
        <f ca="1">VLOOKUP($D59,OFFSET(mission_ACH!$A$2,0,0,COUNTA(mission_ACH!$A:$A),MATCH(G$2,mission_ACH!$2:$2,0)-MATCH($D$2,mission_ACH!$2:$2,0)+1),MATCH(G$2,mission_ACH!$2:$2,0)-MATCH($D$2,mission_ACH!$2:$2,0)+1,FALSE)</f>
        <v>609</v>
      </c>
      <c r="H59" s="31">
        <f ca="1">VLOOKUP($D59,OFFSET(mission_ACH!$A$2,0,0,COUNTA(mission_ACH!$A:$A),MATCH(H$2,mission_ACH!$2:$2,0)-MATCH($D$2,mission_ACH!$2:$2,0)+1),MATCH(H$2,mission_ACH!$2:$2,0)-MATCH($D$2,mission_ACH!$2:$2,0)+1,FALSE)</f>
        <v>1</v>
      </c>
    </row>
    <row r="60" spans="1:8" ht="21" customHeight="1" x14ac:dyDescent="0.15">
      <c r="A60" s="8">
        <v>41033</v>
      </c>
      <c r="B60" s="2" t="s">
        <v>1489</v>
      </c>
      <c r="C60" s="31" t="str">
        <f ca="1">VLOOKUP($B60,OFFSET(mission_ACH_criteria!$A$1,0,0,COUNTA(mission_ACH_criteria!$A:$A),MATCH(C$2,mission_ACH_criteria!$1:$1,0)-MATCH($B$2,mission_ACH_criteria!$1:$1,0)+1),MATCH(C$2,mission_ACH_criteria!$1:$1,0)-MATCH($B$2,mission_ACH_criteria!$1:$1,0)+1,FALSE)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3 回クリアしよう！</v>
      </c>
      <c r="D60" s="27" t="s">
        <v>1535</v>
      </c>
      <c r="E60" s="31" t="str">
        <f ca="1">VLOOKUP($D60,OFFSET(mission_ACH!$A$2,0,0,COUNTA(mission_ACH!$A:$A),MATCH(E$2,mission_ACH!$2:$2,0)-MATCH($D$2,mission_ACH!$2:$2,0)+1),MATCH(E$2,mission_ACH!$2:$2,0)-MATCH($D$2,mission_ACH!$2:$2,0)+1,FALSE)</f>
        <v>雷のメタルジェントル x 1</v>
      </c>
      <c r="F60" s="31" t="str">
        <f ca="1">VLOOKUP($D60,OFFSET(mission_ACH!$A$2,0,0,COUNTA(mission_ACH!$A:$A),MATCH(F$2,mission_ACH!$2:$2,0)-MATCH($D$2,mission_ACH!$2:$2,0)+1),MATCH(F$2,mission_ACH!$2:$2,0)-MATCH($D$2,mission_ACH!$2:$2,0)+1,FALSE)</f>
        <v>unit</v>
      </c>
      <c r="G60" s="31">
        <f ca="1">VLOOKUP($D60,OFFSET(mission_ACH!$A$2,0,0,COUNTA(mission_ACH!$A:$A),MATCH(G$2,mission_ACH!$2:$2,0)-MATCH($D$2,mission_ACH!$2:$2,0)+1),MATCH(G$2,mission_ACH!$2:$2,0)-MATCH($D$2,mission_ACH!$2:$2,0)+1,FALSE)</f>
        <v>347</v>
      </c>
      <c r="H60" s="31">
        <f ca="1">VLOOKUP($D60,OFFSET(mission_ACH!$A$2,0,0,COUNTA(mission_ACH!$A:$A),MATCH(H$2,mission_ACH!$2:$2,0)-MATCH($D$2,mission_ACH!$2:$2,0)+1),MATCH(H$2,mission_ACH!$2:$2,0)-MATCH($D$2,mission_ACH!$2:$2,0)+1,FALSE)</f>
        <v>1</v>
      </c>
    </row>
    <row r="61" spans="1:8" ht="21" customHeight="1" x14ac:dyDescent="0.15">
      <c r="A61" s="8">
        <v>41050</v>
      </c>
      <c r="B61" s="2" t="s">
        <v>1172</v>
      </c>
      <c r="C61" s="31" t="str">
        <f ca="1">VLOOKUP($B61,OFFSET(mission_ACH_criteria!$A$1,0,0,COUNTA(mission_ACH_criteria!$A:$A),MATCH(C$2,mission_ACH_criteria!$1:$1,0)-MATCH($B$2,mission_ACH_criteria!$1:$1,0)+1),MATCH(C$2,mission_ACH_criteria!$1:$1,0)-MATCH($B$2,mission_ACH_criteria!$1:$1,0)+1,FALSE)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5 回クリアしよう！</v>
      </c>
      <c r="D61" s="27" t="s">
        <v>456</v>
      </c>
      <c r="E61" s="31" t="str">
        <f ca="1">VLOOKUP($D61,OFFSET(mission_ACH!$A$2,0,0,COUNTA(mission_ACH!$A:$A),MATCH(E$2,mission_ACH!$2:$2,0)-MATCH($D$2,mission_ACH!$2:$2,0)+1),MATCH(E$2,mission_ACH!$2:$2,0)-MATCH($D$2,mission_ACH!$2:$2,0)+1,FALSE)</f>
        <v>炎のメタルダック x 1</v>
      </c>
      <c r="F61" s="31" t="str">
        <f ca="1">VLOOKUP($D61,OFFSET(mission_ACH!$A$2,0,0,COUNTA(mission_ACH!$A:$A),MATCH(F$2,mission_ACH!$2:$2,0)-MATCH($D$2,mission_ACH!$2:$2,0)+1),MATCH(F$2,mission_ACH!$2:$2,0)-MATCH($D$2,mission_ACH!$2:$2,0)+1,FALSE)</f>
        <v>unit</v>
      </c>
      <c r="G61" s="31">
        <f ca="1">VLOOKUP($D61,OFFSET(mission_ACH!$A$2,0,0,COUNTA(mission_ACH!$A:$A),MATCH(G$2,mission_ACH!$2:$2,0)-MATCH($D$2,mission_ACH!$2:$2,0)+1),MATCH(G$2,mission_ACH!$2:$2,0)-MATCH($D$2,mission_ACH!$2:$2,0)+1,FALSE)</f>
        <v>334</v>
      </c>
      <c r="H61" s="31">
        <f ca="1">VLOOKUP($D61,OFFSET(mission_ACH!$A$2,0,0,COUNTA(mission_ACH!$A:$A),MATCH(H$2,mission_ACH!$2:$2,0)-MATCH($D$2,mission_ACH!$2:$2,0)+1),MATCH(H$2,mission_ACH!$2:$2,0)-MATCH($D$2,mission_ACH!$2:$2,0)+1,FALSE)</f>
        <v>1</v>
      </c>
    </row>
    <row r="62" spans="1:8" ht="21" customHeight="1" x14ac:dyDescent="0.15">
      <c r="A62" s="8">
        <v>41051</v>
      </c>
      <c r="B62" s="2" t="s">
        <v>1167</v>
      </c>
      <c r="C62" s="31" t="str">
        <f ca="1">VLOOKUP($B62,OFFSET(mission_ACH_criteria!$A$1,0,0,COUNTA(mission_ACH_criteria!$A:$A),MATCH(C$2,mission_ACH_criteria!$1:$1,0)-MATCH($B$2,mission_ACH_criteria!$1:$1,0)+1),MATCH(C$2,mission_ACH_criteria!$1:$1,0)-MATCH($B$2,mission_ACH_criteria!$1:$1,0)+1,FALSE)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5 回クリアしよう！</v>
      </c>
      <c r="D62" s="27" t="s">
        <v>1217</v>
      </c>
      <c r="E62" s="31" t="str">
        <f ca="1">VLOOKUP($D62,OFFSET(mission_ACH!$A$2,0,0,COUNTA(mission_ACH!$A:$A),MATCH(E$2,mission_ACH!$2:$2,0)-MATCH($D$2,mission_ACH!$2:$2,0)+1),MATCH(E$2,mission_ACH!$2:$2,0)-MATCH($D$2,mission_ACH!$2:$2,0)+1,FALSE)</f>
        <v>森のメタルダック x 1</v>
      </c>
      <c r="F62" s="31" t="str">
        <f ca="1">VLOOKUP($D62,OFFSET(mission_ACH!$A$2,0,0,COUNTA(mission_ACH!$A:$A),MATCH(F$2,mission_ACH!$2:$2,0)-MATCH($D$2,mission_ACH!$2:$2,0)+1),MATCH(F$2,mission_ACH!$2:$2,0)-MATCH($D$2,mission_ACH!$2:$2,0)+1,FALSE)</f>
        <v>unit</v>
      </c>
      <c r="G62" s="31">
        <f ca="1">VLOOKUP($D62,OFFSET(mission_ACH!$A$2,0,0,COUNTA(mission_ACH!$A:$A),MATCH(G$2,mission_ACH!$2:$2,0)-MATCH($D$2,mission_ACH!$2:$2,0)+1),MATCH(G$2,mission_ACH!$2:$2,0)-MATCH($D$2,mission_ACH!$2:$2,0)+1,FALSE)</f>
        <v>338</v>
      </c>
      <c r="H62" s="31">
        <f ca="1">VLOOKUP($D62,OFFSET(mission_ACH!$A$2,0,0,COUNTA(mission_ACH!$A:$A),MATCH(H$2,mission_ACH!$2:$2,0)-MATCH($D$2,mission_ACH!$2:$2,0)+1),MATCH(H$2,mission_ACH!$2:$2,0)-MATCH($D$2,mission_ACH!$2:$2,0)+1,FALSE)</f>
        <v>1</v>
      </c>
    </row>
    <row r="63" spans="1:8" ht="21" customHeight="1" x14ac:dyDescent="0.15">
      <c r="A63" s="8">
        <v>41052</v>
      </c>
      <c r="B63" s="2" t="s">
        <v>1168</v>
      </c>
      <c r="C63" s="31" t="str">
        <f ca="1">VLOOKUP($B63,OFFSET(mission_ACH_criteria!$A$1,0,0,COUNTA(mission_ACH_criteria!$A:$A),MATCH(C$2,mission_ACH_criteria!$1:$1,0)-MATCH($B$2,mission_ACH_criteria!$1:$1,0)+1),MATCH(C$2,mission_ACH_criteria!$1:$1,0)-MATCH($B$2,mission_ACH_criteria!$1:$1,0)+1,FALSE)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5 回クリアしよう！</v>
      </c>
      <c r="D63" s="27" t="s">
        <v>1218</v>
      </c>
      <c r="E63" s="31" t="str">
        <f ca="1">VLOOKUP($D63,OFFSET(mission_ACH!$A$2,0,0,COUNTA(mission_ACH!$A:$A),MATCH(E$2,mission_ACH!$2:$2,0)-MATCH($D$2,mission_ACH!$2:$2,0)+1),MATCH(E$2,mission_ACH!$2:$2,0)-MATCH($D$2,mission_ACH!$2:$2,0)+1,FALSE)</f>
        <v>水のメタルダック x 1</v>
      </c>
      <c r="F63" s="31" t="str">
        <f ca="1">VLOOKUP($D63,OFFSET(mission_ACH!$A$2,0,0,COUNTA(mission_ACH!$A:$A),MATCH(F$2,mission_ACH!$2:$2,0)-MATCH($D$2,mission_ACH!$2:$2,0)+1),MATCH(F$2,mission_ACH!$2:$2,0)-MATCH($D$2,mission_ACH!$2:$2,0)+1,FALSE)</f>
        <v>unit</v>
      </c>
      <c r="G63" s="31">
        <f ca="1">VLOOKUP($D63,OFFSET(mission_ACH!$A$2,0,0,COUNTA(mission_ACH!$A:$A),MATCH(G$2,mission_ACH!$2:$2,0)-MATCH($D$2,mission_ACH!$2:$2,0)+1),MATCH(G$2,mission_ACH!$2:$2,0)-MATCH($D$2,mission_ACH!$2:$2,0)+1,FALSE)</f>
        <v>342</v>
      </c>
      <c r="H63" s="31">
        <f ca="1">VLOOKUP($D63,OFFSET(mission_ACH!$A$2,0,0,COUNTA(mission_ACH!$A:$A),MATCH(H$2,mission_ACH!$2:$2,0)-MATCH($D$2,mission_ACH!$2:$2,0)+1),MATCH(H$2,mission_ACH!$2:$2,0)-MATCH($D$2,mission_ACH!$2:$2,0)+1,FALSE)</f>
        <v>1</v>
      </c>
    </row>
    <row r="64" spans="1:8" ht="21" customHeight="1" x14ac:dyDescent="0.15">
      <c r="A64" s="8">
        <v>41053</v>
      </c>
      <c r="B64" s="2" t="s">
        <v>1173</v>
      </c>
      <c r="C64" s="31" t="str">
        <f ca="1">VLOOKUP($B64,OFFSET(mission_ACH_criteria!$A$1,0,0,COUNTA(mission_ACH_criteria!$A:$A),MATCH(C$2,mission_ACH_criteria!$1:$1,0)-MATCH($B$2,mission_ACH_criteria!$1:$1,0)+1),MATCH(C$2,mission_ACH_criteria!$1:$1,0)-MATCH($B$2,mission_ACH_criteria!$1:$1,0)+1,FALSE)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5 回クリアしよう！</v>
      </c>
      <c r="D64" s="27" t="s">
        <v>1219</v>
      </c>
      <c r="E64" s="31" t="str">
        <f ca="1">VLOOKUP($D64,OFFSET(mission_ACH!$A$2,0,0,COUNTA(mission_ACH!$A:$A),MATCH(E$2,mission_ACH!$2:$2,0)-MATCH($D$2,mission_ACH!$2:$2,0)+1),MATCH(E$2,mission_ACH!$2:$2,0)-MATCH($D$2,mission_ACH!$2:$2,0)+1,FALSE)</f>
        <v>雷のメタルダック x 1</v>
      </c>
      <c r="F64" s="31" t="str">
        <f ca="1">VLOOKUP($D64,OFFSET(mission_ACH!$A$2,0,0,COUNTA(mission_ACH!$A:$A),MATCH(F$2,mission_ACH!$2:$2,0)-MATCH($D$2,mission_ACH!$2:$2,0)+1),MATCH(F$2,mission_ACH!$2:$2,0)-MATCH($D$2,mission_ACH!$2:$2,0)+1,FALSE)</f>
        <v>unit</v>
      </c>
      <c r="G64" s="31">
        <f ca="1">VLOOKUP($D64,OFFSET(mission_ACH!$A$2,0,0,COUNTA(mission_ACH!$A:$A),MATCH(G$2,mission_ACH!$2:$2,0)-MATCH($D$2,mission_ACH!$2:$2,0)+1),MATCH(G$2,mission_ACH!$2:$2,0)-MATCH($D$2,mission_ACH!$2:$2,0)+1,FALSE)</f>
        <v>346</v>
      </c>
      <c r="H64" s="31">
        <f ca="1">VLOOKUP($D64,OFFSET(mission_ACH!$A$2,0,0,COUNTA(mission_ACH!$A:$A),MATCH(H$2,mission_ACH!$2:$2,0)-MATCH($D$2,mission_ACH!$2:$2,0)+1),MATCH(H$2,mission_ACH!$2:$2,0)-MATCH($D$2,mission_ACH!$2:$2,0)+1,FALSE)</f>
        <v>1</v>
      </c>
    </row>
    <row r="65" spans="1:8" ht="21" customHeight="1" x14ac:dyDescent="0.15">
      <c r="A65" s="8">
        <v>41054</v>
      </c>
      <c r="B65" s="2" t="s">
        <v>1490</v>
      </c>
      <c r="C65" s="31" t="str">
        <f ca="1">VLOOKUP($B65,OFFSET(mission_ACH_criteria!$A$1,0,0,COUNTA(mission_ACH_criteria!$A:$A),MATCH(C$2,mission_ACH_criteria!$1:$1,0)-MATCH($B$2,mission_ACH_criteria!$1:$1,0)+1),MATCH(C$2,mission_ACH_criteria!$1:$1,0)-MATCH($B$2,mission_ACH_criteria!$1:$1,0)+1,FALSE)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5 回クリアしよう！</v>
      </c>
      <c r="D65" s="27" t="s">
        <v>1537</v>
      </c>
      <c r="E65" s="31" t="str">
        <f ca="1">VLOOKUP($D65,OFFSET(mission_ACH!$A$2,0,0,COUNTA(mission_ACH!$A:$A),MATCH(E$2,mission_ACH!$2:$2,0)-MATCH($D$2,mission_ACH!$2:$2,0)+1),MATCH(E$2,mission_ACH!$2:$2,0)-MATCH($D$2,mission_ACH!$2:$2,0)+1,FALSE)</f>
        <v>森のメタルジェントル x 1</v>
      </c>
      <c r="F65" s="31" t="str">
        <f ca="1">VLOOKUP($D65,OFFSET(mission_ACH!$A$2,0,0,COUNTA(mission_ACH!$A:$A),MATCH(F$2,mission_ACH!$2:$2,0)-MATCH($D$2,mission_ACH!$2:$2,0)+1),MATCH(F$2,mission_ACH!$2:$2,0)-MATCH($D$2,mission_ACH!$2:$2,0)+1,FALSE)</f>
        <v>unit</v>
      </c>
      <c r="G65" s="31">
        <f ca="1">VLOOKUP($D65,OFFSET(mission_ACH!$A$2,0,0,COUNTA(mission_ACH!$A:$A),MATCH(G$2,mission_ACH!$2:$2,0)-MATCH($D$2,mission_ACH!$2:$2,0)+1),MATCH(G$2,mission_ACH!$2:$2,0)-MATCH($D$2,mission_ACH!$2:$2,0)+1,FALSE)</f>
        <v>339</v>
      </c>
      <c r="H65" s="31">
        <f ca="1">VLOOKUP($D65,OFFSET(mission_ACH!$A$2,0,0,COUNTA(mission_ACH!$A:$A),MATCH(H$2,mission_ACH!$2:$2,0)-MATCH($D$2,mission_ACH!$2:$2,0)+1),MATCH(H$2,mission_ACH!$2:$2,0)-MATCH($D$2,mission_ACH!$2:$2,0)+1,FALSE)</f>
        <v>1</v>
      </c>
    </row>
    <row r="66" spans="1:8" ht="21" customHeight="1" x14ac:dyDescent="0.15">
      <c r="A66" s="115">
        <v>41070</v>
      </c>
      <c r="B66" s="2" t="s">
        <v>1830</v>
      </c>
      <c r="C66" s="31" t="str">
        <f ca="1">VLOOKUP($B66,OFFSET(mission_ACH_criteria!$A$1,0,0,COUNTA(mission_ACH_criteria!$A:$A),MATCH(C$2,mission_ACH_criteria!$1:$1,0)-MATCH($B$2,mission_ACH_criteria!$1:$1,0)+1),MATCH(C$2,mission_ACH_criteria!$1:$1,0)-MATCH($B$2,mission_ACH_criteria!$1:$1,0)+1,FALSE)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7 回クリアしよう！</v>
      </c>
      <c r="D66" s="27" t="s">
        <v>1828</v>
      </c>
      <c r="E66" s="31" t="str">
        <f ca="1">VLOOKUP($D66,OFFSET(mission_ACH!$A$2,0,0,COUNTA(mission_ACH!$A:$A),MATCH(E$2,mission_ACH!$2:$2,0)-MATCH($D$2,mission_ACH!$2:$2,0)+1),MATCH(E$2,mission_ACH!$2:$2,0)-MATCH($D$2,mission_ACH!$2:$2,0)+1,FALSE)</f>
        <v>炎のメタルジェントル x 1</v>
      </c>
      <c r="F66" s="31" t="str">
        <f ca="1">VLOOKUP($D66,OFFSET(mission_ACH!$A$2,0,0,COUNTA(mission_ACH!$A:$A),MATCH(F$2,mission_ACH!$2:$2,0)-MATCH($D$2,mission_ACH!$2:$2,0)+1),MATCH(F$2,mission_ACH!$2:$2,0)-MATCH($D$2,mission_ACH!$2:$2,0)+1,FALSE)</f>
        <v>unit</v>
      </c>
      <c r="G66" s="31">
        <f ca="1">VLOOKUP($D66,OFFSET(mission_ACH!$A$2,0,0,COUNTA(mission_ACH!$A:$A),MATCH(G$2,mission_ACH!$2:$2,0)-MATCH($D$2,mission_ACH!$2:$2,0)+1),MATCH(G$2,mission_ACH!$2:$2,0)-MATCH($D$2,mission_ACH!$2:$2,0)+1,FALSE)</f>
        <v>335</v>
      </c>
      <c r="H66" s="31">
        <f ca="1">VLOOKUP($D66,OFFSET(mission_ACH!$A$2,0,0,COUNTA(mission_ACH!$A:$A),MATCH(H$2,mission_ACH!$2:$2,0)-MATCH($D$2,mission_ACH!$2:$2,0)+1),MATCH(H$2,mission_ACH!$2:$2,0)-MATCH($D$2,mission_ACH!$2:$2,0)+1,FALSE)</f>
        <v>1</v>
      </c>
    </row>
    <row r="67" spans="1:8" ht="21" customHeight="1" x14ac:dyDescent="0.15">
      <c r="A67" s="115">
        <v>41090</v>
      </c>
      <c r="B67" s="2" t="s">
        <v>1831</v>
      </c>
      <c r="C67" s="31" t="str">
        <f ca="1">VLOOKUP($B67,OFFSET(mission_ACH_criteria!$A$1,0,0,COUNTA(mission_ACH_criteria!$A:$A),MATCH(C$2,mission_ACH_criteria!$1:$1,0)-MATCH($B$2,mission_ACH_criteria!$1:$1,0)+1),MATCH(C$2,mission_ACH_criteria!$1:$1,0)-MATCH($B$2,mission_ACH_criteria!$1:$1,0)+1,FALSE)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9 回クリアしよう！</v>
      </c>
      <c r="D67" s="27" t="s">
        <v>1835</v>
      </c>
      <c r="E67" s="31" t="str">
        <f ca="1">VLOOKUP($D67,OFFSET(mission_ACH!$A$2,0,0,COUNTA(mission_ACH!$A:$A),MATCH(E$2,mission_ACH!$2:$2,0)-MATCH($D$2,mission_ACH!$2:$2,0)+1),MATCH(E$2,mission_ACH!$2:$2,0)-MATCH($D$2,mission_ACH!$2:$2,0)+1,FALSE)</f>
        <v>水のメタルジェントル x 1</v>
      </c>
      <c r="F67" s="31" t="str">
        <f ca="1">VLOOKUP($D67,OFFSET(mission_ACH!$A$2,0,0,COUNTA(mission_ACH!$A:$A),MATCH(F$2,mission_ACH!$2:$2,0)-MATCH($D$2,mission_ACH!$2:$2,0)+1),MATCH(F$2,mission_ACH!$2:$2,0)-MATCH($D$2,mission_ACH!$2:$2,0)+1,FALSE)</f>
        <v>unit</v>
      </c>
      <c r="G67" s="31">
        <f ca="1">VLOOKUP($D67,OFFSET(mission_ACH!$A$2,0,0,COUNTA(mission_ACH!$A:$A),MATCH(G$2,mission_ACH!$2:$2,0)-MATCH($D$2,mission_ACH!$2:$2,0)+1),MATCH(G$2,mission_ACH!$2:$2,0)-MATCH($D$2,mission_ACH!$2:$2,0)+1,FALSE)</f>
        <v>343</v>
      </c>
      <c r="H67" s="31">
        <f ca="1">VLOOKUP($D67,OFFSET(mission_ACH!$A$2,0,0,COUNTA(mission_ACH!$A:$A),MATCH(H$2,mission_ACH!$2:$2,0)-MATCH($D$2,mission_ACH!$2:$2,0)+1),MATCH(H$2,mission_ACH!$2:$2,0)-MATCH($D$2,mission_ACH!$2:$2,0)+1,FALSE)</f>
        <v>1</v>
      </c>
    </row>
    <row r="68" spans="1:8" ht="21" customHeight="1" x14ac:dyDescent="0.15">
      <c r="A68" s="8">
        <v>41100</v>
      </c>
      <c r="B68" s="2" t="s">
        <v>1174</v>
      </c>
      <c r="C68" s="31" t="str">
        <f ca="1">VLOOKUP($B68,OFFSET(mission_ACH_criteria!$A$1,0,0,COUNTA(mission_ACH_criteria!$A:$A),MATCH(C$2,mission_ACH_criteria!$1:$1,0)-MATCH($B$2,mission_ACH_criteria!$1:$1,0)+1),MATCH(C$2,mission_ACH_criteria!$1:$1,0)-MATCH($B$2,mission_ACH_criteria!$1:$1,0)+1,FALSE)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10 回クリアしよう！</v>
      </c>
      <c r="D68" s="27" t="s">
        <v>1142</v>
      </c>
      <c r="E68" s="31" t="str">
        <f ca="1">VLOOKUP($D68,OFFSET(mission_ACH!$A$2,0,0,COUNTA(mission_ACH!$A:$A),MATCH(E$2,mission_ACH!$2:$2,0)-MATCH($D$2,mission_ACH!$2:$2,0)+1),MATCH(E$2,mission_ACH!$2:$2,0)-MATCH($D$2,mission_ACH!$2:$2,0)+1,FALSE)</f>
        <v>メガ攻めの果実 x 1</v>
      </c>
      <c r="F68" s="31" t="str">
        <f ca="1">VLOOKUP($D68,OFFSET(mission_ACH!$A$2,0,0,COUNTA(mission_ACH!$A:$A),MATCH(F$2,mission_ACH!$2:$2,0)-MATCH($D$2,mission_ACH!$2:$2,0)+1),MATCH(F$2,mission_ACH!$2:$2,0)-MATCH($D$2,mission_ACH!$2:$2,0)+1,FALSE)</f>
        <v>unit</v>
      </c>
      <c r="G68" s="31">
        <f ca="1">VLOOKUP($D68,OFFSET(mission_ACH!$A$2,0,0,COUNTA(mission_ACH!$A:$A),MATCH(G$2,mission_ACH!$2:$2,0)-MATCH($D$2,mission_ACH!$2:$2,0)+1),MATCH(G$2,mission_ACH!$2:$2,0)-MATCH($D$2,mission_ACH!$2:$2,0)+1,FALSE)</f>
        <v>607</v>
      </c>
      <c r="H68" s="31">
        <f ca="1">VLOOKUP($D68,OFFSET(mission_ACH!$A$2,0,0,COUNTA(mission_ACH!$A:$A),MATCH(H$2,mission_ACH!$2:$2,0)-MATCH($D$2,mission_ACH!$2:$2,0)+1),MATCH(H$2,mission_ACH!$2:$2,0)-MATCH($D$2,mission_ACH!$2:$2,0)+1,FALSE)</f>
        <v>1</v>
      </c>
    </row>
    <row r="69" spans="1:8" ht="21" customHeight="1" x14ac:dyDescent="0.15">
      <c r="A69" s="8">
        <v>41101</v>
      </c>
      <c r="B69" s="2" t="s">
        <v>1175</v>
      </c>
      <c r="C69" s="31" t="str">
        <f ca="1">VLOOKUP($B69,OFFSET(mission_ACH_criteria!$A$1,0,0,COUNTA(mission_ACH_criteria!$A:$A),MATCH(C$2,mission_ACH_criteria!$1:$1,0)-MATCH($B$2,mission_ACH_criteria!$1:$1,0)+1),MATCH(C$2,mission_ACH_criteria!$1:$1,0)-MATCH($B$2,mission_ACH_criteria!$1:$1,0)+1,FALSE)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10 回クリアしよう！</v>
      </c>
      <c r="D69" s="27" t="s">
        <v>1143</v>
      </c>
      <c r="E69" s="31" t="str">
        <f ca="1">VLOOKUP($D69,OFFSET(mission_ACH!$A$2,0,0,COUNTA(mission_ACH!$A:$A),MATCH(E$2,mission_ACH!$2:$2,0)-MATCH($D$2,mission_ACH!$2:$2,0)+1),MATCH(E$2,mission_ACH!$2:$2,0)-MATCH($D$2,mission_ACH!$2:$2,0)+1,FALSE)</f>
        <v>メガ生命の果実 x 1</v>
      </c>
      <c r="F69" s="31" t="str">
        <f ca="1">VLOOKUP($D69,OFFSET(mission_ACH!$A$2,0,0,COUNTA(mission_ACH!$A:$A),MATCH(F$2,mission_ACH!$2:$2,0)-MATCH($D$2,mission_ACH!$2:$2,0)+1),MATCH(F$2,mission_ACH!$2:$2,0)-MATCH($D$2,mission_ACH!$2:$2,0)+1,FALSE)</f>
        <v>unit</v>
      </c>
      <c r="G69" s="31">
        <f ca="1">VLOOKUP($D69,OFFSET(mission_ACH!$A$2,0,0,COUNTA(mission_ACH!$A:$A),MATCH(G$2,mission_ACH!$2:$2,0)-MATCH($D$2,mission_ACH!$2:$2,0)+1),MATCH(G$2,mission_ACH!$2:$2,0)-MATCH($D$2,mission_ACH!$2:$2,0)+1,FALSE)</f>
        <v>608</v>
      </c>
      <c r="H69" s="31">
        <f ca="1">VLOOKUP($D69,OFFSET(mission_ACH!$A$2,0,0,COUNTA(mission_ACH!$A:$A),MATCH(H$2,mission_ACH!$2:$2,0)-MATCH($D$2,mission_ACH!$2:$2,0)+1),MATCH(H$2,mission_ACH!$2:$2,0)-MATCH($D$2,mission_ACH!$2:$2,0)+1,FALSE)</f>
        <v>1</v>
      </c>
    </row>
    <row r="70" spans="1:8" ht="21" customHeight="1" x14ac:dyDescent="0.15">
      <c r="A70" s="8">
        <v>41102</v>
      </c>
      <c r="B70" s="2" t="s">
        <v>1176</v>
      </c>
      <c r="C70" s="31" t="str">
        <f ca="1">VLOOKUP($B70,OFFSET(mission_ACH_criteria!$A$1,0,0,COUNTA(mission_ACH_criteria!$A:$A),MATCH(C$2,mission_ACH_criteria!$1:$1,0)-MATCH($B$2,mission_ACH_criteria!$1:$1,0)+1),MATCH(C$2,mission_ACH_criteria!$1:$1,0)-MATCH($B$2,mission_ACH_criteria!$1:$1,0)+1,FALSE)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10 回クリアしよう！</v>
      </c>
      <c r="D70" s="27" t="s">
        <v>1144</v>
      </c>
      <c r="E70" s="31" t="str">
        <f ca="1">VLOOKUP($D70,OFFSET(mission_ACH!$A$2,0,0,COUNTA(mission_ACH!$A:$A),MATCH(E$2,mission_ACH!$2:$2,0)-MATCH($D$2,mission_ACH!$2:$2,0)+1),MATCH(E$2,mission_ACH!$2:$2,0)-MATCH($D$2,mission_ACH!$2:$2,0)+1,FALSE)</f>
        <v>メガ癒しの果実 x 1</v>
      </c>
      <c r="F70" s="31" t="str">
        <f ca="1">VLOOKUP($D70,OFFSET(mission_ACH!$A$2,0,0,COUNTA(mission_ACH!$A:$A),MATCH(F$2,mission_ACH!$2:$2,0)-MATCH($D$2,mission_ACH!$2:$2,0)+1),MATCH(F$2,mission_ACH!$2:$2,0)-MATCH($D$2,mission_ACH!$2:$2,0)+1,FALSE)</f>
        <v>unit</v>
      </c>
      <c r="G70" s="31">
        <f ca="1">VLOOKUP($D70,OFFSET(mission_ACH!$A$2,0,0,COUNTA(mission_ACH!$A:$A),MATCH(G$2,mission_ACH!$2:$2,0)-MATCH($D$2,mission_ACH!$2:$2,0)+1),MATCH(G$2,mission_ACH!$2:$2,0)-MATCH($D$2,mission_ACH!$2:$2,0)+1,FALSE)</f>
        <v>609</v>
      </c>
      <c r="H70" s="31">
        <f ca="1">VLOOKUP($D70,OFFSET(mission_ACH!$A$2,0,0,COUNTA(mission_ACH!$A:$A),MATCH(H$2,mission_ACH!$2:$2,0)-MATCH($D$2,mission_ACH!$2:$2,0)+1),MATCH(H$2,mission_ACH!$2:$2,0)-MATCH($D$2,mission_ACH!$2:$2,0)+1,FALSE)</f>
        <v>1</v>
      </c>
    </row>
    <row r="71" spans="1:8" ht="21" customHeight="1" x14ac:dyDescent="0.15">
      <c r="A71" s="8">
        <v>41103</v>
      </c>
      <c r="B71" s="2" t="s">
        <v>1491</v>
      </c>
      <c r="C71" s="31" t="str">
        <f ca="1">VLOOKUP($B71,OFFSET(mission_ACH_criteria!$A$1,0,0,COUNTA(mission_ACH_criteria!$A:$A),MATCH(C$2,mission_ACH_criteria!$1:$1,0)-MATCH($B$2,mission_ACH_criteria!$1:$1,0)+1),MATCH(C$2,mission_ACH_criteria!$1:$1,0)-MATCH($B$2,mission_ACH_criteria!$1:$1,0)+1,FALSE)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10 回クリアしよう！</v>
      </c>
      <c r="D71" s="27" t="s">
        <v>1521</v>
      </c>
      <c r="E71" s="31" t="str">
        <f ca="1">VLOOKUP($D71,OFFSET(mission_ACH!$A$2,0,0,COUNTA(mission_ACH!$A:$A),MATCH(E$2,mission_ACH!$2:$2,0)-MATCH($D$2,mission_ACH!$2:$2,0)+1),MATCH(E$2,mission_ACH!$2:$2,0)-MATCH($D$2,mission_ACH!$2:$2,0)+1,FALSE)</f>
        <v>ギガ生命の果実 x 1</v>
      </c>
      <c r="F71" s="31" t="str">
        <f ca="1">VLOOKUP($D71,OFFSET(mission_ACH!$A$2,0,0,COUNTA(mission_ACH!$A:$A),MATCH(F$2,mission_ACH!$2:$2,0)-MATCH($D$2,mission_ACH!$2:$2,0)+1),MATCH(F$2,mission_ACH!$2:$2,0)-MATCH($D$2,mission_ACH!$2:$2,0)+1,FALSE)</f>
        <v>unit</v>
      </c>
      <c r="G71" s="31">
        <f ca="1">VLOOKUP($D71,OFFSET(mission_ACH!$A$2,0,0,COUNTA(mission_ACH!$A:$A),MATCH(G$2,mission_ACH!$2:$2,0)-MATCH($D$2,mission_ACH!$2:$2,0)+1),MATCH(G$2,mission_ACH!$2:$2,0)-MATCH($D$2,mission_ACH!$2:$2,0)+1,FALSE)</f>
        <v>612</v>
      </c>
      <c r="H71" s="31">
        <f ca="1">VLOOKUP($D71,OFFSET(mission_ACH!$A$2,0,0,COUNTA(mission_ACH!$A:$A),MATCH(H$2,mission_ACH!$2:$2,0)-MATCH($D$2,mission_ACH!$2:$2,0)+1),MATCH(H$2,mission_ACH!$2:$2,0)-MATCH($D$2,mission_ACH!$2:$2,0)+1,FALSE)</f>
        <v>1</v>
      </c>
    </row>
    <row r="72" spans="1:8" ht="21" customHeight="1" x14ac:dyDescent="0.15">
      <c r="A72" s="115">
        <v>41110</v>
      </c>
      <c r="B72" s="2" t="s">
        <v>1836</v>
      </c>
      <c r="C72" s="31" t="str">
        <f ca="1">VLOOKUP($B72,OFFSET(mission_ACH_criteria!$A$1,0,0,COUNTA(mission_ACH_criteria!$A:$A),MATCH(C$2,mission_ACH_criteria!$1:$1,0)-MATCH($B$2,mission_ACH_criteria!$1:$1,0)+1),MATCH(C$2,mission_ACH_criteria!$1:$1,0)-MATCH($B$2,mission_ACH_criteria!$1:$1,0)+1,FALSE)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11 回クリアしよう！</v>
      </c>
      <c r="D72" s="27" t="s">
        <v>1521</v>
      </c>
      <c r="E72" s="31" t="str">
        <f ca="1">VLOOKUP($D72,OFFSET(mission_ACH!$A$2,0,0,COUNTA(mission_ACH!$A:$A),MATCH(E$2,mission_ACH!$2:$2,0)-MATCH($D$2,mission_ACH!$2:$2,0)+1),MATCH(E$2,mission_ACH!$2:$2,0)-MATCH($D$2,mission_ACH!$2:$2,0)+1,FALSE)</f>
        <v>ギガ生命の果実 x 1</v>
      </c>
      <c r="F72" s="31" t="str">
        <f ca="1">VLOOKUP($D72,OFFSET(mission_ACH!$A$2,0,0,COUNTA(mission_ACH!$A:$A),MATCH(F$2,mission_ACH!$2:$2,0)-MATCH($D$2,mission_ACH!$2:$2,0)+1),MATCH(F$2,mission_ACH!$2:$2,0)-MATCH($D$2,mission_ACH!$2:$2,0)+1,FALSE)</f>
        <v>unit</v>
      </c>
      <c r="G72" s="31">
        <f ca="1">VLOOKUP($D72,OFFSET(mission_ACH!$A$2,0,0,COUNTA(mission_ACH!$A:$A),MATCH(G$2,mission_ACH!$2:$2,0)-MATCH($D$2,mission_ACH!$2:$2,0)+1),MATCH(G$2,mission_ACH!$2:$2,0)-MATCH($D$2,mission_ACH!$2:$2,0)+1,FALSE)</f>
        <v>612</v>
      </c>
      <c r="H72" s="31">
        <f ca="1">VLOOKUP($D72,OFFSET(mission_ACH!$A$2,0,0,COUNTA(mission_ACH!$A:$A),MATCH(H$2,mission_ACH!$2:$2,0)-MATCH($D$2,mission_ACH!$2:$2,0)+1),MATCH(H$2,mission_ACH!$2:$2,0)-MATCH($D$2,mission_ACH!$2:$2,0)+1,FALSE)</f>
        <v>1</v>
      </c>
    </row>
    <row r="73" spans="1:8" ht="21" customHeight="1" x14ac:dyDescent="0.15">
      <c r="A73" s="115">
        <v>41130</v>
      </c>
      <c r="B73" s="2" t="s">
        <v>1839</v>
      </c>
      <c r="C73" s="31" t="str">
        <f ca="1">VLOOKUP($B73,OFFSET(mission_ACH_criteria!$A$1,0,0,COUNTA(mission_ACH_criteria!$A:$A),MATCH(C$2,mission_ACH_criteria!$1:$1,0)-MATCH($B$2,mission_ACH_criteria!$1:$1,0)+1),MATCH(C$2,mission_ACH_criteria!$1:$1,0)-MATCH($B$2,mission_ACH_criteria!$1:$1,0)+1,FALSE)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13 回クリアしよう！</v>
      </c>
      <c r="D73" s="27" t="s">
        <v>1840</v>
      </c>
      <c r="E73" s="31" t="str">
        <f ca="1">VLOOKUP($D73,OFFSET(mission_ACH!$A$2,0,0,COUNTA(mission_ACH!$A:$A),MATCH(E$2,mission_ACH!$2:$2,0)-MATCH($D$2,mission_ACH!$2:$2,0)+1),MATCH(E$2,mission_ACH!$2:$2,0)-MATCH($D$2,mission_ACH!$2:$2,0)+1,FALSE)</f>
        <v>ギガ癒しの果実 x 1</v>
      </c>
      <c r="F73" s="31" t="str">
        <f ca="1">VLOOKUP($D73,OFFSET(mission_ACH!$A$2,0,0,COUNTA(mission_ACH!$A:$A),MATCH(F$2,mission_ACH!$2:$2,0)-MATCH($D$2,mission_ACH!$2:$2,0)+1),MATCH(F$2,mission_ACH!$2:$2,0)-MATCH($D$2,mission_ACH!$2:$2,0)+1,FALSE)</f>
        <v>unit</v>
      </c>
      <c r="G73" s="31">
        <f ca="1">VLOOKUP($D73,OFFSET(mission_ACH!$A$2,0,0,COUNTA(mission_ACH!$A:$A),MATCH(G$2,mission_ACH!$2:$2,0)-MATCH($D$2,mission_ACH!$2:$2,0)+1),MATCH(G$2,mission_ACH!$2:$2,0)-MATCH($D$2,mission_ACH!$2:$2,0)+1,FALSE)</f>
        <v>613</v>
      </c>
      <c r="H73" s="31">
        <f ca="1">VLOOKUP($D73,OFFSET(mission_ACH!$A$2,0,0,COUNTA(mission_ACH!$A:$A),MATCH(H$2,mission_ACH!$2:$2,0)-MATCH($D$2,mission_ACH!$2:$2,0)+1),MATCH(H$2,mission_ACH!$2:$2,0)-MATCH($D$2,mission_ACH!$2:$2,0)+1,FALSE)</f>
        <v>1</v>
      </c>
    </row>
    <row r="74" spans="1:8" ht="21" customHeight="1" x14ac:dyDescent="0.15">
      <c r="A74" s="8">
        <v>41150</v>
      </c>
      <c r="B74" s="2" t="s">
        <v>1177</v>
      </c>
      <c r="C74" s="31" t="str">
        <f ca="1">VLOOKUP($B74,OFFSET(mission_ACH_criteria!$A$1,0,0,COUNTA(mission_ACH_criteria!$A:$A),MATCH(C$2,mission_ACH_criteria!$1:$1,0)-MATCH($B$2,mission_ACH_criteria!$1:$1,0)+1),MATCH(C$2,mission_ACH_criteria!$1:$1,0)-MATCH($B$2,mission_ACH_criteria!$1:$1,0)+1,FALSE)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15 回クリアしよう！</v>
      </c>
      <c r="D74" s="27" t="s">
        <v>456</v>
      </c>
      <c r="E74" s="31" t="str">
        <f ca="1">VLOOKUP($D74,OFFSET(mission_ACH!$A$2,0,0,COUNTA(mission_ACH!$A:$A),MATCH(E$2,mission_ACH!$2:$2,0)-MATCH($D$2,mission_ACH!$2:$2,0)+1),MATCH(E$2,mission_ACH!$2:$2,0)-MATCH($D$2,mission_ACH!$2:$2,0)+1,FALSE)</f>
        <v>炎のメタルダック x 1</v>
      </c>
      <c r="F74" s="31" t="str">
        <f ca="1">VLOOKUP($D74,OFFSET(mission_ACH!$A$2,0,0,COUNTA(mission_ACH!$A:$A),MATCH(F$2,mission_ACH!$2:$2,0)-MATCH($D$2,mission_ACH!$2:$2,0)+1),MATCH(F$2,mission_ACH!$2:$2,0)-MATCH($D$2,mission_ACH!$2:$2,0)+1,FALSE)</f>
        <v>unit</v>
      </c>
      <c r="G74" s="31">
        <f ca="1">VLOOKUP($D74,OFFSET(mission_ACH!$A$2,0,0,COUNTA(mission_ACH!$A:$A),MATCH(G$2,mission_ACH!$2:$2,0)-MATCH($D$2,mission_ACH!$2:$2,0)+1),MATCH(G$2,mission_ACH!$2:$2,0)-MATCH($D$2,mission_ACH!$2:$2,0)+1,FALSE)</f>
        <v>334</v>
      </c>
      <c r="H74" s="31">
        <f ca="1">VLOOKUP($D74,OFFSET(mission_ACH!$A$2,0,0,COUNTA(mission_ACH!$A:$A),MATCH(H$2,mission_ACH!$2:$2,0)-MATCH($D$2,mission_ACH!$2:$2,0)+1),MATCH(H$2,mission_ACH!$2:$2,0)-MATCH($D$2,mission_ACH!$2:$2,0)+1,FALSE)</f>
        <v>1</v>
      </c>
    </row>
    <row r="75" spans="1:8" ht="21" customHeight="1" x14ac:dyDescent="0.15">
      <c r="A75" s="8">
        <v>41151</v>
      </c>
      <c r="B75" s="2" t="s">
        <v>1178</v>
      </c>
      <c r="C75" s="31" t="str">
        <f ca="1">VLOOKUP($B75,OFFSET(mission_ACH_criteria!$A$1,0,0,COUNTA(mission_ACH_criteria!$A:$A),MATCH(C$2,mission_ACH_criteria!$1:$1,0)-MATCH($B$2,mission_ACH_criteria!$1:$1,0)+1),MATCH(C$2,mission_ACH_criteria!$1:$1,0)-MATCH($B$2,mission_ACH_criteria!$1:$1,0)+1,FALSE)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15 回クリアしよう！</v>
      </c>
      <c r="D75" s="27" t="s">
        <v>1217</v>
      </c>
      <c r="E75" s="31" t="str">
        <f ca="1">VLOOKUP($D75,OFFSET(mission_ACH!$A$2,0,0,COUNTA(mission_ACH!$A:$A),MATCH(E$2,mission_ACH!$2:$2,0)-MATCH($D$2,mission_ACH!$2:$2,0)+1),MATCH(E$2,mission_ACH!$2:$2,0)-MATCH($D$2,mission_ACH!$2:$2,0)+1,FALSE)</f>
        <v>森のメタルダック x 1</v>
      </c>
      <c r="F75" s="31" t="str">
        <f ca="1">VLOOKUP($D75,OFFSET(mission_ACH!$A$2,0,0,COUNTA(mission_ACH!$A:$A),MATCH(F$2,mission_ACH!$2:$2,0)-MATCH($D$2,mission_ACH!$2:$2,0)+1),MATCH(F$2,mission_ACH!$2:$2,0)-MATCH($D$2,mission_ACH!$2:$2,0)+1,FALSE)</f>
        <v>unit</v>
      </c>
      <c r="G75" s="31">
        <f ca="1">VLOOKUP($D75,OFFSET(mission_ACH!$A$2,0,0,COUNTA(mission_ACH!$A:$A),MATCH(G$2,mission_ACH!$2:$2,0)-MATCH($D$2,mission_ACH!$2:$2,0)+1),MATCH(G$2,mission_ACH!$2:$2,0)-MATCH($D$2,mission_ACH!$2:$2,0)+1,FALSE)</f>
        <v>338</v>
      </c>
      <c r="H75" s="31">
        <f ca="1">VLOOKUP($D75,OFFSET(mission_ACH!$A$2,0,0,COUNTA(mission_ACH!$A:$A),MATCH(H$2,mission_ACH!$2:$2,0)-MATCH($D$2,mission_ACH!$2:$2,0)+1),MATCH(H$2,mission_ACH!$2:$2,0)-MATCH($D$2,mission_ACH!$2:$2,0)+1,FALSE)</f>
        <v>1</v>
      </c>
    </row>
    <row r="76" spans="1:8" ht="21" customHeight="1" x14ac:dyDescent="0.15">
      <c r="A76" s="8">
        <v>41152</v>
      </c>
      <c r="B76" s="2" t="s">
        <v>1179</v>
      </c>
      <c r="C76" s="31" t="str">
        <f ca="1">VLOOKUP($B76,OFFSET(mission_ACH_criteria!$A$1,0,0,COUNTA(mission_ACH_criteria!$A:$A),MATCH(C$2,mission_ACH_criteria!$1:$1,0)-MATCH($B$2,mission_ACH_criteria!$1:$1,0)+1),MATCH(C$2,mission_ACH_criteria!$1:$1,0)-MATCH($B$2,mission_ACH_criteria!$1:$1,0)+1,FALSE)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15 回クリアしよう！</v>
      </c>
      <c r="D76" s="27" t="s">
        <v>1218</v>
      </c>
      <c r="E76" s="31" t="str">
        <f ca="1">VLOOKUP($D76,OFFSET(mission_ACH!$A$2,0,0,COUNTA(mission_ACH!$A:$A),MATCH(E$2,mission_ACH!$2:$2,0)-MATCH($D$2,mission_ACH!$2:$2,0)+1),MATCH(E$2,mission_ACH!$2:$2,0)-MATCH($D$2,mission_ACH!$2:$2,0)+1,FALSE)</f>
        <v>水のメタルダック x 1</v>
      </c>
      <c r="F76" s="31" t="str">
        <f ca="1">VLOOKUP($D76,OFFSET(mission_ACH!$A$2,0,0,COUNTA(mission_ACH!$A:$A),MATCH(F$2,mission_ACH!$2:$2,0)-MATCH($D$2,mission_ACH!$2:$2,0)+1),MATCH(F$2,mission_ACH!$2:$2,0)-MATCH($D$2,mission_ACH!$2:$2,0)+1,FALSE)</f>
        <v>unit</v>
      </c>
      <c r="G76" s="31">
        <f ca="1">VLOOKUP($D76,OFFSET(mission_ACH!$A$2,0,0,COUNTA(mission_ACH!$A:$A),MATCH(G$2,mission_ACH!$2:$2,0)-MATCH($D$2,mission_ACH!$2:$2,0)+1),MATCH(G$2,mission_ACH!$2:$2,0)-MATCH($D$2,mission_ACH!$2:$2,0)+1,FALSE)</f>
        <v>342</v>
      </c>
      <c r="H76" s="31">
        <f ca="1">VLOOKUP($D76,OFFSET(mission_ACH!$A$2,0,0,COUNTA(mission_ACH!$A:$A),MATCH(H$2,mission_ACH!$2:$2,0)-MATCH($D$2,mission_ACH!$2:$2,0)+1),MATCH(H$2,mission_ACH!$2:$2,0)-MATCH($D$2,mission_ACH!$2:$2,0)+1,FALSE)</f>
        <v>1</v>
      </c>
    </row>
    <row r="77" spans="1:8" ht="21" customHeight="1" x14ac:dyDescent="0.15">
      <c r="A77" s="8">
        <v>41153</v>
      </c>
      <c r="B77" s="2" t="s">
        <v>1180</v>
      </c>
      <c r="C77" s="31" t="str">
        <f ca="1">VLOOKUP($B77,OFFSET(mission_ACH_criteria!$A$1,0,0,COUNTA(mission_ACH_criteria!$A:$A),MATCH(C$2,mission_ACH_criteria!$1:$1,0)-MATCH($B$2,mission_ACH_criteria!$1:$1,0)+1),MATCH(C$2,mission_ACH_criteria!$1:$1,0)-MATCH($B$2,mission_ACH_criteria!$1:$1,0)+1,FALSE)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15 回クリアしよう！</v>
      </c>
      <c r="D77" s="27" t="s">
        <v>1219</v>
      </c>
      <c r="E77" s="31" t="str">
        <f ca="1">VLOOKUP($D77,OFFSET(mission_ACH!$A$2,0,0,COUNTA(mission_ACH!$A:$A),MATCH(E$2,mission_ACH!$2:$2,0)-MATCH($D$2,mission_ACH!$2:$2,0)+1),MATCH(E$2,mission_ACH!$2:$2,0)-MATCH($D$2,mission_ACH!$2:$2,0)+1,FALSE)</f>
        <v>雷のメタルダック x 1</v>
      </c>
      <c r="F77" s="31" t="str">
        <f ca="1">VLOOKUP($D77,OFFSET(mission_ACH!$A$2,0,0,COUNTA(mission_ACH!$A:$A),MATCH(F$2,mission_ACH!$2:$2,0)-MATCH($D$2,mission_ACH!$2:$2,0)+1),MATCH(F$2,mission_ACH!$2:$2,0)-MATCH($D$2,mission_ACH!$2:$2,0)+1,FALSE)</f>
        <v>unit</v>
      </c>
      <c r="G77" s="31">
        <f ca="1">VLOOKUP($D77,OFFSET(mission_ACH!$A$2,0,0,COUNTA(mission_ACH!$A:$A),MATCH(G$2,mission_ACH!$2:$2,0)-MATCH($D$2,mission_ACH!$2:$2,0)+1),MATCH(G$2,mission_ACH!$2:$2,0)-MATCH($D$2,mission_ACH!$2:$2,0)+1,FALSE)</f>
        <v>346</v>
      </c>
      <c r="H77" s="31">
        <f ca="1">VLOOKUP($D77,OFFSET(mission_ACH!$A$2,0,0,COUNTA(mission_ACH!$A:$A),MATCH(H$2,mission_ACH!$2:$2,0)-MATCH($D$2,mission_ACH!$2:$2,0)+1),MATCH(H$2,mission_ACH!$2:$2,0)-MATCH($D$2,mission_ACH!$2:$2,0)+1,FALSE)</f>
        <v>1</v>
      </c>
    </row>
    <row r="78" spans="1:8" ht="21" customHeight="1" x14ac:dyDescent="0.15">
      <c r="A78" s="8">
        <v>41154</v>
      </c>
      <c r="B78" s="2" t="s">
        <v>1492</v>
      </c>
      <c r="C78" s="31" t="str">
        <f ca="1">VLOOKUP($B78,OFFSET(mission_ACH_criteria!$A$1,0,0,COUNTA(mission_ACH_criteria!$A:$A),MATCH(C$2,mission_ACH_criteria!$1:$1,0)-MATCH($B$2,mission_ACH_criteria!$1:$1,0)+1),MATCH(C$2,mission_ACH_criteria!$1:$1,0)-MATCH($B$2,mission_ACH_criteria!$1:$1,0)+1,FALSE)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15 回クリアしよう！</v>
      </c>
      <c r="D78" s="27" t="s">
        <v>1523</v>
      </c>
      <c r="E78" s="31" t="str">
        <f ca="1">VLOOKUP($D78,OFFSET(mission_ACH!$A$2,0,0,COUNTA(mission_ACH!$A:$A),MATCH(E$2,mission_ACH!$2:$2,0)-MATCH($D$2,mission_ACH!$2:$2,0)+1),MATCH(E$2,mission_ACH!$2:$2,0)-MATCH($D$2,mission_ACH!$2:$2,0)+1,FALSE)</f>
        <v>ギガ癒しの果実 x 1</v>
      </c>
      <c r="F78" s="31" t="str">
        <f ca="1">VLOOKUP($D78,OFFSET(mission_ACH!$A$2,0,0,COUNTA(mission_ACH!$A:$A),MATCH(F$2,mission_ACH!$2:$2,0)-MATCH($D$2,mission_ACH!$2:$2,0)+1),MATCH(F$2,mission_ACH!$2:$2,0)-MATCH($D$2,mission_ACH!$2:$2,0)+1,FALSE)</f>
        <v>unit</v>
      </c>
      <c r="G78" s="31">
        <f ca="1">VLOOKUP($D78,OFFSET(mission_ACH!$A$2,0,0,COUNTA(mission_ACH!$A:$A),MATCH(G$2,mission_ACH!$2:$2,0)-MATCH($D$2,mission_ACH!$2:$2,0)+1),MATCH(G$2,mission_ACH!$2:$2,0)-MATCH($D$2,mission_ACH!$2:$2,0)+1,FALSE)</f>
        <v>613</v>
      </c>
      <c r="H78" s="31">
        <f ca="1">VLOOKUP($D78,OFFSET(mission_ACH!$A$2,0,0,COUNTA(mission_ACH!$A:$A),MATCH(H$2,mission_ACH!$2:$2,0)-MATCH($D$2,mission_ACH!$2:$2,0)+1),MATCH(H$2,mission_ACH!$2:$2,0)-MATCH($D$2,mission_ACH!$2:$2,0)+1,FALSE)</f>
        <v>1</v>
      </c>
    </row>
    <row r="79" spans="1:8" ht="21" customHeight="1" x14ac:dyDescent="0.15">
      <c r="A79" s="115">
        <v>41155</v>
      </c>
      <c r="B79" s="2" t="s">
        <v>1843</v>
      </c>
      <c r="C79" s="31" t="str">
        <f ca="1">VLOOKUP($B79,OFFSET(mission_ACH_criteria!$A$1,0,0,COUNTA(mission_ACH_criteria!$A:$A),MATCH(C$2,mission_ACH_criteria!$1:$1,0)-MATCH($B$2,mission_ACH_criteria!$1:$1,0)+1),MATCH(C$2,mission_ACH_criteria!$1:$1,0)-MATCH($B$2,mission_ACH_criteria!$1:$1,0)+1,FALSE)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15 回クリアしよう！</v>
      </c>
      <c r="D79" s="27" t="s">
        <v>1844</v>
      </c>
      <c r="E79" s="31" t="str">
        <f ca="1">VLOOKUP($D79,OFFSET(mission_ACH!$A$2,0,0,COUNTA(mission_ACH!$A:$A),MATCH(E$2,mission_ACH!$2:$2,0)-MATCH($D$2,mission_ACH!$2:$2,0)+1),MATCH(E$2,mission_ACH!$2:$2,0)-MATCH($D$2,mission_ACH!$2:$2,0)+1,FALSE)</f>
        <v>ギガ攻めの果実 x 1</v>
      </c>
      <c r="F79" s="31" t="str">
        <f ca="1">VLOOKUP($D79,OFFSET(mission_ACH!$A$2,0,0,COUNTA(mission_ACH!$A:$A),MATCH(F$2,mission_ACH!$2:$2,0)-MATCH($D$2,mission_ACH!$2:$2,0)+1),MATCH(F$2,mission_ACH!$2:$2,0)-MATCH($D$2,mission_ACH!$2:$2,0)+1,FALSE)</f>
        <v>unit</v>
      </c>
      <c r="G79" s="31">
        <f ca="1">VLOOKUP($D79,OFFSET(mission_ACH!$A$2,0,0,COUNTA(mission_ACH!$A:$A),MATCH(G$2,mission_ACH!$2:$2,0)-MATCH($D$2,mission_ACH!$2:$2,0)+1),MATCH(G$2,mission_ACH!$2:$2,0)-MATCH($D$2,mission_ACH!$2:$2,0)+1,FALSE)</f>
        <v>611</v>
      </c>
      <c r="H79" s="31">
        <f ca="1">VLOOKUP($D79,OFFSET(mission_ACH!$A$2,0,0,COUNTA(mission_ACH!$A:$A),MATCH(H$2,mission_ACH!$2:$2,0)-MATCH($D$2,mission_ACH!$2:$2,0)+1),MATCH(H$2,mission_ACH!$2:$2,0)-MATCH($D$2,mission_ACH!$2:$2,0)+1,FALSE)</f>
        <v>1</v>
      </c>
    </row>
    <row r="80" spans="1:8" ht="21" customHeight="1" x14ac:dyDescent="0.15">
      <c r="A80" s="8">
        <v>41200</v>
      </c>
      <c r="B80" s="2" t="s">
        <v>1181</v>
      </c>
      <c r="C80" s="31" t="str">
        <f ca="1">VLOOKUP($B80,OFFSET(mission_ACH_criteria!$A$1,0,0,COUNTA(mission_ACH_criteria!$A:$A),MATCH(C$2,mission_ACH_criteria!$1:$1,0)-MATCH($B$2,mission_ACH_criteria!$1:$1,0)+1),MATCH(C$2,mission_ACH_criteria!$1:$1,0)-MATCH($B$2,mission_ACH_criteria!$1:$1,0)+1,FALSE)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20 回クリアしよう！</v>
      </c>
      <c r="D80" s="27" t="s">
        <v>1142</v>
      </c>
      <c r="E80" s="31" t="str">
        <f ca="1">VLOOKUP($D80,OFFSET(mission_ACH!$A$2,0,0,COUNTA(mission_ACH!$A:$A),MATCH(E$2,mission_ACH!$2:$2,0)-MATCH($D$2,mission_ACH!$2:$2,0)+1),MATCH(E$2,mission_ACH!$2:$2,0)-MATCH($D$2,mission_ACH!$2:$2,0)+1,FALSE)</f>
        <v>メガ攻めの果実 x 1</v>
      </c>
      <c r="F80" s="31" t="str">
        <f ca="1">VLOOKUP($D80,OFFSET(mission_ACH!$A$2,0,0,COUNTA(mission_ACH!$A:$A),MATCH(F$2,mission_ACH!$2:$2,0)-MATCH($D$2,mission_ACH!$2:$2,0)+1),MATCH(F$2,mission_ACH!$2:$2,0)-MATCH($D$2,mission_ACH!$2:$2,0)+1,FALSE)</f>
        <v>unit</v>
      </c>
      <c r="G80" s="31">
        <f ca="1">VLOOKUP($D80,OFFSET(mission_ACH!$A$2,0,0,COUNTA(mission_ACH!$A:$A),MATCH(G$2,mission_ACH!$2:$2,0)-MATCH($D$2,mission_ACH!$2:$2,0)+1),MATCH(G$2,mission_ACH!$2:$2,0)-MATCH($D$2,mission_ACH!$2:$2,0)+1,FALSE)</f>
        <v>607</v>
      </c>
      <c r="H80" s="31">
        <f ca="1">VLOOKUP($D80,OFFSET(mission_ACH!$A$2,0,0,COUNTA(mission_ACH!$A:$A),MATCH(H$2,mission_ACH!$2:$2,0)-MATCH($D$2,mission_ACH!$2:$2,0)+1),MATCH(H$2,mission_ACH!$2:$2,0)-MATCH($D$2,mission_ACH!$2:$2,0)+1,FALSE)</f>
        <v>1</v>
      </c>
    </row>
    <row r="81" spans="1:8" ht="21" customHeight="1" x14ac:dyDescent="0.15">
      <c r="A81" s="8">
        <v>41201</v>
      </c>
      <c r="B81" s="2" t="s">
        <v>1182</v>
      </c>
      <c r="C81" s="31" t="str">
        <f ca="1">VLOOKUP($B81,OFFSET(mission_ACH_criteria!$A$1,0,0,COUNTA(mission_ACH_criteria!$A:$A),MATCH(C$2,mission_ACH_criteria!$1:$1,0)-MATCH($B$2,mission_ACH_criteria!$1:$1,0)+1),MATCH(C$2,mission_ACH_criteria!$1:$1,0)-MATCH($B$2,mission_ACH_criteria!$1:$1,0)+1,FALSE)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20 回クリアしよう！</v>
      </c>
      <c r="D81" s="27" t="s">
        <v>1143</v>
      </c>
      <c r="E81" s="31" t="str">
        <f ca="1">VLOOKUP($D81,OFFSET(mission_ACH!$A$2,0,0,COUNTA(mission_ACH!$A:$A),MATCH(E$2,mission_ACH!$2:$2,0)-MATCH($D$2,mission_ACH!$2:$2,0)+1),MATCH(E$2,mission_ACH!$2:$2,0)-MATCH($D$2,mission_ACH!$2:$2,0)+1,FALSE)</f>
        <v>メガ生命の果実 x 1</v>
      </c>
      <c r="F81" s="31" t="str">
        <f ca="1">VLOOKUP($D81,OFFSET(mission_ACH!$A$2,0,0,COUNTA(mission_ACH!$A:$A),MATCH(F$2,mission_ACH!$2:$2,0)-MATCH($D$2,mission_ACH!$2:$2,0)+1),MATCH(F$2,mission_ACH!$2:$2,0)-MATCH($D$2,mission_ACH!$2:$2,0)+1,FALSE)</f>
        <v>unit</v>
      </c>
      <c r="G81" s="31">
        <f ca="1">VLOOKUP($D81,OFFSET(mission_ACH!$A$2,0,0,COUNTA(mission_ACH!$A:$A),MATCH(G$2,mission_ACH!$2:$2,0)-MATCH($D$2,mission_ACH!$2:$2,0)+1),MATCH(G$2,mission_ACH!$2:$2,0)-MATCH($D$2,mission_ACH!$2:$2,0)+1,FALSE)</f>
        <v>608</v>
      </c>
      <c r="H81" s="31">
        <f ca="1">VLOOKUP($D81,OFFSET(mission_ACH!$A$2,0,0,COUNTA(mission_ACH!$A:$A),MATCH(H$2,mission_ACH!$2:$2,0)-MATCH($D$2,mission_ACH!$2:$2,0)+1),MATCH(H$2,mission_ACH!$2:$2,0)-MATCH($D$2,mission_ACH!$2:$2,0)+1,FALSE)</f>
        <v>1</v>
      </c>
    </row>
    <row r="82" spans="1:8" ht="21" customHeight="1" x14ac:dyDescent="0.15">
      <c r="A82" s="8">
        <v>41202</v>
      </c>
      <c r="B82" s="2" t="s">
        <v>1183</v>
      </c>
      <c r="C82" s="31" t="str">
        <f ca="1">VLOOKUP($B82,OFFSET(mission_ACH_criteria!$A$1,0,0,COUNTA(mission_ACH_criteria!$A:$A),MATCH(C$2,mission_ACH_criteria!$1:$1,0)-MATCH($B$2,mission_ACH_criteria!$1:$1,0)+1),MATCH(C$2,mission_ACH_criteria!$1:$1,0)-MATCH($B$2,mission_ACH_criteria!$1:$1,0)+1,FALSE)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20 回クリアしよう！</v>
      </c>
      <c r="D82" s="27" t="s">
        <v>1144</v>
      </c>
      <c r="E82" s="31" t="str">
        <f ca="1">VLOOKUP($D82,OFFSET(mission_ACH!$A$2,0,0,COUNTA(mission_ACH!$A:$A),MATCH(E$2,mission_ACH!$2:$2,0)-MATCH($D$2,mission_ACH!$2:$2,0)+1),MATCH(E$2,mission_ACH!$2:$2,0)-MATCH($D$2,mission_ACH!$2:$2,0)+1,FALSE)</f>
        <v>メガ癒しの果実 x 1</v>
      </c>
      <c r="F82" s="31" t="str">
        <f ca="1">VLOOKUP($D82,OFFSET(mission_ACH!$A$2,0,0,COUNTA(mission_ACH!$A:$A),MATCH(F$2,mission_ACH!$2:$2,0)-MATCH($D$2,mission_ACH!$2:$2,0)+1),MATCH(F$2,mission_ACH!$2:$2,0)-MATCH($D$2,mission_ACH!$2:$2,0)+1,FALSE)</f>
        <v>unit</v>
      </c>
      <c r="G82" s="31">
        <f ca="1">VLOOKUP($D82,OFFSET(mission_ACH!$A$2,0,0,COUNTA(mission_ACH!$A:$A),MATCH(G$2,mission_ACH!$2:$2,0)-MATCH($D$2,mission_ACH!$2:$2,0)+1),MATCH(G$2,mission_ACH!$2:$2,0)-MATCH($D$2,mission_ACH!$2:$2,0)+1,FALSE)</f>
        <v>609</v>
      </c>
      <c r="H82" s="31">
        <f ca="1">VLOOKUP($D82,OFFSET(mission_ACH!$A$2,0,0,COUNTA(mission_ACH!$A:$A),MATCH(H$2,mission_ACH!$2:$2,0)-MATCH($D$2,mission_ACH!$2:$2,0)+1),MATCH(H$2,mission_ACH!$2:$2,0)-MATCH($D$2,mission_ACH!$2:$2,0)+1,FALSE)</f>
        <v>1</v>
      </c>
    </row>
    <row r="83" spans="1:8" ht="21" customHeight="1" x14ac:dyDescent="0.15">
      <c r="A83" s="8">
        <v>41203</v>
      </c>
      <c r="B83" s="2" t="s">
        <v>1493</v>
      </c>
      <c r="C83" s="31" t="str">
        <f ca="1">VLOOKUP($B83,OFFSET(mission_ACH_criteria!$A$1,0,0,COUNTA(mission_ACH_criteria!$A:$A),MATCH(C$2,mission_ACH_criteria!$1:$1,0)-MATCH($B$2,mission_ACH_criteria!$1:$1,0)+1),MATCH(C$2,mission_ACH_criteria!$1:$1,0)-MATCH($B$2,mission_ACH_criteria!$1:$1,0)+1,FALSE)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20 回クリアしよう！</v>
      </c>
      <c r="D83" s="27" t="s">
        <v>1527</v>
      </c>
      <c r="E83" s="31" t="str">
        <f ca="1">VLOOKUP($D83,OFFSET(mission_ACH!$A$2,0,0,COUNTA(mission_ACH!$A:$A),MATCH(E$2,mission_ACH!$2:$2,0)-MATCH($D$2,mission_ACH!$2:$2,0)+1),MATCH(E$2,mission_ACH!$2:$2,0)-MATCH($D$2,mission_ACH!$2:$2,0)+1,FALSE)</f>
        <v>ギガ攻めの果実 x 1</v>
      </c>
      <c r="F83" s="31" t="str">
        <f ca="1">VLOOKUP($D83,OFFSET(mission_ACH!$A$2,0,0,COUNTA(mission_ACH!$A:$A),MATCH(F$2,mission_ACH!$2:$2,0)-MATCH($D$2,mission_ACH!$2:$2,0)+1),MATCH(F$2,mission_ACH!$2:$2,0)-MATCH($D$2,mission_ACH!$2:$2,0)+1,FALSE)</f>
        <v>unit</v>
      </c>
      <c r="G83" s="31">
        <f ca="1">VLOOKUP($D83,OFFSET(mission_ACH!$A$2,0,0,COUNTA(mission_ACH!$A:$A),MATCH(G$2,mission_ACH!$2:$2,0)-MATCH($D$2,mission_ACH!$2:$2,0)+1),MATCH(G$2,mission_ACH!$2:$2,0)-MATCH($D$2,mission_ACH!$2:$2,0)+1,FALSE)</f>
        <v>611</v>
      </c>
      <c r="H83" s="31">
        <f ca="1">VLOOKUP($D83,OFFSET(mission_ACH!$A$2,0,0,COUNTA(mission_ACH!$A:$A),MATCH(H$2,mission_ACH!$2:$2,0)-MATCH($D$2,mission_ACH!$2:$2,0)+1),MATCH(H$2,mission_ACH!$2:$2,0)-MATCH($D$2,mission_ACH!$2:$2,0)+1,FALSE)</f>
        <v>1</v>
      </c>
    </row>
    <row r="84" spans="1:8" ht="21" customHeight="1" x14ac:dyDescent="0.15">
      <c r="A84" s="115">
        <v>41204</v>
      </c>
      <c r="B84" s="2" t="s">
        <v>1846</v>
      </c>
      <c r="C84" s="31" t="str">
        <f ca="1">VLOOKUP($B84,OFFSET(mission_ACH_criteria!$A$1,0,0,COUNTA(mission_ACH_criteria!$A:$A),MATCH(C$2,mission_ACH_criteria!$1:$1,0)-MATCH($B$2,mission_ACH_criteria!$1:$1,0)+1),MATCH(C$2,mission_ACH_criteria!$1:$1,0)-MATCH($B$2,mission_ACH_criteria!$1:$1,0)+1,FALSE)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20 回クリアしよう！</v>
      </c>
      <c r="D84" s="27" t="s">
        <v>1847</v>
      </c>
      <c r="E84" s="31" t="str">
        <f ca="1">VLOOKUP($D84,OFFSET(mission_ACH!$A$2,0,0,COUNTA(mission_ACH!$A:$A),MATCH(E$2,mission_ACH!$2:$2,0)-MATCH($D$2,mission_ACH!$2:$2,0)+1),MATCH(E$2,mission_ACH!$2:$2,0)-MATCH($D$2,mission_ACH!$2:$2,0)+1,FALSE)</f>
        <v>メガ秘術の果実 x 1</v>
      </c>
      <c r="F84" s="31" t="str">
        <f ca="1">VLOOKUP($D84,OFFSET(mission_ACH!$A$2,0,0,COUNTA(mission_ACH!$A:$A),MATCH(F$2,mission_ACH!$2:$2,0)-MATCH($D$2,mission_ACH!$2:$2,0)+1),MATCH(F$2,mission_ACH!$2:$2,0)-MATCH($D$2,mission_ACH!$2:$2,0)+1,FALSE)</f>
        <v>unit</v>
      </c>
      <c r="G84" s="31">
        <f ca="1">VLOOKUP($D84,OFFSET(mission_ACH!$A$2,0,0,COUNTA(mission_ACH!$A:$A),MATCH(G$2,mission_ACH!$2:$2,0)-MATCH($D$2,mission_ACH!$2:$2,0)+1),MATCH(G$2,mission_ACH!$2:$2,0)-MATCH($D$2,mission_ACH!$2:$2,0)+1,FALSE)</f>
        <v>610</v>
      </c>
      <c r="H84" s="31">
        <f ca="1">VLOOKUP($D84,OFFSET(mission_ACH!$A$2,0,0,COUNTA(mission_ACH!$A:$A),MATCH(H$2,mission_ACH!$2:$2,0)-MATCH($D$2,mission_ACH!$2:$2,0)+1),MATCH(H$2,mission_ACH!$2:$2,0)-MATCH($D$2,mission_ACH!$2:$2,0)+1,FALSE)</f>
        <v>1</v>
      </c>
    </row>
    <row r="85" spans="1:8" ht="21" customHeight="1" x14ac:dyDescent="0.15">
      <c r="A85" s="8">
        <v>41300</v>
      </c>
      <c r="B85" s="2" t="s">
        <v>1184</v>
      </c>
      <c r="C85" s="31" t="str">
        <f ca="1">VLOOKUP($B85,OFFSET(mission_ACH_criteria!$A$1,0,0,COUNTA(mission_ACH_criteria!$A:$A),MATCH(C$2,mission_ACH_criteria!$1:$1,0)-MATCH($B$2,mission_ACH_criteria!$1:$1,0)+1),MATCH(C$2,mission_ACH_criteria!$1:$1,0)-MATCH($B$2,mission_ACH_criteria!$1:$1,0)+1,FALSE)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30 回クリアしよう！</v>
      </c>
      <c r="D85" s="27" t="s">
        <v>451</v>
      </c>
      <c r="E85" s="31" t="str">
        <f ca="1">VLOOKUP($D85,OFFSET(mission_ACH!$A$2,0,0,COUNTA(mission_ACH!$A:$A),MATCH(E$2,mission_ACH!$2:$2,0)-MATCH($D$2,mission_ACH!$2:$2,0)+1),MATCH(E$2,mission_ACH!$2:$2,0)-MATCH($D$2,mission_ACH!$2:$2,0)+1,FALSE)</f>
        <v>秘術の果実 x 1</v>
      </c>
      <c r="F85" s="31" t="str">
        <f ca="1">VLOOKUP($D85,OFFSET(mission_ACH!$A$2,0,0,COUNTA(mission_ACH!$A:$A),MATCH(F$2,mission_ACH!$2:$2,0)-MATCH($D$2,mission_ACH!$2:$2,0)+1),MATCH(F$2,mission_ACH!$2:$2,0)-MATCH($D$2,mission_ACH!$2:$2,0)+1,FALSE)</f>
        <v>unit</v>
      </c>
      <c r="G85" s="31">
        <f ca="1">VLOOKUP($D85,OFFSET(mission_ACH!$A$2,0,0,COUNTA(mission_ACH!$A:$A),MATCH(G$2,mission_ACH!$2:$2,0)-MATCH($D$2,mission_ACH!$2:$2,0)+1),MATCH(G$2,mission_ACH!$2:$2,0)-MATCH($D$2,mission_ACH!$2:$2,0)+1,FALSE)</f>
        <v>125</v>
      </c>
      <c r="H85" s="31">
        <f ca="1">VLOOKUP($D85,OFFSET(mission_ACH!$A$2,0,0,COUNTA(mission_ACH!$A:$A),MATCH(H$2,mission_ACH!$2:$2,0)-MATCH($D$2,mission_ACH!$2:$2,0)+1),MATCH(H$2,mission_ACH!$2:$2,0)-MATCH($D$2,mission_ACH!$2:$2,0)+1,FALSE)</f>
        <v>1</v>
      </c>
    </row>
    <row r="86" spans="1:8" ht="21" customHeight="1" x14ac:dyDescent="0.15">
      <c r="A86" s="8">
        <v>41301</v>
      </c>
      <c r="B86" s="2" t="s">
        <v>1503</v>
      </c>
      <c r="C86" s="31" t="str">
        <f ca="1">VLOOKUP($B86,OFFSET(mission_ACH_criteria!$A$1,0,0,COUNTA(mission_ACH_criteria!$A:$A),MATCH(C$2,mission_ACH_criteria!$1:$1,0)-MATCH($B$2,mission_ACH_criteria!$1:$1,0)+1),MATCH(C$2,mission_ACH_criteria!$1:$1,0)-MATCH($B$2,mission_ACH_criteria!$1:$1,0)+1,FALSE)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30 回クリアしよう！</v>
      </c>
      <c r="D86" s="27" t="s">
        <v>1538</v>
      </c>
      <c r="E86" s="31" t="str">
        <f ca="1">VLOOKUP($D86,OFFSET(mission_ACH!$A$2,0,0,COUNTA(mission_ACH!$A:$A),MATCH(E$2,mission_ACH!$2:$2,0)-MATCH($D$2,mission_ACH!$2:$2,0)+1),MATCH(E$2,mission_ACH!$2:$2,0)-MATCH($D$2,mission_ACH!$2:$2,0)+1,FALSE)</f>
        <v>メガ秘術の果実 x 1</v>
      </c>
      <c r="F86" s="31" t="str">
        <f ca="1">VLOOKUP($D86,OFFSET(mission_ACH!$A$2,0,0,COUNTA(mission_ACH!$A:$A),MATCH(F$2,mission_ACH!$2:$2,0)-MATCH($D$2,mission_ACH!$2:$2,0)+1),MATCH(F$2,mission_ACH!$2:$2,0)-MATCH($D$2,mission_ACH!$2:$2,0)+1,FALSE)</f>
        <v>unit</v>
      </c>
      <c r="G86" s="31">
        <f ca="1">VLOOKUP($D86,OFFSET(mission_ACH!$A$2,0,0,COUNTA(mission_ACH!$A:$A),MATCH(G$2,mission_ACH!$2:$2,0)-MATCH($D$2,mission_ACH!$2:$2,0)+1),MATCH(G$2,mission_ACH!$2:$2,0)-MATCH($D$2,mission_ACH!$2:$2,0)+1,FALSE)</f>
        <v>610</v>
      </c>
      <c r="H86" s="31">
        <f ca="1">VLOOKUP($D86,OFFSET(mission_ACH!$A$2,0,0,COUNTA(mission_ACH!$A:$A),MATCH(H$2,mission_ACH!$2:$2,0)-MATCH($D$2,mission_ACH!$2:$2,0)+1),MATCH(H$2,mission_ACH!$2:$2,0)-MATCH($D$2,mission_ACH!$2:$2,0)+1,FALSE)</f>
        <v>1</v>
      </c>
    </row>
    <row r="87" spans="1:8" ht="21" customHeight="1" x14ac:dyDescent="0.15">
      <c r="A87" s="115">
        <v>41302</v>
      </c>
      <c r="B87" s="2" t="s">
        <v>1850</v>
      </c>
      <c r="C87" s="31" t="str">
        <f ca="1">VLOOKUP($B87,OFFSET(mission_ACH_criteria!$A$1,0,0,COUNTA(mission_ACH_criteria!$A:$A),MATCH(C$2,mission_ACH_criteria!$1:$1,0)-MATCH($B$2,mission_ACH_criteria!$1:$1,0)+1),MATCH(C$2,mission_ACH_criteria!$1:$1,0)-MATCH($B$2,mission_ACH_criteria!$1:$1,0)+1,FALSE)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30 回クリアしよう！</v>
      </c>
      <c r="D87" s="27" t="s">
        <v>1851</v>
      </c>
      <c r="E87" s="31" t="str">
        <f ca="1">VLOOKUP($D87,OFFSET(mission_ACH!$A$2,0,0,COUNTA(mission_ACH!$A:$A),MATCH(E$2,mission_ACH!$2:$2,0)-MATCH($D$2,mission_ACH!$2:$2,0)+1),MATCH(E$2,mission_ACH!$2:$2,0)-MATCH($D$2,mission_ACH!$2:$2,0)+1,FALSE)</f>
        <v>ギガ秘術の果実 x 1</v>
      </c>
      <c r="F87" s="31" t="str">
        <f ca="1">VLOOKUP($D87,OFFSET(mission_ACH!$A$2,0,0,COUNTA(mission_ACH!$A:$A),MATCH(F$2,mission_ACH!$2:$2,0)-MATCH($D$2,mission_ACH!$2:$2,0)+1),MATCH(F$2,mission_ACH!$2:$2,0)-MATCH($D$2,mission_ACH!$2:$2,0)+1,FALSE)</f>
        <v>unit</v>
      </c>
      <c r="G87" s="31">
        <f ca="1">VLOOKUP($D87,OFFSET(mission_ACH!$A$2,0,0,COUNTA(mission_ACH!$A:$A),MATCH(G$2,mission_ACH!$2:$2,0)-MATCH($D$2,mission_ACH!$2:$2,0)+1),MATCH(G$2,mission_ACH!$2:$2,0)-MATCH($D$2,mission_ACH!$2:$2,0)+1,FALSE)</f>
        <v>614</v>
      </c>
      <c r="H87" s="31">
        <f ca="1">VLOOKUP($D87,OFFSET(mission_ACH!$A$2,0,0,COUNTA(mission_ACH!$A:$A),MATCH(H$2,mission_ACH!$2:$2,0)-MATCH($D$2,mission_ACH!$2:$2,0)+1),MATCH(H$2,mission_ACH!$2:$2,0)-MATCH($D$2,mission_ACH!$2:$2,0)+1,FALSE)</f>
        <v>1</v>
      </c>
    </row>
    <row r="88" spans="1:8" ht="21" customHeight="1" x14ac:dyDescent="0.15">
      <c r="A88" s="8">
        <v>41400</v>
      </c>
      <c r="B88" s="2" t="s">
        <v>1504</v>
      </c>
      <c r="C88" s="31" t="str">
        <f ca="1">VLOOKUP($B88,OFFSET(mission_ACH_criteria!$A$1,0,0,COUNTA(mission_ACH_criteria!$A:$A),MATCH(C$2,mission_ACH_criteria!$1:$1,0)-MATCH($B$2,mission_ACH_criteria!$1:$1,0)+1),MATCH(C$2,mission_ACH_criteria!$1:$1,0)-MATCH($B$2,mission_ACH_criteria!$1:$1,0)+1,FALSE)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40 回クリアしよう！</v>
      </c>
      <c r="D88" s="27" t="s">
        <v>1539</v>
      </c>
      <c r="E88" s="31" t="str">
        <f ca="1">VLOOKUP($D88,OFFSET(mission_ACH!$A$2,0,0,COUNTA(mission_ACH!$A:$A),MATCH(E$2,mission_ACH!$2:$2,0)-MATCH($D$2,mission_ACH!$2:$2,0)+1),MATCH(E$2,mission_ACH!$2:$2,0)-MATCH($D$2,mission_ACH!$2:$2,0)+1,FALSE)</f>
        <v>ギガ秘術の果実 x 1</v>
      </c>
      <c r="F88" s="31" t="str">
        <f ca="1">VLOOKUP($D88,OFFSET(mission_ACH!$A$2,0,0,COUNTA(mission_ACH!$A:$A),MATCH(F$2,mission_ACH!$2:$2,0)-MATCH($D$2,mission_ACH!$2:$2,0)+1),MATCH(F$2,mission_ACH!$2:$2,0)-MATCH($D$2,mission_ACH!$2:$2,0)+1,FALSE)</f>
        <v>unit</v>
      </c>
      <c r="G88" s="31">
        <f ca="1">VLOOKUP($D88,OFFSET(mission_ACH!$A$2,0,0,COUNTA(mission_ACH!$A:$A),MATCH(G$2,mission_ACH!$2:$2,0)-MATCH($D$2,mission_ACH!$2:$2,0)+1),MATCH(G$2,mission_ACH!$2:$2,0)-MATCH($D$2,mission_ACH!$2:$2,0)+1,FALSE)</f>
        <v>614</v>
      </c>
      <c r="H88" s="31">
        <f ca="1">VLOOKUP($D88,OFFSET(mission_ACH!$A$2,0,0,COUNTA(mission_ACH!$A:$A),MATCH(H$2,mission_ACH!$2:$2,0)-MATCH($D$2,mission_ACH!$2:$2,0)+1),MATCH(H$2,mission_ACH!$2:$2,0)-MATCH($D$2,mission_ACH!$2:$2,0)+1,FALSE)</f>
        <v>1</v>
      </c>
    </row>
    <row r="89" spans="1:8" ht="21" customHeight="1" x14ac:dyDescent="0.15">
      <c r="A89" s="8">
        <v>42030</v>
      </c>
      <c r="B89" s="2" t="s">
        <v>1195</v>
      </c>
      <c r="C89" s="31" t="str">
        <f ca="1">VLOOKUP($B89,OFFSET(mission_ACH_criteria!$A$1,0,0,COUNTA(mission_ACH_criteria!$A:$A),MATCH(C$2,mission_ACH_criteria!$1:$1,0)-MATCH($B$2,mission_ACH_criteria!$1:$1,0)+1),MATCH(C$2,mission_ACH_criteria!$1:$1,0)-MATCH($B$2,mission_ACH_criteria!$1:$1,0)+1,FALSE)</f>
        <v>マルチプレイを 3 回プレイしよう！</v>
      </c>
      <c r="D89" s="27" t="s">
        <v>1142</v>
      </c>
      <c r="E89" s="31" t="str">
        <f ca="1">VLOOKUP($D89,OFFSET(mission_ACH!$A$2,0,0,COUNTA(mission_ACH!$A:$A),MATCH(E$2,mission_ACH!$2:$2,0)-MATCH($D$2,mission_ACH!$2:$2,0)+1),MATCH(E$2,mission_ACH!$2:$2,0)-MATCH($D$2,mission_ACH!$2:$2,0)+1,FALSE)</f>
        <v>メガ攻めの果実 x 1</v>
      </c>
      <c r="F89" s="31" t="str">
        <f ca="1">VLOOKUP($D89,OFFSET(mission_ACH!$A$2,0,0,COUNTA(mission_ACH!$A:$A),MATCH(F$2,mission_ACH!$2:$2,0)-MATCH($D$2,mission_ACH!$2:$2,0)+1),MATCH(F$2,mission_ACH!$2:$2,0)-MATCH($D$2,mission_ACH!$2:$2,0)+1,FALSE)</f>
        <v>unit</v>
      </c>
      <c r="G89" s="31">
        <f ca="1">VLOOKUP($D89,OFFSET(mission_ACH!$A$2,0,0,COUNTA(mission_ACH!$A:$A),MATCH(G$2,mission_ACH!$2:$2,0)-MATCH($D$2,mission_ACH!$2:$2,0)+1),MATCH(G$2,mission_ACH!$2:$2,0)-MATCH($D$2,mission_ACH!$2:$2,0)+1,FALSE)</f>
        <v>607</v>
      </c>
      <c r="H89" s="31">
        <f ca="1">VLOOKUP($D89,OFFSET(mission_ACH!$A$2,0,0,COUNTA(mission_ACH!$A:$A),MATCH(H$2,mission_ACH!$2:$2,0)-MATCH($D$2,mission_ACH!$2:$2,0)+1),MATCH(H$2,mission_ACH!$2:$2,0)-MATCH($D$2,mission_ACH!$2:$2,0)+1,FALSE)</f>
        <v>1</v>
      </c>
    </row>
    <row r="90" spans="1:8" ht="21" customHeight="1" x14ac:dyDescent="0.15">
      <c r="A90" s="8">
        <v>42031</v>
      </c>
      <c r="B90" s="2" t="s">
        <v>1196</v>
      </c>
      <c r="C90" s="31" t="str">
        <f ca="1">VLOOKUP($B90,OFFSET(mission_ACH_criteria!$A$1,0,0,COUNTA(mission_ACH_criteria!$A:$A),MATCH(C$2,mission_ACH_criteria!$1:$1,0)-MATCH($B$2,mission_ACH_criteria!$1:$1,0)+1),MATCH(C$2,mission_ACH_criteria!$1:$1,0)-MATCH($B$2,mission_ACH_criteria!$1:$1,0)+1,FALSE)</f>
        <v>マルチプレイを 3 回プレイしよう！</v>
      </c>
      <c r="D90" s="27" t="s">
        <v>1143</v>
      </c>
      <c r="E90" s="31" t="str">
        <f ca="1">VLOOKUP($D90,OFFSET(mission_ACH!$A$2,0,0,COUNTA(mission_ACH!$A:$A),MATCH(E$2,mission_ACH!$2:$2,0)-MATCH($D$2,mission_ACH!$2:$2,0)+1),MATCH(E$2,mission_ACH!$2:$2,0)-MATCH($D$2,mission_ACH!$2:$2,0)+1,FALSE)</f>
        <v>メガ生命の果実 x 1</v>
      </c>
      <c r="F90" s="31" t="str">
        <f ca="1">VLOOKUP($D90,OFFSET(mission_ACH!$A$2,0,0,COUNTA(mission_ACH!$A:$A),MATCH(F$2,mission_ACH!$2:$2,0)-MATCH($D$2,mission_ACH!$2:$2,0)+1),MATCH(F$2,mission_ACH!$2:$2,0)-MATCH($D$2,mission_ACH!$2:$2,0)+1,FALSE)</f>
        <v>unit</v>
      </c>
      <c r="G90" s="31">
        <f ca="1">VLOOKUP($D90,OFFSET(mission_ACH!$A$2,0,0,COUNTA(mission_ACH!$A:$A),MATCH(G$2,mission_ACH!$2:$2,0)-MATCH($D$2,mission_ACH!$2:$2,0)+1),MATCH(G$2,mission_ACH!$2:$2,0)-MATCH($D$2,mission_ACH!$2:$2,0)+1,FALSE)</f>
        <v>608</v>
      </c>
      <c r="H90" s="31">
        <f ca="1">VLOOKUP($D90,OFFSET(mission_ACH!$A$2,0,0,COUNTA(mission_ACH!$A:$A),MATCH(H$2,mission_ACH!$2:$2,0)-MATCH($D$2,mission_ACH!$2:$2,0)+1),MATCH(H$2,mission_ACH!$2:$2,0)-MATCH($D$2,mission_ACH!$2:$2,0)+1,FALSE)</f>
        <v>1</v>
      </c>
    </row>
    <row r="91" spans="1:8" ht="21" customHeight="1" x14ac:dyDescent="0.15">
      <c r="A91" s="8">
        <v>42032</v>
      </c>
      <c r="B91" s="2" t="s">
        <v>1197</v>
      </c>
      <c r="C91" s="31" t="str">
        <f ca="1">VLOOKUP($B91,OFFSET(mission_ACH_criteria!$A$1,0,0,COUNTA(mission_ACH_criteria!$A:$A),MATCH(C$2,mission_ACH_criteria!$1:$1,0)-MATCH($B$2,mission_ACH_criteria!$1:$1,0)+1),MATCH(C$2,mission_ACH_criteria!$1:$1,0)-MATCH($B$2,mission_ACH_criteria!$1:$1,0)+1,FALSE)</f>
        <v>マルチプレイを 3 回プレイしよう！</v>
      </c>
      <c r="D91" s="27" t="s">
        <v>1144</v>
      </c>
      <c r="E91" s="31" t="str">
        <f ca="1">VLOOKUP($D91,OFFSET(mission_ACH!$A$2,0,0,COUNTA(mission_ACH!$A:$A),MATCH(E$2,mission_ACH!$2:$2,0)-MATCH($D$2,mission_ACH!$2:$2,0)+1),MATCH(E$2,mission_ACH!$2:$2,0)-MATCH($D$2,mission_ACH!$2:$2,0)+1,FALSE)</f>
        <v>メガ癒しの果実 x 1</v>
      </c>
      <c r="F91" s="31" t="str">
        <f ca="1">VLOOKUP($D91,OFFSET(mission_ACH!$A$2,0,0,COUNTA(mission_ACH!$A:$A),MATCH(F$2,mission_ACH!$2:$2,0)-MATCH($D$2,mission_ACH!$2:$2,0)+1),MATCH(F$2,mission_ACH!$2:$2,0)-MATCH($D$2,mission_ACH!$2:$2,0)+1,FALSE)</f>
        <v>unit</v>
      </c>
      <c r="G91" s="31">
        <f ca="1">VLOOKUP($D91,OFFSET(mission_ACH!$A$2,0,0,COUNTA(mission_ACH!$A:$A),MATCH(G$2,mission_ACH!$2:$2,0)-MATCH($D$2,mission_ACH!$2:$2,0)+1),MATCH(G$2,mission_ACH!$2:$2,0)-MATCH($D$2,mission_ACH!$2:$2,0)+1,FALSE)</f>
        <v>609</v>
      </c>
      <c r="H91" s="31">
        <f ca="1">VLOOKUP($D91,OFFSET(mission_ACH!$A$2,0,0,COUNTA(mission_ACH!$A:$A),MATCH(H$2,mission_ACH!$2:$2,0)-MATCH($D$2,mission_ACH!$2:$2,0)+1),MATCH(H$2,mission_ACH!$2:$2,0)-MATCH($D$2,mission_ACH!$2:$2,0)+1,FALSE)</f>
        <v>1</v>
      </c>
    </row>
    <row r="92" spans="1:8" ht="21" customHeight="1" x14ac:dyDescent="0.15">
      <c r="A92" s="8">
        <v>42033</v>
      </c>
      <c r="B92" s="2" t="s">
        <v>1474</v>
      </c>
      <c r="C92" s="31" t="str">
        <f ca="1">VLOOKUP($B92,OFFSET(mission_ACH_criteria!$A$1,0,0,COUNTA(mission_ACH_criteria!$A:$A),MATCH(C$2,mission_ACH_criteria!$1:$1,0)-MATCH($B$2,mission_ACH_criteria!$1:$1,0)+1),MATCH(C$2,mission_ACH_criteria!$1:$1,0)-MATCH($B$2,mission_ACH_criteria!$1:$1,0)+1,FALSE)</f>
        <v>マルチプレイを 3 回プレイしよう！</v>
      </c>
      <c r="D92" s="27" t="s">
        <v>1531</v>
      </c>
      <c r="E92" s="31" t="str">
        <f ca="1">VLOOKUP($D92,OFFSET(mission_ACH!$A$2,0,0,COUNTA(mission_ACH!$A:$A),MATCH(E$2,mission_ACH!$2:$2,0)-MATCH($D$2,mission_ACH!$2:$2,0)+1),MATCH(E$2,mission_ACH!$2:$2,0)-MATCH($D$2,mission_ACH!$2:$2,0)+1,FALSE)</f>
        <v>水のメタルジェントル x 1</v>
      </c>
      <c r="F92" s="31" t="str">
        <f ca="1">VLOOKUP($D92,OFFSET(mission_ACH!$A$2,0,0,COUNTA(mission_ACH!$A:$A),MATCH(F$2,mission_ACH!$2:$2,0)-MATCH($D$2,mission_ACH!$2:$2,0)+1),MATCH(F$2,mission_ACH!$2:$2,0)-MATCH($D$2,mission_ACH!$2:$2,0)+1,FALSE)</f>
        <v>unit</v>
      </c>
      <c r="G92" s="31">
        <f ca="1">VLOOKUP($D92,OFFSET(mission_ACH!$A$2,0,0,COUNTA(mission_ACH!$A:$A),MATCH(G$2,mission_ACH!$2:$2,0)-MATCH($D$2,mission_ACH!$2:$2,0)+1),MATCH(G$2,mission_ACH!$2:$2,0)-MATCH($D$2,mission_ACH!$2:$2,0)+1,FALSE)</f>
        <v>343</v>
      </c>
      <c r="H92" s="31">
        <f ca="1">VLOOKUP($D92,OFFSET(mission_ACH!$A$2,0,0,COUNTA(mission_ACH!$A:$A),MATCH(H$2,mission_ACH!$2:$2,0)-MATCH($D$2,mission_ACH!$2:$2,0)+1),MATCH(H$2,mission_ACH!$2:$2,0)-MATCH($D$2,mission_ACH!$2:$2,0)+1,FALSE)</f>
        <v>1</v>
      </c>
    </row>
    <row r="93" spans="1:8" ht="21" customHeight="1" x14ac:dyDescent="0.15">
      <c r="A93" s="8">
        <v>42050</v>
      </c>
      <c r="B93" s="2" t="s">
        <v>1198</v>
      </c>
      <c r="C93" s="31" t="str">
        <f ca="1">VLOOKUP($B93,OFFSET(mission_ACH_criteria!$A$1,0,0,COUNTA(mission_ACH_criteria!$A:$A),MATCH(C$2,mission_ACH_criteria!$1:$1,0)-MATCH($B$2,mission_ACH_criteria!$1:$1,0)+1),MATCH(C$2,mission_ACH_criteria!$1:$1,0)-MATCH($B$2,mission_ACH_criteria!$1:$1,0)+1,FALSE)</f>
        <v>マルチプレイを 5 回プレイしよう！</v>
      </c>
      <c r="D93" s="27" t="s">
        <v>456</v>
      </c>
      <c r="E93" s="31" t="str">
        <f ca="1">VLOOKUP($D93,OFFSET(mission_ACH!$A$2,0,0,COUNTA(mission_ACH!$A:$A),MATCH(E$2,mission_ACH!$2:$2,0)-MATCH($D$2,mission_ACH!$2:$2,0)+1),MATCH(E$2,mission_ACH!$2:$2,0)-MATCH($D$2,mission_ACH!$2:$2,0)+1,FALSE)</f>
        <v>炎のメタルダック x 1</v>
      </c>
      <c r="F93" s="31" t="str">
        <f ca="1">VLOOKUP($D93,OFFSET(mission_ACH!$A$2,0,0,COUNTA(mission_ACH!$A:$A),MATCH(F$2,mission_ACH!$2:$2,0)-MATCH($D$2,mission_ACH!$2:$2,0)+1),MATCH(F$2,mission_ACH!$2:$2,0)-MATCH($D$2,mission_ACH!$2:$2,0)+1,FALSE)</f>
        <v>unit</v>
      </c>
      <c r="G93" s="31">
        <f ca="1">VLOOKUP($D93,OFFSET(mission_ACH!$A$2,0,0,COUNTA(mission_ACH!$A:$A),MATCH(G$2,mission_ACH!$2:$2,0)-MATCH($D$2,mission_ACH!$2:$2,0)+1),MATCH(G$2,mission_ACH!$2:$2,0)-MATCH($D$2,mission_ACH!$2:$2,0)+1,FALSE)</f>
        <v>334</v>
      </c>
      <c r="H93" s="31">
        <f ca="1">VLOOKUP($D93,OFFSET(mission_ACH!$A$2,0,0,COUNTA(mission_ACH!$A:$A),MATCH(H$2,mission_ACH!$2:$2,0)-MATCH($D$2,mission_ACH!$2:$2,0)+1),MATCH(H$2,mission_ACH!$2:$2,0)-MATCH($D$2,mission_ACH!$2:$2,0)+1,FALSE)</f>
        <v>1</v>
      </c>
    </row>
    <row r="94" spans="1:8" ht="21" customHeight="1" x14ac:dyDescent="0.15">
      <c r="A94" s="8">
        <v>42051</v>
      </c>
      <c r="B94" s="2" t="s">
        <v>1199</v>
      </c>
      <c r="C94" s="31" t="str">
        <f ca="1">VLOOKUP($B94,OFFSET(mission_ACH_criteria!$A$1,0,0,COUNTA(mission_ACH_criteria!$A:$A),MATCH(C$2,mission_ACH_criteria!$1:$1,0)-MATCH($B$2,mission_ACH_criteria!$1:$1,0)+1),MATCH(C$2,mission_ACH_criteria!$1:$1,0)-MATCH($B$2,mission_ACH_criteria!$1:$1,0)+1,FALSE)</f>
        <v>マルチプレイを 5 回プレイしよう！</v>
      </c>
      <c r="D94" s="27" t="s">
        <v>1217</v>
      </c>
      <c r="E94" s="31" t="str">
        <f ca="1">VLOOKUP($D94,OFFSET(mission_ACH!$A$2,0,0,COUNTA(mission_ACH!$A:$A),MATCH(E$2,mission_ACH!$2:$2,0)-MATCH($D$2,mission_ACH!$2:$2,0)+1),MATCH(E$2,mission_ACH!$2:$2,0)-MATCH($D$2,mission_ACH!$2:$2,0)+1,FALSE)</f>
        <v>森のメタルダック x 1</v>
      </c>
      <c r="F94" s="31" t="str">
        <f ca="1">VLOOKUP($D94,OFFSET(mission_ACH!$A$2,0,0,COUNTA(mission_ACH!$A:$A),MATCH(F$2,mission_ACH!$2:$2,0)-MATCH($D$2,mission_ACH!$2:$2,0)+1),MATCH(F$2,mission_ACH!$2:$2,0)-MATCH($D$2,mission_ACH!$2:$2,0)+1,FALSE)</f>
        <v>unit</v>
      </c>
      <c r="G94" s="31">
        <f ca="1">VLOOKUP($D94,OFFSET(mission_ACH!$A$2,0,0,COUNTA(mission_ACH!$A:$A),MATCH(G$2,mission_ACH!$2:$2,0)-MATCH($D$2,mission_ACH!$2:$2,0)+1),MATCH(G$2,mission_ACH!$2:$2,0)-MATCH($D$2,mission_ACH!$2:$2,0)+1,FALSE)</f>
        <v>338</v>
      </c>
      <c r="H94" s="31">
        <f ca="1">VLOOKUP($D94,OFFSET(mission_ACH!$A$2,0,0,COUNTA(mission_ACH!$A:$A),MATCH(H$2,mission_ACH!$2:$2,0)-MATCH($D$2,mission_ACH!$2:$2,0)+1),MATCH(H$2,mission_ACH!$2:$2,0)-MATCH($D$2,mission_ACH!$2:$2,0)+1,FALSE)</f>
        <v>1</v>
      </c>
    </row>
    <row r="95" spans="1:8" ht="21" customHeight="1" x14ac:dyDescent="0.15">
      <c r="A95" s="8">
        <v>42052</v>
      </c>
      <c r="B95" s="2" t="s">
        <v>1200</v>
      </c>
      <c r="C95" s="31" t="str">
        <f ca="1">VLOOKUP($B95,OFFSET(mission_ACH_criteria!$A$1,0,0,COUNTA(mission_ACH_criteria!$A:$A),MATCH(C$2,mission_ACH_criteria!$1:$1,0)-MATCH($B$2,mission_ACH_criteria!$1:$1,0)+1),MATCH(C$2,mission_ACH_criteria!$1:$1,0)-MATCH($B$2,mission_ACH_criteria!$1:$1,0)+1,FALSE)</f>
        <v>マルチプレイを 5 回プレイしよう！</v>
      </c>
      <c r="D95" s="27" t="s">
        <v>1218</v>
      </c>
      <c r="E95" s="31" t="str">
        <f ca="1">VLOOKUP($D95,OFFSET(mission_ACH!$A$2,0,0,COUNTA(mission_ACH!$A:$A),MATCH(E$2,mission_ACH!$2:$2,0)-MATCH($D$2,mission_ACH!$2:$2,0)+1),MATCH(E$2,mission_ACH!$2:$2,0)-MATCH($D$2,mission_ACH!$2:$2,0)+1,FALSE)</f>
        <v>水のメタルダック x 1</v>
      </c>
      <c r="F95" s="31" t="str">
        <f ca="1">VLOOKUP($D95,OFFSET(mission_ACH!$A$2,0,0,COUNTA(mission_ACH!$A:$A),MATCH(F$2,mission_ACH!$2:$2,0)-MATCH($D$2,mission_ACH!$2:$2,0)+1),MATCH(F$2,mission_ACH!$2:$2,0)-MATCH($D$2,mission_ACH!$2:$2,0)+1,FALSE)</f>
        <v>unit</v>
      </c>
      <c r="G95" s="31">
        <f ca="1">VLOOKUP($D95,OFFSET(mission_ACH!$A$2,0,0,COUNTA(mission_ACH!$A:$A),MATCH(G$2,mission_ACH!$2:$2,0)-MATCH($D$2,mission_ACH!$2:$2,0)+1),MATCH(G$2,mission_ACH!$2:$2,0)-MATCH($D$2,mission_ACH!$2:$2,0)+1,FALSE)</f>
        <v>342</v>
      </c>
      <c r="H95" s="31">
        <f ca="1">VLOOKUP($D95,OFFSET(mission_ACH!$A$2,0,0,COUNTA(mission_ACH!$A:$A),MATCH(H$2,mission_ACH!$2:$2,0)-MATCH($D$2,mission_ACH!$2:$2,0)+1),MATCH(H$2,mission_ACH!$2:$2,0)-MATCH($D$2,mission_ACH!$2:$2,0)+1,FALSE)</f>
        <v>1</v>
      </c>
    </row>
    <row r="96" spans="1:8" ht="21" customHeight="1" x14ac:dyDescent="0.15">
      <c r="A96" s="8">
        <v>42053</v>
      </c>
      <c r="B96" s="2" t="s">
        <v>1201</v>
      </c>
      <c r="C96" s="31" t="str">
        <f ca="1">VLOOKUP($B96,OFFSET(mission_ACH_criteria!$A$1,0,0,COUNTA(mission_ACH_criteria!$A:$A),MATCH(C$2,mission_ACH_criteria!$1:$1,0)-MATCH($B$2,mission_ACH_criteria!$1:$1,0)+1),MATCH(C$2,mission_ACH_criteria!$1:$1,0)-MATCH($B$2,mission_ACH_criteria!$1:$1,0)+1,FALSE)</f>
        <v>マルチプレイを 5 回プレイしよう！</v>
      </c>
      <c r="D96" s="27" t="s">
        <v>1219</v>
      </c>
      <c r="E96" s="31" t="str">
        <f ca="1">VLOOKUP($D96,OFFSET(mission_ACH!$A$2,0,0,COUNTA(mission_ACH!$A:$A),MATCH(E$2,mission_ACH!$2:$2,0)-MATCH($D$2,mission_ACH!$2:$2,0)+1),MATCH(E$2,mission_ACH!$2:$2,0)-MATCH($D$2,mission_ACH!$2:$2,0)+1,FALSE)</f>
        <v>雷のメタルダック x 1</v>
      </c>
      <c r="F96" s="31" t="str">
        <f ca="1">VLOOKUP($D96,OFFSET(mission_ACH!$A$2,0,0,COUNTA(mission_ACH!$A:$A),MATCH(F$2,mission_ACH!$2:$2,0)-MATCH($D$2,mission_ACH!$2:$2,0)+1),MATCH(F$2,mission_ACH!$2:$2,0)-MATCH($D$2,mission_ACH!$2:$2,0)+1,FALSE)</f>
        <v>unit</v>
      </c>
      <c r="G96" s="31">
        <f ca="1">VLOOKUP($D96,OFFSET(mission_ACH!$A$2,0,0,COUNTA(mission_ACH!$A:$A),MATCH(G$2,mission_ACH!$2:$2,0)-MATCH($D$2,mission_ACH!$2:$2,0)+1),MATCH(G$2,mission_ACH!$2:$2,0)-MATCH($D$2,mission_ACH!$2:$2,0)+1,FALSE)</f>
        <v>346</v>
      </c>
      <c r="H96" s="31">
        <f ca="1">VLOOKUP($D96,OFFSET(mission_ACH!$A$2,0,0,COUNTA(mission_ACH!$A:$A),MATCH(H$2,mission_ACH!$2:$2,0)-MATCH($D$2,mission_ACH!$2:$2,0)+1),MATCH(H$2,mission_ACH!$2:$2,0)-MATCH($D$2,mission_ACH!$2:$2,0)+1,FALSE)</f>
        <v>1</v>
      </c>
    </row>
    <row r="97" spans="1:8" ht="21" customHeight="1" x14ac:dyDescent="0.15">
      <c r="A97" s="8">
        <v>42054</v>
      </c>
      <c r="B97" s="2" t="s">
        <v>1476</v>
      </c>
      <c r="C97" s="31" t="str">
        <f ca="1">VLOOKUP($B97,OFFSET(mission_ACH_criteria!$A$1,0,0,COUNTA(mission_ACH_criteria!$A:$A),MATCH(C$2,mission_ACH_criteria!$1:$1,0)-MATCH($B$2,mission_ACH_criteria!$1:$1,0)+1),MATCH(C$2,mission_ACH_criteria!$1:$1,0)-MATCH($B$2,mission_ACH_criteria!$1:$1,0)+1,FALSE)</f>
        <v>マルチプレイを 5 回プレイしよう！</v>
      </c>
      <c r="D97" s="27" t="s">
        <v>1533</v>
      </c>
      <c r="E97" s="31" t="str">
        <f ca="1">VLOOKUP($D97,OFFSET(mission_ACH!$A$2,0,0,COUNTA(mission_ACH!$A:$A),MATCH(E$2,mission_ACH!$2:$2,0)-MATCH($D$2,mission_ACH!$2:$2,0)+1),MATCH(E$2,mission_ACH!$2:$2,0)-MATCH($D$2,mission_ACH!$2:$2,0)+1,FALSE)</f>
        <v>炎のメタルジェントル x 1</v>
      </c>
      <c r="F97" s="31" t="str">
        <f ca="1">VLOOKUP($D97,OFFSET(mission_ACH!$A$2,0,0,COUNTA(mission_ACH!$A:$A),MATCH(F$2,mission_ACH!$2:$2,0)-MATCH($D$2,mission_ACH!$2:$2,0)+1),MATCH(F$2,mission_ACH!$2:$2,0)-MATCH($D$2,mission_ACH!$2:$2,0)+1,FALSE)</f>
        <v>unit</v>
      </c>
      <c r="G97" s="31">
        <f ca="1">VLOOKUP($D97,OFFSET(mission_ACH!$A$2,0,0,COUNTA(mission_ACH!$A:$A),MATCH(G$2,mission_ACH!$2:$2,0)-MATCH($D$2,mission_ACH!$2:$2,0)+1),MATCH(G$2,mission_ACH!$2:$2,0)-MATCH($D$2,mission_ACH!$2:$2,0)+1,FALSE)</f>
        <v>335</v>
      </c>
      <c r="H97" s="31">
        <f ca="1">VLOOKUP($D97,OFFSET(mission_ACH!$A$2,0,0,COUNTA(mission_ACH!$A:$A),MATCH(H$2,mission_ACH!$2:$2,0)-MATCH($D$2,mission_ACH!$2:$2,0)+1),MATCH(H$2,mission_ACH!$2:$2,0)-MATCH($D$2,mission_ACH!$2:$2,0)+1,FALSE)</f>
        <v>1</v>
      </c>
    </row>
    <row r="98" spans="1:8" ht="21" customHeight="1" x14ac:dyDescent="0.15">
      <c r="A98" s="8">
        <v>42100</v>
      </c>
      <c r="B98" s="2" t="s">
        <v>1202</v>
      </c>
      <c r="C98" s="31" t="str">
        <f ca="1">VLOOKUP($B98,OFFSET(mission_ACH_criteria!$A$1,0,0,COUNTA(mission_ACH_criteria!$A:$A),MATCH(C$2,mission_ACH_criteria!$1:$1,0)-MATCH($B$2,mission_ACH_criteria!$1:$1,0)+1),MATCH(C$2,mission_ACH_criteria!$1:$1,0)-MATCH($B$2,mission_ACH_criteria!$1:$1,0)+1,FALSE)</f>
        <v>マルチプレイを 10 回プレイしよう！</v>
      </c>
      <c r="D98" s="27" t="s">
        <v>1142</v>
      </c>
      <c r="E98" s="31" t="str">
        <f ca="1">VLOOKUP($D98,OFFSET(mission_ACH!$A$2,0,0,COUNTA(mission_ACH!$A:$A),MATCH(E$2,mission_ACH!$2:$2,0)-MATCH($D$2,mission_ACH!$2:$2,0)+1),MATCH(E$2,mission_ACH!$2:$2,0)-MATCH($D$2,mission_ACH!$2:$2,0)+1,FALSE)</f>
        <v>メガ攻めの果実 x 1</v>
      </c>
      <c r="F98" s="31" t="str">
        <f ca="1">VLOOKUP($D98,OFFSET(mission_ACH!$A$2,0,0,COUNTA(mission_ACH!$A:$A),MATCH(F$2,mission_ACH!$2:$2,0)-MATCH($D$2,mission_ACH!$2:$2,0)+1),MATCH(F$2,mission_ACH!$2:$2,0)-MATCH($D$2,mission_ACH!$2:$2,0)+1,FALSE)</f>
        <v>unit</v>
      </c>
      <c r="G98" s="31">
        <f ca="1">VLOOKUP($D98,OFFSET(mission_ACH!$A$2,0,0,COUNTA(mission_ACH!$A:$A),MATCH(G$2,mission_ACH!$2:$2,0)-MATCH($D$2,mission_ACH!$2:$2,0)+1),MATCH(G$2,mission_ACH!$2:$2,0)-MATCH($D$2,mission_ACH!$2:$2,0)+1,FALSE)</f>
        <v>607</v>
      </c>
      <c r="H98" s="31">
        <f ca="1">VLOOKUP($D98,OFFSET(mission_ACH!$A$2,0,0,COUNTA(mission_ACH!$A:$A),MATCH(H$2,mission_ACH!$2:$2,0)-MATCH($D$2,mission_ACH!$2:$2,0)+1),MATCH(H$2,mission_ACH!$2:$2,0)-MATCH($D$2,mission_ACH!$2:$2,0)+1,FALSE)</f>
        <v>1</v>
      </c>
    </row>
    <row r="99" spans="1:8" ht="21" customHeight="1" x14ac:dyDescent="0.15">
      <c r="A99" s="8">
        <v>42101</v>
      </c>
      <c r="B99" s="2" t="s">
        <v>1203</v>
      </c>
      <c r="C99" s="31" t="str">
        <f ca="1">VLOOKUP($B99,OFFSET(mission_ACH_criteria!$A$1,0,0,COUNTA(mission_ACH_criteria!$A:$A),MATCH(C$2,mission_ACH_criteria!$1:$1,0)-MATCH($B$2,mission_ACH_criteria!$1:$1,0)+1),MATCH(C$2,mission_ACH_criteria!$1:$1,0)-MATCH($B$2,mission_ACH_criteria!$1:$1,0)+1,FALSE)</f>
        <v>マルチプレイを 10 回プレイしよう！</v>
      </c>
      <c r="D99" s="27" t="s">
        <v>1143</v>
      </c>
      <c r="E99" s="31" t="str">
        <f ca="1">VLOOKUP($D99,OFFSET(mission_ACH!$A$2,0,0,COUNTA(mission_ACH!$A:$A),MATCH(E$2,mission_ACH!$2:$2,0)-MATCH($D$2,mission_ACH!$2:$2,0)+1),MATCH(E$2,mission_ACH!$2:$2,0)-MATCH($D$2,mission_ACH!$2:$2,0)+1,FALSE)</f>
        <v>メガ生命の果実 x 1</v>
      </c>
      <c r="F99" s="31" t="str">
        <f ca="1">VLOOKUP($D99,OFFSET(mission_ACH!$A$2,0,0,COUNTA(mission_ACH!$A:$A),MATCH(F$2,mission_ACH!$2:$2,0)-MATCH($D$2,mission_ACH!$2:$2,0)+1),MATCH(F$2,mission_ACH!$2:$2,0)-MATCH($D$2,mission_ACH!$2:$2,0)+1,FALSE)</f>
        <v>unit</v>
      </c>
      <c r="G99" s="31">
        <f ca="1">VLOOKUP($D99,OFFSET(mission_ACH!$A$2,0,0,COUNTA(mission_ACH!$A:$A),MATCH(G$2,mission_ACH!$2:$2,0)-MATCH($D$2,mission_ACH!$2:$2,0)+1),MATCH(G$2,mission_ACH!$2:$2,0)-MATCH($D$2,mission_ACH!$2:$2,0)+1,FALSE)</f>
        <v>608</v>
      </c>
      <c r="H99" s="31">
        <f ca="1">VLOOKUP($D99,OFFSET(mission_ACH!$A$2,0,0,COUNTA(mission_ACH!$A:$A),MATCH(H$2,mission_ACH!$2:$2,0)-MATCH($D$2,mission_ACH!$2:$2,0)+1),MATCH(H$2,mission_ACH!$2:$2,0)-MATCH($D$2,mission_ACH!$2:$2,0)+1,FALSE)</f>
        <v>1</v>
      </c>
    </row>
    <row r="100" spans="1:8" ht="21" customHeight="1" x14ac:dyDescent="0.15">
      <c r="A100" s="8">
        <v>42102</v>
      </c>
      <c r="B100" s="2" t="s">
        <v>1204</v>
      </c>
      <c r="C100" s="31" t="str">
        <f ca="1">VLOOKUP($B100,OFFSET(mission_ACH_criteria!$A$1,0,0,COUNTA(mission_ACH_criteria!$A:$A),MATCH(C$2,mission_ACH_criteria!$1:$1,0)-MATCH($B$2,mission_ACH_criteria!$1:$1,0)+1),MATCH(C$2,mission_ACH_criteria!$1:$1,0)-MATCH($B$2,mission_ACH_criteria!$1:$1,0)+1,FALSE)</f>
        <v>マルチプレイを 10 回プレイしよう！</v>
      </c>
      <c r="D100" s="27" t="s">
        <v>1144</v>
      </c>
      <c r="E100" s="31" t="str">
        <f ca="1">VLOOKUP($D100,OFFSET(mission_ACH!$A$2,0,0,COUNTA(mission_ACH!$A:$A),MATCH(E$2,mission_ACH!$2:$2,0)-MATCH($D$2,mission_ACH!$2:$2,0)+1),MATCH(E$2,mission_ACH!$2:$2,0)-MATCH($D$2,mission_ACH!$2:$2,0)+1,FALSE)</f>
        <v>メガ癒しの果実 x 1</v>
      </c>
      <c r="F100" s="31" t="str">
        <f ca="1">VLOOKUP($D100,OFFSET(mission_ACH!$A$2,0,0,COUNTA(mission_ACH!$A:$A),MATCH(F$2,mission_ACH!$2:$2,0)-MATCH($D$2,mission_ACH!$2:$2,0)+1),MATCH(F$2,mission_ACH!$2:$2,0)-MATCH($D$2,mission_ACH!$2:$2,0)+1,FALSE)</f>
        <v>unit</v>
      </c>
      <c r="G100" s="31">
        <f ca="1">VLOOKUP($D100,OFFSET(mission_ACH!$A$2,0,0,COUNTA(mission_ACH!$A:$A),MATCH(G$2,mission_ACH!$2:$2,0)-MATCH($D$2,mission_ACH!$2:$2,0)+1),MATCH(G$2,mission_ACH!$2:$2,0)-MATCH($D$2,mission_ACH!$2:$2,0)+1,FALSE)</f>
        <v>609</v>
      </c>
      <c r="H100" s="31">
        <f ca="1">VLOOKUP($D100,OFFSET(mission_ACH!$A$2,0,0,COUNTA(mission_ACH!$A:$A),MATCH(H$2,mission_ACH!$2:$2,0)-MATCH($D$2,mission_ACH!$2:$2,0)+1),MATCH(H$2,mission_ACH!$2:$2,0)-MATCH($D$2,mission_ACH!$2:$2,0)+1,FALSE)</f>
        <v>1</v>
      </c>
    </row>
    <row r="101" spans="1:8" ht="21" customHeight="1" x14ac:dyDescent="0.15">
      <c r="A101" s="8">
        <v>42103</v>
      </c>
      <c r="B101" s="2" t="s">
        <v>1478</v>
      </c>
      <c r="C101" s="31" t="str">
        <f ca="1">VLOOKUP($B101,OFFSET(mission_ACH_criteria!$A$1,0,0,COUNTA(mission_ACH_criteria!$A:$A),MATCH(C$2,mission_ACH_criteria!$1:$1,0)-MATCH($B$2,mission_ACH_criteria!$1:$1,0)+1),MATCH(C$2,mission_ACH_criteria!$1:$1,0)-MATCH($B$2,mission_ACH_criteria!$1:$1,0)+1,FALSE)</f>
        <v>マルチプレイを 10 回プレイしよう！</v>
      </c>
      <c r="D101" s="27" t="s">
        <v>1145</v>
      </c>
      <c r="E101" s="31" t="str">
        <f ca="1">VLOOKUP($D101,OFFSET(mission_ACH!$A$2,0,0,COUNTA(mission_ACH!$A:$A),MATCH(E$2,mission_ACH!$2:$2,0)-MATCH($D$2,mission_ACH!$2:$2,0)+1),MATCH(E$2,mission_ACH!$2:$2,0)-MATCH($D$2,mission_ACH!$2:$2,0)+1,FALSE)</f>
        <v>ギガ生命の果実 x 1</v>
      </c>
      <c r="F101" s="31" t="str">
        <f ca="1">VLOOKUP($D101,OFFSET(mission_ACH!$A$2,0,0,COUNTA(mission_ACH!$A:$A),MATCH(F$2,mission_ACH!$2:$2,0)-MATCH($D$2,mission_ACH!$2:$2,0)+1),MATCH(F$2,mission_ACH!$2:$2,0)-MATCH($D$2,mission_ACH!$2:$2,0)+1,FALSE)</f>
        <v>unit</v>
      </c>
      <c r="G101" s="31">
        <f ca="1">VLOOKUP($D101,OFFSET(mission_ACH!$A$2,0,0,COUNTA(mission_ACH!$A:$A),MATCH(G$2,mission_ACH!$2:$2,0)-MATCH($D$2,mission_ACH!$2:$2,0)+1),MATCH(G$2,mission_ACH!$2:$2,0)-MATCH($D$2,mission_ACH!$2:$2,0)+1,FALSE)</f>
        <v>612</v>
      </c>
      <c r="H101" s="31">
        <f ca="1">VLOOKUP($D101,OFFSET(mission_ACH!$A$2,0,0,COUNTA(mission_ACH!$A:$A),MATCH(H$2,mission_ACH!$2:$2,0)-MATCH($D$2,mission_ACH!$2:$2,0)+1),MATCH(H$2,mission_ACH!$2:$2,0)-MATCH($D$2,mission_ACH!$2:$2,0)+1,FALSE)</f>
        <v>1</v>
      </c>
    </row>
    <row r="102" spans="1:8" ht="21" customHeight="1" x14ac:dyDescent="0.15">
      <c r="A102" s="8">
        <v>42150</v>
      </c>
      <c r="B102" s="2" t="s">
        <v>1205</v>
      </c>
      <c r="C102" s="31" t="str">
        <f ca="1">VLOOKUP($B102,OFFSET(mission_ACH_criteria!$A$1,0,0,COUNTA(mission_ACH_criteria!$A:$A),MATCH(C$2,mission_ACH_criteria!$1:$1,0)-MATCH($B$2,mission_ACH_criteria!$1:$1,0)+1),MATCH(C$2,mission_ACH_criteria!$1:$1,0)-MATCH($B$2,mission_ACH_criteria!$1:$1,0)+1,FALSE)</f>
        <v>マルチプレイを 15 回プレイしよう！</v>
      </c>
      <c r="D102" s="27" t="s">
        <v>456</v>
      </c>
      <c r="E102" s="31" t="str">
        <f ca="1">VLOOKUP($D102,OFFSET(mission_ACH!$A$2,0,0,COUNTA(mission_ACH!$A:$A),MATCH(E$2,mission_ACH!$2:$2,0)-MATCH($D$2,mission_ACH!$2:$2,0)+1),MATCH(E$2,mission_ACH!$2:$2,0)-MATCH($D$2,mission_ACH!$2:$2,0)+1,FALSE)</f>
        <v>炎のメタルダック x 1</v>
      </c>
      <c r="F102" s="31" t="str">
        <f ca="1">VLOOKUP($D102,OFFSET(mission_ACH!$A$2,0,0,COUNTA(mission_ACH!$A:$A),MATCH(F$2,mission_ACH!$2:$2,0)-MATCH($D$2,mission_ACH!$2:$2,0)+1),MATCH(F$2,mission_ACH!$2:$2,0)-MATCH($D$2,mission_ACH!$2:$2,0)+1,FALSE)</f>
        <v>unit</v>
      </c>
      <c r="G102" s="31">
        <f ca="1">VLOOKUP($D102,OFFSET(mission_ACH!$A$2,0,0,COUNTA(mission_ACH!$A:$A),MATCH(G$2,mission_ACH!$2:$2,0)-MATCH($D$2,mission_ACH!$2:$2,0)+1),MATCH(G$2,mission_ACH!$2:$2,0)-MATCH($D$2,mission_ACH!$2:$2,0)+1,FALSE)</f>
        <v>334</v>
      </c>
      <c r="H102" s="31">
        <f ca="1">VLOOKUP($D102,OFFSET(mission_ACH!$A$2,0,0,COUNTA(mission_ACH!$A:$A),MATCH(H$2,mission_ACH!$2:$2,0)-MATCH($D$2,mission_ACH!$2:$2,0)+1),MATCH(H$2,mission_ACH!$2:$2,0)-MATCH($D$2,mission_ACH!$2:$2,0)+1,FALSE)</f>
        <v>1</v>
      </c>
    </row>
    <row r="103" spans="1:8" ht="21" customHeight="1" x14ac:dyDescent="0.15">
      <c r="A103" s="8">
        <v>42151</v>
      </c>
      <c r="B103" s="2" t="s">
        <v>1206</v>
      </c>
      <c r="C103" s="31" t="str">
        <f ca="1">VLOOKUP($B103,OFFSET(mission_ACH_criteria!$A$1,0,0,COUNTA(mission_ACH_criteria!$A:$A),MATCH(C$2,mission_ACH_criteria!$1:$1,0)-MATCH($B$2,mission_ACH_criteria!$1:$1,0)+1),MATCH(C$2,mission_ACH_criteria!$1:$1,0)-MATCH($B$2,mission_ACH_criteria!$1:$1,0)+1,FALSE)</f>
        <v>マルチプレイを 15 回プレイしよう！</v>
      </c>
      <c r="D103" s="27" t="s">
        <v>1217</v>
      </c>
      <c r="E103" s="31" t="str">
        <f ca="1">VLOOKUP($D103,OFFSET(mission_ACH!$A$2,0,0,COUNTA(mission_ACH!$A:$A),MATCH(E$2,mission_ACH!$2:$2,0)-MATCH($D$2,mission_ACH!$2:$2,0)+1),MATCH(E$2,mission_ACH!$2:$2,0)-MATCH($D$2,mission_ACH!$2:$2,0)+1,FALSE)</f>
        <v>森のメタルダック x 1</v>
      </c>
      <c r="F103" s="31" t="str">
        <f ca="1">VLOOKUP($D103,OFFSET(mission_ACH!$A$2,0,0,COUNTA(mission_ACH!$A:$A),MATCH(F$2,mission_ACH!$2:$2,0)-MATCH($D$2,mission_ACH!$2:$2,0)+1),MATCH(F$2,mission_ACH!$2:$2,0)-MATCH($D$2,mission_ACH!$2:$2,0)+1,FALSE)</f>
        <v>unit</v>
      </c>
      <c r="G103" s="31">
        <f ca="1">VLOOKUP($D103,OFFSET(mission_ACH!$A$2,0,0,COUNTA(mission_ACH!$A:$A),MATCH(G$2,mission_ACH!$2:$2,0)-MATCH($D$2,mission_ACH!$2:$2,0)+1),MATCH(G$2,mission_ACH!$2:$2,0)-MATCH($D$2,mission_ACH!$2:$2,0)+1,FALSE)</f>
        <v>338</v>
      </c>
      <c r="H103" s="31">
        <f ca="1">VLOOKUP($D103,OFFSET(mission_ACH!$A$2,0,0,COUNTA(mission_ACH!$A:$A),MATCH(H$2,mission_ACH!$2:$2,0)-MATCH($D$2,mission_ACH!$2:$2,0)+1),MATCH(H$2,mission_ACH!$2:$2,0)-MATCH($D$2,mission_ACH!$2:$2,0)+1,FALSE)</f>
        <v>1</v>
      </c>
    </row>
    <row r="104" spans="1:8" ht="21" customHeight="1" x14ac:dyDescent="0.15">
      <c r="A104" s="8">
        <v>42152</v>
      </c>
      <c r="B104" s="2" t="s">
        <v>1207</v>
      </c>
      <c r="C104" s="31" t="str">
        <f ca="1">VLOOKUP($B104,OFFSET(mission_ACH_criteria!$A$1,0,0,COUNTA(mission_ACH_criteria!$A:$A),MATCH(C$2,mission_ACH_criteria!$1:$1,0)-MATCH($B$2,mission_ACH_criteria!$1:$1,0)+1),MATCH(C$2,mission_ACH_criteria!$1:$1,0)-MATCH($B$2,mission_ACH_criteria!$1:$1,0)+1,FALSE)</f>
        <v>マルチプレイを 15 回プレイしよう！</v>
      </c>
      <c r="D104" s="27" t="s">
        <v>1218</v>
      </c>
      <c r="E104" s="31" t="str">
        <f ca="1">VLOOKUP($D104,OFFSET(mission_ACH!$A$2,0,0,COUNTA(mission_ACH!$A:$A),MATCH(E$2,mission_ACH!$2:$2,0)-MATCH($D$2,mission_ACH!$2:$2,0)+1),MATCH(E$2,mission_ACH!$2:$2,0)-MATCH($D$2,mission_ACH!$2:$2,0)+1,FALSE)</f>
        <v>水のメタルダック x 1</v>
      </c>
      <c r="F104" s="31" t="str">
        <f ca="1">VLOOKUP($D104,OFFSET(mission_ACH!$A$2,0,0,COUNTA(mission_ACH!$A:$A),MATCH(F$2,mission_ACH!$2:$2,0)-MATCH($D$2,mission_ACH!$2:$2,0)+1),MATCH(F$2,mission_ACH!$2:$2,0)-MATCH($D$2,mission_ACH!$2:$2,0)+1,FALSE)</f>
        <v>unit</v>
      </c>
      <c r="G104" s="31">
        <f ca="1">VLOOKUP($D104,OFFSET(mission_ACH!$A$2,0,0,COUNTA(mission_ACH!$A:$A),MATCH(G$2,mission_ACH!$2:$2,0)-MATCH($D$2,mission_ACH!$2:$2,0)+1),MATCH(G$2,mission_ACH!$2:$2,0)-MATCH($D$2,mission_ACH!$2:$2,0)+1,FALSE)</f>
        <v>342</v>
      </c>
      <c r="H104" s="31">
        <f ca="1">VLOOKUP($D104,OFFSET(mission_ACH!$A$2,0,0,COUNTA(mission_ACH!$A:$A),MATCH(H$2,mission_ACH!$2:$2,0)-MATCH($D$2,mission_ACH!$2:$2,0)+1),MATCH(H$2,mission_ACH!$2:$2,0)-MATCH($D$2,mission_ACH!$2:$2,0)+1,FALSE)</f>
        <v>1</v>
      </c>
    </row>
    <row r="105" spans="1:8" ht="21" customHeight="1" x14ac:dyDescent="0.15">
      <c r="A105" s="8">
        <v>42153</v>
      </c>
      <c r="B105" s="2" t="s">
        <v>1208</v>
      </c>
      <c r="C105" s="31" t="str">
        <f ca="1">VLOOKUP($B105,OFFSET(mission_ACH_criteria!$A$1,0,0,COUNTA(mission_ACH_criteria!$A:$A),MATCH(C$2,mission_ACH_criteria!$1:$1,0)-MATCH($B$2,mission_ACH_criteria!$1:$1,0)+1),MATCH(C$2,mission_ACH_criteria!$1:$1,0)-MATCH($B$2,mission_ACH_criteria!$1:$1,0)+1,FALSE)</f>
        <v>マルチプレイを 15 回プレイしよう！</v>
      </c>
      <c r="D105" s="27" t="s">
        <v>1219</v>
      </c>
      <c r="E105" s="31" t="str">
        <f ca="1">VLOOKUP($D105,OFFSET(mission_ACH!$A$2,0,0,COUNTA(mission_ACH!$A:$A),MATCH(E$2,mission_ACH!$2:$2,0)-MATCH($D$2,mission_ACH!$2:$2,0)+1),MATCH(E$2,mission_ACH!$2:$2,0)-MATCH($D$2,mission_ACH!$2:$2,0)+1,FALSE)</f>
        <v>雷のメタルダック x 1</v>
      </c>
      <c r="F105" s="31" t="str">
        <f ca="1">VLOOKUP($D105,OFFSET(mission_ACH!$A$2,0,0,COUNTA(mission_ACH!$A:$A),MATCH(F$2,mission_ACH!$2:$2,0)-MATCH($D$2,mission_ACH!$2:$2,0)+1),MATCH(F$2,mission_ACH!$2:$2,0)-MATCH($D$2,mission_ACH!$2:$2,0)+1,FALSE)</f>
        <v>unit</v>
      </c>
      <c r="G105" s="31">
        <f ca="1">VLOOKUP($D105,OFFSET(mission_ACH!$A$2,0,0,COUNTA(mission_ACH!$A:$A),MATCH(G$2,mission_ACH!$2:$2,0)-MATCH($D$2,mission_ACH!$2:$2,0)+1),MATCH(G$2,mission_ACH!$2:$2,0)-MATCH($D$2,mission_ACH!$2:$2,0)+1,FALSE)</f>
        <v>346</v>
      </c>
      <c r="H105" s="31">
        <f ca="1">VLOOKUP($D105,OFFSET(mission_ACH!$A$2,0,0,COUNTA(mission_ACH!$A:$A),MATCH(H$2,mission_ACH!$2:$2,0)-MATCH($D$2,mission_ACH!$2:$2,0)+1),MATCH(H$2,mission_ACH!$2:$2,0)-MATCH($D$2,mission_ACH!$2:$2,0)+1,FALSE)</f>
        <v>1</v>
      </c>
    </row>
    <row r="106" spans="1:8" ht="21" customHeight="1" x14ac:dyDescent="0.15">
      <c r="A106" s="8">
        <v>42154</v>
      </c>
      <c r="B106" s="2" t="s">
        <v>1479</v>
      </c>
      <c r="C106" s="31" t="str">
        <f ca="1">VLOOKUP($B106,OFFSET(mission_ACH_criteria!$A$1,0,0,COUNTA(mission_ACH_criteria!$A:$A),MATCH(C$2,mission_ACH_criteria!$1:$1,0)-MATCH($B$2,mission_ACH_criteria!$1:$1,0)+1),MATCH(C$2,mission_ACH_criteria!$1:$1,0)-MATCH($B$2,mission_ACH_criteria!$1:$1,0)+1,FALSE)</f>
        <v>マルチプレイを 15 回プレイしよう！</v>
      </c>
      <c r="D106" s="27" t="s">
        <v>1524</v>
      </c>
      <c r="E106" s="31" t="str">
        <f ca="1">VLOOKUP($D106,OFFSET(mission_ACH!$A$2,0,0,COUNTA(mission_ACH!$A:$A),MATCH(E$2,mission_ACH!$2:$2,0)-MATCH($D$2,mission_ACH!$2:$2,0)+1),MATCH(E$2,mission_ACH!$2:$2,0)-MATCH($D$2,mission_ACH!$2:$2,0)+1,FALSE)</f>
        <v>ギガ癒しの果実 x 1</v>
      </c>
      <c r="F106" s="31" t="str">
        <f ca="1">VLOOKUP($D106,OFFSET(mission_ACH!$A$2,0,0,COUNTA(mission_ACH!$A:$A),MATCH(F$2,mission_ACH!$2:$2,0)-MATCH($D$2,mission_ACH!$2:$2,0)+1),MATCH(F$2,mission_ACH!$2:$2,0)-MATCH($D$2,mission_ACH!$2:$2,0)+1,FALSE)</f>
        <v>unit</v>
      </c>
      <c r="G106" s="31">
        <f ca="1">VLOOKUP($D106,OFFSET(mission_ACH!$A$2,0,0,COUNTA(mission_ACH!$A:$A),MATCH(G$2,mission_ACH!$2:$2,0)-MATCH($D$2,mission_ACH!$2:$2,0)+1),MATCH(G$2,mission_ACH!$2:$2,0)-MATCH($D$2,mission_ACH!$2:$2,0)+1,FALSE)</f>
        <v>613</v>
      </c>
      <c r="H106" s="31">
        <f ca="1">VLOOKUP($D106,OFFSET(mission_ACH!$A$2,0,0,COUNTA(mission_ACH!$A:$A),MATCH(H$2,mission_ACH!$2:$2,0)-MATCH($D$2,mission_ACH!$2:$2,0)+1),MATCH(H$2,mission_ACH!$2:$2,0)-MATCH($D$2,mission_ACH!$2:$2,0)+1,FALSE)</f>
        <v>1</v>
      </c>
    </row>
    <row r="107" spans="1:8" ht="21" customHeight="1" x14ac:dyDescent="0.15">
      <c r="A107" s="8">
        <v>42200</v>
      </c>
      <c r="B107" s="2" t="s">
        <v>1209</v>
      </c>
      <c r="C107" s="31" t="str">
        <f ca="1">VLOOKUP($B107,OFFSET(mission_ACH_criteria!$A$1,0,0,COUNTA(mission_ACH_criteria!$A:$A),MATCH(C$2,mission_ACH_criteria!$1:$1,0)-MATCH($B$2,mission_ACH_criteria!$1:$1,0)+1),MATCH(C$2,mission_ACH_criteria!$1:$1,0)-MATCH($B$2,mission_ACH_criteria!$1:$1,0)+1,FALSE)</f>
        <v>マルチプレイを 20 回プレイしよう！</v>
      </c>
      <c r="D107" s="27" t="s">
        <v>1142</v>
      </c>
      <c r="E107" s="31" t="str">
        <f ca="1">VLOOKUP($D107,OFFSET(mission_ACH!$A$2,0,0,COUNTA(mission_ACH!$A:$A),MATCH(E$2,mission_ACH!$2:$2,0)-MATCH($D$2,mission_ACH!$2:$2,0)+1),MATCH(E$2,mission_ACH!$2:$2,0)-MATCH($D$2,mission_ACH!$2:$2,0)+1,FALSE)</f>
        <v>メガ攻めの果実 x 1</v>
      </c>
      <c r="F107" s="31" t="str">
        <f ca="1">VLOOKUP($D107,OFFSET(mission_ACH!$A$2,0,0,COUNTA(mission_ACH!$A:$A),MATCH(F$2,mission_ACH!$2:$2,0)-MATCH($D$2,mission_ACH!$2:$2,0)+1),MATCH(F$2,mission_ACH!$2:$2,0)-MATCH($D$2,mission_ACH!$2:$2,0)+1,FALSE)</f>
        <v>unit</v>
      </c>
      <c r="G107" s="31">
        <f ca="1">VLOOKUP($D107,OFFSET(mission_ACH!$A$2,0,0,COUNTA(mission_ACH!$A:$A),MATCH(G$2,mission_ACH!$2:$2,0)-MATCH($D$2,mission_ACH!$2:$2,0)+1),MATCH(G$2,mission_ACH!$2:$2,0)-MATCH($D$2,mission_ACH!$2:$2,0)+1,FALSE)</f>
        <v>607</v>
      </c>
      <c r="H107" s="31">
        <f ca="1">VLOOKUP($D107,OFFSET(mission_ACH!$A$2,0,0,COUNTA(mission_ACH!$A:$A),MATCH(H$2,mission_ACH!$2:$2,0)-MATCH($D$2,mission_ACH!$2:$2,0)+1),MATCH(H$2,mission_ACH!$2:$2,0)-MATCH($D$2,mission_ACH!$2:$2,0)+1,FALSE)</f>
        <v>1</v>
      </c>
    </row>
    <row r="108" spans="1:8" ht="21" customHeight="1" x14ac:dyDescent="0.15">
      <c r="A108" s="8">
        <v>42201</v>
      </c>
      <c r="B108" s="2" t="s">
        <v>1210</v>
      </c>
      <c r="C108" s="31" t="str">
        <f ca="1">VLOOKUP($B108,OFFSET(mission_ACH_criteria!$A$1,0,0,COUNTA(mission_ACH_criteria!$A:$A),MATCH(C$2,mission_ACH_criteria!$1:$1,0)-MATCH($B$2,mission_ACH_criteria!$1:$1,0)+1),MATCH(C$2,mission_ACH_criteria!$1:$1,0)-MATCH($B$2,mission_ACH_criteria!$1:$1,0)+1,FALSE)</f>
        <v>マルチプレイを 20 回プレイしよう！</v>
      </c>
      <c r="D108" s="27" t="s">
        <v>1143</v>
      </c>
      <c r="E108" s="31" t="str">
        <f ca="1">VLOOKUP($D108,OFFSET(mission_ACH!$A$2,0,0,COUNTA(mission_ACH!$A:$A),MATCH(E$2,mission_ACH!$2:$2,0)-MATCH($D$2,mission_ACH!$2:$2,0)+1),MATCH(E$2,mission_ACH!$2:$2,0)-MATCH($D$2,mission_ACH!$2:$2,0)+1,FALSE)</f>
        <v>メガ生命の果実 x 1</v>
      </c>
      <c r="F108" s="31" t="str">
        <f ca="1">VLOOKUP($D108,OFFSET(mission_ACH!$A$2,0,0,COUNTA(mission_ACH!$A:$A),MATCH(F$2,mission_ACH!$2:$2,0)-MATCH($D$2,mission_ACH!$2:$2,0)+1),MATCH(F$2,mission_ACH!$2:$2,0)-MATCH($D$2,mission_ACH!$2:$2,0)+1,FALSE)</f>
        <v>unit</v>
      </c>
      <c r="G108" s="31">
        <f ca="1">VLOOKUP($D108,OFFSET(mission_ACH!$A$2,0,0,COUNTA(mission_ACH!$A:$A),MATCH(G$2,mission_ACH!$2:$2,0)-MATCH($D$2,mission_ACH!$2:$2,0)+1),MATCH(G$2,mission_ACH!$2:$2,0)-MATCH($D$2,mission_ACH!$2:$2,0)+1,FALSE)</f>
        <v>608</v>
      </c>
      <c r="H108" s="31">
        <f ca="1">VLOOKUP($D108,OFFSET(mission_ACH!$A$2,0,0,COUNTA(mission_ACH!$A:$A),MATCH(H$2,mission_ACH!$2:$2,0)-MATCH($D$2,mission_ACH!$2:$2,0)+1),MATCH(H$2,mission_ACH!$2:$2,0)-MATCH($D$2,mission_ACH!$2:$2,0)+1,FALSE)</f>
        <v>1</v>
      </c>
    </row>
    <row r="109" spans="1:8" ht="21" customHeight="1" x14ac:dyDescent="0.15">
      <c r="A109" s="8">
        <v>42202</v>
      </c>
      <c r="B109" s="2" t="s">
        <v>1211</v>
      </c>
      <c r="C109" s="31" t="str">
        <f ca="1">VLOOKUP($B109,OFFSET(mission_ACH_criteria!$A$1,0,0,COUNTA(mission_ACH_criteria!$A:$A),MATCH(C$2,mission_ACH_criteria!$1:$1,0)-MATCH($B$2,mission_ACH_criteria!$1:$1,0)+1),MATCH(C$2,mission_ACH_criteria!$1:$1,0)-MATCH($B$2,mission_ACH_criteria!$1:$1,0)+1,FALSE)</f>
        <v>マルチプレイを 20 回プレイしよう！</v>
      </c>
      <c r="D109" s="27" t="s">
        <v>1144</v>
      </c>
      <c r="E109" s="31" t="str">
        <f ca="1">VLOOKUP($D109,OFFSET(mission_ACH!$A$2,0,0,COUNTA(mission_ACH!$A:$A),MATCH(E$2,mission_ACH!$2:$2,0)-MATCH($D$2,mission_ACH!$2:$2,0)+1),MATCH(E$2,mission_ACH!$2:$2,0)-MATCH($D$2,mission_ACH!$2:$2,0)+1,FALSE)</f>
        <v>メガ癒しの果実 x 1</v>
      </c>
      <c r="F109" s="31" t="str">
        <f ca="1">VLOOKUP($D109,OFFSET(mission_ACH!$A$2,0,0,COUNTA(mission_ACH!$A:$A),MATCH(F$2,mission_ACH!$2:$2,0)-MATCH($D$2,mission_ACH!$2:$2,0)+1),MATCH(F$2,mission_ACH!$2:$2,0)-MATCH($D$2,mission_ACH!$2:$2,0)+1,FALSE)</f>
        <v>unit</v>
      </c>
      <c r="G109" s="31">
        <f ca="1">VLOOKUP($D109,OFFSET(mission_ACH!$A$2,0,0,COUNTA(mission_ACH!$A:$A),MATCH(G$2,mission_ACH!$2:$2,0)-MATCH($D$2,mission_ACH!$2:$2,0)+1),MATCH(G$2,mission_ACH!$2:$2,0)-MATCH($D$2,mission_ACH!$2:$2,0)+1,FALSE)</f>
        <v>609</v>
      </c>
      <c r="H109" s="31">
        <f ca="1">VLOOKUP($D109,OFFSET(mission_ACH!$A$2,0,0,COUNTA(mission_ACH!$A:$A),MATCH(H$2,mission_ACH!$2:$2,0)-MATCH($D$2,mission_ACH!$2:$2,0)+1),MATCH(H$2,mission_ACH!$2:$2,0)-MATCH($D$2,mission_ACH!$2:$2,0)+1,FALSE)</f>
        <v>1</v>
      </c>
    </row>
    <row r="110" spans="1:8" ht="21" customHeight="1" x14ac:dyDescent="0.15">
      <c r="A110" s="8">
        <v>42203</v>
      </c>
      <c r="B110" s="2" t="s">
        <v>1480</v>
      </c>
      <c r="C110" s="31" t="str">
        <f ca="1">VLOOKUP($B110,OFFSET(mission_ACH_criteria!$A$1,0,0,COUNTA(mission_ACH_criteria!$A:$A),MATCH(C$2,mission_ACH_criteria!$1:$1,0)-MATCH($B$2,mission_ACH_criteria!$1:$1,0)+1),MATCH(C$2,mission_ACH_criteria!$1:$1,0)-MATCH($B$2,mission_ACH_criteria!$1:$1,0)+1,FALSE)</f>
        <v>マルチプレイを 20 回プレイしよう！</v>
      </c>
      <c r="D110" s="27" t="s">
        <v>1526</v>
      </c>
      <c r="E110" s="31" t="str">
        <f ca="1">VLOOKUP($D110,OFFSET(mission_ACH!$A$2,0,0,COUNTA(mission_ACH!$A:$A),MATCH(E$2,mission_ACH!$2:$2,0)-MATCH($D$2,mission_ACH!$2:$2,0)+1),MATCH(E$2,mission_ACH!$2:$2,0)-MATCH($D$2,mission_ACH!$2:$2,0)+1,FALSE)</f>
        <v>ギガ攻めの果実 x 1</v>
      </c>
      <c r="F110" s="31" t="str">
        <f ca="1">VLOOKUP($D110,OFFSET(mission_ACH!$A$2,0,0,COUNTA(mission_ACH!$A:$A),MATCH(F$2,mission_ACH!$2:$2,0)-MATCH($D$2,mission_ACH!$2:$2,0)+1),MATCH(F$2,mission_ACH!$2:$2,0)-MATCH($D$2,mission_ACH!$2:$2,0)+1,FALSE)</f>
        <v>unit</v>
      </c>
      <c r="G110" s="31">
        <f ca="1">VLOOKUP($D110,OFFSET(mission_ACH!$A$2,0,0,COUNTA(mission_ACH!$A:$A),MATCH(G$2,mission_ACH!$2:$2,0)-MATCH($D$2,mission_ACH!$2:$2,0)+1),MATCH(G$2,mission_ACH!$2:$2,0)-MATCH($D$2,mission_ACH!$2:$2,0)+1,FALSE)</f>
        <v>611</v>
      </c>
      <c r="H110" s="31">
        <f ca="1">VLOOKUP($D110,OFFSET(mission_ACH!$A$2,0,0,COUNTA(mission_ACH!$A:$A),MATCH(H$2,mission_ACH!$2:$2,0)-MATCH($D$2,mission_ACH!$2:$2,0)+1),MATCH(H$2,mission_ACH!$2:$2,0)-MATCH($D$2,mission_ACH!$2:$2,0)+1,FALSE)</f>
        <v>1</v>
      </c>
    </row>
    <row r="111" spans="1:8" ht="21" customHeight="1" x14ac:dyDescent="0.15">
      <c r="A111" s="8">
        <v>42300</v>
      </c>
      <c r="B111" s="2" t="s">
        <v>1481</v>
      </c>
      <c r="C111" s="31" t="str">
        <f ca="1">VLOOKUP($B111,OFFSET(mission_ACH_criteria!$A$1,0,0,COUNTA(mission_ACH_criteria!$A:$A),MATCH(C$2,mission_ACH_criteria!$1:$1,0)-MATCH($B$2,mission_ACH_criteria!$1:$1,0)+1),MATCH(C$2,mission_ACH_criteria!$1:$1,0)-MATCH($B$2,mission_ACH_criteria!$1:$1,0)+1,FALSE)</f>
        <v>マルチプレイを 30 回プレイしよう！</v>
      </c>
      <c r="D111" s="27" t="s">
        <v>1220</v>
      </c>
      <c r="E111" s="31" t="str">
        <f ca="1">VLOOKUP($D111,OFFSET(mission_ACH!$A$2,0,0,COUNTA(mission_ACH!$A:$A),MATCH(E$2,mission_ACH!$2:$2,0)-MATCH($D$2,mission_ACH!$2:$2,0)+1),MATCH(E$2,mission_ACH!$2:$2,0)-MATCH($D$2,mission_ACH!$2:$2,0)+1,FALSE)</f>
        <v>ポリゴン x 1</v>
      </c>
      <c r="F111" s="31" t="str">
        <f ca="1">VLOOKUP($D111,OFFSET(mission_ACH!$A$2,0,0,COUNTA(mission_ACH!$A:$A),MATCH(F$2,mission_ACH!$2:$2,0)-MATCH($D$2,mission_ACH!$2:$2,0)+1),MATCH(F$2,mission_ACH!$2:$2,0)-MATCH($D$2,mission_ACH!$2:$2,0)+1,FALSE)</f>
        <v>polygon</v>
      </c>
      <c r="G111" s="31">
        <f ca="1">VLOOKUP($D111,OFFSET(mission_ACH!$A$2,0,0,COUNTA(mission_ACH!$A:$A),MATCH(G$2,mission_ACH!$2:$2,0)-MATCH($D$2,mission_ACH!$2:$2,0)+1),MATCH(G$2,mission_ACH!$2:$2,0)-MATCH($D$2,mission_ACH!$2:$2,0)+1,FALSE)</f>
        <v>1</v>
      </c>
      <c r="H111" s="31">
        <f ca="1">VLOOKUP($D111,OFFSET(mission_ACH!$A$2,0,0,COUNTA(mission_ACH!$A:$A),MATCH(H$2,mission_ACH!$2:$2,0)-MATCH($D$2,mission_ACH!$2:$2,0)+1),MATCH(H$2,mission_ACH!$2:$2,0)-MATCH($D$2,mission_ACH!$2:$2,0)+1,FALSE)</f>
        <v>0</v>
      </c>
    </row>
    <row r="112" spans="1:8" ht="21" customHeight="1" x14ac:dyDescent="0.15">
      <c r="A112" s="8">
        <v>42301</v>
      </c>
      <c r="B112" s="2" t="s">
        <v>1505</v>
      </c>
      <c r="C112" s="31" t="str">
        <f ca="1">VLOOKUP($B112,OFFSET(mission_ACH_criteria!$A$1,0,0,COUNTA(mission_ACH_criteria!$A:$A),MATCH(C$2,mission_ACH_criteria!$1:$1,0)-MATCH($B$2,mission_ACH_criteria!$1:$1,0)+1),MATCH(C$2,mission_ACH_criteria!$1:$1,0)-MATCH($B$2,mission_ACH_criteria!$1:$1,0)+1,FALSE)</f>
        <v>マルチプレイを 30 回プレイしよう！</v>
      </c>
      <c r="D112" s="27" t="s">
        <v>1138</v>
      </c>
      <c r="E112" s="31" t="str">
        <f ca="1">VLOOKUP($D112,OFFSET(mission_ACH!$A$2,0,0,COUNTA(mission_ACH!$A:$A),MATCH(E$2,mission_ACH!$2:$2,0)-MATCH($D$2,mission_ACH!$2:$2,0)+1),MATCH(E$2,mission_ACH!$2:$2,0)-MATCH($D$2,mission_ACH!$2:$2,0)+1,FALSE)</f>
        <v>ポリゴン x 1</v>
      </c>
      <c r="F112" s="31" t="str">
        <f ca="1">VLOOKUP($D112,OFFSET(mission_ACH!$A$2,0,0,COUNTA(mission_ACH!$A:$A),MATCH(F$2,mission_ACH!$2:$2,0)-MATCH($D$2,mission_ACH!$2:$2,0)+1),MATCH(F$2,mission_ACH!$2:$2,0)-MATCH($D$2,mission_ACH!$2:$2,0)+1,FALSE)</f>
        <v>polygon</v>
      </c>
      <c r="G112" s="31">
        <f ca="1">VLOOKUP($D112,OFFSET(mission_ACH!$A$2,0,0,COUNTA(mission_ACH!$A:$A),MATCH(G$2,mission_ACH!$2:$2,0)-MATCH($D$2,mission_ACH!$2:$2,0)+1),MATCH(G$2,mission_ACH!$2:$2,0)-MATCH($D$2,mission_ACH!$2:$2,0)+1,FALSE)</f>
        <v>1</v>
      </c>
      <c r="H112" s="31">
        <f ca="1">VLOOKUP($D112,OFFSET(mission_ACH!$A$2,0,0,COUNTA(mission_ACH!$A:$A),MATCH(H$2,mission_ACH!$2:$2,0)-MATCH($D$2,mission_ACH!$2:$2,0)+1),MATCH(H$2,mission_ACH!$2:$2,0)-MATCH($D$2,mission_ACH!$2:$2,0)+1,FALSE)</f>
        <v>0</v>
      </c>
    </row>
    <row r="113" spans="1:8" ht="21" customHeight="1" x14ac:dyDescent="0.15">
      <c r="A113" s="8">
        <v>42400</v>
      </c>
      <c r="B113" s="2" t="s">
        <v>1506</v>
      </c>
      <c r="C113" s="31" t="str">
        <f ca="1">VLOOKUP($B113,OFFSET(mission_ACH_criteria!$A$1,0,0,COUNTA(mission_ACH_criteria!$A:$A),MATCH(C$2,mission_ACH_criteria!$1:$1,0)-MATCH($B$2,mission_ACH_criteria!$1:$1,0)+1),MATCH(C$2,mission_ACH_criteria!$1:$1,0)-MATCH($B$2,mission_ACH_criteria!$1:$1,0)+1,FALSE)</f>
        <v>マルチプレイを 40 回プレイしよう！</v>
      </c>
      <c r="D113" s="27" t="s">
        <v>1540</v>
      </c>
      <c r="E113" s="31" t="str">
        <f ca="1">VLOOKUP($D113,OFFSET(mission_ACH!$A$2,0,0,COUNTA(mission_ACH!$A:$A),MATCH(E$2,mission_ACH!$2:$2,0)-MATCH($D$2,mission_ACH!$2:$2,0)+1),MATCH(E$2,mission_ACH!$2:$2,0)-MATCH($D$2,mission_ACH!$2:$2,0)+1,FALSE)</f>
        <v>ポリゴン x 4</v>
      </c>
      <c r="F113" s="31" t="str">
        <f ca="1">VLOOKUP($D113,OFFSET(mission_ACH!$A$2,0,0,COUNTA(mission_ACH!$A:$A),MATCH(F$2,mission_ACH!$2:$2,0)-MATCH($D$2,mission_ACH!$2:$2,0)+1),MATCH(F$2,mission_ACH!$2:$2,0)-MATCH($D$2,mission_ACH!$2:$2,0)+1,FALSE)</f>
        <v>polygon</v>
      </c>
      <c r="G113" s="31">
        <f ca="1">VLOOKUP($D113,OFFSET(mission_ACH!$A$2,0,0,COUNTA(mission_ACH!$A:$A),MATCH(G$2,mission_ACH!$2:$2,0)-MATCH($D$2,mission_ACH!$2:$2,0)+1),MATCH(G$2,mission_ACH!$2:$2,0)-MATCH($D$2,mission_ACH!$2:$2,0)+1,FALSE)</f>
        <v>4</v>
      </c>
      <c r="H113" s="31">
        <f ca="1">VLOOKUP($D113,OFFSET(mission_ACH!$A$2,0,0,COUNTA(mission_ACH!$A:$A),MATCH(H$2,mission_ACH!$2:$2,0)-MATCH($D$2,mission_ACH!$2:$2,0)+1),MATCH(H$2,mission_ACH!$2:$2,0)-MATCH($D$2,mission_ACH!$2:$2,0)+1,FALSE)</f>
        <v>0</v>
      </c>
    </row>
    <row r="114" spans="1:8" ht="21" customHeight="1" x14ac:dyDescent="0.15">
      <c r="A114" s="8">
        <v>43000</v>
      </c>
      <c r="B114" s="2" t="s">
        <v>1245</v>
      </c>
      <c r="C114" s="31" t="str">
        <f ca="1">VLOOKUP($B114,OFFSET(mission_ACH_criteria!$A$1,0,0,COUNTA(mission_ACH_criteria!$A:$A),MATCH(C$2,mission_ACH_criteria!$1:$1,0)-MATCH($B$2,mission_ACH_criteria!$1:$1,0)+1),MATCH(C$2,mission_ACH_criteria!$1:$1,0)-MATCH($B$2,mission_ACH_criteria!$1:$1,0)+1,FALSE)</f>
        <v>ゲリラクエスト：メタルダックを捕獲せよ！ 【上級】 をクリアしよう！</v>
      </c>
      <c r="D114" s="27" t="s">
        <v>1137</v>
      </c>
      <c r="E114" s="31" t="str">
        <f ca="1">VLOOKUP($D114,OFFSET(mission_ACH!$A$2,0,0,COUNTA(mission_ACH!$A:$A),MATCH(E$2,mission_ACH!$2:$2,0)-MATCH($D$2,mission_ACH!$2:$2,0)+1),MATCH(E$2,mission_ACH!$2:$2,0)-MATCH($D$2,mission_ACH!$2:$2,0)+1,FALSE)</f>
        <v>ビット x 60000</v>
      </c>
      <c r="F114" s="31" t="str">
        <f ca="1">VLOOKUP($D114,OFFSET(mission_ACH!$A$2,0,0,COUNTA(mission_ACH!$A:$A),MATCH(F$2,mission_ACH!$2:$2,0)-MATCH($D$2,mission_ACH!$2:$2,0)+1),MATCH(F$2,mission_ACH!$2:$2,0)-MATCH($D$2,mission_ACH!$2:$2,0)+1,FALSE)</f>
        <v>bit</v>
      </c>
      <c r="G114" s="31">
        <f ca="1">VLOOKUP($D114,OFFSET(mission_ACH!$A$2,0,0,COUNTA(mission_ACH!$A:$A),MATCH(G$2,mission_ACH!$2:$2,0)-MATCH($D$2,mission_ACH!$2:$2,0)+1),MATCH(G$2,mission_ACH!$2:$2,0)-MATCH($D$2,mission_ACH!$2:$2,0)+1,FALSE)</f>
        <v>60000</v>
      </c>
      <c r="H114" s="31">
        <f ca="1">VLOOKUP($D114,OFFSET(mission_ACH!$A$2,0,0,COUNTA(mission_ACH!$A:$A),MATCH(H$2,mission_ACH!$2:$2,0)-MATCH($D$2,mission_ACH!$2:$2,0)+1),MATCH(H$2,mission_ACH!$2:$2,0)-MATCH($D$2,mission_ACH!$2:$2,0)+1,FALSE)</f>
        <v>0</v>
      </c>
    </row>
    <row r="115" spans="1:8" ht="21" customHeight="1" x14ac:dyDescent="0.15">
      <c r="A115" s="8">
        <v>43001</v>
      </c>
      <c r="B115" s="2" t="s">
        <v>1246</v>
      </c>
      <c r="C115" s="31" t="str">
        <f ca="1">VLOOKUP($B115,OFFSET(mission_ACH_criteria!$A$1,0,0,COUNTA(mission_ACH_criteria!$A:$A),MATCH(C$2,mission_ACH_criteria!$1:$1,0)-MATCH($B$2,mission_ACH_criteria!$1:$1,0)+1),MATCH(C$2,mission_ACH_criteria!$1:$1,0)-MATCH($B$2,mission_ACH_criteria!$1:$1,0)+1,FALSE)</f>
        <v>土日限定クエスト：【上級】ゴールドカジノ をクリアしよう！</v>
      </c>
      <c r="D115" s="27" t="s">
        <v>1141</v>
      </c>
      <c r="E115" s="31" t="str">
        <f ca="1">VLOOKUP($D115,OFFSET(mission_ACH!$A$2,0,0,COUNTA(mission_ACH!$A:$A),MATCH(E$2,mission_ACH!$2:$2,0)-MATCH($D$2,mission_ACH!$2:$2,0)+1),MATCH(E$2,mission_ACH!$2:$2,0)-MATCH($D$2,mission_ACH!$2:$2,0)+1,FALSE)</f>
        <v>リンク x 300</v>
      </c>
      <c r="F115" s="31" t="str">
        <f ca="1">VLOOKUP($D115,OFFSET(mission_ACH!$A$2,0,0,COUNTA(mission_ACH!$A:$A),MATCH(F$2,mission_ACH!$2:$2,0)-MATCH($D$2,mission_ACH!$2:$2,0)+1),MATCH(F$2,mission_ACH!$2:$2,0)-MATCH($D$2,mission_ACH!$2:$2,0)+1,FALSE)</f>
        <v>link</v>
      </c>
      <c r="G115" s="31">
        <f ca="1">VLOOKUP($D115,OFFSET(mission_ACH!$A$2,0,0,COUNTA(mission_ACH!$A:$A),MATCH(G$2,mission_ACH!$2:$2,0)-MATCH($D$2,mission_ACH!$2:$2,0)+1),MATCH(G$2,mission_ACH!$2:$2,0)-MATCH($D$2,mission_ACH!$2:$2,0)+1,FALSE)</f>
        <v>300</v>
      </c>
      <c r="H115" s="31">
        <f ca="1">VLOOKUP($D115,OFFSET(mission_ACH!$A$2,0,0,COUNTA(mission_ACH!$A:$A),MATCH(H$2,mission_ACH!$2:$2,0)-MATCH($D$2,mission_ACH!$2:$2,0)+1),MATCH(H$2,mission_ACH!$2:$2,0)-MATCH($D$2,mission_ACH!$2:$2,0)+1,FALSE)</f>
        <v>0</v>
      </c>
    </row>
    <row r="116" spans="1:8" ht="21" customHeight="1" x14ac:dyDescent="0.15">
      <c r="A116" s="8">
        <v>43002</v>
      </c>
      <c r="B116" s="2" t="s">
        <v>1603</v>
      </c>
      <c r="C116" s="31" t="str">
        <f ca="1">VLOOKUP($B116,OFFSET(mission_ACH_criteria!$A$1,0,0,COUNTA(mission_ACH_criteria!$A:$A),MATCH(C$2,mission_ACH_criteria!$1:$1,0)-MATCH($B$2,mission_ACH_criteria!$1:$1,0)+1),MATCH(C$2,mission_ACH_criteria!$1:$1,0)-MATCH($B$2,mission_ACH_criteria!$1:$1,0)+1,FALSE)</f>
        <v>ゲリラクエスト：【超級】メタルダックを捕獲せよ！をクリアしよう！</v>
      </c>
      <c r="D116" s="27" t="s">
        <v>1607</v>
      </c>
      <c r="E116" s="31" t="str">
        <f ca="1">VLOOKUP($D116,OFFSET(mission_ACH!$A$2,0,0,COUNTA(mission_ACH!$A:$A),MATCH(E$2,mission_ACH!$2:$2,0)-MATCH($D$2,mission_ACH!$2:$2,0)+1),MATCH(E$2,mission_ACH!$2:$2,0)-MATCH($D$2,mission_ACH!$2:$2,0)+1,FALSE)</f>
        <v>ビット x 100000</v>
      </c>
      <c r="F116" s="31" t="str">
        <f ca="1">VLOOKUP($D116,OFFSET(mission_ACH!$A$2,0,0,COUNTA(mission_ACH!$A:$A),MATCH(F$2,mission_ACH!$2:$2,0)-MATCH($D$2,mission_ACH!$2:$2,0)+1),MATCH(F$2,mission_ACH!$2:$2,0)-MATCH($D$2,mission_ACH!$2:$2,0)+1,FALSE)</f>
        <v>bit</v>
      </c>
      <c r="G116" s="31">
        <f ca="1">VLOOKUP($D116,OFFSET(mission_ACH!$A$2,0,0,COUNTA(mission_ACH!$A:$A),MATCH(G$2,mission_ACH!$2:$2,0)-MATCH($D$2,mission_ACH!$2:$2,0)+1),MATCH(G$2,mission_ACH!$2:$2,0)-MATCH($D$2,mission_ACH!$2:$2,0)+1,FALSE)</f>
        <v>100000</v>
      </c>
      <c r="H116" s="31">
        <f ca="1">VLOOKUP($D116,OFFSET(mission_ACH!$A$2,0,0,COUNTA(mission_ACH!$A:$A),MATCH(H$2,mission_ACH!$2:$2,0)-MATCH($D$2,mission_ACH!$2:$2,0)+1),MATCH(H$2,mission_ACH!$2:$2,0)-MATCH($D$2,mission_ACH!$2:$2,0)+1,FALSE)</f>
        <v>0</v>
      </c>
    </row>
    <row r="117" spans="1:8" ht="21" customHeight="1" x14ac:dyDescent="0.15">
      <c r="A117" s="8">
        <v>43003</v>
      </c>
      <c r="B117" s="2" t="s">
        <v>2221</v>
      </c>
      <c r="C117" s="31" t="str">
        <f ca="1">VLOOKUP($B117,OFFSET(mission_ACH_criteria!$A$1,0,0,COUNTA(mission_ACH_criteria!$A:$A),MATCH(C$2,mission_ACH_criteria!$1:$1,0)-MATCH($B$2,mission_ACH_criteria!$1:$1,0)+1),MATCH(C$2,mission_ACH_criteria!$1:$1,0)-MATCH($B$2,mission_ACH_criteria!$1:$1,0)+1,FALSE)</f>
        <v>土日限定クエスト：【超級】ゴールドカジノ をクリアしよう！</v>
      </c>
      <c r="D117" s="27" t="s">
        <v>699</v>
      </c>
      <c r="E117" s="31" t="str">
        <f ca="1">VLOOKUP($D117,OFFSET(mission_ACH!$A$2,0,0,COUNTA(mission_ACH!$A:$A),MATCH(E$2,mission_ACH!$2:$2,0)-MATCH($D$2,mission_ACH!$2:$2,0)+1),MATCH(E$2,mission_ACH!$2:$2,0)-MATCH($D$2,mission_ACH!$2:$2,0)+1,FALSE)</f>
        <v>リンク x 500</v>
      </c>
      <c r="F117" s="31" t="str">
        <f ca="1">VLOOKUP($D117,OFFSET(mission_ACH!$A$2,0,0,COUNTA(mission_ACH!$A:$A),MATCH(F$2,mission_ACH!$2:$2,0)-MATCH($D$2,mission_ACH!$2:$2,0)+1),MATCH(F$2,mission_ACH!$2:$2,0)-MATCH($D$2,mission_ACH!$2:$2,0)+1,FALSE)</f>
        <v>link</v>
      </c>
      <c r="G117" s="31">
        <f ca="1">VLOOKUP($D117,OFFSET(mission_ACH!$A$2,0,0,COUNTA(mission_ACH!$A:$A),MATCH(G$2,mission_ACH!$2:$2,0)-MATCH($D$2,mission_ACH!$2:$2,0)+1),MATCH(G$2,mission_ACH!$2:$2,0)-MATCH($D$2,mission_ACH!$2:$2,0)+1,FALSE)</f>
        <v>500</v>
      </c>
      <c r="H117" s="31">
        <f ca="1">VLOOKUP($D117,OFFSET(mission_ACH!$A$2,0,0,COUNTA(mission_ACH!$A:$A),MATCH(H$2,mission_ACH!$2:$2,0)-MATCH($D$2,mission_ACH!$2:$2,0)+1),MATCH(H$2,mission_ACH!$2:$2,0)-MATCH($D$2,mission_ACH!$2:$2,0)+1,FALSE)</f>
        <v>0</v>
      </c>
    </row>
    <row r="118" spans="1:8" ht="21" customHeight="1" x14ac:dyDescent="0.15">
      <c r="A118" s="8">
        <v>44001</v>
      </c>
      <c r="B118" s="2" t="s">
        <v>1934</v>
      </c>
      <c r="C118" s="31" t="str">
        <f ca="1">VLOOKUP($B118,OFFSET(mission_ACH_criteria!$A$1,0,0,COUNTA(mission_ACH_criteria!$A:$A),MATCH(C$2,mission_ACH_criteria!$1:$1,0)-MATCH($B$2,mission_ACH_criteria!$1:$1,0)+1),MATCH(C$2,mission_ACH_criteria!$1:$1,0)-MATCH($B$2,mission_ACH_criteria!$1:$1,0)+1,FALSE)</f>
        <v>通算 1 日ログインしよう！</v>
      </c>
      <c r="D118" s="27" t="s">
        <v>1138</v>
      </c>
      <c r="E118" s="31" t="str">
        <f ca="1">VLOOKUP($D118,OFFSET(mission_ACH!$A$2,0,0,COUNTA(mission_ACH!$A:$A),MATCH(E$2,mission_ACH!$2:$2,0)-MATCH($D$2,mission_ACH!$2:$2,0)+1),MATCH(E$2,mission_ACH!$2:$2,0)-MATCH($D$2,mission_ACH!$2:$2,0)+1,FALSE)</f>
        <v>ポリゴン x 1</v>
      </c>
      <c r="F118" s="31" t="str">
        <f ca="1">VLOOKUP($D118,OFFSET(mission_ACH!$A$2,0,0,COUNTA(mission_ACH!$A:$A),MATCH(F$2,mission_ACH!$2:$2,0)-MATCH($D$2,mission_ACH!$2:$2,0)+1),MATCH(F$2,mission_ACH!$2:$2,0)-MATCH($D$2,mission_ACH!$2:$2,0)+1,FALSE)</f>
        <v>polygon</v>
      </c>
      <c r="G118" s="31">
        <f ca="1">VLOOKUP($D118,OFFSET(mission_ACH!$A$2,0,0,COUNTA(mission_ACH!$A:$A),MATCH(G$2,mission_ACH!$2:$2,0)-MATCH($D$2,mission_ACH!$2:$2,0)+1),MATCH(G$2,mission_ACH!$2:$2,0)-MATCH($D$2,mission_ACH!$2:$2,0)+1,FALSE)</f>
        <v>1</v>
      </c>
      <c r="H118" s="31">
        <f ca="1">VLOOKUP($D118,OFFSET(mission_ACH!$A$2,0,0,COUNTA(mission_ACH!$A:$A),MATCH(H$2,mission_ACH!$2:$2,0)-MATCH($D$2,mission_ACH!$2:$2,0)+1),MATCH(H$2,mission_ACH!$2:$2,0)-MATCH($D$2,mission_ACH!$2:$2,0)+1,FALSE)</f>
        <v>0</v>
      </c>
    </row>
    <row r="119" spans="1:8" ht="21" customHeight="1" x14ac:dyDescent="0.15">
      <c r="A119" s="8">
        <v>44002</v>
      </c>
      <c r="B119" s="2" t="s">
        <v>1944</v>
      </c>
      <c r="C119" s="31" t="str">
        <f ca="1">VLOOKUP($B119,OFFSET(mission_ACH_criteria!$A$1,0,0,COUNTA(mission_ACH_criteria!$A:$A),MATCH(C$2,mission_ACH_criteria!$1:$1,0)-MATCH($B$2,mission_ACH_criteria!$1:$1,0)+1),MATCH(C$2,mission_ACH_criteria!$1:$1,0)-MATCH($B$2,mission_ACH_criteria!$1:$1,0)+1,FALSE)</f>
        <v>通算 2 日ログインしよう！</v>
      </c>
      <c r="D119" s="27" t="s">
        <v>1929</v>
      </c>
      <c r="E119" s="31" t="str">
        <f ca="1">VLOOKUP($D119,OFFSET(mission_ACH!$A$2,0,0,COUNTA(mission_ACH!$A:$A),MATCH(E$2,mission_ACH!$2:$2,0)-MATCH($D$2,mission_ACH!$2:$2,0)+1),MATCH(E$2,mission_ACH!$2:$2,0)-MATCH($D$2,mission_ACH!$2:$2,0)+1,FALSE)</f>
        <v>ポリゴン x 2</v>
      </c>
      <c r="F119" s="31" t="str">
        <f ca="1">VLOOKUP($D119,OFFSET(mission_ACH!$A$2,0,0,COUNTA(mission_ACH!$A:$A),MATCH(F$2,mission_ACH!$2:$2,0)-MATCH($D$2,mission_ACH!$2:$2,0)+1),MATCH(F$2,mission_ACH!$2:$2,0)-MATCH($D$2,mission_ACH!$2:$2,0)+1,FALSE)</f>
        <v>polygon</v>
      </c>
      <c r="G119" s="31">
        <f ca="1">VLOOKUP($D119,OFFSET(mission_ACH!$A$2,0,0,COUNTA(mission_ACH!$A:$A),MATCH(G$2,mission_ACH!$2:$2,0)-MATCH($D$2,mission_ACH!$2:$2,0)+1),MATCH(G$2,mission_ACH!$2:$2,0)-MATCH($D$2,mission_ACH!$2:$2,0)+1,FALSE)</f>
        <v>2</v>
      </c>
      <c r="H119" s="31">
        <f ca="1">VLOOKUP($D119,OFFSET(mission_ACH!$A$2,0,0,COUNTA(mission_ACH!$A:$A),MATCH(H$2,mission_ACH!$2:$2,0)-MATCH($D$2,mission_ACH!$2:$2,0)+1),MATCH(H$2,mission_ACH!$2:$2,0)-MATCH($D$2,mission_ACH!$2:$2,0)+1,FALSE)</f>
        <v>0</v>
      </c>
    </row>
    <row r="120" spans="1:8" ht="21" customHeight="1" x14ac:dyDescent="0.15">
      <c r="A120" s="8">
        <v>44003</v>
      </c>
      <c r="B120" s="2" t="s">
        <v>1937</v>
      </c>
      <c r="C120" s="31" t="str">
        <f ca="1">VLOOKUP($B120,OFFSET(mission_ACH_criteria!$A$1,0,0,COUNTA(mission_ACH_criteria!$A:$A),MATCH(C$2,mission_ACH_criteria!$1:$1,0)-MATCH($B$2,mission_ACH_criteria!$1:$1,0)+1),MATCH(C$2,mission_ACH_criteria!$1:$1,0)-MATCH($B$2,mission_ACH_criteria!$1:$1,0)+1,FALSE)</f>
        <v>通算 3 日ログインしよう！</v>
      </c>
      <c r="D120" s="27" t="s">
        <v>1926</v>
      </c>
      <c r="E120" s="31" t="str">
        <f ca="1">VLOOKUP($D120,OFFSET(mission_ACH!$A$2,0,0,COUNTA(mission_ACH!$A:$A),MATCH(E$2,mission_ACH!$2:$2,0)-MATCH($D$2,mission_ACH!$2:$2,0)+1),MATCH(E$2,mission_ACH!$2:$2,0)-MATCH($D$2,mission_ACH!$2:$2,0)+1,FALSE)</f>
        <v>ポリゴン x 3</v>
      </c>
      <c r="F120" s="31" t="str">
        <f ca="1">VLOOKUP($D120,OFFSET(mission_ACH!$A$2,0,0,COUNTA(mission_ACH!$A:$A),MATCH(F$2,mission_ACH!$2:$2,0)-MATCH($D$2,mission_ACH!$2:$2,0)+1),MATCH(F$2,mission_ACH!$2:$2,0)-MATCH($D$2,mission_ACH!$2:$2,0)+1,FALSE)</f>
        <v>polygon</v>
      </c>
      <c r="G120" s="31">
        <f ca="1">VLOOKUP($D120,OFFSET(mission_ACH!$A$2,0,0,COUNTA(mission_ACH!$A:$A),MATCH(G$2,mission_ACH!$2:$2,0)-MATCH($D$2,mission_ACH!$2:$2,0)+1),MATCH(G$2,mission_ACH!$2:$2,0)-MATCH($D$2,mission_ACH!$2:$2,0)+1,FALSE)</f>
        <v>3</v>
      </c>
      <c r="H120" s="31">
        <f ca="1">VLOOKUP($D120,OFFSET(mission_ACH!$A$2,0,0,COUNTA(mission_ACH!$A:$A),MATCH(H$2,mission_ACH!$2:$2,0)-MATCH($D$2,mission_ACH!$2:$2,0)+1),MATCH(H$2,mission_ACH!$2:$2,0)-MATCH($D$2,mission_ACH!$2:$2,0)+1,FALSE)</f>
        <v>0</v>
      </c>
    </row>
    <row r="121" spans="1:8" ht="21" customHeight="1" x14ac:dyDescent="0.15">
      <c r="A121" s="8">
        <v>44004</v>
      </c>
      <c r="B121" s="2" t="s">
        <v>1939</v>
      </c>
      <c r="C121" s="31" t="str">
        <f ca="1">VLOOKUP($B121,OFFSET(mission_ACH_criteria!$A$1,0,0,COUNTA(mission_ACH_criteria!$A:$A),MATCH(C$2,mission_ACH_criteria!$1:$1,0)-MATCH($B$2,mission_ACH_criteria!$1:$1,0)+1),MATCH(C$2,mission_ACH_criteria!$1:$1,0)-MATCH($B$2,mission_ACH_criteria!$1:$1,0)+1,FALSE)</f>
        <v>通算 4 日ログインしよう！</v>
      </c>
      <c r="D121" s="27" t="s">
        <v>1930</v>
      </c>
      <c r="E121" s="31" t="str">
        <f ca="1">VLOOKUP($D121,OFFSET(mission_ACH!$A$2,0,0,COUNTA(mission_ACH!$A:$A),MATCH(E$2,mission_ACH!$2:$2,0)-MATCH($D$2,mission_ACH!$2:$2,0)+1),MATCH(E$2,mission_ACH!$2:$2,0)-MATCH($D$2,mission_ACH!$2:$2,0)+1,FALSE)</f>
        <v>ポリゴン x 4</v>
      </c>
      <c r="F121" s="31" t="str">
        <f ca="1">VLOOKUP($D121,OFFSET(mission_ACH!$A$2,0,0,COUNTA(mission_ACH!$A:$A),MATCH(F$2,mission_ACH!$2:$2,0)-MATCH($D$2,mission_ACH!$2:$2,0)+1),MATCH(F$2,mission_ACH!$2:$2,0)-MATCH($D$2,mission_ACH!$2:$2,0)+1,FALSE)</f>
        <v>polygon</v>
      </c>
      <c r="G121" s="31">
        <f ca="1">VLOOKUP($D121,OFFSET(mission_ACH!$A$2,0,0,COUNTA(mission_ACH!$A:$A),MATCH(G$2,mission_ACH!$2:$2,0)-MATCH($D$2,mission_ACH!$2:$2,0)+1),MATCH(G$2,mission_ACH!$2:$2,0)-MATCH($D$2,mission_ACH!$2:$2,0)+1,FALSE)</f>
        <v>4</v>
      </c>
      <c r="H121" s="31">
        <f ca="1">VLOOKUP($D121,OFFSET(mission_ACH!$A$2,0,0,COUNTA(mission_ACH!$A:$A),MATCH(H$2,mission_ACH!$2:$2,0)-MATCH($D$2,mission_ACH!$2:$2,0)+1),MATCH(H$2,mission_ACH!$2:$2,0)-MATCH($D$2,mission_ACH!$2:$2,0)+1,FALSE)</f>
        <v>0</v>
      </c>
    </row>
    <row r="122" spans="1:8" ht="21" customHeight="1" x14ac:dyDescent="0.15">
      <c r="A122" s="8">
        <v>44005</v>
      </c>
      <c r="B122" s="2" t="s">
        <v>1941</v>
      </c>
      <c r="C122" s="31" t="str">
        <f ca="1">VLOOKUP($B122,OFFSET(mission_ACH_criteria!$A$1,0,0,COUNTA(mission_ACH_criteria!$A:$A),MATCH(C$2,mission_ACH_criteria!$1:$1,0)-MATCH($B$2,mission_ACH_criteria!$1:$1,0)+1),MATCH(C$2,mission_ACH_criteria!$1:$1,0)-MATCH($B$2,mission_ACH_criteria!$1:$1,0)+1,FALSE)</f>
        <v>通算 5 日ログインしよう！</v>
      </c>
      <c r="D122" s="27" t="s">
        <v>1945</v>
      </c>
      <c r="E122" s="31" t="str">
        <f ca="1">VLOOKUP($D122,OFFSET(mission_ACH!$A$2,0,0,COUNTA(mission_ACH!$A:$A),MATCH(E$2,mission_ACH!$2:$2,0)-MATCH($D$2,mission_ACH!$2:$2,0)+1),MATCH(E$2,mission_ACH!$2:$2,0)-MATCH($D$2,mission_ACH!$2:$2,0)+1,FALSE)</f>
        <v>ポリゴン x 5</v>
      </c>
      <c r="F122" s="31" t="str">
        <f ca="1">VLOOKUP($D122,OFFSET(mission_ACH!$A$2,0,0,COUNTA(mission_ACH!$A:$A),MATCH(F$2,mission_ACH!$2:$2,0)-MATCH($D$2,mission_ACH!$2:$2,0)+1),MATCH(F$2,mission_ACH!$2:$2,0)-MATCH($D$2,mission_ACH!$2:$2,0)+1,FALSE)</f>
        <v>polygon</v>
      </c>
      <c r="G122" s="31">
        <f ca="1">VLOOKUP($D122,OFFSET(mission_ACH!$A$2,0,0,COUNTA(mission_ACH!$A:$A),MATCH(G$2,mission_ACH!$2:$2,0)-MATCH($D$2,mission_ACH!$2:$2,0)+1),MATCH(G$2,mission_ACH!$2:$2,0)-MATCH($D$2,mission_ACH!$2:$2,0)+1,FALSE)</f>
        <v>5</v>
      </c>
      <c r="H122" s="31">
        <f ca="1">VLOOKUP($D122,OFFSET(mission_ACH!$A$2,0,0,COUNTA(mission_ACH!$A:$A),MATCH(H$2,mission_ACH!$2:$2,0)-MATCH($D$2,mission_ACH!$2:$2,0)+1),MATCH(H$2,mission_ACH!$2:$2,0)-MATCH($D$2,mission_ACH!$2:$2,0)+1,FALSE)</f>
        <v>0</v>
      </c>
    </row>
    <row r="123" spans="1:8" ht="21" customHeight="1" x14ac:dyDescent="0.15">
      <c r="A123" s="8">
        <v>44006</v>
      </c>
      <c r="B123" s="2" t="s">
        <v>1942</v>
      </c>
      <c r="C123" s="31" t="str">
        <f ca="1">VLOOKUP($B123,OFFSET(mission_ACH_criteria!$A$1,0,0,COUNTA(mission_ACH_criteria!$A:$A),MATCH(C$2,mission_ACH_criteria!$1:$1,0)-MATCH($B$2,mission_ACH_criteria!$1:$1,0)+1),MATCH(C$2,mission_ACH_criteria!$1:$1,0)-MATCH($B$2,mission_ACH_criteria!$1:$1,0)+1,FALSE)</f>
        <v>通算 6 日ログインしよう！</v>
      </c>
      <c r="D123" s="27" t="s">
        <v>1928</v>
      </c>
      <c r="E123" s="31" t="str">
        <f ca="1">VLOOKUP($D123,OFFSET(mission_ACH!$A$2,0,0,COUNTA(mission_ACH!$A:$A),MATCH(E$2,mission_ACH!$2:$2,0)-MATCH($D$2,mission_ACH!$2:$2,0)+1),MATCH(E$2,mission_ACH!$2:$2,0)-MATCH($D$2,mission_ACH!$2:$2,0)+1,FALSE)</f>
        <v>ポリゴン x 5</v>
      </c>
      <c r="F123" s="31" t="str">
        <f ca="1">VLOOKUP($D123,OFFSET(mission_ACH!$A$2,0,0,COUNTA(mission_ACH!$A:$A),MATCH(F$2,mission_ACH!$2:$2,0)-MATCH($D$2,mission_ACH!$2:$2,0)+1),MATCH(F$2,mission_ACH!$2:$2,0)-MATCH($D$2,mission_ACH!$2:$2,0)+1,FALSE)</f>
        <v>polygon</v>
      </c>
      <c r="G123" s="31">
        <f ca="1">VLOOKUP($D123,OFFSET(mission_ACH!$A$2,0,0,COUNTA(mission_ACH!$A:$A),MATCH(G$2,mission_ACH!$2:$2,0)-MATCH($D$2,mission_ACH!$2:$2,0)+1),MATCH(G$2,mission_ACH!$2:$2,0)-MATCH($D$2,mission_ACH!$2:$2,0)+1,FALSE)</f>
        <v>5</v>
      </c>
      <c r="H123" s="31">
        <f ca="1">VLOOKUP($D123,OFFSET(mission_ACH!$A$2,0,0,COUNTA(mission_ACH!$A:$A),MATCH(H$2,mission_ACH!$2:$2,0)-MATCH($D$2,mission_ACH!$2:$2,0)+1),MATCH(H$2,mission_ACH!$2:$2,0)-MATCH($D$2,mission_ACH!$2:$2,0)+1,FALSE)</f>
        <v>0</v>
      </c>
    </row>
    <row r="124" spans="1:8" ht="21" customHeight="1" x14ac:dyDescent="0.15">
      <c r="A124" s="8">
        <v>44007</v>
      </c>
      <c r="B124" s="2" t="s">
        <v>1943</v>
      </c>
      <c r="C124" s="31" t="str">
        <f ca="1">VLOOKUP($B124,OFFSET(mission_ACH_criteria!$A$1,0,0,COUNTA(mission_ACH_criteria!$A:$A),MATCH(C$2,mission_ACH_criteria!$1:$1,0)-MATCH($B$2,mission_ACH_criteria!$1:$1,0)+1),MATCH(C$2,mission_ACH_criteria!$1:$1,0)-MATCH($B$2,mission_ACH_criteria!$1:$1,0)+1,FALSE)</f>
        <v>通算 7 日ログインしよう！</v>
      </c>
      <c r="D124" s="27" t="s">
        <v>1928</v>
      </c>
      <c r="E124" s="31" t="str">
        <f ca="1">VLOOKUP($D124,OFFSET(mission_ACH!$A$2,0,0,COUNTA(mission_ACH!$A:$A),MATCH(E$2,mission_ACH!$2:$2,0)-MATCH($D$2,mission_ACH!$2:$2,0)+1),MATCH(E$2,mission_ACH!$2:$2,0)-MATCH($D$2,mission_ACH!$2:$2,0)+1,FALSE)</f>
        <v>ポリゴン x 5</v>
      </c>
      <c r="F124" s="31" t="str">
        <f ca="1">VLOOKUP($D124,OFFSET(mission_ACH!$A$2,0,0,COUNTA(mission_ACH!$A:$A),MATCH(F$2,mission_ACH!$2:$2,0)-MATCH($D$2,mission_ACH!$2:$2,0)+1),MATCH(F$2,mission_ACH!$2:$2,0)-MATCH($D$2,mission_ACH!$2:$2,0)+1,FALSE)</f>
        <v>polygon</v>
      </c>
      <c r="G124" s="31">
        <f ca="1">VLOOKUP($D124,OFFSET(mission_ACH!$A$2,0,0,COUNTA(mission_ACH!$A:$A),MATCH(G$2,mission_ACH!$2:$2,0)-MATCH($D$2,mission_ACH!$2:$2,0)+1),MATCH(G$2,mission_ACH!$2:$2,0)-MATCH($D$2,mission_ACH!$2:$2,0)+1,FALSE)</f>
        <v>5</v>
      </c>
      <c r="H124" s="31">
        <f ca="1">VLOOKUP($D124,OFFSET(mission_ACH!$A$2,0,0,COUNTA(mission_ACH!$A:$A),MATCH(H$2,mission_ACH!$2:$2,0)-MATCH($D$2,mission_ACH!$2:$2,0)+1),MATCH(H$2,mission_ACH!$2:$2,0)-MATCH($D$2,mission_ACH!$2:$2,0)+1,FALSE)</f>
        <v>0</v>
      </c>
    </row>
    <row r="125" spans="1:8" ht="21" customHeight="1" x14ac:dyDescent="0.15">
      <c r="A125" s="8">
        <v>45001</v>
      </c>
      <c r="B125" s="27" t="s">
        <v>1959</v>
      </c>
      <c r="C125" s="31" t="str">
        <f ca="1">VLOOKUP($B125,OFFSET(mission_ACH_criteria!$A$1,0,0,COUNTA(mission_ACH_criteria!$A:$A),MATCH(C$2,mission_ACH_criteria!$1:$1,0)-MATCH($B$2,mission_ACH_criteria!$1:$1,0)+1),MATCH(C$2,mission_ACH_criteria!$1:$1,0)-MATCH($B$2,mission_ACH_criteria!$1:$1,0)+1,FALSE)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1 回クリアしよう！</v>
      </c>
      <c r="D125" s="27" t="s">
        <v>1560</v>
      </c>
      <c r="E125" s="31" t="str">
        <f ca="1">VLOOKUP($D125,OFFSET(mission_ACH!$A$2,0,0,COUNTA(mission_ACH!$A:$A),MATCH(E$2,mission_ACH!$2:$2,0)-MATCH($D$2,mission_ACH!$2:$2,0)+1),MATCH(E$2,mission_ACH!$2:$2,0)-MATCH($D$2,mission_ACH!$2:$2,0)+1,FALSE)</f>
        <v>リトルハンプティ x 1</v>
      </c>
      <c r="F125" s="31" t="str">
        <f ca="1">VLOOKUP($D125,OFFSET(mission_ACH!$A$2,0,0,COUNTA(mission_ACH!$A:$A),MATCH(F$2,mission_ACH!$2:$2,0)-MATCH($D$2,mission_ACH!$2:$2,0)+1),MATCH(F$2,mission_ACH!$2:$2,0)-MATCH($D$2,mission_ACH!$2:$2,0)+1,FALSE)</f>
        <v>unit</v>
      </c>
      <c r="G125" s="31">
        <f ca="1">VLOOKUP($D125,OFFSET(mission_ACH!$A$2,0,0,COUNTA(mission_ACH!$A:$A),MATCH(G$2,mission_ACH!$2:$2,0)-MATCH($D$2,mission_ACH!$2:$2,0)+1),MATCH(G$2,mission_ACH!$2:$2,0)-MATCH($D$2,mission_ACH!$2:$2,0)+1,FALSE)</f>
        <v>837</v>
      </c>
      <c r="H125" s="31">
        <f ca="1">VLOOKUP($D125,OFFSET(mission_ACH!$A$2,0,0,COUNTA(mission_ACH!$A:$A),MATCH(H$2,mission_ACH!$2:$2,0)-MATCH($D$2,mission_ACH!$2:$2,0)+1),MATCH(H$2,mission_ACH!$2:$2,0)-MATCH($D$2,mission_ACH!$2:$2,0)+1,FALSE)</f>
        <v>1</v>
      </c>
    </row>
    <row r="126" spans="1:8" ht="21" customHeight="1" x14ac:dyDescent="0.15">
      <c r="A126" s="8">
        <v>45002</v>
      </c>
      <c r="B126" s="27" t="s">
        <v>1960</v>
      </c>
      <c r="C126" s="31" t="str">
        <f ca="1">VLOOKUP($B126,OFFSET(mission_ACH_criteria!$A$1,0,0,COUNTA(mission_ACH_criteria!$A:$A),MATCH(C$2,mission_ACH_criteria!$1:$1,0)-MATCH($B$2,mission_ACH_criteria!$1:$1,0)+1),MATCH(C$2,mission_ACH_criteria!$1:$1,0)-MATCH($B$2,mission_ACH_criteria!$1:$1,0)+1,FALSE)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3 回クリアしよう！</v>
      </c>
      <c r="D126" s="27" t="s">
        <v>1952</v>
      </c>
      <c r="E126" s="31" t="str">
        <f ca="1">VLOOKUP($D126,OFFSET(mission_ACH!$A$2,0,0,COUNTA(mission_ACH!$A:$A),MATCH(E$2,mission_ACH!$2:$2,0)-MATCH($D$2,mission_ACH!$2:$2,0)+1),MATCH(E$2,mission_ACH!$2:$2,0)-MATCH($D$2,mission_ACH!$2:$2,0)+1,FALSE)</f>
        <v>マスターキー x 3</v>
      </c>
      <c r="F126" s="31" t="str">
        <f ca="1">VLOOKUP($D126,OFFSET(mission_ACH!$A$2,0,0,COUNTA(mission_ACH!$A:$A),MATCH(F$2,mission_ACH!$2:$2,0)-MATCH($D$2,mission_ACH!$2:$2,0)+1),MATCH(F$2,mission_ACH!$2:$2,0)-MATCH($D$2,mission_ACH!$2:$2,0)+1,FALSE)</f>
        <v>item</v>
      </c>
      <c r="G126" s="31">
        <f ca="1">VLOOKUP($D126,OFFSET(mission_ACH!$A$2,0,0,COUNTA(mission_ACH!$A:$A),MATCH(G$2,mission_ACH!$2:$2,0)-MATCH($D$2,mission_ACH!$2:$2,0)+1),MATCH(G$2,mission_ACH!$2:$2,0)-MATCH($D$2,mission_ACH!$2:$2,0)+1,FALSE)</f>
        <v>1</v>
      </c>
      <c r="H126" s="31">
        <f ca="1">VLOOKUP($D126,OFFSET(mission_ACH!$A$2,0,0,COUNTA(mission_ACH!$A:$A),MATCH(H$2,mission_ACH!$2:$2,0)-MATCH($D$2,mission_ACH!$2:$2,0)+1),MATCH(H$2,mission_ACH!$2:$2,0)-MATCH($D$2,mission_ACH!$2:$2,0)+1,FALSE)</f>
        <v>3</v>
      </c>
    </row>
    <row r="127" spans="1:8" ht="21" customHeight="1" x14ac:dyDescent="0.15">
      <c r="A127" s="8">
        <v>45003</v>
      </c>
      <c r="B127" s="27" t="s">
        <v>1961</v>
      </c>
      <c r="C127" s="31" t="str">
        <f ca="1">VLOOKUP($B127,OFFSET(mission_ACH_criteria!$A$1,0,0,COUNTA(mission_ACH_criteria!$A:$A),MATCH(C$2,mission_ACH_criteria!$1:$1,0)-MATCH($B$2,mission_ACH_criteria!$1:$1,0)+1),MATCH(C$2,mission_ACH_criteria!$1:$1,0)-MATCH($B$2,mission_ACH_criteria!$1:$1,0)+1,FALSE)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5 回クリアしよう！</v>
      </c>
      <c r="D127" s="27" t="s">
        <v>70</v>
      </c>
      <c r="E127" s="31" t="str">
        <f ca="1">VLOOKUP($D127,OFFSET(mission_ACH!$A$2,0,0,COUNTA(mission_ACH!$A:$A),MATCH(E$2,mission_ACH!$2:$2,0)-MATCH($D$2,mission_ACH!$2:$2,0)+1),MATCH(E$2,mission_ACH!$2:$2,0)-MATCH($D$2,mission_ACH!$2:$2,0)+1,FALSE)</f>
        <v>リンク x 2000</v>
      </c>
      <c r="F127" s="31" t="str">
        <f ca="1">VLOOKUP($D127,OFFSET(mission_ACH!$A$2,0,0,COUNTA(mission_ACH!$A:$A),MATCH(F$2,mission_ACH!$2:$2,0)-MATCH($D$2,mission_ACH!$2:$2,0)+1),MATCH(F$2,mission_ACH!$2:$2,0)-MATCH($D$2,mission_ACH!$2:$2,0)+1,FALSE)</f>
        <v>link</v>
      </c>
      <c r="G127" s="31">
        <f ca="1">VLOOKUP($D127,OFFSET(mission_ACH!$A$2,0,0,COUNTA(mission_ACH!$A:$A),MATCH(G$2,mission_ACH!$2:$2,0)-MATCH($D$2,mission_ACH!$2:$2,0)+1),MATCH(G$2,mission_ACH!$2:$2,0)-MATCH($D$2,mission_ACH!$2:$2,0)+1,FALSE)</f>
        <v>2000</v>
      </c>
      <c r="H127" s="31">
        <f ca="1">VLOOKUP($D127,OFFSET(mission_ACH!$A$2,0,0,COUNTA(mission_ACH!$A:$A),MATCH(H$2,mission_ACH!$2:$2,0)-MATCH($D$2,mission_ACH!$2:$2,0)+1),MATCH(H$2,mission_ACH!$2:$2,0)-MATCH($D$2,mission_ACH!$2:$2,0)+1,FALSE)</f>
        <v>0</v>
      </c>
    </row>
    <row r="128" spans="1:8" ht="21" customHeight="1" x14ac:dyDescent="0.15">
      <c r="A128" s="8">
        <v>45004</v>
      </c>
      <c r="B128" s="27" t="s">
        <v>1962</v>
      </c>
      <c r="C128" s="31" t="str">
        <f ca="1">VLOOKUP($B128,OFFSET(mission_ACH_criteria!$A$1,0,0,COUNTA(mission_ACH_criteria!$A:$A),MATCH(C$2,mission_ACH_criteria!$1:$1,0)-MATCH($B$2,mission_ACH_criteria!$1:$1,0)+1),MATCH(C$2,mission_ACH_criteria!$1:$1,0)-MATCH($B$2,mission_ACH_criteria!$1:$1,0)+1,FALSE)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7 回クリアしよう！</v>
      </c>
      <c r="D128" s="27" t="s">
        <v>1953</v>
      </c>
      <c r="E128" s="31" t="str">
        <f ca="1">VLOOKUP($D128,OFFSET(mission_ACH!$A$2,0,0,COUNTA(mission_ACH!$A:$A),MATCH(E$2,mission_ACH!$2:$2,0)-MATCH($D$2,mission_ACH!$2:$2,0)+1),MATCH(E$2,mission_ACH!$2:$2,0)-MATCH($D$2,mission_ACH!$2:$2,0)+1,FALSE)</f>
        <v>ギガ秘術の果実 x 2</v>
      </c>
      <c r="F128" s="31" t="str">
        <f ca="1">VLOOKUP($D128,OFFSET(mission_ACH!$A$2,0,0,COUNTA(mission_ACH!$A:$A),MATCH(F$2,mission_ACH!$2:$2,0)-MATCH($D$2,mission_ACH!$2:$2,0)+1),MATCH(F$2,mission_ACH!$2:$2,0)-MATCH($D$2,mission_ACH!$2:$2,0)+1,FALSE)</f>
        <v>unit</v>
      </c>
      <c r="G128" s="31">
        <f ca="1">VLOOKUP($D128,OFFSET(mission_ACH!$A$2,0,0,COUNTA(mission_ACH!$A:$A),MATCH(G$2,mission_ACH!$2:$2,0)-MATCH($D$2,mission_ACH!$2:$2,0)+1),MATCH(G$2,mission_ACH!$2:$2,0)-MATCH($D$2,mission_ACH!$2:$2,0)+1,FALSE)</f>
        <v>614</v>
      </c>
      <c r="H128" s="31">
        <f ca="1">VLOOKUP($D128,OFFSET(mission_ACH!$A$2,0,0,COUNTA(mission_ACH!$A:$A),MATCH(H$2,mission_ACH!$2:$2,0)-MATCH($D$2,mission_ACH!$2:$2,0)+1),MATCH(H$2,mission_ACH!$2:$2,0)-MATCH($D$2,mission_ACH!$2:$2,0)+1,FALSE)</f>
        <v>2</v>
      </c>
    </row>
    <row r="129" spans="1:8" ht="21" customHeight="1" x14ac:dyDescent="0.15">
      <c r="A129" s="8">
        <v>45005</v>
      </c>
      <c r="B129" s="27" t="s">
        <v>1963</v>
      </c>
      <c r="C129" s="31" t="str">
        <f ca="1">VLOOKUP($B129,OFFSET(mission_ACH_criteria!$A$1,0,0,COUNTA(mission_ACH_criteria!$A:$A),MATCH(C$2,mission_ACH_criteria!$1:$1,0)-MATCH($B$2,mission_ACH_criteria!$1:$1,0)+1),MATCH(C$2,mission_ACH_criteria!$1:$1,0)-MATCH($B$2,mission_ACH_criteria!$1:$1,0)+1,FALSE)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10 回クリアしよう！</v>
      </c>
      <c r="D129" s="27" t="s">
        <v>1954</v>
      </c>
      <c r="E129" s="31" t="str">
        <f ca="1">VLOOKUP($D129,OFFSET(mission_ACH!$A$2,0,0,COUNTA(mission_ACH!$A:$A),MATCH(E$2,mission_ACH!$2:$2,0)-MATCH($D$2,mission_ACH!$2:$2,0)+1),MATCH(E$2,mission_ACH!$2:$2,0)-MATCH($D$2,mission_ACH!$2:$2,0)+1,FALSE)</f>
        <v>ビット x 1000000</v>
      </c>
      <c r="F129" s="31" t="str">
        <f ca="1">VLOOKUP($D129,OFFSET(mission_ACH!$A$2,0,0,COUNTA(mission_ACH!$A:$A),MATCH(F$2,mission_ACH!$2:$2,0)-MATCH($D$2,mission_ACH!$2:$2,0)+1),MATCH(F$2,mission_ACH!$2:$2,0)-MATCH($D$2,mission_ACH!$2:$2,0)+1,FALSE)</f>
        <v>bit</v>
      </c>
      <c r="G129" s="31">
        <f ca="1">VLOOKUP($D129,OFFSET(mission_ACH!$A$2,0,0,COUNTA(mission_ACH!$A:$A),MATCH(G$2,mission_ACH!$2:$2,0)-MATCH($D$2,mission_ACH!$2:$2,0)+1),MATCH(G$2,mission_ACH!$2:$2,0)-MATCH($D$2,mission_ACH!$2:$2,0)+1,FALSE)</f>
        <v>1000000</v>
      </c>
      <c r="H129" s="31">
        <f ca="1">VLOOKUP($D129,OFFSET(mission_ACH!$A$2,0,0,COUNTA(mission_ACH!$A:$A),MATCH(H$2,mission_ACH!$2:$2,0)-MATCH($D$2,mission_ACH!$2:$2,0)+1),MATCH(H$2,mission_ACH!$2:$2,0)-MATCH($D$2,mission_ACH!$2:$2,0)+1,FALSE)</f>
        <v>0</v>
      </c>
    </row>
    <row r="130" spans="1:8" ht="21" customHeight="1" x14ac:dyDescent="0.15">
      <c r="A130" s="8">
        <v>45006</v>
      </c>
      <c r="B130" s="27" t="s">
        <v>1964</v>
      </c>
      <c r="C130" s="31" t="str">
        <f ca="1">VLOOKUP($B130,OFFSET(mission_ACH_criteria!$A$1,0,0,COUNTA(mission_ACH_criteria!$A:$A),MATCH(C$2,mission_ACH_criteria!$1:$1,0)-MATCH($B$2,mission_ACH_criteria!$1:$1,0)+1),MATCH(C$2,mission_ACH_criteria!$1:$1,0)-MATCH($B$2,mission_ACH_criteria!$1:$1,0)+1,FALSE)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13 回クリアしよう！</v>
      </c>
      <c r="D130" s="27" t="s">
        <v>1955</v>
      </c>
      <c r="E130" s="31" t="str">
        <f ca="1">VLOOKUP($D130,OFFSET(mission_ACH!$A$2,0,0,COUNTA(mission_ACH!$A:$A),MATCH(E$2,mission_ACH!$2:$2,0)-MATCH($D$2,mission_ACH!$2:$2,0)+1),MATCH(E$2,mission_ACH!$2:$2,0)-MATCH($D$2,mission_ACH!$2:$2,0)+1,FALSE)</f>
        <v>ギガ生命の果実 x 3</v>
      </c>
      <c r="F130" s="31" t="str">
        <f ca="1">VLOOKUP($D130,OFFSET(mission_ACH!$A$2,0,0,COUNTA(mission_ACH!$A:$A),MATCH(F$2,mission_ACH!$2:$2,0)-MATCH($D$2,mission_ACH!$2:$2,0)+1),MATCH(F$2,mission_ACH!$2:$2,0)-MATCH($D$2,mission_ACH!$2:$2,0)+1,FALSE)</f>
        <v>unit</v>
      </c>
      <c r="G130" s="31">
        <f ca="1">VLOOKUP($D130,OFFSET(mission_ACH!$A$2,0,0,COUNTA(mission_ACH!$A:$A),MATCH(G$2,mission_ACH!$2:$2,0)-MATCH($D$2,mission_ACH!$2:$2,0)+1),MATCH(G$2,mission_ACH!$2:$2,0)-MATCH($D$2,mission_ACH!$2:$2,0)+1,FALSE)</f>
        <v>612</v>
      </c>
      <c r="H130" s="31">
        <f ca="1">VLOOKUP($D130,OFFSET(mission_ACH!$A$2,0,0,COUNTA(mission_ACH!$A:$A),MATCH(H$2,mission_ACH!$2:$2,0)-MATCH($D$2,mission_ACH!$2:$2,0)+1),MATCH(H$2,mission_ACH!$2:$2,0)-MATCH($D$2,mission_ACH!$2:$2,0)+1,FALSE)</f>
        <v>3</v>
      </c>
    </row>
    <row r="131" spans="1:8" ht="21" customHeight="1" x14ac:dyDescent="0.15">
      <c r="A131" s="8">
        <v>45007</v>
      </c>
      <c r="B131" s="27" t="s">
        <v>1965</v>
      </c>
      <c r="C131" s="31" t="str">
        <f ca="1">VLOOKUP($B131,OFFSET(mission_ACH_criteria!$A$1,0,0,COUNTA(mission_ACH_criteria!$A:$A),MATCH(C$2,mission_ACH_criteria!$1:$1,0)-MATCH($B$2,mission_ACH_criteria!$1:$1,0)+1),MATCH(C$2,mission_ACH_criteria!$1:$1,0)-MATCH($B$2,mission_ACH_criteria!$1:$1,0)+1,FALSE)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16 回クリアしよう！</v>
      </c>
      <c r="D131" s="27" t="s">
        <v>1956</v>
      </c>
      <c r="E131" s="31" t="str">
        <f ca="1">VLOOKUP($D131,OFFSET(mission_ACH!$A$2,0,0,COUNTA(mission_ACH!$A:$A),MATCH(E$2,mission_ACH!$2:$2,0)-MATCH($D$2,mission_ACH!$2:$2,0)+1),MATCH(E$2,mission_ACH!$2:$2,0)-MATCH($D$2,mission_ACH!$2:$2,0)+1,FALSE)</f>
        <v>ギガ癒しの果実 x 3</v>
      </c>
      <c r="F131" s="31" t="str">
        <f ca="1">VLOOKUP($D131,OFFSET(mission_ACH!$A$2,0,0,COUNTA(mission_ACH!$A:$A),MATCH(F$2,mission_ACH!$2:$2,0)-MATCH($D$2,mission_ACH!$2:$2,0)+1),MATCH(F$2,mission_ACH!$2:$2,0)-MATCH($D$2,mission_ACH!$2:$2,0)+1,FALSE)</f>
        <v>unit</v>
      </c>
      <c r="G131" s="31">
        <f ca="1">VLOOKUP($D131,OFFSET(mission_ACH!$A$2,0,0,COUNTA(mission_ACH!$A:$A),MATCH(G$2,mission_ACH!$2:$2,0)-MATCH($D$2,mission_ACH!$2:$2,0)+1),MATCH(G$2,mission_ACH!$2:$2,0)-MATCH($D$2,mission_ACH!$2:$2,0)+1,FALSE)</f>
        <v>613</v>
      </c>
      <c r="H131" s="31">
        <f ca="1">VLOOKUP($D131,OFFSET(mission_ACH!$A$2,0,0,COUNTA(mission_ACH!$A:$A),MATCH(H$2,mission_ACH!$2:$2,0)-MATCH($D$2,mission_ACH!$2:$2,0)+1),MATCH(H$2,mission_ACH!$2:$2,0)-MATCH($D$2,mission_ACH!$2:$2,0)+1,FALSE)</f>
        <v>3</v>
      </c>
    </row>
    <row r="132" spans="1:8" ht="21" customHeight="1" x14ac:dyDescent="0.15">
      <c r="A132" s="8">
        <v>45008</v>
      </c>
      <c r="B132" s="27" t="s">
        <v>1966</v>
      </c>
      <c r="C132" s="31" t="str">
        <f ca="1">VLOOKUP($B132,OFFSET(mission_ACH_criteria!$A$1,0,0,COUNTA(mission_ACH_criteria!$A:$A),MATCH(C$2,mission_ACH_criteria!$1:$1,0)-MATCH($B$2,mission_ACH_criteria!$1:$1,0)+1),MATCH(C$2,mission_ACH_criteria!$1:$1,0)-MATCH($B$2,mission_ACH_criteria!$1:$1,0)+1,FALSE)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20 回クリアしよう！</v>
      </c>
      <c r="D132" s="27" t="s">
        <v>1957</v>
      </c>
      <c r="E132" s="31" t="str">
        <f ca="1">VLOOKUP($D132,OFFSET(mission_ACH!$A$2,0,0,COUNTA(mission_ACH!$A:$A),MATCH(E$2,mission_ACH!$2:$2,0)-MATCH($D$2,mission_ACH!$2:$2,0)+1),MATCH(E$2,mission_ACH!$2:$2,0)-MATCH($D$2,mission_ACH!$2:$2,0)+1,FALSE)</f>
        <v>ギガ攻めの果実 x 3</v>
      </c>
      <c r="F132" s="31" t="str">
        <f ca="1">VLOOKUP($D132,OFFSET(mission_ACH!$A$2,0,0,COUNTA(mission_ACH!$A:$A),MATCH(F$2,mission_ACH!$2:$2,0)-MATCH($D$2,mission_ACH!$2:$2,0)+1),MATCH(F$2,mission_ACH!$2:$2,0)-MATCH($D$2,mission_ACH!$2:$2,0)+1,FALSE)</f>
        <v>unit</v>
      </c>
      <c r="G132" s="31">
        <f ca="1">VLOOKUP($D132,OFFSET(mission_ACH!$A$2,0,0,COUNTA(mission_ACH!$A:$A),MATCH(G$2,mission_ACH!$2:$2,0)-MATCH($D$2,mission_ACH!$2:$2,0)+1),MATCH(G$2,mission_ACH!$2:$2,0)-MATCH($D$2,mission_ACH!$2:$2,0)+1,FALSE)</f>
        <v>611</v>
      </c>
      <c r="H132" s="31">
        <f ca="1">VLOOKUP($D132,OFFSET(mission_ACH!$A$2,0,0,COUNTA(mission_ACH!$A:$A),MATCH(H$2,mission_ACH!$2:$2,0)-MATCH($D$2,mission_ACH!$2:$2,0)+1),MATCH(H$2,mission_ACH!$2:$2,0)-MATCH($D$2,mission_ACH!$2:$2,0)+1,FALSE)</f>
        <v>3</v>
      </c>
    </row>
    <row r="133" spans="1:8" ht="21" customHeight="1" x14ac:dyDescent="0.15">
      <c r="A133" s="8">
        <v>45009</v>
      </c>
      <c r="B133" s="27" t="s">
        <v>1967</v>
      </c>
      <c r="C133" s="31" t="str">
        <f ca="1">VLOOKUP($B133,OFFSET(mission_ACH_criteria!$A$1,0,0,COUNTA(mission_ACH_criteria!$A:$A),MATCH(C$2,mission_ACH_criteria!$1:$1,0)-MATCH($B$2,mission_ACH_criteria!$1:$1,0)+1),MATCH(C$2,mission_ACH_criteria!$1:$1,0)-MATCH($B$2,mission_ACH_criteria!$1:$1,0)+1,FALSE)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25 回クリアしよう！</v>
      </c>
      <c r="D133" s="27" t="s">
        <v>1958</v>
      </c>
      <c r="E133" s="31" t="str">
        <f ca="1">VLOOKUP($D133,OFFSET(mission_ACH!$A$2,0,0,COUNTA(mission_ACH!$A:$A),MATCH(E$2,mission_ACH!$2:$2,0)-MATCH($D$2,mission_ACH!$2:$2,0)+1),MATCH(E$2,mission_ACH!$2:$2,0)-MATCH($D$2,mission_ACH!$2:$2,0)+1,FALSE)</f>
        <v>ビット x 2000000</v>
      </c>
      <c r="F133" s="31" t="str">
        <f ca="1">VLOOKUP($D133,OFFSET(mission_ACH!$A$2,0,0,COUNTA(mission_ACH!$A:$A),MATCH(F$2,mission_ACH!$2:$2,0)-MATCH($D$2,mission_ACH!$2:$2,0)+1),MATCH(F$2,mission_ACH!$2:$2,0)-MATCH($D$2,mission_ACH!$2:$2,0)+1,FALSE)</f>
        <v>bit</v>
      </c>
      <c r="G133" s="31">
        <f ca="1">VLOOKUP($D133,OFFSET(mission_ACH!$A$2,0,0,COUNTA(mission_ACH!$A:$A),MATCH(G$2,mission_ACH!$2:$2,0)-MATCH($D$2,mission_ACH!$2:$2,0)+1),MATCH(G$2,mission_ACH!$2:$2,0)-MATCH($D$2,mission_ACH!$2:$2,0)+1,FALSE)</f>
        <v>2000000</v>
      </c>
      <c r="H133" s="31">
        <f ca="1">VLOOKUP($D133,OFFSET(mission_ACH!$A$2,0,0,COUNTA(mission_ACH!$A:$A),MATCH(H$2,mission_ACH!$2:$2,0)-MATCH($D$2,mission_ACH!$2:$2,0)+1),MATCH(H$2,mission_ACH!$2:$2,0)-MATCH($D$2,mission_ACH!$2:$2,0)+1,FALSE)</f>
        <v>0</v>
      </c>
    </row>
    <row r="134" spans="1:8" ht="21" customHeight="1" x14ac:dyDescent="0.15">
      <c r="A134" s="8">
        <v>45010</v>
      </c>
      <c r="B134" s="27" t="s">
        <v>1968</v>
      </c>
      <c r="C134" s="31" t="str">
        <f ca="1">VLOOKUP($B134,OFFSET(mission_ACH_criteria!$A$1,0,0,COUNTA(mission_ACH_criteria!$A:$A),MATCH(C$2,mission_ACH_criteria!$1:$1,0)-MATCH($B$2,mission_ACH_criteria!$1:$1,0)+1),MATCH(C$2,mission_ACH_criteria!$1:$1,0)-MATCH($B$2,mission_ACH_criteria!$1:$1,0)+1,FALSE)</f>
        <v>クエストを通算 30 回クリアしよう！</v>
      </c>
      <c r="D134" s="27" t="s">
        <v>1978</v>
      </c>
      <c r="E134" s="31" t="str">
        <f ca="1">VLOOKUP($D134,OFFSET(mission_ACH!$A$2,0,0,COUNTA(mission_ACH!$A:$A),MATCH(E$2,mission_ACH!$2:$2,0)-MATCH($D$2,mission_ACH!$2:$2,0)+1),MATCH(E$2,mission_ACH!$2:$2,0)-MATCH($D$2,mission_ACH!$2:$2,0)+1,FALSE)</f>
        <v>リトルハンプティ x 2</v>
      </c>
      <c r="F134" s="31" t="str">
        <f ca="1">VLOOKUP($D134,OFFSET(mission_ACH!$A$2,0,0,COUNTA(mission_ACH!$A:$A),MATCH(F$2,mission_ACH!$2:$2,0)-MATCH($D$2,mission_ACH!$2:$2,0)+1),MATCH(F$2,mission_ACH!$2:$2,0)-MATCH($D$2,mission_ACH!$2:$2,0)+1,FALSE)</f>
        <v>unit</v>
      </c>
      <c r="G134" s="31">
        <f ca="1">VLOOKUP($D134,OFFSET(mission_ACH!$A$2,0,0,COUNTA(mission_ACH!$A:$A),MATCH(G$2,mission_ACH!$2:$2,0)-MATCH($D$2,mission_ACH!$2:$2,0)+1),MATCH(G$2,mission_ACH!$2:$2,0)-MATCH($D$2,mission_ACH!$2:$2,0)+1,FALSE)</f>
        <v>837</v>
      </c>
      <c r="H134" s="31">
        <f ca="1">VLOOKUP($D134,OFFSET(mission_ACH!$A$2,0,0,COUNTA(mission_ACH!$A:$A),MATCH(H$2,mission_ACH!$2:$2,0)-MATCH($D$2,mission_ACH!$2:$2,0)+1),MATCH(H$2,mission_ACH!$2:$2,0)-MATCH($D$2,mission_ACH!$2:$2,0)+1,FALSE)</f>
        <v>2</v>
      </c>
    </row>
  </sheetData>
  <mergeCells count="1">
    <mergeCell ref="E1:H1"/>
  </mergeCells>
  <phoneticPr fontId="5"/>
  <conditionalFormatting sqref="L9:L11">
    <cfRule type="cellIs" dxfId="5" priority="8" stopIfTrue="1" operator="equal">
      <formula>"ユニット"</formula>
    </cfRule>
  </conditionalFormatting>
  <conditionalFormatting sqref="L3:L5">
    <cfRule type="cellIs" dxfId="4" priority="5" stopIfTrue="1" operator="equal">
      <formula>"ユニット"</formula>
    </cfRule>
  </conditionalFormatting>
  <conditionalFormatting sqref="L6:L8">
    <cfRule type="cellIs" dxfId="3" priority="4" stopIfTrue="1" operator="equal">
      <formula>"ユニット"</formula>
    </cfRule>
  </conditionalFormatting>
  <conditionalFormatting sqref="L70:L75">
    <cfRule type="cellIs" dxfId="2" priority="3" stopIfTrue="1" operator="equal">
      <formula>"ユニット"</formula>
    </cfRule>
  </conditionalFormatting>
  <conditionalFormatting sqref="L61:L63">
    <cfRule type="cellIs" dxfId="1" priority="2" stopIfTrue="1" operator="equal">
      <formula>"ユニット"</formula>
    </cfRule>
  </conditionalFormatting>
  <conditionalFormatting sqref="L64:L69">
    <cfRule type="cellIs" dxfId="0" priority="1" stopIfTrue="1" operator="equal">
      <formula>"ユニット"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H311"/>
  <sheetViews>
    <sheetView showGridLines="0" workbookViewId="0">
      <pane xSplit="2" ySplit="2" topLeftCell="C114" activePane="bottomRight" state="frozen"/>
      <selection pane="topRight" activeCell="C1" sqref="C1"/>
      <selection pane="bottomLeft" activeCell="A3" sqref="A3"/>
      <selection pane="bottomRight" activeCell="A76" sqref="A72:A76"/>
    </sheetView>
  </sheetViews>
  <sheetFormatPr baseColWidth="12" defaultColWidth="12.796875" defaultRowHeight="21" customHeight="1" outlineLevelCol="1" x14ac:dyDescent="0.15"/>
  <cols>
    <col min="1" max="1" width="16" style="1" customWidth="1"/>
    <col min="2" max="2" width="51.59765625" style="1" customWidth="1" outlineLevel="1"/>
    <col min="3" max="3" width="16" style="1" bestFit="1" customWidth="1"/>
    <col min="4" max="4" width="36" style="1" customWidth="1" outlineLevel="1"/>
    <col min="5" max="5" width="31.796875" style="1" customWidth="1" outlineLevel="1"/>
    <col min="6" max="6" width="27.3984375" style="7" customWidth="1"/>
    <col min="7" max="7" width="34.796875" style="7" customWidth="1"/>
    <col min="8" max="8" width="20.3984375" style="7" customWidth="1"/>
    <col min="9" max="16384" width="12.796875" style="1"/>
  </cols>
  <sheetData>
    <row r="1" spans="1:8" ht="21" customHeight="1" x14ac:dyDescent="0.15">
      <c r="A1" s="19" t="s">
        <v>526</v>
      </c>
      <c r="B1" s="43" t="s">
        <v>532</v>
      </c>
      <c r="C1" s="19" t="s">
        <v>531</v>
      </c>
      <c r="D1" s="43" t="s">
        <v>527</v>
      </c>
      <c r="E1" s="43" t="s">
        <v>528</v>
      </c>
      <c r="F1" s="19" t="s">
        <v>529</v>
      </c>
      <c r="G1" s="43"/>
      <c r="H1" s="19" t="s">
        <v>530</v>
      </c>
    </row>
    <row r="2" spans="1:8" ht="21" customHeight="1" x14ac:dyDescent="0.15">
      <c r="A2" s="9" t="s">
        <v>0</v>
      </c>
      <c r="B2" s="24" t="s">
        <v>270</v>
      </c>
      <c r="C2" s="9" t="s">
        <v>1</v>
      </c>
      <c r="D2" s="24" t="s">
        <v>9</v>
      </c>
      <c r="E2" s="24" t="s">
        <v>269</v>
      </c>
      <c r="F2" s="9" t="s">
        <v>2</v>
      </c>
      <c r="G2" s="24" t="s">
        <v>671</v>
      </c>
      <c r="H2" s="9" t="s">
        <v>24</v>
      </c>
    </row>
    <row r="3" spans="1:8" ht="21" customHeight="1" x14ac:dyDescent="0.15">
      <c r="A3" s="27" t="s">
        <v>354</v>
      </c>
      <c r="B3" s="26" t="str">
        <f ca="1">IF(C3="quest_clear",SUBSTITUTE(D3,"x",G3),IF(C3="mission_clear",SUBSTITUTE(D3,"x",G3),SUBSTITUTE(D3,"x",F3)))</f>
        <v>クエスト 【練習でクラッシュ！】 をクリア</v>
      </c>
      <c r="C3" s="32" t="s">
        <v>10</v>
      </c>
      <c r="D3" s="26" t="str">
        <f ca="1">VLOOKUP($C3,OFFSET(開放条件!$A$1,0,0,COUNTA($A:$A),MATCH(D$2,開放条件!$1:$1,0)-MATCH($C$2,開放条件!$1:$1,0)+1),MATCH(D$2,開放条件!$1:$1,0)-MATCH($C$2,開放条件!$1:$1,0)+1,FALSE)</f>
        <v>クエスト 【x】 をクリア</v>
      </c>
      <c r="E3" s="26" t="str">
        <f ca="1">VLOOKUP($C3,OFFSET(開放条件!$A$1,0,0,COUNTA($A:$A),MATCH(E$2,開放条件!$1:$1,0)-MATCH($C$2,開放条件!$1:$1,0)+1),MATCH(E$2,開放条件!$1:$1,0)-MATCH($C$2,開放条件!$1:$1,0)+1,FALSE)</f>
        <v>該当のクエスト(99-9)</v>
      </c>
      <c r="F3" s="37" t="s">
        <v>355</v>
      </c>
      <c r="G3" s="31" t="str">
        <f ca="1">IF(C3="mission_clear",VLOOKUP(INT($F3),OFFSET(missions!$A$1,0,0,COUNTA(missions!$A:$A),MATCH(G$2,missions!$2:$2,0)-MATCH("mission_id",missions!$2:$2,0)+1),MATCH(G$2,missions!$2:$2,0)-MATCH("mission_id",missions!$2:$2,0)+1,FALSE),IF(C3="quest_clear",VLOOKUP(SUBSTITUTE(F3,"-","_"),OFFSET([2]stages!$A$2,0,0,COUNTA([2]stages!$A:$A),MATCH("name",[2]stages!$2:$2,0)-MATCH("temp_stage",[2]stages!$2:$2,0)+1),MATCH("name",[2]stages!$2:$2,0)-MATCH("temp_stage",[2]stages!$2:$2,0)+1,FALSE),""))</f>
        <v>練習でクラッシュ！</v>
      </c>
      <c r="H3" s="28">
        <v>1</v>
      </c>
    </row>
    <row r="4" spans="1:8" ht="21" customHeight="1" x14ac:dyDescent="0.15">
      <c r="A4" s="27" t="s">
        <v>332</v>
      </c>
      <c r="B4" s="26" t="str">
        <f t="shared" ref="B4:B91" ca="1" si="0">IF(C4="quest_clear",SUBSTITUTE(D4,"x",G4),IF(C4="mission_clear",SUBSTITUTE(D4,"x",G4),SUBSTITUTE(D4,"x",F4)))</f>
        <v>クエスト 【1-3. ゲートの番犬】 をクリア</v>
      </c>
      <c r="C4" s="32" t="s">
        <v>10</v>
      </c>
      <c r="D4" s="26" t="str">
        <f ca="1">VLOOKUP($C4,OFFSET(開放条件!$A$1,0,0,COUNTA($A:$A),MATCH(D$2,開放条件!$1:$1,0)-MATCH($C$2,開放条件!$1:$1,0)+1),MATCH(D$2,開放条件!$1:$1,0)-MATCH($C$2,開放条件!$1:$1,0)+1,FALSE)</f>
        <v>クエスト 【x】 をクリア</v>
      </c>
      <c r="E4" s="26" t="str">
        <f ca="1">VLOOKUP($C4,OFFSET(開放条件!$A$1,0,0,COUNTA($A:$A),MATCH(E$2,開放条件!$1:$1,0)-MATCH($C$2,開放条件!$1:$1,0)+1),MATCH(E$2,開放条件!$1:$1,0)-MATCH($C$2,開放条件!$1:$1,0)+1,FALSE)</f>
        <v>該当のクエスト(99-9)</v>
      </c>
      <c r="F4" s="37" t="s">
        <v>470</v>
      </c>
      <c r="G4" s="31" t="str">
        <f ca="1">IF(C4="mission_clear",VLOOKUP(INT($F4),OFFSET(missions!$A$1,0,0,COUNTA(missions!$A:$A),MATCH(G$2,missions!$2:$2,0)-MATCH("mission_id",missions!$2:$2,0)+1),MATCH(G$2,missions!$2:$2,0)-MATCH("mission_id",missions!$2:$2,0)+1,FALSE),IF(C4="quest_clear",VLOOKUP(SUBSTITUTE(F4,"-","_"),OFFSET([2]stages!$A$2,0,0,COUNTA([2]stages!$A:$A),MATCH("name",[2]stages!$2:$2,0)-MATCH("temp_stage",[2]stages!$2:$2,0)+1),MATCH("name",[2]stages!$2:$2,0)-MATCH("temp_stage",[2]stages!$2:$2,0)+1,FALSE),""))</f>
        <v>1-3. ゲートの番犬</v>
      </c>
      <c r="H4" s="28">
        <v>1</v>
      </c>
    </row>
    <row r="5" spans="1:8" ht="21" customHeight="1" x14ac:dyDescent="0.15">
      <c r="A5" s="27" t="s">
        <v>333</v>
      </c>
      <c r="B5" s="26" t="str">
        <f t="shared" ca="1" si="0"/>
        <v>クエスト 【2-3. 妖炎の誘い】 をクリア</v>
      </c>
      <c r="C5" s="32" t="s">
        <v>10</v>
      </c>
      <c r="D5" s="26" t="str">
        <f ca="1">VLOOKUP($C5,OFFSET(開放条件!$A$1,0,0,COUNTA($A:$A),MATCH(D$2,開放条件!$1:$1,0)-MATCH($C$2,開放条件!$1:$1,0)+1),MATCH(D$2,開放条件!$1:$1,0)-MATCH($C$2,開放条件!$1:$1,0)+1,FALSE)</f>
        <v>クエスト 【x】 をクリア</v>
      </c>
      <c r="E5" s="26" t="str">
        <f ca="1">VLOOKUP($C5,OFFSET(開放条件!$A$1,0,0,COUNTA($A:$A),MATCH(E$2,開放条件!$1:$1,0)-MATCH($C$2,開放条件!$1:$1,0)+1),MATCH(E$2,開放条件!$1:$1,0)-MATCH($C$2,開放条件!$1:$1,0)+1,FALSE)</f>
        <v>該当のクエスト(99-9)</v>
      </c>
      <c r="F5" s="38" t="s">
        <v>471</v>
      </c>
      <c r="G5" s="31" t="str">
        <f ca="1">IF(C5="mission_clear",VLOOKUP(INT($F5),OFFSET(missions!$A$1,0,0,COUNTA(missions!$A:$A),MATCH(G$2,missions!$2:$2,0)-MATCH("mission_id",missions!$2:$2,0)+1),MATCH(G$2,missions!$2:$2,0)-MATCH("mission_id",missions!$2:$2,0)+1,FALSE),IF(C5="quest_clear",VLOOKUP(SUBSTITUTE(F5,"-","_"),OFFSET([2]stages!$A$2,0,0,COUNTA([2]stages!$A:$A),MATCH("name",[2]stages!$2:$2,0)-MATCH("temp_stage",[2]stages!$2:$2,0)+1),MATCH("name",[2]stages!$2:$2,0)-MATCH("temp_stage",[2]stages!$2:$2,0)+1,FALSE),""))</f>
        <v>2-3. 妖炎の誘い</v>
      </c>
      <c r="H5" s="28">
        <v>1</v>
      </c>
    </row>
    <row r="6" spans="1:8" ht="21" customHeight="1" x14ac:dyDescent="0.15">
      <c r="A6" s="27" t="s">
        <v>2294</v>
      </c>
      <c r="B6" s="26" t="str">
        <f t="shared" ca="1" si="0"/>
        <v>クエスト 【3-3. 舞い散る木の葉】 をクリア</v>
      </c>
      <c r="C6" s="32" t="s">
        <v>10</v>
      </c>
      <c r="D6" s="26" t="str">
        <f ca="1">VLOOKUP($C6,OFFSET(開放条件!$A$1,0,0,COUNTA($A:$A),MATCH(D$2,開放条件!$1:$1,0)-MATCH($C$2,開放条件!$1:$1,0)+1),MATCH(D$2,開放条件!$1:$1,0)-MATCH($C$2,開放条件!$1:$1,0)+1,FALSE)</f>
        <v>クエスト 【x】 をクリア</v>
      </c>
      <c r="E6" s="26" t="str">
        <f ca="1">VLOOKUP($C6,OFFSET(開放条件!$A$1,0,0,COUNTA($A:$A),MATCH(E$2,開放条件!$1:$1,0)-MATCH($C$2,開放条件!$1:$1,0)+1),MATCH(E$2,開放条件!$1:$1,0)-MATCH($C$2,開放条件!$1:$1,0)+1,FALSE)</f>
        <v>該当のクエスト(99-9)</v>
      </c>
      <c r="F6" s="38" t="s">
        <v>2296</v>
      </c>
      <c r="G6" s="31" t="str">
        <f ca="1">IF(C6="mission_clear",VLOOKUP(INT($F6),OFFSET(missions!$A$1,0,0,COUNTA(missions!$A:$A),MATCH(G$2,missions!$2:$2,0)-MATCH("mission_id",missions!$2:$2,0)+1),MATCH(G$2,missions!$2:$2,0)-MATCH("mission_id",missions!$2:$2,0)+1,FALSE),IF(C6="quest_clear",VLOOKUP(SUBSTITUTE(F6,"-","_"),OFFSET([2]stages!$A$2,0,0,COUNTA([2]stages!$A:$A),MATCH("name",[2]stages!$2:$2,0)-MATCH("temp_stage",[2]stages!$2:$2,0)+1),MATCH("name",[2]stages!$2:$2,0)-MATCH("temp_stage",[2]stages!$2:$2,0)+1,FALSE),""))</f>
        <v>3-3. 舞い散る木の葉</v>
      </c>
      <c r="H6" s="28">
        <v>1</v>
      </c>
    </row>
    <row r="7" spans="1:8" ht="21" customHeight="1" x14ac:dyDescent="0.15">
      <c r="A7" s="27" t="s">
        <v>335</v>
      </c>
      <c r="B7" s="26" t="str">
        <f t="shared" ca="1" si="0"/>
        <v>クエスト 【4-3. 晩夏の狐】 をクリア</v>
      </c>
      <c r="C7" s="32" t="s">
        <v>10</v>
      </c>
      <c r="D7" s="26" t="str">
        <f ca="1">VLOOKUP($C7,OFFSET(開放条件!$A$1,0,0,COUNTA($A:$A),MATCH(D$2,開放条件!$1:$1,0)-MATCH($C$2,開放条件!$1:$1,0)+1),MATCH(D$2,開放条件!$1:$1,0)-MATCH($C$2,開放条件!$1:$1,0)+1,FALSE)</f>
        <v>クエスト 【x】 をクリア</v>
      </c>
      <c r="E7" s="26" t="str">
        <f ca="1">VLOOKUP($C7,OFFSET(開放条件!$A$1,0,0,COUNTA($A:$A),MATCH(E$2,開放条件!$1:$1,0)-MATCH($C$2,開放条件!$1:$1,0)+1),MATCH(E$2,開放条件!$1:$1,0)-MATCH($C$2,開放条件!$1:$1,0)+1,FALSE)</f>
        <v>該当のクエスト(99-9)</v>
      </c>
      <c r="F7" s="38" t="s">
        <v>472</v>
      </c>
      <c r="G7" s="31" t="str">
        <f ca="1">IF(C7="mission_clear",VLOOKUP(INT($F7),OFFSET(missions!$A$1,0,0,COUNTA(missions!$A:$A),MATCH(G$2,missions!$2:$2,0)-MATCH("mission_id",missions!$2:$2,0)+1),MATCH(G$2,missions!$2:$2,0)-MATCH("mission_id",missions!$2:$2,0)+1,FALSE),IF(C7="quest_clear",VLOOKUP(SUBSTITUTE(F7,"-","_"),OFFSET([2]stages!$A$2,0,0,COUNTA([2]stages!$A:$A),MATCH("name",[2]stages!$2:$2,0)-MATCH("temp_stage",[2]stages!$2:$2,0)+1),MATCH("name",[2]stages!$2:$2,0)-MATCH("temp_stage",[2]stages!$2:$2,0)+1,FALSE),""))</f>
        <v>4-3. 晩夏の狐</v>
      </c>
      <c r="H7" s="28">
        <v>1</v>
      </c>
    </row>
    <row r="8" spans="1:8" ht="21" customHeight="1" x14ac:dyDescent="0.15">
      <c r="A8" s="27" t="s">
        <v>336</v>
      </c>
      <c r="B8" s="26" t="str">
        <f t="shared" ca="1" si="0"/>
        <v>クエスト 【5-3. 水天一碧の凪刀】 をクリア</v>
      </c>
      <c r="C8" s="32" t="s">
        <v>10</v>
      </c>
      <c r="D8" s="26" t="str">
        <f ca="1">VLOOKUP($C8,OFFSET(開放条件!$A$1,0,0,COUNTA($A:$A),MATCH(D$2,開放条件!$1:$1,0)-MATCH($C$2,開放条件!$1:$1,0)+1),MATCH(D$2,開放条件!$1:$1,0)-MATCH($C$2,開放条件!$1:$1,0)+1,FALSE)</f>
        <v>クエスト 【x】 をクリア</v>
      </c>
      <c r="E8" s="26" t="str">
        <f ca="1">VLOOKUP($C8,OFFSET(開放条件!$A$1,0,0,COUNTA($A:$A),MATCH(E$2,開放条件!$1:$1,0)-MATCH($C$2,開放条件!$1:$1,0)+1),MATCH(E$2,開放条件!$1:$1,0)-MATCH($C$2,開放条件!$1:$1,0)+1,FALSE)</f>
        <v>該当のクエスト(99-9)</v>
      </c>
      <c r="F8" s="38" t="s">
        <v>473</v>
      </c>
      <c r="G8" s="31" t="str">
        <f ca="1">IF(C8="mission_clear",VLOOKUP(INT($F8),OFFSET(missions!$A$1,0,0,COUNTA(missions!$A:$A),MATCH(G$2,missions!$2:$2,0)-MATCH("mission_id",missions!$2:$2,0)+1),MATCH(G$2,missions!$2:$2,0)-MATCH("mission_id",missions!$2:$2,0)+1,FALSE),IF(C8="quest_clear",VLOOKUP(SUBSTITUTE(F8,"-","_"),OFFSET([2]stages!$A$2,0,0,COUNTA([2]stages!$A:$A),MATCH("name",[2]stages!$2:$2,0)-MATCH("temp_stage",[2]stages!$2:$2,0)+1),MATCH("name",[2]stages!$2:$2,0)-MATCH("temp_stage",[2]stages!$2:$2,0)+1,FALSE),""))</f>
        <v>5-3. 水天一碧の凪刀</v>
      </c>
      <c r="H8" s="28">
        <v>1</v>
      </c>
    </row>
    <row r="9" spans="1:8" ht="21" customHeight="1" x14ac:dyDescent="0.15">
      <c r="A9" s="27" t="s">
        <v>337</v>
      </c>
      <c r="B9" s="26" t="str">
        <f t="shared" ca="1" si="0"/>
        <v>クエスト 【6-5. 来園者の末路】 をクリア</v>
      </c>
      <c r="C9" s="32" t="s">
        <v>10</v>
      </c>
      <c r="D9" s="26" t="str">
        <f ca="1">VLOOKUP($C9,OFFSET(開放条件!$A$1,0,0,COUNTA($A:$A),MATCH(D$2,開放条件!$1:$1,0)-MATCH($C$2,開放条件!$1:$1,0)+1),MATCH(D$2,開放条件!$1:$1,0)-MATCH($C$2,開放条件!$1:$1,0)+1,FALSE)</f>
        <v>クエスト 【x】 をクリア</v>
      </c>
      <c r="E9" s="26" t="str">
        <f ca="1">VLOOKUP($C9,OFFSET(開放条件!$A$1,0,0,COUNTA($A:$A),MATCH(E$2,開放条件!$1:$1,0)-MATCH($C$2,開放条件!$1:$1,0)+1),MATCH(E$2,開放条件!$1:$1,0)-MATCH($C$2,開放条件!$1:$1,0)+1,FALSE)</f>
        <v>該当のクエスト(99-9)</v>
      </c>
      <c r="F9" s="38" t="s">
        <v>474</v>
      </c>
      <c r="G9" s="31" t="str">
        <f ca="1">IF(C9="mission_clear",VLOOKUP(INT($F9),OFFSET(missions!$A$1,0,0,COUNTA(missions!$A:$A),MATCH(G$2,missions!$2:$2,0)-MATCH("mission_id",missions!$2:$2,0)+1),MATCH(G$2,missions!$2:$2,0)-MATCH("mission_id",missions!$2:$2,0)+1,FALSE),IF(C9="quest_clear",VLOOKUP(SUBSTITUTE(F9,"-","_"),OFFSET([2]stages!$A$2,0,0,COUNTA([2]stages!$A:$A),MATCH("name",[2]stages!$2:$2,0)-MATCH("temp_stage",[2]stages!$2:$2,0)+1),MATCH("name",[2]stages!$2:$2,0)-MATCH("temp_stage",[2]stages!$2:$2,0)+1,FALSE),""))</f>
        <v>6-5. 来園者の末路</v>
      </c>
      <c r="H9" s="28">
        <v>1</v>
      </c>
    </row>
    <row r="10" spans="1:8" ht="21" customHeight="1" x14ac:dyDescent="0.15">
      <c r="A10" s="27" t="s">
        <v>338</v>
      </c>
      <c r="B10" s="26" t="str">
        <f t="shared" ca="1" si="0"/>
        <v>クエスト 【7-5. 聖なる巨岩】 をクリア</v>
      </c>
      <c r="C10" s="32" t="s">
        <v>10</v>
      </c>
      <c r="D10" s="26" t="str">
        <f ca="1">VLOOKUP($C10,OFFSET(開放条件!$A$1,0,0,COUNTA($A:$A),MATCH(D$2,開放条件!$1:$1,0)-MATCH($C$2,開放条件!$1:$1,0)+1),MATCH(D$2,開放条件!$1:$1,0)-MATCH($C$2,開放条件!$1:$1,0)+1,FALSE)</f>
        <v>クエスト 【x】 をクリア</v>
      </c>
      <c r="E10" s="26" t="str">
        <f ca="1">VLOOKUP($C10,OFFSET(開放条件!$A$1,0,0,COUNTA($A:$A),MATCH(E$2,開放条件!$1:$1,0)-MATCH($C$2,開放条件!$1:$1,0)+1),MATCH(E$2,開放条件!$1:$1,0)-MATCH($C$2,開放条件!$1:$1,0)+1,FALSE)</f>
        <v>該当のクエスト(99-9)</v>
      </c>
      <c r="F10" s="38" t="s">
        <v>475</v>
      </c>
      <c r="G10" s="31" t="str">
        <f ca="1">IF(C10="mission_clear",VLOOKUP(INT($F10),OFFSET(missions!$A$1,0,0,COUNTA(missions!$A:$A),MATCH(G$2,missions!$2:$2,0)-MATCH("mission_id",missions!$2:$2,0)+1),MATCH(G$2,missions!$2:$2,0)-MATCH("mission_id",missions!$2:$2,0)+1,FALSE),IF(C10="quest_clear",VLOOKUP(SUBSTITUTE(F10,"-","_"),OFFSET([2]stages!$A$2,0,0,COUNTA([2]stages!$A:$A),MATCH("name",[2]stages!$2:$2,0)-MATCH("temp_stage",[2]stages!$2:$2,0)+1),MATCH("name",[2]stages!$2:$2,0)-MATCH("temp_stage",[2]stages!$2:$2,0)+1,FALSE),""))</f>
        <v>7-5. 聖なる巨岩</v>
      </c>
      <c r="H10" s="28">
        <v>1</v>
      </c>
    </row>
    <row r="11" spans="1:8" ht="21" customHeight="1" x14ac:dyDescent="0.15">
      <c r="A11" s="27" t="s">
        <v>339</v>
      </c>
      <c r="B11" s="26" t="str">
        <f t="shared" ca="1" si="0"/>
        <v>クエスト 【8-5. 聖なる渇牙】 をクリア</v>
      </c>
      <c r="C11" s="32" t="s">
        <v>10</v>
      </c>
      <c r="D11" s="26" t="str">
        <f ca="1">VLOOKUP($C11,OFFSET(開放条件!$A$1,0,0,COUNTA($A:$A),MATCH(D$2,開放条件!$1:$1,0)-MATCH($C$2,開放条件!$1:$1,0)+1),MATCH(D$2,開放条件!$1:$1,0)-MATCH($C$2,開放条件!$1:$1,0)+1,FALSE)</f>
        <v>クエスト 【x】 をクリア</v>
      </c>
      <c r="E11" s="26" t="str">
        <f ca="1">VLOOKUP($C11,OFFSET(開放条件!$A$1,0,0,COUNTA($A:$A),MATCH(E$2,開放条件!$1:$1,0)-MATCH($C$2,開放条件!$1:$1,0)+1),MATCH(E$2,開放条件!$1:$1,0)-MATCH($C$2,開放条件!$1:$1,0)+1,FALSE)</f>
        <v>該当のクエスト(99-9)</v>
      </c>
      <c r="F11" s="38" t="s">
        <v>476</v>
      </c>
      <c r="G11" s="31" t="str">
        <f ca="1">IF(C11="mission_clear",VLOOKUP(INT($F11),OFFSET(missions!$A$1,0,0,COUNTA(missions!$A:$A),MATCH(G$2,missions!$2:$2,0)-MATCH("mission_id",missions!$2:$2,0)+1),MATCH(G$2,missions!$2:$2,0)-MATCH("mission_id",missions!$2:$2,0)+1,FALSE),IF(C11="quest_clear",VLOOKUP(SUBSTITUTE(F11,"-","_"),OFFSET([2]stages!$A$2,0,0,COUNTA([2]stages!$A:$A),MATCH("name",[2]stages!$2:$2,0)-MATCH("temp_stage",[2]stages!$2:$2,0)+1),MATCH("name",[2]stages!$2:$2,0)-MATCH("temp_stage",[2]stages!$2:$2,0)+1,FALSE),""))</f>
        <v>8-5. 聖なる渇牙</v>
      </c>
      <c r="H11" s="28">
        <v>1</v>
      </c>
    </row>
    <row r="12" spans="1:8" ht="21" customHeight="1" x14ac:dyDescent="0.15">
      <c r="A12" s="27" t="s">
        <v>340</v>
      </c>
      <c r="B12" s="26" t="str">
        <f t="shared" ca="1" si="0"/>
        <v>クエスト 【9-5. 聖なる渦爪】 をクリア</v>
      </c>
      <c r="C12" s="32" t="s">
        <v>10</v>
      </c>
      <c r="D12" s="26" t="str">
        <f ca="1">VLOOKUP($C12,OFFSET(開放条件!$A$1,0,0,COUNTA($A:$A),MATCH(D$2,開放条件!$1:$1,0)-MATCH($C$2,開放条件!$1:$1,0)+1),MATCH(D$2,開放条件!$1:$1,0)-MATCH($C$2,開放条件!$1:$1,0)+1,FALSE)</f>
        <v>クエスト 【x】 をクリア</v>
      </c>
      <c r="E12" s="26" t="str">
        <f ca="1">VLOOKUP($C12,OFFSET(開放条件!$A$1,0,0,COUNTA($A:$A),MATCH(E$2,開放条件!$1:$1,0)-MATCH($C$2,開放条件!$1:$1,0)+1),MATCH(E$2,開放条件!$1:$1,0)-MATCH($C$2,開放条件!$1:$1,0)+1,FALSE)</f>
        <v>該当のクエスト(99-9)</v>
      </c>
      <c r="F12" s="38" t="s">
        <v>477</v>
      </c>
      <c r="G12" s="31" t="str">
        <f ca="1">IF(C12="mission_clear",VLOOKUP(INT($F12),OFFSET(missions!$A$1,0,0,COUNTA(missions!$A:$A),MATCH(G$2,missions!$2:$2,0)-MATCH("mission_id",missions!$2:$2,0)+1),MATCH(G$2,missions!$2:$2,0)-MATCH("mission_id",missions!$2:$2,0)+1,FALSE),IF(C12="quest_clear",VLOOKUP(SUBSTITUTE(F12,"-","_"),OFFSET([2]stages!$A$2,0,0,COUNTA([2]stages!$A:$A),MATCH("name",[2]stages!$2:$2,0)-MATCH("temp_stage",[2]stages!$2:$2,0)+1),MATCH("name",[2]stages!$2:$2,0)-MATCH("temp_stage",[2]stages!$2:$2,0)+1,FALSE),""))</f>
        <v>9-5. 聖なる渦爪</v>
      </c>
      <c r="H12" s="28">
        <v>1</v>
      </c>
    </row>
    <row r="13" spans="1:8" ht="21" customHeight="1" x14ac:dyDescent="0.15">
      <c r="A13" s="27" t="s">
        <v>341</v>
      </c>
      <c r="B13" s="26" t="str">
        <f t="shared" ca="1" si="0"/>
        <v>クエスト 【10-5. 聖なる炎翼】 をクリア</v>
      </c>
      <c r="C13" s="32" t="s">
        <v>10</v>
      </c>
      <c r="D13" s="26" t="str">
        <f ca="1">VLOOKUP($C13,OFFSET(開放条件!$A$1,0,0,COUNTA($A:$A),MATCH(D$2,開放条件!$1:$1,0)-MATCH($C$2,開放条件!$1:$1,0)+1),MATCH(D$2,開放条件!$1:$1,0)-MATCH($C$2,開放条件!$1:$1,0)+1,FALSE)</f>
        <v>クエスト 【x】 をクリア</v>
      </c>
      <c r="E13" s="26" t="str">
        <f ca="1">VLOOKUP($C13,OFFSET(開放条件!$A$1,0,0,COUNTA($A:$A),MATCH(E$2,開放条件!$1:$1,0)-MATCH($C$2,開放条件!$1:$1,0)+1),MATCH(E$2,開放条件!$1:$1,0)-MATCH($C$2,開放条件!$1:$1,0)+1,FALSE)</f>
        <v>該当のクエスト(99-9)</v>
      </c>
      <c r="F13" s="38" t="s">
        <v>478</v>
      </c>
      <c r="G13" s="31" t="str">
        <f ca="1">IF(C13="mission_clear",VLOOKUP(INT($F13),OFFSET(missions!$A$1,0,0,COUNTA(missions!$A:$A),MATCH(G$2,missions!$2:$2,0)-MATCH("mission_id",missions!$2:$2,0)+1),MATCH(G$2,missions!$2:$2,0)-MATCH("mission_id",missions!$2:$2,0)+1,FALSE),IF(C13="quest_clear",VLOOKUP(SUBSTITUTE(F13,"-","_"),OFFSET([2]stages!$A$2,0,0,COUNTA([2]stages!$A:$A),MATCH("name",[2]stages!$2:$2,0)-MATCH("temp_stage",[2]stages!$2:$2,0)+1),MATCH("name",[2]stages!$2:$2,0)-MATCH("temp_stage",[2]stages!$2:$2,0)+1,FALSE),""))</f>
        <v>10-5. 聖なる炎翼</v>
      </c>
      <c r="H13" s="28">
        <v>1</v>
      </c>
    </row>
    <row r="14" spans="1:8" ht="21" customHeight="1" x14ac:dyDescent="0.15">
      <c r="A14" s="27" t="s">
        <v>342</v>
      </c>
      <c r="B14" s="26" t="str">
        <f t="shared" ca="1" si="0"/>
        <v>クエスト 【11-5. 訓練された生存者】 をクリア</v>
      </c>
      <c r="C14" s="32" t="s">
        <v>10</v>
      </c>
      <c r="D14" s="26" t="str">
        <f ca="1">VLOOKUP($C14,OFFSET(開放条件!$A$1,0,0,COUNTA($A:$A),MATCH(D$2,開放条件!$1:$1,0)-MATCH($C$2,開放条件!$1:$1,0)+1),MATCH(D$2,開放条件!$1:$1,0)-MATCH($C$2,開放条件!$1:$1,0)+1,FALSE)</f>
        <v>クエスト 【x】 をクリア</v>
      </c>
      <c r="E14" s="26" t="str">
        <f ca="1">VLOOKUP($C14,OFFSET(開放条件!$A$1,0,0,COUNTA($A:$A),MATCH(E$2,開放条件!$1:$1,0)-MATCH($C$2,開放条件!$1:$1,0)+1),MATCH(E$2,開放条件!$1:$1,0)-MATCH($C$2,開放条件!$1:$1,0)+1,FALSE)</f>
        <v>該当のクエスト(99-9)</v>
      </c>
      <c r="F14" s="38" t="s">
        <v>479</v>
      </c>
      <c r="G14" s="31" t="str">
        <f ca="1">IF(C14="mission_clear",VLOOKUP(INT($F14),OFFSET(missions!$A$1,0,0,COUNTA(missions!$A:$A),MATCH(G$2,missions!$2:$2,0)-MATCH("mission_id",missions!$2:$2,0)+1),MATCH(G$2,missions!$2:$2,0)-MATCH("mission_id",missions!$2:$2,0)+1,FALSE),IF(C14="quest_clear",VLOOKUP(SUBSTITUTE(F14,"-","_"),OFFSET([2]stages!$A$2,0,0,COUNTA([2]stages!$A:$A),MATCH("name",[2]stages!$2:$2,0)-MATCH("temp_stage",[2]stages!$2:$2,0)+1),MATCH("name",[2]stages!$2:$2,0)-MATCH("temp_stage",[2]stages!$2:$2,0)+1,FALSE),""))</f>
        <v>11-5. 訓練された生存者</v>
      </c>
      <c r="H14" s="28">
        <v>1</v>
      </c>
    </row>
    <row r="15" spans="1:8" ht="21" customHeight="1" x14ac:dyDescent="0.15">
      <c r="A15" s="27" t="s">
        <v>343</v>
      </c>
      <c r="B15" s="26" t="str">
        <f t="shared" ca="1" si="0"/>
        <v>クエスト 【12-5. 強蹴の働き者】 をクリア</v>
      </c>
      <c r="C15" s="32" t="s">
        <v>10</v>
      </c>
      <c r="D15" s="26" t="str">
        <f ca="1">VLOOKUP($C15,OFFSET(開放条件!$A$1,0,0,COUNTA($A:$A),MATCH(D$2,開放条件!$1:$1,0)-MATCH($C$2,開放条件!$1:$1,0)+1),MATCH(D$2,開放条件!$1:$1,0)-MATCH($C$2,開放条件!$1:$1,0)+1,FALSE)</f>
        <v>クエスト 【x】 をクリア</v>
      </c>
      <c r="E15" s="26" t="str">
        <f ca="1">VLOOKUP($C15,OFFSET(開放条件!$A$1,0,0,COUNTA($A:$A),MATCH(E$2,開放条件!$1:$1,0)-MATCH($C$2,開放条件!$1:$1,0)+1),MATCH(E$2,開放条件!$1:$1,0)-MATCH($C$2,開放条件!$1:$1,0)+1,FALSE)</f>
        <v>該当のクエスト(99-9)</v>
      </c>
      <c r="F15" s="38" t="s">
        <v>480</v>
      </c>
      <c r="G15" s="31" t="str">
        <f ca="1">IF(C15="mission_clear",VLOOKUP(INT($F15),OFFSET(missions!$A$1,0,0,COUNTA(missions!$A:$A),MATCH(G$2,missions!$2:$2,0)-MATCH("mission_id",missions!$2:$2,0)+1),MATCH(G$2,missions!$2:$2,0)-MATCH("mission_id",missions!$2:$2,0)+1,FALSE),IF(C15="quest_clear",VLOOKUP(SUBSTITUTE(F15,"-","_"),OFFSET([2]stages!$A$2,0,0,COUNTA([2]stages!$A:$A),MATCH("name",[2]stages!$2:$2,0)-MATCH("temp_stage",[2]stages!$2:$2,0)+1),MATCH("name",[2]stages!$2:$2,0)-MATCH("temp_stage",[2]stages!$2:$2,0)+1,FALSE),""))</f>
        <v>12-5. 強蹴の働き者</v>
      </c>
      <c r="H15" s="28">
        <v>1</v>
      </c>
    </row>
    <row r="16" spans="1:8" ht="21" customHeight="1" x14ac:dyDescent="0.15">
      <c r="A16" s="27" t="s">
        <v>344</v>
      </c>
      <c r="B16" s="26" t="str">
        <f t="shared" ca="1" si="0"/>
        <v>クエスト 【13-5. ローレライの導き】 をクリア</v>
      </c>
      <c r="C16" s="32" t="s">
        <v>10</v>
      </c>
      <c r="D16" s="26" t="str">
        <f ca="1">VLOOKUP($C16,OFFSET(開放条件!$A$1,0,0,COUNTA($A:$A),MATCH(D$2,開放条件!$1:$1,0)-MATCH($C$2,開放条件!$1:$1,0)+1),MATCH(D$2,開放条件!$1:$1,0)-MATCH($C$2,開放条件!$1:$1,0)+1,FALSE)</f>
        <v>クエスト 【x】 をクリア</v>
      </c>
      <c r="E16" s="26" t="str">
        <f ca="1">VLOOKUP($C16,OFFSET(開放条件!$A$1,0,0,COUNTA($A:$A),MATCH(E$2,開放条件!$1:$1,0)-MATCH($C$2,開放条件!$1:$1,0)+1),MATCH(E$2,開放条件!$1:$1,0)-MATCH($C$2,開放条件!$1:$1,0)+1,FALSE)</f>
        <v>該当のクエスト(99-9)</v>
      </c>
      <c r="F16" s="38" t="s">
        <v>481</v>
      </c>
      <c r="G16" s="31" t="str">
        <f ca="1">IF(C16="mission_clear",VLOOKUP(INT($F16),OFFSET(missions!$A$1,0,0,COUNTA(missions!$A:$A),MATCH(G$2,missions!$2:$2,0)-MATCH("mission_id",missions!$2:$2,0)+1),MATCH(G$2,missions!$2:$2,0)-MATCH("mission_id",missions!$2:$2,0)+1,FALSE),IF(C16="quest_clear",VLOOKUP(SUBSTITUTE(F16,"-","_"),OFFSET([2]stages!$A$2,0,0,COUNTA([2]stages!$A:$A),MATCH("name",[2]stages!$2:$2,0)-MATCH("temp_stage",[2]stages!$2:$2,0)+1),MATCH("name",[2]stages!$2:$2,0)-MATCH("temp_stage",[2]stages!$2:$2,0)+1,FALSE),""))</f>
        <v>13-5. ローレライの導き</v>
      </c>
      <c r="H16" s="28">
        <v>1</v>
      </c>
    </row>
    <row r="17" spans="1:8" ht="21" customHeight="1" x14ac:dyDescent="0.15">
      <c r="A17" s="27" t="s">
        <v>345</v>
      </c>
      <c r="B17" s="26" t="str">
        <f t="shared" ca="1" si="0"/>
        <v>クエスト 【14-5. 重機駆ける逆徒】 をクリア</v>
      </c>
      <c r="C17" s="32" t="s">
        <v>10</v>
      </c>
      <c r="D17" s="26" t="str">
        <f ca="1">VLOOKUP($C17,OFFSET(開放条件!$A$1,0,0,COUNTA($A:$A),MATCH(D$2,開放条件!$1:$1,0)-MATCH($C$2,開放条件!$1:$1,0)+1),MATCH(D$2,開放条件!$1:$1,0)-MATCH($C$2,開放条件!$1:$1,0)+1,FALSE)</f>
        <v>クエスト 【x】 をクリア</v>
      </c>
      <c r="E17" s="26" t="str">
        <f ca="1">VLOOKUP($C17,OFFSET(開放条件!$A$1,0,0,COUNTA($A:$A),MATCH(E$2,開放条件!$1:$1,0)-MATCH($C$2,開放条件!$1:$1,0)+1),MATCH(E$2,開放条件!$1:$1,0)-MATCH($C$2,開放条件!$1:$1,0)+1,FALSE)</f>
        <v>該当のクエスト(99-9)</v>
      </c>
      <c r="F17" s="38" t="s">
        <v>482</v>
      </c>
      <c r="G17" s="31" t="str">
        <f ca="1">IF(C17="mission_clear",VLOOKUP(INT($F17),OFFSET(missions!$A$1,0,0,COUNTA(missions!$A:$A),MATCH(G$2,missions!$2:$2,0)-MATCH("mission_id",missions!$2:$2,0)+1),MATCH(G$2,missions!$2:$2,0)-MATCH("mission_id",missions!$2:$2,0)+1,FALSE),IF(C17="quest_clear",VLOOKUP(SUBSTITUTE(F17,"-","_"),OFFSET([2]stages!$A$2,0,0,COUNTA([2]stages!$A:$A),MATCH("name",[2]stages!$2:$2,0)-MATCH("temp_stage",[2]stages!$2:$2,0)+1),MATCH("name",[2]stages!$2:$2,0)-MATCH("temp_stage",[2]stages!$2:$2,0)+1,FALSE),""))</f>
        <v>14-5. 重機駆ける逆徒</v>
      </c>
      <c r="H17" s="28">
        <v>1</v>
      </c>
    </row>
    <row r="18" spans="1:8" ht="21" customHeight="1" x14ac:dyDescent="0.15">
      <c r="A18" s="27" t="s">
        <v>346</v>
      </c>
      <c r="B18" s="26" t="str">
        <f t="shared" ca="1" si="0"/>
        <v>クエスト 【15-5. 縁舞のメインイベント】 をクリア</v>
      </c>
      <c r="C18" s="32" t="s">
        <v>10</v>
      </c>
      <c r="D18" s="26" t="str">
        <f ca="1">VLOOKUP($C18,OFFSET(開放条件!$A$1,0,0,COUNTA($A:$A),MATCH(D$2,開放条件!$1:$1,0)-MATCH($C$2,開放条件!$1:$1,0)+1),MATCH(D$2,開放条件!$1:$1,0)-MATCH($C$2,開放条件!$1:$1,0)+1,FALSE)</f>
        <v>クエスト 【x】 をクリア</v>
      </c>
      <c r="E18" s="26" t="str">
        <f ca="1">VLOOKUP($C18,OFFSET(開放条件!$A$1,0,0,COUNTA($A:$A),MATCH(E$2,開放条件!$1:$1,0)-MATCH($C$2,開放条件!$1:$1,0)+1),MATCH(E$2,開放条件!$1:$1,0)-MATCH($C$2,開放条件!$1:$1,0)+1,FALSE)</f>
        <v>該当のクエスト(99-9)</v>
      </c>
      <c r="F18" s="38" t="s">
        <v>483</v>
      </c>
      <c r="G18" s="31" t="str">
        <f ca="1">IF(C18="mission_clear",VLOOKUP(INT($F18),OFFSET(missions!$A$1,0,0,COUNTA(missions!$A:$A),MATCH(G$2,missions!$2:$2,0)-MATCH("mission_id",missions!$2:$2,0)+1),MATCH(G$2,missions!$2:$2,0)-MATCH("mission_id",missions!$2:$2,0)+1,FALSE),IF(C18="quest_clear",VLOOKUP(SUBSTITUTE(F18,"-","_"),OFFSET([2]stages!$A$2,0,0,COUNTA([2]stages!$A:$A),MATCH("name",[2]stages!$2:$2,0)-MATCH("temp_stage",[2]stages!$2:$2,0)+1),MATCH("name",[2]stages!$2:$2,0)-MATCH("temp_stage",[2]stages!$2:$2,0)+1,FALSE),""))</f>
        <v>15-5. 縁舞のメインイベント</v>
      </c>
      <c r="H18" s="28">
        <v>1</v>
      </c>
    </row>
    <row r="19" spans="1:8" ht="21" customHeight="1" x14ac:dyDescent="0.15">
      <c r="A19" s="27" t="s">
        <v>347</v>
      </c>
      <c r="B19" s="26" t="str">
        <f t="shared" ca="1" si="0"/>
        <v>クエスト 【16-5. プディングに狂気を添えて】 をクリア</v>
      </c>
      <c r="C19" s="32" t="s">
        <v>10</v>
      </c>
      <c r="D19" s="26" t="str">
        <f ca="1">VLOOKUP($C19,OFFSET(開放条件!$A$1,0,0,COUNTA($A:$A),MATCH(D$2,開放条件!$1:$1,0)-MATCH($C$2,開放条件!$1:$1,0)+1),MATCH(D$2,開放条件!$1:$1,0)-MATCH($C$2,開放条件!$1:$1,0)+1,FALSE)</f>
        <v>クエスト 【x】 をクリア</v>
      </c>
      <c r="E19" s="26" t="str">
        <f ca="1">VLOOKUP($C19,OFFSET(開放条件!$A$1,0,0,COUNTA($A:$A),MATCH(E$2,開放条件!$1:$1,0)-MATCH($C$2,開放条件!$1:$1,0)+1),MATCH(E$2,開放条件!$1:$1,0)-MATCH($C$2,開放条件!$1:$1,0)+1,FALSE)</f>
        <v>該当のクエスト(99-9)</v>
      </c>
      <c r="F19" s="38" t="s">
        <v>484</v>
      </c>
      <c r="G19" s="31" t="str">
        <f ca="1">IF(C19="mission_clear",VLOOKUP(INT($F19),OFFSET(missions!$A$1,0,0,COUNTA(missions!$A:$A),MATCH(G$2,missions!$2:$2,0)-MATCH("mission_id",missions!$2:$2,0)+1),MATCH(G$2,missions!$2:$2,0)-MATCH("mission_id",missions!$2:$2,0)+1,FALSE),IF(C19="quest_clear",VLOOKUP(SUBSTITUTE(F19,"-","_"),OFFSET([2]stages!$A$2,0,0,COUNTA([2]stages!$A:$A),MATCH("name",[2]stages!$2:$2,0)-MATCH("temp_stage",[2]stages!$2:$2,0)+1),MATCH("name",[2]stages!$2:$2,0)-MATCH("temp_stage",[2]stages!$2:$2,0)+1,FALSE),""))</f>
        <v>16-5. プディングに狂気を添えて</v>
      </c>
      <c r="H19" s="28">
        <v>1</v>
      </c>
    </row>
    <row r="20" spans="1:8" ht="21" customHeight="1" x14ac:dyDescent="0.15">
      <c r="A20" s="27" t="s">
        <v>348</v>
      </c>
      <c r="B20" s="26" t="str">
        <f t="shared" ca="1" si="0"/>
        <v>クエスト 【17-5. 水面に映る月閃】 をクリア</v>
      </c>
      <c r="C20" s="32" t="s">
        <v>10</v>
      </c>
      <c r="D20" s="26" t="str">
        <f ca="1">VLOOKUP($C20,OFFSET(開放条件!$A$1,0,0,COUNTA($A:$A),MATCH(D$2,開放条件!$1:$1,0)-MATCH($C$2,開放条件!$1:$1,0)+1),MATCH(D$2,開放条件!$1:$1,0)-MATCH($C$2,開放条件!$1:$1,0)+1,FALSE)</f>
        <v>クエスト 【x】 をクリア</v>
      </c>
      <c r="E20" s="26" t="str">
        <f ca="1">VLOOKUP($C20,OFFSET(開放条件!$A$1,0,0,COUNTA($A:$A),MATCH(E$2,開放条件!$1:$1,0)-MATCH($C$2,開放条件!$1:$1,0)+1),MATCH(E$2,開放条件!$1:$1,0)-MATCH($C$2,開放条件!$1:$1,0)+1,FALSE)</f>
        <v>該当のクエスト(99-9)</v>
      </c>
      <c r="F20" s="38" t="s">
        <v>485</v>
      </c>
      <c r="G20" s="31" t="str">
        <f ca="1">IF(C20="mission_clear",VLOOKUP(INT($F20),OFFSET(missions!$A$1,0,0,COUNTA(missions!$A:$A),MATCH(G$2,missions!$2:$2,0)-MATCH("mission_id",missions!$2:$2,0)+1),MATCH(G$2,missions!$2:$2,0)-MATCH("mission_id",missions!$2:$2,0)+1,FALSE),IF(C20="quest_clear",VLOOKUP(SUBSTITUTE(F20,"-","_"),OFFSET([2]stages!$A$2,0,0,COUNTA([2]stages!$A:$A),MATCH("name",[2]stages!$2:$2,0)-MATCH("temp_stage",[2]stages!$2:$2,0)+1),MATCH("name",[2]stages!$2:$2,0)-MATCH("temp_stage",[2]stages!$2:$2,0)+1,FALSE),""))</f>
        <v>17-5. 水面に映る月閃</v>
      </c>
      <c r="H20" s="28">
        <v>1</v>
      </c>
    </row>
    <row r="21" spans="1:8" ht="21" customHeight="1" x14ac:dyDescent="0.15">
      <c r="A21" s="27" t="s">
        <v>349</v>
      </c>
      <c r="B21" s="26" t="str">
        <f t="shared" ca="1" si="0"/>
        <v>クエスト 【18-5. 解き放たれし焔神】 をクリア</v>
      </c>
      <c r="C21" s="32" t="s">
        <v>10</v>
      </c>
      <c r="D21" s="26" t="str">
        <f ca="1">VLOOKUP($C21,OFFSET(開放条件!$A$1,0,0,COUNTA($A:$A),MATCH(D$2,開放条件!$1:$1,0)-MATCH($C$2,開放条件!$1:$1,0)+1),MATCH(D$2,開放条件!$1:$1,0)-MATCH($C$2,開放条件!$1:$1,0)+1,FALSE)</f>
        <v>クエスト 【x】 をクリア</v>
      </c>
      <c r="E21" s="26" t="str">
        <f ca="1">VLOOKUP($C21,OFFSET(開放条件!$A$1,0,0,COUNTA($A:$A),MATCH(E$2,開放条件!$1:$1,0)-MATCH($C$2,開放条件!$1:$1,0)+1),MATCH(E$2,開放条件!$1:$1,0)-MATCH($C$2,開放条件!$1:$1,0)+1,FALSE)</f>
        <v>該当のクエスト(99-9)</v>
      </c>
      <c r="F21" s="38" t="s">
        <v>486</v>
      </c>
      <c r="G21" s="31" t="str">
        <f ca="1">IF(C21="mission_clear",VLOOKUP(INT($F21),OFFSET(missions!$A$1,0,0,COUNTA(missions!$A:$A),MATCH(G$2,missions!$2:$2,0)-MATCH("mission_id",missions!$2:$2,0)+1),MATCH(G$2,missions!$2:$2,0)-MATCH("mission_id",missions!$2:$2,0)+1,FALSE),IF(C21="quest_clear",VLOOKUP(SUBSTITUTE(F21,"-","_"),OFFSET([2]stages!$A$2,0,0,COUNTA([2]stages!$A:$A),MATCH("name",[2]stages!$2:$2,0)-MATCH("temp_stage",[2]stages!$2:$2,0)+1),MATCH("name",[2]stages!$2:$2,0)-MATCH("temp_stage",[2]stages!$2:$2,0)+1,FALSE),""))</f>
        <v>18-5. 解き放たれし焔神</v>
      </c>
      <c r="H21" s="28">
        <v>1</v>
      </c>
    </row>
    <row r="22" spans="1:8" ht="21" customHeight="1" x14ac:dyDescent="0.15">
      <c r="A22" s="27" t="s">
        <v>350</v>
      </c>
      <c r="B22" s="26" t="str">
        <f t="shared" ca="1" si="0"/>
        <v>クエスト 【19-5. 庭園主の包囲網】 をクリア</v>
      </c>
      <c r="C22" s="32" t="s">
        <v>10</v>
      </c>
      <c r="D22" s="26" t="str">
        <f ca="1">VLOOKUP($C22,OFFSET(開放条件!$A$1,0,0,COUNTA($A:$A),MATCH(D$2,開放条件!$1:$1,0)-MATCH($C$2,開放条件!$1:$1,0)+1),MATCH(D$2,開放条件!$1:$1,0)-MATCH($C$2,開放条件!$1:$1,0)+1,FALSE)</f>
        <v>クエスト 【x】 をクリア</v>
      </c>
      <c r="E22" s="26" t="str">
        <f ca="1">VLOOKUP($C22,OFFSET(開放条件!$A$1,0,0,COUNTA($A:$A),MATCH(E$2,開放条件!$1:$1,0)-MATCH($C$2,開放条件!$1:$1,0)+1),MATCH(E$2,開放条件!$1:$1,0)-MATCH($C$2,開放条件!$1:$1,0)+1,FALSE)</f>
        <v>該当のクエスト(99-9)</v>
      </c>
      <c r="F22" s="38" t="s">
        <v>487</v>
      </c>
      <c r="G22" s="31" t="str">
        <f ca="1">IF(C22="mission_clear",VLOOKUP(INT($F22),OFFSET(missions!$A$1,0,0,COUNTA(missions!$A:$A),MATCH(G$2,missions!$2:$2,0)-MATCH("mission_id",missions!$2:$2,0)+1),MATCH(G$2,missions!$2:$2,0)-MATCH("mission_id",missions!$2:$2,0)+1,FALSE),IF(C22="quest_clear",VLOOKUP(SUBSTITUTE(F22,"-","_"),OFFSET([2]stages!$A$2,0,0,COUNTA([2]stages!$A:$A),MATCH("name",[2]stages!$2:$2,0)-MATCH("temp_stage",[2]stages!$2:$2,0)+1),MATCH("name",[2]stages!$2:$2,0)-MATCH("temp_stage",[2]stages!$2:$2,0)+1,FALSE),""))</f>
        <v>19-5. 庭園主の包囲網</v>
      </c>
      <c r="H22" s="28">
        <v>1</v>
      </c>
    </row>
    <row r="23" spans="1:8" ht="21" customHeight="1" x14ac:dyDescent="0.15">
      <c r="A23" s="27" t="s">
        <v>351</v>
      </c>
      <c r="B23" s="26" t="str">
        <f t="shared" ca="1" si="0"/>
        <v>クエスト 【20-5. 空から降る数多の星】 をクリア</v>
      </c>
      <c r="C23" s="32" t="s">
        <v>10</v>
      </c>
      <c r="D23" s="26" t="str">
        <f ca="1">VLOOKUP($C23,OFFSET(開放条件!$A$1,0,0,COUNTA($A:$A),MATCH(D$2,開放条件!$1:$1,0)-MATCH($C$2,開放条件!$1:$1,0)+1),MATCH(D$2,開放条件!$1:$1,0)-MATCH($C$2,開放条件!$1:$1,0)+1,FALSE)</f>
        <v>クエスト 【x】 をクリア</v>
      </c>
      <c r="E23" s="26" t="str">
        <f ca="1">VLOOKUP($C23,OFFSET(開放条件!$A$1,0,0,COUNTA($A:$A),MATCH(E$2,開放条件!$1:$1,0)-MATCH($C$2,開放条件!$1:$1,0)+1),MATCH(E$2,開放条件!$1:$1,0)-MATCH($C$2,開放条件!$1:$1,0)+1,FALSE)</f>
        <v>該当のクエスト(99-9)</v>
      </c>
      <c r="F23" s="38" t="s">
        <v>488</v>
      </c>
      <c r="G23" s="31" t="str">
        <f ca="1">IF(C23="mission_clear",VLOOKUP(INT($F23),OFFSET(missions!$A$1,0,0,COUNTA(missions!$A:$A),MATCH(G$2,missions!$2:$2,0)-MATCH("mission_id",missions!$2:$2,0)+1),MATCH(G$2,missions!$2:$2,0)-MATCH("mission_id",missions!$2:$2,0)+1,FALSE),IF(C23="quest_clear",VLOOKUP(SUBSTITUTE(F23,"-","_"),OFFSET([2]stages!$A$2,0,0,COUNTA([2]stages!$A:$A),MATCH("name",[2]stages!$2:$2,0)-MATCH("temp_stage",[2]stages!$2:$2,0)+1),MATCH("name",[2]stages!$2:$2,0)-MATCH("temp_stage",[2]stages!$2:$2,0)+1,FALSE),""))</f>
        <v>20-5. 空から降る数多の星</v>
      </c>
      <c r="H23" s="28">
        <v>1</v>
      </c>
    </row>
    <row r="24" spans="1:8" ht="21" customHeight="1" x14ac:dyDescent="0.15">
      <c r="A24" s="27" t="s">
        <v>739</v>
      </c>
      <c r="B24" s="26" t="str">
        <f t="shared" ref="B24:B31" ca="1" si="1">IF(C24="quest_clear",SUBSTITUTE(D24,"x",G24),IF(C24="mission_clear",SUBSTITUTE(D24,"x",G24),SUBSTITUTE(D24,"x",F24)))</f>
        <v>クエスト 【21-5. マスターオブエデン】 をクリア</v>
      </c>
      <c r="C24" s="32" t="s">
        <v>10</v>
      </c>
      <c r="D24" s="26" t="str">
        <f ca="1">VLOOKUP($C24,OFFSET(開放条件!$A$1,0,0,COUNTA($A:$A),MATCH(D$2,開放条件!$1:$1,0)-MATCH($C$2,開放条件!$1:$1,0)+1),MATCH(D$2,開放条件!$1:$1,0)-MATCH($C$2,開放条件!$1:$1,0)+1,FALSE)</f>
        <v>クエスト 【x】 をクリア</v>
      </c>
      <c r="E24" s="26" t="str">
        <f ca="1">VLOOKUP($C24,OFFSET(開放条件!$A$1,0,0,COUNTA($A:$A),MATCH(E$2,開放条件!$1:$1,0)-MATCH($C$2,開放条件!$1:$1,0)+1),MATCH(E$2,開放条件!$1:$1,0)-MATCH($C$2,開放条件!$1:$1,0)+1,FALSE)</f>
        <v>該当のクエスト(99-9)</v>
      </c>
      <c r="F24" s="38" t="s">
        <v>744</v>
      </c>
      <c r="G24" s="31" t="str">
        <f ca="1">IF(C24="mission_clear",VLOOKUP(INT($F24),OFFSET(missions!$A$1,0,0,COUNTA(missions!$A:$A),MATCH(G$2,missions!$2:$2,0)-MATCH("mission_id",missions!$2:$2,0)+1),MATCH(G$2,missions!$2:$2,0)-MATCH("mission_id",missions!$2:$2,0)+1,FALSE),IF(C24="quest_clear",VLOOKUP(SUBSTITUTE(F24,"-","_"),OFFSET([2]stages!$A$2,0,0,COUNTA([2]stages!$A:$A),MATCH("name",[2]stages!$2:$2,0)-MATCH("temp_stage",[2]stages!$2:$2,0)+1),MATCH("name",[2]stages!$2:$2,0)-MATCH("temp_stage",[2]stages!$2:$2,0)+1,FALSE),""))</f>
        <v>21-5. マスターオブエデン</v>
      </c>
      <c r="H24" s="28">
        <v>1</v>
      </c>
    </row>
    <row r="25" spans="1:8" ht="21" customHeight="1" x14ac:dyDescent="0.15">
      <c r="A25" s="27" t="s">
        <v>740</v>
      </c>
      <c r="B25" s="26" t="str">
        <f t="shared" ca="1" si="1"/>
        <v>クエスト 【22-5．真宴の月光】 をクリア</v>
      </c>
      <c r="C25" s="32" t="s">
        <v>10</v>
      </c>
      <c r="D25" s="26" t="str">
        <f ca="1">VLOOKUP($C25,OFFSET(開放条件!$A$1,0,0,COUNTA($A:$A),MATCH(D$2,開放条件!$1:$1,0)-MATCH($C$2,開放条件!$1:$1,0)+1),MATCH(D$2,開放条件!$1:$1,0)-MATCH($C$2,開放条件!$1:$1,0)+1,FALSE)</f>
        <v>クエスト 【x】 をクリア</v>
      </c>
      <c r="E25" s="26" t="str">
        <f ca="1">VLOOKUP($C25,OFFSET(開放条件!$A$1,0,0,COUNTA($A:$A),MATCH(E$2,開放条件!$1:$1,0)-MATCH($C$2,開放条件!$1:$1,0)+1),MATCH(E$2,開放条件!$1:$1,0)-MATCH($C$2,開放条件!$1:$1,0)+1,FALSE)</f>
        <v>該当のクエスト(99-9)</v>
      </c>
      <c r="F25" s="38" t="s">
        <v>745</v>
      </c>
      <c r="G25" s="31" t="str">
        <f ca="1">IF(C25="mission_clear",VLOOKUP(INT($F25),OFFSET(missions!$A$1,0,0,COUNTA(missions!$A:$A),MATCH(G$2,missions!$2:$2,0)-MATCH("mission_id",missions!$2:$2,0)+1),MATCH(G$2,missions!$2:$2,0)-MATCH("mission_id",missions!$2:$2,0)+1,FALSE),IF(C25="quest_clear",VLOOKUP(SUBSTITUTE(F25,"-","_"),OFFSET([2]stages!$A$2,0,0,COUNTA([2]stages!$A:$A),MATCH("name",[2]stages!$2:$2,0)-MATCH("temp_stage",[2]stages!$2:$2,0)+1),MATCH("name",[2]stages!$2:$2,0)-MATCH("temp_stage",[2]stages!$2:$2,0)+1,FALSE),""))</f>
        <v>22-5．真宴の月光</v>
      </c>
      <c r="H25" s="28">
        <v>1</v>
      </c>
    </row>
    <row r="26" spans="1:8" ht="21" customHeight="1" x14ac:dyDescent="0.15">
      <c r="A26" s="27" t="s">
        <v>741</v>
      </c>
      <c r="B26" s="26" t="str">
        <f t="shared" ca="1" si="1"/>
        <v>クエスト 【24-3．武器を花に変えて】 をクリア</v>
      </c>
      <c r="C26" s="32" t="s">
        <v>10</v>
      </c>
      <c r="D26" s="26" t="str">
        <f ca="1">VLOOKUP($C26,OFFSET(開放条件!$A$1,0,0,COUNTA($A:$A),MATCH(D$2,開放条件!$1:$1,0)-MATCH($C$2,開放条件!$1:$1,0)+1),MATCH(D$2,開放条件!$1:$1,0)-MATCH($C$2,開放条件!$1:$1,0)+1,FALSE)</f>
        <v>クエスト 【x】 をクリア</v>
      </c>
      <c r="E26" s="26" t="str">
        <f ca="1">VLOOKUP($C26,OFFSET(開放条件!$A$1,0,0,COUNTA($A:$A),MATCH(E$2,開放条件!$1:$1,0)-MATCH($C$2,開放条件!$1:$1,0)+1),MATCH(E$2,開放条件!$1:$1,0)-MATCH($C$2,開放条件!$1:$1,0)+1,FALSE)</f>
        <v>該当のクエスト(99-9)</v>
      </c>
      <c r="F26" s="38" t="s">
        <v>758</v>
      </c>
      <c r="G26" s="31" t="str">
        <f ca="1">IF(C26="mission_clear",VLOOKUP(INT($F26),OFFSET(missions!$A$1,0,0,COUNTA(missions!$A:$A),MATCH(G$2,missions!$2:$2,0)-MATCH("mission_id",missions!$2:$2,0)+1),MATCH(G$2,missions!$2:$2,0)-MATCH("mission_id",missions!$2:$2,0)+1,FALSE),IF(C26="quest_clear",VLOOKUP(SUBSTITUTE(F26,"-","_"),OFFSET([2]stages!$A$2,0,0,COUNTA([2]stages!$A:$A),MATCH("name",[2]stages!$2:$2,0)-MATCH("temp_stage",[2]stages!$2:$2,0)+1),MATCH("name",[2]stages!$2:$2,0)-MATCH("temp_stage",[2]stages!$2:$2,0)+1,FALSE),""))</f>
        <v>24-3．武器を花に変えて</v>
      </c>
      <c r="H26" s="28">
        <v>1</v>
      </c>
    </row>
    <row r="27" spans="1:8" ht="21" customHeight="1" x14ac:dyDescent="0.15">
      <c r="A27" s="27" t="s">
        <v>742</v>
      </c>
      <c r="B27" s="26" t="str">
        <f t="shared" ca="1" si="1"/>
        <v>クエスト 【25-3．暗闇との対話】 をクリア</v>
      </c>
      <c r="C27" s="32" t="s">
        <v>10</v>
      </c>
      <c r="D27" s="26" t="str">
        <f ca="1">VLOOKUP($C27,OFFSET(開放条件!$A$1,0,0,COUNTA($A:$A),MATCH(D$2,開放条件!$1:$1,0)-MATCH($C$2,開放条件!$1:$1,0)+1),MATCH(D$2,開放条件!$1:$1,0)-MATCH($C$2,開放条件!$1:$1,0)+1,FALSE)</f>
        <v>クエスト 【x】 をクリア</v>
      </c>
      <c r="E27" s="26" t="str">
        <f ca="1">VLOOKUP($C27,OFFSET(開放条件!$A$1,0,0,COUNTA($A:$A),MATCH(E$2,開放条件!$1:$1,0)-MATCH($C$2,開放条件!$1:$1,0)+1),MATCH(E$2,開放条件!$1:$1,0)-MATCH($C$2,開放条件!$1:$1,0)+1,FALSE)</f>
        <v>該当のクエスト(99-9)</v>
      </c>
      <c r="F27" s="38" t="s">
        <v>759</v>
      </c>
      <c r="G27" s="31" t="str">
        <f ca="1">IF(C27="mission_clear",VLOOKUP(INT($F27),OFFSET(missions!$A$1,0,0,COUNTA(missions!$A:$A),MATCH(G$2,missions!$2:$2,0)-MATCH("mission_id",missions!$2:$2,0)+1),MATCH(G$2,missions!$2:$2,0)-MATCH("mission_id",missions!$2:$2,0)+1,FALSE),IF(C27="quest_clear",VLOOKUP(SUBSTITUTE(F27,"-","_"),OFFSET([2]stages!$A$2,0,0,COUNTA([2]stages!$A:$A),MATCH("name",[2]stages!$2:$2,0)-MATCH("temp_stage",[2]stages!$2:$2,0)+1),MATCH("name",[2]stages!$2:$2,0)-MATCH("temp_stage",[2]stages!$2:$2,0)+1,FALSE),""))</f>
        <v>25-3．暗闇との対話</v>
      </c>
      <c r="H27" s="28">
        <v>1</v>
      </c>
    </row>
    <row r="28" spans="1:8" ht="21" customHeight="1" x14ac:dyDescent="0.15">
      <c r="A28" s="27" t="s">
        <v>743</v>
      </c>
      <c r="B28" s="26" t="str">
        <f t="shared" ca="1" si="1"/>
        <v>クエスト 【26-3．荒ぶる電飾】 をクリア</v>
      </c>
      <c r="C28" s="32" t="s">
        <v>10</v>
      </c>
      <c r="D28" s="26" t="str">
        <f ca="1">VLOOKUP($C28,OFFSET(開放条件!$A$1,0,0,COUNTA($A:$A),MATCH(D$2,開放条件!$1:$1,0)-MATCH($C$2,開放条件!$1:$1,0)+1),MATCH(D$2,開放条件!$1:$1,0)-MATCH($C$2,開放条件!$1:$1,0)+1,FALSE)</f>
        <v>クエスト 【x】 をクリア</v>
      </c>
      <c r="E28" s="26" t="str">
        <f ca="1">VLOOKUP($C28,OFFSET(開放条件!$A$1,0,0,COUNTA($A:$A),MATCH(E$2,開放条件!$1:$1,0)-MATCH($C$2,開放条件!$1:$1,0)+1),MATCH(E$2,開放条件!$1:$1,0)-MATCH($C$2,開放条件!$1:$1,0)+1,FALSE)</f>
        <v>該当のクエスト(99-9)</v>
      </c>
      <c r="F28" s="38" t="s">
        <v>760</v>
      </c>
      <c r="G28" s="31" t="str">
        <f ca="1">IF(C28="mission_clear",VLOOKUP(INT($F28),OFFSET(missions!$A$1,0,0,COUNTA(missions!$A:$A),MATCH(G$2,missions!$2:$2,0)-MATCH("mission_id",missions!$2:$2,0)+1),MATCH(G$2,missions!$2:$2,0)-MATCH("mission_id",missions!$2:$2,0)+1,FALSE),IF(C28="quest_clear",VLOOKUP(SUBSTITUTE(F28,"-","_"),OFFSET([2]stages!$A$2,0,0,COUNTA([2]stages!$A:$A),MATCH("name",[2]stages!$2:$2,0)-MATCH("temp_stage",[2]stages!$2:$2,0)+1),MATCH("name",[2]stages!$2:$2,0)-MATCH("temp_stage",[2]stages!$2:$2,0)+1,FALSE),""))</f>
        <v>26-3．荒ぶる電飾</v>
      </c>
      <c r="H28" s="28">
        <v>1</v>
      </c>
    </row>
    <row r="29" spans="1:8" ht="21" customHeight="1" x14ac:dyDescent="0.15">
      <c r="A29" s="27" t="s">
        <v>2337</v>
      </c>
      <c r="B29" s="26" t="str">
        <f t="shared" ca="1" si="1"/>
        <v>クエスト 【【初級】侵略！？にゃんこ軍団現る！】 をクリア</v>
      </c>
      <c r="C29" s="32" t="s">
        <v>10</v>
      </c>
      <c r="D29" s="26" t="str">
        <f ca="1">VLOOKUP($C29,OFFSET(開放条件!$A$1,0,0,COUNTA($A:$A),MATCH(D$2,開放条件!$1:$1,0)-MATCH($C$2,開放条件!$1:$1,0)+1),MATCH(D$2,開放条件!$1:$1,0)-MATCH($C$2,開放条件!$1:$1,0)+1,FALSE)</f>
        <v>クエスト 【x】 をクリア</v>
      </c>
      <c r="E29" s="26" t="str">
        <f ca="1">VLOOKUP($C29,OFFSET(開放条件!$A$1,0,0,COUNTA($A:$A),MATCH(E$2,開放条件!$1:$1,0)-MATCH($C$2,開放条件!$1:$1,0)+1),MATCH(E$2,開放条件!$1:$1,0)-MATCH($C$2,開放条件!$1:$1,0)+1,FALSE)</f>
        <v>該当のクエスト(99-9)</v>
      </c>
      <c r="F29" s="83" t="s">
        <v>2320</v>
      </c>
      <c r="G29" s="31" t="str">
        <f ca="1">IF(C29="mission_clear",VLOOKUP(INT($F29),OFFSET(missions!$A$1,0,0,COUNTA(missions!$A:$A),MATCH(G$2,missions!$2:$2,0)-MATCH("mission_id",missions!$2:$2,0)+1),MATCH(G$2,missions!$2:$2,0)-MATCH("mission_id",missions!$2:$2,0)+1,FALSE),IF(C29="quest_clear",VLOOKUP(SUBSTITUTE(F29,"-","_"),OFFSET([2]stages!$A$2,0,0,COUNTA([2]stages!$A:$A),MATCH("name",[2]stages!$2:$2,0)-MATCH("temp_stage",[2]stages!$2:$2,0)+1),MATCH("name",[2]stages!$2:$2,0)-MATCH("temp_stage",[2]stages!$2:$2,0)+1,FALSE),""))</f>
        <v>【初級】侵略！？にゃんこ軍団現る！</v>
      </c>
      <c r="H29" s="28">
        <v>1</v>
      </c>
    </row>
    <row r="30" spans="1:8" ht="21" customHeight="1" x14ac:dyDescent="0.15">
      <c r="A30" s="27" t="s">
        <v>2339</v>
      </c>
      <c r="B30" s="26" t="str">
        <f t="shared" ca="1" si="1"/>
        <v>クエスト 【【激ムズ】ネコムート襲来】 をクリア</v>
      </c>
      <c r="C30" s="32" t="s">
        <v>10</v>
      </c>
      <c r="D30" s="26" t="str">
        <f ca="1">VLOOKUP($C30,OFFSET(開放条件!$A$1,0,0,COUNTA($A:$A),MATCH(D$2,開放条件!$1:$1,0)-MATCH($C$2,開放条件!$1:$1,0)+1),MATCH(D$2,開放条件!$1:$1,0)-MATCH($C$2,開放条件!$1:$1,0)+1,FALSE)</f>
        <v>クエスト 【x】 をクリア</v>
      </c>
      <c r="E30" s="26" t="str">
        <f ca="1">VLOOKUP($C30,OFFSET(開放条件!$A$1,0,0,COUNTA($A:$A),MATCH(E$2,開放条件!$1:$1,0)-MATCH($C$2,開放条件!$1:$1,0)+1),MATCH(E$2,開放条件!$1:$1,0)-MATCH($C$2,開放条件!$1:$1,0)+1,FALSE)</f>
        <v>該当のクエスト(99-9)</v>
      </c>
      <c r="F30" s="83" t="s">
        <v>2325</v>
      </c>
      <c r="G30" s="31" t="str">
        <f ca="1">IF(C30="mission_clear",VLOOKUP(INT($F30),OFFSET(missions!$A$1,0,0,COUNTA(missions!$A:$A),MATCH(G$2,missions!$2:$2,0)-MATCH("mission_id",missions!$2:$2,0)+1),MATCH(G$2,missions!$2:$2,0)-MATCH("mission_id",missions!$2:$2,0)+1,FALSE),IF(C30="quest_clear",VLOOKUP(SUBSTITUTE(F30,"-","_"),OFFSET([2]stages!$A$2,0,0,COUNTA([2]stages!$A:$A),MATCH("name",[2]stages!$2:$2,0)-MATCH("temp_stage",[2]stages!$2:$2,0)+1),MATCH("name",[2]stages!$2:$2,0)-MATCH("temp_stage",[2]stages!$2:$2,0)+1,FALSE),""))</f>
        <v>【激ムズ】ネコムート襲来</v>
      </c>
      <c r="H30" s="28">
        <v>1</v>
      </c>
    </row>
    <row r="31" spans="1:8" ht="21" customHeight="1" x14ac:dyDescent="0.15">
      <c r="A31" s="27" t="s">
        <v>2341</v>
      </c>
      <c r="B31" s="26" t="str">
        <f t="shared" ca="1" si="1"/>
        <v>クエスト 【【極ムズ】狂乱のネコ降臨】 をクリア</v>
      </c>
      <c r="C31" s="32" t="s">
        <v>10</v>
      </c>
      <c r="D31" s="26" t="str">
        <f ca="1">VLOOKUP($C31,OFFSET(開放条件!$A$1,0,0,COUNTA($A:$A),MATCH(D$2,開放条件!$1:$1,0)-MATCH($C$2,開放条件!$1:$1,0)+1),MATCH(D$2,開放条件!$1:$1,0)-MATCH($C$2,開放条件!$1:$1,0)+1,FALSE)</f>
        <v>クエスト 【x】 をクリア</v>
      </c>
      <c r="E31" s="26" t="str">
        <f ca="1">VLOOKUP($C31,OFFSET(開放条件!$A$1,0,0,COUNTA($A:$A),MATCH(E$2,開放条件!$1:$1,0)-MATCH($C$2,開放条件!$1:$1,0)+1),MATCH(E$2,開放条件!$1:$1,0)-MATCH($C$2,開放条件!$1:$1,0)+1,FALSE)</f>
        <v>該当のクエスト(99-9)</v>
      </c>
      <c r="F31" s="83" t="s">
        <v>2327</v>
      </c>
      <c r="G31" s="31" t="str">
        <f ca="1">IF(C31="mission_clear",VLOOKUP(INT($F31),OFFSET(missions!$A$1,0,0,COUNTA(missions!$A:$A),MATCH(G$2,missions!$2:$2,0)-MATCH("mission_id",missions!$2:$2,0)+1),MATCH(G$2,missions!$2:$2,0)-MATCH("mission_id",missions!$2:$2,0)+1,FALSE),IF(C31="quest_clear",VLOOKUP(SUBSTITUTE(F31,"-","_"),OFFSET([2]stages!$A$2,0,0,COUNTA([2]stages!$A:$A),MATCH("name",[2]stages!$2:$2,0)-MATCH("temp_stage",[2]stages!$2:$2,0)+1),MATCH("name",[2]stages!$2:$2,0)-MATCH("temp_stage",[2]stages!$2:$2,0)+1,FALSE),""))</f>
        <v>【極ムズ】狂乱のネコ降臨</v>
      </c>
      <c r="H31" s="28">
        <v>1</v>
      </c>
    </row>
    <row r="32" spans="1:8" ht="21" customHeight="1" x14ac:dyDescent="0.15">
      <c r="A32" s="27" t="s">
        <v>1009</v>
      </c>
      <c r="B32" s="26" t="str">
        <f ca="1">IF(C32="quest_clear",SUBSTITUTE(D32,"x",G32),IF(C32="mission_clear",SUBSTITUTE(D32,"x",G32),SUBSTITUTE(D32,"x",F32)))</f>
        <v>クエスト 【【ストーリー】バレンタイン狂想曲】 をクリア</v>
      </c>
      <c r="C32" s="32" t="s">
        <v>10</v>
      </c>
      <c r="D32" s="26" t="str">
        <f ca="1">VLOOKUP($C32,OFFSET(開放条件!$A$1,0,0,COUNTA($A:$A),MATCH(D$2,開放条件!$1:$1,0)-MATCH($C$2,開放条件!$1:$1,0)+1),MATCH(D$2,開放条件!$1:$1,0)-MATCH($C$2,開放条件!$1:$1,0)+1,FALSE)</f>
        <v>クエスト 【x】 をクリア</v>
      </c>
      <c r="E32" s="26" t="str">
        <f ca="1">VLOOKUP($C32,OFFSET(開放条件!$A$1,0,0,COUNTA($A:$A),MATCH(E$2,開放条件!$1:$1,0)-MATCH($C$2,開放条件!$1:$1,0)+1),MATCH(E$2,開放条件!$1:$1,0)-MATCH($C$2,開放条件!$1:$1,0)+1,FALSE)</f>
        <v>該当のクエスト(99-9)</v>
      </c>
      <c r="F32" s="37" t="s">
        <v>2194</v>
      </c>
      <c r="G32" s="31" t="str">
        <f ca="1">IF(C32="mission_clear",VLOOKUP(INT($F32),OFFSET(missions!$A$1,0,0,COUNTA(missions!$A:$A),MATCH(G$2,missions!$2:$2,0)-MATCH("mission_id",missions!$2:$2,0)+1),MATCH(G$2,missions!$2:$2,0)-MATCH("mission_id",missions!$2:$2,0)+1,FALSE),IF(C32="quest_clear",VLOOKUP(SUBSTITUTE(F32,"-","_"),OFFSET([2]stages!$A$2,0,0,COUNTA([2]stages!$A:$A),MATCH("name",[2]stages!$2:$2,0)-MATCH("temp_stage",[2]stages!$2:$2,0)+1),MATCH("name",[2]stages!$2:$2,0)-MATCH("temp_stage",[2]stages!$2:$2,0)+1,FALSE),""))</f>
        <v>【ストーリー】バレンタイン狂想曲</v>
      </c>
      <c r="H32" s="28">
        <v>1</v>
      </c>
    </row>
    <row r="33" spans="1:8" ht="21" customHeight="1" x14ac:dyDescent="0.15">
      <c r="A33" s="27" t="s">
        <v>1562</v>
      </c>
      <c r="B33" s="26" t="str">
        <f ca="1">IF(C33="quest_clear",SUBSTITUTE(D33,"x",G33),IF(C33="mission_clear",SUBSTITUTE(D33,"x",G33),SUBSTITUTE(D33,"x",F33)))</f>
        <v>クエスト 【【ストーリー】バレンタイン狂想曲】 をクリア</v>
      </c>
      <c r="C33" s="32" t="s">
        <v>10</v>
      </c>
      <c r="D33" s="26" t="str">
        <f ca="1">VLOOKUP($C33,OFFSET(開放条件!$A$1,0,0,COUNTA($A:$A),MATCH(D$2,開放条件!$1:$1,0)-MATCH($C$2,開放条件!$1:$1,0)+1),MATCH(D$2,開放条件!$1:$1,0)-MATCH($C$2,開放条件!$1:$1,0)+1,FALSE)</f>
        <v>クエスト 【x】 をクリア</v>
      </c>
      <c r="E33" s="26" t="str">
        <f ca="1">VLOOKUP($C33,OFFSET(開放条件!$A$1,0,0,COUNTA($A:$A),MATCH(E$2,開放条件!$1:$1,0)-MATCH($C$2,開放条件!$1:$1,0)+1),MATCH(E$2,開放条件!$1:$1,0)-MATCH($C$2,開放条件!$1:$1,0)+1,FALSE)</f>
        <v>該当のクエスト(99-9)</v>
      </c>
      <c r="F33" s="37" t="s">
        <v>1563</v>
      </c>
      <c r="G33" s="31" t="str">
        <f ca="1">IF(C33="mission_clear",VLOOKUP(INT($F33),OFFSET(missions!$A$1,0,0,COUNTA(missions!$A:$A),MATCH(G$2,missions!$2:$2,0)-MATCH("mission_id",missions!$2:$2,0)+1),MATCH(G$2,missions!$2:$2,0)-MATCH("mission_id",missions!$2:$2,0)+1,FALSE),IF(C33="quest_clear",VLOOKUP(SUBSTITUTE(F33,"-","_"),OFFSET([2]stages!$A$2,0,0,COUNTA([2]stages!$A:$A),MATCH("name",[2]stages!$2:$2,0)-MATCH("temp_stage",[2]stages!$2:$2,0)+1),MATCH("name",[2]stages!$2:$2,0)-MATCH("temp_stage",[2]stages!$2:$2,0)+1,FALSE),""))</f>
        <v>【ストーリー】バレンタイン狂想曲</v>
      </c>
      <c r="H33" s="28">
        <v>1</v>
      </c>
    </row>
    <row r="34" spans="1:8" ht="21" customHeight="1" x14ac:dyDescent="0.15">
      <c r="A34" s="27" t="s">
        <v>494</v>
      </c>
      <c r="B34" s="26" t="str">
        <f t="shared" ca="1" si="0"/>
        <v>クエスト 【1-4. 【1回のみ】ボーナスステージ】 をクリア</v>
      </c>
      <c r="C34" s="32" t="s">
        <v>10</v>
      </c>
      <c r="D34" s="26" t="str">
        <f ca="1">VLOOKUP($C34,OFFSET(開放条件!$A$1,0,0,COUNTA($A:$A),MATCH(D$2,開放条件!$1:$1,0)-MATCH($C$2,開放条件!$1:$1,0)+1),MATCH(D$2,開放条件!$1:$1,0)-MATCH($C$2,開放条件!$1:$1,0)+1,FALSE)</f>
        <v>クエスト 【x】 をクリア</v>
      </c>
      <c r="E34" s="26" t="str">
        <f ca="1">VLOOKUP($C34,OFFSET(開放条件!$A$1,0,0,COUNTA($A:$A),MATCH(E$2,開放条件!$1:$1,0)-MATCH($C$2,開放条件!$1:$1,0)+1),MATCH(E$2,開放条件!$1:$1,0)-MATCH($C$2,開放条件!$1:$1,0)+1,FALSE)</f>
        <v>該当のクエスト(99-9)</v>
      </c>
      <c r="F34" s="37" t="s">
        <v>496</v>
      </c>
      <c r="G34" s="31" t="str">
        <f ca="1">IF(C34="mission_clear",VLOOKUP(INT($F34),OFFSET(missions!$A$1,0,0,COUNTA(missions!$A:$A),MATCH(G$2,missions!$2:$2,0)-MATCH("mission_id",missions!$2:$2,0)+1),MATCH(G$2,missions!$2:$2,0)-MATCH("mission_id",missions!$2:$2,0)+1,FALSE),IF(C34="quest_clear",VLOOKUP(SUBSTITUTE(F34,"-","_"),OFFSET([2]stages!$A$2,0,0,COUNTA([2]stages!$A:$A),MATCH("name",[2]stages!$2:$2,0)-MATCH("temp_stage",[2]stages!$2:$2,0)+1),MATCH("name",[2]stages!$2:$2,0)-MATCH("temp_stage",[2]stages!$2:$2,0)+1,FALSE),""))</f>
        <v>1-4. 【1回のみ】ボーナスステージ</v>
      </c>
      <c r="H34" s="28">
        <v>1</v>
      </c>
    </row>
    <row r="35" spans="1:8" ht="21" customHeight="1" x14ac:dyDescent="0.15">
      <c r="A35" s="27" t="s">
        <v>495</v>
      </c>
      <c r="B35" s="26" t="str">
        <f t="shared" ca="1" si="0"/>
        <v>クエスト 【3-4. 【1回のみ】ボーナスステージ】 をクリア</v>
      </c>
      <c r="C35" s="32" t="s">
        <v>10</v>
      </c>
      <c r="D35" s="26" t="str">
        <f ca="1">VLOOKUP($C35,OFFSET(開放条件!$A$1,0,0,COUNTA($A:$A),MATCH(D$2,開放条件!$1:$1,0)-MATCH($C$2,開放条件!$1:$1,0)+1),MATCH(D$2,開放条件!$1:$1,0)-MATCH($C$2,開放条件!$1:$1,0)+1,FALSE)</f>
        <v>クエスト 【x】 をクリア</v>
      </c>
      <c r="E35" s="26" t="str">
        <f ca="1">VLOOKUP($C35,OFFSET(開放条件!$A$1,0,0,COUNTA($A:$A),MATCH(E$2,開放条件!$1:$1,0)-MATCH($C$2,開放条件!$1:$1,0)+1),MATCH(E$2,開放条件!$1:$1,0)-MATCH($C$2,開放条件!$1:$1,0)+1,FALSE)</f>
        <v>該当のクエスト(99-9)</v>
      </c>
      <c r="F35" s="38" t="s">
        <v>2279</v>
      </c>
      <c r="G35" s="31" t="str">
        <f ca="1">IF(C35="mission_clear",VLOOKUP(INT($F35),OFFSET(missions!$A$1,0,0,COUNTA(missions!$A:$A),MATCH(G$2,missions!$2:$2,0)-MATCH("mission_id",missions!$2:$2,0)+1),MATCH(G$2,missions!$2:$2,0)-MATCH("mission_id",missions!$2:$2,0)+1,FALSE),IF(C35="quest_clear",VLOOKUP(SUBSTITUTE(F35,"-","_"),OFFSET([2]stages!$A$2,0,0,COUNTA([2]stages!$A:$A),MATCH("name",[2]stages!$2:$2,0)-MATCH("temp_stage",[2]stages!$2:$2,0)+1),MATCH("name",[2]stages!$2:$2,0)-MATCH("temp_stage",[2]stages!$2:$2,0)+1,FALSE),""))</f>
        <v>3-4. 【1回のみ】ボーナスステージ</v>
      </c>
      <c r="H35" s="28">
        <v>1</v>
      </c>
    </row>
    <row r="36" spans="1:8" ht="21" customHeight="1" x14ac:dyDescent="0.15">
      <c r="A36" s="27" t="s">
        <v>498</v>
      </c>
      <c r="B36" s="26" t="str">
        <f t="shared" ca="1" si="0"/>
        <v>クエスト 【4-4. 【1回のみ】ボーナスステージ】 をクリア</v>
      </c>
      <c r="C36" s="32" t="s">
        <v>10</v>
      </c>
      <c r="D36" s="26" t="str">
        <f ca="1">VLOOKUP($C36,OFFSET(開放条件!$A$1,0,0,COUNTA($A:$A),MATCH(D$2,開放条件!$1:$1,0)-MATCH($C$2,開放条件!$1:$1,0)+1),MATCH(D$2,開放条件!$1:$1,0)-MATCH($C$2,開放条件!$1:$1,0)+1,FALSE)</f>
        <v>クエスト 【x】 をクリア</v>
      </c>
      <c r="E36" s="26" t="str">
        <f ca="1">VLOOKUP($C36,OFFSET(開放条件!$A$1,0,0,COUNTA($A:$A),MATCH(E$2,開放条件!$1:$1,0)-MATCH($C$2,開放条件!$1:$1,0)+1),MATCH(E$2,開放条件!$1:$1,0)-MATCH($C$2,開放条件!$1:$1,0)+1,FALSE)</f>
        <v>該当のクエスト(99-9)</v>
      </c>
      <c r="F36" s="38" t="s">
        <v>499</v>
      </c>
      <c r="G36" s="31" t="str">
        <f ca="1">IF(C36="mission_clear",VLOOKUP(INT($F36),OFFSET(missions!$A$1,0,0,COUNTA(missions!$A:$A),MATCH(G$2,missions!$2:$2,0)-MATCH("mission_id",missions!$2:$2,0)+1),MATCH(G$2,missions!$2:$2,0)-MATCH("mission_id",missions!$2:$2,0)+1,FALSE),IF(C36="quest_clear",VLOOKUP(SUBSTITUTE(F36,"-","_"),OFFSET([2]stages!$A$2,0,0,COUNTA([2]stages!$A:$A),MATCH("name",[2]stages!$2:$2,0)-MATCH("temp_stage",[2]stages!$2:$2,0)+1),MATCH("name",[2]stages!$2:$2,0)-MATCH("temp_stage",[2]stages!$2:$2,0)+1,FALSE),""))</f>
        <v>4-4. 【1回のみ】ボーナスステージ</v>
      </c>
      <c r="H36" s="28">
        <v>1</v>
      </c>
    </row>
    <row r="37" spans="1:8" ht="21" customHeight="1" x14ac:dyDescent="0.15">
      <c r="A37" s="27" t="s">
        <v>755</v>
      </c>
      <c r="B37" s="26" t="str">
        <f t="shared" ca="1" si="0"/>
        <v>クエスト 【23-5．目醒めの子どもたち】 をクリア</v>
      </c>
      <c r="C37" s="32" t="s">
        <v>10</v>
      </c>
      <c r="D37" s="26" t="str">
        <f ca="1">VLOOKUP($C37,OFFSET(開放条件!$A$1,0,0,COUNTA($A:$A),MATCH(D$2,開放条件!$1:$1,0)-MATCH($C$2,開放条件!$1:$1,0)+1),MATCH(D$2,開放条件!$1:$1,0)-MATCH($C$2,開放条件!$1:$1,0)+1,FALSE)</f>
        <v>クエスト 【x】 をクリア</v>
      </c>
      <c r="E37" s="26" t="str">
        <f ca="1">VLOOKUP($C37,OFFSET(開放条件!$A$1,0,0,COUNTA($A:$A),MATCH(E$2,開放条件!$1:$1,0)-MATCH($C$2,開放条件!$1:$1,0)+1),MATCH(E$2,開放条件!$1:$1,0)-MATCH($C$2,開放条件!$1:$1,0)+1,FALSE)</f>
        <v>該当のクエスト(99-9)</v>
      </c>
      <c r="F37" s="38" t="s">
        <v>746</v>
      </c>
      <c r="G37" s="31" t="str">
        <f ca="1">IF(C37="mission_clear",VLOOKUP(INT($F37),OFFSET(missions!$A$1,0,0,COUNTA(missions!$A:$A),MATCH(G$2,missions!$2:$2,0)-MATCH("mission_id",missions!$2:$2,0)+1),MATCH(G$2,missions!$2:$2,0)-MATCH("mission_id",missions!$2:$2,0)+1,FALSE),IF(C37="quest_clear",VLOOKUP(SUBSTITUTE(F37,"-","_"),OFFSET([2]stages!$A$2,0,0,COUNTA([2]stages!$A:$A),MATCH("name",[2]stages!$2:$2,0)-MATCH("temp_stage",[2]stages!$2:$2,0)+1),MATCH("name",[2]stages!$2:$2,0)-MATCH("temp_stage",[2]stages!$2:$2,0)+1,FALSE),""))</f>
        <v>23-5．目醒めの子どもたち</v>
      </c>
      <c r="H37" s="28">
        <v>1</v>
      </c>
    </row>
    <row r="38" spans="1:8" ht="21" customHeight="1" x14ac:dyDescent="0.15">
      <c r="A38" s="27" t="s">
        <v>756</v>
      </c>
      <c r="B38" s="26" t="str">
        <f t="shared" ca="1" si="0"/>
        <v>クエスト 【24-5．決戦のヘヴン】 をクリア</v>
      </c>
      <c r="C38" s="32" t="s">
        <v>10</v>
      </c>
      <c r="D38" s="26" t="str">
        <f ca="1">VLOOKUP($C38,OFFSET(開放条件!$A$1,0,0,COUNTA($A:$A),MATCH(D$2,開放条件!$1:$1,0)-MATCH($C$2,開放条件!$1:$1,0)+1),MATCH(D$2,開放条件!$1:$1,0)-MATCH($C$2,開放条件!$1:$1,0)+1,FALSE)</f>
        <v>クエスト 【x】 をクリア</v>
      </c>
      <c r="E38" s="26" t="str">
        <f ca="1">VLOOKUP($C38,OFFSET(開放条件!$A$1,0,0,COUNTA($A:$A),MATCH(E$2,開放条件!$1:$1,0)-MATCH($C$2,開放条件!$1:$1,0)+1),MATCH(E$2,開放条件!$1:$1,0)-MATCH($C$2,開放条件!$1:$1,0)+1,FALSE)</f>
        <v>該当のクエスト(99-9)</v>
      </c>
      <c r="F38" s="38" t="s">
        <v>747</v>
      </c>
      <c r="G38" s="31" t="str">
        <f ca="1">IF(C38="mission_clear",VLOOKUP(INT($F38),OFFSET(missions!$A$1,0,0,COUNTA(missions!$A:$A),MATCH(G$2,missions!$2:$2,0)-MATCH("mission_id",missions!$2:$2,0)+1),MATCH(G$2,missions!$2:$2,0)-MATCH("mission_id",missions!$2:$2,0)+1,FALSE),IF(C38="quest_clear",VLOOKUP(SUBSTITUTE(F38,"-","_"),OFFSET([2]stages!$A$2,0,0,COUNTA([2]stages!$A:$A),MATCH("name",[2]stages!$2:$2,0)-MATCH("temp_stage",[2]stages!$2:$2,0)+1),MATCH("name",[2]stages!$2:$2,0)-MATCH("temp_stage",[2]stages!$2:$2,0)+1,FALSE),""))</f>
        <v>24-5．決戦のヘヴン</v>
      </c>
      <c r="H38" s="28">
        <v>1</v>
      </c>
    </row>
    <row r="39" spans="1:8" ht="21" customHeight="1" x14ac:dyDescent="0.15">
      <c r="A39" s="27" t="s">
        <v>757</v>
      </c>
      <c r="B39" s="26" t="str">
        <f t="shared" ca="1" si="0"/>
        <v>クエスト 【25-5．君はサディスティック】 をクリア</v>
      </c>
      <c r="C39" s="32" t="s">
        <v>10</v>
      </c>
      <c r="D39" s="26" t="str">
        <f ca="1">VLOOKUP($C39,OFFSET(開放条件!$A$1,0,0,COUNTA($A:$A),MATCH(D$2,開放条件!$1:$1,0)-MATCH($C$2,開放条件!$1:$1,0)+1),MATCH(D$2,開放条件!$1:$1,0)-MATCH($C$2,開放条件!$1:$1,0)+1,FALSE)</f>
        <v>クエスト 【x】 をクリア</v>
      </c>
      <c r="E39" s="26" t="str">
        <f ca="1">VLOOKUP($C39,OFFSET(開放条件!$A$1,0,0,COUNTA($A:$A),MATCH(E$2,開放条件!$1:$1,0)-MATCH($C$2,開放条件!$1:$1,0)+1),MATCH(E$2,開放条件!$1:$1,0)-MATCH($C$2,開放条件!$1:$1,0)+1,FALSE)</f>
        <v>該当のクエスト(99-9)</v>
      </c>
      <c r="F39" s="38" t="s">
        <v>748</v>
      </c>
      <c r="G39" s="31" t="str">
        <f ca="1">IF(C39="mission_clear",VLOOKUP(INT($F39),OFFSET(missions!$A$1,0,0,COUNTA(missions!$A:$A),MATCH(G$2,missions!$2:$2,0)-MATCH("mission_id",missions!$2:$2,0)+1),MATCH(G$2,missions!$2:$2,0)-MATCH("mission_id",missions!$2:$2,0)+1,FALSE),IF(C39="quest_clear",VLOOKUP(SUBSTITUTE(F39,"-","_"),OFFSET([2]stages!$A$2,0,0,COUNTA([2]stages!$A:$A),MATCH("name",[2]stages!$2:$2,0)-MATCH("temp_stage",[2]stages!$2:$2,0)+1),MATCH("name",[2]stages!$2:$2,0)-MATCH("temp_stage",[2]stages!$2:$2,0)+1,FALSE),""))</f>
        <v>25-5．君はサディスティック</v>
      </c>
      <c r="H39" s="28">
        <v>1</v>
      </c>
    </row>
    <row r="40" spans="1:8" ht="21" customHeight="1" x14ac:dyDescent="0.15">
      <c r="A40" s="27" t="s">
        <v>1109</v>
      </c>
      <c r="B40" s="26" t="str">
        <f t="shared" ca="1" si="0"/>
        <v>クエスト 【26-5．踊る強奪者】 をクリア</v>
      </c>
      <c r="C40" s="32" t="s">
        <v>10</v>
      </c>
      <c r="D40" s="26" t="str">
        <f ca="1">VLOOKUP($C40,OFFSET(開放条件!$A$1,0,0,COUNTA($A:$A),MATCH(D$2,開放条件!$1:$1,0)-MATCH($C$2,開放条件!$1:$1,0)+1),MATCH(D$2,開放条件!$1:$1,0)-MATCH($C$2,開放条件!$1:$1,0)+1,FALSE)</f>
        <v>クエスト 【x】 をクリア</v>
      </c>
      <c r="E40" s="26" t="str">
        <f ca="1">VLOOKUP($C40,OFFSET(開放条件!$A$1,0,0,COUNTA($A:$A),MATCH(E$2,開放条件!$1:$1,0)-MATCH($C$2,開放条件!$1:$1,0)+1),MATCH(E$2,開放条件!$1:$1,0)-MATCH($C$2,開放条件!$1:$1,0)+1,FALSE)</f>
        <v>該当のクエスト(99-9)</v>
      </c>
      <c r="F40" s="38" t="s">
        <v>753</v>
      </c>
      <c r="G40" s="31" t="str">
        <f ca="1">IF(C40="mission_clear",VLOOKUP(INT($F40),OFFSET(missions!$A$1,0,0,COUNTA(missions!$A:$A),MATCH(G$2,missions!$2:$2,0)-MATCH("mission_id",missions!$2:$2,0)+1),MATCH(G$2,missions!$2:$2,0)-MATCH("mission_id",missions!$2:$2,0)+1,FALSE),IF(C40="quest_clear",VLOOKUP(SUBSTITUTE(F40,"-","_"),OFFSET([2]stages!$A$2,0,0,COUNTA([2]stages!$A:$A),MATCH("name",[2]stages!$2:$2,0)-MATCH("temp_stage",[2]stages!$2:$2,0)+1),MATCH("name",[2]stages!$2:$2,0)-MATCH("temp_stage",[2]stages!$2:$2,0)+1,FALSE),""))</f>
        <v>26-5．踊る強奪者</v>
      </c>
      <c r="H40" s="28">
        <v>1</v>
      </c>
    </row>
    <row r="41" spans="1:8" ht="21" customHeight="1" x14ac:dyDescent="0.15">
      <c r="A41" s="27" t="s">
        <v>1111</v>
      </c>
      <c r="B41" s="26" t="str">
        <f ca="1">IF(C41="quest_clear",SUBSTITUTE(D41,"x",G41),IF(C41="mission_clear",SUBSTITUTE(D41,"x",G41),SUBSTITUTE(D41,"x",F41)))</f>
        <v>クエスト 【27-3. 山岳の王者】 をクリア</v>
      </c>
      <c r="C41" s="32" t="s">
        <v>10</v>
      </c>
      <c r="D41" s="26" t="str">
        <f ca="1">VLOOKUP($C41,OFFSET(開放条件!$A$1,0,0,COUNTA($A:$A),MATCH(D$2,開放条件!$1:$1,0)-MATCH($C$2,開放条件!$1:$1,0)+1),MATCH(D$2,開放条件!$1:$1,0)-MATCH($C$2,開放条件!$1:$1,0)+1,FALSE)</f>
        <v>クエスト 【x】 をクリア</v>
      </c>
      <c r="E41" s="26" t="str">
        <f ca="1">VLOOKUP($C41,OFFSET(開放条件!$A$1,0,0,COUNTA($A:$A),MATCH(E$2,開放条件!$1:$1,0)-MATCH($C$2,開放条件!$1:$1,0)+1),MATCH(E$2,開放条件!$1:$1,0)-MATCH($C$2,開放条件!$1:$1,0)+1,FALSE)</f>
        <v>該当のクエスト(99-9)</v>
      </c>
      <c r="F41" s="38" t="s">
        <v>1127</v>
      </c>
      <c r="G41" s="31" t="str">
        <f ca="1">IF(C41="mission_clear",VLOOKUP(INT($F41),OFFSET(missions!$A$1,0,0,COUNTA(missions!$A:$A),MATCH(G$2,missions!$2:$2,0)-MATCH("mission_id",missions!$2:$2,0)+1),MATCH(G$2,missions!$2:$2,0)-MATCH("mission_id",missions!$2:$2,0)+1,FALSE),IF(C41="quest_clear",VLOOKUP(SUBSTITUTE(F41,"-","_"),OFFSET([2]stages!$A$2,0,0,COUNTA([2]stages!$A:$A),MATCH("name",[2]stages!$2:$2,0)-MATCH("temp_stage",[2]stages!$2:$2,0)+1),MATCH("name",[2]stages!$2:$2,0)-MATCH("temp_stage",[2]stages!$2:$2,0)+1,FALSE),""))</f>
        <v>27-3. 山岳の王者</v>
      </c>
      <c r="H41" s="28">
        <v>1</v>
      </c>
    </row>
    <row r="42" spans="1:8" ht="21" customHeight="1" x14ac:dyDescent="0.15">
      <c r="A42" s="27" t="s">
        <v>1113</v>
      </c>
      <c r="B42" s="26" t="str">
        <f ca="1">IF(C42="quest_clear",SUBSTITUTE(D42,"x",G42),IF(C42="mission_clear",SUBSTITUTE(D42,"x",G42),SUBSTITUTE(D42,"x",F42)))</f>
        <v>クエスト 【28-3. 縛風の洞窟】 をクリア</v>
      </c>
      <c r="C42" s="32" t="s">
        <v>10</v>
      </c>
      <c r="D42" s="26" t="str">
        <f ca="1">VLOOKUP($C42,OFFSET(開放条件!$A$1,0,0,COUNTA($A:$A),MATCH(D$2,開放条件!$1:$1,0)-MATCH($C$2,開放条件!$1:$1,0)+1),MATCH(D$2,開放条件!$1:$1,0)-MATCH($C$2,開放条件!$1:$1,0)+1,FALSE)</f>
        <v>クエスト 【x】 をクリア</v>
      </c>
      <c r="E42" s="26" t="str">
        <f ca="1">VLOOKUP($C42,OFFSET(開放条件!$A$1,0,0,COUNTA($A:$A),MATCH(E$2,開放条件!$1:$1,0)-MATCH($C$2,開放条件!$1:$1,0)+1),MATCH(E$2,開放条件!$1:$1,0)-MATCH($C$2,開放条件!$1:$1,0)+1,FALSE)</f>
        <v>該当のクエスト(99-9)</v>
      </c>
      <c r="F42" s="38" t="s">
        <v>1128</v>
      </c>
      <c r="G42" s="31" t="str">
        <f ca="1">IF(C42="mission_clear",VLOOKUP(INT($F42),OFFSET(missions!$A$1,0,0,COUNTA(missions!$A:$A),MATCH(G$2,missions!$2:$2,0)-MATCH("mission_id",missions!$2:$2,0)+1),MATCH(G$2,missions!$2:$2,0)-MATCH("mission_id",missions!$2:$2,0)+1,FALSE),IF(C42="quest_clear",VLOOKUP(SUBSTITUTE(F42,"-","_"),OFFSET([2]stages!$A$2,0,0,COUNTA([2]stages!$A:$A),MATCH("name",[2]stages!$2:$2,0)-MATCH("temp_stage",[2]stages!$2:$2,0)+1),MATCH("name",[2]stages!$2:$2,0)-MATCH("temp_stage",[2]stages!$2:$2,0)+1,FALSE),""))</f>
        <v>28-3. 縛風の洞窟</v>
      </c>
      <c r="H42" s="28">
        <v>1</v>
      </c>
    </row>
    <row r="43" spans="1:8" ht="21" customHeight="1" x14ac:dyDescent="0.15">
      <c r="A43" s="27" t="s">
        <v>1114</v>
      </c>
      <c r="B43" s="26" t="str">
        <f ca="1">IF(C43="quest_clear",SUBSTITUTE(D43,"x",G43),IF(C43="mission_clear",SUBSTITUTE(D43,"x",G43),SUBSTITUTE(D43,"x",F43)))</f>
        <v>クエスト 【29-3. 仕立屋と兄妹】 をクリア</v>
      </c>
      <c r="C43" s="32" t="s">
        <v>10</v>
      </c>
      <c r="D43" s="26" t="str">
        <f ca="1">VLOOKUP($C43,OFFSET(開放条件!$A$1,0,0,COUNTA($A:$A),MATCH(D$2,開放条件!$1:$1,0)-MATCH($C$2,開放条件!$1:$1,0)+1),MATCH(D$2,開放条件!$1:$1,0)-MATCH($C$2,開放条件!$1:$1,0)+1,FALSE)</f>
        <v>クエスト 【x】 をクリア</v>
      </c>
      <c r="E43" s="26" t="str">
        <f ca="1">VLOOKUP($C43,OFFSET(開放条件!$A$1,0,0,COUNTA($A:$A),MATCH(E$2,開放条件!$1:$1,0)-MATCH($C$2,開放条件!$1:$1,0)+1),MATCH(E$2,開放条件!$1:$1,0)-MATCH($C$2,開放条件!$1:$1,0)+1,FALSE)</f>
        <v>該当のクエスト(99-9)</v>
      </c>
      <c r="F43" s="38" t="s">
        <v>1129</v>
      </c>
      <c r="G43" s="31" t="str">
        <f ca="1">IF(C43="mission_clear",VLOOKUP(INT($F43),OFFSET(missions!$A$1,0,0,COUNTA(missions!$A:$A),MATCH(G$2,missions!$2:$2,0)-MATCH("mission_id",missions!$2:$2,0)+1),MATCH(G$2,missions!$2:$2,0)-MATCH("mission_id",missions!$2:$2,0)+1,FALSE),IF(C43="quest_clear",VLOOKUP(SUBSTITUTE(F43,"-","_"),OFFSET([2]stages!$A$2,0,0,COUNTA([2]stages!$A:$A),MATCH("name",[2]stages!$2:$2,0)-MATCH("temp_stage",[2]stages!$2:$2,0)+1),MATCH("name",[2]stages!$2:$2,0)-MATCH("temp_stage",[2]stages!$2:$2,0)+1,FALSE),""))</f>
        <v>29-3. 仕立屋と兄妹</v>
      </c>
      <c r="H43" s="28">
        <v>1</v>
      </c>
    </row>
    <row r="44" spans="1:8" ht="21" customHeight="1" x14ac:dyDescent="0.15">
      <c r="A44" s="27" t="s">
        <v>1115</v>
      </c>
      <c r="B44" s="26" t="str">
        <f ca="1">IF(C44="quest_clear",SUBSTITUTE(D44,"x",G44),IF(C44="mission_clear",SUBSTITUTE(D44,"x",G44),SUBSTITUTE(D44,"x",F44)))</f>
        <v>クエスト 【30-3. 月影の襲撃者】 をクリア</v>
      </c>
      <c r="C44" s="32" t="s">
        <v>10</v>
      </c>
      <c r="D44" s="26" t="str">
        <f ca="1">VLOOKUP($C44,OFFSET(開放条件!$A$1,0,0,COUNTA($A:$A),MATCH(D$2,開放条件!$1:$1,0)-MATCH($C$2,開放条件!$1:$1,0)+1),MATCH(D$2,開放条件!$1:$1,0)-MATCH($C$2,開放条件!$1:$1,0)+1,FALSE)</f>
        <v>クエスト 【x】 をクリア</v>
      </c>
      <c r="E44" s="26" t="str">
        <f ca="1">VLOOKUP($C44,OFFSET(開放条件!$A$1,0,0,COUNTA($A:$A),MATCH(E$2,開放条件!$1:$1,0)-MATCH($C$2,開放条件!$1:$1,0)+1),MATCH(E$2,開放条件!$1:$1,0)-MATCH($C$2,開放条件!$1:$1,0)+1,FALSE)</f>
        <v>該当のクエスト(99-9)</v>
      </c>
      <c r="F44" s="38" t="s">
        <v>1130</v>
      </c>
      <c r="G44" s="31" t="str">
        <f ca="1">IF(C44="mission_clear",VLOOKUP(INT($F44),OFFSET(missions!$A$1,0,0,COUNTA(missions!$A:$A),MATCH(G$2,missions!$2:$2,0)-MATCH("mission_id",missions!$2:$2,0)+1),MATCH(G$2,missions!$2:$2,0)-MATCH("mission_id",missions!$2:$2,0)+1,FALSE),IF(C44="quest_clear",VLOOKUP(SUBSTITUTE(F44,"-","_"),OFFSET([2]stages!$A$2,0,0,COUNTA([2]stages!$A:$A),MATCH("name",[2]stages!$2:$2,0)-MATCH("temp_stage",[2]stages!$2:$2,0)+1),MATCH("name",[2]stages!$2:$2,0)-MATCH("temp_stage",[2]stages!$2:$2,0)+1,FALSE),""))</f>
        <v>30-3. 月影の襲撃者</v>
      </c>
      <c r="H44" s="28">
        <v>1</v>
      </c>
    </row>
    <row r="45" spans="1:8" ht="21" customHeight="1" x14ac:dyDescent="0.15">
      <c r="A45" s="27" t="s">
        <v>1913</v>
      </c>
      <c r="B45" s="26" t="str">
        <f ca="1">IF(C45="quest_clear",SUBSTITUTE(D45,"x",G45),IF(C45="mission_clear",SUBSTITUTE(D45,"x",G45),SUBSTITUTE(D45,"x",F45)))</f>
        <v>クエスト 【テンプレート】 をクリア</v>
      </c>
      <c r="C45" s="32" t="s">
        <v>10</v>
      </c>
      <c r="D45" s="26" t="str">
        <f ca="1">VLOOKUP($C45,OFFSET(開放条件!$A$1,0,0,COUNTA($A:$A),MATCH(D$2,開放条件!$1:$1,0)-MATCH($C$2,開放条件!$1:$1,0)+1),MATCH(D$2,開放条件!$1:$1,0)-MATCH($C$2,開放条件!$1:$1,0)+1,FALSE)</f>
        <v>クエスト 【x】 をクリア</v>
      </c>
      <c r="E45" s="26" t="str">
        <f ca="1">VLOOKUP($C45,OFFSET(開放条件!$A$1,0,0,COUNTA($A:$A),MATCH(E$2,開放条件!$1:$1,0)-MATCH($C$2,開放条件!$1:$1,0)+1),MATCH(E$2,開放条件!$1:$1,0)-MATCH($C$2,開放条件!$1:$1,0)+1,FALSE)</f>
        <v>該当のクエスト(99-9)</v>
      </c>
      <c r="F45" s="38" t="s">
        <v>1912</v>
      </c>
      <c r="G45" s="31" t="str">
        <f ca="1">IF(C45="mission_clear",VLOOKUP(INT($F45),OFFSET(missions!$A$1,0,0,COUNTA(missions!$A:$A),MATCH(G$2,missions!$2:$2,0)-MATCH("mission_id",missions!$2:$2,0)+1),MATCH(G$2,missions!$2:$2,0)-MATCH("mission_id",missions!$2:$2,0)+1,FALSE),IF(C45="quest_clear",VLOOKUP(SUBSTITUTE(F45,"-","_"),OFFSET([2]stages!$A$2,0,0,COUNTA([2]stages!$A:$A),MATCH("name",[2]stages!$2:$2,0)-MATCH("temp_stage",[2]stages!$2:$2,0)+1),MATCH("name",[2]stages!$2:$2,0)-MATCH("temp_stage",[2]stages!$2:$2,0)+1,FALSE),""))</f>
        <v>テンプレート</v>
      </c>
      <c r="H45" s="28">
        <v>1</v>
      </c>
    </row>
    <row r="46" spans="1:8" ht="21" customHeight="1" x14ac:dyDescent="0.15">
      <c r="A46" s="27" t="s">
        <v>393</v>
      </c>
      <c r="B46" s="26" t="str">
        <f t="shared" ca="1" si="0"/>
        <v>プレイヤーランクが 5 に到達</v>
      </c>
      <c r="C46" s="32" t="s">
        <v>11</v>
      </c>
      <c r="D46" s="26" t="str">
        <f ca="1">VLOOKUP($C46,OFFSET(開放条件!$A$1,0,0,COUNTA($A:$A),MATCH(D$2,開放条件!$1:$1,0)-MATCH($C$2,開放条件!$1:$1,0)+1),MATCH(D$2,開放条件!$1:$1,0)-MATCH($C$2,開放条件!$1:$1,0)+1,FALSE)</f>
        <v>プレイヤーランクが x に到達</v>
      </c>
      <c r="E46" s="26" t="str">
        <f ca="1">VLOOKUP($C46,OFFSET(開放条件!$A$1,0,0,COUNTA($A:$A),MATCH(E$2,開放条件!$1:$1,0)-MATCH($C$2,開放条件!$1:$1,0)+1),MATCH(E$2,開放条件!$1:$1,0)-MATCH($C$2,開放条件!$1:$1,0)+1,FALSE)</f>
        <v>プレイヤーランク</v>
      </c>
      <c r="F46" s="61">
        <v>5</v>
      </c>
      <c r="G46" s="31" t="str">
        <f ca="1">IF(C46="mission_clear",VLOOKUP(INT($F46),OFFSET(missions!$A$1,0,0,COUNTA(missions!$A:$A),MATCH(G$2,missions!$2:$2,0)-MATCH("mission_id",missions!$2:$2,0)+1),MATCH(G$2,missions!$2:$2,0)-MATCH("mission_id",missions!$2:$2,0)+1,FALSE),IF(C46="quest_clear",VLOOKUP(SUBSTITUTE(F46,"-","_"),OFFSET([2]stages!$A$2,0,0,COUNTA([2]stages!$A:$A),MATCH("name",[2]stages!$2:$2,0)-MATCH("temp_stage",[2]stages!$2:$2,0)+1),MATCH("name",[2]stages!$2:$2,0)-MATCH("temp_stage",[2]stages!$2:$2,0)+1,FALSE),""))</f>
        <v/>
      </c>
      <c r="H46" s="28">
        <v>1</v>
      </c>
    </row>
    <row r="47" spans="1:8" ht="21" customHeight="1" x14ac:dyDescent="0.15">
      <c r="A47" s="27" t="s">
        <v>372</v>
      </c>
      <c r="B47" s="26" t="str">
        <f t="shared" ca="1" si="0"/>
        <v>プレイヤーランクが 8 に到達</v>
      </c>
      <c r="C47" s="32" t="s">
        <v>11</v>
      </c>
      <c r="D47" s="26" t="str">
        <f ca="1">VLOOKUP($C47,OFFSET(開放条件!$A$1,0,0,COUNTA($A:$A),MATCH(D$2,開放条件!$1:$1,0)-MATCH($C$2,開放条件!$1:$1,0)+1),MATCH(D$2,開放条件!$1:$1,0)-MATCH($C$2,開放条件!$1:$1,0)+1,FALSE)</f>
        <v>プレイヤーランクが x に到達</v>
      </c>
      <c r="E47" s="26" t="str">
        <f ca="1">VLOOKUP($C47,OFFSET(開放条件!$A$1,0,0,COUNTA($A:$A),MATCH(E$2,開放条件!$1:$1,0)-MATCH($C$2,開放条件!$1:$1,0)+1),MATCH(E$2,開放条件!$1:$1,0)-MATCH($C$2,開放条件!$1:$1,0)+1,FALSE)</f>
        <v>プレイヤーランク</v>
      </c>
      <c r="F47" s="61">
        <v>8</v>
      </c>
      <c r="G47" s="31" t="str">
        <f ca="1">IF(C47="mission_clear",VLOOKUP(INT($F47),OFFSET(missions!$A$1,0,0,COUNTA(missions!$A:$A),MATCH(G$2,missions!$2:$2,0)-MATCH("mission_id",missions!$2:$2,0)+1),MATCH(G$2,missions!$2:$2,0)-MATCH("mission_id",missions!$2:$2,0)+1,FALSE),IF(C47="quest_clear",VLOOKUP(SUBSTITUTE(F47,"-","_"),OFFSET([2]stages!$A$2,0,0,COUNTA([2]stages!$A:$A),MATCH("name",[2]stages!$2:$2,0)-MATCH("temp_stage",[2]stages!$2:$2,0)+1),MATCH("name",[2]stages!$2:$2,0)-MATCH("temp_stage",[2]stages!$2:$2,0)+1,FALSE),""))</f>
        <v/>
      </c>
      <c r="H47" s="28">
        <v>1</v>
      </c>
    </row>
    <row r="48" spans="1:8" ht="21" customHeight="1" x14ac:dyDescent="0.15">
      <c r="A48" s="27" t="s">
        <v>206</v>
      </c>
      <c r="B48" s="26" t="str">
        <f t="shared" ca="1" si="0"/>
        <v>プレイヤーランクが 10 に到達</v>
      </c>
      <c r="C48" s="32" t="s">
        <v>11</v>
      </c>
      <c r="D48" s="26" t="str">
        <f ca="1">VLOOKUP($C48,OFFSET(開放条件!$A$1,0,0,COUNTA($A:$A),MATCH(D$2,開放条件!$1:$1,0)-MATCH($C$2,開放条件!$1:$1,0)+1),MATCH(D$2,開放条件!$1:$1,0)-MATCH($C$2,開放条件!$1:$1,0)+1,FALSE)</f>
        <v>プレイヤーランクが x に到達</v>
      </c>
      <c r="E48" s="26" t="str">
        <f ca="1">VLOOKUP($C48,OFFSET(開放条件!$A$1,0,0,COUNTA($A:$A),MATCH(E$2,開放条件!$1:$1,0)-MATCH($C$2,開放条件!$1:$1,0)+1),MATCH(E$2,開放条件!$1:$1,0)-MATCH($C$2,開放条件!$1:$1,0)+1,FALSE)</f>
        <v>プレイヤーランク</v>
      </c>
      <c r="F48" s="61">
        <v>10</v>
      </c>
      <c r="G48" s="31" t="str">
        <f ca="1">IF(C48="mission_clear",VLOOKUP(INT($F48),OFFSET(missions!$A$1,0,0,COUNTA(missions!$A:$A),MATCH(G$2,missions!$2:$2,0)-MATCH("mission_id",missions!$2:$2,0)+1),MATCH(G$2,missions!$2:$2,0)-MATCH("mission_id",missions!$2:$2,0)+1,FALSE),IF(C48="quest_clear",VLOOKUP(SUBSTITUTE(F48,"-","_"),OFFSET([2]stages!$A$2,0,0,COUNTA([2]stages!$A:$A),MATCH("name",[2]stages!$2:$2,0)-MATCH("temp_stage",[2]stages!$2:$2,0)+1),MATCH("name",[2]stages!$2:$2,0)-MATCH("temp_stage",[2]stages!$2:$2,0)+1,FALSE),""))</f>
        <v/>
      </c>
      <c r="H48" s="28">
        <v>1</v>
      </c>
    </row>
    <row r="49" spans="1:8" ht="21" customHeight="1" x14ac:dyDescent="0.15">
      <c r="A49" s="27" t="s">
        <v>207</v>
      </c>
      <c r="B49" s="26" t="str">
        <f t="shared" ca="1" si="0"/>
        <v>プレイヤーランクが 15 に到達</v>
      </c>
      <c r="C49" s="32" t="s">
        <v>11</v>
      </c>
      <c r="D49" s="26" t="str">
        <f ca="1">VLOOKUP($C49,OFFSET(開放条件!$A$1,0,0,COUNTA($A:$A),MATCH(D$2,開放条件!$1:$1,0)-MATCH($C$2,開放条件!$1:$1,0)+1),MATCH(D$2,開放条件!$1:$1,0)-MATCH($C$2,開放条件!$1:$1,0)+1,FALSE)</f>
        <v>プレイヤーランクが x に到達</v>
      </c>
      <c r="E49" s="26" t="str">
        <f ca="1">VLOOKUP($C49,OFFSET(開放条件!$A$1,0,0,COUNTA($A:$A),MATCH(E$2,開放条件!$1:$1,0)-MATCH($C$2,開放条件!$1:$1,0)+1),MATCH(E$2,開放条件!$1:$1,0)-MATCH($C$2,開放条件!$1:$1,0)+1,FALSE)</f>
        <v>プレイヤーランク</v>
      </c>
      <c r="F49" s="61">
        <v>15</v>
      </c>
      <c r="G49" s="31" t="str">
        <f ca="1">IF(C49="mission_clear",VLOOKUP(INT($F49),OFFSET(missions!$A$1,0,0,COUNTA(missions!$A:$A),MATCH(G$2,missions!$2:$2,0)-MATCH("mission_id",missions!$2:$2,0)+1),MATCH(G$2,missions!$2:$2,0)-MATCH("mission_id",missions!$2:$2,0)+1,FALSE),IF(C49="quest_clear",VLOOKUP(SUBSTITUTE(F49,"-","_"),OFFSET([2]stages!$A$2,0,0,COUNTA([2]stages!$A:$A),MATCH("name",[2]stages!$2:$2,0)-MATCH("temp_stage",[2]stages!$2:$2,0)+1),MATCH("name",[2]stages!$2:$2,0)-MATCH("temp_stage",[2]stages!$2:$2,0)+1,FALSE),""))</f>
        <v/>
      </c>
      <c r="H49" s="28">
        <v>1</v>
      </c>
    </row>
    <row r="50" spans="1:8" ht="21" customHeight="1" x14ac:dyDescent="0.15">
      <c r="A50" s="27" t="s">
        <v>208</v>
      </c>
      <c r="B50" s="26" t="str">
        <f t="shared" ca="1" si="0"/>
        <v>プレイヤーランクが 20 に到達</v>
      </c>
      <c r="C50" s="32" t="s">
        <v>11</v>
      </c>
      <c r="D50" s="26" t="str">
        <f ca="1">VLOOKUP($C50,OFFSET(開放条件!$A$1,0,0,COUNTA($A:$A),MATCH(D$2,開放条件!$1:$1,0)-MATCH($C$2,開放条件!$1:$1,0)+1),MATCH(D$2,開放条件!$1:$1,0)-MATCH($C$2,開放条件!$1:$1,0)+1,FALSE)</f>
        <v>プレイヤーランクが x に到達</v>
      </c>
      <c r="E50" s="26" t="str">
        <f ca="1">VLOOKUP($C50,OFFSET(開放条件!$A$1,0,0,COUNTA($A:$A),MATCH(E$2,開放条件!$1:$1,0)-MATCH($C$2,開放条件!$1:$1,0)+1),MATCH(E$2,開放条件!$1:$1,0)-MATCH($C$2,開放条件!$1:$1,0)+1,FALSE)</f>
        <v>プレイヤーランク</v>
      </c>
      <c r="F50" s="61">
        <v>20</v>
      </c>
      <c r="G50" s="31" t="str">
        <f ca="1">IF(C50="mission_clear",VLOOKUP(INT($F50),OFFSET(missions!$A$1,0,0,COUNTA(missions!$A:$A),MATCH(G$2,missions!$2:$2,0)-MATCH("mission_id",missions!$2:$2,0)+1),MATCH(G$2,missions!$2:$2,0)-MATCH("mission_id",missions!$2:$2,0)+1,FALSE),IF(C50="quest_clear",VLOOKUP(SUBSTITUTE(F50,"-","_"),OFFSET([2]stages!$A$2,0,0,COUNTA([2]stages!$A:$A),MATCH("name",[2]stages!$2:$2,0)-MATCH("temp_stage",[2]stages!$2:$2,0)+1),MATCH("name",[2]stages!$2:$2,0)-MATCH("temp_stage",[2]stages!$2:$2,0)+1,FALSE),""))</f>
        <v/>
      </c>
      <c r="H50" s="28">
        <v>1</v>
      </c>
    </row>
    <row r="51" spans="1:8" ht="21" customHeight="1" x14ac:dyDescent="0.15">
      <c r="A51" s="27" t="s">
        <v>395</v>
      </c>
      <c r="B51" s="26" t="str">
        <f t="shared" ca="1" si="0"/>
        <v>プレイヤーランクが 25 に到達</v>
      </c>
      <c r="C51" s="32" t="s">
        <v>11</v>
      </c>
      <c r="D51" s="26" t="str">
        <f ca="1">VLOOKUP($C51,OFFSET(開放条件!$A$1,0,0,COUNTA($A:$A),MATCH(D$2,開放条件!$1:$1,0)-MATCH($C$2,開放条件!$1:$1,0)+1),MATCH(D$2,開放条件!$1:$1,0)-MATCH($C$2,開放条件!$1:$1,0)+1,FALSE)</f>
        <v>プレイヤーランクが x に到達</v>
      </c>
      <c r="E51" s="26" t="str">
        <f ca="1">VLOOKUP($C51,OFFSET(開放条件!$A$1,0,0,COUNTA($A:$A),MATCH(E$2,開放条件!$1:$1,0)-MATCH($C$2,開放条件!$1:$1,0)+1),MATCH(E$2,開放条件!$1:$1,0)-MATCH($C$2,開放条件!$1:$1,0)+1,FALSE)</f>
        <v>プレイヤーランク</v>
      </c>
      <c r="F51" s="61">
        <v>25</v>
      </c>
      <c r="G51" s="31" t="str">
        <f ca="1">IF(C51="mission_clear",VLOOKUP(INT($F51),OFFSET(missions!$A$1,0,0,COUNTA(missions!$A:$A),MATCH(G$2,missions!$2:$2,0)-MATCH("mission_id",missions!$2:$2,0)+1),MATCH(G$2,missions!$2:$2,0)-MATCH("mission_id",missions!$2:$2,0)+1,FALSE),IF(C51="quest_clear",VLOOKUP(SUBSTITUTE(F51,"-","_"),OFFSET([2]stages!$A$2,0,0,COUNTA([2]stages!$A:$A),MATCH("name",[2]stages!$2:$2,0)-MATCH("temp_stage",[2]stages!$2:$2,0)+1),MATCH("name",[2]stages!$2:$2,0)-MATCH("temp_stage",[2]stages!$2:$2,0)+1,FALSE),""))</f>
        <v/>
      </c>
      <c r="H51" s="28">
        <v>1</v>
      </c>
    </row>
    <row r="52" spans="1:8" ht="21" customHeight="1" x14ac:dyDescent="0.15">
      <c r="A52" s="27" t="s">
        <v>209</v>
      </c>
      <c r="B52" s="26" t="str">
        <f t="shared" ca="1" si="0"/>
        <v>プレイヤーランクが 30 に到達</v>
      </c>
      <c r="C52" s="32" t="s">
        <v>11</v>
      </c>
      <c r="D52" s="26" t="str">
        <f ca="1">VLOOKUP($C52,OFFSET(開放条件!$A$1,0,0,COUNTA($A:$A),MATCH(D$2,開放条件!$1:$1,0)-MATCH($C$2,開放条件!$1:$1,0)+1),MATCH(D$2,開放条件!$1:$1,0)-MATCH($C$2,開放条件!$1:$1,0)+1,FALSE)</f>
        <v>プレイヤーランクが x に到達</v>
      </c>
      <c r="E52" s="26" t="str">
        <f ca="1">VLOOKUP($C52,OFFSET(開放条件!$A$1,0,0,COUNTA($A:$A),MATCH(E$2,開放条件!$1:$1,0)-MATCH($C$2,開放条件!$1:$1,0)+1),MATCH(E$2,開放条件!$1:$1,0)-MATCH($C$2,開放条件!$1:$1,0)+1,FALSE)</f>
        <v>プレイヤーランク</v>
      </c>
      <c r="F52" s="61">
        <v>30</v>
      </c>
      <c r="G52" s="31" t="str">
        <f ca="1">IF(C52="mission_clear",VLOOKUP(INT($F52),OFFSET(missions!$A$1,0,0,COUNTA(missions!$A:$A),MATCH(G$2,missions!$2:$2,0)-MATCH("mission_id",missions!$2:$2,0)+1),MATCH(G$2,missions!$2:$2,0)-MATCH("mission_id",missions!$2:$2,0)+1,FALSE),IF(C52="quest_clear",VLOOKUP(SUBSTITUTE(F52,"-","_"),OFFSET([2]stages!$A$2,0,0,COUNTA([2]stages!$A:$A),MATCH("name",[2]stages!$2:$2,0)-MATCH("temp_stage",[2]stages!$2:$2,0)+1),MATCH("name",[2]stages!$2:$2,0)-MATCH("temp_stage",[2]stages!$2:$2,0)+1,FALSE),""))</f>
        <v/>
      </c>
      <c r="H52" s="28">
        <v>1</v>
      </c>
    </row>
    <row r="53" spans="1:8" ht="21" customHeight="1" x14ac:dyDescent="0.15">
      <c r="A53" s="27" t="s">
        <v>396</v>
      </c>
      <c r="B53" s="26" t="str">
        <f t="shared" ca="1" si="0"/>
        <v>プレイヤーランクが 35 に到達</v>
      </c>
      <c r="C53" s="32" t="s">
        <v>11</v>
      </c>
      <c r="D53" s="26" t="str">
        <f ca="1">VLOOKUP($C53,OFFSET(開放条件!$A$1,0,0,COUNTA($A:$A),MATCH(D$2,開放条件!$1:$1,0)-MATCH($C$2,開放条件!$1:$1,0)+1),MATCH(D$2,開放条件!$1:$1,0)-MATCH($C$2,開放条件!$1:$1,0)+1,FALSE)</f>
        <v>プレイヤーランクが x に到達</v>
      </c>
      <c r="E53" s="26" t="str">
        <f ca="1">VLOOKUP($C53,OFFSET(開放条件!$A$1,0,0,COUNTA($A:$A),MATCH(E$2,開放条件!$1:$1,0)-MATCH($C$2,開放条件!$1:$1,0)+1),MATCH(E$2,開放条件!$1:$1,0)-MATCH($C$2,開放条件!$1:$1,0)+1,FALSE)</f>
        <v>プレイヤーランク</v>
      </c>
      <c r="F53" s="61">
        <v>35</v>
      </c>
      <c r="G53" s="31" t="str">
        <f ca="1">IF(C53="mission_clear",VLOOKUP(INT($F53),OFFSET(missions!$A$1,0,0,COUNTA(missions!$A:$A),MATCH(G$2,missions!$2:$2,0)-MATCH("mission_id",missions!$2:$2,0)+1),MATCH(G$2,missions!$2:$2,0)-MATCH("mission_id",missions!$2:$2,0)+1,FALSE),IF(C53="quest_clear",VLOOKUP(SUBSTITUTE(F53,"-","_"),OFFSET([2]stages!$A$2,0,0,COUNTA([2]stages!$A:$A),MATCH("name",[2]stages!$2:$2,0)-MATCH("temp_stage",[2]stages!$2:$2,0)+1),MATCH("name",[2]stages!$2:$2,0)-MATCH("temp_stage",[2]stages!$2:$2,0)+1,FALSE),""))</f>
        <v/>
      </c>
      <c r="H53" s="28">
        <v>1</v>
      </c>
    </row>
    <row r="54" spans="1:8" ht="21" customHeight="1" x14ac:dyDescent="0.15">
      <c r="A54" s="27" t="s">
        <v>210</v>
      </c>
      <c r="B54" s="26" t="str">
        <f t="shared" ca="1" si="0"/>
        <v>プレイヤーランクが 40 に到達</v>
      </c>
      <c r="C54" s="32" t="s">
        <v>11</v>
      </c>
      <c r="D54" s="26" t="str">
        <f ca="1">VLOOKUP($C54,OFFSET(開放条件!$A$1,0,0,COUNTA($A:$A),MATCH(D$2,開放条件!$1:$1,0)-MATCH($C$2,開放条件!$1:$1,0)+1),MATCH(D$2,開放条件!$1:$1,0)-MATCH($C$2,開放条件!$1:$1,0)+1,FALSE)</f>
        <v>プレイヤーランクが x に到達</v>
      </c>
      <c r="E54" s="26" t="str">
        <f ca="1">VLOOKUP($C54,OFFSET(開放条件!$A$1,0,0,COUNTA($A:$A),MATCH(E$2,開放条件!$1:$1,0)-MATCH($C$2,開放条件!$1:$1,0)+1),MATCH(E$2,開放条件!$1:$1,0)-MATCH($C$2,開放条件!$1:$1,0)+1,FALSE)</f>
        <v>プレイヤーランク</v>
      </c>
      <c r="F54" s="61">
        <v>40</v>
      </c>
      <c r="G54" s="31" t="str">
        <f ca="1">IF(C54="mission_clear",VLOOKUP(INT($F54),OFFSET(missions!$A$1,0,0,COUNTA(missions!$A:$A),MATCH(G$2,missions!$2:$2,0)-MATCH("mission_id",missions!$2:$2,0)+1),MATCH(G$2,missions!$2:$2,0)-MATCH("mission_id",missions!$2:$2,0)+1,FALSE),IF(C54="quest_clear",VLOOKUP(SUBSTITUTE(F54,"-","_"),OFFSET([2]stages!$A$2,0,0,COUNTA([2]stages!$A:$A),MATCH("name",[2]stages!$2:$2,0)-MATCH("temp_stage",[2]stages!$2:$2,0)+1),MATCH("name",[2]stages!$2:$2,0)-MATCH("temp_stage",[2]stages!$2:$2,0)+1,FALSE),""))</f>
        <v/>
      </c>
      <c r="H54" s="28">
        <v>1</v>
      </c>
    </row>
    <row r="55" spans="1:8" ht="21" customHeight="1" x14ac:dyDescent="0.15">
      <c r="A55" s="27" t="s">
        <v>397</v>
      </c>
      <c r="B55" s="26" t="str">
        <f t="shared" ca="1" si="0"/>
        <v>プレイヤーランクが 45 に到達</v>
      </c>
      <c r="C55" s="32" t="s">
        <v>11</v>
      </c>
      <c r="D55" s="26" t="str">
        <f ca="1">VLOOKUP($C55,OFFSET(開放条件!$A$1,0,0,COUNTA($A:$A),MATCH(D$2,開放条件!$1:$1,0)-MATCH($C$2,開放条件!$1:$1,0)+1),MATCH(D$2,開放条件!$1:$1,0)-MATCH($C$2,開放条件!$1:$1,0)+1,FALSE)</f>
        <v>プレイヤーランクが x に到達</v>
      </c>
      <c r="E55" s="26" t="str">
        <f ca="1">VLOOKUP($C55,OFFSET(開放条件!$A$1,0,0,COUNTA($A:$A),MATCH(E$2,開放条件!$1:$1,0)-MATCH($C$2,開放条件!$1:$1,0)+1),MATCH(E$2,開放条件!$1:$1,0)-MATCH($C$2,開放条件!$1:$1,0)+1,FALSE)</f>
        <v>プレイヤーランク</v>
      </c>
      <c r="F55" s="61">
        <v>45</v>
      </c>
      <c r="G55" s="31" t="str">
        <f ca="1">IF(C55="mission_clear",VLOOKUP(INT($F55),OFFSET(missions!$A$1,0,0,COUNTA(missions!$A:$A),MATCH(G$2,missions!$2:$2,0)-MATCH("mission_id",missions!$2:$2,0)+1),MATCH(G$2,missions!$2:$2,0)-MATCH("mission_id",missions!$2:$2,0)+1,FALSE),IF(C55="quest_clear",VLOOKUP(SUBSTITUTE(F55,"-","_"),OFFSET([2]stages!$A$2,0,0,COUNTA([2]stages!$A:$A),MATCH("name",[2]stages!$2:$2,0)-MATCH("temp_stage",[2]stages!$2:$2,0)+1),MATCH("name",[2]stages!$2:$2,0)-MATCH("temp_stage",[2]stages!$2:$2,0)+1,FALSE),""))</f>
        <v/>
      </c>
      <c r="H55" s="28">
        <v>1</v>
      </c>
    </row>
    <row r="56" spans="1:8" ht="21" customHeight="1" x14ac:dyDescent="0.15">
      <c r="A56" s="27" t="s">
        <v>211</v>
      </c>
      <c r="B56" s="26" t="str">
        <f t="shared" ca="1" si="0"/>
        <v>プレイヤーランクが 50 に到達</v>
      </c>
      <c r="C56" s="32" t="s">
        <v>11</v>
      </c>
      <c r="D56" s="26" t="str">
        <f ca="1">VLOOKUP($C56,OFFSET(開放条件!$A$1,0,0,COUNTA($A:$A),MATCH(D$2,開放条件!$1:$1,0)-MATCH($C$2,開放条件!$1:$1,0)+1),MATCH(D$2,開放条件!$1:$1,0)-MATCH($C$2,開放条件!$1:$1,0)+1,FALSE)</f>
        <v>プレイヤーランクが x に到達</v>
      </c>
      <c r="E56" s="26" t="str">
        <f ca="1">VLOOKUP($C56,OFFSET(開放条件!$A$1,0,0,COUNTA($A:$A),MATCH(E$2,開放条件!$1:$1,0)-MATCH($C$2,開放条件!$1:$1,0)+1),MATCH(E$2,開放条件!$1:$1,0)-MATCH($C$2,開放条件!$1:$1,0)+1,FALSE)</f>
        <v>プレイヤーランク</v>
      </c>
      <c r="F56" s="61">
        <v>50</v>
      </c>
      <c r="G56" s="31" t="str">
        <f ca="1">IF(C56="mission_clear",VLOOKUP(INT($F56),OFFSET(missions!$A$1,0,0,COUNTA(missions!$A:$A),MATCH(G$2,missions!$2:$2,0)-MATCH("mission_id",missions!$2:$2,0)+1),MATCH(G$2,missions!$2:$2,0)-MATCH("mission_id",missions!$2:$2,0)+1,FALSE),IF(C56="quest_clear",VLOOKUP(SUBSTITUTE(F56,"-","_"),OFFSET([2]stages!$A$2,0,0,COUNTA([2]stages!$A:$A),MATCH("name",[2]stages!$2:$2,0)-MATCH("temp_stage",[2]stages!$2:$2,0)+1),MATCH("name",[2]stages!$2:$2,0)-MATCH("temp_stage",[2]stages!$2:$2,0)+1,FALSE),""))</f>
        <v/>
      </c>
      <c r="H56" s="28">
        <v>1</v>
      </c>
    </row>
    <row r="57" spans="1:8" ht="21" customHeight="1" x14ac:dyDescent="0.15">
      <c r="A57" s="27" t="s">
        <v>517</v>
      </c>
      <c r="B57" s="26" t="str">
        <f t="shared" ca="1" si="0"/>
        <v>プレイヤーランクが 55 に到達</v>
      </c>
      <c r="C57" s="32" t="s">
        <v>11</v>
      </c>
      <c r="D57" s="26" t="str">
        <f ca="1">VLOOKUP($C57,OFFSET(開放条件!$A$1,0,0,COUNTA($A:$A),MATCH(D$2,開放条件!$1:$1,0)-MATCH($C$2,開放条件!$1:$1,0)+1),MATCH(D$2,開放条件!$1:$1,0)-MATCH($C$2,開放条件!$1:$1,0)+1,FALSE)</f>
        <v>プレイヤーランクが x に到達</v>
      </c>
      <c r="E57" s="26" t="str">
        <f ca="1">VLOOKUP($C57,OFFSET(開放条件!$A$1,0,0,COUNTA($A:$A),MATCH(E$2,開放条件!$1:$1,0)-MATCH($C$2,開放条件!$1:$1,0)+1),MATCH(E$2,開放条件!$1:$1,0)-MATCH($C$2,開放条件!$1:$1,0)+1,FALSE)</f>
        <v>プレイヤーランク</v>
      </c>
      <c r="F57" s="61">
        <v>55</v>
      </c>
      <c r="G57" s="31" t="str">
        <f ca="1">IF(C57="mission_clear",VLOOKUP(INT($F57),OFFSET(missions!$A$1,0,0,COUNTA(missions!$A:$A),MATCH(G$2,missions!$2:$2,0)-MATCH("mission_id",missions!$2:$2,0)+1),MATCH(G$2,missions!$2:$2,0)-MATCH("mission_id",missions!$2:$2,0)+1,FALSE),IF(C57="quest_clear",VLOOKUP(SUBSTITUTE(F57,"-","_"),OFFSET([2]stages!$A$2,0,0,COUNTA([2]stages!$A:$A),MATCH("name",[2]stages!$2:$2,0)-MATCH("temp_stage",[2]stages!$2:$2,0)+1),MATCH("name",[2]stages!$2:$2,0)-MATCH("temp_stage",[2]stages!$2:$2,0)+1,FALSE),""))</f>
        <v/>
      </c>
      <c r="H57" s="28">
        <v>1</v>
      </c>
    </row>
    <row r="58" spans="1:8" ht="21" customHeight="1" x14ac:dyDescent="0.15">
      <c r="A58" s="27" t="s">
        <v>212</v>
      </c>
      <c r="B58" s="26" t="str">
        <f t="shared" ca="1" si="0"/>
        <v>プレイヤーランクが 60 に到達</v>
      </c>
      <c r="C58" s="32" t="s">
        <v>11</v>
      </c>
      <c r="D58" s="26" t="str">
        <f ca="1">VLOOKUP($C58,OFFSET(開放条件!$A$1,0,0,COUNTA($A:$A),MATCH(D$2,開放条件!$1:$1,0)-MATCH($C$2,開放条件!$1:$1,0)+1),MATCH(D$2,開放条件!$1:$1,0)-MATCH($C$2,開放条件!$1:$1,0)+1,FALSE)</f>
        <v>プレイヤーランクが x に到達</v>
      </c>
      <c r="E58" s="26" t="str">
        <f ca="1">VLOOKUP($C58,OFFSET(開放条件!$A$1,0,0,COUNTA($A:$A),MATCH(E$2,開放条件!$1:$1,0)-MATCH($C$2,開放条件!$1:$1,0)+1),MATCH(E$2,開放条件!$1:$1,0)-MATCH($C$2,開放条件!$1:$1,0)+1,FALSE)</f>
        <v>プレイヤーランク</v>
      </c>
      <c r="F58" s="61">
        <v>60</v>
      </c>
      <c r="G58" s="31" t="str">
        <f ca="1">IF(C58="mission_clear",VLOOKUP(INT($F58),OFFSET(missions!$A$1,0,0,COUNTA(missions!$A:$A),MATCH(G$2,missions!$2:$2,0)-MATCH("mission_id",missions!$2:$2,0)+1),MATCH(G$2,missions!$2:$2,0)-MATCH("mission_id",missions!$2:$2,0)+1,FALSE),IF(C58="quest_clear",VLOOKUP(SUBSTITUTE(F58,"-","_"),OFFSET([2]stages!$A$2,0,0,COUNTA([2]stages!$A:$A),MATCH("name",[2]stages!$2:$2,0)-MATCH("temp_stage",[2]stages!$2:$2,0)+1),MATCH("name",[2]stages!$2:$2,0)-MATCH("temp_stage",[2]stages!$2:$2,0)+1,FALSE),""))</f>
        <v/>
      </c>
      <c r="H58" s="28">
        <v>1</v>
      </c>
    </row>
    <row r="59" spans="1:8" ht="21" customHeight="1" x14ac:dyDescent="0.15">
      <c r="A59" s="27" t="s">
        <v>518</v>
      </c>
      <c r="B59" s="26" t="str">
        <f t="shared" ca="1" si="0"/>
        <v>プレイヤーランクが 65 に到達</v>
      </c>
      <c r="C59" s="32" t="s">
        <v>11</v>
      </c>
      <c r="D59" s="26" t="str">
        <f ca="1">VLOOKUP($C59,OFFSET(開放条件!$A$1,0,0,COUNTA($A:$A),MATCH(D$2,開放条件!$1:$1,0)-MATCH($C$2,開放条件!$1:$1,0)+1),MATCH(D$2,開放条件!$1:$1,0)-MATCH($C$2,開放条件!$1:$1,0)+1,FALSE)</f>
        <v>プレイヤーランクが x に到達</v>
      </c>
      <c r="E59" s="26" t="str">
        <f ca="1">VLOOKUP($C59,OFFSET(開放条件!$A$1,0,0,COUNTA($A:$A),MATCH(E$2,開放条件!$1:$1,0)-MATCH($C$2,開放条件!$1:$1,0)+1),MATCH(E$2,開放条件!$1:$1,0)-MATCH($C$2,開放条件!$1:$1,0)+1,FALSE)</f>
        <v>プレイヤーランク</v>
      </c>
      <c r="F59" s="61">
        <v>65</v>
      </c>
      <c r="G59" s="31" t="str">
        <f ca="1">IF(C59="mission_clear",VLOOKUP(INT($F59),OFFSET(missions!$A$1,0,0,COUNTA(missions!$A:$A),MATCH(G$2,missions!$2:$2,0)-MATCH("mission_id",missions!$2:$2,0)+1),MATCH(G$2,missions!$2:$2,0)-MATCH("mission_id",missions!$2:$2,0)+1,FALSE),IF(C59="quest_clear",VLOOKUP(SUBSTITUTE(F59,"-","_"),OFFSET([2]stages!$A$2,0,0,COUNTA([2]stages!$A:$A),MATCH("name",[2]stages!$2:$2,0)-MATCH("temp_stage",[2]stages!$2:$2,0)+1),MATCH("name",[2]stages!$2:$2,0)-MATCH("temp_stage",[2]stages!$2:$2,0)+1,FALSE),""))</f>
        <v/>
      </c>
      <c r="H59" s="28">
        <v>1</v>
      </c>
    </row>
    <row r="60" spans="1:8" ht="21" customHeight="1" x14ac:dyDescent="0.15">
      <c r="A60" s="27" t="s">
        <v>213</v>
      </c>
      <c r="B60" s="26" t="str">
        <f t="shared" ca="1" si="0"/>
        <v>プレイヤーランクが 70 に到達</v>
      </c>
      <c r="C60" s="32" t="s">
        <v>11</v>
      </c>
      <c r="D60" s="26" t="str">
        <f ca="1">VLOOKUP($C60,OFFSET(開放条件!$A$1,0,0,COUNTA($A:$A),MATCH(D$2,開放条件!$1:$1,0)-MATCH($C$2,開放条件!$1:$1,0)+1),MATCH(D$2,開放条件!$1:$1,0)-MATCH($C$2,開放条件!$1:$1,0)+1,FALSE)</f>
        <v>プレイヤーランクが x に到達</v>
      </c>
      <c r="E60" s="26" t="str">
        <f ca="1">VLOOKUP($C60,OFFSET(開放条件!$A$1,0,0,COUNTA($A:$A),MATCH(E$2,開放条件!$1:$1,0)-MATCH($C$2,開放条件!$1:$1,0)+1),MATCH(E$2,開放条件!$1:$1,0)-MATCH($C$2,開放条件!$1:$1,0)+1,FALSE)</f>
        <v>プレイヤーランク</v>
      </c>
      <c r="F60" s="61">
        <v>70</v>
      </c>
      <c r="G60" s="31" t="str">
        <f ca="1">IF(C60="mission_clear",VLOOKUP(INT($F60),OFFSET(missions!$A$1,0,0,COUNTA(missions!$A:$A),MATCH(G$2,missions!$2:$2,0)-MATCH("mission_id",missions!$2:$2,0)+1),MATCH(G$2,missions!$2:$2,0)-MATCH("mission_id",missions!$2:$2,0)+1,FALSE),IF(C60="quest_clear",VLOOKUP(SUBSTITUTE(F60,"-","_"),OFFSET([2]stages!$A$2,0,0,COUNTA([2]stages!$A:$A),MATCH("name",[2]stages!$2:$2,0)-MATCH("temp_stage",[2]stages!$2:$2,0)+1),MATCH("name",[2]stages!$2:$2,0)-MATCH("temp_stage",[2]stages!$2:$2,0)+1,FALSE),""))</f>
        <v/>
      </c>
      <c r="H60" s="28">
        <v>1</v>
      </c>
    </row>
    <row r="61" spans="1:8" ht="21" customHeight="1" x14ac:dyDescent="0.15">
      <c r="A61" s="27" t="s">
        <v>519</v>
      </c>
      <c r="B61" s="26" t="str">
        <f t="shared" ca="1" si="0"/>
        <v>プレイヤーランクが 75 に到達</v>
      </c>
      <c r="C61" s="32" t="s">
        <v>11</v>
      </c>
      <c r="D61" s="26" t="str">
        <f ca="1">VLOOKUP($C61,OFFSET(開放条件!$A$1,0,0,COUNTA($A:$A),MATCH(D$2,開放条件!$1:$1,0)-MATCH($C$2,開放条件!$1:$1,0)+1),MATCH(D$2,開放条件!$1:$1,0)-MATCH($C$2,開放条件!$1:$1,0)+1,FALSE)</f>
        <v>プレイヤーランクが x に到達</v>
      </c>
      <c r="E61" s="26" t="str">
        <f ca="1">VLOOKUP($C61,OFFSET(開放条件!$A$1,0,0,COUNTA($A:$A),MATCH(E$2,開放条件!$1:$1,0)-MATCH($C$2,開放条件!$1:$1,0)+1),MATCH(E$2,開放条件!$1:$1,0)-MATCH($C$2,開放条件!$1:$1,0)+1,FALSE)</f>
        <v>プレイヤーランク</v>
      </c>
      <c r="F61" s="61">
        <v>75</v>
      </c>
      <c r="G61" s="31" t="str">
        <f ca="1">IF(C61="mission_clear",VLOOKUP(INT($F61),OFFSET(missions!$A$1,0,0,COUNTA(missions!$A:$A),MATCH(G$2,missions!$2:$2,0)-MATCH("mission_id",missions!$2:$2,0)+1),MATCH(G$2,missions!$2:$2,0)-MATCH("mission_id",missions!$2:$2,0)+1,FALSE),IF(C61="quest_clear",VLOOKUP(SUBSTITUTE(F61,"-","_"),OFFSET([2]stages!$A$2,0,0,COUNTA([2]stages!$A:$A),MATCH("name",[2]stages!$2:$2,0)-MATCH("temp_stage",[2]stages!$2:$2,0)+1),MATCH("name",[2]stages!$2:$2,0)-MATCH("temp_stage",[2]stages!$2:$2,0)+1,FALSE),""))</f>
        <v/>
      </c>
      <c r="H61" s="28">
        <v>1</v>
      </c>
    </row>
    <row r="62" spans="1:8" ht="21" customHeight="1" x14ac:dyDescent="0.15">
      <c r="A62" s="27" t="s">
        <v>214</v>
      </c>
      <c r="B62" s="26" t="str">
        <f t="shared" ca="1" si="0"/>
        <v>プレイヤーランクが 80 に到達</v>
      </c>
      <c r="C62" s="32" t="s">
        <v>11</v>
      </c>
      <c r="D62" s="26" t="str">
        <f ca="1">VLOOKUP($C62,OFFSET(開放条件!$A$1,0,0,COUNTA($A:$A),MATCH(D$2,開放条件!$1:$1,0)-MATCH($C$2,開放条件!$1:$1,0)+1),MATCH(D$2,開放条件!$1:$1,0)-MATCH($C$2,開放条件!$1:$1,0)+1,FALSE)</f>
        <v>プレイヤーランクが x に到達</v>
      </c>
      <c r="E62" s="26" t="str">
        <f ca="1">VLOOKUP($C62,OFFSET(開放条件!$A$1,0,0,COUNTA($A:$A),MATCH(E$2,開放条件!$1:$1,0)-MATCH($C$2,開放条件!$1:$1,0)+1),MATCH(E$2,開放条件!$1:$1,0)-MATCH($C$2,開放条件!$1:$1,0)+1,FALSE)</f>
        <v>プレイヤーランク</v>
      </c>
      <c r="F62" s="61">
        <v>80</v>
      </c>
      <c r="G62" s="31" t="str">
        <f ca="1">IF(C62="mission_clear",VLOOKUP(INT($F62),OFFSET(missions!$A$1,0,0,COUNTA(missions!$A:$A),MATCH(G$2,missions!$2:$2,0)-MATCH("mission_id",missions!$2:$2,0)+1),MATCH(G$2,missions!$2:$2,0)-MATCH("mission_id",missions!$2:$2,0)+1,FALSE),IF(C62="quest_clear",VLOOKUP(SUBSTITUTE(F62,"-","_"),OFFSET([2]stages!$A$2,0,0,COUNTA([2]stages!$A:$A),MATCH("name",[2]stages!$2:$2,0)-MATCH("temp_stage",[2]stages!$2:$2,0)+1),MATCH("name",[2]stages!$2:$2,0)-MATCH("temp_stage",[2]stages!$2:$2,0)+1,FALSE),""))</f>
        <v/>
      </c>
      <c r="H62" s="28">
        <v>1</v>
      </c>
    </row>
    <row r="63" spans="1:8" ht="21" customHeight="1" x14ac:dyDescent="0.15">
      <c r="A63" s="27" t="s">
        <v>520</v>
      </c>
      <c r="B63" s="26" t="str">
        <f t="shared" ca="1" si="0"/>
        <v>プレイヤーランクが 85 に到達</v>
      </c>
      <c r="C63" s="32" t="s">
        <v>11</v>
      </c>
      <c r="D63" s="26" t="str">
        <f ca="1">VLOOKUP($C63,OFFSET(開放条件!$A$1,0,0,COUNTA($A:$A),MATCH(D$2,開放条件!$1:$1,0)-MATCH($C$2,開放条件!$1:$1,0)+1),MATCH(D$2,開放条件!$1:$1,0)-MATCH($C$2,開放条件!$1:$1,0)+1,FALSE)</f>
        <v>プレイヤーランクが x に到達</v>
      </c>
      <c r="E63" s="26" t="str">
        <f ca="1">VLOOKUP($C63,OFFSET(開放条件!$A$1,0,0,COUNTA($A:$A),MATCH(E$2,開放条件!$1:$1,0)-MATCH($C$2,開放条件!$1:$1,0)+1),MATCH(E$2,開放条件!$1:$1,0)-MATCH($C$2,開放条件!$1:$1,0)+1,FALSE)</f>
        <v>プレイヤーランク</v>
      </c>
      <c r="F63" s="61">
        <v>85</v>
      </c>
      <c r="G63" s="31" t="str">
        <f ca="1">IF(C63="mission_clear",VLOOKUP(INT($F63),OFFSET(missions!$A$1,0,0,COUNTA(missions!$A:$A),MATCH(G$2,missions!$2:$2,0)-MATCH("mission_id",missions!$2:$2,0)+1),MATCH(G$2,missions!$2:$2,0)-MATCH("mission_id",missions!$2:$2,0)+1,FALSE),IF(C63="quest_clear",VLOOKUP(SUBSTITUTE(F63,"-","_"),OFFSET([2]stages!$A$2,0,0,COUNTA([2]stages!$A:$A),MATCH("name",[2]stages!$2:$2,0)-MATCH("temp_stage",[2]stages!$2:$2,0)+1),MATCH("name",[2]stages!$2:$2,0)-MATCH("temp_stage",[2]stages!$2:$2,0)+1,FALSE),""))</f>
        <v/>
      </c>
      <c r="H63" s="28">
        <v>1</v>
      </c>
    </row>
    <row r="64" spans="1:8" ht="21" customHeight="1" x14ac:dyDescent="0.15">
      <c r="A64" s="27" t="s">
        <v>215</v>
      </c>
      <c r="B64" s="26" t="str">
        <f t="shared" ca="1" si="0"/>
        <v>プレイヤーランクが 90 に到達</v>
      </c>
      <c r="C64" s="32" t="s">
        <v>11</v>
      </c>
      <c r="D64" s="26" t="str">
        <f ca="1">VLOOKUP($C64,OFFSET(開放条件!$A$1,0,0,COUNTA($A:$A),MATCH(D$2,開放条件!$1:$1,0)-MATCH($C$2,開放条件!$1:$1,0)+1),MATCH(D$2,開放条件!$1:$1,0)-MATCH($C$2,開放条件!$1:$1,0)+1,FALSE)</f>
        <v>プレイヤーランクが x に到達</v>
      </c>
      <c r="E64" s="26" t="str">
        <f ca="1">VLOOKUP($C64,OFFSET(開放条件!$A$1,0,0,COUNTA($A:$A),MATCH(E$2,開放条件!$1:$1,0)-MATCH($C$2,開放条件!$1:$1,0)+1),MATCH(E$2,開放条件!$1:$1,0)-MATCH($C$2,開放条件!$1:$1,0)+1,FALSE)</f>
        <v>プレイヤーランク</v>
      </c>
      <c r="F64" s="61">
        <v>90</v>
      </c>
      <c r="G64" s="31" t="str">
        <f ca="1">IF(C64="mission_clear",VLOOKUP(INT($F64),OFFSET(missions!$A$1,0,0,COUNTA(missions!$A:$A),MATCH(G$2,missions!$2:$2,0)-MATCH("mission_id",missions!$2:$2,0)+1),MATCH(G$2,missions!$2:$2,0)-MATCH("mission_id",missions!$2:$2,0)+1,FALSE),IF(C64="quest_clear",VLOOKUP(SUBSTITUTE(F64,"-","_"),OFFSET([2]stages!$A$2,0,0,COUNTA([2]stages!$A:$A),MATCH("name",[2]stages!$2:$2,0)-MATCH("temp_stage",[2]stages!$2:$2,0)+1),MATCH("name",[2]stages!$2:$2,0)-MATCH("temp_stage",[2]stages!$2:$2,0)+1,FALSE),""))</f>
        <v/>
      </c>
      <c r="H64" s="28">
        <v>1</v>
      </c>
    </row>
    <row r="65" spans="1:8" ht="21" customHeight="1" x14ac:dyDescent="0.15">
      <c r="A65" s="27" t="s">
        <v>521</v>
      </c>
      <c r="B65" s="26" t="str">
        <f t="shared" ca="1" si="0"/>
        <v>プレイヤーランクが 95 に到達</v>
      </c>
      <c r="C65" s="32" t="s">
        <v>11</v>
      </c>
      <c r="D65" s="26" t="str">
        <f ca="1">VLOOKUP($C65,OFFSET(開放条件!$A$1,0,0,COUNTA($A:$A),MATCH(D$2,開放条件!$1:$1,0)-MATCH($C$2,開放条件!$1:$1,0)+1),MATCH(D$2,開放条件!$1:$1,0)-MATCH($C$2,開放条件!$1:$1,0)+1,FALSE)</f>
        <v>プレイヤーランクが x に到達</v>
      </c>
      <c r="E65" s="26" t="str">
        <f ca="1">VLOOKUP($C65,OFFSET(開放条件!$A$1,0,0,COUNTA($A:$A),MATCH(E$2,開放条件!$1:$1,0)-MATCH($C$2,開放条件!$1:$1,0)+1),MATCH(E$2,開放条件!$1:$1,0)-MATCH($C$2,開放条件!$1:$1,0)+1,FALSE)</f>
        <v>プレイヤーランク</v>
      </c>
      <c r="F65" s="61">
        <v>95</v>
      </c>
      <c r="G65" s="31" t="str">
        <f ca="1">IF(C65="mission_clear",VLOOKUP(INT($F65),OFFSET(missions!$A$1,0,0,COUNTA(missions!$A:$A),MATCH(G$2,missions!$2:$2,0)-MATCH("mission_id",missions!$2:$2,0)+1),MATCH(G$2,missions!$2:$2,0)-MATCH("mission_id",missions!$2:$2,0)+1,FALSE),IF(C65="quest_clear",VLOOKUP(SUBSTITUTE(F65,"-","_"),OFFSET([2]stages!$A$2,0,0,COUNTA([2]stages!$A:$A),MATCH("name",[2]stages!$2:$2,0)-MATCH("temp_stage",[2]stages!$2:$2,0)+1),MATCH("name",[2]stages!$2:$2,0)-MATCH("temp_stage",[2]stages!$2:$2,0)+1,FALSE),""))</f>
        <v/>
      </c>
      <c r="H65" s="28">
        <v>1</v>
      </c>
    </row>
    <row r="66" spans="1:8" ht="21" customHeight="1" x14ac:dyDescent="0.15">
      <c r="A66" s="27" t="s">
        <v>522</v>
      </c>
      <c r="B66" s="26" t="str">
        <f t="shared" ca="1" si="0"/>
        <v>プレイヤーランクが 100 に到達</v>
      </c>
      <c r="C66" s="32" t="s">
        <v>11</v>
      </c>
      <c r="D66" s="26" t="str">
        <f ca="1">VLOOKUP($C66,OFFSET(開放条件!$A$1,0,0,COUNTA($A:$A),MATCH(D$2,開放条件!$1:$1,0)-MATCH($C$2,開放条件!$1:$1,0)+1),MATCH(D$2,開放条件!$1:$1,0)-MATCH($C$2,開放条件!$1:$1,0)+1,FALSE)</f>
        <v>プレイヤーランクが x に到達</v>
      </c>
      <c r="E66" s="26" t="str">
        <f ca="1">VLOOKUP($C66,OFFSET(開放条件!$A$1,0,0,COUNTA($A:$A),MATCH(E$2,開放条件!$1:$1,0)-MATCH($C$2,開放条件!$1:$1,0)+1),MATCH(E$2,開放条件!$1:$1,0)-MATCH($C$2,開放条件!$1:$1,0)+1,FALSE)</f>
        <v>プレイヤーランク</v>
      </c>
      <c r="F66" s="61">
        <v>100</v>
      </c>
      <c r="G66" s="31" t="str">
        <f ca="1">IF(C66="mission_clear",VLOOKUP(INT($F66),OFFSET(missions!$A$1,0,0,COUNTA(missions!$A:$A),MATCH(G$2,missions!$2:$2,0)-MATCH("mission_id",missions!$2:$2,0)+1),MATCH(G$2,missions!$2:$2,0)-MATCH("mission_id",missions!$2:$2,0)+1,FALSE),IF(C66="quest_clear",VLOOKUP(SUBSTITUTE(F66,"-","_"),OFFSET([2]stages!$A$2,0,0,COUNTA([2]stages!$A:$A),MATCH("name",[2]stages!$2:$2,0)-MATCH("temp_stage",[2]stages!$2:$2,0)+1),MATCH("name",[2]stages!$2:$2,0)-MATCH("temp_stage",[2]stages!$2:$2,0)+1,FALSE),""))</f>
        <v/>
      </c>
      <c r="H66" s="28">
        <v>1</v>
      </c>
    </row>
    <row r="67" spans="1:8" ht="21" customHeight="1" x14ac:dyDescent="0.15">
      <c r="A67" s="27" t="s">
        <v>523</v>
      </c>
      <c r="B67" s="26" t="str">
        <f t="shared" ca="1" si="0"/>
        <v>プレイヤーランクが 105 に到達</v>
      </c>
      <c r="C67" s="32" t="s">
        <v>11</v>
      </c>
      <c r="D67" s="26" t="str">
        <f ca="1">VLOOKUP($C67,OFFSET(開放条件!$A$1,0,0,COUNTA($A:$A),MATCH(D$2,開放条件!$1:$1,0)-MATCH($C$2,開放条件!$1:$1,0)+1),MATCH(D$2,開放条件!$1:$1,0)-MATCH($C$2,開放条件!$1:$1,0)+1,FALSE)</f>
        <v>プレイヤーランクが x に到達</v>
      </c>
      <c r="E67" s="26" t="str">
        <f ca="1">VLOOKUP($C67,OFFSET(開放条件!$A$1,0,0,COUNTA($A:$A),MATCH(E$2,開放条件!$1:$1,0)-MATCH($C$2,開放条件!$1:$1,0)+1),MATCH(E$2,開放条件!$1:$1,0)-MATCH($C$2,開放条件!$1:$1,0)+1,FALSE)</f>
        <v>プレイヤーランク</v>
      </c>
      <c r="F67" s="61">
        <v>105</v>
      </c>
      <c r="G67" s="31" t="str">
        <f ca="1">IF(C67="mission_clear",VLOOKUP(INT($F67),OFFSET(missions!$A$1,0,0,COUNTA(missions!$A:$A),MATCH(G$2,missions!$2:$2,0)-MATCH("mission_id",missions!$2:$2,0)+1),MATCH(G$2,missions!$2:$2,0)-MATCH("mission_id",missions!$2:$2,0)+1,FALSE),IF(C67="quest_clear",VLOOKUP(SUBSTITUTE(F67,"-","_"),OFFSET([2]stages!$A$2,0,0,COUNTA([2]stages!$A:$A),MATCH("name",[2]stages!$2:$2,0)-MATCH("temp_stage",[2]stages!$2:$2,0)+1),MATCH("name",[2]stages!$2:$2,0)-MATCH("temp_stage",[2]stages!$2:$2,0)+1,FALSE),""))</f>
        <v/>
      </c>
      <c r="H67" s="28">
        <v>1</v>
      </c>
    </row>
    <row r="68" spans="1:8" ht="21" customHeight="1" x14ac:dyDescent="0.15">
      <c r="A68" s="27" t="s">
        <v>216</v>
      </c>
      <c r="B68" s="26" t="str">
        <f t="shared" ca="1" si="0"/>
        <v>プレイヤーランクが 110 に到達</v>
      </c>
      <c r="C68" s="32" t="s">
        <v>11</v>
      </c>
      <c r="D68" s="26" t="str">
        <f ca="1">VLOOKUP($C68,OFFSET(開放条件!$A$1,0,0,COUNTA($A:$A),MATCH(D$2,開放条件!$1:$1,0)-MATCH($C$2,開放条件!$1:$1,0)+1),MATCH(D$2,開放条件!$1:$1,0)-MATCH($C$2,開放条件!$1:$1,0)+1,FALSE)</f>
        <v>プレイヤーランクが x に到達</v>
      </c>
      <c r="E68" s="26" t="str">
        <f ca="1">VLOOKUP($C68,OFFSET(開放条件!$A$1,0,0,COUNTA($A:$A),MATCH(E$2,開放条件!$1:$1,0)-MATCH($C$2,開放条件!$1:$1,0)+1),MATCH(E$2,開放条件!$1:$1,0)-MATCH($C$2,開放条件!$1:$1,0)+1,FALSE)</f>
        <v>プレイヤーランク</v>
      </c>
      <c r="F68" s="61">
        <v>110</v>
      </c>
      <c r="G68" s="31" t="str">
        <f ca="1">IF(C68="mission_clear",VLOOKUP(INT($F68),OFFSET(missions!$A$1,0,0,COUNTA(missions!$A:$A),MATCH(G$2,missions!$2:$2,0)-MATCH("mission_id",missions!$2:$2,0)+1),MATCH(G$2,missions!$2:$2,0)-MATCH("mission_id",missions!$2:$2,0)+1,FALSE),IF(C68="quest_clear",VLOOKUP(SUBSTITUTE(F68,"-","_"),OFFSET([2]stages!$A$2,0,0,COUNTA([2]stages!$A:$A),MATCH("name",[2]stages!$2:$2,0)-MATCH("temp_stage",[2]stages!$2:$2,0)+1),MATCH("name",[2]stages!$2:$2,0)-MATCH("temp_stage",[2]stages!$2:$2,0)+1,FALSE),""))</f>
        <v/>
      </c>
      <c r="H68" s="28">
        <v>1</v>
      </c>
    </row>
    <row r="69" spans="1:8" ht="21" customHeight="1" x14ac:dyDescent="0.15">
      <c r="A69" s="27" t="s">
        <v>524</v>
      </c>
      <c r="B69" s="26" t="str">
        <f t="shared" ca="1" si="0"/>
        <v>プレイヤーランクが 115 に到達</v>
      </c>
      <c r="C69" s="32" t="s">
        <v>11</v>
      </c>
      <c r="D69" s="26" t="str">
        <f ca="1">VLOOKUP($C69,OFFSET(開放条件!$A$1,0,0,COUNTA($A:$A),MATCH(D$2,開放条件!$1:$1,0)-MATCH($C$2,開放条件!$1:$1,0)+1),MATCH(D$2,開放条件!$1:$1,0)-MATCH($C$2,開放条件!$1:$1,0)+1,FALSE)</f>
        <v>プレイヤーランクが x に到達</v>
      </c>
      <c r="E69" s="26" t="str">
        <f ca="1">VLOOKUP($C69,OFFSET(開放条件!$A$1,0,0,COUNTA($A:$A),MATCH(E$2,開放条件!$1:$1,0)-MATCH($C$2,開放条件!$1:$1,0)+1),MATCH(E$2,開放条件!$1:$1,0)-MATCH($C$2,開放条件!$1:$1,0)+1,FALSE)</f>
        <v>プレイヤーランク</v>
      </c>
      <c r="F69" s="61">
        <v>115</v>
      </c>
      <c r="G69" s="31" t="str">
        <f ca="1">IF(C69="mission_clear",VLOOKUP(INT($F69),OFFSET(missions!$A$1,0,0,COUNTA(missions!$A:$A),MATCH(G$2,missions!$2:$2,0)-MATCH("mission_id",missions!$2:$2,0)+1),MATCH(G$2,missions!$2:$2,0)-MATCH("mission_id",missions!$2:$2,0)+1,FALSE),IF(C69="quest_clear",VLOOKUP(SUBSTITUTE(F69,"-","_"),OFFSET([2]stages!$A$2,0,0,COUNTA([2]stages!$A:$A),MATCH("name",[2]stages!$2:$2,0)-MATCH("temp_stage",[2]stages!$2:$2,0)+1),MATCH("name",[2]stages!$2:$2,0)-MATCH("temp_stage",[2]stages!$2:$2,0)+1,FALSE),""))</f>
        <v/>
      </c>
      <c r="H69" s="28">
        <v>1</v>
      </c>
    </row>
    <row r="70" spans="1:8" ht="21" customHeight="1" x14ac:dyDescent="0.15">
      <c r="A70" s="27" t="s">
        <v>217</v>
      </c>
      <c r="B70" s="26" t="str">
        <f t="shared" ca="1" si="0"/>
        <v>プレイヤーランクが 120 に到達</v>
      </c>
      <c r="C70" s="32" t="s">
        <v>11</v>
      </c>
      <c r="D70" s="26" t="str">
        <f ca="1">VLOOKUP($C70,OFFSET(開放条件!$A$1,0,0,COUNTA($A:$A),MATCH(D$2,開放条件!$1:$1,0)-MATCH($C$2,開放条件!$1:$1,0)+1),MATCH(D$2,開放条件!$1:$1,0)-MATCH($C$2,開放条件!$1:$1,0)+1,FALSE)</f>
        <v>プレイヤーランクが x に到達</v>
      </c>
      <c r="E70" s="26" t="str">
        <f ca="1">VLOOKUP($C70,OFFSET(開放条件!$A$1,0,0,COUNTA($A:$A),MATCH(E$2,開放条件!$1:$1,0)-MATCH($C$2,開放条件!$1:$1,0)+1),MATCH(E$2,開放条件!$1:$1,0)-MATCH($C$2,開放条件!$1:$1,0)+1,FALSE)</f>
        <v>プレイヤーランク</v>
      </c>
      <c r="F70" s="61">
        <v>120</v>
      </c>
      <c r="G70" s="31" t="str">
        <f ca="1">IF(C70="mission_clear",VLOOKUP(INT($F70),OFFSET(missions!$A$1,0,0,COUNTA(missions!$A:$A),MATCH(G$2,missions!$2:$2,0)-MATCH("mission_id",missions!$2:$2,0)+1),MATCH(G$2,missions!$2:$2,0)-MATCH("mission_id",missions!$2:$2,0)+1,FALSE),IF(C70="quest_clear",VLOOKUP(SUBSTITUTE(F70,"-","_"),OFFSET([2]stages!$A$2,0,0,COUNTA([2]stages!$A:$A),MATCH("name",[2]stages!$2:$2,0)-MATCH("temp_stage",[2]stages!$2:$2,0)+1),MATCH("name",[2]stages!$2:$2,0)-MATCH("temp_stage",[2]stages!$2:$2,0)+1,FALSE),""))</f>
        <v/>
      </c>
      <c r="H70" s="28">
        <v>1</v>
      </c>
    </row>
    <row r="71" spans="1:8" ht="21" customHeight="1" x14ac:dyDescent="0.15">
      <c r="A71" s="27" t="s">
        <v>2630</v>
      </c>
      <c r="B71" s="26" t="str">
        <f t="shared" ca="1" si="0"/>
        <v>プレイヤーランクが 125 に到達</v>
      </c>
      <c r="C71" s="32" t="s">
        <v>11</v>
      </c>
      <c r="D71" s="26" t="str">
        <f ca="1">VLOOKUP($C71,OFFSET(開放条件!$A$1,0,0,COUNTA($A:$A),MATCH(D$2,開放条件!$1:$1,0)-MATCH($C$2,開放条件!$1:$1,0)+1),MATCH(D$2,開放条件!$1:$1,0)-MATCH($C$2,開放条件!$1:$1,0)+1,FALSE)</f>
        <v>プレイヤーランクが x に到達</v>
      </c>
      <c r="E71" s="26" t="str">
        <f ca="1">VLOOKUP($C71,OFFSET(開放条件!$A$1,0,0,COUNTA($A:$A),MATCH(E$2,開放条件!$1:$1,0)-MATCH($C$2,開放条件!$1:$1,0)+1),MATCH(E$2,開放条件!$1:$1,0)-MATCH($C$2,開放条件!$1:$1,0)+1,FALSE)</f>
        <v>プレイヤーランク</v>
      </c>
      <c r="F71" s="61">
        <v>125</v>
      </c>
      <c r="G71" s="31" t="str">
        <f ca="1">IF(C71="mission_clear",VLOOKUP(INT($F71),OFFSET(missions!$A$1,0,0,COUNTA(missions!$A:$A),MATCH(G$2,missions!$2:$2,0)-MATCH("mission_id",missions!$2:$2,0)+1),MATCH(G$2,missions!$2:$2,0)-MATCH("mission_id",missions!$2:$2,0)+1,FALSE),IF(C71="quest_clear",VLOOKUP(SUBSTITUTE(F71,"-","_"),OFFSET([2]stages!$A$2,0,0,COUNTA([2]stages!$A:$A),MATCH("name",[2]stages!$2:$2,0)-MATCH("temp_stage",[2]stages!$2:$2,0)+1),MATCH("name",[2]stages!$2:$2,0)-MATCH("temp_stage",[2]stages!$2:$2,0)+1,FALSE),""))</f>
        <v/>
      </c>
      <c r="H71" s="28">
        <v>1</v>
      </c>
    </row>
    <row r="72" spans="1:8" ht="21" customHeight="1" x14ac:dyDescent="0.15">
      <c r="A72" s="27" t="s">
        <v>2636</v>
      </c>
      <c r="B72" s="26" t="str">
        <f t="shared" ref="B72" ca="1" si="2">IF(C72="quest_clear",SUBSTITUTE(D72,"x",G72),IF(C72="mission_clear",SUBSTITUTE(D72,"x",G72),SUBSTITUTE(D72,"x",F72)))</f>
        <v>プレイヤーランクが 150 に到達</v>
      </c>
      <c r="C72" s="32" t="s">
        <v>11</v>
      </c>
      <c r="D72" s="26" t="str">
        <f ca="1">VLOOKUP($C72,OFFSET(開放条件!$A$1,0,0,COUNTA($A:$A),MATCH(D$2,開放条件!$1:$1,0)-MATCH($C$2,開放条件!$1:$1,0)+1),MATCH(D$2,開放条件!$1:$1,0)-MATCH($C$2,開放条件!$1:$1,0)+1,FALSE)</f>
        <v>プレイヤーランクが x に到達</v>
      </c>
      <c r="E72" s="26" t="str">
        <f ca="1">VLOOKUP($C72,OFFSET(開放条件!$A$1,0,0,COUNTA($A:$A),MATCH(E$2,開放条件!$1:$1,0)-MATCH($C$2,開放条件!$1:$1,0)+1),MATCH(E$2,開放条件!$1:$1,0)-MATCH($C$2,開放条件!$1:$1,0)+1,FALSE)</f>
        <v>プレイヤーランク</v>
      </c>
      <c r="F72" s="61" t="s">
        <v>2631</v>
      </c>
      <c r="G72" s="31" t="str">
        <f ca="1">IF(C72="mission_clear",VLOOKUP(INT($F72),OFFSET(missions!$A$1,0,0,COUNTA(missions!$A:$A),MATCH(G$2,missions!$2:$2,0)-MATCH("mission_id",missions!$2:$2,0)+1),MATCH(G$2,missions!$2:$2,0)-MATCH("mission_id",missions!$2:$2,0)+1,FALSE),IF(C72="quest_clear",VLOOKUP(SUBSTITUTE(F72,"-","_"),OFFSET([2]stages!$A$2,0,0,COUNTA([2]stages!$A:$A),MATCH("name",[2]stages!$2:$2,0)-MATCH("temp_stage",[2]stages!$2:$2,0)+1),MATCH("name",[2]stages!$2:$2,0)-MATCH("temp_stage",[2]stages!$2:$2,0)+1,FALSE),""))</f>
        <v/>
      </c>
      <c r="H72" s="28">
        <v>1</v>
      </c>
    </row>
    <row r="73" spans="1:8" ht="21" customHeight="1" x14ac:dyDescent="0.15">
      <c r="A73" s="27" t="s">
        <v>2637</v>
      </c>
      <c r="B73" s="26" t="str">
        <f t="shared" ref="B73:B76" ca="1" si="3">IF(C73="quest_clear",SUBSTITUTE(D73,"x",G73),IF(C73="mission_clear",SUBSTITUTE(D73,"x",G73),SUBSTITUTE(D73,"x",F73)))</f>
        <v>プレイヤーランクが 200 に到達</v>
      </c>
      <c r="C73" s="32" t="s">
        <v>11</v>
      </c>
      <c r="D73" s="26" t="str">
        <f ca="1">VLOOKUP($C73,OFFSET(開放条件!$A$1,0,0,COUNTA($A:$A),MATCH(D$2,開放条件!$1:$1,0)-MATCH($C$2,開放条件!$1:$1,0)+1),MATCH(D$2,開放条件!$1:$1,0)-MATCH($C$2,開放条件!$1:$1,0)+1,FALSE)</f>
        <v>プレイヤーランクが x に到達</v>
      </c>
      <c r="E73" s="26" t="str">
        <f ca="1">VLOOKUP($C73,OFFSET(開放条件!$A$1,0,0,COUNTA($A:$A),MATCH(E$2,開放条件!$1:$1,0)-MATCH($C$2,開放条件!$1:$1,0)+1),MATCH(E$2,開放条件!$1:$1,0)-MATCH($C$2,開放条件!$1:$1,0)+1,FALSE)</f>
        <v>プレイヤーランク</v>
      </c>
      <c r="F73" s="61" t="s">
        <v>2632</v>
      </c>
      <c r="G73" s="31" t="str">
        <f ca="1">IF(C73="mission_clear",VLOOKUP(INT($F73),OFFSET(missions!$A$1,0,0,COUNTA(missions!$A:$A),MATCH(G$2,missions!$2:$2,0)-MATCH("mission_id",missions!$2:$2,0)+1),MATCH(G$2,missions!$2:$2,0)-MATCH("mission_id",missions!$2:$2,0)+1,FALSE),IF(C73="quest_clear",VLOOKUP(SUBSTITUTE(F73,"-","_"),OFFSET([2]stages!$A$2,0,0,COUNTA([2]stages!$A:$A),MATCH("name",[2]stages!$2:$2,0)-MATCH("temp_stage",[2]stages!$2:$2,0)+1),MATCH("name",[2]stages!$2:$2,0)-MATCH("temp_stage",[2]stages!$2:$2,0)+1,FALSE),""))</f>
        <v/>
      </c>
      <c r="H73" s="28">
        <v>1</v>
      </c>
    </row>
    <row r="74" spans="1:8" ht="21" customHeight="1" x14ac:dyDescent="0.15">
      <c r="A74" s="27" t="s">
        <v>2638</v>
      </c>
      <c r="B74" s="26" t="str">
        <f t="shared" ca="1" si="3"/>
        <v>プレイヤーランクが 250 に到達</v>
      </c>
      <c r="C74" s="32" t="s">
        <v>11</v>
      </c>
      <c r="D74" s="26" t="str">
        <f ca="1">VLOOKUP($C74,OFFSET(開放条件!$A$1,0,0,COUNTA($A:$A),MATCH(D$2,開放条件!$1:$1,0)-MATCH($C$2,開放条件!$1:$1,0)+1),MATCH(D$2,開放条件!$1:$1,0)-MATCH($C$2,開放条件!$1:$1,0)+1,FALSE)</f>
        <v>プレイヤーランクが x に到達</v>
      </c>
      <c r="E74" s="26" t="str">
        <f ca="1">VLOOKUP($C74,OFFSET(開放条件!$A$1,0,0,COUNTA($A:$A),MATCH(E$2,開放条件!$1:$1,0)-MATCH($C$2,開放条件!$1:$1,0)+1),MATCH(E$2,開放条件!$1:$1,0)-MATCH($C$2,開放条件!$1:$1,0)+1,FALSE)</f>
        <v>プレイヤーランク</v>
      </c>
      <c r="F74" s="61" t="s">
        <v>2633</v>
      </c>
      <c r="G74" s="31" t="str">
        <f ca="1">IF(C74="mission_clear",VLOOKUP(INT($F74),OFFSET(missions!$A$1,0,0,COUNTA(missions!$A:$A),MATCH(G$2,missions!$2:$2,0)-MATCH("mission_id",missions!$2:$2,0)+1),MATCH(G$2,missions!$2:$2,0)-MATCH("mission_id",missions!$2:$2,0)+1,FALSE),IF(C74="quest_clear",VLOOKUP(SUBSTITUTE(F74,"-","_"),OFFSET([2]stages!$A$2,0,0,COUNTA([2]stages!$A:$A),MATCH("name",[2]stages!$2:$2,0)-MATCH("temp_stage",[2]stages!$2:$2,0)+1),MATCH("name",[2]stages!$2:$2,0)-MATCH("temp_stage",[2]stages!$2:$2,0)+1,FALSE),""))</f>
        <v/>
      </c>
      <c r="H74" s="28">
        <v>1</v>
      </c>
    </row>
    <row r="75" spans="1:8" ht="21" customHeight="1" x14ac:dyDescent="0.15">
      <c r="A75" s="27" t="s">
        <v>2639</v>
      </c>
      <c r="B75" s="26" t="str">
        <f t="shared" ca="1" si="3"/>
        <v>プレイヤーランクが 300 に到達</v>
      </c>
      <c r="C75" s="32" t="s">
        <v>11</v>
      </c>
      <c r="D75" s="26" t="str">
        <f ca="1">VLOOKUP($C75,OFFSET(開放条件!$A$1,0,0,COUNTA($A:$A),MATCH(D$2,開放条件!$1:$1,0)-MATCH($C$2,開放条件!$1:$1,0)+1),MATCH(D$2,開放条件!$1:$1,0)-MATCH($C$2,開放条件!$1:$1,0)+1,FALSE)</f>
        <v>プレイヤーランクが x に到達</v>
      </c>
      <c r="E75" s="26" t="str">
        <f ca="1">VLOOKUP($C75,OFFSET(開放条件!$A$1,0,0,COUNTA($A:$A),MATCH(E$2,開放条件!$1:$1,0)-MATCH($C$2,開放条件!$1:$1,0)+1),MATCH(E$2,開放条件!$1:$1,0)-MATCH($C$2,開放条件!$1:$1,0)+1,FALSE)</f>
        <v>プレイヤーランク</v>
      </c>
      <c r="F75" s="61" t="s">
        <v>2634</v>
      </c>
      <c r="G75" s="31" t="str">
        <f ca="1">IF(C75="mission_clear",VLOOKUP(INT($F75),OFFSET(missions!$A$1,0,0,COUNTA(missions!$A:$A),MATCH(G$2,missions!$2:$2,0)-MATCH("mission_id",missions!$2:$2,0)+1),MATCH(G$2,missions!$2:$2,0)-MATCH("mission_id",missions!$2:$2,0)+1,FALSE),IF(C75="quest_clear",VLOOKUP(SUBSTITUTE(F75,"-","_"),OFFSET([2]stages!$A$2,0,0,COUNTA([2]stages!$A:$A),MATCH("name",[2]stages!$2:$2,0)-MATCH("temp_stage",[2]stages!$2:$2,0)+1),MATCH("name",[2]stages!$2:$2,0)-MATCH("temp_stage",[2]stages!$2:$2,0)+1,FALSE),""))</f>
        <v/>
      </c>
      <c r="H75" s="28">
        <v>1</v>
      </c>
    </row>
    <row r="76" spans="1:8" ht="21" customHeight="1" x14ac:dyDescent="0.15">
      <c r="A76" s="27" t="s">
        <v>2640</v>
      </c>
      <c r="B76" s="26" t="str">
        <f t="shared" ca="1" si="3"/>
        <v>プレイヤーランクが 400 に到達</v>
      </c>
      <c r="C76" s="32" t="s">
        <v>11</v>
      </c>
      <c r="D76" s="26" t="str">
        <f ca="1">VLOOKUP($C76,OFFSET(開放条件!$A$1,0,0,COUNTA($A:$A),MATCH(D$2,開放条件!$1:$1,0)-MATCH($C$2,開放条件!$1:$1,0)+1),MATCH(D$2,開放条件!$1:$1,0)-MATCH($C$2,開放条件!$1:$1,0)+1,FALSE)</f>
        <v>プレイヤーランクが x に到達</v>
      </c>
      <c r="E76" s="26" t="str">
        <f ca="1">VLOOKUP($C76,OFFSET(開放条件!$A$1,0,0,COUNTA($A:$A),MATCH(E$2,開放条件!$1:$1,0)-MATCH($C$2,開放条件!$1:$1,0)+1),MATCH(E$2,開放条件!$1:$1,0)-MATCH($C$2,開放条件!$1:$1,0)+1,FALSE)</f>
        <v>プレイヤーランク</v>
      </c>
      <c r="F76" s="61" t="s">
        <v>2635</v>
      </c>
      <c r="G76" s="31" t="str">
        <f ca="1">IF(C76="mission_clear",VLOOKUP(INT($F76),OFFSET(missions!$A$1,0,0,COUNTA(missions!$A:$A),MATCH(G$2,missions!$2:$2,0)-MATCH("mission_id",missions!$2:$2,0)+1),MATCH(G$2,missions!$2:$2,0)-MATCH("mission_id",missions!$2:$2,0)+1,FALSE),IF(C76="quest_clear",VLOOKUP(SUBSTITUTE(F76,"-","_"),OFFSET([2]stages!$A$2,0,0,COUNTA([2]stages!$A:$A),MATCH("name",[2]stages!$2:$2,0)-MATCH("temp_stage",[2]stages!$2:$2,0)+1),MATCH("name",[2]stages!$2:$2,0)-MATCH("temp_stage",[2]stages!$2:$2,0)+1,FALSE),""))</f>
        <v/>
      </c>
      <c r="H76" s="28">
        <v>1</v>
      </c>
    </row>
    <row r="77" spans="1:8" ht="21" customHeight="1" x14ac:dyDescent="0.15">
      <c r="A77" s="27" t="s">
        <v>1907</v>
      </c>
      <c r="B77" s="26" t="str">
        <f t="shared" ref="B77" ca="1" si="4">IF(C77="quest_clear",SUBSTITUTE(D77,"x",G77),IF(C77="mission_clear",SUBSTITUTE(D77,"x",G77),SUBSTITUTE(D77,"x",F77)))</f>
        <v>プレイヤーランクが 2000 に到達</v>
      </c>
      <c r="C77" s="32" t="s">
        <v>11</v>
      </c>
      <c r="D77" s="26" t="str">
        <f ca="1">VLOOKUP($C77,OFFSET(開放条件!$A$1,0,0,COUNTA($A:$A),MATCH(D$2,開放条件!$1:$1,0)-MATCH($C$2,開放条件!$1:$1,0)+1),MATCH(D$2,開放条件!$1:$1,0)-MATCH($C$2,開放条件!$1:$1,0)+1,FALSE)</f>
        <v>プレイヤーランクが x に到達</v>
      </c>
      <c r="E77" s="26" t="str">
        <f ca="1">VLOOKUP($C77,OFFSET(開放条件!$A$1,0,0,COUNTA($A:$A),MATCH(E$2,開放条件!$1:$1,0)-MATCH($C$2,開放条件!$1:$1,0)+1),MATCH(E$2,開放条件!$1:$1,0)-MATCH($C$2,開放条件!$1:$1,0)+1,FALSE)</f>
        <v>プレイヤーランク</v>
      </c>
      <c r="F77" s="61" t="s">
        <v>1908</v>
      </c>
      <c r="G77" s="31" t="str">
        <f ca="1">IF(C77="mission_clear",VLOOKUP(INT($F77),OFFSET(missions!$A$1,0,0,COUNTA(missions!$A:$A),MATCH(G$2,missions!$2:$2,0)-MATCH("mission_id",missions!$2:$2,0)+1),MATCH(G$2,missions!$2:$2,0)-MATCH("mission_id",missions!$2:$2,0)+1,FALSE),IF(C77="quest_clear",VLOOKUP(SUBSTITUTE(F77,"-","_"),OFFSET([2]stages!$A$2,0,0,COUNTA([2]stages!$A:$A),MATCH("name",[2]stages!$2:$2,0)-MATCH("temp_stage",[2]stages!$2:$2,0)+1),MATCH("name",[2]stages!$2:$2,0)-MATCH("temp_stage",[2]stages!$2:$2,0)+1,FALSE),""))</f>
        <v/>
      </c>
      <c r="H77" s="28">
        <v>1</v>
      </c>
    </row>
    <row r="78" spans="1:8" ht="21" customHeight="1" x14ac:dyDescent="0.15">
      <c r="A78" s="27" t="s">
        <v>460</v>
      </c>
      <c r="B78" s="26" t="str">
        <f t="shared" ca="1" si="0"/>
        <v>フレンド数が 1 人に到達</v>
      </c>
      <c r="C78" s="32" t="s">
        <v>20</v>
      </c>
      <c r="D78" s="26" t="str">
        <f ca="1">VLOOKUP($C78,OFFSET(開放条件!$A$1,0,0,COUNTA($A:$A),MATCH(D$2,開放条件!$1:$1,0)-MATCH($C$2,開放条件!$1:$1,0)+1),MATCH(D$2,開放条件!$1:$1,0)-MATCH($C$2,開放条件!$1:$1,0)+1,FALSE)</f>
        <v>フレンド数が x 人に到達</v>
      </c>
      <c r="E78" s="26" t="str">
        <f ca="1">VLOOKUP($C78,OFFSET(開放条件!$A$1,0,0,COUNTA($A:$A),MATCH(E$2,開放条件!$1:$1,0)-MATCH($C$2,開放条件!$1:$1,0)+1),MATCH(E$2,開放条件!$1:$1,0)-MATCH($C$2,開放条件!$1:$1,0)+1,FALSE)</f>
        <v>フレンド数</v>
      </c>
      <c r="F78" s="61">
        <v>1</v>
      </c>
      <c r="G78" s="31" t="str">
        <f ca="1">IF(C78="mission_clear",VLOOKUP(INT($F78),OFFSET(missions!$A$1,0,0,COUNTA(missions!$A:$A),MATCH(G$2,missions!$2:$2,0)-MATCH("mission_id",missions!$2:$2,0)+1),MATCH(G$2,missions!$2:$2,0)-MATCH("mission_id",missions!$2:$2,0)+1,FALSE),IF(C78="quest_clear",VLOOKUP(SUBSTITUTE(F78,"-","_"),OFFSET([2]stages!$A$2,0,0,COUNTA([2]stages!$A:$A),MATCH("name",[2]stages!$2:$2,0)-MATCH("temp_stage",[2]stages!$2:$2,0)+1),MATCH("name",[2]stages!$2:$2,0)-MATCH("temp_stage",[2]stages!$2:$2,0)+1,FALSE),""))</f>
        <v/>
      </c>
      <c r="H78" s="28">
        <v>1</v>
      </c>
    </row>
    <row r="79" spans="1:8" ht="21" customHeight="1" x14ac:dyDescent="0.15">
      <c r="A79" s="27" t="s">
        <v>461</v>
      </c>
      <c r="B79" s="26" t="str">
        <f t="shared" ca="1" si="0"/>
        <v>フレンド数が 3 人に到達</v>
      </c>
      <c r="C79" s="32" t="s">
        <v>20</v>
      </c>
      <c r="D79" s="26" t="str">
        <f ca="1">VLOOKUP($C79,OFFSET(開放条件!$A$1,0,0,COUNTA($A:$A),MATCH(D$2,開放条件!$1:$1,0)-MATCH($C$2,開放条件!$1:$1,0)+1),MATCH(D$2,開放条件!$1:$1,0)-MATCH($C$2,開放条件!$1:$1,0)+1,FALSE)</f>
        <v>フレンド数が x 人に到達</v>
      </c>
      <c r="E79" s="26" t="str">
        <f ca="1">VLOOKUP($C79,OFFSET(開放条件!$A$1,0,0,COUNTA($A:$A),MATCH(E$2,開放条件!$1:$1,0)-MATCH($C$2,開放条件!$1:$1,0)+1),MATCH(E$2,開放条件!$1:$1,0)-MATCH($C$2,開放条件!$1:$1,0)+1,FALSE)</f>
        <v>フレンド数</v>
      </c>
      <c r="F79" s="61">
        <v>3</v>
      </c>
      <c r="G79" s="31" t="str">
        <f ca="1">IF(C79="mission_clear",VLOOKUP(INT($F79),OFFSET(missions!$A$1,0,0,COUNTA(missions!$A:$A),MATCH(G$2,missions!$2:$2,0)-MATCH("mission_id",missions!$2:$2,0)+1),MATCH(G$2,missions!$2:$2,0)-MATCH("mission_id",missions!$2:$2,0)+1,FALSE),IF(C79="quest_clear",VLOOKUP(SUBSTITUTE(F79,"-","_"),OFFSET([2]stages!$A$2,0,0,COUNTA([2]stages!$A:$A),MATCH("name",[2]stages!$2:$2,0)-MATCH("temp_stage",[2]stages!$2:$2,0)+1),MATCH("name",[2]stages!$2:$2,0)-MATCH("temp_stage",[2]stages!$2:$2,0)+1,FALSE),""))</f>
        <v/>
      </c>
      <c r="H79" s="28">
        <v>1</v>
      </c>
    </row>
    <row r="80" spans="1:8" ht="21" customHeight="1" x14ac:dyDescent="0.15">
      <c r="A80" s="27" t="s">
        <v>50</v>
      </c>
      <c r="B80" s="26" t="str">
        <f t="shared" ca="1" si="0"/>
        <v>フレンド数が 5 人に到達</v>
      </c>
      <c r="C80" s="32" t="s">
        <v>20</v>
      </c>
      <c r="D80" s="26" t="str">
        <f ca="1">VLOOKUP($C80,OFFSET(開放条件!$A$1,0,0,COUNTA($A:$A),MATCH(D$2,開放条件!$1:$1,0)-MATCH($C$2,開放条件!$1:$1,0)+1),MATCH(D$2,開放条件!$1:$1,0)-MATCH($C$2,開放条件!$1:$1,0)+1,FALSE)</f>
        <v>フレンド数が x 人に到達</v>
      </c>
      <c r="E80" s="26" t="str">
        <f ca="1">VLOOKUP($C80,OFFSET(開放条件!$A$1,0,0,COUNTA($A:$A),MATCH(E$2,開放条件!$1:$1,0)-MATCH($C$2,開放条件!$1:$1,0)+1),MATCH(E$2,開放条件!$1:$1,0)-MATCH($C$2,開放条件!$1:$1,0)+1,FALSE)</f>
        <v>フレンド数</v>
      </c>
      <c r="F80" s="61">
        <v>5</v>
      </c>
      <c r="G80" s="31" t="str">
        <f ca="1">IF(C80="mission_clear",VLOOKUP(INT($F80),OFFSET(missions!$A$1,0,0,COUNTA(missions!$A:$A),MATCH(G$2,missions!$2:$2,0)-MATCH("mission_id",missions!$2:$2,0)+1),MATCH(G$2,missions!$2:$2,0)-MATCH("mission_id",missions!$2:$2,0)+1,FALSE),IF(C80="quest_clear",VLOOKUP(SUBSTITUTE(F80,"-","_"),OFFSET([2]stages!$A$2,0,0,COUNTA([2]stages!$A:$A),MATCH("name",[2]stages!$2:$2,0)-MATCH("temp_stage",[2]stages!$2:$2,0)+1),MATCH("name",[2]stages!$2:$2,0)-MATCH("temp_stage",[2]stages!$2:$2,0)+1,FALSE),""))</f>
        <v/>
      </c>
      <c r="H80" s="28">
        <v>1</v>
      </c>
    </row>
    <row r="81" spans="1:8" ht="21" customHeight="1" x14ac:dyDescent="0.15">
      <c r="A81" s="27" t="s">
        <v>202</v>
      </c>
      <c r="B81" s="26" t="str">
        <f t="shared" ca="1" si="0"/>
        <v>フレンド数が 10 人に到達</v>
      </c>
      <c r="C81" s="32" t="s">
        <v>20</v>
      </c>
      <c r="D81" s="26" t="str">
        <f ca="1">VLOOKUP($C81,OFFSET(開放条件!$A$1,0,0,COUNTA($A:$A),MATCH(D$2,開放条件!$1:$1,0)-MATCH($C$2,開放条件!$1:$1,0)+1),MATCH(D$2,開放条件!$1:$1,0)-MATCH($C$2,開放条件!$1:$1,0)+1,FALSE)</f>
        <v>フレンド数が x 人に到達</v>
      </c>
      <c r="E81" s="26" t="str">
        <f ca="1">VLOOKUP($C81,OFFSET(開放条件!$A$1,0,0,COUNTA($A:$A),MATCH(E$2,開放条件!$1:$1,0)-MATCH($C$2,開放条件!$1:$1,0)+1),MATCH(E$2,開放条件!$1:$1,0)-MATCH($C$2,開放条件!$1:$1,0)+1,FALSE)</f>
        <v>フレンド数</v>
      </c>
      <c r="F81" s="61">
        <v>10</v>
      </c>
      <c r="G81" s="31" t="str">
        <f ca="1">IF(C81="mission_clear",VLOOKUP(INT($F81),OFFSET(missions!$A$1,0,0,COUNTA(missions!$A:$A),MATCH(G$2,missions!$2:$2,0)-MATCH("mission_id",missions!$2:$2,0)+1),MATCH(G$2,missions!$2:$2,0)-MATCH("mission_id",missions!$2:$2,0)+1,FALSE),IF(C81="quest_clear",VLOOKUP(SUBSTITUTE(F81,"-","_"),OFFSET([2]stages!$A$2,0,0,COUNTA([2]stages!$A:$A),MATCH("name",[2]stages!$2:$2,0)-MATCH("temp_stage",[2]stages!$2:$2,0)+1),MATCH("name",[2]stages!$2:$2,0)-MATCH("temp_stage",[2]stages!$2:$2,0)+1,FALSE),""))</f>
        <v/>
      </c>
      <c r="H81" s="28">
        <v>1</v>
      </c>
    </row>
    <row r="82" spans="1:8" ht="21" customHeight="1" x14ac:dyDescent="0.15">
      <c r="A82" s="27" t="s">
        <v>194</v>
      </c>
      <c r="B82" s="26" t="str">
        <f t="shared" ca="1" si="0"/>
        <v>フレンド数が 20 人に到達</v>
      </c>
      <c r="C82" s="32" t="s">
        <v>20</v>
      </c>
      <c r="D82" s="26" t="str">
        <f ca="1">VLOOKUP($C82,OFFSET(開放条件!$A$1,0,0,COUNTA($A:$A),MATCH(D$2,開放条件!$1:$1,0)-MATCH($C$2,開放条件!$1:$1,0)+1),MATCH(D$2,開放条件!$1:$1,0)-MATCH($C$2,開放条件!$1:$1,0)+1,FALSE)</f>
        <v>フレンド数が x 人に到達</v>
      </c>
      <c r="E82" s="26" t="str">
        <f ca="1">VLOOKUP($C82,OFFSET(開放条件!$A$1,0,0,COUNTA($A:$A),MATCH(E$2,開放条件!$1:$1,0)-MATCH($C$2,開放条件!$1:$1,0)+1),MATCH(E$2,開放条件!$1:$1,0)-MATCH($C$2,開放条件!$1:$1,0)+1,FALSE)</f>
        <v>フレンド数</v>
      </c>
      <c r="F82" s="61">
        <v>20</v>
      </c>
      <c r="G82" s="31" t="str">
        <f ca="1">IF(C82="mission_clear",VLOOKUP(INT($F82),OFFSET(missions!$A$1,0,0,COUNTA(missions!$A:$A),MATCH(G$2,missions!$2:$2,0)-MATCH("mission_id",missions!$2:$2,0)+1),MATCH(G$2,missions!$2:$2,0)-MATCH("mission_id",missions!$2:$2,0)+1,FALSE),IF(C82="quest_clear",VLOOKUP(SUBSTITUTE(F82,"-","_"),OFFSET([2]stages!$A$2,0,0,COUNTA([2]stages!$A:$A),MATCH("name",[2]stages!$2:$2,0)-MATCH("temp_stage",[2]stages!$2:$2,0)+1),MATCH("name",[2]stages!$2:$2,0)-MATCH("temp_stage",[2]stages!$2:$2,0)+1,FALSE),""))</f>
        <v/>
      </c>
      <c r="H82" s="28">
        <v>1</v>
      </c>
    </row>
    <row r="83" spans="1:8" ht="21" customHeight="1" x14ac:dyDescent="0.15">
      <c r="A83" s="27" t="s">
        <v>196</v>
      </c>
      <c r="B83" s="26" t="str">
        <f t="shared" ca="1" si="0"/>
        <v>フレンド数が 30 人に到達</v>
      </c>
      <c r="C83" s="32" t="s">
        <v>20</v>
      </c>
      <c r="D83" s="26" t="str">
        <f ca="1">VLOOKUP($C83,OFFSET(開放条件!$A$1,0,0,COUNTA($A:$A),MATCH(D$2,開放条件!$1:$1,0)-MATCH($C$2,開放条件!$1:$1,0)+1),MATCH(D$2,開放条件!$1:$1,0)-MATCH($C$2,開放条件!$1:$1,0)+1,FALSE)</f>
        <v>フレンド数が x 人に到達</v>
      </c>
      <c r="E83" s="26" t="str">
        <f ca="1">VLOOKUP($C83,OFFSET(開放条件!$A$1,0,0,COUNTA($A:$A),MATCH(E$2,開放条件!$1:$1,0)-MATCH($C$2,開放条件!$1:$1,0)+1),MATCH(E$2,開放条件!$1:$1,0)-MATCH($C$2,開放条件!$1:$1,0)+1,FALSE)</f>
        <v>フレンド数</v>
      </c>
      <c r="F83" s="61">
        <v>30</v>
      </c>
      <c r="G83" s="31" t="str">
        <f ca="1">IF(C83="mission_clear",VLOOKUP(INT($F83),OFFSET(missions!$A$1,0,0,COUNTA(missions!$A:$A),MATCH(G$2,missions!$2:$2,0)-MATCH("mission_id",missions!$2:$2,0)+1),MATCH(G$2,missions!$2:$2,0)-MATCH("mission_id",missions!$2:$2,0)+1,FALSE),IF(C83="quest_clear",VLOOKUP(SUBSTITUTE(F83,"-","_"),OFFSET([2]stages!$A$2,0,0,COUNTA([2]stages!$A:$A),MATCH("name",[2]stages!$2:$2,0)-MATCH("temp_stage",[2]stages!$2:$2,0)+1),MATCH("name",[2]stages!$2:$2,0)-MATCH("temp_stage",[2]stages!$2:$2,0)+1,FALSE),""))</f>
        <v/>
      </c>
      <c r="H83" s="28">
        <v>1</v>
      </c>
    </row>
    <row r="84" spans="1:8" ht="21" customHeight="1" x14ac:dyDescent="0.15">
      <c r="A84" s="27" t="s">
        <v>198</v>
      </c>
      <c r="B84" s="26" t="str">
        <f t="shared" ca="1" si="0"/>
        <v>フレンド数が 40 人に到達</v>
      </c>
      <c r="C84" s="32" t="s">
        <v>20</v>
      </c>
      <c r="D84" s="26" t="str">
        <f ca="1">VLOOKUP($C84,OFFSET(開放条件!$A$1,0,0,COUNTA($A:$A),MATCH(D$2,開放条件!$1:$1,0)-MATCH($C$2,開放条件!$1:$1,0)+1),MATCH(D$2,開放条件!$1:$1,0)-MATCH($C$2,開放条件!$1:$1,0)+1,FALSE)</f>
        <v>フレンド数が x 人に到達</v>
      </c>
      <c r="E84" s="26" t="str">
        <f ca="1">VLOOKUP($C84,OFFSET(開放条件!$A$1,0,0,COUNTA($A:$A),MATCH(E$2,開放条件!$1:$1,0)-MATCH($C$2,開放条件!$1:$1,0)+1),MATCH(E$2,開放条件!$1:$1,0)-MATCH($C$2,開放条件!$1:$1,0)+1,FALSE)</f>
        <v>フレンド数</v>
      </c>
      <c r="F84" s="61">
        <v>40</v>
      </c>
      <c r="G84" s="31" t="str">
        <f ca="1">IF(C84="mission_clear",VLOOKUP(INT($F84),OFFSET(missions!$A$1,0,0,COUNTA(missions!$A:$A),MATCH(G$2,missions!$2:$2,0)-MATCH("mission_id",missions!$2:$2,0)+1),MATCH(G$2,missions!$2:$2,0)-MATCH("mission_id",missions!$2:$2,0)+1,FALSE),IF(C84="quest_clear",VLOOKUP(SUBSTITUTE(F84,"-","_"),OFFSET([2]stages!$A$2,0,0,COUNTA([2]stages!$A:$A),MATCH("name",[2]stages!$2:$2,0)-MATCH("temp_stage",[2]stages!$2:$2,0)+1),MATCH("name",[2]stages!$2:$2,0)-MATCH("temp_stage",[2]stages!$2:$2,0)+1,FALSE),""))</f>
        <v/>
      </c>
      <c r="H84" s="28">
        <v>1</v>
      </c>
    </row>
    <row r="85" spans="1:8" ht="21" customHeight="1" x14ac:dyDescent="0.15">
      <c r="A85" s="27" t="s">
        <v>200</v>
      </c>
      <c r="B85" s="26" t="str">
        <f t="shared" ca="1" si="0"/>
        <v>フレンド数が 50 人に到達</v>
      </c>
      <c r="C85" s="32" t="s">
        <v>20</v>
      </c>
      <c r="D85" s="26" t="str">
        <f ca="1">VLOOKUP($C85,OFFSET(開放条件!$A$1,0,0,COUNTA($A:$A),MATCH(D$2,開放条件!$1:$1,0)-MATCH($C$2,開放条件!$1:$1,0)+1),MATCH(D$2,開放条件!$1:$1,0)-MATCH($C$2,開放条件!$1:$1,0)+1,FALSE)</f>
        <v>フレンド数が x 人に到達</v>
      </c>
      <c r="E85" s="26" t="str">
        <f ca="1">VLOOKUP($C85,OFFSET(開放条件!$A$1,0,0,COUNTA($A:$A),MATCH(E$2,開放条件!$1:$1,0)-MATCH($C$2,開放条件!$1:$1,0)+1),MATCH(E$2,開放条件!$1:$1,0)-MATCH($C$2,開放条件!$1:$1,0)+1,FALSE)</f>
        <v>フレンド数</v>
      </c>
      <c r="F85" s="61">
        <v>50</v>
      </c>
      <c r="G85" s="31" t="str">
        <f ca="1">IF(C85="mission_clear",VLOOKUP(INT($F85),OFFSET(missions!$A$1,0,0,COUNTA(missions!$A:$A),MATCH(G$2,missions!$2:$2,0)-MATCH("mission_id",missions!$2:$2,0)+1),MATCH(G$2,missions!$2:$2,0)-MATCH("mission_id",missions!$2:$2,0)+1,FALSE),IF(C85="quest_clear",VLOOKUP(SUBSTITUTE(F85,"-","_"),OFFSET([2]stages!$A$2,0,0,COUNTA([2]stages!$A:$A),MATCH("name",[2]stages!$2:$2,0)-MATCH("temp_stage",[2]stages!$2:$2,0)+1),MATCH("name",[2]stages!$2:$2,0)-MATCH("temp_stage",[2]stages!$2:$2,0)+1,FALSE),""))</f>
        <v/>
      </c>
      <c r="H85" s="28">
        <v>1</v>
      </c>
    </row>
    <row r="86" spans="1:8" ht="21" customHeight="1" x14ac:dyDescent="0.15">
      <c r="A86" s="2" t="s">
        <v>438</v>
      </c>
      <c r="B86" s="26" t="str">
        <f t="shared" ca="1" si="0"/>
        <v>ユニット図鑑数が 10 に到達</v>
      </c>
      <c r="C86" s="2" t="s">
        <v>437</v>
      </c>
      <c r="D86" s="26" t="str">
        <f ca="1">VLOOKUP($C86,OFFSET(開放条件!$A$1,0,0,COUNTA($A:$A),MATCH(D$2,開放条件!$1:$1,0)-MATCH($C$2,開放条件!$1:$1,0)+1),MATCH(D$2,開放条件!$1:$1,0)-MATCH($C$2,開放条件!$1:$1,0)+1,FALSE)</f>
        <v>ユニット図鑑数が x に到達</v>
      </c>
      <c r="E86" s="26" t="str">
        <f ca="1">VLOOKUP($C86,OFFSET(開放条件!$A$1,0,0,COUNTA($A:$A),MATCH(E$2,開放条件!$1:$1,0)-MATCH($C$2,開放条件!$1:$1,0)+1),MATCH(E$2,開放条件!$1:$1,0)-MATCH($C$2,開放条件!$1:$1,0)+1,FALSE)</f>
        <v>図鑑数</v>
      </c>
      <c r="F86" s="61">
        <v>10</v>
      </c>
      <c r="G86" s="31" t="str">
        <f ca="1">IF(C86="mission_clear",VLOOKUP(INT($F86),OFFSET(missions!$A$1,0,0,COUNTA(missions!$A:$A),MATCH(G$2,missions!$2:$2,0)-MATCH("mission_id",missions!$2:$2,0)+1),MATCH(G$2,missions!$2:$2,0)-MATCH("mission_id",missions!$2:$2,0)+1,FALSE),IF(C86="quest_clear",VLOOKUP(SUBSTITUTE(F86,"-","_"),OFFSET([2]stages!$A$2,0,0,COUNTA([2]stages!$A:$A),MATCH("name",[2]stages!$2:$2,0)-MATCH("temp_stage",[2]stages!$2:$2,0)+1),MATCH("name",[2]stages!$2:$2,0)-MATCH("temp_stage",[2]stages!$2:$2,0)+1,FALSE),""))</f>
        <v/>
      </c>
      <c r="H86" s="28">
        <v>1</v>
      </c>
    </row>
    <row r="87" spans="1:8" ht="21" customHeight="1" x14ac:dyDescent="0.15">
      <c r="A87" s="27" t="s">
        <v>490</v>
      </c>
      <c r="B87" s="26" t="str">
        <f t="shared" ca="1" si="0"/>
        <v>ユニット図鑑数が 25 に到達</v>
      </c>
      <c r="C87" s="32" t="s">
        <v>13</v>
      </c>
      <c r="D87" s="26" t="str">
        <f ca="1">VLOOKUP($C87,OFFSET(開放条件!$A$1,0,0,COUNTA($A:$A),MATCH(D$2,開放条件!$1:$1,0)-MATCH($C$2,開放条件!$1:$1,0)+1),MATCH(D$2,開放条件!$1:$1,0)-MATCH($C$2,開放条件!$1:$1,0)+1,FALSE)</f>
        <v>ユニット図鑑数が x に到達</v>
      </c>
      <c r="E87" s="26" t="str">
        <f ca="1">VLOOKUP($C87,OFFSET(開放条件!$A$1,0,0,COUNTA($A:$A),MATCH(E$2,開放条件!$1:$1,0)-MATCH($C$2,開放条件!$1:$1,0)+1),MATCH(E$2,開放条件!$1:$1,0)-MATCH($C$2,開放条件!$1:$1,0)+1,FALSE)</f>
        <v>図鑑数</v>
      </c>
      <c r="F87" s="61">
        <v>25</v>
      </c>
      <c r="G87" s="31" t="str">
        <f ca="1">IF(C87="mission_clear",VLOOKUP(INT($F87),OFFSET(missions!$A$1,0,0,COUNTA(missions!$A:$A),MATCH(G$2,missions!$2:$2,0)-MATCH("mission_id",missions!$2:$2,0)+1),MATCH(G$2,missions!$2:$2,0)-MATCH("mission_id",missions!$2:$2,0)+1,FALSE),IF(C87="quest_clear",VLOOKUP(SUBSTITUTE(F87,"-","_"),OFFSET([2]stages!$A$2,0,0,COUNTA([2]stages!$A:$A),MATCH("name",[2]stages!$2:$2,0)-MATCH("temp_stage",[2]stages!$2:$2,0)+1),MATCH("name",[2]stages!$2:$2,0)-MATCH("temp_stage",[2]stages!$2:$2,0)+1,FALSE),""))</f>
        <v/>
      </c>
      <c r="H87" s="28">
        <v>1</v>
      </c>
    </row>
    <row r="88" spans="1:8" ht="21" customHeight="1" x14ac:dyDescent="0.15">
      <c r="A88" s="27" t="s">
        <v>108</v>
      </c>
      <c r="B88" s="26" t="str">
        <f t="shared" ca="1" si="0"/>
        <v>ユニット図鑑数が 50 に到達</v>
      </c>
      <c r="C88" s="32" t="s">
        <v>13</v>
      </c>
      <c r="D88" s="26" t="str">
        <f ca="1">VLOOKUP($C88,OFFSET(開放条件!$A$1,0,0,COUNTA($A:$A),MATCH(D$2,開放条件!$1:$1,0)-MATCH($C$2,開放条件!$1:$1,0)+1),MATCH(D$2,開放条件!$1:$1,0)-MATCH($C$2,開放条件!$1:$1,0)+1,FALSE)</f>
        <v>ユニット図鑑数が x に到達</v>
      </c>
      <c r="E88" s="26" t="str">
        <f ca="1">VLOOKUP($C88,OFFSET(開放条件!$A$1,0,0,COUNTA($A:$A),MATCH(E$2,開放条件!$1:$1,0)-MATCH($C$2,開放条件!$1:$1,0)+1),MATCH(E$2,開放条件!$1:$1,0)-MATCH($C$2,開放条件!$1:$1,0)+1,FALSE)</f>
        <v>図鑑数</v>
      </c>
      <c r="F88" s="61">
        <v>50</v>
      </c>
      <c r="G88" s="31" t="str">
        <f ca="1">IF(C88="mission_clear",VLOOKUP(INT($F88),OFFSET(missions!$A$1,0,0,COUNTA(missions!$A:$A),MATCH(G$2,missions!$2:$2,0)-MATCH("mission_id",missions!$2:$2,0)+1),MATCH(G$2,missions!$2:$2,0)-MATCH("mission_id",missions!$2:$2,0)+1,FALSE),IF(C88="quest_clear",VLOOKUP(SUBSTITUTE(F88,"-","_"),OFFSET([2]stages!$A$2,0,0,COUNTA([2]stages!$A:$A),MATCH("name",[2]stages!$2:$2,0)-MATCH("temp_stage",[2]stages!$2:$2,0)+1),MATCH("name",[2]stages!$2:$2,0)-MATCH("temp_stage",[2]stages!$2:$2,0)+1,FALSE),""))</f>
        <v/>
      </c>
      <c r="H88" s="28">
        <v>1</v>
      </c>
    </row>
    <row r="89" spans="1:8" ht="21" customHeight="1" x14ac:dyDescent="0.15">
      <c r="A89" s="27" t="s">
        <v>109</v>
      </c>
      <c r="B89" s="26" t="str">
        <f t="shared" ca="1" si="0"/>
        <v>ユニット図鑑数が 75 に到達</v>
      </c>
      <c r="C89" s="32" t="s">
        <v>13</v>
      </c>
      <c r="D89" s="26" t="str">
        <f ca="1">VLOOKUP($C89,OFFSET(開放条件!$A$1,0,0,COUNTA($A:$A),MATCH(D$2,開放条件!$1:$1,0)-MATCH($C$2,開放条件!$1:$1,0)+1),MATCH(D$2,開放条件!$1:$1,0)-MATCH($C$2,開放条件!$1:$1,0)+1,FALSE)</f>
        <v>ユニット図鑑数が x に到達</v>
      </c>
      <c r="E89" s="26" t="str">
        <f ca="1">VLOOKUP($C89,OFFSET(開放条件!$A$1,0,0,COUNTA($A:$A),MATCH(E$2,開放条件!$1:$1,0)-MATCH($C$2,開放条件!$1:$1,0)+1),MATCH(E$2,開放条件!$1:$1,0)-MATCH($C$2,開放条件!$1:$1,0)+1,FALSE)</f>
        <v>図鑑数</v>
      </c>
      <c r="F89" s="61">
        <v>75</v>
      </c>
      <c r="G89" s="31" t="str">
        <f ca="1">IF(C89="mission_clear",VLOOKUP(INT($F89),OFFSET(missions!$A$1,0,0,COUNTA(missions!$A:$A),MATCH(G$2,missions!$2:$2,0)-MATCH("mission_id",missions!$2:$2,0)+1),MATCH(G$2,missions!$2:$2,0)-MATCH("mission_id",missions!$2:$2,0)+1,FALSE),IF(C89="quest_clear",VLOOKUP(SUBSTITUTE(F89,"-","_"),OFFSET([2]stages!$A$2,0,0,COUNTA([2]stages!$A:$A),MATCH("name",[2]stages!$2:$2,0)-MATCH("temp_stage",[2]stages!$2:$2,0)+1),MATCH("name",[2]stages!$2:$2,0)-MATCH("temp_stage",[2]stages!$2:$2,0)+1,FALSE),""))</f>
        <v/>
      </c>
      <c r="H89" s="28">
        <v>1</v>
      </c>
    </row>
    <row r="90" spans="1:8" ht="21" customHeight="1" x14ac:dyDescent="0.15">
      <c r="A90" s="27" t="s">
        <v>110</v>
      </c>
      <c r="B90" s="26" t="str">
        <f t="shared" ca="1" si="0"/>
        <v>ユニット図鑑数が 100 に到達</v>
      </c>
      <c r="C90" s="32" t="s">
        <v>13</v>
      </c>
      <c r="D90" s="26" t="str">
        <f ca="1">VLOOKUP($C90,OFFSET(開放条件!$A$1,0,0,COUNTA($A:$A),MATCH(D$2,開放条件!$1:$1,0)-MATCH($C$2,開放条件!$1:$1,0)+1),MATCH(D$2,開放条件!$1:$1,0)-MATCH($C$2,開放条件!$1:$1,0)+1,FALSE)</f>
        <v>ユニット図鑑数が x に到達</v>
      </c>
      <c r="E90" s="26" t="str">
        <f ca="1">VLOOKUP($C90,OFFSET(開放条件!$A$1,0,0,COUNTA($A:$A),MATCH(E$2,開放条件!$1:$1,0)-MATCH($C$2,開放条件!$1:$1,0)+1),MATCH(E$2,開放条件!$1:$1,0)-MATCH($C$2,開放条件!$1:$1,0)+1,FALSE)</f>
        <v>図鑑数</v>
      </c>
      <c r="F90" s="61">
        <v>100</v>
      </c>
      <c r="G90" s="31" t="str">
        <f ca="1">IF(C90="mission_clear",VLOOKUP(INT($F90),OFFSET(missions!$A$1,0,0,COUNTA(missions!$A:$A),MATCH(G$2,missions!$2:$2,0)-MATCH("mission_id",missions!$2:$2,0)+1),MATCH(G$2,missions!$2:$2,0)-MATCH("mission_id",missions!$2:$2,0)+1,FALSE),IF(C90="quest_clear",VLOOKUP(SUBSTITUTE(F90,"-","_"),OFFSET([2]stages!$A$2,0,0,COUNTA([2]stages!$A:$A),MATCH("name",[2]stages!$2:$2,0)-MATCH("temp_stage",[2]stages!$2:$2,0)+1),MATCH("name",[2]stages!$2:$2,0)-MATCH("temp_stage",[2]stages!$2:$2,0)+1,FALSE),""))</f>
        <v/>
      </c>
      <c r="H90" s="28">
        <v>1</v>
      </c>
    </row>
    <row r="91" spans="1:8" ht="21" customHeight="1" x14ac:dyDescent="0.15">
      <c r="A91" s="27" t="s">
        <v>111</v>
      </c>
      <c r="B91" s="26" t="str">
        <f t="shared" ca="1" si="0"/>
        <v>ユニット図鑑数が 125 に到達</v>
      </c>
      <c r="C91" s="32" t="s">
        <v>13</v>
      </c>
      <c r="D91" s="26" t="str">
        <f ca="1">VLOOKUP($C91,OFFSET(開放条件!$A$1,0,0,COUNTA($A:$A),MATCH(D$2,開放条件!$1:$1,0)-MATCH($C$2,開放条件!$1:$1,0)+1),MATCH(D$2,開放条件!$1:$1,0)-MATCH($C$2,開放条件!$1:$1,0)+1,FALSE)</f>
        <v>ユニット図鑑数が x に到達</v>
      </c>
      <c r="E91" s="26" t="str">
        <f ca="1">VLOOKUP($C91,OFFSET(開放条件!$A$1,0,0,COUNTA($A:$A),MATCH(E$2,開放条件!$1:$1,0)-MATCH($C$2,開放条件!$1:$1,0)+1),MATCH(E$2,開放条件!$1:$1,0)-MATCH($C$2,開放条件!$1:$1,0)+1,FALSE)</f>
        <v>図鑑数</v>
      </c>
      <c r="F91" s="61">
        <v>125</v>
      </c>
      <c r="G91" s="31" t="str">
        <f ca="1">IF(C91="mission_clear",VLOOKUP(INT($F91),OFFSET(missions!$A$1,0,0,COUNTA(missions!$A:$A),MATCH(G$2,missions!$2:$2,0)-MATCH("mission_id",missions!$2:$2,0)+1),MATCH(G$2,missions!$2:$2,0)-MATCH("mission_id",missions!$2:$2,0)+1,FALSE),IF(C91="quest_clear",VLOOKUP(SUBSTITUTE(F91,"-","_"),OFFSET([2]stages!$A$2,0,0,COUNTA([2]stages!$A:$A),MATCH("name",[2]stages!$2:$2,0)-MATCH("temp_stage",[2]stages!$2:$2,0)+1),MATCH("name",[2]stages!$2:$2,0)-MATCH("temp_stage",[2]stages!$2:$2,0)+1,FALSE),""))</f>
        <v/>
      </c>
      <c r="H91" s="28">
        <v>1</v>
      </c>
    </row>
    <row r="92" spans="1:8" ht="21" customHeight="1" x14ac:dyDescent="0.15">
      <c r="A92" s="27" t="s">
        <v>112</v>
      </c>
      <c r="B92" s="26" t="str">
        <f t="shared" ref="B92:B197" ca="1" si="5">IF(C92="quest_clear",SUBSTITUTE(D92,"x",G92),IF(C92="mission_clear",SUBSTITUTE(D92,"x",G92),SUBSTITUTE(D92,"x",F92)))</f>
        <v>ユニット図鑑数が 150 に到達</v>
      </c>
      <c r="C92" s="32" t="s">
        <v>13</v>
      </c>
      <c r="D92" s="26" t="str">
        <f ca="1">VLOOKUP($C92,OFFSET(開放条件!$A$1,0,0,COUNTA($A:$A),MATCH(D$2,開放条件!$1:$1,0)-MATCH($C$2,開放条件!$1:$1,0)+1),MATCH(D$2,開放条件!$1:$1,0)-MATCH($C$2,開放条件!$1:$1,0)+1,FALSE)</f>
        <v>ユニット図鑑数が x に到達</v>
      </c>
      <c r="E92" s="26" t="str">
        <f ca="1">VLOOKUP($C92,OFFSET(開放条件!$A$1,0,0,COUNTA($A:$A),MATCH(E$2,開放条件!$1:$1,0)-MATCH($C$2,開放条件!$1:$1,0)+1),MATCH(E$2,開放条件!$1:$1,0)-MATCH($C$2,開放条件!$1:$1,0)+1,FALSE)</f>
        <v>図鑑数</v>
      </c>
      <c r="F92" s="61">
        <v>150</v>
      </c>
      <c r="G92" s="31" t="str">
        <f ca="1">IF(C92="mission_clear",VLOOKUP(INT($F92),OFFSET(missions!$A$1,0,0,COUNTA(missions!$A:$A),MATCH(G$2,missions!$2:$2,0)-MATCH("mission_id",missions!$2:$2,0)+1),MATCH(G$2,missions!$2:$2,0)-MATCH("mission_id",missions!$2:$2,0)+1,FALSE),IF(C92="quest_clear",VLOOKUP(SUBSTITUTE(F92,"-","_"),OFFSET([2]stages!$A$2,0,0,COUNTA([2]stages!$A:$A),MATCH("name",[2]stages!$2:$2,0)-MATCH("temp_stage",[2]stages!$2:$2,0)+1),MATCH("name",[2]stages!$2:$2,0)-MATCH("temp_stage",[2]stages!$2:$2,0)+1,FALSE),""))</f>
        <v/>
      </c>
      <c r="H92" s="28">
        <v>1</v>
      </c>
    </row>
    <row r="93" spans="1:8" ht="21" customHeight="1" x14ac:dyDescent="0.15">
      <c r="A93" s="27" t="s">
        <v>113</v>
      </c>
      <c r="B93" s="26" t="str">
        <f t="shared" ca="1" si="5"/>
        <v>ユニット図鑑数が 175 に到達</v>
      </c>
      <c r="C93" s="32" t="s">
        <v>13</v>
      </c>
      <c r="D93" s="26" t="str">
        <f ca="1">VLOOKUP($C93,OFFSET(開放条件!$A$1,0,0,COUNTA($A:$A),MATCH(D$2,開放条件!$1:$1,0)-MATCH($C$2,開放条件!$1:$1,0)+1),MATCH(D$2,開放条件!$1:$1,0)-MATCH($C$2,開放条件!$1:$1,0)+1,FALSE)</f>
        <v>ユニット図鑑数が x に到達</v>
      </c>
      <c r="E93" s="26" t="str">
        <f ca="1">VLOOKUP($C93,OFFSET(開放条件!$A$1,0,0,COUNTA($A:$A),MATCH(E$2,開放条件!$1:$1,0)-MATCH($C$2,開放条件!$1:$1,0)+1),MATCH(E$2,開放条件!$1:$1,0)-MATCH($C$2,開放条件!$1:$1,0)+1,FALSE)</f>
        <v>図鑑数</v>
      </c>
      <c r="F93" s="61">
        <v>175</v>
      </c>
      <c r="G93" s="31" t="str">
        <f ca="1">IF(C93="mission_clear",VLOOKUP(INT($F93),OFFSET(missions!$A$1,0,0,COUNTA(missions!$A:$A),MATCH(G$2,missions!$2:$2,0)-MATCH("mission_id",missions!$2:$2,0)+1),MATCH(G$2,missions!$2:$2,0)-MATCH("mission_id",missions!$2:$2,0)+1,FALSE),IF(C93="quest_clear",VLOOKUP(SUBSTITUTE(F93,"-","_"),OFFSET([2]stages!$A$2,0,0,COUNTA([2]stages!$A:$A),MATCH("name",[2]stages!$2:$2,0)-MATCH("temp_stage",[2]stages!$2:$2,0)+1),MATCH("name",[2]stages!$2:$2,0)-MATCH("temp_stage",[2]stages!$2:$2,0)+1,FALSE),""))</f>
        <v/>
      </c>
      <c r="H93" s="28">
        <v>1</v>
      </c>
    </row>
    <row r="94" spans="1:8" ht="21" customHeight="1" x14ac:dyDescent="0.15">
      <c r="A94" s="27" t="s">
        <v>114</v>
      </c>
      <c r="B94" s="26" t="str">
        <f t="shared" ca="1" si="5"/>
        <v>ユニット図鑑数が 200 に到達</v>
      </c>
      <c r="C94" s="32" t="s">
        <v>13</v>
      </c>
      <c r="D94" s="26" t="str">
        <f ca="1">VLOOKUP($C94,OFFSET(開放条件!$A$1,0,0,COUNTA($A:$A),MATCH(D$2,開放条件!$1:$1,0)-MATCH($C$2,開放条件!$1:$1,0)+1),MATCH(D$2,開放条件!$1:$1,0)-MATCH($C$2,開放条件!$1:$1,0)+1,FALSE)</f>
        <v>ユニット図鑑数が x に到達</v>
      </c>
      <c r="E94" s="26" t="str">
        <f ca="1">VLOOKUP($C94,OFFSET(開放条件!$A$1,0,0,COUNTA($A:$A),MATCH(E$2,開放条件!$1:$1,0)-MATCH($C$2,開放条件!$1:$1,0)+1),MATCH(E$2,開放条件!$1:$1,0)-MATCH($C$2,開放条件!$1:$1,0)+1,FALSE)</f>
        <v>図鑑数</v>
      </c>
      <c r="F94" s="61">
        <v>200</v>
      </c>
      <c r="G94" s="31" t="str">
        <f ca="1">IF(C94="mission_clear",VLOOKUP(INT($F94),OFFSET(missions!$A$1,0,0,COUNTA(missions!$A:$A),MATCH(G$2,missions!$2:$2,0)-MATCH("mission_id",missions!$2:$2,0)+1),MATCH(G$2,missions!$2:$2,0)-MATCH("mission_id",missions!$2:$2,0)+1,FALSE),IF(C94="quest_clear",VLOOKUP(SUBSTITUTE(F94,"-","_"),OFFSET([2]stages!$A$2,0,0,COUNTA([2]stages!$A:$A),MATCH("name",[2]stages!$2:$2,0)-MATCH("temp_stage",[2]stages!$2:$2,0)+1),MATCH("name",[2]stages!$2:$2,0)-MATCH("temp_stage",[2]stages!$2:$2,0)+1,FALSE),""))</f>
        <v/>
      </c>
      <c r="H94" s="28">
        <v>1</v>
      </c>
    </row>
    <row r="95" spans="1:8" ht="21" customHeight="1" x14ac:dyDescent="0.15">
      <c r="A95" s="27" t="s">
        <v>115</v>
      </c>
      <c r="B95" s="26" t="str">
        <f t="shared" ca="1" si="5"/>
        <v>ユニット図鑑数が 225 に到達</v>
      </c>
      <c r="C95" s="32" t="s">
        <v>13</v>
      </c>
      <c r="D95" s="26" t="str">
        <f ca="1">VLOOKUP($C95,OFFSET(開放条件!$A$1,0,0,COUNTA($A:$A),MATCH(D$2,開放条件!$1:$1,0)-MATCH($C$2,開放条件!$1:$1,0)+1),MATCH(D$2,開放条件!$1:$1,0)-MATCH($C$2,開放条件!$1:$1,0)+1,FALSE)</f>
        <v>ユニット図鑑数が x に到達</v>
      </c>
      <c r="E95" s="26" t="str">
        <f ca="1">VLOOKUP($C95,OFFSET(開放条件!$A$1,0,0,COUNTA($A:$A),MATCH(E$2,開放条件!$1:$1,0)-MATCH($C$2,開放条件!$1:$1,0)+1),MATCH(E$2,開放条件!$1:$1,0)-MATCH($C$2,開放条件!$1:$1,0)+1,FALSE)</f>
        <v>図鑑数</v>
      </c>
      <c r="F95" s="61">
        <v>225</v>
      </c>
      <c r="G95" s="31" t="str">
        <f ca="1">IF(C95="mission_clear",VLOOKUP(INT($F95),OFFSET(missions!$A$1,0,0,COUNTA(missions!$A:$A),MATCH(G$2,missions!$2:$2,0)-MATCH("mission_id",missions!$2:$2,0)+1),MATCH(G$2,missions!$2:$2,0)-MATCH("mission_id",missions!$2:$2,0)+1,FALSE),IF(C95="quest_clear",VLOOKUP(SUBSTITUTE(F95,"-","_"),OFFSET([2]stages!$A$2,0,0,COUNTA([2]stages!$A:$A),MATCH("name",[2]stages!$2:$2,0)-MATCH("temp_stage",[2]stages!$2:$2,0)+1),MATCH("name",[2]stages!$2:$2,0)-MATCH("temp_stage",[2]stages!$2:$2,0)+1,FALSE),""))</f>
        <v/>
      </c>
      <c r="H95" s="28">
        <v>1</v>
      </c>
    </row>
    <row r="96" spans="1:8" ht="21" customHeight="1" x14ac:dyDescent="0.15">
      <c r="A96" s="27" t="s">
        <v>116</v>
      </c>
      <c r="B96" s="26" t="str">
        <f t="shared" ca="1" si="5"/>
        <v>ユニット図鑑数が 250 に到達</v>
      </c>
      <c r="C96" s="32" t="s">
        <v>13</v>
      </c>
      <c r="D96" s="26" t="str">
        <f ca="1">VLOOKUP($C96,OFFSET(開放条件!$A$1,0,0,COUNTA($A:$A),MATCH(D$2,開放条件!$1:$1,0)-MATCH($C$2,開放条件!$1:$1,0)+1),MATCH(D$2,開放条件!$1:$1,0)-MATCH($C$2,開放条件!$1:$1,0)+1,FALSE)</f>
        <v>ユニット図鑑数が x に到達</v>
      </c>
      <c r="E96" s="26" t="str">
        <f ca="1">VLOOKUP($C96,OFFSET(開放条件!$A$1,0,0,COUNTA($A:$A),MATCH(E$2,開放条件!$1:$1,0)-MATCH($C$2,開放条件!$1:$1,0)+1),MATCH(E$2,開放条件!$1:$1,0)-MATCH($C$2,開放条件!$1:$1,0)+1,FALSE)</f>
        <v>図鑑数</v>
      </c>
      <c r="F96" s="61">
        <v>250</v>
      </c>
      <c r="G96" s="31" t="str">
        <f ca="1">IF(C96="mission_clear",VLOOKUP(INT($F96),OFFSET(missions!$A$1,0,0,COUNTA(missions!$A:$A),MATCH(G$2,missions!$2:$2,0)-MATCH("mission_id",missions!$2:$2,0)+1),MATCH(G$2,missions!$2:$2,0)-MATCH("mission_id",missions!$2:$2,0)+1,FALSE),IF(C96="quest_clear",VLOOKUP(SUBSTITUTE(F96,"-","_"),OFFSET([2]stages!$A$2,0,0,COUNTA([2]stages!$A:$A),MATCH("name",[2]stages!$2:$2,0)-MATCH("temp_stage",[2]stages!$2:$2,0)+1),MATCH("name",[2]stages!$2:$2,0)-MATCH("temp_stage",[2]stages!$2:$2,0)+1,FALSE),""))</f>
        <v/>
      </c>
      <c r="H96" s="28">
        <v>1</v>
      </c>
    </row>
    <row r="97" spans="1:8" ht="21" customHeight="1" x14ac:dyDescent="0.15">
      <c r="A97" s="27" t="s">
        <v>117</v>
      </c>
      <c r="B97" s="26" t="str">
        <f t="shared" ca="1" si="5"/>
        <v>ユニット図鑑数が 275 に到達</v>
      </c>
      <c r="C97" s="32" t="s">
        <v>13</v>
      </c>
      <c r="D97" s="26" t="str">
        <f ca="1">VLOOKUP($C97,OFFSET(開放条件!$A$1,0,0,COUNTA($A:$A),MATCH(D$2,開放条件!$1:$1,0)-MATCH($C$2,開放条件!$1:$1,0)+1),MATCH(D$2,開放条件!$1:$1,0)-MATCH($C$2,開放条件!$1:$1,0)+1,FALSE)</f>
        <v>ユニット図鑑数が x に到達</v>
      </c>
      <c r="E97" s="26" t="str">
        <f ca="1">VLOOKUP($C97,OFFSET(開放条件!$A$1,0,0,COUNTA($A:$A),MATCH(E$2,開放条件!$1:$1,0)-MATCH($C$2,開放条件!$1:$1,0)+1),MATCH(E$2,開放条件!$1:$1,0)-MATCH($C$2,開放条件!$1:$1,0)+1,FALSE)</f>
        <v>図鑑数</v>
      </c>
      <c r="F97" s="61">
        <v>275</v>
      </c>
      <c r="G97" s="31" t="str">
        <f ca="1">IF(C97="mission_clear",VLOOKUP(INT($F97),OFFSET(missions!$A$1,0,0,COUNTA(missions!$A:$A),MATCH(G$2,missions!$2:$2,0)-MATCH("mission_id",missions!$2:$2,0)+1),MATCH(G$2,missions!$2:$2,0)-MATCH("mission_id",missions!$2:$2,0)+1,FALSE),IF(C97="quest_clear",VLOOKUP(SUBSTITUTE(F97,"-","_"),OFFSET([2]stages!$A$2,0,0,COUNTA([2]stages!$A:$A),MATCH("name",[2]stages!$2:$2,0)-MATCH("temp_stage",[2]stages!$2:$2,0)+1),MATCH("name",[2]stages!$2:$2,0)-MATCH("temp_stage",[2]stages!$2:$2,0)+1,FALSE),""))</f>
        <v/>
      </c>
      <c r="H97" s="28">
        <v>1</v>
      </c>
    </row>
    <row r="98" spans="1:8" ht="21" customHeight="1" x14ac:dyDescent="0.15">
      <c r="A98" s="27" t="s">
        <v>411</v>
      </c>
      <c r="B98" s="26" t="str">
        <f t="shared" ca="1" si="5"/>
        <v>ユニット図鑑数が 300 に到達</v>
      </c>
      <c r="C98" s="32" t="s">
        <v>13</v>
      </c>
      <c r="D98" s="26" t="str">
        <f ca="1">VLOOKUP($C98,OFFSET(開放条件!$A$1,0,0,COUNTA($A:$A),MATCH(D$2,開放条件!$1:$1,0)-MATCH($C$2,開放条件!$1:$1,0)+1),MATCH(D$2,開放条件!$1:$1,0)-MATCH($C$2,開放条件!$1:$1,0)+1,FALSE)</f>
        <v>ユニット図鑑数が x に到達</v>
      </c>
      <c r="E98" s="26" t="str">
        <f ca="1">VLOOKUP($C98,OFFSET(開放条件!$A$1,0,0,COUNTA($A:$A),MATCH(E$2,開放条件!$1:$1,0)-MATCH($C$2,開放条件!$1:$1,0)+1),MATCH(E$2,開放条件!$1:$1,0)-MATCH($C$2,開放条件!$1:$1,0)+1,FALSE)</f>
        <v>図鑑数</v>
      </c>
      <c r="F98" s="61">
        <v>300</v>
      </c>
      <c r="G98" s="31" t="str">
        <f ca="1">IF(C98="mission_clear",VLOOKUP(INT($F98),OFFSET(missions!$A$1,0,0,COUNTA(missions!$A:$A),MATCH(G$2,missions!$2:$2,0)-MATCH("mission_id",missions!$2:$2,0)+1),MATCH(G$2,missions!$2:$2,0)-MATCH("mission_id",missions!$2:$2,0)+1,FALSE),IF(C98="quest_clear",VLOOKUP(SUBSTITUTE(F98,"-","_"),OFFSET([2]stages!$A$2,0,0,COUNTA([2]stages!$A:$A),MATCH("name",[2]stages!$2:$2,0)-MATCH("temp_stage",[2]stages!$2:$2,0)+1),MATCH("name",[2]stages!$2:$2,0)-MATCH("temp_stage",[2]stages!$2:$2,0)+1,FALSE),""))</f>
        <v/>
      </c>
      <c r="H98" s="28">
        <v>1</v>
      </c>
    </row>
    <row r="99" spans="1:8" ht="21" customHeight="1" x14ac:dyDescent="0.15">
      <c r="A99" s="27" t="s">
        <v>491</v>
      </c>
      <c r="B99" s="26" t="str">
        <f t="shared" ca="1" si="5"/>
        <v>ユニット図鑑数が 325 に到達</v>
      </c>
      <c r="C99" s="32" t="s">
        <v>13</v>
      </c>
      <c r="D99" s="26" t="str">
        <f ca="1">VLOOKUP($C99,OFFSET(開放条件!$A$1,0,0,COUNTA($A:$A),MATCH(D$2,開放条件!$1:$1,0)-MATCH($C$2,開放条件!$1:$1,0)+1),MATCH(D$2,開放条件!$1:$1,0)-MATCH($C$2,開放条件!$1:$1,0)+1,FALSE)</f>
        <v>ユニット図鑑数が x に到達</v>
      </c>
      <c r="E99" s="26" t="str">
        <f ca="1">VLOOKUP($C99,OFFSET(開放条件!$A$1,0,0,COUNTA($A:$A),MATCH(E$2,開放条件!$1:$1,0)-MATCH($C$2,開放条件!$1:$1,0)+1),MATCH(E$2,開放条件!$1:$1,0)-MATCH($C$2,開放条件!$1:$1,0)+1,FALSE)</f>
        <v>図鑑数</v>
      </c>
      <c r="F99" s="61">
        <v>325</v>
      </c>
      <c r="G99" s="31" t="str">
        <f ca="1">IF(C99="mission_clear",VLOOKUP(INT($F99),OFFSET(missions!$A$1,0,0,COUNTA(missions!$A:$A),MATCH(G$2,missions!$2:$2,0)-MATCH("mission_id",missions!$2:$2,0)+1),MATCH(G$2,missions!$2:$2,0)-MATCH("mission_id",missions!$2:$2,0)+1,FALSE),IF(C99="quest_clear",VLOOKUP(SUBSTITUTE(F99,"-","_"),OFFSET([2]stages!$A$2,0,0,COUNTA([2]stages!$A:$A),MATCH("name",[2]stages!$2:$2,0)-MATCH("temp_stage",[2]stages!$2:$2,0)+1),MATCH("name",[2]stages!$2:$2,0)-MATCH("temp_stage",[2]stages!$2:$2,0)+1,FALSE),""))</f>
        <v/>
      </c>
      <c r="H99" s="28">
        <v>1</v>
      </c>
    </row>
    <row r="100" spans="1:8" ht="21" customHeight="1" x14ac:dyDescent="0.15">
      <c r="A100" s="27" t="s">
        <v>492</v>
      </c>
      <c r="B100" s="26" t="str">
        <f t="shared" ca="1" si="5"/>
        <v>ユニット図鑑数が 350 に到達</v>
      </c>
      <c r="C100" s="32" t="s">
        <v>13</v>
      </c>
      <c r="D100" s="26" t="str">
        <f ca="1">VLOOKUP($C100,OFFSET(開放条件!$A$1,0,0,COUNTA($A:$A),MATCH(D$2,開放条件!$1:$1,0)-MATCH($C$2,開放条件!$1:$1,0)+1),MATCH(D$2,開放条件!$1:$1,0)-MATCH($C$2,開放条件!$1:$1,0)+1,FALSE)</f>
        <v>ユニット図鑑数が x に到達</v>
      </c>
      <c r="E100" s="26" t="str">
        <f ca="1">VLOOKUP($C100,OFFSET(開放条件!$A$1,0,0,COUNTA($A:$A),MATCH(E$2,開放条件!$1:$1,0)-MATCH($C$2,開放条件!$1:$1,0)+1),MATCH(E$2,開放条件!$1:$1,0)-MATCH($C$2,開放条件!$1:$1,0)+1,FALSE)</f>
        <v>図鑑数</v>
      </c>
      <c r="F100" s="61">
        <v>350</v>
      </c>
      <c r="G100" s="31" t="str">
        <f ca="1">IF(C100="mission_clear",VLOOKUP(INT($F100),OFFSET(missions!$A$1,0,0,COUNTA(missions!$A:$A),MATCH(G$2,missions!$2:$2,0)-MATCH("mission_id",missions!$2:$2,0)+1),MATCH(G$2,missions!$2:$2,0)-MATCH("mission_id",missions!$2:$2,0)+1,FALSE),IF(C100="quest_clear",VLOOKUP(SUBSTITUTE(F100,"-","_"),OFFSET([2]stages!$A$2,0,0,COUNTA([2]stages!$A:$A),MATCH("name",[2]stages!$2:$2,0)-MATCH("temp_stage",[2]stages!$2:$2,0)+1),MATCH("name",[2]stages!$2:$2,0)-MATCH("temp_stage",[2]stages!$2:$2,0)+1,FALSE),""))</f>
        <v/>
      </c>
      <c r="H100" s="28">
        <v>1</v>
      </c>
    </row>
    <row r="101" spans="1:8" ht="21" customHeight="1" x14ac:dyDescent="0.15">
      <c r="A101" s="27" t="s">
        <v>571</v>
      </c>
      <c r="B101" s="26" t="str">
        <f t="shared" ca="1" si="5"/>
        <v>ユニット図鑑数が 375 に到達</v>
      </c>
      <c r="C101" s="32" t="s">
        <v>13</v>
      </c>
      <c r="D101" s="26" t="str">
        <f ca="1">VLOOKUP($C101,OFFSET(開放条件!$A$1,0,0,COUNTA($A:$A),MATCH(D$2,開放条件!$1:$1,0)-MATCH($C$2,開放条件!$1:$1,0)+1),MATCH(D$2,開放条件!$1:$1,0)-MATCH($C$2,開放条件!$1:$1,0)+1,FALSE)</f>
        <v>ユニット図鑑数が x に到達</v>
      </c>
      <c r="E101" s="26" t="str">
        <f ca="1">VLOOKUP($C101,OFFSET(開放条件!$A$1,0,0,COUNTA($A:$A),MATCH(E$2,開放条件!$1:$1,0)-MATCH($C$2,開放条件!$1:$1,0)+1),MATCH(E$2,開放条件!$1:$1,0)-MATCH($C$2,開放条件!$1:$1,0)+1,FALSE)</f>
        <v>図鑑数</v>
      </c>
      <c r="F101" s="61">
        <v>375</v>
      </c>
      <c r="G101" s="31" t="str">
        <f ca="1">IF(C101="mission_clear",VLOOKUP(INT($F101),OFFSET(missions!$A$1,0,0,COUNTA(missions!$A:$A),MATCH(G$2,missions!$2:$2,0)-MATCH("mission_id",missions!$2:$2,0)+1),MATCH(G$2,missions!$2:$2,0)-MATCH("mission_id",missions!$2:$2,0)+1,FALSE),IF(C101="quest_clear",VLOOKUP(SUBSTITUTE(F101,"-","_"),OFFSET([2]stages!$A$2,0,0,COUNTA([2]stages!$A:$A),MATCH("name",[2]stages!$2:$2,0)-MATCH("temp_stage",[2]stages!$2:$2,0)+1),MATCH("name",[2]stages!$2:$2,0)-MATCH("temp_stage",[2]stages!$2:$2,0)+1,FALSE),""))</f>
        <v/>
      </c>
      <c r="H101" s="28">
        <v>1</v>
      </c>
    </row>
    <row r="102" spans="1:8" ht="21" customHeight="1" x14ac:dyDescent="0.15">
      <c r="A102" s="27" t="s">
        <v>572</v>
      </c>
      <c r="B102" s="26" t="str">
        <f t="shared" ca="1" si="5"/>
        <v>ユニット図鑑数が 400 に到達</v>
      </c>
      <c r="C102" s="32" t="s">
        <v>13</v>
      </c>
      <c r="D102" s="26" t="str">
        <f ca="1">VLOOKUP($C102,OFFSET(開放条件!$A$1,0,0,COUNTA($A:$A),MATCH(D$2,開放条件!$1:$1,0)-MATCH($C$2,開放条件!$1:$1,0)+1),MATCH(D$2,開放条件!$1:$1,0)-MATCH($C$2,開放条件!$1:$1,0)+1,FALSE)</f>
        <v>ユニット図鑑数が x に到達</v>
      </c>
      <c r="E102" s="26" t="str">
        <f ca="1">VLOOKUP($C102,OFFSET(開放条件!$A$1,0,0,COUNTA($A:$A),MATCH(E$2,開放条件!$1:$1,0)-MATCH($C$2,開放条件!$1:$1,0)+1),MATCH(E$2,開放条件!$1:$1,0)-MATCH($C$2,開放条件!$1:$1,0)+1,FALSE)</f>
        <v>図鑑数</v>
      </c>
      <c r="F102" s="61">
        <v>400</v>
      </c>
      <c r="G102" s="31" t="str">
        <f ca="1">IF(C102="mission_clear",VLOOKUP(INT($F102),OFFSET(missions!$A$1,0,0,COUNTA(missions!$A:$A),MATCH(G$2,missions!$2:$2,0)-MATCH("mission_id",missions!$2:$2,0)+1),MATCH(G$2,missions!$2:$2,0)-MATCH("mission_id",missions!$2:$2,0)+1,FALSE),IF(C102="quest_clear",VLOOKUP(SUBSTITUTE(F102,"-","_"),OFFSET([2]stages!$A$2,0,0,COUNTA([2]stages!$A:$A),MATCH("name",[2]stages!$2:$2,0)-MATCH("temp_stage",[2]stages!$2:$2,0)+1),MATCH("name",[2]stages!$2:$2,0)-MATCH("temp_stage",[2]stages!$2:$2,0)+1,FALSE),""))</f>
        <v/>
      </c>
      <c r="H102" s="28">
        <v>1</v>
      </c>
    </row>
    <row r="103" spans="1:8" ht="21" customHeight="1" x14ac:dyDescent="0.15">
      <c r="A103" s="27" t="s">
        <v>573</v>
      </c>
      <c r="B103" s="26" t="str">
        <f t="shared" ca="1" si="5"/>
        <v>ユニット図鑑数が 425 に到達</v>
      </c>
      <c r="C103" s="32" t="s">
        <v>13</v>
      </c>
      <c r="D103" s="26" t="str">
        <f ca="1">VLOOKUP($C103,OFFSET(開放条件!$A$1,0,0,COUNTA($A:$A),MATCH(D$2,開放条件!$1:$1,0)-MATCH($C$2,開放条件!$1:$1,0)+1),MATCH(D$2,開放条件!$1:$1,0)-MATCH($C$2,開放条件!$1:$1,0)+1,FALSE)</f>
        <v>ユニット図鑑数が x に到達</v>
      </c>
      <c r="E103" s="26" t="str">
        <f ca="1">VLOOKUP($C103,OFFSET(開放条件!$A$1,0,0,COUNTA($A:$A),MATCH(E$2,開放条件!$1:$1,0)-MATCH($C$2,開放条件!$1:$1,0)+1),MATCH(E$2,開放条件!$1:$1,0)-MATCH($C$2,開放条件!$1:$1,0)+1,FALSE)</f>
        <v>図鑑数</v>
      </c>
      <c r="F103" s="61">
        <v>425</v>
      </c>
      <c r="G103" s="31" t="str">
        <f ca="1">IF(C103="mission_clear",VLOOKUP(INT($F103),OFFSET(missions!$A$1,0,0,COUNTA(missions!$A:$A),MATCH(G$2,missions!$2:$2,0)-MATCH("mission_id",missions!$2:$2,0)+1),MATCH(G$2,missions!$2:$2,0)-MATCH("mission_id",missions!$2:$2,0)+1,FALSE),IF(C103="quest_clear",VLOOKUP(SUBSTITUTE(F103,"-","_"),OFFSET([2]stages!$A$2,0,0,COUNTA([2]stages!$A:$A),MATCH("name",[2]stages!$2:$2,0)-MATCH("temp_stage",[2]stages!$2:$2,0)+1),MATCH("name",[2]stages!$2:$2,0)-MATCH("temp_stage",[2]stages!$2:$2,0)+1,FALSE),""))</f>
        <v/>
      </c>
      <c r="H103" s="28">
        <v>1</v>
      </c>
    </row>
    <row r="104" spans="1:8" ht="21" customHeight="1" x14ac:dyDescent="0.15">
      <c r="A104" s="27" t="s">
        <v>574</v>
      </c>
      <c r="B104" s="26" t="str">
        <f t="shared" ca="1" si="5"/>
        <v>ユニット図鑑数が 450 に到達</v>
      </c>
      <c r="C104" s="32" t="s">
        <v>13</v>
      </c>
      <c r="D104" s="26" t="str">
        <f ca="1">VLOOKUP($C104,OFFSET(開放条件!$A$1,0,0,COUNTA($A:$A),MATCH(D$2,開放条件!$1:$1,0)-MATCH($C$2,開放条件!$1:$1,0)+1),MATCH(D$2,開放条件!$1:$1,0)-MATCH($C$2,開放条件!$1:$1,0)+1,FALSE)</f>
        <v>ユニット図鑑数が x に到達</v>
      </c>
      <c r="E104" s="26" t="str">
        <f ca="1">VLOOKUP($C104,OFFSET(開放条件!$A$1,0,0,COUNTA($A:$A),MATCH(E$2,開放条件!$1:$1,0)-MATCH($C$2,開放条件!$1:$1,0)+1),MATCH(E$2,開放条件!$1:$1,0)-MATCH($C$2,開放条件!$1:$1,0)+1,FALSE)</f>
        <v>図鑑数</v>
      </c>
      <c r="F104" s="61">
        <v>450</v>
      </c>
      <c r="G104" s="31" t="str">
        <f ca="1">IF(C104="mission_clear",VLOOKUP(INT($F104),OFFSET(missions!$A$1,0,0,COUNTA(missions!$A:$A),MATCH(G$2,missions!$2:$2,0)-MATCH("mission_id",missions!$2:$2,0)+1),MATCH(G$2,missions!$2:$2,0)-MATCH("mission_id",missions!$2:$2,0)+1,FALSE),IF(C104="quest_clear",VLOOKUP(SUBSTITUTE(F104,"-","_"),OFFSET([2]stages!$A$2,0,0,COUNTA([2]stages!$A:$A),MATCH("name",[2]stages!$2:$2,0)-MATCH("temp_stage",[2]stages!$2:$2,0)+1),MATCH("name",[2]stages!$2:$2,0)-MATCH("temp_stage",[2]stages!$2:$2,0)+1,FALSE),""))</f>
        <v/>
      </c>
      <c r="H104" s="28">
        <v>1</v>
      </c>
    </row>
    <row r="105" spans="1:8" ht="21" customHeight="1" x14ac:dyDescent="0.15">
      <c r="A105" s="27" t="s">
        <v>581</v>
      </c>
      <c r="B105" s="26" t="str">
        <f t="shared" ca="1" si="5"/>
        <v>ユニット図鑑数が 475 に到達</v>
      </c>
      <c r="C105" s="32" t="s">
        <v>13</v>
      </c>
      <c r="D105" s="26" t="str">
        <f ca="1">VLOOKUP($C105,OFFSET(開放条件!$A$1,0,0,COUNTA($A:$A),MATCH(D$2,開放条件!$1:$1,0)-MATCH($C$2,開放条件!$1:$1,0)+1),MATCH(D$2,開放条件!$1:$1,0)-MATCH($C$2,開放条件!$1:$1,0)+1,FALSE)</f>
        <v>ユニット図鑑数が x に到達</v>
      </c>
      <c r="E105" s="26" t="str">
        <f ca="1">VLOOKUP($C105,OFFSET(開放条件!$A$1,0,0,COUNTA($A:$A),MATCH(E$2,開放条件!$1:$1,0)-MATCH($C$2,開放条件!$1:$1,0)+1),MATCH(E$2,開放条件!$1:$1,0)-MATCH($C$2,開放条件!$1:$1,0)+1,FALSE)</f>
        <v>図鑑数</v>
      </c>
      <c r="F105" s="61">
        <v>475</v>
      </c>
      <c r="G105" s="31" t="str">
        <f ca="1">IF(C105="mission_clear",VLOOKUP(INT($F105),OFFSET(missions!$A$1,0,0,COUNTA(missions!$A:$A),MATCH(G$2,missions!$2:$2,0)-MATCH("mission_id",missions!$2:$2,0)+1),MATCH(G$2,missions!$2:$2,0)-MATCH("mission_id",missions!$2:$2,0)+1,FALSE),IF(C105="quest_clear",VLOOKUP(SUBSTITUTE(F105,"-","_"),OFFSET([2]stages!$A$2,0,0,COUNTA([2]stages!$A:$A),MATCH("name",[2]stages!$2:$2,0)-MATCH("temp_stage",[2]stages!$2:$2,0)+1),MATCH("name",[2]stages!$2:$2,0)-MATCH("temp_stage",[2]stages!$2:$2,0)+1,FALSE),""))</f>
        <v/>
      </c>
      <c r="H105" s="28">
        <v>1</v>
      </c>
    </row>
    <row r="106" spans="1:8" ht="21" customHeight="1" x14ac:dyDescent="0.15">
      <c r="A106" s="27" t="s">
        <v>583</v>
      </c>
      <c r="B106" s="26" t="str">
        <f t="shared" ca="1" si="5"/>
        <v>ユニット図鑑数が 500 に到達</v>
      </c>
      <c r="C106" s="32" t="s">
        <v>13</v>
      </c>
      <c r="D106" s="26" t="str">
        <f ca="1">VLOOKUP($C106,OFFSET(開放条件!$A$1,0,0,COUNTA($A:$A),MATCH(D$2,開放条件!$1:$1,0)-MATCH($C$2,開放条件!$1:$1,0)+1),MATCH(D$2,開放条件!$1:$1,0)-MATCH($C$2,開放条件!$1:$1,0)+1,FALSE)</f>
        <v>ユニット図鑑数が x に到達</v>
      </c>
      <c r="E106" s="26" t="str">
        <f ca="1">VLOOKUP($C106,OFFSET(開放条件!$A$1,0,0,COUNTA($A:$A),MATCH(E$2,開放条件!$1:$1,0)-MATCH($C$2,開放条件!$1:$1,0)+1),MATCH(E$2,開放条件!$1:$1,0)-MATCH($C$2,開放条件!$1:$1,0)+1,FALSE)</f>
        <v>図鑑数</v>
      </c>
      <c r="F106" s="61">
        <v>500</v>
      </c>
      <c r="G106" s="31" t="str">
        <f ca="1">IF(C106="mission_clear",VLOOKUP(INT($F106),OFFSET(missions!$A$1,0,0,COUNTA(missions!$A:$A),MATCH(G$2,missions!$2:$2,0)-MATCH("mission_id",missions!$2:$2,0)+1),MATCH(G$2,missions!$2:$2,0)-MATCH("mission_id",missions!$2:$2,0)+1,FALSE),IF(C106="quest_clear",VLOOKUP(SUBSTITUTE(F106,"-","_"),OFFSET([2]stages!$A$2,0,0,COUNTA([2]stages!$A:$A),MATCH("name",[2]stages!$2:$2,0)-MATCH("temp_stage",[2]stages!$2:$2,0)+1),MATCH("name",[2]stages!$2:$2,0)-MATCH("temp_stage",[2]stages!$2:$2,0)+1,FALSE),""))</f>
        <v/>
      </c>
      <c r="H106" s="28">
        <v>1</v>
      </c>
    </row>
    <row r="107" spans="1:8" ht="21" customHeight="1" x14ac:dyDescent="0.15">
      <c r="A107" s="27" t="s">
        <v>585</v>
      </c>
      <c r="B107" s="26" t="str">
        <f t="shared" ca="1" si="5"/>
        <v>ユニット図鑑数が 525 に到達</v>
      </c>
      <c r="C107" s="32" t="s">
        <v>13</v>
      </c>
      <c r="D107" s="26" t="str">
        <f ca="1">VLOOKUP($C107,OFFSET(開放条件!$A$1,0,0,COUNTA($A:$A),MATCH(D$2,開放条件!$1:$1,0)-MATCH($C$2,開放条件!$1:$1,0)+1),MATCH(D$2,開放条件!$1:$1,0)-MATCH($C$2,開放条件!$1:$1,0)+1,FALSE)</f>
        <v>ユニット図鑑数が x に到達</v>
      </c>
      <c r="E107" s="26" t="str">
        <f ca="1">VLOOKUP($C107,OFFSET(開放条件!$A$1,0,0,COUNTA($A:$A),MATCH(E$2,開放条件!$1:$1,0)-MATCH($C$2,開放条件!$1:$1,0)+1),MATCH(E$2,開放条件!$1:$1,0)-MATCH($C$2,開放条件!$1:$1,0)+1,FALSE)</f>
        <v>図鑑数</v>
      </c>
      <c r="F107" s="61">
        <v>525</v>
      </c>
      <c r="G107" s="31" t="str">
        <f ca="1">IF(C107="mission_clear",VLOOKUP(INT($F107),OFFSET(missions!$A$1,0,0,COUNTA(missions!$A:$A),MATCH(G$2,missions!$2:$2,0)-MATCH("mission_id",missions!$2:$2,0)+1),MATCH(G$2,missions!$2:$2,0)-MATCH("mission_id",missions!$2:$2,0)+1,FALSE),IF(C107="quest_clear",VLOOKUP(SUBSTITUTE(F107,"-","_"),OFFSET([2]stages!$A$2,0,0,COUNTA([2]stages!$A:$A),MATCH("name",[2]stages!$2:$2,0)-MATCH("temp_stage",[2]stages!$2:$2,0)+1),MATCH("name",[2]stages!$2:$2,0)-MATCH("temp_stage",[2]stages!$2:$2,0)+1,FALSE),""))</f>
        <v/>
      </c>
      <c r="H107" s="28">
        <v>1</v>
      </c>
    </row>
    <row r="108" spans="1:8" ht="21" customHeight="1" x14ac:dyDescent="0.15">
      <c r="A108" s="27" t="s">
        <v>587</v>
      </c>
      <c r="B108" s="26" t="str">
        <f t="shared" ca="1" si="5"/>
        <v>ユニット図鑑数が 550 に到達</v>
      </c>
      <c r="C108" s="32" t="s">
        <v>13</v>
      </c>
      <c r="D108" s="26" t="str">
        <f ca="1">VLOOKUP($C108,OFFSET(開放条件!$A$1,0,0,COUNTA($A:$A),MATCH(D$2,開放条件!$1:$1,0)-MATCH($C$2,開放条件!$1:$1,0)+1),MATCH(D$2,開放条件!$1:$1,0)-MATCH($C$2,開放条件!$1:$1,0)+1,FALSE)</f>
        <v>ユニット図鑑数が x に到達</v>
      </c>
      <c r="E108" s="26" t="str">
        <f ca="1">VLOOKUP($C108,OFFSET(開放条件!$A$1,0,0,COUNTA($A:$A),MATCH(E$2,開放条件!$1:$1,0)-MATCH($C$2,開放条件!$1:$1,0)+1),MATCH(E$2,開放条件!$1:$1,0)-MATCH($C$2,開放条件!$1:$1,0)+1,FALSE)</f>
        <v>図鑑数</v>
      </c>
      <c r="F108" s="61">
        <v>550</v>
      </c>
      <c r="G108" s="31" t="str">
        <f ca="1">IF(C108="mission_clear",VLOOKUP(INT($F108),OFFSET(missions!$A$1,0,0,COUNTA(missions!$A:$A),MATCH(G$2,missions!$2:$2,0)-MATCH("mission_id",missions!$2:$2,0)+1),MATCH(G$2,missions!$2:$2,0)-MATCH("mission_id",missions!$2:$2,0)+1,FALSE),IF(C108="quest_clear",VLOOKUP(SUBSTITUTE(F108,"-","_"),OFFSET([2]stages!$A$2,0,0,COUNTA([2]stages!$A:$A),MATCH("name",[2]stages!$2:$2,0)-MATCH("temp_stage",[2]stages!$2:$2,0)+1),MATCH("name",[2]stages!$2:$2,0)-MATCH("temp_stage",[2]stages!$2:$2,0)+1,FALSE),""))</f>
        <v/>
      </c>
      <c r="H108" s="28">
        <v>1</v>
      </c>
    </row>
    <row r="109" spans="1:8" ht="21" customHeight="1" x14ac:dyDescent="0.15">
      <c r="A109" s="27" t="s">
        <v>589</v>
      </c>
      <c r="B109" s="26" t="str">
        <f t="shared" ca="1" si="5"/>
        <v>ユニット図鑑数が 575 に到達</v>
      </c>
      <c r="C109" s="32" t="s">
        <v>13</v>
      </c>
      <c r="D109" s="26" t="str">
        <f ca="1">VLOOKUP($C109,OFFSET(開放条件!$A$1,0,0,COUNTA($A:$A),MATCH(D$2,開放条件!$1:$1,0)-MATCH($C$2,開放条件!$1:$1,0)+1),MATCH(D$2,開放条件!$1:$1,0)-MATCH($C$2,開放条件!$1:$1,0)+1,FALSE)</f>
        <v>ユニット図鑑数が x に到達</v>
      </c>
      <c r="E109" s="26" t="str">
        <f ca="1">VLOOKUP($C109,OFFSET(開放条件!$A$1,0,0,COUNTA($A:$A),MATCH(E$2,開放条件!$1:$1,0)-MATCH($C$2,開放条件!$1:$1,0)+1),MATCH(E$2,開放条件!$1:$1,0)-MATCH($C$2,開放条件!$1:$1,0)+1,FALSE)</f>
        <v>図鑑数</v>
      </c>
      <c r="F109" s="61">
        <v>575</v>
      </c>
      <c r="G109" s="31" t="str">
        <f ca="1">IF(C109="mission_clear",VLOOKUP(INT($F109),OFFSET(missions!$A$1,0,0,COUNTA(missions!$A:$A),MATCH(G$2,missions!$2:$2,0)-MATCH("mission_id",missions!$2:$2,0)+1),MATCH(G$2,missions!$2:$2,0)-MATCH("mission_id",missions!$2:$2,0)+1,FALSE),IF(C109="quest_clear",VLOOKUP(SUBSTITUTE(F109,"-","_"),OFFSET([2]stages!$A$2,0,0,COUNTA([2]stages!$A:$A),MATCH("name",[2]stages!$2:$2,0)-MATCH("temp_stage",[2]stages!$2:$2,0)+1),MATCH("name",[2]stages!$2:$2,0)-MATCH("temp_stage",[2]stages!$2:$2,0)+1,FALSE),""))</f>
        <v/>
      </c>
      <c r="H109" s="28">
        <v>1</v>
      </c>
    </row>
    <row r="110" spans="1:8" ht="21" customHeight="1" x14ac:dyDescent="0.15">
      <c r="A110" s="27" t="s">
        <v>591</v>
      </c>
      <c r="B110" s="26" t="str">
        <f t="shared" ca="1" si="5"/>
        <v>ユニット図鑑数が 600 に到達</v>
      </c>
      <c r="C110" s="32" t="s">
        <v>13</v>
      </c>
      <c r="D110" s="26" t="str">
        <f ca="1">VLOOKUP($C110,OFFSET(開放条件!$A$1,0,0,COUNTA($A:$A),MATCH(D$2,開放条件!$1:$1,0)-MATCH($C$2,開放条件!$1:$1,0)+1),MATCH(D$2,開放条件!$1:$1,0)-MATCH($C$2,開放条件!$1:$1,0)+1,FALSE)</f>
        <v>ユニット図鑑数が x に到達</v>
      </c>
      <c r="E110" s="26" t="str">
        <f ca="1">VLOOKUP($C110,OFFSET(開放条件!$A$1,0,0,COUNTA($A:$A),MATCH(E$2,開放条件!$1:$1,0)-MATCH($C$2,開放条件!$1:$1,0)+1),MATCH(E$2,開放条件!$1:$1,0)-MATCH($C$2,開放条件!$1:$1,0)+1,FALSE)</f>
        <v>図鑑数</v>
      </c>
      <c r="F110" s="61">
        <v>600</v>
      </c>
      <c r="G110" s="31" t="str">
        <f ca="1">IF(C110="mission_clear",VLOOKUP(INT($F110),OFFSET(missions!$A$1,0,0,COUNTA(missions!$A:$A),MATCH(G$2,missions!$2:$2,0)-MATCH("mission_id",missions!$2:$2,0)+1),MATCH(G$2,missions!$2:$2,0)-MATCH("mission_id",missions!$2:$2,0)+1,FALSE),IF(C110="quest_clear",VLOOKUP(SUBSTITUTE(F110,"-","_"),OFFSET([2]stages!$A$2,0,0,COUNTA([2]stages!$A:$A),MATCH("name",[2]stages!$2:$2,0)-MATCH("temp_stage",[2]stages!$2:$2,0)+1),MATCH("name",[2]stages!$2:$2,0)-MATCH("temp_stage",[2]stages!$2:$2,0)+1,FALSE),""))</f>
        <v/>
      </c>
      <c r="H110" s="28">
        <v>1</v>
      </c>
    </row>
    <row r="111" spans="1:8" ht="21" customHeight="1" x14ac:dyDescent="0.15">
      <c r="A111" s="27" t="s">
        <v>593</v>
      </c>
      <c r="B111" s="26" t="str">
        <f t="shared" ca="1" si="5"/>
        <v>ユニット図鑑数が 625 に到達</v>
      </c>
      <c r="C111" s="32" t="s">
        <v>13</v>
      </c>
      <c r="D111" s="26" t="str">
        <f ca="1">VLOOKUP($C111,OFFSET(開放条件!$A$1,0,0,COUNTA($A:$A),MATCH(D$2,開放条件!$1:$1,0)-MATCH($C$2,開放条件!$1:$1,0)+1),MATCH(D$2,開放条件!$1:$1,0)-MATCH($C$2,開放条件!$1:$1,0)+1,FALSE)</f>
        <v>ユニット図鑑数が x に到達</v>
      </c>
      <c r="E111" s="26" t="str">
        <f ca="1">VLOOKUP($C111,OFFSET(開放条件!$A$1,0,0,COUNTA($A:$A),MATCH(E$2,開放条件!$1:$1,0)-MATCH($C$2,開放条件!$1:$1,0)+1),MATCH(E$2,開放条件!$1:$1,0)-MATCH($C$2,開放条件!$1:$1,0)+1,FALSE)</f>
        <v>図鑑数</v>
      </c>
      <c r="F111" s="61">
        <v>625</v>
      </c>
      <c r="G111" s="31" t="str">
        <f ca="1">IF(C111="mission_clear",VLOOKUP(INT($F111),OFFSET(missions!$A$1,0,0,COUNTA(missions!$A:$A),MATCH(G$2,missions!$2:$2,0)-MATCH("mission_id",missions!$2:$2,0)+1),MATCH(G$2,missions!$2:$2,0)-MATCH("mission_id",missions!$2:$2,0)+1,FALSE),IF(C111="quest_clear",VLOOKUP(SUBSTITUTE(F111,"-","_"),OFFSET([2]stages!$A$2,0,0,COUNTA([2]stages!$A:$A),MATCH("name",[2]stages!$2:$2,0)-MATCH("temp_stage",[2]stages!$2:$2,0)+1),MATCH("name",[2]stages!$2:$2,0)-MATCH("temp_stage",[2]stages!$2:$2,0)+1,FALSE),""))</f>
        <v/>
      </c>
      <c r="H111" s="28">
        <v>1</v>
      </c>
    </row>
    <row r="112" spans="1:8" ht="21" customHeight="1" x14ac:dyDescent="0.15">
      <c r="A112" s="27" t="s">
        <v>595</v>
      </c>
      <c r="B112" s="26" t="str">
        <f t="shared" ca="1" si="5"/>
        <v>ユニット図鑑数が 650 に到達</v>
      </c>
      <c r="C112" s="32" t="s">
        <v>13</v>
      </c>
      <c r="D112" s="26" t="str">
        <f ca="1">VLOOKUP($C112,OFFSET(開放条件!$A$1,0,0,COUNTA($A:$A),MATCH(D$2,開放条件!$1:$1,0)-MATCH($C$2,開放条件!$1:$1,0)+1),MATCH(D$2,開放条件!$1:$1,0)-MATCH($C$2,開放条件!$1:$1,0)+1,FALSE)</f>
        <v>ユニット図鑑数が x に到達</v>
      </c>
      <c r="E112" s="26" t="str">
        <f ca="1">VLOOKUP($C112,OFFSET(開放条件!$A$1,0,0,COUNTA($A:$A),MATCH(E$2,開放条件!$1:$1,0)-MATCH($C$2,開放条件!$1:$1,0)+1),MATCH(E$2,開放条件!$1:$1,0)-MATCH($C$2,開放条件!$1:$1,0)+1,FALSE)</f>
        <v>図鑑数</v>
      </c>
      <c r="F112" s="61">
        <v>650</v>
      </c>
      <c r="G112" s="31" t="str">
        <f ca="1">IF(C112="mission_clear",VLOOKUP(INT($F112),OFFSET(missions!$A$1,0,0,COUNTA(missions!$A:$A),MATCH(G$2,missions!$2:$2,0)-MATCH("mission_id",missions!$2:$2,0)+1),MATCH(G$2,missions!$2:$2,0)-MATCH("mission_id",missions!$2:$2,0)+1,FALSE),IF(C112="quest_clear",VLOOKUP(SUBSTITUTE(F112,"-","_"),OFFSET([2]stages!$A$2,0,0,COUNTA([2]stages!$A:$A),MATCH("name",[2]stages!$2:$2,0)-MATCH("temp_stage",[2]stages!$2:$2,0)+1),MATCH("name",[2]stages!$2:$2,0)-MATCH("temp_stage",[2]stages!$2:$2,0)+1,FALSE),""))</f>
        <v/>
      </c>
      <c r="H112" s="28">
        <v>1</v>
      </c>
    </row>
    <row r="113" spans="1:8" ht="21" customHeight="1" x14ac:dyDescent="0.15">
      <c r="A113" s="27" t="s">
        <v>597</v>
      </c>
      <c r="B113" s="26" t="str">
        <f t="shared" ca="1" si="5"/>
        <v>ユニット図鑑数が 675 に到達</v>
      </c>
      <c r="C113" s="32" t="s">
        <v>13</v>
      </c>
      <c r="D113" s="26" t="str">
        <f ca="1">VLOOKUP($C113,OFFSET(開放条件!$A$1,0,0,COUNTA($A:$A),MATCH(D$2,開放条件!$1:$1,0)-MATCH($C$2,開放条件!$1:$1,0)+1),MATCH(D$2,開放条件!$1:$1,0)-MATCH($C$2,開放条件!$1:$1,0)+1,FALSE)</f>
        <v>ユニット図鑑数が x に到達</v>
      </c>
      <c r="E113" s="26" t="str">
        <f ca="1">VLOOKUP($C113,OFFSET(開放条件!$A$1,0,0,COUNTA($A:$A),MATCH(E$2,開放条件!$1:$1,0)-MATCH($C$2,開放条件!$1:$1,0)+1),MATCH(E$2,開放条件!$1:$1,0)-MATCH($C$2,開放条件!$1:$1,0)+1,FALSE)</f>
        <v>図鑑数</v>
      </c>
      <c r="F113" s="61">
        <v>675</v>
      </c>
      <c r="G113" s="31" t="str">
        <f ca="1">IF(C113="mission_clear",VLOOKUP(INT($F113),OFFSET(missions!$A$1,0,0,COUNTA(missions!$A:$A),MATCH(G$2,missions!$2:$2,0)-MATCH("mission_id",missions!$2:$2,0)+1),MATCH(G$2,missions!$2:$2,0)-MATCH("mission_id",missions!$2:$2,0)+1,FALSE),IF(C113="quest_clear",VLOOKUP(SUBSTITUTE(F113,"-","_"),OFFSET([2]stages!$A$2,0,0,COUNTA([2]stages!$A:$A),MATCH("name",[2]stages!$2:$2,0)-MATCH("temp_stage",[2]stages!$2:$2,0)+1),MATCH("name",[2]stages!$2:$2,0)-MATCH("temp_stage",[2]stages!$2:$2,0)+1,FALSE),""))</f>
        <v/>
      </c>
      <c r="H113" s="28">
        <v>1</v>
      </c>
    </row>
    <row r="114" spans="1:8" ht="21" customHeight="1" x14ac:dyDescent="0.15">
      <c r="A114" s="27" t="s">
        <v>599</v>
      </c>
      <c r="B114" s="26" t="str">
        <f t="shared" ca="1" si="5"/>
        <v>ユニット図鑑数が 700 に到達</v>
      </c>
      <c r="C114" s="32" t="s">
        <v>13</v>
      </c>
      <c r="D114" s="26" t="str">
        <f ca="1">VLOOKUP($C114,OFFSET(開放条件!$A$1,0,0,COUNTA($A:$A),MATCH(D$2,開放条件!$1:$1,0)-MATCH($C$2,開放条件!$1:$1,0)+1),MATCH(D$2,開放条件!$1:$1,0)-MATCH($C$2,開放条件!$1:$1,0)+1,FALSE)</f>
        <v>ユニット図鑑数が x に到達</v>
      </c>
      <c r="E114" s="26" t="str">
        <f ca="1">VLOOKUP($C114,OFFSET(開放条件!$A$1,0,0,COUNTA($A:$A),MATCH(E$2,開放条件!$1:$1,0)-MATCH($C$2,開放条件!$1:$1,0)+1),MATCH(E$2,開放条件!$1:$1,0)-MATCH($C$2,開放条件!$1:$1,0)+1,FALSE)</f>
        <v>図鑑数</v>
      </c>
      <c r="F114" s="61">
        <v>700</v>
      </c>
      <c r="G114" s="31" t="str">
        <f ca="1">IF(C114="mission_clear",VLOOKUP(INT($F114),OFFSET(missions!$A$1,0,0,COUNTA(missions!$A:$A),MATCH(G$2,missions!$2:$2,0)-MATCH("mission_id",missions!$2:$2,0)+1),MATCH(G$2,missions!$2:$2,0)-MATCH("mission_id",missions!$2:$2,0)+1,FALSE),IF(C114="quest_clear",VLOOKUP(SUBSTITUTE(F114,"-","_"),OFFSET([2]stages!$A$2,0,0,COUNTA([2]stages!$A:$A),MATCH("name",[2]stages!$2:$2,0)-MATCH("temp_stage",[2]stages!$2:$2,0)+1),MATCH("name",[2]stages!$2:$2,0)-MATCH("temp_stage",[2]stages!$2:$2,0)+1,FALSE),""))</f>
        <v/>
      </c>
      <c r="H114" s="28">
        <v>1</v>
      </c>
    </row>
    <row r="115" spans="1:8" ht="21" customHeight="1" x14ac:dyDescent="0.15">
      <c r="A115" s="27" t="s">
        <v>601</v>
      </c>
      <c r="B115" s="26" t="str">
        <f t="shared" ca="1" si="5"/>
        <v>ユニット図鑑数が 725 に到達</v>
      </c>
      <c r="C115" s="32" t="s">
        <v>13</v>
      </c>
      <c r="D115" s="26" t="str">
        <f ca="1">VLOOKUP($C115,OFFSET(開放条件!$A$1,0,0,COUNTA($A:$A),MATCH(D$2,開放条件!$1:$1,0)-MATCH($C$2,開放条件!$1:$1,0)+1),MATCH(D$2,開放条件!$1:$1,0)-MATCH($C$2,開放条件!$1:$1,0)+1,FALSE)</f>
        <v>ユニット図鑑数が x に到達</v>
      </c>
      <c r="E115" s="26" t="str">
        <f ca="1">VLOOKUP($C115,OFFSET(開放条件!$A$1,0,0,COUNTA($A:$A),MATCH(E$2,開放条件!$1:$1,0)-MATCH($C$2,開放条件!$1:$1,0)+1),MATCH(E$2,開放条件!$1:$1,0)-MATCH($C$2,開放条件!$1:$1,0)+1,FALSE)</f>
        <v>図鑑数</v>
      </c>
      <c r="F115" s="61">
        <v>725</v>
      </c>
      <c r="G115" s="31" t="str">
        <f ca="1">IF(C115="mission_clear",VLOOKUP(INT($F115),OFFSET(missions!$A$1,0,0,COUNTA(missions!$A:$A),MATCH(G$2,missions!$2:$2,0)-MATCH("mission_id",missions!$2:$2,0)+1),MATCH(G$2,missions!$2:$2,0)-MATCH("mission_id",missions!$2:$2,0)+1,FALSE),IF(C115="quest_clear",VLOOKUP(SUBSTITUTE(F115,"-","_"),OFFSET([2]stages!$A$2,0,0,COUNTA([2]stages!$A:$A),MATCH("name",[2]stages!$2:$2,0)-MATCH("temp_stage",[2]stages!$2:$2,0)+1),MATCH("name",[2]stages!$2:$2,0)-MATCH("temp_stage",[2]stages!$2:$2,0)+1,FALSE),""))</f>
        <v/>
      </c>
      <c r="H115" s="28">
        <v>1</v>
      </c>
    </row>
    <row r="116" spans="1:8" ht="21" customHeight="1" x14ac:dyDescent="0.15">
      <c r="A116" s="27" t="s">
        <v>603</v>
      </c>
      <c r="B116" s="26" t="str">
        <f t="shared" ca="1" si="5"/>
        <v>ユニット図鑑数が 750 に到達</v>
      </c>
      <c r="C116" s="32" t="s">
        <v>13</v>
      </c>
      <c r="D116" s="26" t="str">
        <f ca="1">VLOOKUP($C116,OFFSET(開放条件!$A$1,0,0,COUNTA($A:$A),MATCH(D$2,開放条件!$1:$1,0)-MATCH($C$2,開放条件!$1:$1,0)+1),MATCH(D$2,開放条件!$1:$1,0)-MATCH($C$2,開放条件!$1:$1,0)+1,FALSE)</f>
        <v>ユニット図鑑数が x に到達</v>
      </c>
      <c r="E116" s="26" t="str">
        <f ca="1">VLOOKUP($C116,OFFSET(開放条件!$A$1,0,0,COUNTA($A:$A),MATCH(E$2,開放条件!$1:$1,0)-MATCH($C$2,開放条件!$1:$1,0)+1),MATCH(E$2,開放条件!$1:$1,0)-MATCH($C$2,開放条件!$1:$1,0)+1,FALSE)</f>
        <v>図鑑数</v>
      </c>
      <c r="F116" s="61">
        <v>750</v>
      </c>
      <c r="G116" s="31" t="str">
        <f ca="1">IF(C116="mission_clear",VLOOKUP(INT($F116),OFFSET(missions!$A$1,0,0,COUNTA(missions!$A:$A),MATCH(G$2,missions!$2:$2,0)-MATCH("mission_id",missions!$2:$2,0)+1),MATCH(G$2,missions!$2:$2,0)-MATCH("mission_id",missions!$2:$2,0)+1,FALSE),IF(C116="quest_clear",VLOOKUP(SUBSTITUTE(F116,"-","_"),OFFSET([2]stages!$A$2,0,0,COUNTA([2]stages!$A:$A),MATCH("name",[2]stages!$2:$2,0)-MATCH("temp_stage",[2]stages!$2:$2,0)+1),MATCH("name",[2]stages!$2:$2,0)-MATCH("temp_stage",[2]stages!$2:$2,0)+1,FALSE),""))</f>
        <v/>
      </c>
      <c r="H116" s="28">
        <v>1</v>
      </c>
    </row>
    <row r="117" spans="1:8" ht="21" customHeight="1" x14ac:dyDescent="0.15">
      <c r="A117" s="27" t="s">
        <v>605</v>
      </c>
      <c r="B117" s="26" t="str">
        <f t="shared" ca="1" si="5"/>
        <v>ユニット図鑑数が 775 に到達</v>
      </c>
      <c r="C117" s="32" t="s">
        <v>13</v>
      </c>
      <c r="D117" s="26" t="str">
        <f ca="1">VLOOKUP($C117,OFFSET(開放条件!$A$1,0,0,COUNTA($A:$A),MATCH(D$2,開放条件!$1:$1,0)-MATCH($C$2,開放条件!$1:$1,0)+1),MATCH(D$2,開放条件!$1:$1,0)-MATCH($C$2,開放条件!$1:$1,0)+1,FALSE)</f>
        <v>ユニット図鑑数が x に到達</v>
      </c>
      <c r="E117" s="26" t="str">
        <f ca="1">VLOOKUP($C117,OFFSET(開放条件!$A$1,0,0,COUNTA($A:$A),MATCH(E$2,開放条件!$1:$1,0)-MATCH($C$2,開放条件!$1:$1,0)+1),MATCH(E$2,開放条件!$1:$1,0)-MATCH($C$2,開放条件!$1:$1,0)+1,FALSE)</f>
        <v>図鑑数</v>
      </c>
      <c r="F117" s="61">
        <v>775</v>
      </c>
      <c r="G117" s="31" t="str">
        <f ca="1">IF(C117="mission_clear",VLOOKUP(INT($F117),OFFSET(missions!$A$1,0,0,COUNTA(missions!$A:$A),MATCH(G$2,missions!$2:$2,0)-MATCH("mission_id",missions!$2:$2,0)+1),MATCH(G$2,missions!$2:$2,0)-MATCH("mission_id",missions!$2:$2,0)+1,FALSE),IF(C117="quest_clear",VLOOKUP(SUBSTITUTE(F117,"-","_"),OFFSET([2]stages!$A$2,0,0,COUNTA([2]stages!$A:$A),MATCH("name",[2]stages!$2:$2,0)-MATCH("temp_stage",[2]stages!$2:$2,0)+1),MATCH("name",[2]stages!$2:$2,0)-MATCH("temp_stage",[2]stages!$2:$2,0)+1,FALSE),""))</f>
        <v/>
      </c>
      <c r="H117" s="28">
        <v>1</v>
      </c>
    </row>
    <row r="118" spans="1:8" ht="21" customHeight="1" x14ac:dyDescent="0.15">
      <c r="A118" s="27" t="s">
        <v>607</v>
      </c>
      <c r="B118" s="26" t="str">
        <f t="shared" ca="1" si="5"/>
        <v>ユニット図鑑数が 800 に到達</v>
      </c>
      <c r="C118" s="32" t="s">
        <v>13</v>
      </c>
      <c r="D118" s="26" t="str">
        <f ca="1">VLOOKUP($C118,OFFSET(開放条件!$A$1,0,0,COUNTA($A:$A),MATCH(D$2,開放条件!$1:$1,0)-MATCH($C$2,開放条件!$1:$1,0)+1),MATCH(D$2,開放条件!$1:$1,0)-MATCH($C$2,開放条件!$1:$1,0)+1,FALSE)</f>
        <v>ユニット図鑑数が x に到達</v>
      </c>
      <c r="E118" s="26" t="str">
        <f ca="1">VLOOKUP($C118,OFFSET(開放条件!$A$1,0,0,COUNTA($A:$A),MATCH(E$2,開放条件!$1:$1,0)-MATCH($C$2,開放条件!$1:$1,0)+1),MATCH(E$2,開放条件!$1:$1,0)-MATCH($C$2,開放条件!$1:$1,0)+1,FALSE)</f>
        <v>図鑑数</v>
      </c>
      <c r="F118" s="61">
        <v>800</v>
      </c>
      <c r="G118" s="31" t="str">
        <f ca="1">IF(C118="mission_clear",VLOOKUP(INT($F118),OFFSET(missions!$A$1,0,0,COUNTA(missions!$A:$A),MATCH(G$2,missions!$2:$2,0)-MATCH("mission_id",missions!$2:$2,0)+1),MATCH(G$2,missions!$2:$2,0)-MATCH("mission_id",missions!$2:$2,0)+1,FALSE),IF(C118="quest_clear",VLOOKUP(SUBSTITUTE(F118,"-","_"),OFFSET([2]stages!$A$2,0,0,COUNTA([2]stages!$A:$A),MATCH("name",[2]stages!$2:$2,0)-MATCH("temp_stage",[2]stages!$2:$2,0)+1),MATCH("name",[2]stages!$2:$2,0)-MATCH("temp_stage",[2]stages!$2:$2,0)+1,FALSE),""))</f>
        <v/>
      </c>
      <c r="H118" s="28">
        <v>1</v>
      </c>
    </row>
    <row r="119" spans="1:8" ht="21" customHeight="1" x14ac:dyDescent="0.15">
      <c r="A119" s="27" t="s">
        <v>609</v>
      </c>
      <c r="B119" s="26" t="str">
        <f t="shared" ca="1" si="5"/>
        <v>ユニット図鑑数が 825 に到達</v>
      </c>
      <c r="C119" s="32" t="s">
        <v>13</v>
      </c>
      <c r="D119" s="26" t="str">
        <f ca="1">VLOOKUP($C119,OFFSET(開放条件!$A$1,0,0,COUNTA($A:$A),MATCH(D$2,開放条件!$1:$1,0)-MATCH($C$2,開放条件!$1:$1,0)+1),MATCH(D$2,開放条件!$1:$1,0)-MATCH($C$2,開放条件!$1:$1,0)+1,FALSE)</f>
        <v>ユニット図鑑数が x に到達</v>
      </c>
      <c r="E119" s="26" t="str">
        <f ca="1">VLOOKUP($C119,OFFSET(開放条件!$A$1,0,0,COUNTA($A:$A),MATCH(E$2,開放条件!$1:$1,0)-MATCH($C$2,開放条件!$1:$1,0)+1),MATCH(E$2,開放条件!$1:$1,0)-MATCH($C$2,開放条件!$1:$1,0)+1,FALSE)</f>
        <v>図鑑数</v>
      </c>
      <c r="F119" s="61">
        <v>825</v>
      </c>
      <c r="G119" s="31" t="str">
        <f ca="1">IF(C119="mission_clear",VLOOKUP(INT($F119),OFFSET(missions!$A$1,0,0,COUNTA(missions!$A:$A),MATCH(G$2,missions!$2:$2,0)-MATCH("mission_id",missions!$2:$2,0)+1),MATCH(G$2,missions!$2:$2,0)-MATCH("mission_id",missions!$2:$2,0)+1,FALSE),IF(C119="quest_clear",VLOOKUP(SUBSTITUTE(F119,"-","_"),OFFSET([2]stages!$A$2,0,0,COUNTA([2]stages!$A:$A),MATCH("name",[2]stages!$2:$2,0)-MATCH("temp_stage",[2]stages!$2:$2,0)+1),MATCH("name",[2]stages!$2:$2,0)-MATCH("temp_stage",[2]stages!$2:$2,0)+1,FALSE),""))</f>
        <v/>
      </c>
      <c r="H119" s="28">
        <v>1</v>
      </c>
    </row>
    <row r="120" spans="1:8" ht="21" customHeight="1" x14ac:dyDescent="0.15">
      <c r="A120" s="27" t="s">
        <v>611</v>
      </c>
      <c r="B120" s="26" t="str">
        <f t="shared" ca="1" si="5"/>
        <v>ユニット図鑑数が 850 に到達</v>
      </c>
      <c r="C120" s="32" t="s">
        <v>13</v>
      </c>
      <c r="D120" s="26" t="str">
        <f ca="1">VLOOKUP($C120,OFFSET(開放条件!$A$1,0,0,COUNTA($A:$A),MATCH(D$2,開放条件!$1:$1,0)-MATCH($C$2,開放条件!$1:$1,0)+1),MATCH(D$2,開放条件!$1:$1,0)-MATCH($C$2,開放条件!$1:$1,0)+1,FALSE)</f>
        <v>ユニット図鑑数が x に到達</v>
      </c>
      <c r="E120" s="26" t="str">
        <f ca="1">VLOOKUP($C120,OFFSET(開放条件!$A$1,0,0,COUNTA($A:$A),MATCH(E$2,開放条件!$1:$1,0)-MATCH($C$2,開放条件!$1:$1,0)+1),MATCH(E$2,開放条件!$1:$1,0)-MATCH($C$2,開放条件!$1:$1,0)+1,FALSE)</f>
        <v>図鑑数</v>
      </c>
      <c r="F120" s="61">
        <v>850</v>
      </c>
      <c r="G120" s="31" t="str">
        <f ca="1">IF(C120="mission_clear",VLOOKUP(INT($F120),OFFSET(missions!$A$1,0,0,COUNTA(missions!$A:$A),MATCH(G$2,missions!$2:$2,0)-MATCH("mission_id",missions!$2:$2,0)+1),MATCH(G$2,missions!$2:$2,0)-MATCH("mission_id",missions!$2:$2,0)+1,FALSE),IF(C120="quest_clear",VLOOKUP(SUBSTITUTE(F120,"-","_"),OFFSET([2]stages!$A$2,0,0,COUNTA([2]stages!$A:$A),MATCH("name",[2]stages!$2:$2,0)-MATCH("temp_stage",[2]stages!$2:$2,0)+1),MATCH("name",[2]stages!$2:$2,0)-MATCH("temp_stage",[2]stages!$2:$2,0)+1,FALSE),""))</f>
        <v/>
      </c>
      <c r="H120" s="28">
        <v>1</v>
      </c>
    </row>
    <row r="121" spans="1:8" ht="21" customHeight="1" x14ac:dyDescent="0.15">
      <c r="A121" s="27" t="s">
        <v>613</v>
      </c>
      <c r="B121" s="26" t="str">
        <f t="shared" ca="1" si="5"/>
        <v>ユニット図鑑数が 875 に到達</v>
      </c>
      <c r="C121" s="32" t="s">
        <v>13</v>
      </c>
      <c r="D121" s="26" t="str">
        <f ca="1">VLOOKUP($C121,OFFSET(開放条件!$A$1,0,0,COUNTA($A:$A),MATCH(D$2,開放条件!$1:$1,0)-MATCH($C$2,開放条件!$1:$1,0)+1),MATCH(D$2,開放条件!$1:$1,0)-MATCH($C$2,開放条件!$1:$1,0)+1,FALSE)</f>
        <v>ユニット図鑑数が x に到達</v>
      </c>
      <c r="E121" s="26" t="str">
        <f ca="1">VLOOKUP($C121,OFFSET(開放条件!$A$1,0,0,COUNTA($A:$A),MATCH(E$2,開放条件!$1:$1,0)-MATCH($C$2,開放条件!$1:$1,0)+1),MATCH(E$2,開放条件!$1:$1,0)-MATCH($C$2,開放条件!$1:$1,0)+1,FALSE)</f>
        <v>図鑑数</v>
      </c>
      <c r="F121" s="61">
        <v>875</v>
      </c>
      <c r="G121" s="31" t="str">
        <f ca="1">IF(C121="mission_clear",VLOOKUP(INT($F121),OFFSET(missions!$A$1,0,0,COUNTA(missions!$A:$A),MATCH(G$2,missions!$2:$2,0)-MATCH("mission_id",missions!$2:$2,0)+1),MATCH(G$2,missions!$2:$2,0)-MATCH("mission_id",missions!$2:$2,0)+1,FALSE),IF(C121="quest_clear",VLOOKUP(SUBSTITUTE(F121,"-","_"),OFFSET([2]stages!$A$2,0,0,COUNTA([2]stages!$A:$A),MATCH("name",[2]stages!$2:$2,0)-MATCH("temp_stage",[2]stages!$2:$2,0)+1),MATCH("name",[2]stages!$2:$2,0)-MATCH("temp_stage",[2]stages!$2:$2,0)+1,FALSE),""))</f>
        <v/>
      </c>
      <c r="H121" s="28">
        <v>1</v>
      </c>
    </row>
    <row r="122" spans="1:8" ht="21" customHeight="1" x14ac:dyDescent="0.15">
      <c r="A122" s="27" t="s">
        <v>615</v>
      </c>
      <c r="B122" s="26" t="str">
        <f t="shared" ca="1" si="5"/>
        <v>ユニット図鑑数が 900 に到達</v>
      </c>
      <c r="C122" s="32" t="s">
        <v>13</v>
      </c>
      <c r="D122" s="26" t="str">
        <f ca="1">VLOOKUP($C122,OFFSET(開放条件!$A$1,0,0,COUNTA($A:$A),MATCH(D$2,開放条件!$1:$1,0)-MATCH($C$2,開放条件!$1:$1,0)+1),MATCH(D$2,開放条件!$1:$1,0)-MATCH($C$2,開放条件!$1:$1,0)+1,FALSE)</f>
        <v>ユニット図鑑数が x に到達</v>
      </c>
      <c r="E122" s="26" t="str">
        <f ca="1">VLOOKUP($C122,OFFSET(開放条件!$A$1,0,0,COUNTA($A:$A),MATCH(E$2,開放条件!$1:$1,0)-MATCH($C$2,開放条件!$1:$1,0)+1),MATCH(E$2,開放条件!$1:$1,0)-MATCH($C$2,開放条件!$1:$1,0)+1,FALSE)</f>
        <v>図鑑数</v>
      </c>
      <c r="F122" s="61">
        <v>900</v>
      </c>
      <c r="G122" s="31" t="str">
        <f ca="1">IF(C122="mission_clear",VLOOKUP(INT($F122),OFFSET(missions!$A$1,0,0,COUNTA(missions!$A:$A),MATCH(G$2,missions!$2:$2,0)-MATCH("mission_id",missions!$2:$2,0)+1),MATCH(G$2,missions!$2:$2,0)-MATCH("mission_id",missions!$2:$2,0)+1,FALSE),IF(C122="quest_clear",VLOOKUP(SUBSTITUTE(F122,"-","_"),OFFSET([2]stages!$A$2,0,0,COUNTA([2]stages!$A:$A),MATCH("name",[2]stages!$2:$2,0)-MATCH("temp_stage",[2]stages!$2:$2,0)+1),MATCH("name",[2]stages!$2:$2,0)-MATCH("temp_stage",[2]stages!$2:$2,0)+1,FALSE),""))</f>
        <v/>
      </c>
      <c r="H122" s="28">
        <v>1</v>
      </c>
    </row>
    <row r="123" spans="1:8" ht="21" customHeight="1" x14ac:dyDescent="0.15">
      <c r="A123" s="27" t="s">
        <v>617</v>
      </c>
      <c r="B123" s="26" t="str">
        <f t="shared" ca="1" si="5"/>
        <v>ユニット図鑑数が 925 に到達</v>
      </c>
      <c r="C123" s="32" t="s">
        <v>13</v>
      </c>
      <c r="D123" s="26" t="str">
        <f ca="1">VLOOKUP($C123,OFFSET(開放条件!$A$1,0,0,COUNTA($A:$A),MATCH(D$2,開放条件!$1:$1,0)-MATCH($C$2,開放条件!$1:$1,0)+1),MATCH(D$2,開放条件!$1:$1,0)-MATCH($C$2,開放条件!$1:$1,0)+1,FALSE)</f>
        <v>ユニット図鑑数が x に到達</v>
      </c>
      <c r="E123" s="26" t="str">
        <f ca="1">VLOOKUP($C123,OFFSET(開放条件!$A$1,0,0,COUNTA($A:$A),MATCH(E$2,開放条件!$1:$1,0)-MATCH($C$2,開放条件!$1:$1,0)+1),MATCH(E$2,開放条件!$1:$1,0)-MATCH($C$2,開放条件!$1:$1,0)+1,FALSE)</f>
        <v>図鑑数</v>
      </c>
      <c r="F123" s="61">
        <v>925</v>
      </c>
      <c r="G123" s="31" t="str">
        <f ca="1">IF(C123="mission_clear",VLOOKUP(INT($F123),OFFSET(missions!$A$1,0,0,COUNTA(missions!$A:$A),MATCH(G$2,missions!$2:$2,0)-MATCH("mission_id",missions!$2:$2,0)+1),MATCH(G$2,missions!$2:$2,0)-MATCH("mission_id",missions!$2:$2,0)+1,FALSE),IF(C123="quest_clear",VLOOKUP(SUBSTITUTE(F123,"-","_"),OFFSET([2]stages!$A$2,0,0,COUNTA([2]stages!$A:$A),MATCH("name",[2]stages!$2:$2,0)-MATCH("temp_stage",[2]stages!$2:$2,0)+1),MATCH("name",[2]stages!$2:$2,0)-MATCH("temp_stage",[2]stages!$2:$2,0)+1,FALSE),""))</f>
        <v/>
      </c>
      <c r="H123" s="28">
        <v>1</v>
      </c>
    </row>
    <row r="124" spans="1:8" ht="21" customHeight="1" x14ac:dyDescent="0.15">
      <c r="A124" s="27" t="s">
        <v>619</v>
      </c>
      <c r="B124" s="26" t="str">
        <f t="shared" ca="1" si="5"/>
        <v>ユニット図鑑数が 950 に到達</v>
      </c>
      <c r="C124" s="32" t="s">
        <v>13</v>
      </c>
      <c r="D124" s="26" t="str">
        <f ca="1">VLOOKUP($C124,OFFSET(開放条件!$A$1,0,0,COUNTA($A:$A),MATCH(D$2,開放条件!$1:$1,0)-MATCH($C$2,開放条件!$1:$1,0)+1),MATCH(D$2,開放条件!$1:$1,0)-MATCH($C$2,開放条件!$1:$1,0)+1,FALSE)</f>
        <v>ユニット図鑑数が x に到達</v>
      </c>
      <c r="E124" s="26" t="str">
        <f ca="1">VLOOKUP($C124,OFFSET(開放条件!$A$1,0,0,COUNTA($A:$A),MATCH(E$2,開放条件!$1:$1,0)-MATCH($C$2,開放条件!$1:$1,0)+1),MATCH(E$2,開放条件!$1:$1,0)-MATCH($C$2,開放条件!$1:$1,0)+1,FALSE)</f>
        <v>図鑑数</v>
      </c>
      <c r="F124" s="61">
        <v>950</v>
      </c>
      <c r="G124" s="31" t="str">
        <f ca="1">IF(C124="mission_clear",VLOOKUP(INT($F124),OFFSET(missions!$A$1,0,0,COUNTA(missions!$A:$A),MATCH(G$2,missions!$2:$2,0)-MATCH("mission_id",missions!$2:$2,0)+1),MATCH(G$2,missions!$2:$2,0)-MATCH("mission_id",missions!$2:$2,0)+1,FALSE),IF(C124="quest_clear",VLOOKUP(SUBSTITUTE(F124,"-","_"),OFFSET([2]stages!$A$2,0,0,COUNTA([2]stages!$A:$A),MATCH("name",[2]stages!$2:$2,0)-MATCH("temp_stage",[2]stages!$2:$2,0)+1),MATCH("name",[2]stages!$2:$2,0)-MATCH("temp_stage",[2]stages!$2:$2,0)+1,FALSE),""))</f>
        <v/>
      </c>
      <c r="H124" s="28">
        <v>1</v>
      </c>
    </row>
    <row r="125" spans="1:8" ht="21" customHeight="1" x14ac:dyDescent="0.15">
      <c r="A125" s="27" t="s">
        <v>621</v>
      </c>
      <c r="B125" s="26" t="str">
        <f t="shared" ca="1" si="5"/>
        <v>ユニット図鑑数が 975 に到達</v>
      </c>
      <c r="C125" s="32" t="s">
        <v>13</v>
      </c>
      <c r="D125" s="26" t="str">
        <f ca="1">VLOOKUP($C125,OFFSET(開放条件!$A$1,0,0,COUNTA($A:$A),MATCH(D$2,開放条件!$1:$1,0)-MATCH($C$2,開放条件!$1:$1,0)+1),MATCH(D$2,開放条件!$1:$1,0)-MATCH($C$2,開放条件!$1:$1,0)+1,FALSE)</f>
        <v>ユニット図鑑数が x に到達</v>
      </c>
      <c r="E125" s="26" t="str">
        <f ca="1">VLOOKUP($C125,OFFSET(開放条件!$A$1,0,0,COUNTA($A:$A),MATCH(E$2,開放条件!$1:$1,0)-MATCH($C$2,開放条件!$1:$1,0)+1),MATCH(E$2,開放条件!$1:$1,0)-MATCH($C$2,開放条件!$1:$1,0)+1,FALSE)</f>
        <v>図鑑数</v>
      </c>
      <c r="F125" s="61">
        <v>975</v>
      </c>
      <c r="G125" s="31" t="str">
        <f ca="1">IF(C125="mission_clear",VLOOKUP(INT($F125),OFFSET(missions!$A$1,0,0,COUNTA(missions!$A:$A),MATCH(G$2,missions!$2:$2,0)-MATCH("mission_id",missions!$2:$2,0)+1),MATCH(G$2,missions!$2:$2,0)-MATCH("mission_id",missions!$2:$2,0)+1,FALSE),IF(C125="quest_clear",VLOOKUP(SUBSTITUTE(F125,"-","_"),OFFSET([2]stages!$A$2,0,0,COUNTA([2]stages!$A:$A),MATCH("name",[2]stages!$2:$2,0)-MATCH("temp_stage",[2]stages!$2:$2,0)+1),MATCH("name",[2]stages!$2:$2,0)-MATCH("temp_stage",[2]stages!$2:$2,0)+1,FALSE),""))</f>
        <v/>
      </c>
      <c r="H125" s="28">
        <v>1</v>
      </c>
    </row>
    <row r="126" spans="1:8" ht="21" customHeight="1" x14ac:dyDescent="0.15">
      <c r="A126" s="27" t="s">
        <v>623</v>
      </c>
      <c r="B126" s="26" t="str">
        <f t="shared" ca="1" si="5"/>
        <v>ユニット図鑑数が 1000 に到達</v>
      </c>
      <c r="C126" s="32" t="s">
        <v>13</v>
      </c>
      <c r="D126" s="26" t="str">
        <f ca="1">VLOOKUP($C126,OFFSET(開放条件!$A$1,0,0,COUNTA($A:$A),MATCH(D$2,開放条件!$1:$1,0)-MATCH($C$2,開放条件!$1:$1,0)+1),MATCH(D$2,開放条件!$1:$1,0)-MATCH($C$2,開放条件!$1:$1,0)+1,FALSE)</f>
        <v>ユニット図鑑数が x に到達</v>
      </c>
      <c r="E126" s="26" t="str">
        <f ca="1">VLOOKUP($C126,OFFSET(開放条件!$A$1,0,0,COUNTA($A:$A),MATCH(E$2,開放条件!$1:$1,0)-MATCH($C$2,開放条件!$1:$1,0)+1),MATCH(E$2,開放条件!$1:$1,0)-MATCH($C$2,開放条件!$1:$1,0)+1,FALSE)</f>
        <v>図鑑数</v>
      </c>
      <c r="F126" s="61">
        <v>1000</v>
      </c>
      <c r="G126" s="31" t="str">
        <f ca="1">IF(C126="mission_clear",VLOOKUP(INT($F126),OFFSET(missions!$A$1,0,0,COUNTA(missions!$A:$A),MATCH(G$2,missions!$2:$2,0)-MATCH("mission_id",missions!$2:$2,0)+1),MATCH(G$2,missions!$2:$2,0)-MATCH("mission_id",missions!$2:$2,0)+1,FALSE),IF(C126="quest_clear",VLOOKUP(SUBSTITUTE(F126,"-","_"),OFFSET([2]stages!$A$2,0,0,COUNTA([2]stages!$A:$A),MATCH("name",[2]stages!$2:$2,0)-MATCH("temp_stage",[2]stages!$2:$2,0)+1),MATCH("name",[2]stages!$2:$2,0)-MATCH("temp_stage",[2]stages!$2:$2,0)+1,FALSE),""))</f>
        <v/>
      </c>
      <c r="H126" s="28">
        <v>1</v>
      </c>
    </row>
    <row r="127" spans="1:8" ht="21" customHeight="1" x14ac:dyDescent="0.15">
      <c r="A127" s="27" t="s">
        <v>2347</v>
      </c>
      <c r="B127" s="26" t="str">
        <f t="shared" ref="B127:B166" ca="1" si="6">IF(C127="quest_clear",SUBSTITUTE(D127,"x",G127),IF(C127="mission_clear",SUBSTITUTE(D127,"x",G127),SUBSTITUTE(D127,"x",F127)))</f>
        <v>ユニット図鑑数が 1025 に到達</v>
      </c>
      <c r="C127" s="32" t="s">
        <v>13</v>
      </c>
      <c r="D127" s="26" t="str">
        <f ca="1">VLOOKUP($C127,OFFSET(開放条件!$A$1,0,0,COUNTA($A:$A),MATCH(D$2,開放条件!$1:$1,0)-MATCH($C$2,開放条件!$1:$1,0)+1),MATCH(D$2,開放条件!$1:$1,0)-MATCH($C$2,開放条件!$1:$1,0)+1,FALSE)</f>
        <v>ユニット図鑑数が x に到達</v>
      </c>
      <c r="E127" s="26" t="str">
        <f ca="1">VLOOKUP($C127,OFFSET(開放条件!$A$1,0,0,COUNTA($A:$A),MATCH(E$2,開放条件!$1:$1,0)-MATCH($C$2,開放条件!$1:$1,0)+1),MATCH(E$2,開放条件!$1:$1,0)-MATCH($C$2,開放条件!$1:$1,0)+1,FALSE)</f>
        <v>図鑑数</v>
      </c>
      <c r="F127" s="61">
        <v>1025</v>
      </c>
      <c r="G127" s="31" t="str">
        <f ca="1">IF(C127="mission_clear",VLOOKUP(INT($F127),OFFSET(missions!$A$1,0,0,COUNTA(missions!$A:$A),MATCH(G$2,missions!$2:$2,0)-MATCH("mission_id",missions!$2:$2,0)+1),MATCH(G$2,missions!$2:$2,0)-MATCH("mission_id",missions!$2:$2,0)+1,FALSE),IF(C127="quest_clear",VLOOKUP(SUBSTITUTE(F127,"-","_"),OFFSET([2]stages!$A$2,0,0,COUNTA([2]stages!$A:$A),MATCH("name",[2]stages!$2:$2,0)-MATCH("temp_stage",[2]stages!$2:$2,0)+1),MATCH("name",[2]stages!$2:$2,0)-MATCH("temp_stage",[2]stages!$2:$2,0)+1,FALSE),""))</f>
        <v/>
      </c>
      <c r="H127" s="28">
        <v>1</v>
      </c>
    </row>
    <row r="128" spans="1:8" ht="21" customHeight="1" x14ac:dyDescent="0.15">
      <c r="A128" s="27" t="s">
        <v>2348</v>
      </c>
      <c r="B128" s="26" t="str">
        <f t="shared" ca="1" si="6"/>
        <v>ユニット図鑑数が 1050 に到達</v>
      </c>
      <c r="C128" s="32" t="s">
        <v>13</v>
      </c>
      <c r="D128" s="26" t="str">
        <f ca="1">VLOOKUP($C128,OFFSET(開放条件!$A$1,0,0,COUNTA($A:$A),MATCH(D$2,開放条件!$1:$1,0)-MATCH($C$2,開放条件!$1:$1,0)+1),MATCH(D$2,開放条件!$1:$1,0)-MATCH($C$2,開放条件!$1:$1,0)+1,FALSE)</f>
        <v>ユニット図鑑数が x に到達</v>
      </c>
      <c r="E128" s="26" t="str">
        <f ca="1">VLOOKUP($C128,OFFSET(開放条件!$A$1,0,0,COUNTA($A:$A),MATCH(E$2,開放条件!$1:$1,0)-MATCH($C$2,開放条件!$1:$1,0)+1),MATCH(E$2,開放条件!$1:$1,0)-MATCH($C$2,開放条件!$1:$1,0)+1,FALSE)</f>
        <v>図鑑数</v>
      </c>
      <c r="F128" s="61">
        <v>1050</v>
      </c>
      <c r="G128" s="31" t="str">
        <f ca="1">IF(C128="mission_clear",VLOOKUP(INT($F128),OFFSET(missions!$A$1,0,0,COUNTA(missions!$A:$A),MATCH(G$2,missions!$2:$2,0)-MATCH("mission_id",missions!$2:$2,0)+1),MATCH(G$2,missions!$2:$2,0)-MATCH("mission_id",missions!$2:$2,0)+1,FALSE),IF(C128="quest_clear",VLOOKUP(SUBSTITUTE(F128,"-","_"),OFFSET([2]stages!$A$2,0,0,COUNTA([2]stages!$A:$A),MATCH("name",[2]stages!$2:$2,0)-MATCH("temp_stage",[2]stages!$2:$2,0)+1),MATCH("name",[2]stages!$2:$2,0)-MATCH("temp_stage",[2]stages!$2:$2,0)+1,FALSE),""))</f>
        <v/>
      </c>
      <c r="H128" s="28">
        <v>1</v>
      </c>
    </row>
    <row r="129" spans="1:8" ht="21" customHeight="1" x14ac:dyDescent="0.15">
      <c r="A129" s="27" t="s">
        <v>2349</v>
      </c>
      <c r="B129" s="26" t="str">
        <f t="shared" ca="1" si="6"/>
        <v>ユニット図鑑数が 1075 に到達</v>
      </c>
      <c r="C129" s="32" t="s">
        <v>13</v>
      </c>
      <c r="D129" s="26" t="str">
        <f ca="1">VLOOKUP($C129,OFFSET(開放条件!$A$1,0,0,COUNTA($A:$A),MATCH(D$2,開放条件!$1:$1,0)-MATCH($C$2,開放条件!$1:$1,0)+1),MATCH(D$2,開放条件!$1:$1,0)-MATCH($C$2,開放条件!$1:$1,0)+1,FALSE)</f>
        <v>ユニット図鑑数が x に到達</v>
      </c>
      <c r="E129" s="26" t="str">
        <f ca="1">VLOOKUP($C129,OFFSET(開放条件!$A$1,0,0,COUNTA($A:$A),MATCH(E$2,開放条件!$1:$1,0)-MATCH($C$2,開放条件!$1:$1,0)+1),MATCH(E$2,開放条件!$1:$1,0)-MATCH($C$2,開放条件!$1:$1,0)+1,FALSE)</f>
        <v>図鑑数</v>
      </c>
      <c r="F129" s="61">
        <v>1075</v>
      </c>
      <c r="G129" s="31" t="str">
        <f ca="1">IF(C129="mission_clear",VLOOKUP(INT($F129),OFFSET(missions!$A$1,0,0,COUNTA(missions!$A:$A),MATCH(G$2,missions!$2:$2,0)-MATCH("mission_id",missions!$2:$2,0)+1),MATCH(G$2,missions!$2:$2,0)-MATCH("mission_id",missions!$2:$2,0)+1,FALSE),IF(C129="quest_clear",VLOOKUP(SUBSTITUTE(F129,"-","_"),OFFSET([2]stages!$A$2,0,0,COUNTA([2]stages!$A:$A),MATCH("name",[2]stages!$2:$2,0)-MATCH("temp_stage",[2]stages!$2:$2,0)+1),MATCH("name",[2]stages!$2:$2,0)-MATCH("temp_stage",[2]stages!$2:$2,0)+1,FALSE),""))</f>
        <v/>
      </c>
      <c r="H129" s="28">
        <v>1</v>
      </c>
    </row>
    <row r="130" spans="1:8" ht="21" customHeight="1" x14ac:dyDescent="0.15">
      <c r="A130" s="27" t="s">
        <v>2350</v>
      </c>
      <c r="B130" s="26" t="str">
        <f t="shared" ca="1" si="6"/>
        <v>ユニット図鑑数が 1100 に到達</v>
      </c>
      <c r="C130" s="32" t="s">
        <v>13</v>
      </c>
      <c r="D130" s="26" t="str">
        <f ca="1">VLOOKUP($C130,OFFSET(開放条件!$A$1,0,0,COUNTA($A:$A),MATCH(D$2,開放条件!$1:$1,0)-MATCH($C$2,開放条件!$1:$1,0)+1),MATCH(D$2,開放条件!$1:$1,0)-MATCH($C$2,開放条件!$1:$1,0)+1,FALSE)</f>
        <v>ユニット図鑑数が x に到達</v>
      </c>
      <c r="E130" s="26" t="str">
        <f ca="1">VLOOKUP($C130,OFFSET(開放条件!$A$1,0,0,COUNTA($A:$A),MATCH(E$2,開放条件!$1:$1,0)-MATCH($C$2,開放条件!$1:$1,0)+1),MATCH(E$2,開放条件!$1:$1,0)-MATCH($C$2,開放条件!$1:$1,0)+1,FALSE)</f>
        <v>図鑑数</v>
      </c>
      <c r="F130" s="61">
        <v>1100</v>
      </c>
      <c r="G130" s="31" t="str">
        <f ca="1">IF(C130="mission_clear",VLOOKUP(INT($F130),OFFSET(missions!$A$1,0,0,COUNTA(missions!$A:$A),MATCH(G$2,missions!$2:$2,0)-MATCH("mission_id",missions!$2:$2,0)+1),MATCH(G$2,missions!$2:$2,0)-MATCH("mission_id",missions!$2:$2,0)+1,FALSE),IF(C130="quest_clear",VLOOKUP(SUBSTITUTE(F130,"-","_"),OFFSET([2]stages!$A$2,0,0,COUNTA([2]stages!$A:$A),MATCH("name",[2]stages!$2:$2,0)-MATCH("temp_stage",[2]stages!$2:$2,0)+1),MATCH("name",[2]stages!$2:$2,0)-MATCH("temp_stage",[2]stages!$2:$2,0)+1,FALSE),""))</f>
        <v/>
      </c>
      <c r="H130" s="28">
        <v>1</v>
      </c>
    </row>
    <row r="131" spans="1:8" ht="21" customHeight="1" x14ac:dyDescent="0.15">
      <c r="A131" s="27" t="s">
        <v>2351</v>
      </c>
      <c r="B131" s="26" t="str">
        <f t="shared" ca="1" si="6"/>
        <v>ユニット図鑑数が 1125 に到達</v>
      </c>
      <c r="C131" s="32" t="s">
        <v>13</v>
      </c>
      <c r="D131" s="26" t="str">
        <f ca="1">VLOOKUP($C131,OFFSET(開放条件!$A$1,0,0,COUNTA($A:$A),MATCH(D$2,開放条件!$1:$1,0)-MATCH($C$2,開放条件!$1:$1,0)+1),MATCH(D$2,開放条件!$1:$1,0)-MATCH($C$2,開放条件!$1:$1,0)+1,FALSE)</f>
        <v>ユニット図鑑数が x に到達</v>
      </c>
      <c r="E131" s="26" t="str">
        <f ca="1">VLOOKUP($C131,OFFSET(開放条件!$A$1,0,0,COUNTA($A:$A),MATCH(E$2,開放条件!$1:$1,0)-MATCH($C$2,開放条件!$1:$1,0)+1),MATCH(E$2,開放条件!$1:$1,0)-MATCH($C$2,開放条件!$1:$1,0)+1,FALSE)</f>
        <v>図鑑数</v>
      </c>
      <c r="F131" s="61">
        <v>1125</v>
      </c>
      <c r="G131" s="31" t="str">
        <f ca="1">IF(C131="mission_clear",VLOOKUP(INT($F131),OFFSET(missions!$A$1,0,0,COUNTA(missions!$A:$A),MATCH(G$2,missions!$2:$2,0)-MATCH("mission_id",missions!$2:$2,0)+1),MATCH(G$2,missions!$2:$2,0)-MATCH("mission_id",missions!$2:$2,0)+1,FALSE),IF(C131="quest_clear",VLOOKUP(SUBSTITUTE(F131,"-","_"),OFFSET([2]stages!$A$2,0,0,COUNTA([2]stages!$A:$A),MATCH("name",[2]stages!$2:$2,0)-MATCH("temp_stage",[2]stages!$2:$2,0)+1),MATCH("name",[2]stages!$2:$2,0)-MATCH("temp_stage",[2]stages!$2:$2,0)+1,FALSE),""))</f>
        <v/>
      </c>
      <c r="H131" s="28">
        <v>1</v>
      </c>
    </row>
    <row r="132" spans="1:8" ht="21" customHeight="1" x14ac:dyDescent="0.15">
      <c r="A132" s="27" t="s">
        <v>2352</v>
      </c>
      <c r="B132" s="26" t="str">
        <f t="shared" ca="1" si="6"/>
        <v>ユニット図鑑数が 1150 に到達</v>
      </c>
      <c r="C132" s="32" t="s">
        <v>13</v>
      </c>
      <c r="D132" s="26" t="str">
        <f ca="1">VLOOKUP($C132,OFFSET(開放条件!$A$1,0,0,COUNTA($A:$A),MATCH(D$2,開放条件!$1:$1,0)-MATCH($C$2,開放条件!$1:$1,0)+1),MATCH(D$2,開放条件!$1:$1,0)-MATCH($C$2,開放条件!$1:$1,0)+1,FALSE)</f>
        <v>ユニット図鑑数が x に到達</v>
      </c>
      <c r="E132" s="26" t="str">
        <f ca="1">VLOOKUP($C132,OFFSET(開放条件!$A$1,0,0,COUNTA($A:$A),MATCH(E$2,開放条件!$1:$1,0)-MATCH($C$2,開放条件!$1:$1,0)+1),MATCH(E$2,開放条件!$1:$1,0)-MATCH($C$2,開放条件!$1:$1,0)+1,FALSE)</f>
        <v>図鑑数</v>
      </c>
      <c r="F132" s="61">
        <v>1150</v>
      </c>
      <c r="G132" s="31" t="str">
        <f ca="1">IF(C132="mission_clear",VLOOKUP(INT($F132),OFFSET(missions!$A$1,0,0,COUNTA(missions!$A:$A),MATCH(G$2,missions!$2:$2,0)-MATCH("mission_id",missions!$2:$2,0)+1),MATCH(G$2,missions!$2:$2,0)-MATCH("mission_id",missions!$2:$2,0)+1,FALSE),IF(C132="quest_clear",VLOOKUP(SUBSTITUTE(F132,"-","_"),OFFSET([2]stages!$A$2,0,0,COUNTA([2]stages!$A:$A),MATCH("name",[2]stages!$2:$2,0)-MATCH("temp_stage",[2]stages!$2:$2,0)+1),MATCH("name",[2]stages!$2:$2,0)-MATCH("temp_stage",[2]stages!$2:$2,0)+1,FALSE),""))</f>
        <v/>
      </c>
      <c r="H132" s="28">
        <v>1</v>
      </c>
    </row>
    <row r="133" spans="1:8" ht="21" customHeight="1" x14ac:dyDescent="0.15">
      <c r="A133" s="27" t="s">
        <v>2353</v>
      </c>
      <c r="B133" s="26" t="str">
        <f t="shared" ca="1" si="6"/>
        <v>ユニット図鑑数が 1175 に到達</v>
      </c>
      <c r="C133" s="32" t="s">
        <v>13</v>
      </c>
      <c r="D133" s="26" t="str">
        <f ca="1">VLOOKUP($C133,OFFSET(開放条件!$A$1,0,0,COUNTA($A:$A),MATCH(D$2,開放条件!$1:$1,0)-MATCH($C$2,開放条件!$1:$1,0)+1),MATCH(D$2,開放条件!$1:$1,0)-MATCH($C$2,開放条件!$1:$1,0)+1,FALSE)</f>
        <v>ユニット図鑑数が x に到達</v>
      </c>
      <c r="E133" s="26" t="str">
        <f ca="1">VLOOKUP($C133,OFFSET(開放条件!$A$1,0,0,COUNTA($A:$A),MATCH(E$2,開放条件!$1:$1,0)-MATCH($C$2,開放条件!$1:$1,0)+1),MATCH(E$2,開放条件!$1:$1,0)-MATCH($C$2,開放条件!$1:$1,0)+1,FALSE)</f>
        <v>図鑑数</v>
      </c>
      <c r="F133" s="61">
        <v>1175</v>
      </c>
      <c r="G133" s="31" t="str">
        <f ca="1">IF(C133="mission_clear",VLOOKUP(INT($F133),OFFSET(missions!$A$1,0,0,COUNTA(missions!$A:$A),MATCH(G$2,missions!$2:$2,0)-MATCH("mission_id",missions!$2:$2,0)+1),MATCH(G$2,missions!$2:$2,0)-MATCH("mission_id",missions!$2:$2,0)+1,FALSE),IF(C133="quest_clear",VLOOKUP(SUBSTITUTE(F133,"-","_"),OFFSET([2]stages!$A$2,0,0,COUNTA([2]stages!$A:$A),MATCH("name",[2]stages!$2:$2,0)-MATCH("temp_stage",[2]stages!$2:$2,0)+1),MATCH("name",[2]stages!$2:$2,0)-MATCH("temp_stage",[2]stages!$2:$2,0)+1,FALSE),""))</f>
        <v/>
      </c>
      <c r="H133" s="28">
        <v>1</v>
      </c>
    </row>
    <row r="134" spans="1:8" ht="21" customHeight="1" x14ac:dyDescent="0.15">
      <c r="A134" s="27" t="s">
        <v>2354</v>
      </c>
      <c r="B134" s="26" t="str">
        <f t="shared" ca="1" si="6"/>
        <v>ユニット図鑑数が 1200 に到達</v>
      </c>
      <c r="C134" s="32" t="s">
        <v>13</v>
      </c>
      <c r="D134" s="26" t="str">
        <f ca="1">VLOOKUP($C134,OFFSET(開放条件!$A$1,0,0,COUNTA($A:$A),MATCH(D$2,開放条件!$1:$1,0)-MATCH($C$2,開放条件!$1:$1,0)+1),MATCH(D$2,開放条件!$1:$1,0)-MATCH($C$2,開放条件!$1:$1,0)+1,FALSE)</f>
        <v>ユニット図鑑数が x に到達</v>
      </c>
      <c r="E134" s="26" t="str">
        <f ca="1">VLOOKUP($C134,OFFSET(開放条件!$A$1,0,0,COUNTA($A:$A),MATCH(E$2,開放条件!$1:$1,0)-MATCH($C$2,開放条件!$1:$1,0)+1),MATCH(E$2,開放条件!$1:$1,0)-MATCH($C$2,開放条件!$1:$1,0)+1,FALSE)</f>
        <v>図鑑数</v>
      </c>
      <c r="F134" s="61">
        <v>1200</v>
      </c>
      <c r="G134" s="31" t="str">
        <f ca="1">IF(C134="mission_clear",VLOOKUP(INT($F134),OFFSET(missions!$A$1,0,0,COUNTA(missions!$A:$A),MATCH(G$2,missions!$2:$2,0)-MATCH("mission_id",missions!$2:$2,0)+1),MATCH(G$2,missions!$2:$2,0)-MATCH("mission_id",missions!$2:$2,0)+1,FALSE),IF(C134="quest_clear",VLOOKUP(SUBSTITUTE(F134,"-","_"),OFFSET([2]stages!$A$2,0,0,COUNTA([2]stages!$A:$A),MATCH("name",[2]stages!$2:$2,0)-MATCH("temp_stage",[2]stages!$2:$2,0)+1),MATCH("name",[2]stages!$2:$2,0)-MATCH("temp_stage",[2]stages!$2:$2,0)+1,FALSE),""))</f>
        <v/>
      </c>
      <c r="H134" s="28">
        <v>1</v>
      </c>
    </row>
    <row r="135" spans="1:8" ht="21" customHeight="1" x14ac:dyDescent="0.15">
      <c r="A135" s="27" t="s">
        <v>2355</v>
      </c>
      <c r="B135" s="26" t="str">
        <f t="shared" ca="1" si="6"/>
        <v>ユニット図鑑数が 1225 に到達</v>
      </c>
      <c r="C135" s="32" t="s">
        <v>13</v>
      </c>
      <c r="D135" s="26" t="str">
        <f ca="1">VLOOKUP($C135,OFFSET(開放条件!$A$1,0,0,COUNTA($A:$A),MATCH(D$2,開放条件!$1:$1,0)-MATCH($C$2,開放条件!$1:$1,0)+1),MATCH(D$2,開放条件!$1:$1,0)-MATCH($C$2,開放条件!$1:$1,0)+1,FALSE)</f>
        <v>ユニット図鑑数が x に到達</v>
      </c>
      <c r="E135" s="26" t="str">
        <f ca="1">VLOOKUP($C135,OFFSET(開放条件!$A$1,0,0,COUNTA($A:$A),MATCH(E$2,開放条件!$1:$1,0)-MATCH($C$2,開放条件!$1:$1,0)+1),MATCH(E$2,開放条件!$1:$1,0)-MATCH($C$2,開放条件!$1:$1,0)+1,FALSE)</f>
        <v>図鑑数</v>
      </c>
      <c r="F135" s="61">
        <v>1225</v>
      </c>
      <c r="G135" s="31" t="str">
        <f ca="1">IF(C135="mission_clear",VLOOKUP(INT($F135),OFFSET(missions!$A$1,0,0,COUNTA(missions!$A:$A),MATCH(G$2,missions!$2:$2,0)-MATCH("mission_id",missions!$2:$2,0)+1),MATCH(G$2,missions!$2:$2,0)-MATCH("mission_id",missions!$2:$2,0)+1,FALSE),IF(C135="quest_clear",VLOOKUP(SUBSTITUTE(F135,"-","_"),OFFSET([2]stages!$A$2,0,0,COUNTA([2]stages!$A:$A),MATCH("name",[2]stages!$2:$2,0)-MATCH("temp_stage",[2]stages!$2:$2,0)+1),MATCH("name",[2]stages!$2:$2,0)-MATCH("temp_stage",[2]stages!$2:$2,0)+1,FALSE),""))</f>
        <v/>
      </c>
      <c r="H135" s="28">
        <v>1</v>
      </c>
    </row>
    <row r="136" spans="1:8" ht="21" customHeight="1" x14ac:dyDescent="0.15">
      <c r="A136" s="27" t="s">
        <v>2356</v>
      </c>
      <c r="B136" s="26" t="str">
        <f t="shared" ca="1" si="6"/>
        <v>ユニット図鑑数が 1250 に到達</v>
      </c>
      <c r="C136" s="32" t="s">
        <v>13</v>
      </c>
      <c r="D136" s="26" t="str">
        <f ca="1">VLOOKUP($C136,OFFSET(開放条件!$A$1,0,0,COUNTA($A:$A),MATCH(D$2,開放条件!$1:$1,0)-MATCH($C$2,開放条件!$1:$1,0)+1),MATCH(D$2,開放条件!$1:$1,0)-MATCH($C$2,開放条件!$1:$1,0)+1,FALSE)</f>
        <v>ユニット図鑑数が x に到達</v>
      </c>
      <c r="E136" s="26" t="str">
        <f ca="1">VLOOKUP($C136,OFFSET(開放条件!$A$1,0,0,COUNTA($A:$A),MATCH(E$2,開放条件!$1:$1,0)-MATCH($C$2,開放条件!$1:$1,0)+1),MATCH(E$2,開放条件!$1:$1,0)-MATCH($C$2,開放条件!$1:$1,0)+1,FALSE)</f>
        <v>図鑑数</v>
      </c>
      <c r="F136" s="61">
        <v>1250</v>
      </c>
      <c r="G136" s="31" t="str">
        <f ca="1">IF(C136="mission_clear",VLOOKUP(INT($F136),OFFSET(missions!$A$1,0,0,COUNTA(missions!$A:$A),MATCH(G$2,missions!$2:$2,0)-MATCH("mission_id",missions!$2:$2,0)+1),MATCH(G$2,missions!$2:$2,0)-MATCH("mission_id",missions!$2:$2,0)+1,FALSE),IF(C136="quest_clear",VLOOKUP(SUBSTITUTE(F136,"-","_"),OFFSET([2]stages!$A$2,0,0,COUNTA([2]stages!$A:$A),MATCH("name",[2]stages!$2:$2,0)-MATCH("temp_stage",[2]stages!$2:$2,0)+1),MATCH("name",[2]stages!$2:$2,0)-MATCH("temp_stage",[2]stages!$2:$2,0)+1,FALSE),""))</f>
        <v/>
      </c>
      <c r="H136" s="28">
        <v>1</v>
      </c>
    </row>
    <row r="137" spans="1:8" ht="21" customHeight="1" x14ac:dyDescent="0.15">
      <c r="A137" s="27" t="s">
        <v>2357</v>
      </c>
      <c r="B137" s="26" t="str">
        <f t="shared" ca="1" si="6"/>
        <v>ユニット図鑑数が 1275 に到達</v>
      </c>
      <c r="C137" s="32" t="s">
        <v>13</v>
      </c>
      <c r="D137" s="26" t="str">
        <f ca="1">VLOOKUP($C137,OFFSET(開放条件!$A$1,0,0,COUNTA($A:$A),MATCH(D$2,開放条件!$1:$1,0)-MATCH($C$2,開放条件!$1:$1,0)+1),MATCH(D$2,開放条件!$1:$1,0)-MATCH($C$2,開放条件!$1:$1,0)+1,FALSE)</f>
        <v>ユニット図鑑数が x に到達</v>
      </c>
      <c r="E137" s="26" t="str">
        <f ca="1">VLOOKUP($C137,OFFSET(開放条件!$A$1,0,0,COUNTA($A:$A),MATCH(E$2,開放条件!$1:$1,0)-MATCH($C$2,開放条件!$1:$1,0)+1),MATCH(E$2,開放条件!$1:$1,0)-MATCH($C$2,開放条件!$1:$1,0)+1,FALSE)</f>
        <v>図鑑数</v>
      </c>
      <c r="F137" s="61">
        <v>1275</v>
      </c>
      <c r="G137" s="31" t="str">
        <f ca="1">IF(C137="mission_clear",VLOOKUP(INT($F137),OFFSET(missions!$A$1,0,0,COUNTA(missions!$A:$A),MATCH(G$2,missions!$2:$2,0)-MATCH("mission_id",missions!$2:$2,0)+1),MATCH(G$2,missions!$2:$2,0)-MATCH("mission_id",missions!$2:$2,0)+1,FALSE),IF(C137="quest_clear",VLOOKUP(SUBSTITUTE(F137,"-","_"),OFFSET([2]stages!$A$2,0,0,COUNTA([2]stages!$A:$A),MATCH("name",[2]stages!$2:$2,0)-MATCH("temp_stage",[2]stages!$2:$2,0)+1),MATCH("name",[2]stages!$2:$2,0)-MATCH("temp_stage",[2]stages!$2:$2,0)+1,FALSE),""))</f>
        <v/>
      </c>
      <c r="H137" s="28">
        <v>1</v>
      </c>
    </row>
    <row r="138" spans="1:8" ht="21" customHeight="1" x14ac:dyDescent="0.15">
      <c r="A138" s="27" t="s">
        <v>2358</v>
      </c>
      <c r="B138" s="26" t="str">
        <f t="shared" ca="1" si="6"/>
        <v>ユニット図鑑数が 1300 に到達</v>
      </c>
      <c r="C138" s="32" t="s">
        <v>13</v>
      </c>
      <c r="D138" s="26" t="str">
        <f ca="1">VLOOKUP($C138,OFFSET(開放条件!$A$1,0,0,COUNTA($A:$A),MATCH(D$2,開放条件!$1:$1,0)-MATCH($C$2,開放条件!$1:$1,0)+1),MATCH(D$2,開放条件!$1:$1,0)-MATCH($C$2,開放条件!$1:$1,0)+1,FALSE)</f>
        <v>ユニット図鑑数が x に到達</v>
      </c>
      <c r="E138" s="26" t="str">
        <f ca="1">VLOOKUP($C138,OFFSET(開放条件!$A$1,0,0,COUNTA($A:$A),MATCH(E$2,開放条件!$1:$1,0)-MATCH($C$2,開放条件!$1:$1,0)+1),MATCH(E$2,開放条件!$1:$1,0)-MATCH($C$2,開放条件!$1:$1,0)+1,FALSE)</f>
        <v>図鑑数</v>
      </c>
      <c r="F138" s="61">
        <v>1300</v>
      </c>
      <c r="G138" s="31" t="str">
        <f ca="1">IF(C138="mission_clear",VLOOKUP(INT($F138),OFFSET(missions!$A$1,0,0,COUNTA(missions!$A:$A),MATCH(G$2,missions!$2:$2,0)-MATCH("mission_id",missions!$2:$2,0)+1),MATCH(G$2,missions!$2:$2,0)-MATCH("mission_id",missions!$2:$2,0)+1,FALSE),IF(C138="quest_clear",VLOOKUP(SUBSTITUTE(F138,"-","_"),OFFSET([2]stages!$A$2,0,0,COUNTA([2]stages!$A:$A),MATCH("name",[2]stages!$2:$2,0)-MATCH("temp_stage",[2]stages!$2:$2,0)+1),MATCH("name",[2]stages!$2:$2,0)-MATCH("temp_stage",[2]stages!$2:$2,0)+1,FALSE),""))</f>
        <v/>
      </c>
      <c r="H138" s="28">
        <v>1</v>
      </c>
    </row>
    <row r="139" spans="1:8" ht="21" customHeight="1" x14ac:dyDescent="0.15">
      <c r="A139" s="27" t="s">
        <v>2359</v>
      </c>
      <c r="B139" s="26" t="str">
        <f t="shared" ca="1" si="6"/>
        <v>ユニット図鑑数が 1325 に到達</v>
      </c>
      <c r="C139" s="32" t="s">
        <v>13</v>
      </c>
      <c r="D139" s="26" t="str">
        <f ca="1">VLOOKUP($C139,OFFSET(開放条件!$A$1,0,0,COUNTA($A:$A),MATCH(D$2,開放条件!$1:$1,0)-MATCH($C$2,開放条件!$1:$1,0)+1),MATCH(D$2,開放条件!$1:$1,0)-MATCH($C$2,開放条件!$1:$1,0)+1,FALSE)</f>
        <v>ユニット図鑑数が x に到達</v>
      </c>
      <c r="E139" s="26" t="str">
        <f ca="1">VLOOKUP($C139,OFFSET(開放条件!$A$1,0,0,COUNTA($A:$A),MATCH(E$2,開放条件!$1:$1,0)-MATCH($C$2,開放条件!$1:$1,0)+1),MATCH(E$2,開放条件!$1:$1,0)-MATCH($C$2,開放条件!$1:$1,0)+1,FALSE)</f>
        <v>図鑑数</v>
      </c>
      <c r="F139" s="61">
        <v>1325</v>
      </c>
      <c r="G139" s="31" t="str">
        <f ca="1">IF(C139="mission_clear",VLOOKUP(INT($F139),OFFSET(missions!$A$1,0,0,COUNTA(missions!$A:$A),MATCH(G$2,missions!$2:$2,0)-MATCH("mission_id",missions!$2:$2,0)+1),MATCH(G$2,missions!$2:$2,0)-MATCH("mission_id",missions!$2:$2,0)+1,FALSE),IF(C139="quest_clear",VLOOKUP(SUBSTITUTE(F139,"-","_"),OFFSET([2]stages!$A$2,0,0,COUNTA([2]stages!$A:$A),MATCH("name",[2]stages!$2:$2,0)-MATCH("temp_stage",[2]stages!$2:$2,0)+1),MATCH("name",[2]stages!$2:$2,0)-MATCH("temp_stage",[2]stages!$2:$2,0)+1,FALSE),""))</f>
        <v/>
      </c>
      <c r="H139" s="28">
        <v>1</v>
      </c>
    </row>
    <row r="140" spans="1:8" ht="21" customHeight="1" x14ac:dyDescent="0.15">
      <c r="A140" s="27" t="s">
        <v>2360</v>
      </c>
      <c r="B140" s="26" t="str">
        <f t="shared" ca="1" si="6"/>
        <v>ユニット図鑑数が 1350 に到達</v>
      </c>
      <c r="C140" s="32" t="s">
        <v>13</v>
      </c>
      <c r="D140" s="26" t="str">
        <f ca="1">VLOOKUP($C140,OFFSET(開放条件!$A$1,0,0,COUNTA($A:$A),MATCH(D$2,開放条件!$1:$1,0)-MATCH($C$2,開放条件!$1:$1,0)+1),MATCH(D$2,開放条件!$1:$1,0)-MATCH($C$2,開放条件!$1:$1,0)+1,FALSE)</f>
        <v>ユニット図鑑数が x に到達</v>
      </c>
      <c r="E140" s="26" t="str">
        <f ca="1">VLOOKUP($C140,OFFSET(開放条件!$A$1,0,0,COUNTA($A:$A),MATCH(E$2,開放条件!$1:$1,0)-MATCH($C$2,開放条件!$1:$1,0)+1),MATCH(E$2,開放条件!$1:$1,0)-MATCH($C$2,開放条件!$1:$1,0)+1,FALSE)</f>
        <v>図鑑数</v>
      </c>
      <c r="F140" s="61">
        <v>1350</v>
      </c>
      <c r="G140" s="31" t="str">
        <f ca="1">IF(C140="mission_clear",VLOOKUP(INT($F140),OFFSET(missions!$A$1,0,0,COUNTA(missions!$A:$A),MATCH(G$2,missions!$2:$2,0)-MATCH("mission_id",missions!$2:$2,0)+1),MATCH(G$2,missions!$2:$2,0)-MATCH("mission_id",missions!$2:$2,0)+1,FALSE),IF(C140="quest_clear",VLOOKUP(SUBSTITUTE(F140,"-","_"),OFFSET([2]stages!$A$2,0,0,COUNTA([2]stages!$A:$A),MATCH("name",[2]stages!$2:$2,0)-MATCH("temp_stage",[2]stages!$2:$2,0)+1),MATCH("name",[2]stages!$2:$2,0)-MATCH("temp_stage",[2]stages!$2:$2,0)+1,FALSE),""))</f>
        <v/>
      </c>
      <c r="H140" s="28">
        <v>1</v>
      </c>
    </row>
    <row r="141" spans="1:8" ht="21" customHeight="1" x14ac:dyDescent="0.15">
      <c r="A141" s="27" t="s">
        <v>2361</v>
      </c>
      <c r="B141" s="26" t="str">
        <f t="shared" ca="1" si="6"/>
        <v>ユニット図鑑数が 1375 に到達</v>
      </c>
      <c r="C141" s="32" t="s">
        <v>13</v>
      </c>
      <c r="D141" s="26" t="str">
        <f ca="1">VLOOKUP($C141,OFFSET(開放条件!$A$1,0,0,COUNTA($A:$A),MATCH(D$2,開放条件!$1:$1,0)-MATCH($C$2,開放条件!$1:$1,0)+1),MATCH(D$2,開放条件!$1:$1,0)-MATCH($C$2,開放条件!$1:$1,0)+1,FALSE)</f>
        <v>ユニット図鑑数が x に到達</v>
      </c>
      <c r="E141" s="26" t="str">
        <f ca="1">VLOOKUP($C141,OFFSET(開放条件!$A$1,0,0,COUNTA($A:$A),MATCH(E$2,開放条件!$1:$1,0)-MATCH($C$2,開放条件!$1:$1,0)+1),MATCH(E$2,開放条件!$1:$1,0)-MATCH($C$2,開放条件!$1:$1,0)+1,FALSE)</f>
        <v>図鑑数</v>
      </c>
      <c r="F141" s="61">
        <v>1375</v>
      </c>
      <c r="G141" s="31" t="str">
        <f ca="1">IF(C141="mission_clear",VLOOKUP(INT($F141),OFFSET(missions!$A$1,0,0,COUNTA(missions!$A:$A),MATCH(G$2,missions!$2:$2,0)-MATCH("mission_id",missions!$2:$2,0)+1),MATCH(G$2,missions!$2:$2,0)-MATCH("mission_id",missions!$2:$2,0)+1,FALSE),IF(C141="quest_clear",VLOOKUP(SUBSTITUTE(F141,"-","_"),OFFSET([2]stages!$A$2,0,0,COUNTA([2]stages!$A:$A),MATCH("name",[2]stages!$2:$2,0)-MATCH("temp_stage",[2]stages!$2:$2,0)+1),MATCH("name",[2]stages!$2:$2,0)-MATCH("temp_stage",[2]stages!$2:$2,0)+1,FALSE),""))</f>
        <v/>
      </c>
      <c r="H141" s="28">
        <v>1</v>
      </c>
    </row>
    <row r="142" spans="1:8" ht="21" customHeight="1" x14ac:dyDescent="0.15">
      <c r="A142" s="27" t="s">
        <v>2362</v>
      </c>
      <c r="B142" s="26" t="str">
        <f t="shared" ca="1" si="6"/>
        <v>ユニット図鑑数が 1400 に到達</v>
      </c>
      <c r="C142" s="32" t="s">
        <v>13</v>
      </c>
      <c r="D142" s="26" t="str">
        <f ca="1">VLOOKUP($C142,OFFSET(開放条件!$A$1,0,0,COUNTA($A:$A),MATCH(D$2,開放条件!$1:$1,0)-MATCH($C$2,開放条件!$1:$1,0)+1),MATCH(D$2,開放条件!$1:$1,0)-MATCH($C$2,開放条件!$1:$1,0)+1,FALSE)</f>
        <v>ユニット図鑑数が x に到達</v>
      </c>
      <c r="E142" s="26" t="str">
        <f ca="1">VLOOKUP($C142,OFFSET(開放条件!$A$1,0,0,COUNTA($A:$A),MATCH(E$2,開放条件!$1:$1,0)-MATCH($C$2,開放条件!$1:$1,0)+1),MATCH(E$2,開放条件!$1:$1,0)-MATCH($C$2,開放条件!$1:$1,0)+1,FALSE)</f>
        <v>図鑑数</v>
      </c>
      <c r="F142" s="61">
        <v>1400</v>
      </c>
      <c r="G142" s="31" t="str">
        <f ca="1">IF(C142="mission_clear",VLOOKUP(INT($F142),OFFSET(missions!$A$1,0,0,COUNTA(missions!$A:$A),MATCH(G$2,missions!$2:$2,0)-MATCH("mission_id",missions!$2:$2,0)+1),MATCH(G$2,missions!$2:$2,0)-MATCH("mission_id",missions!$2:$2,0)+1,FALSE),IF(C142="quest_clear",VLOOKUP(SUBSTITUTE(F142,"-","_"),OFFSET([2]stages!$A$2,0,0,COUNTA([2]stages!$A:$A),MATCH("name",[2]stages!$2:$2,0)-MATCH("temp_stage",[2]stages!$2:$2,0)+1),MATCH("name",[2]stages!$2:$2,0)-MATCH("temp_stage",[2]stages!$2:$2,0)+1,FALSE),""))</f>
        <v/>
      </c>
      <c r="H142" s="28">
        <v>1</v>
      </c>
    </row>
    <row r="143" spans="1:8" ht="21" customHeight="1" x14ac:dyDescent="0.15">
      <c r="A143" s="27" t="s">
        <v>2363</v>
      </c>
      <c r="B143" s="26" t="str">
        <f t="shared" ca="1" si="6"/>
        <v>ユニット図鑑数が 1425 に到達</v>
      </c>
      <c r="C143" s="32" t="s">
        <v>13</v>
      </c>
      <c r="D143" s="26" t="str">
        <f ca="1">VLOOKUP($C143,OFFSET(開放条件!$A$1,0,0,COUNTA($A:$A),MATCH(D$2,開放条件!$1:$1,0)-MATCH($C$2,開放条件!$1:$1,0)+1),MATCH(D$2,開放条件!$1:$1,0)-MATCH($C$2,開放条件!$1:$1,0)+1,FALSE)</f>
        <v>ユニット図鑑数が x に到達</v>
      </c>
      <c r="E143" s="26" t="str">
        <f ca="1">VLOOKUP($C143,OFFSET(開放条件!$A$1,0,0,COUNTA($A:$A),MATCH(E$2,開放条件!$1:$1,0)-MATCH($C$2,開放条件!$1:$1,0)+1),MATCH(E$2,開放条件!$1:$1,0)-MATCH($C$2,開放条件!$1:$1,0)+1,FALSE)</f>
        <v>図鑑数</v>
      </c>
      <c r="F143" s="61">
        <v>1425</v>
      </c>
      <c r="G143" s="31" t="str">
        <f ca="1">IF(C143="mission_clear",VLOOKUP(INT($F143),OFFSET(missions!$A$1,0,0,COUNTA(missions!$A:$A),MATCH(G$2,missions!$2:$2,0)-MATCH("mission_id",missions!$2:$2,0)+1),MATCH(G$2,missions!$2:$2,0)-MATCH("mission_id",missions!$2:$2,0)+1,FALSE),IF(C143="quest_clear",VLOOKUP(SUBSTITUTE(F143,"-","_"),OFFSET([2]stages!$A$2,0,0,COUNTA([2]stages!$A:$A),MATCH("name",[2]stages!$2:$2,0)-MATCH("temp_stage",[2]stages!$2:$2,0)+1),MATCH("name",[2]stages!$2:$2,0)-MATCH("temp_stage",[2]stages!$2:$2,0)+1,FALSE),""))</f>
        <v/>
      </c>
      <c r="H143" s="28">
        <v>1</v>
      </c>
    </row>
    <row r="144" spans="1:8" ht="21" customHeight="1" x14ac:dyDescent="0.15">
      <c r="A144" s="27" t="s">
        <v>2364</v>
      </c>
      <c r="B144" s="26" t="str">
        <f t="shared" ca="1" si="6"/>
        <v>ユニット図鑑数が 1450 に到達</v>
      </c>
      <c r="C144" s="32" t="s">
        <v>13</v>
      </c>
      <c r="D144" s="26" t="str">
        <f ca="1">VLOOKUP($C144,OFFSET(開放条件!$A$1,0,0,COUNTA($A:$A),MATCH(D$2,開放条件!$1:$1,0)-MATCH($C$2,開放条件!$1:$1,0)+1),MATCH(D$2,開放条件!$1:$1,0)-MATCH($C$2,開放条件!$1:$1,0)+1,FALSE)</f>
        <v>ユニット図鑑数が x に到達</v>
      </c>
      <c r="E144" s="26" t="str">
        <f ca="1">VLOOKUP($C144,OFFSET(開放条件!$A$1,0,0,COUNTA($A:$A),MATCH(E$2,開放条件!$1:$1,0)-MATCH($C$2,開放条件!$1:$1,0)+1),MATCH(E$2,開放条件!$1:$1,0)-MATCH($C$2,開放条件!$1:$1,0)+1,FALSE)</f>
        <v>図鑑数</v>
      </c>
      <c r="F144" s="61">
        <v>1450</v>
      </c>
      <c r="G144" s="31" t="str">
        <f ca="1">IF(C144="mission_clear",VLOOKUP(INT($F144),OFFSET(missions!$A$1,0,0,COUNTA(missions!$A:$A),MATCH(G$2,missions!$2:$2,0)-MATCH("mission_id",missions!$2:$2,0)+1),MATCH(G$2,missions!$2:$2,0)-MATCH("mission_id",missions!$2:$2,0)+1,FALSE),IF(C144="quest_clear",VLOOKUP(SUBSTITUTE(F144,"-","_"),OFFSET([2]stages!$A$2,0,0,COUNTA([2]stages!$A:$A),MATCH("name",[2]stages!$2:$2,0)-MATCH("temp_stage",[2]stages!$2:$2,0)+1),MATCH("name",[2]stages!$2:$2,0)-MATCH("temp_stage",[2]stages!$2:$2,0)+1,FALSE),""))</f>
        <v/>
      </c>
      <c r="H144" s="28">
        <v>1</v>
      </c>
    </row>
    <row r="145" spans="1:8" ht="21" customHeight="1" x14ac:dyDescent="0.15">
      <c r="A145" s="27" t="s">
        <v>2365</v>
      </c>
      <c r="B145" s="26" t="str">
        <f t="shared" ca="1" si="6"/>
        <v>ユニット図鑑数が 1475 に到達</v>
      </c>
      <c r="C145" s="32" t="s">
        <v>13</v>
      </c>
      <c r="D145" s="26" t="str">
        <f ca="1">VLOOKUP($C145,OFFSET(開放条件!$A$1,0,0,COUNTA($A:$A),MATCH(D$2,開放条件!$1:$1,0)-MATCH($C$2,開放条件!$1:$1,0)+1),MATCH(D$2,開放条件!$1:$1,0)-MATCH($C$2,開放条件!$1:$1,0)+1,FALSE)</f>
        <v>ユニット図鑑数が x に到達</v>
      </c>
      <c r="E145" s="26" t="str">
        <f ca="1">VLOOKUP($C145,OFFSET(開放条件!$A$1,0,0,COUNTA($A:$A),MATCH(E$2,開放条件!$1:$1,0)-MATCH($C$2,開放条件!$1:$1,0)+1),MATCH(E$2,開放条件!$1:$1,0)-MATCH($C$2,開放条件!$1:$1,0)+1,FALSE)</f>
        <v>図鑑数</v>
      </c>
      <c r="F145" s="61">
        <v>1475</v>
      </c>
      <c r="G145" s="31" t="str">
        <f ca="1">IF(C145="mission_clear",VLOOKUP(INT($F145),OFFSET(missions!$A$1,0,0,COUNTA(missions!$A:$A),MATCH(G$2,missions!$2:$2,0)-MATCH("mission_id",missions!$2:$2,0)+1),MATCH(G$2,missions!$2:$2,0)-MATCH("mission_id",missions!$2:$2,0)+1,FALSE),IF(C145="quest_clear",VLOOKUP(SUBSTITUTE(F145,"-","_"),OFFSET([2]stages!$A$2,0,0,COUNTA([2]stages!$A:$A),MATCH("name",[2]stages!$2:$2,0)-MATCH("temp_stage",[2]stages!$2:$2,0)+1),MATCH("name",[2]stages!$2:$2,0)-MATCH("temp_stage",[2]stages!$2:$2,0)+1,FALSE),""))</f>
        <v/>
      </c>
      <c r="H145" s="28">
        <v>1</v>
      </c>
    </row>
    <row r="146" spans="1:8" ht="21" customHeight="1" x14ac:dyDescent="0.15">
      <c r="A146" s="27" t="s">
        <v>2366</v>
      </c>
      <c r="B146" s="26" t="str">
        <f t="shared" ca="1" si="6"/>
        <v>ユニット図鑑数が 1500 に到達</v>
      </c>
      <c r="C146" s="32" t="s">
        <v>13</v>
      </c>
      <c r="D146" s="26" t="str">
        <f ca="1">VLOOKUP($C146,OFFSET(開放条件!$A$1,0,0,COUNTA($A:$A),MATCH(D$2,開放条件!$1:$1,0)-MATCH($C$2,開放条件!$1:$1,0)+1),MATCH(D$2,開放条件!$1:$1,0)-MATCH($C$2,開放条件!$1:$1,0)+1,FALSE)</f>
        <v>ユニット図鑑数が x に到達</v>
      </c>
      <c r="E146" s="26" t="str">
        <f ca="1">VLOOKUP($C146,OFFSET(開放条件!$A$1,0,0,COUNTA($A:$A),MATCH(E$2,開放条件!$1:$1,0)-MATCH($C$2,開放条件!$1:$1,0)+1),MATCH(E$2,開放条件!$1:$1,0)-MATCH($C$2,開放条件!$1:$1,0)+1,FALSE)</f>
        <v>図鑑数</v>
      </c>
      <c r="F146" s="61">
        <v>1500</v>
      </c>
      <c r="G146" s="31" t="str">
        <f ca="1">IF(C146="mission_clear",VLOOKUP(INT($F146),OFFSET(missions!$A$1,0,0,COUNTA(missions!$A:$A),MATCH(G$2,missions!$2:$2,0)-MATCH("mission_id",missions!$2:$2,0)+1),MATCH(G$2,missions!$2:$2,0)-MATCH("mission_id",missions!$2:$2,0)+1,FALSE),IF(C146="quest_clear",VLOOKUP(SUBSTITUTE(F146,"-","_"),OFFSET([2]stages!$A$2,0,0,COUNTA([2]stages!$A:$A),MATCH("name",[2]stages!$2:$2,0)-MATCH("temp_stage",[2]stages!$2:$2,0)+1),MATCH("name",[2]stages!$2:$2,0)-MATCH("temp_stage",[2]stages!$2:$2,0)+1,FALSE),""))</f>
        <v/>
      </c>
      <c r="H146" s="28">
        <v>1</v>
      </c>
    </row>
    <row r="147" spans="1:8" ht="21" customHeight="1" x14ac:dyDescent="0.15">
      <c r="A147" s="27" t="s">
        <v>2367</v>
      </c>
      <c r="B147" s="26" t="str">
        <f t="shared" ca="1" si="6"/>
        <v>ユニット図鑑数が 1525 に到達</v>
      </c>
      <c r="C147" s="32" t="s">
        <v>13</v>
      </c>
      <c r="D147" s="26" t="str">
        <f ca="1">VLOOKUP($C147,OFFSET(開放条件!$A$1,0,0,COUNTA($A:$A),MATCH(D$2,開放条件!$1:$1,0)-MATCH($C$2,開放条件!$1:$1,0)+1),MATCH(D$2,開放条件!$1:$1,0)-MATCH($C$2,開放条件!$1:$1,0)+1,FALSE)</f>
        <v>ユニット図鑑数が x に到達</v>
      </c>
      <c r="E147" s="26" t="str">
        <f ca="1">VLOOKUP($C147,OFFSET(開放条件!$A$1,0,0,COUNTA($A:$A),MATCH(E$2,開放条件!$1:$1,0)-MATCH($C$2,開放条件!$1:$1,0)+1),MATCH(E$2,開放条件!$1:$1,0)-MATCH($C$2,開放条件!$1:$1,0)+1,FALSE)</f>
        <v>図鑑数</v>
      </c>
      <c r="F147" s="61">
        <v>1525</v>
      </c>
      <c r="G147" s="31" t="str">
        <f ca="1">IF(C147="mission_clear",VLOOKUP(INT($F147),OFFSET(missions!$A$1,0,0,COUNTA(missions!$A:$A),MATCH(G$2,missions!$2:$2,0)-MATCH("mission_id",missions!$2:$2,0)+1),MATCH(G$2,missions!$2:$2,0)-MATCH("mission_id",missions!$2:$2,0)+1,FALSE),IF(C147="quest_clear",VLOOKUP(SUBSTITUTE(F147,"-","_"),OFFSET([2]stages!$A$2,0,0,COUNTA([2]stages!$A:$A),MATCH("name",[2]stages!$2:$2,0)-MATCH("temp_stage",[2]stages!$2:$2,0)+1),MATCH("name",[2]stages!$2:$2,0)-MATCH("temp_stage",[2]stages!$2:$2,0)+1,FALSE),""))</f>
        <v/>
      </c>
      <c r="H147" s="28">
        <v>1</v>
      </c>
    </row>
    <row r="148" spans="1:8" ht="21" customHeight="1" x14ac:dyDescent="0.15">
      <c r="A148" s="27" t="s">
        <v>2368</v>
      </c>
      <c r="B148" s="26" t="str">
        <f t="shared" ca="1" si="6"/>
        <v>ユニット図鑑数が 1550 に到達</v>
      </c>
      <c r="C148" s="32" t="s">
        <v>13</v>
      </c>
      <c r="D148" s="26" t="str">
        <f ca="1">VLOOKUP($C148,OFFSET(開放条件!$A$1,0,0,COUNTA($A:$A),MATCH(D$2,開放条件!$1:$1,0)-MATCH($C$2,開放条件!$1:$1,0)+1),MATCH(D$2,開放条件!$1:$1,0)-MATCH($C$2,開放条件!$1:$1,0)+1,FALSE)</f>
        <v>ユニット図鑑数が x に到達</v>
      </c>
      <c r="E148" s="26" t="str">
        <f ca="1">VLOOKUP($C148,OFFSET(開放条件!$A$1,0,0,COUNTA($A:$A),MATCH(E$2,開放条件!$1:$1,0)-MATCH($C$2,開放条件!$1:$1,0)+1),MATCH(E$2,開放条件!$1:$1,0)-MATCH($C$2,開放条件!$1:$1,0)+1,FALSE)</f>
        <v>図鑑数</v>
      </c>
      <c r="F148" s="61">
        <v>1550</v>
      </c>
      <c r="G148" s="31" t="str">
        <f ca="1">IF(C148="mission_clear",VLOOKUP(INT($F148),OFFSET(missions!$A$1,0,0,COUNTA(missions!$A:$A),MATCH(G$2,missions!$2:$2,0)-MATCH("mission_id",missions!$2:$2,0)+1),MATCH(G$2,missions!$2:$2,0)-MATCH("mission_id",missions!$2:$2,0)+1,FALSE),IF(C148="quest_clear",VLOOKUP(SUBSTITUTE(F148,"-","_"),OFFSET([2]stages!$A$2,0,0,COUNTA([2]stages!$A:$A),MATCH("name",[2]stages!$2:$2,0)-MATCH("temp_stage",[2]stages!$2:$2,0)+1),MATCH("name",[2]stages!$2:$2,0)-MATCH("temp_stage",[2]stages!$2:$2,0)+1,FALSE),""))</f>
        <v/>
      </c>
      <c r="H148" s="28">
        <v>1</v>
      </c>
    </row>
    <row r="149" spans="1:8" ht="21" customHeight="1" x14ac:dyDescent="0.15">
      <c r="A149" s="27" t="s">
        <v>2369</v>
      </c>
      <c r="B149" s="26" t="str">
        <f t="shared" ca="1" si="6"/>
        <v>ユニット図鑑数が 1575 に到達</v>
      </c>
      <c r="C149" s="32" t="s">
        <v>13</v>
      </c>
      <c r="D149" s="26" t="str">
        <f ca="1">VLOOKUP($C149,OFFSET(開放条件!$A$1,0,0,COUNTA($A:$A),MATCH(D$2,開放条件!$1:$1,0)-MATCH($C$2,開放条件!$1:$1,0)+1),MATCH(D$2,開放条件!$1:$1,0)-MATCH($C$2,開放条件!$1:$1,0)+1,FALSE)</f>
        <v>ユニット図鑑数が x に到達</v>
      </c>
      <c r="E149" s="26" t="str">
        <f ca="1">VLOOKUP($C149,OFFSET(開放条件!$A$1,0,0,COUNTA($A:$A),MATCH(E$2,開放条件!$1:$1,0)-MATCH($C$2,開放条件!$1:$1,0)+1),MATCH(E$2,開放条件!$1:$1,0)-MATCH($C$2,開放条件!$1:$1,0)+1,FALSE)</f>
        <v>図鑑数</v>
      </c>
      <c r="F149" s="61">
        <v>1575</v>
      </c>
      <c r="G149" s="31" t="str">
        <f ca="1">IF(C149="mission_clear",VLOOKUP(INT($F149),OFFSET(missions!$A$1,0,0,COUNTA(missions!$A:$A),MATCH(G$2,missions!$2:$2,0)-MATCH("mission_id",missions!$2:$2,0)+1),MATCH(G$2,missions!$2:$2,0)-MATCH("mission_id",missions!$2:$2,0)+1,FALSE),IF(C149="quest_clear",VLOOKUP(SUBSTITUTE(F149,"-","_"),OFFSET([2]stages!$A$2,0,0,COUNTA([2]stages!$A:$A),MATCH("name",[2]stages!$2:$2,0)-MATCH("temp_stage",[2]stages!$2:$2,0)+1),MATCH("name",[2]stages!$2:$2,0)-MATCH("temp_stage",[2]stages!$2:$2,0)+1,FALSE),""))</f>
        <v/>
      </c>
      <c r="H149" s="28">
        <v>1</v>
      </c>
    </row>
    <row r="150" spans="1:8" ht="21" customHeight="1" x14ac:dyDescent="0.15">
      <c r="A150" s="27" t="s">
        <v>2370</v>
      </c>
      <c r="B150" s="26" t="str">
        <f t="shared" ca="1" si="6"/>
        <v>ユニット図鑑数が 1600 に到達</v>
      </c>
      <c r="C150" s="32" t="s">
        <v>13</v>
      </c>
      <c r="D150" s="26" t="str">
        <f ca="1">VLOOKUP($C150,OFFSET(開放条件!$A$1,0,0,COUNTA($A:$A),MATCH(D$2,開放条件!$1:$1,0)-MATCH($C$2,開放条件!$1:$1,0)+1),MATCH(D$2,開放条件!$1:$1,0)-MATCH($C$2,開放条件!$1:$1,0)+1,FALSE)</f>
        <v>ユニット図鑑数が x に到達</v>
      </c>
      <c r="E150" s="26" t="str">
        <f ca="1">VLOOKUP($C150,OFFSET(開放条件!$A$1,0,0,COUNTA($A:$A),MATCH(E$2,開放条件!$1:$1,0)-MATCH($C$2,開放条件!$1:$1,0)+1),MATCH(E$2,開放条件!$1:$1,0)-MATCH($C$2,開放条件!$1:$1,0)+1,FALSE)</f>
        <v>図鑑数</v>
      </c>
      <c r="F150" s="61">
        <v>1600</v>
      </c>
      <c r="G150" s="31" t="str">
        <f ca="1">IF(C150="mission_clear",VLOOKUP(INT($F150),OFFSET(missions!$A$1,0,0,COUNTA(missions!$A:$A),MATCH(G$2,missions!$2:$2,0)-MATCH("mission_id",missions!$2:$2,0)+1),MATCH(G$2,missions!$2:$2,0)-MATCH("mission_id",missions!$2:$2,0)+1,FALSE),IF(C150="quest_clear",VLOOKUP(SUBSTITUTE(F150,"-","_"),OFFSET([2]stages!$A$2,0,0,COUNTA([2]stages!$A:$A),MATCH("name",[2]stages!$2:$2,0)-MATCH("temp_stage",[2]stages!$2:$2,0)+1),MATCH("name",[2]stages!$2:$2,0)-MATCH("temp_stage",[2]stages!$2:$2,0)+1,FALSE),""))</f>
        <v/>
      </c>
      <c r="H150" s="28">
        <v>1</v>
      </c>
    </row>
    <row r="151" spans="1:8" ht="21" customHeight="1" x14ac:dyDescent="0.15">
      <c r="A151" s="27" t="s">
        <v>2371</v>
      </c>
      <c r="B151" s="26" t="str">
        <f t="shared" ca="1" si="6"/>
        <v>ユニット図鑑数が 1625 に到達</v>
      </c>
      <c r="C151" s="32" t="s">
        <v>13</v>
      </c>
      <c r="D151" s="26" t="str">
        <f ca="1">VLOOKUP($C151,OFFSET(開放条件!$A$1,0,0,COUNTA($A:$A),MATCH(D$2,開放条件!$1:$1,0)-MATCH($C$2,開放条件!$1:$1,0)+1),MATCH(D$2,開放条件!$1:$1,0)-MATCH($C$2,開放条件!$1:$1,0)+1,FALSE)</f>
        <v>ユニット図鑑数が x に到達</v>
      </c>
      <c r="E151" s="26" t="str">
        <f ca="1">VLOOKUP($C151,OFFSET(開放条件!$A$1,0,0,COUNTA($A:$A),MATCH(E$2,開放条件!$1:$1,0)-MATCH($C$2,開放条件!$1:$1,0)+1),MATCH(E$2,開放条件!$1:$1,0)-MATCH($C$2,開放条件!$1:$1,0)+1,FALSE)</f>
        <v>図鑑数</v>
      </c>
      <c r="F151" s="61">
        <v>1625</v>
      </c>
      <c r="G151" s="31" t="str">
        <f ca="1">IF(C151="mission_clear",VLOOKUP(INT($F151),OFFSET(missions!$A$1,0,0,COUNTA(missions!$A:$A),MATCH(G$2,missions!$2:$2,0)-MATCH("mission_id",missions!$2:$2,0)+1),MATCH(G$2,missions!$2:$2,0)-MATCH("mission_id",missions!$2:$2,0)+1,FALSE),IF(C151="quest_clear",VLOOKUP(SUBSTITUTE(F151,"-","_"),OFFSET([2]stages!$A$2,0,0,COUNTA([2]stages!$A:$A),MATCH("name",[2]stages!$2:$2,0)-MATCH("temp_stage",[2]stages!$2:$2,0)+1),MATCH("name",[2]stages!$2:$2,0)-MATCH("temp_stage",[2]stages!$2:$2,0)+1,FALSE),""))</f>
        <v/>
      </c>
      <c r="H151" s="28">
        <v>1</v>
      </c>
    </row>
    <row r="152" spans="1:8" ht="21" customHeight="1" x14ac:dyDescent="0.15">
      <c r="A152" s="27" t="s">
        <v>2372</v>
      </c>
      <c r="B152" s="26" t="str">
        <f t="shared" ca="1" si="6"/>
        <v>ユニット図鑑数が 1650 に到達</v>
      </c>
      <c r="C152" s="32" t="s">
        <v>13</v>
      </c>
      <c r="D152" s="26" t="str">
        <f ca="1">VLOOKUP($C152,OFFSET(開放条件!$A$1,0,0,COUNTA($A:$A),MATCH(D$2,開放条件!$1:$1,0)-MATCH($C$2,開放条件!$1:$1,0)+1),MATCH(D$2,開放条件!$1:$1,0)-MATCH($C$2,開放条件!$1:$1,0)+1,FALSE)</f>
        <v>ユニット図鑑数が x に到達</v>
      </c>
      <c r="E152" s="26" t="str">
        <f ca="1">VLOOKUP($C152,OFFSET(開放条件!$A$1,0,0,COUNTA($A:$A),MATCH(E$2,開放条件!$1:$1,0)-MATCH($C$2,開放条件!$1:$1,0)+1),MATCH(E$2,開放条件!$1:$1,0)-MATCH($C$2,開放条件!$1:$1,0)+1,FALSE)</f>
        <v>図鑑数</v>
      </c>
      <c r="F152" s="61">
        <v>1650</v>
      </c>
      <c r="G152" s="31" t="str">
        <f ca="1">IF(C152="mission_clear",VLOOKUP(INT($F152),OFFSET(missions!$A$1,0,0,COUNTA(missions!$A:$A),MATCH(G$2,missions!$2:$2,0)-MATCH("mission_id",missions!$2:$2,0)+1),MATCH(G$2,missions!$2:$2,0)-MATCH("mission_id",missions!$2:$2,0)+1,FALSE),IF(C152="quest_clear",VLOOKUP(SUBSTITUTE(F152,"-","_"),OFFSET([2]stages!$A$2,0,0,COUNTA([2]stages!$A:$A),MATCH("name",[2]stages!$2:$2,0)-MATCH("temp_stage",[2]stages!$2:$2,0)+1),MATCH("name",[2]stages!$2:$2,0)-MATCH("temp_stage",[2]stages!$2:$2,0)+1,FALSE),""))</f>
        <v/>
      </c>
      <c r="H152" s="28">
        <v>1</v>
      </c>
    </row>
    <row r="153" spans="1:8" ht="21" customHeight="1" x14ac:dyDescent="0.15">
      <c r="A153" s="27" t="s">
        <v>2373</v>
      </c>
      <c r="B153" s="26" t="str">
        <f t="shared" ca="1" si="6"/>
        <v>ユニット図鑑数が 1675 に到達</v>
      </c>
      <c r="C153" s="32" t="s">
        <v>13</v>
      </c>
      <c r="D153" s="26" t="str">
        <f ca="1">VLOOKUP($C153,OFFSET(開放条件!$A$1,0,0,COUNTA($A:$A),MATCH(D$2,開放条件!$1:$1,0)-MATCH($C$2,開放条件!$1:$1,0)+1),MATCH(D$2,開放条件!$1:$1,0)-MATCH($C$2,開放条件!$1:$1,0)+1,FALSE)</f>
        <v>ユニット図鑑数が x に到達</v>
      </c>
      <c r="E153" s="26" t="str">
        <f ca="1">VLOOKUP($C153,OFFSET(開放条件!$A$1,0,0,COUNTA($A:$A),MATCH(E$2,開放条件!$1:$1,0)-MATCH($C$2,開放条件!$1:$1,0)+1),MATCH(E$2,開放条件!$1:$1,0)-MATCH($C$2,開放条件!$1:$1,0)+1,FALSE)</f>
        <v>図鑑数</v>
      </c>
      <c r="F153" s="61">
        <v>1675</v>
      </c>
      <c r="G153" s="31" t="str">
        <f ca="1">IF(C153="mission_clear",VLOOKUP(INT($F153),OFFSET(missions!$A$1,0,0,COUNTA(missions!$A:$A),MATCH(G$2,missions!$2:$2,0)-MATCH("mission_id",missions!$2:$2,0)+1),MATCH(G$2,missions!$2:$2,0)-MATCH("mission_id",missions!$2:$2,0)+1,FALSE),IF(C153="quest_clear",VLOOKUP(SUBSTITUTE(F153,"-","_"),OFFSET([2]stages!$A$2,0,0,COUNTA([2]stages!$A:$A),MATCH("name",[2]stages!$2:$2,0)-MATCH("temp_stage",[2]stages!$2:$2,0)+1),MATCH("name",[2]stages!$2:$2,0)-MATCH("temp_stage",[2]stages!$2:$2,0)+1,FALSE),""))</f>
        <v/>
      </c>
      <c r="H153" s="28">
        <v>1</v>
      </c>
    </row>
    <row r="154" spans="1:8" ht="21" customHeight="1" x14ac:dyDescent="0.15">
      <c r="A154" s="27" t="s">
        <v>2374</v>
      </c>
      <c r="B154" s="26" t="str">
        <f t="shared" ca="1" si="6"/>
        <v>ユニット図鑑数が 1700 に到達</v>
      </c>
      <c r="C154" s="32" t="s">
        <v>13</v>
      </c>
      <c r="D154" s="26" t="str">
        <f ca="1">VLOOKUP($C154,OFFSET(開放条件!$A$1,0,0,COUNTA($A:$A),MATCH(D$2,開放条件!$1:$1,0)-MATCH($C$2,開放条件!$1:$1,0)+1),MATCH(D$2,開放条件!$1:$1,0)-MATCH($C$2,開放条件!$1:$1,0)+1,FALSE)</f>
        <v>ユニット図鑑数が x に到達</v>
      </c>
      <c r="E154" s="26" t="str">
        <f ca="1">VLOOKUP($C154,OFFSET(開放条件!$A$1,0,0,COUNTA($A:$A),MATCH(E$2,開放条件!$1:$1,0)-MATCH($C$2,開放条件!$1:$1,0)+1),MATCH(E$2,開放条件!$1:$1,0)-MATCH($C$2,開放条件!$1:$1,0)+1,FALSE)</f>
        <v>図鑑数</v>
      </c>
      <c r="F154" s="61">
        <v>1700</v>
      </c>
      <c r="G154" s="31" t="str">
        <f ca="1">IF(C154="mission_clear",VLOOKUP(INT($F154),OFFSET(missions!$A$1,0,0,COUNTA(missions!$A:$A),MATCH(G$2,missions!$2:$2,0)-MATCH("mission_id",missions!$2:$2,0)+1),MATCH(G$2,missions!$2:$2,0)-MATCH("mission_id",missions!$2:$2,0)+1,FALSE),IF(C154="quest_clear",VLOOKUP(SUBSTITUTE(F154,"-","_"),OFFSET([2]stages!$A$2,0,0,COUNTA([2]stages!$A:$A),MATCH("name",[2]stages!$2:$2,0)-MATCH("temp_stage",[2]stages!$2:$2,0)+1),MATCH("name",[2]stages!$2:$2,0)-MATCH("temp_stage",[2]stages!$2:$2,0)+1,FALSE),""))</f>
        <v/>
      </c>
      <c r="H154" s="28">
        <v>1</v>
      </c>
    </row>
    <row r="155" spans="1:8" ht="21" customHeight="1" x14ac:dyDescent="0.15">
      <c r="A155" s="27" t="s">
        <v>2375</v>
      </c>
      <c r="B155" s="26" t="str">
        <f t="shared" ca="1" si="6"/>
        <v>ユニット図鑑数が 1725 に到達</v>
      </c>
      <c r="C155" s="32" t="s">
        <v>13</v>
      </c>
      <c r="D155" s="26" t="str">
        <f ca="1">VLOOKUP($C155,OFFSET(開放条件!$A$1,0,0,COUNTA($A:$A),MATCH(D$2,開放条件!$1:$1,0)-MATCH($C$2,開放条件!$1:$1,0)+1),MATCH(D$2,開放条件!$1:$1,0)-MATCH($C$2,開放条件!$1:$1,0)+1,FALSE)</f>
        <v>ユニット図鑑数が x に到達</v>
      </c>
      <c r="E155" s="26" t="str">
        <f ca="1">VLOOKUP($C155,OFFSET(開放条件!$A$1,0,0,COUNTA($A:$A),MATCH(E$2,開放条件!$1:$1,0)-MATCH($C$2,開放条件!$1:$1,0)+1),MATCH(E$2,開放条件!$1:$1,0)-MATCH($C$2,開放条件!$1:$1,0)+1,FALSE)</f>
        <v>図鑑数</v>
      </c>
      <c r="F155" s="61">
        <v>1725</v>
      </c>
      <c r="G155" s="31" t="str">
        <f ca="1">IF(C155="mission_clear",VLOOKUP(INT($F155),OFFSET(missions!$A$1,0,0,COUNTA(missions!$A:$A),MATCH(G$2,missions!$2:$2,0)-MATCH("mission_id",missions!$2:$2,0)+1),MATCH(G$2,missions!$2:$2,0)-MATCH("mission_id",missions!$2:$2,0)+1,FALSE),IF(C155="quest_clear",VLOOKUP(SUBSTITUTE(F155,"-","_"),OFFSET([2]stages!$A$2,0,0,COUNTA([2]stages!$A:$A),MATCH("name",[2]stages!$2:$2,0)-MATCH("temp_stage",[2]stages!$2:$2,0)+1),MATCH("name",[2]stages!$2:$2,0)-MATCH("temp_stage",[2]stages!$2:$2,0)+1,FALSE),""))</f>
        <v/>
      </c>
      <c r="H155" s="28">
        <v>1</v>
      </c>
    </row>
    <row r="156" spans="1:8" ht="21" customHeight="1" x14ac:dyDescent="0.15">
      <c r="A156" s="27" t="s">
        <v>2376</v>
      </c>
      <c r="B156" s="26" t="str">
        <f t="shared" ca="1" si="6"/>
        <v>ユニット図鑑数が 1750 に到達</v>
      </c>
      <c r="C156" s="32" t="s">
        <v>13</v>
      </c>
      <c r="D156" s="26" t="str">
        <f ca="1">VLOOKUP($C156,OFFSET(開放条件!$A$1,0,0,COUNTA($A:$A),MATCH(D$2,開放条件!$1:$1,0)-MATCH($C$2,開放条件!$1:$1,0)+1),MATCH(D$2,開放条件!$1:$1,0)-MATCH($C$2,開放条件!$1:$1,0)+1,FALSE)</f>
        <v>ユニット図鑑数が x に到達</v>
      </c>
      <c r="E156" s="26" t="str">
        <f ca="1">VLOOKUP($C156,OFFSET(開放条件!$A$1,0,0,COUNTA($A:$A),MATCH(E$2,開放条件!$1:$1,0)-MATCH($C$2,開放条件!$1:$1,0)+1),MATCH(E$2,開放条件!$1:$1,0)-MATCH($C$2,開放条件!$1:$1,0)+1,FALSE)</f>
        <v>図鑑数</v>
      </c>
      <c r="F156" s="61">
        <v>1750</v>
      </c>
      <c r="G156" s="31" t="str">
        <f ca="1">IF(C156="mission_clear",VLOOKUP(INT($F156),OFFSET(missions!$A$1,0,0,COUNTA(missions!$A:$A),MATCH(G$2,missions!$2:$2,0)-MATCH("mission_id",missions!$2:$2,0)+1),MATCH(G$2,missions!$2:$2,0)-MATCH("mission_id",missions!$2:$2,0)+1,FALSE),IF(C156="quest_clear",VLOOKUP(SUBSTITUTE(F156,"-","_"),OFFSET([2]stages!$A$2,0,0,COUNTA([2]stages!$A:$A),MATCH("name",[2]stages!$2:$2,0)-MATCH("temp_stage",[2]stages!$2:$2,0)+1),MATCH("name",[2]stages!$2:$2,0)-MATCH("temp_stage",[2]stages!$2:$2,0)+1,FALSE),""))</f>
        <v/>
      </c>
      <c r="H156" s="28">
        <v>1</v>
      </c>
    </row>
    <row r="157" spans="1:8" ht="21" customHeight="1" x14ac:dyDescent="0.15">
      <c r="A157" s="27" t="s">
        <v>2377</v>
      </c>
      <c r="B157" s="26" t="str">
        <f t="shared" ca="1" si="6"/>
        <v>ユニット図鑑数が 1775 に到達</v>
      </c>
      <c r="C157" s="32" t="s">
        <v>13</v>
      </c>
      <c r="D157" s="26" t="str">
        <f ca="1">VLOOKUP($C157,OFFSET(開放条件!$A$1,0,0,COUNTA($A:$A),MATCH(D$2,開放条件!$1:$1,0)-MATCH($C$2,開放条件!$1:$1,0)+1),MATCH(D$2,開放条件!$1:$1,0)-MATCH($C$2,開放条件!$1:$1,0)+1,FALSE)</f>
        <v>ユニット図鑑数が x に到達</v>
      </c>
      <c r="E157" s="26" t="str">
        <f ca="1">VLOOKUP($C157,OFFSET(開放条件!$A$1,0,0,COUNTA($A:$A),MATCH(E$2,開放条件!$1:$1,0)-MATCH($C$2,開放条件!$1:$1,0)+1),MATCH(E$2,開放条件!$1:$1,0)-MATCH($C$2,開放条件!$1:$1,0)+1,FALSE)</f>
        <v>図鑑数</v>
      </c>
      <c r="F157" s="61">
        <v>1775</v>
      </c>
      <c r="G157" s="31" t="str">
        <f ca="1">IF(C157="mission_clear",VLOOKUP(INT($F157),OFFSET(missions!$A$1,0,0,COUNTA(missions!$A:$A),MATCH(G$2,missions!$2:$2,0)-MATCH("mission_id",missions!$2:$2,0)+1),MATCH(G$2,missions!$2:$2,0)-MATCH("mission_id",missions!$2:$2,0)+1,FALSE),IF(C157="quest_clear",VLOOKUP(SUBSTITUTE(F157,"-","_"),OFFSET([2]stages!$A$2,0,0,COUNTA([2]stages!$A:$A),MATCH("name",[2]stages!$2:$2,0)-MATCH("temp_stage",[2]stages!$2:$2,0)+1),MATCH("name",[2]stages!$2:$2,0)-MATCH("temp_stage",[2]stages!$2:$2,0)+1,FALSE),""))</f>
        <v/>
      </c>
      <c r="H157" s="28">
        <v>1</v>
      </c>
    </row>
    <row r="158" spans="1:8" ht="21" customHeight="1" x14ac:dyDescent="0.15">
      <c r="A158" s="27" t="s">
        <v>2378</v>
      </c>
      <c r="B158" s="26" t="str">
        <f t="shared" ca="1" si="6"/>
        <v>ユニット図鑑数が 1800 に到達</v>
      </c>
      <c r="C158" s="32" t="s">
        <v>13</v>
      </c>
      <c r="D158" s="26" t="str">
        <f ca="1">VLOOKUP($C158,OFFSET(開放条件!$A$1,0,0,COUNTA($A:$A),MATCH(D$2,開放条件!$1:$1,0)-MATCH($C$2,開放条件!$1:$1,0)+1),MATCH(D$2,開放条件!$1:$1,0)-MATCH($C$2,開放条件!$1:$1,0)+1,FALSE)</f>
        <v>ユニット図鑑数が x に到達</v>
      </c>
      <c r="E158" s="26" t="str">
        <f ca="1">VLOOKUP($C158,OFFSET(開放条件!$A$1,0,0,COUNTA($A:$A),MATCH(E$2,開放条件!$1:$1,0)-MATCH($C$2,開放条件!$1:$1,0)+1),MATCH(E$2,開放条件!$1:$1,0)-MATCH($C$2,開放条件!$1:$1,0)+1,FALSE)</f>
        <v>図鑑数</v>
      </c>
      <c r="F158" s="61">
        <v>1800</v>
      </c>
      <c r="G158" s="31" t="str">
        <f ca="1">IF(C158="mission_clear",VLOOKUP(INT($F158),OFFSET(missions!$A$1,0,0,COUNTA(missions!$A:$A),MATCH(G$2,missions!$2:$2,0)-MATCH("mission_id",missions!$2:$2,0)+1),MATCH(G$2,missions!$2:$2,0)-MATCH("mission_id",missions!$2:$2,0)+1,FALSE),IF(C158="quest_clear",VLOOKUP(SUBSTITUTE(F158,"-","_"),OFFSET([2]stages!$A$2,0,0,COUNTA([2]stages!$A:$A),MATCH("name",[2]stages!$2:$2,0)-MATCH("temp_stage",[2]stages!$2:$2,0)+1),MATCH("name",[2]stages!$2:$2,0)-MATCH("temp_stage",[2]stages!$2:$2,0)+1,FALSE),""))</f>
        <v/>
      </c>
      <c r="H158" s="28">
        <v>1</v>
      </c>
    </row>
    <row r="159" spans="1:8" ht="21" customHeight="1" x14ac:dyDescent="0.15">
      <c r="A159" s="27" t="s">
        <v>2379</v>
      </c>
      <c r="B159" s="26" t="str">
        <f t="shared" ca="1" si="6"/>
        <v>ユニット図鑑数が 1825 に到達</v>
      </c>
      <c r="C159" s="32" t="s">
        <v>13</v>
      </c>
      <c r="D159" s="26" t="str">
        <f ca="1">VLOOKUP($C159,OFFSET(開放条件!$A$1,0,0,COUNTA($A:$A),MATCH(D$2,開放条件!$1:$1,0)-MATCH($C$2,開放条件!$1:$1,0)+1),MATCH(D$2,開放条件!$1:$1,0)-MATCH($C$2,開放条件!$1:$1,0)+1,FALSE)</f>
        <v>ユニット図鑑数が x に到達</v>
      </c>
      <c r="E159" s="26" t="str">
        <f ca="1">VLOOKUP($C159,OFFSET(開放条件!$A$1,0,0,COUNTA($A:$A),MATCH(E$2,開放条件!$1:$1,0)-MATCH($C$2,開放条件!$1:$1,0)+1),MATCH(E$2,開放条件!$1:$1,0)-MATCH($C$2,開放条件!$1:$1,0)+1,FALSE)</f>
        <v>図鑑数</v>
      </c>
      <c r="F159" s="61">
        <v>1825</v>
      </c>
      <c r="G159" s="31" t="str">
        <f ca="1">IF(C159="mission_clear",VLOOKUP(INT($F159),OFFSET(missions!$A$1,0,0,COUNTA(missions!$A:$A),MATCH(G$2,missions!$2:$2,0)-MATCH("mission_id",missions!$2:$2,0)+1),MATCH(G$2,missions!$2:$2,0)-MATCH("mission_id",missions!$2:$2,0)+1,FALSE),IF(C159="quest_clear",VLOOKUP(SUBSTITUTE(F159,"-","_"),OFFSET([2]stages!$A$2,0,0,COUNTA([2]stages!$A:$A),MATCH("name",[2]stages!$2:$2,0)-MATCH("temp_stage",[2]stages!$2:$2,0)+1),MATCH("name",[2]stages!$2:$2,0)-MATCH("temp_stage",[2]stages!$2:$2,0)+1,FALSE),""))</f>
        <v/>
      </c>
      <c r="H159" s="28">
        <v>1</v>
      </c>
    </row>
    <row r="160" spans="1:8" ht="21" customHeight="1" x14ac:dyDescent="0.15">
      <c r="A160" s="27" t="s">
        <v>2380</v>
      </c>
      <c r="B160" s="26" t="str">
        <f t="shared" ca="1" si="6"/>
        <v>ユニット図鑑数が 1850 に到達</v>
      </c>
      <c r="C160" s="32" t="s">
        <v>13</v>
      </c>
      <c r="D160" s="26" t="str">
        <f ca="1">VLOOKUP($C160,OFFSET(開放条件!$A$1,0,0,COUNTA($A:$A),MATCH(D$2,開放条件!$1:$1,0)-MATCH($C$2,開放条件!$1:$1,0)+1),MATCH(D$2,開放条件!$1:$1,0)-MATCH($C$2,開放条件!$1:$1,0)+1,FALSE)</f>
        <v>ユニット図鑑数が x に到達</v>
      </c>
      <c r="E160" s="26" t="str">
        <f ca="1">VLOOKUP($C160,OFFSET(開放条件!$A$1,0,0,COUNTA($A:$A),MATCH(E$2,開放条件!$1:$1,0)-MATCH($C$2,開放条件!$1:$1,0)+1),MATCH(E$2,開放条件!$1:$1,0)-MATCH($C$2,開放条件!$1:$1,0)+1,FALSE)</f>
        <v>図鑑数</v>
      </c>
      <c r="F160" s="61">
        <v>1850</v>
      </c>
      <c r="G160" s="31" t="str">
        <f ca="1">IF(C160="mission_clear",VLOOKUP(INT($F160),OFFSET(missions!$A$1,0,0,COUNTA(missions!$A:$A),MATCH(G$2,missions!$2:$2,0)-MATCH("mission_id",missions!$2:$2,0)+1),MATCH(G$2,missions!$2:$2,0)-MATCH("mission_id",missions!$2:$2,0)+1,FALSE),IF(C160="quest_clear",VLOOKUP(SUBSTITUTE(F160,"-","_"),OFFSET([2]stages!$A$2,0,0,COUNTA([2]stages!$A:$A),MATCH("name",[2]stages!$2:$2,0)-MATCH("temp_stage",[2]stages!$2:$2,0)+1),MATCH("name",[2]stages!$2:$2,0)-MATCH("temp_stage",[2]stages!$2:$2,0)+1,FALSE),""))</f>
        <v/>
      </c>
      <c r="H160" s="28">
        <v>1</v>
      </c>
    </row>
    <row r="161" spans="1:8" ht="21" customHeight="1" x14ac:dyDescent="0.15">
      <c r="A161" s="27" t="s">
        <v>2381</v>
      </c>
      <c r="B161" s="26" t="str">
        <f t="shared" ca="1" si="6"/>
        <v>ユニット図鑑数が 1875 に到達</v>
      </c>
      <c r="C161" s="32" t="s">
        <v>13</v>
      </c>
      <c r="D161" s="26" t="str">
        <f ca="1">VLOOKUP($C161,OFFSET(開放条件!$A$1,0,0,COUNTA($A:$A),MATCH(D$2,開放条件!$1:$1,0)-MATCH($C$2,開放条件!$1:$1,0)+1),MATCH(D$2,開放条件!$1:$1,0)-MATCH($C$2,開放条件!$1:$1,0)+1,FALSE)</f>
        <v>ユニット図鑑数が x に到達</v>
      </c>
      <c r="E161" s="26" t="str">
        <f ca="1">VLOOKUP($C161,OFFSET(開放条件!$A$1,0,0,COUNTA($A:$A),MATCH(E$2,開放条件!$1:$1,0)-MATCH($C$2,開放条件!$1:$1,0)+1),MATCH(E$2,開放条件!$1:$1,0)-MATCH($C$2,開放条件!$1:$1,0)+1,FALSE)</f>
        <v>図鑑数</v>
      </c>
      <c r="F161" s="61">
        <v>1875</v>
      </c>
      <c r="G161" s="31" t="str">
        <f ca="1">IF(C161="mission_clear",VLOOKUP(INT($F161),OFFSET(missions!$A$1,0,0,COUNTA(missions!$A:$A),MATCH(G$2,missions!$2:$2,0)-MATCH("mission_id",missions!$2:$2,0)+1),MATCH(G$2,missions!$2:$2,0)-MATCH("mission_id",missions!$2:$2,0)+1,FALSE),IF(C161="quest_clear",VLOOKUP(SUBSTITUTE(F161,"-","_"),OFFSET([2]stages!$A$2,0,0,COUNTA([2]stages!$A:$A),MATCH("name",[2]stages!$2:$2,0)-MATCH("temp_stage",[2]stages!$2:$2,0)+1),MATCH("name",[2]stages!$2:$2,0)-MATCH("temp_stage",[2]stages!$2:$2,0)+1,FALSE),""))</f>
        <v/>
      </c>
      <c r="H161" s="28">
        <v>1</v>
      </c>
    </row>
    <row r="162" spans="1:8" ht="21" customHeight="1" x14ac:dyDescent="0.15">
      <c r="A162" s="27" t="s">
        <v>2382</v>
      </c>
      <c r="B162" s="26" t="str">
        <f t="shared" ca="1" si="6"/>
        <v>ユニット図鑑数が 1900 に到達</v>
      </c>
      <c r="C162" s="32" t="s">
        <v>13</v>
      </c>
      <c r="D162" s="26" t="str">
        <f ca="1">VLOOKUP($C162,OFFSET(開放条件!$A$1,0,0,COUNTA($A:$A),MATCH(D$2,開放条件!$1:$1,0)-MATCH($C$2,開放条件!$1:$1,0)+1),MATCH(D$2,開放条件!$1:$1,0)-MATCH($C$2,開放条件!$1:$1,0)+1,FALSE)</f>
        <v>ユニット図鑑数が x に到達</v>
      </c>
      <c r="E162" s="26" t="str">
        <f ca="1">VLOOKUP($C162,OFFSET(開放条件!$A$1,0,0,COUNTA($A:$A),MATCH(E$2,開放条件!$1:$1,0)-MATCH($C$2,開放条件!$1:$1,0)+1),MATCH(E$2,開放条件!$1:$1,0)-MATCH($C$2,開放条件!$1:$1,0)+1,FALSE)</f>
        <v>図鑑数</v>
      </c>
      <c r="F162" s="61">
        <v>1900</v>
      </c>
      <c r="G162" s="31" t="str">
        <f ca="1">IF(C162="mission_clear",VLOOKUP(INT($F162),OFFSET(missions!$A$1,0,0,COUNTA(missions!$A:$A),MATCH(G$2,missions!$2:$2,0)-MATCH("mission_id",missions!$2:$2,0)+1),MATCH(G$2,missions!$2:$2,0)-MATCH("mission_id",missions!$2:$2,0)+1,FALSE),IF(C162="quest_clear",VLOOKUP(SUBSTITUTE(F162,"-","_"),OFFSET([2]stages!$A$2,0,0,COUNTA([2]stages!$A:$A),MATCH("name",[2]stages!$2:$2,0)-MATCH("temp_stage",[2]stages!$2:$2,0)+1),MATCH("name",[2]stages!$2:$2,0)-MATCH("temp_stage",[2]stages!$2:$2,0)+1,FALSE),""))</f>
        <v/>
      </c>
      <c r="H162" s="28">
        <v>1</v>
      </c>
    </row>
    <row r="163" spans="1:8" ht="21" customHeight="1" x14ac:dyDescent="0.15">
      <c r="A163" s="27" t="s">
        <v>2383</v>
      </c>
      <c r="B163" s="26" t="str">
        <f t="shared" ca="1" si="6"/>
        <v>ユニット図鑑数が 1925 に到達</v>
      </c>
      <c r="C163" s="32" t="s">
        <v>13</v>
      </c>
      <c r="D163" s="26" t="str">
        <f ca="1">VLOOKUP($C163,OFFSET(開放条件!$A$1,0,0,COUNTA($A:$A),MATCH(D$2,開放条件!$1:$1,0)-MATCH($C$2,開放条件!$1:$1,0)+1),MATCH(D$2,開放条件!$1:$1,0)-MATCH($C$2,開放条件!$1:$1,0)+1,FALSE)</f>
        <v>ユニット図鑑数が x に到達</v>
      </c>
      <c r="E163" s="26" t="str">
        <f ca="1">VLOOKUP($C163,OFFSET(開放条件!$A$1,0,0,COUNTA($A:$A),MATCH(E$2,開放条件!$1:$1,0)-MATCH($C$2,開放条件!$1:$1,0)+1),MATCH(E$2,開放条件!$1:$1,0)-MATCH($C$2,開放条件!$1:$1,0)+1,FALSE)</f>
        <v>図鑑数</v>
      </c>
      <c r="F163" s="61">
        <v>1925</v>
      </c>
      <c r="G163" s="31" t="str">
        <f ca="1">IF(C163="mission_clear",VLOOKUP(INT($F163),OFFSET(missions!$A$1,0,0,COUNTA(missions!$A:$A),MATCH(G$2,missions!$2:$2,0)-MATCH("mission_id",missions!$2:$2,0)+1),MATCH(G$2,missions!$2:$2,0)-MATCH("mission_id",missions!$2:$2,0)+1,FALSE),IF(C163="quest_clear",VLOOKUP(SUBSTITUTE(F163,"-","_"),OFFSET([2]stages!$A$2,0,0,COUNTA([2]stages!$A:$A),MATCH("name",[2]stages!$2:$2,0)-MATCH("temp_stage",[2]stages!$2:$2,0)+1),MATCH("name",[2]stages!$2:$2,0)-MATCH("temp_stage",[2]stages!$2:$2,0)+1,FALSE),""))</f>
        <v/>
      </c>
      <c r="H163" s="28">
        <v>1</v>
      </c>
    </row>
    <row r="164" spans="1:8" ht="21" customHeight="1" x14ac:dyDescent="0.15">
      <c r="A164" s="27" t="s">
        <v>2384</v>
      </c>
      <c r="B164" s="26" t="str">
        <f t="shared" ca="1" si="6"/>
        <v>ユニット図鑑数が 1950 に到達</v>
      </c>
      <c r="C164" s="32" t="s">
        <v>13</v>
      </c>
      <c r="D164" s="26" t="str">
        <f ca="1">VLOOKUP($C164,OFFSET(開放条件!$A$1,0,0,COUNTA($A:$A),MATCH(D$2,開放条件!$1:$1,0)-MATCH($C$2,開放条件!$1:$1,0)+1),MATCH(D$2,開放条件!$1:$1,0)-MATCH($C$2,開放条件!$1:$1,0)+1,FALSE)</f>
        <v>ユニット図鑑数が x に到達</v>
      </c>
      <c r="E164" s="26" t="str">
        <f ca="1">VLOOKUP($C164,OFFSET(開放条件!$A$1,0,0,COUNTA($A:$A),MATCH(E$2,開放条件!$1:$1,0)-MATCH($C$2,開放条件!$1:$1,0)+1),MATCH(E$2,開放条件!$1:$1,0)-MATCH($C$2,開放条件!$1:$1,0)+1,FALSE)</f>
        <v>図鑑数</v>
      </c>
      <c r="F164" s="61">
        <v>1950</v>
      </c>
      <c r="G164" s="31" t="str">
        <f ca="1">IF(C164="mission_clear",VLOOKUP(INT($F164),OFFSET(missions!$A$1,0,0,COUNTA(missions!$A:$A),MATCH(G$2,missions!$2:$2,0)-MATCH("mission_id",missions!$2:$2,0)+1),MATCH(G$2,missions!$2:$2,0)-MATCH("mission_id",missions!$2:$2,0)+1,FALSE),IF(C164="quest_clear",VLOOKUP(SUBSTITUTE(F164,"-","_"),OFFSET([2]stages!$A$2,0,0,COUNTA([2]stages!$A:$A),MATCH("name",[2]stages!$2:$2,0)-MATCH("temp_stage",[2]stages!$2:$2,0)+1),MATCH("name",[2]stages!$2:$2,0)-MATCH("temp_stage",[2]stages!$2:$2,0)+1,FALSE),""))</f>
        <v/>
      </c>
      <c r="H164" s="28">
        <v>1</v>
      </c>
    </row>
    <row r="165" spans="1:8" ht="21" customHeight="1" x14ac:dyDescent="0.15">
      <c r="A165" s="27" t="s">
        <v>2385</v>
      </c>
      <c r="B165" s="26" t="str">
        <f t="shared" ca="1" si="6"/>
        <v>ユニット図鑑数が 1975 に到達</v>
      </c>
      <c r="C165" s="32" t="s">
        <v>13</v>
      </c>
      <c r="D165" s="26" t="str">
        <f ca="1">VLOOKUP($C165,OFFSET(開放条件!$A$1,0,0,COUNTA($A:$A),MATCH(D$2,開放条件!$1:$1,0)-MATCH($C$2,開放条件!$1:$1,0)+1),MATCH(D$2,開放条件!$1:$1,0)-MATCH($C$2,開放条件!$1:$1,0)+1,FALSE)</f>
        <v>ユニット図鑑数が x に到達</v>
      </c>
      <c r="E165" s="26" t="str">
        <f ca="1">VLOOKUP($C165,OFFSET(開放条件!$A$1,0,0,COUNTA($A:$A),MATCH(E$2,開放条件!$1:$1,0)-MATCH($C$2,開放条件!$1:$1,0)+1),MATCH(E$2,開放条件!$1:$1,0)-MATCH($C$2,開放条件!$1:$1,0)+1,FALSE)</f>
        <v>図鑑数</v>
      </c>
      <c r="F165" s="61">
        <v>1975</v>
      </c>
      <c r="G165" s="31" t="str">
        <f ca="1">IF(C165="mission_clear",VLOOKUP(INT($F165),OFFSET(missions!$A$1,0,0,COUNTA(missions!$A:$A),MATCH(G$2,missions!$2:$2,0)-MATCH("mission_id",missions!$2:$2,0)+1),MATCH(G$2,missions!$2:$2,0)-MATCH("mission_id",missions!$2:$2,0)+1,FALSE),IF(C165="quest_clear",VLOOKUP(SUBSTITUTE(F165,"-","_"),OFFSET([2]stages!$A$2,0,0,COUNTA([2]stages!$A:$A),MATCH("name",[2]stages!$2:$2,0)-MATCH("temp_stage",[2]stages!$2:$2,0)+1),MATCH("name",[2]stages!$2:$2,0)-MATCH("temp_stage",[2]stages!$2:$2,0)+1,FALSE),""))</f>
        <v/>
      </c>
      <c r="H165" s="28">
        <v>1</v>
      </c>
    </row>
    <row r="166" spans="1:8" ht="21" customHeight="1" x14ac:dyDescent="0.15">
      <c r="A166" s="27" t="s">
        <v>2386</v>
      </c>
      <c r="B166" s="26" t="str">
        <f t="shared" ca="1" si="6"/>
        <v>ユニット図鑑数が 2000 に到達</v>
      </c>
      <c r="C166" s="32" t="s">
        <v>13</v>
      </c>
      <c r="D166" s="26" t="str">
        <f ca="1">VLOOKUP($C166,OFFSET(開放条件!$A$1,0,0,COUNTA($A:$A),MATCH(D$2,開放条件!$1:$1,0)-MATCH($C$2,開放条件!$1:$1,0)+1),MATCH(D$2,開放条件!$1:$1,0)-MATCH($C$2,開放条件!$1:$1,0)+1,FALSE)</f>
        <v>ユニット図鑑数が x に到達</v>
      </c>
      <c r="E166" s="26" t="str">
        <f ca="1">VLOOKUP($C166,OFFSET(開放条件!$A$1,0,0,COUNTA($A:$A),MATCH(E$2,開放条件!$1:$1,0)-MATCH($C$2,開放条件!$1:$1,0)+1),MATCH(E$2,開放条件!$1:$1,0)-MATCH($C$2,開放条件!$1:$1,0)+1,FALSE)</f>
        <v>図鑑数</v>
      </c>
      <c r="F166" s="61">
        <v>2000</v>
      </c>
      <c r="G166" s="31" t="str">
        <f ca="1">IF(C166="mission_clear",VLOOKUP(INT($F166),OFFSET(missions!$A$1,0,0,COUNTA(missions!$A:$A),MATCH(G$2,missions!$2:$2,0)-MATCH("mission_id",missions!$2:$2,0)+1),MATCH(G$2,missions!$2:$2,0)-MATCH("mission_id",missions!$2:$2,0)+1,FALSE),IF(C166="quest_clear",VLOOKUP(SUBSTITUTE(F166,"-","_"),OFFSET([2]stages!$A$2,0,0,COUNTA([2]stages!$A:$A),MATCH("name",[2]stages!$2:$2,0)-MATCH("temp_stage",[2]stages!$2:$2,0)+1),MATCH("name",[2]stages!$2:$2,0)-MATCH("temp_stage",[2]stages!$2:$2,0)+1,FALSE),""))</f>
        <v/>
      </c>
      <c r="H166" s="28">
        <v>1</v>
      </c>
    </row>
    <row r="167" spans="1:8" ht="21" customHeight="1" x14ac:dyDescent="0.15">
      <c r="A167" s="27" t="s">
        <v>118</v>
      </c>
      <c r="B167" s="26" t="str">
        <f t="shared" ca="1" si="5"/>
        <v>通算ログインが 2 日に到達</v>
      </c>
      <c r="C167" s="32" t="s">
        <v>18</v>
      </c>
      <c r="D167" s="26" t="str">
        <f ca="1">VLOOKUP($C167,OFFSET(開放条件!$A$1,0,0,COUNTA($A:$A),MATCH(D$2,開放条件!$1:$1,0)-MATCH($C$2,開放条件!$1:$1,0)+1),MATCH(D$2,開放条件!$1:$1,0)-MATCH($C$2,開放条件!$1:$1,0)+1,FALSE)</f>
        <v>通算ログインが x 日に到達</v>
      </c>
      <c r="E167" s="26" t="str">
        <f ca="1">VLOOKUP($C167,OFFSET(開放条件!$A$1,0,0,COUNTA($A:$A),MATCH(E$2,開放条件!$1:$1,0)-MATCH($C$2,開放条件!$1:$1,0)+1),MATCH(E$2,開放条件!$1:$1,0)-MATCH($C$2,開放条件!$1:$1,0)+1,FALSE)</f>
        <v>ログイン回数</v>
      </c>
      <c r="F167" s="61">
        <v>2</v>
      </c>
      <c r="G167" s="31" t="str">
        <f ca="1">IF(C167="mission_clear",VLOOKUP(INT($F167),OFFSET(missions!$A$1,0,0,COUNTA(missions!$A:$A),MATCH(G$2,missions!$2:$2,0)-MATCH("mission_id",missions!$2:$2,0)+1),MATCH(G$2,missions!$2:$2,0)-MATCH("mission_id",missions!$2:$2,0)+1,FALSE),IF(C167="quest_clear",VLOOKUP(SUBSTITUTE(F167,"-","_"),OFFSET([2]stages!$A$2,0,0,COUNTA([2]stages!$A:$A),MATCH("name",[2]stages!$2:$2,0)-MATCH("temp_stage",[2]stages!$2:$2,0)+1),MATCH("name",[2]stages!$2:$2,0)-MATCH("temp_stage",[2]stages!$2:$2,0)+1,FALSE),""))</f>
        <v/>
      </c>
      <c r="H167" s="28">
        <v>1</v>
      </c>
    </row>
    <row r="168" spans="1:8" ht="21" customHeight="1" x14ac:dyDescent="0.15">
      <c r="A168" s="27" t="s">
        <v>66</v>
      </c>
      <c r="B168" s="26" t="str">
        <f t="shared" ca="1" si="5"/>
        <v>通算ログインが 3 日に到達</v>
      </c>
      <c r="C168" s="32" t="s">
        <v>18</v>
      </c>
      <c r="D168" s="26" t="str">
        <f ca="1">VLOOKUP($C168,OFFSET(開放条件!$A$1,0,0,COUNTA($A:$A),MATCH(D$2,開放条件!$1:$1,0)-MATCH($C$2,開放条件!$1:$1,0)+1),MATCH(D$2,開放条件!$1:$1,0)-MATCH($C$2,開放条件!$1:$1,0)+1,FALSE)</f>
        <v>通算ログインが x 日に到達</v>
      </c>
      <c r="E168" s="26" t="str">
        <f ca="1">VLOOKUP($C168,OFFSET(開放条件!$A$1,0,0,COUNTA($A:$A),MATCH(E$2,開放条件!$1:$1,0)-MATCH($C$2,開放条件!$1:$1,0)+1),MATCH(E$2,開放条件!$1:$1,0)-MATCH($C$2,開放条件!$1:$1,0)+1,FALSE)</f>
        <v>ログイン回数</v>
      </c>
      <c r="F168" s="61">
        <v>3</v>
      </c>
      <c r="G168" s="31" t="str">
        <f ca="1">IF(C168="mission_clear",VLOOKUP(INT($F168),OFFSET(missions!$A$1,0,0,COUNTA(missions!$A:$A),MATCH(G$2,missions!$2:$2,0)-MATCH("mission_id",missions!$2:$2,0)+1),MATCH(G$2,missions!$2:$2,0)-MATCH("mission_id",missions!$2:$2,0)+1,FALSE),IF(C168="quest_clear",VLOOKUP(SUBSTITUTE(F168,"-","_"),OFFSET([2]stages!$A$2,0,0,COUNTA([2]stages!$A:$A),MATCH("name",[2]stages!$2:$2,0)-MATCH("temp_stage",[2]stages!$2:$2,0)+1),MATCH("name",[2]stages!$2:$2,0)-MATCH("temp_stage",[2]stages!$2:$2,0)+1,FALSE),""))</f>
        <v/>
      </c>
      <c r="H168" s="28">
        <v>1</v>
      </c>
    </row>
    <row r="169" spans="1:8" ht="21" customHeight="1" x14ac:dyDescent="0.15">
      <c r="A169" s="27" t="s">
        <v>2217</v>
      </c>
      <c r="B169" s="26" t="str">
        <f t="shared" ref="B169:B170" ca="1" si="7">IF(C169="quest_clear",SUBSTITUTE(D169,"x",G169),IF(C169="mission_clear",SUBSTITUTE(D169,"x",G169),SUBSTITUTE(D169,"x",F169)))</f>
        <v>通算ログインが 4 日に到達</v>
      </c>
      <c r="C169" s="32" t="s">
        <v>18</v>
      </c>
      <c r="D169" s="26" t="str">
        <f ca="1">VLOOKUP($C169,OFFSET(開放条件!$A$1,0,0,COUNTA($A:$A),MATCH(D$2,開放条件!$1:$1,0)-MATCH($C$2,開放条件!$1:$1,0)+1),MATCH(D$2,開放条件!$1:$1,0)-MATCH($C$2,開放条件!$1:$1,0)+1,FALSE)</f>
        <v>通算ログインが x 日に到達</v>
      </c>
      <c r="E169" s="26" t="str">
        <f ca="1">VLOOKUP($C169,OFFSET(開放条件!$A$1,0,0,COUNTA($A:$A),MATCH(E$2,開放条件!$1:$1,0)-MATCH($C$2,開放条件!$1:$1,0)+1),MATCH(E$2,開放条件!$1:$1,0)-MATCH($C$2,開放条件!$1:$1,0)+1,FALSE)</f>
        <v>ログイン回数</v>
      </c>
      <c r="F169" s="61" t="s">
        <v>2218</v>
      </c>
      <c r="G169" s="31" t="str">
        <f ca="1">IF(C169="mission_clear",VLOOKUP(INT($F169),OFFSET(missions!$A$1,0,0,COUNTA(missions!$A:$A),MATCH(G$2,missions!$2:$2,0)-MATCH("mission_id",missions!$2:$2,0)+1),MATCH(G$2,missions!$2:$2,0)-MATCH("mission_id",missions!$2:$2,0)+1,FALSE),IF(C169="quest_clear",VLOOKUP(SUBSTITUTE(F169,"-","_"),OFFSET([2]stages!$A$2,0,0,COUNTA([2]stages!$A:$A),MATCH("name",[2]stages!$2:$2,0)-MATCH("temp_stage",[2]stages!$2:$2,0)+1),MATCH("name",[2]stages!$2:$2,0)-MATCH("temp_stage",[2]stages!$2:$2,0)+1,FALSE),""))</f>
        <v/>
      </c>
      <c r="H169" s="28">
        <v>1</v>
      </c>
    </row>
    <row r="170" spans="1:8" ht="21" customHeight="1" x14ac:dyDescent="0.15">
      <c r="A170" s="27" t="s">
        <v>2219</v>
      </c>
      <c r="B170" s="26" t="str">
        <f t="shared" ca="1" si="7"/>
        <v>通算ログインが 6 日に到達</v>
      </c>
      <c r="C170" s="32" t="s">
        <v>18</v>
      </c>
      <c r="D170" s="26" t="str">
        <f ca="1">VLOOKUP($C170,OFFSET(開放条件!$A$1,0,0,COUNTA($A:$A),MATCH(D$2,開放条件!$1:$1,0)-MATCH($C$2,開放条件!$1:$1,0)+1),MATCH(D$2,開放条件!$1:$1,0)-MATCH($C$2,開放条件!$1:$1,0)+1,FALSE)</f>
        <v>通算ログインが x 日に到達</v>
      </c>
      <c r="E170" s="26" t="str">
        <f ca="1">VLOOKUP($C170,OFFSET(開放条件!$A$1,0,0,COUNTA($A:$A),MATCH(E$2,開放条件!$1:$1,0)-MATCH($C$2,開放条件!$1:$1,0)+1),MATCH(E$2,開放条件!$1:$1,0)-MATCH($C$2,開放条件!$1:$1,0)+1,FALSE)</f>
        <v>ログイン回数</v>
      </c>
      <c r="F170" s="61" t="s">
        <v>1946</v>
      </c>
      <c r="G170" s="31" t="str">
        <f ca="1">IF(C170="mission_clear",VLOOKUP(INT($F170),OFFSET(missions!$A$1,0,0,COUNTA(missions!$A:$A),MATCH(G$2,missions!$2:$2,0)-MATCH("mission_id",missions!$2:$2,0)+1),MATCH(G$2,missions!$2:$2,0)-MATCH("mission_id",missions!$2:$2,0)+1,FALSE),IF(C170="quest_clear",VLOOKUP(SUBSTITUTE(F170,"-","_"),OFFSET([2]stages!$A$2,0,0,COUNTA([2]stages!$A:$A),MATCH("name",[2]stages!$2:$2,0)-MATCH("temp_stage",[2]stages!$2:$2,0)+1),MATCH("name",[2]stages!$2:$2,0)-MATCH("temp_stage",[2]stages!$2:$2,0)+1,FALSE),""))</f>
        <v/>
      </c>
      <c r="H170" s="28">
        <v>1</v>
      </c>
    </row>
    <row r="171" spans="1:8" ht="21" customHeight="1" x14ac:dyDescent="0.15">
      <c r="A171" s="27" t="s">
        <v>67</v>
      </c>
      <c r="B171" s="26" t="str">
        <f t="shared" ca="1" si="5"/>
        <v>通算ログインが 7 日に到達</v>
      </c>
      <c r="C171" s="32" t="s">
        <v>18</v>
      </c>
      <c r="D171" s="26" t="str">
        <f ca="1">VLOOKUP($C171,OFFSET(開放条件!$A$1,0,0,COUNTA($A:$A),MATCH(D$2,開放条件!$1:$1,0)-MATCH($C$2,開放条件!$1:$1,0)+1),MATCH(D$2,開放条件!$1:$1,0)-MATCH($C$2,開放条件!$1:$1,0)+1,FALSE)</f>
        <v>通算ログインが x 日に到達</v>
      </c>
      <c r="E171" s="26" t="str">
        <f ca="1">VLOOKUP($C171,OFFSET(開放条件!$A$1,0,0,COUNTA($A:$A),MATCH(E$2,開放条件!$1:$1,0)-MATCH($C$2,開放条件!$1:$1,0)+1),MATCH(E$2,開放条件!$1:$1,0)-MATCH($C$2,開放条件!$1:$1,0)+1,FALSE)</f>
        <v>ログイン回数</v>
      </c>
      <c r="F171" s="61">
        <v>7</v>
      </c>
      <c r="G171" s="31" t="str">
        <f ca="1">IF(C171="mission_clear",VLOOKUP(INT($F171),OFFSET(missions!$A$1,0,0,COUNTA(missions!$A:$A),MATCH(G$2,missions!$2:$2,0)-MATCH("mission_id",missions!$2:$2,0)+1),MATCH(G$2,missions!$2:$2,0)-MATCH("mission_id",missions!$2:$2,0)+1,FALSE),IF(C171="quest_clear",VLOOKUP(SUBSTITUTE(F171,"-","_"),OFFSET([2]stages!$A$2,0,0,COUNTA([2]stages!$A:$A),MATCH("name",[2]stages!$2:$2,0)-MATCH("temp_stage",[2]stages!$2:$2,0)+1),MATCH("name",[2]stages!$2:$2,0)-MATCH("temp_stage",[2]stages!$2:$2,0)+1,FALSE),""))</f>
        <v/>
      </c>
      <c r="H171" s="28">
        <v>1</v>
      </c>
    </row>
    <row r="172" spans="1:8" ht="21" customHeight="1" x14ac:dyDescent="0.15">
      <c r="A172" s="27" t="s">
        <v>68</v>
      </c>
      <c r="B172" s="26" t="str">
        <f t="shared" ca="1" si="5"/>
        <v>通算ログインが 10 日に到達</v>
      </c>
      <c r="C172" s="32" t="s">
        <v>18</v>
      </c>
      <c r="D172" s="26" t="str">
        <f ca="1">VLOOKUP($C172,OFFSET(開放条件!$A$1,0,0,COUNTA($A:$A),MATCH(D$2,開放条件!$1:$1,0)-MATCH($C$2,開放条件!$1:$1,0)+1),MATCH(D$2,開放条件!$1:$1,0)-MATCH($C$2,開放条件!$1:$1,0)+1,FALSE)</f>
        <v>通算ログインが x 日に到達</v>
      </c>
      <c r="E172" s="26" t="str">
        <f ca="1">VLOOKUP($C172,OFFSET(開放条件!$A$1,0,0,COUNTA($A:$A),MATCH(E$2,開放条件!$1:$1,0)-MATCH($C$2,開放条件!$1:$1,0)+1),MATCH(E$2,開放条件!$1:$1,0)-MATCH($C$2,開放条件!$1:$1,0)+1,FALSE)</f>
        <v>ログイン回数</v>
      </c>
      <c r="F172" s="61">
        <v>10</v>
      </c>
      <c r="G172" s="31" t="str">
        <f ca="1">IF(C172="mission_clear",VLOOKUP(INT($F172),OFFSET(missions!$A$1,0,0,COUNTA(missions!$A:$A),MATCH(G$2,missions!$2:$2,0)-MATCH("mission_id",missions!$2:$2,0)+1),MATCH(G$2,missions!$2:$2,0)-MATCH("mission_id",missions!$2:$2,0)+1,FALSE),IF(C172="quest_clear",VLOOKUP(SUBSTITUTE(F172,"-","_"),OFFSET([2]stages!$A$2,0,0,COUNTA([2]stages!$A:$A),MATCH("name",[2]stages!$2:$2,0)-MATCH("temp_stage",[2]stages!$2:$2,0)+1),MATCH("name",[2]stages!$2:$2,0)-MATCH("temp_stage",[2]stages!$2:$2,0)+1,FALSE),""))</f>
        <v/>
      </c>
      <c r="H172" s="28">
        <v>1</v>
      </c>
    </row>
    <row r="173" spans="1:8" ht="21" customHeight="1" x14ac:dyDescent="0.15">
      <c r="A173" s="27" t="s">
        <v>69</v>
      </c>
      <c r="B173" s="26" t="str">
        <f t="shared" ca="1" si="5"/>
        <v>通算ログインが 14 日に到達</v>
      </c>
      <c r="C173" s="32" t="s">
        <v>18</v>
      </c>
      <c r="D173" s="26" t="str">
        <f ca="1">VLOOKUP($C173,OFFSET(開放条件!$A$1,0,0,COUNTA($A:$A),MATCH(D$2,開放条件!$1:$1,0)-MATCH($C$2,開放条件!$1:$1,0)+1),MATCH(D$2,開放条件!$1:$1,0)-MATCH($C$2,開放条件!$1:$1,0)+1,FALSE)</f>
        <v>通算ログインが x 日に到達</v>
      </c>
      <c r="E173" s="26" t="str">
        <f ca="1">VLOOKUP($C173,OFFSET(開放条件!$A$1,0,0,COUNTA($A:$A),MATCH(E$2,開放条件!$1:$1,0)-MATCH($C$2,開放条件!$1:$1,0)+1),MATCH(E$2,開放条件!$1:$1,0)-MATCH($C$2,開放条件!$1:$1,0)+1,FALSE)</f>
        <v>ログイン回数</v>
      </c>
      <c r="F173" s="61">
        <v>14</v>
      </c>
      <c r="G173" s="31" t="str">
        <f ca="1">IF(C173="mission_clear",VLOOKUP(INT($F173),OFFSET(missions!$A$1,0,0,COUNTA(missions!$A:$A),MATCH(G$2,missions!$2:$2,0)-MATCH("mission_id",missions!$2:$2,0)+1),MATCH(G$2,missions!$2:$2,0)-MATCH("mission_id",missions!$2:$2,0)+1,FALSE),IF(C173="quest_clear",VLOOKUP(SUBSTITUTE(F173,"-","_"),OFFSET([2]stages!$A$2,0,0,COUNTA([2]stages!$A:$A),MATCH("name",[2]stages!$2:$2,0)-MATCH("temp_stage",[2]stages!$2:$2,0)+1),MATCH("name",[2]stages!$2:$2,0)-MATCH("temp_stage",[2]stages!$2:$2,0)+1,FALSE),""))</f>
        <v/>
      </c>
      <c r="H173" s="28">
        <v>1</v>
      </c>
    </row>
    <row r="174" spans="1:8" ht="21" customHeight="1" x14ac:dyDescent="0.15">
      <c r="A174" s="27" t="s">
        <v>70</v>
      </c>
      <c r="B174" s="26" t="str">
        <f t="shared" ca="1" si="5"/>
        <v>通算ログインが 20 日に到達</v>
      </c>
      <c r="C174" s="32" t="s">
        <v>18</v>
      </c>
      <c r="D174" s="26" t="str">
        <f ca="1">VLOOKUP($C174,OFFSET(開放条件!$A$1,0,0,COUNTA($A:$A),MATCH(D$2,開放条件!$1:$1,0)-MATCH($C$2,開放条件!$1:$1,0)+1),MATCH(D$2,開放条件!$1:$1,0)-MATCH($C$2,開放条件!$1:$1,0)+1,FALSE)</f>
        <v>通算ログインが x 日に到達</v>
      </c>
      <c r="E174" s="26" t="str">
        <f ca="1">VLOOKUP($C174,OFFSET(開放条件!$A$1,0,0,COUNTA($A:$A),MATCH(E$2,開放条件!$1:$1,0)-MATCH($C$2,開放条件!$1:$1,0)+1),MATCH(E$2,開放条件!$1:$1,0)-MATCH($C$2,開放条件!$1:$1,0)+1,FALSE)</f>
        <v>ログイン回数</v>
      </c>
      <c r="F174" s="61">
        <v>20</v>
      </c>
      <c r="G174" s="31" t="str">
        <f ca="1">IF(C174="mission_clear",VLOOKUP(INT($F174),OFFSET(missions!$A$1,0,0,COUNTA(missions!$A:$A),MATCH(G$2,missions!$2:$2,0)-MATCH("mission_id",missions!$2:$2,0)+1),MATCH(G$2,missions!$2:$2,0)-MATCH("mission_id",missions!$2:$2,0)+1,FALSE),IF(C174="quest_clear",VLOOKUP(SUBSTITUTE(F174,"-","_"),OFFSET([2]stages!$A$2,0,0,COUNTA([2]stages!$A:$A),MATCH("name",[2]stages!$2:$2,0)-MATCH("temp_stage",[2]stages!$2:$2,0)+1),MATCH("name",[2]stages!$2:$2,0)-MATCH("temp_stage",[2]stages!$2:$2,0)+1,FALSE),""))</f>
        <v/>
      </c>
      <c r="H174" s="28">
        <v>1</v>
      </c>
    </row>
    <row r="175" spans="1:8" ht="21" customHeight="1" x14ac:dyDescent="0.15">
      <c r="A175" s="27" t="s">
        <v>71</v>
      </c>
      <c r="B175" s="26" t="str">
        <f t="shared" ca="1" si="5"/>
        <v>通算ログインが 25 日に到達</v>
      </c>
      <c r="C175" s="32" t="s">
        <v>18</v>
      </c>
      <c r="D175" s="26" t="str">
        <f ca="1">VLOOKUP($C175,OFFSET(開放条件!$A$1,0,0,COUNTA($A:$A),MATCH(D$2,開放条件!$1:$1,0)-MATCH($C$2,開放条件!$1:$1,0)+1),MATCH(D$2,開放条件!$1:$1,0)-MATCH($C$2,開放条件!$1:$1,0)+1,FALSE)</f>
        <v>通算ログインが x 日に到達</v>
      </c>
      <c r="E175" s="26" t="str">
        <f ca="1">VLOOKUP($C175,OFFSET(開放条件!$A$1,0,0,COUNTA($A:$A),MATCH(E$2,開放条件!$1:$1,0)-MATCH($C$2,開放条件!$1:$1,0)+1),MATCH(E$2,開放条件!$1:$1,0)-MATCH($C$2,開放条件!$1:$1,0)+1,FALSE)</f>
        <v>ログイン回数</v>
      </c>
      <c r="F175" s="61">
        <v>25</v>
      </c>
      <c r="G175" s="31" t="str">
        <f ca="1">IF(C175="mission_clear",VLOOKUP(INT($F175),OFFSET(missions!$A$1,0,0,COUNTA(missions!$A:$A),MATCH(G$2,missions!$2:$2,0)-MATCH("mission_id",missions!$2:$2,0)+1),MATCH(G$2,missions!$2:$2,0)-MATCH("mission_id",missions!$2:$2,0)+1,FALSE),IF(C175="quest_clear",VLOOKUP(SUBSTITUTE(F175,"-","_"),OFFSET([2]stages!$A$2,0,0,COUNTA([2]stages!$A:$A),MATCH("name",[2]stages!$2:$2,0)-MATCH("temp_stage",[2]stages!$2:$2,0)+1),MATCH("name",[2]stages!$2:$2,0)-MATCH("temp_stage",[2]stages!$2:$2,0)+1,FALSE),""))</f>
        <v/>
      </c>
      <c r="H175" s="28">
        <v>1</v>
      </c>
    </row>
    <row r="176" spans="1:8" ht="21" customHeight="1" x14ac:dyDescent="0.15">
      <c r="A176" s="27" t="s">
        <v>72</v>
      </c>
      <c r="B176" s="26" t="str">
        <f t="shared" ca="1" si="5"/>
        <v>通算ログインが 30 日に到達</v>
      </c>
      <c r="C176" s="32" t="s">
        <v>18</v>
      </c>
      <c r="D176" s="26" t="str">
        <f ca="1">VLOOKUP($C176,OFFSET(開放条件!$A$1,0,0,COUNTA($A:$A),MATCH(D$2,開放条件!$1:$1,0)-MATCH($C$2,開放条件!$1:$1,0)+1),MATCH(D$2,開放条件!$1:$1,0)-MATCH($C$2,開放条件!$1:$1,0)+1,FALSE)</f>
        <v>通算ログインが x 日に到達</v>
      </c>
      <c r="E176" s="26" t="str">
        <f ca="1">VLOOKUP($C176,OFFSET(開放条件!$A$1,0,0,COUNTA($A:$A),MATCH(E$2,開放条件!$1:$1,0)-MATCH($C$2,開放条件!$1:$1,0)+1),MATCH(E$2,開放条件!$1:$1,0)-MATCH($C$2,開放条件!$1:$1,0)+1,FALSE)</f>
        <v>ログイン回数</v>
      </c>
      <c r="F176" s="61">
        <v>30</v>
      </c>
      <c r="G176" s="31" t="str">
        <f ca="1">IF(C176="mission_clear",VLOOKUP(INT($F176),OFFSET(missions!$A$1,0,0,COUNTA(missions!$A:$A),MATCH(G$2,missions!$2:$2,0)-MATCH("mission_id",missions!$2:$2,0)+1),MATCH(G$2,missions!$2:$2,0)-MATCH("mission_id",missions!$2:$2,0)+1,FALSE),IF(C176="quest_clear",VLOOKUP(SUBSTITUTE(F176,"-","_"),OFFSET([2]stages!$A$2,0,0,COUNTA([2]stages!$A:$A),MATCH("name",[2]stages!$2:$2,0)-MATCH("temp_stage",[2]stages!$2:$2,0)+1),MATCH("name",[2]stages!$2:$2,0)-MATCH("temp_stage",[2]stages!$2:$2,0)+1,FALSE),""))</f>
        <v/>
      </c>
      <c r="H176" s="28">
        <v>1</v>
      </c>
    </row>
    <row r="177" spans="1:8" ht="21" customHeight="1" x14ac:dyDescent="0.15">
      <c r="A177" s="27" t="s">
        <v>73</v>
      </c>
      <c r="B177" s="26" t="str">
        <f t="shared" ca="1" si="5"/>
        <v>通算ログインが 40 日に到達</v>
      </c>
      <c r="C177" s="32" t="s">
        <v>18</v>
      </c>
      <c r="D177" s="26" t="str">
        <f ca="1">VLOOKUP($C177,OFFSET(開放条件!$A$1,0,0,COUNTA($A:$A),MATCH(D$2,開放条件!$1:$1,0)-MATCH($C$2,開放条件!$1:$1,0)+1),MATCH(D$2,開放条件!$1:$1,0)-MATCH($C$2,開放条件!$1:$1,0)+1,FALSE)</f>
        <v>通算ログインが x 日に到達</v>
      </c>
      <c r="E177" s="26" t="str">
        <f ca="1">VLOOKUP($C177,OFFSET(開放条件!$A$1,0,0,COUNTA($A:$A),MATCH(E$2,開放条件!$1:$1,0)-MATCH($C$2,開放条件!$1:$1,0)+1),MATCH(E$2,開放条件!$1:$1,0)-MATCH($C$2,開放条件!$1:$1,0)+1,FALSE)</f>
        <v>ログイン回数</v>
      </c>
      <c r="F177" s="61">
        <v>40</v>
      </c>
      <c r="G177" s="31" t="str">
        <f ca="1">IF(C177="mission_clear",VLOOKUP(INT($F177),OFFSET(missions!$A$1,0,0,COUNTA(missions!$A:$A),MATCH(G$2,missions!$2:$2,0)-MATCH("mission_id",missions!$2:$2,0)+1),MATCH(G$2,missions!$2:$2,0)-MATCH("mission_id",missions!$2:$2,0)+1,FALSE),IF(C177="quest_clear",VLOOKUP(SUBSTITUTE(F177,"-","_"),OFFSET([2]stages!$A$2,0,0,COUNTA([2]stages!$A:$A),MATCH("name",[2]stages!$2:$2,0)-MATCH("temp_stage",[2]stages!$2:$2,0)+1),MATCH("name",[2]stages!$2:$2,0)-MATCH("temp_stage",[2]stages!$2:$2,0)+1,FALSE),""))</f>
        <v/>
      </c>
      <c r="H177" s="28">
        <v>1</v>
      </c>
    </row>
    <row r="178" spans="1:8" ht="21" customHeight="1" x14ac:dyDescent="0.15">
      <c r="A178" s="27" t="s">
        <v>75</v>
      </c>
      <c r="B178" s="26" t="str">
        <f t="shared" ca="1" si="5"/>
        <v>通算ログインが 50 日に到達</v>
      </c>
      <c r="C178" s="32" t="s">
        <v>18</v>
      </c>
      <c r="D178" s="26" t="str">
        <f ca="1">VLOOKUP($C178,OFFSET(開放条件!$A$1,0,0,COUNTA($A:$A),MATCH(D$2,開放条件!$1:$1,0)-MATCH($C$2,開放条件!$1:$1,0)+1),MATCH(D$2,開放条件!$1:$1,0)-MATCH($C$2,開放条件!$1:$1,0)+1,FALSE)</f>
        <v>通算ログインが x 日に到達</v>
      </c>
      <c r="E178" s="26" t="str">
        <f ca="1">VLOOKUP($C178,OFFSET(開放条件!$A$1,0,0,COUNTA($A:$A),MATCH(E$2,開放条件!$1:$1,0)-MATCH($C$2,開放条件!$1:$1,0)+1),MATCH(E$2,開放条件!$1:$1,0)-MATCH($C$2,開放条件!$1:$1,0)+1,FALSE)</f>
        <v>ログイン回数</v>
      </c>
      <c r="F178" s="61">
        <v>50</v>
      </c>
      <c r="G178" s="31" t="str">
        <f ca="1">IF(C178="mission_clear",VLOOKUP(INT($F178),OFFSET(missions!$A$1,0,0,COUNTA(missions!$A:$A),MATCH(G$2,missions!$2:$2,0)-MATCH("mission_id",missions!$2:$2,0)+1),MATCH(G$2,missions!$2:$2,0)-MATCH("mission_id",missions!$2:$2,0)+1,FALSE),IF(C178="quest_clear",VLOOKUP(SUBSTITUTE(F178,"-","_"),OFFSET([2]stages!$A$2,0,0,COUNTA([2]stages!$A:$A),MATCH("name",[2]stages!$2:$2,0)-MATCH("temp_stage",[2]stages!$2:$2,0)+1),MATCH("name",[2]stages!$2:$2,0)-MATCH("temp_stage",[2]stages!$2:$2,0)+1,FALSE),""))</f>
        <v/>
      </c>
      <c r="H178" s="28">
        <v>1</v>
      </c>
    </row>
    <row r="179" spans="1:8" ht="21" customHeight="1" x14ac:dyDescent="0.15">
      <c r="A179" s="27" t="s">
        <v>76</v>
      </c>
      <c r="B179" s="26" t="str">
        <f t="shared" ca="1" si="5"/>
        <v>通算ログインが 60 日に到達</v>
      </c>
      <c r="C179" s="32" t="s">
        <v>18</v>
      </c>
      <c r="D179" s="26" t="str">
        <f ca="1">VLOOKUP($C179,OFFSET(開放条件!$A$1,0,0,COUNTA($A:$A),MATCH(D$2,開放条件!$1:$1,0)-MATCH($C$2,開放条件!$1:$1,0)+1),MATCH(D$2,開放条件!$1:$1,0)-MATCH($C$2,開放条件!$1:$1,0)+1,FALSE)</f>
        <v>通算ログインが x 日に到達</v>
      </c>
      <c r="E179" s="26" t="str">
        <f ca="1">VLOOKUP($C179,OFFSET(開放条件!$A$1,0,0,COUNTA($A:$A),MATCH(E$2,開放条件!$1:$1,0)-MATCH($C$2,開放条件!$1:$1,0)+1),MATCH(E$2,開放条件!$1:$1,0)-MATCH($C$2,開放条件!$1:$1,0)+1,FALSE)</f>
        <v>ログイン回数</v>
      </c>
      <c r="F179" s="61">
        <v>60</v>
      </c>
      <c r="G179" s="31" t="str">
        <f ca="1">IF(C179="mission_clear",VLOOKUP(INT($F179),OFFSET(missions!$A$1,0,0,COUNTA(missions!$A:$A),MATCH(G$2,missions!$2:$2,0)-MATCH("mission_id",missions!$2:$2,0)+1),MATCH(G$2,missions!$2:$2,0)-MATCH("mission_id",missions!$2:$2,0)+1,FALSE),IF(C179="quest_clear",VLOOKUP(SUBSTITUTE(F179,"-","_"),OFFSET([2]stages!$A$2,0,0,COUNTA([2]stages!$A:$A),MATCH("name",[2]stages!$2:$2,0)-MATCH("temp_stage",[2]stages!$2:$2,0)+1),MATCH("name",[2]stages!$2:$2,0)-MATCH("temp_stage",[2]stages!$2:$2,0)+1,FALSE),""))</f>
        <v/>
      </c>
      <c r="H179" s="28">
        <v>1</v>
      </c>
    </row>
    <row r="180" spans="1:8" ht="21" customHeight="1" x14ac:dyDescent="0.15">
      <c r="A180" s="27" t="s">
        <v>77</v>
      </c>
      <c r="B180" s="26" t="str">
        <f t="shared" ca="1" si="5"/>
        <v>通算ログインが 70 日に到達</v>
      </c>
      <c r="C180" s="32" t="s">
        <v>18</v>
      </c>
      <c r="D180" s="26" t="str">
        <f ca="1">VLOOKUP($C180,OFFSET(開放条件!$A$1,0,0,COUNTA($A:$A),MATCH(D$2,開放条件!$1:$1,0)-MATCH($C$2,開放条件!$1:$1,0)+1),MATCH(D$2,開放条件!$1:$1,0)-MATCH($C$2,開放条件!$1:$1,0)+1,FALSE)</f>
        <v>通算ログインが x 日に到達</v>
      </c>
      <c r="E180" s="26" t="str">
        <f ca="1">VLOOKUP($C180,OFFSET(開放条件!$A$1,0,0,COUNTA($A:$A),MATCH(E$2,開放条件!$1:$1,0)-MATCH($C$2,開放条件!$1:$1,0)+1),MATCH(E$2,開放条件!$1:$1,0)-MATCH($C$2,開放条件!$1:$1,0)+1,FALSE)</f>
        <v>ログイン回数</v>
      </c>
      <c r="F180" s="61">
        <v>70</v>
      </c>
      <c r="G180" s="31" t="str">
        <f ca="1">IF(C180="mission_clear",VLOOKUP(INT($F180),OFFSET(missions!$A$1,0,0,COUNTA(missions!$A:$A),MATCH(G$2,missions!$2:$2,0)-MATCH("mission_id",missions!$2:$2,0)+1),MATCH(G$2,missions!$2:$2,0)-MATCH("mission_id",missions!$2:$2,0)+1,FALSE),IF(C180="quest_clear",VLOOKUP(SUBSTITUTE(F180,"-","_"),OFFSET([2]stages!$A$2,0,0,COUNTA([2]stages!$A:$A),MATCH("name",[2]stages!$2:$2,0)-MATCH("temp_stage",[2]stages!$2:$2,0)+1),MATCH("name",[2]stages!$2:$2,0)-MATCH("temp_stage",[2]stages!$2:$2,0)+1,FALSE),""))</f>
        <v/>
      </c>
      <c r="H180" s="28">
        <v>1</v>
      </c>
    </row>
    <row r="181" spans="1:8" ht="21" customHeight="1" x14ac:dyDescent="0.15">
      <c r="A181" s="27" t="s">
        <v>78</v>
      </c>
      <c r="B181" s="26" t="str">
        <f t="shared" ca="1" si="5"/>
        <v>通算ログインが 80 日に到達</v>
      </c>
      <c r="C181" s="32" t="s">
        <v>18</v>
      </c>
      <c r="D181" s="26" t="str">
        <f ca="1">VLOOKUP($C181,OFFSET(開放条件!$A$1,0,0,COUNTA($A:$A),MATCH(D$2,開放条件!$1:$1,0)-MATCH($C$2,開放条件!$1:$1,0)+1),MATCH(D$2,開放条件!$1:$1,0)-MATCH($C$2,開放条件!$1:$1,0)+1,FALSE)</f>
        <v>通算ログインが x 日に到達</v>
      </c>
      <c r="E181" s="26" t="str">
        <f ca="1">VLOOKUP($C181,OFFSET(開放条件!$A$1,0,0,COUNTA($A:$A),MATCH(E$2,開放条件!$1:$1,0)-MATCH($C$2,開放条件!$1:$1,0)+1),MATCH(E$2,開放条件!$1:$1,0)-MATCH($C$2,開放条件!$1:$1,0)+1,FALSE)</f>
        <v>ログイン回数</v>
      </c>
      <c r="F181" s="61">
        <v>80</v>
      </c>
      <c r="G181" s="31" t="str">
        <f ca="1">IF(C181="mission_clear",VLOOKUP(INT($F181),OFFSET(missions!$A$1,0,0,COUNTA(missions!$A:$A),MATCH(G$2,missions!$2:$2,0)-MATCH("mission_id",missions!$2:$2,0)+1),MATCH(G$2,missions!$2:$2,0)-MATCH("mission_id",missions!$2:$2,0)+1,FALSE),IF(C181="quest_clear",VLOOKUP(SUBSTITUTE(F181,"-","_"),OFFSET([2]stages!$A$2,0,0,COUNTA([2]stages!$A:$A),MATCH("name",[2]stages!$2:$2,0)-MATCH("temp_stage",[2]stages!$2:$2,0)+1),MATCH("name",[2]stages!$2:$2,0)-MATCH("temp_stage",[2]stages!$2:$2,0)+1,FALSE),""))</f>
        <v/>
      </c>
      <c r="H181" s="28">
        <v>1</v>
      </c>
    </row>
    <row r="182" spans="1:8" ht="21" customHeight="1" x14ac:dyDescent="0.15">
      <c r="A182" s="27" t="s">
        <v>79</v>
      </c>
      <c r="B182" s="26" t="str">
        <f t="shared" ca="1" si="5"/>
        <v>通算ログインが 90 日に到達</v>
      </c>
      <c r="C182" s="32" t="s">
        <v>18</v>
      </c>
      <c r="D182" s="26" t="str">
        <f ca="1">VLOOKUP($C182,OFFSET(開放条件!$A$1,0,0,COUNTA($A:$A),MATCH(D$2,開放条件!$1:$1,0)-MATCH($C$2,開放条件!$1:$1,0)+1),MATCH(D$2,開放条件!$1:$1,0)-MATCH($C$2,開放条件!$1:$1,0)+1,FALSE)</f>
        <v>通算ログインが x 日に到達</v>
      </c>
      <c r="E182" s="26" t="str">
        <f ca="1">VLOOKUP($C182,OFFSET(開放条件!$A$1,0,0,COUNTA($A:$A),MATCH(E$2,開放条件!$1:$1,0)-MATCH($C$2,開放条件!$1:$1,0)+1),MATCH(E$2,開放条件!$1:$1,0)-MATCH($C$2,開放条件!$1:$1,0)+1,FALSE)</f>
        <v>ログイン回数</v>
      </c>
      <c r="F182" s="61">
        <v>90</v>
      </c>
      <c r="G182" s="31" t="str">
        <f ca="1">IF(C182="mission_clear",VLOOKUP(INT($F182),OFFSET(missions!$A$1,0,0,COUNTA(missions!$A:$A),MATCH(G$2,missions!$2:$2,0)-MATCH("mission_id",missions!$2:$2,0)+1),MATCH(G$2,missions!$2:$2,0)-MATCH("mission_id",missions!$2:$2,0)+1,FALSE),IF(C182="quest_clear",VLOOKUP(SUBSTITUTE(F182,"-","_"),OFFSET([2]stages!$A$2,0,0,COUNTA([2]stages!$A:$A),MATCH("name",[2]stages!$2:$2,0)-MATCH("temp_stage",[2]stages!$2:$2,0)+1),MATCH("name",[2]stages!$2:$2,0)-MATCH("temp_stage",[2]stages!$2:$2,0)+1,FALSE),""))</f>
        <v/>
      </c>
      <c r="H182" s="28">
        <v>1</v>
      </c>
    </row>
    <row r="183" spans="1:8" ht="21" customHeight="1" x14ac:dyDescent="0.15">
      <c r="A183" s="27" t="s">
        <v>80</v>
      </c>
      <c r="B183" s="26" t="str">
        <f t="shared" ca="1" si="5"/>
        <v>通算ログインが 100 日に到達</v>
      </c>
      <c r="C183" s="32" t="s">
        <v>18</v>
      </c>
      <c r="D183" s="26" t="str">
        <f ca="1">VLOOKUP($C183,OFFSET(開放条件!$A$1,0,0,COUNTA($A:$A),MATCH(D$2,開放条件!$1:$1,0)-MATCH($C$2,開放条件!$1:$1,0)+1),MATCH(D$2,開放条件!$1:$1,0)-MATCH($C$2,開放条件!$1:$1,0)+1,FALSE)</f>
        <v>通算ログインが x 日に到達</v>
      </c>
      <c r="E183" s="26" t="str">
        <f ca="1">VLOOKUP($C183,OFFSET(開放条件!$A$1,0,0,COUNTA($A:$A),MATCH(E$2,開放条件!$1:$1,0)-MATCH($C$2,開放条件!$1:$1,0)+1),MATCH(E$2,開放条件!$1:$1,0)-MATCH($C$2,開放条件!$1:$1,0)+1,FALSE)</f>
        <v>ログイン回数</v>
      </c>
      <c r="F183" s="61">
        <v>100</v>
      </c>
      <c r="G183" s="31" t="str">
        <f ca="1">IF(C183="mission_clear",VLOOKUP(INT($F183),OFFSET(missions!$A$1,0,0,COUNTA(missions!$A:$A),MATCH(G$2,missions!$2:$2,0)-MATCH("mission_id",missions!$2:$2,0)+1),MATCH(G$2,missions!$2:$2,0)-MATCH("mission_id",missions!$2:$2,0)+1,FALSE),IF(C183="quest_clear",VLOOKUP(SUBSTITUTE(F183,"-","_"),OFFSET([2]stages!$A$2,0,0,COUNTA([2]stages!$A:$A),MATCH("name",[2]stages!$2:$2,0)-MATCH("temp_stage",[2]stages!$2:$2,0)+1),MATCH("name",[2]stages!$2:$2,0)-MATCH("temp_stage",[2]stages!$2:$2,0)+1,FALSE),""))</f>
        <v/>
      </c>
      <c r="H183" s="28">
        <v>1</v>
      </c>
    </row>
    <row r="184" spans="1:8" ht="21" customHeight="1" x14ac:dyDescent="0.15">
      <c r="A184" s="27" t="s">
        <v>81</v>
      </c>
      <c r="B184" s="26" t="str">
        <f t="shared" ca="1" si="5"/>
        <v>通算ログインが 110 日に到達</v>
      </c>
      <c r="C184" s="32" t="s">
        <v>18</v>
      </c>
      <c r="D184" s="26" t="str">
        <f ca="1">VLOOKUP($C184,OFFSET(開放条件!$A$1,0,0,COUNTA($A:$A),MATCH(D$2,開放条件!$1:$1,0)-MATCH($C$2,開放条件!$1:$1,0)+1),MATCH(D$2,開放条件!$1:$1,0)-MATCH($C$2,開放条件!$1:$1,0)+1,FALSE)</f>
        <v>通算ログインが x 日に到達</v>
      </c>
      <c r="E184" s="26" t="str">
        <f ca="1">VLOOKUP($C184,OFFSET(開放条件!$A$1,0,0,COUNTA($A:$A),MATCH(E$2,開放条件!$1:$1,0)-MATCH($C$2,開放条件!$1:$1,0)+1),MATCH(E$2,開放条件!$1:$1,0)-MATCH($C$2,開放条件!$1:$1,0)+1,FALSE)</f>
        <v>ログイン回数</v>
      </c>
      <c r="F184" s="61">
        <v>110</v>
      </c>
      <c r="G184" s="31" t="str">
        <f ca="1">IF(C184="mission_clear",VLOOKUP(INT($F184),OFFSET(missions!$A$1,0,0,COUNTA(missions!$A:$A),MATCH(G$2,missions!$2:$2,0)-MATCH("mission_id",missions!$2:$2,0)+1),MATCH(G$2,missions!$2:$2,0)-MATCH("mission_id",missions!$2:$2,0)+1,FALSE),IF(C184="quest_clear",VLOOKUP(SUBSTITUTE(F184,"-","_"),OFFSET([2]stages!$A$2,0,0,COUNTA([2]stages!$A:$A),MATCH("name",[2]stages!$2:$2,0)-MATCH("temp_stage",[2]stages!$2:$2,0)+1),MATCH("name",[2]stages!$2:$2,0)-MATCH("temp_stage",[2]stages!$2:$2,0)+1,FALSE),""))</f>
        <v/>
      </c>
      <c r="H184" s="28">
        <v>1</v>
      </c>
    </row>
    <row r="185" spans="1:8" ht="21" customHeight="1" x14ac:dyDescent="0.15">
      <c r="A185" s="27" t="s">
        <v>82</v>
      </c>
      <c r="B185" s="26" t="str">
        <f t="shared" ca="1" si="5"/>
        <v>通算ログインが 120 日に到達</v>
      </c>
      <c r="C185" s="32" t="s">
        <v>18</v>
      </c>
      <c r="D185" s="26" t="str">
        <f ca="1">VLOOKUP($C185,OFFSET(開放条件!$A$1,0,0,COUNTA($A:$A),MATCH(D$2,開放条件!$1:$1,0)-MATCH($C$2,開放条件!$1:$1,0)+1),MATCH(D$2,開放条件!$1:$1,0)-MATCH($C$2,開放条件!$1:$1,0)+1,FALSE)</f>
        <v>通算ログインが x 日に到達</v>
      </c>
      <c r="E185" s="26" t="str">
        <f ca="1">VLOOKUP($C185,OFFSET(開放条件!$A$1,0,0,COUNTA($A:$A),MATCH(E$2,開放条件!$1:$1,0)-MATCH($C$2,開放条件!$1:$1,0)+1),MATCH(E$2,開放条件!$1:$1,0)-MATCH($C$2,開放条件!$1:$1,0)+1,FALSE)</f>
        <v>ログイン回数</v>
      </c>
      <c r="F185" s="61">
        <v>120</v>
      </c>
      <c r="G185" s="31" t="str">
        <f ca="1">IF(C185="mission_clear",VLOOKUP(INT($F185),OFFSET(missions!$A$1,0,0,COUNTA(missions!$A:$A),MATCH(G$2,missions!$2:$2,0)-MATCH("mission_id",missions!$2:$2,0)+1),MATCH(G$2,missions!$2:$2,0)-MATCH("mission_id",missions!$2:$2,0)+1,FALSE),IF(C185="quest_clear",VLOOKUP(SUBSTITUTE(F185,"-","_"),OFFSET([2]stages!$A$2,0,0,COUNTA([2]stages!$A:$A),MATCH("name",[2]stages!$2:$2,0)-MATCH("temp_stage",[2]stages!$2:$2,0)+1),MATCH("name",[2]stages!$2:$2,0)-MATCH("temp_stage",[2]stages!$2:$2,0)+1,FALSE),""))</f>
        <v/>
      </c>
      <c r="H185" s="28">
        <v>1</v>
      </c>
    </row>
    <row r="186" spans="1:8" ht="21" customHeight="1" x14ac:dyDescent="0.15">
      <c r="A186" s="27" t="s">
        <v>83</v>
      </c>
      <c r="B186" s="26" t="str">
        <f t="shared" ca="1" si="5"/>
        <v>通算ログインが 130 日に到達</v>
      </c>
      <c r="C186" s="32" t="s">
        <v>18</v>
      </c>
      <c r="D186" s="26" t="str">
        <f ca="1">VLOOKUP($C186,OFFSET(開放条件!$A$1,0,0,COUNTA($A:$A),MATCH(D$2,開放条件!$1:$1,0)-MATCH($C$2,開放条件!$1:$1,0)+1),MATCH(D$2,開放条件!$1:$1,0)-MATCH($C$2,開放条件!$1:$1,0)+1,FALSE)</f>
        <v>通算ログインが x 日に到達</v>
      </c>
      <c r="E186" s="26" t="str">
        <f ca="1">VLOOKUP($C186,OFFSET(開放条件!$A$1,0,0,COUNTA($A:$A),MATCH(E$2,開放条件!$1:$1,0)-MATCH($C$2,開放条件!$1:$1,0)+1),MATCH(E$2,開放条件!$1:$1,0)-MATCH($C$2,開放条件!$1:$1,0)+1,FALSE)</f>
        <v>ログイン回数</v>
      </c>
      <c r="F186" s="61">
        <v>130</v>
      </c>
      <c r="G186" s="31" t="str">
        <f ca="1">IF(C186="mission_clear",VLOOKUP(INT($F186),OFFSET(missions!$A$1,0,0,COUNTA(missions!$A:$A),MATCH(G$2,missions!$2:$2,0)-MATCH("mission_id",missions!$2:$2,0)+1),MATCH(G$2,missions!$2:$2,0)-MATCH("mission_id",missions!$2:$2,0)+1,FALSE),IF(C186="quest_clear",VLOOKUP(SUBSTITUTE(F186,"-","_"),OFFSET([2]stages!$A$2,0,0,COUNTA([2]stages!$A:$A),MATCH("name",[2]stages!$2:$2,0)-MATCH("temp_stage",[2]stages!$2:$2,0)+1),MATCH("name",[2]stages!$2:$2,0)-MATCH("temp_stage",[2]stages!$2:$2,0)+1,FALSE),""))</f>
        <v/>
      </c>
      <c r="H186" s="28">
        <v>1</v>
      </c>
    </row>
    <row r="187" spans="1:8" ht="21" customHeight="1" x14ac:dyDescent="0.15">
      <c r="A187" s="27" t="s">
        <v>84</v>
      </c>
      <c r="B187" s="26" t="str">
        <f t="shared" ca="1" si="5"/>
        <v>通算ログインが 140 日に到達</v>
      </c>
      <c r="C187" s="32" t="s">
        <v>18</v>
      </c>
      <c r="D187" s="26" t="str">
        <f ca="1">VLOOKUP($C187,OFFSET(開放条件!$A$1,0,0,COUNTA($A:$A),MATCH(D$2,開放条件!$1:$1,0)-MATCH($C$2,開放条件!$1:$1,0)+1),MATCH(D$2,開放条件!$1:$1,0)-MATCH($C$2,開放条件!$1:$1,0)+1,FALSE)</f>
        <v>通算ログインが x 日に到達</v>
      </c>
      <c r="E187" s="26" t="str">
        <f ca="1">VLOOKUP($C187,OFFSET(開放条件!$A$1,0,0,COUNTA($A:$A),MATCH(E$2,開放条件!$1:$1,0)-MATCH($C$2,開放条件!$1:$1,0)+1),MATCH(E$2,開放条件!$1:$1,0)-MATCH($C$2,開放条件!$1:$1,0)+1,FALSE)</f>
        <v>ログイン回数</v>
      </c>
      <c r="F187" s="61">
        <v>140</v>
      </c>
      <c r="G187" s="31" t="str">
        <f ca="1">IF(C187="mission_clear",VLOOKUP(INT($F187),OFFSET(missions!$A$1,0,0,COUNTA(missions!$A:$A),MATCH(G$2,missions!$2:$2,0)-MATCH("mission_id",missions!$2:$2,0)+1),MATCH(G$2,missions!$2:$2,0)-MATCH("mission_id",missions!$2:$2,0)+1,FALSE),IF(C187="quest_clear",VLOOKUP(SUBSTITUTE(F187,"-","_"),OFFSET([2]stages!$A$2,0,0,COUNTA([2]stages!$A:$A),MATCH("name",[2]stages!$2:$2,0)-MATCH("temp_stage",[2]stages!$2:$2,0)+1),MATCH("name",[2]stages!$2:$2,0)-MATCH("temp_stage",[2]stages!$2:$2,0)+1,FALSE),""))</f>
        <v/>
      </c>
      <c r="H187" s="28">
        <v>1</v>
      </c>
    </row>
    <row r="188" spans="1:8" ht="21" customHeight="1" x14ac:dyDescent="0.15">
      <c r="A188" s="27" t="s">
        <v>85</v>
      </c>
      <c r="B188" s="26" t="str">
        <f t="shared" ca="1" si="5"/>
        <v>通算ログインが 150 日に到達</v>
      </c>
      <c r="C188" s="32" t="s">
        <v>18</v>
      </c>
      <c r="D188" s="26" t="str">
        <f ca="1">VLOOKUP($C188,OFFSET(開放条件!$A$1,0,0,COUNTA($A:$A),MATCH(D$2,開放条件!$1:$1,0)-MATCH($C$2,開放条件!$1:$1,0)+1),MATCH(D$2,開放条件!$1:$1,0)-MATCH($C$2,開放条件!$1:$1,0)+1,FALSE)</f>
        <v>通算ログインが x 日に到達</v>
      </c>
      <c r="E188" s="26" t="str">
        <f ca="1">VLOOKUP($C188,OFFSET(開放条件!$A$1,0,0,COUNTA($A:$A),MATCH(E$2,開放条件!$1:$1,0)-MATCH($C$2,開放条件!$1:$1,0)+1),MATCH(E$2,開放条件!$1:$1,0)-MATCH($C$2,開放条件!$1:$1,0)+1,FALSE)</f>
        <v>ログイン回数</v>
      </c>
      <c r="F188" s="61">
        <v>150</v>
      </c>
      <c r="G188" s="31" t="str">
        <f ca="1">IF(C188="mission_clear",VLOOKUP(INT($F188),OFFSET(missions!$A$1,0,0,COUNTA(missions!$A:$A),MATCH(G$2,missions!$2:$2,0)-MATCH("mission_id",missions!$2:$2,0)+1),MATCH(G$2,missions!$2:$2,0)-MATCH("mission_id",missions!$2:$2,0)+1,FALSE),IF(C188="quest_clear",VLOOKUP(SUBSTITUTE(F188,"-","_"),OFFSET([2]stages!$A$2,0,0,COUNTA([2]stages!$A:$A),MATCH("name",[2]stages!$2:$2,0)-MATCH("temp_stage",[2]stages!$2:$2,0)+1),MATCH("name",[2]stages!$2:$2,0)-MATCH("temp_stage",[2]stages!$2:$2,0)+1,FALSE),""))</f>
        <v/>
      </c>
      <c r="H188" s="28">
        <v>1</v>
      </c>
    </row>
    <row r="189" spans="1:8" ht="21" customHeight="1" x14ac:dyDescent="0.15">
      <c r="A189" s="27" t="s">
        <v>86</v>
      </c>
      <c r="B189" s="26" t="str">
        <f t="shared" ca="1" si="5"/>
        <v>通算ログインが 160 日に到達</v>
      </c>
      <c r="C189" s="32" t="s">
        <v>18</v>
      </c>
      <c r="D189" s="26" t="str">
        <f ca="1">VLOOKUP($C189,OFFSET(開放条件!$A$1,0,0,COUNTA($A:$A),MATCH(D$2,開放条件!$1:$1,0)-MATCH($C$2,開放条件!$1:$1,0)+1),MATCH(D$2,開放条件!$1:$1,0)-MATCH($C$2,開放条件!$1:$1,0)+1,FALSE)</f>
        <v>通算ログインが x 日に到達</v>
      </c>
      <c r="E189" s="26" t="str">
        <f ca="1">VLOOKUP($C189,OFFSET(開放条件!$A$1,0,0,COUNTA($A:$A),MATCH(E$2,開放条件!$1:$1,0)-MATCH($C$2,開放条件!$1:$1,0)+1),MATCH(E$2,開放条件!$1:$1,0)-MATCH($C$2,開放条件!$1:$1,0)+1,FALSE)</f>
        <v>ログイン回数</v>
      </c>
      <c r="F189" s="61">
        <v>160</v>
      </c>
      <c r="G189" s="31" t="str">
        <f ca="1">IF(C189="mission_clear",VLOOKUP(INT($F189),OFFSET(missions!$A$1,0,0,COUNTA(missions!$A:$A),MATCH(G$2,missions!$2:$2,0)-MATCH("mission_id",missions!$2:$2,0)+1),MATCH(G$2,missions!$2:$2,0)-MATCH("mission_id",missions!$2:$2,0)+1,FALSE),IF(C189="quest_clear",VLOOKUP(SUBSTITUTE(F189,"-","_"),OFFSET([2]stages!$A$2,0,0,COUNTA([2]stages!$A:$A),MATCH("name",[2]stages!$2:$2,0)-MATCH("temp_stage",[2]stages!$2:$2,0)+1),MATCH("name",[2]stages!$2:$2,0)-MATCH("temp_stage",[2]stages!$2:$2,0)+1,FALSE),""))</f>
        <v/>
      </c>
      <c r="H189" s="28">
        <v>1</v>
      </c>
    </row>
    <row r="190" spans="1:8" ht="21" customHeight="1" x14ac:dyDescent="0.15">
      <c r="A190" s="27" t="s">
        <v>87</v>
      </c>
      <c r="B190" s="26" t="str">
        <f t="shared" ca="1" si="5"/>
        <v>通算ログインが 170 日に到達</v>
      </c>
      <c r="C190" s="32" t="s">
        <v>18</v>
      </c>
      <c r="D190" s="26" t="str">
        <f ca="1">VLOOKUP($C190,OFFSET(開放条件!$A$1,0,0,COUNTA($A:$A),MATCH(D$2,開放条件!$1:$1,0)-MATCH($C$2,開放条件!$1:$1,0)+1),MATCH(D$2,開放条件!$1:$1,0)-MATCH($C$2,開放条件!$1:$1,0)+1,FALSE)</f>
        <v>通算ログインが x 日に到達</v>
      </c>
      <c r="E190" s="26" t="str">
        <f ca="1">VLOOKUP($C190,OFFSET(開放条件!$A$1,0,0,COUNTA($A:$A),MATCH(E$2,開放条件!$1:$1,0)-MATCH($C$2,開放条件!$1:$1,0)+1),MATCH(E$2,開放条件!$1:$1,0)-MATCH($C$2,開放条件!$1:$1,0)+1,FALSE)</f>
        <v>ログイン回数</v>
      </c>
      <c r="F190" s="61">
        <v>170</v>
      </c>
      <c r="G190" s="31" t="str">
        <f ca="1">IF(C190="mission_clear",VLOOKUP(INT($F190),OFFSET(missions!$A$1,0,0,COUNTA(missions!$A:$A),MATCH(G$2,missions!$2:$2,0)-MATCH("mission_id",missions!$2:$2,0)+1),MATCH(G$2,missions!$2:$2,0)-MATCH("mission_id",missions!$2:$2,0)+1,FALSE),IF(C190="quest_clear",VLOOKUP(SUBSTITUTE(F190,"-","_"),OFFSET([2]stages!$A$2,0,0,COUNTA([2]stages!$A:$A),MATCH("name",[2]stages!$2:$2,0)-MATCH("temp_stage",[2]stages!$2:$2,0)+1),MATCH("name",[2]stages!$2:$2,0)-MATCH("temp_stage",[2]stages!$2:$2,0)+1,FALSE),""))</f>
        <v/>
      </c>
      <c r="H190" s="28">
        <v>1</v>
      </c>
    </row>
    <row r="191" spans="1:8" ht="21" customHeight="1" x14ac:dyDescent="0.15">
      <c r="A191" s="27" t="s">
        <v>88</v>
      </c>
      <c r="B191" s="26" t="str">
        <f t="shared" ca="1" si="5"/>
        <v>通算ログインが 180 日に到達</v>
      </c>
      <c r="C191" s="32" t="s">
        <v>18</v>
      </c>
      <c r="D191" s="26" t="str">
        <f ca="1">VLOOKUP($C191,OFFSET(開放条件!$A$1,0,0,COUNTA($A:$A),MATCH(D$2,開放条件!$1:$1,0)-MATCH($C$2,開放条件!$1:$1,0)+1),MATCH(D$2,開放条件!$1:$1,0)-MATCH($C$2,開放条件!$1:$1,0)+1,FALSE)</f>
        <v>通算ログインが x 日に到達</v>
      </c>
      <c r="E191" s="26" t="str">
        <f ca="1">VLOOKUP($C191,OFFSET(開放条件!$A$1,0,0,COUNTA($A:$A),MATCH(E$2,開放条件!$1:$1,0)-MATCH($C$2,開放条件!$1:$1,0)+1),MATCH(E$2,開放条件!$1:$1,0)-MATCH($C$2,開放条件!$1:$1,0)+1,FALSE)</f>
        <v>ログイン回数</v>
      </c>
      <c r="F191" s="61">
        <v>180</v>
      </c>
      <c r="G191" s="31" t="str">
        <f ca="1">IF(C191="mission_clear",VLOOKUP(INT($F191),OFFSET(missions!$A$1,0,0,COUNTA(missions!$A:$A),MATCH(G$2,missions!$2:$2,0)-MATCH("mission_id",missions!$2:$2,0)+1),MATCH(G$2,missions!$2:$2,0)-MATCH("mission_id",missions!$2:$2,0)+1,FALSE),IF(C191="quest_clear",VLOOKUP(SUBSTITUTE(F191,"-","_"),OFFSET([2]stages!$A$2,0,0,COUNTA([2]stages!$A:$A),MATCH("name",[2]stages!$2:$2,0)-MATCH("temp_stage",[2]stages!$2:$2,0)+1),MATCH("name",[2]stages!$2:$2,0)-MATCH("temp_stage",[2]stages!$2:$2,0)+1,FALSE),""))</f>
        <v/>
      </c>
      <c r="H191" s="28">
        <v>1</v>
      </c>
    </row>
    <row r="192" spans="1:8" ht="21" customHeight="1" x14ac:dyDescent="0.15">
      <c r="A192" s="27" t="s">
        <v>89</v>
      </c>
      <c r="B192" s="26" t="str">
        <f t="shared" ca="1" si="5"/>
        <v>通算ログインが 190 日に到達</v>
      </c>
      <c r="C192" s="32" t="s">
        <v>18</v>
      </c>
      <c r="D192" s="26" t="str">
        <f ca="1">VLOOKUP($C192,OFFSET(開放条件!$A$1,0,0,COUNTA($A:$A),MATCH(D$2,開放条件!$1:$1,0)-MATCH($C$2,開放条件!$1:$1,0)+1),MATCH(D$2,開放条件!$1:$1,0)-MATCH($C$2,開放条件!$1:$1,0)+1,FALSE)</f>
        <v>通算ログインが x 日に到達</v>
      </c>
      <c r="E192" s="26" t="str">
        <f ca="1">VLOOKUP($C192,OFFSET(開放条件!$A$1,0,0,COUNTA($A:$A),MATCH(E$2,開放条件!$1:$1,0)-MATCH($C$2,開放条件!$1:$1,0)+1),MATCH(E$2,開放条件!$1:$1,0)-MATCH($C$2,開放条件!$1:$1,0)+1,FALSE)</f>
        <v>ログイン回数</v>
      </c>
      <c r="F192" s="61">
        <v>190</v>
      </c>
      <c r="G192" s="31" t="str">
        <f ca="1">IF(C192="mission_clear",VLOOKUP(INT($F192),OFFSET(missions!$A$1,0,0,COUNTA(missions!$A:$A),MATCH(G$2,missions!$2:$2,0)-MATCH("mission_id",missions!$2:$2,0)+1),MATCH(G$2,missions!$2:$2,0)-MATCH("mission_id",missions!$2:$2,0)+1,FALSE),IF(C192="quest_clear",VLOOKUP(SUBSTITUTE(F192,"-","_"),OFFSET([2]stages!$A$2,0,0,COUNTA([2]stages!$A:$A),MATCH("name",[2]stages!$2:$2,0)-MATCH("temp_stage",[2]stages!$2:$2,0)+1),MATCH("name",[2]stages!$2:$2,0)-MATCH("temp_stage",[2]stages!$2:$2,0)+1,FALSE),""))</f>
        <v/>
      </c>
      <c r="H192" s="28">
        <v>1</v>
      </c>
    </row>
    <row r="193" spans="1:8" ht="21" customHeight="1" x14ac:dyDescent="0.15">
      <c r="A193" s="27" t="s">
        <v>90</v>
      </c>
      <c r="B193" s="26" t="str">
        <f t="shared" ca="1" si="5"/>
        <v>通算ログインが 200 日に到達</v>
      </c>
      <c r="C193" s="32" t="s">
        <v>18</v>
      </c>
      <c r="D193" s="26" t="str">
        <f ca="1">VLOOKUP($C193,OFFSET(開放条件!$A$1,0,0,COUNTA($A:$A),MATCH(D$2,開放条件!$1:$1,0)-MATCH($C$2,開放条件!$1:$1,0)+1),MATCH(D$2,開放条件!$1:$1,0)-MATCH($C$2,開放条件!$1:$1,0)+1,FALSE)</f>
        <v>通算ログインが x 日に到達</v>
      </c>
      <c r="E193" s="26" t="str">
        <f ca="1">VLOOKUP($C193,OFFSET(開放条件!$A$1,0,0,COUNTA($A:$A),MATCH(E$2,開放条件!$1:$1,0)-MATCH($C$2,開放条件!$1:$1,0)+1),MATCH(E$2,開放条件!$1:$1,0)-MATCH($C$2,開放条件!$1:$1,0)+1,FALSE)</f>
        <v>ログイン回数</v>
      </c>
      <c r="F193" s="61">
        <v>200</v>
      </c>
      <c r="G193" s="31" t="str">
        <f ca="1">IF(C193="mission_clear",VLOOKUP(INT($F193),OFFSET(missions!$A$1,0,0,COUNTA(missions!$A:$A),MATCH(G$2,missions!$2:$2,0)-MATCH("mission_id",missions!$2:$2,0)+1),MATCH(G$2,missions!$2:$2,0)-MATCH("mission_id",missions!$2:$2,0)+1,FALSE),IF(C193="quest_clear",VLOOKUP(SUBSTITUTE(F193,"-","_"),OFFSET([2]stages!$A$2,0,0,COUNTA([2]stages!$A:$A),MATCH("name",[2]stages!$2:$2,0)-MATCH("temp_stage",[2]stages!$2:$2,0)+1),MATCH("name",[2]stages!$2:$2,0)-MATCH("temp_stage",[2]stages!$2:$2,0)+1,FALSE),""))</f>
        <v/>
      </c>
      <c r="H193" s="28">
        <v>1</v>
      </c>
    </row>
    <row r="194" spans="1:8" ht="21" customHeight="1" x14ac:dyDescent="0.15">
      <c r="A194" s="27" t="s">
        <v>91</v>
      </c>
      <c r="B194" s="26" t="str">
        <f t="shared" ca="1" si="5"/>
        <v>通算ログインが 210 日に到達</v>
      </c>
      <c r="C194" s="32" t="s">
        <v>18</v>
      </c>
      <c r="D194" s="26" t="str">
        <f ca="1">VLOOKUP($C194,OFFSET(開放条件!$A$1,0,0,COUNTA($A:$A),MATCH(D$2,開放条件!$1:$1,0)-MATCH($C$2,開放条件!$1:$1,0)+1),MATCH(D$2,開放条件!$1:$1,0)-MATCH($C$2,開放条件!$1:$1,0)+1,FALSE)</f>
        <v>通算ログインが x 日に到達</v>
      </c>
      <c r="E194" s="26" t="str">
        <f ca="1">VLOOKUP($C194,OFFSET(開放条件!$A$1,0,0,COUNTA($A:$A),MATCH(E$2,開放条件!$1:$1,0)-MATCH($C$2,開放条件!$1:$1,0)+1),MATCH(E$2,開放条件!$1:$1,0)-MATCH($C$2,開放条件!$1:$1,0)+1,FALSE)</f>
        <v>ログイン回数</v>
      </c>
      <c r="F194" s="61">
        <v>210</v>
      </c>
      <c r="G194" s="31" t="str">
        <f ca="1">IF(C194="mission_clear",VLOOKUP(INT($F194),OFFSET(missions!$A$1,0,0,COUNTA(missions!$A:$A),MATCH(G$2,missions!$2:$2,0)-MATCH("mission_id",missions!$2:$2,0)+1),MATCH(G$2,missions!$2:$2,0)-MATCH("mission_id",missions!$2:$2,0)+1,FALSE),IF(C194="quest_clear",VLOOKUP(SUBSTITUTE(F194,"-","_"),OFFSET([2]stages!$A$2,0,0,COUNTA([2]stages!$A:$A),MATCH("name",[2]stages!$2:$2,0)-MATCH("temp_stage",[2]stages!$2:$2,0)+1),MATCH("name",[2]stages!$2:$2,0)-MATCH("temp_stage",[2]stages!$2:$2,0)+1,FALSE),""))</f>
        <v/>
      </c>
      <c r="H194" s="28">
        <v>1</v>
      </c>
    </row>
    <row r="195" spans="1:8" ht="21" customHeight="1" x14ac:dyDescent="0.15">
      <c r="A195" s="27" t="s">
        <v>92</v>
      </c>
      <c r="B195" s="26" t="str">
        <f t="shared" ca="1" si="5"/>
        <v>通算ログインが 220 日に到達</v>
      </c>
      <c r="C195" s="32" t="s">
        <v>18</v>
      </c>
      <c r="D195" s="26" t="str">
        <f ca="1">VLOOKUP($C195,OFFSET(開放条件!$A$1,0,0,COUNTA($A:$A),MATCH(D$2,開放条件!$1:$1,0)-MATCH($C$2,開放条件!$1:$1,0)+1),MATCH(D$2,開放条件!$1:$1,0)-MATCH($C$2,開放条件!$1:$1,0)+1,FALSE)</f>
        <v>通算ログインが x 日に到達</v>
      </c>
      <c r="E195" s="26" t="str">
        <f ca="1">VLOOKUP($C195,OFFSET(開放条件!$A$1,0,0,COUNTA($A:$A),MATCH(E$2,開放条件!$1:$1,0)-MATCH($C$2,開放条件!$1:$1,0)+1),MATCH(E$2,開放条件!$1:$1,0)-MATCH($C$2,開放条件!$1:$1,0)+1,FALSE)</f>
        <v>ログイン回数</v>
      </c>
      <c r="F195" s="61">
        <v>220</v>
      </c>
      <c r="G195" s="31" t="str">
        <f ca="1">IF(C195="mission_clear",VLOOKUP(INT($F195),OFFSET(missions!$A$1,0,0,COUNTA(missions!$A:$A),MATCH(G$2,missions!$2:$2,0)-MATCH("mission_id",missions!$2:$2,0)+1),MATCH(G$2,missions!$2:$2,0)-MATCH("mission_id",missions!$2:$2,0)+1,FALSE),IF(C195="quest_clear",VLOOKUP(SUBSTITUTE(F195,"-","_"),OFFSET([2]stages!$A$2,0,0,COUNTA([2]stages!$A:$A),MATCH("name",[2]stages!$2:$2,0)-MATCH("temp_stage",[2]stages!$2:$2,0)+1),MATCH("name",[2]stages!$2:$2,0)-MATCH("temp_stage",[2]stages!$2:$2,0)+1,FALSE),""))</f>
        <v/>
      </c>
      <c r="H195" s="28">
        <v>1</v>
      </c>
    </row>
    <row r="196" spans="1:8" ht="21" customHeight="1" x14ac:dyDescent="0.15">
      <c r="A196" s="27" t="s">
        <v>93</v>
      </c>
      <c r="B196" s="26" t="str">
        <f t="shared" ca="1" si="5"/>
        <v>通算ログインが 230 日に到達</v>
      </c>
      <c r="C196" s="32" t="s">
        <v>18</v>
      </c>
      <c r="D196" s="26" t="str">
        <f ca="1">VLOOKUP($C196,OFFSET(開放条件!$A$1,0,0,COUNTA($A:$A),MATCH(D$2,開放条件!$1:$1,0)-MATCH($C$2,開放条件!$1:$1,0)+1),MATCH(D$2,開放条件!$1:$1,0)-MATCH($C$2,開放条件!$1:$1,0)+1,FALSE)</f>
        <v>通算ログインが x 日に到達</v>
      </c>
      <c r="E196" s="26" t="str">
        <f ca="1">VLOOKUP($C196,OFFSET(開放条件!$A$1,0,0,COUNTA($A:$A),MATCH(E$2,開放条件!$1:$1,0)-MATCH($C$2,開放条件!$1:$1,0)+1),MATCH(E$2,開放条件!$1:$1,0)-MATCH($C$2,開放条件!$1:$1,0)+1,FALSE)</f>
        <v>ログイン回数</v>
      </c>
      <c r="F196" s="61">
        <v>230</v>
      </c>
      <c r="G196" s="31" t="str">
        <f ca="1">IF(C196="mission_clear",VLOOKUP(INT($F196),OFFSET(missions!$A$1,0,0,COUNTA(missions!$A:$A),MATCH(G$2,missions!$2:$2,0)-MATCH("mission_id",missions!$2:$2,0)+1),MATCH(G$2,missions!$2:$2,0)-MATCH("mission_id",missions!$2:$2,0)+1,FALSE),IF(C196="quest_clear",VLOOKUP(SUBSTITUTE(F196,"-","_"),OFFSET([2]stages!$A$2,0,0,COUNTA([2]stages!$A:$A),MATCH("name",[2]stages!$2:$2,0)-MATCH("temp_stage",[2]stages!$2:$2,0)+1),MATCH("name",[2]stages!$2:$2,0)-MATCH("temp_stage",[2]stages!$2:$2,0)+1,FALSE),""))</f>
        <v/>
      </c>
      <c r="H196" s="28">
        <v>1</v>
      </c>
    </row>
    <row r="197" spans="1:8" ht="21" customHeight="1" x14ac:dyDescent="0.15">
      <c r="A197" s="27" t="s">
        <v>94</v>
      </c>
      <c r="B197" s="26" t="str">
        <f t="shared" ca="1" si="5"/>
        <v>通算ログインが 240 日に到達</v>
      </c>
      <c r="C197" s="32" t="s">
        <v>18</v>
      </c>
      <c r="D197" s="26" t="str">
        <f ca="1">VLOOKUP($C197,OFFSET(開放条件!$A$1,0,0,COUNTA($A:$A),MATCH(D$2,開放条件!$1:$1,0)-MATCH($C$2,開放条件!$1:$1,0)+1),MATCH(D$2,開放条件!$1:$1,0)-MATCH($C$2,開放条件!$1:$1,0)+1,FALSE)</f>
        <v>通算ログインが x 日に到達</v>
      </c>
      <c r="E197" s="26" t="str">
        <f ca="1">VLOOKUP($C197,OFFSET(開放条件!$A$1,0,0,COUNTA($A:$A),MATCH(E$2,開放条件!$1:$1,0)-MATCH($C$2,開放条件!$1:$1,0)+1),MATCH(E$2,開放条件!$1:$1,0)-MATCH($C$2,開放条件!$1:$1,0)+1,FALSE)</f>
        <v>ログイン回数</v>
      </c>
      <c r="F197" s="61">
        <v>240</v>
      </c>
      <c r="G197" s="31" t="str">
        <f ca="1">IF(C197="mission_clear",VLOOKUP(INT($F197),OFFSET(missions!$A$1,0,0,COUNTA(missions!$A:$A),MATCH(G$2,missions!$2:$2,0)-MATCH("mission_id",missions!$2:$2,0)+1),MATCH(G$2,missions!$2:$2,0)-MATCH("mission_id",missions!$2:$2,0)+1,FALSE),IF(C197="quest_clear",VLOOKUP(SUBSTITUTE(F197,"-","_"),OFFSET([2]stages!$A$2,0,0,COUNTA([2]stages!$A:$A),MATCH("name",[2]stages!$2:$2,0)-MATCH("temp_stage",[2]stages!$2:$2,0)+1),MATCH("name",[2]stages!$2:$2,0)-MATCH("temp_stage",[2]stages!$2:$2,0)+1,FALSE),""))</f>
        <v/>
      </c>
      <c r="H197" s="28">
        <v>1</v>
      </c>
    </row>
    <row r="198" spans="1:8" ht="21" customHeight="1" x14ac:dyDescent="0.15">
      <c r="A198" s="27" t="s">
        <v>95</v>
      </c>
      <c r="B198" s="26" t="str">
        <f t="shared" ref="B198:B262" ca="1" si="8">IF(C198="quest_clear",SUBSTITUTE(D198,"x",G198),IF(C198="mission_clear",SUBSTITUTE(D198,"x",G198),SUBSTITUTE(D198,"x",F198)))</f>
        <v>通算ログインが 250 日に到達</v>
      </c>
      <c r="C198" s="32" t="s">
        <v>18</v>
      </c>
      <c r="D198" s="26" t="str">
        <f ca="1">VLOOKUP($C198,OFFSET(開放条件!$A$1,0,0,COUNTA($A:$A),MATCH(D$2,開放条件!$1:$1,0)-MATCH($C$2,開放条件!$1:$1,0)+1),MATCH(D$2,開放条件!$1:$1,0)-MATCH($C$2,開放条件!$1:$1,0)+1,FALSE)</f>
        <v>通算ログインが x 日に到達</v>
      </c>
      <c r="E198" s="26" t="str">
        <f ca="1">VLOOKUP($C198,OFFSET(開放条件!$A$1,0,0,COUNTA($A:$A),MATCH(E$2,開放条件!$1:$1,0)-MATCH($C$2,開放条件!$1:$1,0)+1),MATCH(E$2,開放条件!$1:$1,0)-MATCH($C$2,開放条件!$1:$1,0)+1,FALSE)</f>
        <v>ログイン回数</v>
      </c>
      <c r="F198" s="61">
        <v>250</v>
      </c>
      <c r="G198" s="31" t="str">
        <f ca="1">IF(C198="mission_clear",VLOOKUP(INT($F198),OFFSET(missions!$A$1,0,0,COUNTA(missions!$A:$A),MATCH(G$2,missions!$2:$2,0)-MATCH("mission_id",missions!$2:$2,0)+1),MATCH(G$2,missions!$2:$2,0)-MATCH("mission_id",missions!$2:$2,0)+1,FALSE),IF(C198="quest_clear",VLOOKUP(SUBSTITUTE(F198,"-","_"),OFFSET([2]stages!$A$2,0,0,COUNTA([2]stages!$A:$A),MATCH("name",[2]stages!$2:$2,0)-MATCH("temp_stage",[2]stages!$2:$2,0)+1),MATCH("name",[2]stages!$2:$2,0)-MATCH("temp_stage",[2]stages!$2:$2,0)+1,FALSE),""))</f>
        <v/>
      </c>
      <c r="H198" s="28">
        <v>1</v>
      </c>
    </row>
    <row r="199" spans="1:8" ht="21" customHeight="1" x14ac:dyDescent="0.15">
      <c r="A199" s="27" t="s">
        <v>96</v>
      </c>
      <c r="B199" s="26" t="str">
        <f t="shared" ca="1" si="8"/>
        <v>通算ログインが 260 日に到達</v>
      </c>
      <c r="C199" s="32" t="s">
        <v>18</v>
      </c>
      <c r="D199" s="26" t="str">
        <f ca="1">VLOOKUP($C199,OFFSET(開放条件!$A$1,0,0,COUNTA($A:$A),MATCH(D$2,開放条件!$1:$1,0)-MATCH($C$2,開放条件!$1:$1,0)+1),MATCH(D$2,開放条件!$1:$1,0)-MATCH($C$2,開放条件!$1:$1,0)+1,FALSE)</f>
        <v>通算ログインが x 日に到達</v>
      </c>
      <c r="E199" s="26" t="str">
        <f ca="1">VLOOKUP($C199,OFFSET(開放条件!$A$1,0,0,COUNTA($A:$A),MATCH(E$2,開放条件!$1:$1,0)-MATCH($C$2,開放条件!$1:$1,0)+1),MATCH(E$2,開放条件!$1:$1,0)-MATCH($C$2,開放条件!$1:$1,0)+1,FALSE)</f>
        <v>ログイン回数</v>
      </c>
      <c r="F199" s="61">
        <v>260</v>
      </c>
      <c r="G199" s="31" t="str">
        <f ca="1">IF(C199="mission_clear",VLOOKUP(INT($F199),OFFSET(missions!$A$1,0,0,COUNTA(missions!$A:$A),MATCH(G$2,missions!$2:$2,0)-MATCH("mission_id",missions!$2:$2,0)+1),MATCH(G$2,missions!$2:$2,0)-MATCH("mission_id",missions!$2:$2,0)+1,FALSE),IF(C199="quest_clear",VLOOKUP(SUBSTITUTE(F199,"-","_"),OFFSET([2]stages!$A$2,0,0,COUNTA([2]stages!$A:$A),MATCH("name",[2]stages!$2:$2,0)-MATCH("temp_stage",[2]stages!$2:$2,0)+1),MATCH("name",[2]stages!$2:$2,0)-MATCH("temp_stage",[2]stages!$2:$2,0)+1,FALSE),""))</f>
        <v/>
      </c>
      <c r="H199" s="28">
        <v>1</v>
      </c>
    </row>
    <row r="200" spans="1:8" ht="21" customHeight="1" x14ac:dyDescent="0.15">
      <c r="A200" s="27" t="s">
        <v>97</v>
      </c>
      <c r="B200" s="26" t="str">
        <f t="shared" ca="1" si="8"/>
        <v>通算ログインが 270 日に到達</v>
      </c>
      <c r="C200" s="32" t="s">
        <v>18</v>
      </c>
      <c r="D200" s="26" t="str">
        <f ca="1">VLOOKUP($C200,OFFSET(開放条件!$A$1,0,0,COUNTA($A:$A),MATCH(D$2,開放条件!$1:$1,0)-MATCH($C$2,開放条件!$1:$1,0)+1),MATCH(D$2,開放条件!$1:$1,0)-MATCH($C$2,開放条件!$1:$1,0)+1,FALSE)</f>
        <v>通算ログインが x 日に到達</v>
      </c>
      <c r="E200" s="26" t="str">
        <f ca="1">VLOOKUP($C200,OFFSET(開放条件!$A$1,0,0,COUNTA($A:$A),MATCH(E$2,開放条件!$1:$1,0)-MATCH($C$2,開放条件!$1:$1,0)+1),MATCH(E$2,開放条件!$1:$1,0)-MATCH($C$2,開放条件!$1:$1,0)+1,FALSE)</f>
        <v>ログイン回数</v>
      </c>
      <c r="F200" s="61">
        <v>270</v>
      </c>
      <c r="G200" s="31" t="str">
        <f ca="1">IF(C200="mission_clear",VLOOKUP(INT($F200),OFFSET(missions!$A$1,0,0,COUNTA(missions!$A:$A),MATCH(G$2,missions!$2:$2,0)-MATCH("mission_id",missions!$2:$2,0)+1),MATCH(G$2,missions!$2:$2,0)-MATCH("mission_id",missions!$2:$2,0)+1,FALSE),IF(C200="quest_clear",VLOOKUP(SUBSTITUTE(F200,"-","_"),OFFSET([2]stages!$A$2,0,0,COUNTA([2]stages!$A:$A),MATCH("name",[2]stages!$2:$2,0)-MATCH("temp_stage",[2]stages!$2:$2,0)+1),MATCH("name",[2]stages!$2:$2,0)-MATCH("temp_stage",[2]stages!$2:$2,0)+1,FALSE),""))</f>
        <v/>
      </c>
      <c r="H200" s="28">
        <v>1</v>
      </c>
    </row>
    <row r="201" spans="1:8" ht="21" customHeight="1" x14ac:dyDescent="0.15">
      <c r="A201" s="27" t="s">
        <v>98</v>
      </c>
      <c r="B201" s="26" t="str">
        <f t="shared" ca="1" si="8"/>
        <v>通算ログインが 280 日に到達</v>
      </c>
      <c r="C201" s="32" t="s">
        <v>18</v>
      </c>
      <c r="D201" s="26" t="str">
        <f ca="1">VLOOKUP($C201,OFFSET(開放条件!$A$1,0,0,COUNTA($A:$A),MATCH(D$2,開放条件!$1:$1,0)-MATCH($C$2,開放条件!$1:$1,0)+1),MATCH(D$2,開放条件!$1:$1,0)-MATCH($C$2,開放条件!$1:$1,0)+1,FALSE)</f>
        <v>通算ログインが x 日に到達</v>
      </c>
      <c r="E201" s="26" t="str">
        <f ca="1">VLOOKUP($C201,OFFSET(開放条件!$A$1,0,0,COUNTA($A:$A),MATCH(E$2,開放条件!$1:$1,0)-MATCH($C$2,開放条件!$1:$1,0)+1),MATCH(E$2,開放条件!$1:$1,0)-MATCH($C$2,開放条件!$1:$1,0)+1,FALSE)</f>
        <v>ログイン回数</v>
      </c>
      <c r="F201" s="61">
        <v>280</v>
      </c>
      <c r="G201" s="31" t="str">
        <f ca="1">IF(C201="mission_clear",VLOOKUP(INT($F201),OFFSET(missions!$A$1,0,0,COUNTA(missions!$A:$A),MATCH(G$2,missions!$2:$2,0)-MATCH("mission_id",missions!$2:$2,0)+1),MATCH(G$2,missions!$2:$2,0)-MATCH("mission_id",missions!$2:$2,0)+1,FALSE),IF(C201="quest_clear",VLOOKUP(SUBSTITUTE(F201,"-","_"),OFFSET([2]stages!$A$2,0,0,COUNTA([2]stages!$A:$A),MATCH("name",[2]stages!$2:$2,0)-MATCH("temp_stage",[2]stages!$2:$2,0)+1),MATCH("name",[2]stages!$2:$2,0)-MATCH("temp_stage",[2]stages!$2:$2,0)+1,FALSE),""))</f>
        <v/>
      </c>
      <c r="H201" s="28">
        <v>1</v>
      </c>
    </row>
    <row r="202" spans="1:8" ht="21" customHeight="1" x14ac:dyDescent="0.15">
      <c r="A202" s="27" t="s">
        <v>99</v>
      </c>
      <c r="B202" s="26" t="str">
        <f t="shared" ca="1" si="8"/>
        <v>通算ログインが 290 日に到達</v>
      </c>
      <c r="C202" s="32" t="s">
        <v>18</v>
      </c>
      <c r="D202" s="26" t="str">
        <f ca="1">VLOOKUP($C202,OFFSET(開放条件!$A$1,0,0,COUNTA($A:$A),MATCH(D$2,開放条件!$1:$1,0)-MATCH($C$2,開放条件!$1:$1,0)+1),MATCH(D$2,開放条件!$1:$1,0)-MATCH($C$2,開放条件!$1:$1,0)+1,FALSE)</f>
        <v>通算ログインが x 日に到達</v>
      </c>
      <c r="E202" s="26" t="str">
        <f ca="1">VLOOKUP($C202,OFFSET(開放条件!$A$1,0,0,COUNTA($A:$A),MATCH(E$2,開放条件!$1:$1,0)-MATCH($C$2,開放条件!$1:$1,0)+1),MATCH(E$2,開放条件!$1:$1,0)-MATCH($C$2,開放条件!$1:$1,0)+1,FALSE)</f>
        <v>ログイン回数</v>
      </c>
      <c r="F202" s="61">
        <v>290</v>
      </c>
      <c r="G202" s="31" t="str">
        <f ca="1">IF(C202="mission_clear",VLOOKUP(INT($F202),OFFSET(missions!$A$1,0,0,COUNTA(missions!$A:$A),MATCH(G$2,missions!$2:$2,0)-MATCH("mission_id",missions!$2:$2,0)+1),MATCH(G$2,missions!$2:$2,0)-MATCH("mission_id",missions!$2:$2,0)+1,FALSE),IF(C202="quest_clear",VLOOKUP(SUBSTITUTE(F202,"-","_"),OFFSET([2]stages!$A$2,0,0,COUNTA([2]stages!$A:$A),MATCH("name",[2]stages!$2:$2,0)-MATCH("temp_stage",[2]stages!$2:$2,0)+1),MATCH("name",[2]stages!$2:$2,0)-MATCH("temp_stage",[2]stages!$2:$2,0)+1,FALSE),""))</f>
        <v/>
      </c>
      <c r="H202" s="28">
        <v>1</v>
      </c>
    </row>
    <row r="203" spans="1:8" ht="21" customHeight="1" x14ac:dyDescent="0.15">
      <c r="A203" s="27" t="s">
        <v>100</v>
      </c>
      <c r="B203" s="26" t="str">
        <f t="shared" ca="1" si="8"/>
        <v>通算ログインが 300 日に到達</v>
      </c>
      <c r="C203" s="32" t="s">
        <v>18</v>
      </c>
      <c r="D203" s="26" t="str">
        <f ca="1">VLOOKUP($C203,OFFSET(開放条件!$A$1,0,0,COUNTA($A:$A),MATCH(D$2,開放条件!$1:$1,0)-MATCH($C$2,開放条件!$1:$1,0)+1),MATCH(D$2,開放条件!$1:$1,0)-MATCH($C$2,開放条件!$1:$1,0)+1,FALSE)</f>
        <v>通算ログインが x 日に到達</v>
      </c>
      <c r="E203" s="26" t="str">
        <f ca="1">VLOOKUP($C203,OFFSET(開放条件!$A$1,0,0,COUNTA($A:$A),MATCH(E$2,開放条件!$1:$1,0)-MATCH($C$2,開放条件!$1:$1,0)+1),MATCH(E$2,開放条件!$1:$1,0)-MATCH($C$2,開放条件!$1:$1,0)+1,FALSE)</f>
        <v>ログイン回数</v>
      </c>
      <c r="F203" s="61">
        <v>300</v>
      </c>
      <c r="G203" s="31" t="str">
        <f ca="1">IF(C203="mission_clear",VLOOKUP(INT($F203),OFFSET(missions!$A$1,0,0,COUNTA(missions!$A:$A),MATCH(G$2,missions!$2:$2,0)-MATCH("mission_id",missions!$2:$2,0)+1),MATCH(G$2,missions!$2:$2,0)-MATCH("mission_id",missions!$2:$2,0)+1,FALSE),IF(C203="quest_clear",VLOOKUP(SUBSTITUTE(F203,"-","_"),OFFSET([2]stages!$A$2,0,0,COUNTA([2]stages!$A:$A),MATCH("name",[2]stages!$2:$2,0)-MATCH("temp_stage",[2]stages!$2:$2,0)+1),MATCH("name",[2]stages!$2:$2,0)-MATCH("temp_stage",[2]stages!$2:$2,0)+1,FALSE),""))</f>
        <v/>
      </c>
      <c r="H203" s="28">
        <v>1</v>
      </c>
    </row>
    <row r="204" spans="1:8" ht="21" customHeight="1" x14ac:dyDescent="0.15">
      <c r="A204" s="27" t="s">
        <v>101</v>
      </c>
      <c r="B204" s="26" t="str">
        <f t="shared" ca="1" si="8"/>
        <v>通算ログインが 310 日に到達</v>
      </c>
      <c r="C204" s="32" t="s">
        <v>18</v>
      </c>
      <c r="D204" s="26" t="str">
        <f ca="1">VLOOKUP($C204,OFFSET(開放条件!$A$1,0,0,COUNTA($A:$A),MATCH(D$2,開放条件!$1:$1,0)-MATCH($C$2,開放条件!$1:$1,0)+1),MATCH(D$2,開放条件!$1:$1,0)-MATCH($C$2,開放条件!$1:$1,0)+1,FALSE)</f>
        <v>通算ログインが x 日に到達</v>
      </c>
      <c r="E204" s="26" t="str">
        <f ca="1">VLOOKUP($C204,OFFSET(開放条件!$A$1,0,0,COUNTA($A:$A),MATCH(E$2,開放条件!$1:$1,0)-MATCH($C$2,開放条件!$1:$1,0)+1),MATCH(E$2,開放条件!$1:$1,0)-MATCH($C$2,開放条件!$1:$1,0)+1,FALSE)</f>
        <v>ログイン回数</v>
      </c>
      <c r="F204" s="61">
        <v>310</v>
      </c>
      <c r="G204" s="31" t="str">
        <f ca="1">IF(C204="mission_clear",VLOOKUP(INT($F204),OFFSET(missions!$A$1,0,0,COUNTA(missions!$A:$A),MATCH(G$2,missions!$2:$2,0)-MATCH("mission_id",missions!$2:$2,0)+1),MATCH(G$2,missions!$2:$2,0)-MATCH("mission_id",missions!$2:$2,0)+1,FALSE),IF(C204="quest_clear",VLOOKUP(SUBSTITUTE(F204,"-","_"),OFFSET([2]stages!$A$2,0,0,COUNTA([2]stages!$A:$A),MATCH("name",[2]stages!$2:$2,0)-MATCH("temp_stage",[2]stages!$2:$2,0)+1),MATCH("name",[2]stages!$2:$2,0)-MATCH("temp_stage",[2]stages!$2:$2,0)+1,FALSE),""))</f>
        <v/>
      </c>
      <c r="H204" s="28">
        <v>1</v>
      </c>
    </row>
    <row r="205" spans="1:8" ht="21" customHeight="1" x14ac:dyDescent="0.15">
      <c r="A205" s="27" t="s">
        <v>102</v>
      </c>
      <c r="B205" s="26" t="str">
        <f t="shared" ca="1" si="8"/>
        <v>通算ログインが 320 日に到達</v>
      </c>
      <c r="C205" s="32" t="s">
        <v>18</v>
      </c>
      <c r="D205" s="26" t="str">
        <f ca="1">VLOOKUP($C205,OFFSET(開放条件!$A$1,0,0,COUNTA($A:$A),MATCH(D$2,開放条件!$1:$1,0)-MATCH($C$2,開放条件!$1:$1,0)+1),MATCH(D$2,開放条件!$1:$1,0)-MATCH($C$2,開放条件!$1:$1,0)+1,FALSE)</f>
        <v>通算ログインが x 日に到達</v>
      </c>
      <c r="E205" s="26" t="str">
        <f ca="1">VLOOKUP($C205,OFFSET(開放条件!$A$1,0,0,COUNTA($A:$A),MATCH(E$2,開放条件!$1:$1,0)-MATCH($C$2,開放条件!$1:$1,0)+1),MATCH(E$2,開放条件!$1:$1,0)-MATCH($C$2,開放条件!$1:$1,0)+1,FALSE)</f>
        <v>ログイン回数</v>
      </c>
      <c r="F205" s="61">
        <v>320</v>
      </c>
      <c r="G205" s="31" t="str">
        <f ca="1">IF(C205="mission_clear",VLOOKUP(INT($F205),OFFSET(missions!$A$1,0,0,COUNTA(missions!$A:$A),MATCH(G$2,missions!$2:$2,0)-MATCH("mission_id",missions!$2:$2,0)+1),MATCH(G$2,missions!$2:$2,0)-MATCH("mission_id",missions!$2:$2,0)+1,FALSE),IF(C205="quest_clear",VLOOKUP(SUBSTITUTE(F205,"-","_"),OFFSET([2]stages!$A$2,0,0,COUNTA([2]stages!$A:$A),MATCH("name",[2]stages!$2:$2,0)-MATCH("temp_stage",[2]stages!$2:$2,0)+1),MATCH("name",[2]stages!$2:$2,0)-MATCH("temp_stage",[2]stages!$2:$2,0)+1,FALSE),""))</f>
        <v/>
      </c>
      <c r="H205" s="28">
        <v>1</v>
      </c>
    </row>
    <row r="206" spans="1:8" ht="21" customHeight="1" x14ac:dyDescent="0.15">
      <c r="A206" s="27" t="s">
        <v>103</v>
      </c>
      <c r="B206" s="26" t="str">
        <f t="shared" ca="1" si="8"/>
        <v>通算ログインが 330 日に到達</v>
      </c>
      <c r="C206" s="32" t="s">
        <v>18</v>
      </c>
      <c r="D206" s="26" t="str">
        <f ca="1">VLOOKUP($C206,OFFSET(開放条件!$A$1,0,0,COUNTA($A:$A),MATCH(D$2,開放条件!$1:$1,0)-MATCH($C$2,開放条件!$1:$1,0)+1),MATCH(D$2,開放条件!$1:$1,0)-MATCH($C$2,開放条件!$1:$1,0)+1,FALSE)</f>
        <v>通算ログインが x 日に到達</v>
      </c>
      <c r="E206" s="26" t="str">
        <f ca="1">VLOOKUP($C206,OFFSET(開放条件!$A$1,0,0,COUNTA($A:$A),MATCH(E$2,開放条件!$1:$1,0)-MATCH($C$2,開放条件!$1:$1,0)+1),MATCH(E$2,開放条件!$1:$1,0)-MATCH($C$2,開放条件!$1:$1,0)+1,FALSE)</f>
        <v>ログイン回数</v>
      </c>
      <c r="F206" s="61">
        <v>330</v>
      </c>
      <c r="G206" s="31" t="str">
        <f ca="1">IF(C206="mission_clear",VLOOKUP(INT($F206),OFFSET(missions!$A$1,0,0,COUNTA(missions!$A:$A),MATCH(G$2,missions!$2:$2,0)-MATCH("mission_id",missions!$2:$2,0)+1),MATCH(G$2,missions!$2:$2,0)-MATCH("mission_id",missions!$2:$2,0)+1,FALSE),IF(C206="quest_clear",VLOOKUP(SUBSTITUTE(F206,"-","_"),OFFSET([2]stages!$A$2,0,0,COUNTA([2]stages!$A:$A),MATCH("name",[2]stages!$2:$2,0)-MATCH("temp_stage",[2]stages!$2:$2,0)+1),MATCH("name",[2]stages!$2:$2,0)-MATCH("temp_stage",[2]stages!$2:$2,0)+1,FALSE),""))</f>
        <v/>
      </c>
      <c r="H206" s="28">
        <v>1</v>
      </c>
    </row>
    <row r="207" spans="1:8" ht="21" customHeight="1" x14ac:dyDescent="0.15">
      <c r="A207" s="27" t="s">
        <v>104</v>
      </c>
      <c r="B207" s="26" t="str">
        <f t="shared" ca="1" si="8"/>
        <v>通算ログインが 340 日に到達</v>
      </c>
      <c r="C207" s="32" t="s">
        <v>18</v>
      </c>
      <c r="D207" s="26" t="str">
        <f ca="1">VLOOKUP($C207,OFFSET(開放条件!$A$1,0,0,COUNTA($A:$A),MATCH(D$2,開放条件!$1:$1,0)-MATCH($C$2,開放条件!$1:$1,0)+1),MATCH(D$2,開放条件!$1:$1,0)-MATCH($C$2,開放条件!$1:$1,0)+1,FALSE)</f>
        <v>通算ログインが x 日に到達</v>
      </c>
      <c r="E207" s="26" t="str">
        <f ca="1">VLOOKUP($C207,OFFSET(開放条件!$A$1,0,0,COUNTA($A:$A),MATCH(E$2,開放条件!$1:$1,0)-MATCH($C$2,開放条件!$1:$1,0)+1),MATCH(E$2,開放条件!$1:$1,0)-MATCH($C$2,開放条件!$1:$1,0)+1,FALSE)</f>
        <v>ログイン回数</v>
      </c>
      <c r="F207" s="61">
        <v>340</v>
      </c>
      <c r="G207" s="31" t="str">
        <f ca="1">IF(C207="mission_clear",VLOOKUP(INT($F207),OFFSET(missions!$A$1,0,0,COUNTA(missions!$A:$A),MATCH(G$2,missions!$2:$2,0)-MATCH("mission_id",missions!$2:$2,0)+1),MATCH(G$2,missions!$2:$2,0)-MATCH("mission_id",missions!$2:$2,0)+1,FALSE),IF(C207="quest_clear",VLOOKUP(SUBSTITUTE(F207,"-","_"),OFFSET([2]stages!$A$2,0,0,COUNTA([2]stages!$A:$A),MATCH("name",[2]stages!$2:$2,0)-MATCH("temp_stage",[2]stages!$2:$2,0)+1),MATCH("name",[2]stages!$2:$2,0)-MATCH("temp_stage",[2]stages!$2:$2,0)+1,FALSE),""))</f>
        <v/>
      </c>
      <c r="H207" s="28">
        <v>1</v>
      </c>
    </row>
    <row r="208" spans="1:8" ht="21" customHeight="1" x14ac:dyDescent="0.15">
      <c r="A208" s="27" t="s">
        <v>105</v>
      </c>
      <c r="B208" s="26" t="str">
        <f t="shared" ca="1" si="8"/>
        <v>通算ログインが 350 日に到達</v>
      </c>
      <c r="C208" s="32" t="s">
        <v>18</v>
      </c>
      <c r="D208" s="26" t="str">
        <f ca="1">VLOOKUP($C208,OFFSET(開放条件!$A$1,0,0,COUNTA($A:$A),MATCH(D$2,開放条件!$1:$1,0)-MATCH($C$2,開放条件!$1:$1,0)+1),MATCH(D$2,開放条件!$1:$1,0)-MATCH($C$2,開放条件!$1:$1,0)+1,FALSE)</f>
        <v>通算ログインが x 日に到達</v>
      </c>
      <c r="E208" s="26" t="str">
        <f ca="1">VLOOKUP($C208,OFFSET(開放条件!$A$1,0,0,COUNTA($A:$A),MATCH(E$2,開放条件!$1:$1,0)-MATCH($C$2,開放条件!$1:$1,0)+1),MATCH(E$2,開放条件!$1:$1,0)-MATCH($C$2,開放条件!$1:$1,0)+1,FALSE)</f>
        <v>ログイン回数</v>
      </c>
      <c r="F208" s="61">
        <v>350</v>
      </c>
      <c r="G208" s="31" t="str">
        <f ca="1">IF(C208="mission_clear",VLOOKUP(INT($F208),OFFSET(missions!$A$1,0,0,COUNTA(missions!$A:$A),MATCH(G$2,missions!$2:$2,0)-MATCH("mission_id",missions!$2:$2,0)+1),MATCH(G$2,missions!$2:$2,0)-MATCH("mission_id",missions!$2:$2,0)+1,FALSE),IF(C208="quest_clear",VLOOKUP(SUBSTITUTE(F208,"-","_"),OFFSET([2]stages!$A$2,0,0,COUNTA([2]stages!$A:$A),MATCH("name",[2]stages!$2:$2,0)-MATCH("temp_stage",[2]stages!$2:$2,0)+1),MATCH("name",[2]stages!$2:$2,0)-MATCH("temp_stage",[2]stages!$2:$2,0)+1,FALSE),""))</f>
        <v/>
      </c>
      <c r="H208" s="28">
        <v>1</v>
      </c>
    </row>
    <row r="209" spans="1:8" ht="21" customHeight="1" x14ac:dyDescent="0.15">
      <c r="A209" s="27" t="s">
        <v>106</v>
      </c>
      <c r="B209" s="26" t="str">
        <f t="shared" ca="1" si="8"/>
        <v>通算ログインが 360 日に到達</v>
      </c>
      <c r="C209" s="32" t="s">
        <v>18</v>
      </c>
      <c r="D209" s="26" t="str">
        <f ca="1">VLOOKUP($C209,OFFSET(開放条件!$A$1,0,0,COUNTA($A:$A),MATCH(D$2,開放条件!$1:$1,0)-MATCH($C$2,開放条件!$1:$1,0)+1),MATCH(D$2,開放条件!$1:$1,0)-MATCH($C$2,開放条件!$1:$1,0)+1,FALSE)</f>
        <v>通算ログインが x 日に到達</v>
      </c>
      <c r="E209" s="26" t="str">
        <f ca="1">VLOOKUP($C209,OFFSET(開放条件!$A$1,0,0,COUNTA($A:$A),MATCH(E$2,開放条件!$1:$1,0)-MATCH($C$2,開放条件!$1:$1,0)+1),MATCH(E$2,開放条件!$1:$1,0)-MATCH($C$2,開放条件!$1:$1,0)+1,FALSE)</f>
        <v>ログイン回数</v>
      </c>
      <c r="F209" s="61">
        <v>360</v>
      </c>
      <c r="G209" s="31" t="str">
        <f ca="1">IF(C209="mission_clear",VLOOKUP(INT($F209),OFFSET(missions!$A$1,0,0,COUNTA(missions!$A:$A),MATCH(G$2,missions!$2:$2,0)-MATCH("mission_id",missions!$2:$2,0)+1),MATCH(G$2,missions!$2:$2,0)-MATCH("mission_id",missions!$2:$2,0)+1,FALSE),IF(C209="quest_clear",VLOOKUP(SUBSTITUTE(F209,"-","_"),OFFSET([2]stages!$A$2,0,0,COUNTA([2]stages!$A:$A),MATCH("name",[2]stages!$2:$2,0)-MATCH("temp_stage",[2]stages!$2:$2,0)+1),MATCH("name",[2]stages!$2:$2,0)-MATCH("temp_stage",[2]stages!$2:$2,0)+1,FALSE),""))</f>
        <v/>
      </c>
      <c r="H209" s="28">
        <v>1</v>
      </c>
    </row>
    <row r="210" spans="1:8" ht="21" customHeight="1" x14ac:dyDescent="0.15">
      <c r="A210" s="27" t="s">
        <v>977</v>
      </c>
      <c r="B210" s="26" t="str">
        <f t="shared" ref="B210" ca="1" si="9">IF(C210="quest_clear",SUBSTITUTE(D210,"x",G210),IF(C210="mission_clear",SUBSTITUTE(D210,"x",G210),SUBSTITUTE(D210,"x",F210)))</f>
        <v>通算ログインが 365 日に到達</v>
      </c>
      <c r="C210" s="32" t="s">
        <v>18</v>
      </c>
      <c r="D210" s="26" t="str">
        <f ca="1">VLOOKUP($C210,OFFSET(開放条件!$A$1,0,0,COUNTA($A:$A),MATCH(D$2,開放条件!$1:$1,0)-MATCH($C$2,開放条件!$1:$1,0)+1),MATCH(D$2,開放条件!$1:$1,0)-MATCH($C$2,開放条件!$1:$1,0)+1,FALSE)</f>
        <v>通算ログインが x 日に到達</v>
      </c>
      <c r="E210" s="26" t="str">
        <f ca="1">VLOOKUP($C210,OFFSET(開放条件!$A$1,0,0,COUNTA($A:$A),MATCH(E$2,開放条件!$1:$1,0)-MATCH($C$2,開放条件!$1:$1,0)+1),MATCH(E$2,開放条件!$1:$1,0)-MATCH($C$2,開放条件!$1:$1,0)+1,FALSE)</f>
        <v>ログイン回数</v>
      </c>
      <c r="F210" s="61" t="s">
        <v>989</v>
      </c>
      <c r="G210" s="31"/>
      <c r="H210" s="28">
        <v>1</v>
      </c>
    </row>
    <row r="211" spans="1:8" ht="21" customHeight="1" x14ac:dyDescent="0.15">
      <c r="A211" s="27" t="s">
        <v>121</v>
      </c>
      <c r="B211" s="26" t="str">
        <f t="shared" ca="1" si="8"/>
        <v>通算ログインが 370 日に到達</v>
      </c>
      <c r="C211" s="32" t="s">
        <v>18</v>
      </c>
      <c r="D211" s="26" t="str">
        <f ca="1">VLOOKUP($C211,OFFSET(開放条件!$A$1,0,0,COUNTA($A:$A),MATCH(D$2,開放条件!$1:$1,0)-MATCH($C$2,開放条件!$1:$1,0)+1),MATCH(D$2,開放条件!$1:$1,0)-MATCH($C$2,開放条件!$1:$1,0)+1,FALSE)</f>
        <v>通算ログインが x 日に到達</v>
      </c>
      <c r="E211" s="26" t="str">
        <f ca="1">VLOOKUP($C211,OFFSET(開放条件!$A$1,0,0,COUNTA($A:$A),MATCH(E$2,開放条件!$1:$1,0)-MATCH($C$2,開放条件!$1:$1,0)+1),MATCH(E$2,開放条件!$1:$1,0)-MATCH($C$2,開放条件!$1:$1,0)+1,FALSE)</f>
        <v>ログイン回数</v>
      </c>
      <c r="F211" s="61">
        <v>370</v>
      </c>
      <c r="G211" s="31" t="str">
        <f ca="1">IF(C211="mission_clear",VLOOKUP(INT($F211),OFFSET(missions!$A$1,0,0,COUNTA(missions!$A:$A),MATCH(G$2,missions!$2:$2,0)-MATCH("mission_id",missions!$2:$2,0)+1),MATCH(G$2,missions!$2:$2,0)-MATCH("mission_id",missions!$2:$2,0)+1,FALSE),IF(C211="quest_clear",VLOOKUP(SUBSTITUTE(F211,"-","_"),OFFSET([2]stages!$A$2,0,0,COUNTA([2]stages!$A:$A),MATCH("name",[2]stages!$2:$2,0)-MATCH("temp_stage",[2]stages!$2:$2,0)+1),MATCH("name",[2]stages!$2:$2,0)-MATCH("temp_stage",[2]stages!$2:$2,0)+1,FALSE),""))</f>
        <v/>
      </c>
      <c r="H211" s="28">
        <v>1</v>
      </c>
    </row>
    <row r="212" spans="1:8" ht="21" customHeight="1" x14ac:dyDescent="0.15">
      <c r="A212" s="27" t="s">
        <v>122</v>
      </c>
      <c r="B212" s="26" t="str">
        <f t="shared" ca="1" si="8"/>
        <v>通算ログインが 380 日に到達</v>
      </c>
      <c r="C212" s="32" t="s">
        <v>18</v>
      </c>
      <c r="D212" s="26" t="str">
        <f ca="1">VLOOKUP($C212,OFFSET(開放条件!$A$1,0,0,COUNTA($A:$A),MATCH(D$2,開放条件!$1:$1,0)-MATCH($C$2,開放条件!$1:$1,0)+1),MATCH(D$2,開放条件!$1:$1,0)-MATCH($C$2,開放条件!$1:$1,0)+1,FALSE)</f>
        <v>通算ログインが x 日に到達</v>
      </c>
      <c r="E212" s="26" t="str">
        <f ca="1">VLOOKUP($C212,OFFSET(開放条件!$A$1,0,0,COUNTA($A:$A),MATCH(E$2,開放条件!$1:$1,0)-MATCH($C$2,開放条件!$1:$1,0)+1),MATCH(E$2,開放条件!$1:$1,0)-MATCH($C$2,開放条件!$1:$1,0)+1,FALSE)</f>
        <v>ログイン回数</v>
      </c>
      <c r="F212" s="61">
        <v>380</v>
      </c>
      <c r="G212" s="31" t="str">
        <f ca="1">IF(C212="mission_clear",VLOOKUP(INT($F212),OFFSET(missions!$A$1,0,0,COUNTA(missions!$A:$A),MATCH(G$2,missions!$2:$2,0)-MATCH("mission_id",missions!$2:$2,0)+1),MATCH(G$2,missions!$2:$2,0)-MATCH("mission_id",missions!$2:$2,0)+1,FALSE),IF(C212="quest_clear",VLOOKUP(SUBSTITUTE(F212,"-","_"),OFFSET([2]stages!$A$2,0,0,COUNTA([2]stages!$A:$A),MATCH("name",[2]stages!$2:$2,0)-MATCH("temp_stage",[2]stages!$2:$2,0)+1),MATCH("name",[2]stages!$2:$2,0)-MATCH("temp_stage",[2]stages!$2:$2,0)+1,FALSE),""))</f>
        <v/>
      </c>
      <c r="H212" s="28">
        <v>1</v>
      </c>
    </row>
    <row r="213" spans="1:8" ht="21" customHeight="1" x14ac:dyDescent="0.15">
      <c r="A213" s="27" t="s">
        <v>123</v>
      </c>
      <c r="B213" s="26" t="str">
        <f t="shared" ca="1" si="8"/>
        <v>通算ログインが 390 日に到達</v>
      </c>
      <c r="C213" s="32" t="s">
        <v>18</v>
      </c>
      <c r="D213" s="26" t="str">
        <f ca="1">VLOOKUP($C213,OFFSET(開放条件!$A$1,0,0,COUNTA($A:$A),MATCH(D$2,開放条件!$1:$1,0)-MATCH($C$2,開放条件!$1:$1,0)+1),MATCH(D$2,開放条件!$1:$1,0)-MATCH($C$2,開放条件!$1:$1,0)+1,FALSE)</f>
        <v>通算ログインが x 日に到達</v>
      </c>
      <c r="E213" s="26" t="str">
        <f ca="1">VLOOKUP($C213,OFFSET(開放条件!$A$1,0,0,COUNTA($A:$A),MATCH(E$2,開放条件!$1:$1,0)-MATCH($C$2,開放条件!$1:$1,0)+1),MATCH(E$2,開放条件!$1:$1,0)-MATCH($C$2,開放条件!$1:$1,0)+1,FALSE)</f>
        <v>ログイン回数</v>
      </c>
      <c r="F213" s="61">
        <v>390</v>
      </c>
      <c r="G213" s="31" t="str">
        <f ca="1">IF(C213="mission_clear",VLOOKUP(INT($F213),OFFSET(missions!$A$1,0,0,COUNTA(missions!$A:$A),MATCH(G$2,missions!$2:$2,0)-MATCH("mission_id",missions!$2:$2,0)+1),MATCH(G$2,missions!$2:$2,0)-MATCH("mission_id",missions!$2:$2,0)+1,FALSE),IF(C213="quest_clear",VLOOKUP(SUBSTITUTE(F213,"-","_"),OFFSET([2]stages!$A$2,0,0,COUNTA([2]stages!$A:$A),MATCH("name",[2]stages!$2:$2,0)-MATCH("temp_stage",[2]stages!$2:$2,0)+1),MATCH("name",[2]stages!$2:$2,0)-MATCH("temp_stage",[2]stages!$2:$2,0)+1,FALSE),""))</f>
        <v/>
      </c>
      <c r="H213" s="28">
        <v>1</v>
      </c>
    </row>
    <row r="214" spans="1:8" ht="21" customHeight="1" x14ac:dyDescent="0.15">
      <c r="A214" s="27" t="s">
        <v>124</v>
      </c>
      <c r="B214" s="26" t="str">
        <f t="shared" ca="1" si="8"/>
        <v>通算ログインが 400 日に到達</v>
      </c>
      <c r="C214" s="32" t="s">
        <v>18</v>
      </c>
      <c r="D214" s="26" t="str">
        <f ca="1">VLOOKUP($C214,OFFSET(開放条件!$A$1,0,0,COUNTA($A:$A),MATCH(D$2,開放条件!$1:$1,0)-MATCH($C$2,開放条件!$1:$1,0)+1),MATCH(D$2,開放条件!$1:$1,0)-MATCH($C$2,開放条件!$1:$1,0)+1,FALSE)</f>
        <v>通算ログインが x 日に到達</v>
      </c>
      <c r="E214" s="26" t="str">
        <f ca="1">VLOOKUP($C214,OFFSET(開放条件!$A$1,0,0,COUNTA($A:$A),MATCH(E$2,開放条件!$1:$1,0)-MATCH($C$2,開放条件!$1:$1,0)+1),MATCH(E$2,開放条件!$1:$1,0)-MATCH($C$2,開放条件!$1:$1,0)+1,FALSE)</f>
        <v>ログイン回数</v>
      </c>
      <c r="F214" s="61">
        <v>400</v>
      </c>
      <c r="G214" s="31" t="str">
        <f ca="1">IF(C214="mission_clear",VLOOKUP(INT($F214),OFFSET(missions!$A$1,0,0,COUNTA(missions!$A:$A),MATCH(G$2,missions!$2:$2,0)-MATCH("mission_id",missions!$2:$2,0)+1),MATCH(G$2,missions!$2:$2,0)-MATCH("mission_id",missions!$2:$2,0)+1,FALSE),IF(C214="quest_clear",VLOOKUP(SUBSTITUTE(F214,"-","_"),OFFSET([2]stages!$A$2,0,0,COUNTA([2]stages!$A:$A),MATCH("name",[2]stages!$2:$2,0)-MATCH("temp_stage",[2]stages!$2:$2,0)+1),MATCH("name",[2]stages!$2:$2,0)-MATCH("temp_stage",[2]stages!$2:$2,0)+1,FALSE),""))</f>
        <v/>
      </c>
      <c r="H214" s="28">
        <v>1</v>
      </c>
    </row>
    <row r="215" spans="1:8" ht="21" customHeight="1" x14ac:dyDescent="0.15">
      <c r="A215" s="27" t="s">
        <v>125</v>
      </c>
      <c r="B215" s="26" t="str">
        <f t="shared" ca="1" si="8"/>
        <v>通算ログインが 410 日に到達</v>
      </c>
      <c r="C215" s="32" t="s">
        <v>18</v>
      </c>
      <c r="D215" s="26" t="str">
        <f ca="1">VLOOKUP($C215,OFFSET(開放条件!$A$1,0,0,COUNTA($A:$A),MATCH(D$2,開放条件!$1:$1,0)-MATCH($C$2,開放条件!$1:$1,0)+1),MATCH(D$2,開放条件!$1:$1,0)-MATCH($C$2,開放条件!$1:$1,0)+1,FALSE)</f>
        <v>通算ログインが x 日に到達</v>
      </c>
      <c r="E215" s="26" t="str">
        <f ca="1">VLOOKUP($C215,OFFSET(開放条件!$A$1,0,0,COUNTA($A:$A),MATCH(E$2,開放条件!$1:$1,0)-MATCH($C$2,開放条件!$1:$1,0)+1),MATCH(E$2,開放条件!$1:$1,0)-MATCH($C$2,開放条件!$1:$1,0)+1,FALSE)</f>
        <v>ログイン回数</v>
      </c>
      <c r="F215" s="61">
        <v>410</v>
      </c>
      <c r="G215" s="31" t="str">
        <f ca="1">IF(C215="mission_clear",VLOOKUP(INT($F215),OFFSET(missions!$A$1,0,0,COUNTA(missions!$A:$A),MATCH(G$2,missions!$2:$2,0)-MATCH("mission_id",missions!$2:$2,0)+1),MATCH(G$2,missions!$2:$2,0)-MATCH("mission_id",missions!$2:$2,0)+1,FALSE),IF(C215="quest_clear",VLOOKUP(SUBSTITUTE(F215,"-","_"),OFFSET([2]stages!$A$2,0,0,COUNTA([2]stages!$A:$A),MATCH("name",[2]stages!$2:$2,0)-MATCH("temp_stage",[2]stages!$2:$2,0)+1),MATCH("name",[2]stages!$2:$2,0)-MATCH("temp_stage",[2]stages!$2:$2,0)+1,FALSE),""))</f>
        <v/>
      </c>
      <c r="H215" s="28">
        <v>1</v>
      </c>
    </row>
    <row r="216" spans="1:8" ht="21" customHeight="1" x14ac:dyDescent="0.15">
      <c r="A216" s="27" t="s">
        <v>126</v>
      </c>
      <c r="B216" s="26" t="str">
        <f t="shared" ca="1" si="8"/>
        <v>通算ログインが 420 日に到達</v>
      </c>
      <c r="C216" s="32" t="s">
        <v>18</v>
      </c>
      <c r="D216" s="26" t="str">
        <f ca="1">VLOOKUP($C216,OFFSET(開放条件!$A$1,0,0,COUNTA($A:$A),MATCH(D$2,開放条件!$1:$1,0)-MATCH($C$2,開放条件!$1:$1,0)+1),MATCH(D$2,開放条件!$1:$1,0)-MATCH($C$2,開放条件!$1:$1,0)+1,FALSE)</f>
        <v>通算ログインが x 日に到達</v>
      </c>
      <c r="E216" s="26" t="str">
        <f ca="1">VLOOKUP($C216,OFFSET(開放条件!$A$1,0,0,COUNTA($A:$A),MATCH(E$2,開放条件!$1:$1,0)-MATCH($C$2,開放条件!$1:$1,0)+1),MATCH(E$2,開放条件!$1:$1,0)-MATCH($C$2,開放条件!$1:$1,0)+1,FALSE)</f>
        <v>ログイン回数</v>
      </c>
      <c r="F216" s="61">
        <v>420</v>
      </c>
      <c r="G216" s="31" t="str">
        <f ca="1">IF(C216="mission_clear",VLOOKUP(INT($F216),OFFSET(missions!$A$1,0,0,COUNTA(missions!$A:$A),MATCH(G$2,missions!$2:$2,0)-MATCH("mission_id",missions!$2:$2,0)+1),MATCH(G$2,missions!$2:$2,0)-MATCH("mission_id",missions!$2:$2,0)+1,FALSE),IF(C216="quest_clear",VLOOKUP(SUBSTITUTE(F216,"-","_"),OFFSET([2]stages!$A$2,0,0,COUNTA([2]stages!$A:$A),MATCH("name",[2]stages!$2:$2,0)-MATCH("temp_stage",[2]stages!$2:$2,0)+1),MATCH("name",[2]stages!$2:$2,0)-MATCH("temp_stage",[2]stages!$2:$2,0)+1,FALSE),""))</f>
        <v/>
      </c>
      <c r="H216" s="28">
        <v>1</v>
      </c>
    </row>
    <row r="217" spans="1:8" ht="21" customHeight="1" x14ac:dyDescent="0.15">
      <c r="A217" s="27" t="s">
        <v>127</v>
      </c>
      <c r="B217" s="26" t="str">
        <f t="shared" ca="1" si="8"/>
        <v>通算ログインが 430 日に到達</v>
      </c>
      <c r="C217" s="32" t="s">
        <v>18</v>
      </c>
      <c r="D217" s="26" t="str">
        <f ca="1">VLOOKUP($C217,OFFSET(開放条件!$A$1,0,0,COUNTA($A:$A),MATCH(D$2,開放条件!$1:$1,0)-MATCH($C$2,開放条件!$1:$1,0)+1),MATCH(D$2,開放条件!$1:$1,0)-MATCH($C$2,開放条件!$1:$1,0)+1,FALSE)</f>
        <v>通算ログインが x 日に到達</v>
      </c>
      <c r="E217" s="26" t="str">
        <f ca="1">VLOOKUP($C217,OFFSET(開放条件!$A$1,0,0,COUNTA($A:$A),MATCH(E$2,開放条件!$1:$1,0)-MATCH($C$2,開放条件!$1:$1,0)+1),MATCH(E$2,開放条件!$1:$1,0)-MATCH($C$2,開放条件!$1:$1,0)+1,FALSE)</f>
        <v>ログイン回数</v>
      </c>
      <c r="F217" s="61">
        <v>430</v>
      </c>
      <c r="G217" s="31" t="str">
        <f ca="1">IF(C217="mission_clear",VLOOKUP(INT($F217),OFFSET(missions!$A$1,0,0,COUNTA(missions!$A:$A),MATCH(G$2,missions!$2:$2,0)-MATCH("mission_id",missions!$2:$2,0)+1),MATCH(G$2,missions!$2:$2,0)-MATCH("mission_id",missions!$2:$2,0)+1,FALSE),IF(C217="quest_clear",VLOOKUP(SUBSTITUTE(F217,"-","_"),OFFSET([2]stages!$A$2,0,0,COUNTA([2]stages!$A:$A),MATCH("name",[2]stages!$2:$2,0)-MATCH("temp_stage",[2]stages!$2:$2,0)+1),MATCH("name",[2]stages!$2:$2,0)-MATCH("temp_stage",[2]stages!$2:$2,0)+1,FALSE),""))</f>
        <v/>
      </c>
      <c r="H217" s="28">
        <v>1</v>
      </c>
    </row>
    <row r="218" spans="1:8" ht="21" customHeight="1" x14ac:dyDescent="0.15">
      <c r="A218" s="27" t="s">
        <v>128</v>
      </c>
      <c r="B218" s="26" t="str">
        <f t="shared" ca="1" si="8"/>
        <v>通算ログインが 440 日に到達</v>
      </c>
      <c r="C218" s="32" t="s">
        <v>18</v>
      </c>
      <c r="D218" s="26" t="str">
        <f ca="1">VLOOKUP($C218,OFFSET(開放条件!$A$1,0,0,COUNTA($A:$A),MATCH(D$2,開放条件!$1:$1,0)-MATCH($C$2,開放条件!$1:$1,0)+1),MATCH(D$2,開放条件!$1:$1,0)-MATCH($C$2,開放条件!$1:$1,0)+1,FALSE)</f>
        <v>通算ログインが x 日に到達</v>
      </c>
      <c r="E218" s="26" t="str">
        <f ca="1">VLOOKUP($C218,OFFSET(開放条件!$A$1,0,0,COUNTA($A:$A),MATCH(E$2,開放条件!$1:$1,0)-MATCH($C$2,開放条件!$1:$1,0)+1),MATCH(E$2,開放条件!$1:$1,0)-MATCH($C$2,開放条件!$1:$1,0)+1,FALSE)</f>
        <v>ログイン回数</v>
      </c>
      <c r="F218" s="61">
        <v>440</v>
      </c>
      <c r="G218" s="31" t="str">
        <f ca="1">IF(C218="mission_clear",VLOOKUP(INT($F218),OFFSET(missions!$A$1,0,0,COUNTA(missions!$A:$A),MATCH(G$2,missions!$2:$2,0)-MATCH("mission_id",missions!$2:$2,0)+1),MATCH(G$2,missions!$2:$2,0)-MATCH("mission_id",missions!$2:$2,0)+1,FALSE),IF(C218="quest_clear",VLOOKUP(SUBSTITUTE(F218,"-","_"),OFFSET([2]stages!$A$2,0,0,COUNTA([2]stages!$A:$A),MATCH("name",[2]stages!$2:$2,0)-MATCH("temp_stage",[2]stages!$2:$2,0)+1),MATCH("name",[2]stages!$2:$2,0)-MATCH("temp_stage",[2]stages!$2:$2,0)+1,FALSE),""))</f>
        <v/>
      </c>
      <c r="H218" s="28">
        <v>1</v>
      </c>
    </row>
    <row r="219" spans="1:8" ht="21" customHeight="1" x14ac:dyDescent="0.15">
      <c r="A219" s="27" t="s">
        <v>129</v>
      </c>
      <c r="B219" s="26" t="str">
        <f t="shared" ca="1" si="8"/>
        <v>通算ログインが 450 日に到達</v>
      </c>
      <c r="C219" s="32" t="s">
        <v>18</v>
      </c>
      <c r="D219" s="26" t="str">
        <f ca="1">VLOOKUP($C219,OFFSET(開放条件!$A$1,0,0,COUNTA($A:$A),MATCH(D$2,開放条件!$1:$1,0)-MATCH($C$2,開放条件!$1:$1,0)+1),MATCH(D$2,開放条件!$1:$1,0)-MATCH($C$2,開放条件!$1:$1,0)+1,FALSE)</f>
        <v>通算ログインが x 日に到達</v>
      </c>
      <c r="E219" s="26" t="str">
        <f ca="1">VLOOKUP($C219,OFFSET(開放条件!$A$1,0,0,COUNTA($A:$A),MATCH(E$2,開放条件!$1:$1,0)-MATCH($C$2,開放条件!$1:$1,0)+1),MATCH(E$2,開放条件!$1:$1,0)-MATCH($C$2,開放条件!$1:$1,0)+1,FALSE)</f>
        <v>ログイン回数</v>
      </c>
      <c r="F219" s="61">
        <v>450</v>
      </c>
      <c r="G219" s="31" t="str">
        <f ca="1">IF(C219="mission_clear",VLOOKUP(INT($F219),OFFSET(missions!$A$1,0,0,COUNTA(missions!$A:$A),MATCH(G$2,missions!$2:$2,0)-MATCH("mission_id",missions!$2:$2,0)+1),MATCH(G$2,missions!$2:$2,0)-MATCH("mission_id",missions!$2:$2,0)+1,FALSE),IF(C219="quest_clear",VLOOKUP(SUBSTITUTE(F219,"-","_"),OFFSET([2]stages!$A$2,0,0,COUNTA([2]stages!$A:$A),MATCH("name",[2]stages!$2:$2,0)-MATCH("temp_stage",[2]stages!$2:$2,0)+1),MATCH("name",[2]stages!$2:$2,0)-MATCH("temp_stage",[2]stages!$2:$2,0)+1,FALSE),""))</f>
        <v/>
      </c>
      <c r="H219" s="28">
        <v>1</v>
      </c>
    </row>
    <row r="220" spans="1:8" ht="21" customHeight="1" x14ac:dyDescent="0.15">
      <c r="A220" s="27" t="s">
        <v>130</v>
      </c>
      <c r="B220" s="26" t="str">
        <f t="shared" ca="1" si="8"/>
        <v>通算ログインが 460 日に到達</v>
      </c>
      <c r="C220" s="32" t="s">
        <v>18</v>
      </c>
      <c r="D220" s="26" t="str">
        <f ca="1">VLOOKUP($C220,OFFSET(開放条件!$A$1,0,0,COUNTA($A:$A),MATCH(D$2,開放条件!$1:$1,0)-MATCH($C$2,開放条件!$1:$1,0)+1),MATCH(D$2,開放条件!$1:$1,0)-MATCH($C$2,開放条件!$1:$1,0)+1,FALSE)</f>
        <v>通算ログインが x 日に到達</v>
      </c>
      <c r="E220" s="26" t="str">
        <f ca="1">VLOOKUP($C220,OFFSET(開放条件!$A$1,0,0,COUNTA($A:$A),MATCH(E$2,開放条件!$1:$1,0)-MATCH($C$2,開放条件!$1:$1,0)+1),MATCH(E$2,開放条件!$1:$1,0)-MATCH($C$2,開放条件!$1:$1,0)+1,FALSE)</f>
        <v>ログイン回数</v>
      </c>
      <c r="F220" s="61">
        <v>460</v>
      </c>
      <c r="G220" s="31" t="str">
        <f ca="1">IF(C220="mission_clear",VLOOKUP(INT($F220),OFFSET(missions!$A$1,0,0,COUNTA(missions!$A:$A),MATCH(G$2,missions!$2:$2,0)-MATCH("mission_id",missions!$2:$2,0)+1),MATCH(G$2,missions!$2:$2,0)-MATCH("mission_id",missions!$2:$2,0)+1,FALSE),IF(C220="quest_clear",VLOOKUP(SUBSTITUTE(F220,"-","_"),OFFSET([2]stages!$A$2,0,0,COUNTA([2]stages!$A:$A),MATCH("name",[2]stages!$2:$2,0)-MATCH("temp_stage",[2]stages!$2:$2,0)+1),MATCH("name",[2]stages!$2:$2,0)-MATCH("temp_stage",[2]stages!$2:$2,0)+1,FALSE),""))</f>
        <v/>
      </c>
      <c r="H220" s="28">
        <v>1</v>
      </c>
    </row>
    <row r="221" spans="1:8" ht="21" customHeight="1" x14ac:dyDescent="0.15">
      <c r="A221" s="27" t="s">
        <v>131</v>
      </c>
      <c r="B221" s="26" t="str">
        <f t="shared" ca="1" si="8"/>
        <v>通算ログインが 470 日に到達</v>
      </c>
      <c r="C221" s="32" t="s">
        <v>18</v>
      </c>
      <c r="D221" s="26" t="str">
        <f ca="1">VLOOKUP($C221,OFFSET(開放条件!$A$1,0,0,COUNTA($A:$A),MATCH(D$2,開放条件!$1:$1,0)-MATCH($C$2,開放条件!$1:$1,0)+1),MATCH(D$2,開放条件!$1:$1,0)-MATCH($C$2,開放条件!$1:$1,0)+1,FALSE)</f>
        <v>通算ログインが x 日に到達</v>
      </c>
      <c r="E221" s="26" t="str">
        <f ca="1">VLOOKUP($C221,OFFSET(開放条件!$A$1,0,0,COUNTA($A:$A),MATCH(E$2,開放条件!$1:$1,0)-MATCH($C$2,開放条件!$1:$1,0)+1),MATCH(E$2,開放条件!$1:$1,0)-MATCH($C$2,開放条件!$1:$1,0)+1,FALSE)</f>
        <v>ログイン回数</v>
      </c>
      <c r="F221" s="61">
        <v>470</v>
      </c>
      <c r="G221" s="31" t="str">
        <f ca="1">IF(C221="mission_clear",VLOOKUP(INT($F221),OFFSET(missions!$A$1,0,0,COUNTA(missions!$A:$A),MATCH(G$2,missions!$2:$2,0)-MATCH("mission_id",missions!$2:$2,0)+1),MATCH(G$2,missions!$2:$2,0)-MATCH("mission_id",missions!$2:$2,0)+1,FALSE),IF(C221="quest_clear",VLOOKUP(SUBSTITUTE(F221,"-","_"),OFFSET([2]stages!$A$2,0,0,COUNTA([2]stages!$A:$A),MATCH("name",[2]stages!$2:$2,0)-MATCH("temp_stage",[2]stages!$2:$2,0)+1),MATCH("name",[2]stages!$2:$2,0)-MATCH("temp_stage",[2]stages!$2:$2,0)+1,FALSE),""))</f>
        <v/>
      </c>
      <c r="H221" s="28">
        <v>1</v>
      </c>
    </row>
    <row r="222" spans="1:8" ht="21" customHeight="1" x14ac:dyDescent="0.15">
      <c r="A222" s="27" t="s">
        <v>132</v>
      </c>
      <c r="B222" s="26" t="str">
        <f t="shared" ca="1" si="8"/>
        <v>通算ログインが 480 日に到達</v>
      </c>
      <c r="C222" s="32" t="s">
        <v>18</v>
      </c>
      <c r="D222" s="26" t="str">
        <f ca="1">VLOOKUP($C222,OFFSET(開放条件!$A$1,0,0,COUNTA($A:$A),MATCH(D$2,開放条件!$1:$1,0)-MATCH($C$2,開放条件!$1:$1,0)+1),MATCH(D$2,開放条件!$1:$1,0)-MATCH($C$2,開放条件!$1:$1,0)+1,FALSE)</f>
        <v>通算ログインが x 日に到達</v>
      </c>
      <c r="E222" s="26" t="str">
        <f ca="1">VLOOKUP($C222,OFFSET(開放条件!$A$1,0,0,COUNTA($A:$A),MATCH(E$2,開放条件!$1:$1,0)-MATCH($C$2,開放条件!$1:$1,0)+1),MATCH(E$2,開放条件!$1:$1,0)-MATCH($C$2,開放条件!$1:$1,0)+1,FALSE)</f>
        <v>ログイン回数</v>
      </c>
      <c r="F222" s="61">
        <v>480</v>
      </c>
      <c r="G222" s="31" t="str">
        <f ca="1">IF(C222="mission_clear",VLOOKUP(INT($F222),OFFSET(missions!$A$1,0,0,COUNTA(missions!$A:$A),MATCH(G$2,missions!$2:$2,0)-MATCH("mission_id",missions!$2:$2,0)+1),MATCH(G$2,missions!$2:$2,0)-MATCH("mission_id",missions!$2:$2,0)+1,FALSE),IF(C222="quest_clear",VLOOKUP(SUBSTITUTE(F222,"-","_"),OFFSET([2]stages!$A$2,0,0,COUNTA([2]stages!$A:$A),MATCH("name",[2]stages!$2:$2,0)-MATCH("temp_stage",[2]stages!$2:$2,0)+1),MATCH("name",[2]stages!$2:$2,0)-MATCH("temp_stage",[2]stages!$2:$2,0)+1,FALSE),""))</f>
        <v/>
      </c>
      <c r="H222" s="28">
        <v>1</v>
      </c>
    </row>
    <row r="223" spans="1:8" ht="21" customHeight="1" x14ac:dyDescent="0.15">
      <c r="A223" s="27" t="s">
        <v>133</v>
      </c>
      <c r="B223" s="26" t="str">
        <f t="shared" ca="1" si="8"/>
        <v>通算ログインが 490 日に到達</v>
      </c>
      <c r="C223" s="32" t="s">
        <v>18</v>
      </c>
      <c r="D223" s="26" t="str">
        <f ca="1">VLOOKUP($C223,OFFSET(開放条件!$A$1,0,0,COUNTA($A:$A),MATCH(D$2,開放条件!$1:$1,0)-MATCH($C$2,開放条件!$1:$1,0)+1),MATCH(D$2,開放条件!$1:$1,0)-MATCH($C$2,開放条件!$1:$1,0)+1,FALSE)</f>
        <v>通算ログインが x 日に到達</v>
      </c>
      <c r="E223" s="26" t="str">
        <f ca="1">VLOOKUP($C223,OFFSET(開放条件!$A$1,0,0,COUNTA($A:$A),MATCH(E$2,開放条件!$1:$1,0)-MATCH($C$2,開放条件!$1:$1,0)+1),MATCH(E$2,開放条件!$1:$1,0)-MATCH($C$2,開放条件!$1:$1,0)+1,FALSE)</f>
        <v>ログイン回数</v>
      </c>
      <c r="F223" s="61">
        <v>490</v>
      </c>
      <c r="G223" s="31" t="str">
        <f ca="1">IF(C223="mission_clear",VLOOKUP(INT($F223),OFFSET(missions!$A$1,0,0,COUNTA(missions!$A:$A),MATCH(G$2,missions!$2:$2,0)-MATCH("mission_id",missions!$2:$2,0)+1),MATCH(G$2,missions!$2:$2,0)-MATCH("mission_id",missions!$2:$2,0)+1,FALSE),IF(C223="quest_clear",VLOOKUP(SUBSTITUTE(F223,"-","_"),OFFSET([2]stages!$A$2,0,0,COUNTA([2]stages!$A:$A),MATCH("name",[2]stages!$2:$2,0)-MATCH("temp_stage",[2]stages!$2:$2,0)+1),MATCH("name",[2]stages!$2:$2,0)-MATCH("temp_stage",[2]stages!$2:$2,0)+1,FALSE),""))</f>
        <v/>
      </c>
      <c r="H223" s="28">
        <v>1</v>
      </c>
    </row>
    <row r="224" spans="1:8" ht="21" customHeight="1" x14ac:dyDescent="0.15">
      <c r="A224" s="27" t="s">
        <v>134</v>
      </c>
      <c r="B224" s="26" t="str">
        <f t="shared" ca="1" si="8"/>
        <v>通算ログインが 500 日に到達</v>
      </c>
      <c r="C224" s="32" t="s">
        <v>18</v>
      </c>
      <c r="D224" s="26" t="str">
        <f ca="1">VLOOKUP($C224,OFFSET(開放条件!$A$1,0,0,COUNTA($A:$A),MATCH(D$2,開放条件!$1:$1,0)-MATCH($C$2,開放条件!$1:$1,0)+1),MATCH(D$2,開放条件!$1:$1,0)-MATCH($C$2,開放条件!$1:$1,0)+1,FALSE)</f>
        <v>通算ログインが x 日に到達</v>
      </c>
      <c r="E224" s="26" t="str">
        <f ca="1">VLOOKUP($C224,OFFSET(開放条件!$A$1,0,0,COUNTA($A:$A),MATCH(E$2,開放条件!$1:$1,0)-MATCH($C$2,開放条件!$1:$1,0)+1),MATCH(E$2,開放条件!$1:$1,0)-MATCH($C$2,開放条件!$1:$1,0)+1,FALSE)</f>
        <v>ログイン回数</v>
      </c>
      <c r="F224" s="61">
        <v>500</v>
      </c>
      <c r="G224" s="31" t="str">
        <f ca="1">IF(C224="mission_clear",VLOOKUP(INT($F224),OFFSET(missions!$A$1,0,0,COUNTA(missions!$A:$A),MATCH(G$2,missions!$2:$2,0)-MATCH("mission_id",missions!$2:$2,0)+1),MATCH(G$2,missions!$2:$2,0)-MATCH("mission_id",missions!$2:$2,0)+1,FALSE),IF(C224="quest_clear",VLOOKUP(SUBSTITUTE(F224,"-","_"),OFFSET([2]stages!$A$2,0,0,COUNTA([2]stages!$A:$A),MATCH("name",[2]stages!$2:$2,0)-MATCH("temp_stage",[2]stages!$2:$2,0)+1),MATCH("name",[2]stages!$2:$2,0)-MATCH("temp_stage",[2]stages!$2:$2,0)+1,FALSE),""))</f>
        <v/>
      </c>
      <c r="H224" s="28">
        <v>1</v>
      </c>
    </row>
    <row r="225" spans="1:8" ht="21" customHeight="1" x14ac:dyDescent="0.15">
      <c r="A225" s="27" t="s">
        <v>135</v>
      </c>
      <c r="B225" s="26" t="str">
        <f t="shared" ca="1" si="8"/>
        <v>通算ログインが 510 日に到達</v>
      </c>
      <c r="C225" s="32" t="s">
        <v>18</v>
      </c>
      <c r="D225" s="26" t="str">
        <f ca="1">VLOOKUP($C225,OFFSET(開放条件!$A$1,0,0,COUNTA($A:$A),MATCH(D$2,開放条件!$1:$1,0)-MATCH($C$2,開放条件!$1:$1,0)+1),MATCH(D$2,開放条件!$1:$1,0)-MATCH($C$2,開放条件!$1:$1,0)+1,FALSE)</f>
        <v>通算ログインが x 日に到達</v>
      </c>
      <c r="E225" s="26" t="str">
        <f ca="1">VLOOKUP($C225,OFFSET(開放条件!$A$1,0,0,COUNTA($A:$A),MATCH(E$2,開放条件!$1:$1,0)-MATCH($C$2,開放条件!$1:$1,0)+1),MATCH(E$2,開放条件!$1:$1,0)-MATCH($C$2,開放条件!$1:$1,0)+1,FALSE)</f>
        <v>ログイン回数</v>
      </c>
      <c r="F225" s="61">
        <v>510</v>
      </c>
      <c r="G225" s="31" t="str">
        <f ca="1">IF(C225="mission_clear",VLOOKUP(INT($F225),OFFSET(missions!$A$1,0,0,COUNTA(missions!$A:$A),MATCH(G$2,missions!$2:$2,0)-MATCH("mission_id",missions!$2:$2,0)+1),MATCH(G$2,missions!$2:$2,0)-MATCH("mission_id",missions!$2:$2,0)+1,FALSE),IF(C225="quest_clear",VLOOKUP(SUBSTITUTE(F225,"-","_"),OFFSET([2]stages!$A$2,0,0,COUNTA([2]stages!$A:$A),MATCH("name",[2]stages!$2:$2,0)-MATCH("temp_stage",[2]stages!$2:$2,0)+1),MATCH("name",[2]stages!$2:$2,0)-MATCH("temp_stage",[2]stages!$2:$2,0)+1,FALSE),""))</f>
        <v/>
      </c>
      <c r="H225" s="28">
        <v>1</v>
      </c>
    </row>
    <row r="226" spans="1:8" ht="21" customHeight="1" x14ac:dyDescent="0.15">
      <c r="A226" s="27" t="s">
        <v>136</v>
      </c>
      <c r="B226" s="26" t="str">
        <f t="shared" ca="1" si="8"/>
        <v>通算ログインが 520 日に到達</v>
      </c>
      <c r="C226" s="32" t="s">
        <v>18</v>
      </c>
      <c r="D226" s="26" t="str">
        <f ca="1">VLOOKUP($C226,OFFSET(開放条件!$A$1,0,0,COUNTA($A:$A),MATCH(D$2,開放条件!$1:$1,0)-MATCH($C$2,開放条件!$1:$1,0)+1),MATCH(D$2,開放条件!$1:$1,0)-MATCH($C$2,開放条件!$1:$1,0)+1,FALSE)</f>
        <v>通算ログインが x 日に到達</v>
      </c>
      <c r="E226" s="26" t="str">
        <f ca="1">VLOOKUP($C226,OFFSET(開放条件!$A$1,0,0,COUNTA($A:$A),MATCH(E$2,開放条件!$1:$1,0)-MATCH($C$2,開放条件!$1:$1,0)+1),MATCH(E$2,開放条件!$1:$1,0)-MATCH($C$2,開放条件!$1:$1,0)+1,FALSE)</f>
        <v>ログイン回数</v>
      </c>
      <c r="F226" s="61">
        <v>520</v>
      </c>
      <c r="G226" s="31" t="str">
        <f ca="1">IF(C226="mission_clear",VLOOKUP(INT($F226),OFFSET(missions!$A$1,0,0,COUNTA(missions!$A:$A),MATCH(G$2,missions!$2:$2,0)-MATCH("mission_id",missions!$2:$2,0)+1),MATCH(G$2,missions!$2:$2,0)-MATCH("mission_id",missions!$2:$2,0)+1,FALSE),IF(C226="quest_clear",VLOOKUP(SUBSTITUTE(F226,"-","_"),OFFSET([2]stages!$A$2,0,0,COUNTA([2]stages!$A:$A),MATCH("name",[2]stages!$2:$2,0)-MATCH("temp_stage",[2]stages!$2:$2,0)+1),MATCH("name",[2]stages!$2:$2,0)-MATCH("temp_stage",[2]stages!$2:$2,0)+1,FALSE),""))</f>
        <v/>
      </c>
      <c r="H226" s="28">
        <v>1</v>
      </c>
    </row>
    <row r="227" spans="1:8" ht="21" customHeight="1" x14ac:dyDescent="0.15">
      <c r="A227" s="27" t="s">
        <v>137</v>
      </c>
      <c r="B227" s="26" t="str">
        <f t="shared" ca="1" si="8"/>
        <v>通算ログインが 530 日に到達</v>
      </c>
      <c r="C227" s="32" t="s">
        <v>18</v>
      </c>
      <c r="D227" s="26" t="str">
        <f ca="1">VLOOKUP($C227,OFFSET(開放条件!$A$1,0,0,COUNTA($A:$A),MATCH(D$2,開放条件!$1:$1,0)-MATCH($C$2,開放条件!$1:$1,0)+1),MATCH(D$2,開放条件!$1:$1,0)-MATCH($C$2,開放条件!$1:$1,0)+1,FALSE)</f>
        <v>通算ログインが x 日に到達</v>
      </c>
      <c r="E227" s="26" t="str">
        <f ca="1">VLOOKUP($C227,OFFSET(開放条件!$A$1,0,0,COUNTA($A:$A),MATCH(E$2,開放条件!$1:$1,0)-MATCH($C$2,開放条件!$1:$1,0)+1),MATCH(E$2,開放条件!$1:$1,0)-MATCH($C$2,開放条件!$1:$1,0)+1,FALSE)</f>
        <v>ログイン回数</v>
      </c>
      <c r="F227" s="61">
        <v>530</v>
      </c>
      <c r="G227" s="31" t="str">
        <f ca="1">IF(C227="mission_clear",VLOOKUP(INT($F227),OFFSET(missions!$A$1,0,0,COUNTA(missions!$A:$A),MATCH(G$2,missions!$2:$2,0)-MATCH("mission_id",missions!$2:$2,0)+1),MATCH(G$2,missions!$2:$2,0)-MATCH("mission_id",missions!$2:$2,0)+1,FALSE),IF(C227="quest_clear",VLOOKUP(SUBSTITUTE(F227,"-","_"),OFFSET([2]stages!$A$2,0,0,COUNTA([2]stages!$A:$A),MATCH("name",[2]stages!$2:$2,0)-MATCH("temp_stage",[2]stages!$2:$2,0)+1),MATCH("name",[2]stages!$2:$2,0)-MATCH("temp_stage",[2]stages!$2:$2,0)+1,FALSE),""))</f>
        <v/>
      </c>
      <c r="H227" s="28">
        <v>1</v>
      </c>
    </row>
    <row r="228" spans="1:8" ht="21" customHeight="1" x14ac:dyDescent="0.15">
      <c r="A228" s="27" t="s">
        <v>138</v>
      </c>
      <c r="B228" s="26" t="str">
        <f t="shared" ca="1" si="8"/>
        <v>通算ログインが 540 日に到達</v>
      </c>
      <c r="C228" s="32" t="s">
        <v>18</v>
      </c>
      <c r="D228" s="26" t="str">
        <f ca="1">VLOOKUP($C228,OFFSET(開放条件!$A$1,0,0,COUNTA($A:$A),MATCH(D$2,開放条件!$1:$1,0)-MATCH($C$2,開放条件!$1:$1,0)+1),MATCH(D$2,開放条件!$1:$1,0)-MATCH($C$2,開放条件!$1:$1,0)+1,FALSE)</f>
        <v>通算ログインが x 日に到達</v>
      </c>
      <c r="E228" s="26" t="str">
        <f ca="1">VLOOKUP($C228,OFFSET(開放条件!$A$1,0,0,COUNTA($A:$A),MATCH(E$2,開放条件!$1:$1,0)-MATCH($C$2,開放条件!$1:$1,0)+1),MATCH(E$2,開放条件!$1:$1,0)-MATCH($C$2,開放条件!$1:$1,0)+1,FALSE)</f>
        <v>ログイン回数</v>
      </c>
      <c r="F228" s="61">
        <v>540</v>
      </c>
      <c r="G228" s="31" t="str">
        <f ca="1">IF(C228="mission_clear",VLOOKUP(INT($F228),OFFSET(missions!$A$1,0,0,COUNTA(missions!$A:$A),MATCH(G$2,missions!$2:$2,0)-MATCH("mission_id",missions!$2:$2,0)+1),MATCH(G$2,missions!$2:$2,0)-MATCH("mission_id",missions!$2:$2,0)+1,FALSE),IF(C228="quest_clear",VLOOKUP(SUBSTITUTE(F228,"-","_"),OFFSET([2]stages!$A$2,0,0,COUNTA([2]stages!$A:$A),MATCH("name",[2]stages!$2:$2,0)-MATCH("temp_stage",[2]stages!$2:$2,0)+1),MATCH("name",[2]stages!$2:$2,0)-MATCH("temp_stage",[2]stages!$2:$2,0)+1,FALSE),""))</f>
        <v/>
      </c>
      <c r="H228" s="28">
        <v>1</v>
      </c>
    </row>
    <row r="229" spans="1:8" ht="21" customHeight="1" x14ac:dyDescent="0.15">
      <c r="A229" s="27" t="s">
        <v>139</v>
      </c>
      <c r="B229" s="26" t="str">
        <f t="shared" ca="1" si="8"/>
        <v>通算ログインが 550 日に到達</v>
      </c>
      <c r="C229" s="32" t="s">
        <v>18</v>
      </c>
      <c r="D229" s="26" t="str">
        <f ca="1">VLOOKUP($C229,OFFSET(開放条件!$A$1,0,0,COUNTA($A:$A),MATCH(D$2,開放条件!$1:$1,0)-MATCH($C$2,開放条件!$1:$1,0)+1),MATCH(D$2,開放条件!$1:$1,0)-MATCH($C$2,開放条件!$1:$1,0)+1,FALSE)</f>
        <v>通算ログインが x 日に到達</v>
      </c>
      <c r="E229" s="26" t="str">
        <f ca="1">VLOOKUP($C229,OFFSET(開放条件!$A$1,0,0,COUNTA($A:$A),MATCH(E$2,開放条件!$1:$1,0)-MATCH($C$2,開放条件!$1:$1,0)+1),MATCH(E$2,開放条件!$1:$1,0)-MATCH($C$2,開放条件!$1:$1,0)+1,FALSE)</f>
        <v>ログイン回数</v>
      </c>
      <c r="F229" s="61">
        <v>550</v>
      </c>
      <c r="G229" s="31" t="str">
        <f ca="1">IF(C229="mission_clear",VLOOKUP(INT($F229),OFFSET(missions!$A$1,0,0,COUNTA(missions!$A:$A),MATCH(G$2,missions!$2:$2,0)-MATCH("mission_id",missions!$2:$2,0)+1),MATCH(G$2,missions!$2:$2,0)-MATCH("mission_id",missions!$2:$2,0)+1,FALSE),IF(C229="quest_clear",VLOOKUP(SUBSTITUTE(F229,"-","_"),OFFSET([2]stages!$A$2,0,0,COUNTA([2]stages!$A:$A),MATCH("name",[2]stages!$2:$2,0)-MATCH("temp_stage",[2]stages!$2:$2,0)+1),MATCH("name",[2]stages!$2:$2,0)-MATCH("temp_stage",[2]stages!$2:$2,0)+1,FALSE),""))</f>
        <v/>
      </c>
      <c r="H229" s="28">
        <v>1</v>
      </c>
    </row>
    <row r="230" spans="1:8" ht="21" customHeight="1" x14ac:dyDescent="0.15">
      <c r="A230" s="27" t="s">
        <v>140</v>
      </c>
      <c r="B230" s="26" t="str">
        <f t="shared" ca="1" si="8"/>
        <v>通算ログインが 560 日に到達</v>
      </c>
      <c r="C230" s="32" t="s">
        <v>18</v>
      </c>
      <c r="D230" s="26" t="str">
        <f ca="1">VLOOKUP($C230,OFFSET(開放条件!$A$1,0,0,COUNTA($A:$A),MATCH(D$2,開放条件!$1:$1,0)-MATCH($C$2,開放条件!$1:$1,0)+1),MATCH(D$2,開放条件!$1:$1,0)-MATCH($C$2,開放条件!$1:$1,0)+1,FALSE)</f>
        <v>通算ログインが x 日に到達</v>
      </c>
      <c r="E230" s="26" t="str">
        <f ca="1">VLOOKUP($C230,OFFSET(開放条件!$A$1,0,0,COUNTA($A:$A),MATCH(E$2,開放条件!$1:$1,0)-MATCH($C$2,開放条件!$1:$1,0)+1),MATCH(E$2,開放条件!$1:$1,0)-MATCH($C$2,開放条件!$1:$1,0)+1,FALSE)</f>
        <v>ログイン回数</v>
      </c>
      <c r="F230" s="61">
        <v>560</v>
      </c>
      <c r="G230" s="31" t="str">
        <f ca="1">IF(C230="mission_clear",VLOOKUP(INT($F230),OFFSET(missions!$A$1,0,0,COUNTA(missions!$A:$A),MATCH(G$2,missions!$2:$2,0)-MATCH("mission_id",missions!$2:$2,0)+1),MATCH(G$2,missions!$2:$2,0)-MATCH("mission_id",missions!$2:$2,0)+1,FALSE),IF(C230="quest_clear",VLOOKUP(SUBSTITUTE(F230,"-","_"),OFFSET([2]stages!$A$2,0,0,COUNTA([2]stages!$A:$A),MATCH("name",[2]stages!$2:$2,0)-MATCH("temp_stage",[2]stages!$2:$2,0)+1),MATCH("name",[2]stages!$2:$2,0)-MATCH("temp_stage",[2]stages!$2:$2,0)+1,FALSE),""))</f>
        <v/>
      </c>
      <c r="H230" s="28">
        <v>1</v>
      </c>
    </row>
    <row r="231" spans="1:8" ht="21" customHeight="1" x14ac:dyDescent="0.15">
      <c r="A231" s="27" t="s">
        <v>141</v>
      </c>
      <c r="B231" s="26" t="str">
        <f t="shared" ca="1" si="8"/>
        <v>通算ログインが 570 日に到達</v>
      </c>
      <c r="C231" s="32" t="s">
        <v>18</v>
      </c>
      <c r="D231" s="26" t="str">
        <f ca="1">VLOOKUP($C231,OFFSET(開放条件!$A$1,0,0,COUNTA($A:$A),MATCH(D$2,開放条件!$1:$1,0)-MATCH($C$2,開放条件!$1:$1,0)+1),MATCH(D$2,開放条件!$1:$1,0)-MATCH($C$2,開放条件!$1:$1,0)+1,FALSE)</f>
        <v>通算ログインが x 日に到達</v>
      </c>
      <c r="E231" s="26" t="str">
        <f ca="1">VLOOKUP($C231,OFFSET(開放条件!$A$1,0,0,COUNTA($A:$A),MATCH(E$2,開放条件!$1:$1,0)-MATCH($C$2,開放条件!$1:$1,0)+1),MATCH(E$2,開放条件!$1:$1,0)-MATCH($C$2,開放条件!$1:$1,0)+1,FALSE)</f>
        <v>ログイン回数</v>
      </c>
      <c r="F231" s="61">
        <v>570</v>
      </c>
      <c r="G231" s="31" t="str">
        <f ca="1">IF(C231="mission_clear",VLOOKUP(INT($F231),OFFSET(missions!$A$1,0,0,COUNTA(missions!$A:$A),MATCH(G$2,missions!$2:$2,0)-MATCH("mission_id",missions!$2:$2,0)+1),MATCH(G$2,missions!$2:$2,0)-MATCH("mission_id",missions!$2:$2,0)+1,FALSE),IF(C231="quest_clear",VLOOKUP(SUBSTITUTE(F231,"-","_"),OFFSET([2]stages!$A$2,0,0,COUNTA([2]stages!$A:$A),MATCH("name",[2]stages!$2:$2,0)-MATCH("temp_stage",[2]stages!$2:$2,0)+1),MATCH("name",[2]stages!$2:$2,0)-MATCH("temp_stage",[2]stages!$2:$2,0)+1,FALSE),""))</f>
        <v/>
      </c>
      <c r="H231" s="28">
        <v>1</v>
      </c>
    </row>
    <row r="232" spans="1:8" ht="21" customHeight="1" x14ac:dyDescent="0.15">
      <c r="A232" s="27" t="s">
        <v>142</v>
      </c>
      <c r="B232" s="26" t="str">
        <f t="shared" ca="1" si="8"/>
        <v>通算ログインが 580 日に到達</v>
      </c>
      <c r="C232" s="32" t="s">
        <v>18</v>
      </c>
      <c r="D232" s="26" t="str">
        <f ca="1">VLOOKUP($C232,OFFSET(開放条件!$A$1,0,0,COUNTA($A:$A),MATCH(D$2,開放条件!$1:$1,0)-MATCH($C$2,開放条件!$1:$1,0)+1),MATCH(D$2,開放条件!$1:$1,0)-MATCH($C$2,開放条件!$1:$1,0)+1,FALSE)</f>
        <v>通算ログインが x 日に到達</v>
      </c>
      <c r="E232" s="26" t="str">
        <f ca="1">VLOOKUP($C232,OFFSET(開放条件!$A$1,0,0,COUNTA($A:$A),MATCH(E$2,開放条件!$1:$1,0)-MATCH($C$2,開放条件!$1:$1,0)+1),MATCH(E$2,開放条件!$1:$1,0)-MATCH($C$2,開放条件!$1:$1,0)+1,FALSE)</f>
        <v>ログイン回数</v>
      </c>
      <c r="F232" s="61">
        <v>580</v>
      </c>
      <c r="G232" s="31" t="str">
        <f ca="1">IF(C232="mission_clear",VLOOKUP(INT($F232),OFFSET(missions!$A$1,0,0,COUNTA(missions!$A:$A),MATCH(G$2,missions!$2:$2,0)-MATCH("mission_id",missions!$2:$2,0)+1),MATCH(G$2,missions!$2:$2,0)-MATCH("mission_id",missions!$2:$2,0)+1,FALSE),IF(C232="quest_clear",VLOOKUP(SUBSTITUTE(F232,"-","_"),OFFSET([2]stages!$A$2,0,0,COUNTA([2]stages!$A:$A),MATCH("name",[2]stages!$2:$2,0)-MATCH("temp_stage",[2]stages!$2:$2,0)+1),MATCH("name",[2]stages!$2:$2,0)-MATCH("temp_stage",[2]stages!$2:$2,0)+1,FALSE),""))</f>
        <v/>
      </c>
      <c r="H232" s="28">
        <v>1</v>
      </c>
    </row>
    <row r="233" spans="1:8" ht="21" customHeight="1" x14ac:dyDescent="0.15">
      <c r="A233" s="27" t="s">
        <v>143</v>
      </c>
      <c r="B233" s="26" t="str">
        <f t="shared" ca="1" si="8"/>
        <v>通算ログインが 590 日に到達</v>
      </c>
      <c r="C233" s="32" t="s">
        <v>18</v>
      </c>
      <c r="D233" s="26" t="str">
        <f ca="1">VLOOKUP($C233,OFFSET(開放条件!$A$1,0,0,COUNTA($A:$A),MATCH(D$2,開放条件!$1:$1,0)-MATCH($C$2,開放条件!$1:$1,0)+1),MATCH(D$2,開放条件!$1:$1,0)-MATCH($C$2,開放条件!$1:$1,0)+1,FALSE)</f>
        <v>通算ログインが x 日に到達</v>
      </c>
      <c r="E233" s="26" t="str">
        <f ca="1">VLOOKUP($C233,OFFSET(開放条件!$A$1,0,0,COUNTA($A:$A),MATCH(E$2,開放条件!$1:$1,0)-MATCH($C$2,開放条件!$1:$1,0)+1),MATCH(E$2,開放条件!$1:$1,0)-MATCH($C$2,開放条件!$1:$1,0)+1,FALSE)</f>
        <v>ログイン回数</v>
      </c>
      <c r="F233" s="61">
        <v>590</v>
      </c>
      <c r="G233" s="31" t="str">
        <f ca="1">IF(C233="mission_clear",VLOOKUP(INT($F233),OFFSET(missions!$A$1,0,0,COUNTA(missions!$A:$A),MATCH(G$2,missions!$2:$2,0)-MATCH("mission_id",missions!$2:$2,0)+1),MATCH(G$2,missions!$2:$2,0)-MATCH("mission_id",missions!$2:$2,0)+1,FALSE),IF(C233="quest_clear",VLOOKUP(SUBSTITUTE(F233,"-","_"),OFFSET([2]stages!$A$2,0,0,COUNTA([2]stages!$A:$A),MATCH("name",[2]stages!$2:$2,0)-MATCH("temp_stage",[2]stages!$2:$2,0)+1),MATCH("name",[2]stages!$2:$2,0)-MATCH("temp_stage",[2]stages!$2:$2,0)+1,FALSE),""))</f>
        <v/>
      </c>
      <c r="H233" s="28">
        <v>1</v>
      </c>
    </row>
    <row r="234" spans="1:8" ht="21" customHeight="1" x14ac:dyDescent="0.15">
      <c r="A234" s="27" t="s">
        <v>144</v>
      </c>
      <c r="B234" s="26" t="str">
        <f t="shared" ca="1" si="8"/>
        <v>通算ログインが 600 日に到達</v>
      </c>
      <c r="C234" s="32" t="s">
        <v>18</v>
      </c>
      <c r="D234" s="26" t="str">
        <f ca="1">VLOOKUP($C234,OFFSET(開放条件!$A$1,0,0,COUNTA($A:$A),MATCH(D$2,開放条件!$1:$1,0)-MATCH($C$2,開放条件!$1:$1,0)+1),MATCH(D$2,開放条件!$1:$1,0)-MATCH($C$2,開放条件!$1:$1,0)+1,FALSE)</f>
        <v>通算ログインが x 日に到達</v>
      </c>
      <c r="E234" s="26" t="str">
        <f ca="1">VLOOKUP($C234,OFFSET(開放条件!$A$1,0,0,COUNTA($A:$A),MATCH(E$2,開放条件!$1:$1,0)-MATCH($C$2,開放条件!$1:$1,0)+1),MATCH(E$2,開放条件!$1:$1,0)-MATCH($C$2,開放条件!$1:$1,0)+1,FALSE)</f>
        <v>ログイン回数</v>
      </c>
      <c r="F234" s="61">
        <v>600</v>
      </c>
      <c r="G234" s="31" t="str">
        <f ca="1">IF(C234="mission_clear",VLOOKUP(INT($F234),OFFSET(missions!$A$1,0,0,COUNTA(missions!$A:$A),MATCH(G$2,missions!$2:$2,0)-MATCH("mission_id",missions!$2:$2,0)+1),MATCH(G$2,missions!$2:$2,0)-MATCH("mission_id",missions!$2:$2,0)+1,FALSE),IF(C234="quest_clear",VLOOKUP(SUBSTITUTE(F234,"-","_"),OFFSET([2]stages!$A$2,0,0,COUNTA([2]stages!$A:$A),MATCH("name",[2]stages!$2:$2,0)-MATCH("temp_stage",[2]stages!$2:$2,0)+1),MATCH("name",[2]stages!$2:$2,0)-MATCH("temp_stage",[2]stages!$2:$2,0)+1,FALSE),""))</f>
        <v/>
      </c>
      <c r="H234" s="28">
        <v>1</v>
      </c>
    </row>
    <row r="235" spans="1:8" ht="21" customHeight="1" x14ac:dyDescent="0.15">
      <c r="A235" s="27" t="s">
        <v>145</v>
      </c>
      <c r="B235" s="26" t="str">
        <f t="shared" ca="1" si="8"/>
        <v>通算ログインが 610 日に到達</v>
      </c>
      <c r="C235" s="32" t="s">
        <v>18</v>
      </c>
      <c r="D235" s="26" t="str">
        <f ca="1">VLOOKUP($C235,OFFSET(開放条件!$A$1,0,0,COUNTA($A:$A),MATCH(D$2,開放条件!$1:$1,0)-MATCH($C$2,開放条件!$1:$1,0)+1),MATCH(D$2,開放条件!$1:$1,0)-MATCH($C$2,開放条件!$1:$1,0)+1,FALSE)</f>
        <v>通算ログインが x 日に到達</v>
      </c>
      <c r="E235" s="26" t="str">
        <f ca="1">VLOOKUP($C235,OFFSET(開放条件!$A$1,0,0,COUNTA($A:$A),MATCH(E$2,開放条件!$1:$1,0)-MATCH($C$2,開放条件!$1:$1,0)+1),MATCH(E$2,開放条件!$1:$1,0)-MATCH($C$2,開放条件!$1:$1,0)+1,FALSE)</f>
        <v>ログイン回数</v>
      </c>
      <c r="F235" s="61">
        <v>610</v>
      </c>
      <c r="G235" s="31" t="str">
        <f ca="1">IF(C235="mission_clear",VLOOKUP(INT($F235),OFFSET(missions!$A$1,0,0,COUNTA(missions!$A:$A),MATCH(G$2,missions!$2:$2,0)-MATCH("mission_id",missions!$2:$2,0)+1),MATCH(G$2,missions!$2:$2,0)-MATCH("mission_id",missions!$2:$2,0)+1,FALSE),IF(C235="quest_clear",VLOOKUP(SUBSTITUTE(F235,"-","_"),OFFSET([2]stages!$A$2,0,0,COUNTA([2]stages!$A:$A),MATCH("name",[2]stages!$2:$2,0)-MATCH("temp_stage",[2]stages!$2:$2,0)+1),MATCH("name",[2]stages!$2:$2,0)-MATCH("temp_stage",[2]stages!$2:$2,0)+1,FALSE),""))</f>
        <v/>
      </c>
      <c r="H235" s="28">
        <v>1</v>
      </c>
    </row>
    <row r="236" spans="1:8" ht="21" customHeight="1" x14ac:dyDescent="0.15">
      <c r="A236" s="27" t="s">
        <v>146</v>
      </c>
      <c r="B236" s="26" t="str">
        <f t="shared" ca="1" si="8"/>
        <v>通算ログインが 620 日に到達</v>
      </c>
      <c r="C236" s="32" t="s">
        <v>18</v>
      </c>
      <c r="D236" s="26" t="str">
        <f ca="1">VLOOKUP($C236,OFFSET(開放条件!$A$1,0,0,COUNTA($A:$A),MATCH(D$2,開放条件!$1:$1,0)-MATCH($C$2,開放条件!$1:$1,0)+1),MATCH(D$2,開放条件!$1:$1,0)-MATCH($C$2,開放条件!$1:$1,0)+1,FALSE)</f>
        <v>通算ログインが x 日に到達</v>
      </c>
      <c r="E236" s="26" t="str">
        <f ca="1">VLOOKUP($C236,OFFSET(開放条件!$A$1,0,0,COUNTA($A:$A),MATCH(E$2,開放条件!$1:$1,0)-MATCH($C$2,開放条件!$1:$1,0)+1),MATCH(E$2,開放条件!$1:$1,0)-MATCH($C$2,開放条件!$1:$1,0)+1,FALSE)</f>
        <v>ログイン回数</v>
      </c>
      <c r="F236" s="61">
        <v>620</v>
      </c>
      <c r="G236" s="31" t="str">
        <f ca="1">IF(C236="mission_clear",VLOOKUP(INT($F236),OFFSET(missions!$A$1,0,0,COUNTA(missions!$A:$A),MATCH(G$2,missions!$2:$2,0)-MATCH("mission_id",missions!$2:$2,0)+1),MATCH(G$2,missions!$2:$2,0)-MATCH("mission_id",missions!$2:$2,0)+1,FALSE),IF(C236="quest_clear",VLOOKUP(SUBSTITUTE(F236,"-","_"),OFFSET([2]stages!$A$2,0,0,COUNTA([2]stages!$A:$A),MATCH("name",[2]stages!$2:$2,0)-MATCH("temp_stage",[2]stages!$2:$2,0)+1),MATCH("name",[2]stages!$2:$2,0)-MATCH("temp_stage",[2]stages!$2:$2,0)+1,FALSE),""))</f>
        <v/>
      </c>
      <c r="H236" s="28">
        <v>1</v>
      </c>
    </row>
    <row r="237" spans="1:8" ht="21" customHeight="1" x14ac:dyDescent="0.15">
      <c r="A237" s="27" t="s">
        <v>147</v>
      </c>
      <c r="B237" s="26" t="str">
        <f t="shared" ca="1" si="8"/>
        <v>通算ログインが 630 日に到達</v>
      </c>
      <c r="C237" s="32" t="s">
        <v>18</v>
      </c>
      <c r="D237" s="26" t="str">
        <f ca="1">VLOOKUP($C237,OFFSET(開放条件!$A$1,0,0,COUNTA($A:$A),MATCH(D$2,開放条件!$1:$1,0)-MATCH($C$2,開放条件!$1:$1,0)+1),MATCH(D$2,開放条件!$1:$1,0)-MATCH($C$2,開放条件!$1:$1,0)+1,FALSE)</f>
        <v>通算ログインが x 日に到達</v>
      </c>
      <c r="E237" s="26" t="str">
        <f ca="1">VLOOKUP($C237,OFFSET(開放条件!$A$1,0,0,COUNTA($A:$A),MATCH(E$2,開放条件!$1:$1,0)-MATCH($C$2,開放条件!$1:$1,0)+1),MATCH(E$2,開放条件!$1:$1,0)-MATCH($C$2,開放条件!$1:$1,0)+1,FALSE)</f>
        <v>ログイン回数</v>
      </c>
      <c r="F237" s="61">
        <v>630</v>
      </c>
      <c r="G237" s="31" t="str">
        <f ca="1">IF(C237="mission_clear",VLOOKUP(INT($F237),OFFSET(missions!$A$1,0,0,COUNTA(missions!$A:$A),MATCH(G$2,missions!$2:$2,0)-MATCH("mission_id",missions!$2:$2,0)+1),MATCH(G$2,missions!$2:$2,0)-MATCH("mission_id",missions!$2:$2,0)+1,FALSE),IF(C237="quest_clear",VLOOKUP(SUBSTITUTE(F237,"-","_"),OFFSET([2]stages!$A$2,0,0,COUNTA([2]stages!$A:$A),MATCH("name",[2]stages!$2:$2,0)-MATCH("temp_stage",[2]stages!$2:$2,0)+1),MATCH("name",[2]stages!$2:$2,0)-MATCH("temp_stage",[2]stages!$2:$2,0)+1,FALSE),""))</f>
        <v/>
      </c>
      <c r="H237" s="28">
        <v>1</v>
      </c>
    </row>
    <row r="238" spans="1:8" ht="21" customHeight="1" x14ac:dyDescent="0.15">
      <c r="A238" s="27" t="s">
        <v>148</v>
      </c>
      <c r="B238" s="26" t="str">
        <f t="shared" ca="1" si="8"/>
        <v>通算ログインが 640 日に到達</v>
      </c>
      <c r="C238" s="32" t="s">
        <v>18</v>
      </c>
      <c r="D238" s="26" t="str">
        <f ca="1">VLOOKUP($C238,OFFSET(開放条件!$A$1,0,0,COUNTA($A:$A),MATCH(D$2,開放条件!$1:$1,0)-MATCH($C$2,開放条件!$1:$1,0)+1),MATCH(D$2,開放条件!$1:$1,0)-MATCH($C$2,開放条件!$1:$1,0)+1,FALSE)</f>
        <v>通算ログインが x 日に到達</v>
      </c>
      <c r="E238" s="26" t="str">
        <f ca="1">VLOOKUP($C238,OFFSET(開放条件!$A$1,0,0,COUNTA($A:$A),MATCH(E$2,開放条件!$1:$1,0)-MATCH($C$2,開放条件!$1:$1,0)+1),MATCH(E$2,開放条件!$1:$1,0)-MATCH($C$2,開放条件!$1:$1,0)+1,FALSE)</f>
        <v>ログイン回数</v>
      </c>
      <c r="F238" s="61">
        <v>640</v>
      </c>
      <c r="G238" s="31" t="str">
        <f ca="1">IF(C238="mission_clear",VLOOKUP(INT($F238),OFFSET(missions!$A$1,0,0,COUNTA(missions!$A:$A),MATCH(G$2,missions!$2:$2,0)-MATCH("mission_id",missions!$2:$2,0)+1),MATCH(G$2,missions!$2:$2,0)-MATCH("mission_id",missions!$2:$2,0)+1,FALSE),IF(C238="quest_clear",VLOOKUP(SUBSTITUTE(F238,"-","_"),OFFSET([2]stages!$A$2,0,0,COUNTA([2]stages!$A:$A),MATCH("name",[2]stages!$2:$2,0)-MATCH("temp_stage",[2]stages!$2:$2,0)+1),MATCH("name",[2]stages!$2:$2,0)-MATCH("temp_stage",[2]stages!$2:$2,0)+1,FALSE),""))</f>
        <v/>
      </c>
      <c r="H238" s="28">
        <v>1</v>
      </c>
    </row>
    <row r="239" spans="1:8" ht="21" customHeight="1" x14ac:dyDescent="0.15">
      <c r="A239" s="27" t="s">
        <v>149</v>
      </c>
      <c r="B239" s="26" t="str">
        <f t="shared" ca="1" si="8"/>
        <v>通算ログインが 650 日に到達</v>
      </c>
      <c r="C239" s="32" t="s">
        <v>18</v>
      </c>
      <c r="D239" s="26" t="str">
        <f ca="1">VLOOKUP($C239,OFFSET(開放条件!$A$1,0,0,COUNTA($A:$A),MATCH(D$2,開放条件!$1:$1,0)-MATCH($C$2,開放条件!$1:$1,0)+1),MATCH(D$2,開放条件!$1:$1,0)-MATCH($C$2,開放条件!$1:$1,0)+1,FALSE)</f>
        <v>通算ログインが x 日に到達</v>
      </c>
      <c r="E239" s="26" t="str">
        <f ca="1">VLOOKUP($C239,OFFSET(開放条件!$A$1,0,0,COUNTA($A:$A),MATCH(E$2,開放条件!$1:$1,0)-MATCH($C$2,開放条件!$1:$1,0)+1),MATCH(E$2,開放条件!$1:$1,0)-MATCH($C$2,開放条件!$1:$1,0)+1,FALSE)</f>
        <v>ログイン回数</v>
      </c>
      <c r="F239" s="61">
        <v>650</v>
      </c>
      <c r="G239" s="31" t="str">
        <f ca="1">IF(C239="mission_clear",VLOOKUP(INT($F239),OFFSET(missions!$A$1,0,0,COUNTA(missions!$A:$A),MATCH(G$2,missions!$2:$2,0)-MATCH("mission_id",missions!$2:$2,0)+1),MATCH(G$2,missions!$2:$2,0)-MATCH("mission_id",missions!$2:$2,0)+1,FALSE),IF(C239="quest_clear",VLOOKUP(SUBSTITUTE(F239,"-","_"),OFFSET([2]stages!$A$2,0,0,COUNTA([2]stages!$A:$A),MATCH("name",[2]stages!$2:$2,0)-MATCH("temp_stage",[2]stages!$2:$2,0)+1),MATCH("name",[2]stages!$2:$2,0)-MATCH("temp_stage",[2]stages!$2:$2,0)+1,FALSE),""))</f>
        <v/>
      </c>
      <c r="H239" s="28">
        <v>1</v>
      </c>
    </row>
    <row r="240" spans="1:8" ht="21" customHeight="1" x14ac:dyDescent="0.15">
      <c r="A240" s="27" t="s">
        <v>150</v>
      </c>
      <c r="B240" s="26" t="str">
        <f t="shared" ca="1" si="8"/>
        <v>通算ログインが 660 日に到達</v>
      </c>
      <c r="C240" s="32" t="s">
        <v>18</v>
      </c>
      <c r="D240" s="26" t="str">
        <f ca="1">VLOOKUP($C240,OFFSET(開放条件!$A$1,0,0,COUNTA($A:$A),MATCH(D$2,開放条件!$1:$1,0)-MATCH($C$2,開放条件!$1:$1,0)+1),MATCH(D$2,開放条件!$1:$1,0)-MATCH($C$2,開放条件!$1:$1,0)+1,FALSE)</f>
        <v>通算ログインが x 日に到達</v>
      </c>
      <c r="E240" s="26" t="str">
        <f ca="1">VLOOKUP($C240,OFFSET(開放条件!$A$1,0,0,COUNTA($A:$A),MATCH(E$2,開放条件!$1:$1,0)-MATCH($C$2,開放条件!$1:$1,0)+1),MATCH(E$2,開放条件!$1:$1,0)-MATCH($C$2,開放条件!$1:$1,0)+1,FALSE)</f>
        <v>ログイン回数</v>
      </c>
      <c r="F240" s="61">
        <v>660</v>
      </c>
      <c r="G240" s="31" t="str">
        <f ca="1">IF(C240="mission_clear",VLOOKUP(INT($F240),OFFSET(missions!$A$1,0,0,COUNTA(missions!$A:$A),MATCH(G$2,missions!$2:$2,0)-MATCH("mission_id",missions!$2:$2,0)+1),MATCH(G$2,missions!$2:$2,0)-MATCH("mission_id",missions!$2:$2,0)+1,FALSE),IF(C240="quest_clear",VLOOKUP(SUBSTITUTE(F240,"-","_"),OFFSET([2]stages!$A$2,0,0,COUNTA([2]stages!$A:$A),MATCH("name",[2]stages!$2:$2,0)-MATCH("temp_stage",[2]stages!$2:$2,0)+1),MATCH("name",[2]stages!$2:$2,0)-MATCH("temp_stage",[2]stages!$2:$2,0)+1,FALSE),""))</f>
        <v/>
      </c>
      <c r="H240" s="28">
        <v>1</v>
      </c>
    </row>
    <row r="241" spans="1:8" ht="21" customHeight="1" x14ac:dyDescent="0.15">
      <c r="A241" s="27" t="s">
        <v>151</v>
      </c>
      <c r="B241" s="26" t="str">
        <f t="shared" ca="1" si="8"/>
        <v>通算ログインが 670 日に到達</v>
      </c>
      <c r="C241" s="32" t="s">
        <v>18</v>
      </c>
      <c r="D241" s="26" t="str">
        <f ca="1">VLOOKUP($C241,OFFSET(開放条件!$A$1,0,0,COUNTA($A:$A),MATCH(D$2,開放条件!$1:$1,0)-MATCH($C$2,開放条件!$1:$1,0)+1),MATCH(D$2,開放条件!$1:$1,0)-MATCH($C$2,開放条件!$1:$1,0)+1,FALSE)</f>
        <v>通算ログインが x 日に到達</v>
      </c>
      <c r="E241" s="26" t="str">
        <f ca="1">VLOOKUP($C241,OFFSET(開放条件!$A$1,0,0,COUNTA($A:$A),MATCH(E$2,開放条件!$1:$1,0)-MATCH($C$2,開放条件!$1:$1,0)+1),MATCH(E$2,開放条件!$1:$1,0)-MATCH($C$2,開放条件!$1:$1,0)+1,FALSE)</f>
        <v>ログイン回数</v>
      </c>
      <c r="F241" s="61">
        <v>670</v>
      </c>
      <c r="G241" s="31" t="str">
        <f ca="1">IF(C241="mission_clear",VLOOKUP(INT($F241),OFFSET(missions!$A$1,0,0,COUNTA(missions!$A:$A),MATCH(G$2,missions!$2:$2,0)-MATCH("mission_id",missions!$2:$2,0)+1),MATCH(G$2,missions!$2:$2,0)-MATCH("mission_id",missions!$2:$2,0)+1,FALSE),IF(C241="quest_clear",VLOOKUP(SUBSTITUTE(F241,"-","_"),OFFSET([2]stages!$A$2,0,0,COUNTA([2]stages!$A:$A),MATCH("name",[2]stages!$2:$2,0)-MATCH("temp_stage",[2]stages!$2:$2,0)+1),MATCH("name",[2]stages!$2:$2,0)-MATCH("temp_stage",[2]stages!$2:$2,0)+1,FALSE),""))</f>
        <v/>
      </c>
      <c r="H241" s="28">
        <v>1</v>
      </c>
    </row>
    <row r="242" spans="1:8" ht="21" customHeight="1" x14ac:dyDescent="0.15">
      <c r="A242" s="27" t="s">
        <v>152</v>
      </c>
      <c r="B242" s="26" t="str">
        <f t="shared" ca="1" si="8"/>
        <v>通算ログインが 680 日に到達</v>
      </c>
      <c r="C242" s="32" t="s">
        <v>18</v>
      </c>
      <c r="D242" s="26" t="str">
        <f ca="1">VLOOKUP($C242,OFFSET(開放条件!$A$1,0,0,COUNTA($A:$A),MATCH(D$2,開放条件!$1:$1,0)-MATCH($C$2,開放条件!$1:$1,0)+1),MATCH(D$2,開放条件!$1:$1,0)-MATCH($C$2,開放条件!$1:$1,0)+1,FALSE)</f>
        <v>通算ログインが x 日に到達</v>
      </c>
      <c r="E242" s="26" t="str">
        <f ca="1">VLOOKUP($C242,OFFSET(開放条件!$A$1,0,0,COUNTA($A:$A),MATCH(E$2,開放条件!$1:$1,0)-MATCH($C$2,開放条件!$1:$1,0)+1),MATCH(E$2,開放条件!$1:$1,0)-MATCH($C$2,開放条件!$1:$1,0)+1,FALSE)</f>
        <v>ログイン回数</v>
      </c>
      <c r="F242" s="61">
        <v>680</v>
      </c>
      <c r="G242" s="31" t="str">
        <f ca="1">IF(C242="mission_clear",VLOOKUP(INT($F242),OFFSET(missions!$A$1,0,0,COUNTA(missions!$A:$A),MATCH(G$2,missions!$2:$2,0)-MATCH("mission_id",missions!$2:$2,0)+1),MATCH(G$2,missions!$2:$2,0)-MATCH("mission_id",missions!$2:$2,0)+1,FALSE),IF(C242="quest_clear",VLOOKUP(SUBSTITUTE(F242,"-","_"),OFFSET([2]stages!$A$2,0,0,COUNTA([2]stages!$A:$A),MATCH("name",[2]stages!$2:$2,0)-MATCH("temp_stage",[2]stages!$2:$2,0)+1),MATCH("name",[2]stages!$2:$2,0)-MATCH("temp_stage",[2]stages!$2:$2,0)+1,FALSE),""))</f>
        <v/>
      </c>
      <c r="H242" s="28">
        <v>1</v>
      </c>
    </row>
    <row r="243" spans="1:8" ht="21" customHeight="1" x14ac:dyDescent="0.15">
      <c r="A243" s="27" t="s">
        <v>153</v>
      </c>
      <c r="B243" s="26" t="str">
        <f t="shared" ca="1" si="8"/>
        <v>通算ログインが 690 日に到達</v>
      </c>
      <c r="C243" s="32" t="s">
        <v>18</v>
      </c>
      <c r="D243" s="26" t="str">
        <f ca="1">VLOOKUP($C243,OFFSET(開放条件!$A$1,0,0,COUNTA($A:$A),MATCH(D$2,開放条件!$1:$1,0)-MATCH($C$2,開放条件!$1:$1,0)+1),MATCH(D$2,開放条件!$1:$1,0)-MATCH($C$2,開放条件!$1:$1,0)+1,FALSE)</f>
        <v>通算ログインが x 日に到達</v>
      </c>
      <c r="E243" s="26" t="str">
        <f ca="1">VLOOKUP($C243,OFFSET(開放条件!$A$1,0,0,COUNTA($A:$A),MATCH(E$2,開放条件!$1:$1,0)-MATCH($C$2,開放条件!$1:$1,0)+1),MATCH(E$2,開放条件!$1:$1,0)-MATCH($C$2,開放条件!$1:$1,0)+1,FALSE)</f>
        <v>ログイン回数</v>
      </c>
      <c r="F243" s="61">
        <v>690</v>
      </c>
      <c r="G243" s="31" t="str">
        <f ca="1">IF(C243="mission_clear",VLOOKUP(INT($F243),OFFSET(missions!$A$1,0,0,COUNTA(missions!$A:$A),MATCH(G$2,missions!$2:$2,0)-MATCH("mission_id",missions!$2:$2,0)+1),MATCH(G$2,missions!$2:$2,0)-MATCH("mission_id",missions!$2:$2,0)+1,FALSE),IF(C243="quest_clear",VLOOKUP(SUBSTITUTE(F243,"-","_"),OFFSET([2]stages!$A$2,0,0,COUNTA([2]stages!$A:$A),MATCH("name",[2]stages!$2:$2,0)-MATCH("temp_stage",[2]stages!$2:$2,0)+1),MATCH("name",[2]stages!$2:$2,0)-MATCH("temp_stage",[2]stages!$2:$2,0)+1,FALSE),""))</f>
        <v/>
      </c>
      <c r="H243" s="28">
        <v>1</v>
      </c>
    </row>
    <row r="244" spans="1:8" ht="21" customHeight="1" x14ac:dyDescent="0.15">
      <c r="A244" s="27" t="s">
        <v>154</v>
      </c>
      <c r="B244" s="26" t="str">
        <f t="shared" ca="1" si="8"/>
        <v>通算ログインが 700 日に到達</v>
      </c>
      <c r="C244" s="32" t="s">
        <v>18</v>
      </c>
      <c r="D244" s="26" t="str">
        <f ca="1">VLOOKUP($C244,OFFSET(開放条件!$A$1,0,0,COUNTA($A:$A),MATCH(D$2,開放条件!$1:$1,0)-MATCH($C$2,開放条件!$1:$1,0)+1),MATCH(D$2,開放条件!$1:$1,0)-MATCH($C$2,開放条件!$1:$1,0)+1,FALSE)</f>
        <v>通算ログインが x 日に到達</v>
      </c>
      <c r="E244" s="26" t="str">
        <f ca="1">VLOOKUP($C244,OFFSET(開放条件!$A$1,0,0,COUNTA($A:$A),MATCH(E$2,開放条件!$1:$1,0)-MATCH($C$2,開放条件!$1:$1,0)+1),MATCH(E$2,開放条件!$1:$1,0)-MATCH($C$2,開放条件!$1:$1,0)+1,FALSE)</f>
        <v>ログイン回数</v>
      </c>
      <c r="F244" s="61">
        <v>700</v>
      </c>
      <c r="G244" s="31" t="str">
        <f ca="1">IF(C244="mission_clear",VLOOKUP(INT($F244),OFFSET(missions!$A$1,0,0,COUNTA(missions!$A:$A),MATCH(G$2,missions!$2:$2,0)-MATCH("mission_id",missions!$2:$2,0)+1),MATCH(G$2,missions!$2:$2,0)-MATCH("mission_id",missions!$2:$2,0)+1,FALSE),IF(C244="quest_clear",VLOOKUP(SUBSTITUTE(F244,"-","_"),OFFSET([2]stages!$A$2,0,0,COUNTA([2]stages!$A:$A),MATCH("name",[2]stages!$2:$2,0)-MATCH("temp_stage",[2]stages!$2:$2,0)+1),MATCH("name",[2]stages!$2:$2,0)-MATCH("temp_stage",[2]stages!$2:$2,0)+1,FALSE),""))</f>
        <v/>
      </c>
      <c r="H244" s="28">
        <v>1</v>
      </c>
    </row>
    <row r="245" spans="1:8" ht="21" customHeight="1" x14ac:dyDescent="0.15">
      <c r="A245" s="27" t="s">
        <v>155</v>
      </c>
      <c r="B245" s="26" t="str">
        <f t="shared" ca="1" si="8"/>
        <v>通算ログインが 710 日に到達</v>
      </c>
      <c r="C245" s="32" t="s">
        <v>18</v>
      </c>
      <c r="D245" s="26" t="str">
        <f ca="1">VLOOKUP($C245,OFFSET(開放条件!$A$1,0,0,COUNTA($A:$A),MATCH(D$2,開放条件!$1:$1,0)-MATCH($C$2,開放条件!$1:$1,0)+1),MATCH(D$2,開放条件!$1:$1,0)-MATCH($C$2,開放条件!$1:$1,0)+1,FALSE)</f>
        <v>通算ログインが x 日に到達</v>
      </c>
      <c r="E245" s="26" t="str">
        <f ca="1">VLOOKUP($C245,OFFSET(開放条件!$A$1,0,0,COUNTA($A:$A),MATCH(E$2,開放条件!$1:$1,0)-MATCH($C$2,開放条件!$1:$1,0)+1),MATCH(E$2,開放条件!$1:$1,0)-MATCH($C$2,開放条件!$1:$1,0)+1,FALSE)</f>
        <v>ログイン回数</v>
      </c>
      <c r="F245" s="61">
        <v>710</v>
      </c>
      <c r="G245" s="31" t="str">
        <f ca="1">IF(C245="mission_clear",VLOOKUP(INT($F245),OFFSET(missions!$A$1,0,0,COUNTA(missions!$A:$A),MATCH(G$2,missions!$2:$2,0)-MATCH("mission_id",missions!$2:$2,0)+1),MATCH(G$2,missions!$2:$2,0)-MATCH("mission_id",missions!$2:$2,0)+1,FALSE),IF(C245="quest_clear",VLOOKUP(SUBSTITUTE(F245,"-","_"),OFFSET([2]stages!$A$2,0,0,COUNTA([2]stages!$A:$A),MATCH("name",[2]stages!$2:$2,0)-MATCH("temp_stage",[2]stages!$2:$2,0)+1),MATCH("name",[2]stages!$2:$2,0)-MATCH("temp_stage",[2]stages!$2:$2,0)+1,FALSE),""))</f>
        <v/>
      </c>
      <c r="H245" s="28">
        <v>1</v>
      </c>
    </row>
    <row r="246" spans="1:8" ht="21" customHeight="1" x14ac:dyDescent="0.15">
      <c r="A246" s="27" t="s">
        <v>156</v>
      </c>
      <c r="B246" s="26" t="str">
        <f t="shared" ca="1" si="8"/>
        <v>通算ログインが 720 日に到達</v>
      </c>
      <c r="C246" s="32" t="s">
        <v>18</v>
      </c>
      <c r="D246" s="26" t="str">
        <f ca="1">VLOOKUP($C246,OFFSET(開放条件!$A$1,0,0,COUNTA($A:$A),MATCH(D$2,開放条件!$1:$1,0)-MATCH($C$2,開放条件!$1:$1,0)+1),MATCH(D$2,開放条件!$1:$1,0)-MATCH($C$2,開放条件!$1:$1,0)+1,FALSE)</f>
        <v>通算ログインが x 日に到達</v>
      </c>
      <c r="E246" s="26" t="str">
        <f ca="1">VLOOKUP($C246,OFFSET(開放条件!$A$1,0,0,COUNTA($A:$A),MATCH(E$2,開放条件!$1:$1,0)-MATCH($C$2,開放条件!$1:$1,0)+1),MATCH(E$2,開放条件!$1:$1,0)-MATCH($C$2,開放条件!$1:$1,0)+1,FALSE)</f>
        <v>ログイン回数</v>
      </c>
      <c r="F246" s="61">
        <v>720</v>
      </c>
      <c r="G246" s="31" t="str">
        <f ca="1">IF(C246="mission_clear",VLOOKUP(INT($F246),OFFSET(missions!$A$1,0,0,COUNTA(missions!$A:$A),MATCH(G$2,missions!$2:$2,0)-MATCH("mission_id",missions!$2:$2,0)+1),MATCH(G$2,missions!$2:$2,0)-MATCH("mission_id",missions!$2:$2,0)+1,FALSE),IF(C246="quest_clear",VLOOKUP(SUBSTITUTE(F246,"-","_"),OFFSET([2]stages!$A$2,0,0,COUNTA([2]stages!$A:$A),MATCH("name",[2]stages!$2:$2,0)-MATCH("temp_stage",[2]stages!$2:$2,0)+1),MATCH("name",[2]stages!$2:$2,0)-MATCH("temp_stage",[2]stages!$2:$2,0)+1,FALSE),""))</f>
        <v/>
      </c>
      <c r="H246" s="28">
        <v>1</v>
      </c>
    </row>
    <row r="247" spans="1:8" ht="21" customHeight="1" x14ac:dyDescent="0.15">
      <c r="A247" s="27" t="s">
        <v>157</v>
      </c>
      <c r="B247" s="26" t="str">
        <f t="shared" ca="1" si="8"/>
        <v>通算ログインが 730 日に到達</v>
      </c>
      <c r="C247" s="32" t="s">
        <v>18</v>
      </c>
      <c r="D247" s="26" t="str">
        <f ca="1">VLOOKUP($C247,OFFSET(開放条件!$A$1,0,0,COUNTA($A:$A),MATCH(D$2,開放条件!$1:$1,0)-MATCH($C$2,開放条件!$1:$1,0)+1),MATCH(D$2,開放条件!$1:$1,0)-MATCH($C$2,開放条件!$1:$1,0)+1,FALSE)</f>
        <v>通算ログインが x 日に到達</v>
      </c>
      <c r="E247" s="26" t="str">
        <f ca="1">VLOOKUP($C247,OFFSET(開放条件!$A$1,0,0,COUNTA($A:$A),MATCH(E$2,開放条件!$1:$1,0)-MATCH($C$2,開放条件!$1:$1,0)+1),MATCH(E$2,開放条件!$1:$1,0)-MATCH($C$2,開放条件!$1:$1,0)+1,FALSE)</f>
        <v>ログイン回数</v>
      </c>
      <c r="F247" s="61">
        <v>730</v>
      </c>
      <c r="G247" s="31" t="str">
        <f ca="1">IF(C247="mission_clear",VLOOKUP(INT($F247),OFFSET(missions!$A$1,0,0,COUNTA(missions!$A:$A),MATCH(G$2,missions!$2:$2,0)-MATCH("mission_id",missions!$2:$2,0)+1),MATCH(G$2,missions!$2:$2,0)-MATCH("mission_id",missions!$2:$2,0)+1,FALSE),IF(C247="quest_clear",VLOOKUP(SUBSTITUTE(F247,"-","_"),OFFSET([2]stages!$A$2,0,0,COUNTA([2]stages!$A:$A),MATCH("name",[2]stages!$2:$2,0)-MATCH("temp_stage",[2]stages!$2:$2,0)+1),MATCH("name",[2]stages!$2:$2,0)-MATCH("temp_stage",[2]stages!$2:$2,0)+1,FALSE),""))</f>
        <v/>
      </c>
      <c r="H247" s="28">
        <v>1</v>
      </c>
    </row>
    <row r="248" spans="1:8" ht="21" customHeight="1" x14ac:dyDescent="0.15">
      <c r="A248" s="27" t="s">
        <v>158</v>
      </c>
      <c r="B248" s="26" t="str">
        <f t="shared" ca="1" si="8"/>
        <v>通算ログインが 740 日に到達</v>
      </c>
      <c r="C248" s="32" t="s">
        <v>18</v>
      </c>
      <c r="D248" s="26" t="str">
        <f ca="1">VLOOKUP($C248,OFFSET(開放条件!$A$1,0,0,COUNTA($A:$A),MATCH(D$2,開放条件!$1:$1,0)-MATCH($C$2,開放条件!$1:$1,0)+1),MATCH(D$2,開放条件!$1:$1,0)-MATCH($C$2,開放条件!$1:$1,0)+1,FALSE)</f>
        <v>通算ログインが x 日に到達</v>
      </c>
      <c r="E248" s="26" t="str">
        <f ca="1">VLOOKUP($C248,OFFSET(開放条件!$A$1,0,0,COUNTA($A:$A),MATCH(E$2,開放条件!$1:$1,0)-MATCH($C$2,開放条件!$1:$1,0)+1),MATCH(E$2,開放条件!$1:$1,0)-MATCH($C$2,開放条件!$1:$1,0)+1,FALSE)</f>
        <v>ログイン回数</v>
      </c>
      <c r="F248" s="61">
        <v>740</v>
      </c>
      <c r="G248" s="31" t="str">
        <f ca="1">IF(C248="mission_clear",VLOOKUP(INT($F248),OFFSET(missions!$A$1,0,0,COUNTA(missions!$A:$A),MATCH(G$2,missions!$2:$2,0)-MATCH("mission_id",missions!$2:$2,0)+1),MATCH(G$2,missions!$2:$2,0)-MATCH("mission_id",missions!$2:$2,0)+1,FALSE),IF(C248="quest_clear",VLOOKUP(SUBSTITUTE(F248,"-","_"),OFFSET([2]stages!$A$2,0,0,COUNTA([2]stages!$A:$A),MATCH("name",[2]stages!$2:$2,0)-MATCH("temp_stage",[2]stages!$2:$2,0)+1),MATCH("name",[2]stages!$2:$2,0)-MATCH("temp_stage",[2]stages!$2:$2,0)+1,FALSE),""))</f>
        <v/>
      </c>
      <c r="H248" s="28">
        <v>1</v>
      </c>
    </row>
    <row r="249" spans="1:8" ht="21" customHeight="1" x14ac:dyDescent="0.15">
      <c r="A249" s="27" t="s">
        <v>159</v>
      </c>
      <c r="B249" s="26" t="str">
        <f t="shared" ca="1" si="8"/>
        <v>通算ログインが 750 日に到達</v>
      </c>
      <c r="C249" s="32" t="s">
        <v>18</v>
      </c>
      <c r="D249" s="26" t="str">
        <f ca="1">VLOOKUP($C249,OFFSET(開放条件!$A$1,0,0,COUNTA($A:$A),MATCH(D$2,開放条件!$1:$1,0)-MATCH($C$2,開放条件!$1:$1,0)+1),MATCH(D$2,開放条件!$1:$1,0)-MATCH($C$2,開放条件!$1:$1,0)+1,FALSE)</f>
        <v>通算ログインが x 日に到達</v>
      </c>
      <c r="E249" s="26" t="str">
        <f ca="1">VLOOKUP($C249,OFFSET(開放条件!$A$1,0,0,COUNTA($A:$A),MATCH(E$2,開放条件!$1:$1,0)-MATCH($C$2,開放条件!$1:$1,0)+1),MATCH(E$2,開放条件!$1:$1,0)-MATCH($C$2,開放条件!$1:$1,0)+1,FALSE)</f>
        <v>ログイン回数</v>
      </c>
      <c r="F249" s="61">
        <v>750</v>
      </c>
      <c r="G249" s="31" t="str">
        <f ca="1">IF(C249="mission_clear",VLOOKUP(INT($F249),OFFSET(missions!$A$1,0,0,COUNTA(missions!$A:$A),MATCH(G$2,missions!$2:$2,0)-MATCH("mission_id",missions!$2:$2,0)+1),MATCH(G$2,missions!$2:$2,0)-MATCH("mission_id",missions!$2:$2,0)+1,FALSE),IF(C249="quest_clear",VLOOKUP(SUBSTITUTE(F249,"-","_"),OFFSET([2]stages!$A$2,0,0,COUNTA([2]stages!$A:$A),MATCH("name",[2]stages!$2:$2,0)-MATCH("temp_stage",[2]stages!$2:$2,0)+1),MATCH("name",[2]stages!$2:$2,0)-MATCH("temp_stage",[2]stages!$2:$2,0)+1,FALSE),""))</f>
        <v/>
      </c>
      <c r="H249" s="28">
        <v>1</v>
      </c>
    </row>
    <row r="250" spans="1:8" ht="21" customHeight="1" x14ac:dyDescent="0.15">
      <c r="A250" s="27" t="s">
        <v>160</v>
      </c>
      <c r="B250" s="26" t="str">
        <f t="shared" ca="1" si="8"/>
        <v>通算ログインが 760 日に到達</v>
      </c>
      <c r="C250" s="32" t="s">
        <v>18</v>
      </c>
      <c r="D250" s="26" t="str">
        <f ca="1">VLOOKUP($C250,OFFSET(開放条件!$A$1,0,0,COUNTA($A:$A),MATCH(D$2,開放条件!$1:$1,0)-MATCH($C$2,開放条件!$1:$1,0)+1),MATCH(D$2,開放条件!$1:$1,0)-MATCH($C$2,開放条件!$1:$1,0)+1,FALSE)</f>
        <v>通算ログインが x 日に到達</v>
      </c>
      <c r="E250" s="26" t="str">
        <f ca="1">VLOOKUP($C250,OFFSET(開放条件!$A$1,0,0,COUNTA($A:$A),MATCH(E$2,開放条件!$1:$1,0)-MATCH($C$2,開放条件!$1:$1,0)+1),MATCH(E$2,開放条件!$1:$1,0)-MATCH($C$2,開放条件!$1:$1,0)+1,FALSE)</f>
        <v>ログイン回数</v>
      </c>
      <c r="F250" s="61">
        <v>760</v>
      </c>
      <c r="G250" s="31" t="str">
        <f ca="1">IF(C250="mission_clear",VLOOKUP(INT($F250),OFFSET(missions!$A$1,0,0,COUNTA(missions!$A:$A),MATCH(G$2,missions!$2:$2,0)-MATCH("mission_id",missions!$2:$2,0)+1),MATCH(G$2,missions!$2:$2,0)-MATCH("mission_id",missions!$2:$2,0)+1,FALSE),IF(C250="quest_clear",VLOOKUP(SUBSTITUTE(F250,"-","_"),OFFSET([2]stages!$A$2,0,0,COUNTA([2]stages!$A:$A),MATCH("name",[2]stages!$2:$2,0)-MATCH("temp_stage",[2]stages!$2:$2,0)+1),MATCH("name",[2]stages!$2:$2,0)-MATCH("temp_stage",[2]stages!$2:$2,0)+1,FALSE),""))</f>
        <v/>
      </c>
      <c r="H250" s="28">
        <v>1</v>
      </c>
    </row>
    <row r="251" spans="1:8" ht="21" customHeight="1" x14ac:dyDescent="0.15">
      <c r="A251" s="27" t="s">
        <v>161</v>
      </c>
      <c r="B251" s="26" t="str">
        <f t="shared" ca="1" si="8"/>
        <v>通算ログインが 770 日に到達</v>
      </c>
      <c r="C251" s="32" t="s">
        <v>18</v>
      </c>
      <c r="D251" s="26" t="str">
        <f ca="1">VLOOKUP($C251,OFFSET(開放条件!$A$1,0,0,COUNTA($A:$A),MATCH(D$2,開放条件!$1:$1,0)-MATCH($C$2,開放条件!$1:$1,0)+1),MATCH(D$2,開放条件!$1:$1,0)-MATCH($C$2,開放条件!$1:$1,0)+1,FALSE)</f>
        <v>通算ログインが x 日に到達</v>
      </c>
      <c r="E251" s="26" t="str">
        <f ca="1">VLOOKUP($C251,OFFSET(開放条件!$A$1,0,0,COUNTA($A:$A),MATCH(E$2,開放条件!$1:$1,0)-MATCH($C$2,開放条件!$1:$1,0)+1),MATCH(E$2,開放条件!$1:$1,0)-MATCH($C$2,開放条件!$1:$1,0)+1,FALSE)</f>
        <v>ログイン回数</v>
      </c>
      <c r="F251" s="61">
        <v>770</v>
      </c>
      <c r="G251" s="31" t="str">
        <f ca="1">IF(C251="mission_clear",VLOOKUP(INT($F251),OFFSET(missions!$A$1,0,0,COUNTA(missions!$A:$A),MATCH(G$2,missions!$2:$2,0)-MATCH("mission_id",missions!$2:$2,0)+1),MATCH(G$2,missions!$2:$2,0)-MATCH("mission_id",missions!$2:$2,0)+1,FALSE),IF(C251="quest_clear",VLOOKUP(SUBSTITUTE(F251,"-","_"),OFFSET([2]stages!$A$2,0,0,COUNTA([2]stages!$A:$A),MATCH("name",[2]stages!$2:$2,0)-MATCH("temp_stage",[2]stages!$2:$2,0)+1),MATCH("name",[2]stages!$2:$2,0)-MATCH("temp_stage",[2]stages!$2:$2,0)+1,FALSE),""))</f>
        <v/>
      </c>
      <c r="H251" s="28">
        <v>1</v>
      </c>
    </row>
    <row r="252" spans="1:8" ht="21" customHeight="1" x14ac:dyDescent="0.15">
      <c r="A252" s="27" t="s">
        <v>162</v>
      </c>
      <c r="B252" s="26" t="str">
        <f t="shared" ca="1" si="8"/>
        <v>通算ログインが 780 日に到達</v>
      </c>
      <c r="C252" s="32" t="s">
        <v>18</v>
      </c>
      <c r="D252" s="26" t="str">
        <f ca="1">VLOOKUP($C252,OFFSET(開放条件!$A$1,0,0,COUNTA($A:$A),MATCH(D$2,開放条件!$1:$1,0)-MATCH($C$2,開放条件!$1:$1,0)+1),MATCH(D$2,開放条件!$1:$1,0)-MATCH($C$2,開放条件!$1:$1,0)+1,FALSE)</f>
        <v>通算ログインが x 日に到達</v>
      </c>
      <c r="E252" s="26" t="str">
        <f ca="1">VLOOKUP($C252,OFFSET(開放条件!$A$1,0,0,COUNTA($A:$A),MATCH(E$2,開放条件!$1:$1,0)-MATCH($C$2,開放条件!$1:$1,0)+1),MATCH(E$2,開放条件!$1:$1,0)-MATCH($C$2,開放条件!$1:$1,0)+1,FALSE)</f>
        <v>ログイン回数</v>
      </c>
      <c r="F252" s="61">
        <v>780</v>
      </c>
      <c r="G252" s="31" t="str">
        <f ca="1">IF(C252="mission_clear",VLOOKUP(INT($F252),OFFSET(missions!$A$1,0,0,COUNTA(missions!$A:$A),MATCH(G$2,missions!$2:$2,0)-MATCH("mission_id",missions!$2:$2,0)+1),MATCH(G$2,missions!$2:$2,0)-MATCH("mission_id",missions!$2:$2,0)+1,FALSE),IF(C252="quest_clear",VLOOKUP(SUBSTITUTE(F252,"-","_"),OFFSET([2]stages!$A$2,0,0,COUNTA([2]stages!$A:$A),MATCH("name",[2]stages!$2:$2,0)-MATCH("temp_stage",[2]stages!$2:$2,0)+1),MATCH("name",[2]stages!$2:$2,0)-MATCH("temp_stage",[2]stages!$2:$2,0)+1,FALSE),""))</f>
        <v/>
      </c>
      <c r="H252" s="28">
        <v>1</v>
      </c>
    </row>
    <row r="253" spans="1:8" ht="21" customHeight="1" x14ac:dyDescent="0.15">
      <c r="A253" s="27" t="s">
        <v>163</v>
      </c>
      <c r="B253" s="26" t="str">
        <f t="shared" ca="1" si="8"/>
        <v>通算ログインが 790 日に到達</v>
      </c>
      <c r="C253" s="32" t="s">
        <v>18</v>
      </c>
      <c r="D253" s="26" t="str">
        <f ca="1">VLOOKUP($C253,OFFSET(開放条件!$A$1,0,0,COUNTA($A:$A),MATCH(D$2,開放条件!$1:$1,0)-MATCH($C$2,開放条件!$1:$1,0)+1),MATCH(D$2,開放条件!$1:$1,0)-MATCH($C$2,開放条件!$1:$1,0)+1,FALSE)</f>
        <v>通算ログインが x 日に到達</v>
      </c>
      <c r="E253" s="26" t="str">
        <f ca="1">VLOOKUP($C253,OFFSET(開放条件!$A$1,0,0,COUNTA($A:$A),MATCH(E$2,開放条件!$1:$1,0)-MATCH($C$2,開放条件!$1:$1,0)+1),MATCH(E$2,開放条件!$1:$1,0)-MATCH($C$2,開放条件!$1:$1,0)+1,FALSE)</f>
        <v>ログイン回数</v>
      </c>
      <c r="F253" s="61">
        <v>790</v>
      </c>
      <c r="G253" s="31" t="str">
        <f ca="1">IF(C253="mission_clear",VLOOKUP(INT($F253),OFFSET(missions!$A$1,0,0,COUNTA(missions!$A:$A),MATCH(G$2,missions!$2:$2,0)-MATCH("mission_id",missions!$2:$2,0)+1),MATCH(G$2,missions!$2:$2,0)-MATCH("mission_id",missions!$2:$2,0)+1,FALSE),IF(C253="quest_clear",VLOOKUP(SUBSTITUTE(F253,"-","_"),OFFSET([2]stages!$A$2,0,0,COUNTA([2]stages!$A:$A),MATCH("name",[2]stages!$2:$2,0)-MATCH("temp_stage",[2]stages!$2:$2,0)+1),MATCH("name",[2]stages!$2:$2,0)-MATCH("temp_stage",[2]stages!$2:$2,0)+1,FALSE),""))</f>
        <v/>
      </c>
      <c r="H253" s="28">
        <v>1</v>
      </c>
    </row>
    <row r="254" spans="1:8" ht="21" customHeight="1" x14ac:dyDescent="0.15">
      <c r="A254" s="27" t="s">
        <v>164</v>
      </c>
      <c r="B254" s="26" t="str">
        <f t="shared" ca="1" si="8"/>
        <v>通算ログインが 800 日に到達</v>
      </c>
      <c r="C254" s="32" t="s">
        <v>18</v>
      </c>
      <c r="D254" s="26" t="str">
        <f ca="1">VLOOKUP($C254,OFFSET(開放条件!$A$1,0,0,COUNTA($A:$A),MATCH(D$2,開放条件!$1:$1,0)-MATCH($C$2,開放条件!$1:$1,0)+1),MATCH(D$2,開放条件!$1:$1,0)-MATCH($C$2,開放条件!$1:$1,0)+1,FALSE)</f>
        <v>通算ログインが x 日に到達</v>
      </c>
      <c r="E254" s="26" t="str">
        <f ca="1">VLOOKUP($C254,OFFSET(開放条件!$A$1,0,0,COUNTA($A:$A),MATCH(E$2,開放条件!$1:$1,0)-MATCH($C$2,開放条件!$1:$1,0)+1),MATCH(E$2,開放条件!$1:$1,0)-MATCH($C$2,開放条件!$1:$1,0)+1,FALSE)</f>
        <v>ログイン回数</v>
      </c>
      <c r="F254" s="61">
        <v>800</v>
      </c>
      <c r="G254" s="31" t="str">
        <f ca="1">IF(C254="mission_clear",VLOOKUP(INT($F254),OFFSET(missions!$A$1,0,0,COUNTA(missions!$A:$A),MATCH(G$2,missions!$2:$2,0)-MATCH("mission_id",missions!$2:$2,0)+1),MATCH(G$2,missions!$2:$2,0)-MATCH("mission_id",missions!$2:$2,0)+1,FALSE),IF(C254="quest_clear",VLOOKUP(SUBSTITUTE(F254,"-","_"),OFFSET([2]stages!$A$2,0,0,COUNTA([2]stages!$A:$A),MATCH("name",[2]stages!$2:$2,0)-MATCH("temp_stage",[2]stages!$2:$2,0)+1),MATCH("name",[2]stages!$2:$2,0)-MATCH("temp_stage",[2]stages!$2:$2,0)+1,FALSE),""))</f>
        <v/>
      </c>
      <c r="H254" s="28">
        <v>1</v>
      </c>
    </row>
    <row r="255" spans="1:8" ht="21" customHeight="1" x14ac:dyDescent="0.15">
      <c r="A255" s="27" t="s">
        <v>165</v>
      </c>
      <c r="B255" s="26" t="str">
        <f t="shared" ca="1" si="8"/>
        <v>通算ログインが 810 日に到達</v>
      </c>
      <c r="C255" s="32" t="s">
        <v>18</v>
      </c>
      <c r="D255" s="26" t="str">
        <f ca="1">VLOOKUP($C255,OFFSET(開放条件!$A$1,0,0,COUNTA($A:$A),MATCH(D$2,開放条件!$1:$1,0)-MATCH($C$2,開放条件!$1:$1,0)+1),MATCH(D$2,開放条件!$1:$1,0)-MATCH($C$2,開放条件!$1:$1,0)+1,FALSE)</f>
        <v>通算ログインが x 日に到達</v>
      </c>
      <c r="E255" s="26" t="str">
        <f ca="1">VLOOKUP($C255,OFFSET(開放条件!$A$1,0,0,COUNTA($A:$A),MATCH(E$2,開放条件!$1:$1,0)-MATCH($C$2,開放条件!$1:$1,0)+1),MATCH(E$2,開放条件!$1:$1,0)-MATCH($C$2,開放条件!$1:$1,0)+1,FALSE)</f>
        <v>ログイン回数</v>
      </c>
      <c r="F255" s="61">
        <v>810</v>
      </c>
      <c r="G255" s="31" t="str">
        <f ca="1">IF(C255="mission_clear",VLOOKUP(INT($F255),OFFSET(missions!$A$1,0,0,COUNTA(missions!$A:$A),MATCH(G$2,missions!$2:$2,0)-MATCH("mission_id",missions!$2:$2,0)+1),MATCH(G$2,missions!$2:$2,0)-MATCH("mission_id",missions!$2:$2,0)+1,FALSE),IF(C255="quest_clear",VLOOKUP(SUBSTITUTE(F255,"-","_"),OFFSET([2]stages!$A$2,0,0,COUNTA([2]stages!$A:$A),MATCH("name",[2]stages!$2:$2,0)-MATCH("temp_stage",[2]stages!$2:$2,0)+1),MATCH("name",[2]stages!$2:$2,0)-MATCH("temp_stage",[2]stages!$2:$2,0)+1,FALSE),""))</f>
        <v/>
      </c>
      <c r="H255" s="28">
        <v>1</v>
      </c>
    </row>
    <row r="256" spans="1:8" ht="21" customHeight="1" x14ac:dyDescent="0.15">
      <c r="A256" s="27" t="s">
        <v>166</v>
      </c>
      <c r="B256" s="26" t="str">
        <f t="shared" ca="1" si="8"/>
        <v>通算ログインが 820 日に到達</v>
      </c>
      <c r="C256" s="32" t="s">
        <v>18</v>
      </c>
      <c r="D256" s="26" t="str">
        <f ca="1">VLOOKUP($C256,OFFSET(開放条件!$A$1,0,0,COUNTA($A:$A),MATCH(D$2,開放条件!$1:$1,0)-MATCH($C$2,開放条件!$1:$1,0)+1),MATCH(D$2,開放条件!$1:$1,0)-MATCH($C$2,開放条件!$1:$1,0)+1,FALSE)</f>
        <v>通算ログインが x 日に到達</v>
      </c>
      <c r="E256" s="26" t="str">
        <f ca="1">VLOOKUP($C256,OFFSET(開放条件!$A$1,0,0,COUNTA($A:$A),MATCH(E$2,開放条件!$1:$1,0)-MATCH($C$2,開放条件!$1:$1,0)+1),MATCH(E$2,開放条件!$1:$1,0)-MATCH($C$2,開放条件!$1:$1,0)+1,FALSE)</f>
        <v>ログイン回数</v>
      </c>
      <c r="F256" s="61">
        <v>820</v>
      </c>
      <c r="G256" s="31" t="str">
        <f ca="1">IF(C256="mission_clear",VLOOKUP(INT($F256),OFFSET(missions!$A$1,0,0,COUNTA(missions!$A:$A),MATCH(G$2,missions!$2:$2,0)-MATCH("mission_id",missions!$2:$2,0)+1),MATCH(G$2,missions!$2:$2,0)-MATCH("mission_id",missions!$2:$2,0)+1,FALSE),IF(C256="quest_clear",VLOOKUP(SUBSTITUTE(F256,"-","_"),OFFSET([2]stages!$A$2,0,0,COUNTA([2]stages!$A:$A),MATCH("name",[2]stages!$2:$2,0)-MATCH("temp_stage",[2]stages!$2:$2,0)+1),MATCH("name",[2]stages!$2:$2,0)-MATCH("temp_stage",[2]stages!$2:$2,0)+1,FALSE),""))</f>
        <v/>
      </c>
      <c r="H256" s="28">
        <v>1</v>
      </c>
    </row>
    <row r="257" spans="1:8" ht="21" customHeight="1" x14ac:dyDescent="0.15">
      <c r="A257" s="27" t="s">
        <v>167</v>
      </c>
      <c r="B257" s="26" t="str">
        <f t="shared" ca="1" si="8"/>
        <v>通算ログインが 830 日に到達</v>
      </c>
      <c r="C257" s="32" t="s">
        <v>18</v>
      </c>
      <c r="D257" s="26" t="str">
        <f ca="1">VLOOKUP($C257,OFFSET(開放条件!$A$1,0,0,COUNTA($A:$A),MATCH(D$2,開放条件!$1:$1,0)-MATCH($C$2,開放条件!$1:$1,0)+1),MATCH(D$2,開放条件!$1:$1,0)-MATCH($C$2,開放条件!$1:$1,0)+1,FALSE)</f>
        <v>通算ログインが x 日に到達</v>
      </c>
      <c r="E257" s="26" t="str">
        <f ca="1">VLOOKUP($C257,OFFSET(開放条件!$A$1,0,0,COUNTA($A:$A),MATCH(E$2,開放条件!$1:$1,0)-MATCH($C$2,開放条件!$1:$1,0)+1),MATCH(E$2,開放条件!$1:$1,0)-MATCH($C$2,開放条件!$1:$1,0)+1,FALSE)</f>
        <v>ログイン回数</v>
      </c>
      <c r="F257" s="61">
        <v>830</v>
      </c>
      <c r="G257" s="31" t="str">
        <f ca="1">IF(C257="mission_clear",VLOOKUP(INT($F257),OFFSET(missions!$A$1,0,0,COUNTA(missions!$A:$A),MATCH(G$2,missions!$2:$2,0)-MATCH("mission_id",missions!$2:$2,0)+1),MATCH(G$2,missions!$2:$2,0)-MATCH("mission_id",missions!$2:$2,0)+1,FALSE),IF(C257="quest_clear",VLOOKUP(SUBSTITUTE(F257,"-","_"),OFFSET([2]stages!$A$2,0,0,COUNTA([2]stages!$A:$A),MATCH("name",[2]stages!$2:$2,0)-MATCH("temp_stage",[2]stages!$2:$2,0)+1),MATCH("name",[2]stages!$2:$2,0)-MATCH("temp_stage",[2]stages!$2:$2,0)+1,FALSE),""))</f>
        <v/>
      </c>
      <c r="H257" s="28">
        <v>1</v>
      </c>
    </row>
    <row r="258" spans="1:8" ht="21" customHeight="1" x14ac:dyDescent="0.15">
      <c r="A258" s="27" t="s">
        <v>168</v>
      </c>
      <c r="B258" s="26" t="str">
        <f t="shared" ca="1" si="8"/>
        <v>通算ログインが 840 日に到達</v>
      </c>
      <c r="C258" s="32" t="s">
        <v>18</v>
      </c>
      <c r="D258" s="26" t="str">
        <f ca="1">VLOOKUP($C258,OFFSET(開放条件!$A$1,0,0,COUNTA($A:$A),MATCH(D$2,開放条件!$1:$1,0)-MATCH($C$2,開放条件!$1:$1,0)+1),MATCH(D$2,開放条件!$1:$1,0)-MATCH($C$2,開放条件!$1:$1,0)+1,FALSE)</f>
        <v>通算ログインが x 日に到達</v>
      </c>
      <c r="E258" s="26" t="str">
        <f ca="1">VLOOKUP($C258,OFFSET(開放条件!$A$1,0,0,COUNTA($A:$A),MATCH(E$2,開放条件!$1:$1,0)-MATCH($C$2,開放条件!$1:$1,0)+1),MATCH(E$2,開放条件!$1:$1,0)-MATCH($C$2,開放条件!$1:$1,0)+1,FALSE)</f>
        <v>ログイン回数</v>
      </c>
      <c r="F258" s="61">
        <v>840</v>
      </c>
      <c r="G258" s="31" t="str">
        <f ca="1">IF(C258="mission_clear",VLOOKUP(INT($F258),OFFSET(missions!$A$1,0,0,COUNTA(missions!$A:$A),MATCH(G$2,missions!$2:$2,0)-MATCH("mission_id",missions!$2:$2,0)+1),MATCH(G$2,missions!$2:$2,0)-MATCH("mission_id",missions!$2:$2,0)+1,FALSE),IF(C258="quest_clear",VLOOKUP(SUBSTITUTE(F258,"-","_"),OFFSET([2]stages!$A$2,0,0,COUNTA([2]stages!$A:$A),MATCH("name",[2]stages!$2:$2,0)-MATCH("temp_stage",[2]stages!$2:$2,0)+1),MATCH("name",[2]stages!$2:$2,0)-MATCH("temp_stage",[2]stages!$2:$2,0)+1,FALSE),""))</f>
        <v/>
      </c>
      <c r="H258" s="28">
        <v>1</v>
      </c>
    </row>
    <row r="259" spans="1:8" ht="21" customHeight="1" x14ac:dyDescent="0.15">
      <c r="A259" s="27" t="s">
        <v>169</v>
      </c>
      <c r="B259" s="26" t="str">
        <f t="shared" ca="1" si="8"/>
        <v>通算ログインが 850 日に到達</v>
      </c>
      <c r="C259" s="32" t="s">
        <v>18</v>
      </c>
      <c r="D259" s="26" t="str">
        <f ca="1">VLOOKUP($C259,OFFSET(開放条件!$A$1,0,0,COUNTA($A:$A),MATCH(D$2,開放条件!$1:$1,0)-MATCH($C$2,開放条件!$1:$1,0)+1),MATCH(D$2,開放条件!$1:$1,0)-MATCH($C$2,開放条件!$1:$1,0)+1,FALSE)</f>
        <v>通算ログインが x 日に到達</v>
      </c>
      <c r="E259" s="26" t="str">
        <f ca="1">VLOOKUP($C259,OFFSET(開放条件!$A$1,0,0,COUNTA($A:$A),MATCH(E$2,開放条件!$1:$1,0)-MATCH($C$2,開放条件!$1:$1,0)+1),MATCH(E$2,開放条件!$1:$1,0)-MATCH($C$2,開放条件!$1:$1,0)+1,FALSE)</f>
        <v>ログイン回数</v>
      </c>
      <c r="F259" s="61">
        <v>850</v>
      </c>
      <c r="G259" s="31" t="str">
        <f ca="1">IF(C259="mission_clear",VLOOKUP(INT($F259),OFFSET(missions!$A$1,0,0,COUNTA(missions!$A:$A),MATCH(G$2,missions!$2:$2,0)-MATCH("mission_id",missions!$2:$2,0)+1),MATCH(G$2,missions!$2:$2,0)-MATCH("mission_id",missions!$2:$2,0)+1,FALSE),IF(C259="quest_clear",VLOOKUP(SUBSTITUTE(F259,"-","_"),OFFSET([2]stages!$A$2,0,0,COUNTA([2]stages!$A:$A),MATCH("name",[2]stages!$2:$2,0)-MATCH("temp_stage",[2]stages!$2:$2,0)+1),MATCH("name",[2]stages!$2:$2,0)-MATCH("temp_stage",[2]stages!$2:$2,0)+1,FALSE),""))</f>
        <v/>
      </c>
      <c r="H259" s="28">
        <v>1</v>
      </c>
    </row>
    <row r="260" spans="1:8" ht="21" customHeight="1" x14ac:dyDescent="0.15">
      <c r="A260" s="27" t="s">
        <v>170</v>
      </c>
      <c r="B260" s="26" t="str">
        <f t="shared" ca="1" si="8"/>
        <v>通算ログインが 860 日に到達</v>
      </c>
      <c r="C260" s="32" t="s">
        <v>18</v>
      </c>
      <c r="D260" s="26" t="str">
        <f ca="1">VLOOKUP($C260,OFFSET(開放条件!$A$1,0,0,COUNTA($A:$A),MATCH(D$2,開放条件!$1:$1,0)-MATCH($C$2,開放条件!$1:$1,0)+1),MATCH(D$2,開放条件!$1:$1,0)-MATCH($C$2,開放条件!$1:$1,0)+1,FALSE)</f>
        <v>通算ログインが x 日に到達</v>
      </c>
      <c r="E260" s="26" t="str">
        <f ca="1">VLOOKUP($C260,OFFSET(開放条件!$A$1,0,0,COUNTA($A:$A),MATCH(E$2,開放条件!$1:$1,0)-MATCH($C$2,開放条件!$1:$1,0)+1),MATCH(E$2,開放条件!$1:$1,0)-MATCH($C$2,開放条件!$1:$1,0)+1,FALSE)</f>
        <v>ログイン回数</v>
      </c>
      <c r="F260" s="61">
        <v>860</v>
      </c>
      <c r="G260" s="31" t="str">
        <f ca="1">IF(C260="mission_clear",VLOOKUP(INT($F260),OFFSET(missions!$A$1,0,0,COUNTA(missions!$A:$A),MATCH(G$2,missions!$2:$2,0)-MATCH("mission_id",missions!$2:$2,0)+1),MATCH(G$2,missions!$2:$2,0)-MATCH("mission_id",missions!$2:$2,0)+1,FALSE),IF(C260="quest_clear",VLOOKUP(SUBSTITUTE(F260,"-","_"),OFFSET([2]stages!$A$2,0,0,COUNTA([2]stages!$A:$A),MATCH("name",[2]stages!$2:$2,0)-MATCH("temp_stage",[2]stages!$2:$2,0)+1),MATCH("name",[2]stages!$2:$2,0)-MATCH("temp_stage",[2]stages!$2:$2,0)+1,FALSE),""))</f>
        <v/>
      </c>
      <c r="H260" s="28">
        <v>1</v>
      </c>
    </row>
    <row r="261" spans="1:8" ht="21" customHeight="1" x14ac:dyDescent="0.15">
      <c r="A261" s="27" t="s">
        <v>171</v>
      </c>
      <c r="B261" s="26" t="str">
        <f t="shared" ca="1" si="8"/>
        <v>通算ログインが 870 日に到達</v>
      </c>
      <c r="C261" s="32" t="s">
        <v>18</v>
      </c>
      <c r="D261" s="26" t="str">
        <f ca="1">VLOOKUP($C261,OFFSET(開放条件!$A$1,0,0,COUNTA($A:$A),MATCH(D$2,開放条件!$1:$1,0)-MATCH($C$2,開放条件!$1:$1,0)+1),MATCH(D$2,開放条件!$1:$1,0)-MATCH($C$2,開放条件!$1:$1,0)+1,FALSE)</f>
        <v>通算ログインが x 日に到達</v>
      </c>
      <c r="E261" s="26" t="str">
        <f ca="1">VLOOKUP($C261,OFFSET(開放条件!$A$1,0,0,COUNTA($A:$A),MATCH(E$2,開放条件!$1:$1,0)-MATCH($C$2,開放条件!$1:$1,0)+1),MATCH(E$2,開放条件!$1:$1,0)-MATCH($C$2,開放条件!$1:$1,0)+1,FALSE)</f>
        <v>ログイン回数</v>
      </c>
      <c r="F261" s="61">
        <v>870</v>
      </c>
      <c r="G261" s="31" t="str">
        <f ca="1">IF(C261="mission_clear",VLOOKUP(INT($F261),OFFSET(missions!$A$1,0,0,COUNTA(missions!$A:$A),MATCH(G$2,missions!$2:$2,0)-MATCH("mission_id",missions!$2:$2,0)+1),MATCH(G$2,missions!$2:$2,0)-MATCH("mission_id",missions!$2:$2,0)+1,FALSE),IF(C261="quest_clear",VLOOKUP(SUBSTITUTE(F261,"-","_"),OFFSET([2]stages!$A$2,0,0,COUNTA([2]stages!$A:$A),MATCH("name",[2]stages!$2:$2,0)-MATCH("temp_stage",[2]stages!$2:$2,0)+1),MATCH("name",[2]stages!$2:$2,0)-MATCH("temp_stage",[2]stages!$2:$2,0)+1,FALSE),""))</f>
        <v/>
      </c>
      <c r="H261" s="28">
        <v>1</v>
      </c>
    </row>
    <row r="262" spans="1:8" ht="21" customHeight="1" x14ac:dyDescent="0.15">
      <c r="A262" s="27" t="s">
        <v>172</v>
      </c>
      <c r="B262" s="26" t="str">
        <f t="shared" ca="1" si="8"/>
        <v>通算ログインが 880 日に到達</v>
      </c>
      <c r="C262" s="32" t="s">
        <v>18</v>
      </c>
      <c r="D262" s="26" t="str">
        <f ca="1">VLOOKUP($C262,OFFSET(開放条件!$A$1,0,0,COUNTA($A:$A),MATCH(D$2,開放条件!$1:$1,0)-MATCH($C$2,開放条件!$1:$1,0)+1),MATCH(D$2,開放条件!$1:$1,0)-MATCH($C$2,開放条件!$1:$1,0)+1,FALSE)</f>
        <v>通算ログインが x 日に到達</v>
      </c>
      <c r="E262" s="26" t="str">
        <f ca="1">VLOOKUP($C262,OFFSET(開放条件!$A$1,0,0,COUNTA($A:$A),MATCH(E$2,開放条件!$1:$1,0)-MATCH($C$2,開放条件!$1:$1,0)+1),MATCH(E$2,開放条件!$1:$1,0)-MATCH($C$2,開放条件!$1:$1,0)+1,FALSE)</f>
        <v>ログイン回数</v>
      </c>
      <c r="F262" s="61">
        <v>880</v>
      </c>
      <c r="G262" s="31" t="str">
        <f ca="1">IF(C262="mission_clear",VLOOKUP(INT($F262),OFFSET(missions!$A$1,0,0,COUNTA(missions!$A:$A),MATCH(G$2,missions!$2:$2,0)-MATCH("mission_id",missions!$2:$2,0)+1),MATCH(G$2,missions!$2:$2,0)-MATCH("mission_id",missions!$2:$2,0)+1,FALSE),IF(C262="quest_clear",VLOOKUP(SUBSTITUTE(F262,"-","_"),OFFSET([2]stages!$A$2,0,0,COUNTA([2]stages!$A:$A),MATCH("name",[2]stages!$2:$2,0)-MATCH("temp_stage",[2]stages!$2:$2,0)+1),MATCH("name",[2]stages!$2:$2,0)-MATCH("temp_stage",[2]stages!$2:$2,0)+1,FALSE),""))</f>
        <v/>
      </c>
      <c r="H262" s="28">
        <v>1</v>
      </c>
    </row>
    <row r="263" spans="1:8" ht="21" customHeight="1" x14ac:dyDescent="0.15">
      <c r="A263" s="27" t="s">
        <v>173</v>
      </c>
      <c r="B263" s="26" t="str">
        <f t="shared" ref="B263:B288" ca="1" si="10">IF(C263="quest_clear",SUBSTITUTE(D263,"x",G263),IF(C263="mission_clear",SUBSTITUTE(D263,"x",G263),SUBSTITUTE(D263,"x",F263)))</f>
        <v>通算ログインが 890 日に到達</v>
      </c>
      <c r="C263" s="32" t="s">
        <v>18</v>
      </c>
      <c r="D263" s="26" t="str">
        <f ca="1">VLOOKUP($C263,OFFSET(開放条件!$A$1,0,0,COUNTA($A:$A),MATCH(D$2,開放条件!$1:$1,0)-MATCH($C$2,開放条件!$1:$1,0)+1),MATCH(D$2,開放条件!$1:$1,0)-MATCH($C$2,開放条件!$1:$1,0)+1,FALSE)</f>
        <v>通算ログインが x 日に到達</v>
      </c>
      <c r="E263" s="26" t="str">
        <f ca="1">VLOOKUP($C263,OFFSET(開放条件!$A$1,0,0,COUNTA($A:$A),MATCH(E$2,開放条件!$1:$1,0)-MATCH($C$2,開放条件!$1:$1,0)+1),MATCH(E$2,開放条件!$1:$1,0)-MATCH($C$2,開放条件!$1:$1,0)+1,FALSE)</f>
        <v>ログイン回数</v>
      </c>
      <c r="F263" s="61">
        <v>890</v>
      </c>
      <c r="G263" s="31" t="str">
        <f ca="1">IF(C263="mission_clear",VLOOKUP(INT($F263),OFFSET(missions!$A$1,0,0,COUNTA(missions!$A:$A),MATCH(G$2,missions!$2:$2,0)-MATCH("mission_id",missions!$2:$2,0)+1),MATCH(G$2,missions!$2:$2,0)-MATCH("mission_id",missions!$2:$2,0)+1,FALSE),IF(C263="quest_clear",VLOOKUP(SUBSTITUTE(F263,"-","_"),OFFSET([2]stages!$A$2,0,0,COUNTA([2]stages!$A:$A),MATCH("name",[2]stages!$2:$2,0)-MATCH("temp_stage",[2]stages!$2:$2,0)+1),MATCH("name",[2]stages!$2:$2,0)-MATCH("temp_stage",[2]stages!$2:$2,0)+1,FALSE),""))</f>
        <v/>
      </c>
      <c r="H263" s="28">
        <v>1</v>
      </c>
    </row>
    <row r="264" spans="1:8" ht="21" customHeight="1" x14ac:dyDescent="0.15">
      <c r="A264" s="27" t="s">
        <v>174</v>
      </c>
      <c r="B264" s="26" t="str">
        <f t="shared" ca="1" si="10"/>
        <v>通算ログインが 900 日に到達</v>
      </c>
      <c r="C264" s="32" t="s">
        <v>18</v>
      </c>
      <c r="D264" s="26" t="str">
        <f ca="1">VLOOKUP($C264,OFFSET(開放条件!$A$1,0,0,COUNTA($A:$A),MATCH(D$2,開放条件!$1:$1,0)-MATCH($C$2,開放条件!$1:$1,0)+1),MATCH(D$2,開放条件!$1:$1,0)-MATCH($C$2,開放条件!$1:$1,0)+1,FALSE)</f>
        <v>通算ログインが x 日に到達</v>
      </c>
      <c r="E264" s="26" t="str">
        <f ca="1">VLOOKUP($C264,OFFSET(開放条件!$A$1,0,0,COUNTA($A:$A),MATCH(E$2,開放条件!$1:$1,0)-MATCH($C$2,開放条件!$1:$1,0)+1),MATCH(E$2,開放条件!$1:$1,0)-MATCH($C$2,開放条件!$1:$1,0)+1,FALSE)</f>
        <v>ログイン回数</v>
      </c>
      <c r="F264" s="61">
        <v>900</v>
      </c>
      <c r="G264" s="31" t="str">
        <f ca="1">IF(C264="mission_clear",VLOOKUP(INT($F264),OFFSET(missions!$A$1,0,0,COUNTA(missions!$A:$A),MATCH(G$2,missions!$2:$2,0)-MATCH("mission_id",missions!$2:$2,0)+1),MATCH(G$2,missions!$2:$2,0)-MATCH("mission_id",missions!$2:$2,0)+1,FALSE),IF(C264="quest_clear",VLOOKUP(SUBSTITUTE(F264,"-","_"),OFFSET([2]stages!$A$2,0,0,COUNTA([2]stages!$A:$A),MATCH("name",[2]stages!$2:$2,0)-MATCH("temp_stage",[2]stages!$2:$2,0)+1),MATCH("name",[2]stages!$2:$2,0)-MATCH("temp_stage",[2]stages!$2:$2,0)+1,FALSE),""))</f>
        <v/>
      </c>
      <c r="H264" s="28">
        <v>1</v>
      </c>
    </row>
    <row r="265" spans="1:8" ht="21" customHeight="1" x14ac:dyDescent="0.15">
      <c r="A265" s="27" t="s">
        <v>175</v>
      </c>
      <c r="B265" s="26" t="str">
        <f t="shared" ca="1" si="10"/>
        <v>通算ログインが 910 日に到達</v>
      </c>
      <c r="C265" s="32" t="s">
        <v>18</v>
      </c>
      <c r="D265" s="26" t="str">
        <f ca="1">VLOOKUP($C265,OFFSET(開放条件!$A$1,0,0,COUNTA($A:$A),MATCH(D$2,開放条件!$1:$1,0)-MATCH($C$2,開放条件!$1:$1,0)+1),MATCH(D$2,開放条件!$1:$1,0)-MATCH($C$2,開放条件!$1:$1,0)+1,FALSE)</f>
        <v>通算ログインが x 日に到達</v>
      </c>
      <c r="E265" s="26" t="str">
        <f ca="1">VLOOKUP($C265,OFFSET(開放条件!$A$1,0,0,COUNTA($A:$A),MATCH(E$2,開放条件!$1:$1,0)-MATCH($C$2,開放条件!$1:$1,0)+1),MATCH(E$2,開放条件!$1:$1,0)-MATCH($C$2,開放条件!$1:$1,0)+1,FALSE)</f>
        <v>ログイン回数</v>
      </c>
      <c r="F265" s="61">
        <v>910</v>
      </c>
      <c r="G265" s="31" t="str">
        <f ca="1">IF(C265="mission_clear",VLOOKUP(INT($F265),OFFSET(missions!$A$1,0,0,COUNTA(missions!$A:$A),MATCH(G$2,missions!$2:$2,0)-MATCH("mission_id",missions!$2:$2,0)+1),MATCH(G$2,missions!$2:$2,0)-MATCH("mission_id",missions!$2:$2,0)+1,FALSE),IF(C265="quest_clear",VLOOKUP(SUBSTITUTE(F265,"-","_"),OFFSET([2]stages!$A$2,0,0,COUNTA([2]stages!$A:$A),MATCH("name",[2]stages!$2:$2,0)-MATCH("temp_stage",[2]stages!$2:$2,0)+1),MATCH("name",[2]stages!$2:$2,0)-MATCH("temp_stage",[2]stages!$2:$2,0)+1,FALSE),""))</f>
        <v/>
      </c>
      <c r="H265" s="28">
        <v>1</v>
      </c>
    </row>
    <row r="266" spans="1:8" ht="21" customHeight="1" x14ac:dyDescent="0.15">
      <c r="A266" s="27" t="s">
        <v>176</v>
      </c>
      <c r="B266" s="26" t="str">
        <f t="shared" ca="1" si="10"/>
        <v>通算ログインが 920 日に到達</v>
      </c>
      <c r="C266" s="32" t="s">
        <v>18</v>
      </c>
      <c r="D266" s="26" t="str">
        <f ca="1">VLOOKUP($C266,OFFSET(開放条件!$A$1,0,0,COUNTA($A:$A),MATCH(D$2,開放条件!$1:$1,0)-MATCH($C$2,開放条件!$1:$1,0)+1),MATCH(D$2,開放条件!$1:$1,0)-MATCH($C$2,開放条件!$1:$1,0)+1,FALSE)</f>
        <v>通算ログインが x 日に到達</v>
      </c>
      <c r="E266" s="26" t="str">
        <f ca="1">VLOOKUP($C266,OFFSET(開放条件!$A$1,0,0,COUNTA($A:$A),MATCH(E$2,開放条件!$1:$1,0)-MATCH($C$2,開放条件!$1:$1,0)+1),MATCH(E$2,開放条件!$1:$1,0)-MATCH($C$2,開放条件!$1:$1,0)+1,FALSE)</f>
        <v>ログイン回数</v>
      </c>
      <c r="F266" s="61">
        <v>920</v>
      </c>
      <c r="G266" s="31" t="str">
        <f ca="1">IF(C266="mission_clear",VLOOKUP(INT($F266),OFFSET(missions!$A$1,0,0,COUNTA(missions!$A:$A),MATCH(G$2,missions!$2:$2,0)-MATCH("mission_id",missions!$2:$2,0)+1),MATCH(G$2,missions!$2:$2,0)-MATCH("mission_id",missions!$2:$2,0)+1,FALSE),IF(C266="quest_clear",VLOOKUP(SUBSTITUTE(F266,"-","_"),OFFSET([2]stages!$A$2,0,0,COUNTA([2]stages!$A:$A),MATCH("name",[2]stages!$2:$2,0)-MATCH("temp_stage",[2]stages!$2:$2,0)+1),MATCH("name",[2]stages!$2:$2,0)-MATCH("temp_stage",[2]stages!$2:$2,0)+1,FALSE),""))</f>
        <v/>
      </c>
      <c r="H266" s="28">
        <v>1</v>
      </c>
    </row>
    <row r="267" spans="1:8" ht="21" customHeight="1" x14ac:dyDescent="0.15">
      <c r="A267" s="27" t="s">
        <v>177</v>
      </c>
      <c r="B267" s="26" t="str">
        <f t="shared" ca="1" si="10"/>
        <v>通算ログインが 930 日に到達</v>
      </c>
      <c r="C267" s="32" t="s">
        <v>18</v>
      </c>
      <c r="D267" s="26" t="str">
        <f ca="1">VLOOKUP($C267,OFFSET(開放条件!$A$1,0,0,COUNTA($A:$A),MATCH(D$2,開放条件!$1:$1,0)-MATCH($C$2,開放条件!$1:$1,0)+1),MATCH(D$2,開放条件!$1:$1,0)-MATCH($C$2,開放条件!$1:$1,0)+1,FALSE)</f>
        <v>通算ログインが x 日に到達</v>
      </c>
      <c r="E267" s="26" t="str">
        <f ca="1">VLOOKUP($C267,OFFSET(開放条件!$A$1,0,0,COUNTA($A:$A),MATCH(E$2,開放条件!$1:$1,0)-MATCH($C$2,開放条件!$1:$1,0)+1),MATCH(E$2,開放条件!$1:$1,0)-MATCH($C$2,開放条件!$1:$1,0)+1,FALSE)</f>
        <v>ログイン回数</v>
      </c>
      <c r="F267" s="61">
        <v>930</v>
      </c>
      <c r="G267" s="31" t="str">
        <f ca="1">IF(C267="mission_clear",VLOOKUP(INT($F267),OFFSET(missions!$A$1,0,0,COUNTA(missions!$A:$A),MATCH(G$2,missions!$2:$2,0)-MATCH("mission_id",missions!$2:$2,0)+1),MATCH(G$2,missions!$2:$2,0)-MATCH("mission_id",missions!$2:$2,0)+1,FALSE),IF(C267="quest_clear",VLOOKUP(SUBSTITUTE(F267,"-","_"),OFFSET([2]stages!$A$2,0,0,COUNTA([2]stages!$A:$A),MATCH("name",[2]stages!$2:$2,0)-MATCH("temp_stage",[2]stages!$2:$2,0)+1),MATCH("name",[2]stages!$2:$2,0)-MATCH("temp_stage",[2]stages!$2:$2,0)+1,FALSE),""))</f>
        <v/>
      </c>
      <c r="H267" s="28">
        <v>1</v>
      </c>
    </row>
    <row r="268" spans="1:8" ht="21" customHeight="1" x14ac:dyDescent="0.15">
      <c r="A268" s="27" t="s">
        <v>178</v>
      </c>
      <c r="B268" s="26" t="str">
        <f t="shared" ca="1" si="10"/>
        <v>通算ログインが 940 日に到達</v>
      </c>
      <c r="C268" s="32" t="s">
        <v>18</v>
      </c>
      <c r="D268" s="26" t="str">
        <f ca="1">VLOOKUP($C268,OFFSET(開放条件!$A$1,0,0,COUNTA($A:$A),MATCH(D$2,開放条件!$1:$1,0)-MATCH($C$2,開放条件!$1:$1,0)+1),MATCH(D$2,開放条件!$1:$1,0)-MATCH($C$2,開放条件!$1:$1,0)+1,FALSE)</f>
        <v>通算ログインが x 日に到達</v>
      </c>
      <c r="E268" s="26" t="str">
        <f ca="1">VLOOKUP($C268,OFFSET(開放条件!$A$1,0,0,COUNTA($A:$A),MATCH(E$2,開放条件!$1:$1,0)-MATCH($C$2,開放条件!$1:$1,0)+1),MATCH(E$2,開放条件!$1:$1,0)-MATCH($C$2,開放条件!$1:$1,0)+1,FALSE)</f>
        <v>ログイン回数</v>
      </c>
      <c r="F268" s="61">
        <v>940</v>
      </c>
      <c r="G268" s="31" t="str">
        <f ca="1">IF(C268="mission_clear",VLOOKUP(INT($F268),OFFSET(missions!$A$1,0,0,COUNTA(missions!$A:$A),MATCH(G$2,missions!$2:$2,0)-MATCH("mission_id",missions!$2:$2,0)+1),MATCH(G$2,missions!$2:$2,0)-MATCH("mission_id",missions!$2:$2,0)+1,FALSE),IF(C268="quest_clear",VLOOKUP(SUBSTITUTE(F268,"-","_"),OFFSET([2]stages!$A$2,0,0,COUNTA([2]stages!$A:$A),MATCH("name",[2]stages!$2:$2,0)-MATCH("temp_stage",[2]stages!$2:$2,0)+1),MATCH("name",[2]stages!$2:$2,0)-MATCH("temp_stage",[2]stages!$2:$2,0)+1,FALSE),""))</f>
        <v/>
      </c>
      <c r="H268" s="28">
        <v>1</v>
      </c>
    </row>
    <row r="269" spans="1:8" ht="21" customHeight="1" x14ac:dyDescent="0.15">
      <c r="A269" s="27" t="s">
        <v>179</v>
      </c>
      <c r="B269" s="26" t="str">
        <f t="shared" ca="1" si="10"/>
        <v>通算ログインが 950 日に到達</v>
      </c>
      <c r="C269" s="32" t="s">
        <v>18</v>
      </c>
      <c r="D269" s="26" t="str">
        <f ca="1">VLOOKUP($C269,OFFSET(開放条件!$A$1,0,0,COUNTA($A:$A),MATCH(D$2,開放条件!$1:$1,0)-MATCH($C$2,開放条件!$1:$1,0)+1),MATCH(D$2,開放条件!$1:$1,0)-MATCH($C$2,開放条件!$1:$1,0)+1,FALSE)</f>
        <v>通算ログインが x 日に到達</v>
      </c>
      <c r="E269" s="26" t="str">
        <f ca="1">VLOOKUP($C269,OFFSET(開放条件!$A$1,0,0,COUNTA($A:$A),MATCH(E$2,開放条件!$1:$1,0)-MATCH($C$2,開放条件!$1:$1,0)+1),MATCH(E$2,開放条件!$1:$1,0)-MATCH($C$2,開放条件!$1:$1,0)+1,FALSE)</f>
        <v>ログイン回数</v>
      </c>
      <c r="F269" s="61">
        <v>950</v>
      </c>
      <c r="G269" s="31" t="str">
        <f ca="1">IF(C269="mission_clear",VLOOKUP(INT($F269),OFFSET(missions!$A$1,0,0,COUNTA(missions!$A:$A),MATCH(G$2,missions!$2:$2,0)-MATCH("mission_id",missions!$2:$2,0)+1),MATCH(G$2,missions!$2:$2,0)-MATCH("mission_id",missions!$2:$2,0)+1,FALSE),IF(C269="quest_clear",VLOOKUP(SUBSTITUTE(F269,"-","_"),OFFSET([2]stages!$A$2,0,0,COUNTA([2]stages!$A:$A),MATCH("name",[2]stages!$2:$2,0)-MATCH("temp_stage",[2]stages!$2:$2,0)+1),MATCH("name",[2]stages!$2:$2,0)-MATCH("temp_stage",[2]stages!$2:$2,0)+1,FALSE),""))</f>
        <v/>
      </c>
      <c r="H269" s="28">
        <v>1</v>
      </c>
    </row>
    <row r="270" spans="1:8" ht="21" customHeight="1" x14ac:dyDescent="0.15">
      <c r="A270" s="27" t="s">
        <v>180</v>
      </c>
      <c r="B270" s="26" t="str">
        <f t="shared" ca="1" si="10"/>
        <v>通算ログインが 960 日に到達</v>
      </c>
      <c r="C270" s="32" t="s">
        <v>18</v>
      </c>
      <c r="D270" s="26" t="str">
        <f ca="1">VLOOKUP($C270,OFFSET(開放条件!$A$1,0,0,COUNTA($A:$A),MATCH(D$2,開放条件!$1:$1,0)-MATCH($C$2,開放条件!$1:$1,0)+1),MATCH(D$2,開放条件!$1:$1,0)-MATCH($C$2,開放条件!$1:$1,0)+1,FALSE)</f>
        <v>通算ログインが x 日に到達</v>
      </c>
      <c r="E270" s="26" t="str">
        <f ca="1">VLOOKUP($C270,OFFSET(開放条件!$A$1,0,0,COUNTA($A:$A),MATCH(E$2,開放条件!$1:$1,0)-MATCH($C$2,開放条件!$1:$1,0)+1),MATCH(E$2,開放条件!$1:$1,0)-MATCH($C$2,開放条件!$1:$1,0)+1,FALSE)</f>
        <v>ログイン回数</v>
      </c>
      <c r="F270" s="61">
        <v>960</v>
      </c>
      <c r="G270" s="31" t="str">
        <f ca="1">IF(C270="mission_clear",VLOOKUP(INT($F270),OFFSET(missions!$A$1,0,0,COUNTA(missions!$A:$A),MATCH(G$2,missions!$2:$2,0)-MATCH("mission_id",missions!$2:$2,0)+1),MATCH(G$2,missions!$2:$2,0)-MATCH("mission_id",missions!$2:$2,0)+1,FALSE),IF(C270="quest_clear",VLOOKUP(SUBSTITUTE(F270,"-","_"),OFFSET([2]stages!$A$2,0,0,COUNTA([2]stages!$A:$A),MATCH("name",[2]stages!$2:$2,0)-MATCH("temp_stage",[2]stages!$2:$2,0)+1),MATCH("name",[2]stages!$2:$2,0)-MATCH("temp_stage",[2]stages!$2:$2,0)+1,FALSE),""))</f>
        <v/>
      </c>
      <c r="H270" s="28">
        <v>1</v>
      </c>
    </row>
    <row r="271" spans="1:8" ht="21" customHeight="1" x14ac:dyDescent="0.15">
      <c r="A271" s="27" t="s">
        <v>181</v>
      </c>
      <c r="B271" s="26" t="str">
        <f t="shared" ca="1" si="10"/>
        <v>通算ログインが 970 日に到達</v>
      </c>
      <c r="C271" s="32" t="s">
        <v>18</v>
      </c>
      <c r="D271" s="26" t="str">
        <f ca="1">VLOOKUP($C271,OFFSET(開放条件!$A$1,0,0,COUNTA($A:$A),MATCH(D$2,開放条件!$1:$1,0)-MATCH($C$2,開放条件!$1:$1,0)+1),MATCH(D$2,開放条件!$1:$1,0)-MATCH($C$2,開放条件!$1:$1,0)+1,FALSE)</f>
        <v>通算ログインが x 日に到達</v>
      </c>
      <c r="E271" s="26" t="str">
        <f ca="1">VLOOKUP($C271,OFFSET(開放条件!$A$1,0,0,COUNTA($A:$A),MATCH(E$2,開放条件!$1:$1,0)-MATCH($C$2,開放条件!$1:$1,0)+1),MATCH(E$2,開放条件!$1:$1,0)-MATCH($C$2,開放条件!$1:$1,0)+1,FALSE)</f>
        <v>ログイン回数</v>
      </c>
      <c r="F271" s="61">
        <v>970</v>
      </c>
      <c r="G271" s="31" t="str">
        <f ca="1">IF(C271="mission_clear",VLOOKUP(INT($F271),OFFSET(missions!$A$1,0,0,COUNTA(missions!$A:$A),MATCH(G$2,missions!$2:$2,0)-MATCH("mission_id",missions!$2:$2,0)+1),MATCH(G$2,missions!$2:$2,0)-MATCH("mission_id",missions!$2:$2,0)+1,FALSE),IF(C271="quest_clear",VLOOKUP(SUBSTITUTE(F271,"-","_"),OFFSET([2]stages!$A$2,0,0,COUNTA([2]stages!$A:$A),MATCH("name",[2]stages!$2:$2,0)-MATCH("temp_stage",[2]stages!$2:$2,0)+1),MATCH("name",[2]stages!$2:$2,0)-MATCH("temp_stage",[2]stages!$2:$2,0)+1,FALSE),""))</f>
        <v/>
      </c>
      <c r="H271" s="28">
        <v>1</v>
      </c>
    </row>
    <row r="272" spans="1:8" ht="21" customHeight="1" x14ac:dyDescent="0.15">
      <c r="A272" s="27" t="s">
        <v>182</v>
      </c>
      <c r="B272" s="26" t="str">
        <f t="shared" ca="1" si="10"/>
        <v>通算ログインが 980 日に到達</v>
      </c>
      <c r="C272" s="32" t="s">
        <v>18</v>
      </c>
      <c r="D272" s="26" t="str">
        <f ca="1">VLOOKUP($C272,OFFSET(開放条件!$A$1,0,0,COUNTA($A:$A),MATCH(D$2,開放条件!$1:$1,0)-MATCH($C$2,開放条件!$1:$1,0)+1),MATCH(D$2,開放条件!$1:$1,0)-MATCH($C$2,開放条件!$1:$1,0)+1,FALSE)</f>
        <v>通算ログインが x 日に到達</v>
      </c>
      <c r="E272" s="26" t="str">
        <f ca="1">VLOOKUP($C272,OFFSET(開放条件!$A$1,0,0,COUNTA($A:$A),MATCH(E$2,開放条件!$1:$1,0)-MATCH($C$2,開放条件!$1:$1,0)+1),MATCH(E$2,開放条件!$1:$1,0)-MATCH($C$2,開放条件!$1:$1,0)+1,FALSE)</f>
        <v>ログイン回数</v>
      </c>
      <c r="F272" s="61">
        <v>980</v>
      </c>
      <c r="G272" s="31" t="str">
        <f ca="1">IF(C272="mission_clear",VLOOKUP(INT($F272),OFFSET(missions!$A$1,0,0,COUNTA(missions!$A:$A),MATCH(G$2,missions!$2:$2,0)-MATCH("mission_id",missions!$2:$2,0)+1),MATCH(G$2,missions!$2:$2,0)-MATCH("mission_id",missions!$2:$2,0)+1,FALSE),IF(C272="quest_clear",VLOOKUP(SUBSTITUTE(F272,"-","_"),OFFSET([2]stages!$A$2,0,0,COUNTA([2]stages!$A:$A),MATCH("name",[2]stages!$2:$2,0)-MATCH("temp_stage",[2]stages!$2:$2,0)+1),MATCH("name",[2]stages!$2:$2,0)-MATCH("temp_stage",[2]stages!$2:$2,0)+1,FALSE),""))</f>
        <v/>
      </c>
      <c r="H272" s="28">
        <v>1</v>
      </c>
    </row>
    <row r="273" spans="1:8" ht="21" customHeight="1" x14ac:dyDescent="0.15">
      <c r="A273" s="27" t="s">
        <v>183</v>
      </c>
      <c r="B273" s="26" t="str">
        <f t="shared" ca="1" si="10"/>
        <v>通算ログインが 990 日に到達</v>
      </c>
      <c r="C273" s="32" t="s">
        <v>18</v>
      </c>
      <c r="D273" s="26" t="str">
        <f ca="1">VLOOKUP($C273,OFFSET(開放条件!$A$1,0,0,COUNTA($A:$A),MATCH(D$2,開放条件!$1:$1,0)-MATCH($C$2,開放条件!$1:$1,0)+1),MATCH(D$2,開放条件!$1:$1,0)-MATCH($C$2,開放条件!$1:$1,0)+1,FALSE)</f>
        <v>通算ログインが x 日に到達</v>
      </c>
      <c r="E273" s="26" t="str">
        <f ca="1">VLOOKUP($C273,OFFSET(開放条件!$A$1,0,0,COUNTA($A:$A),MATCH(E$2,開放条件!$1:$1,0)-MATCH($C$2,開放条件!$1:$1,0)+1),MATCH(E$2,開放条件!$1:$1,0)-MATCH($C$2,開放条件!$1:$1,0)+1,FALSE)</f>
        <v>ログイン回数</v>
      </c>
      <c r="F273" s="61">
        <v>990</v>
      </c>
      <c r="G273" s="31" t="str">
        <f ca="1">IF(C273="mission_clear",VLOOKUP(INT($F273),OFFSET(missions!$A$1,0,0,COUNTA(missions!$A:$A),MATCH(G$2,missions!$2:$2,0)-MATCH("mission_id",missions!$2:$2,0)+1),MATCH(G$2,missions!$2:$2,0)-MATCH("mission_id",missions!$2:$2,0)+1,FALSE),IF(C273="quest_clear",VLOOKUP(SUBSTITUTE(F273,"-","_"),OFFSET([2]stages!$A$2,0,0,COUNTA([2]stages!$A:$A),MATCH("name",[2]stages!$2:$2,0)-MATCH("temp_stage",[2]stages!$2:$2,0)+1),MATCH("name",[2]stages!$2:$2,0)-MATCH("temp_stage",[2]stages!$2:$2,0)+1,FALSE),""))</f>
        <v/>
      </c>
      <c r="H273" s="28">
        <v>1</v>
      </c>
    </row>
    <row r="274" spans="1:8" ht="21" customHeight="1" x14ac:dyDescent="0.15">
      <c r="A274" s="27" t="s">
        <v>184</v>
      </c>
      <c r="B274" s="26" t="str">
        <f t="shared" ca="1" si="10"/>
        <v>通算ログインが 1000 日に到達</v>
      </c>
      <c r="C274" s="32" t="s">
        <v>18</v>
      </c>
      <c r="D274" s="26" t="str">
        <f ca="1">VLOOKUP($C274,OFFSET(開放条件!$A$1,0,0,COUNTA($A:$A),MATCH(D$2,開放条件!$1:$1,0)-MATCH($C$2,開放条件!$1:$1,0)+1),MATCH(D$2,開放条件!$1:$1,0)-MATCH($C$2,開放条件!$1:$1,0)+1,FALSE)</f>
        <v>通算ログインが x 日に到達</v>
      </c>
      <c r="E274" s="26" t="str">
        <f ca="1">VLOOKUP($C274,OFFSET(開放条件!$A$1,0,0,COUNTA($A:$A),MATCH(E$2,開放条件!$1:$1,0)-MATCH($C$2,開放条件!$1:$1,0)+1),MATCH(E$2,開放条件!$1:$1,0)-MATCH($C$2,開放条件!$1:$1,0)+1,FALSE)</f>
        <v>ログイン回数</v>
      </c>
      <c r="F274" s="61">
        <v>1000</v>
      </c>
      <c r="G274" s="31" t="str">
        <f ca="1">IF(C274="mission_clear",VLOOKUP(INT($F274),OFFSET(missions!$A$1,0,0,COUNTA(missions!$A:$A),MATCH(G$2,missions!$2:$2,0)-MATCH("mission_id",missions!$2:$2,0)+1),MATCH(G$2,missions!$2:$2,0)-MATCH("mission_id",missions!$2:$2,0)+1,FALSE),IF(C274="quest_clear",VLOOKUP(SUBSTITUTE(F274,"-","_"),OFFSET([2]stages!$A$2,0,0,COUNTA([2]stages!$A:$A),MATCH("name",[2]stages!$2:$2,0)-MATCH("temp_stage",[2]stages!$2:$2,0)+1),MATCH("name",[2]stages!$2:$2,0)-MATCH("temp_stage",[2]stages!$2:$2,0)+1,FALSE),""))</f>
        <v/>
      </c>
      <c r="H274" s="28">
        <v>1</v>
      </c>
    </row>
    <row r="275" spans="1:8" ht="21" customHeight="1" x14ac:dyDescent="0.15">
      <c r="A275" s="27" t="s">
        <v>185</v>
      </c>
      <c r="B275" s="26" t="str">
        <f t="shared" ca="1" si="10"/>
        <v>通算ログインが 1010 日に到達</v>
      </c>
      <c r="C275" s="32" t="s">
        <v>18</v>
      </c>
      <c r="D275" s="26" t="str">
        <f ca="1">VLOOKUP($C275,OFFSET(開放条件!$A$1,0,0,COUNTA($A:$A),MATCH(D$2,開放条件!$1:$1,0)-MATCH($C$2,開放条件!$1:$1,0)+1),MATCH(D$2,開放条件!$1:$1,0)-MATCH($C$2,開放条件!$1:$1,0)+1,FALSE)</f>
        <v>通算ログインが x 日に到達</v>
      </c>
      <c r="E275" s="26" t="str">
        <f ca="1">VLOOKUP($C275,OFFSET(開放条件!$A$1,0,0,COUNTA($A:$A),MATCH(E$2,開放条件!$1:$1,0)-MATCH($C$2,開放条件!$1:$1,0)+1),MATCH(E$2,開放条件!$1:$1,0)-MATCH($C$2,開放条件!$1:$1,0)+1,FALSE)</f>
        <v>ログイン回数</v>
      </c>
      <c r="F275" s="61">
        <v>1010</v>
      </c>
      <c r="G275" s="31" t="str">
        <f ca="1">IF(C275="mission_clear",VLOOKUP(INT($F275),OFFSET(missions!$A$1,0,0,COUNTA(missions!$A:$A),MATCH(G$2,missions!$2:$2,0)-MATCH("mission_id",missions!$2:$2,0)+1),MATCH(G$2,missions!$2:$2,0)-MATCH("mission_id",missions!$2:$2,0)+1,FALSE),IF(C275="quest_clear",VLOOKUP(SUBSTITUTE(F275,"-","_"),OFFSET([2]stages!$A$2,0,0,COUNTA([2]stages!$A:$A),MATCH("name",[2]stages!$2:$2,0)-MATCH("temp_stage",[2]stages!$2:$2,0)+1),MATCH("name",[2]stages!$2:$2,0)-MATCH("temp_stage",[2]stages!$2:$2,0)+1,FALSE),""))</f>
        <v/>
      </c>
      <c r="H275" s="28">
        <v>1</v>
      </c>
    </row>
    <row r="276" spans="1:8" ht="21" customHeight="1" x14ac:dyDescent="0.15">
      <c r="A276" s="27" t="s">
        <v>186</v>
      </c>
      <c r="B276" s="26" t="str">
        <f t="shared" ca="1" si="10"/>
        <v>通算ログインが 1020 日に到達</v>
      </c>
      <c r="C276" s="32" t="s">
        <v>18</v>
      </c>
      <c r="D276" s="26" t="str">
        <f ca="1">VLOOKUP($C276,OFFSET(開放条件!$A$1,0,0,COUNTA($A:$A),MATCH(D$2,開放条件!$1:$1,0)-MATCH($C$2,開放条件!$1:$1,0)+1),MATCH(D$2,開放条件!$1:$1,0)-MATCH($C$2,開放条件!$1:$1,0)+1,FALSE)</f>
        <v>通算ログインが x 日に到達</v>
      </c>
      <c r="E276" s="26" t="str">
        <f ca="1">VLOOKUP($C276,OFFSET(開放条件!$A$1,0,0,COUNTA($A:$A),MATCH(E$2,開放条件!$1:$1,0)-MATCH($C$2,開放条件!$1:$1,0)+1),MATCH(E$2,開放条件!$1:$1,0)-MATCH($C$2,開放条件!$1:$1,0)+1,FALSE)</f>
        <v>ログイン回数</v>
      </c>
      <c r="F276" s="61">
        <v>1020</v>
      </c>
      <c r="G276" s="31" t="str">
        <f ca="1">IF(C276="mission_clear",VLOOKUP(INT($F276),OFFSET(missions!$A$1,0,0,COUNTA(missions!$A:$A),MATCH(G$2,missions!$2:$2,0)-MATCH("mission_id",missions!$2:$2,0)+1),MATCH(G$2,missions!$2:$2,0)-MATCH("mission_id",missions!$2:$2,0)+1,FALSE),IF(C276="quest_clear",VLOOKUP(SUBSTITUTE(F276,"-","_"),OFFSET([2]stages!$A$2,0,0,COUNTA([2]stages!$A:$A),MATCH("name",[2]stages!$2:$2,0)-MATCH("temp_stage",[2]stages!$2:$2,0)+1),MATCH("name",[2]stages!$2:$2,0)-MATCH("temp_stage",[2]stages!$2:$2,0)+1,FALSE),""))</f>
        <v/>
      </c>
      <c r="H276" s="28">
        <v>1</v>
      </c>
    </row>
    <row r="277" spans="1:8" ht="21" customHeight="1" x14ac:dyDescent="0.15">
      <c r="A277" s="27" t="s">
        <v>187</v>
      </c>
      <c r="B277" s="26" t="str">
        <f t="shared" ca="1" si="10"/>
        <v>通算ログインが 1030 日に到達</v>
      </c>
      <c r="C277" s="32" t="s">
        <v>18</v>
      </c>
      <c r="D277" s="26" t="str">
        <f ca="1">VLOOKUP($C277,OFFSET(開放条件!$A$1,0,0,COUNTA($A:$A),MATCH(D$2,開放条件!$1:$1,0)-MATCH($C$2,開放条件!$1:$1,0)+1),MATCH(D$2,開放条件!$1:$1,0)-MATCH($C$2,開放条件!$1:$1,0)+1,FALSE)</f>
        <v>通算ログインが x 日に到達</v>
      </c>
      <c r="E277" s="26" t="str">
        <f ca="1">VLOOKUP($C277,OFFSET(開放条件!$A$1,0,0,COUNTA($A:$A),MATCH(E$2,開放条件!$1:$1,0)-MATCH($C$2,開放条件!$1:$1,0)+1),MATCH(E$2,開放条件!$1:$1,0)-MATCH($C$2,開放条件!$1:$1,0)+1,FALSE)</f>
        <v>ログイン回数</v>
      </c>
      <c r="F277" s="61">
        <v>1030</v>
      </c>
      <c r="G277" s="31" t="str">
        <f ca="1">IF(C277="mission_clear",VLOOKUP(INT($F277),OFFSET(missions!$A$1,0,0,COUNTA(missions!$A:$A),MATCH(G$2,missions!$2:$2,0)-MATCH("mission_id",missions!$2:$2,0)+1),MATCH(G$2,missions!$2:$2,0)-MATCH("mission_id",missions!$2:$2,0)+1,FALSE),IF(C277="quest_clear",VLOOKUP(SUBSTITUTE(F277,"-","_"),OFFSET([2]stages!$A$2,0,0,COUNTA([2]stages!$A:$A),MATCH("name",[2]stages!$2:$2,0)-MATCH("temp_stage",[2]stages!$2:$2,0)+1),MATCH("name",[2]stages!$2:$2,0)-MATCH("temp_stage",[2]stages!$2:$2,0)+1,FALSE),""))</f>
        <v/>
      </c>
      <c r="H277" s="28">
        <v>1</v>
      </c>
    </row>
    <row r="278" spans="1:8" ht="21" customHeight="1" x14ac:dyDescent="0.15">
      <c r="A278" s="27" t="s">
        <v>188</v>
      </c>
      <c r="B278" s="26" t="str">
        <f t="shared" ca="1" si="10"/>
        <v>通算ログインが 1040 日に到達</v>
      </c>
      <c r="C278" s="32" t="s">
        <v>18</v>
      </c>
      <c r="D278" s="26" t="str">
        <f ca="1">VLOOKUP($C278,OFFSET(開放条件!$A$1,0,0,COUNTA($A:$A),MATCH(D$2,開放条件!$1:$1,0)-MATCH($C$2,開放条件!$1:$1,0)+1),MATCH(D$2,開放条件!$1:$1,0)-MATCH($C$2,開放条件!$1:$1,0)+1,FALSE)</f>
        <v>通算ログインが x 日に到達</v>
      </c>
      <c r="E278" s="26" t="str">
        <f ca="1">VLOOKUP($C278,OFFSET(開放条件!$A$1,0,0,COUNTA($A:$A),MATCH(E$2,開放条件!$1:$1,0)-MATCH($C$2,開放条件!$1:$1,0)+1),MATCH(E$2,開放条件!$1:$1,0)-MATCH($C$2,開放条件!$1:$1,0)+1,FALSE)</f>
        <v>ログイン回数</v>
      </c>
      <c r="F278" s="61">
        <v>1040</v>
      </c>
      <c r="G278" s="31" t="str">
        <f ca="1">IF(C278="mission_clear",VLOOKUP(INT($F278),OFFSET(missions!$A$1,0,0,COUNTA(missions!$A:$A),MATCH(G$2,missions!$2:$2,0)-MATCH("mission_id",missions!$2:$2,0)+1),MATCH(G$2,missions!$2:$2,0)-MATCH("mission_id",missions!$2:$2,0)+1,FALSE),IF(C278="quest_clear",VLOOKUP(SUBSTITUTE(F278,"-","_"),OFFSET([2]stages!$A$2,0,0,COUNTA([2]stages!$A:$A),MATCH("name",[2]stages!$2:$2,0)-MATCH("temp_stage",[2]stages!$2:$2,0)+1),MATCH("name",[2]stages!$2:$2,0)-MATCH("temp_stage",[2]stages!$2:$2,0)+1,FALSE),""))</f>
        <v/>
      </c>
      <c r="H278" s="28">
        <v>1</v>
      </c>
    </row>
    <row r="279" spans="1:8" ht="21" customHeight="1" x14ac:dyDescent="0.15">
      <c r="A279" s="27" t="s">
        <v>189</v>
      </c>
      <c r="B279" s="26" t="str">
        <f t="shared" ca="1" si="10"/>
        <v>通算ログインが 1050 日に到達</v>
      </c>
      <c r="C279" s="32" t="s">
        <v>18</v>
      </c>
      <c r="D279" s="26" t="str">
        <f ca="1">VLOOKUP($C279,OFFSET(開放条件!$A$1,0,0,COUNTA($A:$A),MATCH(D$2,開放条件!$1:$1,0)-MATCH($C$2,開放条件!$1:$1,0)+1),MATCH(D$2,開放条件!$1:$1,0)-MATCH($C$2,開放条件!$1:$1,0)+1,FALSE)</f>
        <v>通算ログインが x 日に到達</v>
      </c>
      <c r="E279" s="26" t="str">
        <f ca="1">VLOOKUP($C279,OFFSET(開放条件!$A$1,0,0,COUNTA($A:$A),MATCH(E$2,開放条件!$1:$1,0)-MATCH($C$2,開放条件!$1:$1,0)+1),MATCH(E$2,開放条件!$1:$1,0)-MATCH($C$2,開放条件!$1:$1,0)+1,FALSE)</f>
        <v>ログイン回数</v>
      </c>
      <c r="F279" s="61">
        <v>1050</v>
      </c>
      <c r="G279" s="31" t="str">
        <f ca="1">IF(C279="mission_clear",VLOOKUP(INT($F279),OFFSET(missions!$A$1,0,0,COUNTA(missions!$A:$A),MATCH(G$2,missions!$2:$2,0)-MATCH("mission_id",missions!$2:$2,0)+1),MATCH(G$2,missions!$2:$2,0)-MATCH("mission_id",missions!$2:$2,0)+1,FALSE),IF(C279="quest_clear",VLOOKUP(SUBSTITUTE(F279,"-","_"),OFFSET([2]stages!$A$2,0,0,COUNTA([2]stages!$A:$A),MATCH("name",[2]stages!$2:$2,0)-MATCH("temp_stage",[2]stages!$2:$2,0)+1),MATCH("name",[2]stages!$2:$2,0)-MATCH("temp_stage",[2]stages!$2:$2,0)+1,FALSE),""))</f>
        <v/>
      </c>
      <c r="H279" s="28">
        <v>1</v>
      </c>
    </row>
    <row r="280" spans="1:8" ht="21" customHeight="1" x14ac:dyDescent="0.15">
      <c r="A280" s="27" t="s">
        <v>190</v>
      </c>
      <c r="B280" s="26" t="str">
        <f t="shared" ca="1" si="10"/>
        <v>通算ログインが 1060 日に到達</v>
      </c>
      <c r="C280" s="32" t="s">
        <v>18</v>
      </c>
      <c r="D280" s="26" t="str">
        <f ca="1">VLOOKUP($C280,OFFSET(開放条件!$A$1,0,0,COUNTA($A:$A),MATCH(D$2,開放条件!$1:$1,0)-MATCH($C$2,開放条件!$1:$1,0)+1),MATCH(D$2,開放条件!$1:$1,0)-MATCH($C$2,開放条件!$1:$1,0)+1,FALSE)</f>
        <v>通算ログインが x 日に到達</v>
      </c>
      <c r="E280" s="26" t="str">
        <f ca="1">VLOOKUP($C280,OFFSET(開放条件!$A$1,0,0,COUNTA($A:$A),MATCH(E$2,開放条件!$1:$1,0)-MATCH($C$2,開放条件!$1:$1,0)+1),MATCH(E$2,開放条件!$1:$1,0)-MATCH($C$2,開放条件!$1:$1,0)+1,FALSE)</f>
        <v>ログイン回数</v>
      </c>
      <c r="F280" s="61">
        <v>1060</v>
      </c>
      <c r="G280" s="31" t="str">
        <f ca="1">IF(C280="mission_clear",VLOOKUP(INT($F280),OFFSET(missions!$A$1,0,0,COUNTA(missions!$A:$A),MATCH(G$2,missions!$2:$2,0)-MATCH("mission_id",missions!$2:$2,0)+1),MATCH(G$2,missions!$2:$2,0)-MATCH("mission_id",missions!$2:$2,0)+1,FALSE),IF(C280="quest_clear",VLOOKUP(SUBSTITUTE(F280,"-","_"),OFFSET([2]stages!$A$2,0,0,COUNTA([2]stages!$A:$A),MATCH("name",[2]stages!$2:$2,0)-MATCH("temp_stage",[2]stages!$2:$2,0)+1),MATCH("name",[2]stages!$2:$2,0)-MATCH("temp_stage",[2]stages!$2:$2,0)+1,FALSE),""))</f>
        <v/>
      </c>
      <c r="H280" s="28">
        <v>1</v>
      </c>
    </row>
    <row r="281" spans="1:8" ht="21" customHeight="1" x14ac:dyDescent="0.15">
      <c r="A281" s="27" t="s">
        <v>191</v>
      </c>
      <c r="B281" s="26" t="str">
        <f t="shared" ca="1" si="10"/>
        <v>通算ログインが 1070 日に到達</v>
      </c>
      <c r="C281" s="32" t="s">
        <v>18</v>
      </c>
      <c r="D281" s="26" t="str">
        <f ca="1">VLOOKUP($C281,OFFSET(開放条件!$A$1,0,0,COUNTA($A:$A),MATCH(D$2,開放条件!$1:$1,0)-MATCH($C$2,開放条件!$1:$1,0)+1),MATCH(D$2,開放条件!$1:$1,0)-MATCH($C$2,開放条件!$1:$1,0)+1,FALSE)</f>
        <v>通算ログインが x 日に到達</v>
      </c>
      <c r="E281" s="26" t="str">
        <f ca="1">VLOOKUP($C281,OFFSET(開放条件!$A$1,0,0,COUNTA($A:$A),MATCH(E$2,開放条件!$1:$1,0)-MATCH($C$2,開放条件!$1:$1,0)+1),MATCH(E$2,開放条件!$1:$1,0)-MATCH($C$2,開放条件!$1:$1,0)+1,FALSE)</f>
        <v>ログイン回数</v>
      </c>
      <c r="F281" s="61">
        <v>1070</v>
      </c>
      <c r="G281" s="31" t="str">
        <f ca="1">IF(C281="mission_clear",VLOOKUP(INT($F281),OFFSET(missions!$A$1,0,0,COUNTA(missions!$A:$A),MATCH(G$2,missions!$2:$2,0)-MATCH("mission_id",missions!$2:$2,0)+1),MATCH(G$2,missions!$2:$2,0)-MATCH("mission_id",missions!$2:$2,0)+1,FALSE),IF(C281="quest_clear",VLOOKUP(SUBSTITUTE(F281,"-","_"),OFFSET([2]stages!$A$2,0,0,COUNTA([2]stages!$A:$A),MATCH("name",[2]stages!$2:$2,0)-MATCH("temp_stage",[2]stages!$2:$2,0)+1),MATCH("name",[2]stages!$2:$2,0)-MATCH("temp_stage",[2]stages!$2:$2,0)+1,FALSE),""))</f>
        <v/>
      </c>
      <c r="H281" s="28">
        <v>1</v>
      </c>
    </row>
    <row r="282" spans="1:8" ht="21" customHeight="1" x14ac:dyDescent="0.15">
      <c r="A282" s="27" t="s">
        <v>192</v>
      </c>
      <c r="B282" s="26" t="str">
        <f t="shared" ca="1" si="10"/>
        <v>通算ログインが 1080 日に到達</v>
      </c>
      <c r="C282" s="32" t="s">
        <v>18</v>
      </c>
      <c r="D282" s="26" t="str">
        <f ca="1">VLOOKUP($C282,OFFSET(開放条件!$A$1,0,0,COUNTA($A:$A),MATCH(D$2,開放条件!$1:$1,0)-MATCH($C$2,開放条件!$1:$1,0)+1),MATCH(D$2,開放条件!$1:$1,0)-MATCH($C$2,開放条件!$1:$1,0)+1,FALSE)</f>
        <v>通算ログインが x 日に到達</v>
      </c>
      <c r="E282" s="26" t="str">
        <f ca="1">VLOOKUP($C282,OFFSET(開放条件!$A$1,0,0,COUNTA($A:$A),MATCH(E$2,開放条件!$1:$1,0)-MATCH($C$2,開放条件!$1:$1,0)+1),MATCH(E$2,開放条件!$1:$1,0)-MATCH($C$2,開放条件!$1:$1,0)+1,FALSE)</f>
        <v>ログイン回数</v>
      </c>
      <c r="F282" s="61">
        <v>1080</v>
      </c>
      <c r="G282" s="31" t="str">
        <f ca="1">IF(C282="mission_clear",VLOOKUP(INT($F282),OFFSET(missions!$A$1,0,0,COUNTA(missions!$A:$A),MATCH(G$2,missions!$2:$2,0)-MATCH("mission_id",missions!$2:$2,0)+1),MATCH(G$2,missions!$2:$2,0)-MATCH("mission_id",missions!$2:$2,0)+1,FALSE),IF(C282="quest_clear",VLOOKUP(SUBSTITUTE(F282,"-","_"),OFFSET([2]stages!$A$2,0,0,COUNTA([2]stages!$A:$A),MATCH("name",[2]stages!$2:$2,0)-MATCH("temp_stage",[2]stages!$2:$2,0)+1),MATCH("name",[2]stages!$2:$2,0)-MATCH("temp_stage",[2]stages!$2:$2,0)+1,FALSE),""))</f>
        <v/>
      </c>
      <c r="H282" s="28">
        <v>1</v>
      </c>
    </row>
    <row r="283" spans="1:8" ht="21" customHeight="1" x14ac:dyDescent="0.15">
      <c r="A283" s="27" t="s">
        <v>412</v>
      </c>
      <c r="B283" s="26" t="str">
        <f t="shared" ca="1" si="10"/>
        <v>通算ログインが 1090 日に到達</v>
      </c>
      <c r="C283" s="32" t="s">
        <v>18</v>
      </c>
      <c r="D283" s="26" t="str">
        <f ca="1">VLOOKUP($C283,OFFSET(開放条件!$A$1,0,0,COUNTA($A:$A),MATCH(D$2,開放条件!$1:$1,0)-MATCH($C$2,開放条件!$1:$1,0)+1),MATCH(D$2,開放条件!$1:$1,0)-MATCH($C$2,開放条件!$1:$1,0)+1,FALSE)</f>
        <v>通算ログインが x 日に到達</v>
      </c>
      <c r="E283" s="26" t="str">
        <f ca="1">VLOOKUP($C283,OFFSET(開放条件!$A$1,0,0,COUNTA($A:$A),MATCH(E$2,開放条件!$1:$1,0)-MATCH($C$2,開放条件!$1:$1,0)+1),MATCH(E$2,開放条件!$1:$1,0)-MATCH($C$2,開放条件!$1:$1,0)+1,FALSE)</f>
        <v>ログイン回数</v>
      </c>
      <c r="F283" s="61">
        <v>1090</v>
      </c>
      <c r="G283" s="31" t="str">
        <f ca="1">IF(C283="mission_clear",VLOOKUP(INT($F283),OFFSET(missions!$A$1,0,0,COUNTA(missions!$A:$A),MATCH(G$2,missions!$2:$2,0)-MATCH("mission_id",missions!$2:$2,0)+1),MATCH(G$2,missions!$2:$2,0)-MATCH("mission_id",missions!$2:$2,0)+1,FALSE),IF(C283="quest_clear",VLOOKUP(SUBSTITUTE(F283,"-","_"),OFFSET([2]stages!$A$2,0,0,COUNTA([2]stages!$A:$A),MATCH("name",[2]stages!$2:$2,0)-MATCH("temp_stage",[2]stages!$2:$2,0)+1),MATCH("name",[2]stages!$2:$2,0)-MATCH("temp_stage",[2]stages!$2:$2,0)+1,FALSE),""))</f>
        <v/>
      </c>
      <c r="H283" s="28">
        <v>1</v>
      </c>
    </row>
    <row r="284" spans="1:8" ht="21" customHeight="1" x14ac:dyDescent="0.15">
      <c r="A284" s="27" t="s">
        <v>414</v>
      </c>
      <c r="B284" s="26" t="str">
        <f t="shared" ca="1" si="10"/>
        <v>通算ログインが 1100 日に到達</v>
      </c>
      <c r="C284" s="32" t="s">
        <v>18</v>
      </c>
      <c r="D284" s="26" t="str">
        <f ca="1">VLOOKUP($C284,OFFSET(開放条件!$A$1,0,0,COUNTA($A:$A),MATCH(D$2,開放条件!$1:$1,0)-MATCH($C$2,開放条件!$1:$1,0)+1),MATCH(D$2,開放条件!$1:$1,0)-MATCH($C$2,開放条件!$1:$1,0)+1,FALSE)</f>
        <v>通算ログインが x 日に到達</v>
      </c>
      <c r="E284" s="26" t="str">
        <f ca="1">VLOOKUP($C284,OFFSET(開放条件!$A$1,0,0,COUNTA($A:$A),MATCH(E$2,開放条件!$1:$1,0)-MATCH($C$2,開放条件!$1:$1,0)+1),MATCH(E$2,開放条件!$1:$1,0)-MATCH($C$2,開放条件!$1:$1,0)+1,FALSE)</f>
        <v>ログイン回数</v>
      </c>
      <c r="F284" s="61">
        <v>1100</v>
      </c>
      <c r="G284" s="31" t="str">
        <f ca="1">IF(C284="mission_clear",VLOOKUP(INT($F284),OFFSET(missions!$A$1,0,0,COUNTA(missions!$A:$A),MATCH(G$2,missions!$2:$2,0)-MATCH("mission_id",missions!$2:$2,0)+1),MATCH(G$2,missions!$2:$2,0)-MATCH("mission_id",missions!$2:$2,0)+1,FALSE),IF(C284="quest_clear",VLOOKUP(SUBSTITUTE(F284,"-","_"),OFFSET([2]stages!$A$2,0,0,COUNTA([2]stages!$A:$A),MATCH("name",[2]stages!$2:$2,0)-MATCH("temp_stage",[2]stages!$2:$2,0)+1),MATCH("name",[2]stages!$2:$2,0)-MATCH("temp_stage",[2]stages!$2:$2,0)+1,FALSE),""))</f>
        <v/>
      </c>
      <c r="H284" s="28">
        <v>1</v>
      </c>
    </row>
    <row r="285" spans="1:8" ht="21" customHeight="1" x14ac:dyDescent="0.15">
      <c r="A285" s="27" t="s">
        <v>413</v>
      </c>
      <c r="B285" s="26" t="str">
        <f t="shared" ca="1" si="10"/>
        <v>通算ログインが 1110 日に到達</v>
      </c>
      <c r="C285" s="32" t="s">
        <v>18</v>
      </c>
      <c r="D285" s="26" t="str">
        <f ca="1">VLOOKUP($C285,OFFSET(開放条件!$A$1,0,0,COUNTA($A:$A),MATCH(D$2,開放条件!$1:$1,0)-MATCH($C$2,開放条件!$1:$1,0)+1),MATCH(D$2,開放条件!$1:$1,0)-MATCH($C$2,開放条件!$1:$1,0)+1,FALSE)</f>
        <v>通算ログインが x 日に到達</v>
      </c>
      <c r="E285" s="26" t="str">
        <f ca="1">VLOOKUP($C285,OFFSET(開放条件!$A$1,0,0,COUNTA($A:$A),MATCH(E$2,開放条件!$1:$1,0)-MATCH($C$2,開放条件!$1:$1,0)+1),MATCH(E$2,開放条件!$1:$1,0)-MATCH($C$2,開放条件!$1:$1,0)+1,FALSE)</f>
        <v>ログイン回数</v>
      </c>
      <c r="F285" s="61">
        <v>1110</v>
      </c>
      <c r="G285" s="31" t="str">
        <f ca="1">IF(C285="mission_clear",VLOOKUP(INT($F285),OFFSET(missions!$A$1,0,0,COUNTA(missions!$A:$A),MATCH(G$2,missions!$2:$2,0)-MATCH("mission_id",missions!$2:$2,0)+1),MATCH(G$2,missions!$2:$2,0)-MATCH("mission_id",missions!$2:$2,0)+1,FALSE),IF(C285="quest_clear",VLOOKUP(SUBSTITUTE(F285,"-","_"),OFFSET([2]stages!$A$2,0,0,COUNTA([2]stages!$A:$A),MATCH("name",[2]stages!$2:$2,0)-MATCH("temp_stage",[2]stages!$2:$2,0)+1),MATCH("name",[2]stages!$2:$2,0)-MATCH("temp_stage",[2]stages!$2:$2,0)+1,FALSE),""))</f>
        <v/>
      </c>
      <c r="H285" s="28">
        <v>1</v>
      </c>
    </row>
    <row r="286" spans="1:8" ht="21" customHeight="1" x14ac:dyDescent="0.15">
      <c r="A286" s="27" t="s">
        <v>416</v>
      </c>
      <c r="B286" s="26" t="str">
        <f t="shared" ca="1" si="10"/>
        <v>通算ログインが 1120 日に到達</v>
      </c>
      <c r="C286" s="32" t="s">
        <v>18</v>
      </c>
      <c r="D286" s="26" t="str">
        <f ca="1">VLOOKUP($C286,OFFSET(開放条件!$A$1,0,0,COUNTA($A:$A),MATCH(D$2,開放条件!$1:$1,0)-MATCH($C$2,開放条件!$1:$1,0)+1),MATCH(D$2,開放条件!$1:$1,0)-MATCH($C$2,開放条件!$1:$1,0)+1,FALSE)</f>
        <v>通算ログインが x 日に到達</v>
      </c>
      <c r="E286" s="26" t="str">
        <f ca="1">VLOOKUP($C286,OFFSET(開放条件!$A$1,0,0,COUNTA($A:$A),MATCH(E$2,開放条件!$1:$1,0)-MATCH($C$2,開放条件!$1:$1,0)+1),MATCH(E$2,開放条件!$1:$1,0)-MATCH($C$2,開放条件!$1:$1,0)+1,FALSE)</f>
        <v>ログイン回数</v>
      </c>
      <c r="F286" s="61">
        <v>1120</v>
      </c>
      <c r="G286" s="31" t="str">
        <f ca="1">IF(C286="mission_clear",VLOOKUP(INT($F286),OFFSET(missions!$A$1,0,0,COUNTA(missions!$A:$A),MATCH(G$2,missions!$2:$2,0)-MATCH("mission_id",missions!$2:$2,0)+1),MATCH(G$2,missions!$2:$2,0)-MATCH("mission_id",missions!$2:$2,0)+1,FALSE),IF(C286="quest_clear",VLOOKUP(SUBSTITUTE(F286,"-","_"),OFFSET([2]stages!$A$2,0,0,COUNTA([2]stages!$A:$A),MATCH("name",[2]stages!$2:$2,0)-MATCH("temp_stage",[2]stages!$2:$2,0)+1),MATCH("name",[2]stages!$2:$2,0)-MATCH("temp_stage",[2]stages!$2:$2,0)+1,FALSE),""))</f>
        <v/>
      </c>
      <c r="H286" s="28">
        <v>1</v>
      </c>
    </row>
    <row r="287" spans="1:8" ht="21" customHeight="1" x14ac:dyDescent="0.15">
      <c r="A287" s="27" t="s">
        <v>417</v>
      </c>
      <c r="B287" s="26" t="str">
        <f t="shared" ca="1" si="10"/>
        <v>通算ログインが 1130 日に到達</v>
      </c>
      <c r="C287" s="32" t="s">
        <v>18</v>
      </c>
      <c r="D287" s="26" t="str">
        <f ca="1">VLOOKUP($C287,OFFSET(開放条件!$A$1,0,0,COUNTA($A:$A),MATCH(D$2,開放条件!$1:$1,0)-MATCH($C$2,開放条件!$1:$1,0)+1),MATCH(D$2,開放条件!$1:$1,0)-MATCH($C$2,開放条件!$1:$1,0)+1,FALSE)</f>
        <v>通算ログインが x 日に到達</v>
      </c>
      <c r="E287" s="26" t="str">
        <f ca="1">VLOOKUP($C287,OFFSET(開放条件!$A$1,0,0,COUNTA($A:$A),MATCH(E$2,開放条件!$1:$1,0)-MATCH($C$2,開放条件!$1:$1,0)+1),MATCH(E$2,開放条件!$1:$1,0)-MATCH($C$2,開放条件!$1:$1,0)+1,FALSE)</f>
        <v>ログイン回数</v>
      </c>
      <c r="F287" s="61">
        <v>1130</v>
      </c>
      <c r="G287" s="31" t="str">
        <f ca="1">IF(C287="mission_clear",VLOOKUP(INT($F287),OFFSET(missions!$A$1,0,0,COUNTA(missions!$A:$A),MATCH(G$2,missions!$2:$2,0)-MATCH("mission_id",missions!$2:$2,0)+1),MATCH(G$2,missions!$2:$2,0)-MATCH("mission_id",missions!$2:$2,0)+1,FALSE),IF(C287="quest_clear",VLOOKUP(SUBSTITUTE(F287,"-","_"),OFFSET([2]stages!$A$2,0,0,COUNTA([2]stages!$A:$A),MATCH("name",[2]stages!$2:$2,0)-MATCH("temp_stage",[2]stages!$2:$2,0)+1),MATCH("name",[2]stages!$2:$2,0)-MATCH("temp_stage",[2]stages!$2:$2,0)+1,FALSE),""))</f>
        <v/>
      </c>
      <c r="H287" s="28">
        <v>1</v>
      </c>
    </row>
    <row r="288" spans="1:8" ht="21" customHeight="1" x14ac:dyDescent="0.15">
      <c r="A288" s="27" t="s">
        <v>415</v>
      </c>
      <c r="B288" s="26" t="str">
        <f t="shared" ca="1" si="10"/>
        <v>通算ログインが 1140 日に到達</v>
      </c>
      <c r="C288" s="32" t="s">
        <v>18</v>
      </c>
      <c r="D288" s="26" t="str">
        <f ca="1">VLOOKUP($C288,OFFSET(開放条件!$A$1,0,0,COUNTA($A:$A),MATCH(D$2,開放条件!$1:$1,0)-MATCH($C$2,開放条件!$1:$1,0)+1),MATCH(D$2,開放条件!$1:$1,0)-MATCH($C$2,開放条件!$1:$1,0)+1,FALSE)</f>
        <v>通算ログインが x 日に到達</v>
      </c>
      <c r="E288" s="26" t="str">
        <f ca="1">VLOOKUP($C288,OFFSET(開放条件!$A$1,0,0,COUNTA($A:$A),MATCH(E$2,開放条件!$1:$1,0)-MATCH($C$2,開放条件!$1:$1,0)+1),MATCH(E$2,開放条件!$1:$1,0)-MATCH($C$2,開放条件!$1:$1,0)+1,FALSE)</f>
        <v>ログイン回数</v>
      </c>
      <c r="F288" s="61">
        <v>1140</v>
      </c>
      <c r="G288" s="31" t="str">
        <f ca="1">IF(C288="mission_clear",VLOOKUP(INT($F288),OFFSET(missions!$A$1,0,0,COUNTA(missions!$A:$A),MATCH(G$2,missions!$2:$2,0)-MATCH("mission_id",missions!$2:$2,0)+1),MATCH(G$2,missions!$2:$2,0)-MATCH("mission_id",missions!$2:$2,0)+1,FALSE),IF(C288="quest_clear",VLOOKUP(SUBSTITUTE(F288,"-","_"),OFFSET([2]stages!$A$2,0,0,COUNTA([2]stages!$A:$A),MATCH("name",[2]stages!$2:$2,0)-MATCH("temp_stage",[2]stages!$2:$2,0)+1),MATCH("name",[2]stages!$2:$2,0)-MATCH("temp_stage",[2]stages!$2:$2,0)+1,FALSE),""))</f>
        <v/>
      </c>
      <c r="H288" s="28">
        <v>1</v>
      </c>
    </row>
    <row r="289" spans="1:8" ht="21" customHeight="1" x14ac:dyDescent="0.15">
      <c r="A289" s="2" t="s">
        <v>533</v>
      </c>
      <c r="B289" s="26" t="str">
        <f t="shared" ref="B289:B298" ca="1" si="11">IF(C289="quest_clear",SUBSTITUTE(D289,"x",G289),IF(C289="mission_clear",SUBSTITUTE(D289,"x",G289),SUBSTITUTE(D289,"x",F289)))</f>
        <v>ミッション 【ユニットを強化してみよう！】 をクリア</v>
      </c>
      <c r="C289" s="32" t="s">
        <v>436</v>
      </c>
      <c r="D289" s="26" t="str">
        <f ca="1">VLOOKUP($C289,OFFSET(開放条件!$A$1,0,0,COUNTA($A:$A),MATCH(D$2,開放条件!$1:$1,0)-MATCH($C$2,開放条件!$1:$1,0)+1),MATCH(D$2,開放条件!$1:$1,0)-MATCH($C$2,開放条件!$1:$1,0)+1,FALSE)</f>
        <v>ミッション 【x】 をクリア</v>
      </c>
      <c r="E289" s="26" t="str">
        <f ca="1">VLOOKUP($C289,OFFSET(開放条件!$A$1,0,0,COUNTA($A:$A),MATCH(E$2,開放条件!$1:$1,0)-MATCH($C$2,開放条件!$1:$1,0)+1),MATCH(E$2,開放条件!$1:$1,0)-MATCH($C$2,開放条件!$1:$1,0)+1,FALSE)</f>
        <v>ミッションID</v>
      </c>
      <c r="F289" s="61" t="s">
        <v>674</v>
      </c>
      <c r="G289" s="31" t="str">
        <f ca="1">IF(C289="mission_clear",VLOOKUP(INT($F289),OFFSET(missions!$A$1,0,0,COUNTA(missions!$A:$A),MATCH(G$2,missions!$2:$2,0)-MATCH("mission_id",missions!$2:$2,0)+1),MATCH(G$2,missions!$2:$2,0)-MATCH("mission_id",missions!$2:$2,0)+1,FALSE),IF(C289="quest_clear",VLOOKUP(SUBSTITUTE(F289,"-","_"),OFFSET([2]stages!$A$2,0,0,COUNTA([2]stages!$A:$A),MATCH("name",[2]stages!$2:$2,0)-MATCH("temp_stage",[2]stages!$2:$2,0)+1),MATCH("name",[2]stages!$2:$2,0)-MATCH("temp_stage",[2]stages!$2:$2,0)+1,FALSE),""))</f>
        <v>ユニットを強化してみよう！</v>
      </c>
      <c r="H289" s="28">
        <v>1</v>
      </c>
    </row>
    <row r="290" spans="1:8" ht="21" customHeight="1" x14ac:dyDescent="0.15">
      <c r="A290" s="26" t="str">
        <f>"M"&amp;F290</f>
        <v>M10002</v>
      </c>
      <c r="B290" s="26" t="str">
        <f t="shared" ca="1" si="11"/>
        <v>ミッション 【バグ 2 のユニットをつくろう！】 をクリア</v>
      </c>
      <c r="C290" s="32" t="s">
        <v>25</v>
      </c>
      <c r="D290" s="26" t="str">
        <f ca="1">VLOOKUP($C290,OFFSET(開放条件!$A$1,0,0,COUNTA($A:$A),MATCH(D$2,開放条件!$1:$1,0)-MATCH($C$2,開放条件!$1:$1,0)+1),MATCH(D$2,開放条件!$1:$1,0)-MATCH($C$2,開放条件!$1:$1,0)+1,FALSE)</f>
        <v>ミッション 【x】 をクリア</v>
      </c>
      <c r="E290" s="26" t="str">
        <f ca="1">VLOOKUP($C290,OFFSET(開放条件!$A$1,0,0,COUNTA($A:$A),MATCH(E$2,開放条件!$1:$1,0)-MATCH($C$2,開放条件!$1:$1,0)+1),MATCH(E$2,開放条件!$1:$1,0)-MATCH($C$2,開放条件!$1:$1,0)+1,FALSE)</f>
        <v>ミッションID</v>
      </c>
      <c r="F290" s="103" t="s">
        <v>1275</v>
      </c>
      <c r="G290" s="31" t="str">
        <f ca="1">IF(C290="mission_clear",VLOOKUP(INT($F290),OFFSET(missions!$A$1,0,0,COUNTA(missions!$A:$A),MATCH(G$2,missions!$2:$2,0)-MATCH("mission_id",missions!$2:$2,0)+1),MATCH(G$2,missions!$2:$2,0)-MATCH("mission_id",missions!$2:$2,0)+1,FALSE),IF(C290="quest_clear",VLOOKUP(SUBSTITUTE(F290,"-","_"),OFFSET([2]stages!$A$2,0,0,COUNTA([2]stages!$A:$A),MATCH("name",[2]stages!$2:$2,0)-MATCH("temp_stage",[2]stages!$2:$2,0)+1),MATCH("name",[2]stages!$2:$2,0)-MATCH("temp_stage",[2]stages!$2:$2,0)+1,FALSE),""))</f>
        <v>バグ 2 のユニットをつくろう！</v>
      </c>
      <c r="H290" s="28">
        <v>1</v>
      </c>
    </row>
    <row r="291" spans="1:8" ht="21" customHeight="1" x14ac:dyDescent="0.15">
      <c r="A291" s="26" t="str">
        <f t="shared" ref="A291:A301" si="12">"M"&amp;F291</f>
        <v>M10005</v>
      </c>
      <c r="B291" s="26" t="str">
        <f t="shared" ca="1" si="11"/>
        <v>ミッション 【バグ 5 のユニットをつくろう！】 をクリア</v>
      </c>
      <c r="C291" s="32" t="s">
        <v>25</v>
      </c>
      <c r="D291" s="26" t="str">
        <f ca="1">VLOOKUP($C291,OFFSET(開放条件!$A$1,0,0,COUNTA($A:$A),MATCH(D$2,開放条件!$1:$1,0)-MATCH($C$2,開放条件!$1:$1,0)+1),MATCH(D$2,開放条件!$1:$1,0)-MATCH($C$2,開放条件!$1:$1,0)+1,FALSE)</f>
        <v>ミッション 【x】 をクリア</v>
      </c>
      <c r="E291" s="26" t="str">
        <f ca="1">VLOOKUP($C291,OFFSET(開放条件!$A$1,0,0,COUNTA($A:$A),MATCH(E$2,開放条件!$1:$1,0)-MATCH($C$2,開放条件!$1:$1,0)+1),MATCH(E$2,開放条件!$1:$1,0)-MATCH($C$2,開放条件!$1:$1,0)+1,FALSE)</f>
        <v>ミッションID</v>
      </c>
      <c r="F291" s="103" t="s">
        <v>1276</v>
      </c>
      <c r="G291" s="31" t="str">
        <f ca="1">IF(C291="mission_clear",VLOOKUP(INT($F291),OFFSET(missions!$A$1,0,0,COUNTA(missions!$A:$A),MATCH(G$2,missions!$2:$2,0)-MATCH("mission_id",missions!$2:$2,0)+1),MATCH(G$2,missions!$2:$2,0)-MATCH("mission_id",missions!$2:$2,0)+1,FALSE),IF(C291="quest_clear",VLOOKUP(SUBSTITUTE(F291,"-","_"),OFFSET([2]stages!$A$2,0,0,COUNTA([2]stages!$A:$A),MATCH("name",[2]stages!$2:$2,0)-MATCH("temp_stage",[2]stages!$2:$2,0)+1),MATCH("name",[2]stages!$2:$2,0)-MATCH("temp_stage",[2]stages!$2:$2,0)+1,FALSE),""))</f>
        <v>バグ 5 のユニットをつくろう！</v>
      </c>
      <c r="H291" s="28">
        <v>1</v>
      </c>
    </row>
    <row r="292" spans="1:8" ht="21" customHeight="1" x14ac:dyDescent="0.15">
      <c r="A292" s="26" t="str">
        <f t="shared" si="12"/>
        <v>M10015</v>
      </c>
      <c r="B292" s="26" t="str">
        <f t="shared" ca="1" si="11"/>
        <v>ミッション 【バグ 15 のユニットをつくろう！】 をクリア</v>
      </c>
      <c r="C292" s="32" t="s">
        <v>25</v>
      </c>
      <c r="D292" s="26" t="str">
        <f ca="1">VLOOKUP($C292,OFFSET(開放条件!$A$1,0,0,COUNTA($A:$A),MATCH(D$2,開放条件!$1:$1,0)-MATCH($C$2,開放条件!$1:$1,0)+1),MATCH(D$2,開放条件!$1:$1,0)-MATCH($C$2,開放条件!$1:$1,0)+1,FALSE)</f>
        <v>ミッション 【x】 をクリア</v>
      </c>
      <c r="E292" s="26" t="str">
        <f ca="1">VLOOKUP($C292,OFFSET(開放条件!$A$1,0,0,COUNTA($A:$A),MATCH(E$2,開放条件!$1:$1,0)-MATCH($C$2,開放条件!$1:$1,0)+1),MATCH(E$2,開放条件!$1:$1,0)-MATCH($C$2,開放条件!$1:$1,0)+1,FALSE)</f>
        <v>ミッションID</v>
      </c>
      <c r="F292" s="103" t="s">
        <v>1277</v>
      </c>
      <c r="G292" s="31" t="str">
        <f ca="1">IF(C292="mission_clear",VLOOKUP(INT($F292),OFFSET(missions!$A$1,0,0,COUNTA(missions!$A:$A),MATCH(G$2,missions!$2:$2,0)-MATCH("mission_id",missions!$2:$2,0)+1),MATCH(G$2,missions!$2:$2,0)-MATCH("mission_id",missions!$2:$2,0)+1,FALSE),IF(C292="quest_clear",VLOOKUP(SUBSTITUTE(F292,"-","_"),OFFSET([2]stages!$A$2,0,0,COUNTA([2]stages!$A:$A),MATCH("name",[2]stages!$2:$2,0)-MATCH("temp_stage",[2]stages!$2:$2,0)+1),MATCH("name",[2]stages!$2:$2,0)-MATCH("temp_stage",[2]stages!$2:$2,0)+1,FALSE),""))</f>
        <v>バグ 15 のユニットをつくろう！</v>
      </c>
      <c r="H292" s="28">
        <v>1</v>
      </c>
    </row>
    <row r="293" spans="1:8" ht="21" customHeight="1" x14ac:dyDescent="0.15">
      <c r="A293" s="26" t="str">
        <f t="shared" si="12"/>
        <v>M10030</v>
      </c>
      <c r="B293" s="26" t="str">
        <f t="shared" ca="1" si="11"/>
        <v>ミッション 【バグ 30 のユニットをつくろう！】 をクリア</v>
      </c>
      <c r="C293" s="32" t="s">
        <v>25</v>
      </c>
      <c r="D293" s="26" t="str">
        <f ca="1">VLOOKUP($C293,OFFSET(開放条件!$A$1,0,0,COUNTA($A:$A),MATCH(D$2,開放条件!$1:$1,0)-MATCH($C$2,開放条件!$1:$1,0)+1),MATCH(D$2,開放条件!$1:$1,0)-MATCH($C$2,開放条件!$1:$1,0)+1,FALSE)</f>
        <v>ミッション 【x】 をクリア</v>
      </c>
      <c r="E293" s="26" t="str">
        <f ca="1">VLOOKUP($C293,OFFSET(開放条件!$A$1,0,0,COUNTA($A:$A),MATCH(E$2,開放条件!$1:$1,0)-MATCH($C$2,開放条件!$1:$1,0)+1),MATCH(E$2,開放条件!$1:$1,0)-MATCH($C$2,開放条件!$1:$1,0)+1,FALSE)</f>
        <v>ミッションID</v>
      </c>
      <c r="F293" s="103" t="s">
        <v>1278</v>
      </c>
      <c r="G293" s="31" t="str">
        <f ca="1">IF(C293="mission_clear",VLOOKUP(INT($F293),OFFSET(missions!$A$1,0,0,COUNTA(missions!$A:$A),MATCH(G$2,missions!$2:$2,0)-MATCH("mission_id",missions!$2:$2,0)+1),MATCH(G$2,missions!$2:$2,0)-MATCH("mission_id",missions!$2:$2,0)+1,FALSE),IF(C293="quest_clear",VLOOKUP(SUBSTITUTE(F293,"-","_"),OFFSET([2]stages!$A$2,0,0,COUNTA([2]stages!$A:$A),MATCH("name",[2]stages!$2:$2,0)-MATCH("temp_stage",[2]stages!$2:$2,0)+1),MATCH("name",[2]stages!$2:$2,0)-MATCH("temp_stage",[2]stages!$2:$2,0)+1,FALSE),""))</f>
        <v>バグ 30 のユニットをつくろう！</v>
      </c>
      <c r="H293" s="28">
        <v>1</v>
      </c>
    </row>
    <row r="294" spans="1:8" ht="21" customHeight="1" x14ac:dyDescent="0.15">
      <c r="A294" s="26" t="str">
        <f t="shared" si="12"/>
        <v>M10045</v>
      </c>
      <c r="B294" s="26" t="str">
        <f t="shared" ca="1" si="11"/>
        <v>ミッション 【バグ 45 のユニットをつくろう！】 をクリア</v>
      </c>
      <c r="C294" s="32" t="s">
        <v>25</v>
      </c>
      <c r="D294" s="26" t="str">
        <f ca="1">VLOOKUP($C294,OFFSET(開放条件!$A$1,0,0,COUNTA($A:$A),MATCH(D$2,開放条件!$1:$1,0)-MATCH($C$2,開放条件!$1:$1,0)+1),MATCH(D$2,開放条件!$1:$1,0)-MATCH($C$2,開放条件!$1:$1,0)+1,FALSE)</f>
        <v>ミッション 【x】 をクリア</v>
      </c>
      <c r="E294" s="26" t="str">
        <f ca="1">VLOOKUP($C294,OFFSET(開放条件!$A$1,0,0,COUNTA($A:$A),MATCH(E$2,開放条件!$1:$1,0)-MATCH($C$2,開放条件!$1:$1,0)+1),MATCH(E$2,開放条件!$1:$1,0)-MATCH($C$2,開放条件!$1:$1,0)+1,FALSE)</f>
        <v>ミッションID</v>
      </c>
      <c r="F294" s="103" t="s">
        <v>1279</v>
      </c>
      <c r="G294" s="31" t="str">
        <f ca="1">IF(C294="mission_clear",VLOOKUP(INT($F294),OFFSET(missions!$A$1,0,0,COUNTA(missions!$A:$A),MATCH(G$2,missions!$2:$2,0)-MATCH("mission_id",missions!$2:$2,0)+1),MATCH(G$2,missions!$2:$2,0)-MATCH("mission_id",missions!$2:$2,0)+1,FALSE),IF(C294="quest_clear",VLOOKUP(SUBSTITUTE(F294,"-","_"),OFFSET([2]stages!$A$2,0,0,COUNTA([2]stages!$A:$A),MATCH("name",[2]stages!$2:$2,0)-MATCH("temp_stage",[2]stages!$2:$2,0)+1),MATCH("name",[2]stages!$2:$2,0)-MATCH("temp_stage",[2]stages!$2:$2,0)+1,FALSE),""))</f>
        <v>バグ 45 のユニットをつくろう！</v>
      </c>
      <c r="H294" s="28">
        <v>1</v>
      </c>
    </row>
    <row r="295" spans="1:8" ht="21" customHeight="1" x14ac:dyDescent="0.15">
      <c r="A295" s="26" t="str">
        <f t="shared" si="12"/>
        <v>M10060</v>
      </c>
      <c r="B295" s="26" t="str">
        <f t="shared" ca="1" si="11"/>
        <v>ミッション 【バグ 60 のユニットをつくろう！】 をクリア</v>
      </c>
      <c r="C295" s="32" t="s">
        <v>25</v>
      </c>
      <c r="D295" s="26" t="str">
        <f ca="1">VLOOKUP($C295,OFFSET(開放条件!$A$1,0,0,COUNTA($A:$A),MATCH(D$2,開放条件!$1:$1,0)-MATCH($C$2,開放条件!$1:$1,0)+1),MATCH(D$2,開放条件!$1:$1,0)-MATCH($C$2,開放条件!$1:$1,0)+1,FALSE)</f>
        <v>ミッション 【x】 をクリア</v>
      </c>
      <c r="E295" s="26" t="str">
        <f ca="1">VLOOKUP($C295,OFFSET(開放条件!$A$1,0,0,COUNTA($A:$A),MATCH(E$2,開放条件!$1:$1,0)-MATCH($C$2,開放条件!$1:$1,0)+1),MATCH(E$2,開放条件!$1:$1,0)-MATCH($C$2,開放条件!$1:$1,0)+1,FALSE)</f>
        <v>ミッションID</v>
      </c>
      <c r="F295" s="103" t="s">
        <v>1280</v>
      </c>
      <c r="G295" s="31" t="str">
        <f ca="1">IF(C295="mission_clear",VLOOKUP(INT($F295),OFFSET(missions!$A$1,0,0,COUNTA(missions!$A:$A),MATCH(G$2,missions!$2:$2,0)-MATCH("mission_id",missions!$2:$2,0)+1),MATCH(G$2,missions!$2:$2,0)-MATCH("mission_id",missions!$2:$2,0)+1,FALSE),IF(C295="quest_clear",VLOOKUP(SUBSTITUTE(F295,"-","_"),OFFSET([2]stages!$A$2,0,0,COUNTA([2]stages!$A:$A),MATCH("name",[2]stages!$2:$2,0)-MATCH("temp_stage",[2]stages!$2:$2,0)+1),MATCH("name",[2]stages!$2:$2,0)-MATCH("temp_stage",[2]stages!$2:$2,0)+1,FALSE),""))</f>
        <v>バグ 60 のユニットをつくろう！</v>
      </c>
      <c r="H295" s="28">
        <v>1</v>
      </c>
    </row>
    <row r="296" spans="1:8" ht="21" customHeight="1" x14ac:dyDescent="0.15">
      <c r="A296" s="26" t="str">
        <f t="shared" si="12"/>
        <v>M10075</v>
      </c>
      <c r="B296" s="26" t="str">
        <f t="shared" ca="1" si="11"/>
        <v>ミッション 【バグ 75 のユニットをつくろう！】 をクリア</v>
      </c>
      <c r="C296" s="32" t="s">
        <v>25</v>
      </c>
      <c r="D296" s="26" t="str">
        <f ca="1">VLOOKUP($C296,OFFSET(開放条件!$A$1,0,0,COUNTA($A:$A),MATCH(D$2,開放条件!$1:$1,0)-MATCH($C$2,開放条件!$1:$1,0)+1),MATCH(D$2,開放条件!$1:$1,0)-MATCH($C$2,開放条件!$1:$1,0)+1,FALSE)</f>
        <v>ミッション 【x】 をクリア</v>
      </c>
      <c r="E296" s="26" t="str">
        <f ca="1">VLOOKUP($C296,OFFSET(開放条件!$A$1,0,0,COUNTA($A:$A),MATCH(E$2,開放条件!$1:$1,0)-MATCH($C$2,開放条件!$1:$1,0)+1),MATCH(E$2,開放条件!$1:$1,0)-MATCH($C$2,開放条件!$1:$1,0)+1,FALSE)</f>
        <v>ミッションID</v>
      </c>
      <c r="F296" s="103" t="s">
        <v>1281</v>
      </c>
      <c r="G296" s="31" t="str">
        <f ca="1">IF(C296="mission_clear",VLOOKUP(INT($F296),OFFSET(missions!$A$1,0,0,COUNTA(missions!$A:$A),MATCH(G$2,missions!$2:$2,0)-MATCH("mission_id",missions!$2:$2,0)+1),MATCH(G$2,missions!$2:$2,0)-MATCH("mission_id",missions!$2:$2,0)+1,FALSE),IF(C296="quest_clear",VLOOKUP(SUBSTITUTE(F296,"-","_"),OFFSET([2]stages!$A$2,0,0,COUNTA([2]stages!$A:$A),MATCH("name",[2]stages!$2:$2,0)-MATCH("temp_stage",[2]stages!$2:$2,0)+1),MATCH("name",[2]stages!$2:$2,0)-MATCH("temp_stage",[2]stages!$2:$2,0)+1,FALSE),""))</f>
        <v>バグ 75 のユニットをつくろう！</v>
      </c>
      <c r="H296" s="28">
        <v>1</v>
      </c>
    </row>
    <row r="297" spans="1:8" ht="21" customHeight="1" x14ac:dyDescent="0.15">
      <c r="A297" s="26" t="str">
        <f t="shared" si="12"/>
        <v>M10090</v>
      </c>
      <c r="B297" s="26" t="str">
        <f t="shared" ca="1" si="11"/>
        <v>ミッション 【バグ 90 のユニットをつくろう！】 をクリア</v>
      </c>
      <c r="C297" s="32" t="s">
        <v>25</v>
      </c>
      <c r="D297" s="26" t="str">
        <f ca="1">VLOOKUP($C297,OFFSET(開放条件!$A$1,0,0,COUNTA($A:$A),MATCH(D$2,開放条件!$1:$1,0)-MATCH($C$2,開放条件!$1:$1,0)+1),MATCH(D$2,開放条件!$1:$1,0)-MATCH($C$2,開放条件!$1:$1,0)+1,FALSE)</f>
        <v>ミッション 【x】 をクリア</v>
      </c>
      <c r="E297" s="26" t="str">
        <f ca="1">VLOOKUP($C297,OFFSET(開放条件!$A$1,0,0,COUNTA($A:$A),MATCH(E$2,開放条件!$1:$1,0)-MATCH($C$2,開放条件!$1:$1,0)+1),MATCH(E$2,開放条件!$1:$1,0)-MATCH($C$2,開放条件!$1:$1,0)+1,FALSE)</f>
        <v>ミッションID</v>
      </c>
      <c r="F297" s="103" t="s">
        <v>1282</v>
      </c>
      <c r="G297" s="31" t="str">
        <f ca="1">IF(C297="mission_clear",VLOOKUP(INT($F297),OFFSET(missions!$A$1,0,0,COUNTA(missions!$A:$A),MATCH(G$2,missions!$2:$2,0)-MATCH("mission_id",missions!$2:$2,0)+1),MATCH(G$2,missions!$2:$2,0)-MATCH("mission_id",missions!$2:$2,0)+1,FALSE),IF(C297="quest_clear",VLOOKUP(SUBSTITUTE(F297,"-","_"),OFFSET([2]stages!$A$2,0,0,COUNTA([2]stages!$A:$A),MATCH("name",[2]stages!$2:$2,0)-MATCH("temp_stage",[2]stages!$2:$2,0)+1),MATCH("name",[2]stages!$2:$2,0)-MATCH("temp_stage",[2]stages!$2:$2,0)+1,FALSE),""))</f>
        <v>バグ 90 のユニットをつくろう！</v>
      </c>
      <c r="H297" s="28">
        <v>1</v>
      </c>
    </row>
    <row r="298" spans="1:8" ht="21" customHeight="1" x14ac:dyDescent="0.15">
      <c r="A298" s="26" t="str">
        <f t="shared" si="12"/>
        <v>M10099</v>
      </c>
      <c r="B298" s="26" t="str">
        <f t="shared" ca="1" si="11"/>
        <v>ミッション 【バグ 99 のユニットをつくろう！】 をクリア</v>
      </c>
      <c r="C298" s="32" t="s">
        <v>25</v>
      </c>
      <c r="D298" s="26" t="str">
        <f ca="1">VLOOKUP($C298,OFFSET(開放条件!$A$1,0,0,COUNTA($A:$A),MATCH(D$2,開放条件!$1:$1,0)-MATCH($C$2,開放条件!$1:$1,0)+1),MATCH(D$2,開放条件!$1:$1,0)-MATCH($C$2,開放条件!$1:$1,0)+1,FALSE)</f>
        <v>ミッション 【x】 をクリア</v>
      </c>
      <c r="E298" s="26" t="str">
        <f ca="1">VLOOKUP($C298,OFFSET(開放条件!$A$1,0,0,COUNTA($A:$A),MATCH(E$2,開放条件!$1:$1,0)-MATCH($C$2,開放条件!$1:$1,0)+1),MATCH(E$2,開放条件!$1:$1,0)-MATCH($C$2,開放条件!$1:$1,0)+1,FALSE)</f>
        <v>ミッションID</v>
      </c>
      <c r="F298" s="103" t="s">
        <v>1283</v>
      </c>
      <c r="G298" s="31" t="str">
        <f ca="1">IF(C298="mission_clear",VLOOKUP(INT($F298),OFFSET(missions!$A$1,0,0,COUNTA(missions!$A:$A),MATCH(G$2,missions!$2:$2,0)-MATCH("mission_id",missions!$2:$2,0)+1),MATCH(G$2,missions!$2:$2,0)-MATCH("mission_id",missions!$2:$2,0)+1,FALSE),IF(C298="quest_clear",VLOOKUP(SUBSTITUTE(F298,"-","_"),OFFSET([2]stages!$A$2,0,0,COUNTA([2]stages!$A:$A),MATCH("name",[2]stages!$2:$2,0)-MATCH("temp_stage",[2]stages!$2:$2,0)+1),MATCH("name",[2]stages!$2:$2,0)-MATCH("temp_stage",[2]stages!$2:$2,0)+1,FALSE),""))</f>
        <v>バグ 99 のユニットをつくろう！</v>
      </c>
      <c r="H298" s="28">
        <v>1</v>
      </c>
    </row>
    <row r="299" spans="1:8" ht="21" customHeight="1" x14ac:dyDescent="0.15">
      <c r="A299" s="26" t="str">
        <f t="shared" si="12"/>
        <v>M9027</v>
      </c>
      <c r="B299" s="26" t="str">
        <f ca="1">IF(C299="quest_clear",SUBSTITUTE(D299,"x",G299),IF(C299="mission_clear",SUBSTITUTE(D299,"x",G299),SUBSTITUTE(D299,"x",F299)))</f>
        <v>ミッション 【ユニット【彦星】を 1 体ゲットしよう！】 をクリア</v>
      </c>
      <c r="C299" s="32" t="s">
        <v>25</v>
      </c>
      <c r="D299" s="26" t="str">
        <f ca="1">VLOOKUP($C299,OFFSET(開放条件!$A$1,0,0,COUNTA($A:$A),MATCH(D$2,開放条件!$1:$1,0)-MATCH($C$2,開放条件!$1:$1,0)+1),MATCH(D$2,開放条件!$1:$1,0)-MATCH($C$2,開放条件!$1:$1,0)+1,FALSE)</f>
        <v>ミッション 【x】 をクリア</v>
      </c>
      <c r="E299" s="26" t="str">
        <f ca="1">VLOOKUP($C299,OFFSET(開放条件!$A$1,0,0,COUNTA($A:$A),MATCH(E$2,開放条件!$1:$1,0)-MATCH($C$2,開放条件!$1:$1,0)+1),MATCH(E$2,開放条件!$1:$1,0)-MATCH($C$2,開放条件!$1:$1,0)+1,FALSE)</f>
        <v>ミッションID</v>
      </c>
      <c r="F299" s="61" t="s">
        <v>1555</v>
      </c>
      <c r="G299" s="31" t="str">
        <f ca="1">IF(C299="mission_clear",VLOOKUP(INT($F299),OFFSET(missions!$A$1,0,0,COUNTA(missions!$A:$A),MATCH(G$2,missions!$2:$2,0)-MATCH("mission_id",missions!$2:$2,0)+1),MATCH(G$2,missions!$2:$2,0)-MATCH("mission_id",missions!$2:$2,0)+1,FALSE),IF(C299="quest_clear",VLOOKUP(SUBSTITUTE(F299,"-","_"),OFFSET([2]stages!$A$2,0,0,COUNTA([2]stages!$A:$A),MATCH("name",[2]stages!$2:$2,0)-MATCH("temp_stage",[2]stages!$2:$2,0)+1),MATCH("name",[2]stages!$2:$2,0)-MATCH("temp_stage",[2]stages!$2:$2,0)+1,FALSE),""))</f>
        <v>ユニット【彦星】を 1 体ゲットしよう！</v>
      </c>
      <c r="H299" s="28">
        <v>1</v>
      </c>
    </row>
    <row r="300" spans="1:8" ht="21" customHeight="1" x14ac:dyDescent="0.15">
      <c r="A300" s="26" t="str">
        <f t="shared" si="12"/>
        <v>M9028</v>
      </c>
      <c r="B300" s="26" t="str">
        <f t="shared" ref="B300:B301" ca="1" si="13">IF(C300="quest_clear",SUBSTITUTE(D300,"x",G300),IF(C300="mission_clear",SUBSTITUTE(D300,"x",G300),SUBSTITUTE(D300,"x",F300)))</f>
        <v>ミッション 【ユニット【彦星】を 10 体ゲットしよう！】 をクリア</v>
      </c>
      <c r="C300" s="32" t="s">
        <v>25</v>
      </c>
      <c r="D300" s="26" t="str">
        <f ca="1">VLOOKUP($C300,OFFSET(開放条件!$A$1,0,0,COUNTA($A:$A),MATCH(D$2,開放条件!$1:$1,0)-MATCH($C$2,開放条件!$1:$1,0)+1),MATCH(D$2,開放条件!$1:$1,0)-MATCH($C$2,開放条件!$1:$1,0)+1,FALSE)</f>
        <v>ミッション 【x】 をクリア</v>
      </c>
      <c r="E300" s="26" t="str">
        <f ca="1">VLOOKUP($C300,OFFSET(開放条件!$A$1,0,0,COUNTA($A:$A),MATCH(E$2,開放条件!$1:$1,0)-MATCH($C$2,開放条件!$1:$1,0)+1),MATCH(E$2,開放条件!$1:$1,0)-MATCH($C$2,開放条件!$1:$1,0)+1,FALSE)</f>
        <v>ミッションID</v>
      </c>
      <c r="F300" s="61" t="s">
        <v>1557</v>
      </c>
      <c r="G300" s="31" t="str">
        <f ca="1">IF(C300="mission_clear",VLOOKUP(INT($F300),OFFSET(missions!$A$1,0,0,COUNTA(missions!$A:$A),MATCH(G$2,missions!$2:$2,0)-MATCH("mission_id",missions!$2:$2,0)+1),MATCH(G$2,missions!$2:$2,0)-MATCH("mission_id",missions!$2:$2,0)+1,FALSE),IF(C300="quest_clear",VLOOKUP(SUBSTITUTE(F300,"-","_"),OFFSET([2]stages!$A$2,0,0,COUNTA([2]stages!$A:$A),MATCH("name",[2]stages!$2:$2,0)-MATCH("temp_stage",[2]stages!$2:$2,0)+1),MATCH("name",[2]stages!$2:$2,0)-MATCH("temp_stage",[2]stages!$2:$2,0)+1,FALSE),""))</f>
        <v>ユニット【彦星】を 10 体ゲットしよう！</v>
      </c>
      <c r="H300" s="28">
        <v>1</v>
      </c>
    </row>
    <row r="301" spans="1:8" ht="21" customHeight="1" x14ac:dyDescent="0.15">
      <c r="A301" s="26" t="str">
        <f t="shared" si="12"/>
        <v>M9029</v>
      </c>
      <c r="B301" s="26" t="str">
        <f t="shared" ca="1" si="13"/>
        <v>ミッション 【ユニット【彦星】を 25 体ゲットしよう！】 をクリア</v>
      </c>
      <c r="C301" s="32" t="s">
        <v>25</v>
      </c>
      <c r="D301" s="26" t="str">
        <f ca="1">VLOOKUP($C301,OFFSET(開放条件!$A$1,0,0,COUNTA($A:$A),MATCH(D$2,開放条件!$1:$1,0)-MATCH($C$2,開放条件!$1:$1,0)+1),MATCH(D$2,開放条件!$1:$1,0)-MATCH($C$2,開放条件!$1:$1,0)+1,FALSE)</f>
        <v>ミッション 【x】 をクリア</v>
      </c>
      <c r="E301" s="26" t="str">
        <f ca="1">VLOOKUP($C301,OFFSET(開放条件!$A$1,0,0,COUNTA($A:$A),MATCH(E$2,開放条件!$1:$1,0)-MATCH($C$2,開放条件!$1:$1,0)+1),MATCH(E$2,開放条件!$1:$1,0)-MATCH($C$2,開放条件!$1:$1,0)+1,FALSE)</f>
        <v>ミッションID</v>
      </c>
      <c r="F301" s="61" t="s">
        <v>1558</v>
      </c>
      <c r="G301" s="31" t="str">
        <f ca="1">IF(C301="mission_clear",VLOOKUP(INT($F301),OFFSET(missions!$A$1,0,0,COUNTA(missions!$A:$A),MATCH(G$2,missions!$2:$2,0)-MATCH("mission_id",missions!$2:$2,0)+1),MATCH(G$2,missions!$2:$2,0)-MATCH("mission_id",missions!$2:$2,0)+1,FALSE),IF(C301="quest_clear",VLOOKUP(SUBSTITUTE(F301,"-","_"),OFFSET([2]stages!$A$2,0,0,COUNTA([2]stages!$A:$A),MATCH("name",[2]stages!$2:$2,0)-MATCH("temp_stage",[2]stages!$2:$2,0)+1),MATCH("name",[2]stages!$2:$2,0)-MATCH("temp_stage",[2]stages!$2:$2,0)+1,FALSE),""))</f>
        <v>ユニット【彦星】を 25 体ゲットしよう！</v>
      </c>
      <c r="H301" s="28">
        <v>1</v>
      </c>
    </row>
    <row r="302" spans="1:8" ht="21" customHeight="1" x14ac:dyDescent="0.15">
      <c r="A302" s="26" t="str">
        <f>"M"&amp;F302</f>
        <v>M9034</v>
      </c>
      <c r="B302" s="26" t="e">
        <f ca="1">IF(C302="quest_clear",SUBSTITUTE(D302,"x",G302),IF(C302="mission_clear",SUBSTITUTE(D302,"x",G302),SUBSTITUTE(D302,"x",F302)))</f>
        <v>#N/A</v>
      </c>
      <c r="C302" s="32" t="s">
        <v>25</v>
      </c>
      <c r="D302" s="26" t="str">
        <f ca="1">VLOOKUP($C302,OFFSET(開放条件!$A$1,0,0,COUNTA($A:$A),MATCH(D$2,開放条件!$1:$1,0)-MATCH($C$2,開放条件!$1:$1,0)+1),MATCH(D$2,開放条件!$1:$1,0)-MATCH($C$2,開放条件!$1:$1,0)+1,FALSE)</f>
        <v>ミッション 【x】 をクリア</v>
      </c>
      <c r="E302" s="26" t="str">
        <f ca="1">VLOOKUP($C302,OFFSET(開放条件!$A$1,0,0,COUNTA($A:$A),MATCH(E$2,開放条件!$1:$1,0)-MATCH($C$2,開放条件!$1:$1,0)+1),MATCH(E$2,開放条件!$1:$1,0)-MATCH($C$2,開放条件!$1:$1,0)+1,FALSE)</f>
        <v>ミッションID</v>
      </c>
      <c r="F302" s="61" t="s">
        <v>1586</v>
      </c>
      <c r="G302" s="31" t="e">
        <f ca="1">IF(C302="mission_clear",VLOOKUP(INT($F302),OFFSET(missions!$A$1,0,0,COUNTA(missions!$A:$A),MATCH(G$2,missions!$2:$2,0)-MATCH("mission_id",missions!$2:$2,0)+1),MATCH(G$2,missions!$2:$2,0)-MATCH("mission_id",missions!$2:$2,0)+1,FALSE),IF(C302="quest_clear",VLOOKUP(SUBSTITUTE(F302,"-","_"),OFFSET([2]stages!$A$2,0,0,COUNTA([2]stages!$A:$A),MATCH("name",[2]stages!$2:$2,0)-MATCH("temp_stage",[2]stages!$2:$2,0)+1),MATCH("name",[2]stages!$2:$2,0)-MATCH("temp_stage",[2]stages!$2:$2,0)+1,FALSE),""))</f>
        <v>#N/A</v>
      </c>
      <c r="H302" s="28">
        <v>1</v>
      </c>
    </row>
    <row r="303" spans="1:8" ht="21" customHeight="1" x14ac:dyDescent="0.15">
      <c r="A303" s="26" t="str">
        <f t="shared" ref="A303:A304" si="14">"M"&amp;F303</f>
        <v>M9035</v>
      </c>
      <c r="B303" s="26" t="e">
        <f t="shared" ref="B303:B305" ca="1" si="15">IF(C303="quest_clear",SUBSTITUTE(D303,"x",G303),IF(C303="mission_clear",SUBSTITUTE(D303,"x",G303),SUBSTITUTE(D303,"x",F303)))</f>
        <v>#N/A</v>
      </c>
      <c r="C303" s="32" t="s">
        <v>25</v>
      </c>
      <c r="D303" s="26" t="str">
        <f ca="1">VLOOKUP($C303,OFFSET(開放条件!$A$1,0,0,COUNTA($A:$A),MATCH(D$2,開放条件!$1:$1,0)-MATCH($C$2,開放条件!$1:$1,0)+1),MATCH(D$2,開放条件!$1:$1,0)-MATCH($C$2,開放条件!$1:$1,0)+1,FALSE)</f>
        <v>ミッション 【x】 をクリア</v>
      </c>
      <c r="E303" s="26" t="str">
        <f ca="1">VLOOKUP($C303,OFFSET(開放条件!$A$1,0,0,COUNTA($A:$A),MATCH(E$2,開放条件!$1:$1,0)-MATCH($C$2,開放条件!$1:$1,0)+1),MATCH(E$2,開放条件!$1:$1,0)-MATCH($C$2,開放条件!$1:$1,0)+1,FALSE)</f>
        <v>ミッションID</v>
      </c>
      <c r="F303" s="61" t="s">
        <v>1587</v>
      </c>
      <c r="G303" s="31" t="e">
        <f ca="1">IF(C303="mission_clear",VLOOKUP(INT($F303),OFFSET(missions!$A$1,0,0,COUNTA(missions!$A:$A),MATCH(G$2,missions!$2:$2,0)-MATCH("mission_id",missions!$2:$2,0)+1),MATCH(G$2,missions!$2:$2,0)-MATCH("mission_id",missions!$2:$2,0)+1,FALSE),IF(C303="quest_clear",VLOOKUP(SUBSTITUTE(F303,"-","_"),OFFSET([2]stages!$A$2,0,0,COUNTA([2]stages!$A:$A),MATCH("name",[2]stages!$2:$2,0)-MATCH("temp_stage",[2]stages!$2:$2,0)+1),MATCH("name",[2]stages!$2:$2,0)-MATCH("temp_stage",[2]stages!$2:$2,0)+1,FALSE),""))</f>
        <v>#N/A</v>
      </c>
      <c r="H303" s="28">
        <v>1</v>
      </c>
    </row>
    <row r="304" spans="1:8" ht="21" customHeight="1" x14ac:dyDescent="0.15">
      <c r="A304" s="26" t="str">
        <f t="shared" si="14"/>
        <v>M9036</v>
      </c>
      <c r="B304" s="26" t="e">
        <f t="shared" ca="1" si="15"/>
        <v>#N/A</v>
      </c>
      <c r="C304" s="32" t="s">
        <v>25</v>
      </c>
      <c r="D304" s="26" t="str">
        <f ca="1">VLOOKUP($C304,OFFSET(開放条件!$A$1,0,0,COUNTA($A:$A),MATCH(D$2,開放条件!$1:$1,0)-MATCH($C$2,開放条件!$1:$1,0)+1),MATCH(D$2,開放条件!$1:$1,0)-MATCH($C$2,開放条件!$1:$1,0)+1,FALSE)</f>
        <v>ミッション 【x】 をクリア</v>
      </c>
      <c r="E304" s="26" t="str">
        <f ca="1">VLOOKUP($C304,OFFSET(開放条件!$A$1,0,0,COUNTA($A:$A),MATCH(E$2,開放条件!$1:$1,0)-MATCH($C$2,開放条件!$1:$1,0)+1),MATCH(E$2,開放条件!$1:$1,0)-MATCH($C$2,開放条件!$1:$1,0)+1,FALSE)</f>
        <v>ミッションID</v>
      </c>
      <c r="F304" s="61" t="s">
        <v>1588</v>
      </c>
      <c r="G304" s="31" t="e">
        <f ca="1">IF(C304="mission_clear",VLOOKUP(INT($F304),OFFSET(missions!$A$1,0,0,COUNTA(missions!$A:$A),MATCH(G$2,missions!$2:$2,0)-MATCH("mission_id",missions!$2:$2,0)+1),MATCH(G$2,missions!$2:$2,0)-MATCH("mission_id",missions!$2:$2,0)+1,FALSE),IF(C304="quest_clear",VLOOKUP(SUBSTITUTE(F304,"-","_"),OFFSET([2]stages!$A$2,0,0,COUNTA([2]stages!$A:$A),MATCH("name",[2]stages!$2:$2,0)-MATCH("temp_stage",[2]stages!$2:$2,0)+1),MATCH("name",[2]stages!$2:$2,0)-MATCH("temp_stage",[2]stages!$2:$2,0)+1,FALSE),""))</f>
        <v>#N/A</v>
      </c>
      <c r="H304" s="28">
        <v>1</v>
      </c>
    </row>
    <row r="305" spans="1:8" ht="21" customHeight="1" x14ac:dyDescent="0.15">
      <c r="A305" s="26" t="str">
        <f>"M"&amp;F305</f>
        <v>M9115</v>
      </c>
      <c r="B305" s="26" t="str">
        <f t="shared" ca="1" si="15"/>
        <v>ミッション 【クエスト クロネッカーチャレンジ をクリアしよう！】 をクリア</v>
      </c>
      <c r="C305" s="32" t="s">
        <v>25</v>
      </c>
      <c r="D305" s="26" t="str">
        <f ca="1">VLOOKUP($C305,OFFSET(開放条件!$A$1,0,0,COUNTA($A:$A),MATCH(D$2,開放条件!$1:$1,0)-MATCH($C$2,開放条件!$1:$1,0)+1),MATCH(D$2,開放条件!$1:$1,0)-MATCH($C$2,開放条件!$1:$1,0)+1,FALSE)</f>
        <v>ミッション 【x】 をクリア</v>
      </c>
      <c r="E305" s="26" t="str">
        <f ca="1">VLOOKUP($C305,OFFSET(開放条件!$A$1,0,0,COUNTA($A:$A),MATCH(E$2,開放条件!$1:$1,0)-MATCH($C$2,開放条件!$1:$1,0)+1),MATCH(E$2,開放条件!$1:$1,0)-MATCH($C$2,開放条件!$1:$1,0)+1,FALSE)</f>
        <v>ミッションID</v>
      </c>
      <c r="F305" s="61" t="s">
        <v>2212</v>
      </c>
      <c r="G305" s="31" t="str">
        <f ca="1">IF(C305="mission_clear",VLOOKUP(INT($F305),OFFSET(missions!$A$1,0,0,COUNTA(missions!$A:$A),MATCH(G$2,missions!$2:$2,0)-MATCH("mission_id",missions!$2:$2,0)+1),MATCH(G$2,missions!$2:$2,0)-MATCH("mission_id",missions!$2:$2,0)+1,FALSE),IF(C305="quest_clear",VLOOKUP(SUBSTITUTE(F305,"-","_"),OFFSET([2]stages!$A$2,0,0,COUNTA([2]stages!$A:$A),MATCH("name",[2]stages!$2:$2,0)-MATCH("temp_stage",[2]stages!$2:$2,0)+1),MATCH("name",[2]stages!$2:$2,0)-MATCH("temp_stage",[2]stages!$2:$2,0)+1,FALSE),""))</f>
        <v>クエスト クロネッカーチャレンジ をクリアしよう！</v>
      </c>
      <c r="H305" s="28">
        <v>1</v>
      </c>
    </row>
    <row r="306" spans="1:8" ht="21" customHeight="1" x14ac:dyDescent="0.15">
      <c r="A306" s="26" t="str">
        <f t="shared" ref="A306:A307" si="16">"M"&amp;F306</f>
        <v>M9116</v>
      </c>
      <c r="B306" s="26" t="e">
        <f ca="1">IF(C306="quest_clear",SUBSTITUTE(D306,"x",G306),IF(C306="mission_clear",SUBSTITUTE(D306,"x",G306),SUBSTITUTE(D306,"x",F306)))</f>
        <v>#N/A</v>
      </c>
      <c r="C306" s="32" t="s">
        <v>25</v>
      </c>
      <c r="D306" s="26" t="str">
        <f ca="1">VLOOKUP($C306,OFFSET(開放条件!$A$1,0,0,COUNTA($A:$A),MATCH(D$2,開放条件!$1:$1,0)-MATCH($C$2,開放条件!$1:$1,0)+1),MATCH(D$2,開放条件!$1:$1,0)-MATCH($C$2,開放条件!$1:$1,0)+1,FALSE)</f>
        <v>ミッション 【x】 をクリア</v>
      </c>
      <c r="E306" s="26" t="str">
        <f ca="1">VLOOKUP($C306,OFFSET(開放条件!$A$1,0,0,COUNTA($A:$A),MATCH(E$2,開放条件!$1:$1,0)-MATCH($C$2,開放条件!$1:$1,0)+1),MATCH(E$2,開放条件!$1:$1,0)-MATCH($C$2,開放条件!$1:$1,0)+1,FALSE)</f>
        <v>ミッションID</v>
      </c>
      <c r="F306" s="61" t="s">
        <v>2213</v>
      </c>
      <c r="G306" s="31" t="e">
        <f ca="1">IF(C306="mission_clear",VLOOKUP(INT($F306),OFFSET(missions!$A$1,0,0,COUNTA(missions!$A:$A),MATCH(G$2,missions!$2:$2,0)-MATCH("mission_id",missions!$2:$2,0)+1),MATCH(G$2,missions!$2:$2,0)-MATCH("mission_id",missions!$2:$2,0)+1,FALSE),IF(C306="quest_clear",VLOOKUP(SUBSTITUTE(F306,"-","_"),OFFSET([2]stages!$A$2,0,0,COUNTA([2]stages!$A:$A),MATCH("name",[2]stages!$2:$2,0)-MATCH("temp_stage",[2]stages!$2:$2,0)+1),MATCH("name",[2]stages!$2:$2,0)-MATCH("temp_stage",[2]stages!$2:$2,0)+1,FALSE),""))</f>
        <v>#N/A</v>
      </c>
      <c r="H306" s="28">
        <v>1</v>
      </c>
    </row>
    <row r="307" spans="1:8" ht="21" customHeight="1" x14ac:dyDescent="0.15">
      <c r="A307" s="26" t="str">
        <f t="shared" si="16"/>
        <v>M9117</v>
      </c>
      <c r="B307" s="26" t="e">
        <f t="shared" ref="B307" ca="1" si="17">IF(C307="quest_clear",SUBSTITUTE(D307,"x",G307),IF(C307="mission_clear",SUBSTITUTE(D307,"x",G307),SUBSTITUTE(D307,"x",F307)))</f>
        <v>#N/A</v>
      </c>
      <c r="C307" s="32" t="s">
        <v>25</v>
      </c>
      <c r="D307" s="26" t="str">
        <f ca="1">VLOOKUP($C307,OFFSET(開放条件!$A$1,0,0,COUNTA($A:$A),MATCH(D$2,開放条件!$1:$1,0)-MATCH($C$2,開放条件!$1:$1,0)+1),MATCH(D$2,開放条件!$1:$1,0)-MATCH($C$2,開放条件!$1:$1,0)+1,FALSE)</f>
        <v>ミッション 【x】 をクリア</v>
      </c>
      <c r="E307" s="26" t="str">
        <f ca="1">VLOOKUP($C307,OFFSET(開放条件!$A$1,0,0,COUNTA($A:$A),MATCH(E$2,開放条件!$1:$1,0)-MATCH($C$2,開放条件!$1:$1,0)+1),MATCH(E$2,開放条件!$1:$1,0)-MATCH($C$2,開放条件!$1:$1,0)+1,FALSE)</f>
        <v>ミッションID</v>
      </c>
      <c r="F307" s="61" t="s">
        <v>2214</v>
      </c>
      <c r="G307" s="31" t="e">
        <f ca="1">IF(C307="mission_clear",VLOOKUP(INT($F307),OFFSET(missions!$A$1,0,0,COUNTA(missions!$A:$A),MATCH(G$2,missions!$2:$2,0)-MATCH("mission_id",missions!$2:$2,0)+1),MATCH(G$2,missions!$2:$2,0)-MATCH("mission_id",missions!$2:$2,0)+1,FALSE),IF(C307="quest_clear",VLOOKUP(SUBSTITUTE(F307,"-","_"),OFFSET([2]stages!$A$2,0,0,COUNTA([2]stages!$A:$A),MATCH("name",[2]stages!$2:$2,0)-MATCH("temp_stage",[2]stages!$2:$2,0)+1),MATCH("name",[2]stages!$2:$2,0)-MATCH("temp_stage",[2]stages!$2:$2,0)+1,FALSE),""))</f>
        <v>#N/A</v>
      </c>
      <c r="H307" s="28">
        <v>1</v>
      </c>
    </row>
    <row r="308" spans="1:8" ht="21" customHeight="1" x14ac:dyDescent="0.15">
      <c r="A308" s="26" t="str">
        <f>"M"&amp;F308</f>
        <v>M30118</v>
      </c>
      <c r="B308" s="26" t="str">
        <f t="shared" ref="B308" ca="1" si="18">IF(C308="quest_clear",SUBSTITUTE(D308,"x",G308),IF(C308="mission_clear",SUBSTITUTE(D308,"x",G308),SUBSTITUTE(D308,"x",F308)))</f>
        <v>ミッション 【ユニット 【ヨシノ】 を 5 体ゲットしよう！】 をクリア</v>
      </c>
      <c r="C308" s="32" t="s">
        <v>25</v>
      </c>
      <c r="D308" s="26" t="str">
        <f ca="1">VLOOKUP($C308,OFFSET(開放条件!$A$1,0,0,COUNTA($A:$A),MATCH(D$2,開放条件!$1:$1,0)-MATCH($C$2,開放条件!$1:$1,0)+1),MATCH(D$2,開放条件!$1:$1,0)-MATCH($C$2,開放条件!$1:$1,0)+1,FALSE)</f>
        <v>ミッション 【x】 をクリア</v>
      </c>
      <c r="E308" s="26" t="str">
        <f ca="1">VLOOKUP($C308,OFFSET(開放条件!$A$1,0,0,COUNTA($A:$A),MATCH(E$2,開放条件!$1:$1,0)-MATCH($C$2,開放条件!$1:$1,0)+1),MATCH(E$2,開放条件!$1:$1,0)-MATCH($C$2,開放条件!$1:$1,0)+1,FALSE)</f>
        <v>ミッションID</v>
      </c>
      <c r="F308" s="61" t="s">
        <v>2492</v>
      </c>
      <c r="G308" s="31" t="str">
        <f ca="1">IF(C308="mission_clear",VLOOKUP(INT($F308),OFFSET(missions!$A$1,0,0,COUNTA(missions!$A:$A),MATCH(G$2,missions!$2:$2,0)-MATCH("mission_id",missions!$2:$2,0)+1),MATCH(G$2,missions!$2:$2,0)-MATCH("mission_id",missions!$2:$2,0)+1,FALSE),IF(C308="quest_clear",VLOOKUP(SUBSTITUTE(F308,"-","_"),OFFSET([2]stages!$A$2,0,0,COUNTA([2]stages!$A:$A),MATCH("name",[2]stages!$2:$2,0)-MATCH("temp_stage",[2]stages!$2:$2,0)+1),MATCH("name",[2]stages!$2:$2,0)-MATCH("temp_stage",[2]stages!$2:$2,0)+1,FALSE),""))</f>
        <v>ユニット 【ヨシノ】 を 5 体ゲットしよう！</v>
      </c>
      <c r="H308" s="28">
        <v>1</v>
      </c>
    </row>
    <row r="309" spans="1:8" ht="21" customHeight="1" x14ac:dyDescent="0.15">
      <c r="A309" s="26" t="str">
        <f t="shared" ref="A309:A311" si="19">"M"&amp;F309</f>
        <v>M30119</v>
      </c>
      <c r="B309" s="26" t="str">
        <f t="shared" ref="B309:B311" ca="1" si="20">IF(C309="quest_clear",SUBSTITUTE(D309,"x",G309),IF(C309="mission_clear",SUBSTITUTE(D309,"x",G309),SUBSTITUTE(D309,"x",F309)))</f>
        <v>ミッション 【ユニット 【ヨシノ】 を 15 体ゲットしよう！】 をクリア</v>
      </c>
      <c r="C309" s="32" t="s">
        <v>25</v>
      </c>
      <c r="D309" s="26" t="str">
        <f ca="1">VLOOKUP($C309,OFFSET(開放条件!$A$1,0,0,COUNTA($A:$A),MATCH(D$2,開放条件!$1:$1,0)-MATCH($C$2,開放条件!$1:$1,0)+1),MATCH(D$2,開放条件!$1:$1,0)-MATCH($C$2,開放条件!$1:$1,0)+1,FALSE)</f>
        <v>ミッション 【x】 をクリア</v>
      </c>
      <c r="E309" s="26" t="str">
        <f ca="1">VLOOKUP($C309,OFFSET(開放条件!$A$1,0,0,COUNTA($A:$A),MATCH(E$2,開放条件!$1:$1,0)-MATCH($C$2,開放条件!$1:$1,0)+1),MATCH(E$2,開放条件!$1:$1,0)-MATCH($C$2,開放条件!$1:$1,0)+1,FALSE)</f>
        <v>ミッションID</v>
      </c>
      <c r="F309" s="61" t="s">
        <v>2494</v>
      </c>
      <c r="G309" s="31" t="str">
        <f ca="1">IF(C309="mission_clear",VLOOKUP(INT($F309),OFFSET(missions!$A$1,0,0,COUNTA(missions!$A:$A),MATCH(G$2,missions!$2:$2,0)-MATCH("mission_id",missions!$2:$2,0)+1),MATCH(G$2,missions!$2:$2,0)-MATCH("mission_id",missions!$2:$2,0)+1,FALSE),IF(C309="quest_clear",VLOOKUP(SUBSTITUTE(F309,"-","_"),OFFSET([2]stages!$A$2,0,0,COUNTA([2]stages!$A:$A),MATCH("name",[2]stages!$2:$2,0)-MATCH("temp_stage",[2]stages!$2:$2,0)+1),MATCH("name",[2]stages!$2:$2,0)-MATCH("temp_stage",[2]stages!$2:$2,0)+1,FALSE),""))</f>
        <v>ユニット 【ヨシノ】 を 15 体ゲットしよう！</v>
      </c>
      <c r="H309" s="28">
        <v>1</v>
      </c>
    </row>
    <row r="310" spans="1:8" ht="21" customHeight="1" x14ac:dyDescent="0.15">
      <c r="A310" s="26" t="str">
        <f t="shared" si="19"/>
        <v>M30120</v>
      </c>
      <c r="B310" s="26" t="str">
        <f t="shared" ca="1" si="20"/>
        <v>ミッション 【ユニット 【ヨシノ】 を 30 体ゲットしよう！】 をクリア</v>
      </c>
      <c r="C310" s="32" t="s">
        <v>25</v>
      </c>
      <c r="D310" s="26" t="str">
        <f ca="1">VLOOKUP($C310,OFFSET(開放条件!$A$1,0,0,COUNTA($A:$A),MATCH(D$2,開放条件!$1:$1,0)-MATCH($C$2,開放条件!$1:$1,0)+1),MATCH(D$2,開放条件!$1:$1,0)-MATCH($C$2,開放条件!$1:$1,0)+1,FALSE)</f>
        <v>ミッション 【x】 をクリア</v>
      </c>
      <c r="E310" s="26" t="str">
        <f ca="1">VLOOKUP($C310,OFFSET(開放条件!$A$1,0,0,COUNTA($A:$A),MATCH(E$2,開放条件!$1:$1,0)-MATCH($C$2,開放条件!$1:$1,0)+1),MATCH(E$2,開放条件!$1:$1,0)-MATCH($C$2,開放条件!$1:$1,0)+1,FALSE)</f>
        <v>ミッションID</v>
      </c>
      <c r="F310" s="61" t="s">
        <v>2495</v>
      </c>
      <c r="G310" s="31" t="str">
        <f ca="1">IF(C310="mission_clear",VLOOKUP(INT($F310),OFFSET(missions!$A$1,0,0,COUNTA(missions!$A:$A),MATCH(G$2,missions!$2:$2,0)-MATCH("mission_id",missions!$2:$2,0)+1),MATCH(G$2,missions!$2:$2,0)-MATCH("mission_id",missions!$2:$2,0)+1,FALSE),IF(C310="quest_clear",VLOOKUP(SUBSTITUTE(F310,"-","_"),OFFSET([2]stages!$A$2,0,0,COUNTA([2]stages!$A:$A),MATCH("name",[2]stages!$2:$2,0)-MATCH("temp_stage",[2]stages!$2:$2,0)+1),MATCH("name",[2]stages!$2:$2,0)-MATCH("temp_stage",[2]stages!$2:$2,0)+1,FALSE),""))</f>
        <v>ユニット 【ヨシノ】 を 30 体ゲットしよう！</v>
      </c>
      <c r="H310" s="28">
        <v>1</v>
      </c>
    </row>
    <row r="311" spans="1:8" ht="21" customHeight="1" x14ac:dyDescent="0.15">
      <c r="A311" s="26" t="str">
        <f t="shared" si="19"/>
        <v>M30121</v>
      </c>
      <c r="B311" s="26" t="str">
        <f t="shared" ca="1" si="20"/>
        <v>ミッション 【ユニット 【ヨシノ】 を 50 体ゲットしよう！】 をクリア</v>
      </c>
      <c r="C311" s="32" t="s">
        <v>25</v>
      </c>
      <c r="D311" s="26" t="str">
        <f ca="1">VLOOKUP($C311,OFFSET(開放条件!$A$1,0,0,COUNTA($A:$A),MATCH(D$2,開放条件!$1:$1,0)-MATCH($C$2,開放条件!$1:$1,0)+1),MATCH(D$2,開放条件!$1:$1,0)-MATCH($C$2,開放条件!$1:$1,0)+1,FALSE)</f>
        <v>ミッション 【x】 をクリア</v>
      </c>
      <c r="E311" s="26" t="str">
        <f ca="1">VLOOKUP($C311,OFFSET(開放条件!$A$1,0,0,COUNTA($A:$A),MATCH(E$2,開放条件!$1:$1,0)-MATCH($C$2,開放条件!$1:$1,0)+1),MATCH(E$2,開放条件!$1:$1,0)-MATCH($C$2,開放条件!$1:$1,0)+1,FALSE)</f>
        <v>ミッションID</v>
      </c>
      <c r="F311" s="61" t="s">
        <v>2496</v>
      </c>
      <c r="G311" s="31" t="str">
        <f ca="1">IF(C311="mission_clear",VLOOKUP(INT($F311),OFFSET(missions!$A$1,0,0,COUNTA(missions!$A:$A),MATCH(G$2,missions!$2:$2,0)-MATCH("mission_id",missions!$2:$2,0)+1),MATCH(G$2,missions!$2:$2,0)-MATCH("mission_id",missions!$2:$2,0)+1,FALSE),IF(C311="quest_clear",VLOOKUP(SUBSTITUTE(F311,"-","_"),OFFSET([2]stages!$A$2,0,0,COUNTA([2]stages!$A:$A),MATCH("name",[2]stages!$2:$2,0)-MATCH("temp_stage",[2]stages!$2:$2,0)+1),MATCH("name",[2]stages!$2:$2,0)-MATCH("temp_stage",[2]stages!$2:$2,0)+1,FALSE),""))</f>
        <v>ユニット 【ヨシノ】 を 50 体ゲットしよう！</v>
      </c>
      <c r="H311" s="28">
        <v>1</v>
      </c>
    </row>
  </sheetData>
  <phoneticPr fontId="5"/>
  <pageMargins left="0.75" right="0.75" top="1" bottom="1" header="0.3" footer="0.3"/>
  <pageSetup paperSize="9" orientation="portrait" horizontalDpi="4294967292" verticalDpi="4294967292"/>
  <ignoredErrors>
    <ignoredError sqref="F169:F170" numberStoredAsText="1"/>
  </ignoredErrors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  <outlinePr summaryBelow="0" summaryRight="0"/>
  </sheetPr>
  <dimension ref="A1:P217"/>
  <sheetViews>
    <sheetView showGridLines="0" zoomScaleNormal="75" zoomScalePageLayoutView="75" workbookViewId="0">
      <pane xSplit="1" ySplit="2" topLeftCell="B32" activePane="bottomRight" state="frozen"/>
      <selection pane="topRight" activeCell="B1" sqref="B1"/>
      <selection pane="bottomLeft" activeCell="A3" sqref="A3"/>
      <selection pane="bottomRight" activeCell="F218" sqref="F218"/>
    </sheetView>
  </sheetViews>
  <sheetFormatPr baseColWidth="12" defaultColWidth="12.796875" defaultRowHeight="21" customHeight="1" outlineLevelCol="1" x14ac:dyDescent="0.15"/>
  <cols>
    <col min="1" max="1" width="13.19921875" style="29" bestFit="1" customWidth="1"/>
    <col min="2" max="2" width="17.59765625" style="29" customWidth="1"/>
    <col min="3" max="3" width="14.3984375" style="29" bestFit="1" customWidth="1"/>
    <col min="4" max="4" width="18.3984375" style="29" bestFit="1" customWidth="1" outlineLevel="1"/>
    <col min="5" max="5" width="14.796875" style="29" bestFit="1" customWidth="1"/>
    <col min="6" max="6" width="14.796875" style="29" customWidth="1"/>
    <col min="7" max="7" width="27.796875" style="29" customWidth="1"/>
    <col min="8" max="8" width="29" style="29" bestFit="1" customWidth="1"/>
    <col min="9" max="9" width="65.19921875" style="29" bestFit="1" customWidth="1"/>
    <col min="10" max="16384" width="12.796875" style="29"/>
  </cols>
  <sheetData>
    <row r="1" spans="1:16" s="30" customFormat="1" ht="21" customHeight="1" x14ac:dyDescent="0.15">
      <c r="A1" s="30" t="s">
        <v>507</v>
      </c>
      <c r="B1" s="30" t="s">
        <v>508</v>
      </c>
      <c r="C1" s="30" t="s">
        <v>251</v>
      </c>
      <c r="D1" s="30" t="s">
        <v>259</v>
      </c>
      <c r="E1" s="30" t="s">
        <v>509</v>
      </c>
      <c r="G1" s="30" t="s">
        <v>506</v>
      </c>
      <c r="H1" s="30" t="s">
        <v>510</v>
      </c>
      <c r="I1" s="30" t="s">
        <v>511</v>
      </c>
    </row>
    <row r="2" spans="1:16" s="30" customFormat="1" ht="21" customHeight="1" x14ac:dyDescent="0.15">
      <c r="A2" s="4" t="s">
        <v>261</v>
      </c>
      <c r="B2" s="4" t="s">
        <v>244</v>
      </c>
      <c r="C2" s="4" t="s">
        <v>245</v>
      </c>
      <c r="D2" s="25" t="s">
        <v>260</v>
      </c>
      <c r="E2" s="4" t="s">
        <v>246</v>
      </c>
      <c r="F2" s="36" t="s">
        <v>793</v>
      </c>
      <c r="G2" s="36" t="s">
        <v>252</v>
      </c>
      <c r="H2" s="36" t="s">
        <v>253</v>
      </c>
      <c r="I2" s="36" t="s">
        <v>254</v>
      </c>
      <c r="J2" s="70" t="s">
        <v>847</v>
      </c>
      <c r="K2" s="70" t="s">
        <v>848</v>
      </c>
      <c r="L2" s="70" t="s">
        <v>849</v>
      </c>
      <c r="M2" s="70" t="s">
        <v>850</v>
      </c>
      <c r="N2" s="70" t="s">
        <v>851</v>
      </c>
      <c r="O2" s="70" t="s">
        <v>852</v>
      </c>
      <c r="P2" s="70" t="s">
        <v>853</v>
      </c>
    </row>
    <row r="3" spans="1:16" s="30" customFormat="1" ht="21" customHeight="1" x14ac:dyDescent="0.15">
      <c r="A3" s="44" t="s">
        <v>538</v>
      </c>
      <c r="B3" s="27" t="s">
        <v>247</v>
      </c>
      <c r="C3" s="40">
        <v>77</v>
      </c>
      <c r="D3" s="26" t="str">
        <f ca="1">IF(B3="unit",VLOOKUP($C3,OFFSET([3]characters!$A$1,0,0,COUNTA([3]characters!$A:$A),MATCH(D$1,[3]characters!$1:$1,0)-MATCH($C$1,[3]characters!$1:$1,0)+1),MATCH(D$1,[3]characters!$1:$1,0)-MATCH($C$1,[3]characters!$1:$1,0)+1,FALSE),C3)</f>
        <v>潜伏型メリッサ</v>
      </c>
      <c r="E3" s="27">
        <v>1</v>
      </c>
      <c r="F3" s="27" t="s">
        <v>792</v>
      </c>
      <c r="G3" s="26" t="str">
        <f t="shared" ref="G3:G92" ca="1" si="0">IF(B3="unit",D3&amp;" x "&amp;E3,IF(B3="polygon","ポリゴン x "&amp;C3,IF(B3="bit","ビット x "&amp;C3,IF(B3="link","リンク x "&amp;C3,"＊報酬未設定＊"))))</f>
        <v>潜伏型メリッサ x 1</v>
      </c>
      <c r="H3" s="27" t="s">
        <v>240</v>
      </c>
      <c r="I3" s="26" t="str">
        <f t="shared" ref="I3:I8" ca="1" si="1">H3&amp;"で 【"&amp;G3&amp;"】 をゲット！"</f>
        <v>ミッション達成報酬で 【潜伏型メリッサ x 1】 をゲット！</v>
      </c>
      <c r="J3" s="71">
        <v>0</v>
      </c>
      <c r="K3" s="71">
        <v>1</v>
      </c>
      <c r="L3" s="71">
        <v>0</v>
      </c>
      <c r="M3" s="71">
        <v>0</v>
      </c>
      <c r="N3" s="71">
        <v>0</v>
      </c>
      <c r="O3" s="71">
        <v>1</v>
      </c>
      <c r="P3" s="71">
        <v>1</v>
      </c>
    </row>
    <row r="4" spans="1:16" s="30" customFormat="1" ht="21" customHeight="1" x14ac:dyDescent="0.15">
      <c r="A4" s="44" t="s">
        <v>539</v>
      </c>
      <c r="B4" s="27" t="s">
        <v>247</v>
      </c>
      <c r="C4" s="40">
        <v>79</v>
      </c>
      <c r="D4" s="26" t="str">
        <f ca="1">IF(B4="unit",VLOOKUP($C4,OFFSET([3]characters!$A$1,0,0,COUNTA([3]characters!$A:$A),MATCH(D$1,[3]characters!$1:$1,0)-MATCH($C$1,[3]characters!$1:$1,0)+1),MATCH(D$1,[3]characters!$1:$1,0)-MATCH($C$1,[3]characters!$1:$1,0)+1,FALSE),C4)</f>
        <v>ハッピー100</v>
      </c>
      <c r="E4" s="27">
        <v>1</v>
      </c>
      <c r="F4" s="27" t="s">
        <v>792</v>
      </c>
      <c r="G4" s="26" t="str">
        <f t="shared" ca="1" si="0"/>
        <v>ハッピー100 x 1</v>
      </c>
      <c r="H4" s="27" t="s">
        <v>240</v>
      </c>
      <c r="I4" s="26" t="str">
        <f t="shared" ca="1" si="1"/>
        <v>ミッション達成報酬で 【ハッピー100 x 1】 をゲット！</v>
      </c>
      <c r="J4" s="71">
        <v>0</v>
      </c>
      <c r="K4" s="71">
        <v>1</v>
      </c>
      <c r="L4" s="71">
        <v>0</v>
      </c>
      <c r="M4" s="71">
        <v>0</v>
      </c>
      <c r="N4" s="71">
        <v>0</v>
      </c>
      <c r="O4" s="71">
        <v>1</v>
      </c>
      <c r="P4" s="71">
        <v>1</v>
      </c>
    </row>
    <row r="5" spans="1:16" s="30" customFormat="1" ht="21" customHeight="1" x14ac:dyDescent="0.15">
      <c r="A5" s="44" t="s">
        <v>540</v>
      </c>
      <c r="B5" s="27" t="s">
        <v>247</v>
      </c>
      <c r="C5" s="40">
        <v>81</v>
      </c>
      <c r="D5" s="26" t="str">
        <f ca="1">IF(B5="unit",VLOOKUP($C5,OFFSET([3]characters!$A$1,0,0,COUNTA([3]characters!$A:$A),MATCH(D$1,[3]characters!$1:$1,0)-MATCH($C$1,[3]characters!$1:$1,0)+1),MATCH(D$1,[3]characters!$1:$1,0)-MATCH($C$1,[3]characters!$1:$1,0)+1,FALSE),C5)</f>
        <v>増幅型モリス</v>
      </c>
      <c r="E5" s="27">
        <v>1</v>
      </c>
      <c r="F5" s="27" t="s">
        <v>792</v>
      </c>
      <c r="G5" s="26" t="str">
        <f ca="1">IF(B5="unit",D5&amp;" x "&amp;E5,IF(B5="polygon","ポリゴン x "&amp;C5,IF(B5="bit","ビット x "&amp;C5,IF(B5="link","リンク x "&amp;C5,"＊報酬未設定＊"))))</f>
        <v>増幅型モリス x 1</v>
      </c>
      <c r="H5" s="27" t="s">
        <v>240</v>
      </c>
      <c r="I5" s="26" t="str">
        <f t="shared" ca="1" si="1"/>
        <v>ミッション達成報酬で 【増幅型モリス x 1】 をゲット！</v>
      </c>
      <c r="J5" s="71">
        <v>0</v>
      </c>
      <c r="K5" s="71">
        <v>1</v>
      </c>
      <c r="L5" s="71">
        <v>0</v>
      </c>
      <c r="M5" s="71">
        <v>0</v>
      </c>
      <c r="N5" s="71">
        <v>0</v>
      </c>
      <c r="O5" s="71">
        <v>1</v>
      </c>
      <c r="P5" s="71">
        <v>1</v>
      </c>
    </row>
    <row r="6" spans="1:16" s="30" customFormat="1" ht="21" customHeight="1" x14ac:dyDescent="0.15">
      <c r="A6" s="44" t="s">
        <v>541</v>
      </c>
      <c r="B6" s="27" t="s">
        <v>247</v>
      </c>
      <c r="C6" s="40">
        <v>83</v>
      </c>
      <c r="D6" s="26" t="str">
        <f ca="1">IF(B6="unit",VLOOKUP($C6,OFFSET([3]characters!$A$1,0,0,COUNTA([3]characters!$A:$A),MATCH(D$1,[3]characters!$1:$1,0)-MATCH($C$1,[3]characters!$1:$1,0)+1),MATCH(D$1,[3]characters!$1:$1,0)-MATCH($C$1,[3]characters!$1:$1,0)+1,FALSE),C6)</f>
        <v>拡散性ニムダ</v>
      </c>
      <c r="E6" s="27">
        <v>1</v>
      </c>
      <c r="F6" s="27" t="s">
        <v>792</v>
      </c>
      <c r="G6" s="26" t="str">
        <f ca="1">IF(B6="unit",D6&amp;" x "&amp;E6,IF(B6="polygon","ポリゴン x "&amp;C6,IF(B6="bit","ビット x "&amp;C6,IF(B6="link","リンク x "&amp;C6,"＊報酬未設定＊"))))</f>
        <v>拡散性ニムダ x 1</v>
      </c>
      <c r="H6" s="27" t="s">
        <v>240</v>
      </c>
      <c r="I6" s="26" t="str">
        <f ca="1">H6&amp;"で 【"&amp;G6&amp;"】 をゲット！"</f>
        <v>ミッション達成報酬で 【拡散性ニムダ x 1】 をゲット！</v>
      </c>
      <c r="J6" s="71">
        <v>0</v>
      </c>
      <c r="K6" s="71">
        <v>1</v>
      </c>
      <c r="L6" s="71">
        <v>0</v>
      </c>
      <c r="M6" s="71">
        <v>0</v>
      </c>
      <c r="N6" s="71">
        <v>0</v>
      </c>
      <c r="O6" s="71">
        <v>1</v>
      </c>
      <c r="P6" s="71">
        <v>1</v>
      </c>
    </row>
    <row r="7" spans="1:16" s="30" customFormat="1" ht="21" customHeight="1" x14ac:dyDescent="0.15">
      <c r="A7" s="44" t="s">
        <v>950</v>
      </c>
      <c r="B7" s="27" t="s">
        <v>247</v>
      </c>
      <c r="C7" s="40">
        <v>555</v>
      </c>
      <c r="D7" s="26" t="str">
        <f ca="1">IF(B7="unit",VLOOKUP($C7,OFFSET([3]characters!$A$1,0,0,COUNTA([3]characters!$A:$A),MATCH(D$1,[3]characters!$1:$1,0)-MATCH($C$1,[3]characters!$1:$1,0)+1),MATCH(D$1,[3]characters!$1:$1,0)-MATCH($C$1,[3]characters!$1:$1,0)+1,FALSE),C7)</f>
        <v>雪ミク2014</v>
      </c>
      <c r="E7" s="27">
        <v>1</v>
      </c>
      <c r="F7" s="27" t="s">
        <v>792</v>
      </c>
      <c r="G7" s="26" t="str">
        <f t="shared" ref="G7:G8" ca="1" si="2">IF(B7="unit",D7&amp;" x "&amp;E7,IF(B7="polygon","ポリゴン x "&amp;C7,IF(B7="bit","ビット x "&amp;C7,IF(B7="link","リンク x "&amp;C7,"＊報酬未設定＊"))))</f>
        <v>雪ミク2014 x 1</v>
      </c>
      <c r="H7" s="27" t="s">
        <v>240</v>
      </c>
      <c r="I7" s="26" t="str">
        <f t="shared" ca="1" si="1"/>
        <v>ミッション達成報酬で 【雪ミク2014 x 1】 をゲット！</v>
      </c>
      <c r="J7" s="71">
        <v>0</v>
      </c>
      <c r="K7" s="71">
        <v>1</v>
      </c>
      <c r="L7" s="71">
        <v>0</v>
      </c>
      <c r="M7" s="71">
        <v>0</v>
      </c>
      <c r="N7" s="71">
        <v>0</v>
      </c>
      <c r="O7" s="71">
        <v>1</v>
      </c>
      <c r="P7" s="71">
        <v>1</v>
      </c>
    </row>
    <row r="8" spans="1:16" s="30" customFormat="1" ht="21" customHeight="1" x14ac:dyDescent="0.15">
      <c r="A8" s="44" t="s">
        <v>952</v>
      </c>
      <c r="B8" s="27" t="s">
        <v>247</v>
      </c>
      <c r="C8" s="40">
        <v>553</v>
      </c>
      <c r="D8" s="26" t="str">
        <f ca="1">IF(B8="unit",VLOOKUP($C8,OFFSET([3]characters!$A$1,0,0,COUNTA([3]characters!$A:$A),MATCH(D$1,[3]characters!$1:$1,0)-MATCH($C$1,[3]characters!$1:$1,0)+1),MATCH(D$1,[3]characters!$1:$1,0)-MATCH($C$1,[3]characters!$1:$1,0)+1,FALSE),C8)</f>
        <v>雪ミク2016</v>
      </c>
      <c r="E8" s="27">
        <v>1</v>
      </c>
      <c r="F8" s="27" t="s">
        <v>792</v>
      </c>
      <c r="G8" s="26" t="str">
        <f t="shared" ca="1" si="2"/>
        <v>雪ミク2016 x 1</v>
      </c>
      <c r="H8" s="27" t="s">
        <v>240</v>
      </c>
      <c r="I8" s="26" t="str">
        <f t="shared" ca="1" si="1"/>
        <v>ミッション達成報酬で 【雪ミク2016 x 1】 をゲット！</v>
      </c>
      <c r="J8" s="71">
        <v>0</v>
      </c>
      <c r="K8" s="71">
        <v>1</v>
      </c>
      <c r="L8" s="71">
        <v>0</v>
      </c>
      <c r="M8" s="71">
        <v>0</v>
      </c>
      <c r="N8" s="71">
        <v>0</v>
      </c>
      <c r="O8" s="71">
        <v>1</v>
      </c>
      <c r="P8" s="71">
        <v>1</v>
      </c>
    </row>
    <row r="9" spans="1:16" ht="21" customHeight="1" x14ac:dyDescent="0.15">
      <c r="A9" s="27" t="s">
        <v>537</v>
      </c>
      <c r="B9" s="27" t="s">
        <v>247</v>
      </c>
      <c r="C9" s="27">
        <v>333</v>
      </c>
      <c r="D9" s="26" t="str">
        <f ca="1">IF(B9="unit",VLOOKUP($C9,OFFSET([3]characters!$A$1,0,0,COUNTA([3]characters!$A:$A),MATCH(D$1,[3]characters!$1:$1,0)-MATCH($C$1,[3]characters!$1:$1,0)+1),MATCH(D$1,[3]characters!$1:$1,0)-MATCH($C$1,[3]characters!$1:$1,0)+1,FALSE),C9)</f>
        <v>炎のメタルチック</v>
      </c>
      <c r="E9" s="27">
        <v>1</v>
      </c>
      <c r="F9" s="27" t="s">
        <v>792</v>
      </c>
      <c r="G9" s="26" t="str">
        <f t="shared" ca="1" si="0"/>
        <v>炎のメタルチック x 1</v>
      </c>
      <c r="H9" s="27" t="s">
        <v>240</v>
      </c>
      <c r="I9" s="26" t="str">
        <f t="shared" ref="I9:I108" ca="1" si="3">H9&amp;"で 【"&amp;G9&amp;"】 をゲット！"</f>
        <v>ミッション達成報酬で 【炎のメタルチック x 1】 をゲット！</v>
      </c>
      <c r="J9" s="71">
        <v>0</v>
      </c>
      <c r="K9" s="71">
        <v>1</v>
      </c>
      <c r="L9" s="71">
        <v>0</v>
      </c>
      <c r="M9" s="71">
        <v>0</v>
      </c>
      <c r="N9" s="71">
        <v>0</v>
      </c>
      <c r="O9" s="71">
        <v>1</v>
      </c>
      <c r="P9" s="71">
        <v>1</v>
      </c>
    </row>
    <row r="10" spans="1:16" ht="21" customHeight="1" x14ac:dyDescent="0.15">
      <c r="A10" s="27" t="s">
        <v>421</v>
      </c>
      <c r="B10" s="27" t="s">
        <v>247</v>
      </c>
      <c r="C10" s="27">
        <v>117</v>
      </c>
      <c r="D10" s="26" t="str">
        <f ca="1">IF(B10="unit",VLOOKUP($C10,OFFSET([3]characters!$A$1,0,0,COUNTA([3]characters!$A:$A),MATCH(D$1,[3]characters!$1:$1,0)-MATCH($C$1,[3]characters!$1:$1,0)+1),MATCH(D$1,[3]characters!$1:$1,0)-MATCH($C$1,[3]characters!$1:$1,0)+1,FALSE),C10)</f>
        <v>ゴールドピヨピヨ</v>
      </c>
      <c r="E10" s="27">
        <v>1</v>
      </c>
      <c r="F10" s="27" t="s">
        <v>792</v>
      </c>
      <c r="G10" s="26" t="str">
        <f t="shared" ca="1" si="0"/>
        <v>ゴールドピヨピヨ x 1</v>
      </c>
      <c r="H10" s="27" t="s">
        <v>240</v>
      </c>
      <c r="I10" s="26" t="str">
        <f t="shared" ca="1" si="3"/>
        <v>ミッション達成報酬で 【ゴールドピヨピヨ x 1】 をゲット！</v>
      </c>
      <c r="J10" s="71">
        <v>0</v>
      </c>
      <c r="K10" s="71">
        <v>1</v>
      </c>
      <c r="L10" s="71">
        <v>0</v>
      </c>
      <c r="M10" s="71">
        <v>0</v>
      </c>
      <c r="N10" s="71">
        <v>0</v>
      </c>
      <c r="O10" s="71">
        <v>1</v>
      </c>
      <c r="P10" s="71">
        <v>1</v>
      </c>
    </row>
    <row r="11" spans="1:16" ht="21" customHeight="1" x14ac:dyDescent="0.15">
      <c r="A11" s="27" t="s">
        <v>422</v>
      </c>
      <c r="B11" s="27" t="s">
        <v>247</v>
      </c>
      <c r="C11" s="27">
        <v>118</v>
      </c>
      <c r="D11" s="26" t="str">
        <f ca="1">IF(B11="unit",VLOOKUP($C11,OFFSET([3]characters!$A$1,0,0,COUNTA([3]characters!$A:$A),MATCH(D$1,[3]characters!$1:$1,0)-MATCH($C$1,[3]characters!$1:$1,0)+1),MATCH(D$1,[3]characters!$1:$1,0)-MATCH($C$1,[3]characters!$1:$1,0)+1,FALSE),C11)</f>
        <v>ゴールドチック</v>
      </c>
      <c r="E11" s="27">
        <v>1</v>
      </c>
      <c r="F11" s="27" t="s">
        <v>792</v>
      </c>
      <c r="G11" s="26" t="str">
        <f t="shared" ca="1" si="0"/>
        <v>ゴールドチック x 1</v>
      </c>
      <c r="H11" s="27" t="s">
        <v>240</v>
      </c>
      <c r="I11" s="26" t="str">
        <f t="shared" ca="1" si="3"/>
        <v>ミッション達成報酬で 【ゴールドチック x 1】 をゲット！</v>
      </c>
      <c r="J11" s="71">
        <v>0</v>
      </c>
      <c r="K11" s="71">
        <v>1</v>
      </c>
      <c r="L11" s="71">
        <v>0</v>
      </c>
      <c r="M11" s="71">
        <v>0</v>
      </c>
      <c r="N11" s="71">
        <v>0</v>
      </c>
      <c r="O11" s="71">
        <v>1</v>
      </c>
      <c r="P11" s="71">
        <v>1</v>
      </c>
    </row>
    <row r="12" spans="1:16" ht="21" customHeight="1" x14ac:dyDescent="0.15">
      <c r="A12" s="27" t="s">
        <v>423</v>
      </c>
      <c r="B12" s="27" t="s">
        <v>247</v>
      </c>
      <c r="C12" s="27">
        <v>119</v>
      </c>
      <c r="D12" s="26" t="str">
        <f ca="1">IF(B12="unit",VLOOKUP($C12,OFFSET([3]characters!$A$1,0,0,COUNTA([3]characters!$A:$A),MATCH(D$1,[3]characters!$1:$1,0)-MATCH($C$1,[3]characters!$1:$1,0)+1),MATCH(D$1,[3]characters!$1:$1,0)-MATCH($C$1,[3]characters!$1:$1,0)+1,FALSE),C12)</f>
        <v>ゴールドダック</v>
      </c>
      <c r="E12" s="27">
        <v>1</v>
      </c>
      <c r="F12" s="27" t="s">
        <v>792</v>
      </c>
      <c r="G12" s="26" t="str">
        <f t="shared" ca="1" si="0"/>
        <v>ゴールドダック x 1</v>
      </c>
      <c r="H12" s="27" t="s">
        <v>240</v>
      </c>
      <c r="I12" s="26" t="str">
        <f t="shared" ca="1" si="3"/>
        <v>ミッション達成報酬で 【ゴールドダック x 1】 をゲット！</v>
      </c>
      <c r="J12" s="71">
        <v>0</v>
      </c>
      <c r="K12" s="71">
        <v>1</v>
      </c>
      <c r="L12" s="71">
        <v>0</v>
      </c>
      <c r="M12" s="71">
        <v>0</v>
      </c>
      <c r="N12" s="71">
        <v>0</v>
      </c>
      <c r="O12" s="71">
        <v>1</v>
      </c>
      <c r="P12" s="71">
        <v>1</v>
      </c>
    </row>
    <row r="13" spans="1:16" ht="21" customHeight="1" x14ac:dyDescent="0.15">
      <c r="A13" s="27" t="s">
        <v>428</v>
      </c>
      <c r="B13" s="27" t="s">
        <v>247</v>
      </c>
      <c r="C13" s="27">
        <v>119</v>
      </c>
      <c r="D13" s="26" t="str">
        <f ca="1">IF(B13="unit",VLOOKUP($C13,OFFSET([3]characters!$A$1,0,0,COUNTA([3]characters!$A:$A),MATCH(D$1,[3]characters!$1:$1,0)-MATCH($C$1,[3]characters!$1:$1,0)+1),MATCH(D$1,[3]characters!$1:$1,0)-MATCH($C$1,[3]characters!$1:$1,0)+1,FALSE),C13)</f>
        <v>ゴールドダック</v>
      </c>
      <c r="E13" s="27">
        <v>3</v>
      </c>
      <c r="F13" s="27" t="s">
        <v>792</v>
      </c>
      <c r="G13" s="26" t="str">
        <f t="shared" ca="1" si="0"/>
        <v>ゴールドダック x 3</v>
      </c>
      <c r="H13" s="27" t="s">
        <v>240</v>
      </c>
      <c r="I13" s="26" t="str">
        <f t="shared" ca="1" si="3"/>
        <v>ミッション達成報酬で 【ゴールドダック x 3】 をゲット！</v>
      </c>
      <c r="J13" s="71">
        <v>0</v>
      </c>
      <c r="K13" s="71">
        <v>1</v>
      </c>
      <c r="L13" s="71">
        <v>0</v>
      </c>
      <c r="M13" s="71">
        <v>0</v>
      </c>
      <c r="N13" s="71">
        <v>0</v>
      </c>
      <c r="O13" s="71">
        <v>1</v>
      </c>
      <c r="P13" s="71">
        <v>1</v>
      </c>
    </row>
    <row r="14" spans="1:16" ht="21" customHeight="1" x14ac:dyDescent="0.15">
      <c r="A14" s="27" t="s">
        <v>1267</v>
      </c>
      <c r="B14" s="27" t="s">
        <v>247</v>
      </c>
      <c r="C14" s="27">
        <v>120</v>
      </c>
      <c r="D14" s="26" t="str">
        <f ca="1">IF(B14="unit",VLOOKUP($C14,OFFSET([3]characters!$A$1,0,0,COUNTA([3]characters!$A:$A),MATCH(D$1,[3]characters!$1:$1,0)-MATCH($C$1,[3]characters!$1:$1,0)+1),MATCH(D$1,[3]characters!$1:$1,0)-MATCH($C$1,[3]characters!$1:$1,0)+1,FALSE),C14)</f>
        <v>ゴールドキング</v>
      </c>
      <c r="E14" s="27">
        <v>1</v>
      </c>
      <c r="F14" s="27" t="s">
        <v>792</v>
      </c>
      <c r="G14" s="26" t="str">
        <f t="shared" ref="G14" ca="1" si="4">IF(B14="unit",D14&amp;" x "&amp;E14,IF(B14="polygon","ポリゴン x "&amp;C14,IF(B14="bit","ビット x "&amp;C14,IF(B14="link","リンク x "&amp;C14,"＊報酬未設定＊"))))</f>
        <v>ゴールドキング x 1</v>
      </c>
      <c r="H14" s="27" t="s">
        <v>240</v>
      </c>
      <c r="I14" s="26" t="str">
        <f t="shared" ref="I14" ca="1" si="5">H14&amp;"で 【"&amp;G14&amp;"】 をゲット！"</f>
        <v>ミッション達成報酬で 【ゴールドキング x 1】 をゲット！</v>
      </c>
      <c r="J14" s="71">
        <v>0</v>
      </c>
      <c r="K14" s="71">
        <v>1</v>
      </c>
      <c r="L14" s="71">
        <v>0</v>
      </c>
      <c r="M14" s="71">
        <v>0</v>
      </c>
      <c r="N14" s="71">
        <v>0</v>
      </c>
      <c r="O14" s="71">
        <v>1</v>
      </c>
      <c r="P14" s="71">
        <v>1</v>
      </c>
    </row>
    <row r="15" spans="1:16" ht="21" customHeight="1" x14ac:dyDescent="0.15">
      <c r="A15" s="27" t="s">
        <v>424</v>
      </c>
      <c r="B15" s="27" t="s">
        <v>247</v>
      </c>
      <c r="C15" s="27">
        <v>121</v>
      </c>
      <c r="D15" s="26" t="str">
        <f ca="1">IF(B15="unit",VLOOKUP($C15,OFFSET([3]characters!$A$1,0,0,COUNTA([3]characters!$A:$A),MATCH(D$1,[3]characters!$1:$1,0)-MATCH($C$1,[3]characters!$1:$1,0)+1),MATCH(D$1,[3]characters!$1:$1,0)-MATCH($C$1,[3]characters!$1:$1,0)+1,FALSE),C15)</f>
        <v>攻めの果実</v>
      </c>
      <c r="E15" s="27">
        <v>1</v>
      </c>
      <c r="F15" s="27" t="s">
        <v>792</v>
      </c>
      <c r="G15" s="26" t="str">
        <f t="shared" ca="1" si="0"/>
        <v>攻めの果実 x 1</v>
      </c>
      <c r="H15" s="27" t="s">
        <v>240</v>
      </c>
      <c r="I15" s="26" t="str">
        <f t="shared" ca="1" si="3"/>
        <v>ミッション達成報酬で 【攻めの果実 x 1】 をゲット！</v>
      </c>
      <c r="J15" s="71">
        <v>0</v>
      </c>
      <c r="K15" s="71">
        <v>1</v>
      </c>
      <c r="L15" s="71">
        <v>0</v>
      </c>
      <c r="M15" s="71">
        <v>0</v>
      </c>
      <c r="N15" s="71">
        <v>0</v>
      </c>
      <c r="O15" s="71">
        <v>1</v>
      </c>
      <c r="P15" s="71">
        <v>1</v>
      </c>
    </row>
    <row r="16" spans="1:16" ht="21" customHeight="1" x14ac:dyDescent="0.15">
      <c r="A16" s="27" t="s">
        <v>429</v>
      </c>
      <c r="B16" s="27" t="s">
        <v>247</v>
      </c>
      <c r="C16" s="27">
        <v>121</v>
      </c>
      <c r="D16" s="26" t="str">
        <f ca="1">IF(B16="unit",VLOOKUP($C16,OFFSET([3]characters!$A$1,0,0,COUNTA([3]characters!$A:$A),MATCH(D$1,[3]characters!$1:$1,0)-MATCH($C$1,[3]characters!$1:$1,0)+1),MATCH(D$1,[3]characters!$1:$1,0)-MATCH($C$1,[3]characters!$1:$1,0)+1,FALSE),C16)</f>
        <v>攻めの果実</v>
      </c>
      <c r="E16" s="27">
        <v>3</v>
      </c>
      <c r="F16" s="27" t="s">
        <v>792</v>
      </c>
      <c r="G16" s="26" t="str">
        <f t="shared" ca="1" si="0"/>
        <v>攻めの果実 x 3</v>
      </c>
      <c r="H16" s="27" t="s">
        <v>240</v>
      </c>
      <c r="I16" s="26" t="str">
        <f t="shared" ref="I16" ca="1" si="6">H16&amp;"で 【"&amp;G16&amp;"】 をゲット！"</f>
        <v>ミッション達成報酬で 【攻めの果実 x 3】 をゲット！</v>
      </c>
      <c r="J16" s="71">
        <v>0</v>
      </c>
      <c r="K16" s="71">
        <v>1</v>
      </c>
      <c r="L16" s="71">
        <v>0</v>
      </c>
      <c r="M16" s="71">
        <v>0</v>
      </c>
      <c r="N16" s="71">
        <v>0</v>
      </c>
      <c r="O16" s="71">
        <v>1</v>
      </c>
      <c r="P16" s="71">
        <v>1</v>
      </c>
    </row>
    <row r="17" spans="1:16" ht="21" customHeight="1" x14ac:dyDescent="0.15">
      <c r="A17" s="27" t="s">
        <v>425</v>
      </c>
      <c r="B17" s="27" t="s">
        <v>247</v>
      </c>
      <c r="C17" s="27">
        <v>122</v>
      </c>
      <c r="D17" s="26" t="str">
        <f ca="1">IF(B17="unit",VLOOKUP($C17,OFFSET([3]characters!$A$1,0,0,COUNTA([3]characters!$A:$A),MATCH(D$1,[3]characters!$1:$1,0)-MATCH($C$1,[3]characters!$1:$1,0)+1),MATCH(D$1,[3]characters!$1:$1,0)-MATCH($C$1,[3]characters!$1:$1,0)+1,FALSE),C17)</f>
        <v>生命の果実</v>
      </c>
      <c r="E17" s="27">
        <v>1</v>
      </c>
      <c r="F17" s="27" t="s">
        <v>792</v>
      </c>
      <c r="G17" s="26" t="str">
        <f t="shared" ca="1" si="0"/>
        <v>生命の果実 x 1</v>
      </c>
      <c r="H17" s="27" t="s">
        <v>240</v>
      </c>
      <c r="I17" s="26" t="str">
        <f t="shared" ca="1" si="3"/>
        <v>ミッション達成報酬で 【生命の果実 x 1】 をゲット！</v>
      </c>
      <c r="J17" s="71">
        <v>0</v>
      </c>
      <c r="K17" s="71">
        <v>1</v>
      </c>
      <c r="L17" s="71">
        <v>0</v>
      </c>
      <c r="M17" s="71">
        <v>0</v>
      </c>
      <c r="N17" s="71">
        <v>0</v>
      </c>
      <c r="O17" s="71">
        <v>1</v>
      </c>
      <c r="P17" s="71">
        <v>1</v>
      </c>
    </row>
    <row r="18" spans="1:16" ht="21" customHeight="1" x14ac:dyDescent="0.15">
      <c r="A18" s="27" t="s">
        <v>430</v>
      </c>
      <c r="B18" s="27" t="s">
        <v>247</v>
      </c>
      <c r="C18" s="27">
        <v>122</v>
      </c>
      <c r="D18" s="26" t="str">
        <f ca="1">IF(B18="unit",VLOOKUP($C18,OFFSET([3]characters!$A$1,0,0,COUNTA([3]characters!$A:$A),MATCH(D$1,[3]characters!$1:$1,0)-MATCH($C$1,[3]characters!$1:$1,0)+1),MATCH(D$1,[3]characters!$1:$1,0)-MATCH($C$1,[3]characters!$1:$1,0)+1,FALSE),C18)</f>
        <v>生命の果実</v>
      </c>
      <c r="E18" s="27">
        <v>3</v>
      </c>
      <c r="F18" s="27" t="s">
        <v>792</v>
      </c>
      <c r="G18" s="26" t="str">
        <f t="shared" ca="1" si="0"/>
        <v>生命の果実 x 3</v>
      </c>
      <c r="H18" s="27" t="s">
        <v>240</v>
      </c>
      <c r="I18" s="26" t="str">
        <f t="shared" ref="I18" ca="1" si="7">H18&amp;"で 【"&amp;G18&amp;"】 をゲット！"</f>
        <v>ミッション達成報酬で 【生命の果実 x 3】 をゲット！</v>
      </c>
      <c r="J18" s="71">
        <v>0</v>
      </c>
      <c r="K18" s="71">
        <v>1</v>
      </c>
      <c r="L18" s="71">
        <v>0</v>
      </c>
      <c r="M18" s="71">
        <v>0</v>
      </c>
      <c r="N18" s="71">
        <v>0</v>
      </c>
      <c r="O18" s="71">
        <v>1</v>
      </c>
      <c r="P18" s="71">
        <v>1</v>
      </c>
    </row>
    <row r="19" spans="1:16" ht="21" customHeight="1" x14ac:dyDescent="0.15">
      <c r="A19" s="27" t="s">
        <v>426</v>
      </c>
      <c r="B19" s="27" t="s">
        <v>247</v>
      </c>
      <c r="C19" s="27">
        <v>123</v>
      </c>
      <c r="D19" s="26" t="str">
        <f ca="1">IF(B19="unit",VLOOKUP($C19,OFFSET([3]characters!$A$1,0,0,COUNTA([3]characters!$A:$A),MATCH(D$1,[3]characters!$1:$1,0)-MATCH($C$1,[3]characters!$1:$1,0)+1),MATCH(D$1,[3]characters!$1:$1,0)-MATCH($C$1,[3]characters!$1:$1,0)+1,FALSE),C19)</f>
        <v>癒しの果実</v>
      </c>
      <c r="E19" s="27">
        <v>1</v>
      </c>
      <c r="F19" s="27" t="s">
        <v>792</v>
      </c>
      <c r="G19" s="26" t="str">
        <f t="shared" ca="1" si="0"/>
        <v>癒しの果実 x 1</v>
      </c>
      <c r="H19" s="27" t="s">
        <v>240</v>
      </c>
      <c r="I19" s="26" t="str">
        <f t="shared" ca="1" si="3"/>
        <v>ミッション達成報酬で 【癒しの果実 x 1】 をゲット！</v>
      </c>
      <c r="J19" s="71">
        <v>0</v>
      </c>
      <c r="K19" s="71">
        <v>1</v>
      </c>
      <c r="L19" s="71">
        <v>0</v>
      </c>
      <c r="M19" s="71">
        <v>0</v>
      </c>
      <c r="N19" s="71">
        <v>0</v>
      </c>
      <c r="O19" s="71">
        <v>1</v>
      </c>
      <c r="P19" s="71">
        <v>1</v>
      </c>
    </row>
    <row r="20" spans="1:16" ht="21" customHeight="1" x14ac:dyDescent="0.15">
      <c r="A20" s="27" t="s">
        <v>431</v>
      </c>
      <c r="B20" s="27" t="s">
        <v>247</v>
      </c>
      <c r="C20" s="27">
        <v>123</v>
      </c>
      <c r="D20" s="26" t="str">
        <f ca="1">IF(B20="unit",VLOOKUP($C20,OFFSET([3]characters!$A$1,0,0,COUNTA([3]characters!$A:$A),MATCH(D$1,[3]characters!$1:$1,0)-MATCH($C$1,[3]characters!$1:$1,0)+1),MATCH(D$1,[3]characters!$1:$1,0)-MATCH($C$1,[3]characters!$1:$1,0)+1,FALSE),C20)</f>
        <v>癒しの果実</v>
      </c>
      <c r="E20" s="27">
        <v>3</v>
      </c>
      <c r="F20" s="27" t="s">
        <v>792</v>
      </c>
      <c r="G20" s="26" t="str">
        <f t="shared" ca="1" si="0"/>
        <v>癒しの果実 x 3</v>
      </c>
      <c r="H20" s="27" t="s">
        <v>240</v>
      </c>
      <c r="I20" s="26" t="str">
        <f t="shared" ref="I20" ca="1" si="8">H20&amp;"で 【"&amp;G20&amp;"】 をゲット！"</f>
        <v>ミッション達成報酬で 【癒しの果実 x 3】 をゲット！</v>
      </c>
      <c r="J20" s="71">
        <v>0</v>
      </c>
      <c r="K20" s="71">
        <v>1</v>
      </c>
      <c r="L20" s="71">
        <v>0</v>
      </c>
      <c r="M20" s="71">
        <v>0</v>
      </c>
      <c r="N20" s="71">
        <v>0</v>
      </c>
      <c r="O20" s="71">
        <v>1</v>
      </c>
      <c r="P20" s="71">
        <v>1</v>
      </c>
    </row>
    <row r="21" spans="1:16" ht="21" customHeight="1" x14ac:dyDescent="0.15">
      <c r="A21" s="27" t="s">
        <v>427</v>
      </c>
      <c r="B21" s="27" t="s">
        <v>247</v>
      </c>
      <c r="C21" s="27">
        <v>124</v>
      </c>
      <c r="D21" s="26" t="str">
        <f ca="1">IF(B21="unit",VLOOKUP($C21,OFFSET([3]characters!$A$1,0,0,COUNTA([3]characters!$A:$A),MATCH(D$1,[3]characters!$1:$1,0)-MATCH($C$1,[3]characters!$1:$1,0)+1),MATCH(D$1,[3]characters!$1:$1,0)-MATCH($C$1,[3]characters!$1:$1,0)+1,FALSE),C21)</f>
        <v>黄金の果実</v>
      </c>
      <c r="E21" s="27">
        <v>1</v>
      </c>
      <c r="F21" s="27" t="s">
        <v>792</v>
      </c>
      <c r="G21" s="26" t="str">
        <f t="shared" ca="1" si="0"/>
        <v>黄金の果実 x 1</v>
      </c>
      <c r="H21" s="27" t="s">
        <v>240</v>
      </c>
      <c r="I21" s="26" t="str">
        <f t="shared" ca="1" si="3"/>
        <v>ミッション達成報酬で 【黄金の果実 x 1】 をゲット！</v>
      </c>
      <c r="J21" s="71">
        <v>0</v>
      </c>
      <c r="K21" s="71">
        <v>1</v>
      </c>
      <c r="L21" s="71">
        <v>0</v>
      </c>
      <c r="M21" s="71">
        <v>0</v>
      </c>
      <c r="N21" s="71">
        <v>0</v>
      </c>
      <c r="O21" s="71">
        <v>1</v>
      </c>
      <c r="P21" s="71">
        <v>1</v>
      </c>
    </row>
    <row r="22" spans="1:16" ht="21" customHeight="1" x14ac:dyDescent="0.15">
      <c r="A22" s="27" t="s">
        <v>854</v>
      </c>
      <c r="B22" s="27" t="s">
        <v>247</v>
      </c>
      <c r="C22" s="27">
        <v>124</v>
      </c>
      <c r="D22" s="26" t="str">
        <f ca="1">IF(B22="unit",VLOOKUP($C22,OFFSET([3]characters!$A$1,0,0,COUNTA([3]characters!$A:$A),MATCH(D$1,[3]characters!$1:$1,0)-MATCH($C$1,[3]characters!$1:$1,0)+1),MATCH(D$1,[3]characters!$1:$1,0)-MATCH($C$1,[3]characters!$1:$1,0)+1,FALSE),C22)</f>
        <v>黄金の果実</v>
      </c>
      <c r="E22" s="27">
        <v>3</v>
      </c>
      <c r="F22" s="27" t="s">
        <v>792</v>
      </c>
      <c r="G22" s="26" t="str">
        <f t="shared" ca="1" si="0"/>
        <v>黄金の果実 x 3</v>
      </c>
      <c r="H22" s="27" t="s">
        <v>240</v>
      </c>
      <c r="I22" s="26" t="str">
        <f t="shared" ref="I22" ca="1" si="9">H22&amp;"で 【"&amp;G22&amp;"】 をゲット！"</f>
        <v>ミッション達成報酬で 【黄金の果実 x 3】 をゲット！</v>
      </c>
      <c r="J22" s="71">
        <v>0</v>
      </c>
      <c r="K22" s="71">
        <v>1</v>
      </c>
      <c r="L22" s="71">
        <v>0</v>
      </c>
      <c r="M22" s="71">
        <v>0</v>
      </c>
      <c r="N22" s="71">
        <v>0</v>
      </c>
      <c r="O22" s="71">
        <v>1</v>
      </c>
      <c r="P22" s="71">
        <v>1</v>
      </c>
    </row>
    <row r="23" spans="1:16" ht="21" customHeight="1" x14ac:dyDescent="0.15">
      <c r="A23" s="27" t="s">
        <v>418</v>
      </c>
      <c r="B23" s="27" t="s">
        <v>247</v>
      </c>
      <c r="C23" s="27">
        <v>125</v>
      </c>
      <c r="D23" s="26" t="str">
        <f ca="1">IF(B23="unit",VLOOKUP($C23,OFFSET([3]characters!$A$1,0,0,COUNTA([3]characters!$A:$A),MATCH(D$1,[3]characters!$1:$1,0)-MATCH($C$1,[3]characters!$1:$1,0)+1),MATCH(D$1,[3]characters!$1:$1,0)-MATCH($C$1,[3]characters!$1:$1,0)+1,FALSE),C23)</f>
        <v>秘術の果実</v>
      </c>
      <c r="E23" s="27">
        <v>1</v>
      </c>
      <c r="F23" s="27" t="s">
        <v>792</v>
      </c>
      <c r="G23" s="26" t="str">
        <f t="shared" ca="1" si="0"/>
        <v>秘術の果実 x 1</v>
      </c>
      <c r="H23" s="27" t="s">
        <v>240</v>
      </c>
      <c r="I23" s="26" t="str">
        <f t="shared" ca="1" si="3"/>
        <v>ミッション達成報酬で 【秘術の果実 x 1】 をゲット！</v>
      </c>
      <c r="J23" s="71">
        <v>0</v>
      </c>
      <c r="K23" s="71">
        <v>1</v>
      </c>
      <c r="L23" s="71">
        <v>0</v>
      </c>
      <c r="M23" s="71">
        <v>0</v>
      </c>
      <c r="N23" s="71">
        <v>0</v>
      </c>
      <c r="O23" s="71">
        <v>1</v>
      </c>
      <c r="P23" s="71">
        <v>1</v>
      </c>
    </row>
    <row r="24" spans="1:16" ht="21" customHeight="1" x14ac:dyDescent="0.15">
      <c r="A24" s="27" t="s">
        <v>432</v>
      </c>
      <c r="B24" s="27" t="s">
        <v>247</v>
      </c>
      <c r="C24" s="27">
        <v>125</v>
      </c>
      <c r="D24" s="26" t="str">
        <f ca="1">IF(B24="unit",VLOOKUP($C24,OFFSET([3]characters!$A$1,0,0,COUNTA([3]characters!$A:$A),MATCH(D$1,[3]characters!$1:$1,0)-MATCH($C$1,[3]characters!$1:$1,0)+1),MATCH(D$1,[3]characters!$1:$1,0)-MATCH($C$1,[3]characters!$1:$1,0)+1,FALSE),C24)</f>
        <v>秘術の果実</v>
      </c>
      <c r="E24" s="27">
        <v>3</v>
      </c>
      <c r="F24" s="27" t="s">
        <v>792</v>
      </c>
      <c r="G24" s="26" t="str">
        <f t="shared" ca="1" si="0"/>
        <v>秘術の果実 x 3</v>
      </c>
      <c r="H24" s="27" t="s">
        <v>240</v>
      </c>
      <c r="I24" s="26" t="str">
        <f t="shared" ca="1" si="3"/>
        <v>ミッション達成報酬で 【秘術の果実 x 3】 をゲット！</v>
      </c>
      <c r="J24" s="71">
        <v>0</v>
      </c>
      <c r="K24" s="71">
        <v>1</v>
      </c>
      <c r="L24" s="71">
        <v>0</v>
      </c>
      <c r="M24" s="71">
        <v>0</v>
      </c>
      <c r="N24" s="71">
        <v>0</v>
      </c>
      <c r="O24" s="71">
        <v>1</v>
      </c>
      <c r="P24" s="71">
        <v>1</v>
      </c>
    </row>
    <row r="25" spans="1:16" ht="21" customHeight="1" x14ac:dyDescent="0.15">
      <c r="A25" s="27" t="s">
        <v>2429</v>
      </c>
      <c r="B25" s="27" t="s">
        <v>247</v>
      </c>
      <c r="C25" s="27">
        <v>607</v>
      </c>
      <c r="D25" s="26" t="str">
        <f ca="1">IF(B25="unit",VLOOKUP($C25,OFFSET([3]characters!$A$1,0,0,COUNTA([3]characters!$A:$A),MATCH(D$1,[3]characters!$1:$1,0)-MATCH($C$1,[3]characters!$1:$1,0)+1),MATCH(D$1,[3]characters!$1:$1,0)-MATCH($C$1,[3]characters!$1:$1,0)+1,FALSE),C25)</f>
        <v>メガ攻めの果実</v>
      </c>
      <c r="E25" s="27">
        <v>2</v>
      </c>
      <c r="F25" s="27" t="s">
        <v>792</v>
      </c>
      <c r="G25" s="26" t="str">
        <f t="shared" ref="G25:G29" ca="1" si="10">IF(B25="unit",D25&amp;" x "&amp;E25,IF(B25="polygon","ポリゴン x "&amp;C25,IF(B25="bit","ビット x "&amp;C25,IF(B25="link","リンク x "&amp;C25,"＊報酬未設定＊"))))</f>
        <v>メガ攻めの果実 x 2</v>
      </c>
      <c r="H25" s="27" t="s">
        <v>240</v>
      </c>
      <c r="I25" s="26" t="str">
        <f t="shared" ref="I25:I29" ca="1" si="11">H25&amp;"で 【"&amp;G25&amp;"】 をゲット！"</f>
        <v>ミッション達成報酬で 【メガ攻めの果実 x 2】 をゲット！</v>
      </c>
      <c r="J25" s="71">
        <v>0</v>
      </c>
      <c r="K25" s="71">
        <v>1</v>
      </c>
      <c r="L25" s="71">
        <v>0</v>
      </c>
      <c r="M25" s="71">
        <v>0</v>
      </c>
      <c r="N25" s="71">
        <v>0</v>
      </c>
      <c r="O25" s="71">
        <v>1</v>
      </c>
      <c r="P25" s="71">
        <v>1</v>
      </c>
    </row>
    <row r="26" spans="1:16" ht="21" customHeight="1" x14ac:dyDescent="0.15">
      <c r="A26" s="27" t="s">
        <v>2431</v>
      </c>
      <c r="B26" s="27" t="s">
        <v>247</v>
      </c>
      <c r="C26" s="27">
        <v>608</v>
      </c>
      <c r="D26" s="26" t="str">
        <f ca="1">IF(B26="unit",VLOOKUP($C26,OFFSET([3]characters!$A$1,0,0,COUNTA([3]characters!$A:$A),MATCH(D$1,[3]characters!$1:$1,0)-MATCH($C$1,[3]characters!$1:$1,0)+1),MATCH(D$1,[3]characters!$1:$1,0)-MATCH($C$1,[3]characters!$1:$1,0)+1,FALSE),C26)</f>
        <v>メガ生命の果実</v>
      </c>
      <c r="E26" s="27">
        <v>2</v>
      </c>
      <c r="F26" s="27" t="s">
        <v>792</v>
      </c>
      <c r="G26" s="26" t="str">
        <f t="shared" ca="1" si="10"/>
        <v>メガ生命の果実 x 2</v>
      </c>
      <c r="H26" s="27" t="s">
        <v>240</v>
      </c>
      <c r="I26" s="26" t="str">
        <f t="shared" ca="1" si="11"/>
        <v>ミッション達成報酬で 【メガ生命の果実 x 2】 をゲット！</v>
      </c>
      <c r="J26" s="71">
        <v>0</v>
      </c>
      <c r="K26" s="71">
        <v>1</v>
      </c>
      <c r="L26" s="71">
        <v>0</v>
      </c>
      <c r="M26" s="71">
        <v>0</v>
      </c>
      <c r="N26" s="71">
        <v>0</v>
      </c>
      <c r="O26" s="71">
        <v>1</v>
      </c>
      <c r="P26" s="71">
        <v>1</v>
      </c>
    </row>
    <row r="27" spans="1:16" ht="21" customHeight="1" x14ac:dyDescent="0.15">
      <c r="A27" s="27" t="s">
        <v>2433</v>
      </c>
      <c r="B27" s="27" t="s">
        <v>247</v>
      </c>
      <c r="C27" s="27">
        <v>609</v>
      </c>
      <c r="D27" s="26" t="str">
        <f ca="1">IF(B27="unit",VLOOKUP($C27,OFFSET([3]characters!$A$1,0,0,COUNTA([3]characters!$A:$A),MATCH(D$1,[3]characters!$1:$1,0)-MATCH($C$1,[3]characters!$1:$1,0)+1),MATCH(D$1,[3]characters!$1:$1,0)-MATCH($C$1,[3]characters!$1:$1,0)+1,FALSE),C27)</f>
        <v>メガ癒しの果実</v>
      </c>
      <c r="E27" s="27">
        <v>2</v>
      </c>
      <c r="F27" s="27" t="s">
        <v>792</v>
      </c>
      <c r="G27" s="26" t="str">
        <f t="shared" ca="1" si="10"/>
        <v>メガ癒しの果実 x 2</v>
      </c>
      <c r="H27" s="27" t="s">
        <v>240</v>
      </c>
      <c r="I27" s="26" t="str">
        <f t="shared" ca="1" si="11"/>
        <v>ミッション達成報酬で 【メガ癒しの果実 x 2】 をゲット！</v>
      </c>
      <c r="J27" s="71">
        <v>0</v>
      </c>
      <c r="K27" s="71">
        <v>1</v>
      </c>
      <c r="L27" s="71">
        <v>0</v>
      </c>
      <c r="M27" s="71">
        <v>0</v>
      </c>
      <c r="N27" s="71">
        <v>0</v>
      </c>
      <c r="O27" s="71">
        <v>1</v>
      </c>
      <c r="P27" s="71">
        <v>1</v>
      </c>
    </row>
    <row r="28" spans="1:16" ht="21" customHeight="1" x14ac:dyDescent="0.15">
      <c r="A28" s="27" t="s">
        <v>1268</v>
      </c>
      <c r="B28" s="27" t="s">
        <v>247</v>
      </c>
      <c r="C28" s="27">
        <v>610</v>
      </c>
      <c r="D28" s="26" t="str">
        <f ca="1">IF(B28="unit",VLOOKUP($C28,OFFSET([3]characters!$A$1,0,0,COUNTA([3]characters!$A:$A),MATCH(D$1,[3]characters!$1:$1,0)-MATCH($C$1,[3]characters!$1:$1,0)+1),MATCH(D$1,[3]characters!$1:$1,0)-MATCH($C$1,[3]characters!$1:$1,0)+1,FALSE),C28)</f>
        <v>メガ秘術の果実</v>
      </c>
      <c r="E28" s="27">
        <v>1</v>
      </c>
      <c r="F28" s="27" t="s">
        <v>792</v>
      </c>
      <c r="G28" s="26" t="str">
        <f t="shared" ca="1" si="10"/>
        <v>メガ秘術の果実 x 1</v>
      </c>
      <c r="H28" s="27" t="s">
        <v>240</v>
      </c>
      <c r="I28" s="26" t="str">
        <f t="shared" ca="1" si="11"/>
        <v>ミッション達成報酬で 【メガ秘術の果実 x 1】 をゲット！</v>
      </c>
      <c r="J28" s="71">
        <v>0</v>
      </c>
      <c r="K28" s="71">
        <v>1</v>
      </c>
      <c r="L28" s="71">
        <v>0</v>
      </c>
      <c r="M28" s="71">
        <v>0</v>
      </c>
      <c r="N28" s="71">
        <v>0</v>
      </c>
      <c r="O28" s="71">
        <v>1</v>
      </c>
      <c r="P28" s="71">
        <v>1</v>
      </c>
    </row>
    <row r="29" spans="1:16" ht="21" customHeight="1" x14ac:dyDescent="0.15">
      <c r="A29" s="27" t="s">
        <v>2435</v>
      </c>
      <c r="B29" s="27" t="s">
        <v>247</v>
      </c>
      <c r="C29" s="27">
        <v>610</v>
      </c>
      <c r="D29" s="26" t="str">
        <f ca="1">IF(B29="unit",VLOOKUP($C29,OFFSET([3]characters!$A$1,0,0,COUNTA([3]characters!$A:$A),MATCH(D$1,[3]characters!$1:$1,0)-MATCH($C$1,[3]characters!$1:$1,0)+1),MATCH(D$1,[3]characters!$1:$1,0)-MATCH($C$1,[3]characters!$1:$1,0)+1,FALSE),C29)</f>
        <v>メガ秘術の果実</v>
      </c>
      <c r="E29" s="27">
        <v>2</v>
      </c>
      <c r="F29" s="27" t="s">
        <v>792</v>
      </c>
      <c r="G29" s="26" t="str">
        <f t="shared" ca="1" si="10"/>
        <v>メガ秘術の果実 x 2</v>
      </c>
      <c r="H29" s="27" t="s">
        <v>240</v>
      </c>
      <c r="I29" s="26" t="str">
        <f t="shared" ca="1" si="11"/>
        <v>ミッション達成報酬で 【メガ秘術の果実 x 2】 をゲット！</v>
      </c>
      <c r="J29" s="71">
        <v>0</v>
      </c>
      <c r="K29" s="71">
        <v>1</v>
      </c>
      <c r="L29" s="71">
        <v>0</v>
      </c>
      <c r="M29" s="71">
        <v>0</v>
      </c>
      <c r="N29" s="71">
        <v>0</v>
      </c>
      <c r="O29" s="71">
        <v>1</v>
      </c>
      <c r="P29" s="71">
        <v>1</v>
      </c>
    </row>
    <row r="30" spans="1:16" ht="21" customHeight="1" x14ac:dyDescent="0.15">
      <c r="A30" s="27" t="s">
        <v>2437</v>
      </c>
      <c r="B30" s="27" t="s">
        <v>247</v>
      </c>
      <c r="C30" s="27">
        <v>611</v>
      </c>
      <c r="D30" s="26" t="str">
        <f ca="1">IF(B30="unit",VLOOKUP($C30,OFFSET([3]characters!$A$1,0,0,COUNTA([3]characters!$A:$A),MATCH(D$1,[3]characters!$1:$1,0)-MATCH($C$1,[3]characters!$1:$1,0)+1),MATCH(D$1,[3]characters!$1:$1,0)-MATCH($C$1,[3]characters!$1:$1,0)+1,FALSE),C30)</f>
        <v>ギガ攻めの果実</v>
      </c>
      <c r="E30" s="27">
        <v>1</v>
      </c>
      <c r="F30" s="27" t="s">
        <v>792</v>
      </c>
      <c r="G30" s="26" t="str">
        <f t="shared" ref="G30:G41" ca="1" si="12">IF(B30="unit",D30&amp;" x "&amp;E30,IF(B30="polygon","ポリゴン x "&amp;C30,IF(B30="bit","ビット x "&amp;C30,IF(B30="link","リンク x "&amp;C30,"＊報酬未設定＊"))))</f>
        <v>ギガ攻めの果実 x 1</v>
      </c>
      <c r="H30" s="27" t="s">
        <v>240</v>
      </c>
      <c r="I30" s="26" t="str">
        <f t="shared" ref="I30:I41" ca="1" si="13">H30&amp;"で 【"&amp;G30&amp;"】 をゲット！"</f>
        <v>ミッション達成報酬で 【ギガ攻めの果実 x 1】 をゲット！</v>
      </c>
      <c r="J30" s="71">
        <v>0</v>
      </c>
      <c r="K30" s="71">
        <v>1</v>
      </c>
      <c r="L30" s="71">
        <v>0</v>
      </c>
      <c r="M30" s="71">
        <v>0</v>
      </c>
      <c r="N30" s="71">
        <v>0</v>
      </c>
      <c r="O30" s="71">
        <v>1</v>
      </c>
      <c r="P30" s="71">
        <v>1</v>
      </c>
    </row>
    <row r="31" spans="1:16" ht="21" customHeight="1" x14ac:dyDescent="0.15">
      <c r="A31" s="27" t="s">
        <v>2439</v>
      </c>
      <c r="B31" s="27" t="s">
        <v>247</v>
      </c>
      <c r="C31" s="27">
        <v>611</v>
      </c>
      <c r="D31" s="26" t="str">
        <f ca="1">IF(B31="unit",VLOOKUP($C31,OFFSET([3]characters!$A$1,0,0,COUNTA([3]characters!$A:$A),MATCH(D$1,[3]characters!$1:$1,0)-MATCH($C$1,[3]characters!$1:$1,0)+1),MATCH(D$1,[3]characters!$1:$1,0)-MATCH($C$1,[3]characters!$1:$1,0)+1,FALSE),C31)</f>
        <v>ギガ攻めの果実</v>
      </c>
      <c r="E31" s="27">
        <v>2</v>
      </c>
      <c r="F31" s="27" t="s">
        <v>792</v>
      </c>
      <c r="G31" s="26" t="str">
        <f t="shared" ca="1" si="12"/>
        <v>ギガ攻めの果実 x 2</v>
      </c>
      <c r="H31" s="27" t="s">
        <v>240</v>
      </c>
      <c r="I31" s="26" t="str">
        <f t="shared" ca="1" si="13"/>
        <v>ミッション達成報酬で 【ギガ攻めの果実 x 2】 をゲット！</v>
      </c>
      <c r="J31" s="71">
        <v>0</v>
      </c>
      <c r="K31" s="71">
        <v>1</v>
      </c>
      <c r="L31" s="71">
        <v>0</v>
      </c>
      <c r="M31" s="71">
        <v>0</v>
      </c>
      <c r="N31" s="71">
        <v>0</v>
      </c>
      <c r="O31" s="71">
        <v>1</v>
      </c>
      <c r="P31" s="71">
        <v>1</v>
      </c>
    </row>
    <row r="32" spans="1:16" ht="21" customHeight="1" x14ac:dyDescent="0.15">
      <c r="A32" s="27" t="s">
        <v>2440</v>
      </c>
      <c r="B32" s="27" t="s">
        <v>247</v>
      </c>
      <c r="C32" s="27">
        <v>611</v>
      </c>
      <c r="D32" s="26" t="str">
        <f ca="1">IF(B32="unit",VLOOKUP($C32,OFFSET([3]characters!$A$1,0,0,COUNTA([3]characters!$A:$A),MATCH(D$1,[3]characters!$1:$1,0)-MATCH($C$1,[3]characters!$1:$1,0)+1),MATCH(D$1,[3]characters!$1:$1,0)-MATCH($C$1,[3]characters!$1:$1,0)+1,FALSE),C32)</f>
        <v>ギガ攻めの果実</v>
      </c>
      <c r="E32" s="27">
        <v>3</v>
      </c>
      <c r="F32" s="27" t="s">
        <v>792</v>
      </c>
      <c r="G32" s="26" t="str">
        <f t="shared" ca="1" si="12"/>
        <v>ギガ攻めの果実 x 3</v>
      </c>
      <c r="H32" s="27" t="s">
        <v>240</v>
      </c>
      <c r="I32" s="26" t="str">
        <f t="shared" ca="1" si="13"/>
        <v>ミッション達成報酬で 【ギガ攻めの果実 x 3】 をゲット！</v>
      </c>
      <c r="J32" s="71">
        <v>0</v>
      </c>
      <c r="K32" s="71">
        <v>1</v>
      </c>
      <c r="L32" s="71">
        <v>0</v>
      </c>
      <c r="M32" s="71">
        <v>0</v>
      </c>
      <c r="N32" s="71">
        <v>0</v>
      </c>
      <c r="O32" s="71">
        <v>1</v>
      </c>
      <c r="P32" s="71">
        <v>1</v>
      </c>
    </row>
    <row r="33" spans="1:16" ht="21" customHeight="1" x14ac:dyDescent="0.15">
      <c r="A33" s="27" t="s">
        <v>2442</v>
      </c>
      <c r="B33" s="27" t="s">
        <v>247</v>
      </c>
      <c r="C33" s="27">
        <v>612</v>
      </c>
      <c r="D33" s="26" t="str">
        <f ca="1">IF(B33="unit",VLOOKUP($C33,OFFSET([3]characters!$A$1,0,0,COUNTA([3]characters!$A:$A),MATCH(D$1,[3]characters!$1:$1,0)-MATCH($C$1,[3]characters!$1:$1,0)+1),MATCH(D$1,[3]characters!$1:$1,0)-MATCH($C$1,[3]characters!$1:$1,0)+1,FALSE),C33)</f>
        <v>ギガ生命の果実</v>
      </c>
      <c r="E33" s="27">
        <v>1</v>
      </c>
      <c r="F33" s="27" t="s">
        <v>792</v>
      </c>
      <c r="G33" s="26" t="str">
        <f t="shared" ca="1" si="12"/>
        <v>ギガ生命の果実 x 1</v>
      </c>
      <c r="H33" s="27" t="s">
        <v>240</v>
      </c>
      <c r="I33" s="26" t="str">
        <f t="shared" ca="1" si="13"/>
        <v>ミッション達成報酬で 【ギガ生命の果実 x 1】 をゲット！</v>
      </c>
      <c r="J33" s="71">
        <v>0</v>
      </c>
      <c r="K33" s="71">
        <v>1</v>
      </c>
      <c r="L33" s="71">
        <v>0</v>
      </c>
      <c r="M33" s="71">
        <v>0</v>
      </c>
      <c r="N33" s="71">
        <v>0</v>
      </c>
      <c r="O33" s="71">
        <v>1</v>
      </c>
      <c r="P33" s="71">
        <v>1</v>
      </c>
    </row>
    <row r="34" spans="1:16" ht="21" customHeight="1" x14ac:dyDescent="0.15">
      <c r="A34" s="27" t="s">
        <v>2444</v>
      </c>
      <c r="B34" s="27" t="s">
        <v>247</v>
      </c>
      <c r="C34" s="27">
        <v>612</v>
      </c>
      <c r="D34" s="26" t="str">
        <f ca="1">IF(B34="unit",VLOOKUP($C34,OFFSET([3]characters!$A$1,0,0,COUNTA([3]characters!$A:$A),MATCH(D$1,[3]characters!$1:$1,0)-MATCH($C$1,[3]characters!$1:$1,0)+1),MATCH(D$1,[3]characters!$1:$1,0)-MATCH($C$1,[3]characters!$1:$1,0)+1,FALSE),C34)</f>
        <v>ギガ生命の果実</v>
      </c>
      <c r="E34" s="27">
        <v>2</v>
      </c>
      <c r="F34" s="27" t="s">
        <v>792</v>
      </c>
      <c r="G34" s="26" t="str">
        <f t="shared" ca="1" si="12"/>
        <v>ギガ生命の果実 x 2</v>
      </c>
      <c r="H34" s="27" t="s">
        <v>240</v>
      </c>
      <c r="I34" s="26" t="str">
        <f t="shared" ca="1" si="13"/>
        <v>ミッション達成報酬で 【ギガ生命の果実 x 2】 をゲット！</v>
      </c>
      <c r="J34" s="71">
        <v>0</v>
      </c>
      <c r="K34" s="71">
        <v>1</v>
      </c>
      <c r="L34" s="71">
        <v>0</v>
      </c>
      <c r="M34" s="71">
        <v>0</v>
      </c>
      <c r="N34" s="71">
        <v>0</v>
      </c>
      <c r="O34" s="71">
        <v>1</v>
      </c>
      <c r="P34" s="71">
        <v>1</v>
      </c>
    </row>
    <row r="35" spans="1:16" ht="21" customHeight="1" x14ac:dyDescent="0.15">
      <c r="A35" s="27" t="s">
        <v>2445</v>
      </c>
      <c r="B35" s="27" t="s">
        <v>247</v>
      </c>
      <c r="C35" s="27">
        <v>612</v>
      </c>
      <c r="D35" s="26" t="str">
        <f ca="1">IF(B35="unit",VLOOKUP($C35,OFFSET([3]characters!$A$1,0,0,COUNTA([3]characters!$A:$A),MATCH(D$1,[3]characters!$1:$1,0)-MATCH($C$1,[3]characters!$1:$1,0)+1),MATCH(D$1,[3]characters!$1:$1,0)-MATCH($C$1,[3]characters!$1:$1,0)+1,FALSE),C35)</f>
        <v>ギガ生命の果実</v>
      </c>
      <c r="E35" s="27">
        <v>3</v>
      </c>
      <c r="F35" s="27" t="s">
        <v>792</v>
      </c>
      <c r="G35" s="26" t="str">
        <f t="shared" ca="1" si="12"/>
        <v>ギガ生命の果実 x 3</v>
      </c>
      <c r="H35" s="27" t="s">
        <v>240</v>
      </c>
      <c r="I35" s="26" t="str">
        <f t="shared" ca="1" si="13"/>
        <v>ミッション達成報酬で 【ギガ生命の果実 x 3】 をゲット！</v>
      </c>
      <c r="J35" s="71">
        <v>0</v>
      </c>
      <c r="K35" s="71">
        <v>1</v>
      </c>
      <c r="L35" s="71">
        <v>0</v>
      </c>
      <c r="M35" s="71">
        <v>0</v>
      </c>
      <c r="N35" s="71">
        <v>0</v>
      </c>
      <c r="O35" s="71">
        <v>1</v>
      </c>
      <c r="P35" s="71">
        <v>1</v>
      </c>
    </row>
    <row r="36" spans="1:16" ht="21" customHeight="1" x14ac:dyDescent="0.15">
      <c r="A36" s="27" t="s">
        <v>2447</v>
      </c>
      <c r="B36" s="27" t="s">
        <v>247</v>
      </c>
      <c r="C36" s="27">
        <v>613</v>
      </c>
      <c r="D36" s="26" t="str">
        <f ca="1">IF(B36="unit",VLOOKUP($C36,OFFSET([3]characters!$A$1,0,0,COUNTA([3]characters!$A:$A),MATCH(D$1,[3]characters!$1:$1,0)-MATCH($C$1,[3]characters!$1:$1,0)+1),MATCH(D$1,[3]characters!$1:$1,0)-MATCH($C$1,[3]characters!$1:$1,0)+1,FALSE),C36)</f>
        <v>ギガ癒しの果実</v>
      </c>
      <c r="E36" s="27">
        <v>1</v>
      </c>
      <c r="F36" s="27" t="s">
        <v>792</v>
      </c>
      <c r="G36" s="26" t="str">
        <f t="shared" ca="1" si="12"/>
        <v>ギガ癒しの果実 x 1</v>
      </c>
      <c r="H36" s="27" t="s">
        <v>240</v>
      </c>
      <c r="I36" s="26" t="str">
        <f t="shared" ca="1" si="13"/>
        <v>ミッション達成報酬で 【ギガ癒しの果実 x 1】 をゲット！</v>
      </c>
      <c r="J36" s="71">
        <v>0</v>
      </c>
      <c r="K36" s="71">
        <v>1</v>
      </c>
      <c r="L36" s="71">
        <v>0</v>
      </c>
      <c r="M36" s="71">
        <v>0</v>
      </c>
      <c r="N36" s="71">
        <v>0</v>
      </c>
      <c r="O36" s="71">
        <v>1</v>
      </c>
      <c r="P36" s="71">
        <v>1</v>
      </c>
    </row>
    <row r="37" spans="1:16" ht="21" customHeight="1" x14ac:dyDescent="0.15">
      <c r="A37" s="27" t="s">
        <v>2448</v>
      </c>
      <c r="B37" s="27" t="s">
        <v>247</v>
      </c>
      <c r="C37" s="27">
        <v>613</v>
      </c>
      <c r="D37" s="26" t="str">
        <f ca="1">IF(B37="unit",VLOOKUP($C37,OFFSET([3]characters!$A$1,0,0,COUNTA([3]characters!$A:$A),MATCH(D$1,[3]characters!$1:$1,0)-MATCH($C$1,[3]characters!$1:$1,0)+1),MATCH(D$1,[3]characters!$1:$1,0)-MATCH($C$1,[3]characters!$1:$1,0)+1,FALSE),C37)</f>
        <v>ギガ癒しの果実</v>
      </c>
      <c r="E37" s="27">
        <v>2</v>
      </c>
      <c r="F37" s="27" t="s">
        <v>792</v>
      </c>
      <c r="G37" s="26" t="str">
        <f t="shared" ca="1" si="12"/>
        <v>ギガ癒しの果実 x 2</v>
      </c>
      <c r="H37" s="27" t="s">
        <v>240</v>
      </c>
      <c r="I37" s="26" t="str">
        <f t="shared" ca="1" si="13"/>
        <v>ミッション達成報酬で 【ギガ癒しの果実 x 2】 をゲット！</v>
      </c>
      <c r="J37" s="71">
        <v>0</v>
      </c>
      <c r="K37" s="71">
        <v>1</v>
      </c>
      <c r="L37" s="71">
        <v>0</v>
      </c>
      <c r="M37" s="71">
        <v>0</v>
      </c>
      <c r="N37" s="71">
        <v>0</v>
      </c>
      <c r="O37" s="71">
        <v>1</v>
      </c>
      <c r="P37" s="71">
        <v>1</v>
      </c>
    </row>
    <row r="38" spans="1:16" ht="21" customHeight="1" x14ac:dyDescent="0.15">
      <c r="A38" s="27" t="s">
        <v>2449</v>
      </c>
      <c r="B38" s="27" t="s">
        <v>247</v>
      </c>
      <c r="C38" s="27">
        <v>613</v>
      </c>
      <c r="D38" s="26" t="str">
        <f ca="1">IF(B38="unit",VLOOKUP($C38,OFFSET([3]characters!$A$1,0,0,COUNTA([3]characters!$A:$A),MATCH(D$1,[3]characters!$1:$1,0)-MATCH($C$1,[3]characters!$1:$1,0)+1),MATCH(D$1,[3]characters!$1:$1,0)-MATCH($C$1,[3]characters!$1:$1,0)+1,FALSE),C38)</f>
        <v>ギガ癒しの果実</v>
      </c>
      <c r="E38" s="27">
        <v>3</v>
      </c>
      <c r="F38" s="27" t="s">
        <v>792</v>
      </c>
      <c r="G38" s="26" t="str">
        <f t="shared" ca="1" si="12"/>
        <v>ギガ癒しの果実 x 3</v>
      </c>
      <c r="H38" s="27" t="s">
        <v>240</v>
      </c>
      <c r="I38" s="26" t="str">
        <f t="shared" ca="1" si="13"/>
        <v>ミッション達成報酬で 【ギガ癒しの果実 x 3】 をゲット！</v>
      </c>
      <c r="J38" s="71">
        <v>0</v>
      </c>
      <c r="K38" s="71">
        <v>1</v>
      </c>
      <c r="L38" s="71">
        <v>0</v>
      </c>
      <c r="M38" s="71">
        <v>0</v>
      </c>
      <c r="N38" s="71">
        <v>0</v>
      </c>
      <c r="O38" s="71">
        <v>1</v>
      </c>
      <c r="P38" s="71">
        <v>1</v>
      </c>
    </row>
    <row r="39" spans="1:16" ht="21" customHeight="1" x14ac:dyDescent="0.15">
      <c r="A39" s="27" t="s">
        <v>2451</v>
      </c>
      <c r="B39" s="27" t="s">
        <v>247</v>
      </c>
      <c r="C39" s="27">
        <v>614</v>
      </c>
      <c r="D39" s="26" t="str">
        <f ca="1">IF(B39="unit",VLOOKUP($C39,OFFSET([3]characters!$A$1,0,0,COUNTA([3]characters!$A:$A),MATCH(D$1,[3]characters!$1:$1,0)-MATCH($C$1,[3]characters!$1:$1,0)+1),MATCH(D$1,[3]characters!$1:$1,0)-MATCH($C$1,[3]characters!$1:$1,0)+1,FALSE),C39)</f>
        <v>ギガ秘術の果実</v>
      </c>
      <c r="E39" s="27">
        <v>1</v>
      </c>
      <c r="F39" s="27" t="s">
        <v>792</v>
      </c>
      <c r="G39" s="26" t="str">
        <f t="shared" ca="1" si="12"/>
        <v>ギガ秘術の果実 x 1</v>
      </c>
      <c r="H39" s="27" t="s">
        <v>240</v>
      </c>
      <c r="I39" s="26" t="str">
        <f t="shared" ca="1" si="13"/>
        <v>ミッション達成報酬で 【ギガ秘術の果実 x 1】 をゲット！</v>
      </c>
      <c r="J39" s="71">
        <v>0</v>
      </c>
      <c r="K39" s="71">
        <v>1</v>
      </c>
      <c r="L39" s="71">
        <v>0</v>
      </c>
      <c r="M39" s="71">
        <v>0</v>
      </c>
      <c r="N39" s="71">
        <v>0</v>
      </c>
      <c r="O39" s="71">
        <v>1</v>
      </c>
      <c r="P39" s="71">
        <v>1</v>
      </c>
    </row>
    <row r="40" spans="1:16" ht="21" customHeight="1" x14ac:dyDescent="0.15">
      <c r="A40" s="27" t="s">
        <v>2452</v>
      </c>
      <c r="B40" s="27" t="s">
        <v>247</v>
      </c>
      <c r="C40" s="27">
        <v>614</v>
      </c>
      <c r="D40" s="26" t="str">
        <f ca="1">IF(B40="unit",VLOOKUP($C40,OFFSET([3]characters!$A$1,0,0,COUNTA([3]characters!$A:$A),MATCH(D$1,[3]characters!$1:$1,0)-MATCH($C$1,[3]characters!$1:$1,0)+1),MATCH(D$1,[3]characters!$1:$1,0)-MATCH($C$1,[3]characters!$1:$1,0)+1,FALSE),C40)</f>
        <v>ギガ秘術の果実</v>
      </c>
      <c r="E40" s="27">
        <v>2</v>
      </c>
      <c r="F40" s="27" t="s">
        <v>792</v>
      </c>
      <c r="G40" s="26" t="str">
        <f t="shared" ca="1" si="12"/>
        <v>ギガ秘術の果実 x 2</v>
      </c>
      <c r="H40" s="27" t="s">
        <v>240</v>
      </c>
      <c r="I40" s="26" t="str">
        <f t="shared" ca="1" si="13"/>
        <v>ミッション達成報酬で 【ギガ秘術の果実 x 2】 をゲット！</v>
      </c>
      <c r="J40" s="71">
        <v>0</v>
      </c>
      <c r="K40" s="71">
        <v>1</v>
      </c>
      <c r="L40" s="71">
        <v>0</v>
      </c>
      <c r="M40" s="71">
        <v>0</v>
      </c>
      <c r="N40" s="71">
        <v>0</v>
      </c>
      <c r="O40" s="71">
        <v>1</v>
      </c>
      <c r="P40" s="71">
        <v>1</v>
      </c>
    </row>
    <row r="41" spans="1:16" ht="21" customHeight="1" x14ac:dyDescent="0.15">
      <c r="A41" s="27" t="s">
        <v>2453</v>
      </c>
      <c r="B41" s="27" t="s">
        <v>247</v>
      </c>
      <c r="C41" s="27">
        <v>614</v>
      </c>
      <c r="D41" s="26" t="str">
        <f ca="1">IF(B41="unit",VLOOKUP($C41,OFFSET([3]characters!$A$1,0,0,COUNTA([3]characters!$A:$A),MATCH(D$1,[3]characters!$1:$1,0)-MATCH($C$1,[3]characters!$1:$1,0)+1),MATCH(D$1,[3]characters!$1:$1,0)-MATCH($C$1,[3]characters!$1:$1,0)+1,FALSE),C41)</f>
        <v>ギガ秘術の果実</v>
      </c>
      <c r="E41" s="27">
        <v>3</v>
      </c>
      <c r="F41" s="27" t="s">
        <v>792</v>
      </c>
      <c r="G41" s="26" t="str">
        <f t="shared" ca="1" si="12"/>
        <v>ギガ秘術の果実 x 3</v>
      </c>
      <c r="H41" s="27" t="s">
        <v>240</v>
      </c>
      <c r="I41" s="26" t="str">
        <f t="shared" ca="1" si="13"/>
        <v>ミッション達成報酬で 【ギガ秘術の果実 x 3】 をゲット！</v>
      </c>
      <c r="J41" s="71">
        <v>0</v>
      </c>
      <c r="K41" s="71">
        <v>1</v>
      </c>
      <c r="L41" s="71">
        <v>0</v>
      </c>
      <c r="M41" s="71">
        <v>0</v>
      </c>
      <c r="N41" s="71">
        <v>0</v>
      </c>
      <c r="O41" s="71">
        <v>1</v>
      </c>
      <c r="P41" s="71">
        <v>1</v>
      </c>
    </row>
    <row r="42" spans="1:16" ht="21" customHeight="1" x14ac:dyDescent="0.15">
      <c r="A42" s="27" t="s">
        <v>1007</v>
      </c>
      <c r="B42" s="27" t="s">
        <v>247</v>
      </c>
      <c r="C42" s="27">
        <v>571</v>
      </c>
      <c r="D42" s="26" t="str">
        <f ca="1">IF(B42="unit",VLOOKUP($C42,OFFSET([3]characters!$A$1,0,0,COUNTA([3]characters!$A:$A),MATCH(D$1,[3]characters!$1:$1,0)-MATCH($C$1,[3]characters!$1:$1,0)+1),MATCH(D$1,[3]characters!$1:$1,0)-MATCH($C$1,[3]characters!$1:$1,0)+1,FALSE),C42)</f>
        <v>ハッピー バレンタイン</v>
      </c>
      <c r="E42" s="27">
        <v>1</v>
      </c>
      <c r="F42" s="27" t="s">
        <v>792</v>
      </c>
      <c r="G42" s="26" t="str">
        <f t="shared" ref="G42:G44" ca="1" si="14">IF(B42="unit",D42&amp;" x "&amp;E42,IF(B42="polygon","ポリゴン x "&amp;C42,IF(B42="bit","ビット x "&amp;C42,IF(B42="link","リンク x "&amp;C42,"＊報酬未設定＊"))))</f>
        <v>ハッピー バレンタイン x 1</v>
      </c>
      <c r="H42" s="27" t="s">
        <v>1008</v>
      </c>
      <c r="I42" s="39" t="s">
        <v>1011</v>
      </c>
      <c r="J42" s="71">
        <v>0</v>
      </c>
      <c r="K42" s="71">
        <v>1</v>
      </c>
      <c r="L42" s="71">
        <v>0</v>
      </c>
      <c r="M42" s="71">
        <v>0</v>
      </c>
      <c r="N42" s="71">
        <v>0</v>
      </c>
      <c r="O42" s="71">
        <v>1</v>
      </c>
      <c r="P42" s="71">
        <v>1</v>
      </c>
    </row>
    <row r="43" spans="1:16" ht="21" customHeight="1" x14ac:dyDescent="0.15">
      <c r="A43" s="27" t="s">
        <v>1560</v>
      </c>
      <c r="B43" s="27" t="s">
        <v>247</v>
      </c>
      <c r="C43" s="27">
        <v>837</v>
      </c>
      <c r="D43" s="26" t="str">
        <f ca="1">IF(B43="unit",VLOOKUP($C43,OFFSET([3]characters!$A$1,0,0,COUNTA([3]characters!$A:$A),MATCH(D$1,[3]characters!$1:$1,0)-MATCH($C$1,[3]characters!$1:$1,0)+1),MATCH(D$1,[3]characters!$1:$1,0)-MATCH($C$1,[3]characters!$1:$1,0)+1,FALSE),C43)</f>
        <v>リトルハンプティ</v>
      </c>
      <c r="E43" s="27">
        <v>1</v>
      </c>
      <c r="F43" s="27" t="s">
        <v>792</v>
      </c>
      <c r="G43" s="26" t="str">
        <f t="shared" ca="1" si="14"/>
        <v>リトルハンプティ x 1</v>
      </c>
      <c r="H43" s="27" t="s">
        <v>240</v>
      </c>
      <c r="I43" s="26" t="str">
        <f t="shared" ref="I43" ca="1" si="15">H43&amp;"で 【"&amp;G43&amp;"】 をゲット！"</f>
        <v>ミッション達成報酬で 【リトルハンプティ x 1】 をゲット！</v>
      </c>
      <c r="J43" s="71">
        <v>0</v>
      </c>
      <c r="K43" s="71">
        <v>1</v>
      </c>
      <c r="L43" s="71">
        <v>0</v>
      </c>
      <c r="M43" s="71">
        <v>0</v>
      </c>
      <c r="N43" s="71">
        <v>0</v>
      </c>
      <c r="O43" s="71">
        <v>1</v>
      </c>
      <c r="P43" s="71">
        <v>1</v>
      </c>
    </row>
    <row r="44" spans="1:16" ht="21" customHeight="1" x14ac:dyDescent="0.15">
      <c r="A44" s="27" t="s">
        <v>1298</v>
      </c>
      <c r="B44" s="27" t="s">
        <v>247</v>
      </c>
      <c r="C44" s="27">
        <v>878</v>
      </c>
      <c r="D44" s="26" t="str">
        <f ca="1">IF(B44="unit",VLOOKUP($C44,OFFSET([3]characters!$A$1,0,0,COUNTA([3]characters!$A:$A),MATCH(D$1,[3]characters!$1:$1,0)-MATCH($C$1,[3]characters!$1:$1,0)+1),MATCH(D$1,[3]characters!$1:$1,0)-MATCH($C$1,[3]characters!$1:$1,0)+1,FALSE),C44)</f>
        <v>イグニス</v>
      </c>
      <c r="E44" s="27">
        <v>1</v>
      </c>
      <c r="F44" s="27" t="s">
        <v>792</v>
      </c>
      <c r="G44" s="26" t="str">
        <f t="shared" ca="1" si="14"/>
        <v>イグニス x 1</v>
      </c>
      <c r="H44" s="27" t="s">
        <v>240</v>
      </c>
      <c r="I44" s="26" t="str">
        <f t="shared" ref="I44" ca="1" si="16">H44&amp;"で 【"&amp;G44&amp;"】 をゲット！"</f>
        <v>ミッション達成報酬で 【イグニス x 1】 をゲット！</v>
      </c>
      <c r="J44" s="71">
        <v>0</v>
      </c>
      <c r="K44" s="71">
        <v>1</v>
      </c>
      <c r="L44" s="71">
        <v>0</v>
      </c>
      <c r="M44" s="71">
        <v>0</v>
      </c>
      <c r="N44" s="71">
        <v>0</v>
      </c>
      <c r="O44" s="71">
        <v>1</v>
      </c>
      <c r="P44" s="71">
        <v>1</v>
      </c>
    </row>
    <row r="45" spans="1:16" ht="21" customHeight="1" x14ac:dyDescent="0.15">
      <c r="A45" s="27" t="s">
        <v>1546</v>
      </c>
      <c r="B45" s="27" t="s">
        <v>247</v>
      </c>
      <c r="C45" s="27">
        <v>1043</v>
      </c>
      <c r="D45" s="26" t="str">
        <f ca="1">IF(B45="unit",VLOOKUP($C45,OFFSET([3]characters!$A$1,0,0,COUNTA([3]characters!$A:$A),MATCH(D$1,[3]characters!$1:$1,0)-MATCH($C$1,[3]characters!$1:$1,0)+1),MATCH(D$1,[3]characters!$1:$1,0)-MATCH($C$1,[3]characters!$1:$1,0)+1,FALSE),C45)</f>
        <v>彦星</v>
      </c>
      <c r="E45" s="27">
        <v>1</v>
      </c>
      <c r="F45" s="27" t="s">
        <v>792</v>
      </c>
      <c r="G45" s="26" t="str">
        <f t="shared" ref="G45" ca="1" si="17">IF(B45="unit",D45&amp;" x "&amp;E45,IF(B45="polygon","ポリゴン x "&amp;C45,IF(B45="bit","ビット x "&amp;C45,IF(B45="link","リンク x "&amp;C45,"＊報酬未設定＊"))))</f>
        <v>彦星 x 1</v>
      </c>
      <c r="H45" s="27" t="s">
        <v>240</v>
      </c>
      <c r="I45" s="26" t="str">
        <f t="shared" ref="I45" ca="1" si="18">H45&amp;"で 【"&amp;G45&amp;"】 をゲット！"</f>
        <v>ミッション達成報酬で 【彦星 x 1】 をゲット！</v>
      </c>
      <c r="J45" s="71">
        <v>0</v>
      </c>
      <c r="K45" s="109">
        <v>7</v>
      </c>
      <c r="L45" s="71">
        <v>0</v>
      </c>
      <c r="M45" s="71">
        <v>0</v>
      </c>
      <c r="N45" s="71">
        <v>0</v>
      </c>
      <c r="O45" s="71">
        <v>1</v>
      </c>
      <c r="P45" s="71">
        <v>1</v>
      </c>
    </row>
    <row r="46" spans="1:16" ht="21" customHeight="1" x14ac:dyDescent="0.15">
      <c r="A46" s="27" t="s">
        <v>1590</v>
      </c>
      <c r="B46" s="27" t="s">
        <v>247</v>
      </c>
      <c r="C46" s="27">
        <v>1053</v>
      </c>
      <c r="D46" s="26" t="str">
        <f ca="1">IF(B46="unit",VLOOKUP($C46,OFFSET([3]characters!$A$1,0,0,COUNTA([3]characters!$A:$A),MATCH(D$1,[3]characters!$1:$1,0)-MATCH($C$1,[3]characters!$1:$1,0)+1),MATCH(D$1,[3]characters!$1:$1,0)-MATCH($C$1,[3]characters!$1:$1,0)+1,FALSE),C46)</f>
        <v>常夏の眩獣 麒麟</v>
      </c>
      <c r="E46" s="27">
        <v>1</v>
      </c>
      <c r="F46" s="27" t="s">
        <v>792</v>
      </c>
      <c r="G46" s="26" t="str">
        <f t="shared" ref="G46" ca="1" si="19">IF(B46="unit",D46&amp;" x "&amp;E46,IF(B46="polygon","ポリゴン x "&amp;C46,IF(B46="bit","ビット x "&amp;C46,IF(B46="link","リンク x "&amp;C46,"＊報酬未設定＊"))))</f>
        <v>常夏の眩獣 麒麟 x 1</v>
      </c>
      <c r="H46" s="27" t="s">
        <v>240</v>
      </c>
      <c r="I46" s="26" t="str">
        <f t="shared" ref="I46" ca="1" si="20">H46&amp;"で 【"&amp;G46&amp;"】 をゲット！"</f>
        <v>ミッション達成報酬で 【常夏の眩獣 麒麟 x 1】 をゲット！</v>
      </c>
      <c r="J46" s="71">
        <v>0</v>
      </c>
      <c r="K46" s="109">
        <v>7</v>
      </c>
      <c r="L46" s="71">
        <v>0</v>
      </c>
      <c r="M46" s="71">
        <v>0</v>
      </c>
      <c r="N46" s="71">
        <v>0</v>
      </c>
      <c r="O46" s="71">
        <v>1</v>
      </c>
      <c r="P46" s="71">
        <v>1</v>
      </c>
    </row>
    <row r="47" spans="1:16" ht="21" customHeight="1" x14ac:dyDescent="0.15">
      <c r="A47" s="27" t="s">
        <v>1894</v>
      </c>
      <c r="B47" s="27" t="s">
        <v>247</v>
      </c>
      <c r="C47" s="27">
        <v>1114</v>
      </c>
      <c r="D47" s="26" t="str">
        <f ca="1">IF(B47="unit",VLOOKUP($C47,OFFSET([3]characters!$A$1,0,0,COUNTA([3]characters!$A:$A),MATCH(D$1,[3]characters!$1:$1,0)-MATCH($C$1,[3]characters!$1:$1,0)+1),MATCH(D$1,[3]characters!$1:$1,0)-MATCH($C$1,[3]characters!$1:$1,0)+1,FALSE),C47)</f>
        <v>ボナンザ</v>
      </c>
      <c r="E47" s="27">
        <v>1</v>
      </c>
      <c r="F47" s="27" t="s">
        <v>792</v>
      </c>
      <c r="G47" s="26" t="str">
        <f t="shared" ref="G47:G48" ca="1" si="21">IF(B47="unit",D47&amp;" x "&amp;E47,IF(B47="polygon","ポリゴン x "&amp;C47,IF(B47="bit","ビット x "&amp;C47,IF(B47="link","リンク x "&amp;C47,"＊報酬未設定＊"))))</f>
        <v>ボナンザ x 1</v>
      </c>
      <c r="H47" s="27" t="s">
        <v>240</v>
      </c>
      <c r="I47" s="26" t="str">
        <f t="shared" ref="I47:I77" ca="1" si="22">H47&amp;"で 【"&amp;G47&amp;"】 をゲット！"</f>
        <v>ミッション達成報酬で 【ボナンザ x 1】 をゲット！</v>
      </c>
      <c r="J47" s="71">
        <v>0</v>
      </c>
      <c r="K47" s="109">
        <v>10</v>
      </c>
      <c r="L47" s="71">
        <v>0</v>
      </c>
      <c r="M47" s="71">
        <v>0</v>
      </c>
      <c r="N47" s="71">
        <v>0</v>
      </c>
      <c r="O47" s="71">
        <v>1</v>
      </c>
      <c r="P47" s="71">
        <v>1</v>
      </c>
    </row>
    <row r="48" spans="1:16" ht="21" customHeight="1" x14ac:dyDescent="0.15">
      <c r="A48" s="27" t="s">
        <v>2277</v>
      </c>
      <c r="B48" s="27" t="s">
        <v>247</v>
      </c>
      <c r="C48" s="27">
        <v>632</v>
      </c>
      <c r="D48" s="26" t="str">
        <f ca="1">IF(B48="unit",VLOOKUP($C48,OFFSET([3]characters!$A$1,0,0,COUNTA([3]characters!$A:$A),MATCH(D$1,[3]characters!$1:$1,0)-MATCH($C$1,[3]characters!$1:$1,0)+1),MATCH(D$1,[3]characters!$1:$1,0)-MATCH($C$1,[3]characters!$1:$1,0)+1,FALSE),C48)</f>
        <v>緋壁の城塞 アーグラ</v>
      </c>
      <c r="E48" s="27">
        <v>1</v>
      </c>
      <c r="F48" s="27" t="s">
        <v>792</v>
      </c>
      <c r="G48" s="26" t="str">
        <f t="shared" ca="1" si="21"/>
        <v>緋壁の城塞 アーグラ x 1</v>
      </c>
      <c r="H48" s="27" t="s">
        <v>240</v>
      </c>
      <c r="I48" s="26" t="str">
        <f t="shared" ca="1" si="22"/>
        <v>ミッション達成報酬で 【緋壁の城塞 アーグラ x 1】 をゲット！</v>
      </c>
      <c r="J48" s="71">
        <v>0</v>
      </c>
      <c r="K48" s="109">
        <v>99</v>
      </c>
      <c r="L48" s="71">
        <v>0</v>
      </c>
      <c r="M48" s="71">
        <v>0</v>
      </c>
      <c r="N48" s="71">
        <v>0</v>
      </c>
      <c r="O48" s="71">
        <v>1</v>
      </c>
      <c r="P48" s="71">
        <v>1</v>
      </c>
    </row>
    <row r="49" spans="1:16" ht="21" customHeight="1" x14ac:dyDescent="0.15">
      <c r="A49" s="27" t="s">
        <v>2278</v>
      </c>
      <c r="B49" s="27" t="s">
        <v>247</v>
      </c>
      <c r="C49" s="27">
        <v>633</v>
      </c>
      <c r="D49" s="26" t="str">
        <f ca="1">IF(B49="unit",VLOOKUP($C49,OFFSET([3]characters!$A$1,0,0,COUNTA([3]characters!$A:$A),MATCH(D$1,[3]characters!$1:$1,0)-MATCH($C$1,[3]characters!$1:$1,0)+1),MATCH(D$1,[3]characters!$1:$1,0)-MATCH($C$1,[3]characters!$1:$1,0)+1,FALSE),C49)</f>
        <v>麗邸の遊撃守 エリゼ</v>
      </c>
      <c r="E49" s="27">
        <v>1</v>
      </c>
      <c r="F49" s="27" t="s">
        <v>792</v>
      </c>
      <c r="G49" s="26" t="str">
        <f t="shared" ref="G49" ca="1" si="23">IF(B49="unit",D49&amp;" x "&amp;E49,IF(B49="polygon","ポリゴン x "&amp;C49,IF(B49="bit","ビット x "&amp;C49,IF(B49="link","リンク x "&amp;C49,"＊報酬未設定＊"))))</f>
        <v>麗邸の遊撃守 エリゼ x 1</v>
      </c>
      <c r="H49" s="27" t="s">
        <v>240</v>
      </c>
      <c r="I49" s="26" t="str">
        <f t="shared" ref="I49" ca="1" si="24">H49&amp;"で 【"&amp;G49&amp;"】 をゲット！"</f>
        <v>ミッション達成報酬で 【麗邸の遊撃守 エリゼ x 1】 をゲット！</v>
      </c>
      <c r="J49" s="71">
        <v>0</v>
      </c>
      <c r="K49" s="109">
        <v>99</v>
      </c>
      <c r="L49" s="71">
        <v>0</v>
      </c>
      <c r="M49" s="71">
        <v>0</v>
      </c>
      <c r="N49" s="71">
        <v>0</v>
      </c>
      <c r="O49" s="71">
        <v>1</v>
      </c>
      <c r="P49" s="71">
        <v>1</v>
      </c>
    </row>
    <row r="50" spans="1:16" ht="21" customHeight="1" x14ac:dyDescent="0.15">
      <c r="A50" s="27" t="s">
        <v>2306</v>
      </c>
      <c r="B50" s="27" t="s">
        <v>247</v>
      </c>
      <c r="C50" s="27">
        <v>1504</v>
      </c>
      <c r="D50" s="26" t="str">
        <f ca="1">IF(B50="unit",VLOOKUP($C50,OFFSET([3]characters!$A$1,0,0,COUNTA([3]characters!$A:$A),MATCH(D$1,[3]characters!$1:$1,0)-MATCH($C$1,[3]characters!$1:$1,0)+1),MATCH(D$1,[3]characters!$1:$1,0)-MATCH($C$1,[3]characters!$1:$1,0)+1,FALSE),C50)</f>
        <v>ネコ</v>
      </c>
      <c r="E50" s="27">
        <v>1</v>
      </c>
      <c r="F50" s="27" t="s">
        <v>792</v>
      </c>
      <c r="G50" s="26" t="str">
        <f t="shared" ref="G50" ca="1" si="25">IF(B50="unit",D50&amp;" x "&amp;E50,IF(B50="polygon","ポリゴン x "&amp;C50,IF(B50="bit","ビット x "&amp;C50,IF(B50="link","リンク x "&amp;C50,"＊報酬未設定＊"))))</f>
        <v>ネコ x 1</v>
      </c>
      <c r="H50" s="27" t="s">
        <v>240</v>
      </c>
      <c r="I50" s="26" t="str">
        <f t="shared" ref="I50" ca="1" si="26">H50&amp;"で 【"&amp;G50&amp;"】 をゲット！"</f>
        <v>ミッション達成報酬で 【ネコ x 1】 をゲット！</v>
      </c>
      <c r="J50" s="71">
        <v>0</v>
      </c>
      <c r="K50" s="71">
        <v>1</v>
      </c>
      <c r="L50" s="71">
        <v>0</v>
      </c>
      <c r="M50" s="71">
        <v>0</v>
      </c>
      <c r="N50" s="71">
        <v>0</v>
      </c>
      <c r="O50" s="71">
        <v>1</v>
      </c>
      <c r="P50" s="71">
        <v>1</v>
      </c>
    </row>
    <row r="51" spans="1:16" ht="21" customHeight="1" x14ac:dyDescent="0.15">
      <c r="A51" s="27" t="s">
        <v>2334</v>
      </c>
      <c r="B51" s="27" t="s">
        <v>247</v>
      </c>
      <c r="C51" s="27">
        <v>1547</v>
      </c>
      <c r="D51" s="26" t="str">
        <f ca="1">IF(B51="unit",VLOOKUP($C51,OFFSET([3]characters!$A$1,0,0,COUNTA([3]characters!$A:$A),MATCH(D$1,[3]characters!$1:$1,0)-MATCH($C$1,[3]characters!$1:$1,0)+1),MATCH(D$1,[3]characters!$1:$1,0)-MATCH($C$1,[3]characters!$1:$1,0)+1,FALSE),C51)</f>
        <v>ネコフラワー</v>
      </c>
      <c r="E51" s="27">
        <v>1</v>
      </c>
      <c r="F51" s="27" t="s">
        <v>792</v>
      </c>
      <c r="G51" s="26" t="str">
        <f t="shared" ref="G51" ca="1" si="27">IF(B51="unit",D51&amp;" x "&amp;E51,IF(B51="polygon","ポリゴン x "&amp;C51,IF(B51="bit","ビット x "&amp;C51,IF(B51="link","リンク x "&amp;C51,"＊報酬未設定＊"))))</f>
        <v>ネコフラワー x 1</v>
      </c>
      <c r="H51" s="27" t="s">
        <v>240</v>
      </c>
      <c r="I51" s="26" t="str">
        <f t="shared" ref="I51" ca="1" si="28">H51&amp;"で 【"&amp;G51&amp;"】 をゲット！"</f>
        <v>ミッション達成報酬で 【ネコフラワー x 1】 をゲット！</v>
      </c>
      <c r="J51" s="71">
        <v>0</v>
      </c>
      <c r="K51" s="71">
        <v>1</v>
      </c>
      <c r="L51" s="71">
        <v>0</v>
      </c>
      <c r="M51" s="71">
        <v>0</v>
      </c>
      <c r="N51" s="71">
        <v>0</v>
      </c>
      <c r="O51" s="71">
        <v>1</v>
      </c>
      <c r="P51" s="71">
        <v>1</v>
      </c>
    </row>
    <row r="52" spans="1:16" ht="21" customHeight="1" x14ac:dyDescent="0.15">
      <c r="A52" s="27" t="s">
        <v>2455</v>
      </c>
      <c r="B52" s="27" t="s">
        <v>1979</v>
      </c>
      <c r="C52" s="27">
        <v>1</v>
      </c>
      <c r="D52" s="76" t="s">
        <v>1951</v>
      </c>
      <c r="E52" s="27">
        <v>1</v>
      </c>
      <c r="F52" s="27" t="s">
        <v>792</v>
      </c>
      <c r="G52" s="76" t="str">
        <f>D52&amp;" x "&amp;E52</f>
        <v>マスターキー x 1</v>
      </c>
      <c r="H52" s="27" t="s">
        <v>240</v>
      </c>
      <c r="I52" s="26" t="str">
        <f t="shared" ref="I52:I58" si="29">H52&amp;"で 【"&amp;G52&amp;"】 をゲット！"</f>
        <v>ミッション達成報酬で 【マスターキー x 1】 をゲット！</v>
      </c>
      <c r="J52" s="71">
        <v>0</v>
      </c>
      <c r="K52" s="71">
        <v>1</v>
      </c>
      <c r="L52" s="71">
        <v>0</v>
      </c>
      <c r="M52" s="71">
        <v>0</v>
      </c>
      <c r="N52" s="71">
        <v>0</v>
      </c>
      <c r="O52" s="71">
        <v>1</v>
      </c>
      <c r="P52" s="71">
        <v>1</v>
      </c>
    </row>
    <row r="53" spans="1:16" ht="21" customHeight="1" x14ac:dyDescent="0.15">
      <c r="A53" s="27" t="s">
        <v>2465</v>
      </c>
      <c r="B53" s="27" t="s">
        <v>1979</v>
      </c>
      <c r="C53" s="27">
        <v>1</v>
      </c>
      <c r="D53" s="76" t="s">
        <v>1951</v>
      </c>
      <c r="E53" s="27">
        <v>2</v>
      </c>
      <c r="F53" s="27" t="s">
        <v>792</v>
      </c>
      <c r="G53" s="76" t="str">
        <f>D53&amp;" x "&amp;E53</f>
        <v>マスターキー x 2</v>
      </c>
      <c r="H53" s="27" t="s">
        <v>240</v>
      </c>
      <c r="I53" s="26" t="str">
        <f t="shared" ref="I53" si="30">H53&amp;"で 【"&amp;G53&amp;"】 をゲット！"</f>
        <v>ミッション達成報酬で 【マスターキー x 2】 をゲット！</v>
      </c>
      <c r="J53" s="71">
        <v>0</v>
      </c>
      <c r="K53" s="71">
        <v>1</v>
      </c>
      <c r="L53" s="71">
        <v>0</v>
      </c>
      <c r="M53" s="71">
        <v>0</v>
      </c>
      <c r="N53" s="71">
        <v>0</v>
      </c>
      <c r="O53" s="71">
        <v>1</v>
      </c>
      <c r="P53" s="71">
        <v>1</v>
      </c>
    </row>
    <row r="54" spans="1:16" ht="21" customHeight="1" x14ac:dyDescent="0.15">
      <c r="A54" s="27" t="s">
        <v>2457</v>
      </c>
      <c r="B54" s="27" t="s">
        <v>1979</v>
      </c>
      <c r="C54" s="27">
        <v>2</v>
      </c>
      <c r="D54" s="76" t="s">
        <v>2463</v>
      </c>
      <c r="E54" s="27">
        <v>1</v>
      </c>
      <c r="F54" s="27" t="s">
        <v>792</v>
      </c>
      <c r="G54" s="76" t="str">
        <f t="shared" ref="G54:G58" si="31">D54&amp;" x "&amp;E54</f>
        <v>経験値キー x 1</v>
      </c>
      <c r="H54" s="27" t="s">
        <v>240</v>
      </c>
      <c r="I54" s="26" t="str">
        <f t="shared" si="29"/>
        <v>ミッション達成報酬で 【経験値キー x 1】 をゲット！</v>
      </c>
      <c r="J54" s="71">
        <v>0</v>
      </c>
      <c r="K54" s="71">
        <v>1</v>
      </c>
      <c r="L54" s="71">
        <v>0</v>
      </c>
      <c r="M54" s="71">
        <v>0</v>
      </c>
      <c r="N54" s="71">
        <v>0</v>
      </c>
      <c r="O54" s="71">
        <v>1</v>
      </c>
      <c r="P54" s="71">
        <v>1</v>
      </c>
    </row>
    <row r="55" spans="1:16" ht="21" customHeight="1" x14ac:dyDescent="0.15">
      <c r="A55" s="27" t="s">
        <v>2467</v>
      </c>
      <c r="B55" s="27" t="s">
        <v>1979</v>
      </c>
      <c r="C55" s="27">
        <v>2</v>
      </c>
      <c r="D55" s="76" t="s">
        <v>2463</v>
      </c>
      <c r="E55" s="27">
        <v>2</v>
      </c>
      <c r="F55" s="27" t="s">
        <v>792</v>
      </c>
      <c r="G55" s="76" t="str">
        <f t="shared" ref="G55" si="32">D55&amp;" x "&amp;E55</f>
        <v>経験値キー x 2</v>
      </c>
      <c r="H55" s="27" t="s">
        <v>240</v>
      </c>
      <c r="I55" s="26" t="str">
        <f t="shared" ref="I55" si="33">H55&amp;"で 【"&amp;G55&amp;"】 をゲット！"</f>
        <v>ミッション達成報酬で 【経験値キー x 2】 をゲット！</v>
      </c>
      <c r="J55" s="71">
        <v>0</v>
      </c>
      <c r="K55" s="71">
        <v>1</v>
      </c>
      <c r="L55" s="71">
        <v>0</v>
      </c>
      <c r="M55" s="71">
        <v>0</v>
      </c>
      <c r="N55" s="71">
        <v>0</v>
      </c>
      <c r="O55" s="71">
        <v>1</v>
      </c>
      <c r="P55" s="71">
        <v>1</v>
      </c>
    </row>
    <row r="56" spans="1:16" ht="21" customHeight="1" x14ac:dyDescent="0.15">
      <c r="A56" s="27" t="s">
        <v>2459</v>
      </c>
      <c r="B56" s="27" t="s">
        <v>1979</v>
      </c>
      <c r="C56" s="27">
        <v>3</v>
      </c>
      <c r="D56" s="76" t="s">
        <v>2462</v>
      </c>
      <c r="E56" s="27">
        <v>1</v>
      </c>
      <c r="F56" s="27" t="s">
        <v>792</v>
      </c>
      <c r="G56" s="76" t="str">
        <f t="shared" si="31"/>
        <v>ビットキー x 1</v>
      </c>
      <c r="H56" s="27" t="s">
        <v>240</v>
      </c>
      <c r="I56" s="26" t="str">
        <f t="shared" si="29"/>
        <v>ミッション達成報酬で 【ビットキー x 1】 をゲット！</v>
      </c>
      <c r="J56" s="71">
        <v>0</v>
      </c>
      <c r="K56" s="71">
        <v>1</v>
      </c>
      <c r="L56" s="71">
        <v>0</v>
      </c>
      <c r="M56" s="71">
        <v>0</v>
      </c>
      <c r="N56" s="71">
        <v>0</v>
      </c>
      <c r="O56" s="71">
        <v>1</v>
      </c>
      <c r="P56" s="71">
        <v>1</v>
      </c>
    </row>
    <row r="57" spans="1:16" ht="21" customHeight="1" x14ac:dyDescent="0.15">
      <c r="A57" s="27" t="s">
        <v>2468</v>
      </c>
      <c r="B57" s="27" t="s">
        <v>1979</v>
      </c>
      <c r="C57" s="27">
        <v>3</v>
      </c>
      <c r="D57" s="76" t="s">
        <v>2462</v>
      </c>
      <c r="E57" s="27">
        <v>2</v>
      </c>
      <c r="F57" s="27" t="s">
        <v>792</v>
      </c>
      <c r="G57" s="76" t="str">
        <f t="shared" ref="G57" si="34">D57&amp;" x "&amp;E57</f>
        <v>ビットキー x 2</v>
      </c>
      <c r="H57" s="27" t="s">
        <v>240</v>
      </c>
      <c r="I57" s="26" t="str">
        <f t="shared" ref="I57" si="35">H57&amp;"で 【"&amp;G57&amp;"】 をゲット！"</f>
        <v>ミッション達成報酬で 【ビットキー x 2】 をゲット！</v>
      </c>
      <c r="J57" s="71">
        <v>0</v>
      </c>
      <c r="K57" s="71">
        <v>1</v>
      </c>
      <c r="L57" s="71">
        <v>0</v>
      </c>
      <c r="M57" s="71">
        <v>0</v>
      </c>
      <c r="N57" s="71">
        <v>0</v>
      </c>
      <c r="O57" s="71">
        <v>1</v>
      </c>
      <c r="P57" s="71">
        <v>1</v>
      </c>
    </row>
    <row r="58" spans="1:16" ht="21" customHeight="1" x14ac:dyDescent="0.15">
      <c r="A58" s="27" t="s">
        <v>2461</v>
      </c>
      <c r="B58" s="27" t="s">
        <v>1979</v>
      </c>
      <c r="C58" s="27">
        <v>4</v>
      </c>
      <c r="D58" s="76" t="s">
        <v>2464</v>
      </c>
      <c r="E58" s="27">
        <v>1</v>
      </c>
      <c r="F58" s="27" t="s">
        <v>792</v>
      </c>
      <c r="G58" s="76" t="str">
        <f t="shared" si="31"/>
        <v>限界突破キー x 1</v>
      </c>
      <c r="H58" s="27" t="s">
        <v>240</v>
      </c>
      <c r="I58" s="26" t="str">
        <f t="shared" si="29"/>
        <v>ミッション達成報酬で 【限界突破キー x 1】 をゲット！</v>
      </c>
      <c r="J58" s="71">
        <v>0</v>
      </c>
      <c r="K58" s="71">
        <v>1</v>
      </c>
      <c r="L58" s="71">
        <v>0</v>
      </c>
      <c r="M58" s="71">
        <v>0</v>
      </c>
      <c r="N58" s="71">
        <v>0</v>
      </c>
      <c r="O58" s="71">
        <v>1</v>
      </c>
      <c r="P58" s="71">
        <v>1</v>
      </c>
    </row>
    <row r="59" spans="1:16" ht="21" customHeight="1" x14ac:dyDescent="0.15">
      <c r="A59" s="27" t="s">
        <v>2469</v>
      </c>
      <c r="B59" s="27" t="s">
        <v>1979</v>
      </c>
      <c r="C59" s="27">
        <v>4</v>
      </c>
      <c r="D59" s="76" t="s">
        <v>2464</v>
      </c>
      <c r="E59" s="27">
        <v>2</v>
      </c>
      <c r="F59" s="27" t="s">
        <v>792</v>
      </c>
      <c r="G59" s="76" t="str">
        <f t="shared" ref="G59" si="36">D59&amp;" x "&amp;E59</f>
        <v>限界突破キー x 2</v>
      </c>
      <c r="H59" s="27" t="s">
        <v>240</v>
      </c>
      <c r="I59" s="26" t="str">
        <f t="shared" ref="I59" si="37">H59&amp;"で 【"&amp;G59&amp;"】 をゲット！"</f>
        <v>ミッション達成報酬で 【限界突破キー x 2】 をゲット！</v>
      </c>
      <c r="J59" s="71">
        <v>0</v>
      </c>
      <c r="K59" s="71">
        <v>1</v>
      </c>
      <c r="L59" s="71">
        <v>0</v>
      </c>
      <c r="M59" s="71">
        <v>0</v>
      </c>
      <c r="N59" s="71">
        <v>0</v>
      </c>
      <c r="O59" s="71">
        <v>1</v>
      </c>
      <c r="P59" s="71">
        <v>1</v>
      </c>
    </row>
    <row r="60" spans="1:16" ht="21" customHeight="1" x14ac:dyDescent="0.15">
      <c r="A60" s="27" t="s">
        <v>2012</v>
      </c>
      <c r="B60" s="27" t="s">
        <v>1979</v>
      </c>
      <c r="C60" s="27">
        <v>702</v>
      </c>
      <c r="D60" s="76" t="s">
        <v>2582</v>
      </c>
      <c r="E60" s="27">
        <v>3</v>
      </c>
      <c r="F60" s="27" t="s">
        <v>792</v>
      </c>
      <c r="G60" s="76" t="s">
        <v>2035</v>
      </c>
      <c r="H60" s="27" t="s">
        <v>240</v>
      </c>
      <c r="I60" s="26" t="str">
        <f t="shared" si="22"/>
        <v>ミッション達成報酬で 【ウィンターチケット x 3】 をゲット！</v>
      </c>
      <c r="J60" s="71">
        <v>0</v>
      </c>
      <c r="K60" s="71">
        <v>1</v>
      </c>
      <c r="L60" s="71">
        <v>0</v>
      </c>
      <c r="M60" s="71">
        <v>0</v>
      </c>
      <c r="N60" s="71">
        <v>0</v>
      </c>
      <c r="O60" s="71">
        <v>1</v>
      </c>
      <c r="P60" s="71">
        <v>1</v>
      </c>
    </row>
    <row r="61" spans="1:16" ht="21" customHeight="1" x14ac:dyDescent="0.15">
      <c r="A61" s="27" t="s">
        <v>2581</v>
      </c>
      <c r="B61" s="27" t="s">
        <v>1979</v>
      </c>
      <c r="C61" s="27">
        <v>702</v>
      </c>
      <c r="D61" s="76" t="s">
        <v>2582</v>
      </c>
      <c r="E61" s="27">
        <v>5</v>
      </c>
      <c r="F61" s="27" t="s">
        <v>792</v>
      </c>
      <c r="G61" s="76" t="s">
        <v>2580</v>
      </c>
      <c r="H61" s="27" t="s">
        <v>240</v>
      </c>
      <c r="I61" s="26" t="str">
        <f t="shared" ref="I61" si="38">H61&amp;"で 【"&amp;G61&amp;"】 をゲット！"</f>
        <v>ミッション達成報酬で 【ウィンターチケット x 5】 をゲット！</v>
      </c>
      <c r="J61" s="71">
        <v>0</v>
      </c>
      <c r="K61" s="71">
        <v>1</v>
      </c>
      <c r="L61" s="71">
        <v>0</v>
      </c>
      <c r="M61" s="71">
        <v>0</v>
      </c>
      <c r="N61" s="71">
        <v>0</v>
      </c>
      <c r="O61" s="71">
        <v>1</v>
      </c>
      <c r="P61" s="71">
        <v>1</v>
      </c>
    </row>
    <row r="62" spans="1:16" ht="21" customHeight="1" x14ac:dyDescent="0.15">
      <c r="A62" s="27" t="s">
        <v>2014</v>
      </c>
      <c r="B62" s="27" t="s">
        <v>1979</v>
      </c>
      <c r="C62" s="27">
        <v>702</v>
      </c>
      <c r="D62" s="76" t="s">
        <v>2582</v>
      </c>
      <c r="E62" s="27">
        <v>9</v>
      </c>
      <c r="F62" s="27" t="s">
        <v>792</v>
      </c>
      <c r="G62" s="76" t="s">
        <v>2036</v>
      </c>
      <c r="H62" s="27" t="s">
        <v>240</v>
      </c>
      <c r="I62" s="26" t="str">
        <f t="shared" si="22"/>
        <v>ミッション達成報酬で 【ウィンターチケット x 9】 をゲット！</v>
      </c>
      <c r="J62" s="71">
        <v>0</v>
      </c>
      <c r="K62" s="71">
        <v>1</v>
      </c>
      <c r="L62" s="71">
        <v>0</v>
      </c>
      <c r="M62" s="71">
        <v>0</v>
      </c>
      <c r="N62" s="71">
        <v>0</v>
      </c>
      <c r="O62" s="71">
        <v>1</v>
      </c>
      <c r="P62" s="71">
        <v>1</v>
      </c>
    </row>
    <row r="63" spans="1:16" ht="21" customHeight="1" x14ac:dyDescent="0.15">
      <c r="A63" s="27" t="s">
        <v>2016</v>
      </c>
      <c r="B63" s="27" t="s">
        <v>1979</v>
      </c>
      <c r="C63" s="27">
        <v>702</v>
      </c>
      <c r="D63" s="76" t="s">
        <v>2582</v>
      </c>
      <c r="E63" s="27">
        <v>15</v>
      </c>
      <c r="F63" s="27" t="s">
        <v>792</v>
      </c>
      <c r="G63" s="76" t="s">
        <v>2040</v>
      </c>
      <c r="H63" s="27" t="s">
        <v>240</v>
      </c>
      <c r="I63" s="26" t="str">
        <f t="shared" si="22"/>
        <v>ミッション達成報酬で 【ウィンターチケット x 15】 をゲット！</v>
      </c>
      <c r="J63" s="71">
        <v>0</v>
      </c>
      <c r="K63" s="71">
        <v>1</v>
      </c>
      <c r="L63" s="71">
        <v>0</v>
      </c>
      <c r="M63" s="71">
        <v>0</v>
      </c>
      <c r="N63" s="71">
        <v>0</v>
      </c>
      <c r="O63" s="71">
        <v>1</v>
      </c>
      <c r="P63" s="71">
        <v>1</v>
      </c>
    </row>
    <row r="64" spans="1:16" ht="21" customHeight="1" x14ac:dyDescent="0.15">
      <c r="A64" s="27" t="s">
        <v>2018</v>
      </c>
      <c r="B64" s="27" t="s">
        <v>1979</v>
      </c>
      <c r="C64" s="27">
        <v>702</v>
      </c>
      <c r="D64" s="76" t="s">
        <v>2582</v>
      </c>
      <c r="E64" s="27">
        <v>30</v>
      </c>
      <c r="F64" s="27" t="s">
        <v>792</v>
      </c>
      <c r="G64" s="76" t="s">
        <v>2038</v>
      </c>
      <c r="H64" s="27" t="s">
        <v>240</v>
      </c>
      <c r="I64" s="26" t="str">
        <f t="shared" si="22"/>
        <v>ミッション達成報酬で 【ウィンターチケット x 30】 をゲット！</v>
      </c>
      <c r="J64" s="71">
        <v>0</v>
      </c>
      <c r="K64" s="71">
        <v>1</v>
      </c>
      <c r="L64" s="71">
        <v>0</v>
      </c>
      <c r="M64" s="71">
        <v>0</v>
      </c>
      <c r="N64" s="71">
        <v>0</v>
      </c>
      <c r="O64" s="71">
        <v>1</v>
      </c>
      <c r="P64" s="71">
        <v>1</v>
      </c>
    </row>
    <row r="65" spans="1:16" ht="21" customHeight="1" x14ac:dyDescent="0.15">
      <c r="A65" s="27" t="s">
        <v>2259</v>
      </c>
      <c r="B65" s="27" t="s">
        <v>1979</v>
      </c>
      <c r="C65" s="27">
        <v>703</v>
      </c>
      <c r="D65" s="26">
        <f ca="1">IF(B65="unit",VLOOKUP($C65,OFFSET([3]characters!$A$1,0,0,COUNTA([3]characters!$A:$A),MATCH(D$1,[3]characters!$1:$1,0)-MATCH($C$1,[3]characters!$1:$1,0)+1),MATCH(D$1,[3]characters!$1:$1,0)-MATCH($C$1,[3]characters!$1:$1,0)+1,FALSE),C65)</f>
        <v>703</v>
      </c>
      <c r="E65" s="27">
        <v>3</v>
      </c>
      <c r="F65" s="27" t="s">
        <v>792</v>
      </c>
      <c r="G65" s="76" t="s">
        <v>2260</v>
      </c>
      <c r="H65" s="27" t="s">
        <v>240</v>
      </c>
      <c r="I65" s="26" t="str">
        <f t="shared" ref="I65:I70" si="39">H65&amp;"で 【"&amp;G65&amp;"】 をゲット！"</f>
        <v>ミッション達成報酬で 【ホワイトデーチケット x 3】 をゲット！</v>
      </c>
      <c r="J65" s="71">
        <v>0</v>
      </c>
      <c r="K65" s="71">
        <v>1</v>
      </c>
      <c r="L65" s="71">
        <v>0</v>
      </c>
      <c r="M65" s="71">
        <v>0</v>
      </c>
      <c r="N65" s="71">
        <v>0</v>
      </c>
      <c r="O65" s="71">
        <v>1</v>
      </c>
      <c r="P65" s="71">
        <v>1</v>
      </c>
    </row>
    <row r="66" spans="1:16" ht="21" customHeight="1" x14ac:dyDescent="0.15">
      <c r="A66" s="27" t="s">
        <v>2265</v>
      </c>
      <c r="B66" s="27" t="s">
        <v>1979</v>
      </c>
      <c r="C66" s="27">
        <v>703</v>
      </c>
      <c r="D66" s="26">
        <f ca="1">IF(B66="unit",VLOOKUP($C66,OFFSET([3]characters!$A$1,0,0,COUNTA([3]characters!$A:$A),MATCH(D$1,[3]characters!$1:$1,0)-MATCH($C$1,[3]characters!$1:$1,0)+1),MATCH(D$1,[3]characters!$1:$1,0)-MATCH($C$1,[3]characters!$1:$1,0)+1,FALSE),C66)</f>
        <v>703</v>
      </c>
      <c r="E66" s="27">
        <v>9</v>
      </c>
      <c r="F66" s="27" t="s">
        <v>792</v>
      </c>
      <c r="G66" s="76" t="s">
        <v>2261</v>
      </c>
      <c r="H66" s="27" t="s">
        <v>240</v>
      </c>
      <c r="I66" s="26" t="str">
        <f t="shared" si="39"/>
        <v>ミッション達成報酬で 【ホワイトデーチケット x 9】 をゲット！</v>
      </c>
      <c r="J66" s="71">
        <v>0</v>
      </c>
      <c r="K66" s="71">
        <v>1</v>
      </c>
      <c r="L66" s="71">
        <v>0</v>
      </c>
      <c r="M66" s="71">
        <v>0</v>
      </c>
      <c r="N66" s="71">
        <v>0</v>
      </c>
      <c r="O66" s="71">
        <v>1</v>
      </c>
      <c r="P66" s="71">
        <v>1</v>
      </c>
    </row>
    <row r="67" spans="1:16" ht="21" customHeight="1" x14ac:dyDescent="0.15">
      <c r="A67" s="27" t="s">
        <v>2267</v>
      </c>
      <c r="B67" s="27" t="s">
        <v>1979</v>
      </c>
      <c r="C67" s="27">
        <v>703</v>
      </c>
      <c r="D67" s="26">
        <f ca="1">IF(B67="unit",VLOOKUP($C67,OFFSET([3]characters!$A$1,0,0,COUNTA([3]characters!$A:$A),MATCH(D$1,[3]characters!$1:$1,0)-MATCH($C$1,[3]characters!$1:$1,0)+1),MATCH(D$1,[3]characters!$1:$1,0)-MATCH($C$1,[3]characters!$1:$1,0)+1,FALSE),C67)</f>
        <v>703</v>
      </c>
      <c r="E67" s="27">
        <v>15</v>
      </c>
      <c r="F67" s="27" t="s">
        <v>792</v>
      </c>
      <c r="G67" s="76" t="s">
        <v>2262</v>
      </c>
      <c r="H67" s="27" t="s">
        <v>240</v>
      </c>
      <c r="I67" s="26" t="str">
        <f t="shared" si="39"/>
        <v>ミッション達成報酬で 【ホワイトデーチケット x 15】 をゲット！</v>
      </c>
      <c r="J67" s="71">
        <v>0</v>
      </c>
      <c r="K67" s="71">
        <v>1</v>
      </c>
      <c r="L67" s="71">
        <v>0</v>
      </c>
      <c r="M67" s="71">
        <v>0</v>
      </c>
      <c r="N67" s="71">
        <v>0</v>
      </c>
      <c r="O67" s="71">
        <v>1</v>
      </c>
      <c r="P67" s="71">
        <v>1</v>
      </c>
    </row>
    <row r="68" spans="1:16" ht="21" customHeight="1" x14ac:dyDescent="0.15">
      <c r="A68" s="27" t="s">
        <v>2269</v>
      </c>
      <c r="B68" s="27" t="s">
        <v>1979</v>
      </c>
      <c r="C68" s="27">
        <v>703</v>
      </c>
      <c r="D68" s="26">
        <f ca="1">IF(B68="unit",VLOOKUP($C68,OFFSET([3]characters!$A$1,0,0,COUNTA([3]characters!$A:$A),MATCH(D$1,[3]characters!$1:$1,0)-MATCH($C$1,[3]characters!$1:$1,0)+1),MATCH(D$1,[3]characters!$1:$1,0)-MATCH($C$1,[3]characters!$1:$1,0)+1,FALSE),C68)</f>
        <v>703</v>
      </c>
      <c r="E68" s="27">
        <v>30</v>
      </c>
      <c r="F68" s="27" t="s">
        <v>792</v>
      </c>
      <c r="G68" s="76" t="s">
        <v>2263</v>
      </c>
      <c r="H68" s="27" t="s">
        <v>240</v>
      </c>
      <c r="I68" s="26" t="str">
        <f t="shared" si="39"/>
        <v>ミッション達成報酬で 【ホワイトデーチケット x 30】 をゲット！</v>
      </c>
      <c r="J68" s="71">
        <v>0</v>
      </c>
      <c r="K68" s="71">
        <v>1</v>
      </c>
      <c r="L68" s="71">
        <v>0</v>
      </c>
      <c r="M68" s="71">
        <v>0</v>
      </c>
      <c r="N68" s="71">
        <v>0</v>
      </c>
      <c r="O68" s="71">
        <v>1</v>
      </c>
      <c r="P68" s="71">
        <v>1</v>
      </c>
    </row>
    <row r="69" spans="1:16" ht="21" customHeight="1" x14ac:dyDescent="0.15">
      <c r="A69" s="27" t="s">
        <v>2329</v>
      </c>
      <c r="B69" s="27" t="s">
        <v>1979</v>
      </c>
      <c r="C69" s="27">
        <v>704</v>
      </c>
      <c r="D69" s="26">
        <f ca="1">IF(B69="unit",VLOOKUP($C69,OFFSET([3]characters!$A$1,0,0,COUNTA([3]characters!$A:$A),MATCH(D$1,[3]characters!$1:$1,0)-MATCH($C$1,[3]characters!$1:$1,0)+1),MATCH(D$1,[3]characters!$1:$1,0)-MATCH($C$1,[3]characters!$1:$1,0)+1,FALSE),C69)</f>
        <v>704</v>
      </c>
      <c r="E69" s="27">
        <v>5</v>
      </c>
      <c r="F69" s="27" t="s">
        <v>792</v>
      </c>
      <c r="G69" s="76" t="s">
        <v>2332</v>
      </c>
      <c r="H69" s="27" t="s">
        <v>240</v>
      </c>
      <c r="I69" s="26" t="str">
        <f t="shared" ref="I69" si="40">H69&amp;"で 【"&amp;G69&amp;"】 をゲット！"</f>
        <v>ミッション達成報酬で 【にゃんこワクワクチケット x 5】 をゲット！</v>
      </c>
      <c r="J69" s="71">
        <v>0</v>
      </c>
      <c r="K69" s="71">
        <v>1</v>
      </c>
      <c r="L69" s="71">
        <v>0</v>
      </c>
      <c r="M69" s="71">
        <v>0</v>
      </c>
      <c r="N69" s="71">
        <v>0</v>
      </c>
      <c r="O69" s="71">
        <v>1</v>
      </c>
      <c r="P69" s="71">
        <v>1</v>
      </c>
    </row>
    <row r="70" spans="1:16" ht="21" customHeight="1" x14ac:dyDescent="0.15">
      <c r="A70" s="27" t="s">
        <v>2330</v>
      </c>
      <c r="B70" s="27" t="s">
        <v>1979</v>
      </c>
      <c r="C70" s="27">
        <v>704</v>
      </c>
      <c r="D70" s="26">
        <f ca="1">IF(B70="unit",VLOOKUP($C70,OFFSET([3]characters!$A$1,0,0,COUNTA([3]characters!$A:$A),MATCH(D$1,[3]characters!$1:$1,0)-MATCH($C$1,[3]characters!$1:$1,0)+1),MATCH(D$1,[3]characters!$1:$1,0)-MATCH($C$1,[3]characters!$1:$1,0)+1,FALSE),C70)</f>
        <v>704</v>
      </c>
      <c r="E70" s="27">
        <v>7</v>
      </c>
      <c r="F70" s="27" t="s">
        <v>792</v>
      </c>
      <c r="G70" s="76" t="s">
        <v>2333</v>
      </c>
      <c r="H70" s="27" t="s">
        <v>240</v>
      </c>
      <c r="I70" s="26" t="str">
        <f t="shared" si="39"/>
        <v>ミッション達成報酬で 【にゃんこワクワクチケット x 7】 をゲット！</v>
      </c>
      <c r="J70" s="71">
        <v>0</v>
      </c>
      <c r="K70" s="71">
        <v>1</v>
      </c>
      <c r="L70" s="71">
        <v>0</v>
      </c>
      <c r="M70" s="71">
        <v>0</v>
      </c>
      <c r="N70" s="71">
        <v>0</v>
      </c>
      <c r="O70" s="71">
        <v>1</v>
      </c>
      <c r="P70" s="71">
        <v>1</v>
      </c>
    </row>
    <row r="71" spans="1:16" ht="21" customHeight="1" x14ac:dyDescent="0.15">
      <c r="A71" s="27" t="s">
        <v>2328</v>
      </c>
      <c r="B71" s="27" t="s">
        <v>1979</v>
      </c>
      <c r="C71" s="27">
        <v>704</v>
      </c>
      <c r="D71" s="26">
        <f ca="1">IF(B71="unit",VLOOKUP($C71,OFFSET([3]characters!$A$1,0,0,COUNTA([3]characters!$A:$A),MATCH(D$1,[3]characters!$1:$1,0)-MATCH($C$1,[3]characters!$1:$1,0)+1),MATCH(D$1,[3]characters!$1:$1,0)-MATCH($C$1,[3]characters!$1:$1,0)+1,FALSE),C71)</f>
        <v>704</v>
      </c>
      <c r="E71" s="27">
        <v>10</v>
      </c>
      <c r="F71" s="27" t="s">
        <v>792</v>
      </c>
      <c r="G71" s="76" t="s">
        <v>2286</v>
      </c>
      <c r="H71" s="27" t="s">
        <v>240</v>
      </c>
      <c r="I71" s="26" t="str">
        <f t="shared" ref="I71" si="41">H71&amp;"で 【"&amp;G71&amp;"】 をゲット！"</f>
        <v>ミッション達成報酬で 【にゃんこワクワクチケット x 10】 をゲット！</v>
      </c>
      <c r="J71" s="71">
        <v>0</v>
      </c>
      <c r="K71" s="71">
        <v>1</v>
      </c>
      <c r="L71" s="71">
        <v>0</v>
      </c>
      <c r="M71" s="71">
        <v>0</v>
      </c>
      <c r="N71" s="71">
        <v>0</v>
      </c>
      <c r="O71" s="71">
        <v>1</v>
      </c>
      <c r="P71" s="71">
        <v>1</v>
      </c>
    </row>
    <row r="72" spans="1:16" ht="21" customHeight="1" x14ac:dyDescent="0.15">
      <c r="A72" s="27" t="s">
        <v>2474</v>
      </c>
      <c r="B72" s="27" t="s">
        <v>1979</v>
      </c>
      <c r="C72" s="27">
        <v>705</v>
      </c>
      <c r="D72" s="76" t="s">
        <v>2509</v>
      </c>
      <c r="E72" s="27">
        <v>1</v>
      </c>
      <c r="F72" s="27" t="s">
        <v>792</v>
      </c>
      <c r="G72" s="76" t="s">
        <v>2480</v>
      </c>
      <c r="H72" s="27" t="s">
        <v>240</v>
      </c>
      <c r="I72" s="26" t="str">
        <f t="shared" ref="I72:I75" si="42">H72&amp;"で 【"&amp;G72&amp;"】 をゲット！"</f>
        <v>ミッション達成報酬で 【桜の花びら x 1】 をゲット！</v>
      </c>
      <c r="J72" s="71">
        <v>0</v>
      </c>
      <c r="K72" s="71">
        <v>1</v>
      </c>
      <c r="L72" s="71">
        <v>0</v>
      </c>
      <c r="M72" s="71">
        <v>0</v>
      </c>
      <c r="N72" s="71">
        <v>0</v>
      </c>
      <c r="O72" s="71">
        <v>1</v>
      </c>
      <c r="P72" s="71">
        <v>1</v>
      </c>
    </row>
    <row r="73" spans="1:16" ht="21" customHeight="1" x14ac:dyDescent="0.15">
      <c r="A73" s="27" t="s">
        <v>2475</v>
      </c>
      <c r="B73" s="27" t="s">
        <v>1979</v>
      </c>
      <c r="C73" s="27">
        <v>705</v>
      </c>
      <c r="D73" s="76" t="s">
        <v>2509</v>
      </c>
      <c r="E73" s="27">
        <v>3</v>
      </c>
      <c r="F73" s="27" t="s">
        <v>792</v>
      </c>
      <c r="G73" s="76" t="s">
        <v>2479</v>
      </c>
      <c r="H73" s="27" t="s">
        <v>240</v>
      </c>
      <c r="I73" s="26" t="str">
        <f t="shared" si="42"/>
        <v>ミッション達成報酬で 【桜の花びら x 3】 をゲット！</v>
      </c>
      <c r="J73" s="71">
        <v>0</v>
      </c>
      <c r="K73" s="71">
        <v>1</v>
      </c>
      <c r="L73" s="71">
        <v>0</v>
      </c>
      <c r="M73" s="71">
        <v>0</v>
      </c>
      <c r="N73" s="71">
        <v>0</v>
      </c>
      <c r="O73" s="71">
        <v>1</v>
      </c>
      <c r="P73" s="71">
        <v>1</v>
      </c>
    </row>
    <row r="74" spans="1:16" ht="21" customHeight="1" x14ac:dyDescent="0.15">
      <c r="A74" s="27" t="s">
        <v>2476</v>
      </c>
      <c r="B74" s="27" t="s">
        <v>1979</v>
      </c>
      <c r="C74" s="27">
        <v>705</v>
      </c>
      <c r="D74" s="76" t="s">
        <v>2509</v>
      </c>
      <c r="E74" s="27">
        <v>5</v>
      </c>
      <c r="F74" s="27" t="s">
        <v>792</v>
      </c>
      <c r="G74" s="76" t="s">
        <v>2481</v>
      </c>
      <c r="H74" s="27" t="s">
        <v>240</v>
      </c>
      <c r="I74" s="26" t="str">
        <f t="shared" si="42"/>
        <v>ミッション達成報酬で 【桜の花びら x 5】 をゲット！</v>
      </c>
      <c r="J74" s="71">
        <v>0</v>
      </c>
      <c r="K74" s="71">
        <v>1</v>
      </c>
      <c r="L74" s="71">
        <v>0</v>
      </c>
      <c r="M74" s="71">
        <v>0</v>
      </c>
      <c r="N74" s="71">
        <v>0</v>
      </c>
      <c r="O74" s="71">
        <v>1</v>
      </c>
      <c r="P74" s="71">
        <v>1</v>
      </c>
    </row>
    <row r="75" spans="1:16" ht="21" customHeight="1" x14ac:dyDescent="0.15">
      <c r="A75" s="27" t="s">
        <v>2477</v>
      </c>
      <c r="B75" s="27" t="s">
        <v>1979</v>
      </c>
      <c r="C75" s="27">
        <v>705</v>
      </c>
      <c r="D75" s="76" t="s">
        <v>2509</v>
      </c>
      <c r="E75" s="27">
        <v>7</v>
      </c>
      <c r="F75" s="27" t="s">
        <v>792</v>
      </c>
      <c r="G75" s="76" t="s">
        <v>2482</v>
      </c>
      <c r="H75" s="27" t="s">
        <v>240</v>
      </c>
      <c r="I75" s="26" t="str">
        <f t="shared" si="42"/>
        <v>ミッション達成報酬で 【桜の花びら x 7】 をゲット！</v>
      </c>
      <c r="J75" s="71">
        <v>0</v>
      </c>
      <c r="K75" s="71">
        <v>1</v>
      </c>
      <c r="L75" s="71">
        <v>0</v>
      </c>
      <c r="M75" s="71">
        <v>0</v>
      </c>
      <c r="N75" s="71">
        <v>0</v>
      </c>
      <c r="O75" s="71">
        <v>1</v>
      </c>
      <c r="P75" s="71">
        <v>1</v>
      </c>
    </row>
    <row r="76" spans="1:16" ht="21" customHeight="1" x14ac:dyDescent="0.15">
      <c r="A76" s="27" t="s">
        <v>2478</v>
      </c>
      <c r="B76" s="27" t="s">
        <v>1979</v>
      </c>
      <c r="C76" s="27">
        <v>705</v>
      </c>
      <c r="D76" s="76" t="s">
        <v>2509</v>
      </c>
      <c r="E76" s="27">
        <v>10</v>
      </c>
      <c r="F76" s="27" t="s">
        <v>792</v>
      </c>
      <c r="G76" s="76" t="s">
        <v>2483</v>
      </c>
      <c r="H76" s="27" t="s">
        <v>240</v>
      </c>
      <c r="I76" s="26" t="str">
        <f t="shared" ref="I76" si="43">H76&amp;"で 【"&amp;G76&amp;"】 をゲット！"</f>
        <v>ミッション達成報酬で 【桜の花びら x 10】 をゲット！</v>
      </c>
      <c r="J76" s="71">
        <v>0</v>
      </c>
      <c r="K76" s="71">
        <v>1</v>
      </c>
      <c r="L76" s="71">
        <v>0</v>
      </c>
      <c r="M76" s="71">
        <v>0</v>
      </c>
      <c r="N76" s="71">
        <v>0</v>
      </c>
      <c r="O76" s="71">
        <v>1</v>
      </c>
      <c r="P76" s="71">
        <v>1</v>
      </c>
    </row>
    <row r="77" spans="1:16" ht="21" customHeight="1" x14ac:dyDescent="0.15">
      <c r="A77" s="27" t="s">
        <v>2024</v>
      </c>
      <c r="B77" s="27" t="s">
        <v>247</v>
      </c>
      <c r="C77" s="27">
        <v>1284</v>
      </c>
      <c r="D77" s="26" t="str">
        <f ca="1">IF(B77="unit",VLOOKUP($C77,OFFSET([3]characters!$A$1,0,0,COUNTA([3]characters!$A:$A),MATCH(D$1,[3]characters!$1:$1,0)-MATCH($C$1,[3]characters!$1:$1,0)+1),MATCH(D$1,[3]characters!$1:$1,0)-MATCH($C$1,[3]characters!$1:$1,0)+1,FALSE),C77)</f>
        <v>マシン・シュプール</v>
      </c>
      <c r="E77" s="27">
        <v>1</v>
      </c>
      <c r="F77" s="27" t="s">
        <v>792</v>
      </c>
      <c r="G77" s="26" t="str">
        <f t="shared" ref="G77" ca="1" si="44">IF(B77="unit",D77&amp;" x "&amp;E77,IF(B77="polygon","ポリゴン x "&amp;C77,IF(B77="bit","ビット x "&amp;C77,IF(B77="link","リンク x "&amp;C77,"＊報酬未設定＊"))))</f>
        <v>マシン・シュプール x 1</v>
      </c>
      <c r="H77" s="27" t="s">
        <v>240</v>
      </c>
      <c r="I77" s="26" t="str">
        <f t="shared" ca="1" si="22"/>
        <v>ミッション達成報酬で 【マシン・シュプール x 1】 をゲット！</v>
      </c>
      <c r="J77" s="71">
        <v>0</v>
      </c>
      <c r="K77" s="127">
        <v>5</v>
      </c>
      <c r="L77" s="71">
        <v>0</v>
      </c>
      <c r="M77" s="71">
        <v>0</v>
      </c>
      <c r="N77" s="71">
        <v>0</v>
      </c>
      <c r="O77" s="71">
        <v>1</v>
      </c>
      <c r="P77" s="71">
        <v>1</v>
      </c>
    </row>
    <row r="78" spans="1:16" ht="21" customHeight="1" x14ac:dyDescent="0.15">
      <c r="A78" s="27" t="s">
        <v>233</v>
      </c>
      <c r="B78" s="27" t="s">
        <v>248</v>
      </c>
      <c r="C78" s="27">
        <v>1</v>
      </c>
      <c r="D78" s="26">
        <f ca="1">IF(B78="unit",VLOOKUP($C78,OFFSET([3]characters!$A$1,0,0,COUNTA([3]characters!$A:$A),MATCH(D$1,[3]characters!$1:$1,0)-MATCH($C$1,[3]characters!$1:$1,0)+1),MATCH(D$1,[3]characters!$1:$1,0)-MATCH($C$1,[3]characters!$1:$1,0)+1,FALSE),C78)</f>
        <v>1</v>
      </c>
      <c r="E78" s="27">
        <v>0</v>
      </c>
      <c r="F78" s="27" t="s">
        <v>792</v>
      </c>
      <c r="G78" s="26" t="str">
        <f t="shared" si="0"/>
        <v>ポリゴン x 1</v>
      </c>
      <c r="H78" s="27" t="s">
        <v>240</v>
      </c>
      <c r="I78" s="26" t="str">
        <f t="shared" si="3"/>
        <v>ミッション達成報酬で 【ポリゴン x 1】 をゲット！</v>
      </c>
      <c r="J78" s="71">
        <v>0</v>
      </c>
      <c r="K78" s="71">
        <v>1</v>
      </c>
      <c r="L78" s="71">
        <v>0</v>
      </c>
      <c r="M78" s="71">
        <v>0</v>
      </c>
      <c r="N78" s="71">
        <v>0</v>
      </c>
      <c r="O78" s="71">
        <v>1</v>
      </c>
      <c r="P78" s="71">
        <v>1</v>
      </c>
    </row>
    <row r="79" spans="1:16" ht="21" customHeight="1" x14ac:dyDescent="0.15">
      <c r="A79" s="27" t="s">
        <v>120</v>
      </c>
      <c r="B79" s="27" t="s">
        <v>248</v>
      </c>
      <c r="C79" s="27">
        <v>2</v>
      </c>
      <c r="D79" s="26">
        <f ca="1">IF(B79="unit",VLOOKUP($C79,OFFSET([3]characters!$A$1,0,0,COUNTA([3]characters!$A:$A),MATCH(D$1,[3]characters!$1:$1,0)-MATCH($C$1,[3]characters!$1:$1,0)+1),MATCH(D$1,[3]characters!$1:$1,0)-MATCH($C$1,[3]characters!$1:$1,0)+1,FALSE),C79)</f>
        <v>2</v>
      </c>
      <c r="E79" s="27">
        <v>0</v>
      </c>
      <c r="F79" s="27" t="s">
        <v>792</v>
      </c>
      <c r="G79" s="26" t="str">
        <f t="shared" si="0"/>
        <v>ポリゴン x 2</v>
      </c>
      <c r="H79" s="27" t="s">
        <v>240</v>
      </c>
      <c r="I79" s="26" t="str">
        <f t="shared" si="3"/>
        <v>ミッション達成報酬で 【ポリゴン x 2】 をゲット！</v>
      </c>
      <c r="J79" s="71">
        <v>0</v>
      </c>
      <c r="K79" s="71">
        <v>1</v>
      </c>
      <c r="L79" s="71">
        <v>0</v>
      </c>
      <c r="M79" s="71">
        <v>0</v>
      </c>
      <c r="N79" s="71">
        <v>0</v>
      </c>
      <c r="O79" s="71">
        <v>1</v>
      </c>
      <c r="P79" s="71">
        <v>1</v>
      </c>
    </row>
    <row r="80" spans="1:16" ht="21" customHeight="1" x14ac:dyDescent="0.15">
      <c r="A80" s="27" t="s">
        <v>234</v>
      </c>
      <c r="B80" s="27" t="s">
        <v>248</v>
      </c>
      <c r="C80" s="27">
        <v>3</v>
      </c>
      <c r="D80" s="26">
        <f ca="1">IF(B80="unit",VLOOKUP($C80,OFFSET([3]characters!$A$1,0,0,COUNTA([3]characters!$A:$A),MATCH(D$1,[3]characters!$1:$1,0)-MATCH($C$1,[3]characters!$1:$1,0)+1),MATCH(D$1,[3]characters!$1:$1,0)-MATCH($C$1,[3]characters!$1:$1,0)+1,FALSE),C80)</f>
        <v>3</v>
      </c>
      <c r="E80" s="27">
        <v>0</v>
      </c>
      <c r="F80" s="27" t="s">
        <v>792</v>
      </c>
      <c r="G80" s="26" t="str">
        <f t="shared" si="0"/>
        <v>ポリゴン x 3</v>
      </c>
      <c r="H80" s="27" t="s">
        <v>240</v>
      </c>
      <c r="I80" s="26" t="str">
        <f t="shared" si="3"/>
        <v>ミッション達成報酬で 【ポリゴン x 3】 をゲット！</v>
      </c>
      <c r="J80" s="71">
        <v>0</v>
      </c>
      <c r="K80" s="71">
        <v>1</v>
      </c>
      <c r="L80" s="71">
        <v>0</v>
      </c>
      <c r="M80" s="71">
        <v>0</v>
      </c>
      <c r="N80" s="71">
        <v>0</v>
      </c>
      <c r="O80" s="71">
        <v>1</v>
      </c>
      <c r="P80" s="71">
        <v>1</v>
      </c>
    </row>
    <row r="81" spans="1:16" ht="21" customHeight="1" x14ac:dyDescent="0.15">
      <c r="A81" s="27" t="s">
        <v>401</v>
      </c>
      <c r="B81" s="27" t="s">
        <v>248</v>
      </c>
      <c r="C81" s="27">
        <v>4</v>
      </c>
      <c r="D81" s="26">
        <f ca="1">IF(B81="unit",VLOOKUP($C81,OFFSET([3]characters!$A$1,0,0,COUNTA([3]characters!$A:$A),MATCH(D$1,[3]characters!$1:$1,0)-MATCH($C$1,[3]characters!$1:$1,0)+1),MATCH(D$1,[3]characters!$1:$1,0)-MATCH($C$1,[3]characters!$1:$1,0)+1,FALSE),C81)</f>
        <v>4</v>
      </c>
      <c r="E81" s="27">
        <v>0</v>
      </c>
      <c r="F81" s="27" t="s">
        <v>792</v>
      </c>
      <c r="G81" s="26" t="str">
        <f t="shared" si="0"/>
        <v>ポリゴン x 4</v>
      </c>
      <c r="H81" s="27" t="s">
        <v>240</v>
      </c>
      <c r="I81" s="26" t="str">
        <f t="shared" ref="I81" si="45">H81&amp;"で 【"&amp;G81&amp;"】 をゲット！"</f>
        <v>ミッション達成報酬で 【ポリゴン x 4】 をゲット！</v>
      </c>
      <c r="J81" s="71">
        <v>0</v>
      </c>
      <c r="K81" s="71">
        <v>1</v>
      </c>
      <c r="L81" s="71">
        <v>0</v>
      </c>
      <c r="M81" s="71">
        <v>0</v>
      </c>
      <c r="N81" s="71">
        <v>0</v>
      </c>
      <c r="O81" s="71">
        <v>1</v>
      </c>
      <c r="P81" s="71">
        <v>1</v>
      </c>
    </row>
    <row r="82" spans="1:16" ht="21" customHeight="1" x14ac:dyDescent="0.15">
      <c r="A82" s="27" t="s">
        <v>235</v>
      </c>
      <c r="B82" s="27" t="s">
        <v>248</v>
      </c>
      <c r="C82" s="27">
        <v>5</v>
      </c>
      <c r="D82" s="26">
        <f ca="1">IF(B82="unit",VLOOKUP($C82,OFFSET([3]characters!$A$1,0,0,COUNTA([3]characters!$A:$A),MATCH(D$1,[3]characters!$1:$1,0)-MATCH($C$1,[3]characters!$1:$1,0)+1),MATCH(D$1,[3]characters!$1:$1,0)-MATCH($C$1,[3]characters!$1:$1,0)+1,FALSE),C82)</f>
        <v>5</v>
      </c>
      <c r="E82" s="27">
        <v>0</v>
      </c>
      <c r="F82" s="27" t="s">
        <v>792</v>
      </c>
      <c r="G82" s="26" t="str">
        <f t="shared" si="0"/>
        <v>ポリゴン x 5</v>
      </c>
      <c r="H82" s="27" t="s">
        <v>240</v>
      </c>
      <c r="I82" s="26" t="str">
        <f t="shared" si="3"/>
        <v>ミッション達成報酬で 【ポリゴン x 5】 をゲット！</v>
      </c>
      <c r="J82" s="71">
        <v>0</v>
      </c>
      <c r="K82" s="71">
        <v>1</v>
      </c>
      <c r="L82" s="71">
        <v>0</v>
      </c>
      <c r="M82" s="71">
        <v>0</v>
      </c>
      <c r="N82" s="71">
        <v>0</v>
      </c>
      <c r="O82" s="71">
        <v>1</v>
      </c>
      <c r="P82" s="71">
        <v>1</v>
      </c>
    </row>
    <row r="83" spans="1:16" ht="21" customHeight="1" x14ac:dyDescent="0.15">
      <c r="A83" s="27" t="s">
        <v>236</v>
      </c>
      <c r="B83" s="27" t="s">
        <v>248</v>
      </c>
      <c r="C83" s="27">
        <v>10</v>
      </c>
      <c r="D83" s="26">
        <f ca="1">IF(B83="unit",VLOOKUP($C83,OFFSET([3]characters!$A$1,0,0,COUNTA([3]characters!$A:$A),MATCH(D$1,[3]characters!$1:$1,0)-MATCH($C$1,[3]characters!$1:$1,0)+1),MATCH(D$1,[3]characters!$1:$1,0)-MATCH($C$1,[3]characters!$1:$1,0)+1,FALSE),C83)</f>
        <v>10</v>
      </c>
      <c r="E83" s="27">
        <v>0</v>
      </c>
      <c r="F83" s="27" t="s">
        <v>792</v>
      </c>
      <c r="G83" s="26" t="str">
        <f t="shared" si="0"/>
        <v>ポリゴン x 10</v>
      </c>
      <c r="H83" s="27" t="s">
        <v>240</v>
      </c>
      <c r="I83" s="26" t="str">
        <f t="shared" si="3"/>
        <v>ミッション達成報酬で 【ポリゴン x 10】 をゲット！</v>
      </c>
      <c r="J83" s="71">
        <v>0</v>
      </c>
      <c r="K83" s="71">
        <v>1</v>
      </c>
      <c r="L83" s="71">
        <v>0</v>
      </c>
      <c r="M83" s="71">
        <v>0</v>
      </c>
      <c r="N83" s="71">
        <v>0</v>
      </c>
      <c r="O83" s="71">
        <v>1</v>
      </c>
      <c r="P83" s="71">
        <v>1</v>
      </c>
    </row>
    <row r="84" spans="1:16" ht="21" customHeight="1" x14ac:dyDescent="0.15">
      <c r="A84" s="27" t="s">
        <v>435</v>
      </c>
      <c r="B84" s="27" t="s">
        <v>248</v>
      </c>
      <c r="C84" s="27">
        <v>20</v>
      </c>
      <c r="D84" s="26">
        <f ca="1">IF(B84="unit",VLOOKUP($C84,OFFSET([3]characters!$A$1,0,0,COUNTA([3]characters!$A:$A),MATCH(D$1,[3]characters!$1:$1,0)-MATCH($C$1,[3]characters!$1:$1,0)+1),MATCH(D$1,[3]characters!$1:$1,0)-MATCH($C$1,[3]characters!$1:$1,0)+1,FALSE),C84)</f>
        <v>20</v>
      </c>
      <c r="E84" s="27">
        <v>0</v>
      </c>
      <c r="F84" s="27" t="s">
        <v>792</v>
      </c>
      <c r="G84" s="26" t="str">
        <f t="shared" si="0"/>
        <v>ポリゴン x 20</v>
      </c>
      <c r="H84" s="27" t="s">
        <v>240</v>
      </c>
      <c r="I84" s="26" t="str">
        <f t="shared" ref="I84:I86" si="46">H84&amp;"で 【"&amp;G84&amp;"】 をゲット！"</f>
        <v>ミッション達成報酬で 【ポリゴン x 20】 をゲット！</v>
      </c>
      <c r="J84" s="71">
        <v>0</v>
      </c>
      <c r="K84" s="71">
        <v>1</v>
      </c>
      <c r="L84" s="71">
        <v>0</v>
      </c>
      <c r="M84" s="71">
        <v>0</v>
      </c>
      <c r="N84" s="71">
        <v>0</v>
      </c>
      <c r="O84" s="71">
        <v>1</v>
      </c>
      <c r="P84" s="71">
        <v>1</v>
      </c>
    </row>
    <row r="85" spans="1:16" ht="21" customHeight="1" x14ac:dyDescent="0.15">
      <c r="A85" s="27" t="s">
        <v>2426</v>
      </c>
      <c r="B85" s="27" t="s">
        <v>248</v>
      </c>
      <c r="C85" s="27">
        <v>25</v>
      </c>
      <c r="D85" s="26">
        <f ca="1">IF(B85="unit",VLOOKUP($C85,OFFSET([3]characters!$A$1,0,0,COUNTA([3]characters!$A:$A),MATCH(D$1,[3]characters!$1:$1,0)-MATCH($C$1,[3]characters!$1:$1,0)+1),MATCH(D$1,[3]characters!$1:$1,0)-MATCH($C$1,[3]characters!$1:$1,0)+1,FALSE),C85)</f>
        <v>25</v>
      </c>
      <c r="E85" s="27">
        <v>0</v>
      </c>
      <c r="F85" s="27" t="s">
        <v>792</v>
      </c>
      <c r="G85" s="26" t="str">
        <f t="shared" ref="G85" si="47">IF(B85="unit",D85&amp;" x "&amp;E85,IF(B85="polygon","ポリゴン x "&amp;C85,IF(B85="bit","ビット x "&amp;C85,IF(B85="link","リンク x "&amp;C85,"＊報酬未設定＊"))))</f>
        <v>ポリゴン x 25</v>
      </c>
      <c r="H85" s="27" t="s">
        <v>240</v>
      </c>
      <c r="I85" s="26" t="str">
        <f t="shared" ref="I85" si="48">H85&amp;"で 【"&amp;G85&amp;"】 をゲット！"</f>
        <v>ミッション達成報酬で 【ポリゴン x 25】 をゲット！</v>
      </c>
      <c r="J85" s="71">
        <v>0</v>
      </c>
      <c r="K85" s="71">
        <v>1</v>
      </c>
      <c r="L85" s="71">
        <v>0</v>
      </c>
      <c r="M85" s="71">
        <v>0</v>
      </c>
      <c r="N85" s="71">
        <v>0</v>
      </c>
      <c r="O85" s="71">
        <v>1</v>
      </c>
      <c r="P85" s="71">
        <v>1</v>
      </c>
    </row>
    <row r="86" spans="1:16" ht="21" customHeight="1" x14ac:dyDescent="0.15">
      <c r="A86" s="27" t="s">
        <v>923</v>
      </c>
      <c r="B86" s="27" t="s">
        <v>924</v>
      </c>
      <c r="C86" s="27">
        <v>50</v>
      </c>
      <c r="D86" s="26">
        <f ca="1">IF(B86="unit",VLOOKUP($C86,OFFSET([3]characters!$A$1,0,0,COUNTA([3]characters!$A:$A),MATCH(D$1,[3]characters!$1:$1,0)-MATCH($C$1,[3]characters!$1:$1,0)+1),MATCH(D$1,[3]characters!$1:$1,0)-MATCH($C$1,[3]characters!$1:$1,0)+1,FALSE),C86)</f>
        <v>50</v>
      </c>
      <c r="E86" s="27">
        <v>0</v>
      </c>
      <c r="F86" s="27" t="s">
        <v>925</v>
      </c>
      <c r="G86" s="26" t="str">
        <f t="shared" si="0"/>
        <v>ポリゴン x 50</v>
      </c>
      <c r="H86" s="27" t="s">
        <v>240</v>
      </c>
      <c r="I86" s="26" t="str">
        <f t="shared" si="46"/>
        <v>ミッション達成報酬で 【ポリゴン x 50】 をゲット！</v>
      </c>
      <c r="J86" s="71">
        <v>0</v>
      </c>
      <c r="K86" s="71">
        <v>1</v>
      </c>
      <c r="L86" s="71">
        <v>0</v>
      </c>
      <c r="M86" s="71">
        <v>0</v>
      </c>
      <c r="N86" s="71">
        <v>0</v>
      </c>
      <c r="O86" s="71">
        <v>1</v>
      </c>
      <c r="P86" s="71">
        <v>1</v>
      </c>
    </row>
    <row r="87" spans="1:16" ht="21" customHeight="1" x14ac:dyDescent="0.15">
      <c r="A87" s="27" t="s">
        <v>402</v>
      </c>
      <c r="B87" s="27" t="s">
        <v>250</v>
      </c>
      <c r="C87" s="27">
        <v>100</v>
      </c>
      <c r="D87" s="26">
        <f ca="1">IF(B87="unit",VLOOKUP($C87,OFFSET([3]characters!$A$1,0,0,COUNTA([3]characters!$A:$A),MATCH(D$1,[3]characters!$1:$1,0)-MATCH($C$1,[3]characters!$1:$1,0)+1),MATCH(D$1,[3]characters!$1:$1,0)-MATCH($C$1,[3]characters!$1:$1,0)+1,FALSE),C87)</f>
        <v>100</v>
      </c>
      <c r="E87" s="27">
        <v>0</v>
      </c>
      <c r="F87" s="27" t="s">
        <v>792</v>
      </c>
      <c r="G87" s="26" t="str">
        <f t="shared" si="0"/>
        <v>リンク x 100</v>
      </c>
      <c r="H87" s="27" t="s">
        <v>240</v>
      </c>
      <c r="I87" s="26" t="str">
        <f t="shared" ref="I87:I88" si="49">H87&amp;"で 【"&amp;G87&amp;"】 をゲット！"</f>
        <v>ミッション達成報酬で 【リンク x 100】 をゲット！</v>
      </c>
      <c r="J87" s="71">
        <v>0</v>
      </c>
      <c r="K87" s="71">
        <v>1</v>
      </c>
      <c r="L87" s="71">
        <v>0</v>
      </c>
      <c r="M87" s="71">
        <v>0</v>
      </c>
      <c r="N87" s="71">
        <v>0</v>
      </c>
      <c r="O87" s="71">
        <v>1</v>
      </c>
      <c r="P87" s="71">
        <v>1</v>
      </c>
    </row>
    <row r="88" spans="1:16" ht="21" customHeight="1" x14ac:dyDescent="0.15">
      <c r="A88" s="27" t="s">
        <v>403</v>
      </c>
      <c r="B88" s="27" t="s">
        <v>250</v>
      </c>
      <c r="C88" s="27">
        <v>200</v>
      </c>
      <c r="D88" s="26">
        <f ca="1">IF(B88="unit",VLOOKUP($C88,OFFSET([3]characters!$A$1,0,0,COUNTA([3]characters!$A:$A),MATCH(D$1,[3]characters!$1:$1,0)-MATCH($C$1,[3]characters!$1:$1,0)+1),MATCH(D$1,[3]characters!$1:$1,0)-MATCH($C$1,[3]characters!$1:$1,0)+1,FALSE),C88)</f>
        <v>200</v>
      </c>
      <c r="E88" s="27">
        <v>0</v>
      </c>
      <c r="F88" s="27" t="s">
        <v>792</v>
      </c>
      <c r="G88" s="26" t="str">
        <f t="shared" si="0"/>
        <v>リンク x 200</v>
      </c>
      <c r="H88" s="27" t="s">
        <v>240</v>
      </c>
      <c r="I88" s="26" t="str">
        <f t="shared" si="49"/>
        <v>ミッション達成報酬で 【リンク x 200】 をゲット！</v>
      </c>
      <c r="J88" s="71">
        <v>0</v>
      </c>
      <c r="K88" s="71">
        <v>1</v>
      </c>
      <c r="L88" s="71">
        <v>0</v>
      </c>
      <c r="M88" s="71">
        <v>0</v>
      </c>
      <c r="N88" s="71">
        <v>0</v>
      </c>
      <c r="O88" s="71">
        <v>1</v>
      </c>
      <c r="P88" s="71">
        <v>1</v>
      </c>
    </row>
    <row r="89" spans="1:16" ht="21" customHeight="1" x14ac:dyDescent="0.15">
      <c r="A89" s="27" t="s">
        <v>66</v>
      </c>
      <c r="B89" s="27" t="s">
        <v>250</v>
      </c>
      <c r="C89" s="27">
        <v>300</v>
      </c>
      <c r="D89" s="26">
        <f ca="1">IF(B89="unit",VLOOKUP($C89,OFFSET([3]characters!$A$1,0,0,COUNTA([3]characters!$A:$A),MATCH(D$1,[3]characters!$1:$1,0)-MATCH($C$1,[3]characters!$1:$1,0)+1),MATCH(D$1,[3]characters!$1:$1,0)-MATCH($C$1,[3]characters!$1:$1,0)+1,FALSE),C89)</f>
        <v>300</v>
      </c>
      <c r="E89" s="27">
        <v>0</v>
      </c>
      <c r="F89" s="27" t="s">
        <v>792</v>
      </c>
      <c r="G89" s="26" t="str">
        <f t="shared" si="0"/>
        <v>リンク x 300</v>
      </c>
      <c r="H89" s="27" t="s">
        <v>240</v>
      </c>
      <c r="I89" s="26" t="str">
        <f>H89&amp;"で 【"&amp;G89&amp;"】 をゲット！"</f>
        <v>ミッション達成報酬で 【リンク x 300】 をゲット！</v>
      </c>
      <c r="J89" s="71">
        <v>0</v>
      </c>
      <c r="K89" s="71">
        <v>1</v>
      </c>
      <c r="L89" s="71">
        <v>0</v>
      </c>
      <c r="M89" s="71">
        <v>0</v>
      </c>
      <c r="N89" s="71">
        <v>0</v>
      </c>
      <c r="O89" s="71">
        <v>1</v>
      </c>
      <c r="P89" s="71">
        <v>1</v>
      </c>
    </row>
    <row r="90" spans="1:16" ht="21" customHeight="1" x14ac:dyDescent="0.15">
      <c r="A90" s="27" t="s">
        <v>407</v>
      </c>
      <c r="B90" s="27" t="s">
        <v>250</v>
      </c>
      <c r="C90" s="27">
        <v>400</v>
      </c>
      <c r="D90" s="26">
        <f ca="1">IF(B90="unit",VLOOKUP($C90,OFFSET([3]characters!$A$1,0,0,COUNTA([3]characters!$A:$A),MATCH(D$1,[3]characters!$1:$1,0)-MATCH($C$1,[3]characters!$1:$1,0)+1),MATCH(D$1,[3]characters!$1:$1,0)-MATCH($C$1,[3]characters!$1:$1,0)+1,FALSE),C90)</f>
        <v>400</v>
      </c>
      <c r="E90" s="27">
        <v>0</v>
      </c>
      <c r="F90" s="27" t="s">
        <v>792</v>
      </c>
      <c r="G90" s="26" t="str">
        <f t="shared" si="0"/>
        <v>リンク x 400</v>
      </c>
      <c r="H90" s="27" t="s">
        <v>240</v>
      </c>
      <c r="I90" s="26" t="str">
        <f t="shared" ref="I90:I92" si="50">H90&amp;"で 【"&amp;G90&amp;"】 をゲット！"</f>
        <v>ミッション達成報酬で 【リンク x 400】 をゲット！</v>
      </c>
      <c r="J90" s="71">
        <v>0</v>
      </c>
      <c r="K90" s="71">
        <v>1</v>
      </c>
      <c r="L90" s="71">
        <v>0</v>
      </c>
      <c r="M90" s="71">
        <v>0</v>
      </c>
      <c r="N90" s="71">
        <v>0</v>
      </c>
      <c r="O90" s="71">
        <v>1</v>
      </c>
      <c r="P90" s="71">
        <v>1</v>
      </c>
    </row>
    <row r="91" spans="1:16" ht="21" customHeight="1" x14ac:dyDescent="0.15">
      <c r="A91" s="27" t="s">
        <v>404</v>
      </c>
      <c r="B91" s="27" t="s">
        <v>250</v>
      </c>
      <c r="C91" s="27">
        <v>500</v>
      </c>
      <c r="D91" s="26">
        <f ca="1">IF(B91="unit",VLOOKUP($C91,OFFSET([3]characters!$A$1,0,0,COUNTA([3]characters!$A:$A),MATCH(D$1,[3]characters!$1:$1,0)-MATCH($C$1,[3]characters!$1:$1,0)+1),MATCH(D$1,[3]characters!$1:$1,0)-MATCH($C$1,[3]characters!$1:$1,0)+1,FALSE),C91)</f>
        <v>500</v>
      </c>
      <c r="E91" s="27">
        <v>0</v>
      </c>
      <c r="F91" s="27" t="s">
        <v>792</v>
      </c>
      <c r="G91" s="26" t="str">
        <f t="shared" si="0"/>
        <v>リンク x 500</v>
      </c>
      <c r="H91" s="27" t="s">
        <v>240</v>
      </c>
      <c r="I91" s="26" t="str">
        <f t="shared" si="50"/>
        <v>ミッション達成報酬で 【リンク x 500】 をゲット！</v>
      </c>
      <c r="J91" s="71">
        <v>0</v>
      </c>
      <c r="K91" s="71">
        <v>1</v>
      </c>
      <c r="L91" s="71">
        <v>0</v>
      </c>
      <c r="M91" s="71">
        <v>0</v>
      </c>
      <c r="N91" s="71">
        <v>0</v>
      </c>
      <c r="O91" s="71">
        <v>1</v>
      </c>
      <c r="P91" s="71">
        <v>1</v>
      </c>
    </row>
    <row r="92" spans="1:16" ht="21" customHeight="1" x14ac:dyDescent="0.15">
      <c r="A92" s="27" t="s">
        <v>408</v>
      </c>
      <c r="B92" s="27" t="s">
        <v>250</v>
      </c>
      <c r="C92" s="27">
        <v>600</v>
      </c>
      <c r="D92" s="26">
        <f ca="1">IF(B92="unit",VLOOKUP($C92,OFFSET([3]characters!$A$1,0,0,COUNTA([3]characters!$A:$A),MATCH(D$1,[3]characters!$1:$1,0)-MATCH($C$1,[3]characters!$1:$1,0)+1),MATCH(D$1,[3]characters!$1:$1,0)-MATCH($C$1,[3]characters!$1:$1,0)+1,FALSE),C92)</f>
        <v>600</v>
      </c>
      <c r="E92" s="27">
        <v>0</v>
      </c>
      <c r="F92" s="27" t="s">
        <v>792</v>
      </c>
      <c r="G92" s="26" t="str">
        <f t="shared" si="0"/>
        <v>リンク x 600</v>
      </c>
      <c r="H92" s="27" t="s">
        <v>240</v>
      </c>
      <c r="I92" s="26" t="str">
        <f t="shared" si="50"/>
        <v>ミッション達成報酬で 【リンク x 600】 をゲット！</v>
      </c>
      <c r="J92" s="71">
        <v>0</v>
      </c>
      <c r="K92" s="71">
        <v>1</v>
      </c>
      <c r="L92" s="71">
        <v>0</v>
      </c>
      <c r="M92" s="71">
        <v>0</v>
      </c>
      <c r="N92" s="71">
        <v>0</v>
      </c>
      <c r="O92" s="71">
        <v>1</v>
      </c>
      <c r="P92" s="71">
        <v>1</v>
      </c>
    </row>
    <row r="93" spans="1:16" ht="21" customHeight="1" x14ac:dyDescent="0.15">
      <c r="A93" s="27" t="s">
        <v>405</v>
      </c>
      <c r="B93" s="27" t="s">
        <v>250</v>
      </c>
      <c r="C93" s="27">
        <v>700</v>
      </c>
      <c r="D93" s="26">
        <f ca="1">IF(B93="unit",VLOOKUP($C93,OFFSET([3]characters!$A$1,0,0,COUNTA([3]characters!$A:$A),MATCH(D$1,[3]characters!$1:$1,0)-MATCH($C$1,[3]characters!$1:$1,0)+1),MATCH(D$1,[3]characters!$1:$1,0)-MATCH($C$1,[3]characters!$1:$1,0)+1,FALSE),C93)</f>
        <v>700</v>
      </c>
      <c r="E93" s="27">
        <v>0</v>
      </c>
      <c r="F93" s="27" t="s">
        <v>792</v>
      </c>
      <c r="G93" s="26" t="str">
        <f t="shared" ref="G93:G130" si="51">IF(B93="unit",D93&amp;" x "&amp;E93,IF(B93="polygon","ポリゴン x "&amp;C93,IF(B93="bit","ビット x "&amp;C93,IF(B93="link","リンク x "&amp;C93,"＊報酬未設定＊"))))</f>
        <v>リンク x 700</v>
      </c>
      <c r="H93" s="27" t="s">
        <v>240</v>
      </c>
      <c r="I93" s="26" t="str">
        <f t="shared" ref="I93" si="52">H93&amp;"で 【"&amp;G93&amp;"】 をゲット！"</f>
        <v>ミッション達成報酬で 【リンク x 700】 をゲット！</v>
      </c>
      <c r="J93" s="71">
        <v>0</v>
      </c>
      <c r="K93" s="71">
        <v>1</v>
      </c>
      <c r="L93" s="71">
        <v>0</v>
      </c>
      <c r="M93" s="71">
        <v>0</v>
      </c>
      <c r="N93" s="71">
        <v>0</v>
      </c>
      <c r="O93" s="71">
        <v>1</v>
      </c>
      <c r="P93" s="71">
        <v>1</v>
      </c>
    </row>
    <row r="94" spans="1:16" ht="21" customHeight="1" x14ac:dyDescent="0.15">
      <c r="A94" s="27" t="s">
        <v>68</v>
      </c>
      <c r="B94" s="27" t="s">
        <v>250</v>
      </c>
      <c r="C94" s="27">
        <v>1000</v>
      </c>
      <c r="D94" s="26">
        <f ca="1">IF(B94="unit",VLOOKUP($C94,OFFSET([3]characters!$A$1,0,0,COUNTA([3]characters!$A:$A),MATCH(D$1,[3]characters!$1:$1,0)-MATCH($C$1,[3]characters!$1:$1,0)+1),MATCH(D$1,[3]characters!$1:$1,0)-MATCH($C$1,[3]characters!$1:$1,0)+1,FALSE),C94)</f>
        <v>1000</v>
      </c>
      <c r="E94" s="27">
        <v>0</v>
      </c>
      <c r="F94" s="27" t="s">
        <v>792</v>
      </c>
      <c r="G94" s="26" t="str">
        <f t="shared" si="51"/>
        <v>リンク x 1000</v>
      </c>
      <c r="H94" s="27" t="s">
        <v>240</v>
      </c>
      <c r="I94" s="26" t="str">
        <f>H94&amp;"で 【"&amp;G94&amp;"】 をゲット！"</f>
        <v>ミッション達成報酬で 【リンク x 1000】 をゲット！</v>
      </c>
      <c r="J94" s="71">
        <v>0</v>
      </c>
      <c r="K94" s="71">
        <v>1</v>
      </c>
      <c r="L94" s="71">
        <v>0</v>
      </c>
      <c r="M94" s="71">
        <v>0</v>
      </c>
      <c r="N94" s="71">
        <v>0</v>
      </c>
      <c r="O94" s="71">
        <v>1</v>
      </c>
      <c r="P94" s="71">
        <v>1</v>
      </c>
    </row>
    <row r="95" spans="1:16" ht="21" customHeight="1" x14ac:dyDescent="0.15">
      <c r="A95" s="27" t="s">
        <v>410</v>
      </c>
      <c r="B95" s="27" t="s">
        <v>250</v>
      </c>
      <c r="C95" s="27">
        <v>1500</v>
      </c>
      <c r="D95" s="26">
        <f ca="1">IF(B95="unit",VLOOKUP($C95,OFFSET([3]characters!$A$1,0,0,COUNTA([3]characters!$A:$A),MATCH(D$1,[3]characters!$1:$1,0)-MATCH($C$1,[3]characters!$1:$1,0)+1),MATCH(D$1,[3]characters!$1:$1,0)-MATCH($C$1,[3]characters!$1:$1,0)+1,FALSE),C95)</f>
        <v>1500</v>
      </c>
      <c r="E95" s="27">
        <v>0</v>
      </c>
      <c r="F95" s="27" t="s">
        <v>792</v>
      </c>
      <c r="G95" s="26" t="str">
        <f t="shared" si="51"/>
        <v>リンク x 1500</v>
      </c>
      <c r="H95" s="27" t="s">
        <v>240</v>
      </c>
      <c r="I95" s="26" t="str">
        <f t="shared" ref="I95" si="53">H95&amp;"で 【"&amp;G95&amp;"】 をゲット！"</f>
        <v>ミッション達成報酬で 【リンク x 1500】 をゲット！</v>
      </c>
      <c r="J95" s="71">
        <v>0</v>
      </c>
      <c r="K95" s="71">
        <v>1</v>
      </c>
      <c r="L95" s="71">
        <v>0</v>
      </c>
      <c r="M95" s="71">
        <v>0</v>
      </c>
      <c r="N95" s="71">
        <v>0</v>
      </c>
      <c r="O95" s="71">
        <v>1</v>
      </c>
      <c r="P95" s="71">
        <v>1</v>
      </c>
    </row>
    <row r="96" spans="1:16" ht="21" customHeight="1" x14ac:dyDescent="0.15">
      <c r="A96" s="27" t="s">
        <v>70</v>
      </c>
      <c r="B96" s="27" t="s">
        <v>250</v>
      </c>
      <c r="C96" s="27">
        <v>2000</v>
      </c>
      <c r="D96" s="26">
        <f ca="1">IF(B96="unit",VLOOKUP($C96,OFFSET([3]characters!$A$1,0,0,COUNTA([3]characters!$A:$A),MATCH(D$1,[3]characters!$1:$1,0)-MATCH($C$1,[3]characters!$1:$1,0)+1),MATCH(D$1,[3]characters!$1:$1,0)-MATCH($C$1,[3]characters!$1:$1,0)+1,FALSE),C96)</f>
        <v>2000</v>
      </c>
      <c r="E96" s="27">
        <v>0</v>
      </c>
      <c r="F96" s="27" t="s">
        <v>792</v>
      </c>
      <c r="G96" s="26" t="str">
        <f t="shared" si="51"/>
        <v>リンク x 2000</v>
      </c>
      <c r="H96" s="27" t="s">
        <v>240</v>
      </c>
      <c r="I96" s="26" t="str">
        <f>H96&amp;"で 【"&amp;G96&amp;"】 をゲット！"</f>
        <v>ミッション達成報酬で 【リンク x 2000】 をゲット！</v>
      </c>
      <c r="J96" s="71">
        <v>0</v>
      </c>
      <c r="K96" s="71">
        <v>1</v>
      </c>
      <c r="L96" s="71">
        <v>0</v>
      </c>
      <c r="M96" s="71">
        <v>0</v>
      </c>
      <c r="N96" s="71">
        <v>0</v>
      </c>
      <c r="O96" s="71">
        <v>1</v>
      </c>
      <c r="P96" s="71">
        <v>1</v>
      </c>
    </row>
    <row r="97" spans="1:16" ht="21" customHeight="1" x14ac:dyDescent="0.15">
      <c r="A97" s="27" t="s">
        <v>464</v>
      </c>
      <c r="B97" s="27" t="s">
        <v>250</v>
      </c>
      <c r="C97" s="27">
        <v>3000</v>
      </c>
      <c r="D97" s="26">
        <f ca="1">IF(B97="unit",VLOOKUP($C97,OFFSET([3]characters!$A$1,0,0,COUNTA([3]characters!$A:$A),MATCH(D$1,[3]characters!$1:$1,0)-MATCH($C$1,[3]characters!$1:$1,0)+1),MATCH(D$1,[3]characters!$1:$1,0)-MATCH($C$1,[3]characters!$1:$1,0)+1,FALSE),C97)</f>
        <v>3000</v>
      </c>
      <c r="E97" s="27">
        <v>0</v>
      </c>
      <c r="F97" s="27" t="s">
        <v>792</v>
      </c>
      <c r="G97" s="26" t="str">
        <f t="shared" si="51"/>
        <v>リンク x 3000</v>
      </c>
      <c r="H97" s="27" t="s">
        <v>240</v>
      </c>
      <c r="I97" s="26" t="str">
        <f>H97&amp;"で 【"&amp;G97&amp;"】 をゲット！"</f>
        <v>ミッション達成報酬で 【リンク x 3000】 をゲット！</v>
      </c>
      <c r="J97" s="71">
        <v>0</v>
      </c>
      <c r="K97" s="71">
        <v>1</v>
      </c>
      <c r="L97" s="71">
        <v>0</v>
      </c>
      <c r="M97" s="71">
        <v>0</v>
      </c>
      <c r="N97" s="71">
        <v>0</v>
      </c>
      <c r="O97" s="71">
        <v>1</v>
      </c>
      <c r="P97" s="71">
        <v>1</v>
      </c>
    </row>
    <row r="98" spans="1:16" ht="21" customHeight="1" x14ac:dyDescent="0.15">
      <c r="A98" s="27" t="s">
        <v>218</v>
      </c>
      <c r="B98" s="27" t="s">
        <v>249</v>
      </c>
      <c r="C98" s="27">
        <v>1000</v>
      </c>
      <c r="D98" s="26">
        <f ca="1">IF(B98="unit",VLOOKUP($C98,OFFSET([3]characters!$A$1,0,0,COUNTA([3]characters!$A:$A),MATCH(D$1,[3]characters!$1:$1,0)-MATCH($C$1,[3]characters!$1:$1,0)+1),MATCH(D$1,[3]characters!$1:$1,0)-MATCH($C$1,[3]characters!$1:$1,0)+1,FALSE),C98)</f>
        <v>1000</v>
      </c>
      <c r="E98" s="27">
        <v>0</v>
      </c>
      <c r="F98" s="27" t="s">
        <v>792</v>
      </c>
      <c r="G98" s="26" t="str">
        <f t="shared" si="51"/>
        <v>ビット x 1000</v>
      </c>
      <c r="H98" s="27" t="s">
        <v>240</v>
      </c>
      <c r="I98" s="26" t="str">
        <f t="shared" si="3"/>
        <v>ミッション達成報酬で 【ビット x 1000】 をゲット！</v>
      </c>
      <c r="J98" s="71">
        <v>0</v>
      </c>
      <c r="K98" s="71">
        <v>1</v>
      </c>
      <c r="L98" s="71">
        <v>0</v>
      </c>
      <c r="M98" s="71">
        <v>0</v>
      </c>
      <c r="N98" s="71">
        <v>0</v>
      </c>
      <c r="O98" s="71">
        <v>1</v>
      </c>
      <c r="P98" s="71">
        <v>1</v>
      </c>
    </row>
    <row r="99" spans="1:16" ht="21" customHeight="1" x14ac:dyDescent="0.15">
      <c r="A99" s="27" t="s">
        <v>219</v>
      </c>
      <c r="B99" s="27" t="s">
        <v>249</v>
      </c>
      <c r="C99" s="27">
        <v>2000</v>
      </c>
      <c r="D99" s="26">
        <f ca="1">IF(B99="unit",VLOOKUP($C99,OFFSET([3]characters!$A$1,0,0,COUNTA([3]characters!$A:$A),MATCH(D$1,[3]characters!$1:$1,0)-MATCH($C$1,[3]characters!$1:$1,0)+1),MATCH(D$1,[3]characters!$1:$1,0)-MATCH($C$1,[3]characters!$1:$1,0)+1,FALSE),C99)</f>
        <v>2000</v>
      </c>
      <c r="E99" s="27">
        <v>0</v>
      </c>
      <c r="F99" s="27" t="s">
        <v>792</v>
      </c>
      <c r="G99" s="26" t="str">
        <f t="shared" si="51"/>
        <v>ビット x 2000</v>
      </c>
      <c r="H99" s="27" t="s">
        <v>240</v>
      </c>
      <c r="I99" s="26" t="str">
        <f t="shared" si="3"/>
        <v>ミッション達成報酬で 【ビット x 2000】 をゲット！</v>
      </c>
      <c r="J99" s="71">
        <v>0</v>
      </c>
      <c r="K99" s="71">
        <v>1</v>
      </c>
      <c r="L99" s="71">
        <v>0</v>
      </c>
      <c r="M99" s="71">
        <v>0</v>
      </c>
      <c r="N99" s="71">
        <v>0</v>
      </c>
      <c r="O99" s="71">
        <v>1</v>
      </c>
      <c r="P99" s="71">
        <v>1</v>
      </c>
    </row>
    <row r="100" spans="1:16" ht="21" customHeight="1" x14ac:dyDescent="0.15">
      <c r="A100" s="27" t="s">
        <v>204</v>
      </c>
      <c r="B100" s="27" t="s">
        <v>249</v>
      </c>
      <c r="C100" s="27">
        <v>3000</v>
      </c>
      <c r="D100" s="26">
        <f ca="1">IF(B100="unit",VLOOKUP($C100,OFFSET([3]characters!$A$1,0,0,COUNTA([3]characters!$A:$A),MATCH(D$1,[3]characters!$1:$1,0)-MATCH($C$1,[3]characters!$1:$1,0)+1),MATCH(D$1,[3]characters!$1:$1,0)-MATCH($C$1,[3]characters!$1:$1,0)+1,FALSE),C100)</f>
        <v>3000</v>
      </c>
      <c r="E100" s="27">
        <v>0</v>
      </c>
      <c r="F100" s="27" t="s">
        <v>792</v>
      </c>
      <c r="G100" s="26" t="str">
        <f t="shared" si="51"/>
        <v>ビット x 3000</v>
      </c>
      <c r="H100" s="27" t="s">
        <v>240</v>
      </c>
      <c r="I100" s="26" t="str">
        <f t="shared" si="3"/>
        <v>ミッション達成報酬で 【ビット x 3000】 をゲット！</v>
      </c>
      <c r="J100" s="71">
        <v>0</v>
      </c>
      <c r="K100" s="71">
        <v>1</v>
      </c>
      <c r="L100" s="71">
        <v>0</v>
      </c>
      <c r="M100" s="71">
        <v>0</v>
      </c>
      <c r="N100" s="71">
        <v>0</v>
      </c>
      <c r="O100" s="71">
        <v>1</v>
      </c>
      <c r="P100" s="71">
        <v>1</v>
      </c>
    </row>
    <row r="101" spans="1:16" ht="21" customHeight="1" x14ac:dyDescent="0.15">
      <c r="A101" s="27" t="s">
        <v>220</v>
      </c>
      <c r="B101" s="27" t="s">
        <v>249</v>
      </c>
      <c r="C101" s="27">
        <v>4000</v>
      </c>
      <c r="D101" s="26">
        <f ca="1">IF(B101="unit",VLOOKUP($C101,OFFSET([3]characters!$A$1,0,0,COUNTA([3]characters!$A:$A),MATCH(D$1,[3]characters!$1:$1,0)-MATCH($C$1,[3]characters!$1:$1,0)+1),MATCH(D$1,[3]characters!$1:$1,0)-MATCH($C$1,[3]characters!$1:$1,0)+1,FALSE),C101)</f>
        <v>4000</v>
      </c>
      <c r="E101" s="27">
        <v>0</v>
      </c>
      <c r="F101" s="27" t="s">
        <v>792</v>
      </c>
      <c r="G101" s="26" t="str">
        <f t="shared" si="51"/>
        <v>ビット x 4000</v>
      </c>
      <c r="H101" s="27" t="s">
        <v>240</v>
      </c>
      <c r="I101" s="26" t="str">
        <f t="shared" si="3"/>
        <v>ミッション達成報酬で 【ビット x 4000】 をゲット！</v>
      </c>
      <c r="J101" s="71">
        <v>0</v>
      </c>
      <c r="K101" s="71">
        <v>1</v>
      </c>
      <c r="L101" s="71">
        <v>0</v>
      </c>
      <c r="M101" s="71">
        <v>0</v>
      </c>
      <c r="N101" s="71">
        <v>0</v>
      </c>
      <c r="O101" s="71">
        <v>1</v>
      </c>
      <c r="P101" s="71">
        <v>1</v>
      </c>
    </row>
    <row r="102" spans="1:16" ht="21" customHeight="1" x14ac:dyDescent="0.15">
      <c r="A102" s="27" t="s">
        <v>221</v>
      </c>
      <c r="B102" s="27" t="s">
        <v>249</v>
      </c>
      <c r="C102" s="27">
        <v>5000</v>
      </c>
      <c r="D102" s="26">
        <f ca="1">IF(B102="unit",VLOOKUP($C102,OFFSET([3]characters!$A$1,0,0,COUNTA([3]characters!$A:$A),MATCH(D$1,[3]characters!$1:$1,0)-MATCH($C$1,[3]characters!$1:$1,0)+1),MATCH(D$1,[3]characters!$1:$1,0)-MATCH($C$1,[3]characters!$1:$1,0)+1,FALSE),C102)</f>
        <v>5000</v>
      </c>
      <c r="E102" s="27">
        <v>0</v>
      </c>
      <c r="F102" s="27" t="s">
        <v>792</v>
      </c>
      <c r="G102" s="26" t="str">
        <f t="shared" si="51"/>
        <v>ビット x 5000</v>
      </c>
      <c r="H102" s="27" t="s">
        <v>240</v>
      </c>
      <c r="I102" s="26" t="str">
        <f t="shared" si="3"/>
        <v>ミッション達成報酬で 【ビット x 5000】 をゲット！</v>
      </c>
      <c r="J102" s="71">
        <v>0</v>
      </c>
      <c r="K102" s="71">
        <v>1</v>
      </c>
      <c r="L102" s="71">
        <v>0</v>
      </c>
      <c r="M102" s="71">
        <v>0</v>
      </c>
      <c r="N102" s="71">
        <v>0</v>
      </c>
      <c r="O102" s="71">
        <v>1</v>
      </c>
      <c r="P102" s="71">
        <v>1</v>
      </c>
    </row>
    <row r="103" spans="1:16" ht="21" customHeight="1" x14ac:dyDescent="0.15">
      <c r="A103" s="27" t="s">
        <v>222</v>
      </c>
      <c r="B103" s="27" t="s">
        <v>249</v>
      </c>
      <c r="C103" s="27">
        <v>6000</v>
      </c>
      <c r="D103" s="26">
        <f ca="1">IF(B103="unit",VLOOKUP($C103,OFFSET([3]characters!$A$1,0,0,COUNTA([3]characters!$A:$A),MATCH(D$1,[3]characters!$1:$1,0)-MATCH($C$1,[3]characters!$1:$1,0)+1),MATCH(D$1,[3]characters!$1:$1,0)-MATCH($C$1,[3]characters!$1:$1,0)+1,FALSE),C103)</f>
        <v>6000</v>
      </c>
      <c r="E103" s="27">
        <v>0</v>
      </c>
      <c r="F103" s="27" t="s">
        <v>792</v>
      </c>
      <c r="G103" s="26" t="str">
        <f t="shared" si="51"/>
        <v>ビット x 6000</v>
      </c>
      <c r="H103" s="27" t="s">
        <v>240</v>
      </c>
      <c r="I103" s="26" t="str">
        <f t="shared" si="3"/>
        <v>ミッション達成報酬で 【ビット x 6000】 をゲット！</v>
      </c>
      <c r="J103" s="71">
        <v>0</v>
      </c>
      <c r="K103" s="71">
        <v>1</v>
      </c>
      <c r="L103" s="71">
        <v>0</v>
      </c>
      <c r="M103" s="71">
        <v>0</v>
      </c>
      <c r="N103" s="71">
        <v>0</v>
      </c>
      <c r="O103" s="71">
        <v>1</v>
      </c>
      <c r="P103" s="71">
        <v>1</v>
      </c>
    </row>
    <row r="104" spans="1:16" ht="21" customHeight="1" x14ac:dyDescent="0.15">
      <c r="A104" s="27" t="s">
        <v>223</v>
      </c>
      <c r="B104" s="27" t="s">
        <v>249</v>
      </c>
      <c r="C104" s="27">
        <v>7000</v>
      </c>
      <c r="D104" s="26">
        <f ca="1">IF(B104="unit",VLOOKUP($C104,OFFSET([3]characters!$A$1,0,0,COUNTA([3]characters!$A:$A),MATCH(D$1,[3]characters!$1:$1,0)-MATCH($C$1,[3]characters!$1:$1,0)+1),MATCH(D$1,[3]characters!$1:$1,0)-MATCH($C$1,[3]characters!$1:$1,0)+1,FALSE),C104)</f>
        <v>7000</v>
      </c>
      <c r="E104" s="27">
        <v>0</v>
      </c>
      <c r="F104" s="27" t="s">
        <v>792</v>
      </c>
      <c r="G104" s="26" t="str">
        <f t="shared" si="51"/>
        <v>ビット x 7000</v>
      </c>
      <c r="H104" s="27" t="s">
        <v>240</v>
      </c>
      <c r="I104" s="26" t="str">
        <f t="shared" si="3"/>
        <v>ミッション達成報酬で 【ビット x 7000】 をゲット！</v>
      </c>
      <c r="J104" s="71">
        <v>0</v>
      </c>
      <c r="K104" s="71">
        <v>1</v>
      </c>
      <c r="L104" s="71">
        <v>0</v>
      </c>
      <c r="M104" s="71">
        <v>0</v>
      </c>
      <c r="N104" s="71">
        <v>0</v>
      </c>
      <c r="O104" s="71">
        <v>1</v>
      </c>
      <c r="P104" s="71">
        <v>1</v>
      </c>
    </row>
    <row r="105" spans="1:16" ht="21" customHeight="1" x14ac:dyDescent="0.15">
      <c r="A105" s="27" t="s">
        <v>224</v>
      </c>
      <c r="B105" s="27" t="s">
        <v>249</v>
      </c>
      <c r="C105" s="27">
        <v>8000</v>
      </c>
      <c r="D105" s="26">
        <f ca="1">IF(B105="unit",VLOOKUP($C105,OFFSET([3]characters!$A$1,0,0,COUNTA([3]characters!$A:$A),MATCH(D$1,[3]characters!$1:$1,0)-MATCH($C$1,[3]characters!$1:$1,0)+1),MATCH(D$1,[3]characters!$1:$1,0)-MATCH($C$1,[3]characters!$1:$1,0)+1,FALSE),C105)</f>
        <v>8000</v>
      </c>
      <c r="E105" s="27">
        <v>0</v>
      </c>
      <c r="F105" s="27" t="s">
        <v>792</v>
      </c>
      <c r="G105" s="26" t="str">
        <f t="shared" si="51"/>
        <v>ビット x 8000</v>
      </c>
      <c r="H105" s="27" t="s">
        <v>240</v>
      </c>
      <c r="I105" s="26" t="str">
        <f t="shared" si="3"/>
        <v>ミッション達成報酬で 【ビット x 8000】 をゲット！</v>
      </c>
      <c r="J105" s="71">
        <v>0</v>
      </c>
      <c r="K105" s="71">
        <v>1</v>
      </c>
      <c r="L105" s="71">
        <v>0</v>
      </c>
      <c r="M105" s="71">
        <v>0</v>
      </c>
      <c r="N105" s="71">
        <v>0</v>
      </c>
      <c r="O105" s="71">
        <v>1</v>
      </c>
      <c r="P105" s="71">
        <v>1</v>
      </c>
    </row>
    <row r="106" spans="1:16" ht="21" customHeight="1" x14ac:dyDescent="0.15">
      <c r="A106" s="27" t="s">
        <v>225</v>
      </c>
      <c r="B106" s="27" t="s">
        <v>249</v>
      </c>
      <c r="C106" s="27">
        <v>9000</v>
      </c>
      <c r="D106" s="26">
        <f ca="1">IF(B106="unit",VLOOKUP($C106,OFFSET([3]characters!$A$1,0,0,COUNTA([3]characters!$A:$A),MATCH(D$1,[3]characters!$1:$1,0)-MATCH($C$1,[3]characters!$1:$1,0)+1),MATCH(D$1,[3]characters!$1:$1,0)-MATCH($C$1,[3]characters!$1:$1,0)+1,FALSE),C106)</f>
        <v>9000</v>
      </c>
      <c r="E106" s="27">
        <v>0</v>
      </c>
      <c r="F106" s="27" t="s">
        <v>792</v>
      </c>
      <c r="G106" s="26" t="str">
        <f t="shared" si="51"/>
        <v>ビット x 9000</v>
      </c>
      <c r="H106" s="27" t="s">
        <v>240</v>
      </c>
      <c r="I106" s="26" t="str">
        <f t="shared" si="3"/>
        <v>ミッション達成報酬で 【ビット x 9000】 をゲット！</v>
      </c>
      <c r="J106" s="71">
        <v>0</v>
      </c>
      <c r="K106" s="71">
        <v>1</v>
      </c>
      <c r="L106" s="71">
        <v>0</v>
      </c>
      <c r="M106" s="71">
        <v>0</v>
      </c>
      <c r="N106" s="71">
        <v>0</v>
      </c>
      <c r="O106" s="71">
        <v>1</v>
      </c>
      <c r="P106" s="71">
        <v>1</v>
      </c>
    </row>
    <row r="107" spans="1:16" ht="21" customHeight="1" x14ac:dyDescent="0.15">
      <c r="A107" s="27" t="s">
        <v>226</v>
      </c>
      <c r="B107" s="27" t="s">
        <v>249</v>
      </c>
      <c r="C107" s="27">
        <v>10000</v>
      </c>
      <c r="D107" s="26">
        <f ca="1">IF(B107="unit",VLOOKUP($C107,OFFSET([3]characters!$A$1,0,0,COUNTA([3]characters!$A:$A),MATCH(D$1,[3]characters!$1:$1,0)-MATCH($C$1,[3]characters!$1:$1,0)+1),MATCH(D$1,[3]characters!$1:$1,0)-MATCH($C$1,[3]characters!$1:$1,0)+1,FALSE),C107)</f>
        <v>10000</v>
      </c>
      <c r="E107" s="27">
        <v>0</v>
      </c>
      <c r="F107" s="27" t="s">
        <v>792</v>
      </c>
      <c r="G107" s="26" t="str">
        <f t="shared" si="51"/>
        <v>ビット x 10000</v>
      </c>
      <c r="H107" s="27" t="s">
        <v>240</v>
      </c>
      <c r="I107" s="26" t="str">
        <f t="shared" si="3"/>
        <v>ミッション達成報酬で 【ビット x 10000】 をゲット！</v>
      </c>
      <c r="J107" s="71">
        <v>0</v>
      </c>
      <c r="K107" s="71">
        <v>1</v>
      </c>
      <c r="L107" s="71">
        <v>0</v>
      </c>
      <c r="M107" s="71">
        <v>0</v>
      </c>
      <c r="N107" s="71">
        <v>0</v>
      </c>
      <c r="O107" s="71">
        <v>1</v>
      </c>
      <c r="P107" s="71">
        <v>1</v>
      </c>
    </row>
    <row r="108" spans="1:16" ht="21" customHeight="1" x14ac:dyDescent="0.15">
      <c r="A108" s="27" t="s">
        <v>237</v>
      </c>
      <c r="B108" s="27" t="s">
        <v>249</v>
      </c>
      <c r="C108" s="27">
        <v>20000</v>
      </c>
      <c r="D108" s="26">
        <f ca="1">IF(B108="unit",VLOOKUP($C108,OFFSET([3]characters!$A$1,0,0,COUNTA([3]characters!$A:$A),MATCH(D$1,[3]characters!$1:$1,0)-MATCH($C$1,[3]characters!$1:$1,0)+1),MATCH(D$1,[3]characters!$1:$1,0)-MATCH($C$1,[3]characters!$1:$1,0)+1,FALSE),C108)</f>
        <v>20000</v>
      </c>
      <c r="E108" s="27">
        <v>0</v>
      </c>
      <c r="F108" s="27" t="s">
        <v>792</v>
      </c>
      <c r="G108" s="26" t="str">
        <f t="shared" si="51"/>
        <v>ビット x 20000</v>
      </c>
      <c r="H108" s="27" t="s">
        <v>240</v>
      </c>
      <c r="I108" s="26" t="str">
        <f t="shared" si="3"/>
        <v>ミッション達成報酬で 【ビット x 20000】 をゲット！</v>
      </c>
      <c r="J108" s="71">
        <v>0</v>
      </c>
      <c r="K108" s="71">
        <v>1</v>
      </c>
      <c r="L108" s="71">
        <v>0</v>
      </c>
      <c r="M108" s="71">
        <v>0</v>
      </c>
      <c r="N108" s="71">
        <v>0</v>
      </c>
      <c r="O108" s="71">
        <v>1</v>
      </c>
      <c r="P108" s="71">
        <v>1</v>
      </c>
    </row>
    <row r="109" spans="1:16" ht="21" customHeight="1" x14ac:dyDescent="0.15">
      <c r="A109" s="27" t="s">
        <v>238</v>
      </c>
      <c r="B109" s="27" t="s">
        <v>249</v>
      </c>
      <c r="C109" s="27">
        <v>5000</v>
      </c>
      <c r="D109" s="26">
        <f ca="1">IF(B109="unit",VLOOKUP($C109,OFFSET([3]characters!$A$1,0,0,COUNTA([3]characters!$A:$A),MATCH(D$1,[3]characters!$1:$1,0)-MATCH($C$1,[3]characters!$1:$1,0)+1),MATCH(D$1,[3]characters!$1:$1,0)-MATCH($C$1,[3]characters!$1:$1,0)+1,FALSE),C109)</f>
        <v>5000</v>
      </c>
      <c r="E109" s="27">
        <v>0</v>
      </c>
      <c r="F109" s="27" t="s">
        <v>792</v>
      </c>
      <c r="G109" s="26" t="str">
        <f t="shared" si="51"/>
        <v>ビット x 5000</v>
      </c>
      <c r="H109" s="27" t="s">
        <v>1140</v>
      </c>
      <c r="I109" s="26" t="str">
        <f t="shared" ref="I109:I114" si="54">H109&amp;"で 【"&amp;G109&amp;"】 をゲット！"</f>
        <v>週間ミッション達成報酬で 【ビット x 5000】 をゲット！</v>
      </c>
      <c r="J109" s="71">
        <v>0</v>
      </c>
      <c r="K109" s="71">
        <v>1</v>
      </c>
      <c r="L109" s="71">
        <v>0</v>
      </c>
      <c r="M109" s="71">
        <v>0</v>
      </c>
      <c r="N109" s="71">
        <v>0</v>
      </c>
      <c r="O109" s="71">
        <v>1</v>
      </c>
      <c r="P109" s="71">
        <v>1</v>
      </c>
    </row>
    <row r="110" spans="1:16" ht="21" customHeight="1" x14ac:dyDescent="0.15">
      <c r="A110" s="27" t="s">
        <v>239</v>
      </c>
      <c r="B110" s="27" t="s">
        <v>249</v>
      </c>
      <c r="C110" s="27">
        <v>10000</v>
      </c>
      <c r="D110" s="26">
        <f ca="1">IF(B110="unit",VLOOKUP($C110,OFFSET([3]characters!$A$1,0,0,COUNTA([3]characters!$A:$A),MATCH(D$1,[3]characters!$1:$1,0)-MATCH($C$1,[3]characters!$1:$1,0)+1),MATCH(D$1,[3]characters!$1:$1,0)-MATCH($C$1,[3]characters!$1:$1,0)+1,FALSE),C110)</f>
        <v>10000</v>
      </c>
      <c r="E110" s="27">
        <v>0</v>
      </c>
      <c r="F110" s="27" t="s">
        <v>792</v>
      </c>
      <c r="G110" s="26" t="str">
        <f t="shared" si="51"/>
        <v>ビット x 10000</v>
      </c>
      <c r="H110" s="27" t="s">
        <v>1140</v>
      </c>
      <c r="I110" s="26" t="str">
        <f t="shared" si="54"/>
        <v>週間ミッション達成報酬で 【ビット x 10000】 をゲット！</v>
      </c>
      <c r="J110" s="71">
        <v>0</v>
      </c>
      <c r="K110" s="71">
        <v>1</v>
      </c>
      <c r="L110" s="71">
        <v>0</v>
      </c>
      <c r="M110" s="71">
        <v>0</v>
      </c>
      <c r="N110" s="71">
        <v>0</v>
      </c>
      <c r="O110" s="71">
        <v>1</v>
      </c>
      <c r="P110" s="71">
        <v>1</v>
      </c>
    </row>
    <row r="111" spans="1:16" ht="21" customHeight="1" x14ac:dyDescent="0.15">
      <c r="A111" s="27" t="s">
        <v>443</v>
      </c>
      <c r="B111" s="27" t="s">
        <v>249</v>
      </c>
      <c r="C111" s="27">
        <v>25000</v>
      </c>
      <c r="D111" s="26">
        <f ca="1">IF(B111="unit",VLOOKUP($C111,OFFSET([3]characters!$A$1,0,0,COUNTA([3]characters!$A:$A),MATCH(D$1,[3]characters!$1:$1,0)-MATCH($C$1,[3]characters!$1:$1,0)+1),MATCH(D$1,[3]characters!$1:$1,0)-MATCH($C$1,[3]characters!$1:$1,0)+1,FALSE),C111)</f>
        <v>25000</v>
      </c>
      <c r="E111" s="27">
        <v>0</v>
      </c>
      <c r="F111" s="27" t="s">
        <v>792</v>
      </c>
      <c r="G111" s="26" t="str">
        <f t="shared" si="51"/>
        <v>ビット x 25000</v>
      </c>
      <c r="H111" s="27" t="s">
        <v>1140</v>
      </c>
      <c r="I111" s="26" t="str">
        <f t="shared" si="54"/>
        <v>週間ミッション達成報酬で 【ビット x 25000】 をゲット！</v>
      </c>
      <c r="J111" s="71">
        <v>0</v>
      </c>
      <c r="K111" s="71">
        <v>1</v>
      </c>
      <c r="L111" s="71">
        <v>0</v>
      </c>
      <c r="M111" s="71">
        <v>0</v>
      </c>
      <c r="N111" s="71">
        <v>0</v>
      </c>
      <c r="O111" s="71">
        <v>1</v>
      </c>
      <c r="P111" s="71">
        <v>1</v>
      </c>
    </row>
    <row r="112" spans="1:16" ht="21" customHeight="1" x14ac:dyDescent="0.15">
      <c r="A112" s="27" t="s">
        <v>1136</v>
      </c>
      <c r="B112" s="27" t="s">
        <v>249</v>
      </c>
      <c r="C112" s="27">
        <v>30000</v>
      </c>
      <c r="D112" s="26">
        <f ca="1">IF(B112="unit",VLOOKUP($C112,OFFSET([3]characters!$A$1,0,0,COUNTA([3]characters!$A:$A),MATCH(D$1,[3]characters!$1:$1,0)-MATCH($C$1,[3]characters!$1:$1,0)+1),MATCH(D$1,[3]characters!$1:$1,0)-MATCH($C$1,[3]characters!$1:$1,0)+1,FALSE),C112)</f>
        <v>30000</v>
      </c>
      <c r="E112" s="27">
        <v>0</v>
      </c>
      <c r="F112" s="27" t="s">
        <v>792</v>
      </c>
      <c r="G112" s="26" t="str">
        <f t="shared" ref="G112" si="55">IF(B112="unit",D112&amp;" x "&amp;E112,IF(B112="polygon","ポリゴン x "&amp;C112,IF(B112="bit","ビット x "&amp;C112,IF(B112="link","リンク x "&amp;C112,"＊報酬未設定＊"))))</f>
        <v>ビット x 30000</v>
      </c>
      <c r="H112" s="27" t="s">
        <v>1140</v>
      </c>
      <c r="I112" s="26" t="str">
        <f t="shared" si="54"/>
        <v>週間ミッション達成報酬で 【ビット x 30000】 をゲット！</v>
      </c>
      <c r="J112" s="71">
        <v>0</v>
      </c>
      <c r="K112" s="71">
        <v>1</v>
      </c>
      <c r="L112" s="71">
        <v>0</v>
      </c>
      <c r="M112" s="71">
        <v>0</v>
      </c>
      <c r="N112" s="71">
        <v>0</v>
      </c>
      <c r="O112" s="71">
        <v>1</v>
      </c>
      <c r="P112" s="71">
        <v>1</v>
      </c>
    </row>
    <row r="113" spans="1:16" ht="21" customHeight="1" x14ac:dyDescent="0.15">
      <c r="A113" s="27" t="s">
        <v>444</v>
      </c>
      <c r="B113" s="27" t="s">
        <v>249</v>
      </c>
      <c r="C113" s="27">
        <v>50000</v>
      </c>
      <c r="D113" s="26">
        <f ca="1">IF(B113="unit",VLOOKUP($C113,OFFSET([3]characters!$A$1,0,0,COUNTA([3]characters!$A:$A),MATCH(D$1,[3]characters!$1:$1,0)-MATCH($C$1,[3]characters!$1:$1,0)+1),MATCH(D$1,[3]characters!$1:$1,0)-MATCH($C$1,[3]characters!$1:$1,0)+1,FALSE),C113)</f>
        <v>50000</v>
      </c>
      <c r="E113" s="27">
        <v>0</v>
      </c>
      <c r="F113" s="27" t="s">
        <v>792</v>
      </c>
      <c r="G113" s="26" t="str">
        <f t="shared" si="51"/>
        <v>ビット x 50000</v>
      </c>
      <c r="H113" s="27" t="s">
        <v>1140</v>
      </c>
      <c r="I113" s="26" t="str">
        <f t="shared" si="54"/>
        <v>週間ミッション達成報酬で 【ビット x 50000】 をゲット！</v>
      </c>
      <c r="J113" s="71">
        <v>0</v>
      </c>
      <c r="K113" s="71">
        <v>1</v>
      </c>
      <c r="L113" s="71">
        <v>0</v>
      </c>
      <c r="M113" s="71">
        <v>0</v>
      </c>
      <c r="N113" s="71">
        <v>0</v>
      </c>
      <c r="O113" s="71">
        <v>1</v>
      </c>
      <c r="P113" s="71">
        <v>1</v>
      </c>
    </row>
    <row r="114" spans="1:16" ht="21" customHeight="1" x14ac:dyDescent="0.15">
      <c r="A114" s="27" t="s">
        <v>1137</v>
      </c>
      <c r="B114" s="27" t="s">
        <v>249</v>
      </c>
      <c r="C114" s="27">
        <v>60000</v>
      </c>
      <c r="D114" s="26">
        <f ca="1">IF(B114="unit",VLOOKUP($C114,OFFSET([3]characters!$A$1,0,0,COUNTA([3]characters!$A:$A),MATCH(D$1,[3]characters!$1:$1,0)-MATCH($C$1,[3]characters!$1:$1,0)+1),MATCH(D$1,[3]characters!$1:$1,0)-MATCH($C$1,[3]characters!$1:$1,0)+1,FALSE),C114)</f>
        <v>60000</v>
      </c>
      <c r="E114" s="27">
        <v>0</v>
      </c>
      <c r="F114" s="27" t="s">
        <v>792</v>
      </c>
      <c r="G114" s="26" t="str">
        <f t="shared" ref="G114" si="56">IF(B114="unit",D114&amp;" x "&amp;E114,IF(B114="polygon","ポリゴン x "&amp;C114,IF(B114="bit","ビット x "&amp;C114,IF(B114="link","リンク x "&amp;C114,"＊報酬未設定＊"))))</f>
        <v>ビット x 60000</v>
      </c>
      <c r="H114" s="27" t="s">
        <v>1140</v>
      </c>
      <c r="I114" s="26" t="str">
        <f t="shared" si="54"/>
        <v>週間ミッション達成報酬で 【ビット x 60000】 をゲット！</v>
      </c>
      <c r="J114" s="71">
        <v>0</v>
      </c>
      <c r="K114" s="71">
        <v>1</v>
      </c>
      <c r="L114" s="71">
        <v>0</v>
      </c>
      <c r="M114" s="71">
        <v>0</v>
      </c>
      <c r="N114" s="71">
        <v>0</v>
      </c>
      <c r="O114" s="71">
        <v>1</v>
      </c>
      <c r="P114" s="71">
        <v>1</v>
      </c>
    </row>
    <row r="115" spans="1:16" ht="21" customHeight="1" x14ac:dyDescent="0.15">
      <c r="A115" s="27" t="s">
        <v>1500</v>
      </c>
      <c r="B115" s="27" t="s">
        <v>249</v>
      </c>
      <c r="C115" s="27">
        <v>100000</v>
      </c>
      <c r="D115" s="26">
        <f ca="1">IF(B115="unit",VLOOKUP($C115,OFFSET([3]characters!$A$1,0,0,COUNTA([3]characters!$A:$A),MATCH(D$1,[3]characters!$1:$1,0)-MATCH($C$1,[3]characters!$1:$1,0)+1),MATCH(D$1,[3]characters!$1:$1,0)-MATCH($C$1,[3]characters!$1:$1,0)+1,FALSE),C115)</f>
        <v>100000</v>
      </c>
      <c r="E115" s="27">
        <v>0</v>
      </c>
      <c r="F115" s="27" t="s">
        <v>792</v>
      </c>
      <c r="G115" s="26" t="str">
        <f t="shared" ref="G115:G118" si="57">IF(B115="unit",D115&amp;" x "&amp;E115,IF(B115="polygon","ポリゴン x "&amp;C115,IF(B115="bit","ビット x "&amp;C115,IF(B115="link","リンク x "&amp;C115,"＊報酬未設定＊"))))</f>
        <v>ビット x 100000</v>
      </c>
      <c r="H115" s="27" t="s">
        <v>1140</v>
      </c>
      <c r="I115" s="26" t="str">
        <f t="shared" ref="I115:I118" si="58">H115&amp;"で 【"&amp;G115&amp;"】 をゲット！"</f>
        <v>週間ミッション達成報酬で 【ビット x 100000】 をゲット！</v>
      </c>
      <c r="J115" s="71">
        <v>0</v>
      </c>
      <c r="K115" s="71">
        <v>1</v>
      </c>
      <c r="L115" s="71">
        <v>0</v>
      </c>
      <c r="M115" s="71">
        <v>0</v>
      </c>
      <c r="N115" s="71">
        <v>0</v>
      </c>
      <c r="O115" s="71">
        <v>1</v>
      </c>
      <c r="P115" s="71">
        <v>1</v>
      </c>
    </row>
    <row r="116" spans="1:16" ht="21" customHeight="1" x14ac:dyDescent="0.15">
      <c r="A116" s="27" t="s">
        <v>1501</v>
      </c>
      <c r="B116" s="27" t="s">
        <v>249</v>
      </c>
      <c r="C116" s="27">
        <v>200000</v>
      </c>
      <c r="D116" s="26">
        <f ca="1">IF(B116="unit",VLOOKUP($C116,OFFSET([3]characters!$A$1,0,0,COUNTA([3]characters!$A:$A),MATCH(D$1,[3]characters!$1:$1,0)-MATCH($C$1,[3]characters!$1:$1,0)+1),MATCH(D$1,[3]characters!$1:$1,0)-MATCH($C$1,[3]characters!$1:$1,0)+1,FALSE),C116)</f>
        <v>200000</v>
      </c>
      <c r="E116" s="27">
        <v>0</v>
      </c>
      <c r="F116" s="27" t="s">
        <v>792</v>
      </c>
      <c r="G116" s="26" t="str">
        <f t="shared" si="57"/>
        <v>ビット x 200000</v>
      </c>
      <c r="H116" s="27" t="s">
        <v>1140</v>
      </c>
      <c r="I116" s="26" t="str">
        <f t="shared" si="58"/>
        <v>週間ミッション達成報酬で 【ビット x 200000】 をゲット！</v>
      </c>
      <c r="J116" s="71">
        <v>0</v>
      </c>
      <c r="K116" s="71">
        <v>1</v>
      </c>
      <c r="L116" s="71">
        <v>0</v>
      </c>
      <c r="M116" s="71">
        <v>0</v>
      </c>
      <c r="N116" s="71">
        <v>0</v>
      </c>
      <c r="O116" s="71">
        <v>1</v>
      </c>
      <c r="P116" s="71">
        <v>1</v>
      </c>
    </row>
    <row r="117" spans="1:16" ht="21" customHeight="1" x14ac:dyDescent="0.15">
      <c r="A117" s="27" t="s">
        <v>2142</v>
      </c>
      <c r="B117" s="27" t="s">
        <v>249</v>
      </c>
      <c r="C117" s="27">
        <v>300000</v>
      </c>
      <c r="D117" s="26">
        <f ca="1">IF(B117="unit",VLOOKUP($C117,OFFSET([3]characters!$A$1,0,0,COUNTA([3]characters!$A:$A),MATCH(D$1,[3]characters!$1:$1,0)-MATCH($C$1,[3]characters!$1:$1,0)+1),MATCH(D$1,[3]characters!$1:$1,0)-MATCH($C$1,[3]characters!$1:$1,0)+1,FALSE),C117)</f>
        <v>300000</v>
      </c>
      <c r="E117" s="27">
        <v>0</v>
      </c>
      <c r="F117" s="27" t="s">
        <v>792</v>
      </c>
      <c r="G117" s="26" t="str">
        <f t="shared" si="57"/>
        <v>ビット x 300000</v>
      </c>
      <c r="H117" s="27" t="s">
        <v>1140</v>
      </c>
      <c r="I117" s="26" t="str">
        <f t="shared" si="58"/>
        <v>週間ミッション達成報酬で 【ビット x 300000】 をゲット！</v>
      </c>
      <c r="J117" s="71">
        <v>0</v>
      </c>
      <c r="K117" s="71">
        <v>1</v>
      </c>
      <c r="L117" s="71">
        <v>0</v>
      </c>
      <c r="M117" s="71">
        <v>0</v>
      </c>
      <c r="N117" s="71">
        <v>0</v>
      </c>
      <c r="O117" s="71">
        <v>1</v>
      </c>
      <c r="P117" s="71">
        <v>1</v>
      </c>
    </row>
    <row r="118" spans="1:16" ht="21" customHeight="1" x14ac:dyDescent="0.15">
      <c r="A118" s="27" t="s">
        <v>1502</v>
      </c>
      <c r="B118" s="27" t="s">
        <v>249</v>
      </c>
      <c r="C118" s="27">
        <v>400000</v>
      </c>
      <c r="D118" s="26">
        <f ca="1">IF(B118="unit",VLOOKUP($C118,OFFSET([3]characters!$A$1,0,0,COUNTA([3]characters!$A:$A),MATCH(D$1,[3]characters!$1:$1,0)-MATCH($C$1,[3]characters!$1:$1,0)+1),MATCH(D$1,[3]characters!$1:$1,0)-MATCH($C$1,[3]characters!$1:$1,0)+1,FALSE),C118)</f>
        <v>400000</v>
      </c>
      <c r="E118" s="27">
        <v>0</v>
      </c>
      <c r="F118" s="27" t="s">
        <v>792</v>
      </c>
      <c r="G118" s="26" t="str">
        <f t="shared" si="57"/>
        <v>ビット x 400000</v>
      </c>
      <c r="H118" s="27" t="s">
        <v>1140</v>
      </c>
      <c r="I118" s="26" t="str">
        <f t="shared" si="58"/>
        <v>週間ミッション達成報酬で 【ビット x 400000】 をゲット！</v>
      </c>
      <c r="J118" s="71">
        <v>0</v>
      </c>
      <c r="K118" s="71">
        <v>1</v>
      </c>
      <c r="L118" s="71">
        <v>0</v>
      </c>
      <c r="M118" s="71">
        <v>0</v>
      </c>
      <c r="N118" s="71">
        <v>0</v>
      </c>
      <c r="O118" s="71">
        <v>1</v>
      </c>
      <c r="P118" s="71">
        <v>1</v>
      </c>
    </row>
    <row r="119" spans="1:16" ht="21" customHeight="1" x14ac:dyDescent="0.15">
      <c r="A119" s="27" t="s">
        <v>445</v>
      </c>
      <c r="B119" s="27" t="s">
        <v>247</v>
      </c>
      <c r="C119" s="27">
        <v>121</v>
      </c>
      <c r="D119" s="26" t="str">
        <f ca="1">IF(B119="unit",VLOOKUP($C119,OFFSET([3]characters!$A$1,0,0,COUNTA([3]characters!$A:$A),MATCH(D$1,[3]characters!$1:$1,0)-MATCH($C$1,[3]characters!$1:$1,0)+1),MATCH(D$1,[3]characters!$1:$1,0)-MATCH($C$1,[3]characters!$1:$1,0)+1,FALSE),C119)</f>
        <v>攻めの果実</v>
      </c>
      <c r="E119" s="27">
        <v>1</v>
      </c>
      <c r="F119" s="27" t="s">
        <v>792</v>
      </c>
      <c r="G119" s="26" t="str">
        <f t="shared" ca="1" si="51"/>
        <v>攻めの果実 x 1</v>
      </c>
      <c r="H119" s="27" t="s">
        <v>1140</v>
      </c>
      <c r="I119" s="26" t="str">
        <f t="shared" ref="I119:I131" ca="1" si="59">H119&amp;"で 【"&amp;G119&amp;"】 をゲット！"</f>
        <v>週間ミッション達成報酬で 【攻めの果実 x 1】 をゲット！</v>
      </c>
      <c r="J119" s="71">
        <v>0</v>
      </c>
      <c r="K119" s="71">
        <v>1</v>
      </c>
      <c r="L119" s="71">
        <v>0</v>
      </c>
      <c r="M119" s="71">
        <v>0</v>
      </c>
      <c r="N119" s="71">
        <v>0</v>
      </c>
      <c r="O119" s="71">
        <v>1</v>
      </c>
      <c r="P119" s="71">
        <v>1</v>
      </c>
    </row>
    <row r="120" spans="1:16" ht="21" customHeight="1" x14ac:dyDescent="0.15">
      <c r="A120" s="27" t="s">
        <v>626</v>
      </c>
      <c r="B120" s="27" t="s">
        <v>247</v>
      </c>
      <c r="C120" s="27">
        <v>121</v>
      </c>
      <c r="D120" s="26" t="str">
        <f ca="1">IF(B120="unit",VLOOKUP($C120,OFFSET([3]characters!$A$1,0,0,COUNTA([3]characters!$A:$A),MATCH(D$1,[3]characters!$1:$1,0)-MATCH($C$1,[3]characters!$1:$1,0)+1),MATCH(D$1,[3]characters!$1:$1,0)-MATCH($C$1,[3]characters!$1:$1,0)+1,FALSE),C120)</f>
        <v>攻めの果実</v>
      </c>
      <c r="E120" s="27">
        <v>2</v>
      </c>
      <c r="F120" s="27" t="s">
        <v>792</v>
      </c>
      <c r="G120" s="26" t="str">
        <f t="shared" ca="1" si="51"/>
        <v>攻めの果実 x 2</v>
      </c>
      <c r="H120" s="27" t="s">
        <v>1140</v>
      </c>
      <c r="I120" s="26" t="str">
        <f t="shared" ref="I120" ca="1" si="60">H120&amp;"で 【"&amp;G120&amp;"】 をゲット！"</f>
        <v>週間ミッション達成報酬で 【攻めの果実 x 2】 をゲット！</v>
      </c>
      <c r="J120" s="71">
        <v>0</v>
      </c>
      <c r="K120" s="71">
        <v>1</v>
      </c>
      <c r="L120" s="71">
        <v>0</v>
      </c>
      <c r="M120" s="71">
        <v>0</v>
      </c>
      <c r="N120" s="71">
        <v>0</v>
      </c>
      <c r="O120" s="71">
        <v>1</v>
      </c>
      <c r="P120" s="71">
        <v>1</v>
      </c>
    </row>
    <row r="121" spans="1:16" ht="21" customHeight="1" x14ac:dyDescent="0.15">
      <c r="A121" s="27" t="s">
        <v>446</v>
      </c>
      <c r="B121" s="27" t="s">
        <v>247</v>
      </c>
      <c r="C121" s="27">
        <v>121</v>
      </c>
      <c r="D121" s="26" t="str">
        <f ca="1">IF(B121="unit",VLOOKUP($C121,OFFSET([3]characters!$A$1,0,0,COUNTA([3]characters!$A:$A),MATCH(D$1,[3]characters!$1:$1,0)-MATCH($C$1,[3]characters!$1:$1,0)+1),MATCH(D$1,[3]characters!$1:$1,0)-MATCH($C$1,[3]characters!$1:$1,0)+1,FALSE),C121)</f>
        <v>攻めの果実</v>
      </c>
      <c r="E121" s="27">
        <v>3</v>
      </c>
      <c r="F121" s="27" t="s">
        <v>792</v>
      </c>
      <c r="G121" s="26" t="str">
        <f t="shared" ca="1" si="51"/>
        <v>攻めの果実 x 3</v>
      </c>
      <c r="H121" s="27" t="s">
        <v>1140</v>
      </c>
      <c r="I121" s="26" t="str">
        <f t="shared" ca="1" si="59"/>
        <v>週間ミッション達成報酬で 【攻めの果実 x 3】 をゲット！</v>
      </c>
      <c r="J121" s="71">
        <v>0</v>
      </c>
      <c r="K121" s="71">
        <v>1</v>
      </c>
      <c r="L121" s="71">
        <v>0</v>
      </c>
      <c r="M121" s="71">
        <v>0</v>
      </c>
      <c r="N121" s="71">
        <v>0</v>
      </c>
      <c r="O121" s="71">
        <v>1</v>
      </c>
      <c r="P121" s="71">
        <v>1</v>
      </c>
    </row>
    <row r="122" spans="1:16" ht="21" customHeight="1" x14ac:dyDescent="0.15">
      <c r="A122" s="39" t="s">
        <v>452</v>
      </c>
      <c r="B122" s="27" t="s">
        <v>247</v>
      </c>
      <c r="C122" s="27">
        <v>121</v>
      </c>
      <c r="D122" s="26" t="str">
        <f ca="1">IF(B122="unit",VLOOKUP($C122,OFFSET([3]characters!$A$1,0,0,COUNTA([3]characters!$A:$A),MATCH(D$1,[3]characters!$1:$1,0)-MATCH($C$1,[3]characters!$1:$1,0)+1),MATCH(D$1,[3]characters!$1:$1,0)-MATCH($C$1,[3]characters!$1:$1,0)+1,FALSE),C122)</f>
        <v>攻めの果実</v>
      </c>
      <c r="E122" s="27">
        <v>5</v>
      </c>
      <c r="F122" s="27" t="s">
        <v>792</v>
      </c>
      <c r="G122" s="26" t="str">
        <f t="shared" ca="1" si="51"/>
        <v>攻めの果実 x 5</v>
      </c>
      <c r="H122" s="27" t="s">
        <v>1140</v>
      </c>
      <c r="I122" s="26" t="str">
        <f t="shared" ca="1" si="59"/>
        <v>週間ミッション達成報酬で 【攻めの果実 x 5】 をゲット！</v>
      </c>
      <c r="J122" s="71">
        <v>0</v>
      </c>
      <c r="K122" s="71">
        <v>1</v>
      </c>
      <c r="L122" s="71">
        <v>0</v>
      </c>
      <c r="M122" s="71">
        <v>0</v>
      </c>
      <c r="N122" s="71">
        <v>0</v>
      </c>
      <c r="O122" s="71">
        <v>1</v>
      </c>
      <c r="P122" s="71">
        <v>1</v>
      </c>
    </row>
    <row r="123" spans="1:16" ht="21" customHeight="1" x14ac:dyDescent="0.15">
      <c r="A123" s="27" t="s">
        <v>447</v>
      </c>
      <c r="B123" s="27" t="s">
        <v>247</v>
      </c>
      <c r="C123" s="27">
        <v>122</v>
      </c>
      <c r="D123" s="26" t="str">
        <f ca="1">IF(B123="unit",VLOOKUP($C123,OFFSET([3]characters!$A$1,0,0,COUNTA([3]characters!$A:$A),MATCH(D$1,[3]characters!$1:$1,0)-MATCH($C$1,[3]characters!$1:$1,0)+1),MATCH(D$1,[3]characters!$1:$1,0)-MATCH($C$1,[3]characters!$1:$1,0)+1,FALSE),C123)</f>
        <v>生命の果実</v>
      </c>
      <c r="E123" s="27">
        <v>1</v>
      </c>
      <c r="F123" s="27" t="s">
        <v>792</v>
      </c>
      <c r="G123" s="26" t="str">
        <f t="shared" ca="1" si="51"/>
        <v>生命の果実 x 1</v>
      </c>
      <c r="H123" s="27" t="s">
        <v>1140</v>
      </c>
      <c r="I123" s="26" t="str">
        <f t="shared" ca="1" si="59"/>
        <v>週間ミッション達成報酬で 【生命の果実 x 1】 をゲット！</v>
      </c>
      <c r="J123" s="71">
        <v>0</v>
      </c>
      <c r="K123" s="71">
        <v>1</v>
      </c>
      <c r="L123" s="71">
        <v>0</v>
      </c>
      <c r="M123" s="71">
        <v>0</v>
      </c>
      <c r="N123" s="71">
        <v>0</v>
      </c>
      <c r="O123" s="71">
        <v>1</v>
      </c>
      <c r="P123" s="71">
        <v>1</v>
      </c>
    </row>
    <row r="124" spans="1:16" ht="21" customHeight="1" x14ac:dyDescent="0.15">
      <c r="A124" s="27" t="s">
        <v>627</v>
      </c>
      <c r="B124" s="27" t="s">
        <v>247</v>
      </c>
      <c r="C124" s="27">
        <v>122</v>
      </c>
      <c r="D124" s="26" t="str">
        <f ca="1">IF(B124="unit",VLOOKUP($C124,OFFSET([3]characters!$A$1,0,0,COUNTA([3]characters!$A:$A),MATCH(D$1,[3]characters!$1:$1,0)-MATCH($C$1,[3]characters!$1:$1,0)+1),MATCH(D$1,[3]characters!$1:$1,0)-MATCH($C$1,[3]characters!$1:$1,0)+1,FALSE),C124)</f>
        <v>生命の果実</v>
      </c>
      <c r="E124" s="27">
        <v>2</v>
      </c>
      <c r="F124" s="27" t="s">
        <v>792</v>
      </c>
      <c r="G124" s="26" t="str">
        <f t="shared" ca="1" si="51"/>
        <v>生命の果実 x 2</v>
      </c>
      <c r="H124" s="27" t="s">
        <v>1140</v>
      </c>
      <c r="I124" s="26" t="str">
        <f t="shared" ref="I124" ca="1" si="61">H124&amp;"で 【"&amp;G124&amp;"】 をゲット！"</f>
        <v>週間ミッション達成報酬で 【生命の果実 x 2】 をゲット！</v>
      </c>
      <c r="J124" s="71">
        <v>0</v>
      </c>
      <c r="K124" s="71">
        <v>1</v>
      </c>
      <c r="L124" s="71">
        <v>0</v>
      </c>
      <c r="M124" s="71">
        <v>0</v>
      </c>
      <c r="N124" s="71">
        <v>0</v>
      </c>
      <c r="O124" s="71">
        <v>1</v>
      </c>
      <c r="P124" s="71">
        <v>1</v>
      </c>
    </row>
    <row r="125" spans="1:16" ht="21" customHeight="1" x14ac:dyDescent="0.15">
      <c r="A125" s="27" t="s">
        <v>448</v>
      </c>
      <c r="B125" s="27" t="s">
        <v>247</v>
      </c>
      <c r="C125" s="27">
        <v>122</v>
      </c>
      <c r="D125" s="26" t="str">
        <f ca="1">IF(B125="unit",VLOOKUP($C125,OFFSET([3]characters!$A$1,0,0,COUNTA([3]characters!$A:$A),MATCH(D$1,[3]characters!$1:$1,0)-MATCH($C$1,[3]characters!$1:$1,0)+1),MATCH(D$1,[3]characters!$1:$1,0)-MATCH($C$1,[3]characters!$1:$1,0)+1,FALSE),C125)</f>
        <v>生命の果実</v>
      </c>
      <c r="E125" s="27">
        <v>3</v>
      </c>
      <c r="F125" s="27" t="s">
        <v>792</v>
      </c>
      <c r="G125" s="26" t="str">
        <f t="shared" ca="1" si="51"/>
        <v>生命の果実 x 3</v>
      </c>
      <c r="H125" s="27" t="s">
        <v>1140</v>
      </c>
      <c r="I125" s="26" t="str">
        <f t="shared" ca="1" si="59"/>
        <v>週間ミッション達成報酬で 【生命の果実 x 3】 をゲット！</v>
      </c>
      <c r="J125" s="71">
        <v>0</v>
      </c>
      <c r="K125" s="71">
        <v>1</v>
      </c>
      <c r="L125" s="71">
        <v>0</v>
      </c>
      <c r="M125" s="71">
        <v>0</v>
      </c>
      <c r="N125" s="71">
        <v>0</v>
      </c>
      <c r="O125" s="71">
        <v>1</v>
      </c>
      <c r="P125" s="71">
        <v>1</v>
      </c>
    </row>
    <row r="126" spans="1:16" ht="21" customHeight="1" x14ac:dyDescent="0.15">
      <c r="A126" s="27" t="s">
        <v>453</v>
      </c>
      <c r="B126" s="27" t="s">
        <v>247</v>
      </c>
      <c r="C126" s="27">
        <v>122</v>
      </c>
      <c r="D126" s="26" t="str">
        <f ca="1">IF(B126="unit",VLOOKUP($C126,OFFSET([3]characters!$A$1,0,0,COUNTA([3]characters!$A:$A),MATCH(D$1,[3]characters!$1:$1,0)-MATCH($C$1,[3]characters!$1:$1,0)+1),MATCH(D$1,[3]characters!$1:$1,0)-MATCH($C$1,[3]characters!$1:$1,0)+1,FALSE),C126)</f>
        <v>生命の果実</v>
      </c>
      <c r="E126" s="27">
        <v>5</v>
      </c>
      <c r="F126" s="27" t="s">
        <v>792</v>
      </c>
      <c r="G126" s="26" t="str">
        <f t="shared" ca="1" si="51"/>
        <v>生命の果実 x 5</v>
      </c>
      <c r="H126" s="27" t="s">
        <v>1140</v>
      </c>
      <c r="I126" s="26" t="str">
        <f t="shared" ca="1" si="59"/>
        <v>週間ミッション達成報酬で 【生命の果実 x 5】 をゲット！</v>
      </c>
      <c r="J126" s="71">
        <v>0</v>
      </c>
      <c r="K126" s="71">
        <v>1</v>
      </c>
      <c r="L126" s="71">
        <v>0</v>
      </c>
      <c r="M126" s="71">
        <v>0</v>
      </c>
      <c r="N126" s="71">
        <v>0</v>
      </c>
      <c r="O126" s="71">
        <v>1</v>
      </c>
      <c r="P126" s="71">
        <v>1</v>
      </c>
    </row>
    <row r="127" spans="1:16" ht="21" customHeight="1" x14ac:dyDescent="0.15">
      <c r="A127" s="27" t="s">
        <v>449</v>
      </c>
      <c r="B127" s="27" t="s">
        <v>247</v>
      </c>
      <c r="C127" s="27">
        <v>123</v>
      </c>
      <c r="D127" s="26" t="str">
        <f ca="1">IF(B127="unit",VLOOKUP($C127,OFFSET([3]characters!$A$1,0,0,COUNTA([3]characters!$A:$A),MATCH(D$1,[3]characters!$1:$1,0)-MATCH($C$1,[3]characters!$1:$1,0)+1),MATCH(D$1,[3]characters!$1:$1,0)-MATCH($C$1,[3]characters!$1:$1,0)+1,FALSE),C127)</f>
        <v>癒しの果実</v>
      </c>
      <c r="E127" s="27">
        <v>1</v>
      </c>
      <c r="F127" s="27" t="s">
        <v>792</v>
      </c>
      <c r="G127" s="26" t="str">
        <f t="shared" ca="1" si="51"/>
        <v>癒しの果実 x 1</v>
      </c>
      <c r="H127" s="27" t="s">
        <v>1140</v>
      </c>
      <c r="I127" s="26" t="str">
        <f t="shared" ca="1" si="59"/>
        <v>週間ミッション達成報酬で 【癒しの果実 x 1】 をゲット！</v>
      </c>
      <c r="J127" s="71">
        <v>0</v>
      </c>
      <c r="K127" s="71">
        <v>1</v>
      </c>
      <c r="L127" s="71">
        <v>0</v>
      </c>
      <c r="M127" s="71">
        <v>0</v>
      </c>
      <c r="N127" s="71">
        <v>0</v>
      </c>
      <c r="O127" s="71">
        <v>1</v>
      </c>
      <c r="P127" s="71">
        <v>1</v>
      </c>
    </row>
    <row r="128" spans="1:16" ht="21" customHeight="1" x14ac:dyDescent="0.15">
      <c r="A128" s="27" t="s">
        <v>628</v>
      </c>
      <c r="B128" s="27" t="s">
        <v>247</v>
      </c>
      <c r="C128" s="27">
        <v>123</v>
      </c>
      <c r="D128" s="26" t="str">
        <f ca="1">IF(B128="unit",VLOOKUP($C128,OFFSET([3]characters!$A$1,0,0,COUNTA([3]characters!$A:$A),MATCH(D$1,[3]characters!$1:$1,0)-MATCH($C$1,[3]characters!$1:$1,0)+1),MATCH(D$1,[3]characters!$1:$1,0)-MATCH($C$1,[3]characters!$1:$1,0)+1,FALSE),C128)</f>
        <v>癒しの果実</v>
      </c>
      <c r="E128" s="27">
        <v>2</v>
      </c>
      <c r="F128" s="27" t="s">
        <v>792</v>
      </c>
      <c r="G128" s="26" t="str">
        <f t="shared" ca="1" si="51"/>
        <v>癒しの果実 x 2</v>
      </c>
      <c r="H128" s="27" t="s">
        <v>1140</v>
      </c>
      <c r="I128" s="26" t="str">
        <f t="shared" ref="I128" ca="1" si="62">H128&amp;"で 【"&amp;G128&amp;"】 をゲット！"</f>
        <v>週間ミッション達成報酬で 【癒しの果実 x 2】 をゲット！</v>
      </c>
      <c r="J128" s="71">
        <v>0</v>
      </c>
      <c r="K128" s="71">
        <v>1</v>
      </c>
      <c r="L128" s="71">
        <v>0</v>
      </c>
      <c r="M128" s="71">
        <v>0</v>
      </c>
      <c r="N128" s="71">
        <v>0</v>
      </c>
      <c r="O128" s="71">
        <v>1</v>
      </c>
      <c r="P128" s="71">
        <v>1</v>
      </c>
    </row>
    <row r="129" spans="1:16" ht="21" customHeight="1" x14ac:dyDescent="0.15">
      <c r="A129" s="27" t="s">
        <v>450</v>
      </c>
      <c r="B129" s="27" t="s">
        <v>247</v>
      </c>
      <c r="C129" s="27">
        <v>123</v>
      </c>
      <c r="D129" s="26" t="str">
        <f ca="1">IF(B129="unit",VLOOKUP($C129,OFFSET([3]characters!$A$1,0,0,COUNTA([3]characters!$A:$A),MATCH(D$1,[3]characters!$1:$1,0)-MATCH($C$1,[3]characters!$1:$1,0)+1),MATCH(D$1,[3]characters!$1:$1,0)-MATCH($C$1,[3]characters!$1:$1,0)+1,FALSE),C129)</f>
        <v>癒しの果実</v>
      </c>
      <c r="E129" s="27">
        <v>3</v>
      </c>
      <c r="F129" s="27" t="s">
        <v>792</v>
      </c>
      <c r="G129" s="26" t="str">
        <f t="shared" ca="1" si="51"/>
        <v>癒しの果実 x 3</v>
      </c>
      <c r="H129" s="27" t="s">
        <v>1140</v>
      </c>
      <c r="I129" s="26" t="str">
        <f t="shared" ca="1" si="59"/>
        <v>週間ミッション達成報酬で 【癒しの果実 x 3】 をゲット！</v>
      </c>
      <c r="J129" s="71">
        <v>0</v>
      </c>
      <c r="K129" s="71">
        <v>1</v>
      </c>
      <c r="L129" s="71">
        <v>0</v>
      </c>
      <c r="M129" s="71">
        <v>0</v>
      </c>
      <c r="N129" s="71">
        <v>0</v>
      </c>
      <c r="O129" s="71">
        <v>1</v>
      </c>
      <c r="P129" s="71">
        <v>1</v>
      </c>
    </row>
    <row r="130" spans="1:16" ht="21" customHeight="1" x14ac:dyDescent="0.15">
      <c r="A130" s="27" t="s">
        <v>454</v>
      </c>
      <c r="B130" s="27" t="s">
        <v>247</v>
      </c>
      <c r="C130" s="27">
        <v>123</v>
      </c>
      <c r="D130" s="26" t="str">
        <f ca="1">IF(B130="unit",VLOOKUP($C130,OFFSET([3]characters!$A$1,0,0,COUNTA([3]characters!$A:$A),MATCH(D$1,[3]characters!$1:$1,0)-MATCH($C$1,[3]characters!$1:$1,0)+1),MATCH(D$1,[3]characters!$1:$1,0)-MATCH($C$1,[3]characters!$1:$1,0)+1,FALSE),C130)</f>
        <v>癒しの果実</v>
      </c>
      <c r="E130" s="27">
        <v>5</v>
      </c>
      <c r="F130" s="27" t="s">
        <v>792</v>
      </c>
      <c r="G130" s="26" t="str">
        <f t="shared" ca="1" si="51"/>
        <v>癒しの果実 x 5</v>
      </c>
      <c r="H130" s="27" t="s">
        <v>1140</v>
      </c>
      <c r="I130" s="26" t="str">
        <f t="shared" ca="1" si="59"/>
        <v>週間ミッション達成報酬で 【癒しの果実 x 5】 をゲット！</v>
      </c>
      <c r="J130" s="71">
        <v>0</v>
      </c>
      <c r="K130" s="71">
        <v>1</v>
      </c>
      <c r="L130" s="71">
        <v>0</v>
      </c>
      <c r="M130" s="71">
        <v>0</v>
      </c>
      <c r="N130" s="71">
        <v>0</v>
      </c>
      <c r="O130" s="71">
        <v>1</v>
      </c>
      <c r="P130" s="71">
        <v>1</v>
      </c>
    </row>
    <row r="131" spans="1:16" ht="21" customHeight="1" x14ac:dyDescent="0.15">
      <c r="A131" s="27" t="s">
        <v>675</v>
      </c>
      <c r="B131" s="27" t="s">
        <v>247</v>
      </c>
      <c r="C131" s="40">
        <v>332</v>
      </c>
      <c r="D131" s="26" t="str">
        <f ca="1">IF(B131="unit",VLOOKUP($C131,OFFSET([3]characters!$A$1,0,0,COUNTA([3]characters!$A:$A),MATCH(D$1,[3]characters!$1:$1,0)-MATCH($C$1,[3]characters!$1:$1,0)+1),MATCH(D$1,[3]characters!$1:$1,0)-MATCH($C$1,[3]characters!$1:$1,0)+1,FALSE),C131)</f>
        <v>炎のメタルピヨピヨ</v>
      </c>
      <c r="E131" s="27">
        <v>1</v>
      </c>
      <c r="F131" s="27" t="s">
        <v>792</v>
      </c>
      <c r="G131" s="26" t="str">
        <f t="shared" ref="G131:G165" ca="1" si="63">IF(B131="unit",D131&amp;" x "&amp;E131,IF(B131="polygon","ポリゴン x "&amp;C131,IF(B131="bit","ビット x "&amp;C131,IF(B131="link","リンク x "&amp;C131,"＊報酬未設定＊"))))</f>
        <v>炎のメタルピヨピヨ x 1</v>
      </c>
      <c r="H131" s="27" t="s">
        <v>1140</v>
      </c>
      <c r="I131" s="26" t="str">
        <f t="shared" ca="1" si="59"/>
        <v>週間ミッション達成報酬で 【炎のメタルピヨピヨ x 1】 をゲット！</v>
      </c>
      <c r="J131" s="71">
        <v>0</v>
      </c>
      <c r="K131" s="71">
        <v>1</v>
      </c>
      <c r="L131" s="71">
        <v>0</v>
      </c>
      <c r="M131" s="71">
        <v>0</v>
      </c>
      <c r="N131" s="71">
        <v>0</v>
      </c>
      <c r="O131" s="71">
        <v>1</v>
      </c>
      <c r="P131" s="71">
        <v>1</v>
      </c>
    </row>
    <row r="132" spans="1:16" ht="21" customHeight="1" x14ac:dyDescent="0.15">
      <c r="A132" s="27" t="s">
        <v>455</v>
      </c>
      <c r="B132" s="27" t="s">
        <v>247</v>
      </c>
      <c r="C132" s="40">
        <v>333</v>
      </c>
      <c r="D132" s="26" t="str">
        <f ca="1">IF(B132="unit",VLOOKUP($C132,OFFSET([3]characters!$A$1,0,0,COUNTA([3]characters!$A:$A),MATCH(D$1,[3]characters!$1:$1,0)-MATCH($C$1,[3]characters!$1:$1,0)+1),MATCH(D$1,[3]characters!$1:$1,0)-MATCH($C$1,[3]characters!$1:$1,0)+1,FALSE),C132)</f>
        <v>炎のメタルチック</v>
      </c>
      <c r="E132" s="27">
        <v>1</v>
      </c>
      <c r="F132" s="27" t="s">
        <v>792</v>
      </c>
      <c r="G132" s="26" t="str">
        <f t="shared" ca="1" si="63"/>
        <v>炎のメタルチック x 1</v>
      </c>
      <c r="H132" s="27" t="s">
        <v>1140</v>
      </c>
      <c r="I132" s="26" t="str">
        <f t="shared" ref="I132:I134" ca="1" si="64">H132&amp;"で 【"&amp;G132&amp;"】 をゲット！"</f>
        <v>週間ミッション達成報酬で 【炎のメタルチック x 1】 をゲット！</v>
      </c>
      <c r="J132" s="71">
        <v>0</v>
      </c>
      <c r="K132" s="71">
        <v>1</v>
      </c>
      <c r="L132" s="71">
        <v>0</v>
      </c>
      <c r="M132" s="71">
        <v>0</v>
      </c>
      <c r="N132" s="71">
        <v>0</v>
      </c>
      <c r="O132" s="71">
        <v>1</v>
      </c>
      <c r="P132" s="71">
        <v>1</v>
      </c>
    </row>
    <row r="133" spans="1:16" ht="21" customHeight="1" x14ac:dyDescent="0.15">
      <c r="A133" s="27" t="s">
        <v>456</v>
      </c>
      <c r="B133" s="27" t="s">
        <v>247</v>
      </c>
      <c r="C133" s="40">
        <v>334</v>
      </c>
      <c r="D133" s="26" t="str">
        <f ca="1">IF(B133="unit",VLOOKUP($C133,OFFSET([3]characters!$A$1,0,0,COUNTA([3]characters!$A:$A),MATCH(D$1,[3]characters!$1:$1,0)-MATCH($C$1,[3]characters!$1:$1,0)+1),MATCH(D$1,[3]characters!$1:$1,0)-MATCH($C$1,[3]characters!$1:$1,0)+1,FALSE),C133)</f>
        <v>炎のメタルダック</v>
      </c>
      <c r="E133" s="27">
        <v>1</v>
      </c>
      <c r="F133" s="27" t="s">
        <v>792</v>
      </c>
      <c r="G133" s="26" t="str">
        <f t="shared" ca="1" si="63"/>
        <v>炎のメタルダック x 1</v>
      </c>
      <c r="H133" s="27" t="s">
        <v>1140</v>
      </c>
      <c r="I133" s="26" t="str">
        <f t="shared" ca="1" si="64"/>
        <v>週間ミッション達成報酬で 【炎のメタルダック x 1】 をゲット！</v>
      </c>
      <c r="J133" s="71">
        <v>0</v>
      </c>
      <c r="K133" s="71">
        <v>1</v>
      </c>
      <c r="L133" s="71">
        <v>0</v>
      </c>
      <c r="M133" s="71">
        <v>0</v>
      </c>
      <c r="N133" s="71">
        <v>0</v>
      </c>
      <c r="O133" s="71">
        <v>1</v>
      </c>
      <c r="P133" s="71">
        <v>1</v>
      </c>
    </row>
    <row r="134" spans="1:16" ht="21" customHeight="1" x14ac:dyDescent="0.15">
      <c r="A134" s="27" t="s">
        <v>1532</v>
      </c>
      <c r="B134" s="27" t="s">
        <v>247</v>
      </c>
      <c r="C134" s="40">
        <v>335</v>
      </c>
      <c r="D134" s="26" t="str">
        <f ca="1">IF(B134="unit",VLOOKUP($C134,OFFSET([3]characters!$A$1,0,0,COUNTA([3]characters!$A:$A),MATCH(D$1,[3]characters!$1:$1,0)-MATCH($C$1,[3]characters!$1:$1,0)+1),MATCH(D$1,[3]characters!$1:$1,0)-MATCH($C$1,[3]characters!$1:$1,0)+1,FALSE),C134)</f>
        <v>炎のメタルジェントル</v>
      </c>
      <c r="E134" s="27">
        <v>1</v>
      </c>
      <c r="F134" s="27" t="s">
        <v>792</v>
      </c>
      <c r="G134" s="26" t="str">
        <f t="shared" ca="1" si="63"/>
        <v>炎のメタルジェントル x 1</v>
      </c>
      <c r="H134" s="27" t="s">
        <v>1140</v>
      </c>
      <c r="I134" s="26" t="str">
        <f t="shared" ca="1" si="64"/>
        <v>週間ミッション達成報酬で 【炎のメタルジェントル x 1】 をゲット！</v>
      </c>
      <c r="J134" s="71">
        <v>0</v>
      </c>
      <c r="K134" s="71">
        <v>1</v>
      </c>
      <c r="L134" s="71">
        <v>0</v>
      </c>
      <c r="M134" s="71">
        <v>0</v>
      </c>
      <c r="N134" s="71">
        <v>0</v>
      </c>
      <c r="O134" s="71">
        <v>1</v>
      </c>
      <c r="P134" s="71">
        <v>1</v>
      </c>
    </row>
    <row r="135" spans="1:16" ht="21" customHeight="1" x14ac:dyDescent="0.15">
      <c r="A135" s="137" t="s">
        <v>2188</v>
      </c>
      <c r="B135" s="27" t="s">
        <v>247</v>
      </c>
      <c r="C135" s="40">
        <v>335</v>
      </c>
      <c r="D135" s="26" t="str">
        <f ca="1">IF(B135="unit",VLOOKUP($C135,OFFSET([3]characters!$A$1,0,0,COUNTA([3]characters!$A:$A),MATCH(D$1,[3]characters!$1:$1,0)-MATCH($C$1,[3]characters!$1:$1,0)+1),MATCH(D$1,[3]characters!$1:$1,0)-MATCH($C$1,[3]characters!$1:$1,0)+1,FALSE),C135)</f>
        <v>炎のメタルジェントル</v>
      </c>
      <c r="E135" s="27">
        <v>5</v>
      </c>
      <c r="F135" s="27" t="s">
        <v>792</v>
      </c>
      <c r="G135" s="26" t="str">
        <f t="shared" ref="G135" ca="1" si="65">IF(B135="unit",D135&amp;" x "&amp;E135,IF(B135="polygon","ポリゴン x "&amp;C135,IF(B135="bit","ビット x "&amp;C135,IF(B135="link","リンク x "&amp;C135,"＊報酬未設定＊"))))</f>
        <v>炎のメタルジェントル x 5</v>
      </c>
      <c r="H135" s="27" t="s">
        <v>1140</v>
      </c>
      <c r="I135" s="26" t="str">
        <f t="shared" ref="I135" ca="1" si="66">H135&amp;"で 【"&amp;G135&amp;"】 をゲット！"</f>
        <v>週間ミッション達成報酬で 【炎のメタルジェントル x 5】 をゲット！</v>
      </c>
      <c r="J135" s="71">
        <v>0</v>
      </c>
      <c r="K135" s="71">
        <v>1</v>
      </c>
      <c r="L135" s="71">
        <v>0</v>
      </c>
      <c r="M135" s="71">
        <v>0</v>
      </c>
      <c r="N135" s="71">
        <v>0</v>
      </c>
      <c r="O135" s="71">
        <v>1</v>
      </c>
      <c r="P135" s="71">
        <v>1</v>
      </c>
    </row>
    <row r="136" spans="1:16" ht="21" customHeight="1" x14ac:dyDescent="0.15">
      <c r="A136" s="27" t="s">
        <v>629</v>
      </c>
      <c r="B136" s="27" t="s">
        <v>247</v>
      </c>
      <c r="C136" s="40">
        <v>336</v>
      </c>
      <c r="D136" s="26" t="str">
        <f ca="1">IF(B136="unit",VLOOKUP($C136,OFFSET([3]characters!$A$1,0,0,COUNTA([3]characters!$A:$A),MATCH(D$1,[3]characters!$1:$1,0)-MATCH($C$1,[3]characters!$1:$1,0)+1),MATCH(D$1,[3]characters!$1:$1,0)-MATCH($C$1,[3]characters!$1:$1,0)+1,FALSE),C136)</f>
        <v>森のメタルピヨピヨ</v>
      </c>
      <c r="E136" s="27">
        <v>1</v>
      </c>
      <c r="F136" s="27" t="s">
        <v>792</v>
      </c>
      <c r="G136" s="26" t="str">
        <f t="shared" ca="1" si="63"/>
        <v>森のメタルピヨピヨ x 1</v>
      </c>
      <c r="H136" s="27" t="s">
        <v>1140</v>
      </c>
      <c r="I136" s="26" t="str">
        <f t="shared" ref="I136:I138" ca="1" si="67">H136&amp;"で 【"&amp;G136&amp;"】 をゲット！"</f>
        <v>週間ミッション達成報酬で 【森のメタルピヨピヨ x 1】 をゲット！</v>
      </c>
      <c r="J136" s="71">
        <v>0</v>
      </c>
      <c r="K136" s="71">
        <v>1</v>
      </c>
      <c r="L136" s="71">
        <v>0</v>
      </c>
      <c r="M136" s="71">
        <v>0</v>
      </c>
      <c r="N136" s="71">
        <v>0</v>
      </c>
      <c r="O136" s="71">
        <v>1</v>
      </c>
      <c r="P136" s="71">
        <v>1</v>
      </c>
    </row>
    <row r="137" spans="1:16" ht="21" customHeight="1" x14ac:dyDescent="0.15">
      <c r="A137" s="27" t="s">
        <v>630</v>
      </c>
      <c r="B137" s="27" t="s">
        <v>247</v>
      </c>
      <c r="C137" s="40">
        <v>337</v>
      </c>
      <c r="D137" s="26" t="str">
        <f ca="1">IF(B137="unit",VLOOKUP($C137,OFFSET([3]characters!$A$1,0,0,COUNTA([3]characters!$A:$A),MATCH(D$1,[3]characters!$1:$1,0)-MATCH($C$1,[3]characters!$1:$1,0)+1),MATCH(D$1,[3]characters!$1:$1,0)-MATCH($C$1,[3]characters!$1:$1,0)+1,FALSE),C137)</f>
        <v>森のメタルチック</v>
      </c>
      <c r="E137" s="27">
        <v>1</v>
      </c>
      <c r="F137" s="27" t="s">
        <v>792</v>
      </c>
      <c r="G137" s="26" t="str">
        <f t="shared" ca="1" si="63"/>
        <v>森のメタルチック x 1</v>
      </c>
      <c r="H137" s="27" t="s">
        <v>1140</v>
      </c>
      <c r="I137" s="26" t="str">
        <f t="shared" ca="1" si="67"/>
        <v>週間ミッション達成報酬で 【森のメタルチック x 1】 をゲット！</v>
      </c>
      <c r="J137" s="71">
        <v>0</v>
      </c>
      <c r="K137" s="71">
        <v>1</v>
      </c>
      <c r="L137" s="71">
        <v>0</v>
      </c>
      <c r="M137" s="71">
        <v>0</v>
      </c>
      <c r="N137" s="71">
        <v>0</v>
      </c>
      <c r="O137" s="71">
        <v>1</v>
      </c>
      <c r="P137" s="71">
        <v>1</v>
      </c>
    </row>
    <row r="138" spans="1:16" ht="21" customHeight="1" x14ac:dyDescent="0.15">
      <c r="A138" s="27" t="s">
        <v>631</v>
      </c>
      <c r="B138" s="27" t="s">
        <v>247</v>
      </c>
      <c r="C138" s="40">
        <v>338</v>
      </c>
      <c r="D138" s="26" t="str">
        <f ca="1">IF(B138="unit",VLOOKUP($C138,OFFSET([3]characters!$A$1,0,0,COUNTA([3]characters!$A:$A),MATCH(D$1,[3]characters!$1:$1,0)-MATCH($C$1,[3]characters!$1:$1,0)+1),MATCH(D$1,[3]characters!$1:$1,0)-MATCH($C$1,[3]characters!$1:$1,0)+1,FALSE),C138)</f>
        <v>森のメタルダック</v>
      </c>
      <c r="E138" s="27">
        <v>1</v>
      </c>
      <c r="F138" s="27" t="s">
        <v>792</v>
      </c>
      <c r="G138" s="26" t="str">
        <f ca="1">IF(B138="unit",D138&amp;" x "&amp;E138,IF(B138="polygon","ポリゴン x "&amp;C138,IF(B138="bit","ビット x "&amp;C138,IF(B138="link","リンク x "&amp;C138,"＊報酬未設定＊"))))</f>
        <v>森のメタルダック x 1</v>
      </c>
      <c r="H138" s="27" t="s">
        <v>1140</v>
      </c>
      <c r="I138" s="26" t="str">
        <f t="shared" ca="1" si="67"/>
        <v>週間ミッション達成報酬で 【森のメタルダック x 1】 をゲット！</v>
      </c>
      <c r="J138" s="71">
        <v>0</v>
      </c>
      <c r="K138" s="71">
        <v>1</v>
      </c>
      <c r="L138" s="71">
        <v>0</v>
      </c>
      <c r="M138" s="71">
        <v>0</v>
      </c>
      <c r="N138" s="71">
        <v>0</v>
      </c>
      <c r="O138" s="71">
        <v>1</v>
      </c>
      <c r="P138" s="71">
        <v>1</v>
      </c>
    </row>
    <row r="139" spans="1:16" ht="21" customHeight="1" x14ac:dyDescent="0.15">
      <c r="A139" s="27" t="s">
        <v>1536</v>
      </c>
      <c r="B139" s="27" t="s">
        <v>247</v>
      </c>
      <c r="C139" s="40">
        <v>339</v>
      </c>
      <c r="D139" s="26" t="str">
        <f ca="1">IF(B139="unit",VLOOKUP($C139,OFFSET([3]characters!$A$1,0,0,COUNTA([3]characters!$A:$A),MATCH(D$1,[3]characters!$1:$1,0)-MATCH($C$1,[3]characters!$1:$1,0)+1),MATCH(D$1,[3]characters!$1:$1,0)-MATCH($C$1,[3]characters!$1:$1,0)+1,FALSE),C139)</f>
        <v>森のメタルジェントル</v>
      </c>
      <c r="E139" s="27">
        <v>1</v>
      </c>
      <c r="F139" s="27" t="s">
        <v>792</v>
      </c>
      <c r="G139" s="26" t="str">
        <f t="shared" ca="1" si="63"/>
        <v>森のメタルジェントル x 1</v>
      </c>
      <c r="H139" s="27" t="s">
        <v>1140</v>
      </c>
      <c r="I139" s="26" t="str">
        <f t="shared" ref="I139:I144" ca="1" si="68">H139&amp;"で 【"&amp;G139&amp;"】 をゲット！"</f>
        <v>週間ミッション達成報酬で 【森のメタルジェントル x 1】 をゲット！</v>
      </c>
      <c r="J139" s="71">
        <v>0</v>
      </c>
      <c r="K139" s="71">
        <v>1</v>
      </c>
      <c r="L139" s="71">
        <v>0</v>
      </c>
      <c r="M139" s="71">
        <v>0</v>
      </c>
      <c r="N139" s="71">
        <v>0</v>
      </c>
      <c r="O139" s="71">
        <v>1</v>
      </c>
      <c r="P139" s="71">
        <v>1</v>
      </c>
    </row>
    <row r="140" spans="1:16" ht="21" customHeight="1" x14ac:dyDescent="0.15">
      <c r="A140" s="137" t="s">
        <v>2189</v>
      </c>
      <c r="B140" s="27" t="s">
        <v>247</v>
      </c>
      <c r="C140" s="40">
        <v>339</v>
      </c>
      <c r="D140" s="26" t="str">
        <f ca="1">IF(B140="unit",VLOOKUP($C140,OFFSET([3]characters!$A$1,0,0,COUNTA([3]characters!$A:$A),MATCH(D$1,[3]characters!$1:$1,0)-MATCH($C$1,[3]characters!$1:$1,0)+1),MATCH(D$1,[3]characters!$1:$1,0)-MATCH($C$1,[3]characters!$1:$1,0)+1,FALSE),C140)</f>
        <v>森のメタルジェントル</v>
      </c>
      <c r="E140" s="27">
        <v>5</v>
      </c>
      <c r="F140" s="27" t="s">
        <v>792</v>
      </c>
      <c r="G140" s="26" t="str">
        <f t="shared" ref="G140" ca="1" si="69">IF(B140="unit",D140&amp;" x "&amp;E140,IF(B140="polygon","ポリゴン x "&amp;C140,IF(B140="bit","ビット x "&amp;C140,IF(B140="link","リンク x "&amp;C140,"＊報酬未設定＊"))))</f>
        <v>森のメタルジェントル x 5</v>
      </c>
      <c r="H140" s="27" t="s">
        <v>1140</v>
      </c>
      <c r="I140" s="26" t="str">
        <f t="shared" ref="I140" ca="1" si="70">H140&amp;"で 【"&amp;G140&amp;"】 をゲット！"</f>
        <v>週間ミッション達成報酬で 【森のメタルジェントル x 5】 をゲット！</v>
      </c>
      <c r="J140" s="71">
        <v>0</v>
      </c>
      <c r="K140" s="71">
        <v>1</v>
      </c>
      <c r="L140" s="71">
        <v>0</v>
      </c>
      <c r="M140" s="71">
        <v>0</v>
      </c>
      <c r="N140" s="71">
        <v>0</v>
      </c>
      <c r="O140" s="71">
        <v>1</v>
      </c>
      <c r="P140" s="71">
        <v>1</v>
      </c>
    </row>
    <row r="141" spans="1:16" ht="21" customHeight="1" x14ac:dyDescent="0.15">
      <c r="A141" s="27" t="s">
        <v>632</v>
      </c>
      <c r="B141" s="27" t="s">
        <v>247</v>
      </c>
      <c r="C141" s="40">
        <v>340</v>
      </c>
      <c r="D141" s="26" t="str">
        <f ca="1">IF(B141="unit",VLOOKUP($C141,OFFSET([3]characters!$A$1,0,0,COUNTA([3]characters!$A:$A),MATCH(D$1,[3]characters!$1:$1,0)-MATCH($C$1,[3]characters!$1:$1,0)+1),MATCH(D$1,[3]characters!$1:$1,0)-MATCH($C$1,[3]characters!$1:$1,0)+1,FALSE),C141)</f>
        <v>水のメタルピヨピヨ</v>
      </c>
      <c r="E141" s="27">
        <v>1</v>
      </c>
      <c r="F141" s="27" t="s">
        <v>792</v>
      </c>
      <c r="G141" s="26" t="str">
        <f t="shared" ca="1" si="63"/>
        <v>水のメタルピヨピヨ x 1</v>
      </c>
      <c r="H141" s="27" t="s">
        <v>1140</v>
      </c>
      <c r="I141" s="26" t="str">
        <f t="shared" ca="1" si="68"/>
        <v>週間ミッション達成報酬で 【水のメタルピヨピヨ x 1】 をゲット！</v>
      </c>
      <c r="J141" s="71">
        <v>0</v>
      </c>
      <c r="K141" s="71">
        <v>1</v>
      </c>
      <c r="L141" s="71">
        <v>0</v>
      </c>
      <c r="M141" s="71">
        <v>0</v>
      </c>
      <c r="N141" s="71">
        <v>0</v>
      </c>
      <c r="O141" s="71">
        <v>1</v>
      </c>
      <c r="P141" s="71">
        <v>1</v>
      </c>
    </row>
    <row r="142" spans="1:16" ht="21" customHeight="1" x14ac:dyDescent="0.15">
      <c r="A142" s="27" t="s">
        <v>633</v>
      </c>
      <c r="B142" s="27" t="s">
        <v>247</v>
      </c>
      <c r="C142" s="40">
        <v>341</v>
      </c>
      <c r="D142" s="26" t="str">
        <f ca="1">IF(B142="unit",VLOOKUP($C142,OFFSET([3]characters!$A$1,0,0,COUNTA([3]characters!$A:$A),MATCH(D$1,[3]characters!$1:$1,0)-MATCH($C$1,[3]characters!$1:$1,0)+1),MATCH(D$1,[3]characters!$1:$1,0)-MATCH($C$1,[3]characters!$1:$1,0)+1,FALSE),C142)</f>
        <v>水のメタルチック</v>
      </c>
      <c r="E142" s="27">
        <v>1</v>
      </c>
      <c r="F142" s="27" t="s">
        <v>792</v>
      </c>
      <c r="G142" s="26" t="str">
        <f t="shared" ca="1" si="63"/>
        <v>水のメタルチック x 1</v>
      </c>
      <c r="H142" s="27" t="s">
        <v>1140</v>
      </c>
      <c r="I142" s="26" t="str">
        <f t="shared" ca="1" si="68"/>
        <v>週間ミッション達成報酬で 【水のメタルチック x 1】 をゲット！</v>
      </c>
      <c r="J142" s="71">
        <v>0</v>
      </c>
      <c r="K142" s="71">
        <v>1</v>
      </c>
      <c r="L142" s="71">
        <v>0</v>
      </c>
      <c r="M142" s="71">
        <v>0</v>
      </c>
      <c r="N142" s="71">
        <v>0</v>
      </c>
      <c r="O142" s="71">
        <v>1</v>
      </c>
      <c r="P142" s="71">
        <v>1</v>
      </c>
    </row>
    <row r="143" spans="1:16" ht="21" customHeight="1" x14ac:dyDescent="0.15">
      <c r="A143" s="27" t="s">
        <v>634</v>
      </c>
      <c r="B143" s="27" t="s">
        <v>247</v>
      </c>
      <c r="C143" s="40">
        <v>342</v>
      </c>
      <c r="D143" s="26" t="str">
        <f ca="1">IF(B143="unit",VLOOKUP($C143,OFFSET([3]characters!$A$1,0,0,COUNTA([3]characters!$A:$A),MATCH(D$1,[3]characters!$1:$1,0)-MATCH($C$1,[3]characters!$1:$1,0)+1),MATCH(D$1,[3]characters!$1:$1,0)-MATCH($C$1,[3]characters!$1:$1,0)+1,FALSE),C143)</f>
        <v>水のメタルダック</v>
      </c>
      <c r="E143" s="27">
        <v>1</v>
      </c>
      <c r="F143" s="27" t="s">
        <v>792</v>
      </c>
      <c r="G143" s="26" t="str">
        <f t="shared" ca="1" si="63"/>
        <v>水のメタルダック x 1</v>
      </c>
      <c r="H143" s="27" t="s">
        <v>1140</v>
      </c>
      <c r="I143" s="26" t="str">
        <f t="shared" ca="1" si="68"/>
        <v>週間ミッション達成報酬で 【水のメタルダック x 1】 をゲット！</v>
      </c>
      <c r="J143" s="71">
        <v>0</v>
      </c>
      <c r="K143" s="71">
        <v>1</v>
      </c>
      <c r="L143" s="71">
        <v>0</v>
      </c>
      <c r="M143" s="71">
        <v>0</v>
      </c>
      <c r="N143" s="71">
        <v>0</v>
      </c>
      <c r="O143" s="71">
        <v>1</v>
      </c>
      <c r="P143" s="71">
        <v>1</v>
      </c>
    </row>
    <row r="144" spans="1:16" ht="21" customHeight="1" x14ac:dyDescent="0.15">
      <c r="A144" s="27" t="s">
        <v>1530</v>
      </c>
      <c r="B144" s="27" t="s">
        <v>247</v>
      </c>
      <c r="C144" s="40">
        <v>343</v>
      </c>
      <c r="D144" s="26" t="str">
        <f ca="1">IF(B144="unit",VLOOKUP($C144,OFFSET([3]characters!$A$1,0,0,COUNTA([3]characters!$A:$A),MATCH(D$1,[3]characters!$1:$1,0)-MATCH($C$1,[3]characters!$1:$1,0)+1),MATCH(D$1,[3]characters!$1:$1,0)-MATCH($C$1,[3]characters!$1:$1,0)+1,FALSE),C144)</f>
        <v>水のメタルジェントル</v>
      </c>
      <c r="E144" s="27">
        <v>1</v>
      </c>
      <c r="F144" s="27" t="s">
        <v>792</v>
      </c>
      <c r="G144" s="26" t="str">
        <f t="shared" ca="1" si="63"/>
        <v>水のメタルジェントル x 1</v>
      </c>
      <c r="H144" s="27" t="s">
        <v>1140</v>
      </c>
      <c r="I144" s="26" t="str">
        <f t="shared" ca="1" si="68"/>
        <v>週間ミッション達成報酬で 【水のメタルジェントル x 1】 をゲット！</v>
      </c>
      <c r="J144" s="71">
        <v>0</v>
      </c>
      <c r="K144" s="71">
        <v>1</v>
      </c>
      <c r="L144" s="71">
        <v>0</v>
      </c>
      <c r="M144" s="71">
        <v>0</v>
      </c>
      <c r="N144" s="71">
        <v>0</v>
      </c>
      <c r="O144" s="71">
        <v>1</v>
      </c>
      <c r="P144" s="71">
        <v>1</v>
      </c>
    </row>
    <row r="145" spans="1:16" ht="21" customHeight="1" x14ac:dyDescent="0.15">
      <c r="A145" s="27" t="s">
        <v>635</v>
      </c>
      <c r="B145" s="27" t="s">
        <v>247</v>
      </c>
      <c r="C145" s="40">
        <v>344</v>
      </c>
      <c r="D145" s="26" t="str">
        <f ca="1">IF(B145="unit",VLOOKUP($C145,OFFSET([3]characters!$A$1,0,0,COUNTA([3]characters!$A:$A),MATCH(D$1,[3]characters!$1:$1,0)-MATCH($C$1,[3]characters!$1:$1,0)+1),MATCH(D$1,[3]characters!$1:$1,0)-MATCH($C$1,[3]characters!$1:$1,0)+1,FALSE),C145)</f>
        <v>雷のメタルピヨピヨ</v>
      </c>
      <c r="E145" s="27">
        <v>1</v>
      </c>
      <c r="F145" s="27" t="s">
        <v>792</v>
      </c>
      <c r="G145" s="26" t="str">
        <f t="shared" ca="1" si="63"/>
        <v>雷のメタルピヨピヨ x 1</v>
      </c>
      <c r="H145" s="27" t="s">
        <v>1140</v>
      </c>
      <c r="I145" s="26" t="str">
        <f t="shared" ref="I145:I148" ca="1" si="71">H145&amp;"で 【"&amp;G145&amp;"】 をゲット！"</f>
        <v>週間ミッション達成報酬で 【雷のメタルピヨピヨ x 1】 をゲット！</v>
      </c>
      <c r="J145" s="71">
        <v>0</v>
      </c>
      <c r="K145" s="71">
        <v>1</v>
      </c>
      <c r="L145" s="71">
        <v>0</v>
      </c>
      <c r="M145" s="71">
        <v>0</v>
      </c>
      <c r="N145" s="71">
        <v>0</v>
      </c>
      <c r="O145" s="71">
        <v>1</v>
      </c>
      <c r="P145" s="71">
        <v>1</v>
      </c>
    </row>
    <row r="146" spans="1:16" ht="21" customHeight="1" x14ac:dyDescent="0.15">
      <c r="A146" s="27" t="s">
        <v>636</v>
      </c>
      <c r="B146" s="27" t="s">
        <v>247</v>
      </c>
      <c r="C146" s="40">
        <v>345</v>
      </c>
      <c r="D146" s="26" t="str">
        <f ca="1">IF(B146="unit",VLOOKUP($C146,OFFSET([3]characters!$A$1,0,0,COUNTA([3]characters!$A:$A),MATCH(D$1,[3]characters!$1:$1,0)-MATCH($C$1,[3]characters!$1:$1,0)+1),MATCH(D$1,[3]characters!$1:$1,0)-MATCH($C$1,[3]characters!$1:$1,0)+1,FALSE),C146)</f>
        <v>雷のメタルチック</v>
      </c>
      <c r="E146" s="27">
        <v>1</v>
      </c>
      <c r="F146" s="27" t="s">
        <v>792</v>
      </c>
      <c r="G146" s="26" t="str">
        <f t="shared" ca="1" si="63"/>
        <v>雷のメタルチック x 1</v>
      </c>
      <c r="H146" s="27" t="s">
        <v>1140</v>
      </c>
      <c r="I146" s="26" t="str">
        <f t="shared" ca="1" si="71"/>
        <v>週間ミッション達成報酬で 【雷のメタルチック x 1】 をゲット！</v>
      </c>
      <c r="J146" s="71">
        <v>0</v>
      </c>
      <c r="K146" s="71">
        <v>1</v>
      </c>
      <c r="L146" s="71">
        <v>0</v>
      </c>
      <c r="M146" s="71">
        <v>0</v>
      </c>
      <c r="N146" s="71">
        <v>0</v>
      </c>
      <c r="O146" s="71">
        <v>1</v>
      </c>
      <c r="P146" s="71">
        <v>1</v>
      </c>
    </row>
    <row r="147" spans="1:16" ht="21" customHeight="1" x14ac:dyDescent="0.15">
      <c r="A147" s="27" t="s">
        <v>637</v>
      </c>
      <c r="B147" s="27" t="s">
        <v>247</v>
      </c>
      <c r="C147" s="40">
        <v>346</v>
      </c>
      <c r="D147" s="26" t="str">
        <f ca="1">IF(B147="unit",VLOOKUP($C147,OFFSET([3]characters!$A$1,0,0,COUNTA([3]characters!$A:$A),MATCH(D$1,[3]characters!$1:$1,0)-MATCH($C$1,[3]characters!$1:$1,0)+1),MATCH(D$1,[3]characters!$1:$1,0)-MATCH($C$1,[3]characters!$1:$1,0)+1,FALSE),C147)</f>
        <v>雷のメタルダック</v>
      </c>
      <c r="E147" s="27">
        <v>1</v>
      </c>
      <c r="F147" s="27" t="s">
        <v>792</v>
      </c>
      <c r="G147" s="26" t="str">
        <f t="shared" ca="1" si="63"/>
        <v>雷のメタルダック x 1</v>
      </c>
      <c r="H147" s="27" t="s">
        <v>1140</v>
      </c>
      <c r="I147" s="26" t="str">
        <f t="shared" ca="1" si="71"/>
        <v>週間ミッション達成報酬で 【雷のメタルダック x 1】 をゲット！</v>
      </c>
      <c r="J147" s="71">
        <v>0</v>
      </c>
      <c r="K147" s="71">
        <v>1</v>
      </c>
      <c r="L147" s="71">
        <v>0</v>
      </c>
      <c r="M147" s="71">
        <v>0</v>
      </c>
      <c r="N147" s="71">
        <v>0</v>
      </c>
      <c r="O147" s="71">
        <v>1</v>
      </c>
      <c r="P147" s="71">
        <v>1</v>
      </c>
    </row>
    <row r="148" spans="1:16" ht="21" customHeight="1" x14ac:dyDescent="0.15">
      <c r="A148" s="27" t="s">
        <v>1534</v>
      </c>
      <c r="B148" s="27" t="s">
        <v>247</v>
      </c>
      <c r="C148" s="40">
        <v>347</v>
      </c>
      <c r="D148" s="26" t="str">
        <f ca="1">IF(B148="unit",VLOOKUP($C148,OFFSET([3]characters!$A$1,0,0,COUNTA([3]characters!$A:$A),MATCH(D$1,[3]characters!$1:$1,0)-MATCH($C$1,[3]characters!$1:$1,0)+1),MATCH(D$1,[3]characters!$1:$1,0)-MATCH($C$1,[3]characters!$1:$1,0)+1,FALSE),C148)</f>
        <v>雷のメタルジェントル</v>
      </c>
      <c r="E148" s="27">
        <v>1</v>
      </c>
      <c r="F148" s="27" t="s">
        <v>792</v>
      </c>
      <c r="G148" s="26" t="str">
        <f t="shared" ca="1" si="63"/>
        <v>雷のメタルジェントル x 1</v>
      </c>
      <c r="H148" s="27" t="s">
        <v>1140</v>
      </c>
      <c r="I148" s="26" t="str">
        <f t="shared" ca="1" si="71"/>
        <v>週間ミッション達成報酬で 【雷のメタルジェントル x 1】 をゲット！</v>
      </c>
      <c r="J148" s="71">
        <v>0</v>
      </c>
      <c r="K148" s="71">
        <v>1</v>
      </c>
      <c r="L148" s="71">
        <v>0</v>
      </c>
      <c r="M148" s="71">
        <v>0</v>
      </c>
      <c r="N148" s="71">
        <v>0</v>
      </c>
      <c r="O148" s="71">
        <v>1</v>
      </c>
      <c r="P148" s="71">
        <v>1</v>
      </c>
    </row>
    <row r="149" spans="1:16" ht="21" customHeight="1" x14ac:dyDescent="0.15">
      <c r="A149" s="129" t="s">
        <v>2108</v>
      </c>
      <c r="B149" s="27" t="s">
        <v>247</v>
      </c>
      <c r="C149" s="40">
        <v>343</v>
      </c>
      <c r="D149" s="26" t="str">
        <f ca="1">IF(B149="unit",VLOOKUP($C149,OFFSET([3]characters!$A$1,0,0,COUNTA([3]characters!$A:$A),MATCH(D$1,[3]characters!$1:$1,0)-MATCH($C$1,[3]characters!$1:$1,0)+1),MATCH(D$1,[3]characters!$1:$1,0)-MATCH($C$1,[3]characters!$1:$1,0)+1,FALSE),C149)</f>
        <v>水のメタルジェントル</v>
      </c>
      <c r="E149" s="27">
        <v>3</v>
      </c>
      <c r="F149" s="27" t="s">
        <v>792</v>
      </c>
      <c r="G149" s="26" t="str">
        <f ca="1">IF(B149="unit",D149&amp;" x "&amp;E149,IF(B149="polygon","ポリゴン x "&amp;C149,IF(B149="bit","ビット x "&amp;C149,IF(B149="link","リンク x "&amp;C149,"＊報酬未設定＊"))))</f>
        <v>水のメタルジェントル x 3</v>
      </c>
      <c r="H149" s="27" t="s">
        <v>240</v>
      </c>
      <c r="I149" s="26" t="str">
        <f t="shared" ref="I149" ca="1" si="72">H149&amp;"で 【"&amp;G149&amp;"】 をゲット！"</f>
        <v>ミッション達成報酬で 【水のメタルジェントル x 3】 をゲット！</v>
      </c>
      <c r="J149" s="71">
        <v>0</v>
      </c>
      <c r="K149" s="71">
        <v>1</v>
      </c>
      <c r="L149" s="71">
        <v>0</v>
      </c>
      <c r="M149" s="71">
        <v>0</v>
      </c>
      <c r="N149" s="71">
        <v>0</v>
      </c>
      <c r="O149" s="71">
        <v>1</v>
      </c>
      <c r="P149" s="71">
        <v>1</v>
      </c>
    </row>
    <row r="150" spans="1:16" ht="21" customHeight="1" x14ac:dyDescent="0.15">
      <c r="A150" s="129" t="s">
        <v>2110</v>
      </c>
      <c r="B150" s="27" t="s">
        <v>247</v>
      </c>
      <c r="C150" s="40">
        <v>339</v>
      </c>
      <c r="D150" s="26" t="str">
        <f ca="1">IF(B150="unit",VLOOKUP($C150,OFFSET([3]characters!$A$1,0,0,COUNTA([3]characters!$A:$A),MATCH(D$1,[3]characters!$1:$1,0)-MATCH($C$1,[3]characters!$1:$1,0)+1),MATCH(D$1,[3]characters!$1:$1,0)-MATCH($C$1,[3]characters!$1:$1,0)+1,FALSE),C150)</f>
        <v>森のメタルジェントル</v>
      </c>
      <c r="E150" s="27">
        <v>3</v>
      </c>
      <c r="F150" s="27" t="s">
        <v>792</v>
      </c>
      <c r="G150" s="26" t="str">
        <f ca="1">IF(B150="unit",D150&amp;" x "&amp;E150,IF(B150="polygon","ポリゴン x "&amp;C150,IF(B150="bit","ビット x "&amp;C150,IF(B150="link","リンク x "&amp;C150,"＊報酬未設定＊"))))</f>
        <v>森のメタルジェントル x 3</v>
      </c>
      <c r="H150" s="27" t="s">
        <v>240</v>
      </c>
      <c r="I150" s="26" t="str">
        <f t="shared" ref="I150" ca="1" si="73">H150&amp;"で 【"&amp;G150&amp;"】 をゲット！"</f>
        <v>ミッション達成報酬で 【森のメタルジェントル x 3】 をゲット！</v>
      </c>
      <c r="J150" s="71">
        <v>0</v>
      </c>
      <c r="K150" s="71">
        <v>1</v>
      </c>
      <c r="L150" s="71">
        <v>0</v>
      </c>
      <c r="M150" s="71">
        <v>0</v>
      </c>
      <c r="N150" s="71">
        <v>0</v>
      </c>
      <c r="O150" s="71">
        <v>1</v>
      </c>
      <c r="P150" s="71">
        <v>1</v>
      </c>
    </row>
    <row r="151" spans="1:16" ht="21" customHeight="1" x14ac:dyDescent="0.15">
      <c r="A151" s="27" t="s">
        <v>451</v>
      </c>
      <c r="B151" s="27" t="s">
        <v>247</v>
      </c>
      <c r="C151" s="27">
        <v>125</v>
      </c>
      <c r="D151" s="26" t="str">
        <f ca="1">IF(B151="unit",VLOOKUP($C151,OFFSET([3]characters!$A$1,0,0,COUNTA([3]characters!$A:$A),MATCH(D$1,[3]characters!$1:$1,0)-MATCH($C$1,[3]characters!$1:$1,0)+1),MATCH(D$1,[3]characters!$1:$1,0)-MATCH($C$1,[3]characters!$1:$1,0)+1,FALSE),C151)</f>
        <v>秘術の果実</v>
      </c>
      <c r="E151" s="27">
        <v>1</v>
      </c>
      <c r="F151" s="27" t="s">
        <v>792</v>
      </c>
      <c r="G151" s="26" t="str">
        <f t="shared" ca="1" si="63"/>
        <v>秘術の果実 x 1</v>
      </c>
      <c r="H151" s="27" t="s">
        <v>1140</v>
      </c>
      <c r="I151" s="26" t="str">
        <f t="shared" ref="I151:I159" ca="1" si="74">H151&amp;"で 【"&amp;G151&amp;"】 をゲット！"</f>
        <v>週間ミッション達成報酬で 【秘術の果実 x 1】 をゲット！</v>
      </c>
      <c r="J151" s="71">
        <v>0</v>
      </c>
      <c r="K151" s="71">
        <v>1</v>
      </c>
      <c r="L151" s="71">
        <v>0</v>
      </c>
      <c r="M151" s="71">
        <v>0</v>
      </c>
      <c r="N151" s="71">
        <v>0</v>
      </c>
      <c r="O151" s="71">
        <v>1</v>
      </c>
      <c r="P151" s="71">
        <v>1</v>
      </c>
    </row>
    <row r="152" spans="1:16" ht="21" customHeight="1" x14ac:dyDescent="0.15">
      <c r="A152" s="27" t="s">
        <v>1142</v>
      </c>
      <c r="B152" s="27" t="s">
        <v>247</v>
      </c>
      <c r="C152" s="27">
        <v>607</v>
      </c>
      <c r="D152" s="26" t="str">
        <f ca="1">IF(B152="unit",VLOOKUP($C152,OFFSET([3]characters!$A$1,0,0,COUNTA([3]characters!$A:$A),MATCH(D$1,[3]characters!$1:$1,0)-MATCH($C$1,[3]characters!$1:$1,0)+1),MATCH(D$1,[3]characters!$1:$1,0)-MATCH($C$1,[3]characters!$1:$1,0)+1,FALSE),C152)</f>
        <v>メガ攻めの果実</v>
      </c>
      <c r="E152" s="27">
        <v>1</v>
      </c>
      <c r="F152" s="27" t="s">
        <v>792</v>
      </c>
      <c r="G152" s="26" t="str">
        <f t="shared" ref="G152" ca="1" si="75">IF(B152="unit",D152&amp;" x "&amp;E152,IF(B152="polygon","ポリゴン x "&amp;C152,IF(B152="bit","ビット x "&amp;C152,IF(B152="link","リンク x "&amp;C152,"＊報酬未設定＊"))))</f>
        <v>メガ攻めの果実 x 1</v>
      </c>
      <c r="H152" s="27" t="s">
        <v>1140</v>
      </c>
      <c r="I152" s="26" t="str">
        <f t="shared" ca="1" si="74"/>
        <v>週間ミッション達成報酬で 【メガ攻めの果実 x 1】 をゲット！</v>
      </c>
      <c r="J152" s="71">
        <v>0</v>
      </c>
      <c r="K152" s="71">
        <v>1</v>
      </c>
      <c r="L152" s="71">
        <v>0</v>
      </c>
      <c r="M152" s="71">
        <v>0</v>
      </c>
      <c r="N152" s="71">
        <v>0</v>
      </c>
      <c r="O152" s="71">
        <v>1</v>
      </c>
      <c r="P152" s="71">
        <v>1</v>
      </c>
    </row>
    <row r="153" spans="1:16" ht="21" customHeight="1" x14ac:dyDescent="0.15">
      <c r="A153" s="27" t="s">
        <v>1143</v>
      </c>
      <c r="B153" s="27" t="s">
        <v>247</v>
      </c>
      <c r="C153" s="27">
        <v>608</v>
      </c>
      <c r="D153" s="26" t="str">
        <f ca="1">IF(B153="unit",VLOOKUP($C153,OFFSET([3]characters!$A$1,0,0,COUNTA([3]characters!$A:$A),MATCH(D$1,[3]characters!$1:$1,0)-MATCH($C$1,[3]characters!$1:$1,0)+1),MATCH(D$1,[3]characters!$1:$1,0)-MATCH($C$1,[3]characters!$1:$1,0)+1,FALSE),C153)</f>
        <v>メガ生命の果実</v>
      </c>
      <c r="E153" s="27">
        <v>1</v>
      </c>
      <c r="F153" s="27" t="s">
        <v>792</v>
      </c>
      <c r="G153" s="26" t="str">
        <f t="shared" ref="G153:G154" ca="1" si="76">IF(B153="unit",D153&amp;" x "&amp;E153,IF(B153="polygon","ポリゴン x "&amp;C153,IF(B153="bit","ビット x "&amp;C153,IF(B153="link","リンク x "&amp;C153,"＊報酬未設定＊"))))</f>
        <v>メガ生命の果実 x 1</v>
      </c>
      <c r="H153" s="27" t="s">
        <v>1140</v>
      </c>
      <c r="I153" s="26" t="str">
        <f t="shared" ca="1" si="74"/>
        <v>週間ミッション達成報酬で 【メガ生命の果実 x 1】 をゲット！</v>
      </c>
      <c r="J153" s="71">
        <v>0</v>
      </c>
      <c r="K153" s="71">
        <v>1</v>
      </c>
      <c r="L153" s="71">
        <v>0</v>
      </c>
      <c r="M153" s="71">
        <v>0</v>
      </c>
      <c r="N153" s="71">
        <v>0</v>
      </c>
      <c r="O153" s="71">
        <v>1</v>
      </c>
      <c r="P153" s="71">
        <v>1</v>
      </c>
    </row>
    <row r="154" spans="1:16" ht="21" customHeight="1" x14ac:dyDescent="0.15">
      <c r="A154" s="27" t="s">
        <v>1144</v>
      </c>
      <c r="B154" s="27" t="s">
        <v>247</v>
      </c>
      <c r="C154" s="27">
        <v>609</v>
      </c>
      <c r="D154" s="26" t="str">
        <f ca="1">IF(B154="unit",VLOOKUP($C154,OFFSET([3]characters!$A$1,0,0,COUNTA([3]characters!$A:$A),MATCH(D$1,[3]characters!$1:$1,0)-MATCH($C$1,[3]characters!$1:$1,0)+1),MATCH(D$1,[3]characters!$1:$1,0)-MATCH($C$1,[3]characters!$1:$1,0)+1,FALSE),C154)</f>
        <v>メガ癒しの果実</v>
      </c>
      <c r="E154" s="27">
        <v>1</v>
      </c>
      <c r="F154" s="27" t="s">
        <v>792</v>
      </c>
      <c r="G154" s="26" t="str">
        <f t="shared" ca="1" si="76"/>
        <v>メガ癒しの果実 x 1</v>
      </c>
      <c r="H154" s="27" t="s">
        <v>1140</v>
      </c>
      <c r="I154" s="26" t="str">
        <f t="shared" ca="1" si="74"/>
        <v>週間ミッション達成報酬で 【メガ癒しの果実 x 1】 をゲット！</v>
      </c>
      <c r="J154" s="71">
        <v>0</v>
      </c>
      <c r="K154" s="71">
        <v>1</v>
      </c>
      <c r="L154" s="71">
        <v>0</v>
      </c>
      <c r="M154" s="71">
        <v>0</v>
      </c>
      <c r="N154" s="71">
        <v>0</v>
      </c>
      <c r="O154" s="71">
        <v>1</v>
      </c>
      <c r="P154" s="71">
        <v>1</v>
      </c>
    </row>
    <row r="155" spans="1:16" ht="21" customHeight="1" x14ac:dyDescent="0.15">
      <c r="A155" s="27" t="s">
        <v>1528</v>
      </c>
      <c r="B155" s="27" t="s">
        <v>247</v>
      </c>
      <c r="C155" s="27">
        <v>610</v>
      </c>
      <c r="D155" s="26" t="str">
        <f ca="1">IF(B155="unit",VLOOKUP($C155,OFFSET([3]characters!$A$1,0,0,COUNTA([3]characters!$A:$A),MATCH(D$1,[3]characters!$1:$1,0)-MATCH($C$1,[3]characters!$1:$1,0)+1),MATCH(D$1,[3]characters!$1:$1,0)-MATCH($C$1,[3]characters!$1:$1,0)+1,FALSE),C155)</f>
        <v>メガ秘術の果実</v>
      </c>
      <c r="E155" s="27">
        <v>1</v>
      </c>
      <c r="F155" s="27" t="s">
        <v>792</v>
      </c>
      <c r="G155" s="26" t="str">
        <f t="shared" ref="G155:G158" ca="1" si="77">IF(B155="unit",D155&amp;" x "&amp;E155,IF(B155="polygon","ポリゴン x "&amp;C155,IF(B155="bit","ビット x "&amp;C155,IF(B155="link","リンク x "&amp;C155,"＊報酬未設定＊"))))</f>
        <v>メガ秘術の果実 x 1</v>
      </c>
      <c r="H155" s="27" t="s">
        <v>1140</v>
      </c>
      <c r="I155" s="26" t="str">
        <f t="shared" ca="1" si="74"/>
        <v>週間ミッション達成報酬で 【メガ秘術の果実 x 1】 をゲット！</v>
      </c>
      <c r="J155" s="71">
        <v>0</v>
      </c>
      <c r="K155" s="71">
        <v>1</v>
      </c>
      <c r="L155" s="71">
        <v>0</v>
      </c>
      <c r="M155" s="71">
        <v>0</v>
      </c>
      <c r="N155" s="71">
        <v>0</v>
      </c>
      <c r="O155" s="71">
        <v>1</v>
      </c>
      <c r="P155" s="71">
        <v>1</v>
      </c>
    </row>
    <row r="156" spans="1:16" ht="21" customHeight="1" x14ac:dyDescent="0.15">
      <c r="A156" s="27" t="s">
        <v>1525</v>
      </c>
      <c r="B156" s="27" t="s">
        <v>247</v>
      </c>
      <c r="C156" s="27">
        <v>611</v>
      </c>
      <c r="D156" s="26" t="str">
        <f ca="1">IF(B156="unit",VLOOKUP($C156,OFFSET([3]characters!$A$1,0,0,COUNTA([3]characters!$A:$A),MATCH(D$1,[3]characters!$1:$1,0)-MATCH($C$1,[3]characters!$1:$1,0)+1),MATCH(D$1,[3]characters!$1:$1,0)-MATCH($C$1,[3]characters!$1:$1,0)+1,FALSE),C156)</f>
        <v>ギガ攻めの果実</v>
      </c>
      <c r="E156" s="27">
        <v>1</v>
      </c>
      <c r="F156" s="27" t="s">
        <v>792</v>
      </c>
      <c r="G156" s="26" t="str">
        <f t="shared" ca="1" si="77"/>
        <v>ギガ攻めの果実 x 1</v>
      </c>
      <c r="H156" s="27" t="s">
        <v>1140</v>
      </c>
      <c r="I156" s="26" t="str">
        <f t="shared" ca="1" si="74"/>
        <v>週間ミッション達成報酬で 【ギガ攻めの果実 x 1】 をゲット！</v>
      </c>
      <c r="J156" s="71">
        <v>0</v>
      </c>
      <c r="K156" s="71">
        <v>1</v>
      </c>
      <c r="L156" s="71">
        <v>0</v>
      </c>
      <c r="M156" s="71">
        <v>0</v>
      </c>
      <c r="N156" s="71">
        <v>0</v>
      </c>
      <c r="O156" s="71">
        <v>1</v>
      </c>
      <c r="P156" s="71">
        <v>1</v>
      </c>
    </row>
    <row r="157" spans="1:16" ht="21" customHeight="1" x14ac:dyDescent="0.15">
      <c r="A157" s="27" t="s">
        <v>1521</v>
      </c>
      <c r="B157" s="27" t="s">
        <v>247</v>
      </c>
      <c r="C157" s="27">
        <v>612</v>
      </c>
      <c r="D157" s="26" t="str">
        <f ca="1">IF(B157="unit",VLOOKUP($C157,OFFSET([3]characters!$A$1,0,0,COUNTA([3]characters!$A:$A),MATCH(D$1,[3]characters!$1:$1,0)-MATCH($C$1,[3]characters!$1:$1,0)+1),MATCH(D$1,[3]characters!$1:$1,0)-MATCH($C$1,[3]characters!$1:$1,0)+1,FALSE),C157)</f>
        <v>ギガ生命の果実</v>
      </c>
      <c r="E157" s="27">
        <v>1</v>
      </c>
      <c r="F157" s="27" t="s">
        <v>792</v>
      </c>
      <c r="G157" s="26" t="str">
        <f t="shared" ca="1" si="77"/>
        <v>ギガ生命の果実 x 1</v>
      </c>
      <c r="H157" s="27" t="s">
        <v>1140</v>
      </c>
      <c r="I157" s="26" t="str">
        <f t="shared" ca="1" si="74"/>
        <v>週間ミッション達成報酬で 【ギガ生命の果実 x 1】 をゲット！</v>
      </c>
      <c r="J157" s="71">
        <v>0</v>
      </c>
      <c r="K157" s="71">
        <v>1</v>
      </c>
      <c r="L157" s="71">
        <v>0</v>
      </c>
      <c r="M157" s="71">
        <v>0</v>
      </c>
      <c r="N157" s="71">
        <v>0</v>
      </c>
      <c r="O157" s="71">
        <v>1</v>
      </c>
      <c r="P157" s="71">
        <v>1</v>
      </c>
    </row>
    <row r="158" spans="1:16" ht="21" customHeight="1" x14ac:dyDescent="0.15">
      <c r="A158" s="27" t="s">
        <v>1522</v>
      </c>
      <c r="B158" s="27" t="s">
        <v>247</v>
      </c>
      <c r="C158" s="27">
        <v>613</v>
      </c>
      <c r="D158" s="26" t="str">
        <f ca="1">IF(B158="unit",VLOOKUP($C158,OFFSET([3]characters!$A$1,0,0,COUNTA([3]characters!$A:$A),MATCH(D$1,[3]characters!$1:$1,0)-MATCH($C$1,[3]characters!$1:$1,0)+1),MATCH(D$1,[3]characters!$1:$1,0)-MATCH($C$1,[3]characters!$1:$1,0)+1,FALSE),C158)</f>
        <v>ギガ癒しの果実</v>
      </c>
      <c r="E158" s="27">
        <v>1</v>
      </c>
      <c r="F158" s="27" t="s">
        <v>792</v>
      </c>
      <c r="G158" s="26" t="str">
        <f t="shared" ca="1" si="77"/>
        <v>ギガ癒しの果実 x 1</v>
      </c>
      <c r="H158" s="27" t="s">
        <v>1140</v>
      </c>
      <c r="I158" s="26" t="str">
        <f t="shared" ca="1" si="74"/>
        <v>週間ミッション達成報酬で 【ギガ癒しの果実 x 1】 をゲット！</v>
      </c>
      <c r="J158" s="71">
        <v>0</v>
      </c>
      <c r="K158" s="71">
        <v>1</v>
      </c>
      <c r="L158" s="71">
        <v>0</v>
      </c>
      <c r="M158" s="71">
        <v>0</v>
      </c>
      <c r="N158" s="71">
        <v>0</v>
      </c>
      <c r="O158" s="71">
        <v>1</v>
      </c>
      <c r="P158" s="71">
        <v>1</v>
      </c>
    </row>
    <row r="159" spans="1:16" ht="21" customHeight="1" x14ac:dyDescent="0.15">
      <c r="A159" s="27" t="s">
        <v>1529</v>
      </c>
      <c r="B159" s="27" t="s">
        <v>247</v>
      </c>
      <c r="C159" s="27">
        <v>614</v>
      </c>
      <c r="D159" s="26" t="str">
        <f ca="1">IF(B159="unit",VLOOKUP($C159,OFFSET([3]characters!$A$1,0,0,COUNTA([3]characters!$A:$A),MATCH(D$1,[3]characters!$1:$1,0)-MATCH($C$1,[3]characters!$1:$1,0)+1),MATCH(D$1,[3]characters!$1:$1,0)-MATCH($C$1,[3]characters!$1:$1,0)+1,FALSE),C159)</f>
        <v>ギガ秘術の果実</v>
      </c>
      <c r="E159" s="27">
        <v>1</v>
      </c>
      <c r="F159" s="27" t="s">
        <v>792</v>
      </c>
      <c r="G159" s="26" t="str">
        <f t="shared" ref="G159" ca="1" si="78">IF(B159="unit",D159&amp;" x "&amp;E159,IF(B159="polygon","ポリゴン x "&amp;C159,IF(B159="bit","ビット x "&amp;C159,IF(B159="link","リンク x "&amp;C159,"＊報酬未設定＊"))))</f>
        <v>ギガ秘術の果実 x 1</v>
      </c>
      <c r="H159" s="27" t="s">
        <v>1140</v>
      </c>
      <c r="I159" s="26" t="str">
        <f t="shared" ca="1" si="74"/>
        <v>週間ミッション達成報酬で 【ギガ秘術の果実 x 1】 をゲット！</v>
      </c>
      <c r="J159" s="71">
        <v>0</v>
      </c>
      <c r="K159" s="71">
        <v>1</v>
      </c>
      <c r="L159" s="71">
        <v>0</v>
      </c>
      <c r="M159" s="71">
        <v>0</v>
      </c>
      <c r="N159" s="71">
        <v>0</v>
      </c>
      <c r="O159" s="71">
        <v>1</v>
      </c>
      <c r="P159" s="71">
        <v>1</v>
      </c>
    </row>
    <row r="160" spans="1:16" ht="21" customHeight="1" x14ac:dyDescent="0.15">
      <c r="A160" s="27" t="s">
        <v>439</v>
      </c>
      <c r="B160" s="27" t="s">
        <v>250</v>
      </c>
      <c r="C160" s="27">
        <v>200</v>
      </c>
      <c r="D160" s="26">
        <f ca="1">IF(B160="unit",VLOOKUP($C160,OFFSET([3]characters!$A$1,0,0,COUNTA([3]characters!$A:$A),MATCH(D$1,[3]characters!$1:$1,0)-MATCH($C$1,[3]characters!$1:$1,0)+1),MATCH(D$1,[3]characters!$1:$1,0)-MATCH($C$1,[3]characters!$1:$1,0)+1,FALSE),C160)</f>
        <v>200</v>
      </c>
      <c r="E160" s="27">
        <v>0</v>
      </c>
      <c r="F160" s="27" t="s">
        <v>792</v>
      </c>
      <c r="G160" s="26" t="str">
        <f t="shared" si="63"/>
        <v>リンク x 200</v>
      </c>
      <c r="H160" s="27" t="s">
        <v>1140</v>
      </c>
      <c r="I160" s="26" t="str">
        <f t="shared" ref="I160:I168" si="79">H160&amp;"で 【"&amp;G160&amp;"】 をゲット！"</f>
        <v>週間ミッション達成報酬で 【リンク x 200】 をゲット！</v>
      </c>
      <c r="J160" s="71">
        <v>0</v>
      </c>
      <c r="K160" s="71">
        <v>1</v>
      </c>
      <c r="L160" s="71">
        <v>0</v>
      </c>
      <c r="M160" s="71">
        <v>0</v>
      </c>
      <c r="N160" s="71">
        <v>0</v>
      </c>
      <c r="O160" s="71">
        <v>1</v>
      </c>
      <c r="P160" s="71">
        <v>1</v>
      </c>
    </row>
    <row r="161" spans="1:16" ht="21" customHeight="1" x14ac:dyDescent="0.15">
      <c r="A161" s="27" t="s">
        <v>1141</v>
      </c>
      <c r="B161" s="27" t="s">
        <v>250</v>
      </c>
      <c r="C161" s="27">
        <v>300</v>
      </c>
      <c r="D161" s="26">
        <f ca="1">IF(B161="unit",VLOOKUP($C161,OFFSET([3]characters!$A$1,0,0,COUNTA([3]characters!$A:$A),MATCH(D$1,[3]characters!$1:$1,0)-MATCH($C$1,[3]characters!$1:$1,0)+1),MATCH(D$1,[3]characters!$1:$1,0)-MATCH($C$1,[3]characters!$1:$1,0)+1,FALSE),C161)</f>
        <v>300</v>
      </c>
      <c r="E161" s="27">
        <v>0</v>
      </c>
      <c r="F161" s="27" t="s">
        <v>792</v>
      </c>
      <c r="G161" s="26" t="str">
        <f t="shared" ref="G161" si="80">IF(B161="unit",D161&amp;" x "&amp;E161,IF(B161="polygon","ポリゴン x "&amp;C161,IF(B161="bit","ビット x "&amp;C161,IF(B161="link","リンク x "&amp;C161,"＊報酬未設定＊"))))</f>
        <v>リンク x 300</v>
      </c>
      <c r="H161" s="27" t="s">
        <v>1140</v>
      </c>
      <c r="I161" s="26" t="str">
        <f t="shared" ref="I161" si="81">H161&amp;"で 【"&amp;G161&amp;"】 をゲット！"</f>
        <v>週間ミッション達成報酬で 【リンク x 300】 をゲット！</v>
      </c>
      <c r="J161" s="71">
        <v>0</v>
      </c>
      <c r="K161" s="71">
        <v>1</v>
      </c>
      <c r="L161" s="71">
        <v>0</v>
      </c>
      <c r="M161" s="71">
        <v>0</v>
      </c>
      <c r="N161" s="71">
        <v>0</v>
      </c>
      <c r="O161" s="71">
        <v>1</v>
      </c>
      <c r="P161" s="71">
        <v>1</v>
      </c>
    </row>
    <row r="162" spans="1:16" ht="21" customHeight="1" x14ac:dyDescent="0.15">
      <c r="A162" s="27" t="s">
        <v>440</v>
      </c>
      <c r="B162" s="27" t="s">
        <v>250</v>
      </c>
      <c r="C162" s="27">
        <v>400</v>
      </c>
      <c r="D162" s="26">
        <f ca="1">IF(B162="unit",VLOOKUP($C162,OFFSET([3]characters!$A$1,0,0,COUNTA([3]characters!$A:$A),MATCH(D$1,[3]characters!$1:$1,0)-MATCH($C$1,[3]characters!$1:$1,0)+1),MATCH(D$1,[3]characters!$1:$1,0)-MATCH($C$1,[3]characters!$1:$1,0)+1,FALSE),C162)</f>
        <v>400</v>
      </c>
      <c r="E162" s="27">
        <v>0</v>
      </c>
      <c r="F162" s="27" t="s">
        <v>792</v>
      </c>
      <c r="G162" s="26" t="str">
        <f t="shared" si="63"/>
        <v>リンク x 400</v>
      </c>
      <c r="H162" s="27" t="s">
        <v>1140</v>
      </c>
      <c r="I162" s="26" t="str">
        <f t="shared" si="79"/>
        <v>週間ミッション達成報酬で 【リンク x 400】 をゲット！</v>
      </c>
      <c r="J162" s="71">
        <v>0</v>
      </c>
      <c r="K162" s="71">
        <v>1</v>
      </c>
      <c r="L162" s="71">
        <v>0</v>
      </c>
      <c r="M162" s="71">
        <v>0</v>
      </c>
      <c r="N162" s="71">
        <v>0</v>
      </c>
      <c r="O162" s="71">
        <v>1</v>
      </c>
      <c r="P162" s="71">
        <v>1</v>
      </c>
    </row>
    <row r="163" spans="1:16" ht="21" customHeight="1" x14ac:dyDescent="0.15">
      <c r="A163" s="27" t="s">
        <v>1135</v>
      </c>
      <c r="B163" s="27" t="s">
        <v>250</v>
      </c>
      <c r="C163" s="27">
        <v>500</v>
      </c>
      <c r="D163" s="26">
        <f ca="1">IF(B163="unit",VLOOKUP($C163,OFFSET([3]characters!$A$1,0,0,COUNTA([3]characters!$A:$A),MATCH(D$1,[3]characters!$1:$1,0)-MATCH($C$1,[3]characters!$1:$1,0)+1),MATCH(D$1,[3]characters!$1:$1,0)-MATCH($C$1,[3]characters!$1:$1,0)+1,FALSE),C163)</f>
        <v>500</v>
      </c>
      <c r="E163" s="27">
        <v>0</v>
      </c>
      <c r="F163" s="27" t="s">
        <v>792</v>
      </c>
      <c r="G163" s="26" t="str">
        <f t="shared" ref="G163" si="82">IF(B163="unit",D163&amp;" x "&amp;E163,IF(B163="polygon","ポリゴン x "&amp;C163,IF(B163="bit","ビット x "&amp;C163,IF(B163="link","リンク x "&amp;C163,"＊報酬未設定＊"))))</f>
        <v>リンク x 500</v>
      </c>
      <c r="H163" s="27" t="s">
        <v>1140</v>
      </c>
      <c r="I163" s="26" t="str">
        <f t="shared" si="79"/>
        <v>週間ミッション達成報酬で 【リンク x 500】 をゲット！</v>
      </c>
      <c r="J163" s="71">
        <v>0</v>
      </c>
      <c r="K163" s="71">
        <v>1</v>
      </c>
      <c r="L163" s="71">
        <v>0</v>
      </c>
      <c r="M163" s="71">
        <v>0</v>
      </c>
      <c r="N163" s="71">
        <v>0</v>
      </c>
      <c r="O163" s="71">
        <v>1</v>
      </c>
      <c r="P163" s="71">
        <v>1</v>
      </c>
    </row>
    <row r="164" spans="1:16" ht="21" customHeight="1" x14ac:dyDescent="0.15">
      <c r="A164" s="27" t="s">
        <v>441</v>
      </c>
      <c r="B164" s="27" t="s">
        <v>250</v>
      </c>
      <c r="C164" s="27">
        <v>600</v>
      </c>
      <c r="D164" s="26">
        <f ca="1">IF(B164="unit",VLOOKUP($C164,OFFSET([3]characters!$A$1,0,0,COUNTA([3]characters!$A:$A),MATCH(D$1,[3]characters!$1:$1,0)-MATCH($C$1,[3]characters!$1:$1,0)+1),MATCH(D$1,[3]characters!$1:$1,0)-MATCH($C$1,[3]characters!$1:$1,0)+1,FALSE),C164)</f>
        <v>600</v>
      </c>
      <c r="E164" s="27">
        <v>0</v>
      </c>
      <c r="F164" s="27" t="s">
        <v>792</v>
      </c>
      <c r="G164" s="26" t="str">
        <f t="shared" si="63"/>
        <v>リンク x 600</v>
      </c>
      <c r="H164" s="27" t="s">
        <v>1140</v>
      </c>
      <c r="I164" s="26" t="str">
        <f t="shared" si="79"/>
        <v>週間ミッション達成報酬で 【リンク x 600】 をゲット！</v>
      </c>
      <c r="J164" s="71">
        <v>0</v>
      </c>
      <c r="K164" s="71">
        <v>1</v>
      </c>
      <c r="L164" s="71">
        <v>0</v>
      </c>
      <c r="M164" s="71">
        <v>0</v>
      </c>
      <c r="N164" s="71">
        <v>0</v>
      </c>
      <c r="O164" s="71">
        <v>1</v>
      </c>
      <c r="P164" s="71">
        <v>1</v>
      </c>
    </row>
    <row r="165" spans="1:16" ht="21" customHeight="1" x14ac:dyDescent="0.15">
      <c r="A165" s="27" t="s">
        <v>442</v>
      </c>
      <c r="B165" s="27" t="s">
        <v>250</v>
      </c>
      <c r="C165" s="27">
        <v>1000</v>
      </c>
      <c r="D165" s="26">
        <f ca="1">IF(B165="unit",VLOOKUP($C165,OFFSET([3]characters!$A$1,0,0,COUNTA([3]characters!$A:$A),MATCH(D$1,[3]characters!$1:$1,0)-MATCH($C$1,[3]characters!$1:$1,0)+1),MATCH(D$1,[3]characters!$1:$1,0)-MATCH($C$1,[3]characters!$1:$1,0)+1,FALSE),C165)</f>
        <v>1000</v>
      </c>
      <c r="E165" s="27">
        <v>0</v>
      </c>
      <c r="F165" s="27" t="s">
        <v>792</v>
      </c>
      <c r="G165" s="26" t="str">
        <f t="shared" si="63"/>
        <v>リンク x 1000</v>
      </c>
      <c r="H165" s="27" t="s">
        <v>1140</v>
      </c>
      <c r="I165" s="26" t="str">
        <f t="shared" si="79"/>
        <v>週間ミッション達成報酬で 【リンク x 1000】 をゲット！</v>
      </c>
      <c r="J165" s="71">
        <v>0</v>
      </c>
      <c r="K165" s="71">
        <v>1</v>
      </c>
      <c r="L165" s="71">
        <v>0</v>
      </c>
      <c r="M165" s="71">
        <v>0</v>
      </c>
      <c r="N165" s="71">
        <v>0</v>
      </c>
      <c r="O165" s="71">
        <v>1</v>
      </c>
      <c r="P165" s="71">
        <v>1</v>
      </c>
    </row>
    <row r="166" spans="1:16" ht="21" customHeight="1" x14ac:dyDescent="0.15">
      <c r="A166" s="27" t="s">
        <v>1138</v>
      </c>
      <c r="B166" s="27" t="s">
        <v>1139</v>
      </c>
      <c r="C166" s="27">
        <v>1</v>
      </c>
      <c r="D166" s="26">
        <f ca="1">IF(B166="unit",VLOOKUP($C166,OFFSET([3]characters!$A$1,0,0,COUNTA([3]characters!$A:$A),MATCH(D$1,[3]characters!$1:$1,0)-MATCH($C$1,[3]characters!$1:$1,0)+1),MATCH(D$1,[3]characters!$1:$1,0)-MATCH($C$1,[3]characters!$1:$1,0)+1,FALSE),C166)</f>
        <v>1</v>
      </c>
      <c r="E166" s="27">
        <v>0</v>
      </c>
      <c r="F166" s="27" t="s">
        <v>792</v>
      </c>
      <c r="G166" s="26" t="str">
        <f t="shared" ref="G166:G168" si="83">IF(B166="unit",D166&amp;" x "&amp;E166,IF(B166="polygon","ポリゴン x "&amp;C166,IF(B166="bit","ビット x "&amp;C166,IF(B166="link","リンク x "&amp;C166,"＊報酬未設定＊"))))</f>
        <v>ポリゴン x 1</v>
      </c>
      <c r="H166" s="27" t="s">
        <v>1140</v>
      </c>
      <c r="I166" s="26" t="str">
        <f t="shared" si="79"/>
        <v>週間ミッション達成報酬で 【ポリゴン x 1】 をゲット！</v>
      </c>
      <c r="J166" s="71">
        <v>0</v>
      </c>
      <c r="K166" s="71">
        <v>1</v>
      </c>
      <c r="L166" s="71">
        <v>0</v>
      </c>
      <c r="M166" s="71">
        <v>0</v>
      </c>
      <c r="N166" s="71">
        <v>0</v>
      </c>
      <c r="O166" s="71">
        <v>1</v>
      </c>
      <c r="P166" s="71">
        <v>1</v>
      </c>
    </row>
    <row r="167" spans="1:16" ht="21" customHeight="1" x14ac:dyDescent="0.15">
      <c r="A167" s="27" t="s">
        <v>1925</v>
      </c>
      <c r="B167" s="27" t="s">
        <v>1139</v>
      </c>
      <c r="C167" s="27">
        <v>2</v>
      </c>
      <c r="D167" s="26">
        <f ca="1">IF(B167="unit",VLOOKUP($C167,OFFSET([3]characters!$A$1,0,0,COUNTA([3]characters!$A:$A),MATCH(D$1,[3]characters!$1:$1,0)-MATCH($C$1,[3]characters!$1:$1,0)+1),MATCH(D$1,[3]characters!$1:$1,0)-MATCH($C$1,[3]characters!$1:$1,0)+1,FALSE),C167)</f>
        <v>2</v>
      </c>
      <c r="E167" s="27">
        <v>0</v>
      </c>
      <c r="F167" s="27" t="s">
        <v>792</v>
      </c>
      <c r="G167" s="26" t="str">
        <f t="shared" si="83"/>
        <v>ポリゴン x 2</v>
      </c>
      <c r="H167" s="27" t="s">
        <v>1140</v>
      </c>
      <c r="I167" s="26" t="str">
        <f t="shared" si="79"/>
        <v>週間ミッション達成報酬で 【ポリゴン x 2】 をゲット！</v>
      </c>
      <c r="J167" s="71">
        <v>0</v>
      </c>
      <c r="K167" s="71">
        <v>1</v>
      </c>
      <c r="L167" s="71">
        <v>0</v>
      </c>
      <c r="M167" s="71">
        <v>0</v>
      </c>
      <c r="N167" s="71">
        <v>0</v>
      </c>
      <c r="O167" s="71">
        <v>1</v>
      </c>
      <c r="P167" s="71">
        <v>1</v>
      </c>
    </row>
    <row r="168" spans="1:16" ht="21" customHeight="1" x14ac:dyDescent="0.15">
      <c r="A168" s="27" t="s">
        <v>1927</v>
      </c>
      <c r="B168" s="27" t="s">
        <v>1139</v>
      </c>
      <c r="C168" s="27">
        <v>3</v>
      </c>
      <c r="D168" s="26">
        <f ca="1">IF(B168="unit",VLOOKUP($C168,OFFSET([3]characters!$A$1,0,0,COUNTA([3]characters!$A:$A),MATCH(D$1,[3]characters!$1:$1,0)-MATCH($C$1,[3]characters!$1:$1,0)+1),MATCH(D$1,[3]characters!$1:$1,0)-MATCH($C$1,[3]characters!$1:$1,0)+1,FALSE),C168)</f>
        <v>3</v>
      </c>
      <c r="E168" s="27">
        <v>0</v>
      </c>
      <c r="F168" s="27" t="s">
        <v>792</v>
      </c>
      <c r="G168" s="26" t="str">
        <f t="shared" si="83"/>
        <v>ポリゴン x 3</v>
      </c>
      <c r="H168" s="27" t="s">
        <v>1140</v>
      </c>
      <c r="I168" s="26" t="str">
        <f t="shared" si="79"/>
        <v>週間ミッション達成報酬で 【ポリゴン x 3】 をゲット！</v>
      </c>
      <c r="J168" s="71">
        <v>0</v>
      </c>
      <c r="K168" s="71">
        <v>1</v>
      </c>
      <c r="L168" s="71">
        <v>0</v>
      </c>
      <c r="M168" s="71">
        <v>0</v>
      </c>
      <c r="N168" s="71">
        <v>0</v>
      </c>
      <c r="O168" s="71">
        <v>1</v>
      </c>
      <c r="P168" s="71">
        <v>1</v>
      </c>
    </row>
    <row r="169" spans="1:16" ht="21" customHeight="1" x14ac:dyDescent="0.15">
      <c r="A169" s="27" t="s">
        <v>1517</v>
      </c>
      <c r="B169" s="27" t="s">
        <v>1139</v>
      </c>
      <c r="C169" s="27">
        <v>4</v>
      </c>
      <c r="D169" s="26">
        <f ca="1">IF(B169="unit",VLOOKUP($C169,OFFSET([3]characters!$A$1,0,0,COUNTA([3]characters!$A:$A),MATCH(D$1,[3]characters!$1:$1,0)-MATCH($C$1,[3]characters!$1:$1,0)+1),MATCH(D$1,[3]characters!$1:$1,0)-MATCH($C$1,[3]characters!$1:$1,0)+1,FALSE),C169)</f>
        <v>4</v>
      </c>
      <c r="E169" s="27">
        <v>0</v>
      </c>
      <c r="F169" s="27" t="s">
        <v>792</v>
      </c>
      <c r="G169" s="26" t="str">
        <f t="shared" ref="G169" si="84">IF(B169="unit",D169&amp;" x "&amp;E169,IF(B169="polygon","ポリゴン x "&amp;C169,IF(B169="bit","ビット x "&amp;C169,IF(B169="link","リンク x "&amp;C169,"＊報酬未設定＊"))))</f>
        <v>ポリゴン x 4</v>
      </c>
      <c r="H169" s="27" t="s">
        <v>1140</v>
      </c>
      <c r="I169" s="26" t="str">
        <f t="shared" ref="I169:I171" si="85">H169&amp;"で 【"&amp;G169&amp;"】 をゲット！"</f>
        <v>週間ミッション達成報酬で 【ポリゴン x 4】 をゲット！</v>
      </c>
      <c r="J169" s="71">
        <v>0</v>
      </c>
      <c r="K169" s="71">
        <v>1</v>
      </c>
      <c r="L169" s="71">
        <v>0</v>
      </c>
      <c r="M169" s="71">
        <v>0</v>
      </c>
      <c r="N169" s="71">
        <v>0</v>
      </c>
      <c r="O169" s="71">
        <v>1</v>
      </c>
      <c r="P169" s="71">
        <v>1</v>
      </c>
    </row>
    <row r="170" spans="1:16" ht="21" customHeight="1" x14ac:dyDescent="0.15">
      <c r="A170" s="27" t="s">
        <v>1928</v>
      </c>
      <c r="B170" s="27" t="s">
        <v>1139</v>
      </c>
      <c r="C170" s="27">
        <v>5</v>
      </c>
      <c r="D170" s="26">
        <f ca="1">IF(B170="unit",VLOOKUP($C170,OFFSET([3]characters!$A$1,0,0,COUNTA([3]characters!$A:$A),MATCH(D$1,[3]characters!$1:$1,0)-MATCH($C$1,[3]characters!$1:$1,0)+1),MATCH(D$1,[3]characters!$1:$1,0)-MATCH($C$1,[3]characters!$1:$1,0)+1,FALSE),C170)</f>
        <v>5</v>
      </c>
      <c r="E170" s="27">
        <v>0</v>
      </c>
      <c r="F170" s="27" t="s">
        <v>792</v>
      </c>
      <c r="G170" s="26" t="str">
        <f t="shared" ref="G170" si="86">IF(B170="unit",D170&amp;" x "&amp;E170,IF(B170="polygon","ポリゴン x "&amp;C170,IF(B170="bit","ビット x "&amp;C170,IF(B170="link","リンク x "&amp;C170,"＊報酬未設定＊"))))</f>
        <v>ポリゴン x 5</v>
      </c>
      <c r="H170" s="27" t="s">
        <v>1140</v>
      </c>
      <c r="I170" s="26" t="str">
        <f t="shared" ref="I170" si="87">H170&amp;"で 【"&amp;G170&amp;"】 をゲット！"</f>
        <v>週間ミッション達成報酬で 【ポリゴン x 5】 をゲット！</v>
      </c>
      <c r="J170" s="71">
        <v>0</v>
      </c>
      <c r="K170" s="71">
        <v>1</v>
      </c>
      <c r="L170" s="71">
        <v>0</v>
      </c>
      <c r="M170" s="71">
        <v>0</v>
      </c>
      <c r="N170" s="71">
        <v>0</v>
      </c>
      <c r="O170" s="71">
        <v>1</v>
      </c>
      <c r="P170" s="71">
        <v>1</v>
      </c>
    </row>
    <row r="171" spans="1:16" ht="21" customHeight="1" x14ac:dyDescent="0.15">
      <c r="A171" s="27" t="s">
        <v>1520</v>
      </c>
      <c r="B171" s="27" t="s">
        <v>247</v>
      </c>
      <c r="C171" s="27">
        <v>837</v>
      </c>
      <c r="D171" s="26" t="str">
        <f ca="1">IF(B171="unit",VLOOKUP($C171,OFFSET([3]characters!$A$1,0,0,COUNTA([3]characters!$A:$A),MATCH(D$1,[3]characters!$1:$1,0)-MATCH($C$1,[3]characters!$1:$1,0)+1),MATCH(D$1,[3]characters!$1:$1,0)-MATCH($C$1,[3]characters!$1:$1,0)+1,FALSE),C171)</f>
        <v>リトルハンプティ</v>
      </c>
      <c r="E171" s="27">
        <v>1</v>
      </c>
      <c r="F171" s="27" t="s">
        <v>792</v>
      </c>
      <c r="G171" s="26" t="str">
        <f ca="1">IF(B171="unit",D171&amp;" x "&amp;E171,IF(B171="polygon","ポリゴン x "&amp;C171,IF(B171="bit","ビット x "&amp;C171,IF(B171="link","リンク x "&amp;C171,"＊報酬未設定＊"))))</f>
        <v>リトルハンプティ x 1</v>
      </c>
      <c r="H171" s="27" t="s">
        <v>1140</v>
      </c>
      <c r="I171" s="26" t="str">
        <f t="shared" ca="1" si="85"/>
        <v>週間ミッション達成報酬で 【リトルハンプティ x 1】 をゲット！</v>
      </c>
      <c r="J171" s="71">
        <v>0</v>
      </c>
      <c r="K171" s="71">
        <v>1</v>
      </c>
      <c r="L171" s="71">
        <v>0</v>
      </c>
      <c r="M171" s="71">
        <v>0</v>
      </c>
      <c r="N171" s="71">
        <v>0</v>
      </c>
      <c r="O171" s="71">
        <v>1</v>
      </c>
      <c r="P171" s="71">
        <v>1</v>
      </c>
    </row>
    <row r="172" spans="1:16" ht="21" customHeight="1" x14ac:dyDescent="0.15">
      <c r="A172" s="27" t="s">
        <v>1952</v>
      </c>
      <c r="B172" s="27" t="s">
        <v>1979</v>
      </c>
      <c r="C172" s="27">
        <v>1</v>
      </c>
      <c r="D172" s="76" t="s">
        <v>1951</v>
      </c>
      <c r="E172" s="27">
        <v>3</v>
      </c>
      <c r="F172" s="27" t="s">
        <v>792</v>
      </c>
      <c r="G172" s="76" t="str">
        <f>IF(B172="unit",D172&amp;" x "&amp;E172,IF(B172="polygon","ポリゴン x "&amp;C172,IF(B172="bit","ビット x "&amp;C172,IF(B172="link","リンク x "&amp;C172,IF(B172="item","マスターキー x "&amp;E172,"＊報酬未設定＊")))))</f>
        <v>マスターキー x 3</v>
      </c>
      <c r="H172" s="27" t="s">
        <v>1140</v>
      </c>
      <c r="I172" s="26" t="str">
        <f t="shared" ref="I172:I177" si="88">H172&amp;"で 【"&amp;G172&amp;"】 をゲット！"</f>
        <v>週間ミッション達成報酬で 【マスターキー x 3】 をゲット！</v>
      </c>
      <c r="J172" s="71">
        <v>0</v>
      </c>
      <c r="K172" s="71">
        <v>1</v>
      </c>
      <c r="L172" s="71">
        <v>0</v>
      </c>
      <c r="M172" s="71">
        <v>0</v>
      </c>
      <c r="N172" s="71">
        <v>0</v>
      </c>
      <c r="O172" s="71">
        <v>1</v>
      </c>
      <c r="P172" s="71">
        <v>1</v>
      </c>
    </row>
    <row r="173" spans="1:16" ht="21" customHeight="1" x14ac:dyDescent="0.15">
      <c r="A173" s="27" t="s">
        <v>1953</v>
      </c>
      <c r="B173" s="27" t="s">
        <v>247</v>
      </c>
      <c r="C173" s="27">
        <v>614</v>
      </c>
      <c r="D173" s="26" t="str">
        <f ca="1">IF(B173="unit",VLOOKUP($C173,OFFSET([3]characters!$A$1,0,0,COUNTA([3]characters!$A:$A),MATCH(D$1,[3]characters!$1:$1,0)-MATCH($C$1,[3]characters!$1:$1,0)+1),MATCH(D$1,[3]characters!$1:$1,0)-MATCH($C$1,[3]characters!$1:$1,0)+1,FALSE),C173)</f>
        <v>ギガ秘術の果実</v>
      </c>
      <c r="E173" s="27">
        <v>2</v>
      </c>
      <c r="F173" s="27" t="s">
        <v>792</v>
      </c>
      <c r="G173" s="26" t="str">
        <f t="shared" ref="G173:G177" ca="1" si="89">IF(B173="unit",D173&amp;" x "&amp;E173,IF(B173="polygon","ポリゴン x "&amp;C173,IF(B173="bit","ビット x "&amp;C173,IF(B173="link","リンク x "&amp;C173,"＊報酬未設定＊"))))</f>
        <v>ギガ秘術の果実 x 2</v>
      </c>
      <c r="H173" s="27" t="s">
        <v>1140</v>
      </c>
      <c r="I173" s="26" t="str">
        <f t="shared" ca="1" si="88"/>
        <v>週間ミッション達成報酬で 【ギガ秘術の果実 x 2】 をゲット！</v>
      </c>
      <c r="J173" s="71">
        <v>0</v>
      </c>
      <c r="K173" s="71">
        <v>1</v>
      </c>
      <c r="L173" s="71">
        <v>0</v>
      </c>
      <c r="M173" s="71">
        <v>0</v>
      </c>
      <c r="N173" s="71">
        <v>0</v>
      </c>
      <c r="O173" s="71">
        <v>1</v>
      </c>
      <c r="P173" s="71">
        <v>1</v>
      </c>
    </row>
    <row r="174" spans="1:16" ht="21" customHeight="1" x14ac:dyDescent="0.15">
      <c r="A174" s="27" t="s">
        <v>1954</v>
      </c>
      <c r="B174" s="27" t="s">
        <v>249</v>
      </c>
      <c r="C174" s="27">
        <v>1000000</v>
      </c>
      <c r="D174" s="26">
        <f ca="1">IF(B174="unit",VLOOKUP($C174,OFFSET([3]characters!$A$1,0,0,COUNTA([3]characters!$A:$A),MATCH(D$1,[3]characters!$1:$1,0)-MATCH($C$1,[3]characters!$1:$1,0)+1),MATCH(D$1,[3]characters!$1:$1,0)-MATCH($C$1,[3]characters!$1:$1,0)+1,FALSE),C174)</f>
        <v>1000000</v>
      </c>
      <c r="E174" s="27">
        <v>0</v>
      </c>
      <c r="F174" s="27" t="s">
        <v>792</v>
      </c>
      <c r="G174" s="26" t="str">
        <f t="shared" si="89"/>
        <v>ビット x 1000000</v>
      </c>
      <c r="H174" s="27" t="s">
        <v>1140</v>
      </c>
      <c r="I174" s="26" t="str">
        <f t="shared" si="88"/>
        <v>週間ミッション達成報酬で 【ビット x 1000000】 をゲット！</v>
      </c>
      <c r="J174" s="71">
        <v>0</v>
      </c>
      <c r="K174" s="71">
        <v>1</v>
      </c>
      <c r="L174" s="71">
        <v>0</v>
      </c>
      <c r="M174" s="71">
        <v>0</v>
      </c>
      <c r="N174" s="71">
        <v>0</v>
      </c>
      <c r="O174" s="71">
        <v>1</v>
      </c>
      <c r="P174" s="71">
        <v>1</v>
      </c>
    </row>
    <row r="175" spans="1:16" ht="21" customHeight="1" x14ac:dyDescent="0.15">
      <c r="A175" s="27" t="s">
        <v>1955</v>
      </c>
      <c r="B175" s="27" t="s">
        <v>247</v>
      </c>
      <c r="C175" s="27">
        <v>612</v>
      </c>
      <c r="D175" s="26" t="str">
        <f ca="1">IF(B175="unit",VLOOKUP($C175,OFFSET([3]characters!$A$1,0,0,COUNTA([3]characters!$A:$A),MATCH(D$1,[3]characters!$1:$1,0)-MATCH($C$1,[3]characters!$1:$1,0)+1),MATCH(D$1,[3]characters!$1:$1,0)-MATCH($C$1,[3]characters!$1:$1,0)+1,FALSE),C175)</f>
        <v>ギガ生命の果実</v>
      </c>
      <c r="E175" s="27">
        <v>3</v>
      </c>
      <c r="F175" s="27" t="s">
        <v>792</v>
      </c>
      <c r="G175" s="26" t="str">
        <f t="shared" ca="1" si="89"/>
        <v>ギガ生命の果実 x 3</v>
      </c>
      <c r="H175" s="27" t="s">
        <v>1140</v>
      </c>
      <c r="I175" s="26" t="str">
        <f t="shared" ca="1" si="88"/>
        <v>週間ミッション達成報酬で 【ギガ生命の果実 x 3】 をゲット！</v>
      </c>
      <c r="J175" s="71">
        <v>0</v>
      </c>
      <c r="K175" s="71">
        <v>1</v>
      </c>
      <c r="L175" s="71">
        <v>0</v>
      </c>
      <c r="M175" s="71">
        <v>0</v>
      </c>
      <c r="N175" s="71">
        <v>0</v>
      </c>
      <c r="O175" s="71">
        <v>1</v>
      </c>
      <c r="P175" s="71">
        <v>1</v>
      </c>
    </row>
    <row r="176" spans="1:16" ht="21" customHeight="1" x14ac:dyDescent="0.15">
      <c r="A176" s="27" t="s">
        <v>1956</v>
      </c>
      <c r="B176" s="27" t="s">
        <v>247</v>
      </c>
      <c r="C176" s="27">
        <v>613</v>
      </c>
      <c r="D176" s="26" t="str">
        <f ca="1">IF(B176="unit",VLOOKUP($C176,OFFSET([3]characters!$A$1,0,0,COUNTA([3]characters!$A:$A),MATCH(D$1,[3]characters!$1:$1,0)-MATCH($C$1,[3]characters!$1:$1,0)+1),MATCH(D$1,[3]characters!$1:$1,0)-MATCH($C$1,[3]characters!$1:$1,0)+1,FALSE),C176)</f>
        <v>ギガ癒しの果実</v>
      </c>
      <c r="E176" s="27">
        <v>3</v>
      </c>
      <c r="F176" s="27" t="s">
        <v>792</v>
      </c>
      <c r="G176" s="26" t="str">
        <f t="shared" ca="1" si="89"/>
        <v>ギガ癒しの果実 x 3</v>
      </c>
      <c r="H176" s="27" t="s">
        <v>1140</v>
      </c>
      <c r="I176" s="26" t="str">
        <f t="shared" ca="1" si="88"/>
        <v>週間ミッション達成報酬で 【ギガ癒しの果実 x 3】 をゲット！</v>
      </c>
      <c r="J176" s="71">
        <v>0</v>
      </c>
      <c r="K176" s="71">
        <v>1</v>
      </c>
      <c r="L176" s="71">
        <v>0</v>
      </c>
      <c r="M176" s="71">
        <v>0</v>
      </c>
      <c r="N176" s="71">
        <v>0</v>
      </c>
      <c r="O176" s="71">
        <v>1</v>
      </c>
      <c r="P176" s="71">
        <v>1</v>
      </c>
    </row>
    <row r="177" spans="1:16" ht="21" customHeight="1" x14ac:dyDescent="0.15">
      <c r="A177" s="27" t="s">
        <v>1957</v>
      </c>
      <c r="B177" s="27" t="s">
        <v>247</v>
      </c>
      <c r="C177" s="27">
        <v>611</v>
      </c>
      <c r="D177" s="26" t="str">
        <f ca="1">IF(B177="unit",VLOOKUP($C177,OFFSET([3]characters!$A$1,0,0,COUNTA([3]characters!$A:$A),MATCH(D$1,[3]characters!$1:$1,0)-MATCH($C$1,[3]characters!$1:$1,0)+1),MATCH(D$1,[3]characters!$1:$1,0)-MATCH($C$1,[3]characters!$1:$1,0)+1,FALSE),C177)</f>
        <v>ギガ攻めの果実</v>
      </c>
      <c r="E177" s="27">
        <v>3</v>
      </c>
      <c r="F177" s="27" t="s">
        <v>792</v>
      </c>
      <c r="G177" s="26" t="str">
        <f t="shared" ca="1" si="89"/>
        <v>ギガ攻めの果実 x 3</v>
      </c>
      <c r="H177" s="27" t="s">
        <v>1140</v>
      </c>
      <c r="I177" s="26" t="str">
        <f t="shared" ca="1" si="88"/>
        <v>週間ミッション達成報酬で 【ギガ攻めの果実 x 3】 をゲット！</v>
      </c>
      <c r="J177" s="71">
        <v>0</v>
      </c>
      <c r="K177" s="71">
        <v>1</v>
      </c>
      <c r="L177" s="71">
        <v>0</v>
      </c>
      <c r="M177" s="71">
        <v>0</v>
      </c>
      <c r="N177" s="71">
        <v>0</v>
      </c>
      <c r="O177" s="71">
        <v>1</v>
      </c>
      <c r="P177" s="71">
        <v>1</v>
      </c>
    </row>
    <row r="178" spans="1:16" ht="21" customHeight="1" x14ac:dyDescent="0.15">
      <c r="A178" s="27" t="s">
        <v>1958</v>
      </c>
      <c r="B178" s="27" t="s">
        <v>249</v>
      </c>
      <c r="C178" s="27">
        <v>2000000</v>
      </c>
      <c r="D178" s="26">
        <f ca="1">IF(B178="unit",VLOOKUP($C178,OFFSET([3]characters!$A$1,0,0,COUNTA([3]characters!$A:$A),MATCH(D$1,[3]characters!$1:$1,0)-MATCH($C$1,[3]characters!$1:$1,0)+1),MATCH(D$1,[3]characters!$1:$1,0)-MATCH($C$1,[3]characters!$1:$1,0)+1,FALSE),C178)</f>
        <v>2000000</v>
      </c>
      <c r="E178" s="27">
        <v>0</v>
      </c>
      <c r="F178" s="27" t="s">
        <v>792</v>
      </c>
      <c r="G178" s="26" t="str">
        <f t="shared" ref="G178" si="90">IF(B178="unit",D178&amp;" x "&amp;E178,IF(B178="polygon","ポリゴン x "&amp;C178,IF(B178="bit","ビット x "&amp;C178,IF(B178="link","リンク x "&amp;C178,"＊報酬未設定＊"))))</f>
        <v>ビット x 2000000</v>
      </c>
      <c r="H178" s="27" t="s">
        <v>1140</v>
      </c>
      <c r="I178" s="26" t="str">
        <f t="shared" ref="I178:I180" si="91">H178&amp;"で 【"&amp;G178&amp;"】 をゲット！"</f>
        <v>週間ミッション達成報酬で 【ビット x 2000000】 をゲット！</v>
      </c>
      <c r="J178" s="71">
        <v>0</v>
      </c>
      <c r="K178" s="71">
        <v>1</v>
      </c>
      <c r="L178" s="71">
        <v>0</v>
      </c>
      <c r="M178" s="71">
        <v>0</v>
      </c>
      <c r="N178" s="71">
        <v>0</v>
      </c>
      <c r="O178" s="71">
        <v>1</v>
      </c>
      <c r="P178" s="71">
        <v>1</v>
      </c>
    </row>
    <row r="179" spans="1:16" ht="21" customHeight="1" x14ac:dyDescent="0.15">
      <c r="A179" s="27" t="s">
        <v>1978</v>
      </c>
      <c r="B179" s="27" t="s">
        <v>247</v>
      </c>
      <c r="C179" s="27">
        <v>837</v>
      </c>
      <c r="D179" s="26" t="str">
        <f ca="1">IF(B179="unit",VLOOKUP($C179,OFFSET([3]characters!$A$1,0,0,COUNTA([3]characters!$A:$A),MATCH(D$1,[3]characters!$1:$1,0)-MATCH($C$1,[3]characters!$1:$1,0)+1),MATCH(D$1,[3]characters!$1:$1,0)-MATCH($C$1,[3]characters!$1:$1,0)+1,FALSE),C179)</f>
        <v>リトルハンプティ</v>
      </c>
      <c r="E179" s="27">
        <v>2</v>
      </c>
      <c r="F179" s="27" t="s">
        <v>792</v>
      </c>
      <c r="G179" s="26" t="str">
        <f ca="1">IF(B179="unit",D179&amp;" x "&amp;E179,IF(B179="polygon","ポリゴン x "&amp;C179,IF(B179="bit","ビット x "&amp;C179,IF(B179="link","リンク x "&amp;C179,"＊報酬未設定＊"))))</f>
        <v>リトルハンプティ x 2</v>
      </c>
      <c r="H179" s="27" t="s">
        <v>1140</v>
      </c>
      <c r="I179" s="26" t="str">
        <f t="shared" ca="1" si="91"/>
        <v>週間ミッション達成報酬で 【リトルハンプティ x 2】 をゲット！</v>
      </c>
      <c r="J179" s="71">
        <v>0</v>
      </c>
      <c r="K179" s="71">
        <v>1</v>
      </c>
      <c r="L179" s="71">
        <v>0</v>
      </c>
      <c r="M179" s="71">
        <v>0</v>
      </c>
      <c r="N179" s="71">
        <v>0</v>
      </c>
      <c r="O179" s="71">
        <v>1</v>
      </c>
      <c r="P179" s="71">
        <v>1</v>
      </c>
    </row>
    <row r="180" spans="1:16" ht="21" customHeight="1" x14ac:dyDescent="0.15">
      <c r="A180" s="129" t="s">
        <v>2109</v>
      </c>
      <c r="B180" s="27" t="s">
        <v>247</v>
      </c>
      <c r="C180" s="27">
        <v>553</v>
      </c>
      <c r="D180" s="26" t="str">
        <f ca="1">IF(B180="unit",VLOOKUP($C180,OFFSET([3]characters!$A$1,0,0,COUNTA([3]characters!$A:$A),MATCH(D$1,[3]characters!$1:$1,0)-MATCH($C$1,[3]characters!$1:$1,0)+1),MATCH(D$1,[3]characters!$1:$1,0)-MATCH($C$1,[3]characters!$1:$1,0)+1,FALSE),C180)</f>
        <v>雪ミク2016</v>
      </c>
      <c r="E180" s="27">
        <v>1</v>
      </c>
      <c r="F180" s="27" t="s">
        <v>792</v>
      </c>
      <c r="G180" s="26" t="str">
        <f ca="1">IF(B180="unit",D180&amp;" x "&amp;E180,IF(B180="polygon","ポリゴン x "&amp;C180,IF(B180="bit","ビット x "&amp;C180,IF(B180="link","リンク x "&amp;C180,"＊報酬未設定＊"))))</f>
        <v>雪ミク2016 x 1</v>
      </c>
      <c r="H180" s="27" t="s">
        <v>240</v>
      </c>
      <c r="I180" s="26" t="str">
        <f t="shared" ca="1" si="91"/>
        <v>ミッション達成報酬で 【雪ミク2016 x 1】 をゲット！</v>
      </c>
      <c r="J180" s="71">
        <v>0</v>
      </c>
      <c r="K180" s="71">
        <v>1</v>
      </c>
      <c r="L180" s="71">
        <v>0</v>
      </c>
      <c r="M180" s="71">
        <v>0</v>
      </c>
      <c r="N180" s="71">
        <v>0</v>
      </c>
      <c r="O180" s="71">
        <v>1</v>
      </c>
      <c r="P180" s="71">
        <v>1</v>
      </c>
    </row>
    <row r="181" spans="1:16" ht="21" customHeight="1" x14ac:dyDescent="0.15">
      <c r="A181" s="129" t="s">
        <v>2111</v>
      </c>
      <c r="B181" s="27" t="s">
        <v>247</v>
      </c>
      <c r="C181" s="27">
        <v>555</v>
      </c>
      <c r="D181" s="26" t="str">
        <f ca="1">IF(B181="unit",VLOOKUP($C181,OFFSET([3]characters!$A$1,0,0,COUNTA([3]characters!$A:$A),MATCH(D$1,[3]characters!$1:$1,0)-MATCH($C$1,[3]characters!$1:$1,0)+1),MATCH(D$1,[3]characters!$1:$1,0)-MATCH($C$1,[3]characters!$1:$1,0)+1,FALSE),C181)</f>
        <v>雪ミク2014</v>
      </c>
      <c r="E181" s="27">
        <v>1</v>
      </c>
      <c r="F181" s="27" t="s">
        <v>792</v>
      </c>
      <c r="G181" s="26" t="str">
        <f ca="1">IF(B181="unit",D181&amp;" x "&amp;E181,IF(B181="polygon","ポリゴン x "&amp;C181,IF(B181="bit","ビット x "&amp;C181,IF(B181="link","リンク x "&amp;C181,"＊報酬未設定＊"))))</f>
        <v>雪ミク2014 x 1</v>
      </c>
      <c r="H181" s="27" t="s">
        <v>240</v>
      </c>
      <c r="I181" s="26" t="str">
        <f t="shared" ref="I181:I205" ca="1" si="92">H181&amp;"で 【"&amp;G181&amp;"】 をゲット！"</f>
        <v>ミッション達成報酬で 【雪ミク2014 x 1】 をゲット！</v>
      </c>
      <c r="J181" s="71">
        <v>0</v>
      </c>
      <c r="K181" s="71">
        <v>1</v>
      </c>
      <c r="L181" s="71">
        <v>0</v>
      </c>
      <c r="M181" s="71">
        <v>0</v>
      </c>
      <c r="N181" s="71">
        <v>0</v>
      </c>
      <c r="O181" s="71">
        <v>1</v>
      </c>
      <c r="P181" s="71">
        <v>1</v>
      </c>
    </row>
    <row r="182" spans="1:16" ht="21" customHeight="1" x14ac:dyDescent="0.15">
      <c r="A182" s="27" t="s">
        <v>2645</v>
      </c>
      <c r="B182" s="27" t="s">
        <v>231</v>
      </c>
      <c r="C182" s="27">
        <v>110011</v>
      </c>
      <c r="D182" s="26">
        <f ca="1">IF(B182="unit",VLOOKUP($C182,OFFSET([3]characters!$A$1,0,0,COUNTA([3]characters!$A:$A),MATCH(D$1,[3]characters!$1:$1,0)-MATCH($C$1,[3]characters!$1:$1,0)+1),MATCH(D$1,[3]characters!$1:$1,0)-MATCH($C$1,[3]characters!$1:$1,0)+1,FALSE),C182)</f>
        <v>110011</v>
      </c>
      <c r="E182" s="27">
        <v>0</v>
      </c>
      <c r="F182" s="27" t="s">
        <v>792</v>
      </c>
      <c r="G182" s="26" t="str">
        <f>"二つ名 &lt;"&amp;VLOOKUP(C182,[1]titles_data!$A:$E,5,FALSE)&amp;"&gt;"</f>
        <v>二つ名 &lt;歩き始めた&gt;</v>
      </c>
      <c r="H182" s="27" t="s">
        <v>240</v>
      </c>
      <c r="I182" s="26" t="str">
        <f t="shared" si="92"/>
        <v>ミッション達成報酬で 【二つ名 &lt;歩き始めた&gt;】 をゲット！</v>
      </c>
      <c r="J182" s="71">
        <v>0</v>
      </c>
      <c r="K182" s="71">
        <v>1</v>
      </c>
      <c r="L182" s="71">
        <v>0</v>
      </c>
      <c r="M182" s="71">
        <v>0</v>
      </c>
      <c r="N182" s="71">
        <v>0</v>
      </c>
      <c r="O182" s="71">
        <v>1</v>
      </c>
      <c r="P182" s="71">
        <v>1</v>
      </c>
    </row>
    <row r="183" spans="1:16" ht="21" customHeight="1" x14ac:dyDescent="0.15">
      <c r="A183" s="27" t="s">
        <v>2646</v>
      </c>
      <c r="B183" s="27" t="s">
        <v>231</v>
      </c>
      <c r="C183" s="27">
        <v>110012</v>
      </c>
      <c r="D183" s="26">
        <f ca="1">IF(B183="unit",VLOOKUP($C183,OFFSET([3]characters!$A$1,0,0,COUNTA([3]characters!$A:$A),MATCH(D$1,[3]characters!$1:$1,0)-MATCH($C$1,[3]characters!$1:$1,0)+1),MATCH(D$1,[3]characters!$1:$1,0)-MATCH($C$1,[3]characters!$1:$1,0)+1,FALSE),C183)</f>
        <v>110012</v>
      </c>
      <c r="E183" s="27">
        <v>0</v>
      </c>
      <c r="F183" s="27" t="s">
        <v>792</v>
      </c>
      <c r="G183" s="26" t="str">
        <f>"二つ名 &lt;"&amp;VLOOKUP(C183,[1]titles_data!$A:$E,5,FALSE)&amp;"&gt;"</f>
        <v>二つ名 &lt;クラフィっ子&gt;</v>
      </c>
      <c r="H183" s="27" t="s">
        <v>240</v>
      </c>
      <c r="I183" s="26" t="str">
        <f t="shared" si="92"/>
        <v>ミッション達成報酬で 【二つ名 &lt;クラフィっ子&gt;】 をゲット！</v>
      </c>
      <c r="J183" s="71">
        <v>0</v>
      </c>
      <c r="K183" s="71">
        <v>1</v>
      </c>
      <c r="L183" s="71">
        <v>0</v>
      </c>
      <c r="M183" s="71">
        <v>0</v>
      </c>
      <c r="N183" s="71">
        <v>0</v>
      </c>
      <c r="O183" s="71">
        <v>1</v>
      </c>
      <c r="P183" s="71">
        <v>1</v>
      </c>
    </row>
    <row r="184" spans="1:16" ht="21" customHeight="1" x14ac:dyDescent="0.15">
      <c r="A184" s="27" t="s">
        <v>2647</v>
      </c>
      <c r="B184" s="27" t="s">
        <v>231</v>
      </c>
      <c r="C184" s="27">
        <v>110021</v>
      </c>
      <c r="D184" s="26">
        <f ca="1">IF(B184="unit",VLOOKUP($C184,OFFSET([3]characters!$A$1,0,0,COUNTA([3]characters!$A:$A),MATCH(D$1,[3]characters!$1:$1,0)-MATCH($C$1,[3]characters!$1:$1,0)+1),MATCH(D$1,[3]characters!$1:$1,0)-MATCH($C$1,[3]characters!$1:$1,0)+1,FALSE),C184)</f>
        <v>110021</v>
      </c>
      <c r="E184" s="27">
        <v>0</v>
      </c>
      <c r="F184" s="27" t="s">
        <v>792</v>
      </c>
      <c r="G184" s="26" t="str">
        <f>"二つ名 &lt;"&amp;VLOOKUP(C184,[1]titles_data!$A:$E,5,FALSE)&amp;"&gt;"</f>
        <v>二つ名 &lt;新人&gt;</v>
      </c>
      <c r="H184" s="27" t="s">
        <v>240</v>
      </c>
      <c r="I184" s="26" t="str">
        <f t="shared" si="92"/>
        <v>ミッション達成報酬で 【二つ名 &lt;新人&gt;】 をゲット！</v>
      </c>
      <c r="J184" s="71">
        <v>0</v>
      </c>
      <c r="K184" s="71">
        <v>1</v>
      </c>
      <c r="L184" s="71">
        <v>0</v>
      </c>
      <c r="M184" s="71">
        <v>0</v>
      </c>
      <c r="N184" s="71">
        <v>0</v>
      </c>
      <c r="O184" s="71">
        <v>1</v>
      </c>
      <c r="P184" s="71">
        <v>1</v>
      </c>
    </row>
    <row r="185" spans="1:16" ht="21" customHeight="1" x14ac:dyDescent="0.15">
      <c r="A185" s="27" t="s">
        <v>2648</v>
      </c>
      <c r="B185" s="27" t="s">
        <v>231</v>
      </c>
      <c r="C185" s="27">
        <v>110022</v>
      </c>
      <c r="D185" s="26">
        <f ca="1">IF(B185="unit",VLOOKUP($C185,OFFSET([3]characters!$A$1,0,0,COUNTA([3]characters!$A:$A),MATCH(D$1,[3]characters!$1:$1,0)-MATCH($C$1,[3]characters!$1:$1,0)+1),MATCH(D$1,[3]characters!$1:$1,0)-MATCH($C$1,[3]characters!$1:$1,0)+1,FALSE),C185)</f>
        <v>110022</v>
      </c>
      <c r="E185" s="27">
        <v>0</v>
      </c>
      <c r="F185" s="27" t="s">
        <v>792</v>
      </c>
      <c r="G185" s="26" t="str">
        <f>"二つ名 &lt;"&amp;VLOOKUP(C185,[1]titles_data!$A:$E,5,FALSE)&amp;"&gt;"</f>
        <v>二つ名 &lt;ひよっこクラファー&gt;</v>
      </c>
      <c r="H185" s="27" t="s">
        <v>240</v>
      </c>
      <c r="I185" s="26" t="str">
        <f t="shared" si="92"/>
        <v>ミッション達成報酬で 【二つ名 &lt;ひよっこクラファー&gt;】 をゲット！</v>
      </c>
      <c r="J185" s="71">
        <v>0</v>
      </c>
      <c r="K185" s="71">
        <v>1</v>
      </c>
      <c r="L185" s="71">
        <v>0</v>
      </c>
      <c r="M185" s="71">
        <v>0</v>
      </c>
      <c r="N185" s="71">
        <v>0</v>
      </c>
      <c r="O185" s="71">
        <v>1</v>
      </c>
      <c r="P185" s="71">
        <v>1</v>
      </c>
    </row>
    <row r="186" spans="1:16" ht="21" customHeight="1" x14ac:dyDescent="0.15">
      <c r="A186" s="27" t="s">
        <v>2649</v>
      </c>
      <c r="B186" s="27" t="s">
        <v>231</v>
      </c>
      <c r="C186" s="27">
        <v>110031</v>
      </c>
      <c r="D186" s="26">
        <f ca="1">IF(B186="unit",VLOOKUP($C186,OFFSET([3]characters!$A$1,0,0,COUNTA([3]characters!$A:$A),MATCH(D$1,[3]characters!$1:$1,0)-MATCH($C$1,[3]characters!$1:$1,0)+1),MATCH(D$1,[3]characters!$1:$1,0)-MATCH($C$1,[3]characters!$1:$1,0)+1,FALSE),C186)</f>
        <v>110031</v>
      </c>
      <c r="E186" s="27">
        <v>0</v>
      </c>
      <c r="F186" s="27" t="s">
        <v>792</v>
      </c>
      <c r="G186" s="26" t="str">
        <f>"二つ名 &lt;"&amp;VLOOKUP(C186,[1]titles_data!$A:$E,5,FALSE)&amp;"&gt;"</f>
        <v>二つ名 &lt;上を目指す&gt;</v>
      </c>
      <c r="H186" s="27" t="s">
        <v>240</v>
      </c>
      <c r="I186" s="26" t="str">
        <f t="shared" si="92"/>
        <v>ミッション達成報酬で 【二つ名 &lt;上を目指す&gt;】 をゲット！</v>
      </c>
      <c r="J186" s="71">
        <v>0</v>
      </c>
      <c r="K186" s="71">
        <v>1</v>
      </c>
      <c r="L186" s="71">
        <v>0</v>
      </c>
      <c r="M186" s="71">
        <v>0</v>
      </c>
      <c r="N186" s="71">
        <v>0</v>
      </c>
      <c r="O186" s="71">
        <v>1</v>
      </c>
      <c r="P186" s="71">
        <v>1</v>
      </c>
    </row>
    <row r="187" spans="1:16" ht="21" customHeight="1" x14ac:dyDescent="0.15">
      <c r="A187" s="27" t="s">
        <v>2650</v>
      </c>
      <c r="B187" s="27" t="s">
        <v>231</v>
      </c>
      <c r="C187" s="27">
        <v>110032</v>
      </c>
      <c r="D187" s="26">
        <f ca="1">IF(B187="unit",VLOOKUP($C187,OFFSET([3]characters!$A$1,0,0,COUNTA([3]characters!$A:$A),MATCH(D$1,[3]characters!$1:$1,0)-MATCH($C$1,[3]characters!$1:$1,0)+1),MATCH(D$1,[3]characters!$1:$1,0)-MATCH($C$1,[3]characters!$1:$1,0)+1,FALSE),C187)</f>
        <v>110032</v>
      </c>
      <c r="E187" s="27">
        <v>0</v>
      </c>
      <c r="F187" s="27" t="s">
        <v>792</v>
      </c>
      <c r="G187" s="26" t="str">
        <f>"二つ名 &lt;"&amp;VLOOKUP(C187,[1]titles_data!$A:$E,5,FALSE)&amp;"&gt;"</f>
        <v>二つ名 &lt;アマクラファー&gt;</v>
      </c>
      <c r="H187" s="27" t="s">
        <v>240</v>
      </c>
      <c r="I187" s="26" t="str">
        <f t="shared" si="92"/>
        <v>ミッション達成報酬で 【二つ名 &lt;アマクラファー&gt;】 をゲット！</v>
      </c>
      <c r="J187" s="71">
        <v>0</v>
      </c>
      <c r="K187" s="71">
        <v>1</v>
      </c>
      <c r="L187" s="71">
        <v>0</v>
      </c>
      <c r="M187" s="71">
        <v>0</v>
      </c>
      <c r="N187" s="71">
        <v>0</v>
      </c>
      <c r="O187" s="71">
        <v>1</v>
      </c>
      <c r="P187" s="71">
        <v>1</v>
      </c>
    </row>
    <row r="188" spans="1:16" ht="21" customHeight="1" x14ac:dyDescent="0.15">
      <c r="A188" s="27" t="s">
        <v>2651</v>
      </c>
      <c r="B188" s="27" t="s">
        <v>231</v>
      </c>
      <c r="C188" s="27">
        <v>110041</v>
      </c>
      <c r="D188" s="26">
        <f ca="1">IF(B188="unit",VLOOKUP($C188,OFFSET([3]characters!$A$1,0,0,COUNTA([3]characters!$A:$A),MATCH(D$1,[3]characters!$1:$1,0)-MATCH($C$1,[3]characters!$1:$1,0)+1),MATCH(D$1,[3]characters!$1:$1,0)-MATCH($C$1,[3]characters!$1:$1,0)+1,FALSE),C188)</f>
        <v>110041</v>
      </c>
      <c r="E188" s="27">
        <v>0</v>
      </c>
      <c r="F188" s="27" t="s">
        <v>792</v>
      </c>
      <c r="G188" s="26" t="str">
        <f>"二つ名 &lt;"&amp;VLOOKUP(C188,[1]titles_data!$A:$E,5,FALSE)&amp;"&gt;"</f>
        <v>二つ名 &lt;一般&gt;</v>
      </c>
      <c r="H188" s="27" t="s">
        <v>240</v>
      </c>
      <c r="I188" s="26" t="str">
        <f t="shared" si="92"/>
        <v>ミッション達成報酬で 【二つ名 &lt;一般&gt;】 をゲット！</v>
      </c>
      <c r="J188" s="71">
        <v>0</v>
      </c>
      <c r="K188" s="71">
        <v>1</v>
      </c>
      <c r="L188" s="71">
        <v>0</v>
      </c>
      <c r="M188" s="71">
        <v>0</v>
      </c>
      <c r="N188" s="71">
        <v>0</v>
      </c>
      <c r="O188" s="71">
        <v>1</v>
      </c>
      <c r="P188" s="71">
        <v>1</v>
      </c>
    </row>
    <row r="189" spans="1:16" ht="21" customHeight="1" x14ac:dyDescent="0.15">
      <c r="A189" s="27" t="s">
        <v>2652</v>
      </c>
      <c r="B189" s="27" t="s">
        <v>231</v>
      </c>
      <c r="C189" s="27">
        <v>110042</v>
      </c>
      <c r="D189" s="26">
        <f ca="1">IF(B189="unit",VLOOKUP($C189,OFFSET([3]characters!$A$1,0,0,COUNTA([3]characters!$A:$A),MATCH(D$1,[3]characters!$1:$1,0)-MATCH($C$1,[3]characters!$1:$1,0)+1),MATCH(D$1,[3]characters!$1:$1,0)-MATCH($C$1,[3]characters!$1:$1,0)+1,FALSE),C189)</f>
        <v>110042</v>
      </c>
      <c r="E189" s="27">
        <v>0</v>
      </c>
      <c r="F189" s="27" t="s">
        <v>792</v>
      </c>
      <c r="G189" s="26" t="str">
        <f>"二つ名 &lt;"&amp;VLOOKUP(C189,[1]titles_data!$A:$E,5,FALSE)&amp;"&gt;"</f>
        <v>二つ名 &lt;クラファー&gt;</v>
      </c>
      <c r="H189" s="27" t="s">
        <v>240</v>
      </c>
      <c r="I189" s="26" t="str">
        <f t="shared" si="92"/>
        <v>ミッション達成報酬で 【二つ名 &lt;クラファー&gt;】 をゲット！</v>
      </c>
      <c r="J189" s="71">
        <v>0</v>
      </c>
      <c r="K189" s="71">
        <v>1</v>
      </c>
      <c r="L189" s="71">
        <v>0</v>
      </c>
      <c r="M189" s="71">
        <v>0</v>
      </c>
      <c r="N189" s="71">
        <v>0</v>
      </c>
      <c r="O189" s="71">
        <v>1</v>
      </c>
      <c r="P189" s="71">
        <v>1</v>
      </c>
    </row>
    <row r="190" spans="1:16" ht="21" customHeight="1" x14ac:dyDescent="0.15">
      <c r="A190" s="27" t="s">
        <v>2653</v>
      </c>
      <c r="B190" s="27" t="s">
        <v>231</v>
      </c>
      <c r="C190" s="27">
        <v>110051</v>
      </c>
      <c r="D190" s="26">
        <f ca="1">IF(B190="unit",VLOOKUP($C190,OFFSET([3]characters!$A$1,0,0,COUNTA([3]characters!$A:$A),MATCH(D$1,[3]characters!$1:$1,0)-MATCH($C$1,[3]characters!$1:$1,0)+1),MATCH(D$1,[3]characters!$1:$1,0)-MATCH($C$1,[3]characters!$1:$1,0)+1,FALSE),C190)</f>
        <v>110051</v>
      </c>
      <c r="E190" s="27">
        <v>0</v>
      </c>
      <c r="F190" s="27" t="s">
        <v>792</v>
      </c>
      <c r="G190" s="26" t="str">
        <f>"二つ名 &lt;"&amp;VLOOKUP(C190,[1]titles_data!$A:$E,5,FALSE)&amp;"&gt;"</f>
        <v>二つ名 &lt;立派な&gt;</v>
      </c>
      <c r="H190" s="27" t="s">
        <v>240</v>
      </c>
      <c r="I190" s="26" t="str">
        <f t="shared" si="92"/>
        <v>ミッション達成報酬で 【二つ名 &lt;立派な&gt;】 をゲット！</v>
      </c>
      <c r="J190" s="71">
        <v>0</v>
      </c>
      <c r="K190" s="71">
        <v>1</v>
      </c>
      <c r="L190" s="71">
        <v>0</v>
      </c>
      <c r="M190" s="71">
        <v>0</v>
      </c>
      <c r="N190" s="71">
        <v>0</v>
      </c>
      <c r="O190" s="71">
        <v>1</v>
      </c>
      <c r="P190" s="71">
        <v>1</v>
      </c>
    </row>
    <row r="191" spans="1:16" ht="21" customHeight="1" x14ac:dyDescent="0.15">
      <c r="A191" s="27" t="s">
        <v>2654</v>
      </c>
      <c r="B191" s="27" t="s">
        <v>231</v>
      </c>
      <c r="C191" s="27">
        <v>110052</v>
      </c>
      <c r="D191" s="26">
        <f ca="1">IF(B191="unit",VLOOKUP($C191,OFFSET([3]characters!$A$1,0,0,COUNTA([3]characters!$A:$A),MATCH(D$1,[3]characters!$1:$1,0)-MATCH($C$1,[3]characters!$1:$1,0)+1),MATCH(D$1,[3]characters!$1:$1,0)-MATCH($C$1,[3]characters!$1:$1,0)+1,FALSE),C191)</f>
        <v>110052</v>
      </c>
      <c r="E191" s="27">
        <v>0</v>
      </c>
      <c r="F191" s="27" t="s">
        <v>792</v>
      </c>
      <c r="G191" s="26" t="str">
        <f>"二つ名 &lt;"&amp;VLOOKUP(C191,[1]titles_data!$A:$E,5,FALSE)&amp;"&gt;"</f>
        <v>二つ名 &lt;クラファー先輩&gt;</v>
      </c>
      <c r="H191" s="27" t="s">
        <v>240</v>
      </c>
      <c r="I191" s="26" t="str">
        <f t="shared" si="92"/>
        <v>ミッション達成報酬で 【二つ名 &lt;クラファー先輩&gt;】 をゲット！</v>
      </c>
      <c r="J191" s="71">
        <v>0</v>
      </c>
      <c r="K191" s="71">
        <v>1</v>
      </c>
      <c r="L191" s="71">
        <v>0</v>
      </c>
      <c r="M191" s="71">
        <v>0</v>
      </c>
      <c r="N191" s="71">
        <v>0</v>
      </c>
      <c r="O191" s="71">
        <v>1</v>
      </c>
      <c r="P191" s="71">
        <v>1</v>
      </c>
    </row>
    <row r="192" spans="1:16" ht="21" customHeight="1" x14ac:dyDescent="0.15">
      <c r="A192" s="27" t="s">
        <v>2655</v>
      </c>
      <c r="B192" s="27" t="s">
        <v>231</v>
      </c>
      <c r="C192" s="27">
        <v>110061</v>
      </c>
      <c r="D192" s="26">
        <f ca="1">IF(B192="unit",VLOOKUP($C192,OFFSET([3]characters!$A$1,0,0,COUNTA([3]characters!$A:$A),MATCH(D$1,[3]characters!$1:$1,0)-MATCH($C$1,[3]characters!$1:$1,0)+1),MATCH(D$1,[3]characters!$1:$1,0)-MATCH($C$1,[3]characters!$1:$1,0)+1,FALSE),C192)</f>
        <v>110061</v>
      </c>
      <c r="E192" s="27">
        <v>0</v>
      </c>
      <c r="F192" s="27" t="s">
        <v>792</v>
      </c>
      <c r="G192" s="26" t="str">
        <f>"二つ名 &lt;"&amp;VLOOKUP(C192,[1]titles_data!$A:$E,5,FALSE)&amp;"&gt;"</f>
        <v>二つ名 &lt;ハイスペック&gt;</v>
      </c>
      <c r="H192" s="27" t="s">
        <v>240</v>
      </c>
      <c r="I192" s="26" t="str">
        <f t="shared" si="92"/>
        <v>ミッション達成報酬で 【二つ名 &lt;ハイスペック&gt;】 をゲット！</v>
      </c>
      <c r="J192" s="71">
        <v>0</v>
      </c>
      <c r="K192" s="71">
        <v>1</v>
      </c>
      <c r="L192" s="71">
        <v>0</v>
      </c>
      <c r="M192" s="71">
        <v>0</v>
      </c>
      <c r="N192" s="71">
        <v>0</v>
      </c>
      <c r="O192" s="71">
        <v>1</v>
      </c>
      <c r="P192" s="71">
        <v>1</v>
      </c>
    </row>
    <row r="193" spans="1:16" ht="21" customHeight="1" x14ac:dyDescent="0.15">
      <c r="A193" s="27" t="s">
        <v>2656</v>
      </c>
      <c r="B193" s="27" t="s">
        <v>231</v>
      </c>
      <c r="C193" s="27">
        <v>110062</v>
      </c>
      <c r="D193" s="26">
        <f ca="1">IF(B193="unit",VLOOKUP($C193,OFFSET([3]characters!$A$1,0,0,COUNTA([3]characters!$A:$A),MATCH(D$1,[3]characters!$1:$1,0)-MATCH($C$1,[3]characters!$1:$1,0)+1),MATCH(D$1,[3]characters!$1:$1,0)-MATCH($C$1,[3]characters!$1:$1,0)+1,FALSE),C193)</f>
        <v>110062</v>
      </c>
      <c r="E193" s="27">
        <v>0</v>
      </c>
      <c r="F193" s="27" t="s">
        <v>792</v>
      </c>
      <c r="G193" s="26" t="str">
        <f>"二つ名 &lt;"&amp;VLOOKUP(C193,[1]titles_data!$A:$E,5,FALSE)&amp;"&gt;"</f>
        <v>二つ名 &lt;クラファー先生&gt;</v>
      </c>
      <c r="H193" s="27" t="s">
        <v>240</v>
      </c>
      <c r="I193" s="26" t="str">
        <f t="shared" si="92"/>
        <v>ミッション達成報酬で 【二つ名 &lt;クラファー先生&gt;】 をゲット！</v>
      </c>
      <c r="J193" s="71">
        <v>0</v>
      </c>
      <c r="K193" s="71">
        <v>1</v>
      </c>
      <c r="L193" s="71">
        <v>0</v>
      </c>
      <c r="M193" s="71">
        <v>0</v>
      </c>
      <c r="N193" s="71">
        <v>0</v>
      </c>
      <c r="O193" s="71">
        <v>1</v>
      </c>
      <c r="P193" s="71">
        <v>1</v>
      </c>
    </row>
    <row r="194" spans="1:16" ht="21" customHeight="1" x14ac:dyDescent="0.15">
      <c r="A194" s="27" t="s">
        <v>2657</v>
      </c>
      <c r="B194" s="27" t="s">
        <v>231</v>
      </c>
      <c r="C194" s="27">
        <v>110071</v>
      </c>
      <c r="D194" s="26">
        <f ca="1">IF(B194="unit",VLOOKUP($C194,OFFSET([3]characters!$A$1,0,0,COUNTA([3]characters!$A:$A),MATCH(D$1,[3]characters!$1:$1,0)-MATCH($C$1,[3]characters!$1:$1,0)+1),MATCH(D$1,[3]characters!$1:$1,0)-MATCH($C$1,[3]characters!$1:$1,0)+1,FALSE),C194)</f>
        <v>110071</v>
      </c>
      <c r="E194" s="27">
        <v>0</v>
      </c>
      <c r="F194" s="27" t="s">
        <v>792</v>
      </c>
      <c r="G194" s="26" t="str">
        <f>"二つ名 &lt;"&amp;VLOOKUP(C194,[1]titles_data!$A:$E,5,FALSE)&amp;"&gt;"</f>
        <v>二つ名 &lt;憧れの&gt;</v>
      </c>
      <c r="H194" s="27" t="s">
        <v>240</v>
      </c>
      <c r="I194" s="26" t="str">
        <f t="shared" si="92"/>
        <v>ミッション達成報酬で 【二つ名 &lt;憧れの&gt;】 をゲット！</v>
      </c>
      <c r="J194" s="71">
        <v>0</v>
      </c>
      <c r="K194" s="71">
        <v>1</v>
      </c>
      <c r="L194" s="71">
        <v>0</v>
      </c>
      <c r="M194" s="71">
        <v>0</v>
      </c>
      <c r="N194" s="71">
        <v>0</v>
      </c>
      <c r="O194" s="71">
        <v>1</v>
      </c>
      <c r="P194" s="71">
        <v>1</v>
      </c>
    </row>
    <row r="195" spans="1:16" ht="21" customHeight="1" x14ac:dyDescent="0.15">
      <c r="A195" s="27" t="s">
        <v>2658</v>
      </c>
      <c r="B195" s="27" t="s">
        <v>231</v>
      </c>
      <c r="C195" s="27">
        <v>110072</v>
      </c>
      <c r="D195" s="26">
        <f ca="1">IF(B195="unit",VLOOKUP($C195,OFFSET([3]characters!$A$1,0,0,COUNTA([3]characters!$A:$A),MATCH(D$1,[3]characters!$1:$1,0)-MATCH($C$1,[3]characters!$1:$1,0)+1),MATCH(D$1,[3]characters!$1:$1,0)-MATCH($C$1,[3]characters!$1:$1,0)+1,FALSE),C195)</f>
        <v>110072</v>
      </c>
      <c r="E195" s="27">
        <v>0</v>
      </c>
      <c r="F195" s="27" t="s">
        <v>792</v>
      </c>
      <c r="G195" s="26" t="str">
        <f>"二つ名 &lt;"&amp;VLOOKUP(C195,[1]titles_data!$A:$E,5,FALSE)&amp;"&gt;"</f>
        <v>二つ名 &lt;プロクラファー&gt;</v>
      </c>
      <c r="H195" s="27" t="s">
        <v>240</v>
      </c>
      <c r="I195" s="26" t="str">
        <f t="shared" si="92"/>
        <v>ミッション達成報酬で 【二つ名 &lt;プロクラファー&gt;】 をゲット！</v>
      </c>
      <c r="J195" s="71">
        <v>0</v>
      </c>
      <c r="K195" s="71">
        <v>1</v>
      </c>
      <c r="L195" s="71">
        <v>0</v>
      </c>
      <c r="M195" s="71">
        <v>0</v>
      </c>
      <c r="N195" s="71">
        <v>0</v>
      </c>
      <c r="O195" s="71">
        <v>1</v>
      </c>
      <c r="P195" s="71">
        <v>1</v>
      </c>
    </row>
    <row r="196" spans="1:16" ht="21" customHeight="1" x14ac:dyDescent="0.15">
      <c r="A196" s="27" t="s">
        <v>2659</v>
      </c>
      <c r="B196" s="27" t="s">
        <v>231</v>
      </c>
      <c r="C196" s="27">
        <v>110081</v>
      </c>
      <c r="D196" s="26">
        <f ca="1">IF(B196="unit",VLOOKUP($C196,OFFSET([3]characters!$A$1,0,0,COUNTA([3]characters!$A:$A),MATCH(D$1,[3]characters!$1:$1,0)-MATCH($C$1,[3]characters!$1:$1,0)+1),MATCH(D$1,[3]characters!$1:$1,0)-MATCH($C$1,[3]characters!$1:$1,0)+1,FALSE),C196)</f>
        <v>110081</v>
      </c>
      <c r="E196" s="27">
        <v>0</v>
      </c>
      <c r="F196" s="27" t="s">
        <v>792</v>
      </c>
      <c r="G196" s="26" t="str">
        <f>"二つ名 &lt;"&amp;VLOOKUP(C196,[1]titles_data!$A:$E,5,FALSE)&amp;"&gt;"</f>
        <v>二つ名 &lt;カリスマ&gt;</v>
      </c>
      <c r="H196" s="27" t="s">
        <v>240</v>
      </c>
      <c r="I196" s="26" t="str">
        <f t="shared" si="92"/>
        <v>ミッション達成報酬で 【二つ名 &lt;カリスマ&gt;】 をゲット！</v>
      </c>
      <c r="J196" s="71">
        <v>0</v>
      </c>
      <c r="K196" s="71">
        <v>1</v>
      </c>
      <c r="L196" s="71">
        <v>0</v>
      </c>
      <c r="M196" s="71">
        <v>0</v>
      </c>
      <c r="N196" s="71">
        <v>0</v>
      </c>
      <c r="O196" s="71">
        <v>1</v>
      </c>
      <c r="P196" s="71">
        <v>1</v>
      </c>
    </row>
    <row r="197" spans="1:16" ht="21" customHeight="1" x14ac:dyDescent="0.15">
      <c r="A197" s="27" t="s">
        <v>2660</v>
      </c>
      <c r="B197" s="27" t="s">
        <v>231</v>
      </c>
      <c r="C197" s="27">
        <v>110082</v>
      </c>
      <c r="D197" s="26">
        <f ca="1">IF(B197="unit",VLOOKUP($C197,OFFSET([3]characters!$A$1,0,0,COUNTA([3]characters!$A:$A),MATCH(D$1,[3]characters!$1:$1,0)-MATCH($C$1,[3]characters!$1:$1,0)+1),MATCH(D$1,[3]characters!$1:$1,0)-MATCH($C$1,[3]characters!$1:$1,0)+1,FALSE),C197)</f>
        <v>110082</v>
      </c>
      <c r="E197" s="27">
        <v>0</v>
      </c>
      <c r="F197" s="27" t="s">
        <v>792</v>
      </c>
      <c r="G197" s="26" t="str">
        <f>"二つ名 &lt;"&amp;VLOOKUP(C197,[1]titles_data!$A:$E,5,FALSE)&amp;"&gt;"</f>
        <v>二つ名 &lt;クラファー名人&gt;</v>
      </c>
      <c r="H197" s="27" t="s">
        <v>240</v>
      </c>
      <c r="I197" s="26" t="str">
        <f t="shared" si="92"/>
        <v>ミッション達成報酬で 【二つ名 &lt;クラファー名人&gt;】 をゲット！</v>
      </c>
      <c r="J197" s="71">
        <v>0</v>
      </c>
      <c r="K197" s="71">
        <v>1</v>
      </c>
      <c r="L197" s="71">
        <v>0</v>
      </c>
      <c r="M197" s="71">
        <v>0</v>
      </c>
      <c r="N197" s="71">
        <v>0</v>
      </c>
      <c r="O197" s="71">
        <v>1</v>
      </c>
      <c r="P197" s="71">
        <v>1</v>
      </c>
    </row>
    <row r="198" spans="1:16" ht="21" customHeight="1" x14ac:dyDescent="0.15">
      <c r="A198" s="27" t="s">
        <v>2661</v>
      </c>
      <c r="B198" s="27" t="s">
        <v>231</v>
      </c>
      <c r="C198" s="27">
        <v>110091</v>
      </c>
      <c r="D198" s="26">
        <f ca="1">IF(B198="unit",VLOOKUP($C198,OFFSET([3]characters!$A$1,0,0,COUNTA([3]characters!$A:$A),MATCH(D$1,[3]characters!$1:$1,0)-MATCH($C$1,[3]characters!$1:$1,0)+1),MATCH(D$1,[3]characters!$1:$1,0)-MATCH($C$1,[3]characters!$1:$1,0)+1,FALSE),C198)</f>
        <v>110091</v>
      </c>
      <c r="E198" s="27">
        <v>0</v>
      </c>
      <c r="F198" s="27" t="s">
        <v>792</v>
      </c>
      <c r="G198" s="26" t="str">
        <f>"二つ名 &lt;"&amp;VLOOKUP(C198,[1]titles_data!$A:$E,5,FALSE)&amp;"&gt;"</f>
        <v>二つ名 &lt;伝説の&gt;</v>
      </c>
      <c r="H198" s="27" t="s">
        <v>240</v>
      </c>
      <c r="I198" s="26" t="str">
        <f t="shared" si="92"/>
        <v>ミッション達成報酬で 【二つ名 &lt;伝説の&gt;】 をゲット！</v>
      </c>
      <c r="J198" s="71">
        <v>0</v>
      </c>
      <c r="K198" s="71">
        <v>1</v>
      </c>
      <c r="L198" s="71">
        <v>0</v>
      </c>
      <c r="M198" s="71">
        <v>0</v>
      </c>
      <c r="N198" s="71">
        <v>0</v>
      </c>
      <c r="O198" s="71">
        <v>1</v>
      </c>
      <c r="P198" s="71">
        <v>1</v>
      </c>
    </row>
    <row r="199" spans="1:16" ht="21" customHeight="1" x14ac:dyDescent="0.15">
      <c r="A199" s="27" t="s">
        <v>2662</v>
      </c>
      <c r="B199" s="27" t="s">
        <v>231</v>
      </c>
      <c r="C199" s="27">
        <v>110092</v>
      </c>
      <c r="D199" s="26">
        <f ca="1">IF(B199="unit",VLOOKUP($C199,OFFSET([3]characters!$A$1,0,0,COUNTA([3]characters!$A:$A),MATCH(D$1,[3]characters!$1:$1,0)-MATCH($C$1,[3]characters!$1:$1,0)+1),MATCH(D$1,[3]characters!$1:$1,0)-MATCH($C$1,[3]characters!$1:$1,0)+1,FALSE),C199)</f>
        <v>110092</v>
      </c>
      <c r="E199" s="27">
        <v>0</v>
      </c>
      <c r="F199" s="27" t="s">
        <v>792</v>
      </c>
      <c r="G199" s="26" t="str">
        <f>"二つ名 &lt;"&amp;VLOOKUP(C199,[1]titles_data!$A:$E,5,FALSE)&amp;"&gt;"</f>
        <v>二つ名 &lt;クラファー王&gt;</v>
      </c>
      <c r="H199" s="27" t="s">
        <v>240</v>
      </c>
      <c r="I199" s="26" t="str">
        <f t="shared" si="92"/>
        <v>ミッション達成報酬で 【二つ名 &lt;クラファー王&gt;】 をゲット！</v>
      </c>
      <c r="J199" s="71">
        <v>0</v>
      </c>
      <c r="K199" s="71">
        <v>1</v>
      </c>
      <c r="L199" s="71">
        <v>0</v>
      </c>
      <c r="M199" s="71">
        <v>0</v>
      </c>
      <c r="N199" s="71">
        <v>0</v>
      </c>
      <c r="O199" s="71">
        <v>1</v>
      </c>
      <c r="P199" s="71">
        <v>1</v>
      </c>
    </row>
    <row r="200" spans="1:16" ht="21" customHeight="1" x14ac:dyDescent="0.15">
      <c r="A200" s="27" t="s">
        <v>2663</v>
      </c>
      <c r="B200" s="27" t="s">
        <v>231</v>
      </c>
      <c r="C200" s="27">
        <v>110101</v>
      </c>
      <c r="D200" s="26">
        <f ca="1">IF(B200="unit",VLOOKUP($C200,OFFSET([3]characters!$A$1,0,0,COUNTA([3]characters!$A:$A),MATCH(D$1,[3]characters!$1:$1,0)-MATCH($C$1,[3]characters!$1:$1,0)+1),MATCH(D$1,[3]characters!$1:$1,0)-MATCH($C$1,[3]characters!$1:$1,0)+1,FALSE),C200)</f>
        <v>110101</v>
      </c>
      <c r="E200" s="27">
        <v>0</v>
      </c>
      <c r="F200" s="27" t="s">
        <v>792</v>
      </c>
      <c r="G200" s="26" t="str">
        <f>"二つ名 &lt;"&amp;VLOOKUP(C200,[1]titles_data!$A:$E,5,FALSE)&amp;"&gt;"</f>
        <v>二つ名 &lt;超越的な&gt;</v>
      </c>
      <c r="H200" s="27" t="s">
        <v>240</v>
      </c>
      <c r="I200" s="26" t="str">
        <f t="shared" si="92"/>
        <v>ミッション達成報酬で 【二つ名 &lt;超越的な&gt;】 をゲット！</v>
      </c>
      <c r="J200" s="71">
        <v>0</v>
      </c>
      <c r="K200" s="71">
        <v>1</v>
      </c>
      <c r="L200" s="71">
        <v>0</v>
      </c>
      <c r="M200" s="71">
        <v>0</v>
      </c>
      <c r="N200" s="71">
        <v>0</v>
      </c>
      <c r="O200" s="71">
        <v>1</v>
      </c>
      <c r="P200" s="71">
        <v>1</v>
      </c>
    </row>
    <row r="201" spans="1:16" ht="21" customHeight="1" x14ac:dyDescent="0.15">
      <c r="A201" s="27" t="s">
        <v>2664</v>
      </c>
      <c r="B201" s="27" t="s">
        <v>231</v>
      </c>
      <c r="C201" s="27">
        <v>110102</v>
      </c>
      <c r="D201" s="26">
        <f ca="1">IF(B201="unit",VLOOKUP($C201,OFFSET([3]characters!$A$1,0,0,COUNTA([3]characters!$A:$A),MATCH(D$1,[3]characters!$1:$1,0)-MATCH($C$1,[3]characters!$1:$1,0)+1),MATCH(D$1,[3]characters!$1:$1,0)-MATCH($C$1,[3]characters!$1:$1,0)+1,FALSE),C201)</f>
        <v>110102</v>
      </c>
      <c r="E201" s="27">
        <v>0</v>
      </c>
      <c r="F201" s="27" t="s">
        <v>792</v>
      </c>
      <c r="G201" s="26" t="str">
        <f>"二つ名 &lt;"&amp;VLOOKUP(C201,[1]titles_data!$A:$E,5,FALSE)&amp;"&gt;"</f>
        <v>二つ名 &lt;クラファー狂&gt;</v>
      </c>
      <c r="H201" s="27" t="s">
        <v>240</v>
      </c>
      <c r="I201" s="26" t="str">
        <f t="shared" si="92"/>
        <v>ミッション達成報酬で 【二つ名 &lt;クラファー狂&gt;】 をゲット！</v>
      </c>
      <c r="J201" s="71">
        <v>0</v>
      </c>
      <c r="K201" s="71">
        <v>1</v>
      </c>
      <c r="L201" s="71">
        <v>0</v>
      </c>
      <c r="M201" s="71">
        <v>0</v>
      </c>
      <c r="N201" s="71">
        <v>0</v>
      </c>
      <c r="O201" s="71">
        <v>1</v>
      </c>
      <c r="P201" s="71">
        <v>1</v>
      </c>
    </row>
    <row r="202" spans="1:16" ht="21" customHeight="1" x14ac:dyDescent="0.15">
      <c r="A202" s="27" t="s">
        <v>2665</v>
      </c>
      <c r="B202" s="27" t="s">
        <v>231</v>
      </c>
      <c r="C202" s="27">
        <v>110111</v>
      </c>
      <c r="D202" s="26">
        <f ca="1">IF(B202="unit",VLOOKUP($C202,OFFSET([3]characters!$A$1,0,0,COUNTA([3]characters!$A:$A),MATCH(D$1,[3]characters!$1:$1,0)-MATCH($C$1,[3]characters!$1:$1,0)+1),MATCH(D$1,[3]characters!$1:$1,0)-MATCH($C$1,[3]characters!$1:$1,0)+1,FALSE),C202)</f>
        <v>110111</v>
      </c>
      <c r="E202" s="27">
        <v>0</v>
      </c>
      <c r="F202" s="27" t="s">
        <v>792</v>
      </c>
      <c r="G202" s="26" t="str">
        <f>"二つ名 &lt;"&amp;VLOOKUP(C202,[1]titles_data!$A:$E,5,FALSE)&amp;"&gt;"</f>
        <v>二つ名 &lt;偉大な&gt;</v>
      </c>
      <c r="H202" s="27" t="s">
        <v>240</v>
      </c>
      <c r="I202" s="26" t="str">
        <f t="shared" si="92"/>
        <v>ミッション達成報酬で 【二つ名 &lt;偉大な&gt;】 をゲット！</v>
      </c>
      <c r="J202" s="71">
        <v>0</v>
      </c>
      <c r="K202" s="71">
        <v>1</v>
      </c>
      <c r="L202" s="71">
        <v>0</v>
      </c>
      <c r="M202" s="71">
        <v>0</v>
      </c>
      <c r="N202" s="71">
        <v>0</v>
      </c>
      <c r="O202" s="71">
        <v>1</v>
      </c>
      <c r="P202" s="71">
        <v>1</v>
      </c>
    </row>
    <row r="203" spans="1:16" ht="21" customHeight="1" x14ac:dyDescent="0.15">
      <c r="A203" s="27" t="s">
        <v>2666</v>
      </c>
      <c r="B203" s="27" t="s">
        <v>231</v>
      </c>
      <c r="C203" s="27">
        <v>110112</v>
      </c>
      <c r="D203" s="26">
        <f ca="1">IF(B203="unit",VLOOKUP($C203,OFFSET([3]characters!$A$1,0,0,COUNTA([3]characters!$A:$A),MATCH(D$1,[3]characters!$1:$1,0)-MATCH($C$1,[3]characters!$1:$1,0)+1),MATCH(D$1,[3]characters!$1:$1,0)-MATCH($C$1,[3]characters!$1:$1,0)+1,FALSE),C203)</f>
        <v>110112</v>
      </c>
      <c r="E203" s="27">
        <v>0</v>
      </c>
      <c r="F203" s="27" t="s">
        <v>792</v>
      </c>
      <c r="G203" s="26" t="str">
        <f>"二つ名 &lt;"&amp;VLOOKUP(C203,[1]titles_data!$A:$E,5,FALSE)&amp;"&gt;"</f>
        <v>二つ名 &lt;クラファー帝&gt;</v>
      </c>
      <c r="H203" s="27" t="s">
        <v>240</v>
      </c>
      <c r="I203" s="26" t="str">
        <f t="shared" si="92"/>
        <v>ミッション達成報酬で 【二つ名 &lt;クラファー帝&gt;】 をゲット！</v>
      </c>
      <c r="J203" s="71">
        <v>0</v>
      </c>
      <c r="K203" s="71">
        <v>1</v>
      </c>
      <c r="L203" s="71">
        <v>0</v>
      </c>
      <c r="M203" s="71">
        <v>0</v>
      </c>
      <c r="N203" s="71">
        <v>0</v>
      </c>
      <c r="O203" s="71">
        <v>1</v>
      </c>
      <c r="P203" s="71">
        <v>1</v>
      </c>
    </row>
    <row r="204" spans="1:16" ht="21" customHeight="1" x14ac:dyDescent="0.15">
      <c r="A204" s="27" t="s">
        <v>2667</v>
      </c>
      <c r="B204" s="27" t="s">
        <v>231</v>
      </c>
      <c r="C204" s="27">
        <v>110121</v>
      </c>
      <c r="D204" s="26">
        <f ca="1">IF(B204="unit",VLOOKUP($C204,OFFSET([3]characters!$A$1,0,0,COUNTA([3]characters!$A:$A),MATCH(D$1,[3]characters!$1:$1,0)-MATCH($C$1,[3]characters!$1:$1,0)+1),MATCH(D$1,[3]characters!$1:$1,0)-MATCH($C$1,[3]characters!$1:$1,0)+1,FALSE),C204)</f>
        <v>110121</v>
      </c>
      <c r="E204" s="27">
        <v>0</v>
      </c>
      <c r="F204" s="27" t="s">
        <v>792</v>
      </c>
      <c r="G204" s="26" t="str">
        <f>"二つ名 &lt;"&amp;VLOOKUP(C204,[1]titles_data!$A:$E,5,FALSE)&amp;"&gt;"</f>
        <v>二つ名 &lt;マスターオブ&gt;</v>
      </c>
      <c r="H204" s="27" t="s">
        <v>240</v>
      </c>
      <c r="I204" s="26" t="str">
        <f t="shared" si="92"/>
        <v>ミッション達成報酬で 【二つ名 &lt;マスターオブ&gt;】 をゲット！</v>
      </c>
      <c r="J204" s="71">
        <v>0</v>
      </c>
      <c r="K204" s="71">
        <v>1</v>
      </c>
      <c r="L204" s="71">
        <v>0</v>
      </c>
      <c r="M204" s="71">
        <v>0</v>
      </c>
      <c r="N204" s="71">
        <v>0</v>
      </c>
      <c r="O204" s="71">
        <v>1</v>
      </c>
      <c r="P204" s="71">
        <v>1</v>
      </c>
    </row>
    <row r="205" spans="1:16" ht="21" customHeight="1" x14ac:dyDescent="0.15">
      <c r="A205" s="27" t="s">
        <v>2668</v>
      </c>
      <c r="B205" s="27" t="s">
        <v>231</v>
      </c>
      <c r="C205" s="27">
        <v>110122</v>
      </c>
      <c r="D205" s="26">
        <f ca="1">IF(B205="unit",VLOOKUP($C205,OFFSET([3]characters!$A$1,0,0,COUNTA([3]characters!$A:$A),MATCH(D$1,[3]characters!$1:$1,0)-MATCH($C$1,[3]characters!$1:$1,0)+1),MATCH(D$1,[3]characters!$1:$1,0)-MATCH($C$1,[3]characters!$1:$1,0)+1,FALSE),C205)</f>
        <v>110122</v>
      </c>
      <c r="E205" s="27">
        <v>0</v>
      </c>
      <c r="F205" s="27" t="s">
        <v>792</v>
      </c>
      <c r="G205" s="26" t="str">
        <f>"二つ名 &lt;"&amp;VLOOKUP(C205,[1]titles_data!$A:$E,5,FALSE)&amp;"&gt;"</f>
        <v>二つ名 &lt;クラファー仙人&gt;</v>
      </c>
      <c r="H205" s="27" t="s">
        <v>240</v>
      </c>
      <c r="I205" s="26" t="str">
        <f t="shared" si="92"/>
        <v>ミッション達成報酬で 【二つ名 &lt;クラファー仙人&gt;】 をゲット！</v>
      </c>
      <c r="J205" s="71">
        <v>0</v>
      </c>
      <c r="K205" s="71">
        <v>1</v>
      </c>
      <c r="L205" s="71">
        <v>0</v>
      </c>
      <c r="M205" s="71">
        <v>0</v>
      </c>
      <c r="N205" s="71">
        <v>0</v>
      </c>
      <c r="O205" s="71">
        <v>1</v>
      </c>
      <c r="P205" s="71">
        <v>1</v>
      </c>
    </row>
    <row r="206" spans="1:16" ht="21" customHeight="1" x14ac:dyDescent="0.15">
      <c r="A206" s="27" t="s">
        <v>2680</v>
      </c>
      <c r="B206" s="27" t="s">
        <v>231</v>
      </c>
      <c r="C206" s="27">
        <v>120011</v>
      </c>
      <c r="D206" s="26">
        <f ca="1">IF(B206="unit",VLOOKUP($C206,OFFSET([3]characters!$A$1,0,0,COUNTA([3]characters!$A:$A),MATCH(D$1,[3]characters!$1:$1,0)-MATCH($C$1,[3]characters!$1:$1,0)+1),MATCH(D$1,[3]characters!$1:$1,0)-MATCH($C$1,[3]characters!$1:$1,0)+1,FALSE),C206)</f>
        <v>120011</v>
      </c>
      <c r="E206" s="27">
        <v>0</v>
      </c>
      <c r="F206" s="27" t="s">
        <v>792</v>
      </c>
      <c r="G206" s="26" t="str">
        <f>"二つ名 &lt;"&amp;VLOOKUP(C206,[1]titles_data!$A:$E,5,FALSE)&amp;"&gt;"</f>
        <v>二つ名 &lt;集め始めた&gt;</v>
      </c>
      <c r="H206" s="27" t="s">
        <v>240</v>
      </c>
      <c r="I206" s="26" t="str">
        <f t="shared" ref="I206" si="93">H206&amp;"で 【"&amp;G206&amp;"】 をゲット！"</f>
        <v>ミッション達成報酬で 【二つ名 &lt;集め始めた&gt;】 をゲット！</v>
      </c>
      <c r="J206" s="71">
        <v>0</v>
      </c>
      <c r="K206" s="71">
        <v>1</v>
      </c>
      <c r="L206" s="71">
        <v>0</v>
      </c>
      <c r="M206" s="71">
        <v>0</v>
      </c>
      <c r="N206" s="71">
        <v>0</v>
      </c>
      <c r="O206" s="71">
        <v>1</v>
      </c>
      <c r="P206" s="71">
        <v>1</v>
      </c>
    </row>
    <row r="207" spans="1:16" ht="21" customHeight="1" x14ac:dyDescent="0.15">
      <c r="A207" s="27" t="s">
        <v>2681</v>
      </c>
      <c r="B207" s="27" t="s">
        <v>231</v>
      </c>
      <c r="C207" s="27">
        <v>120012</v>
      </c>
      <c r="D207" s="26">
        <f ca="1">IF(B207="unit",VLOOKUP($C207,OFFSET([3]characters!$A$1,0,0,COUNTA([3]characters!$A:$A),MATCH(D$1,[3]characters!$1:$1,0)-MATCH($C$1,[3]characters!$1:$1,0)+1),MATCH(D$1,[3]characters!$1:$1,0)-MATCH($C$1,[3]characters!$1:$1,0)+1,FALSE),C207)</f>
        <v>120012</v>
      </c>
      <c r="E207" s="27">
        <v>0</v>
      </c>
      <c r="F207" s="27" t="s">
        <v>792</v>
      </c>
      <c r="G207" s="26" t="str">
        <f>"二つ名 &lt;"&amp;VLOOKUP(C207,[1]titles_data!$A:$E,5,FALSE)&amp;"&gt;"</f>
        <v>二つ名 &lt;ファン&gt;</v>
      </c>
      <c r="H207" s="27" t="s">
        <v>240</v>
      </c>
      <c r="I207" s="26" t="str">
        <f t="shared" ref="I207:I208" si="94">H207&amp;"で 【"&amp;G207&amp;"】 をゲット！"</f>
        <v>ミッション達成報酬で 【二つ名 &lt;ファン&gt;】 をゲット！</v>
      </c>
      <c r="J207" s="71">
        <v>0</v>
      </c>
      <c r="K207" s="71">
        <v>1</v>
      </c>
      <c r="L207" s="71">
        <v>0</v>
      </c>
      <c r="M207" s="71">
        <v>0</v>
      </c>
      <c r="N207" s="71">
        <v>0</v>
      </c>
      <c r="O207" s="71">
        <v>1</v>
      </c>
      <c r="P207" s="71">
        <v>1</v>
      </c>
    </row>
    <row r="208" spans="1:16" ht="21" customHeight="1" x14ac:dyDescent="0.15">
      <c r="A208" s="27" t="s">
        <v>2684</v>
      </c>
      <c r="B208" s="27" t="s">
        <v>231</v>
      </c>
      <c r="C208" s="27">
        <v>120021</v>
      </c>
      <c r="D208" s="26">
        <f ca="1">IF(B208="unit",VLOOKUP($C208,OFFSET([3]characters!$A$1,0,0,COUNTA([3]characters!$A:$A),MATCH(D$1,[3]characters!$1:$1,0)-MATCH($C$1,[3]characters!$1:$1,0)+1),MATCH(D$1,[3]characters!$1:$1,0)-MATCH($C$1,[3]characters!$1:$1,0)+1,FALSE),C208)</f>
        <v>120021</v>
      </c>
      <c r="E208" s="27">
        <v>0</v>
      </c>
      <c r="F208" s="27" t="s">
        <v>792</v>
      </c>
      <c r="G208" s="26" t="str">
        <f>"二つ名 &lt;"&amp;VLOOKUP(C208,[1]titles_data!$A:$E,5,FALSE)&amp;"&gt;"</f>
        <v>二つ名 &lt;巷で噂の&gt;</v>
      </c>
      <c r="H208" s="27" t="s">
        <v>240</v>
      </c>
      <c r="I208" s="26" t="str">
        <f t="shared" si="94"/>
        <v>ミッション達成報酬で 【二つ名 &lt;巷で噂の&gt;】 をゲット！</v>
      </c>
      <c r="J208" s="71">
        <v>0</v>
      </c>
      <c r="K208" s="71">
        <v>1</v>
      </c>
      <c r="L208" s="71">
        <v>0</v>
      </c>
      <c r="M208" s="71">
        <v>0</v>
      </c>
      <c r="N208" s="71">
        <v>0</v>
      </c>
      <c r="O208" s="71">
        <v>1</v>
      </c>
      <c r="P208" s="71">
        <v>1</v>
      </c>
    </row>
    <row r="209" spans="1:16" ht="21" customHeight="1" x14ac:dyDescent="0.15">
      <c r="A209" s="27" t="s">
        <v>2685</v>
      </c>
      <c r="B209" s="27" t="s">
        <v>231</v>
      </c>
      <c r="C209" s="27">
        <v>120022</v>
      </c>
      <c r="D209" s="26">
        <f ca="1">IF(B209="unit",VLOOKUP($C209,OFFSET([3]characters!$A$1,0,0,COUNTA([3]characters!$A:$A),MATCH(D$1,[3]characters!$1:$1,0)-MATCH($C$1,[3]characters!$1:$1,0)+1),MATCH(D$1,[3]characters!$1:$1,0)-MATCH($C$1,[3]characters!$1:$1,0)+1,FALSE),C209)</f>
        <v>120022</v>
      </c>
      <c r="E209" s="27">
        <v>0</v>
      </c>
      <c r="F209" s="27" t="s">
        <v>792</v>
      </c>
      <c r="G209" s="26" t="str">
        <f>"二つ名 &lt;"&amp;VLOOKUP(C209,[1]titles_data!$A:$E,5,FALSE)&amp;"&gt;"</f>
        <v>二つ名 &lt;マニア&gt;</v>
      </c>
      <c r="H209" s="27" t="s">
        <v>240</v>
      </c>
      <c r="I209" s="26" t="str">
        <f t="shared" ref="I209:I210" si="95">H209&amp;"で 【"&amp;G209&amp;"】 をゲット！"</f>
        <v>ミッション達成報酬で 【二つ名 &lt;マニア&gt;】 をゲット！</v>
      </c>
      <c r="J209" s="71">
        <v>0</v>
      </c>
      <c r="K209" s="71">
        <v>1</v>
      </c>
      <c r="L209" s="71">
        <v>0</v>
      </c>
      <c r="M209" s="71">
        <v>0</v>
      </c>
      <c r="N209" s="71">
        <v>0</v>
      </c>
      <c r="O209" s="71">
        <v>1</v>
      </c>
      <c r="P209" s="71">
        <v>1</v>
      </c>
    </row>
    <row r="210" spans="1:16" ht="21" customHeight="1" x14ac:dyDescent="0.15">
      <c r="A210" s="27" t="s">
        <v>2687</v>
      </c>
      <c r="B210" s="27" t="s">
        <v>231</v>
      </c>
      <c r="C210" s="27">
        <v>120031</v>
      </c>
      <c r="D210" s="26">
        <f ca="1">IF(B210="unit",VLOOKUP($C210,OFFSET([3]characters!$A$1,0,0,COUNTA([3]characters!$A:$A),MATCH(D$1,[3]characters!$1:$1,0)-MATCH($C$1,[3]characters!$1:$1,0)+1),MATCH(D$1,[3]characters!$1:$1,0)-MATCH($C$1,[3]characters!$1:$1,0)+1,FALSE),C210)</f>
        <v>120031</v>
      </c>
      <c r="E210" s="27">
        <v>0</v>
      </c>
      <c r="F210" s="27" t="s">
        <v>792</v>
      </c>
      <c r="G210" s="26" t="str">
        <f>"二つ名 &lt;"&amp;VLOOKUP(C210,[1]titles_data!$A:$E,5,FALSE)&amp;"&gt;"</f>
        <v>二つ名 &lt;手当たり次第の&gt;</v>
      </c>
      <c r="H210" s="27" t="s">
        <v>240</v>
      </c>
      <c r="I210" s="26" t="str">
        <f t="shared" si="95"/>
        <v>ミッション達成報酬で 【二つ名 &lt;手当たり次第の&gt;】 をゲット！</v>
      </c>
      <c r="J210" s="71">
        <v>0</v>
      </c>
      <c r="K210" s="71">
        <v>1</v>
      </c>
      <c r="L210" s="71">
        <v>0</v>
      </c>
      <c r="M210" s="71">
        <v>0</v>
      </c>
      <c r="N210" s="71">
        <v>0</v>
      </c>
      <c r="O210" s="71">
        <v>1</v>
      </c>
      <c r="P210" s="71">
        <v>1</v>
      </c>
    </row>
    <row r="211" spans="1:16" ht="21" customHeight="1" x14ac:dyDescent="0.15">
      <c r="A211" s="27" t="s">
        <v>2688</v>
      </c>
      <c r="B211" s="27" t="s">
        <v>231</v>
      </c>
      <c r="C211" s="27">
        <v>120032</v>
      </c>
      <c r="D211" s="26">
        <f ca="1">IF(B211="unit",VLOOKUP($C211,OFFSET([3]characters!$A$1,0,0,COUNTA([3]characters!$A:$A),MATCH(D$1,[3]characters!$1:$1,0)-MATCH($C$1,[3]characters!$1:$1,0)+1),MATCH(D$1,[3]characters!$1:$1,0)-MATCH($C$1,[3]characters!$1:$1,0)+1,FALSE),C211)</f>
        <v>120032</v>
      </c>
      <c r="E211" s="27">
        <v>0</v>
      </c>
      <c r="F211" s="27" t="s">
        <v>792</v>
      </c>
      <c r="G211" s="26" t="str">
        <f>"二つ名 &lt;"&amp;VLOOKUP(C211,[1]titles_data!$A:$E,5,FALSE)&amp;"&gt;"</f>
        <v>二つ名 &lt;コレクター&gt;</v>
      </c>
      <c r="H211" s="27" t="s">
        <v>240</v>
      </c>
      <c r="I211" s="26" t="str">
        <f t="shared" ref="I211:I212" si="96">H211&amp;"で 【"&amp;G211&amp;"】 をゲット！"</f>
        <v>ミッション達成報酬で 【二つ名 &lt;コレクター&gt;】 をゲット！</v>
      </c>
      <c r="J211" s="71">
        <v>0</v>
      </c>
      <c r="K211" s="71">
        <v>1</v>
      </c>
      <c r="L211" s="71">
        <v>0</v>
      </c>
      <c r="M211" s="71">
        <v>0</v>
      </c>
      <c r="N211" s="71">
        <v>0</v>
      </c>
      <c r="O211" s="71">
        <v>1</v>
      </c>
      <c r="P211" s="71">
        <v>1</v>
      </c>
    </row>
    <row r="212" spans="1:16" ht="21" customHeight="1" x14ac:dyDescent="0.15">
      <c r="A212" s="27" t="s">
        <v>2689</v>
      </c>
      <c r="B212" s="27" t="s">
        <v>231</v>
      </c>
      <c r="C212" s="27">
        <v>120041</v>
      </c>
      <c r="D212" s="26">
        <f ca="1">IF(B212="unit",VLOOKUP($C212,OFFSET([3]characters!$A$1,0,0,COUNTA([3]characters!$A:$A),MATCH(D$1,[3]characters!$1:$1,0)-MATCH($C$1,[3]characters!$1:$1,0)+1),MATCH(D$1,[3]characters!$1:$1,0)-MATCH($C$1,[3]characters!$1:$1,0)+1,FALSE),C212)</f>
        <v>120041</v>
      </c>
      <c r="E212" s="27">
        <v>0</v>
      </c>
      <c r="F212" s="27" t="s">
        <v>792</v>
      </c>
      <c r="G212" s="26" t="str">
        <f>"二つ名 &lt;"&amp;VLOOKUP(C212,[1]titles_data!$A:$E,5,FALSE)&amp;"&gt;"</f>
        <v>二つ名 &lt;博識の&gt;</v>
      </c>
      <c r="H212" s="27" t="s">
        <v>240</v>
      </c>
      <c r="I212" s="26" t="str">
        <f t="shared" si="96"/>
        <v>ミッション達成報酬で 【二つ名 &lt;博識の&gt;】 をゲット！</v>
      </c>
      <c r="J212" s="71">
        <v>0</v>
      </c>
      <c r="K212" s="71">
        <v>1</v>
      </c>
      <c r="L212" s="71">
        <v>0</v>
      </c>
      <c r="M212" s="71">
        <v>0</v>
      </c>
      <c r="N212" s="71">
        <v>0</v>
      </c>
      <c r="O212" s="71">
        <v>1</v>
      </c>
      <c r="P212" s="71">
        <v>1</v>
      </c>
    </row>
    <row r="213" spans="1:16" ht="21" customHeight="1" x14ac:dyDescent="0.15">
      <c r="A213" s="27" t="s">
        <v>2690</v>
      </c>
      <c r="B213" s="27" t="s">
        <v>231</v>
      </c>
      <c r="C213" s="27">
        <v>120042</v>
      </c>
      <c r="D213" s="26">
        <f ca="1">IF(B213="unit",VLOOKUP($C213,OFFSET([3]characters!$A$1,0,0,COUNTA([3]characters!$A:$A),MATCH(D$1,[3]characters!$1:$1,0)-MATCH($C$1,[3]characters!$1:$1,0)+1),MATCH(D$1,[3]characters!$1:$1,0)-MATCH($C$1,[3]characters!$1:$1,0)+1,FALSE),C213)</f>
        <v>120042</v>
      </c>
      <c r="E213" s="27">
        <v>0</v>
      </c>
      <c r="F213" s="27" t="s">
        <v>792</v>
      </c>
      <c r="G213" s="26" t="str">
        <f>"二つ名 &lt;"&amp;VLOOKUP(C213,[1]titles_data!$A:$E,5,FALSE)&amp;"&gt;"</f>
        <v>二つ名 &lt;マイスター&gt;</v>
      </c>
      <c r="H213" s="27" t="s">
        <v>240</v>
      </c>
      <c r="I213" s="26" t="str">
        <f t="shared" ref="I213:I217" si="97">H213&amp;"で 【"&amp;G213&amp;"】 をゲット！"</f>
        <v>ミッション達成報酬で 【二つ名 &lt;マイスター&gt;】 をゲット！</v>
      </c>
      <c r="J213" s="71">
        <v>0</v>
      </c>
      <c r="K213" s="71">
        <v>1</v>
      </c>
      <c r="L213" s="71">
        <v>0</v>
      </c>
      <c r="M213" s="71">
        <v>0</v>
      </c>
      <c r="N213" s="71">
        <v>0</v>
      </c>
      <c r="O213" s="71">
        <v>1</v>
      </c>
      <c r="P213" s="71">
        <v>1</v>
      </c>
    </row>
    <row r="214" spans="1:16" ht="21" customHeight="1" x14ac:dyDescent="0.15">
      <c r="A214" s="27" t="s">
        <v>2691</v>
      </c>
      <c r="B214" s="27" t="s">
        <v>231</v>
      </c>
      <c r="C214" s="27">
        <v>120051</v>
      </c>
      <c r="D214" s="26">
        <f ca="1">IF(B214="unit",VLOOKUP($C214,OFFSET([3]characters!$A$1,0,0,COUNTA([3]characters!$A:$A),MATCH(D$1,[3]characters!$1:$1,0)-MATCH($C$1,[3]characters!$1:$1,0)+1),MATCH(D$1,[3]characters!$1:$1,0)-MATCH($C$1,[3]characters!$1:$1,0)+1,FALSE),C214)</f>
        <v>120051</v>
      </c>
      <c r="E214" s="27">
        <v>0</v>
      </c>
      <c r="F214" s="27" t="s">
        <v>792</v>
      </c>
      <c r="G214" s="26" t="str">
        <f>"二つ名 &lt;"&amp;VLOOKUP(C214,[1]titles_data!$A:$E,5,FALSE)&amp;"&gt;"</f>
        <v>二つ名 &lt;知りすぎた&gt;</v>
      </c>
      <c r="H214" s="27" t="s">
        <v>240</v>
      </c>
      <c r="I214" s="26" t="str">
        <f t="shared" si="97"/>
        <v>ミッション達成報酬で 【二つ名 &lt;知りすぎた&gt;】 をゲット！</v>
      </c>
      <c r="J214" s="71">
        <v>0</v>
      </c>
      <c r="K214" s="71">
        <v>1</v>
      </c>
      <c r="L214" s="71">
        <v>0</v>
      </c>
      <c r="M214" s="71">
        <v>0</v>
      </c>
      <c r="N214" s="71">
        <v>0</v>
      </c>
      <c r="O214" s="71">
        <v>1</v>
      </c>
      <c r="P214" s="71">
        <v>1</v>
      </c>
    </row>
    <row r="215" spans="1:16" ht="21" customHeight="1" x14ac:dyDescent="0.15">
      <c r="A215" s="27" t="s">
        <v>2692</v>
      </c>
      <c r="B215" s="27" t="s">
        <v>231</v>
      </c>
      <c r="C215" s="27">
        <v>120052</v>
      </c>
      <c r="D215" s="26">
        <f ca="1">IF(B215="unit",VLOOKUP($C215,OFFSET([3]characters!$A$1,0,0,COUNTA([3]characters!$A:$A),MATCH(D$1,[3]characters!$1:$1,0)-MATCH($C$1,[3]characters!$1:$1,0)+1),MATCH(D$1,[3]characters!$1:$1,0)-MATCH($C$1,[3]characters!$1:$1,0)+1,FALSE),C215)</f>
        <v>120052</v>
      </c>
      <c r="E215" s="27">
        <v>0</v>
      </c>
      <c r="F215" s="27" t="s">
        <v>792</v>
      </c>
      <c r="G215" s="26" t="str">
        <f>"二つ名 &lt;"&amp;VLOOKUP(C215,[1]titles_data!$A:$E,5,FALSE)&amp;"&gt;"</f>
        <v>二つ名 &lt;プロフェッサー&gt;</v>
      </c>
      <c r="H215" s="27" t="s">
        <v>240</v>
      </c>
      <c r="I215" s="26" t="str">
        <f t="shared" si="97"/>
        <v>ミッション達成報酬で 【二つ名 &lt;プロフェッサー&gt;】 をゲット！</v>
      </c>
      <c r="J215" s="71">
        <v>0</v>
      </c>
      <c r="K215" s="71">
        <v>1</v>
      </c>
      <c r="L215" s="71">
        <v>0</v>
      </c>
      <c r="M215" s="71">
        <v>0</v>
      </c>
      <c r="N215" s="71">
        <v>0</v>
      </c>
      <c r="O215" s="71">
        <v>1</v>
      </c>
      <c r="P215" s="71">
        <v>1</v>
      </c>
    </row>
    <row r="216" spans="1:16" ht="21" customHeight="1" x14ac:dyDescent="0.15">
      <c r="A216" s="27" t="s">
        <v>2693</v>
      </c>
      <c r="B216" s="27" t="s">
        <v>231</v>
      </c>
      <c r="C216" s="27">
        <v>120061</v>
      </c>
      <c r="D216" s="26">
        <f ca="1">IF(B216="unit",VLOOKUP($C216,OFFSET([3]characters!$A$1,0,0,COUNTA([3]characters!$A:$A),MATCH(D$1,[3]characters!$1:$1,0)-MATCH($C$1,[3]characters!$1:$1,0)+1),MATCH(D$1,[3]characters!$1:$1,0)-MATCH($C$1,[3]characters!$1:$1,0)+1,FALSE),C216)</f>
        <v>120061</v>
      </c>
      <c r="E216" s="27">
        <v>0</v>
      </c>
      <c r="F216" s="27" t="s">
        <v>792</v>
      </c>
      <c r="G216" s="26" t="str">
        <f>"二つ名 &lt;"&amp;VLOOKUP(C216,[1]titles_data!$A:$E,5,FALSE)&amp;"&gt;"</f>
        <v>二つ名 &lt;果て無き道の&gt;</v>
      </c>
      <c r="H216" s="27" t="s">
        <v>240</v>
      </c>
      <c r="I216" s="26" t="str">
        <f t="shared" si="97"/>
        <v>ミッション達成報酬で 【二つ名 &lt;果て無き道の&gt;】 をゲット！</v>
      </c>
      <c r="J216" s="71">
        <v>0</v>
      </c>
      <c r="K216" s="71">
        <v>1</v>
      </c>
      <c r="L216" s="71">
        <v>0</v>
      </c>
      <c r="M216" s="71">
        <v>0</v>
      </c>
      <c r="N216" s="71">
        <v>0</v>
      </c>
      <c r="O216" s="71">
        <v>1</v>
      </c>
      <c r="P216" s="71">
        <v>1</v>
      </c>
    </row>
    <row r="217" spans="1:16" ht="21" customHeight="1" x14ac:dyDescent="0.15">
      <c r="A217" s="27" t="s">
        <v>2694</v>
      </c>
      <c r="B217" s="27" t="s">
        <v>231</v>
      </c>
      <c r="C217" s="27">
        <v>120062</v>
      </c>
      <c r="D217" s="26">
        <f ca="1">IF(B217="unit",VLOOKUP($C217,OFFSET([3]characters!$A$1,0,0,COUNTA([3]characters!$A:$A),MATCH(D$1,[3]characters!$1:$1,0)-MATCH($C$1,[3]characters!$1:$1,0)+1),MATCH(D$1,[3]characters!$1:$1,0)-MATCH($C$1,[3]characters!$1:$1,0)+1,FALSE),C217)</f>
        <v>120062</v>
      </c>
      <c r="E217" s="27">
        <v>0</v>
      </c>
      <c r="F217" s="27" t="s">
        <v>792</v>
      </c>
      <c r="G217" s="26" t="str">
        <f>"二つ名 &lt;"&amp;VLOOKUP(C217,[1]titles_data!$A:$E,5,FALSE)&amp;"&gt;"</f>
        <v>二つ名 &lt;インデックス&gt;</v>
      </c>
      <c r="H217" s="27" t="s">
        <v>240</v>
      </c>
      <c r="I217" s="26" t="str">
        <f t="shared" si="97"/>
        <v>ミッション達成報酬で 【二つ名 &lt;インデックス&gt;】 をゲット！</v>
      </c>
      <c r="J217" s="71">
        <v>0</v>
      </c>
      <c r="K217" s="71">
        <v>1</v>
      </c>
      <c r="L217" s="71">
        <v>0</v>
      </c>
      <c r="M217" s="71">
        <v>0</v>
      </c>
      <c r="N217" s="71">
        <v>0</v>
      </c>
      <c r="O217" s="71">
        <v>1</v>
      </c>
      <c r="P217" s="71">
        <v>1</v>
      </c>
    </row>
  </sheetData>
  <phoneticPr fontId="5"/>
  <pageMargins left="0.75" right="0.75" top="1" bottom="1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P731"/>
  <sheetViews>
    <sheetView showGridLines="0" workbookViewId="0">
      <pane xSplit="4" ySplit="1" topLeftCell="E176" activePane="bottomRight" state="frozen"/>
      <selection pane="topRight" activeCell="D1" sqref="D1"/>
      <selection pane="bottomLeft" activeCell="A2" sqref="A2"/>
      <selection pane="bottomRight" activeCell="G188" sqref="G188"/>
    </sheetView>
  </sheetViews>
  <sheetFormatPr baseColWidth="12" defaultColWidth="12.796875" defaultRowHeight="21" customHeight="1" outlineLevelCol="1" x14ac:dyDescent="0.15"/>
  <cols>
    <col min="1" max="1" width="23.796875" style="1" bestFit="1" customWidth="1"/>
    <col min="2" max="2" width="7.59765625" style="1" bestFit="1" customWidth="1"/>
    <col min="3" max="3" width="54" style="1" customWidth="1" outlineLevel="1" collapsed="1"/>
    <col min="4" max="4" width="27.3984375" style="1" customWidth="1" outlineLevel="1"/>
    <col min="5" max="5" width="27.3984375" style="1" customWidth="1"/>
    <col min="6" max="6" width="25.59765625" style="1" bestFit="1" customWidth="1"/>
    <col min="7" max="7" width="25.19921875" style="1" customWidth="1" outlineLevel="1"/>
    <col min="8" max="8" width="27" style="18" customWidth="1" outlineLevel="1"/>
    <col min="9" max="9" width="41.3984375" style="7" customWidth="1"/>
    <col min="10" max="10" width="35.59765625" style="7" customWidth="1" outlineLevel="1"/>
    <col min="11" max="11" width="26.3984375" style="7" bestFit="1" customWidth="1"/>
    <col min="12" max="12" width="11.59765625" style="7" bestFit="1" customWidth="1" collapsed="1"/>
    <col min="13" max="13" width="27.3984375" style="1" hidden="1" customWidth="1" outlineLevel="1"/>
    <col min="14" max="14" width="27.19921875" style="1" hidden="1" customWidth="1" outlineLevel="1"/>
    <col min="15" max="16384" width="12.796875" style="1"/>
  </cols>
  <sheetData>
    <row r="1" spans="1:15" ht="32" customHeight="1" x14ac:dyDescent="0.15">
      <c r="A1" s="4" t="s">
        <v>885</v>
      </c>
      <c r="B1" s="36" t="s">
        <v>791</v>
      </c>
      <c r="C1" s="36" t="s">
        <v>282</v>
      </c>
      <c r="D1" s="36" t="s">
        <v>281</v>
      </c>
      <c r="E1" s="72" t="s">
        <v>865</v>
      </c>
      <c r="F1" s="4" t="s">
        <v>1861</v>
      </c>
      <c r="G1" s="25" t="s">
        <v>7</v>
      </c>
      <c r="H1" s="25" t="s">
        <v>273</v>
      </c>
      <c r="I1" s="4" t="s">
        <v>2220</v>
      </c>
      <c r="J1" s="25" t="s">
        <v>669</v>
      </c>
      <c r="K1" s="4" t="s">
        <v>2240</v>
      </c>
      <c r="L1" s="4" t="s">
        <v>65</v>
      </c>
      <c r="M1" s="25" t="s">
        <v>255</v>
      </c>
      <c r="N1" s="25" t="s">
        <v>277</v>
      </c>
      <c r="O1" s="1" t="s">
        <v>1687</v>
      </c>
    </row>
    <row r="2" spans="1:15" ht="21" customHeight="1" x14ac:dyDescent="0.15">
      <c r="A2" s="21" t="s">
        <v>331</v>
      </c>
      <c r="B2" s="21" t="s">
        <v>792</v>
      </c>
      <c r="C2" s="26" t="str">
        <f ca="1">IF(F2="specific_quest_clear",SUBSTITUTE(G2,"x",J2),IF(F2="specific_unit_aquired_count",SUBSTITUTE(J2,"y",K2),SUBSTITUTE(G2,"x",I2)))</f>
        <v>クエスト 【1-3. ゲートの番犬】 をクリアしよう！</v>
      </c>
      <c r="D2" s="26" t="str">
        <f ca="1">IFERROR(VLOOKUP($A2,OFFSET(achievement_criterion_id,0,0,COUNTA($A:$A),MATCH(D$1,missions!$2:$2,0)-MATCH($A$1,missions!$2:$2,0)+1),MATCH(D$1,missions!$2:$2,0)-MATCH($A$1,missions!$2:$2,0)+1,FALSE),IFERROR(VLOOKUP($A2,OFFSET(weekly_achievement_criterion_id,0,0,COUNTA($A:$A),MATCH(D$1,weekly_missions!$2:$2,0)-MATCH($A$1,weekly_missions!$2:$2,0)+1),MATCH(D$1,weekly_missions!$2:$2,0)-MATCH($A$1,weekly_missions!$2:$2,0)+1,FALSE),"＊missions 未設定＊"))</f>
        <v>ポリゴン x 3</v>
      </c>
      <c r="E2" s="27" t="s">
        <v>864</v>
      </c>
      <c r="F2" s="17" t="s">
        <v>310</v>
      </c>
      <c r="G2" s="26" t="str">
        <f ca="1">VLOOKUP($F2,OFFSET(達成条件!$A$1,0,0,COUNTA($A:$A),MATCH(G$1,達成条件!$1:$1,0)-MATCH($F$1,達成条件!$1:$1,0)+1),MATCH(G$1,達成条件!$1:$1,0)-MATCH($F$1,達成条件!$1:$1,0)+1,FALSE)</f>
        <v>クエスト 【x】 をクリアしよう！</v>
      </c>
      <c r="H2" s="26" t="str">
        <f ca="1">VLOOKUP($F2,OFFSET(達成条件!$A$1,0,0,COUNTA($A:$A),MATCH(H$1,達成条件!$1:$1,0)-MATCH($F$1,達成条件!$1:$1,0)+1),MATCH(H$1,達成条件!$1:$1,0)-MATCH($F$1,達成条件!$1:$1,0)+1,FALSE)</f>
        <v>該当のクエスト(99-9)</v>
      </c>
      <c r="I2" s="37" t="s">
        <v>330</v>
      </c>
      <c r="J2" s="54" t="str">
        <f ca="1">IF(F2="specific_unit_aquired_count",SUBSTITUTE(G2,"x",VLOOKUP(INT($I2),OFFSET([3]characters!$A$2,0,0,COUNTA([3]characters!$A:$A),MATCH(J$1,[3]characters!$2:$2,0)-MATCH("character_id",[3]characters!$2:$2,0)+1),MATCH(J$1,[3]characters!$2:$2,0)-MATCH("character_id",[3]characters!$2:$2,0)+1,FALSE)),IF(F2="specific_quest_clear",VLOOKUP(SUBSTITUTE(I2,"-","_"),OFFSET([2]stages!$A$2,0,0,COUNTA([2]stages!$A:$A),MATCH("name",[2]stages!$2:$2,0)-MATCH("temp_stage",[2]stages!$2:$2,0)+1),MATCH("name",[2]stages!$2:$2,0)-MATCH("temp_stage",[2]stages!$2:$2,0)+1,FALSE),""))</f>
        <v>1-3. ゲートの番犬</v>
      </c>
      <c r="K2" s="15" t="s">
        <v>352</v>
      </c>
      <c r="L2" s="6" t="s">
        <v>542</v>
      </c>
      <c r="M2" s="26" t="str">
        <f ca="1">IFERROR(VLOOKUP($L2,OFFSET(missions!$A$2,0,0,COUNTA($A:$A),MATCH(M$1,missions!$2:$2,0)-MATCH(#REF!,missions!$2:$2,0)+1),MATCH(M$1,missions!$2:$2,0)-MATCH(#REF!,missions!$2:$2,0)+1,FALSE),"")</f>
        <v/>
      </c>
      <c r="N2" s="26" t="str">
        <f ca="1">IFERROR(VLOOKUP($L2,OFFSET(missions!$A$2,0,0,COUNTA($A:$A),MATCH(N$1,missions!$2:$2,0)-MATCH(#REF!,missions!$2:$2,0)+1),MATCH(N$1,missions!$2:$2,0)-MATCH(#REF!,missions!$2:$2,0)+1,FALSE),"")</f>
        <v/>
      </c>
    </row>
    <row r="3" spans="1:15" ht="21" customHeight="1" x14ac:dyDescent="0.15">
      <c r="A3" s="21" t="s">
        <v>332</v>
      </c>
      <c r="B3" s="21" t="s">
        <v>792</v>
      </c>
      <c r="C3" s="26" t="str">
        <f t="shared" ref="C3:C385" ca="1" si="0">IF(F3="specific_quest_clear",SUBSTITUTE(G3,"x",J3),IF(F3="specific_unit_aquired_count",SUBSTITUTE(J3,"y",K3),SUBSTITUTE(G3,"x",I3)))</f>
        <v>クエスト 【2-3. 妖炎の誘い】 をクリアしよう！</v>
      </c>
      <c r="D3" s="26" t="str">
        <f ca="1">IFERROR(VLOOKUP($A3,OFFSET(achievement_criterion_id,0,0,COUNTA($A:$A),MATCH(D$1,missions!$2:$2,0)-MATCH($A$1,missions!$2:$2,0)+1),MATCH(D$1,missions!$2:$2,0)-MATCH($A$1,missions!$2:$2,0)+1,FALSE),IFERROR(VLOOKUP($A3,OFFSET(weekly_achievement_criterion_id,0,0,COUNTA($A:$A),MATCH(D$1,weekly_missions!$2:$2,0)-MATCH($A$1,weekly_missions!$2:$2,0)+1),MATCH(D$1,weekly_missions!$2:$2,0)-MATCH($A$1,weekly_missions!$2:$2,0)+1,FALSE),"＊missions 未設定＊"))</f>
        <v>ポリゴン x 2</v>
      </c>
      <c r="E3" s="27" t="s">
        <v>864</v>
      </c>
      <c r="F3" s="17" t="s">
        <v>310</v>
      </c>
      <c r="G3" s="26" t="str">
        <f ca="1">VLOOKUP($F3,OFFSET(達成条件!$A$1,0,0,COUNTA($A:$A),MATCH(G$1,達成条件!$1:$1,0)-MATCH($F$1,達成条件!$1:$1,0)+1),MATCH(G$1,達成条件!$1:$1,0)-MATCH($F$1,達成条件!$1:$1,0)+1,FALSE)</f>
        <v>クエスト 【x】 をクリアしよう！</v>
      </c>
      <c r="H3" s="26" t="str">
        <f ca="1">VLOOKUP($F3,OFFSET(達成条件!$A$1,0,0,COUNTA($A:$A),MATCH(H$1,達成条件!$1:$1,0)-MATCH($F$1,達成条件!$1:$1,0)+1),MATCH(H$1,達成条件!$1:$1,0)-MATCH($F$1,達成条件!$1:$1,0)+1,FALSE)</f>
        <v>該当のクエスト(99-9)</v>
      </c>
      <c r="I3" s="38" t="s">
        <v>311</v>
      </c>
      <c r="J3" s="54" t="str">
        <f ca="1">IF(F3="specific_unit_aquired_count",SUBSTITUTE(G3,"x",VLOOKUP(INT($I3),OFFSET([3]characters!$A$2,0,0,COUNTA([3]characters!$A:$A),MATCH(J$1,[3]characters!$2:$2,0)-MATCH("character_id",[3]characters!$2:$2,0)+1),MATCH(J$1,[3]characters!$2:$2,0)-MATCH("character_id",[3]characters!$2:$2,0)+1,FALSE)),IF(F3="specific_quest_clear",VLOOKUP(SUBSTITUTE(I3,"-","_"),OFFSET([2]stages!$A$2,0,0,COUNTA([2]stages!$A:$A),MATCH("name",[2]stages!$2:$2,0)-MATCH("temp_stage",[2]stages!$2:$2,0)+1),MATCH("name",[2]stages!$2:$2,0)-MATCH("temp_stage",[2]stages!$2:$2,0)+1,FALSE),""))</f>
        <v>2-3. 妖炎の誘い</v>
      </c>
      <c r="K3" s="15" t="s">
        <v>352</v>
      </c>
      <c r="L3" s="15" t="s">
        <v>542</v>
      </c>
      <c r="M3" s="26" t="str">
        <f ca="1">IFERROR(VLOOKUP($L3,OFFSET(missions!$A$2,0,0,COUNTA($A:$A),MATCH(M$1,missions!$2:$2,0)-MATCH(#REF!,missions!$2:$2,0)+1),MATCH(M$1,missions!$2:$2,0)-MATCH(#REF!,missions!$2:$2,0)+1,FALSE),"")</f>
        <v/>
      </c>
      <c r="N3" s="26" t="str">
        <f ca="1">IFERROR(VLOOKUP($L3,OFFSET(missions!$A$2,0,0,COUNTA($A:$A),MATCH(N$1,missions!$2:$2,0)-MATCH(#REF!,missions!$2:$2,0)+1),MATCH(N$1,missions!$2:$2,0)-MATCH(#REF!,missions!$2:$2,0)+1,FALSE),"")</f>
        <v/>
      </c>
    </row>
    <row r="4" spans="1:15" ht="21" customHeight="1" x14ac:dyDescent="0.15">
      <c r="A4" s="21" t="s">
        <v>333</v>
      </c>
      <c r="B4" s="21" t="s">
        <v>792</v>
      </c>
      <c r="C4" s="26" t="str">
        <f t="shared" ca="1" si="0"/>
        <v>クエスト 【3-3. 舞い散る木の葉】 をクリアしよう！</v>
      </c>
      <c r="D4" s="26" t="str">
        <f ca="1">IFERROR(VLOOKUP($A4,OFFSET(achievement_criterion_id,0,0,COUNTA($A:$A),MATCH(D$1,missions!$2:$2,0)-MATCH($A$1,missions!$2:$2,0)+1),MATCH(D$1,missions!$2:$2,0)-MATCH($A$1,missions!$2:$2,0)+1,FALSE),IFERROR(VLOOKUP($A4,OFFSET(weekly_achievement_criterion_id,0,0,COUNTA($A:$A),MATCH(D$1,weekly_missions!$2:$2,0)-MATCH($A$1,weekly_missions!$2:$2,0)+1),MATCH(D$1,weekly_missions!$2:$2,0)-MATCH($A$1,weekly_missions!$2:$2,0)+1,FALSE),"＊missions 未設定＊"))</f>
        <v>ポリゴン x 3</v>
      </c>
      <c r="E4" s="27" t="s">
        <v>864</v>
      </c>
      <c r="F4" s="17" t="s">
        <v>310</v>
      </c>
      <c r="G4" s="26" t="str">
        <f ca="1">VLOOKUP($F4,OFFSET(達成条件!$A$1,0,0,COUNTA($A:$A),MATCH(G$1,達成条件!$1:$1,0)-MATCH($F$1,達成条件!$1:$1,0)+1),MATCH(G$1,達成条件!$1:$1,0)-MATCH($F$1,達成条件!$1:$1,0)+1,FALSE)</f>
        <v>クエスト 【x】 をクリアしよう！</v>
      </c>
      <c r="H4" s="26" t="str">
        <f ca="1">VLOOKUP($F4,OFFSET(達成条件!$A$1,0,0,COUNTA($A:$A),MATCH(H$1,達成条件!$1:$1,0)-MATCH($F$1,達成条件!$1:$1,0)+1),MATCH(H$1,達成条件!$1:$1,0)-MATCH($F$1,達成条件!$1:$1,0)+1,FALSE)</f>
        <v>該当のクエスト(99-9)</v>
      </c>
      <c r="I4" s="38" t="s">
        <v>2296</v>
      </c>
      <c r="J4" s="54" t="str">
        <f ca="1">IF(F4="specific_unit_aquired_count",SUBSTITUTE(G4,"x",VLOOKUP(INT($I4),OFFSET([3]characters!$A$2,0,0,COUNTA([3]characters!$A:$A),MATCH(J$1,[3]characters!$2:$2,0)-MATCH("character_id",[3]characters!$2:$2,0)+1),MATCH(J$1,[3]characters!$2:$2,0)-MATCH("character_id",[3]characters!$2:$2,0)+1,FALSE)),IF(F4="specific_quest_clear",VLOOKUP(SUBSTITUTE(I4,"-","_"),OFFSET([2]stages!$A$2,0,0,COUNTA([2]stages!$A:$A),MATCH("name",[2]stages!$2:$2,0)-MATCH("temp_stage",[2]stages!$2:$2,0)+1),MATCH("name",[2]stages!$2:$2,0)-MATCH("temp_stage",[2]stages!$2:$2,0)+1,FALSE),""))</f>
        <v>3-3. 舞い散る木の葉</v>
      </c>
      <c r="K4" s="15" t="s">
        <v>352</v>
      </c>
      <c r="L4" s="15" t="s">
        <v>542</v>
      </c>
      <c r="M4" s="26" t="str">
        <f ca="1">IFERROR(VLOOKUP($L4,OFFSET(missions!$A$2,0,0,COUNTA($A:$A),MATCH(M$1,missions!$2:$2,0)-MATCH(#REF!,missions!$2:$2,0)+1),MATCH(M$1,missions!$2:$2,0)-MATCH(#REF!,missions!$2:$2,0)+1,FALSE),"")</f>
        <v/>
      </c>
      <c r="N4" s="26" t="str">
        <f ca="1">IFERROR(VLOOKUP($L4,OFFSET(missions!$A$2,0,0,COUNTA($A:$A),MATCH(N$1,missions!$2:$2,0)-MATCH(#REF!,missions!$2:$2,0)+1),MATCH(N$1,missions!$2:$2,0)-MATCH(#REF!,missions!$2:$2,0)+1,FALSE),"")</f>
        <v/>
      </c>
    </row>
    <row r="5" spans="1:15" ht="21" customHeight="1" x14ac:dyDescent="0.15">
      <c r="A5" s="21" t="s">
        <v>334</v>
      </c>
      <c r="B5" s="21" t="s">
        <v>792</v>
      </c>
      <c r="C5" s="26" t="str">
        <f t="shared" ca="1" si="0"/>
        <v>クエスト 【4-3. 晩夏の狐】 をクリアしよう！</v>
      </c>
      <c r="D5" s="26" t="str">
        <f ca="1">IFERROR(VLOOKUP($A5,OFFSET(achievement_criterion_id,0,0,COUNTA($A:$A),MATCH(D$1,missions!$2:$2,0)-MATCH($A$1,missions!$2:$2,0)+1),MATCH(D$1,missions!$2:$2,0)-MATCH($A$1,missions!$2:$2,0)+1,FALSE),IFERROR(VLOOKUP($A5,OFFSET(weekly_achievement_criterion_id,0,0,COUNTA($A:$A),MATCH(D$1,weekly_missions!$2:$2,0)-MATCH($A$1,weekly_missions!$2:$2,0)+1),MATCH(D$1,weekly_missions!$2:$2,0)-MATCH($A$1,weekly_missions!$2:$2,0)+1,FALSE),"＊missions 未設定＊"))</f>
        <v>ポリゴン x 2</v>
      </c>
      <c r="E5" s="27" t="s">
        <v>864</v>
      </c>
      <c r="F5" s="17" t="s">
        <v>310</v>
      </c>
      <c r="G5" s="26" t="str">
        <f ca="1">VLOOKUP($F5,OFFSET(達成条件!$A$1,0,0,COUNTA($A:$A),MATCH(G$1,達成条件!$1:$1,0)-MATCH($F$1,達成条件!$1:$1,0)+1),MATCH(G$1,達成条件!$1:$1,0)-MATCH($F$1,達成条件!$1:$1,0)+1,FALSE)</f>
        <v>クエスト 【x】 をクリアしよう！</v>
      </c>
      <c r="H5" s="26" t="str">
        <f ca="1">VLOOKUP($F5,OFFSET(達成条件!$A$1,0,0,COUNTA($A:$A),MATCH(H$1,達成条件!$1:$1,0)-MATCH($F$1,達成条件!$1:$1,0)+1),MATCH(H$1,達成条件!$1:$1,0)-MATCH($F$1,達成条件!$1:$1,0)+1,FALSE)</f>
        <v>該当のクエスト(99-9)</v>
      </c>
      <c r="I5" s="38" t="s">
        <v>312</v>
      </c>
      <c r="J5" s="54" t="str">
        <f ca="1">IF(F5="specific_unit_aquired_count",SUBSTITUTE(G5,"x",VLOOKUP(INT($I5),OFFSET([3]characters!$A$2,0,0,COUNTA([3]characters!$A:$A),MATCH(J$1,[3]characters!$2:$2,0)-MATCH("character_id",[3]characters!$2:$2,0)+1),MATCH(J$1,[3]characters!$2:$2,0)-MATCH("character_id",[3]characters!$2:$2,0)+1,FALSE)),IF(F5="specific_quest_clear",VLOOKUP(SUBSTITUTE(I5,"-","_"),OFFSET([2]stages!$A$2,0,0,COUNTA([2]stages!$A:$A),MATCH("name",[2]stages!$2:$2,0)-MATCH("temp_stage",[2]stages!$2:$2,0)+1),MATCH("name",[2]stages!$2:$2,0)-MATCH("temp_stage",[2]stages!$2:$2,0)+1,FALSE),""))</f>
        <v>4-3. 晩夏の狐</v>
      </c>
      <c r="K5" s="15" t="s">
        <v>352</v>
      </c>
      <c r="L5" s="6" t="s">
        <v>542</v>
      </c>
      <c r="M5" s="26" t="str">
        <f ca="1">IFERROR(VLOOKUP($L5,OFFSET(missions!$A$2,0,0,COUNTA($A:$A),MATCH(M$1,missions!$2:$2,0)-MATCH(#REF!,missions!$2:$2,0)+1),MATCH(M$1,missions!$2:$2,0)-MATCH(#REF!,missions!$2:$2,0)+1,FALSE),"")</f>
        <v/>
      </c>
      <c r="N5" s="26" t="str">
        <f ca="1">IFERROR(VLOOKUP($L5,OFFSET(missions!$A$2,0,0,COUNTA($A:$A),MATCH(N$1,missions!$2:$2,0)-MATCH(#REF!,missions!$2:$2,0)+1),MATCH(N$1,missions!$2:$2,0)-MATCH(#REF!,missions!$2:$2,0)+1,FALSE),"")</f>
        <v/>
      </c>
    </row>
    <row r="6" spans="1:15" ht="21" customHeight="1" x14ac:dyDescent="0.15">
      <c r="A6" s="21" t="s">
        <v>335</v>
      </c>
      <c r="B6" s="21" t="s">
        <v>792</v>
      </c>
      <c r="C6" s="26" t="str">
        <f t="shared" ca="1" si="0"/>
        <v>クエスト 【5-3. 水天一碧の凪刀】 をクリアしよう！</v>
      </c>
      <c r="D6" s="26" t="str">
        <f ca="1">IFERROR(VLOOKUP($A6,OFFSET(achievement_criterion_id,0,0,COUNTA($A:$A),MATCH(D$1,missions!$2:$2,0)-MATCH($A$1,missions!$2:$2,0)+1),MATCH(D$1,missions!$2:$2,0)-MATCH($A$1,missions!$2:$2,0)+1,FALSE),IFERROR(VLOOKUP($A6,OFFSET(weekly_achievement_criterion_id,0,0,COUNTA($A:$A),MATCH(D$1,weekly_missions!$2:$2,0)-MATCH($A$1,weekly_missions!$2:$2,0)+1),MATCH(D$1,weekly_missions!$2:$2,0)-MATCH($A$1,weekly_missions!$2:$2,0)+1,FALSE),"＊missions 未設定＊"))</f>
        <v>ポリゴン x 3</v>
      </c>
      <c r="E6" s="27" t="s">
        <v>864</v>
      </c>
      <c r="F6" s="17" t="s">
        <v>310</v>
      </c>
      <c r="G6" s="26" t="str">
        <f ca="1">VLOOKUP($F6,OFFSET(達成条件!$A$1,0,0,COUNTA($A:$A),MATCH(G$1,達成条件!$1:$1,0)-MATCH($F$1,達成条件!$1:$1,0)+1),MATCH(G$1,達成条件!$1:$1,0)-MATCH($F$1,達成条件!$1:$1,0)+1,FALSE)</f>
        <v>クエスト 【x】 をクリアしよう！</v>
      </c>
      <c r="H6" s="26" t="str">
        <f ca="1">VLOOKUP($F6,OFFSET(達成条件!$A$1,0,0,COUNTA($A:$A),MATCH(H$1,達成条件!$1:$1,0)-MATCH($F$1,達成条件!$1:$1,0)+1),MATCH(H$1,達成条件!$1:$1,0)-MATCH($F$1,達成条件!$1:$1,0)+1,FALSE)</f>
        <v>該当のクエスト(99-9)</v>
      </c>
      <c r="I6" s="38" t="s">
        <v>313</v>
      </c>
      <c r="J6" s="54" t="str">
        <f ca="1">IF(F6="specific_unit_aquired_count",SUBSTITUTE(G6,"x",VLOOKUP(INT($I6),OFFSET([3]characters!$A$2,0,0,COUNTA([3]characters!$A:$A),MATCH(J$1,[3]characters!$2:$2,0)-MATCH("character_id",[3]characters!$2:$2,0)+1),MATCH(J$1,[3]characters!$2:$2,0)-MATCH("character_id",[3]characters!$2:$2,0)+1,FALSE)),IF(F6="specific_quest_clear",VLOOKUP(SUBSTITUTE(I6,"-","_"),OFFSET([2]stages!$A$2,0,0,COUNTA([2]stages!$A:$A),MATCH("name",[2]stages!$2:$2,0)-MATCH("temp_stage",[2]stages!$2:$2,0)+1),MATCH("name",[2]stages!$2:$2,0)-MATCH("temp_stage",[2]stages!$2:$2,0)+1,FALSE),""))</f>
        <v>5-3. 水天一碧の凪刀</v>
      </c>
      <c r="K6" s="15" t="s">
        <v>352</v>
      </c>
      <c r="L6" s="15" t="s">
        <v>542</v>
      </c>
      <c r="M6" s="26" t="str">
        <f ca="1">IFERROR(VLOOKUP($L6,OFFSET(missions!$A$2,0,0,COUNTA($A:$A),MATCH(M$1,missions!$2:$2,0)-MATCH(#REF!,missions!$2:$2,0)+1),MATCH(M$1,missions!$2:$2,0)-MATCH(#REF!,missions!$2:$2,0)+1,FALSE),"")</f>
        <v/>
      </c>
      <c r="N6" s="26" t="str">
        <f ca="1">IFERROR(VLOOKUP($L6,OFFSET(missions!$A$2,0,0,COUNTA($A:$A),MATCH(N$1,missions!$2:$2,0)-MATCH(#REF!,missions!$2:$2,0)+1),MATCH(N$1,missions!$2:$2,0)-MATCH(#REF!,missions!$2:$2,0)+1,FALSE),"")</f>
        <v/>
      </c>
    </row>
    <row r="7" spans="1:15" ht="21" customHeight="1" x14ac:dyDescent="0.15">
      <c r="A7" s="21" t="s">
        <v>336</v>
      </c>
      <c r="B7" s="21" t="s">
        <v>792</v>
      </c>
      <c r="C7" s="26" t="str">
        <f t="shared" ca="1" si="0"/>
        <v>クエスト 【6-5. 来園者の末路】 をクリアしよう！</v>
      </c>
      <c r="D7" s="26" t="str">
        <f ca="1">IFERROR(VLOOKUP($A7,OFFSET(achievement_criterion_id,0,0,COUNTA($A:$A),MATCH(D$1,missions!$2:$2,0)-MATCH($A$1,missions!$2:$2,0)+1),MATCH(D$1,missions!$2:$2,0)-MATCH($A$1,missions!$2:$2,0)+1,FALSE),IFERROR(VLOOKUP($A7,OFFSET(weekly_achievement_criterion_id,0,0,COUNTA($A:$A),MATCH(D$1,weekly_missions!$2:$2,0)-MATCH($A$1,weekly_missions!$2:$2,0)+1),MATCH(D$1,weekly_missions!$2:$2,0)-MATCH($A$1,weekly_missions!$2:$2,0)+1,FALSE),"＊missions 未設定＊"))</f>
        <v>緋壁の城塞 アーグラ x 1</v>
      </c>
      <c r="E7" s="27" t="s">
        <v>864</v>
      </c>
      <c r="F7" s="17" t="s">
        <v>310</v>
      </c>
      <c r="G7" s="26" t="str">
        <f ca="1">VLOOKUP($F7,OFFSET(達成条件!$A$1,0,0,COUNTA($A:$A),MATCH(G$1,達成条件!$1:$1,0)-MATCH($F$1,達成条件!$1:$1,0)+1),MATCH(G$1,達成条件!$1:$1,0)-MATCH($F$1,達成条件!$1:$1,0)+1,FALSE)</f>
        <v>クエスト 【x】 をクリアしよう！</v>
      </c>
      <c r="H7" s="26" t="str">
        <f ca="1">VLOOKUP($F7,OFFSET(達成条件!$A$1,0,0,COUNTA($A:$A),MATCH(H$1,達成条件!$1:$1,0)-MATCH($F$1,達成条件!$1:$1,0)+1),MATCH(H$1,達成条件!$1:$1,0)-MATCH($F$1,達成条件!$1:$1,0)+1,FALSE)</f>
        <v>該当のクエスト(99-9)</v>
      </c>
      <c r="I7" s="38" t="s">
        <v>314</v>
      </c>
      <c r="J7" s="54" t="str">
        <f ca="1">IF(F7="specific_unit_aquired_count",SUBSTITUTE(G7,"x",VLOOKUP(INT($I7),OFFSET([3]characters!$A$2,0,0,COUNTA([3]characters!$A:$A),MATCH(J$1,[3]characters!$2:$2,0)-MATCH("character_id",[3]characters!$2:$2,0)+1),MATCH(J$1,[3]characters!$2:$2,0)-MATCH("character_id",[3]characters!$2:$2,0)+1,FALSE)),IF(F7="specific_quest_clear",VLOOKUP(SUBSTITUTE(I7,"-","_"),OFFSET([2]stages!$A$2,0,0,COUNTA([2]stages!$A:$A),MATCH("name",[2]stages!$2:$2,0)-MATCH("temp_stage",[2]stages!$2:$2,0)+1),MATCH("name",[2]stages!$2:$2,0)-MATCH("temp_stage",[2]stages!$2:$2,0)+1,FALSE),""))</f>
        <v>6-5. 来園者の末路</v>
      </c>
      <c r="K7" s="15" t="s">
        <v>352</v>
      </c>
      <c r="L7" s="15" t="s">
        <v>542</v>
      </c>
      <c r="M7" s="26" t="str">
        <f ca="1">IFERROR(VLOOKUP($L7,OFFSET(missions!$A$2,0,0,COUNTA($A:$A),MATCH(M$1,missions!$2:$2,0)-MATCH(#REF!,missions!$2:$2,0)+1),MATCH(M$1,missions!$2:$2,0)-MATCH(#REF!,missions!$2:$2,0)+1,FALSE),"")</f>
        <v/>
      </c>
      <c r="N7" s="26" t="str">
        <f ca="1">IFERROR(VLOOKUP($L7,OFFSET(missions!$A$2,0,0,COUNTA($A:$A),MATCH(N$1,missions!$2:$2,0)-MATCH(#REF!,missions!$2:$2,0)+1),MATCH(N$1,missions!$2:$2,0)-MATCH(#REF!,missions!$2:$2,0)+1,FALSE),"")</f>
        <v/>
      </c>
    </row>
    <row r="8" spans="1:15" ht="21" customHeight="1" x14ac:dyDescent="0.15">
      <c r="A8" s="21" t="s">
        <v>337</v>
      </c>
      <c r="B8" s="21" t="s">
        <v>792</v>
      </c>
      <c r="C8" s="26" t="str">
        <f t="shared" ca="1" si="0"/>
        <v>クエスト 【7-5. 聖なる巨岩】 をクリアしよう！</v>
      </c>
      <c r="D8" s="26" t="str">
        <f ca="1">IFERROR(VLOOKUP($A8,OFFSET(achievement_criterion_id,0,0,COUNTA($A:$A),MATCH(D$1,missions!$2:$2,0)-MATCH($A$1,missions!$2:$2,0)+1),MATCH(D$1,missions!$2:$2,0)-MATCH($A$1,missions!$2:$2,0)+1,FALSE),IFERROR(VLOOKUP($A8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8" s="27" t="s">
        <v>864</v>
      </c>
      <c r="F8" s="17" t="s">
        <v>310</v>
      </c>
      <c r="G8" s="26" t="str">
        <f ca="1">VLOOKUP($F8,OFFSET(達成条件!$A$1,0,0,COUNTA($A:$A),MATCH(G$1,達成条件!$1:$1,0)-MATCH($F$1,達成条件!$1:$1,0)+1),MATCH(G$1,達成条件!$1:$1,0)-MATCH($F$1,達成条件!$1:$1,0)+1,FALSE)</f>
        <v>クエスト 【x】 をクリアしよう！</v>
      </c>
      <c r="H8" s="26" t="str">
        <f ca="1">VLOOKUP($F8,OFFSET(達成条件!$A$1,0,0,COUNTA($A:$A),MATCH(H$1,達成条件!$1:$1,0)-MATCH($F$1,達成条件!$1:$1,0)+1),MATCH(H$1,達成条件!$1:$1,0)-MATCH($F$1,達成条件!$1:$1,0)+1,FALSE)</f>
        <v>該当のクエスト(99-9)</v>
      </c>
      <c r="I8" s="38" t="s">
        <v>315</v>
      </c>
      <c r="J8" s="54" t="str">
        <f ca="1">IF(F8="specific_unit_aquired_count",SUBSTITUTE(G8,"x",VLOOKUP(INT($I8),OFFSET([3]characters!$A$2,0,0,COUNTA([3]characters!$A:$A),MATCH(J$1,[3]characters!$2:$2,0)-MATCH("character_id",[3]characters!$2:$2,0)+1),MATCH(J$1,[3]characters!$2:$2,0)-MATCH("character_id",[3]characters!$2:$2,0)+1,FALSE)),IF(F8="specific_quest_clear",VLOOKUP(SUBSTITUTE(I8,"-","_"),OFFSET([2]stages!$A$2,0,0,COUNTA([2]stages!$A:$A),MATCH("name",[2]stages!$2:$2,0)-MATCH("temp_stage",[2]stages!$2:$2,0)+1),MATCH("name",[2]stages!$2:$2,0)-MATCH("temp_stage",[2]stages!$2:$2,0)+1,FALSE),""))</f>
        <v>7-5. 聖なる巨岩</v>
      </c>
      <c r="K8" s="15" t="s">
        <v>352</v>
      </c>
      <c r="L8" s="6" t="s">
        <v>542</v>
      </c>
      <c r="M8" s="26" t="str">
        <f ca="1">IFERROR(VLOOKUP($L8,OFFSET(missions!$A$2,0,0,COUNTA($A:$A),MATCH(M$1,missions!$2:$2,0)-MATCH(#REF!,missions!$2:$2,0)+1),MATCH(M$1,missions!$2:$2,0)-MATCH(#REF!,missions!$2:$2,0)+1,FALSE),"")</f>
        <v/>
      </c>
      <c r="N8" s="26" t="str">
        <f ca="1">IFERROR(VLOOKUP($L8,OFFSET(missions!$A$2,0,0,COUNTA($A:$A),MATCH(N$1,missions!$2:$2,0)-MATCH(#REF!,missions!$2:$2,0)+1),MATCH(N$1,missions!$2:$2,0)-MATCH(#REF!,missions!$2:$2,0)+1,FALSE),"")</f>
        <v/>
      </c>
    </row>
    <row r="9" spans="1:15" ht="21" customHeight="1" x14ac:dyDescent="0.15">
      <c r="A9" s="21" t="s">
        <v>338</v>
      </c>
      <c r="B9" s="21" t="s">
        <v>792</v>
      </c>
      <c r="C9" s="26" t="str">
        <f t="shared" ca="1" si="0"/>
        <v>クエスト 【8-5. 聖なる渇牙】 をクリアしよう！</v>
      </c>
      <c r="D9" s="26" t="str">
        <f ca="1">IFERROR(VLOOKUP($A9,OFFSET(achievement_criterion_id,0,0,COUNTA($A:$A),MATCH(D$1,missions!$2:$2,0)-MATCH($A$1,missions!$2:$2,0)+1),MATCH(D$1,missions!$2:$2,0)-MATCH($A$1,missions!$2:$2,0)+1,FALSE),IFERROR(VLOOKUP($A9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9" s="27" t="s">
        <v>864</v>
      </c>
      <c r="F9" s="17" t="s">
        <v>310</v>
      </c>
      <c r="G9" s="26" t="str">
        <f ca="1">VLOOKUP($F9,OFFSET(達成条件!$A$1,0,0,COUNTA($A:$A),MATCH(G$1,達成条件!$1:$1,0)-MATCH($F$1,達成条件!$1:$1,0)+1),MATCH(G$1,達成条件!$1:$1,0)-MATCH($F$1,達成条件!$1:$1,0)+1,FALSE)</f>
        <v>クエスト 【x】 をクリアしよう！</v>
      </c>
      <c r="H9" s="26" t="str">
        <f ca="1">VLOOKUP($F9,OFFSET(達成条件!$A$1,0,0,COUNTA($A:$A),MATCH(H$1,達成条件!$1:$1,0)-MATCH($F$1,達成条件!$1:$1,0)+1),MATCH(H$1,達成条件!$1:$1,0)-MATCH($F$1,達成条件!$1:$1,0)+1,FALSE)</f>
        <v>該当のクエスト(99-9)</v>
      </c>
      <c r="I9" s="38" t="s">
        <v>316</v>
      </c>
      <c r="J9" s="54" t="str">
        <f ca="1">IF(F9="specific_unit_aquired_count",SUBSTITUTE(G9,"x",VLOOKUP(INT($I9),OFFSET([3]characters!$A$2,0,0,COUNTA([3]characters!$A:$A),MATCH(J$1,[3]characters!$2:$2,0)-MATCH("character_id",[3]characters!$2:$2,0)+1),MATCH(J$1,[3]characters!$2:$2,0)-MATCH("character_id",[3]characters!$2:$2,0)+1,FALSE)),IF(F9="specific_quest_clear",VLOOKUP(SUBSTITUTE(I9,"-","_"),OFFSET([2]stages!$A$2,0,0,COUNTA([2]stages!$A:$A),MATCH("name",[2]stages!$2:$2,0)-MATCH("temp_stage",[2]stages!$2:$2,0)+1),MATCH("name",[2]stages!$2:$2,0)-MATCH("temp_stage",[2]stages!$2:$2,0)+1,FALSE),""))</f>
        <v>8-5. 聖なる渇牙</v>
      </c>
      <c r="K9" s="15" t="s">
        <v>352</v>
      </c>
      <c r="L9" s="15" t="s">
        <v>542</v>
      </c>
      <c r="M9" s="26" t="str">
        <f ca="1">IFERROR(VLOOKUP($L9,OFFSET(missions!$A$2,0,0,COUNTA($A:$A),MATCH(M$1,missions!$2:$2,0)-MATCH(#REF!,missions!$2:$2,0)+1),MATCH(M$1,missions!$2:$2,0)-MATCH(#REF!,missions!$2:$2,0)+1,FALSE),"")</f>
        <v/>
      </c>
      <c r="N9" s="26" t="str">
        <f ca="1">IFERROR(VLOOKUP($L9,OFFSET(missions!$A$2,0,0,COUNTA($A:$A),MATCH(N$1,missions!$2:$2,0)-MATCH(#REF!,missions!$2:$2,0)+1),MATCH(N$1,missions!$2:$2,0)-MATCH(#REF!,missions!$2:$2,0)+1,FALSE),"")</f>
        <v/>
      </c>
    </row>
    <row r="10" spans="1:15" ht="21" customHeight="1" x14ac:dyDescent="0.15">
      <c r="A10" s="21" t="s">
        <v>339</v>
      </c>
      <c r="B10" s="21" t="s">
        <v>792</v>
      </c>
      <c r="C10" s="26" t="str">
        <f t="shared" ca="1" si="0"/>
        <v>クエスト 【9-5. 聖なる渦爪】 をクリアしよう！</v>
      </c>
      <c r="D10" s="26" t="str">
        <f ca="1">IFERROR(VLOOKUP($A10,OFFSET(achievement_criterion_id,0,0,COUNTA($A:$A),MATCH(D$1,missions!$2:$2,0)-MATCH($A$1,missions!$2:$2,0)+1),MATCH(D$1,missions!$2:$2,0)-MATCH($A$1,missions!$2:$2,0)+1,FALSE),IFERROR(VLOOKUP($A10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0" s="27" t="s">
        <v>864</v>
      </c>
      <c r="F10" s="17" t="s">
        <v>310</v>
      </c>
      <c r="G10" s="26" t="str">
        <f ca="1">VLOOKUP($F10,OFFSET(達成条件!$A$1,0,0,COUNTA($A:$A),MATCH(G$1,達成条件!$1:$1,0)-MATCH($F$1,達成条件!$1:$1,0)+1),MATCH(G$1,達成条件!$1:$1,0)-MATCH($F$1,達成条件!$1:$1,0)+1,FALSE)</f>
        <v>クエスト 【x】 をクリアしよう！</v>
      </c>
      <c r="H10" s="26" t="str">
        <f ca="1">VLOOKUP($F10,OFFSET(達成条件!$A$1,0,0,COUNTA($A:$A),MATCH(H$1,達成条件!$1:$1,0)-MATCH($F$1,達成条件!$1:$1,0)+1),MATCH(H$1,達成条件!$1:$1,0)-MATCH($F$1,達成条件!$1:$1,0)+1,FALSE)</f>
        <v>該当のクエスト(99-9)</v>
      </c>
      <c r="I10" s="38" t="s">
        <v>317</v>
      </c>
      <c r="J10" s="54" t="str">
        <f ca="1">IF(F10="specific_unit_aquired_count",SUBSTITUTE(G10,"x",VLOOKUP(INT($I10),OFFSET([3]characters!$A$2,0,0,COUNTA([3]characters!$A:$A),MATCH(J$1,[3]characters!$2:$2,0)-MATCH("character_id",[3]characters!$2:$2,0)+1),MATCH(J$1,[3]characters!$2:$2,0)-MATCH("character_id",[3]characters!$2:$2,0)+1,FALSE)),IF(F10="specific_quest_clear",VLOOKUP(SUBSTITUTE(I10,"-","_"),OFFSET([2]stages!$A$2,0,0,COUNTA([2]stages!$A:$A),MATCH("name",[2]stages!$2:$2,0)-MATCH("temp_stage",[2]stages!$2:$2,0)+1),MATCH("name",[2]stages!$2:$2,0)-MATCH("temp_stage",[2]stages!$2:$2,0)+1,FALSE),""))</f>
        <v>9-5. 聖なる渦爪</v>
      </c>
      <c r="K10" s="15" t="s">
        <v>352</v>
      </c>
      <c r="L10" s="15" t="s">
        <v>542</v>
      </c>
      <c r="M10" s="26" t="str">
        <f ca="1">IFERROR(VLOOKUP($L10,OFFSET(missions!$A$2,0,0,COUNTA($A:$A),MATCH(M$1,missions!$2:$2,0)-MATCH(#REF!,missions!$2:$2,0)+1),MATCH(M$1,missions!$2:$2,0)-MATCH(#REF!,missions!$2:$2,0)+1,FALSE),"")</f>
        <v/>
      </c>
      <c r="N10" s="26" t="str">
        <f ca="1">IFERROR(VLOOKUP($L10,OFFSET(missions!$A$2,0,0,COUNTA($A:$A),MATCH(N$1,missions!$2:$2,0)-MATCH(#REF!,missions!$2:$2,0)+1),MATCH(N$1,missions!$2:$2,0)-MATCH(#REF!,missions!$2:$2,0)+1,FALSE),"")</f>
        <v/>
      </c>
    </row>
    <row r="11" spans="1:15" ht="21" customHeight="1" x14ac:dyDescent="0.15">
      <c r="A11" s="21" t="s">
        <v>340</v>
      </c>
      <c r="B11" s="21" t="s">
        <v>792</v>
      </c>
      <c r="C11" s="26" t="str">
        <f t="shared" ca="1" si="0"/>
        <v>クエスト 【10-5. 聖なる炎翼】 をクリアしよう！</v>
      </c>
      <c r="D11" s="26" t="str">
        <f ca="1">IFERROR(VLOOKUP($A11,OFFSET(achievement_criterion_id,0,0,COUNTA($A:$A),MATCH(D$1,missions!$2:$2,0)-MATCH($A$1,missions!$2:$2,0)+1),MATCH(D$1,missions!$2:$2,0)-MATCH($A$1,missions!$2:$2,0)+1,FALSE),IFERROR(VLOOKUP($A11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1" s="27" t="s">
        <v>864</v>
      </c>
      <c r="F11" s="17" t="s">
        <v>310</v>
      </c>
      <c r="G11" s="26" t="str">
        <f ca="1">VLOOKUP($F11,OFFSET(達成条件!$A$1,0,0,COUNTA($A:$A),MATCH(G$1,達成条件!$1:$1,0)-MATCH($F$1,達成条件!$1:$1,0)+1),MATCH(G$1,達成条件!$1:$1,0)-MATCH($F$1,達成条件!$1:$1,0)+1,FALSE)</f>
        <v>クエスト 【x】 をクリアしよう！</v>
      </c>
      <c r="H11" s="26" t="str">
        <f ca="1">VLOOKUP($F11,OFFSET(達成条件!$A$1,0,0,COUNTA($A:$A),MATCH(H$1,達成条件!$1:$1,0)-MATCH($F$1,達成条件!$1:$1,0)+1),MATCH(H$1,達成条件!$1:$1,0)-MATCH($F$1,達成条件!$1:$1,0)+1,FALSE)</f>
        <v>該当のクエスト(99-9)</v>
      </c>
      <c r="I11" s="38" t="s">
        <v>318</v>
      </c>
      <c r="J11" s="54" t="str">
        <f ca="1">IF(F11="specific_unit_aquired_count",SUBSTITUTE(G11,"x",VLOOKUP(INT($I11),OFFSET([3]characters!$A$2,0,0,COUNTA([3]characters!$A:$A),MATCH(J$1,[3]characters!$2:$2,0)-MATCH("character_id",[3]characters!$2:$2,0)+1),MATCH(J$1,[3]characters!$2:$2,0)-MATCH("character_id",[3]characters!$2:$2,0)+1,FALSE)),IF(F11="specific_quest_clear",VLOOKUP(SUBSTITUTE(I11,"-","_"),OFFSET([2]stages!$A$2,0,0,COUNTA([2]stages!$A:$A),MATCH("name",[2]stages!$2:$2,0)-MATCH("temp_stage",[2]stages!$2:$2,0)+1),MATCH("name",[2]stages!$2:$2,0)-MATCH("temp_stage",[2]stages!$2:$2,0)+1,FALSE),""))</f>
        <v>10-5. 聖なる炎翼</v>
      </c>
      <c r="K11" s="15" t="s">
        <v>352</v>
      </c>
      <c r="L11" s="6" t="s">
        <v>542</v>
      </c>
      <c r="M11" s="26" t="str">
        <f ca="1">IFERROR(VLOOKUP($L11,OFFSET(missions!$A$2,0,0,COUNTA($A:$A),MATCH(M$1,missions!$2:$2,0)-MATCH(#REF!,missions!$2:$2,0)+1),MATCH(M$1,missions!$2:$2,0)-MATCH(#REF!,missions!$2:$2,0)+1,FALSE),"")</f>
        <v/>
      </c>
      <c r="N11" s="26" t="str">
        <f ca="1">IFERROR(VLOOKUP($L11,OFFSET(missions!$A$2,0,0,COUNTA($A:$A),MATCH(N$1,missions!$2:$2,0)-MATCH(#REF!,missions!$2:$2,0)+1),MATCH(N$1,missions!$2:$2,0)-MATCH(#REF!,missions!$2:$2,0)+1,FALSE),"")</f>
        <v/>
      </c>
    </row>
    <row r="12" spans="1:15" ht="21" customHeight="1" x14ac:dyDescent="0.15">
      <c r="A12" s="21" t="s">
        <v>341</v>
      </c>
      <c r="B12" s="21" t="s">
        <v>792</v>
      </c>
      <c r="C12" s="26" t="str">
        <f t="shared" ca="1" si="0"/>
        <v>クエスト 【11-5. 訓練された生存者】 をクリアしよう！</v>
      </c>
      <c r="D12" s="26" t="str">
        <f ca="1">IFERROR(VLOOKUP($A12,OFFSET(achievement_criterion_id,0,0,COUNTA($A:$A),MATCH(D$1,missions!$2:$2,0)-MATCH($A$1,missions!$2:$2,0)+1),MATCH(D$1,missions!$2:$2,0)-MATCH($A$1,missions!$2:$2,0)+1,FALSE),IFERROR(VLOOKUP($A12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12" s="27" t="s">
        <v>864</v>
      </c>
      <c r="F12" s="17" t="s">
        <v>310</v>
      </c>
      <c r="G12" s="26" t="str">
        <f ca="1">VLOOKUP($F12,OFFSET(達成条件!$A$1,0,0,COUNTA($A:$A),MATCH(G$1,達成条件!$1:$1,0)-MATCH($F$1,達成条件!$1:$1,0)+1),MATCH(G$1,達成条件!$1:$1,0)-MATCH($F$1,達成条件!$1:$1,0)+1,FALSE)</f>
        <v>クエスト 【x】 をクリアしよう！</v>
      </c>
      <c r="H12" s="26" t="str">
        <f ca="1">VLOOKUP($F12,OFFSET(達成条件!$A$1,0,0,COUNTA($A:$A),MATCH(H$1,達成条件!$1:$1,0)-MATCH($F$1,達成条件!$1:$1,0)+1),MATCH(H$1,達成条件!$1:$1,0)-MATCH($F$1,達成条件!$1:$1,0)+1,FALSE)</f>
        <v>該当のクエスト(99-9)</v>
      </c>
      <c r="I12" s="38" t="s">
        <v>319</v>
      </c>
      <c r="J12" s="54" t="str">
        <f ca="1">IF(F12="specific_unit_aquired_count",SUBSTITUTE(G12,"x",VLOOKUP(INT($I12),OFFSET([3]characters!$A$2,0,0,COUNTA([3]characters!$A:$A),MATCH(J$1,[3]characters!$2:$2,0)-MATCH("character_id",[3]characters!$2:$2,0)+1),MATCH(J$1,[3]characters!$2:$2,0)-MATCH("character_id",[3]characters!$2:$2,0)+1,FALSE)),IF(F12="specific_quest_clear",VLOOKUP(SUBSTITUTE(I12,"-","_"),OFFSET([2]stages!$A$2,0,0,COUNTA([2]stages!$A:$A),MATCH("name",[2]stages!$2:$2,0)-MATCH("temp_stage",[2]stages!$2:$2,0)+1),MATCH("name",[2]stages!$2:$2,0)-MATCH("temp_stage",[2]stages!$2:$2,0)+1,FALSE),""))</f>
        <v>11-5. 訓練された生存者</v>
      </c>
      <c r="K12" s="15" t="s">
        <v>352</v>
      </c>
      <c r="L12" s="15" t="s">
        <v>542</v>
      </c>
      <c r="M12" s="26" t="str">
        <f ca="1">IFERROR(VLOOKUP($L12,OFFSET(missions!$A$2,0,0,COUNTA($A:$A),MATCH(M$1,missions!$2:$2,0)-MATCH(#REF!,missions!$2:$2,0)+1),MATCH(M$1,missions!$2:$2,0)-MATCH(#REF!,missions!$2:$2,0)+1,FALSE),"")</f>
        <v/>
      </c>
      <c r="N12" s="26" t="str">
        <f ca="1">IFERROR(VLOOKUP($L12,OFFSET(missions!$A$2,0,0,COUNTA($A:$A),MATCH(N$1,missions!$2:$2,0)-MATCH(#REF!,missions!$2:$2,0)+1),MATCH(N$1,missions!$2:$2,0)-MATCH(#REF!,missions!$2:$2,0)+1,FALSE),"")</f>
        <v/>
      </c>
    </row>
    <row r="13" spans="1:15" ht="21" customHeight="1" x14ac:dyDescent="0.15">
      <c r="A13" s="21" t="s">
        <v>342</v>
      </c>
      <c r="B13" s="21" t="s">
        <v>792</v>
      </c>
      <c r="C13" s="26" t="str">
        <f t="shared" ca="1" si="0"/>
        <v>クエスト 【12-5. 強蹴の働き者】 をクリアしよう！</v>
      </c>
      <c r="D13" s="26" t="str">
        <f ca="1">IFERROR(VLOOKUP($A13,OFFSET(achievement_criterion_id,0,0,COUNTA($A:$A),MATCH(D$1,missions!$2:$2,0)-MATCH($A$1,missions!$2:$2,0)+1),MATCH(D$1,missions!$2:$2,0)-MATCH($A$1,missions!$2:$2,0)+1,FALSE),IFERROR(VLOOKUP($A13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3" s="27" t="s">
        <v>864</v>
      </c>
      <c r="F13" s="17" t="s">
        <v>310</v>
      </c>
      <c r="G13" s="26" t="str">
        <f ca="1">VLOOKUP($F13,OFFSET(達成条件!$A$1,0,0,COUNTA($A:$A),MATCH(G$1,達成条件!$1:$1,0)-MATCH($F$1,達成条件!$1:$1,0)+1),MATCH(G$1,達成条件!$1:$1,0)-MATCH($F$1,達成条件!$1:$1,0)+1,FALSE)</f>
        <v>クエスト 【x】 をクリアしよう！</v>
      </c>
      <c r="H13" s="26" t="str">
        <f ca="1">VLOOKUP($F13,OFFSET(達成条件!$A$1,0,0,COUNTA($A:$A),MATCH(H$1,達成条件!$1:$1,0)-MATCH($F$1,達成条件!$1:$1,0)+1),MATCH(H$1,達成条件!$1:$1,0)-MATCH($F$1,達成条件!$1:$1,0)+1,FALSE)</f>
        <v>該当のクエスト(99-9)</v>
      </c>
      <c r="I13" s="38" t="s">
        <v>320</v>
      </c>
      <c r="J13" s="54" t="str">
        <f ca="1">IF(F13="specific_unit_aquired_count",SUBSTITUTE(G13,"x",VLOOKUP(INT($I13),OFFSET([3]characters!$A$2,0,0,COUNTA([3]characters!$A:$A),MATCH(J$1,[3]characters!$2:$2,0)-MATCH("character_id",[3]characters!$2:$2,0)+1),MATCH(J$1,[3]characters!$2:$2,0)-MATCH("character_id",[3]characters!$2:$2,0)+1,FALSE)),IF(F13="specific_quest_clear",VLOOKUP(SUBSTITUTE(I13,"-","_"),OFFSET([2]stages!$A$2,0,0,COUNTA([2]stages!$A:$A),MATCH("name",[2]stages!$2:$2,0)-MATCH("temp_stage",[2]stages!$2:$2,0)+1),MATCH("name",[2]stages!$2:$2,0)-MATCH("temp_stage",[2]stages!$2:$2,0)+1,FALSE),""))</f>
        <v>12-5. 強蹴の働き者</v>
      </c>
      <c r="K13" s="15" t="s">
        <v>352</v>
      </c>
      <c r="L13" s="15" t="s">
        <v>542</v>
      </c>
      <c r="M13" s="26" t="str">
        <f ca="1">IFERROR(VLOOKUP($L13,OFFSET(missions!$A$2,0,0,COUNTA($A:$A),MATCH(M$1,missions!$2:$2,0)-MATCH(#REF!,missions!$2:$2,0)+1),MATCH(M$1,missions!$2:$2,0)-MATCH(#REF!,missions!$2:$2,0)+1,FALSE),"")</f>
        <v/>
      </c>
      <c r="N13" s="26" t="str">
        <f ca="1">IFERROR(VLOOKUP($L13,OFFSET(missions!$A$2,0,0,COUNTA($A:$A),MATCH(N$1,missions!$2:$2,0)-MATCH(#REF!,missions!$2:$2,0)+1),MATCH(N$1,missions!$2:$2,0)-MATCH(#REF!,missions!$2:$2,0)+1,FALSE),"")</f>
        <v/>
      </c>
    </row>
    <row r="14" spans="1:15" ht="21" customHeight="1" x14ac:dyDescent="0.15">
      <c r="A14" s="21" t="s">
        <v>343</v>
      </c>
      <c r="B14" s="21" t="s">
        <v>792</v>
      </c>
      <c r="C14" s="26" t="str">
        <f t="shared" ca="1" si="0"/>
        <v>クエスト 【13-5. ローレライの導き】 をクリアしよう！</v>
      </c>
      <c r="D14" s="26" t="str">
        <f ca="1">IFERROR(VLOOKUP($A14,OFFSET(achievement_criterion_id,0,0,COUNTA($A:$A),MATCH(D$1,missions!$2:$2,0)-MATCH($A$1,missions!$2:$2,0)+1),MATCH(D$1,missions!$2:$2,0)-MATCH($A$1,missions!$2:$2,0)+1,FALSE),IFERROR(VLOOKUP($A14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4" s="27" t="s">
        <v>864</v>
      </c>
      <c r="F14" s="17" t="s">
        <v>310</v>
      </c>
      <c r="G14" s="26" t="str">
        <f ca="1">VLOOKUP($F14,OFFSET(達成条件!$A$1,0,0,COUNTA($A:$A),MATCH(G$1,達成条件!$1:$1,0)-MATCH($F$1,達成条件!$1:$1,0)+1),MATCH(G$1,達成条件!$1:$1,0)-MATCH($F$1,達成条件!$1:$1,0)+1,FALSE)</f>
        <v>クエスト 【x】 をクリアしよう！</v>
      </c>
      <c r="H14" s="26" t="str">
        <f ca="1">VLOOKUP($F14,OFFSET(達成条件!$A$1,0,0,COUNTA($A:$A),MATCH(H$1,達成条件!$1:$1,0)-MATCH($F$1,達成条件!$1:$1,0)+1),MATCH(H$1,達成条件!$1:$1,0)-MATCH($F$1,達成条件!$1:$1,0)+1,FALSE)</f>
        <v>該当のクエスト(99-9)</v>
      </c>
      <c r="I14" s="38" t="s">
        <v>321</v>
      </c>
      <c r="J14" s="54" t="str">
        <f ca="1">IF(F14="specific_unit_aquired_count",SUBSTITUTE(G14,"x",VLOOKUP(INT($I14),OFFSET([3]characters!$A$2,0,0,COUNTA([3]characters!$A:$A),MATCH(J$1,[3]characters!$2:$2,0)-MATCH("character_id",[3]characters!$2:$2,0)+1),MATCH(J$1,[3]characters!$2:$2,0)-MATCH("character_id",[3]characters!$2:$2,0)+1,FALSE)),IF(F14="specific_quest_clear",VLOOKUP(SUBSTITUTE(I14,"-","_"),OFFSET([2]stages!$A$2,0,0,COUNTA([2]stages!$A:$A),MATCH("name",[2]stages!$2:$2,0)-MATCH("temp_stage",[2]stages!$2:$2,0)+1),MATCH("name",[2]stages!$2:$2,0)-MATCH("temp_stage",[2]stages!$2:$2,0)+1,FALSE),""))</f>
        <v>13-5. ローレライの導き</v>
      </c>
      <c r="K14" s="15" t="s">
        <v>352</v>
      </c>
      <c r="L14" s="6" t="s">
        <v>542</v>
      </c>
      <c r="M14" s="26" t="str">
        <f ca="1">IFERROR(VLOOKUP($L14,OFFSET(missions!$A$2,0,0,COUNTA($A:$A),MATCH(M$1,missions!$2:$2,0)-MATCH(#REF!,missions!$2:$2,0)+1),MATCH(M$1,missions!$2:$2,0)-MATCH(#REF!,missions!$2:$2,0)+1,FALSE),"")</f>
        <v/>
      </c>
      <c r="N14" s="26" t="str">
        <f ca="1">IFERROR(VLOOKUP($L14,OFFSET(missions!$A$2,0,0,COUNTA($A:$A),MATCH(N$1,missions!$2:$2,0)-MATCH(#REF!,missions!$2:$2,0)+1),MATCH(N$1,missions!$2:$2,0)-MATCH(#REF!,missions!$2:$2,0)+1,FALSE),"")</f>
        <v/>
      </c>
    </row>
    <row r="15" spans="1:15" ht="21" customHeight="1" x14ac:dyDescent="0.15">
      <c r="A15" s="21" t="s">
        <v>344</v>
      </c>
      <c r="B15" s="21" t="s">
        <v>792</v>
      </c>
      <c r="C15" s="26" t="str">
        <f t="shared" ca="1" si="0"/>
        <v>クエスト 【14-5. 重機駆ける逆徒】 をクリアしよう！</v>
      </c>
      <c r="D15" s="26" t="str">
        <f ca="1">IFERROR(VLOOKUP($A15,OFFSET(achievement_criterion_id,0,0,COUNTA($A:$A),MATCH(D$1,missions!$2:$2,0)-MATCH($A$1,missions!$2:$2,0)+1),MATCH(D$1,missions!$2:$2,0)-MATCH($A$1,missions!$2:$2,0)+1,FALSE),IFERROR(VLOOKUP($A15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5" s="27" t="s">
        <v>864</v>
      </c>
      <c r="F15" s="17" t="s">
        <v>310</v>
      </c>
      <c r="G15" s="26" t="str">
        <f ca="1">VLOOKUP($F15,OFFSET(達成条件!$A$1,0,0,COUNTA($A:$A),MATCH(G$1,達成条件!$1:$1,0)-MATCH($F$1,達成条件!$1:$1,0)+1),MATCH(G$1,達成条件!$1:$1,0)-MATCH($F$1,達成条件!$1:$1,0)+1,FALSE)</f>
        <v>クエスト 【x】 をクリアしよう！</v>
      </c>
      <c r="H15" s="26" t="str">
        <f ca="1">VLOOKUP($F15,OFFSET(達成条件!$A$1,0,0,COUNTA($A:$A),MATCH(H$1,達成条件!$1:$1,0)-MATCH($F$1,達成条件!$1:$1,0)+1),MATCH(H$1,達成条件!$1:$1,0)-MATCH($F$1,達成条件!$1:$1,0)+1,FALSE)</f>
        <v>該当のクエスト(99-9)</v>
      </c>
      <c r="I15" s="38" t="s">
        <v>322</v>
      </c>
      <c r="J15" s="54" t="str">
        <f ca="1">IF(F15="specific_unit_aquired_count",SUBSTITUTE(G15,"x",VLOOKUP(INT($I15),OFFSET([3]characters!$A$2,0,0,COUNTA([3]characters!$A:$A),MATCH(J$1,[3]characters!$2:$2,0)-MATCH("character_id",[3]characters!$2:$2,0)+1),MATCH(J$1,[3]characters!$2:$2,0)-MATCH("character_id",[3]characters!$2:$2,0)+1,FALSE)),IF(F15="specific_quest_clear",VLOOKUP(SUBSTITUTE(I15,"-","_"),OFFSET([2]stages!$A$2,0,0,COUNTA([2]stages!$A:$A),MATCH("name",[2]stages!$2:$2,0)-MATCH("temp_stage",[2]stages!$2:$2,0)+1),MATCH("name",[2]stages!$2:$2,0)-MATCH("temp_stage",[2]stages!$2:$2,0)+1,FALSE),""))</f>
        <v>14-5. 重機駆ける逆徒</v>
      </c>
      <c r="K15" s="15" t="s">
        <v>352</v>
      </c>
      <c r="L15" s="15" t="s">
        <v>542</v>
      </c>
      <c r="M15" s="26" t="str">
        <f ca="1">IFERROR(VLOOKUP($L15,OFFSET(missions!$A$2,0,0,COUNTA($A:$A),MATCH(M$1,missions!$2:$2,0)-MATCH(#REF!,missions!$2:$2,0)+1),MATCH(M$1,missions!$2:$2,0)-MATCH(#REF!,missions!$2:$2,0)+1,FALSE),"")</f>
        <v/>
      </c>
      <c r="N15" s="26" t="str">
        <f ca="1">IFERROR(VLOOKUP($L15,OFFSET(missions!$A$2,0,0,COUNTA($A:$A),MATCH(N$1,missions!$2:$2,0)-MATCH(#REF!,missions!$2:$2,0)+1),MATCH(N$1,missions!$2:$2,0)-MATCH(#REF!,missions!$2:$2,0)+1,FALSE),"")</f>
        <v/>
      </c>
    </row>
    <row r="16" spans="1:15" ht="21" customHeight="1" x14ac:dyDescent="0.15">
      <c r="A16" s="21" t="s">
        <v>345</v>
      </c>
      <c r="B16" s="21" t="s">
        <v>792</v>
      </c>
      <c r="C16" s="26" t="str">
        <f t="shared" ca="1" si="0"/>
        <v>クエスト 【15-5. 縁舞のメインイベント】 をクリアしよう！</v>
      </c>
      <c r="D16" s="26" t="str">
        <f ca="1">IFERROR(VLOOKUP($A16,OFFSET(achievement_criterion_id,0,0,COUNTA($A:$A),MATCH(D$1,missions!$2:$2,0)-MATCH($A$1,missions!$2:$2,0)+1),MATCH(D$1,missions!$2:$2,0)-MATCH($A$1,missions!$2:$2,0)+1,FALSE),IFERROR(VLOOKUP($A16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6" s="27" t="s">
        <v>864</v>
      </c>
      <c r="F16" s="17" t="s">
        <v>310</v>
      </c>
      <c r="G16" s="26" t="str">
        <f ca="1">VLOOKUP($F16,OFFSET(達成条件!$A$1,0,0,COUNTA($A:$A),MATCH(G$1,達成条件!$1:$1,0)-MATCH($F$1,達成条件!$1:$1,0)+1),MATCH(G$1,達成条件!$1:$1,0)-MATCH($F$1,達成条件!$1:$1,0)+1,FALSE)</f>
        <v>クエスト 【x】 をクリアしよう！</v>
      </c>
      <c r="H16" s="26" t="str">
        <f ca="1">VLOOKUP($F16,OFFSET(達成条件!$A$1,0,0,COUNTA($A:$A),MATCH(H$1,達成条件!$1:$1,0)-MATCH($F$1,達成条件!$1:$1,0)+1),MATCH(H$1,達成条件!$1:$1,0)-MATCH($F$1,達成条件!$1:$1,0)+1,FALSE)</f>
        <v>該当のクエスト(99-9)</v>
      </c>
      <c r="I16" s="38" t="s">
        <v>323</v>
      </c>
      <c r="J16" s="54" t="str">
        <f ca="1">IF(F16="specific_unit_aquired_count",SUBSTITUTE(G16,"x",VLOOKUP(INT($I16),OFFSET([3]characters!$A$2,0,0,COUNTA([3]characters!$A:$A),MATCH(J$1,[3]characters!$2:$2,0)-MATCH("character_id",[3]characters!$2:$2,0)+1),MATCH(J$1,[3]characters!$2:$2,0)-MATCH("character_id",[3]characters!$2:$2,0)+1,FALSE)),IF(F16="specific_quest_clear",VLOOKUP(SUBSTITUTE(I16,"-","_"),OFFSET([2]stages!$A$2,0,0,COUNTA([2]stages!$A:$A),MATCH("name",[2]stages!$2:$2,0)-MATCH("temp_stage",[2]stages!$2:$2,0)+1),MATCH("name",[2]stages!$2:$2,0)-MATCH("temp_stage",[2]stages!$2:$2,0)+1,FALSE),""))</f>
        <v>15-5. 縁舞のメインイベント</v>
      </c>
      <c r="K16" s="15" t="s">
        <v>352</v>
      </c>
      <c r="L16" s="15" t="s">
        <v>542</v>
      </c>
      <c r="M16" s="26" t="str">
        <f ca="1">IFERROR(VLOOKUP($L16,OFFSET(missions!$A$2,0,0,COUNTA($A:$A),MATCH(M$1,missions!$2:$2,0)-MATCH(#REF!,missions!$2:$2,0)+1),MATCH(M$1,missions!$2:$2,0)-MATCH(#REF!,missions!$2:$2,0)+1,FALSE),"")</f>
        <v/>
      </c>
      <c r="N16" s="26" t="str">
        <f ca="1">IFERROR(VLOOKUP($L16,OFFSET(missions!$A$2,0,0,COUNTA($A:$A),MATCH(N$1,missions!$2:$2,0)-MATCH(#REF!,missions!$2:$2,0)+1),MATCH(N$1,missions!$2:$2,0)-MATCH(#REF!,missions!$2:$2,0)+1,FALSE),"")</f>
        <v/>
      </c>
    </row>
    <row r="17" spans="1:14" ht="21" customHeight="1" x14ac:dyDescent="0.15">
      <c r="A17" s="21" t="s">
        <v>346</v>
      </c>
      <c r="B17" s="21" t="s">
        <v>792</v>
      </c>
      <c r="C17" s="26" t="str">
        <f t="shared" ca="1" si="0"/>
        <v>クエスト 【16-5. プディングに狂気を添えて】 をクリアしよう！</v>
      </c>
      <c r="D17" s="26" t="str">
        <f ca="1">IFERROR(VLOOKUP($A17,OFFSET(achievement_criterion_id,0,0,COUNTA($A:$A),MATCH(D$1,missions!$2:$2,0)-MATCH($A$1,missions!$2:$2,0)+1),MATCH(D$1,missions!$2:$2,0)-MATCH($A$1,missions!$2:$2,0)+1,FALSE),IFERROR(VLOOKUP($A17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7" s="27" t="s">
        <v>864</v>
      </c>
      <c r="F17" s="17" t="s">
        <v>310</v>
      </c>
      <c r="G17" s="26" t="str">
        <f ca="1">VLOOKUP($F17,OFFSET(達成条件!$A$1,0,0,COUNTA($A:$A),MATCH(G$1,達成条件!$1:$1,0)-MATCH($F$1,達成条件!$1:$1,0)+1),MATCH(G$1,達成条件!$1:$1,0)-MATCH($F$1,達成条件!$1:$1,0)+1,FALSE)</f>
        <v>クエスト 【x】 をクリアしよう！</v>
      </c>
      <c r="H17" s="26" t="str">
        <f ca="1">VLOOKUP($F17,OFFSET(達成条件!$A$1,0,0,COUNTA($A:$A),MATCH(H$1,達成条件!$1:$1,0)-MATCH($F$1,達成条件!$1:$1,0)+1),MATCH(H$1,達成条件!$1:$1,0)-MATCH($F$1,達成条件!$1:$1,0)+1,FALSE)</f>
        <v>該当のクエスト(99-9)</v>
      </c>
      <c r="I17" s="38" t="s">
        <v>324</v>
      </c>
      <c r="J17" s="54" t="str">
        <f ca="1">IF(F17="specific_unit_aquired_count",SUBSTITUTE(G17,"x",VLOOKUP(INT($I17),OFFSET([3]characters!$A$2,0,0,COUNTA([3]characters!$A:$A),MATCH(J$1,[3]characters!$2:$2,0)-MATCH("character_id",[3]characters!$2:$2,0)+1),MATCH(J$1,[3]characters!$2:$2,0)-MATCH("character_id",[3]characters!$2:$2,0)+1,FALSE)),IF(F17="specific_quest_clear",VLOOKUP(SUBSTITUTE(I17,"-","_"),OFFSET([2]stages!$A$2,0,0,COUNTA([2]stages!$A:$A),MATCH("name",[2]stages!$2:$2,0)-MATCH("temp_stage",[2]stages!$2:$2,0)+1),MATCH("name",[2]stages!$2:$2,0)-MATCH("temp_stage",[2]stages!$2:$2,0)+1,FALSE),""))</f>
        <v>16-5. プディングに狂気を添えて</v>
      </c>
      <c r="K17" s="15" t="s">
        <v>352</v>
      </c>
      <c r="L17" s="6" t="s">
        <v>542</v>
      </c>
      <c r="M17" s="26" t="str">
        <f ca="1">IFERROR(VLOOKUP($L17,OFFSET(missions!$A$2,0,0,COUNTA($A:$A),MATCH(M$1,missions!$2:$2,0)-MATCH(#REF!,missions!$2:$2,0)+1),MATCH(M$1,missions!$2:$2,0)-MATCH(#REF!,missions!$2:$2,0)+1,FALSE),"")</f>
        <v/>
      </c>
      <c r="N17" s="26" t="str">
        <f ca="1">IFERROR(VLOOKUP($L17,OFFSET(missions!$A$2,0,0,COUNTA($A:$A),MATCH(N$1,missions!$2:$2,0)-MATCH(#REF!,missions!$2:$2,0)+1),MATCH(N$1,missions!$2:$2,0)-MATCH(#REF!,missions!$2:$2,0)+1,FALSE),"")</f>
        <v/>
      </c>
    </row>
    <row r="18" spans="1:14" ht="21" customHeight="1" x14ac:dyDescent="0.15">
      <c r="A18" s="21" t="s">
        <v>347</v>
      </c>
      <c r="B18" s="21" t="s">
        <v>792</v>
      </c>
      <c r="C18" s="26" t="str">
        <f t="shared" ca="1" si="0"/>
        <v>クエスト 【17-5. 水面に映る月閃】 をクリアしよう！</v>
      </c>
      <c r="D18" s="26" t="str">
        <f ca="1">IFERROR(VLOOKUP($A18,OFFSET(achievement_criterion_id,0,0,COUNTA($A:$A),MATCH(D$1,missions!$2:$2,0)-MATCH($A$1,missions!$2:$2,0)+1),MATCH(D$1,missions!$2:$2,0)-MATCH($A$1,missions!$2:$2,0)+1,FALSE),IFERROR(VLOOKUP($A18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8" s="27" t="s">
        <v>864</v>
      </c>
      <c r="F18" s="17" t="s">
        <v>310</v>
      </c>
      <c r="G18" s="26" t="str">
        <f ca="1">VLOOKUP($F18,OFFSET(達成条件!$A$1,0,0,COUNTA($A:$A),MATCH(G$1,達成条件!$1:$1,0)-MATCH($F$1,達成条件!$1:$1,0)+1),MATCH(G$1,達成条件!$1:$1,0)-MATCH($F$1,達成条件!$1:$1,0)+1,FALSE)</f>
        <v>クエスト 【x】 をクリアしよう！</v>
      </c>
      <c r="H18" s="26" t="str">
        <f ca="1">VLOOKUP($F18,OFFSET(達成条件!$A$1,0,0,COUNTA($A:$A),MATCH(H$1,達成条件!$1:$1,0)-MATCH($F$1,達成条件!$1:$1,0)+1),MATCH(H$1,達成条件!$1:$1,0)-MATCH($F$1,達成条件!$1:$1,0)+1,FALSE)</f>
        <v>該当のクエスト(99-9)</v>
      </c>
      <c r="I18" s="38" t="s">
        <v>325</v>
      </c>
      <c r="J18" s="54" t="str">
        <f ca="1">IF(F18="specific_unit_aquired_count",SUBSTITUTE(G18,"x",VLOOKUP(INT($I18),OFFSET([3]characters!$A$2,0,0,COUNTA([3]characters!$A:$A),MATCH(J$1,[3]characters!$2:$2,0)-MATCH("character_id",[3]characters!$2:$2,0)+1),MATCH(J$1,[3]characters!$2:$2,0)-MATCH("character_id",[3]characters!$2:$2,0)+1,FALSE)),IF(F18="specific_quest_clear",VLOOKUP(SUBSTITUTE(I18,"-","_"),OFFSET([2]stages!$A$2,0,0,COUNTA([2]stages!$A:$A),MATCH("name",[2]stages!$2:$2,0)-MATCH("temp_stage",[2]stages!$2:$2,0)+1),MATCH("name",[2]stages!$2:$2,0)-MATCH("temp_stage",[2]stages!$2:$2,0)+1,FALSE),""))</f>
        <v>17-5. 水面に映る月閃</v>
      </c>
      <c r="K18" s="15" t="s">
        <v>352</v>
      </c>
      <c r="L18" s="15" t="s">
        <v>542</v>
      </c>
      <c r="M18" s="26" t="str">
        <f ca="1">IFERROR(VLOOKUP($L18,OFFSET(missions!$A$2,0,0,COUNTA($A:$A),MATCH(M$1,missions!$2:$2,0)-MATCH(#REF!,missions!$2:$2,0)+1),MATCH(M$1,missions!$2:$2,0)-MATCH(#REF!,missions!$2:$2,0)+1,FALSE),"")</f>
        <v/>
      </c>
      <c r="N18" s="26" t="str">
        <f ca="1">IFERROR(VLOOKUP($L18,OFFSET(missions!$A$2,0,0,COUNTA($A:$A),MATCH(N$1,missions!$2:$2,0)-MATCH(#REF!,missions!$2:$2,0)+1),MATCH(N$1,missions!$2:$2,0)-MATCH(#REF!,missions!$2:$2,0)+1,FALSE),"")</f>
        <v/>
      </c>
    </row>
    <row r="19" spans="1:14" ht="21" customHeight="1" x14ac:dyDescent="0.15">
      <c r="A19" s="21" t="s">
        <v>348</v>
      </c>
      <c r="B19" s="21" t="s">
        <v>792</v>
      </c>
      <c r="C19" s="26" t="str">
        <f t="shared" ca="1" si="0"/>
        <v>クエスト 【18-5. 解き放たれし焔神】 をクリアしよう！</v>
      </c>
      <c r="D19" s="26" t="str">
        <f ca="1">IFERROR(VLOOKUP($A19,OFFSET(achievement_criterion_id,0,0,COUNTA($A:$A),MATCH(D$1,missions!$2:$2,0)-MATCH($A$1,missions!$2:$2,0)+1),MATCH(D$1,missions!$2:$2,0)-MATCH($A$1,missions!$2:$2,0)+1,FALSE),IFERROR(VLOOKUP($A19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9" s="27" t="s">
        <v>864</v>
      </c>
      <c r="F19" s="17" t="s">
        <v>310</v>
      </c>
      <c r="G19" s="26" t="str">
        <f ca="1">VLOOKUP($F19,OFFSET(達成条件!$A$1,0,0,COUNTA($A:$A),MATCH(G$1,達成条件!$1:$1,0)-MATCH($F$1,達成条件!$1:$1,0)+1),MATCH(G$1,達成条件!$1:$1,0)-MATCH($F$1,達成条件!$1:$1,0)+1,FALSE)</f>
        <v>クエスト 【x】 をクリアしよう！</v>
      </c>
      <c r="H19" s="26" t="str">
        <f ca="1">VLOOKUP($F19,OFFSET(達成条件!$A$1,0,0,COUNTA($A:$A),MATCH(H$1,達成条件!$1:$1,0)-MATCH($F$1,達成条件!$1:$1,0)+1),MATCH(H$1,達成条件!$1:$1,0)-MATCH($F$1,達成条件!$1:$1,0)+1,FALSE)</f>
        <v>該当のクエスト(99-9)</v>
      </c>
      <c r="I19" s="38" t="s">
        <v>326</v>
      </c>
      <c r="J19" s="54" t="str">
        <f ca="1">IF(F19="specific_unit_aquired_count",SUBSTITUTE(G19,"x",VLOOKUP(INT($I19),OFFSET([3]characters!$A$2,0,0,COUNTA([3]characters!$A:$A),MATCH(J$1,[3]characters!$2:$2,0)-MATCH("character_id",[3]characters!$2:$2,0)+1),MATCH(J$1,[3]characters!$2:$2,0)-MATCH("character_id",[3]characters!$2:$2,0)+1,FALSE)),IF(F19="specific_quest_clear",VLOOKUP(SUBSTITUTE(I19,"-","_"),OFFSET([2]stages!$A$2,0,0,COUNTA([2]stages!$A:$A),MATCH("name",[2]stages!$2:$2,0)-MATCH("temp_stage",[2]stages!$2:$2,0)+1),MATCH("name",[2]stages!$2:$2,0)-MATCH("temp_stage",[2]stages!$2:$2,0)+1,FALSE),""))</f>
        <v>18-5. 解き放たれし焔神</v>
      </c>
      <c r="K19" s="15" t="s">
        <v>352</v>
      </c>
      <c r="L19" s="15" t="s">
        <v>542</v>
      </c>
      <c r="M19" s="26" t="str">
        <f ca="1">IFERROR(VLOOKUP($L19,OFFSET(missions!$A$2,0,0,COUNTA($A:$A),MATCH(M$1,missions!$2:$2,0)-MATCH(#REF!,missions!$2:$2,0)+1),MATCH(M$1,missions!$2:$2,0)-MATCH(#REF!,missions!$2:$2,0)+1,FALSE),"")</f>
        <v/>
      </c>
      <c r="N19" s="26" t="str">
        <f ca="1">IFERROR(VLOOKUP($L19,OFFSET(missions!$A$2,0,0,COUNTA($A:$A),MATCH(N$1,missions!$2:$2,0)-MATCH(#REF!,missions!$2:$2,0)+1),MATCH(N$1,missions!$2:$2,0)-MATCH(#REF!,missions!$2:$2,0)+1,FALSE),"")</f>
        <v/>
      </c>
    </row>
    <row r="20" spans="1:14" ht="21" customHeight="1" x14ac:dyDescent="0.15">
      <c r="A20" s="21" t="s">
        <v>349</v>
      </c>
      <c r="B20" s="21" t="s">
        <v>792</v>
      </c>
      <c r="C20" s="26" t="str">
        <f t="shared" ca="1" si="0"/>
        <v>クエスト 【19-5. 庭園主の包囲網】 をクリアしよう！</v>
      </c>
      <c r="D20" s="26" t="str">
        <f ca="1">IFERROR(VLOOKUP($A20,OFFSET(achievement_criterion_id,0,0,COUNTA($A:$A),MATCH(D$1,missions!$2:$2,0)-MATCH($A$1,missions!$2:$2,0)+1),MATCH(D$1,missions!$2:$2,0)-MATCH($A$1,missions!$2:$2,0)+1,FALSE),IFERROR(VLOOKUP($A20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0" s="27" t="s">
        <v>864</v>
      </c>
      <c r="F20" s="17" t="s">
        <v>310</v>
      </c>
      <c r="G20" s="26" t="str">
        <f ca="1">VLOOKUP($F20,OFFSET(達成条件!$A$1,0,0,COUNTA($A:$A),MATCH(G$1,達成条件!$1:$1,0)-MATCH($F$1,達成条件!$1:$1,0)+1),MATCH(G$1,達成条件!$1:$1,0)-MATCH($F$1,達成条件!$1:$1,0)+1,FALSE)</f>
        <v>クエスト 【x】 をクリアしよう！</v>
      </c>
      <c r="H20" s="26" t="str">
        <f ca="1">VLOOKUP($F20,OFFSET(達成条件!$A$1,0,0,COUNTA($A:$A),MATCH(H$1,達成条件!$1:$1,0)-MATCH($F$1,達成条件!$1:$1,0)+1),MATCH(H$1,達成条件!$1:$1,0)-MATCH($F$1,達成条件!$1:$1,0)+1,FALSE)</f>
        <v>該当のクエスト(99-9)</v>
      </c>
      <c r="I20" s="38" t="s">
        <v>327</v>
      </c>
      <c r="J20" s="54" t="str">
        <f ca="1">IF(F20="specific_unit_aquired_count",SUBSTITUTE(G20,"x",VLOOKUP(INT($I20),OFFSET([3]characters!$A$2,0,0,COUNTA([3]characters!$A:$A),MATCH(J$1,[3]characters!$2:$2,0)-MATCH("character_id",[3]characters!$2:$2,0)+1),MATCH(J$1,[3]characters!$2:$2,0)-MATCH("character_id",[3]characters!$2:$2,0)+1,FALSE)),IF(F20="specific_quest_clear",VLOOKUP(SUBSTITUTE(I20,"-","_"),OFFSET([2]stages!$A$2,0,0,COUNTA([2]stages!$A:$A),MATCH("name",[2]stages!$2:$2,0)-MATCH("temp_stage",[2]stages!$2:$2,0)+1),MATCH("name",[2]stages!$2:$2,0)-MATCH("temp_stage",[2]stages!$2:$2,0)+1,FALSE),""))</f>
        <v>19-5. 庭園主の包囲網</v>
      </c>
      <c r="K20" s="15" t="s">
        <v>352</v>
      </c>
      <c r="L20" s="6" t="s">
        <v>542</v>
      </c>
      <c r="M20" s="26" t="str">
        <f ca="1">IFERROR(VLOOKUP($L20,OFFSET(missions!$A$2,0,0,COUNTA($A:$A),MATCH(M$1,missions!$2:$2,0)-MATCH(#REF!,missions!$2:$2,0)+1),MATCH(M$1,missions!$2:$2,0)-MATCH(#REF!,missions!$2:$2,0)+1,FALSE),"")</f>
        <v/>
      </c>
      <c r="N20" s="26" t="str">
        <f ca="1">IFERROR(VLOOKUP($L20,OFFSET(missions!$A$2,0,0,COUNTA($A:$A),MATCH(N$1,missions!$2:$2,0)-MATCH(#REF!,missions!$2:$2,0)+1),MATCH(N$1,missions!$2:$2,0)-MATCH(#REF!,missions!$2:$2,0)+1,FALSE),"")</f>
        <v/>
      </c>
    </row>
    <row r="21" spans="1:14" ht="21" customHeight="1" x14ac:dyDescent="0.15">
      <c r="A21" s="21" t="s">
        <v>350</v>
      </c>
      <c r="B21" s="21" t="s">
        <v>792</v>
      </c>
      <c r="C21" s="26" t="str">
        <f t="shared" ca="1" si="0"/>
        <v>クエスト 【20-5. 空から降る数多の星】 をクリアしよう！</v>
      </c>
      <c r="D21" s="26" t="str">
        <f ca="1">IFERROR(VLOOKUP($A21,OFFSET(achievement_criterion_id,0,0,COUNTA($A:$A),MATCH(D$1,missions!$2:$2,0)-MATCH($A$1,missions!$2:$2,0)+1),MATCH(D$1,missions!$2:$2,0)-MATCH($A$1,missions!$2:$2,0)+1,FALSE),IFERROR(VLOOKUP($A21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1" s="27" t="s">
        <v>864</v>
      </c>
      <c r="F21" s="17" t="s">
        <v>310</v>
      </c>
      <c r="G21" s="26" t="str">
        <f ca="1">VLOOKUP($F21,OFFSET(達成条件!$A$1,0,0,COUNTA($A:$A),MATCH(G$1,達成条件!$1:$1,0)-MATCH($F$1,達成条件!$1:$1,0)+1),MATCH(G$1,達成条件!$1:$1,0)-MATCH($F$1,達成条件!$1:$1,0)+1,FALSE)</f>
        <v>クエスト 【x】 をクリアしよう！</v>
      </c>
      <c r="H21" s="26" t="str">
        <f ca="1">VLOOKUP($F21,OFFSET(達成条件!$A$1,0,0,COUNTA($A:$A),MATCH(H$1,達成条件!$1:$1,0)-MATCH($F$1,達成条件!$1:$1,0)+1),MATCH(H$1,達成条件!$1:$1,0)-MATCH($F$1,達成条件!$1:$1,0)+1,FALSE)</f>
        <v>該当のクエスト(99-9)</v>
      </c>
      <c r="I21" s="38" t="s">
        <v>328</v>
      </c>
      <c r="J21" s="54" t="str">
        <f ca="1">IF(F21="specific_unit_aquired_count",SUBSTITUTE(G21,"x",VLOOKUP(INT($I21),OFFSET([3]characters!$A$2,0,0,COUNTA([3]characters!$A:$A),MATCH(J$1,[3]characters!$2:$2,0)-MATCH("character_id",[3]characters!$2:$2,0)+1),MATCH(J$1,[3]characters!$2:$2,0)-MATCH("character_id",[3]characters!$2:$2,0)+1,FALSE)),IF(F21="specific_quest_clear",VLOOKUP(SUBSTITUTE(I21,"-","_"),OFFSET([2]stages!$A$2,0,0,COUNTA([2]stages!$A:$A),MATCH("name",[2]stages!$2:$2,0)-MATCH("temp_stage",[2]stages!$2:$2,0)+1),MATCH("name",[2]stages!$2:$2,0)-MATCH("temp_stage",[2]stages!$2:$2,0)+1,FALSE),""))</f>
        <v>20-5. 空から降る数多の星</v>
      </c>
      <c r="K21" s="15" t="s">
        <v>352</v>
      </c>
      <c r="L21" s="15" t="s">
        <v>542</v>
      </c>
      <c r="M21" s="26" t="str">
        <f ca="1">IFERROR(VLOOKUP($L21,OFFSET(missions!$A$2,0,0,COUNTA($A:$A),MATCH(M$1,missions!$2:$2,0)-MATCH(#REF!,missions!$2:$2,0)+1),MATCH(M$1,missions!$2:$2,0)-MATCH(#REF!,missions!$2:$2,0)+1,FALSE),"")</f>
        <v/>
      </c>
      <c r="N21" s="26" t="str">
        <f ca="1">IFERROR(VLOOKUP($L21,OFFSET(missions!$A$2,0,0,COUNTA($A:$A),MATCH(N$1,missions!$2:$2,0)-MATCH(#REF!,missions!$2:$2,0)+1),MATCH(N$1,missions!$2:$2,0)-MATCH(#REF!,missions!$2:$2,0)+1,FALSE),"")</f>
        <v/>
      </c>
    </row>
    <row r="22" spans="1:14" ht="21" customHeight="1" x14ac:dyDescent="0.15">
      <c r="A22" s="21" t="s">
        <v>351</v>
      </c>
      <c r="B22" s="21" t="s">
        <v>792</v>
      </c>
      <c r="C22" s="26" t="str">
        <f t="shared" ca="1" si="0"/>
        <v>クエスト 【21-5. マスターオブエデン】 をクリアしよう！</v>
      </c>
      <c r="D22" s="26" t="str">
        <f ca="1">IFERROR(VLOOKUP($A22,OFFSET(achievement_criterion_id,0,0,COUNTA($A:$A),MATCH(D$1,missions!$2:$2,0)-MATCH($A$1,missions!$2:$2,0)+1),MATCH(D$1,missions!$2:$2,0)-MATCH($A$1,missions!$2:$2,0)+1,FALSE),IFERROR(VLOOKUP($A22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22" s="27" t="s">
        <v>864</v>
      </c>
      <c r="F22" s="17" t="s">
        <v>310</v>
      </c>
      <c r="G22" s="26" t="str">
        <f ca="1">VLOOKUP($F22,OFFSET(達成条件!$A$1,0,0,COUNTA($A:$A),MATCH(G$1,達成条件!$1:$1,0)-MATCH($F$1,達成条件!$1:$1,0)+1),MATCH(G$1,達成条件!$1:$1,0)-MATCH($F$1,達成条件!$1:$1,0)+1,FALSE)</f>
        <v>クエスト 【x】 をクリアしよう！</v>
      </c>
      <c r="H22" s="26" t="str">
        <f ca="1">VLOOKUP($F22,OFFSET(達成条件!$A$1,0,0,COUNTA($A:$A),MATCH(H$1,達成条件!$1:$1,0)-MATCH($F$1,達成条件!$1:$1,0)+1),MATCH(H$1,達成条件!$1:$1,0)-MATCH($F$1,達成条件!$1:$1,0)+1,FALSE)</f>
        <v>該当のクエスト(99-9)</v>
      </c>
      <c r="I22" s="38" t="s">
        <v>329</v>
      </c>
      <c r="J22" s="54" t="str">
        <f ca="1">IF(F22="specific_unit_aquired_count",SUBSTITUTE(G22,"x",VLOOKUP(INT($I22),OFFSET([3]characters!$A$2,0,0,COUNTA([3]characters!$A:$A),MATCH(J$1,[3]characters!$2:$2,0)-MATCH("character_id",[3]characters!$2:$2,0)+1),MATCH(J$1,[3]characters!$2:$2,0)-MATCH("character_id",[3]characters!$2:$2,0)+1,FALSE)),IF(F22="specific_quest_clear",VLOOKUP(SUBSTITUTE(I22,"-","_"),OFFSET([2]stages!$A$2,0,0,COUNTA([2]stages!$A:$A),MATCH("name",[2]stages!$2:$2,0)-MATCH("temp_stage",[2]stages!$2:$2,0)+1),MATCH("name",[2]stages!$2:$2,0)-MATCH("temp_stage",[2]stages!$2:$2,0)+1,FALSE),""))</f>
        <v>21-5. マスターオブエデン</v>
      </c>
      <c r="K22" s="15" t="s">
        <v>352</v>
      </c>
      <c r="L22" s="15" t="s">
        <v>542</v>
      </c>
      <c r="M22" s="26" t="str">
        <f ca="1">IFERROR(VLOOKUP($L22,OFFSET(missions!$A$2,0,0,COUNTA($A:$A),MATCH(M$1,missions!$2:$2,0)-MATCH(#REF!,missions!$2:$2,0)+1),MATCH(M$1,missions!$2:$2,0)-MATCH(#REF!,missions!$2:$2,0)+1,FALSE),"")</f>
        <v/>
      </c>
      <c r="N22" s="26" t="str">
        <f ca="1">IFERROR(VLOOKUP($L22,OFFSET(missions!$A$2,0,0,COUNTA($A:$A),MATCH(N$1,missions!$2:$2,0)-MATCH(#REF!,missions!$2:$2,0)+1),MATCH(N$1,missions!$2:$2,0)-MATCH(#REF!,missions!$2:$2,0)+1,FALSE),"")</f>
        <v/>
      </c>
    </row>
    <row r="23" spans="1:14" ht="21" customHeight="1" x14ac:dyDescent="0.15">
      <c r="A23" s="21" t="s">
        <v>739</v>
      </c>
      <c r="B23" s="21" t="s">
        <v>792</v>
      </c>
      <c r="C23" s="26" t="str">
        <f t="shared" ref="C23:C27" ca="1" si="1">IF(F23="specific_quest_clear",SUBSTITUTE(G23,"x",J23),IF(F23="specific_unit_aquired_count",SUBSTITUTE(J23,"y",K23),SUBSTITUTE(G23,"x",I23)))</f>
        <v>クエスト 【22-5．真宴の月光】 をクリアしよう！</v>
      </c>
      <c r="D23" s="26" t="str">
        <f ca="1">IFERROR(VLOOKUP($A23,OFFSET(achievement_criterion_id,0,0,COUNTA($A:$A),MATCH(D$1,missions!$2:$2,0)-MATCH($A$1,missions!$2:$2,0)+1),MATCH(D$1,missions!$2:$2,0)-MATCH($A$1,missions!$2:$2,0)+1,FALSE),IFERROR(VLOOKUP($A23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3" s="27" t="s">
        <v>864</v>
      </c>
      <c r="F23" s="17" t="s">
        <v>310</v>
      </c>
      <c r="G23" s="26" t="str">
        <f ca="1">VLOOKUP($F23,OFFSET(達成条件!$A$1,0,0,COUNTA($A:$A),MATCH(G$1,達成条件!$1:$1,0)-MATCH($F$1,達成条件!$1:$1,0)+1),MATCH(G$1,達成条件!$1:$1,0)-MATCH($F$1,達成条件!$1:$1,0)+1,FALSE)</f>
        <v>クエスト 【x】 をクリアしよう！</v>
      </c>
      <c r="H23" s="26" t="str">
        <f ca="1">VLOOKUP($F23,OFFSET(達成条件!$A$1,0,0,COUNTA($A:$A),MATCH(H$1,達成条件!$1:$1,0)-MATCH($F$1,達成条件!$1:$1,0)+1),MATCH(H$1,達成条件!$1:$1,0)-MATCH($F$1,達成条件!$1:$1,0)+1,FALSE)</f>
        <v>該当のクエスト(99-9)</v>
      </c>
      <c r="I23" s="38" t="s">
        <v>749</v>
      </c>
      <c r="J23" s="54" t="str">
        <f ca="1">IF(F23="specific_unit_aquired_count",SUBSTITUTE(G23,"x",VLOOKUP(INT($I23),OFFSET([3]characters!$A$2,0,0,COUNTA([3]characters!$A:$A),MATCH(J$1,[3]characters!$2:$2,0)-MATCH("character_id",[3]characters!$2:$2,0)+1),MATCH(J$1,[3]characters!$2:$2,0)-MATCH("character_id",[3]characters!$2:$2,0)+1,FALSE)),IF(F23="specific_quest_clear",VLOOKUP(SUBSTITUTE(I23,"-","_"),OFFSET([2]stages!$A$2,0,0,COUNTA([2]stages!$A:$A),MATCH("name",[2]stages!$2:$2,0)-MATCH("temp_stage",[2]stages!$2:$2,0)+1),MATCH("name",[2]stages!$2:$2,0)-MATCH("temp_stage",[2]stages!$2:$2,0)+1,FALSE),""))</f>
        <v>22-5．真宴の月光</v>
      </c>
      <c r="K23" s="15" t="s">
        <v>352</v>
      </c>
      <c r="L23" s="15" t="s">
        <v>542</v>
      </c>
      <c r="M23" s="26" t="str">
        <f ca="1">IFERROR(VLOOKUP($L23,OFFSET(missions!$A$2,0,0,COUNTA($A:$A),MATCH(M$1,missions!$2:$2,0)-MATCH(#REF!,missions!$2:$2,0)+1),MATCH(M$1,missions!$2:$2,0)-MATCH(#REF!,missions!$2:$2,0)+1,FALSE),"")</f>
        <v/>
      </c>
      <c r="N23" s="26" t="str">
        <f ca="1">IFERROR(VLOOKUP($L23,OFFSET(missions!$A$2,0,0,COUNTA($A:$A),MATCH(N$1,missions!$2:$2,0)-MATCH(#REF!,missions!$2:$2,0)+1),MATCH(N$1,missions!$2:$2,0)-MATCH(#REF!,missions!$2:$2,0)+1,FALSE),"")</f>
        <v/>
      </c>
    </row>
    <row r="24" spans="1:14" ht="21" customHeight="1" x14ac:dyDescent="0.15">
      <c r="A24" s="21" t="s">
        <v>740</v>
      </c>
      <c r="B24" s="21" t="s">
        <v>792</v>
      </c>
      <c r="C24" s="26" t="str">
        <f t="shared" ca="1" si="1"/>
        <v>クエスト 【23-5．目醒めの子どもたち】 をクリアしよう！</v>
      </c>
      <c r="D24" s="26" t="str">
        <f ca="1">IFERROR(VLOOKUP($A24,OFFSET(achievement_criterion_id,0,0,COUNTA($A:$A),MATCH(D$1,missions!$2:$2,0)-MATCH($A$1,missions!$2:$2,0)+1),MATCH(D$1,missions!$2:$2,0)-MATCH($A$1,missions!$2:$2,0)+1,FALSE),IFERROR(VLOOKUP($A24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4" s="27" t="s">
        <v>864</v>
      </c>
      <c r="F24" s="17" t="s">
        <v>310</v>
      </c>
      <c r="G24" s="26" t="str">
        <f ca="1">VLOOKUP($F24,OFFSET(達成条件!$A$1,0,0,COUNTA($A:$A),MATCH(G$1,達成条件!$1:$1,0)-MATCH($F$1,達成条件!$1:$1,0)+1),MATCH(G$1,達成条件!$1:$1,0)-MATCH($F$1,達成条件!$1:$1,0)+1,FALSE)</f>
        <v>クエスト 【x】 をクリアしよう！</v>
      </c>
      <c r="H24" s="26" t="str">
        <f ca="1">VLOOKUP($F24,OFFSET(達成条件!$A$1,0,0,COUNTA($A:$A),MATCH(H$1,達成条件!$1:$1,0)-MATCH($F$1,達成条件!$1:$1,0)+1),MATCH(H$1,達成条件!$1:$1,0)-MATCH($F$1,達成条件!$1:$1,0)+1,FALSE)</f>
        <v>該当のクエスト(99-9)</v>
      </c>
      <c r="I24" s="38" t="s">
        <v>750</v>
      </c>
      <c r="J24" s="54" t="str">
        <f ca="1">IF(F24="specific_unit_aquired_count",SUBSTITUTE(G24,"x",VLOOKUP(INT($I24),OFFSET([3]characters!$A$2,0,0,COUNTA([3]characters!$A:$A),MATCH(J$1,[3]characters!$2:$2,0)-MATCH("character_id",[3]characters!$2:$2,0)+1),MATCH(J$1,[3]characters!$2:$2,0)-MATCH("character_id",[3]characters!$2:$2,0)+1,FALSE)),IF(F24="specific_quest_clear",VLOOKUP(SUBSTITUTE(I24,"-","_"),OFFSET([2]stages!$A$2,0,0,COUNTA([2]stages!$A:$A),MATCH("name",[2]stages!$2:$2,0)-MATCH("temp_stage",[2]stages!$2:$2,0)+1),MATCH("name",[2]stages!$2:$2,0)-MATCH("temp_stage",[2]stages!$2:$2,0)+1,FALSE),""))</f>
        <v>23-5．目醒めの子どもたち</v>
      </c>
      <c r="K24" s="15" t="s">
        <v>352</v>
      </c>
      <c r="L24" s="15" t="s">
        <v>542</v>
      </c>
      <c r="M24" s="26" t="str">
        <f ca="1">IFERROR(VLOOKUP($L24,OFFSET(missions!$A$2,0,0,COUNTA($A:$A),MATCH(M$1,missions!$2:$2,0)-MATCH(#REF!,missions!$2:$2,0)+1),MATCH(M$1,missions!$2:$2,0)-MATCH(#REF!,missions!$2:$2,0)+1,FALSE),"")</f>
        <v/>
      </c>
      <c r="N24" s="26" t="str">
        <f ca="1">IFERROR(VLOOKUP($L24,OFFSET(missions!$A$2,0,0,COUNTA($A:$A),MATCH(N$1,missions!$2:$2,0)-MATCH(#REF!,missions!$2:$2,0)+1),MATCH(N$1,missions!$2:$2,0)-MATCH(#REF!,missions!$2:$2,0)+1,FALSE),"")</f>
        <v/>
      </c>
    </row>
    <row r="25" spans="1:14" ht="21" customHeight="1" x14ac:dyDescent="0.15">
      <c r="A25" s="21" t="s">
        <v>741</v>
      </c>
      <c r="B25" s="21" t="s">
        <v>792</v>
      </c>
      <c r="C25" s="26" t="str">
        <f t="shared" ca="1" si="1"/>
        <v>クエスト 【24-5．決戦のヘヴン】 をクリアしよう！</v>
      </c>
      <c r="D25" s="26" t="str">
        <f ca="1">IFERROR(VLOOKUP($A25,OFFSET(achievement_criterion_id,0,0,COUNTA($A:$A),MATCH(D$1,missions!$2:$2,0)-MATCH($A$1,missions!$2:$2,0)+1),MATCH(D$1,missions!$2:$2,0)-MATCH($A$1,missions!$2:$2,0)+1,FALSE),IFERROR(VLOOKUP($A25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5" s="27" t="s">
        <v>864</v>
      </c>
      <c r="F25" s="17" t="s">
        <v>310</v>
      </c>
      <c r="G25" s="26" t="str">
        <f ca="1">VLOOKUP($F25,OFFSET(達成条件!$A$1,0,0,COUNTA($A:$A),MATCH(G$1,達成条件!$1:$1,0)-MATCH($F$1,達成条件!$1:$1,0)+1),MATCH(G$1,達成条件!$1:$1,0)-MATCH($F$1,達成条件!$1:$1,0)+1,FALSE)</f>
        <v>クエスト 【x】 をクリアしよう！</v>
      </c>
      <c r="H25" s="26" t="str">
        <f ca="1">VLOOKUP($F25,OFFSET(達成条件!$A$1,0,0,COUNTA($A:$A),MATCH(H$1,達成条件!$1:$1,0)-MATCH($F$1,達成条件!$1:$1,0)+1),MATCH(H$1,達成条件!$1:$1,0)-MATCH($F$1,達成条件!$1:$1,0)+1,FALSE)</f>
        <v>該当のクエスト(99-9)</v>
      </c>
      <c r="I25" s="38" t="s">
        <v>751</v>
      </c>
      <c r="J25" s="54" t="str">
        <f ca="1">IF(F25="specific_unit_aquired_count",SUBSTITUTE(G25,"x",VLOOKUP(INT($I25),OFFSET([3]characters!$A$2,0,0,COUNTA([3]characters!$A:$A),MATCH(J$1,[3]characters!$2:$2,0)-MATCH("character_id",[3]characters!$2:$2,0)+1),MATCH(J$1,[3]characters!$2:$2,0)-MATCH("character_id",[3]characters!$2:$2,0)+1,FALSE)),IF(F25="specific_quest_clear",VLOOKUP(SUBSTITUTE(I25,"-","_"),OFFSET([2]stages!$A$2,0,0,COUNTA([2]stages!$A:$A),MATCH("name",[2]stages!$2:$2,0)-MATCH("temp_stage",[2]stages!$2:$2,0)+1),MATCH("name",[2]stages!$2:$2,0)-MATCH("temp_stage",[2]stages!$2:$2,0)+1,FALSE),""))</f>
        <v>24-5．決戦のヘヴン</v>
      </c>
      <c r="K25" s="15" t="s">
        <v>352</v>
      </c>
      <c r="L25" s="6" t="s">
        <v>542</v>
      </c>
      <c r="M25" s="26" t="str">
        <f ca="1">IFERROR(VLOOKUP($L25,OFFSET(missions!$A$2,0,0,COUNTA($A:$A),MATCH(M$1,missions!$2:$2,0)-MATCH(#REF!,missions!$2:$2,0)+1),MATCH(M$1,missions!$2:$2,0)-MATCH(#REF!,missions!$2:$2,0)+1,FALSE),"")</f>
        <v/>
      </c>
      <c r="N25" s="26" t="str">
        <f ca="1">IFERROR(VLOOKUP($L25,OFFSET(missions!$A$2,0,0,COUNTA($A:$A),MATCH(N$1,missions!$2:$2,0)-MATCH(#REF!,missions!$2:$2,0)+1),MATCH(N$1,missions!$2:$2,0)-MATCH(#REF!,missions!$2:$2,0)+1,FALSE),"")</f>
        <v/>
      </c>
    </row>
    <row r="26" spans="1:14" ht="21" customHeight="1" x14ac:dyDescent="0.15">
      <c r="A26" s="21" t="s">
        <v>742</v>
      </c>
      <c r="B26" s="21" t="s">
        <v>792</v>
      </c>
      <c r="C26" s="26" t="str">
        <f t="shared" ca="1" si="1"/>
        <v>クエスト 【25-5．君はサディスティック】 をクリアしよう！</v>
      </c>
      <c r="D26" s="26" t="str">
        <f ca="1">IFERROR(VLOOKUP($A26,OFFSET(achievement_criterion_id,0,0,COUNTA($A:$A),MATCH(D$1,missions!$2:$2,0)-MATCH($A$1,missions!$2:$2,0)+1),MATCH(D$1,missions!$2:$2,0)-MATCH($A$1,missions!$2:$2,0)+1,FALSE),IFERROR(VLOOKUP($A26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6" s="27" t="s">
        <v>864</v>
      </c>
      <c r="F26" s="17" t="s">
        <v>310</v>
      </c>
      <c r="G26" s="26" t="str">
        <f ca="1">VLOOKUP($F26,OFFSET(達成条件!$A$1,0,0,COUNTA($A:$A),MATCH(G$1,達成条件!$1:$1,0)-MATCH($F$1,達成条件!$1:$1,0)+1),MATCH(G$1,達成条件!$1:$1,0)-MATCH($F$1,達成条件!$1:$1,0)+1,FALSE)</f>
        <v>クエスト 【x】 をクリアしよう！</v>
      </c>
      <c r="H26" s="26" t="str">
        <f ca="1">VLOOKUP($F26,OFFSET(達成条件!$A$1,0,0,COUNTA($A:$A),MATCH(H$1,達成条件!$1:$1,0)-MATCH($F$1,達成条件!$1:$1,0)+1),MATCH(H$1,達成条件!$1:$1,0)-MATCH($F$1,達成条件!$1:$1,0)+1,FALSE)</f>
        <v>該当のクエスト(99-9)</v>
      </c>
      <c r="I26" s="38" t="s">
        <v>752</v>
      </c>
      <c r="J26" s="54" t="str">
        <f ca="1">IF(F26="specific_unit_aquired_count",SUBSTITUTE(G26,"x",VLOOKUP(INT($I26),OFFSET([3]characters!$A$2,0,0,COUNTA([3]characters!$A:$A),MATCH(J$1,[3]characters!$2:$2,0)-MATCH("character_id",[3]characters!$2:$2,0)+1),MATCH(J$1,[3]characters!$2:$2,0)-MATCH("character_id",[3]characters!$2:$2,0)+1,FALSE)),IF(F26="specific_quest_clear",VLOOKUP(SUBSTITUTE(I26,"-","_"),OFFSET([2]stages!$A$2,0,0,COUNTA([2]stages!$A:$A),MATCH("name",[2]stages!$2:$2,0)-MATCH("temp_stage",[2]stages!$2:$2,0)+1),MATCH("name",[2]stages!$2:$2,0)-MATCH("temp_stage",[2]stages!$2:$2,0)+1,FALSE),""))</f>
        <v>25-5．君はサディスティック</v>
      </c>
      <c r="K26" s="15" t="s">
        <v>352</v>
      </c>
      <c r="L26" s="15" t="s">
        <v>542</v>
      </c>
      <c r="M26" s="26" t="str">
        <f ca="1">IFERROR(VLOOKUP($L26,OFFSET(missions!$A$2,0,0,COUNTA($A:$A),MATCH(M$1,missions!$2:$2,0)-MATCH(#REF!,missions!$2:$2,0)+1),MATCH(M$1,missions!$2:$2,0)-MATCH(#REF!,missions!$2:$2,0)+1,FALSE),"")</f>
        <v/>
      </c>
      <c r="N26" s="26" t="str">
        <f ca="1">IFERROR(VLOOKUP($L26,OFFSET(missions!$A$2,0,0,COUNTA($A:$A),MATCH(N$1,missions!$2:$2,0)-MATCH(#REF!,missions!$2:$2,0)+1),MATCH(N$1,missions!$2:$2,0)-MATCH(#REF!,missions!$2:$2,0)+1,FALSE),"")</f>
        <v/>
      </c>
    </row>
    <row r="27" spans="1:14" ht="21" customHeight="1" x14ac:dyDescent="0.15">
      <c r="A27" s="21" t="s">
        <v>743</v>
      </c>
      <c r="B27" s="21" t="s">
        <v>792</v>
      </c>
      <c r="C27" s="26" t="str">
        <f t="shared" ca="1" si="1"/>
        <v>クエスト 【26-5．踊る強奪者】 をクリアしよう！</v>
      </c>
      <c r="D27" s="26" t="str">
        <f ca="1">IFERROR(VLOOKUP($A27,OFFSET(achievement_criterion_id,0,0,COUNTA($A:$A),MATCH(D$1,missions!$2:$2,0)-MATCH($A$1,missions!$2:$2,0)+1),MATCH(D$1,missions!$2:$2,0)-MATCH($A$1,missions!$2:$2,0)+1,FALSE),IFERROR(VLOOKUP($A27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7" s="27" t="s">
        <v>864</v>
      </c>
      <c r="F27" s="17" t="s">
        <v>310</v>
      </c>
      <c r="G27" s="26" t="str">
        <f ca="1">VLOOKUP($F27,OFFSET(達成条件!$A$1,0,0,COUNTA($A:$A),MATCH(G$1,達成条件!$1:$1,0)-MATCH($F$1,達成条件!$1:$1,0)+1),MATCH(G$1,達成条件!$1:$1,0)-MATCH($F$1,達成条件!$1:$1,0)+1,FALSE)</f>
        <v>クエスト 【x】 をクリアしよう！</v>
      </c>
      <c r="H27" s="26" t="str">
        <f ca="1">VLOOKUP($F27,OFFSET(達成条件!$A$1,0,0,COUNTA($A:$A),MATCH(H$1,達成条件!$1:$1,0)-MATCH($F$1,達成条件!$1:$1,0)+1),MATCH(H$1,達成条件!$1:$1,0)-MATCH($F$1,達成条件!$1:$1,0)+1,FALSE)</f>
        <v>該当のクエスト(99-9)</v>
      </c>
      <c r="I27" s="38" t="s">
        <v>753</v>
      </c>
      <c r="J27" s="54" t="str">
        <f ca="1">IF(F27="specific_unit_aquired_count",SUBSTITUTE(G27,"x",VLOOKUP(INT($I27),OFFSET([3]characters!$A$2,0,0,COUNTA([3]characters!$A:$A),MATCH(J$1,[3]characters!$2:$2,0)-MATCH("character_id",[3]characters!$2:$2,0)+1),MATCH(J$1,[3]characters!$2:$2,0)-MATCH("character_id",[3]characters!$2:$2,0)+1,FALSE)),IF(F27="specific_quest_clear",VLOOKUP(SUBSTITUTE(I27,"-","_"),OFFSET([2]stages!$A$2,0,0,COUNTA([2]stages!$A:$A),MATCH("name",[2]stages!$2:$2,0)-MATCH("temp_stage",[2]stages!$2:$2,0)+1),MATCH("name",[2]stages!$2:$2,0)-MATCH("temp_stage",[2]stages!$2:$2,0)+1,FALSE),""))</f>
        <v>26-5．踊る強奪者</v>
      </c>
      <c r="K27" s="15" t="s">
        <v>352</v>
      </c>
      <c r="L27" s="15" t="s">
        <v>542</v>
      </c>
      <c r="M27" s="26" t="str">
        <f ca="1">IFERROR(VLOOKUP($L27,OFFSET(missions!$A$2,0,0,COUNTA($A:$A),MATCH(M$1,missions!$2:$2,0)-MATCH(#REF!,missions!$2:$2,0)+1),MATCH(M$1,missions!$2:$2,0)-MATCH(#REF!,missions!$2:$2,0)+1,FALSE),"")</f>
        <v/>
      </c>
      <c r="N27" s="26" t="str">
        <f ca="1">IFERROR(VLOOKUP($L27,OFFSET(missions!$A$2,0,0,COUNTA($A:$A),MATCH(N$1,missions!$2:$2,0)-MATCH(#REF!,missions!$2:$2,0)+1),MATCH(N$1,missions!$2:$2,0)-MATCH(#REF!,missions!$2:$2,0)+1,FALSE),"")</f>
        <v/>
      </c>
    </row>
    <row r="28" spans="1:14" ht="21" customHeight="1" x14ac:dyDescent="0.15">
      <c r="A28" s="21" t="s">
        <v>755</v>
      </c>
      <c r="B28" s="21" t="s">
        <v>792</v>
      </c>
      <c r="C28" s="26" t="str">
        <f t="shared" ref="C28:C30" ca="1" si="2">IF(F28="specific_quest_clear",SUBSTITUTE(G28,"x",J28),IF(F28="specific_unit_aquired_count",SUBSTITUTE(J28,"y",K28),SUBSTITUTE(G28,"x",I28)))</f>
        <v>クエスト 【24-3．武器を花に変えて】 をクリアしよう！</v>
      </c>
      <c r="D28" s="26" t="str">
        <f ca="1">IFERROR(VLOOKUP($A28,OFFSET(achievement_criterion_id,0,0,COUNTA($A:$A),MATCH(D$1,missions!$2:$2,0)-MATCH($A$1,missions!$2:$2,0)+1),MATCH(D$1,missions!$2:$2,0)-MATCH($A$1,missions!$2:$2,0)+1,FALSE),IFERROR(VLOOKUP($A28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28" s="27" t="s">
        <v>864</v>
      </c>
      <c r="F28" s="17" t="s">
        <v>310</v>
      </c>
      <c r="G28" s="26" t="str">
        <f ca="1">VLOOKUP($F28,OFFSET(達成条件!$A$1,0,0,COUNTA($A:$A),MATCH(G$1,達成条件!$1:$1,0)-MATCH($F$1,達成条件!$1:$1,0)+1),MATCH(G$1,達成条件!$1:$1,0)-MATCH($F$1,達成条件!$1:$1,0)+1,FALSE)</f>
        <v>クエスト 【x】 をクリアしよう！</v>
      </c>
      <c r="H28" s="26" t="str">
        <f ca="1">VLOOKUP($F28,OFFSET(達成条件!$A$1,0,0,COUNTA($A:$A),MATCH(H$1,達成条件!$1:$1,0)-MATCH($F$1,達成条件!$1:$1,0)+1),MATCH(H$1,達成条件!$1:$1,0)-MATCH($F$1,達成条件!$1:$1,0)+1,FALSE)</f>
        <v>該当のクエスト(99-9)</v>
      </c>
      <c r="I28" s="38" t="s">
        <v>762</v>
      </c>
      <c r="J28" s="54" t="str">
        <f ca="1">IF(F28="specific_unit_aquired_count",SUBSTITUTE(G28,"x",VLOOKUP(INT($I28),OFFSET([3]characters!$A$2,0,0,COUNTA([3]characters!$A:$A),MATCH(J$1,[3]characters!$2:$2,0)-MATCH("character_id",[3]characters!$2:$2,0)+1),MATCH(J$1,[3]characters!$2:$2,0)-MATCH("character_id",[3]characters!$2:$2,0)+1,FALSE)),IF(F28="specific_quest_clear",VLOOKUP(SUBSTITUTE(I28,"-","_"),OFFSET([2]stages!$A$2,0,0,COUNTA([2]stages!$A:$A),MATCH("name",[2]stages!$2:$2,0)-MATCH("temp_stage",[2]stages!$2:$2,0)+1),MATCH("name",[2]stages!$2:$2,0)-MATCH("temp_stage",[2]stages!$2:$2,0)+1,FALSE),""))</f>
        <v>24-3．武器を花に変えて</v>
      </c>
      <c r="K28" s="15" t="s">
        <v>352</v>
      </c>
      <c r="L28" s="6" t="s">
        <v>542</v>
      </c>
      <c r="M28" s="26" t="str">
        <f ca="1">IFERROR(VLOOKUP($L28,OFFSET(missions!$A$2,0,0,COUNTA($A:$A),MATCH(M$1,missions!$2:$2,0)-MATCH(#REF!,missions!$2:$2,0)+1),MATCH(M$1,missions!$2:$2,0)-MATCH(#REF!,missions!$2:$2,0)+1,FALSE),"")</f>
        <v/>
      </c>
      <c r="N28" s="26" t="str">
        <f ca="1">IFERROR(VLOOKUP($L28,OFFSET(missions!$A$2,0,0,COUNTA($A:$A),MATCH(N$1,missions!$2:$2,0)-MATCH(#REF!,missions!$2:$2,0)+1),MATCH(N$1,missions!$2:$2,0)-MATCH(#REF!,missions!$2:$2,0)+1,FALSE),"")</f>
        <v/>
      </c>
    </row>
    <row r="29" spans="1:14" ht="21" customHeight="1" x14ac:dyDescent="0.15">
      <c r="A29" s="21" t="s">
        <v>756</v>
      </c>
      <c r="B29" s="21" t="s">
        <v>792</v>
      </c>
      <c r="C29" s="26" t="str">
        <f t="shared" ca="1" si="2"/>
        <v>クエスト 【25-3．暗闇との対話】 をクリアしよう！</v>
      </c>
      <c r="D29" s="26" t="str">
        <f ca="1">IFERROR(VLOOKUP($A29,OFFSET(achievement_criterion_id,0,0,COUNTA($A:$A),MATCH(D$1,missions!$2:$2,0)-MATCH($A$1,missions!$2:$2,0)+1),MATCH(D$1,missions!$2:$2,0)-MATCH($A$1,missions!$2:$2,0)+1,FALSE),IFERROR(VLOOKUP($A29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29" s="27" t="s">
        <v>864</v>
      </c>
      <c r="F29" s="17" t="s">
        <v>310</v>
      </c>
      <c r="G29" s="26" t="str">
        <f ca="1">VLOOKUP($F29,OFFSET(達成条件!$A$1,0,0,COUNTA($A:$A),MATCH(G$1,達成条件!$1:$1,0)-MATCH($F$1,達成条件!$1:$1,0)+1),MATCH(G$1,達成条件!$1:$1,0)-MATCH($F$1,達成条件!$1:$1,0)+1,FALSE)</f>
        <v>クエスト 【x】 をクリアしよう！</v>
      </c>
      <c r="H29" s="26" t="str">
        <f ca="1">VLOOKUP($F29,OFFSET(達成条件!$A$1,0,0,COUNTA($A:$A),MATCH(H$1,達成条件!$1:$1,0)-MATCH($F$1,達成条件!$1:$1,0)+1),MATCH(H$1,達成条件!$1:$1,0)-MATCH($F$1,達成条件!$1:$1,0)+1,FALSE)</f>
        <v>該当のクエスト(99-9)</v>
      </c>
      <c r="I29" s="38" t="s">
        <v>763</v>
      </c>
      <c r="J29" s="54" t="str">
        <f ca="1">IF(F29="specific_unit_aquired_count",SUBSTITUTE(G29,"x",VLOOKUP(INT($I29),OFFSET([3]characters!$A$2,0,0,COUNTA([3]characters!$A:$A),MATCH(J$1,[3]characters!$2:$2,0)-MATCH("character_id",[3]characters!$2:$2,0)+1),MATCH(J$1,[3]characters!$2:$2,0)-MATCH("character_id",[3]characters!$2:$2,0)+1,FALSE)),IF(F29="specific_quest_clear",VLOOKUP(SUBSTITUTE(I29,"-","_"),OFFSET([2]stages!$A$2,0,0,COUNTA([2]stages!$A:$A),MATCH("name",[2]stages!$2:$2,0)-MATCH("temp_stage",[2]stages!$2:$2,0)+1),MATCH("name",[2]stages!$2:$2,0)-MATCH("temp_stage",[2]stages!$2:$2,0)+1,FALSE),""))</f>
        <v>25-3．暗闇との対話</v>
      </c>
      <c r="K29" s="15" t="s">
        <v>352</v>
      </c>
      <c r="L29" s="15" t="s">
        <v>542</v>
      </c>
      <c r="M29" s="26" t="str">
        <f ca="1">IFERROR(VLOOKUP($L29,OFFSET(missions!$A$2,0,0,COUNTA($A:$A),MATCH(M$1,missions!$2:$2,0)-MATCH(#REF!,missions!$2:$2,0)+1),MATCH(M$1,missions!$2:$2,0)-MATCH(#REF!,missions!$2:$2,0)+1,FALSE),"")</f>
        <v/>
      </c>
      <c r="N29" s="26" t="str">
        <f ca="1">IFERROR(VLOOKUP($L29,OFFSET(missions!$A$2,0,0,COUNTA($A:$A),MATCH(N$1,missions!$2:$2,0)-MATCH(#REF!,missions!$2:$2,0)+1),MATCH(N$1,missions!$2:$2,0)-MATCH(#REF!,missions!$2:$2,0)+1,FALSE),"")</f>
        <v/>
      </c>
    </row>
    <row r="30" spans="1:14" ht="14" x14ac:dyDescent="0.15">
      <c r="A30" s="21" t="s">
        <v>761</v>
      </c>
      <c r="B30" s="21" t="s">
        <v>792</v>
      </c>
      <c r="C30" s="26" t="str">
        <f t="shared" ca="1" si="2"/>
        <v>クエスト 【26-3．荒ぶる電飾】 をクリアしよう！</v>
      </c>
      <c r="D30" s="26" t="str">
        <f ca="1">IFERROR(VLOOKUP($A30,OFFSET(achievement_criterion_id,0,0,COUNTA($A:$A),MATCH(D$1,missions!$2:$2,0)-MATCH($A$1,missions!$2:$2,0)+1),MATCH(D$1,missions!$2:$2,0)-MATCH($A$1,missions!$2:$2,0)+1,FALSE),IFERROR(VLOOKUP($A30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30" s="27" t="s">
        <v>864</v>
      </c>
      <c r="F30" s="17" t="s">
        <v>310</v>
      </c>
      <c r="G30" s="26" t="str">
        <f ca="1">VLOOKUP($F30,OFFSET(達成条件!$A$1,0,0,COUNTA($A:$A),MATCH(G$1,達成条件!$1:$1,0)-MATCH($F$1,達成条件!$1:$1,0)+1),MATCH(G$1,達成条件!$1:$1,0)-MATCH($F$1,達成条件!$1:$1,0)+1,FALSE)</f>
        <v>クエスト 【x】 をクリアしよう！</v>
      </c>
      <c r="H30" s="26" t="str">
        <f ca="1">VLOOKUP($F30,OFFSET(達成条件!$A$1,0,0,COUNTA($A:$A),MATCH(H$1,達成条件!$1:$1,0)-MATCH($F$1,達成条件!$1:$1,0)+1),MATCH(H$1,達成条件!$1:$1,0)-MATCH($F$1,達成条件!$1:$1,0)+1,FALSE)</f>
        <v>該当のクエスト(99-9)</v>
      </c>
      <c r="I30" s="91" t="s">
        <v>764</v>
      </c>
      <c r="J30" s="54" t="str">
        <f ca="1">IF(F30="specific_unit_aquired_count",SUBSTITUTE(G30,"x",VLOOKUP(INT($I30),OFFSET([3]characters!$A$2,0,0,COUNTA([3]characters!$A:$A),MATCH(J$1,[3]characters!$2:$2,0)-MATCH("character_id",[3]characters!$2:$2,0)+1),MATCH(J$1,[3]characters!$2:$2,0)-MATCH("character_id",[3]characters!$2:$2,0)+1,FALSE)),IF(F30="specific_quest_clear",VLOOKUP(SUBSTITUTE(I30,"-","_"),OFFSET([2]stages!$A$2,0,0,COUNTA([2]stages!$A:$A),MATCH("name",[2]stages!$2:$2,0)-MATCH("temp_stage",[2]stages!$2:$2,0)+1),MATCH("name",[2]stages!$2:$2,0)-MATCH("temp_stage",[2]stages!$2:$2,0)+1,FALSE),""))</f>
        <v>26-3．荒ぶる電飾</v>
      </c>
      <c r="K30" s="15" t="s">
        <v>352</v>
      </c>
      <c r="L30" s="15" t="s">
        <v>542</v>
      </c>
      <c r="M30" s="26" t="str">
        <f ca="1">IFERROR(VLOOKUP($L30,OFFSET(missions!$A$2,0,0,COUNTA($A:$A),MATCH(M$1,missions!$2:$2,0)-MATCH(#REF!,missions!$2:$2,0)+1),MATCH(M$1,missions!$2:$2,0)-MATCH(#REF!,missions!$2:$2,0)+1,FALSE),"")</f>
        <v/>
      </c>
      <c r="N30" s="26" t="str">
        <f ca="1">IFERROR(VLOOKUP($L30,OFFSET(missions!$A$2,0,0,COUNTA($A:$A),MATCH(N$1,missions!$2:$2,0)-MATCH(#REF!,missions!$2:$2,0)+1),MATCH(N$1,missions!$2:$2,0)-MATCH(#REF!,missions!$2:$2,0)+1,FALSE),"")</f>
        <v/>
      </c>
    </row>
    <row r="31" spans="1:14" ht="14" x14ac:dyDescent="0.15">
      <c r="A31" s="21" t="s">
        <v>1110</v>
      </c>
      <c r="B31" s="21" t="s">
        <v>1116</v>
      </c>
      <c r="C31" s="26" t="str">
        <f ca="1">IF(F31="specific_quest_clear",SUBSTITUTE(G31,"x",J31),IF(F31="specific_unit_aquired_count",SUBSTITUTE(J31,"y",K31),SUBSTITUTE(G31,"x",I31)))</f>
        <v>クエスト 【27-3. 山岳の王者】 をクリアしよう！</v>
      </c>
      <c r="D31" s="26" t="str">
        <f ca="1">IFERROR(VLOOKUP($A31,OFFSET(achievement_criterion_id,0,0,COUNTA($A:$A),MATCH(D$1,missions!$2:$2,0)-MATCH($A$1,missions!$2:$2,0)+1),MATCH(D$1,missions!$2:$2,0)-MATCH($A$1,missions!$2:$2,0)+1,FALSE),IFERROR(VLOOKUP($A31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1" s="27" t="s">
        <v>864</v>
      </c>
      <c r="F31" s="17" t="s">
        <v>310</v>
      </c>
      <c r="G31" s="26" t="str">
        <f ca="1">VLOOKUP($F31,OFFSET(達成条件!$A$1,0,0,COUNTA($A:$A),MATCH(G$1,達成条件!$1:$1,0)-MATCH($F$1,達成条件!$1:$1,0)+1),MATCH(G$1,達成条件!$1:$1,0)-MATCH($F$1,達成条件!$1:$1,0)+1,FALSE)</f>
        <v>クエスト 【x】 をクリアしよう！</v>
      </c>
      <c r="H31" s="26" t="str">
        <f ca="1">VLOOKUP($F31,OFFSET(達成条件!$A$1,0,0,COUNTA($A:$A),MATCH(H$1,達成条件!$1:$1,0)-MATCH($F$1,達成条件!$1:$1,0)+1),MATCH(H$1,達成条件!$1:$1,0)-MATCH($F$1,達成条件!$1:$1,0)+1,FALSE)</f>
        <v>該当のクエスト(99-9)</v>
      </c>
      <c r="I31" s="92" t="s">
        <v>1122</v>
      </c>
      <c r="J31" s="54" t="str">
        <f ca="1">IF(F31="specific_unit_aquired_count",SUBSTITUTE(G31,"x",VLOOKUP(INT($I31),OFFSET([3]characters!$A$2,0,0,COUNTA([3]characters!$A:$A),MATCH(J$1,[3]characters!$2:$2,0)-MATCH("character_id",[3]characters!$2:$2,0)+1),MATCH(J$1,[3]characters!$2:$2,0)-MATCH("character_id",[3]characters!$2:$2,0)+1,FALSE)),IF(F31="specific_quest_clear",VLOOKUP(SUBSTITUTE(I31,"-","_"),OFFSET([2]stages!$A$2,0,0,COUNTA([2]stages!$A:$A),MATCH("name",[2]stages!$2:$2,0)-MATCH("temp_stage",[2]stages!$2:$2,0)+1),MATCH("name",[2]stages!$2:$2,0)-MATCH("temp_stage",[2]stages!$2:$2,0)+1,FALSE),""))</f>
        <v>27-3. 山岳の王者</v>
      </c>
      <c r="K31" s="15" t="s">
        <v>352</v>
      </c>
      <c r="L31" s="15" t="s">
        <v>542</v>
      </c>
      <c r="M31" s="26"/>
      <c r="N31" s="26"/>
    </row>
    <row r="32" spans="1:14" ht="14" x14ac:dyDescent="0.15">
      <c r="A32" s="21" t="s">
        <v>1112</v>
      </c>
      <c r="B32" s="21" t="s">
        <v>1117</v>
      </c>
      <c r="C32" s="26" t="str">
        <f ca="1">IF(F32="specific_quest_clear",SUBSTITUTE(G32,"x",J32),IF(F32="specific_unit_aquired_count",SUBSTITUTE(J32,"y",K32),SUBSTITUTE(G32,"x",I32)))</f>
        <v>クエスト 【28-3. 縛風の洞窟】 をクリアしよう！</v>
      </c>
      <c r="D32" s="26" t="str">
        <f ca="1">IFERROR(VLOOKUP($A32,OFFSET(achievement_criterion_id,0,0,COUNTA($A:$A),MATCH(D$1,missions!$2:$2,0)-MATCH($A$1,missions!$2:$2,0)+1),MATCH(D$1,missions!$2:$2,0)-MATCH($A$1,missions!$2:$2,0)+1,FALSE),IFERROR(VLOOKUP($A32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2" s="27" t="s">
        <v>864</v>
      </c>
      <c r="F32" s="17" t="s">
        <v>310</v>
      </c>
      <c r="G32" s="26" t="str">
        <f ca="1">VLOOKUP($F32,OFFSET(達成条件!$A$1,0,0,COUNTA($A:$A),MATCH(G$1,達成条件!$1:$1,0)-MATCH($F$1,達成条件!$1:$1,0)+1),MATCH(G$1,達成条件!$1:$1,0)-MATCH($F$1,達成条件!$1:$1,0)+1,FALSE)</f>
        <v>クエスト 【x】 をクリアしよう！</v>
      </c>
      <c r="H32" s="26" t="str">
        <f ca="1">VLOOKUP($F32,OFFSET(達成条件!$A$1,0,0,COUNTA($A:$A),MATCH(H$1,達成条件!$1:$1,0)-MATCH($F$1,達成条件!$1:$1,0)+1),MATCH(H$1,達成条件!$1:$1,0)-MATCH($F$1,達成条件!$1:$1,0)+1,FALSE)</f>
        <v>該当のクエスト(99-9)</v>
      </c>
      <c r="I32" s="92" t="s">
        <v>1123</v>
      </c>
      <c r="J32" s="54" t="str">
        <f ca="1">IF(F32="specific_unit_aquired_count",SUBSTITUTE(G32,"x",VLOOKUP(INT($I32),OFFSET([3]characters!$A$2,0,0,COUNTA([3]characters!$A:$A),MATCH(J$1,[3]characters!$2:$2,0)-MATCH("character_id",[3]characters!$2:$2,0)+1),MATCH(J$1,[3]characters!$2:$2,0)-MATCH("character_id",[3]characters!$2:$2,0)+1,FALSE)),IF(F32="specific_quest_clear",VLOOKUP(SUBSTITUTE(I32,"-","_"),OFFSET([2]stages!$A$2,0,0,COUNTA([2]stages!$A:$A),MATCH("name",[2]stages!$2:$2,0)-MATCH("temp_stage",[2]stages!$2:$2,0)+1),MATCH("name",[2]stages!$2:$2,0)-MATCH("temp_stage",[2]stages!$2:$2,0)+1,FALSE),""))</f>
        <v>28-3. 縛風の洞窟</v>
      </c>
      <c r="K32" s="15" t="s">
        <v>352</v>
      </c>
      <c r="L32" s="15" t="s">
        <v>542</v>
      </c>
      <c r="M32" s="26"/>
      <c r="N32" s="26"/>
    </row>
    <row r="33" spans="1:14" ht="14" x14ac:dyDescent="0.15">
      <c r="A33" s="21" t="s">
        <v>1113</v>
      </c>
      <c r="B33" s="21" t="s">
        <v>1118</v>
      </c>
      <c r="C33" s="26" t="str">
        <f ca="1">IF(F33="specific_quest_clear",SUBSTITUTE(G33,"x",J33),IF(F33="specific_unit_aquired_count",SUBSTITUTE(J33,"y",K33),SUBSTITUTE(G33,"x",I33)))</f>
        <v>クエスト 【29-3. 仕立屋と兄妹】 をクリアしよう！</v>
      </c>
      <c r="D33" s="26" t="str">
        <f ca="1">IFERROR(VLOOKUP($A33,OFFSET(achievement_criterion_id,0,0,COUNTA($A:$A),MATCH(D$1,missions!$2:$2,0)-MATCH($A$1,missions!$2:$2,0)+1),MATCH(D$1,missions!$2:$2,0)-MATCH($A$1,missions!$2:$2,0)+1,FALSE),IFERROR(VLOOKUP($A33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3" s="27" t="s">
        <v>864</v>
      </c>
      <c r="F33" s="17" t="s">
        <v>310</v>
      </c>
      <c r="G33" s="26" t="str">
        <f ca="1">VLOOKUP($F33,OFFSET(達成条件!$A$1,0,0,COUNTA($A:$A),MATCH(G$1,達成条件!$1:$1,0)-MATCH($F$1,達成条件!$1:$1,0)+1),MATCH(G$1,達成条件!$1:$1,0)-MATCH($F$1,達成条件!$1:$1,0)+1,FALSE)</f>
        <v>クエスト 【x】 をクリアしよう！</v>
      </c>
      <c r="H33" s="26" t="str">
        <f ca="1">VLOOKUP($F33,OFFSET(達成条件!$A$1,0,0,COUNTA($A:$A),MATCH(H$1,達成条件!$1:$1,0)-MATCH($F$1,達成条件!$1:$1,0)+1),MATCH(H$1,達成条件!$1:$1,0)-MATCH($F$1,達成条件!$1:$1,0)+1,FALSE)</f>
        <v>該当のクエスト(99-9)</v>
      </c>
      <c r="I33" s="92" t="s">
        <v>1124</v>
      </c>
      <c r="J33" s="54" t="str">
        <f ca="1">IF(F33="specific_unit_aquired_count",SUBSTITUTE(G33,"x",VLOOKUP(INT($I33),OFFSET([3]characters!$A$2,0,0,COUNTA([3]characters!$A:$A),MATCH(J$1,[3]characters!$2:$2,0)-MATCH("character_id",[3]characters!$2:$2,0)+1),MATCH(J$1,[3]characters!$2:$2,0)-MATCH("character_id",[3]characters!$2:$2,0)+1,FALSE)),IF(F33="specific_quest_clear",VLOOKUP(SUBSTITUTE(I33,"-","_"),OFFSET([2]stages!$A$2,0,0,COUNTA([2]stages!$A:$A),MATCH("name",[2]stages!$2:$2,0)-MATCH("temp_stage",[2]stages!$2:$2,0)+1),MATCH("name",[2]stages!$2:$2,0)-MATCH("temp_stage",[2]stages!$2:$2,0)+1,FALSE),""))</f>
        <v>29-3. 仕立屋と兄妹</v>
      </c>
      <c r="K33" s="15" t="s">
        <v>352</v>
      </c>
      <c r="L33" s="15" t="s">
        <v>542</v>
      </c>
      <c r="M33" s="26"/>
      <c r="N33" s="26"/>
    </row>
    <row r="34" spans="1:14" ht="14" x14ac:dyDescent="0.15">
      <c r="A34" s="21" t="s">
        <v>1114</v>
      </c>
      <c r="B34" s="21" t="s">
        <v>1119</v>
      </c>
      <c r="C34" s="26" t="str">
        <f ca="1">IF(F34="specific_quest_clear",SUBSTITUTE(G34,"x",J34),IF(F34="specific_unit_aquired_count",SUBSTITUTE(J34,"y",K34),SUBSTITUTE(G34,"x",I34)))</f>
        <v>クエスト 【30-3. 月影の襲撃者】 をクリアしよう！</v>
      </c>
      <c r="D34" s="26" t="str">
        <f ca="1">IFERROR(VLOOKUP($A34,OFFSET(achievement_criterion_id,0,0,COUNTA($A:$A),MATCH(D$1,missions!$2:$2,0)-MATCH($A$1,missions!$2:$2,0)+1),MATCH(D$1,missions!$2:$2,0)-MATCH($A$1,missions!$2:$2,0)+1,FALSE),IFERROR(VLOOKUP($A34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4" s="27" t="s">
        <v>864</v>
      </c>
      <c r="F34" s="17" t="s">
        <v>310</v>
      </c>
      <c r="G34" s="26" t="str">
        <f ca="1">VLOOKUP($F34,OFFSET(達成条件!$A$1,0,0,COUNTA($A:$A),MATCH(G$1,達成条件!$1:$1,0)-MATCH($F$1,達成条件!$1:$1,0)+1),MATCH(G$1,達成条件!$1:$1,0)-MATCH($F$1,達成条件!$1:$1,0)+1,FALSE)</f>
        <v>クエスト 【x】 をクリアしよう！</v>
      </c>
      <c r="H34" s="26" t="str">
        <f ca="1">VLOOKUP($F34,OFFSET(達成条件!$A$1,0,0,COUNTA($A:$A),MATCH(H$1,達成条件!$1:$1,0)-MATCH($F$1,達成条件!$1:$1,0)+1),MATCH(H$1,達成条件!$1:$1,0)-MATCH($F$1,達成条件!$1:$1,0)+1,FALSE)</f>
        <v>該当のクエスト(99-9)</v>
      </c>
      <c r="I34" s="92" t="s">
        <v>1125</v>
      </c>
      <c r="J34" s="54" t="str">
        <f ca="1">IF(F34="specific_unit_aquired_count",SUBSTITUTE(G34,"x",VLOOKUP(INT($I34),OFFSET([3]characters!$A$2,0,0,COUNTA([3]characters!$A:$A),MATCH(J$1,[3]characters!$2:$2,0)-MATCH("character_id",[3]characters!$2:$2,0)+1),MATCH(J$1,[3]characters!$2:$2,0)-MATCH("character_id",[3]characters!$2:$2,0)+1,FALSE)),IF(F34="specific_quest_clear",VLOOKUP(SUBSTITUTE(I34,"-","_"),OFFSET([2]stages!$A$2,0,0,COUNTA([2]stages!$A:$A),MATCH("name",[2]stages!$2:$2,0)-MATCH("temp_stage",[2]stages!$2:$2,0)+1),MATCH("name",[2]stages!$2:$2,0)-MATCH("temp_stage",[2]stages!$2:$2,0)+1,FALSE),""))</f>
        <v>30-3. 月影の襲撃者</v>
      </c>
      <c r="K34" s="15" t="s">
        <v>352</v>
      </c>
      <c r="L34" s="15" t="s">
        <v>542</v>
      </c>
      <c r="M34" s="26"/>
      <c r="N34" s="26"/>
    </row>
    <row r="35" spans="1:14" ht="21" customHeight="1" x14ac:dyDescent="0.15">
      <c r="A35" s="21" t="s">
        <v>1115</v>
      </c>
      <c r="B35" s="21" t="s">
        <v>1120</v>
      </c>
      <c r="C35" s="26" t="str">
        <f ca="1">IF(F35="specific_quest_clear",SUBSTITUTE(G35,"x",J35),IF(F35="specific_unit_aquired_count",SUBSTITUTE(J35,"y",K35),SUBSTITUTE(G35,"x",I35)))</f>
        <v>クエスト 【31-3. 神域の試練】 をクリアしよう！</v>
      </c>
      <c r="D35" s="26" t="str">
        <f ca="1">IFERROR(VLOOKUP($A35,OFFSET(achievement_criterion_id,0,0,COUNTA($A:$A),MATCH(D$1,missions!$2:$2,0)-MATCH($A$1,missions!$2:$2,0)+1),MATCH(D$1,missions!$2:$2,0)-MATCH($A$1,missions!$2:$2,0)+1,FALSE),IFERROR(VLOOKUP($A35,OFFSET(weekly_achievement_criterion_id,0,0,COUNTA($A:$A),MATCH(D$1,weekly_missions!$2:$2,0)-MATCH($A$1,weekly_missions!$2:$2,0)+1),MATCH(D$1,weekly_missions!$2:$2,0)-MATCH($A$1,weekly_missions!$2:$2,0)+1,FALSE),"＊missions 未設定＊"))</f>
        <v>麗邸の遊撃守 エリゼ x 1</v>
      </c>
      <c r="E35" s="27" t="s">
        <v>864</v>
      </c>
      <c r="F35" s="17" t="s">
        <v>310</v>
      </c>
      <c r="G35" s="26" t="str">
        <f ca="1">VLOOKUP($F35,OFFSET(達成条件!$A$1,0,0,COUNTA($A:$A),MATCH(G$1,達成条件!$1:$1,0)-MATCH($F$1,達成条件!$1:$1,0)+1),MATCH(G$1,達成条件!$1:$1,0)-MATCH($F$1,達成条件!$1:$1,0)+1,FALSE)</f>
        <v>クエスト 【x】 をクリアしよう！</v>
      </c>
      <c r="H35" s="26" t="str">
        <f ca="1">VLOOKUP($F35,OFFSET(達成条件!$A$1,0,0,COUNTA($A:$A),MATCH(H$1,達成条件!$1:$1,0)-MATCH($F$1,達成条件!$1:$1,0)+1),MATCH(H$1,達成条件!$1:$1,0)-MATCH($F$1,達成条件!$1:$1,0)+1,FALSE)</f>
        <v>該当のクエスト(99-9)</v>
      </c>
      <c r="I35" s="92" t="s">
        <v>1126</v>
      </c>
      <c r="J35" s="54" t="str">
        <f ca="1">IF(F35="specific_unit_aquired_count",SUBSTITUTE(G35,"x",VLOOKUP(INT($I35),OFFSET([3]characters!$A$2,0,0,COUNTA([3]characters!$A:$A),MATCH(J$1,[3]characters!$2:$2,0)-MATCH("character_id",[3]characters!$2:$2,0)+1),MATCH(J$1,[3]characters!$2:$2,0)-MATCH("character_id",[3]characters!$2:$2,0)+1,FALSE)),IF(F35="specific_quest_clear",VLOOKUP(SUBSTITUTE(I35,"-","_"),OFFSET([2]stages!$A$2,0,0,COUNTA([2]stages!$A:$A),MATCH("name",[2]stages!$2:$2,0)-MATCH("temp_stage",[2]stages!$2:$2,0)+1),MATCH("name",[2]stages!$2:$2,0)-MATCH("temp_stage",[2]stages!$2:$2,0)+1,FALSE),""))</f>
        <v>31-3. 神域の試練</v>
      </c>
      <c r="K35" s="15" t="s">
        <v>352</v>
      </c>
      <c r="L35" s="15" t="s">
        <v>542</v>
      </c>
      <c r="M35" s="26"/>
      <c r="N35" s="26"/>
    </row>
    <row r="36" spans="1:14" ht="21" customHeight="1" x14ac:dyDescent="0.15">
      <c r="A36" s="21" t="s">
        <v>1541</v>
      </c>
      <c r="B36" s="21" t="s">
        <v>1120</v>
      </c>
      <c r="C36" s="108" t="s">
        <v>1550</v>
      </c>
      <c r="D36" s="26" t="str">
        <f ca="1">IFERROR(VLOOKUP($A36,OFFSET(achievement_criterion_id,0,0,COUNTA($A:$A),MATCH(D$1,missions!$2:$2,0)-MATCH($A$1,missions!$2:$2,0)+1),MATCH(D$1,missions!$2:$2,0)-MATCH($A$1,missions!$2:$2,0)+1,FALSE),IFERROR(VLOOKUP($A36,OFFSET(weekly_achievement_criterion_id,0,0,COUNTA($A:$A),MATCH(D$1,weekly_missions!$2:$2,0)-MATCH($A$1,weekly_missions!$2:$2,0)+1),MATCH(D$1,weekly_missions!$2:$2,0)-MATCH($A$1,weekly_missions!$2:$2,0)+1,FALSE),"＊missions 未設定＊"))</f>
        <v>彦星 x 1</v>
      </c>
      <c r="E36" s="27" t="s">
        <v>864</v>
      </c>
      <c r="F36" s="2" t="s">
        <v>31</v>
      </c>
      <c r="G36" s="26" t="str">
        <f ca="1">VLOOKUP($F36,OFFSET(達成条件!$A$1,0,0,COUNTA($A:$A),MATCH(G$1,達成条件!$1:$1,0)-MATCH($F$1,達成条件!$1:$1,0)+1),MATCH(G$1,達成条件!$1:$1,0)-MATCH($F$1,達成条件!$1:$1,0)+1,FALSE)</f>
        <v>ユニット 【x】 を y 体ゲットしよう！</v>
      </c>
      <c r="H36" s="26" t="str">
        <f ca="1">VLOOKUP($F36,OFFSET(達成条件!$A$1,0,0,COUNTA($A:$A),MATCH(H$1,達成条件!$1:$1,0)-MATCH($F$1,達成条件!$1:$1,0)+1),MATCH(H$1,達成条件!$1:$1,0)-MATCH($F$1,達成条件!$1:$1,0)+1,FALSE)</f>
        <v>ユニットID</v>
      </c>
      <c r="I36" s="60" t="s">
        <v>1549</v>
      </c>
      <c r="J36" s="54" t="str">
        <f ca="1">IF(F36="specific_unit_aquired_count",SUBSTITUTE(G36,"x",VLOOKUP(INT($I36),OFFSET([3]characters!$A$1,0,0,COUNTA([3]characters!$A:$A),MATCH(J$1,[3]characters!$1:$1,0)-MATCH("character_id",[3]characters!$1:$1,0)+1),MATCH(J$1,[3]characters!$1:$1,0)-MATCH("character_id",[3]characters!$1:$1,0)+1,FALSE)),IF(F36="specific_quest_clear",VLOOKUP(SUBSTITUTE(I36,"-","_"),OFFSET([2]stages!$A$1,0,0,COUNTA([2]stages!$A:$A),MATCH("name",[2]stages!$1:$1,0)-MATCH("temp_stage",[2]stages!$1:$1,0)+1),MATCH("name",[2]stages!$1:$1,0)-MATCH("temp_stage",[2]stages!$1:$1,0)+1,FALSE),""))</f>
        <v>ユニット 【彦星】 を y 体ゲットしよう！</v>
      </c>
      <c r="K36" s="110">
        <v>1</v>
      </c>
      <c r="L36" s="15" t="s">
        <v>542</v>
      </c>
      <c r="M36" s="26"/>
      <c r="N36" s="26"/>
    </row>
    <row r="37" spans="1:14" ht="21" customHeight="1" x14ac:dyDescent="0.15">
      <c r="A37" s="21" t="s">
        <v>1542</v>
      </c>
      <c r="B37" s="21" t="s">
        <v>1120</v>
      </c>
      <c r="C37" s="108" t="s">
        <v>1552</v>
      </c>
      <c r="D37" s="26" t="str">
        <f ca="1">IFERROR(VLOOKUP($A37,OFFSET(achievement_criterion_id,0,0,COUNTA($A:$A),MATCH(D$1,missions!$2:$2,0)-MATCH($A$1,missions!$2:$2,0)+1),MATCH(D$1,missions!$2:$2,0)-MATCH($A$1,missions!$2:$2,0)+1,FALSE),IFERROR(VLOOKUP($A37,OFFSET(weekly_achievement_criterion_id,0,0,COUNTA($A:$A),MATCH(D$1,weekly_missions!$2:$2,0)-MATCH($A$1,weekly_missions!$2:$2,0)+1),MATCH(D$1,weekly_missions!$2:$2,0)-MATCH($A$1,weekly_missions!$2:$2,0)+1,FALSE),"＊missions 未設定＊"))</f>
        <v>彦星 x 1</v>
      </c>
      <c r="E37" s="27" t="s">
        <v>864</v>
      </c>
      <c r="F37" s="2" t="s">
        <v>31</v>
      </c>
      <c r="G37" s="26" t="str">
        <f ca="1">VLOOKUP($F37,OFFSET(達成条件!$A$1,0,0,COUNTA($A:$A),MATCH(G$1,達成条件!$1:$1,0)-MATCH($F$1,達成条件!$1:$1,0)+1),MATCH(G$1,達成条件!$1:$1,0)-MATCH($F$1,達成条件!$1:$1,0)+1,FALSE)</f>
        <v>ユニット 【x】 を y 体ゲットしよう！</v>
      </c>
      <c r="H37" s="26" t="str">
        <f ca="1">VLOOKUP($F37,OFFSET(達成条件!$A$1,0,0,COUNTA($A:$A),MATCH(H$1,達成条件!$1:$1,0)-MATCH($F$1,達成条件!$1:$1,0)+1),MATCH(H$1,達成条件!$1:$1,0)-MATCH($F$1,達成条件!$1:$1,0)+1,FALSE)</f>
        <v>ユニットID</v>
      </c>
      <c r="I37" s="60" t="s">
        <v>1549</v>
      </c>
      <c r="J37" s="54" t="str">
        <f ca="1">IF(F37="specific_unit_aquired_count",SUBSTITUTE(G37,"x",VLOOKUP(INT($I37),OFFSET([3]characters!$A$1,0,0,COUNTA([3]characters!$A:$A),MATCH(J$1,[3]characters!$1:$1,0)-MATCH("character_id",[3]characters!$1:$1,0)+1),MATCH(J$1,[3]characters!$1:$1,0)-MATCH("character_id",[3]characters!$1:$1,0)+1,FALSE)),IF(F37="specific_quest_clear",VLOOKUP(SUBSTITUTE(I37,"-","_"),OFFSET([2]stages!$A$1,0,0,COUNTA([2]stages!$A:$A),MATCH("name",[2]stages!$1:$1,0)-MATCH("temp_stage",[2]stages!$1:$1,0)+1),MATCH("name",[2]stages!$1:$1,0)-MATCH("temp_stage",[2]stages!$1:$1,0)+1,FALSE),""))</f>
        <v>ユニット 【彦星】 を y 体ゲットしよう！</v>
      </c>
      <c r="K37" s="110">
        <v>10</v>
      </c>
      <c r="L37" s="15" t="s">
        <v>542</v>
      </c>
      <c r="M37" s="26"/>
      <c r="N37" s="26"/>
    </row>
    <row r="38" spans="1:14" ht="21" customHeight="1" x14ac:dyDescent="0.15">
      <c r="A38" s="21" t="s">
        <v>1543</v>
      </c>
      <c r="B38" s="21" t="s">
        <v>1120</v>
      </c>
      <c r="C38" s="108" t="s">
        <v>1553</v>
      </c>
      <c r="D38" s="26" t="str">
        <f ca="1">IFERROR(VLOOKUP($A38,OFFSET(achievement_criterion_id,0,0,COUNTA($A:$A),MATCH(D$1,missions!$2:$2,0)-MATCH($A$1,missions!$2:$2,0)+1),MATCH(D$1,missions!$2:$2,0)-MATCH($A$1,missions!$2:$2,0)+1,FALSE),IFERROR(VLOOKUP($A38,OFFSET(weekly_achievement_criterion_id,0,0,COUNTA($A:$A),MATCH(D$1,weekly_missions!$2:$2,0)-MATCH($A$1,weekly_missions!$2:$2,0)+1),MATCH(D$1,weekly_missions!$2:$2,0)-MATCH($A$1,weekly_missions!$2:$2,0)+1,FALSE),"＊missions 未設定＊"))</f>
        <v>彦星 x 1</v>
      </c>
      <c r="E38" s="27" t="s">
        <v>864</v>
      </c>
      <c r="F38" s="2" t="s">
        <v>31</v>
      </c>
      <c r="G38" s="26" t="str">
        <f ca="1">VLOOKUP($F38,OFFSET(達成条件!$A$1,0,0,COUNTA($A:$A),MATCH(G$1,達成条件!$1:$1,0)-MATCH($F$1,達成条件!$1:$1,0)+1),MATCH(G$1,達成条件!$1:$1,0)-MATCH($F$1,達成条件!$1:$1,0)+1,FALSE)</f>
        <v>ユニット 【x】 を y 体ゲットしよう！</v>
      </c>
      <c r="H38" s="26" t="str">
        <f ca="1">VLOOKUP($F38,OFFSET(達成条件!$A$1,0,0,COUNTA($A:$A),MATCH(H$1,達成条件!$1:$1,0)-MATCH($F$1,達成条件!$1:$1,0)+1),MATCH(H$1,達成条件!$1:$1,0)-MATCH($F$1,達成条件!$1:$1,0)+1,FALSE)</f>
        <v>ユニットID</v>
      </c>
      <c r="I38" s="60" t="s">
        <v>1549</v>
      </c>
      <c r="J38" s="54" t="str">
        <f ca="1">IF(F38="specific_unit_aquired_count",SUBSTITUTE(G38,"x",VLOOKUP(INT($I38),OFFSET([3]characters!$A$1,0,0,COUNTA([3]characters!$A:$A),MATCH(J$1,[3]characters!$1:$1,0)-MATCH("character_id",[3]characters!$1:$1,0)+1),MATCH(J$1,[3]characters!$1:$1,0)-MATCH("character_id",[3]characters!$1:$1,0)+1,FALSE)),IF(F38="specific_quest_clear",VLOOKUP(SUBSTITUTE(I38,"-","_"),OFFSET([2]stages!$A$1,0,0,COUNTA([2]stages!$A:$A),MATCH("name",[2]stages!$1:$1,0)-MATCH("temp_stage",[2]stages!$1:$1,0)+1),MATCH("name",[2]stages!$1:$1,0)-MATCH("temp_stage",[2]stages!$1:$1,0)+1,FALSE),""))</f>
        <v>ユニット 【彦星】 を y 体ゲットしよう！</v>
      </c>
      <c r="K38" s="110">
        <v>25</v>
      </c>
      <c r="L38" s="15" t="s">
        <v>542</v>
      </c>
      <c r="M38" s="26"/>
      <c r="N38" s="26"/>
    </row>
    <row r="39" spans="1:14" ht="21" customHeight="1" x14ac:dyDescent="0.15">
      <c r="A39" s="21" t="s">
        <v>1591</v>
      </c>
      <c r="B39" s="21" t="s">
        <v>1120</v>
      </c>
      <c r="C39" s="108" t="s">
        <v>1554</v>
      </c>
      <c r="D39" s="26" t="str">
        <f ca="1">IFERROR(VLOOKUP($A39,OFFSET(achievement_criterion_id,0,0,COUNTA($A:$A),MATCH(D$1,missions!$2:$2,0)-MATCH($A$1,missions!$2:$2,0)+1),MATCH(D$1,missions!$2:$2,0)-MATCH($A$1,missions!$2:$2,0)+1,FALSE),IFERROR(VLOOKUP($A39,OFFSET(weekly_achievement_criterion_id,0,0,COUNTA($A:$A),MATCH(D$1,weekly_missions!$2:$2,0)-MATCH($A$1,weekly_missions!$2:$2,0)+1),MATCH(D$1,weekly_missions!$2:$2,0)-MATCH($A$1,weekly_missions!$2:$2,0)+1,FALSE),"＊missions 未設定＊"))</f>
        <v>リトルハンプティ x 1</v>
      </c>
      <c r="E39" s="27" t="s">
        <v>864</v>
      </c>
      <c r="F39" s="2" t="s">
        <v>31</v>
      </c>
      <c r="G39" s="26" t="str">
        <f ca="1">VLOOKUP($F39,OFFSET(達成条件!$A$1,0,0,COUNTA($A:$A),MATCH(G$1,達成条件!$1:$1,0)-MATCH($F$1,達成条件!$1:$1,0)+1),MATCH(G$1,達成条件!$1:$1,0)-MATCH($F$1,達成条件!$1:$1,0)+1,FALSE)</f>
        <v>ユニット 【x】 を y 体ゲットしよう！</v>
      </c>
      <c r="H39" s="26" t="str">
        <f ca="1">VLOOKUP($F39,OFFSET(達成条件!$A$1,0,0,COUNTA($A:$A),MATCH(H$1,達成条件!$1:$1,0)-MATCH($F$1,達成条件!$1:$1,0)+1),MATCH(H$1,達成条件!$1:$1,0)-MATCH($F$1,達成条件!$1:$1,0)+1,FALSE)</f>
        <v>ユニットID</v>
      </c>
      <c r="I39" s="60" t="s">
        <v>1549</v>
      </c>
      <c r="J39" s="54" t="str">
        <f ca="1">IF(F39="specific_unit_aquired_count",SUBSTITUTE(G39,"x",VLOOKUP(INT($I39),OFFSET([3]characters!$A$1,0,0,COUNTA([3]characters!$A:$A),MATCH(J$1,[3]characters!$1:$1,0)-MATCH("character_id",[3]characters!$1:$1,0)+1),MATCH(J$1,[3]characters!$1:$1,0)-MATCH("character_id",[3]characters!$1:$1,0)+1,FALSE)),IF(F39="specific_quest_clear",VLOOKUP(SUBSTITUTE(I39,"-","_"),OFFSET([2]stages!$A$1,0,0,COUNTA([2]stages!$A:$A),MATCH("name",[2]stages!$1:$1,0)-MATCH("temp_stage",[2]stages!$1:$1,0)+1),MATCH("name",[2]stages!$1:$1,0)-MATCH("temp_stage",[2]stages!$1:$1,0)+1,FALSE),""))</f>
        <v>ユニット 【彦星】 を y 体ゲットしよう！</v>
      </c>
      <c r="K39" s="110">
        <v>50</v>
      </c>
      <c r="L39" s="15" t="s">
        <v>542</v>
      </c>
      <c r="M39" s="26"/>
      <c r="N39" s="26"/>
    </row>
    <row r="40" spans="1:14" ht="21" customHeight="1" x14ac:dyDescent="0.15">
      <c r="A40" s="21" t="s">
        <v>1592</v>
      </c>
      <c r="B40" s="21" t="s">
        <v>1116</v>
      </c>
      <c r="C40" s="108" t="s">
        <v>1596</v>
      </c>
      <c r="D40" s="26" t="str">
        <f ca="1">IFERROR(VLOOKUP($A40,OFFSET(achievement_criterion_id,0,0,COUNTA($A:$A),MATCH(D$1,missions!$2:$2,0)-MATCH($A$1,missions!$2:$2,0)+1),MATCH(D$1,missions!$2:$2,0)-MATCH($A$1,missions!$2:$2,0)+1,FALSE),IFERROR(VLOOKUP($A40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40" s="27" t="s">
        <v>352</v>
      </c>
      <c r="F40" s="2" t="s">
        <v>31</v>
      </c>
      <c r="G40" s="26" t="str">
        <f ca="1">VLOOKUP($F40,OFFSET(達成条件!$A$1,0,0,COUNTA($A:$A),MATCH(G$1,達成条件!$1:$1,0)-MATCH($F$1,達成条件!$1:$1,0)+1),MATCH(G$1,達成条件!$1:$1,0)-MATCH($F$1,達成条件!$1:$1,0)+1,FALSE)</f>
        <v>ユニット 【x】 を y 体ゲットしよう！</v>
      </c>
      <c r="H40" s="26" t="str">
        <f ca="1">VLOOKUP($F40,OFFSET(達成条件!$A$1,0,0,COUNTA($A:$A),MATCH(H$1,達成条件!$1:$1,0)-MATCH($F$1,達成条件!$1:$1,0)+1),MATCH(H$1,達成条件!$1:$1,0)-MATCH($F$1,達成条件!$1:$1,0)+1,FALSE)</f>
        <v>ユニットID</v>
      </c>
      <c r="I40" s="60" t="s">
        <v>1589</v>
      </c>
      <c r="J40" s="54" t="str">
        <f ca="1">IF(F40="specific_unit_aquired_count",SUBSTITUTE(G40,"x",VLOOKUP(INT($I40),OFFSET([3]characters!$A$1,0,0,COUNTA([3]characters!$A:$A),MATCH(J$1,[3]characters!$1:$1,0)-MATCH("character_id",[3]characters!$1:$1,0)+1),MATCH(J$1,[3]characters!$1:$1,0)-MATCH("character_id",[3]characters!$1:$1,0)+1,FALSE)),IF(F40="specific_quest_clear",VLOOKUP(SUBSTITUTE(I40,"-","_"),OFFSET([2]stages!$A$1,0,0,COUNTA([2]stages!$A:$A),MATCH("name",[2]stages!$1:$1,0)-MATCH("temp_stage",[2]stages!$1:$1,0)+1),MATCH("name",[2]stages!$1:$1,0)-MATCH("temp_stage",[2]stages!$1:$1,0)+1,FALSE),""))</f>
        <v>ユニット 【常夏の眩獣 麒麟】 を y 体ゲットしよう！</v>
      </c>
      <c r="K40" s="110">
        <v>1</v>
      </c>
      <c r="L40" s="15" t="s">
        <v>542</v>
      </c>
      <c r="M40" s="26"/>
      <c r="N40" s="26"/>
    </row>
    <row r="41" spans="1:14" ht="21" customHeight="1" x14ac:dyDescent="0.15">
      <c r="A41" s="21" t="s">
        <v>1593</v>
      </c>
      <c r="B41" s="21" t="s">
        <v>1116</v>
      </c>
      <c r="C41" s="108" t="s">
        <v>1597</v>
      </c>
      <c r="D41" s="26" t="str">
        <f ca="1">IFERROR(VLOOKUP($A41,OFFSET(achievement_criterion_id,0,0,COUNTA($A:$A),MATCH(D$1,missions!$2:$2,0)-MATCH($A$1,missions!$2:$2,0)+1),MATCH(D$1,missions!$2:$2,0)-MATCH($A$1,missions!$2:$2,0)+1,FALSE),IFERROR(VLOOKUP($A41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41" s="27" t="s">
        <v>352</v>
      </c>
      <c r="F41" s="2" t="s">
        <v>31</v>
      </c>
      <c r="G41" s="26" t="str">
        <f ca="1">VLOOKUP($F41,OFFSET(達成条件!$A$1,0,0,COUNTA($A:$A),MATCH(G$1,達成条件!$1:$1,0)-MATCH($F$1,達成条件!$1:$1,0)+1),MATCH(G$1,達成条件!$1:$1,0)-MATCH($F$1,達成条件!$1:$1,0)+1,FALSE)</f>
        <v>ユニット 【x】 を y 体ゲットしよう！</v>
      </c>
      <c r="H41" s="26" t="str">
        <f ca="1">VLOOKUP($F41,OFFSET(達成条件!$A$1,0,0,COUNTA($A:$A),MATCH(H$1,達成条件!$1:$1,0)-MATCH($F$1,達成条件!$1:$1,0)+1),MATCH(H$1,達成条件!$1:$1,0)-MATCH($F$1,達成条件!$1:$1,0)+1,FALSE)</f>
        <v>ユニットID</v>
      </c>
      <c r="I41" s="60" t="s">
        <v>1589</v>
      </c>
      <c r="J41" s="54" t="str">
        <f ca="1">IF(F41="specific_unit_aquired_count",SUBSTITUTE(G41,"x",VLOOKUP(INT($I41),OFFSET([3]characters!$A$1,0,0,COUNTA([3]characters!$A:$A),MATCH(J$1,[3]characters!$1:$1,0)-MATCH("character_id",[3]characters!$1:$1,0)+1),MATCH(J$1,[3]characters!$1:$1,0)-MATCH("character_id",[3]characters!$1:$1,0)+1,FALSE)),IF(F41="specific_quest_clear",VLOOKUP(SUBSTITUTE(I41,"-","_"),OFFSET([2]stages!$A$1,0,0,COUNTA([2]stages!$A:$A),MATCH("name",[2]stages!$1:$1,0)-MATCH("temp_stage",[2]stages!$1:$1,0)+1),MATCH("name",[2]stages!$1:$1,0)-MATCH("temp_stage",[2]stages!$1:$1,0)+1,FALSE),""))</f>
        <v>ユニット 【常夏の眩獣 麒麟】 を y 体ゲットしよう！</v>
      </c>
      <c r="K41" s="110">
        <v>10</v>
      </c>
      <c r="L41" s="15" t="s">
        <v>542</v>
      </c>
      <c r="M41" s="26"/>
      <c r="N41" s="26"/>
    </row>
    <row r="42" spans="1:14" ht="21" customHeight="1" x14ac:dyDescent="0.15">
      <c r="A42" s="21" t="s">
        <v>1594</v>
      </c>
      <c r="B42" s="21" t="s">
        <v>1116</v>
      </c>
      <c r="C42" s="108" t="s">
        <v>1598</v>
      </c>
      <c r="D42" s="26" t="str">
        <f ca="1">IFERROR(VLOOKUP($A42,OFFSET(achievement_criterion_id,0,0,COUNTA($A:$A),MATCH(D$1,missions!$2:$2,0)-MATCH($A$1,missions!$2:$2,0)+1),MATCH(D$1,missions!$2:$2,0)-MATCH($A$1,missions!$2:$2,0)+1,FALSE),IFERROR(VLOOKUP($A42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42" s="27" t="s">
        <v>352</v>
      </c>
      <c r="F42" s="2" t="s">
        <v>31</v>
      </c>
      <c r="G42" s="26" t="str">
        <f ca="1">VLOOKUP($F42,OFFSET(達成条件!$A$1,0,0,COUNTA($A:$A),MATCH(G$1,達成条件!$1:$1,0)-MATCH($F$1,達成条件!$1:$1,0)+1),MATCH(G$1,達成条件!$1:$1,0)-MATCH($F$1,達成条件!$1:$1,0)+1,FALSE)</f>
        <v>ユニット 【x】 を y 体ゲットしよう！</v>
      </c>
      <c r="H42" s="26" t="str">
        <f ca="1">VLOOKUP($F42,OFFSET(達成条件!$A$1,0,0,COUNTA($A:$A),MATCH(H$1,達成条件!$1:$1,0)-MATCH($F$1,達成条件!$1:$1,0)+1),MATCH(H$1,達成条件!$1:$1,0)-MATCH($F$1,達成条件!$1:$1,0)+1,FALSE)</f>
        <v>ユニットID</v>
      </c>
      <c r="I42" s="60" t="s">
        <v>1589</v>
      </c>
      <c r="J42" s="54" t="str">
        <f ca="1">IF(F42="specific_unit_aquired_count",SUBSTITUTE(G42,"x",VLOOKUP(INT($I42),OFFSET([3]characters!$A$1,0,0,COUNTA([3]characters!$A:$A),MATCH(J$1,[3]characters!$1:$1,0)-MATCH("character_id",[3]characters!$1:$1,0)+1),MATCH(J$1,[3]characters!$1:$1,0)-MATCH("character_id",[3]characters!$1:$1,0)+1,FALSE)),IF(F42="specific_quest_clear",VLOOKUP(SUBSTITUTE(I42,"-","_"),OFFSET([2]stages!$A$1,0,0,COUNTA([2]stages!$A:$A),MATCH("name",[2]stages!$1:$1,0)-MATCH("temp_stage",[2]stages!$1:$1,0)+1),MATCH("name",[2]stages!$1:$1,0)-MATCH("temp_stage",[2]stages!$1:$1,0)+1,FALSE),""))</f>
        <v>ユニット 【常夏の眩獣 麒麟】 を y 体ゲットしよう！</v>
      </c>
      <c r="K42" s="110">
        <v>25</v>
      </c>
      <c r="L42" s="15" t="s">
        <v>542</v>
      </c>
      <c r="M42" s="26"/>
      <c r="N42" s="26"/>
    </row>
    <row r="43" spans="1:14" ht="21" customHeight="1" x14ac:dyDescent="0.15">
      <c r="A43" s="21" t="s">
        <v>1595</v>
      </c>
      <c r="B43" s="21" t="s">
        <v>1116</v>
      </c>
      <c r="C43" s="108" t="s">
        <v>1599</v>
      </c>
      <c r="D43" s="26" t="str">
        <f ca="1">IFERROR(VLOOKUP($A43,OFFSET(achievement_criterion_id,0,0,COUNTA($A:$A),MATCH(D$1,missions!$2:$2,0)-MATCH($A$1,missions!$2:$2,0)+1),MATCH(D$1,missions!$2:$2,0)-MATCH($A$1,missions!$2:$2,0)+1,FALSE),IFERROR(VLOOKUP($A43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43" s="27" t="s">
        <v>352</v>
      </c>
      <c r="F43" s="2" t="s">
        <v>31</v>
      </c>
      <c r="G43" s="26" t="str">
        <f ca="1">VLOOKUP($F43,OFFSET(達成条件!$A$1,0,0,COUNTA($A:$A),MATCH(G$1,達成条件!$1:$1,0)-MATCH($F$1,達成条件!$1:$1,0)+1),MATCH(G$1,達成条件!$1:$1,0)-MATCH($F$1,達成条件!$1:$1,0)+1,FALSE)</f>
        <v>ユニット 【x】 を y 体ゲットしよう！</v>
      </c>
      <c r="H43" s="26" t="str">
        <f ca="1">VLOOKUP($F43,OFFSET(達成条件!$A$1,0,0,COUNTA($A:$A),MATCH(H$1,達成条件!$1:$1,0)-MATCH($F$1,達成条件!$1:$1,0)+1),MATCH(H$1,達成条件!$1:$1,0)-MATCH($F$1,達成条件!$1:$1,0)+1,FALSE)</f>
        <v>ユニットID</v>
      </c>
      <c r="I43" s="60" t="s">
        <v>1589</v>
      </c>
      <c r="J43" s="54" t="str">
        <f ca="1">IF(F43="specific_unit_aquired_count",SUBSTITUTE(G43,"x",VLOOKUP(INT($I43),OFFSET([3]characters!$A$1,0,0,COUNTA([3]characters!$A:$A),MATCH(J$1,[3]characters!$1:$1,0)-MATCH("character_id",[3]characters!$1:$1,0)+1),MATCH(J$1,[3]characters!$1:$1,0)-MATCH("character_id",[3]characters!$1:$1,0)+1,FALSE)),IF(F43="specific_quest_clear",VLOOKUP(SUBSTITUTE(I43,"-","_"),OFFSET([2]stages!$A$1,0,0,COUNTA([2]stages!$A:$A),MATCH("name",[2]stages!$1:$1,0)-MATCH("temp_stage",[2]stages!$1:$1,0)+1),MATCH("name",[2]stages!$1:$1,0)-MATCH("temp_stage",[2]stages!$1:$1,0)+1,FALSE),""))</f>
        <v>ユニット 【常夏の眩獣 麒麟】 を y 体ゲットしよう！</v>
      </c>
      <c r="K43" s="110">
        <v>50</v>
      </c>
      <c r="L43" s="15" t="s">
        <v>542</v>
      </c>
      <c r="M43" s="26"/>
      <c r="N43" s="26"/>
    </row>
    <row r="44" spans="1:14" ht="21" customHeight="1" x14ac:dyDescent="0.15">
      <c r="A44" s="21" t="s">
        <v>361</v>
      </c>
      <c r="B44" s="21" t="s">
        <v>792</v>
      </c>
      <c r="C44" s="76" t="s">
        <v>1012</v>
      </c>
      <c r="D44" s="26" t="str">
        <f ca="1">IFERROR(VLOOKUP($A44,OFFSET(achievement_criterion_id,0,0,COUNTA($A:$A),MATCH(D$1,missions!$2:$2,0)-MATCH($A$1,missions!$2:$2,0)+1),MATCH(D$1,missions!$2:$2,0)-MATCH($A$1,missions!$2:$2,0)+1,FALSE),IFERROR(VLOOKUP($A44,OFFSET(weekly_achievement_criterion_id,0,0,COUNTA($A:$A),MATCH(D$1,weekly_missions!$2:$2,0)-MATCH($A$1,weekly_missions!$2:$2,0)+1),MATCH(D$1,weekly_missions!$2:$2,0)-MATCH($A$1,weekly_missions!$2:$2,0)+1,FALSE),"＊missions 未設定＊"))</f>
        <v>ハッピー100 x 1</v>
      </c>
      <c r="E44" s="27" t="s">
        <v>864</v>
      </c>
      <c r="F44" s="17" t="s">
        <v>310</v>
      </c>
      <c r="G44" s="27" t="s">
        <v>765</v>
      </c>
      <c r="H44" s="26" t="str">
        <f ca="1">VLOOKUP($F44,OFFSET(達成条件!$A$1,0,0,COUNTA($A:$A),MATCH(H$1,達成条件!$1:$1,0)-MATCH($F$1,達成条件!$1:$1,0)+1),MATCH(H$1,達成条件!$1:$1,0)-MATCH($F$1,達成条件!$1:$1,0)+1,FALSE)</f>
        <v>該当のクエスト(99-9)</v>
      </c>
      <c r="I44" s="55" t="s">
        <v>512</v>
      </c>
      <c r="J44" s="89" t="s">
        <v>1023</v>
      </c>
      <c r="K44" s="15" t="s">
        <v>352</v>
      </c>
      <c r="L44" s="15" t="s">
        <v>542</v>
      </c>
      <c r="M44" s="26" t="str">
        <f ca="1">IFERROR(VLOOKUP($L44,OFFSET(missions!$A$2,0,0,COUNTA($A:$A),MATCH(M$1,missions!$2:$2,0)-MATCH(#REF!,missions!$2:$2,0)+1),MATCH(M$1,missions!$2:$2,0)-MATCH(#REF!,missions!$2:$2,0)+1,FALSE),"")</f>
        <v/>
      </c>
      <c r="N44" s="26" t="str">
        <f ca="1">IFERROR(VLOOKUP($L44,OFFSET(missions!$A$2,0,0,COUNTA($A:$A),MATCH(N$1,missions!$2:$2,0)-MATCH(#REF!,missions!$2:$2,0)+1),MATCH(N$1,missions!$2:$2,0)-MATCH(#REF!,missions!$2:$2,0)+1,FALSE),"")</f>
        <v/>
      </c>
    </row>
    <row r="45" spans="1:14" ht="21" customHeight="1" x14ac:dyDescent="0.15">
      <c r="A45" s="21" t="s">
        <v>362</v>
      </c>
      <c r="B45" s="21" t="s">
        <v>792</v>
      </c>
      <c r="C45" s="76" t="s">
        <v>1013</v>
      </c>
      <c r="D45" s="26" t="str">
        <f ca="1">IFERROR(VLOOKUP($A45,OFFSET(achievement_criterion_id,0,0,COUNTA($A:$A),MATCH(D$1,missions!$2:$2,0)-MATCH($A$1,missions!$2:$2,0)+1),MATCH(D$1,missions!$2:$2,0)-MATCH($A$1,missions!$2:$2,0)+1,FALSE),IFERROR(VLOOKUP($A45,OFFSET(weekly_achievement_criterion_id,0,0,COUNTA($A:$A),MATCH(D$1,weekly_missions!$2:$2,0)-MATCH($A$1,weekly_missions!$2:$2,0)+1),MATCH(D$1,weekly_missions!$2:$2,0)-MATCH($A$1,weekly_missions!$2:$2,0)+1,FALSE),"＊missions 未設定＊"))</f>
        <v>拡散性ニムダ x 1</v>
      </c>
      <c r="E45" s="27" t="s">
        <v>864</v>
      </c>
      <c r="F45" s="17" t="s">
        <v>310</v>
      </c>
      <c r="G45" s="27" t="s">
        <v>765</v>
      </c>
      <c r="H45" s="26" t="str">
        <f ca="1">VLOOKUP($F45,OFFSET(達成条件!$A$1,0,0,COUNTA($A:$A),MATCH(H$1,達成条件!$1:$1,0)-MATCH($F$1,達成条件!$1:$1,0)+1),MATCH(H$1,達成条件!$1:$1,0)-MATCH($F$1,達成条件!$1:$1,0)+1,FALSE)</f>
        <v>該当のクエスト(99-9)</v>
      </c>
      <c r="I45" s="55" t="s">
        <v>513</v>
      </c>
      <c r="J45" s="89" t="s">
        <v>1024</v>
      </c>
      <c r="K45" s="15" t="s">
        <v>352</v>
      </c>
      <c r="L45" s="15" t="s">
        <v>542</v>
      </c>
      <c r="M45" s="26" t="str">
        <f ca="1">IFERROR(VLOOKUP($L45,OFFSET(missions!$A$2,0,0,COUNTA($A:$A),MATCH(M$1,missions!$2:$2,0)-MATCH(#REF!,missions!$2:$2,0)+1),MATCH(M$1,missions!$2:$2,0)-MATCH(#REF!,missions!$2:$2,0)+1,FALSE),"")</f>
        <v/>
      </c>
      <c r="N45" s="26" t="str">
        <f ca="1">IFERROR(VLOOKUP($L45,OFFSET(missions!$A$2,0,0,COUNTA($A:$A),MATCH(N$1,missions!$2:$2,0)-MATCH(#REF!,missions!$2:$2,0)+1),MATCH(N$1,missions!$2:$2,0)-MATCH(#REF!,missions!$2:$2,0)+1,FALSE),"")</f>
        <v/>
      </c>
    </row>
    <row r="46" spans="1:14" ht="21" customHeight="1" x14ac:dyDescent="0.15">
      <c r="A46" s="21" t="s">
        <v>363</v>
      </c>
      <c r="B46" s="21" t="s">
        <v>792</v>
      </c>
      <c r="C46" s="76" t="s">
        <v>2200</v>
      </c>
      <c r="D46" s="26" t="str">
        <f ca="1">IFERROR(VLOOKUP($A46,OFFSET(achievement_criterion_id,0,0,COUNTA($A:$A),MATCH(D$1,missions!$2:$2,0)-MATCH($A$1,missions!$2:$2,0)+1),MATCH(D$1,missions!$2:$2,0)-MATCH($A$1,missions!$2:$2,0)+1,FALSE),IFERROR(VLOOKUP($A46,OFFSET(weekly_achievement_criterion_id,0,0,COUNTA($A:$A),MATCH(D$1,weekly_missions!$2:$2,0)-MATCH($A$1,weekly_missions!$2:$2,0)+1),MATCH(D$1,weekly_missions!$2:$2,0)-MATCH($A$1,weekly_missions!$2:$2,0)+1,FALSE),"＊missions 未設定＊"))</f>
        <v>増幅型モリス x 1</v>
      </c>
      <c r="E46" s="27" t="s">
        <v>864</v>
      </c>
      <c r="F46" s="17" t="s">
        <v>310</v>
      </c>
      <c r="G46" s="27" t="s">
        <v>765</v>
      </c>
      <c r="H46" s="26" t="str">
        <f ca="1">VLOOKUP($F46,OFFSET(達成条件!$A$1,0,0,COUNTA($A:$A),MATCH(H$1,達成条件!$1:$1,0)-MATCH($F$1,達成条件!$1:$1,0)+1),MATCH(H$1,達成条件!$1:$1,0)-MATCH($F$1,達成条件!$1:$1,0)+1,FALSE)</f>
        <v>該当のクエスト(99-9)</v>
      </c>
      <c r="I46" s="55" t="s">
        <v>356</v>
      </c>
      <c r="J46" s="89" t="s">
        <v>1025</v>
      </c>
      <c r="K46" s="15" t="s">
        <v>352</v>
      </c>
      <c r="L46" s="15" t="s">
        <v>542</v>
      </c>
      <c r="M46" s="26" t="str">
        <f ca="1">IFERROR(VLOOKUP($L46,OFFSET(missions!$A$2,0,0,COUNTA($A:$A),MATCH(M$1,missions!$2:$2,0)-MATCH(#REF!,missions!$2:$2,0)+1),MATCH(M$1,missions!$2:$2,0)-MATCH(#REF!,missions!$2:$2,0)+1,FALSE),"")</f>
        <v/>
      </c>
      <c r="N46" s="26" t="str">
        <f ca="1">IFERROR(VLOOKUP($L46,OFFSET(missions!$A$2,0,0,COUNTA($A:$A),MATCH(N$1,missions!$2:$2,0)-MATCH(#REF!,missions!$2:$2,0)+1),MATCH(N$1,missions!$2:$2,0)-MATCH(#REF!,missions!$2:$2,0)+1,FALSE),"")</f>
        <v/>
      </c>
    </row>
    <row r="47" spans="1:14" ht="21" customHeight="1" x14ac:dyDescent="0.15">
      <c r="A47" s="21" t="s">
        <v>364</v>
      </c>
      <c r="B47" s="21" t="s">
        <v>792</v>
      </c>
      <c r="C47" s="76" t="s">
        <v>1014</v>
      </c>
      <c r="D47" s="26" t="str">
        <f ca="1">IFERROR(VLOOKUP($A47,OFFSET(achievement_criterion_id,0,0,COUNTA($A:$A),MATCH(D$1,missions!$2:$2,0)-MATCH($A$1,missions!$2:$2,0)+1),MATCH(D$1,missions!$2:$2,0)-MATCH($A$1,missions!$2:$2,0)+1,FALSE),IFERROR(VLOOKUP($A47,OFFSET(weekly_achievement_criterion_id,0,0,COUNTA($A:$A),MATCH(D$1,weekly_missions!$2:$2,0)-MATCH($A$1,weekly_missions!$2:$2,0)+1),MATCH(D$1,weekly_missions!$2:$2,0)-MATCH($A$1,weekly_missions!$2:$2,0)+1,FALSE),"＊missions 未設定＊"))</f>
        <v>潜伏型メリッサ x 1</v>
      </c>
      <c r="E47" s="27" t="s">
        <v>864</v>
      </c>
      <c r="F47" s="17" t="s">
        <v>310</v>
      </c>
      <c r="G47" s="27" t="s">
        <v>765</v>
      </c>
      <c r="H47" s="26" t="str">
        <f ca="1">VLOOKUP($F47,OFFSET(達成条件!$A$1,0,0,COUNTA($A:$A),MATCH(H$1,達成条件!$1:$1,0)-MATCH($F$1,達成条件!$1:$1,0)+1),MATCH(H$1,達成条件!$1:$1,0)-MATCH($F$1,達成条件!$1:$1,0)+1,FALSE)</f>
        <v>該当のクエスト(99-9)</v>
      </c>
      <c r="I47" s="55" t="s">
        <v>357</v>
      </c>
      <c r="J47" s="89" t="s">
        <v>1026</v>
      </c>
      <c r="K47" s="15" t="s">
        <v>352</v>
      </c>
      <c r="L47" s="15" t="s">
        <v>542</v>
      </c>
      <c r="M47" s="26" t="str">
        <f ca="1">IFERROR(VLOOKUP($L47,OFFSET(missions!$A$2,0,0,COUNTA($A:$A),MATCH(M$1,missions!$2:$2,0)-MATCH("mission_id",missions!$2:$2,0)+1),MATCH(M$1,missions!$2:$2,0)-MATCH("mission_id",missions!$2:$2,0)+1,FALSE),"")</f>
        <v/>
      </c>
      <c r="N47" s="26" t="str">
        <f ca="1">IFERROR(VLOOKUP($L47,OFFSET(missions!$A$2,0,0,COUNTA($A:$A),MATCH(N$1,missions!$2:$2,0)-MATCH("mission_id",missions!$2:$2,0)+1),MATCH(N$1,missions!$2:$2,0)-MATCH("mission_id",missions!$2:$2,0)+1,FALSE),"")</f>
        <v/>
      </c>
    </row>
    <row r="48" spans="1:14" ht="21" customHeight="1" x14ac:dyDescent="0.15">
      <c r="A48" s="21" t="s">
        <v>365</v>
      </c>
      <c r="B48" s="21" t="s">
        <v>792</v>
      </c>
      <c r="C48" s="76" t="s">
        <v>1015</v>
      </c>
      <c r="D48" s="26" t="str">
        <f ca="1">IFERROR(VLOOKUP($A48,OFFSET(achievement_criterion_id,0,0,COUNTA($A:$A),MATCH(D$1,missions!$2:$2,0)-MATCH($A$1,missions!$2:$2,0)+1),MATCH(D$1,missions!$2:$2,0)-MATCH($A$1,missions!$2:$2,0)+1,FALSE),IFERROR(VLOOKUP($A48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48" s="27" t="s">
        <v>864</v>
      </c>
      <c r="F48" s="17" t="s">
        <v>310</v>
      </c>
      <c r="G48" s="27" t="s">
        <v>765</v>
      </c>
      <c r="H48" s="26" t="str">
        <f ca="1">VLOOKUP($F48,OFFSET(達成条件!$A$1,0,0,COUNTA($A:$A),MATCH(H$1,達成条件!$1:$1,0)-MATCH($F$1,達成条件!$1:$1,0)+1),MATCH(H$1,達成条件!$1:$1,0)-MATCH($F$1,達成条件!$1:$1,0)+1,FALSE)</f>
        <v>該当のクエスト(99-9)</v>
      </c>
      <c r="I48" s="55" t="s">
        <v>514</v>
      </c>
      <c r="J48" s="89" t="s">
        <v>1027</v>
      </c>
      <c r="K48" s="15" t="s">
        <v>352</v>
      </c>
      <c r="L48" s="15" t="s">
        <v>542</v>
      </c>
      <c r="M48" s="26" t="str">
        <f ca="1">IFERROR(VLOOKUP($L48,OFFSET(missions!$A$2,0,0,COUNTA($A:$A),MATCH(M$1,missions!$2:$2,0)-MATCH("mission_id",missions!$2:$2,0)+1),MATCH(M$1,missions!$2:$2,0)-MATCH("mission_id",missions!$2:$2,0)+1,FALSE),"")</f>
        <v/>
      </c>
      <c r="N48" s="26" t="str">
        <f ca="1">IFERROR(VLOOKUP($L48,OFFSET(missions!$A$2,0,0,COUNTA($A:$A),MATCH(N$1,missions!$2:$2,0)-MATCH("mission_id",missions!$2:$2,0)+1),MATCH(N$1,missions!$2:$2,0)-MATCH("mission_id",missions!$2:$2,0)+1,FALSE),"")</f>
        <v/>
      </c>
    </row>
    <row r="49" spans="1:15" ht="21" customHeight="1" x14ac:dyDescent="0.15">
      <c r="A49" s="21" t="s">
        <v>366</v>
      </c>
      <c r="B49" s="21" t="s">
        <v>792</v>
      </c>
      <c r="C49" s="76" t="s">
        <v>1016</v>
      </c>
      <c r="D49" s="26" t="str">
        <f ca="1">IFERROR(VLOOKUP($A49,OFFSET(achievement_criterion_id,0,0,COUNTA($A:$A),MATCH(D$1,missions!$2:$2,0)-MATCH($A$1,missions!$2:$2,0)+1),MATCH(D$1,missions!$2:$2,0)-MATCH($A$1,missions!$2:$2,0)+1,FALSE),IFERROR(VLOOKUP($A49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49" s="27" t="s">
        <v>864</v>
      </c>
      <c r="F49" s="17" t="s">
        <v>310</v>
      </c>
      <c r="G49" s="27" t="s">
        <v>765</v>
      </c>
      <c r="H49" s="26" t="str">
        <f ca="1">VLOOKUP($F49,OFFSET(達成条件!$A$1,0,0,COUNTA($A:$A),MATCH(H$1,達成条件!$1:$1,0)-MATCH($F$1,達成条件!$1:$1,0)+1),MATCH(H$1,達成条件!$1:$1,0)-MATCH($F$1,達成条件!$1:$1,0)+1,FALSE)</f>
        <v>該当のクエスト(99-9)</v>
      </c>
      <c r="I49" s="55" t="s">
        <v>358</v>
      </c>
      <c r="J49" s="89" t="s">
        <v>1028</v>
      </c>
      <c r="K49" s="15" t="s">
        <v>352</v>
      </c>
      <c r="L49" s="15" t="s">
        <v>542</v>
      </c>
      <c r="M49" s="26" t="str">
        <f ca="1">IFERROR(VLOOKUP($L49,OFFSET(missions!$A$2,0,0,COUNTA($A:$A),MATCH(M$1,missions!$2:$2,0)-MATCH("mission_id",missions!$2:$2,0)+1),MATCH(M$1,missions!$2:$2,0)-MATCH("mission_id",missions!$2:$2,0)+1,FALSE),"")</f>
        <v/>
      </c>
      <c r="N49" s="26" t="str">
        <f ca="1">IFERROR(VLOOKUP($L49,OFFSET(missions!$A$2,0,0,COUNTA($A:$A),MATCH(N$1,missions!$2:$2,0)-MATCH("mission_id",missions!$2:$2,0)+1),MATCH(N$1,missions!$2:$2,0)-MATCH("mission_id",missions!$2:$2,0)+1,FALSE),"")</f>
        <v/>
      </c>
    </row>
    <row r="50" spans="1:15" ht="21" customHeight="1" x14ac:dyDescent="0.15">
      <c r="A50" s="21" t="s">
        <v>367</v>
      </c>
      <c r="B50" s="21" t="s">
        <v>792</v>
      </c>
      <c r="C50" s="76" t="s">
        <v>1018</v>
      </c>
      <c r="D50" s="26" t="str">
        <f ca="1">IFERROR(VLOOKUP($A50,OFFSET(achievement_criterion_id,0,0,COUNTA($A:$A),MATCH(D$1,missions!$2:$2,0)-MATCH($A$1,missions!$2:$2,0)+1),MATCH(D$1,missions!$2:$2,0)-MATCH($A$1,missions!$2:$2,0)+1,FALSE),IFERROR(VLOOKUP($A50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50" s="27" t="s">
        <v>864</v>
      </c>
      <c r="F50" s="17" t="s">
        <v>310</v>
      </c>
      <c r="G50" s="27" t="s">
        <v>765</v>
      </c>
      <c r="H50" s="26" t="str">
        <f ca="1">VLOOKUP($F50,OFFSET(達成条件!$A$1,0,0,COUNTA($A:$A),MATCH(H$1,達成条件!$1:$1,0)-MATCH($F$1,達成条件!$1:$1,0)+1),MATCH(H$1,達成条件!$1:$1,0)-MATCH($F$1,達成条件!$1:$1,0)+1,FALSE)</f>
        <v>該当のクエスト(99-9)</v>
      </c>
      <c r="I50" s="55" t="s">
        <v>515</v>
      </c>
      <c r="J50" s="89" t="s">
        <v>1029</v>
      </c>
      <c r="K50" s="15" t="s">
        <v>352</v>
      </c>
      <c r="L50" s="15" t="s">
        <v>542</v>
      </c>
      <c r="M50" s="26" t="str">
        <f ca="1">IFERROR(VLOOKUP($L50,OFFSET(missions!$A$2,0,0,COUNTA($A:$A),MATCH(M$1,missions!$2:$2,0)-MATCH("mission_id",missions!$2:$2,0)+1),MATCH(M$1,missions!$2:$2,0)-MATCH("mission_id",missions!$2:$2,0)+1,FALSE),"")</f>
        <v/>
      </c>
      <c r="N50" s="26" t="str">
        <f ca="1">IFERROR(VLOOKUP($L50,OFFSET(missions!$A$2,0,0,COUNTA($A:$A),MATCH(N$1,missions!$2:$2,0)-MATCH("mission_id",missions!$2:$2,0)+1),MATCH(N$1,missions!$2:$2,0)-MATCH("mission_id",missions!$2:$2,0)+1,FALSE),"")</f>
        <v/>
      </c>
    </row>
    <row r="51" spans="1:15" ht="21" customHeight="1" x14ac:dyDescent="0.15">
      <c r="A51" s="21" t="s">
        <v>368</v>
      </c>
      <c r="B51" s="21" t="s">
        <v>792</v>
      </c>
      <c r="C51" s="76" t="s">
        <v>1017</v>
      </c>
      <c r="D51" s="26" t="str">
        <f ca="1">IFERROR(VLOOKUP($A51,OFFSET(achievement_criterion_id,0,0,COUNTA($A:$A),MATCH(D$1,missions!$2:$2,0)-MATCH($A$1,missions!$2:$2,0)+1),MATCH(D$1,missions!$2:$2,0)-MATCH($A$1,missions!$2:$2,0)+1,FALSE),IFERROR(VLOOKUP($A51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51" s="27" t="s">
        <v>864</v>
      </c>
      <c r="F51" s="17" t="s">
        <v>310</v>
      </c>
      <c r="G51" s="27" t="s">
        <v>765</v>
      </c>
      <c r="H51" s="26" t="str">
        <f ca="1">VLOOKUP($F51,OFFSET(達成条件!$A$1,0,0,COUNTA($A:$A),MATCH(H$1,達成条件!$1:$1,0)-MATCH($F$1,達成条件!$1:$1,0)+1),MATCH(H$1,達成条件!$1:$1,0)-MATCH($F$1,達成条件!$1:$1,0)+1,FALSE)</f>
        <v>該当のクエスト(99-9)</v>
      </c>
      <c r="I51" s="55" t="s">
        <v>359</v>
      </c>
      <c r="J51" s="89" t="s">
        <v>1030</v>
      </c>
      <c r="K51" s="15" t="s">
        <v>352</v>
      </c>
      <c r="L51" s="15" t="s">
        <v>542</v>
      </c>
      <c r="M51" s="26" t="str">
        <f ca="1">IFERROR(VLOOKUP($L51,OFFSET(missions!$A$2,0,0,COUNTA($A:$A),MATCH(M$1,missions!$2:$2,0)-MATCH("mission_id",missions!$2:$2,0)+1),MATCH(M$1,missions!$2:$2,0)-MATCH("mission_id",missions!$2:$2,0)+1,FALSE),"")</f>
        <v/>
      </c>
      <c r="N51" s="26" t="str">
        <f ca="1">IFERROR(VLOOKUP($L51,OFFSET(missions!$A$2,0,0,COUNTA($A:$A),MATCH(N$1,missions!$2:$2,0)-MATCH("mission_id",missions!$2:$2,0)+1),MATCH(N$1,missions!$2:$2,0)-MATCH("mission_id",missions!$2:$2,0)+1,FALSE),"")</f>
        <v/>
      </c>
    </row>
    <row r="52" spans="1:15" ht="21" customHeight="1" x14ac:dyDescent="0.15">
      <c r="A52" s="21" t="s">
        <v>369</v>
      </c>
      <c r="B52" s="21" t="s">
        <v>792</v>
      </c>
      <c r="C52" s="76" t="s">
        <v>1019</v>
      </c>
      <c r="D52" s="26" t="str">
        <f ca="1">IFERROR(VLOOKUP($A52,OFFSET(achievement_criterion_id,0,0,COUNTA($A:$A),MATCH(D$1,missions!$2:$2,0)-MATCH($A$1,missions!$2:$2,0)+1),MATCH(D$1,missions!$2:$2,0)-MATCH($A$1,missions!$2:$2,0)+1,FALSE),IFERROR(VLOOKUP($A52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52" s="27" t="s">
        <v>864</v>
      </c>
      <c r="F52" s="17" t="s">
        <v>310</v>
      </c>
      <c r="G52" s="27" t="s">
        <v>765</v>
      </c>
      <c r="H52" s="26" t="str">
        <f ca="1">VLOOKUP($F52,OFFSET(達成条件!$A$1,0,0,COUNTA($A:$A),MATCH(H$1,達成条件!$1:$1,0)-MATCH($F$1,達成条件!$1:$1,0)+1),MATCH(H$1,達成条件!$1:$1,0)-MATCH($F$1,達成条件!$1:$1,0)+1,FALSE)</f>
        <v>該当のクエスト(99-9)</v>
      </c>
      <c r="I52" s="55" t="s">
        <v>516</v>
      </c>
      <c r="J52" s="89" t="s">
        <v>1031</v>
      </c>
      <c r="K52" s="15" t="s">
        <v>352</v>
      </c>
      <c r="L52" s="15" t="s">
        <v>542</v>
      </c>
      <c r="M52" s="26" t="str">
        <f ca="1">IFERROR(VLOOKUP($L52,OFFSET(missions!$A$2,0,0,COUNTA($A:$A),MATCH(M$1,missions!$2:$2,0)-MATCH("mission_id",missions!$2:$2,0)+1),MATCH(M$1,missions!$2:$2,0)-MATCH("mission_id",missions!$2:$2,0)+1,FALSE),"")</f>
        <v/>
      </c>
      <c r="N52" s="26" t="str">
        <f ca="1">IFERROR(VLOOKUP($L52,OFFSET(missions!$A$2,0,0,COUNTA($A:$A),MATCH(N$1,missions!$2:$2,0)-MATCH("mission_id",missions!$2:$2,0)+1),MATCH(N$1,missions!$2:$2,0)-MATCH("mission_id",missions!$2:$2,0)+1,FALSE),"")</f>
        <v/>
      </c>
    </row>
    <row r="53" spans="1:15" ht="21" customHeight="1" x14ac:dyDescent="0.15">
      <c r="A53" s="21" t="s">
        <v>370</v>
      </c>
      <c r="B53" s="21" t="s">
        <v>792</v>
      </c>
      <c r="C53" s="76" t="s">
        <v>1020</v>
      </c>
      <c r="D53" s="26" t="str">
        <f ca="1">IFERROR(VLOOKUP($A53,OFFSET(achievement_criterion_id,0,0,COUNTA($A:$A),MATCH(D$1,missions!$2:$2,0)-MATCH($A$1,missions!$2:$2,0)+1),MATCH(D$1,missions!$2:$2,0)-MATCH($A$1,missions!$2:$2,0)+1,FALSE),IFERROR(VLOOKUP($A53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53" s="27" t="s">
        <v>864</v>
      </c>
      <c r="F53" s="17" t="s">
        <v>310</v>
      </c>
      <c r="G53" s="27" t="s">
        <v>765</v>
      </c>
      <c r="H53" s="26" t="str">
        <f ca="1">VLOOKUP($F53,OFFSET(達成条件!$A$1,0,0,COUNTA($A:$A),MATCH(H$1,達成条件!$1:$1,0)-MATCH($F$1,達成条件!$1:$1,0)+1),MATCH(H$1,達成条件!$1:$1,0)-MATCH($F$1,達成条件!$1:$1,0)+1,FALSE)</f>
        <v>該当のクエスト(99-9)</v>
      </c>
      <c r="I53" s="55" t="s">
        <v>360</v>
      </c>
      <c r="J53" s="89" t="s">
        <v>1032</v>
      </c>
      <c r="K53" s="15" t="s">
        <v>352</v>
      </c>
      <c r="L53" s="15" t="s">
        <v>542</v>
      </c>
      <c r="M53" s="26" t="str">
        <f ca="1">IFERROR(VLOOKUP($L53,OFFSET(missions!$A$2,0,0,COUNTA($A:$A),MATCH(M$1,missions!$2:$2,0)-MATCH("mission_id",missions!$2:$2,0)+1),MATCH(M$1,missions!$2:$2,0)-MATCH("mission_id",missions!$2:$2,0)+1,FALSE),"")</f>
        <v/>
      </c>
      <c r="N53" s="26" t="str">
        <f ca="1">IFERROR(VLOOKUP($L53,OFFSET(missions!$A$2,0,0,COUNTA($A:$A),MATCH(N$1,missions!$2:$2,0)-MATCH("mission_id",missions!$2:$2,0)+1),MATCH(N$1,missions!$2:$2,0)-MATCH("mission_id",missions!$2:$2,0)+1,FALSE),"")</f>
        <v/>
      </c>
    </row>
    <row r="54" spans="1:15" ht="21" customHeight="1" x14ac:dyDescent="0.15">
      <c r="A54" s="21" t="s">
        <v>682</v>
      </c>
      <c r="B54" s="21" t="s">
        <v>792</v>
      </c>
      <c r="C54" s="76" t="s">
        <v>1021</v>
      </c>
      <c r="D54" s="26" t="str">
        <f ca="1">IFERROR(VLOOKUP($A54,OFFSET(achievement_criterion_id,0,0,COUNTA($A:$A),MATCH(D$1,missions!$2:$2,0)-MATCH($A$1,missions!$2:$2,0)+1),MATCH(D$1,missions!$2:$2,0)-MATCH($A$1,missions!$2:$2,0)+1,FALSE),IFERROR(VLOOKUP($A54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54" s="27" t="s">
        <v>864</v>
      </c>
      <c r="F54" s="17" t="s">
        <v>310</v>
      </c>
      <c r="G54" s="27" t="s">
        <v>765</v>
      </c>
      <c r="H54" s="26" t="str">
        <f ca="1">VLOOKUP($F54,OFFSET(達成条件!$A$1,0,0,COUNTA($A:$A),MATCH(H$1,達成条件!$1:$1,0)-MATCH($F$1,達成条件!$1:$1,0)+1),MATCH(H$1,達成条件!$1:$1,0)-MATCH($F$1,達成条件!$1:$1,0)+1,FALSE)</f>
        <v>該当のクエスト(99-9)</v>
      </c>
      <c r="I54" s="55" t="s">
        <v>683</v>
      </c>
      <c r="J54" s="89" t="s">
        <v>1033</v>
      </c>
      <c r="K54" s="15" t="s">
        <v>352</v>
      </c>
      <c r="L54" s="15" t="s">
        <v>542</v>
      </c>
      <c r="M54" s="26" t="str">
        <f ca="1">IFERROR(VLOOKUP($L54,OFFSET(missions!$A$2,0,0,COUNTA($A:$A),MATCH(M$1,missions!$2:$2,0)-MATCH("mission_id",missions!$2:$2,0)+1),MATCH(M$1,missions!$2:$2,0)-MATCH("mission_id",missions!$2:$2,0)+1,FALSE),"")</f>
        <v/>
      </c>
      <c r="N54" s="26" t="str">
        <f ca="1">IFERROR(VLOOKUP($L54,OFFSET(missions!$A$2,0,0,COUNTA($A:$A),MATCH(N$1,missions!$2:$2,0)-MATCH("mission_id",missions!$2:$2,0)+1),MATCH(N$1,missions!$2:$2,0)-MATCH("mission_id",missions!$2:$2,0)+1,FALSE),"")</f>
        <v/>
      </c>
    </row>
    <row r="55" spans="1:15" ht="23" customHeight="1" x14ac:dyDescent="0.15">
      <c r="A55" s="21" t="s">
        <v>684</v>
      </c>
      <c r="B55" s="21" t="s">
        <v>792</v>
      </c>
      <c r="C55" s="76" t="s">
        <v>1022</v>
      </c>
      <c r="D55" s="26" t="str">
        <f ca="1">IFERROR(VLOOKUP($A55,OFFSET(achievement_criterion_id,0,0,COUNTA($A:$A),MATCH(D$1,missions!$2:$2,0)-MATCH($A$1,missions!$2:$2,0)+1),MATCH(D$1,missions!$2:$2,0)-MATCH($A$1,missions!$2:$2,0)+1,FALSE),IFERROR(VLOOKUP($A55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55" s="27" t="s">
        <v>864</v>
      </c>
      <c r="F55" s="17" t="s">
        <v>310</v>
      </c>
      <c r="G55" s="27" t="s">
        <v>765</v>
      </c>
      <c r="H55" s="26" t="str">
        <f ca="1">VLOOKUP($F55,OFFSET(達成条件!$A$1,0,0,COUNTA($A:$A),MATCH(H$1,達成条件!$1:$1,0)-MATCH($F$1,達成条件!$1:$1,0)+1),MATCH(H$1,達成条件!$1:$1,0)-MATCH($F$1,達成条件!$1:$1,0)+1,FALSE)</f>
        <v>該当のクエスト(99-9)</v>
      </c>
      <c r="I55" s="55" t="s">
        <v>685</v>
      </c>
      <c r="J55" s="89" t="s">
        <v>1034</v>
      </c>
      <c r="K55" s="15" t="s">
        <v>352</v>
      </c>
      <c r="L55" s="15" t="s">
        <v>542</v>
      </c>
      <c r="M55" s="26" t="str">
        <f ca="1">IFERROR(VLOOKUP($L55,OFFSET(missions!$A$2,0,0,COUNTA($A:$A),MATCH(M$1,missions!$2:$2,0)-MATCH("mission_id",missions!$2:$2,0)+1),MATCH(M$1,missions!$2:$2,0)-MATCH("mission_id",missions!$2:$2,0)+1,FALSE),"")</f>
        <v/>
      </c>
      <c r="N55" s="26" t="str">
        <f ca="1">IFERROR(VLOOKUP($L55,OFFSET(missions!$A$2,0,0,COUNTA($A:$A),MATCH(N$1,missions!$2:$2,0)-MATCH("mission_id",missions!$2:$2,0)+1),MATCH(N$1,missions!$2:$2,0)-MATCH("mission_id",missions!$2:$2,0)+1,FALSE),"")</f>
        <v/>
      </c>
    </row>
    <row r="56" spans="1:15" ht="23" customHeight="1" x14ac:dyDescent="0.15">
      <c r="A56" s="136" t="s">
        <v>1895</v>
      </c>
      <c r="B56" s="21" t="s">
        <v>792</v>
      </c>
      <c r="C56" s="117" t="s">
        <v>1915</v>
      </c>
      <c r="D56" s="26" t="str">
        <f ca="1">IFERROR(VLOOKUP($A56,OFFSET(achievement_criterion_id,0,0,COUNTA($A:$A),MATCH(D$1,missions!$2:$2,0)-MATCH($A$1,missions!$2:$2,0)+1),MATCH(D$1,missions!$2:$2,0)-MATCH($A$1,missions!$2:$2,0)+1,FALSE),IFERROR(VLOOKUP($A56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6" s="27" t="s">
        <v>352</v>
      </c>
      <c r="F56" s="17" t="s">
        <v>310</v>
      </c>
      <c r="G56" s="27" t="s">
        <v>765</v>
      </c>
      <c r="H56" s="26" t="str">
        <f ca="1">VLOOKUP($F56,OFFSET(達成条件!$A$1,0,0,COUNTA($A:$A),MATCH(H$1,達成条件!$1:$1,0)-MATCH($F$1,達成条件!$1:$1,0)+1),MATCH(H$1,達成条件!$1:$1,0)-MATCH($F$1,達成条件!$1:$1,0)+1,FALSE)</f>
        <v>該当のクエスト(99-9)</v>
      </c>
      <c r="I56" s="118" t="s">
        <v>1914</v>
      </c>
      <c r="J56" s="54" t="str">
        <f ca="1">IF(F56="specific_unit_aquired_count",SUBSTITUTE(G56,"x",VLOOKUP(INT($I56),OFFSET([3]characters!$A$2,0,0,COUNTA([3]characters!$A:$A),MATCH(J$1,[3]characters!$2:$2,0)-MATCH("character_id",[3]characters!$2:$2,0)+1),MATCH(J$1,[3]characters!$2:$2,0)-MATCH("character_id",[3]characters!$2:$2,0)+1,FALSE)),IF(F56="specific_quest_clear",VLOOKUP(SUBSTITUTE(I56,"-","_"),OFFSET([2]stages!$A$2,0,0,COUNTA([2]stages!$A:$A),MATCH("name",[2]stages!$2:$2,0)-MATCH("temp_stage",[2]stages!$2:$2,0)+1),MATCH("name",[2]stages!$2:$2,0)-MATCH("temp_stage",[2]stages!$2:$2,0)+1,FALSE),""))</f>
        <v>1階 コスト制限なし</v>
      </c>
      <c r="K56" s="15" t="s">
        <v>352</v>
      </c>
      <c r="L56" s="15" t="s">
        <v>542</v>
      </c>
      <c r="M56" s="26"/>
      <c r="N56" s="26"/>
      <c r="O56" s="124" t="s">
        <v>1917</v>
      </c>
    </row>
    <row r="57" spans="1:15" ht="23" customHeight="1" x14ac:dyDescent="0.15">
      <c r="A57" s="136" t="s">
        <v>1916</v>
      </c>
      <c r="B57" s="21" t="s">
        <v>792</v>
      </c>
      <c r="C57" s="117" t="s">
        <v>1915</v>
      </c>
      <c r="D57" s="26" t="str">
        <f ca="1">IFERROR(VLOOKUP($A57,OFFSET(achievement_criterion_id,0,0,COUNTA($A:$A),MATCH(D$1,missions!$2:$2,0)-MATCH($A$1,missions!$2:$2,0)+1),MATCH(D$1,missions!$2:$2,0)-MATCH($A$1,missions!$2:$2,0)+1,FALSE),IFERROR(VLOOKUP($A57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7" s="27" t="s">
        <v>352</v>
      </c>
      <c r="F57" s="17" t="s">
        <v>310</v>
      </c>
      <c r="G57" s="27" t="s">
        <v>765</v>
      </c>
      <c r="H57" s="26" t="str">
        <f ca="1">VLOOKUP($F57,OFFSET(達成条件!$A$1,0,0,COUNTA($A:$A),MATCH(H$1,達成条件!$1:$1,0)-MATCH($F$1,達成条件!$1:$1,0)+1),MATCH(H$1,達成条件!$1:$1,0)-MATCH($F$1,達成条件!$1:$1,0)+1,FALSE)</f>
        <v>該当のクエスト(99-9)</v>
      </c>
      <c r="I57" s="118" t="s">
        <v>1914</v>
      </c>
      <c r="J57" s="54" t="str">
        <f ca="1">IF(F57="specific_unit_aquired_count",SUBSTITUTE(G57,"x",VLOOKUP(INT($I57),OFFSET([3]characters!$A$2,0,0,COUNTA([3]characters!$A:$A),MATCH(J$1,[3]characters!$2:$2,0)-MATCH("character_id",[3]characters!$2:$2,0)+1),MATCH(J$1,[3]characters!$2:$2,0)-MATCH("character_id",[3]characters!$2:$2,0)+1,FALSE)),IF(F57="specific_quest_clear",VLOOKUP(SUBSTITUTE(I57,"-","_"),OFFSET([2]stages!$A$2,0,0,COUNTA([2]stages!$A:$A),MATCH("name",[2]stages!$2:$2,0)-MATCH("temp_stage",[2]stages!$2:$2,0)+1),MATCH("name",[2]stages!$2:$2,0)-MATCH("temp_stage",[2]stages!$2:$2,0)+1,FALSE),""))</f>
        <v>1階 コスト制限なし</v>
      </c>
      <c r="K57" s="15" t="s">
        <v>352</v>
      </c>
      <c r="L57" s="15" t="s">
        <v>542</v>
      </c>
      <c r="M57" s="26"/>
      <c r="N57" s="26"/>
      <c r="O57" s="124" t="s">
        <v>1917</v>
      </c>
    </row>
    <row r="58" spans="1:15" ht="23" customHeight="1" x14ac:dyDescent="0.15">
      <c r="A58" s="136" t="s">
        <v>1923</v>
      </c>
      <c r="B58" s="21" t="s">
        <v>792</v>
      </c>
      <c r="C58" s="117" t="s">
        <v>1915</v>
      </c>
      <c r="D58" s="26" t="str">
        <f ca="1">IFERROR(VLOOKUP($A58,OFFSET(achievement_criterion_id,0,0,COUNTA($A:$A),MATCH(D$1,missions!$2:$2,0)-MATCH($A$1,missions!$2:$2,0)+1),MATCH(D$1,missions!$2:$2,0)-MATCH($A$1,missions!$2:$2,0)+1,FALSE),IFERROR(VLOOKUP($A58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8" s="27" t="s">
        <v>352</v>
      </c>
      <c r="F58" s="17" t="s">
        <v>310</v>
      </c>
      <c r="G58" s="27" t="s">
        <v>765</v>
      </c>
      <c r="H58" s="26" t="str">
        <f ca="1">VLOOKUP($F58,OFFSET(達成条件!$A$1,0,0,COUNTA($A:$A),MATCH(H$1,達成条件!$1:$1,0)-MATCH($F$1,達成条件!$1:$1,0)+1),MATCH(H$1,達成条件!$1:$1,0)-MATCH($F$1,達成条件!$1:$1,0)+1,FALSE)</f>
        <v>該当のクエスト(99-9)</v>
      </c>
      <c r="I58" s="118" t="s">
        <v>1924</v>
      </c>
      <c r="J58" s="54" t="str">
        <f ca="1">IF(F58="specific_unit_aquired_count",SUBSTITUTE(G58,"x",VLOOKUP(INT($I58),OFFSET([3]characters!$A$2,0,0,COUNTA([3]characters!$A:$A),MATCH(J$1,[3]characters!$2:$2,0)-MATCH("character_id",[3]characters!$2:$2,0)+1),MATCH(J$1,[3]characters!$2:$2,0)-MATCH("character_id",[3]characters!$2:$2,0)+1,FALSE)),IF(F58="specific_quest_clear",VLOOKUP(SUBSTITUTE(I58,"-","_"),OFFSET([2]stages!$A$2,0,0,COUNTA([2]stages!$A:$A),MATCH("name",[2]stages!$2:$2,0)-MATCH("temp_stage",[2]stages!$2:$2,0)+1),MATCH("name",[2]stages!$2:$2,0)-MATCH("temp_stage",[2]stages!$2:$2,0)+1,FALSE),""))</f>
        <v>1階 コスト制限なし</v>
      </c>
      <c r="K58" s="15" t="s">
        <v>352</v>
      </c>
      <c r="L58" s="15" t="s">
        <v>542</v>
      </c>
      <c r="M58" s="26"/>
      <c r="N58" s="26"/>
      <c r="O58" s="124" t="s">
        <v>1917</v>
      </c>
    </row>
    <row r="59" spans="1:15" ht="23" customHeight="1" x14ac:dyDescent="0.15">
      <c r="A59" s="136" t="s">
        <v>2045</v>
      </c>
      <c r="B59" s="21" t="s">
        <v>792</v>
      </c>
      <c r="C59" s="117" t="s">
        <v>1915</v>
      </c>
      <c r="D59" s="26" t="str">
        <f ca="1">IFERROR(VLOOKUP($A59,OFFSET(achievement_criterion_id,0,0,COUNTA($A:$A),MATCH(D$1,missions!$2:$2,0)-MATCH($A$1,missions!$2:$2,0)+1),MATCH(D$1,missions!$2:$2,0)-MATCH($A$1,missions!$2:$2,0)+1,FALSE),IFERROR(VLOOKUP($A59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9" s="27" t="s">
        <v>352</v>
      </c>
      <c r="F59" s="17" t="s">
        <v>310</v>
      </c>
      <c r="G59" s="27" t="s">
        <v>765</v>
      </c>
      <c r="H59" s="26" t="str">
        <f ca="1">VLOOKUP($F59,OFFSET(達成条件!$A$1,0,0,COUNTA($A:$A),MATCH(H$1,達成条件!$1:$1,0)-MATCH($F$1,達成条件!$1:$1,0)+1),MATCH(H$1,達成条件!$1:$1,0)-MATCH($F$1,達成条件!$1:$1,0)+1,FALSE)</f>
        <v>該当のクエスト(99-9)</v>
      </c>
      <c r="I59" s="118" t="s">
        <v>2046</v>
      </c>
      <c r="J59" s="54" t="str">
        <f ca="1">IF(F59="specific_unit_aquired_count",SUBSTITUTE(G59,"x",VLOOKUP(INT($I59),OFFSET([3]characters!$A$2,0,0,COUNTA([3]characters!$A:$A),MATCH(J$1,[3]characters!$2:$2,0)-MATCH("character_id",[3]characters!$2:$2,0)+1),MATCH(J$1,[3]characters!$2:$2,0)-MATCH("character_id",[3]characters!$2:$2,0)+1,FALSE)),IF(F59="specific_quest_clear",VLOOKUP(SUBSTITUTE(I59,"-","_"),OFFSET([2]stages!$A$2,0,0,COUNTA([2]stages!$A:$A),MATCH("name",[2]stages!$2:$2,0)-MATCH("temp_stage",[2]stages!$2:$2,0)+1),MATCH("name",[2]stages!$2:$2,0)-MATCH("temp_stage",[2]stages!$2:$2,0)+1,FALSE),""))</f>
        <v>1階 コスト制限なし</v>
      </c>
      <c r="K59" s="15" t="s">
        <v>352</v>
      </c>
      <c r="L59" s="15" t="s">
        <v>542</v>
      </c>
      <c r="M59" s="26"/>
      <c r="N59" s="26"/>
      <c r="O59" s="124" t="s">
        <v>1917</v>
      </c>
    </row>
    <row r="60" spans="1:15" ht="23" customHeight="1" x14ac:dyDescent="0.15">
      <c r="A60" s="136" t="s">
        <v>2092</v>
      </c>
      <c r="B60" s="21" t="s">
        <v>792</v>
      </c>
      <c r="C60" s="117" t="s">
        <v>1915</v>
      </c>
      <c r="D60" s="26" t="str">
        <f ca="1">IFERROR(VLOOKUP($A60,OFFSET(achievement_criterion_id,0,0,COUNTA($A:$A),MATCH(D$1,missions!$2:$2,0)-MATCH($A$1,missions!$2:$2,0)+1),MATCH(D$1,missions!$2:$2,0)-MATCH($A$1,missions!$2:$2,0)+1,FALSE),IFERROR(VLOOKUP($A60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60" s="27" t="s">
        <v>352</v>
      </c>
      <c r="F60" s="17" t="s">
        <v>310</v>
      </c>
      <c r="G60" s="27" t="s">
        <v>765</v>
      </c>
      <c r="H60" s="26" t="str">
        <f ca="1">VLOOKUP($F60,OFFSET(達成条件!$A$1,0,0,COUNTA($A:$A),MATCH(H$1,達成条件!$1:$1,0)-MATCH($F$1,達成条件!$1:$1,0)+1),MATCH(H$1,達成条件!$1:$1,0)-MATCH($F$1,達成条件!$1:$1,0)+1,FALSE)</f>
        <v>該当のクエスト(99-9)</v>
      </c>
      <c r="I60" s="118" t="s">
        <v>2046</v>
      </c>
      <c r="J60" s="54" t="str">
        <f ca="1">IF(F60="specific_unit_aquired_count",SUBSTITUTE(G60,"x",VLOOKUP(INT($I60),OFFSET([3]characters!$A$2,0,0,COUNTA([3]characters!$A:$A),MATCH(J$1,[3]characters!$2:$2,0)-MATCH("character_id",[3]characters!$2:$2,0)+1),MATCH(J$1,[3]characters!$2:$2,0)-MATCH("character_id",[3]characters!$2:$2,0)+1,FALSE)),IF(F60="specific_quest_clear",VLOOKUP(SUBSTITUTE(I60,"-","_"),OFFSET([2]stages!$A$2,0,0,COUNTA([2]stages!$A:$A),MATCH("name",[2]stages!$2:$2,0)-MATCH("temp_stage",[2]stages!$2:$2,0)+1),MATCH("name",[2]stages!$2:$2,0)-MATCH("temp_stage",[2]stages!$2:$2,0)+1,FALSE),""))</f>
        <v>1階 コスト制限なし</v>
      </c>
      <c r="K60" s="15" t="s">
        <v>352</v>
      </c>
      <c r="L60" s="15" t="s">
        <v>542</v>
      </c>
      <c r="M60" s="26"/>
      <c r="N60" s="26"/>
      <c r="O60" s="124" t="s">
        <v>1917</v>
      </c>
    </row>
    <row r="61" spans="1:15" ht="23" customHeight="1" x14ac:dyDescent="0.15">
      <c r="A61" s="21" t="s">
        <v>2171</v>
      </c>
      <c r="B61" s="21" t="s">
        <v>792</v>
      </c>
      <c r="C61" s="117" t="s">
        <v>1915</v>
      </c>
      <c r="D61" s="26" t="str">
        <f ca="1">IFERROR(VLOOKUP($A61,OFFSET(achievement_criterion_id,0,0,COUNTA($A:$A),MATCH(D$1,missions!$2:$2,0)-MATCH($A$1,missions!$2:$2,0)+1),MATCH(D$1,missions!$2:$2,0)-MATCH($A$1,missions!$2:$2,0)+1,FALSE),IFERROR(VLOOKUP($A61,OFFSET(weekly_achievement_criterion_id,0,0,COUNTA($A:$A),MATCH(D$1,weekly_missions!$2:$2,0)-MATCH($A$1,weekly_missions!$2:$2,0)+1),MATCH(D$1,weekly_missions!$2:$2,0)-MATCH($A$1,weekly_missions!$2:$2,0)+1,FALSE),"＊missions 未設定＊"))</f>
        <v>ポリゴン x 3</v>
      </c>
      <c r="E61" s="27" t="s">
        <v>352</v>
      </c>
      <c r="F61" s="17" t="s">
        <v>310</v>
      </c>
      <c r="G61" s="27" t="s">
        <v>765</v>
      </c>
      <c r="H61" s="26" t="str">
        <f ca="1">VLOOKUP($F61,OFFSET(達成条件!$A$1,0,0,COUNTA($A:$A),MATCH(H$1,達成条件!$1:$1,0)-MATCH($F$1,達成条件!$1:$1,0)+1),MATCH(H$1,達成条件!$1:$1,0)-MATCH($F$1,達成条件!$1:$1,0)+1,FALSE)</f>
        <v>該当のクエスト(99-9)</v>
      </c>
      <c r="I61" s="118" t="s">
        <v>2046</v>
      </c>
      <c r="J61" s="54" t="str">
        <f ca="1">IF(F61="specific_unit_aquired_count",SUBSTITUTE(G61,"x",VLOOKUP(INT($I61),OFFSET([3]characters!$A$2,0,0,COUNTA([3]characters!$A:$A),MATCH(J$1,[3]characters!$2:$2,0)-MATCH("character_id",[3]characters!$2:$2,0)+1),MATCH(J$1,[3]characters!$2:$2,0)-MATCH("character_id",[3]characters!$2:$2,0)+1,FALSE)),IF(F61="specific_quest_clear",VLOOKUP(SUBSTITUTE(I61,"-","_"),OFFSET([2]stages!$A$2,0,0,COUNTA([2]stages!$A:$A),MATCH("name",[2]stages!$2:$2,0)-MATCH("temp_stage",[2]stages!$2:$2,0)+1),MATCH("name",[2]stages!$2:$2,0)-MATCH("temp_stage",[2]stages!$2:$2,0)+1,FALSE),""))</f>
        <v>1階 コスト制限なし</v>
      </c>
      <c r="K61" s="15" t="s">
        <v>352</v>
      </c>
      <c r="L61" s="15" t="s">
        <v>542</v>
      </c>
      <c r="M61" s="26"/>
      <c r="N61" s="26"/>
    </row>
    <row r="62" spans="1:15" ht="23" customHeight="1" x14ac:dyDescent="0.15">
      <c r="A62" s="21" t="s">
        <v>2470</v>
      </c>
      <c r="B62" s="21" t="s">
        <v>792</v>
      </c>
      <c r="C62" s="117" t="s">
        <v>1915</v>
      </c>
      <c r="D62" s="26" t="str">
        <f ca="1">IFERROR(VLOOKUP($A62,OFFSET(achievement_criterion_id,0,0,COUNTA($A:$A),MATCH(D$1,missions!$2:$2,0)-MATCH($A$1,missions!$2:$2,0)+1),MATCH(D$1,missions!$2:$2,0)-MATCH($A$1,missions!$2:$2,0)+1,FALSE),IFERROR(VLOOKUP($A62,OFFSET(weekly_achievement_criterion_id,0,0,COUNTA($A:$A),MATCH(D$1,weekly_missions!$2:$2,0)-MATCH($A$1,weekly_missions!$2:$2,0)+1),MATCH(D$1,weekly_missions!$2:$2,0)-MATCH($A$1,weekly_missions!$2:$2,0)+1,FALSE),"＊missions 未設定＊"))</f>
        <v>ポリゴン x 3</v>
      </c>
      <c r="E62" s="27" t="s">
        <v>352</v>
      </c>
      <c r="F62" s="17" t="s">
        <v>310</v>
      </c>
      <c r="G62" s="27" t="s">
        <v>765</v>
      </c>
      <c r="H62" s="26" t="str">
        <f ca="1">VLOOKUP($F62,OFFSET(達成条件!$A$1,0,0,COUNTA($A:$A),MATCH(H$1,達成条件!$1:$1,0)-MATCH($F$1,達成条件!$1:$1,0)+1),MATCH(H$1,達成条件!$1:$1,0)-MATCH($F$1,達成条件!$1:$1,0)+1,FALSE)</f>
        <v>該当のクエスト(99-9)</v>
      </c>
      <c r="I62" s="118" t="s">
        <v>2473</v>
      </c>
      <c r="J62" s="54" t="str">
        <f ca="1">IF(F62="specific_unit_aquired_count",SUBSTITUTE(G62,"x",VLOOKUP(INT($I62),OFFSET([3]characters!$A$2,0,0,COUNTA([3]characters!$A:$A),MATCH(J$1,[3]characters!$2:$2,0)-MATCH("character_id",[3]characters!$2:$2,0)+1),MATCH(J$1,[3]characters!$2:$2,0)-MATCH("character_id",[3]characters!$2:$2,0)+1,FALSE)),IF(F62="specific_quest_clear",VLOOKUP(SUBSTITUTE(I62,"-","_"),OFFSET([2]stages!$A$2,0,0,COUNTA([2]stages!$A:$A),MATCH("name",[2]stages!$2:$2,0)-MATCH("temp_stage",[2]stages!$2:$2,0)+1),MATCH("name",[2]stages!$2:$2,0)-MATCH("temp_stage",[2]stages!$2:$2,0)+1,FALSE),""))</f>
        <v>1階 コスト制限なし</v>
      </c>
      <c r="K62" s="15">
        <v>1</v>
      </c>
      <c r="L62" s="15" t="s">
        <v>542</v>
      </c>
      <c r="M62" s="26"/>
      <c r="N62" s="26"/>
    </row>
    <row r="63" spans="1:15" ht="23" customHeight="1" x14ac:dyDescent="0.15">
      <c r="A63" s="21" t="s">
        <v>2533</v>
      </c>
      <c r="B63" s="21" t="s">
        <v>792</v>
      </c>
      <c r="C63" s="117" t="s">
        <v>1915</v>
      </c>
      <c r="D63" s="26" t="str">
        <f ca="1">IFERROR(VLOOKUP($A63,OFFSET(achievement_criterion_id,0,0,COUNTA($A:$A),MATCH(D$1,missions!$2:$2,0)-MATCH($A$1,missions!$2:$2,0)+1),MATCH(D$1,missions!$2:$2,0)-MATCH($A$1,missions!$2:$2,0)+1,FALSE),IFERROR(VLOOKUP($A63,OFFSET(weekly_achievement_criterion_id,0,0,COUNTA($A:$A),MATCH(D$1,weekly_missions!$2:$2,0)-MATCH($A$1,weekly_missions!$2:$2,0)+1),MATCH(D$1,weekly_missions!$2:$2,0)-MATCH($A$1,weekly_missions!$2:$2,0)+1,FALSE),"＊missions 未設定＊"))</f>
        <v>ポリゴン x 3</v>
      </c>
      <c r="E63" s="27" t="s">
        <v>352</v>
      </c>
      <c r="F63" s="17" t="s">
        <v>310</v>
      </c>
      <c r="G63" s="27" t="s">
        <v>765</v>
      </c>
      <c r="H63" s="26" t="str">
        <f ca="1">VLOOKUP($F63,OFFSET(達成条件!$A$1,0,0,COUNTA($A:$A),MATCH(H$1,達成条件!$1:$1,0)-MATCH($F$1,達成条件!$1:$1,0)+1),MATCH(H$1,達成条件!$1:$1,0)-MATCH($F$1,達成条件!$1:$1,0)+1,FALSE)</f>
        <v>該当のクエスト(99-9)</v>
      </c>
      <c r="I63" s="118" t="s">
        <v>2046</v>
      </c>
      <c r="J63" s="54" t="str">
        <f ca="1">IF(F63="specific_unit_aquired_count",SUBSTITUTE(G63,"x",VLOOKUP(INT($I63),OFFSET([3]characters!$A$2,0,0,COUNTA([3]characters!$A:$A),MATCH(J$1,[3]characters!$2:$2,0)-MATCH("character_id",[3]characters!$2:$2,0)+1),MATCH(J$1,[3]characters!$2:$2,0)-MATCH("character_id",[3]characters!$2:$2,0)+1,FALSE)),IF(F63="specific_quest_clear",VLOOKUP(SUBSTITUTE(I63,"-","_"),OFFSET([2]stages!$A$2,0,0,COUNTA([2]stages!$A:$A),MATCH("name",[2]stages!$2:$2,0)-MATCH("temp_stage",[2]stages!$2:$2,0)+1),MATCH("name",[2]stages!$2:$2,0)-MATCH("temp_stage",[2]stages!$2:$2,0)+1,FALSE),""))</f>
        <v>1階 コスト制限なし</v>
      </c>
      <c r="K63" s="15">
        <v>1</v>
      </c>
      <c r="L63" s="15" t="s">
        <v>542</v>
      </c>
      <c r="M63" s="26"/>
      <c r="N63" s="26"/>
    </row>
    <row r="64" spans="1:15" ht="21" customHeight="1" x14ac:dyDescent="0.15">
      <c r="A64" s="21" t="s">
        <v>935</v>
      </c>
      <c r="B64" s="21" t="s">
        <v>941</v>
      </c>
      <c r="C64" s="26" t="str">
        <f t="shared" ref="C64:C79" ca="1" si="3">IF(F64="specific_quest_clear",SUBSTITUTE(G64,"x",J64),IF(F64="specific_unit_aquired_count",SUBSTITUTE(J64,"y",K64),SUBSTITUTE(G64,"x",I64)))</f>
        <v>クエスト 【中級】雪の歌姫 をクリアしよう！</v>
      </c>
      <c r="D64" s="26" t="str">
        <f ca="1">IFERROR(VLOOKUP($A64,OFFSET(achievement_criterion_id,0,0,COUNTA($A:$A),MATCH(D$1,missions!$2:$2,0)-MATCH($A$1,missions!$2:$2,0)+1),MATCH(D$1,missions!$2:$2,0)-MATCH($A$1,missions!$2:$2,0)+1,FALSE),IFERROR(VLOOKUP($A64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64" s="27" t="s">
        <v>864</v>
      </c>
      <c r="F64" s="17" t="s">
        <v>310</v>
      </c>
      <c r="G64" s="27" t="s">
        <v>765</v>
      </c>
      <c r="H64" s="26" t="str">
        <f ca="1">VLOOKUP($F64,OFFSET(達成条件!$A$1,0,0,COUNTA($A:$A),MATCH(H$1,達成条件!$1:$1,0)-MATCH($F$1,達成条件!$1:$1,0)+1),MATCH(H$1,達成条件!$1:$1,0)-MATCH($F$1,達成条件!$1:$1,0)+1,FALSE)</f>
        <v>該当のクエスト(99-9)</v>
      </c>
      <c r="I64" s="83" t="s">
        <v>943</v>
      </c>
      <c r="J64" s="54" t="str">
        <f ca="1">IF(F64="specific_unit_aquired_count",SUBSTITUTE(G64,"x",VLOOKUP(INT($I64),OFFSET([3]characters!$A$2,0,0,COUNTA([3]characters!$A:$A),MATCH(J$1,[3]characters!$2:$2,0)-MATCH("character_id",[3]characters!$2:$2,0)+1),MATCH(J$1,[3]characters!$2:$2,0)-MATCH("character_id",[3]characters!$2:$2,0)+1,FALSE)),IF(F64="specific_quest_clear",VLOOKUP(SUBSTITUTE(I64,"-","_"),OFFSET([2]stages!$A$2,0,0,COUNTA([2]stages!$A:$A),MATCH("name",[2]stages!$2:$2,0)-MATCH("temp_stage",[2]stages!$2:$2,0)+1),MATCH("name",[2]stages!$2:$2,0)-MATCH("temp_stage",[2]stages!$2:$2,0)+1,FALSE),""))</f>
        <v>【中級】雪の歌姫</v>
      </c>
      <c r="K64" s="15" t="s">
        <v>931</v>
      </c>
      <c r="L64" s="15" t="s">
        <v>931</v>
      </c>
      <c r="M64" s="26"/>
      <c r="N64" s="26"/>
    </row>
    <row r="65" spans="1:14" ht="21" customHeight="1" x14ac:dyDescent="0.15">
      <c r="A65" s="21" t="s">
        <v>936</v>
      </c>
      <c r="B65" s="21" t="s">
        <v>942</v>
      </c>
      <c r="C65" s="26" t="str">
        <f t="shared" ca="1" si="3"/>
        <v>クエスト 【上級】雪の歌姫 をクリアしよう！</v>
      </c>
      <c r="D65" s="26" t="str">
        <f ca="1">IFERROR(VLOOKUP($A65,OFFSET(achievement_criterion_id,0,0,COUNTA($A:$A),MATCH(D$1,missions!$2:$2,0)-MATCH($A$1,missions!$2:$2,0)+1),MATCH(D$1,missions!$2:$2,0)-MATCH($A$1,missions!$2:$2,0)+1,FALSE),IFERROR(VLOOKUP($A65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65" s="27" t="s">
        <v>864</v>
      </c>
      <c r="F65" s="17" t="s">
        <v>310</v>
      </c>
      <c r="G65" s="27" t="s">
        <v>765</v>
      </c>
      <c r="H65" s="26" t="str">
        <f ca="1">VLOOKUP($F65,OFFSET(達成条件!$A$1,0,0,COUNTA($A:$A),MATCH(H$1,達成条件!$1:$1,0)-MATCH($F$1,達成条件!$1:$1,0)+1),MATCH(H$1,達成条件!$1:$1,0)-MATCH($F$1,達成条件!$1:$1,0)+1,FALSE)</f>
        <v>該当のクエスト(99-9)</v>
      </c>
      <c r="I65" s="83" t="s">
        <v>944</v>
      </c>
      <c r="J65" s="54" t="str">
        <f ca="1">IF(F65="specific_unit_aquired_count",SUBSTITUTE(G65,"x",VLOOKUP(INT($I65),OFFSET([3]characters!$A$2,0,0,COUNTA([3]characters!$A:$A),MATCH(J$1,[3]characters!$2:$2,0)-MATCH("character_id",[3]characters!$2:$2,0)+1),MATCH(J$1,[3]characters!$2:$2,0)-MATCH("character_id",[3]characters!$2:$2,0)+1,FALSE)),IF(F65="specific_quest_clear",VLOOKUP(SUBSTITUTE(I65,"-","_"),OFFSET([2]stages!$A$2,0,0,COUNTA([2]stages!$A:$A),MATCH("name",[2]stages!$2:$2,0)-MATCH("temp_stage",[2]stages!$2:$2,0)+1),MATCH("name",[2]stages!$2:$2,0)-MATCH("temp_stage",[2]stages!$2:$2,0)+1,FALSE),""))</f>
        <v>【上級】雪の歌姫</v>
      </c>
      <c r="K65" s="15" t="s">
        <v>931</v>
      </c>
      <c r="L65" s="15" t="s">
        <v>931</v>
      </c>
      <c r="M65" s="26"/>
      <c r="N65" s="26"/>
    </row>
    <row r="66" spans="1:14" ht="21" customHeight="1" x14ac:dyDescent="0.15">
      <c r="A66" s="21" t="s">
        <v>937</v>
      </c>
      <c r="B66" s="21" t="s">
        <v>942</v>
      </c>
      <c r="C66" s="26" t="str">
        <f t="shared" ca="1" si="3"/>
        <v>クエスト 【超級】雪の歌姫 をクリアしよう！</v>
      </c>
      <c r="D66" s="26" t="str">
        <f ca="1">IFERROR(VLOOKUP($A66,OFFSET(achievement_criterion_id,0,0,COUNTA($A:$A),MATCH(D$1,missions!$2:$2,0)-MATCH($A$1,missions!$2:$2,0)+1),MATCH(D$1,missions!$2:$2,0)-MATCH($A$1,missions!$2:$2,0)+1,FALSE),IFERROR(VLOOKUP($A66,OFFSET(weekly_achievement_criterion_id,0,0,COUNTA($A:$A),MATCH(D$1,weekly_missions!$2:$2,0)-MATCH($A$1,weekly_missions!$2:$2,0)+1),MATCH(D$1,weekly_missions!$2:$2,0)-MATCH($A$1,weekly_missions!$2:$2,0)+1,FALSE),"＊missions 未設定＊"))</f>
        <v>雪ミク2014 x 1</v>
      </c>
      <c r="E66" s="27" t="s">
        <v>864</v>
      </c>
      <c r="F66" s="17" t="s">
        <v>310</v>
      </c>
      <c r="G66" s="27" t="s">
        <v>765</v>
      </c>
      <c r="H66" s="26" t="str">
        <f ca="1">VLOOKUP($F66,OFFSET(達成条件!$A$1,0,0,COUNTA($A:$A),MATCH(H$1,達成条件!$1:$1,0)-MATCH($F$1,達成条件!$1:$1,0)+1),MATCH(H$1,達成条件!$1:$1,0)-MATCH($F$1,達成条件!$1:$1,0)+1,FALSE)</f>
        <v>該当のクエスト(99-9)</v>
      </c>
      <c r="I66" s="83" t="s">
        <v>945</v>
      </c>
      <c r="J66" s="54" t="str">
        <f ca="1">IF(F66="specific_unit_aquired_count",SUBSTITUTE(G66,"x",VLOOKUP(INT($I66),OFFSET([3]characters!$A$2,0,0,COUNTA([3]characters!$A:$A),MATCH(J$1,[3]characters!$2:$2,0)-MATCH("character_id",[3]characters!$2:$2,0)+1),MATCH(J$1,[3]characters!$2:$2,0)-MATCH("character_id",[3]characters!$2:$2,0)+1,FALSE)),IF(F66="specific_quest_clear",VLOOKUP(SUBSTITUTE(I66,"-","_"),OFFSET([2]stages!$A$2,0,0,COUNTA([2]stages!$A:$A),MATCH("name",[2]stages!$2:$2,0)-MATCH("temp_stage",[2]stages!$2:$2,0)+1),MATCH("name",[2]stages!$2:$2,0)-MATCH("temp_stage",[2]stages!$2:$2,0)+1,FALSE),""))</f>
        <v>【超級】雪の歌姫</v>
      </c>
      <c r="K66" s="15" t="s">
        <v>931</v>
      </c>
      <c r="L66" s="15" t="s">
        <v>931</v>
      </c>
      <c r="M66" s="26"/>
      <c r="N66" s="26"/>
    </row>
    <row r="67" spans="1:14" ht="21" customHeight="1" x14ac:dyDescent="0.15">
      <c r="A67" s="21" t="s">
        <v>938</v>
      </c>
      <c r="B67" s="21" t="s">
        <v>942</v>
      </c>
      <c r="C67" s="26" t="str">
        <f t="shared" ca="1" si="3"/>
        <v>クエスト 【超絶級】雪の歌姫 をクリアしよう！</v>
      </c>
      <c r="D67" s="26" t="str">
        <f ca="1">IFERROR(VLOOKUP($A67,OFFSET(achievement_criterion_id,0,0,COUNTA($A:$A),MATCH(D$1,missions!$2:$2,0)-MATCH($A$1,missions!$2:$2,0)+1),MATCH(D$1,missions!$2:$2,0)-MATCH($A$1,missions!$2:$2,0)+1,FALSE),IFERROR(VLOOKUP($A67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67" s="27" t="s">
        <v>864</v>
      </c>
      <c r="F67" s="17" t="s">
        <v>310</v>
      </c>
      <c r="G67" s="27" t="s">
        <v>765</v>
      </c>
      <c r="H67" s="26" t="str">
        <f ca="1">VLOOKUP($F67,OFFSET(達成条件!$A$1,0,0,COUNTA($A:$A),MATCH(H$1,達成条件!$1:$1,0)-MATCH($F$1,達成条件!$1:$1,0)+1),MATCH(H$1,達成条件!$1:$1,0)-MATCH($F$1,達成条件!$1:$1,0)+1,FALSE)</f>
        <v>該当のクエスト(99-9)</v>
      </c>
      <c r="I67" s="83" t="s">
        <v>946</v>
      </c>
      <c r="J67" s="54" t="str">
        <f ca="1">IF(F67="specific_unit_aquired_count",SUBSTITUTE(G67,"x",VLOOKUP(INT($I67),OFFSET([3]characters!$A$2,0,0,COUNTA([3]characters!$A:$A),MATCH(J$1,[3]characters!$2:$2,0)-MATCH("character_id",[3]characters!$2:$2,0)+1),MATCH(J$1,[3]characters!$2:$2,0)-MATCH("character_id",[3]characters!$2:$2,0)+1,FALSE)),IF(F67="specific_quest_clear",VLOOKUP(SUBSTITUTE(I67,"-","_"),OFFSET([2]stages!$A$2,0,0,COUNTA([2]stages!$A:$A),MATCH("name",[2]stages!$2:$2,0)-MATCH("temp_stage",[2]stages!$2:$2,0)+1),MATCH("name",[2]stages!$2:$2,0)-MATCH("temp_stage",[2]stages!$2:$2,0)+1,FALSE),""))</f>
        <v>【超絶級】雪の歌姫</v>
      </c>
      <c r="K67" s="15" t="s">
        <v>931</v>
      </c>
      <c r="L67" s="15" t="s">
        <v>931</v>
      </c>
      <c r="M67" s="26"/>
      <c r="N67" s="26"/>
    </row>
    <row r="68" spans="1:14" ht="21" customHeight="1" x14ac:dyDescent="0.15">
      <c r="A68" s="21" t="s">
        <v>939</v>
      </c>
      <c r="B68" s="21" t="s">
        <v>942</v>
      </c>
      <c r="C68" s="26" t="str">
        <f t="shared" ca="1" si="3"/>
        <v>クエスト 【ウィザード級】熱唱！初音ミクV3 をクリアしよう！</v>
      </c>
      <c r="D68" s="26" t="str">
        <f ca="1">IFERROR(VLOOKUP($A68,OFFSET(achievement_criterion_id,0,0,COUNTA($A:$A),MATCH(D$1,missions!$2:$2,0)-MATCH($A$1,missions!$2:$2,0)+1),MATCH(D$1,missions!$2:$2,0)-MATCH($A$1,missions!$2:$2,0)+1,FALSE),IFERROR(VLOOKUP($A68,OFFSET(weekly_achievement_criterion_id,0,0,COUNTA($A:$A),MATCH(D$1,weekly_missions!$2:$2,0)-MATCH($A$1,weekly_missions!$2:$2,0)+1),MATCH(D$1,weekly_missions!$2:$2,0)-MATCH($A$1,weekly_missions!$2:$2,0)+1,FALSE),"＊missions 未設定＊"))</f>
        <v>雪ミク2016 x 1</v>
      </c>
      <c r="E68" s="27" t="s">
        <v>864</v>
      </c>
      <c r="F68" s="17" t="s">
        <v>310</v>
      </c>
      <c r="G68" s="27" t="s">
        <v>765</v>
      </c>
      <c r="H68" s="26" t="str">
        <f ca="1">VLOOKUP($F68,OFFSET(達成条件!$A$1,0,0,COUNTA($A:$A),MATCH(H$1,達成条件!$1:$1,0)-MATCH($F$1,達成条件!$1:$1,0)+1),MATCH(H$1,達成条件!$1:$1,0)-MATCH($F$1,達成条件!$1:$1,0)+1,FALSE)</f>
        <v>該当のクエスト(99-9)</v>
      </c>
      <c r="I68" s="83" t="s">
        <v>947</v>
      </c>
      <c r="J68" s="54" t="str">
        <f ca="1">IF(F68="specific_unit_aquired_count",SUBSTITUTE(G68,"x",VLOOKUP(INT($I68),OFFSET([3]characters!$A$2,0,0,COUNTA([3]characters!$A:$A),MATCH(J$1,[3]characters!$2:$2,0)-MATCH("character_id",[3]characters!$2:$2,0)+1),MATCH(J$1,[3]characters!$2:$2,0)-MATCH("character_id",[3]characters!$2:$2,0)+1,FALSE)),IF(F68="specific_quest_clear",VLOOKUP(SUBSTITUTE(I68,"-","_"),OFFSET([2]stages!$A$2,0,0,COUNTA([2]stages!$A:$A),MATCH("name",[2]stages!$2:$2,0)-MATCH("temp_stage",[2]stages!$2:$2,0)+1),MATCH("name",[2]stages!$2:$2,0)-MATCH("temp_stage",[2]stages!$2:$2,0)+1,FALSE),""))</f>
        <v>【ウィザード級】熱唱！初音ミクV3</v>
      </c>
      <c r="K68" s="15" t="s">
        <v>931</v>
      </c>
      <c r="L68" s="15" t="s">
        <v>931</v>
      </c>
      <c r="M68" s="26"/>
      <c r="N68" s="26"/>
    </row>
    <row r="69" spans="1:14" ht="21" customHeight="1" x14ac:dyDescent="0.15">
      <c r="A69" s="21" t="s">
        <v>1005</v>
      </c>
      <c r="B69" s="21" t="s">
        <v>792</v>
      </c>
      <c r="C69" s="39" t="s">
        <v>1010</v>
      </c>
      <c r="D69" s="26" t="str">
        <f ca="1">IFERROR(VLOOKUP($A69,OFFSET(achievement_criterion_id,0,0,COUNTA($A:$A),MATCH(D$1,missions!$2:$2,0)-MATCH($A$1,missions!$2:$2,0)+1),MATCH(D$1,missions!$2:$2,0)-MATCH($A$1,missions!$2:$2,0)+1,FALSE),IFERROR(VLOOKUP($A69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69" s="27" t="s">
        <v>864</v>
      </c>
      <c r="F69" s="17" t="s">
        <v>310</v>
      </c>
      <c r="G69" s="27" t="s">
        <v>765</v>
      </c>
      <c r="H69" s="26" t="str">
        <f ca="1">VLOOKUP($F69,OFFSET(達成条件!$A$1,0,0,COUNTA($A:$A),MATCH(H$1,達成条件!$1:$1,0)-MATCH($F$1,達成条件!$1:$1,0)+1),MATCH(H$1,達成条件!$1:$1,0)-MATCH($F$1,達成条件!$1:$1,0)+1,FALSE)</f>
        <v>該当のクエスト(99-9)</v>
      </c>
      <c r="I69" s="83" t="s">
        <v>1006</v>
      </c>
      <c r="J69" s="54" t="str">
        <f ca="1">IF(F69="specific_unit_aquired_count",SUBSTITUTE(G69,"x",VLOOKUP(INT($I69),OFFSET([3]characters!$A$2,0,0,COUNTA([3]characters!$A:$A),MATCH(J$1,[3]characters!$2:$2,0)-MATCH("character_id",[3]characters!$2:$2,0)+1),MATCH(J$1,[3]characters!$2:$2,0)-MATCH("character_id",[3]characters!$2:$2,0)+1,FALSE)),IF(F69="specific_quest_clear",VLOOKUP(SUBSTITUTE(I69,"-","_"),OFFSET([2]stages!$A$2,0,0,COUNTA([2]stages!$A:$A),MATCH("name",[2]stages!$2:$2,0)-MATCH("temp_stage",[2]stages!$2:$2,0)+1),MATCH("name",[2]stages!$2:$2,0)-MATCH("temp_stage",[2]stages!$2:$2,0)+1,FALSE),""))</f>
        <v>【ストーリー】バレンタイン狂想曲</v>
      </c>
      <c r="K69" s="15" t="s">
        <v>931</v>
      </c>
      <c r="L69" s="15" t="s">
        <v>931</v>
      </c>
      <c r="M69" s="26"/>
      <c r="N69" s="26"/>
    </row>
    <row r="70" spans="1:14" ht="21" customHeight="1" x14ac:dyDescent="0.15">
      <c r="A70" s="21" t="s">
        <v>1071</v>
      </c>
      <c r="B70" s="21" t="s">
        <v>792</v>
      </c>
      <c r="C70" s="26" t="str">
        <f t="shared" ca="1" si="3"/>
        <v>クエスト 【初級】黄巾賊の暴走を止めろ をクリアしよう！</v>
      </c>
      <c r="D70" s="26" t="str">
        <f ca="1">IFERROR(VLOOKUP($A70,OFFSET(achievement_criterion_id,0,0,COUNTA($A:$A),MATCH(D$1,missions!$2:$2,0)-MATCH($A$1,missions!$2:$2,0)+1),MATCH(D$1,missions!$2:$2,0)-MATCH($A$1,missions!$2:$2,0)+1,FALSE),IFERROR(VLOOKUP($A70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70" s="27" t="s">
        <v>864</v>
      </c>
      <c r="F70" s="17" t="s">
        <v>310</v>
      </c>
      <c r="G70" s="27" t="s">
        <v>765</v>
      </c>
      <c r="H70" s="26" t="str">
        <f ca="1">VLOOKUP($F70,OFFSET(達成条件!$A$1,0,0,COUNTA($A:$A),MATCH(H$1,達成条件!$1:$1,0)-MATCH($F$1,達成条件!$1:$1,0)+1),MATCH(H$1,達成条件!$1:$1,0)-MATCH($F$1,達成条件!$1:$1,0)+1,FALSE)</f>
        <v>該当のクエスト(99-9)</v>
      </c>
      <c r="I70" s="83" t="s">
        <v>1096</v>
      </c>
      <c r="J70" s="54" t="str">
        <f ca="1">IF(F70="specific_unit_aquired_count",SUBSTITUTE(G70,"x",VLOOKUP(INT($I70),OFFSET([3]characters!$A$2,0,0,COUNTA([3]characters!$A:$A),MATCH(J$1,[3]characters!$2:$2,0)-MATCH("character_id",[3]characters!$2:$2,0)+1),MATCH(J$1,[3]characters!$2:$2,0)-MATCH("character_id",[3]characters!$2:$2,0)+1,FALSE)),IF(F70="specific_quest_clear",VLOOKUP(SUBSTITUTE(I70,"-","_"),OFFSET([2]stages!$A$2,0,0,COUNTA([2]stages!$A:$A),MATCH("name",[2]stages!$2:$2,0)-MATCH("temp_stage",[2]stages!$2:$2,0)+1),MATCH("name",[2]stages!$2:$2,0)-MATCH("temp_stage",[2]stages!$2:$2,0)+1,FALSE),""))</f>
        <v>【初級】黄巾賊の暴走を止めろ</v>
      </c>
      <c r="K70" s="15" t="s">
        <v>931</v>
      </c>
      <c r="L70" s="15" t="s">
        <v>931</v>
      </c>
      <c r="M70" s="26"/>
      <c r="N70" s="26"/>
    </row>
    <row r="71" spans="1:14" ht="21" customHeight="1" x14ac:dyDescent="0.15">
      <c r="A71" s="21" t="s">
        <v>1073</v>
      </c>
      <c r="B71" s="21" t="s">
        <v>792</v>
      </c>
      <c r="C71" s="26" t="str">
        <f t="shared" ca="1" si="3"/>
        <v>クエスト 【初級】ブルースクウェアを追え！ をクリアしよう！</v>
      </c>
      <c r="D71" s="26" t="str">
        <f ca="1">IFERROR(VLOOKUP($A71,OFFSET(achievement_criterion_id,0,0,COUNTA($A:$A),MATCH(D$1,missions!$2:$2,0)-MATCH($A$1,missions!$2:$2,0)+1),MATCH(D$1,missions!$2:$2,0)-MATCH($A$1,missions!$2:$2,0)+1,FALSE),IFERROR(VLOOKUP($A71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71" s="27" t="s">
        <v>864</v>
      </c>
      <c r="F71" s="17" t="s">
        <v>310</v>
      </c>
      <c r="G71" s="27" t="s">
        <v>765</v>
      </c>
      <c r="H71" s="26" t="str">
        <f ca="1">VLOOKUP($F71,OFFSET(達成条件!$A$1,0,0,COUNTA($A:$A),MATCH(H$1,達成条件!$1:$1,0)-MATCH($F$1,達成条件!$1:$1,0)+1),MATCH(H$1,達成条件!$1:$1,0)-MATCH($F$1,達成条件!$1:$1,0)+1,FALSE)</f>
        <v>該当のクエスト(99-9)</v>
      </c>
      <c r="I71" s="83" t="s">
        <v>1099</v>
      </c>
      <c r="J71" s="54" t="str">
        <f ca="1">IF(F71="specific_unit_aquired_count",SUBSTITUTE(G71,"x",VLOOKUP(INT($I71),OFFSET([3]characters!$A$2,0,0,COUNTA([3]characters!$A:$A),MATCH(J$1,[3]characters!$2:$2,0)-MATCH("character_id",[3]characters!$2:$2,0)+1),MATCH(J$1,[3]characters!$2:$2,0)-MATCH("character_id",[3]characters!$2:$2,0)+1,FALSE)),IF(F71="specific_quest_clear",VLOOKUP(SUBSTITUTE(I71,"-","_"),OFFSET([2]stages!$A$2,0,0,COUNTA([2]stages!$A:$A),MATCH("name",[2]stages!$2:$2,0)-MATCH("temp_stage",[2]stages!$2:$2,0)+1),MATCH("name",[2]stages!$2:$2,0)-MATCH("temp_stage",[2]stages!$2:$2,0)+1,FALSE),""))</f>
        <v>【初級】ブルースクウェアを追え！</v>
      </c>
      <c r="K71" s="15" t="s">
        <v>931</v>
      </c>
      <c r="L71" s="15" t="s">
        <v>931</v>
      </c>
      <c r="M71" s="26"/>
      <c r="N71" s="26"/>
    </row>
    <row r="72" spans="1:14" ht="21" customHeight="1" x14ac:dyDescent="0.15">
      <c r="A72" s="21" t="s">
        <v>1075</v>
      </c>
      <c r="B72" s="21" t="s">
        <v>792</v>
      </c>
      <c r="C72" s="26" t="str">
        <f t="shared" ca="1" si="3"/>
        <v>クエスト 【中級】黄巾賊の暴走を止めろ をクリアしよう！</v>
      </c>
      <c r="D72" s="26" t="str">
        <f ca="1">IFERROR(VLOOKUP($A72,OFFSET(achievement_criterion_id,0,0,COUNTA($A:$A),MATCH(D$1,missions!$2:$2,0)-MATCH($A$1,missions!$2:$2,0)+1),MATCH(D$1,missions!$2:$2,0)-MATCH($A$1,missions!$2:$2,0)+1,FALSE),IFERROR(VLOOKUP($A72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72" s="27" t="s">
        <v>864</v>
      </c>
      <c r="F72" s="17" t="s">
        <v>310</v>
      </c>
      <c r="G72" s="27" t="s">
        <v>765</v>
      </c>
      <c r="H72" s="26" t="str">
        <f ca="1">VLOOKUP($F72,OFFSET(達成条件!$A$1,0,0,COUNTA($A:$A),MATCH(H$1,達成条件!$1:$1,0)-MATCH($F$1,達成条件!$1:$1,0)+1),MATCH(H$1,達成条件!$1:$1,0)-MATCH($F$1,達成条件!$1:$1,0)+1,FALSE)</f>
        <v>該当のクエスト(99-9)</v>
      </c>
      <c r="I72" s="83" t="s">
        <v>1097</v>
      </c>
      <c r="J72" s="54" t="str">
        <f ca="1">IF(F72="specific_unit_aquired_count",SUBSTITUTE(G72,"x",VLOOKUP(INT($I72),OFFSET([3]characters!$A$2,0,0,COUNTA([3]characters!$A:$A),MATCH(J$1,[3]characters!$2:$2,0)-MATCH("character_id",[3]characters!$2:$2,0)+1),MATCH(J$1,[3]characters!$2:$2,0)-MATCH("character_id",[3]characters!$2:$2,0)+1,FALSE)),IF(F72="specific_quest_clear",VLOOKUP(SUBSTITUTE(I72,"-","_"),OFFSET([2]stages!$A$2,0,0,COUNTA([2]stages!$A:$A),MATCH("name",[2]stages!$2:$2,0)-MATCH("temp_stage",[2]stages!$2:$2,0)+1),MATCH("name",[2]stages!$2:$2,0)-MATCH("temp_stage",[2]stages!$2:$2,0)+1,FALSE),""))</f>
        <v>【中級】黄巾賊の暴走を止めろ</v>
      </c>
      <c r="K72" s="15" t="s">
        <v>931</v>
      </c>
      <c r="L72" s="15" t="s">
        <v>931</v>
      </c>
      <c r="M72" s="26"/>
      <c r="N72" s="26"/>
    </row>
    <row r="73" spans="1:14" ht="21" customHeight="1" x14ac:dyDescent="0.15">
      <c r="A73" s="21" t="s">
        <v>1077</v>
      </c>
      <c r="B73" s="21" t="s">
        <v>792</v>
      </c>
      <c r="C73" s="26" t="str">
        <f t="shared" ca="1" si="3"/>
        <v>クエスト 【中級】ブルースクウェアを追え！ をクリアしよう！</v>
      </c>
      <c r="D73" s="26" t="str">
        <f ca="1">IFERROR(VLOOKUP($A73,OFFSET(achievement_criterion_id,0,0,COUNTA($A:$A),MATCH(D$1,missions!$2:$2,0)-MATCH($A$1,missions!$2:$2,0)+1),MATCH(D$1,missions!$2:$2,0)-MATCH($A$1,missions!$2:$2,0)+1,FALSE),IFERROR(VLOOKUP($A73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73" s="27" t="s">
        <v>864</v>
      </c>
      <c r="F73" s="17" t="s">
        <v>310</v>
      </c>
      <c r="G73" s="27" t="s">
        <v>765</v>
      </c>
      <c r="H73" s="26" t="str">
        <f ca="1">VLOOKUP($F73,OFFSET(達成条件!$A$1,0,0,COUNTA($A:$A),MATCH(H$1,達成条件!$1:$1,0)-MATCH($F$1,達成条件!$1:$1,0)+1),MATCH(H$1,達成条件!$1:$1,0)-MATCH($F$1,達成条件!$1:$1,0)+1,FALSE)</f>
        <v>該当のクエスト(99-9)</v>
      </c>
      <c r="I73" s="83" t="s">
        <v>1100</v>
      </c>
      <c r="J73" s="54" t="str">
        <f ca="1">IF(F73="specific_unit_aquired_count",SUBSTITUTE(G73,"x",VLOOKUP(INT($I73),OFFSET([3]characters!$A$2,0,0,COUNTA([3]characters!$A:$A),MATCH(J$1,[3]characters!$2:$2,0)-MATCH("character_id",[3]characters!$2:$2,0)+1),MATCH(J$1,[3]characters!$2:$2,0)-MATCH("character_id",[3]characters!$2:$2,0)+1,FALSE)),IF(F73="specific_quest_clear",VLOOKUP(SUBSTITUTE(I73,"-","_"),OFFSET([2]stages!$A$2,0,0,COUNTA([2]stages!$A:$A),MATCH("name",[2]stages!$2:$2,0)-MATCH("temp_stage",[2]stages!$2:$2,0)+1),MATCH("name",[2]stages!$2:$2,0)-MATCH("temp_stage",[2]stages!$2:$2,0)+1,FALSE),""))</f>
        <v>【中級】ブルースクウェアを追え！</v>
      </c>
      <c r="K73" s="15" t="s">
        <v>931</v>
      </c>
      <c r="L73" s="15" t="s">
        <v>931</v>
      </c>
      <c r="M73" s="26"/>
      <c r="N73" s="26"/>
    </row>
    <row r="74" spans="1:14" ht="21" customHeight="1" x14ac:dyDescent="0.15">
      <c r="A74" s="21" t="s">
        <v>1079</v>
      </c>
      <c r="B74" s="21" t="s">
        <v>792</v>
      </c>
      <c r="C74" s="26" t="str">
        <f t="shared" ca="1" si="3"/>
        <v>クエスト 【上級】黄巾賊の暴走を止めろ をクリアしよう！</v>
      </c>
      <c r="D74" s="26" t="str">
        <f ca="1">IFERROR(VLOOKUP($A74,OFFSET(achievement_criterion_id,0,0,COUNTA($A:$A),MATCH(D$1,missions!$2:$2,0)-MATCH($A$1,missions!$2:$2,0)+1),MATCH(D$1,missions!$2:$2,0)-MATCH($A$1,missions!$2:$2,0)+1,FALSE),IFERROR(VLOOKUP($A74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74" s="27" t="s">
        <v>864</v>
      </c>
      <c r="F74" s="17" t="s">
        <v>310</v>
      </c>
      <c r="G74" s="27" t="s">
        <v>765</v>
      </c>
      <c r="H74" s="26" t="str">
        <f ca="1">VLOOKUP($F74,OFFSET(達成条件!$A$1,0,0,COUNTA($A:$A),MATCH(H$1,達成条件!$1:$1,0)-MATCH($F$1,達成条件!$1:$1,0)+1),MATCH(H$1,達成条件!$1:$1,0)-MATCH($F$1,達成条件!$1:$1,0)+1,FALSE)</f>
        <v>該当のクエスト(99-9)</v>
      </c>
      <c r="I74" s="83" t="s">
        <v>1098</v>
      </c>
      <c r="J74" s="54" t="str">
        <f ca="1">IF(F74="specific_unit_aquired_count",SUBSTITUTE(G74,"x",VLOOKUP(INT($I74),OFFSET([3]characters!$A$2,0,0,COUNTA([3]characters!$A:$A),MATCH(J$1,[3]characters!$2:$2,0)-MATCH("character_id",[3]characters!$2:$2,0)+1),MATCH(J$1,[3]characters!$2:$2,0)-MATCH("character_id",[3]characters!$2:$2,0)+1,FALSE)),IF(F74="specific_quest_clear",VLOOKUP(SUBSTITUTE(I74,"-","_"),OFFSET([2]stages!$A$2,0,0,COUNTA([2]stages!$A:$A),MATCH("name",[2]stages!$2:$2,0)-MATCH("temp_stage",[2]stages!$2:$2,0)+1),MATCH("name",[2]stages!$2:$2,0)-MATCH("temp_stage",[2]stages!$2:$2,0)+1,FALSE),""))</f>
        <v>【上級】黄巾賊の暴走を止めろ</v>
      </c>
      <c r="K74" s="15" t="s">
        <v>931</v>
      </c>
      <c r="L74" s="15" t="s">
        <v>931</v>
      </c>
      <c r="M74" s="26"/>
      <c r="N74" s="26"/>
    </row>
    <row r="75" spans="1:14" ht="21" customHeight="1" x14ac:dyDescent="0.15">
      <c r="A75" s="21" t="s">
        <v>1081</v>
      </c>
      <c r="B75" s="21" t="s">
        <v>792</v>
      </c>
      <c r="C75" s="26" t="str">
        <f t="shared" ca="1" si="3"/>
        <v>クエスト 【上級】ブルースクウェアを追え！ をクリアしよう！</v>
      </c>
      <c r="D75" s="26" t="str">
        <f ca="1">IFERROR(VLOOKUP($A75,OFFSET(achievement_criterion_id,0,0,COUNTA($A:$A),MATCH(D$1,missions!$2:$2,0)-MATCH($A$1,missions!$2:$2,0)+1),MATCH(D$1,missions!$2:$2,0)-MATCH($A$1,missions!$2:$2,0)+1,FALSE),IFERROR(VLOOKUP($A75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75" s="27" t="s">
        <v>864</v>
      </c>
      <c r="F75" s="17" t="s">
        <v>310</v>
      </c>
      <c r="G75" s="27" t="s">
        <v>765</v>
      </c>
      <c r="H75" s="26" t="str">
        <f ca="1">VLOOKUP($F75,OFFSET(達成条件!$A$1,0,0,COUNTA($A:$A),MATCH(H$1,達成条件!$1:$1,0)-MATCH($F$1,達成条件!$1:$1,0)+1),MATCH(H$1,達成条件!$1:$1,0)-MATCH($F$1,達成条件!$1:$1,0)+1,FALSE)</f>
        <v>該当のクエスト(99-9)</v>
      </c>
      <c r="I75" s="83" t="s">
        <v>1101</v>
      </c>
      <c r="J75" s="54" t="str">
        <f ca="1">IF(F75="specific_unit_aquired_count",SUBSTITUTE(G75,"x",VLOOKUP(INT($I75),OFFSET([3]characters!$A$2,0,0,COUNTA([3]characters!$A:$A),MATCH(J$1,[3]characters!$2:$2,0)-MATCH("character_id",[3]characters!$2:$2,0)+1),MATCH(J$1,[3]characters!$2:$2,0)-MATCH("character_id",[3]characters!$2:$2,0)+1,FALSE)),IF(F75="specific_quest_clear",VLOOKUP(SUBSTITUTE(I75,"-","_"),OFFSET([2]stages!$A$2,0,0,COUNTA([2]stages!$A:$A),MATCH("name",[2]stages!$2:$2,0)-MATCH("temp_stage",[2]stages!$2:$2,0)+1),MATCH("name",[2]stages!$2:$2,0)-MATCH("temp_stage",[2]stages!$2:$2,0)+1,FALSE),""))</f>
        <v>【上級】ブルースクウェアを追え！</v>
      </c>
      <c r="K75" s="15" t="s">
        <v>931</v>
      </c>
      <c r="L75" s="15" t="s">
        <v>931</v>
      </c>
      <c r="M75" s="26"/>
      <c r="N75" s="26"/>
    </row>
    <row r="76" spans="1:14" ht="21" customHeight="1" x14ac:dyDescent="0.15">
      <c r="A76" s="21" t="s">
        <v>1083</v>
      </c>
      <c r="B76" s="21" t="s">
        <v>792</v>
      </c>
      <c r="C76" s="26" t="str">
        <f t="shared" ca="1" si="3"/>
        <v>クエスト 【超級】黄巾賊の暴走を止めろ をクリアしよう！</v>
      </c>
      <c r="D76" s="26" t="str">
        <f ca="1">IFERROR(VLOOKUP($A76,OFFSET(achievement_criterion_id,0,0,COUNTA($A:$A),MATCH(D$1,missions!$2:$2,0)-MATCH($A$1,missions!$2:$2,0)+1),MATCH(D$1,missions!$2:$2,0)-MATCH($A$1,missions!$2:$2,0)+1,FALSE),IFERROR(VLOOKUP($A76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76" s="27" t="s">
        <v>864</v>
      </c>
      <c r="F76" s="17" t="s">
        <v>310</v>
      </c>
      <c r="G76" s="27" t="s">
        <v>765</v>
      </c>
      <c r="H76" s="26" t="str">
        <f ca="1">VLOOKUP($F76,OFFSET(達成条件!$A$1,0,0,COUNTA($A:$A),MATCH(H$1,達成条件!$1:$1,0)-MATCH($F$1,達成条件!$1:$1,0)+1),MATCH(H$1,達成条件!$1:$1,0)-MATCH($F$1,達成条件!$1:$1,0)+1,FALSE)</f>
        <v>該当のクエスト(99-9)</v>
      </c>
      <c r="I76" s="83" t="s">
        <v>1102</v>
      </c>
      <c r="J76" s="54" t="str">
        <f ca="1">IF(F76="specific_unit_aquired_count",SUBSTITUTE(G76,"x",VLOOKUP(INT($I76),OFFSET([3]characters!$A$2,0,0,COUNTA([3]characters!$A:$A),MATCH(J$1,[3]characters!$2:$2,0)-MATCH("character_id",[3]characters!$2:$2,0)+1),MATCH(J$1,[3]characters!$2:$2,0)-MATCH("character_id",[3]characters!$2:$2,0)+1,FALSE)),IF(F76="specific_quest_clear",VLOOKUP(SUBSTITUTE(I76,"-","_"),OFFSET([2]stages!$A$2,0,0,COUNTA([2]stages!$A:$A),MATCH("name",[2]stages!$2:$2,0)-MATCH("temp_stage",[2]stages!$2:$2,0)+1),MATCH("name",[2]stages!$2:$2,0)-MATCH("temp_stage",[2]stages!$2:$2,0)+1,FALSE),""))</f>
        <v>【超級】黄巾賊の暴走を止めろ</v>
      </c>
      <c r="K76" s="15" t="s">
        <v>931</v>
      </c>
      <c r="L76" s="15" t="s">
        <v>931</v>
      </c>
      <c r="M76" s="26"/>
      <c r="N76" s="26"/>
    </row>
    <row r="77" spans="1:14" ht="21" customHeight="1" x14ac:dyDescent="0.15">
      <c r="A77" s="21" t="s">
        <v>1085</v>
      </c>
      <c r="B77" s="21" t="s">
        <v>792</v>
      </c>
      <c r="C77" s="26" t="str">
        <f t="shared" ca="1" si="3"/>
        <v>クエスト 【超級】ブルースクウェアを追え！ をクリアしよう！</v>
      </c>
      <c r="D77" s="26" t="str">
        <f ca="1">IFERROR(VLOOKUP($A77,OFFSET(achievement_criterion_id,0,0,COUNTA($A:$A),MATCH(D$1,missions!$2:$2,0)-MATCH($A$1,missions!$2:$2,0)+1),MATCH(D$1,missions!$2:$2,0)-MATCH($A$1,missions!$2:$2,0)+1,FALSE),IFERROR(VLOOKUP($A77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77" s="27" t="s">
        <v>864</v>
      </c>
      <c r="F77" s="17" t="s">
        <v>310</v>
      </c>
      <c r="G77" s="27" t="s">
        <v>765</v>
      </c>
      <c r="H77" s="26" t="str">
        <f ca="1">VLOOKUP($F77,OFFSET(達成条件!$A$1,0,0,COUNTA($A:$A),MATCH(H$1,達成条件!$1:$1,0)-MATCH($F$1,達成条件!$1:$1,0)+1),MATCH(H$1,達成条件!$1:$1,0)-MATCH($F$1,達成条件!$1:$1,0)+1,FALSE)</f>
        <v>該当のクエスト(99-9)</v>
      </c>
      <c r="I77" s="83" t="s">
        <v>1103</v>
      </c>
      <c r="J77" s="54" t="str">
        <f ca="1">IF(F77="specific_unit_aquired_count",SUBSTITUTE(G77,"x",VLOOKUP(INT($I77),OFFSET([3]characters!$A$2,0,0,COUNTA([3]characters!$A:$A),MATCH(J$1,[3]characters!$2:$2,0)-MATCH("character_id",[3]characters!$2:$2,0)+1),MATCH(J$1,[3]characters!$2:$2,0)-MATCH("character_id",[3]characters!$2:$2,0)+1,FALSE)),IF(F77="specific_quest_clear",VLOOKUP(SUBSTITUTE(I77,"-","_"),OFFSET([2]stages!$A$2,0,0,COUNTA([2]stages!$A:$A),MATCH("name",[2]stages!$2:$2,0)-MATCH("temp_stage",[2]stages!$2:$2,0)+1),MATCH("name",[2]stages!$2:$2,0)-MATCH("temp_stage",[2]stages!$2:$2,0)+1,FALSE),""))</f>
        <v>【超級】ブルースクウェアを追え！</v>
      </c>
      <c r="K77" s="15" t="s">
        <v>931</v>
      </c>
      <c r="L77" s="15" t="s">
        <v>931</v>
      </c>
      <c r="M77" s="26"/>
      <c r="N77" s="26"/>
    </row>
    <row r="78" spans="1:14" ht="21" customHeight="1" x14ac:dyDescent="0.15">
      <c r="A78" s="21" t="s">
        <v>1087</v>
      </c>
      <c r="B78" s="21" t="s">
        <v>792</v>
      </c>
      <c r="C78" s="26" t="str">
        <f t="shared" ca="1" si="3"/>
        <v>クエスト 【ウィザード級】園原杏里襲来 をクリアしよう！</v>
      </c>
      <c r="D78" s="26" t="str">
        <f ca="1">IFERROR(VLOOKUP($A78,OFFSET(achievement_criterion_id,0,0,COUNTA($A:$A),MATCH(D$1,missions!$2:$2,0)-MATCH($A$1,missions!$2:$2,0)+1),MATCH(D$1,missions!$2:$2,0)-MATCH($A$1,missions!$2:$2,0)+1,FALSE),IFERROR(VLOOKUP($A78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78" s="27" t="s">
        <v>864</v>
      </c>
      <c r="F78" s="17" t="s">
        <v>310</v>
      </c>
      <c r="G78" s="27" t="s">
        <v>765</v>
      </c>
      <c r="H78" s="26" t="str">
        <f ca="1">VLOOKUP($F78,OFFSET(達成条件!$A$1,0,0,COUNTA($A:$A),MATCH(H$1,達成条件!$1:$1,0)-MATCH($F$1,達成条件!$1:$1,0)+1),MATCH(H$1,達成条件!$1:$1,0)-MATCH($F$1,達成条件!$1:$1,0)+1,FALSE)</f>
        <v>該当のクエスト(99-9)</v>
      </c>
      <c r="I78" s="83" t="s">
        <v>1104</v>
      </c>
      <c r="J78" s="54" t="str">
        <f ca="1">IF(F78="specific_unit_aquired_count",SUBSTITUTE(G78,"x",VLOOKUP(INT($I78),OFFSET([3]characters!$A$2,0,0,COUNTA([3]characters!$A:$A),MATCH(J$1,[3]characters!$2:$2,0)-MATCH("character_id",[3]characters!$2:$2,0)+1),MATCH(J$1,[3]characters!$2:$2,0)-MATCH("character_id",[3]characters!$2:$2,0)+1,FALSE)),IF(F78="specific_quest_clear",VLOOKUP(SUBSTITUTE(I78,"-","_"),OFFSET([2]stages!$A$2,0,0,COUNTA([2]stages!$A:$A),MATCH("name",[2]stages!$2:$2,0)-MATCH("temp_stage",[2]stages!$2:$2,0)+1),MATCH("name",[2]stages!$2:$2,0)-MATCH("temp_stage",[2]stages!$2:$2,0)+1,FALSE),""))</f>
        <v>【ウィザード級】園原杏里襲来</v>
      </c>
      <c r="K78" s="15" t="s">
        <v>931</v>
      </c>
      <c r="L78" s="15" t="s">
        <v>931</v>
      </c>
      <c r="M78" s="26"/>
      <c r="N78" s="26"/>
    </row>
    <row r="79" spans="1:14" ht="21" customHeight="1" x14ac:dyDescent="0.15">
      <c r="A79" s="21" t="s">
        <v>1089</v>
      </c>
      <c r="B79" s="21" t="s">
        <v>792</v>
      </c>
      <c r="C79" s="26" t="str">
        <f t="shared" ca="1" si="3"/>
        <v>クエスト 【ウィザード級】折原臨也襲来 をクリアしよう！</v>
      </c>
      <c r="D79" s="26" t="str">
        <f ca="1">IFERROR(VLOOKUP($A79,OFFSET(achievement_criterion_id,0,0,COUNTA($A:$A),MATCH(D$1,missions!$2:$2,0)-MATCH($A$1,missions!$2:$2,0)+1),MATCH(D$1,missions!$2:$2,0)-MATCH($A$1,missions!$2:$2,0)+1,FALSE),IFERROR(VLOOKUP($A79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79" s="27" t="s">
        <v>864</v>
      </c>
      <c r="F79" s="17" t="s">
        <v>310</v>
      </c>
      <c r="G79" s="27" t="s">
        <v>765</v>
      </c>
      <c r="H79" s="26" t="str">
        <f ca="1">VLOOKUP($F79,OFFSET(達成条件!$A$1,0,0,COUNTA($A:$A),MATCH(H$1,達成条件!$1:$1,0)-MATCH($F$1,達成条件!$1:$1,0)+1),MATCH(H$1,達成条件!$1:$1,0)-MATCH($F$1,達成条件!$1:$1,0)+1,FALSE)</f>
        <v>該当のクエスト(99-9)</v>
      </c>
      <c r="I79" s="83" t="s">
        <v>1427</v>
      </c>
      <c r="J79" s="54" t="str">
        <f ca="1">IF(F79="specific_unit_aquired_count",SUBSTITUTE(G79,"x",VLOOKUP(INT($I79),OFFSET([3]characters!$A$2,0,0,COUNTA([3]characters!$A:$A),MATCH(J$1,[3]characters!$2:$2,0)-MATCH("character_id",[3]characters!$2:$2,0)+1),MATCH(J$1,[3]characters!$2:$2,0)-MATCH("character_id",[3]characters!$2:$2,0)+1,FALSE)),IF(F79="specific_quest_clear",VLOOKUP(SUBSTITUTE(I79,"-","_"),OFFSET([2]stages!$A$2,0,0,COUNTA([2]stages!$A:$A),MATCH("name",[2]stages!$2:$2,0)-MATCH("temp_stage",[2]stages!$2:$2,0)+1),MATCH("name",[2]stages!$2:$2,0)-MATCH("temp_stage",[2]stages!$2:$2,0)+1,FALSE),""))</f>
        <v>【ウィザード級】折原臨也襲来</v>
      </c>
      <c r="K79" s="15" t="s">
        <v>931</v>
      </c>
      <c r="L79" s="15" t="s">
        <v>931</v>
      </c>
      <c r="M79" s="26"/>
      <c r="N79" s="26"/>
    </row>
    <row r="80" spans="1:14" ht="21" customHeight="1" x14ac:dyDescent="0.15">
      <c r="A80" s="21" t="s">
        <v>1434</v>
      </c>
      <c r="B80" s="21" t="s">
        <v>792</v>
      </c>
      <c r="C80" s="26" t="str">
        <f t="shared" ref="C80:C84" ca="1" si="4">IF(F80="specific_quest_clear",SUBSTITUTE(G80,"x",J80),IF(F80="specific_unit_aquired_count",SUBSTITUTE(J80,"y",K80),SUBSTITUTE(G80,"x",I80)))</f>
        <v>【初級】ニムダのおきにいり♪  をクリアしよう！</v>
      </c>
      <c r="D80" s="26" t="str">
        <f ca="1">IFERROR(VLOOKUP($A80,OFFSET(achievement_criterion_id,0,0,COUNTA($A:$A),MATCH(D$1,missions!$2:$2,0)-MATCH($A$1,missions!$2:$2,0)+1),MATCH(D$1,missions!$2:$2,0)-MATCH($A$1,missions!$2:$2,0)+1,FALSE),IFERROR(VLOOKUP($A80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80" s="27" t="s">
        <v>864</v>
      </c>
      <c r="F80" s="17" t="s">
        <v>310</v>
      </c>
      <c r="G80" s="27" t="s">
        <v>1439</v>
      </c>
      <c r="H80" s="26" t="str">
        <f ca="1">VLOOKUP($F80,OFFSET(達成条件!$A$1,0,0,COUNTA($A:$A),MATCH(H$1,達成条件!$1:$1,0)-MATCH($F$1,達成条件!$1:$1,0)+1),MATCH(H$1,達成条件!$1:$1,0)-MATCH($F$1,達成条件!$1:$1,0)+1,FALSE)</f>
        <v>該当のクエスト(99-9)</v>
      </c>
      <c r="I80" s="83" t="s">
        <v>1428</v>
      </c>
      <c r="J80" s="54" t="str">
        <f ca="1">IF(F80="specific_unit_aquired_count",SUBSTITUTE(G80,"x",VLOOKUP(INT($I80),OFFSET([3]characters!$A$2,0,0,COUNTA([3]characters!$A:$A),MATCH(J$1,[3]characters!$2:$2,0)-MATCH("character_id",[3]characters!$2:$2,0)+1),MATCH(J$1,[3]characters!$2:$2,0)-MATCH("character_id",[3]characters!$2:$2,0)+1,FALSE)),IF(F80="specific_quest_clear",VLOOKUP(SUBSTITUTE(I80,"-","_"),OFFSET([2]stages!$A$2,0,0,COUNTA([2]stages!$A:$A),MATCH("name",[2]stages!$2:$2,0)-MATCH("temp_stage",[2]stages!$2:$2,0)+1),MATCH("name",[2]stages!$2:$2,0)-MATCH("temp_stage",[2]stages!$2:$2,0)+1,FALSE),""))</f>
        <v xml:space="preserve">【初級】ニムダのおきにいり♪ </v>
      </c>
      <c r="K80" s="15" t="s">
        <v>931</v>
      </c>
      <c r="L80" s="15" t="s">
        <v>931</v>
      </c>
      <c r="M80" s="26"/>
      <c r="N80" s="26"/>
    </row>
    <row r="81" spans="1:14" ht="21" customHeight="1" x14ac:dyDescent="0.15">
      <c r="A81" s="21" t="s">
        <v>1421</v>
      </c>
      <c r="B81" s="21" t="s">
        <v>792</v>
      </c>
      <c r="C81" s="26" t="str">
        <f t="shared" ca="1" si="4"/>
        <v>【中級】ニムダのおきにいり♪  をクリアしよう！</v>
      </c>
      <c r="D81" s="26" t="str">
        <f ca="1">IFERROR(VLOOKUP($A81,OFFSET(achievement_criterion_id,0,0,COUNTA($A:$A),MATCH(D$1,missions!$2:$2,0)-MATCH($A$1,missions!$2:$2,0)+1),MATCH(D$1,missions!$2:$2,0)-MATCH($A$1,missions!$2:$2,0)+1,FALSE),IFERROR(VLOOKUP($A81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81" s="27" t="s">
        <v>864</v>
      </c>
      <c r="F81" s="17" t="s">
        <v>310</v>
      </c>
      <c r="G81" s="27" t="s">
        <v>1439</v>
      </c>
      <c r="H81" s="26" t="str">
        <f ca="1">VLOOKUP($F81,OFFSET(達成条件!$A$1,0,0,COUNTA($A:$A),MATCH(H$1,達成条件!$1:$1,0)-MATCH($F$1,達成条件!$1:$1,0)+1),MATCH(H$1,達成条件!$1:$1,0)-MATCH($F$1,達成条件!$1:$1,0)+1,FALSE)</f>
        <v>該当のクエスト(99-9)</v>
      </c>
      <c r="I81" s="83" t="s">
        <v>1429</v>
      </c>
      <c r="J81" s="54" t="str">
        <f ca="1">IF(F81="specific_unit_aquired_count",SUBSTITUTE(G81,"x",VLOOKUP(INT($I81),OFFSET([3]characters!$A$2,0,0,COUNTA([3]characters!$A:$A),MATCH(J$1,[3]characters!$2:$2,0)-MATCH("character_id",[3]characters!$2:$2,0)+1),MATCH(J$1,[3]characters!$2:$2,0)-MATCH("character_id",[3]characters!$2:$2,0)+1,FALSE)),IF(F81="specific_quest_clear",VLOOKUP(SUBSTITUTE(I81,"-","_"),OFFSET([2]stages!$A$2,0,0,COUNTA([2]stages!$A:$A),MATCH("name",[2]stages!$2:$2,0)-MATCH("temp_stage",[2]stages!$2:$2,0)+1),MATCH("name",[2]stages!$2:$2,0)-MATCH("temp_stage",[2]stages!$2:$2,0)+1,FALSE),""))</f>
        <v xml:space="preserve">【中級】ニムダのおきにいり♪ </v>
      </c>
      <c r="K81" s="15" t="s">
        <v>931</v>
      </c>
      <c r="L81" s="15" t="s">
        <v>931</v>
      </c>
      <c r="M81" s="26"/>
      <c r="N81" s="26"/>
    </row>
    <row r="82" spans="1:14" ht="21" customHeight="1" x14ac:dyDescent="0.15">
      <c r="A82" s="21" t="s">
        <v>1422</v>
      </c>
      <c r="B82" s="21" t="s">
        <v>792</v>
      </c>
      <c r="C82" s="26" t="str">
        <f t="shared" ca="1" si="4"/>
        <v>【上級】ニムダのおきにいり♪  をクリアしよう！</v>
      </c>
      <c r="D82" s="26" t="str">
        <f ca="1">IFERROR(VLOOKUP($A82,OFFSET(achievement_criterion_id,0,0,COUNTA($A:$A),MATCH(D$1,missions!$2:$2,0)-MATCH($A$1,missions!$2:$2,0)+1),MATCH(D$1,missions!$2:$2,0)-MATCH($A$1,missions!$2:$2,0)+1,FALSE),IFERROR(VLOOKUP($A82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82" s="27" t="s">
        <v>864</v>
      </c>
      <c r="F82" s="17" t="s">
        <v>310</v>
      </c>
      <c r="G82" s="27" t="s">
        <v>1439</v>
      </c>
      <c r="H82" s="26" t="str">
        <f ca="1">VLOOKUP($F82,OFFSET(達成条件!$A$1,0,0,COUNTA($A:$A),MATCH(H$1,達成条件!$1:$1,0)-MATCH($F$1,達成条件!$1:$1,0)+1),MATCH(H$1,達成条件!$1:$1,0)-MATCH($F$1,達成条件!$1:$1,0)+1,FALSE)</f>
        <v>該当のクエスト(99-9)</v>
      </c>
      <c r="I82" s="83" t="s">
        <v>1430</v>
      </c>
      <c r="J82" s="54" t="str">
        <f ca="1">IF(F82="specific_unit_aquired_count",SUBSTITUTE(G82,"x",VLOOKUP(INT($I82),OFFSET([3]characters!$A$2,0,0,COUNTA([3]characters!$A:$A),MATCH(J$1,[3]characters!$2:$2,0)-MATCH("character_id",[3]characters!$2:$2,0)+1),MATCH(J$1,[3]characters!$2:$2,0)-MATCH("character_id",[3]characters!$2:$2,0)+1,FALSE)),IF(F82="specific_quest_clear",VLOOKUP(SUBSTITUTE(I82,"-","_"),OFFSET([2]stages!$A$2,0,0,COUNTA([2]stages!$A:$A),MATCH("name",[2]stages!$2:$2,0)-MATCH("temp_stage",[2]stages!$2:$2,0)+1),MATCH("name",[2]stages!$2:$2,0)-MATCH("temp_stage",[2]stages!$2:$2,0)+1,FALSE),""))</f>
        <v xml:space="preserve">【上級】ニムダのおきにいり♪ </v>
      </c>
      <c r="K82" s="15" t="s">
        <v>931</v>
      </c>
      <c r="L82" s="15" t="s">
        <v>931</v>
      </c>
      <c r="M82" s="26"/>
      <c r="N82" s="26"/>
    </row>
    <row r="83" spans="1:14" ht="21" customHeight="1" x14ac:dyDescent="0.15">
      <c r="A83" s="21" t="s">
        <v>1424</v>
      </c>
      <c r="B83" s="21" t="s">
        <v>792</v>
      </c>
      <c r="C83" s="26" t="str">
        <f t="shared" ca="1" si="4"/>
        <v>【超級】ニムダのおきにいり♪  をクリアしよう！</v>
      </c>
      <c r="D83" s="26" t="str">
        <f ca="1">IFERROR(VLOOKUP($A83,OFFSET(achievement_criterion_id,0,0,COUNTA($A:$A),MATCH(D$1,missions!$2:$2,0)-MATCH($A$1,missions!$2:$2,0)+1),MATCH(D$1,missions!$2:$2,0)-MATCH($A$1,missions!$2:$2,0)+1,FALSE),IFERROR(VLOOKUP($A83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83" s="27" t="s">
        <v>864</v>
      </c>
      <c r="F83" s="17" t="s">
        <v>310</v>
      </c>
      <c r="G83" s="27" t="s">
        <v>1439</v>
      </c>
      <c r="H83" s="26" t="str">
        <f ca="1">VLOOKUP($F83,OFFSET(達成条件!$A$1,0,0,COUNTA($A:$A),MATCH(H$1,達成条件!$1:$1,0)-MATCH($F$1,達成条件!$1:$1,0)+1),MATCH(H$1,達成条件!$1:$1,0)-MATCH($F$1,達成条件!$1:$1,0)+1,FALSE)</f>
        <v>該当のクエスト(99-9)</v>
      </c>
      <c r="I83" s="83" t="s">
        <v>1431</v>
      </c>
      <c r="J83" s="54" t="str">
        <f ca="1">IF(F83="specific_unit_aquired_count",SUBSTITUTE(G83,"x",VLOOKUP(INT($I83),OFFSET([3]characters!$A$2,0,0,COUNTA([3]characters!$A:$A),MATCH(J$1,[3]characters!$2:$2,0)-MATCH("character_id",[3]characters!$2:$2,0)+1),MATCH(J$1,[3]characters!$2:$2,0)-MATCH("character_id",[3]characters!$2:$2,0)+1,FALSE)),IF(F83="specific_quest_clear",VLOOKUP(SUBSTITUTE(I83,"-","_"),OFFSET([2]stages!$A$2,0,0,COUNTA([2]stages!$A:$A),MATCH("name",[2]stages!$2:$2,0)-MATCH("temp_stage",[2]stages!$2:$2,0)+1),MATCH("name",[2]stages!$2:$2,0)-MATCH("temp_stage",[2]stages!$2:$2,0)+1,FALSE),""))</f>
        <v xml:space="preserve">【超級】ニムダのおきにいり♪ </v>
      </c>
      <c r="K83" s="15" t="s">
        <v>931</v>
      </c>
      <c r="L83" s="15" t="s">
        <v>931</v>
      </c>
      <c r="M83" s="26"/>
      <c r="N83" s="26"/>
    </row>
    <row r="84" spans="1:14" ht="21" customHeight="1" x14ac:dyDescent="0.15">
      <c r="A84" s="21" t="s">
        <v>1426</v>
      </c>
      <c r="B84" s="21" t="s">
        <v>792</v>
      </c>
      <c r="C84" s="26" t="str">
        <f t="shared" ca="1" si="4"/>
        <v>【ｳｨｻﾞ】サンリオ好きなのだーれだ♪ をクリアしよう！</v>
      </c>
      <c r="D84" s="26" t="str">
        <f ca="1">IFERROR(VLOOKUP($A84,OFFSET(achievement_criterion_id,0,0,COUNTA($A:$A),MATCH(D$1,missions!$2:$2,0)-MATCH($A$1,missions!$2:$2,0)+1),MATCH(D$1,missions!$2:$2,0)-MATCH($A$1,missions!$2:$2,0)+1,FALSE),IFERROR(VLOOKUP($A84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84" s="27" t="s">
        <v>864</v>
      </c>
      <c r="F84" s="17" t="s">
        <v>310</v>
      </c>
      <c r="G84" s="27" t="s">
        <v>1439</v>
      </c>
      <c r="H84" s="26" t="str">
        <f ca="1">VLOOKUP($F84,OFFSET(達成条件!$A$1,0,0,COUNTA($A:$A),MATCH(H$1,達成条件!$1:$1,0)-MATCH($F$1,達成条件!$1:$1,0)+1),MATCH(H$1,達成条件!$1:$1,0)-MATCH($F$1,達成条件!$1:$1,0)+1,FALSE)</f>
        <v>該当のクエスト(99-9)</v>
      </c>
      <c r="I84" s="83" t="s">
        <v>1432</v>
      </c>
      <c r="J84" s="54" t="str">
        <f ca="1">IF(F84="specific_unit_aquired_count",SUBSTITUTE(G84,"x",VLOOKUP(INT($I84),OFFSET([3]characters!$A$2,0,0,COUNTA([3]characters!$A:$A),MATCH(J$1,[3]characters!$2:$2,0)-MATCH("character_id",[3]characters!$2:$2,0)+1),MATCH(J$1,[3]characters!$2:$2,0)-MATCH("character_id",[3]characters!$2:$2,0)+1,FALSE)),IF(F84="specific_quest_clear",VLOOKUP(SUBSTITUTE(I84,"-","_"),OFFSET([2]stages!$A$2,0,0,COUNTA([2]stages!$A:$A),MATCH("name",[2]stages!$2:$2,0)-MATCH("temp_stage",[2]stages!$2:$2,0)+1),MATCH("name",[2]stages!$2:$2,0)-MATCH("temp_stage",[2]stages!$2:$2,0)+1,FALSE),""))</f>
        <v>【ｳｨｻﾞ】サンリオ好きなのだーれだ♪</v>
      </c>
      <c r="K84" s="15" t="s">
        <v>931</v>
      </c>
      <c r="L84" s="15" t="s">
        <v>931</v>
      </c>
      <c r="M84" s="26"/>
      <c r="N84" s="26"/>
    </row>
    <row r="85" spans="1:14" ht="21" customHeight="1" x14ac:dyDescent="0.15">
      <c r="A85" s="21" t="s">
        <v>1651</v>
      </c>
      <c r="B85" s="21" t="s">
        <v>792</v>
      </c>
      <c r="C85" s="39" t="s">
        <v>1010</v>
      </c>
      <c r="D85" s="26" t="str">
        <f ca="1">IFERROR(VLOOKUP($A85,OFFSET(achievement_criterion_id,0,0,COUNTA($A:$A),MATCH(D$1,missions!$2:$2,0)-MATCH($A$1,missions!$2:$2,0)+1),MATCH(D$1,missions!$2:$2,0)-MATCH($A$1,missions!$2:$2,0)+1,FALSE),IFERROR(VLOOKUP($A85,OFFSET(weekly_achievement_criterion_id,0,0,COUNTA($A:$A),MATCH(D$1,weekly_missions!$2:$2,0)-MATCH($A$1,weekly_missions!$2:$2,0)+1),MATCH(D$1,weekly_missions!$2:$2,0)-MATCH($A$1,weekly_missions!$2:$2,0)+1,FALSE),"＊missions 未設定＊"))</f>
        <v>ハッピー バレンタイン x 1</v>
      </c>
      <c r="E85" s="27" t="s">
        <v>864</v>
      </c>
      <c r="F85" s="17" t="s">
        <v>310</v>
      </c>
      <c r="G85" s="27" t="s">
        <v>765</v>
      </c>
      <c r="H85" s="26" t="str">
        <f ca="1">VLOOKUP($F85,OFFSET(達成条件!$A$1,0,0,COUNTA($A:$A),MATCH(H$1,達成条件!$1:$1,0)-MATCH($F$1,達成条件!$1:$1,0)+1),MATCH(H$1,達成条件!$1:$1,0)-MATCH($F$1,達成条件!$1:$1,0)+1,FALSE)</f>
        <v>該当のクエスト(99-9)</v>
      </c>
      <c r="I85" s="83" t="s">
        <v>2211</v>
      </c>
      <c r="J85" s="54" t="str">
        <f ca="1">IF(F85="specific_unit_aquired_count",SUBSTITUTE(G85,"x",VLOOKUP(INT($I85),OFFSET([3]characters!$A$2,0,0,COUNTA([3]characters!$A:$A),MATCH(J$1,[3]characters!$2:$2,0)-MATCH("character_id",[3]characters!$2:$2,0)+1),MATCH(J$1,[3]characters!$2:$2,0)-MATCH("character_id",[3]characters!$2:$2,0)+1,FALSE)),IF(F85="specific_quest_clear",VLOOKUP(SUBSTITUTE(I85,"-","_"),OFFSET([2]stages!$A$2,0,0,COUNTA([2]stages!$A:$A),MATCH("name",[2]stages!$2:$2,0)-MATCH("temp_stage",[2]stages!$2:$2,0)+1),MATCH("name",[2]stages!$2:$2,0)-MATCH("temp_stage",[2]stages!$2:$2,0)+1,FALSE),""))</f>
        <v>【ストーリー】バレンタイン狂想曲</v>
      </c>
      <c r="K85" s="15" t="s">
        <v>888</v>
      </c>
      <c r="L85" s="15" t="s">
        <v>888</v>
      </c>
      <c r="M85" s="26"/>
      <c r="N85" s="26"/>
    </row>
    <row r="86" spans="1:14" ht="21" customHeight="1" x14ac:dyDescent="0.15">
      <c r="A86" s="21" t="s">
        <v>1652</v>
      </c>
      <c r="B86" s="21" t="s">
        <v>792</v>
      </c>
      <c r="C86" s="26" t="str">
        <f t="shared" ref="C86:C91" ca="1" si="5">IF(F86="specific_quest_clear",SUBSTITUTE(G86,"x",J86),IF(F86="specific_unit_aquired_count",SUBSTITUTE(J86,"y",K86),SUBSTITUTE(G86,"x",I86)))</f>
        <v>クエスト 【初級】シガンシナ区攻防戦 をクリアしよう！</v>
      </c>
      <c r="D86" s="26" t="str">
        <f ca="1">IFERROR(VLOOKUP($A86,OFFSET(achievement_criterion_id,0,0,COUNTA($A:$A),MATCH(D$1,missions!$2:$2,0)-MATCH($A$1,missions!$2:$2,0)+1),MATCH(D$1,missions!$2:$2,0)-MATCH($A$1,missions!$2:$2,0)+1,FALSE),IFERROR(VLOOKUP($A86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86" s="27" t="s">
        <v>864</v>
      </c>
      <c r="F86" s="17" t="s">
        <v>310</v>
      </c>
      <c r="G86" s="27" t="s">
        <v>765</v>
      </c>
      <c r="H86" s="26" t="str">
        <f ca="1">VLOOKUP($F86,OFFSET(達成条件!$A$1,0,0,COUNTA($A:$A),MATCH(H$1,達成条件!$1:$1,0)-MATCH($F$1,達成条件!$1:$1,0)+1),MATCH(H$1,達成条件!$1:$1,0)-MATCH($F$1,達成条件!$1:$1,0)+1,FALSE)</f>
        <v>該当のクエスト(99-9)</v>
      </c>
      <c r="I86" s="83" t="s">
        <v>1658</v>
      </c>
      <c r="J86" s="54" t="str">
        <f ca="1">IF(F86="specific_unit_aquired_count",SUBSTITUTE(G86,"x",VLOOKUP(INT($I86),OFFSET([3]characters!$A$2,0,0,COUNTA([3]characters!$A:$A),MATCH(J$1,[3]characters!$2:$2,0)-MATCH("character_id",[3]characters!$2:$2,0)+1),MATCH(J$1,[3]characters!$2:$2,0)-MATCH("character_id",[3]characters!$2:$2,0)+1,FALSE)),IF(F86="specific_quest_clear",VLOOKUP(SUBSTITUTE(I86,"-","_"),OFFSET([2]stages!$A$2,0,0,COUNTA([2]stages!$A:$A),MATCH("name",[2]stages!$2:$2,0)-MATCH("temp_stage",[2]stages!$2:$2,0)+1),MATCH("name",[2]stages!$2:$2,0)-MATCH("temp_stage",[2]stages!$2:$2,0)+1,FALSE),""))</f>
        <v>【初級】シガンシナ区攻防戦</v>
      </c>
      <c r="K86" s="15" t="s">
        <v>888</v>
      </c>
      <c r="L86" s="15" t="s">
        <v>888</v>
      </c>
      <c r="M86" s="26"/>
      <c r="N86" s="26"/>
    </row>
    <row r="87" spans="1:14" ht="21" customHeight="1" x14ac:dyDescent="0.15">
      <c r="A87" s="21" t="s">
        <v>1653</v>
      </c>
      <c r="B87" s="21" t="s">
        <v>792</v>
      </c>
      <c r="C87" s="26" t="str">
        <f t="shared" ca="1" si="5"/>
        <v>クエスト 【中級】シガンシナ区攻防戦 をクリアしよう！</v>
      </c>
      <c r="D87" s="26" t="str">
        <f ca="1">IFERROR(VLOOKUP($A87,OFFSET(achievement_criterion_id,0,0,COUNTA($A:$A),MATCH(D$1,missions!$2:$2,0)-MATCH($A$1,missions!$2:$2,0)+1),MATCH(D$1,missions!$2:$2,0)-MATCH($A$1,missions!$2:$2,0)+1,FALSE),IFERROR(VLOOKUP($A87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87" s="27" t="s">
        <v>864</v>
      </c>
      <c r="F87" s="17" t="s">
        <v>310</v>
      </c>
      <c r="G87" s="27" t="s">
        <v>765</v>
      </c>
      <c r="H87" s="26" t="str">
        <f ca="1">VLOOKUP($F87,OFFSET(達成条件!$A$1,0,0,COUNTA($A:$A),MATCH(H$1,達成条件!$1:$1,0)-MATCH($F$1,達成条件!$1:$1,0)+1),MATCH(H$1,達成条件!$1:$1,0)-MATCH($F$1,達成条件!$1:$1,0)+1,FALSE)</f>
        <v>該当のクエスト(99-9)</v>
      </c>
      <c r="I87" s="83" t="s">
        <v>1659</v>
      </c>
      <c r="J87" s="54" t="str">
        <f ca="1">IF(F87="specific_unit_aquired_count",SUBSTITUTE(G87,"x",VLOOKUP(INT($I87),OFFSET([3]characters!$A$2,0,0,COUNTA([3]characters!$A:$A),MATCH(J$1,[3]characters!$2:$2,0)-MATCH("character_id",[3]characters!$2:$2,0)+1),MATCH(J$1,[3]characters!$2:$2,0)-MATCH("character_id",[3]characters!$2:$2,0)+1,FALSE)),IF(F87="specific_quest_clear",VLOOKUP(SUBSTITUTE(I87,"-","_"),OFFSET([2]stages!$A$2,0,0,COUNTA([2]stages!$A:$A),MATCH("name",[2]stages!$2:$2,0)-MATCH("temp_stage",[2]stages!$2:$2,0)+1),MATCH("name",[2]stages!$2:$2,0)-MATCH("temp_stage",[2]stages!$2:$2,0)+1,FALSE),""))</f>
        <v>【中級】シガンシナ区攻防戦</v>
      </c>
      <c r="K87" s="15" t="s">
        <v>888</v>
      </c>
      <c r="L87" s="15" t="s">
        <v>888</v>
      </c>
      <c r="M87" s="26"/>
      <c r="N87" s="26"/>
    </row>
    <row r="88" spans="1:14" ht="21" customHeight="1" x14ac:dyDescent="0.15">
      <c r="A88" s="21" t="s">
        <v>1655</v>
      </c>
      <c r="B88" s="21" t="s">
        <v>792</v>
      </c>
      <c r="C88" s="26" t="str">
        <f t="shared" ca="1" si="5"/>
        <v>クエスト 【上級】シガンシナ区攻防戦 をクリアしよう！</v>
      </c>
      <c r="D88" s="26" t="str">
        <f ca="1">IFERROR(VLOOKUP($A88,OFFSET(achievement_criterion_id,0,0,COUNTA($A:$A),MATCH(D$1,missions!$2:$2,0)-MATCH($A$1,missions!$2:$2,0)+1),MATCH(D$1,missions!$2:$2,0)-MATCH($A$1,missions!$2:$2,0)+1,FALSE),IFERROR(VLOOKUP($A88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88" s="27" t="s">
        <v>864</v>
      </c>
      <c r="F88" s="17" t="s">
        <v>310</v>
      </c>
      <c r="G88" s="27" t="s">
        <v>765</v>
      </c>
      <c r="H88" s="26" t="str">
        <f ca="1">VLOOKUP($F88,OFFSET(達成条件!$A$1,0,0,COUNTA($A:$A),MATCH(H$1,達成条件!$1:$1,0)-MATCH($F$1,達成条件!$1:$1,0)+1),MATCH(H$1,達成条件!$1:$1,0)-MATCH($F$1,達成条件!$1:$1,0)+1,FALSE)</f>
        <v>該当のクエスト(99-9)</v>
      </c>
      <c r="I88" s="83" t="s">
        <v>1660</v>
      </c>
      <c r="J88" s="54" t="str">
        <f ca="1">IF(F88="specific_unit_aquired_count",SUBSTITUTE(G88,"x",VLOOKUP(INT($I88),OFFSET([3]characters!$A$2,0,0,COUNTA([3]characters!$A:$A),MATCH(J$1,[3]characters!$2:$2,0)-MATCH("character_id",[3]characters!$2:$2,0)+1),MATCH(J$1,[3]characters!$2:$2,0)-MATCH("character_id",[3]characters!$2:$2,0)+1,FALSE)),IF(F88="specific_quest_clear",VLOOKUP(SUBSTITUTE(I88,"-","_"),OFFSET([2]stages!$A$2,0,0,COUNTA([2]stages!$A:$A),MATCH("name",[2]stages!$2:$2,0)-MATCH("temp_stage",[2]stages!$2:$2,0)+1),MATCH("name",[2]stages!$2:$2,0)-MATCH("temp_stage",[2]stages!$2:$2,0)+1,FALSE),""))</f>
        <v>【上級】シガンシナ区攻防戦</v>
      </c>
      <c r="K88" s="15" t="s">
        <v>888</v>
      </c>
      <c r="L88" s="15" t="s">
        <v>888</v>
      </c>
      <c r="M88" s="26"/>
      <c r="N88" s="26"/>
    </row>
    <row r="89" spans="1:14" ht="21" customHeight="1" x14ac:dyDescent="0.15">
      <c r="A89" s="21" t="s">
        <v>1657</v>
      </c>
      <c r="B89" s="21" t="s">
        <v>792</v>
      </c>
      <c r="C89" s="26" t="str">
        <f t="shared" ca="1" si="5"/>
        <v>クエスト 【超級】シガンシナ区攻防戦 をクリアしよう！</v>
      </c>
      <c r="D89" s="26" t="str">
        <f ca="1">IFERROR(VLOOKUP($A89,OFFSET(achievement_criterion_id,0,0,COUNTA($A:$A),MATCH(D$1,missions!$2:$2,0)-MATCH($A$1,missions!$2:$2,0)+1),MATCH(D$1,missions!$2:$2,0)-MATCH($A$1,missions!$2:$2,0)+1,FALSE),IFERROR(VLOOKUP($A89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89" s="27" t="s">
        <v>864</v>
      </c>
      <c r="F89" s="17" t="s">
        <v>310</v>
      </c>
      <c r="G89" s="27" t="s">
        <v>765</v>
      </c>
      <c r="H89" s="26" t="str">
        <f ca="1">VLOOKUP($F89,OFFSET(達成条件!$A$1,0,0,COUNTA($A:$A),MATCH(H$1,達成条件!$1:$1,0)-MATCH($F$1,達成条件!$1:$1,0)+1),MATCH(H$1,達成条件!$1:$1,0)-MATCH($F$1,達成条件!$1:$1,0)+1,FALSE)</f>
        <v>該当のクエスト(99-9)</v>
      </c>
      <c r="I89" s="83" t="s">
        <v>1661</v>
      </c>
      <c r="J89" s="54" t="str">
        <f ca="1">IF(F89="specific_unit_aquired_count",SUBSTITUTE(G89,"x",VLOOKUP(INT($I89),OFFSET([3]characters!$A$2,0,0,COUNTA([3]characters!$A:$A),MATCH(J$1,[3]characters!$2:$2,0)-MATCH("character_id",[3]characters!$2:$2,0)+1),MATCH(J$1,[3]characters!$2:$2,0)-MATCH("character_id",[3]characters!$2:$2,0)+1,FALSE)),IF(F89="specific_quest_clear",VLOOKUP(SUBSTITUTE(I89,"-","_"),OFFSET([2]stages!$A$2,0,0,COUNTA([2]stages!$A:$A),MATCH("name",[2]stages!$2:$2,0)-MATCH("temp_stage",[2]stages!$2:$2,0)+1),MATCH("name",[2]stages!$2:$2,0)-MATCH("temp_stage",[2]stages!$2:$2,0)+1,FALSE),""))</f>
        <v>【超級】シガンシナ区攻防戦</v>
      </c>
      <c r="K89" s="15" t="s">
        <v>888</v>
      </c>
      <c r="L89" s="15" t="s">
        <v>888</v>
      </c>
      <c r="M89" s="26"/>
      <c r="N89" s="26"/>
    </row>
    <row r="90" spans="1:14" ht="21" customHeight="1" x14ac:dyDescent="0.15">
      <c r="A90" s="21" t="s">
        <v>1667</v>
      </c>
      <c r="B90" s="21" t="s">
        <v>792</v>
      </c>
      <c r="C90" s="26" t="str">
        <f t="shared" ca="1" si="5"/>
        <v>クエスト 【超絶級】超大型巨人襲来 をクリアしよう！</v>
      </c>
      <c r="D90" s="26" t="str">
        <f ca="1">IFERROR(VLOOKUP($A90,OFFSET(achievement_criterion_id,0,0,COUNTA($A:$A),MATCH(D$1,missions!$2:$2,0)-MATCH($A$1,missions!$2:$2,0)+1),MATCH(D$1,missions!$2:$2,0)-MATCH($A$1,missions!$2:$2,0)+1,FALSE),IFERROR(VLOOKUP($A90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90" s="27" t="s">
        <v>864</v>
      </c>
      <c r="F90" s="17" t="s">
        <v>310</v>
      </c>
      <c r="G90" s="27" t="s">
        <v>765</v>
      </c>
      <c r="H90" s="26" t="str">
        <f ca="1">VLOOKUP($F90,OFFSET(達成条件!$A$1,0,0,COUNTA($A:$A),MATCH(H$1,達成条件!$1:$1,0)-MATCH($F$1,達成条件!$1:$1,0)+1),MATCH(H$1,達成条件!$1:$1,0)-MATCH($F$1,達成条件!$1:$1,0)+1,FALSE)</f>
        <v>該当のクエスト(99-9)</v>
      </c>
      <c r="I90" s="83" t="s">
        <v>1668</v>
      </c>
      <c r="J90" s="54" t="str">
        <f ca="1">IF(F90="specific_unit_aquired_count",SUBSTITUTE(G90,"x",VLOOKUP(INT($I90),OFFSET([3]characters!$A$2,0,0,COUNTA([3]characters!$A:$A),MATCH(J$1,[3]characters!$2:$2,0)-MATCH("character_id",[3]characters!$2:$2,0)+1),MATCH(J$1,[3]characters!$2:$2,0)-MATCH("character_id",[3]characters!$2:$2,0)+1,FALSE)),IF(F90="specific_quest_clear",VLOOKUP(SUBSTITUTE(I90,"-","_"),OFFSET([2]stages!$A$2,0,0,COUNTA([2]stages!$A:$A),MATCH("name",[2]stages!$2:$2,0)-MATCH("temp_stage",[2]stages!$2:$2,0)+1),MATCH("name",[2]stages!$2:$2,0)-MATCH("temp_stage",[2]stages!$2:$2,0)+1,FALSE),""))</f>
        <v>【超絶級】超大型巨人襲来</v>
      </c>
      <c r="K90" s="15" t="s">
        <v>864</v>
      </c>
      <c r="L90" s="15" t="s">
        <v>864</v>
      </c>
      <c r="M90" s="26"/>
      <c r="N90" s="26"/>
    </row>
    <row r="91" spans="1:14" ht="21" customHeight="1" x14ac:dyDescent="0.15">
      <c r="A91" s="21" t="s">
        <v>1666</v>
      </c>
      <c r="B91" s="21" t="s">
        <v>792</v>
      </c>
      <c r="C91" s="26" t="str">
        <f t="shared" ca="1" si="5"/>
        <v>クエスト 【ウィザード級】超大型巨人襲来 をクリアしよう！</v>
      </c>
      <c r="D91" s="26" t="str">
        <f ca="1">IFERROR(VLOOKUP($A91,OFFSET(achievement_criterion_id,0,0,COUNTA($A:$A),MATCH(D$1,missions!$2:$2,0)-MATCH($A$1,missions!$2:$2,0)+1),MATCH(D$1,missions!$2:$2,0)-MATCH($A$1,missions!$2:$2,0)+1,FALSE),IFERROR(VLOOKUP($A91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91" s="27" t="s">
        <v>864</v>
      </c>
      <c r="F91" s="17" t="s">
        <v>310</v>
      </c>
      <c r="G91" s="27" t="s">
        <v>765</v>
      </c>
      <c r="H91" s="26" t="str">
        <f ca="1">VLOOKUP($F91,OFFSET(達成条件!$A$1,0,0,COUNTA($A:$A),MATCH(H$1,達成条件!$1:$1,0)-MATCH($F$1,達成条件!$1:$1,0)+1),MATCH(H$1,達成条件!$1:$1,0)-MATCH($F$1,達成条件!$1:$1,0)+1,FALSE)</f>
        <v>該当のクエスト(99-9)</v>
      </c>
      <c r="I91" s="83" t="s">
        <v>1671</v>
      </c>
      <c r="J91" s="54" t="str">
        <f ca="1">IF(F91="specific_unit_aquired_count",SUBSTITUTE(G91,"x",VLOOKUP(INT($I91),OFFSET([3]characters!$A$2,0,0,COUNTA([3]characters!$A:$A),MATCH(J$1,[3]characters!$2:$2,0)-MATCH("character_id",[3]characters!$2:$2,0)+1),MATCH(J$1,[3]characters!$2:$2,0)-MATCH("character_id",[3]characters!$2:$2,0)+1,FALSE)),IF(F91="specific_quest_clear",VLOOKUP(SUBSTITUTE(I91,"-","_"),OFFSET([2]stages!$A$2,0,0,COUNTA([2]stages!$A:$A),MATCH("name",[2]stages!$2:$2,0)-MATCH("temp_stage",[2]stages!$2:$2,0)+1),MATCH("name",[2]stages!$2:$2,0)-MATCH("temp_stage",[2]stages!$2:$2,0)+1,FALSE),""))</f>
        <v>【ウィザード級】超大型巨人襲来</v>
      </c>
      <c r="K91" s="15" t="s">
        <v>888</v>
      </c>
      <c r="L91" s="15" t="s">
        <v>888</v>
      </c>
      <c r="M91" s="26"/>
      <c r="N91" s="26"/>
    </row>
    <row r="92" spans="1:14" ht="21" customHeight="1" x14ac:dyDescent="0.15">
      <c r="A92" s="21" t="s">
        <v>1727</v>
      </c>
      <c r="B92" s="21" t="s">
        <v>792</v>
      </c>
      <c r="C92" s="105" t="s">
        <v>1760</v>
      </c>
      <c r="D92" s="26" t="str">
        <f ca="1">IFERROR(VLOOKUP($A92,OFFSET(achievement_criterion_id,0,0,COUNTA($A:$A),MATCH(D$1,missions!$2:$2,0)-MATCH($A$1,missions!$2:$2,0)+1),MATCH(D$1,missions!$2:$2,0)-MATCH($A$1,missions!$2:$2,0)+1,FALSE),IFERROR(VLOOKUP($A92,OFFSET(weekly_achievement_criterion_id,0,0,COUNTA($A:$A),MATCH(D$1,weekly_missions!$2:$2,0)-MATCH($A$1,weekly_missions!$2:$2,0)+1),MATCH(D$1,weekly_missions!$2:$2,0)-MATCH($A$1,weekly_missions!$2:$2,0)+1,FALSE),"＊missions 未設定＊"))</f>
        <v>リトルハンプティ x 1</v>
      </c>
      <c r="E92" s="27" t="s">
        <v>864</v>
      </c>
      <c r="F92" s="17" t="s">
        <v>310</v>
      </c>
      <c r="G92" s="27" t="s">
        <v>765</v>
      </c>
      <c r="H92" s="26" t="str">
        <f ca="1">VLOOKUP($F92,OFFSET(達成条件!$A$1,0,0,COUNTA($A:$A),MATCH(H$1,達成条件!$1:$1,0)-MATCH($F$1,達成条件!$1:$1,0)+1),MATCH(H$1,達成条件!$1:$1,0)-MATCH($F$1,達成条件!$1:$1,0)+1,FALSE)</f>
        <v>該当のクエスト(99-9)</v>
      </c>
      <c r="I92" s="83" t="s">
        <v>1738</v>
      </c>
      <c r="J92" s="54" t="str">
        <f ca="1">IF(F92="specific_unit_aquired_count",SUBSTITUTE(G92,"x",VLOOKUP(INT($I92),OFFSET([3]characters!$A$2,0,0,COUNTA([3]characters!$A:$A),MATCH(J$1,[3]characters!$2:$2,0)-MATCH("character_id",[3]characters!$2:$2,0)+1),MATCH(J$1,[3]characters!$2:$2,0)-MATCH("character_id",[3]characters!$2:$2,0)+1,FALSE)),IF(F92="specific_quest_clear",VLOOKUP(SUBSTITUTE(I92,"-","_"),OFFSET([2]stages!$A$2,0,0,COUNTA([2]stages!$A:$A),MATCH("name",[2]stages!$2:$2,0)-MATCH("temp_stage",[2]stages!$2:$2,0)+1),MATCH("name",[2]stages!$2:$2,0)-MATCH("temp_stage",[2]stages!$2:$2,0)+1,FALSE),""))</f>
        <v>…勘違いじゃないよ。</v>
      </c>
      <c r="K92" s="15" t="s">
        <v>888</v>
      </c>
      <c r="L92" s="15" t="s">
        <v>888</v>
      </c>
      <c r="M92" s="26"/>
      <c r="N92" s="26"/>
    </row>
    <row r="93" spans="1:14" ht="21" customHeight="1" x14ac:dyDescent="0.15">
      <c r="A93" s="21" t="s">
        <v>1784</v>
      </c>
      <c r="B93" s="21" t="s">
        <v>792</v>
      </c>
      <c r="C93" s="105" t="s">
        <v>1786</v>
      </c>
      <c r="D93" s="26" t="str">
        <f ca="1">IFERROR(VLOOKUP($A93,OFFSET(achievement_criterion_id,0,0,COUNTA($A:$A),MATCH(D$1,missions!$2:$2,0)-MATCH($A$1,missions!$2:$2,0)+1),MATCH(D$1,missions!$2:$2,0)-MATCH($A$1,missions!$2:$2,0)+1,FALSE),IFERROR(VLOOKUP($A93,OFFSET(weekly_achievement_criterion_id,0,0,COUNTA($A:$A),MATCH(D$1,weekly_missions!$2:$2,0)-MATCH($A$1,weekly_missions!$2:$2,0)+1),MATCH(D$1,weekly_missions!$2:$2,0)-MATCH($A$1,weekly_missions!$2:$2,0)+1,FALSE),"＊missions 未設定＊"))</f>
        <v>ポリゴン x 3</v>
      </c>
      <c r="E93" s="27" t="s">
        <v>864</v>
      </c>
      <c r="F93" s="17" t="s">
        <v>310</v>
      </c>
      <c r="G93" s="27" t="s">
        <v>765</v>
      </c>
      <c r="H93" s="26" t="str">
        <f ca="1">VLOOKUP($F93,OFFSET(達成条件!$A$1,0,0,COUNTA($A:$A),MATCH(H$1,達成条件!$1:$1,0)-MATCH($F$1,達成条件!$1:$1,0)+1),MATCH(H$1,達成条件!$1:$1,0)-MATCH($F$1,達成条件!$1:$1,0)+1,FALSE)</f>
        <v>該当のクエスト(99-9)</v>
      </c>
      <c r="I93" s="83" t="s">
        <v>1785</v>
      </c>
      <c r="J93" s="54" t="str">
        <f ca="1">IF(F93="specific_unit_aquired_count",SUBSTITUTE(G93,"x",VLOOKUP(INT($I93),OFFSET([3]characters!$A$2,0,0,COUNTA([3]characters!$A:$A),MATCH(J$1,[3]characters!$2:$2,0)-MATCH("character_id",[3]characters!$2:$2,0)+1),MATCH(J$1,[3]characters!$2:$2,0)-MATCH("character_id",[3]characters!$2:$2,0)+1,FALSE)),IF(F93="specific_quest_clear",VLOOKUP(SUBSTITUTE(I93,"-","_"),OFFSET([2]stages!$A$2,0,0,COUNTA([2]stages!$A:$A),MATCH("name",[2]stages!$2:$2,0)-MATCH("temp_stage",[2]stages!$2:$2,0)+1),MATCH("name",[2]stages!$2:$2,0)-MATCH("temp_stage",[2]stages!$2:$2,0)+1,FALSE),""))</f>
        <v>ラグランジュチャレンジ</v>
      </c>
      <c r="K93" s="15" t="s">
        <v>888</v>
      </c>
      <c r="L93" s="15" t="s">
        <v>888</v>
      </c>
      <c r="M93" s="26"/>
      <c r="N93" s="26"/>
    </row>
    <row r="94" spans="1:14" ht="21" customHeight="1" x14ac:dyDescent="0.15">
      <c r="A94" s="21" t="s">
        <v>1802</v>
      </c>
      <c r="B94" s="21" t="s">
        <v>792</v>
      </c>
      <c r="C94" s="105" t="s">
        <v>1869</v>
      </c>
      <c r="D94" s="26" t="str">
        <f ca="1">IFERROR(VLOOKUP($A94,OFFSET(achievement_criterion_id,0,0,COUNTA($A:$A),MATCH(D$1,missions!$2:$2,0)-MATCH($A$1,missions!$2:$2,0)+1),MATCH(D$1,missions!$2:$2,0)-MATCH($A$1,missions!$2:$2,0)+1,FALSE),IFERROR(VLOOKUP($A94,OFFSET(weekly_achievement_criterion_id,0,0,COUNTA($A:$A),MATCH(D$1,weekly_missions!$2:$2,0)-MATCH($A$1,weekly_missions!$2:$2,0)+1),MATCH(D$1,weekly_missions!$2:$2,0)-MATCH($A$1,weekly_missions!$2:$2,0)+1,FALSE),"＊missions 未設定＊"))</f>
        <v>ポリゴン x 3</v>
      </c>
      <c r="E94" s="27" t="s">
        <v>864</v>
      </c>
      <c r="F94" s="17" t="s">
        <v>310</v>
      </c>
      <c r="G94" s="27" t="s">
        <v>765</v>
      </c>
      <c r="H94" s="26" t="str">
        <f ca="1">VLOOKUP($F94,OFFSET(達成条件!$A$1,0,0,COUNTA($A:$A),MATCH(H$1,達成条件!$1:$1,0)-MATCH($F$1,達成条件!$1:$1,0)+1),MATCH(H$1,達成条件!$1:$1,0)-MATCH($F$1,達成条件!$1:$1,0)+1,FALSE)</f>
        <v>該当のクエスト(99-9)</v>
      </c>
      <c r="I94" s="83" t="s">
        <v>1803</v>
      </c>
      <c r="J94" s="54" t="str">
        <f ca="1">IF(F94="specific_unit_aquired_count",SUBSTITUTE(G94,"x",VLOOKUP(INT($I94),OFFSET([3]characters!$A$2,0,0,COUNTA([3]characters!$A:$A),MATCH(J$1,[3]characters!$2:$2,0)-MATCH("character_id",[3]characters!$2:$2,0)+1),MATCH(J$1,[3]characters!$2:$2,0)-MATCH("character_id",[3]characters!$2:$2,0)+1,FALSE)),IF(F94="specific_quest_clear",VLOOKUP(SUBSTITUTE(I94,"-","_"),OFFSET([2]stages!$A$2,0,0,COUNTA([2]stages!$A:$A),MATCH("name",[2]stages!$2:$2,0)-MATCH("temp_stage",[2]stages!$2:$2,0)+1),MATCH("name",[2]stages!$2:$2,0)-MATCH("temp_stage",[2]stages!$2:$2,0)+1,FALSE),""))</f>
        <v>シュレディンガーチャレンジ</v>
      </c>
      <c r="K94" s="15" t="s">
        <v>864</v>
      </c>
      <c r="L94" s="15" t="s">
        <v>864</v>
      </c>
      <c r="M94" s="26"/>
      <c r="N94" s="26"/>
    </row>
    <row r="95" spans="1:14" ht="21" customHeight="1" x14ac:dyDescent="0.15">
      <c r="A95" s="21" t="s">
        <v>1864</v>
      </c>
      <c r="B95" s="21" t="s">
        <v>792</v>
      </c>
      <c r="C95" s="76" t="s">
        <v>1870</v>
      </c>
      <c r="D95" s="26" t="str">
        <f ca="1">IFERROR(VLOOKUP($A95,OFFSET(achievement_criterion_id,0,0,COUNTA($A:$A),MATCH(D$1,missions!$2:$2,0)-MATCH($A$1,missions!$2:$2,0)+1),MATCH(D$1,missions!$2:$2,0)-MATCH($A$1,missions!$2:$2,0)+1,FALSE),IFERROR(VLOOKUP($A95,OFFSET(weekly_achievement_criterion_id,0,0,COUNTA($A:$A),MATCH(D$1,weekly_missions!$2:$2,0)-MATCH($A$1,weekly_missions!$2:$2,0)+1),MATCH(D$1,weekly_missions!$2:$2,0)-MATCH($A$1,weekly_missions!$2:$2,0)+1,FALSE),"＊missions 未設定＊"))</f>
        <v>ポリゴン x 3</v>
      </c>
      <c r="E95" s="27" t="s">
        <v>864</v>
      </c>
      <c r="F95" s="17" t="s">
        <v>310</v>
      </c>
      <c r="G95" s="27" t="s">
        <v>765</v>
      </c>
      <c r="H95" s="26" t="str">
        <f ca="1">VLOOKUP($F95,OFFSET(達成条件!$A$1,0,0,COUNTA($A:$A),MATCH(H$1,達成条件!$1:$1,0)-MATCH($F$1,達成条件!$1:$1,0)+1),MATCH(H$1,達成条件!$1:$1,0)-MATCH($F$1,達成条件!$1:$1,0)+1,FALSE)</f>
        <v>該当のクエスト(99-9)</v>
      </c>
      <c r="I95" s="83" t="s">
        <v>1865</v>
      </c>
      <c r="J95" s="54" t="str">
        <f ca="1">IF(F95="specific_unit_aquired_count",SUBSTITUTE(G95,"x",VLOOKUP(INT($I95),OFFSET([3]characters!$A$2,0,0,COUNTA([3]characters!$A:$A),MATCH(J$1,[3]characters!$2:$2,0)-MATCH("character_id",[3]characters!$2:$2,0)+1),MATCH(J$1,[3]characters!$2:$2,0)-MATCH("character_id",[3]characters!$2:$2,0)+1,FALSE)),IF(F95="specific_quest_clear",VLOOKUP(SUBSTITUTE(I95,"-","_"),OFFSET([2]stages!$A$2,0,0,COUNTA([2]stages!$A:$A),MATCH("name",[2]stages!$2:$2,0)-MATCH("temp_stage",[2]stages!$2:$2,0)+1),MATCH("name",[2]stages!$2:$2,0)-MATCH("temp_stage",[2]stages!$2:$2,0)+1,FALSE),""))</f>
        <v>ユークリッドチャレンジ</v>
      </c>
      <c r="K95" s="15" t="s">
        <v>864</v>
      </c>
      <c r="L95" s="15" t="s">
        <v>864</v>
      </c>
      <c r="M95" s="26"/>
      <c r="N95" s="26"/>
    </row>
    <row r="96" spans="1:14" ht="21" customHeight="1" x14ac:dyDescent="0.15">
      <c r="A96" s="21" t="s">
        <v>1906</v>
      </c>
      <c r="B96" s="21" t="s">
        <v>792</v>
      </c>
      <c r="C96" s="76" t="s">
        <v>1883</v>
      </c>
      <c r="D96" s="26" t="str">
        <f ca="1">IFERROR(VLOOKUP($A96,OFFSET(achievement_criterion_id,0,0,COUNTA($A:$A),MATCH(D$1,missions!$2:$2,0)-MATCH($A$1,missions!$2:$2,0)+1),MATCH(D$1,missions!$2:$2,0)-MATCH($A$1,missions!$2:$2,0)+1,FALSE),IFERROR(VLOOKUP($A96,OFFSET(weekly_achievement_criterion_id,0,0,COUNTA($A:$A),MATCH(D$1,weekly_missions!$2:$2,0)-MATCH($A$1,weekly_missions!$2:$2,0)+1),MATCH(D$1,weekly_missions!$2:$2,0)-MATCH($A$1,weekly_missions!$2:$2,0)+1,FALSE),"＊missions 未設定＊"))</f>
        <v>ポリゴン x 3</v>
      </c>
      <c r="E96" s="27" t="s">
        <v>864</v>
      </c>
      <c r="F96" s="17" t="s">
        <v>310</v>
      </c>
      <c r="G96" s="27" t="s">
        <v>765</v>
      </c>
      <c r="H96" s="26" t="str">
        <f ca="1">VLOOKUP($F96,OFFSET(達成条件!$A$1,0,0,COUNTA($A:$A),MATCH(H$1,達成条件!$1:$1,0)-MATCH($F$1,達成条件!$1:$1,0)+1),MATCH(H$1,達成条件!$1:$1,0)-MATCH($F$1,達成条件!$1:$1,0)+1,FALSE)</f>
        <v>該当のクエスト(99-9)</v>
      </c>
      <c r="I96" s="83" t="s">
        <v>1884</v>
      </c>
      <c r="J96" s="54" t="str">
        <f ca="1">IF(F96="specific_unit_aquired_count",SUBSTITUTE(G96,"x",VLOOKUP(INT($I96),OFFSET([3]characters!$A$2,0,0,COUNTA([3]characters!$A:$A),MATCH(J$1,[3]characters!$2:$2,0)-MATCH("character_id",[3]characters!$2:$2,0)+1),MATCH(J$1,[3]characters!$2:$2,0)-MATCH("character_id",[3]characters!$2:$2,0)+1,FALSE)),IF(F96="specific_quest_clear",VLOOKUP(SUBSTITUTE(I96,"-","_"),OFFSET([2]stages!$A$2,0,0,COUNTA([2]stages!$A:$A),MATCH("name",[2]stages!$2:$2,0)-MATCH("temp_stage",[2]stages!$2:$2,0)+1),MATCH("name",[2]stages!$2:$2,0)-MATCH("temp_stage",[2]stages!$2:$2,0)+1,FALSE),""))</f>
        <v>チューリングチャレンジ</v>
      </c>
      <c r="K96" s="15" t="s">
        <v>864</v>
      </c>
      <c r="L96" s="15" t="s">
        <v>864</v>
      </c>
      <c r="M96" s="26"/>
      <c r="N96" s="26"/>
    </row>
    <row r="97" spans="1:14" ht="21" customHeight="1" x14ac:dyDescent="0.15">
      <c r="A97" s="21" t="s">
        <v>1922</v>
      </c>
      <c r="B97" s="21" t="s">
        <v>792</v>
      </c>
      <c r="C97" s="105" t="s">
        <v>1869</v>
      </c>
      <c r="D97" s="26" t="str">
        <f ca="1">IFERROR(VLOOKUP($A97,OFFSET(achievement_criterion_id,0,0,COUNTA($A:$A),MATCH(D$1,missions!$2:$2,0)-MATCH($A$1,missions!$2:$2,0)+1),MATCH(D$1,missions!$2:$2,0)-MATCH($A$1,missions!$2:$2,0)+1,FALSE),IFERROR(VLOOKUP($A97,OFFSET(weekly_achievement_criterion_id,0,0,COUNTA($A:$A),MATCH(D$1,weekly_missions!$2:$2,0)-MATCH($A$1,weekly_missions!$2:$2,0)+1),MATCH(D$1,weekly_missions!$2:$2,0)-MATCH($A$1,weekly_missions!$2:$2,0)+1,FALSE),"＊missions 未設定＊"))</f>
        <v>ポリゴン x 3</v>
      </c>
      <c r="E97" s="27" t="s">
        <v>352</v>
      </c>
      <c r="F97" s="17" t="s">
        <v>310</v>
      </c>
      <c r="G97" s="27" t="s">
        <v>765</v>
      </c>
      <c r="H97" s="26" t="str">
        <f ca="1">VLOOKUP($F97,OFFSET(達成条件!$A$1,0,0,COUNTA($A:$A),MATCH(H$1,達成条件!$1:$1,0)-MATCH($F$1,達成条件!$1:$1,0)+1),MATCH(H$1,達成条件!$1:$1,0)-MATCH($F$1,達成条件!$1:$1,0)+1,FALSE)</f>
        <v>該当のクエスト(99-9)</v>
      </c>
      <c r="I97" s="83" t="s">
        <v>1921</v>
      </c>
      <c r="J97" s="54" t="str">
        <f ca="1">IF(F97="specific_unit_aquired_count",SUBSTITUTE(G97,"x",VLOOKUP(INT($I97),OFFSET([3]characters!$A$2,0,0,COUNTA([3]characters!$A:$A),MATCH(J$1,[3]characters!$2:$2,0)-MATCH("character_id",[3]characters!$2:$2,0)+1),MATCH(J$1,[3]characters!$2:$2,0)-MATCH("character_id",[3]characters!$2:$2,0)+1,FALSE)),IF(F97="specific_quest_clear",VLOOKUP(SUBSTITUTE(I97,"-","_"),OFFSET([2]stages!$A$2,0,0,COUNTA([2]stages!$A:$A),MATCH("name",[2]stages!$2:$2,0)-MATCH("temp_stage",[2]stages!$2:$2,0)+1),MATCH("name",[2]stages!$2:$2,0)-MATCH("temp_stage",[2]stages!$2:$2,0)+1,FALSE),""))</f>
        <v>シュレディンガーチャレンジ</v>
      </c>
      <c r="K97" s="15" t="s">
        <v>352</v>
      </c>
      <c r="L97" s="15" t="s">
        <v>352</v>
      </c>
      <c r="M97" s="26"/>
      <c r="N97" s="26"/>
    </row>
    <row r="98" spans="1:14" ht="21" customHeight="1" x14ac:dyDescent="0.15">
      <c r="A98" s="21" t="s">
        <v>1996</v>
      </c>
      <c r="B98" s="21" t="s">
        <v>792</v>
      </c>
      <c r="C98" s="105" t="s">
        <v>1997</v>
      </c>
      <c r="D98" s="26" t="str">
        <f ca="1">IFERROR(VLOOKUP($A98,OFFSET(achievement_criterion_id,0,0,COUNTA($A:$A),MATCH(D$1,missions!$2:$2,0)-MATCH($A$1,missions!$2:$2,0)+1),MATCH(D$1,missions!$2:$2,0)-MATCH($A$1,missions!$2:$2,0)+1,FALSE),IFERROR(VLOOKUP($A98,OFFSET(weekly_achievement_criterion_id,0,0,COUNTA($A:$A),MATCH(D$1,weekly_missions!$2:$2,0)-MATCH($A$1,weekly_missions!$2:$2,0)+1),MATCH(D$1,weekly_missions!$2:$2,0)-MATCH($A$1,weekly_missions!$2:$2,0)+1,FALSE),"＊missions 未設定＊"))</f>
        <v>ポリゴン x 3</v>
      </c>
      <c r="E98" s="27" t="s">
        <v>352</v>
      </c>
      <c r="F98" s="17" t="s">
        <v>310</v>
      </c>
      <c r="G98" s="27" t="s">
        <v>765</v>
      </c>
      <c r="H98" s="26" t="str">
        <f ca="1">VLOOKUP($F98,OFFSET(達成条件!$A$1,0,0,COUNTA($A:$A),MATCH(H$1,達成条件!$1:$1,0)-MATCH($F$1,達成条件!$1:$1,0)+1),MATCH(H$1,達成条件!$1:$1,0)-MATCH($F$1,達成条件!$1:$1,0)+1,FALSE)</f>
        <v>該当のクエスト(99-9)</v>
      </c>
      <c r="I98" s="83" t="s">
        <v>1998</v>
      </c>
      <c r="J98" s="54" t="str">
        <f ca="1">IF(F98="specific_unit_aquired_count",SUBSTITUTE(G98,"x",VLOOKUP(INT($I98),OFFSET([3]characters!$A$2,0,0,COUNTA([3]characters!$A:$A),MATCH(J$1,[3]characters!$2:$2,0)-MATCH("character_id",[3]characters!$2:$2,0)+1),MATCH(J$1,[3]characters!$2:$2,0)-MATCH("character_id",[3]characters!$2:$2,0)+1,FALSE)),IF(F98="specific_quest_clear",VLOOKUP(SUBSTITUTE(I98,"-","_"),OFFSET([2]stages!$A$2,0,0,COUNTA([2]stages!$A:$A),MATCH("name",[2]stages!$2:$2,0)-MATCH("temp_stage",[2]stages!$2:$2,0)+1),MATCH("name",[2]stages!$2:$2,0)-MATCH("temp_stage",[2]stages!$2:$2,0)+1,FALSE),""))</f>
        <v>ヘンペルチャレンジ</v>
      </c>
      <c r="K98" s="15" t="s">
        <v>352</v>
      </c>
      <c r="L98" s="15" t="s">
        <v>352</v>
      </c>
      <c r="M98" s="26"/>
      <c r="N98" s="26"/>
    </row>
    <row r="99" spans="1:14" ht="21" customHeight="1" x14ac:dyDescent="0.15">
      <c r="A99" s="21" t="s">
        <v>2003</v>
      </c>
      <c r="B99" s="21" t="s">
        <v>792</v>
      </c>
      <c r="C99" s="26" t="str">
        <f t="shared" ref="C99" ca="1" si="6">IF(F99="specific_quest_clear",SUBSTITUTE(G99,"x",J99),IF(F99="specific_unit_aquired_count",SUBSTITUTE(J99,"y",K99),SUBSTITUTE(G99,"x",I99)))</f>
        <v>クエスト 【上級】聖なる夜に祝福を をクリアしよう！</v>
      </c>
      <c r="D99" s="76" t="s">
        <v>2035</v>
      </c>
      <c r="E99" s="27" t="s">
        <v>864</v>
      </c>
      <c r="F99" s="17" t="s">
        <v>310</v>
      </c>
      <c r="G99" s="27" t="s">
        <v>765</v>
      </c>
      <c r="H99" s="26" t="str">
        <f ca="1">VLOOKUP($F99,OFFSET(達成条件!$A$1,0,0,COUNTA($A:$A),MATCH(H$1,達成条件!$1:$1,0)-MATCH($F$1,達成条件!$1:$1,0)+1),MATCH(H$1,達成条件!$1:$1,0)-MATCH($F$1,達成条件!$1:$1,0)+1,FALSE)</f>
        <v>該当のクエスト(99-9)</v>
      </c>
      <c r="I99" s="83" t="s">
        <v>2026</v>
      </c>
      <c r="J99" s="54" t="str">
        <f ca="1">IF(F99="specific_unit_aquired_count",SUBSTITUTE(G99,"x",VLOOKUP(INT($I99),OFFSET([3]characters!$A$2,0,0,COUNTA([3]characters!$A:$A),MATCH(J$1,[3]characters!$2:$2,0)-MATCH("character_id",[3]characters!$2:$2,0)+1),MATCH(J$1,[3]characters!$2:$2,0)-MATCH("character_id",[3]characters!$2:$2,0)+1,FALSE)),IF(F99="specific_quest_clear",VLOOKUP(SUBSTITUTE(I99,"-","_"),OFFSET([2]stages!$A$2,0,0,COUNTA([2]stages!$A:$A),MATCH("name",[2]stages!$2:$2,0)-MATCH("temp_stage",[2]stages!$2:$2,0)+1),MATCH("name",[2]stages!$2:$2,0)-MATCH("temp_stage",[2]stages!$2:$2,0)+1,FALSE),""))</f>
        <v>【上級】聖なる夜に祝福を</v>
      </c>
      <c r="K99" s="15" t="s">
        <v>864</v>
      </c>
      <c r="L99" s="15" t="s">
        <v>864</v>
      </c>
      <c r="M99" s="26"/>
      <c r="N99" s="26"/>
    </row>
    <row r="100" spans="1:14" ht="21" customHeight="1" x14ac:dyDescent="0.15">
      <c r="A100" s="21" t="s">
        <v>2004</v>
      </c>
      <c r="B100" s="21" t="s">
        <v>792</v>
      </c>
      <c r="C100" s="26" t="str">
        <f t="shared" ref="C100:C102" ca="1" si="7">IF(F100="specific_quest_clear",SUBSTITUTE(G100,"x",J100),IF(F100="specific_unit_aquired_count",SUBSTITUTE(J100,"y",K100),SUBSTITUTE(G100,"x",I100)))</f>
        <v>クエスト 【超級】聖なる夜に祝福を をクリアしよう！</v>
      </c>
      <c r="D100" s="76" t="s">
        <v>2037</v>
      </c>
      <c r="E100" s="27" t="s">
        <v>864</v>
      </c>
      <c r="F100" s="17" t="s">
        <v>310</v>
      </c>
      <c r="G100" s="27" t="s">
        <v>765</v>
      </c>
      <c r="H100" s="26" t="str">
        <f ca="1">VLOOKUP($F100,OFFSET(達成条件!$A$1,0,0,COUNTA($A:$A),MATCH(H$1,達成条件!$1:$1,0)-MATCH($F$1,達成条件!$1:$1,0)+1),MATCH(H$1,達成条件!$1:$1,0)-MATCH($F$1,達成条件!$1:$1,0)+1,FALSE)</f>
        <v>該当のクエスト(99-9)</v>
      </c>
      <c r="I100" s="83" t="s">
        <v>2027</v>
      </c>
      <c r="J100" s="54" t="str">
        <f ca="1">IF(F100="specific_unit_aquired_count",SUBSTITUTE(G100,"x",VLOOKUP(INT($I100),OFFSET([3]characters!$A$2,0,0,COUNTA([3]characters!$A:$A),MATCH(J$1,[3]characters!$2:$2,0)-MATCH("character_id",[3]characters!$2:$2,0)+1),MATCH(J$1,[3]characters!$2:$2,0)-MATCH("character_id",[3]characters!$2:$2,0)+1,FALSE)),IF(F100="specific_quest_clear",VLOOKUP(SUBSTITUTE(I100,"-","_"),OFFSET([2]stages!$A$2,0,0,COUNTA([2]stages!$A:$A),MATCH("name",[2]stages!$2:$2,0)-MATCH("temp_stage",[2]stages!$2:$2,0)+1),MATCH("name",[2]stages!$2:$2,0)-MATCH("temp_stage",[2]stages!$2:$2,0)+1,FALSE),""))</f>
        <v>【超級】聖なる夜に祝福を</v>
      </c>
      <c r="K100" s="15" t="s">
        <v>864</v>
      </c>
      <c r="L100" s="15" t="s">
        <v>864</v>
      </c>
      <c r="M100" s="26"/>
      <c r="N100" s="26"/>
    </row>
    <row r="101" spans="1:14" ht="21" customHeight="1" x14ac:dyDescent="0.15">
      <c r="A101" s="21" t="s">
        <v>2005</v>
      </c>
      <c r="B101" s="21" t="s">
        <v>792</v>
      </c>
      <c r="C101" s="26" t="str">
        <f t="shared" ca="1" si="7"/>
        <v>クエスト 【超絶級】聖なる夜に祝福を をクリアしよう！</v>
      </c>
      <c r="D101" s="76" t="s">
        <v>2041</v>
      </c>
      <c r="E101" s="27" t="s">
        <v>864</v>
      </c>
      <c r="F101" s="17" t="s">
        <v>310</v>
      </c>
      <c r="G101" s="27" t="s">
        <v>765</v>
      </c>
      <c r="H101" s="26" t="str">
        <f ca="1">VLOOKUP($F101,OFFSET(達成条件!$A$1,0,0,COUNTA($A:$A),MATCH(H$1,達成条件!$1:$1,0)-MATCH($F$1,達成条件!$1:$1,0)+1),MATCH(H$1,達成条件!$1:$1,0)-MATCH($F$1,達成条件!$1:$1,0)+1,FALSE)</f>
        <v>該当のクエスト(99-9)</v>
      </c>
      <c r="I101" s="83" t="s">
        <v>2028</v>
      </c>
      <c r="J101" s="54" t="str">
        <f ca="1">IF(F101="specific_unit_aquired_count",SUBSTITUTE(G101,"x",VLOOKUP(INT($I101),OFFSET([3]characters!$A$2,0,0,COUNTA([3]characters!$A:$A),MATCH(J$1,[3]characters!$2:$2,0)-MATCH("character_id",[3]characters!$2:$2,0)+1),MATCH(J$1,[3]characters!$2:$2,0)-MATCH("character_id",[3]characters!$2:$2,0)+1,FALSE)),IF(F101="specific_quest_clear",VLOOKUP(SUBSTITUTE(I101,"-","_"),OFFSET([2]stages!$A$2,0,0,COUNTA([2]stages!$A:$A),MATCH("name",[2]stages!$2:$2,0)-MATCH("temp_stage",[2]stages!$2:$2,0)+1),MATCH("name",[2]stages!$2:$2,0)-MATCH("temp_stage",[2]stages!$2:$2,0)+1,FALSE),""))</f>
        <v>【超絶級】聖なる夜に祝福を</v>
      </c>
      <c r="K101" s="15" t="s">
        <v>864</v>
      </c>
      <c r="L101" s="15" t="s">
        <v>864</v>
      </c>
      <c r="M101" s="26"/>
      <c r="N101" s="26"/>
    </row>
    <row r="102" spans="1:14" ht="21" customHeight="1" x14ac:dyDescent="0.15">
      <c r="A102" s="21" t="s">
        <v>2006</v>
      </c>
      <c r="B102" s="21" t="s">
        <v>792</v>
      </c>
      <c r="C102" s="26" t="str">
        <f t="shared" ca="1" si="7"/>
        <v>クエスト 【ウィザード級】聖なる夜に祝福を をクリアしよう！</v>
      </c>
      <c r="D102" s="76" t="s">
        <v>2039</v>
      </c>
      <c r="E102" s="27" t="s">
        <v>864</v>
      </c>
      <c r="F102" s="17" t="s">
        <v>310</v>
      </c>
      <c r="G102" s="27" t="s">
        <v>765</v>
      </c>
      <c r="H102" s="26" t="str">
        <f ca="1">VLOOKUP($F102,OFFSET(達成条件!$A$1,0,0,COUNTA($A:$A),MATCH(H$1,達成条件!$1:$1,0)-MATCH($F$1,達成条件!$1:$1,0)+1),MATCH(H$1,達成条件!$1:$1,0)-MATCH($F$1,達成条件!$1:$1,0)+1,FALSE)</f>
        <v>該当のクエスト(99-9)</v>
      </c>
      <c r="I102" s="83" t="s">
        <v>2029</v>
      </c>
      <c r="J102" s="54" t="str">
        <f ca="1">IF(F102="specific_unit_aquired_count",SUBSTITUTE(G102,"x",VLOOKUP(INT($I102),OFFSET([3]characters!$A$2,0,0,COUNTA([3]characters!$A:$A),MATCH(J$1,[3]characters!$2:$2,0)-MATCH("character_id",[3]characters!$2:$2,0)+1),MATCH(J$1,[3]characters!$2:$2,0)-MATCH("character_id",[3]characters!$2:$2,0)+1,FALSE)),IF(F102="specific_quest_clear",VLOOKUP(SUBSTITUTE(I102,"-","_"),OFFSET([2]stages!$A$2,0,0,COUNTA([2]stages!$A:$A),MATCH("name",[2]stages!$2:$2,0)-MATCH("temp_stage",[2]stages!$2:$2,0)+1),MATCH("name",[2]stages!$2:$2,0)-MATCH("temp_stage",[2]stages!$2:$2,0)+1,FALSE),""))</f>
        <v>【ウィザード級】聖なる夜に祝福を</v>
      </c>
      <c r="K102" s="15" t="s">
        <v>864</v>
      </c>
      <c r="L102" s="15" t="s">
        <v>864</v>
      </c>
      <c r="M102" s="26"/>
      <c r="N102" s="26"/>
    </row>
    <row r="103" spans="1:14" ht="21" customHeight="1" x14ac:dyDescent="0.15">
      <c r="A103" s="21" t="s">
        <v>2007</v>
      </c>
      <c r="B103" s="21" t="s">
        <v>792</v>
      </c>
      <c r="C103" s="76" t="s">
        <v>2030</v>
      </c>
      <c r="D103" s="26" t="str">
        <f ca="1">IFERROR(VLOOKUP($A103,OFFSET(achievement_criterion_id,0,0,COUNTA($A:$A),MATCH(D$1,missions!$2:$2,0)-MATCH($A$1,missions!$2:$2,0)+1),MATCH(D$1,missions!$2:$2,0)-MATCH($A$1,missions!$2:$2,0)+1,FALSE),IFERROR(VLOOKUP($A103,OFFSET(weekly_achievement_criterion_id,0,0,COUNTA($A:$A),MATCH(D$1,weekly_missions!$2:$2,0)-MATCH($A$1,weekly_missions!$2:$2,0)+1),MATCH(D$1,weekly_missions!$2:$2,0)-MATCH($A$1,weekly_missions!$2:$2,0)+1,FALSE),"＊missions 未設定＊"))</f>
        <v>マシン・シュプール x 1</v>
      </c>
      <c r="E103" s="27" t="s">
        <v>864</v>
      </c>
      <c r="F103" s="2" t="s">
        <v>31</v>
      </c>
      <c r="G103" s="26" t="str">
        <f ca="1">VLOOKUP($F103,OFFSET(達成条件!$A$1,0,0,COUNTA($A:$A),MATCH(G$1,達成条件!$1:$1,0)-MATCH($F$1,達成条件!$1:$1,0)+1),MATCH(G$1,達成条件!$1:$1,0)-MATCH($F$1,達成条件!$1:$1,0)+1,FALSE)</f>
        <v>ユニット 【x】 を y 体ゲットしよう！</v>
      </c>
      <c r="H103" s="26" t="str">
        <f ca="1">VLOOKUP($F103,OFFSET(達成条件!$A$1,0,0,COUNTA($A:$A),MATCH(H$1,達成条件!$1:$1,0)-MATCH($F$1,達成条件!$1:$1,0)+1),MATCH(H$1,達成条件!$1:$1,0)-MATCH($F$1,達成条件!$1:$1,0)+1,FALSE)</f>
        <v>ユニットID</v>
      </c>
      <c r="I103" s="83" t="s">
        <v>2034</v>
      </c>
      <c r="J103" s="54" t="str">
        <f ca="1">IF(F103="specific_unit_aquired_count",SUBSTITUTE(G103,"x",VLOOKUP(INT($I103),OFFSET([3]characters!$A$1,0,0,COUNTA([3]characters!$A:$A),MATCH(J$1,[3]characters!$1:$1,0)-MATCH("character_id",[3]characters!$1:$1,0)+1),MATCH(J$1,[3]characters!$1:$1,0)-MATCH("character_id",[3]characters!$1:$1,0)+1,FALSE)),IF(F103="specific_quest_clear",VLOOKUP(SUBSTITUTE(I103,"-","_"),OFFSET([2]stages!$A$1,0,0,COUNTA([2]stages!$A:$A),MATCH("name",[2]stages!$1:$1,0)-MATCH("temp_stage",[2]stages!$1:$1,0)+1),MATCH("name",[2]stages!$1:$1,0)-MATCH("temp_stage",[2]stages!$1:$1,0)+1,FALSE),""))</f>
        <v>ユニット 【マシン・シュプール】 を y 体ゲットしよう！</v>
      </c>
      <c r="K103" s="15">
        <v>10</v>
      </c>
      <c r="L103" s="15" t="s">
        <v>864</v>
      </c>
      <c r="M103" s="26"/>
      <c r="N103" s="26"/>
    </row>
    <row r="104" spans="1:14" ht="21" customHeight="1" x14ac:dyDescent="0.15">
      <c r="A104" s="21" t="s">
        <v>2008</v>
      </c>
      <c r="B104" s="21" t="s">
        <v>792</v>
      </c>
      <c r="C104" s="76" t="s">
        <v>2031</v>
      </c>
      <c r="D104" s="26" t="str">
        <f ca="1">IFERROR(VLOOKUP($A104,OFFSET(achievement_criterion_id,0,0,COUNTA($A:$A),MATCH(D$1,missions!$2:$2,0)-MATCH($A$1,missions!$2:$2,0)+1),MATCH(D$1,missions!$2:$2,0)-MATCH($A$1,missions!$2:$2,0)+1,FALSE),IFERROR(VLOOKUP($A104,OFFSET(weekly_achievement_criterion_id,0,0,COUNTA($A:$A),MATCH(D$1,weekly_missions!$2:$2,0)-MATCH($A$1,weekly_missions!$2:$2,0)+1),MATCH(D$1,weekly_missions!$2:$2,0)-MATCH($A$1,weekly_missions!$2:$2,0)+1,FALSE),"＊missions 未設定＊"))</f>
        <v>マシン・シュプール x 1</v>
      </c>
      <c r="E104" s="27" t="s">
        <v>864</v>
      </c>
      <c r="F104" s="2" t="s">
        <v>31</v>
      </c>
      <c r="G104" s="26" t="str">
        <f ca="1">VLOOKUP($F104,OFFSET(達成条件!$A$1,0,0,COUNTA($A:$A),MATCH(G$1,達成条件!$1:$1,0)-MATCH($F$1,達成条件!$1:$1,0)+1),MATCH(G$1,達成条件!$1:$1,0)-MATCH($F$1,達成条件!$1:$1,0)+1,FALSE)</f>
        <v>ユニット 【x】 を y 体ゲットしよう！</v>
      </c>
      <c r="H104" s="26" t="str">
        <f ca="1">VLOOKUP($F104,OFFSET(達成条件!$A$1,0,0,COUNTA($A:$A),MATCH(H$1,達成条件!$1:$1,0)-MATCH($F$1,達成条件!$1:$1,0)+1),MATCH(H$1,達成条件!$1:$1,0)-MATCH($F$1,達成条件!$1:$1,0)+1,FALSE)</f>
        <v>ユニットID</v>
      </c>
      <c r="I104" s="83" t="s">
        <v>2034</v>
      </c>
      <c r="J104" s="54" t="str">
        <f ca="1">IF(F104="specific_unit_aquired_count",SUBSTITUTE(G104,"x",VLOOKUP(INT($I104),OFFSET([3]characters!$A$1,0,0,COUNTA([3]characters!$A:$A),MATCH(J$1,[3]characters!$1:$1,0)-MATCH("character_id",[3]characters!$1:$1,0)+1),MATCH(J$1,[3]characters!$1:$1,0)-MATCH("character_id",[3]characters!$1:$1,0)+1,FALSE)),IF(F104="specific_quest_clear",VLOOKUP(SUBSTITUTE(I104,"-","_"),OFFSET([2]stages!$A$1,0,0,COUNTA([2]stages!$A:$A),MATCH("name",[2]stages!$1:$1,0)-MATCH("temp_stage",[2]stages!$1:$1,0)+1),MATCH("name",[2]stages!$1:$1,0)-MATCH("temp_stage",[2]stages!$1:$1,0)+1,FALSE),""))</f>
        <v>ユニット 【マシン・シュプール】 を y 体ゲットしよう！</v>
      </c>
      <c r="K104" s="15">
        <v>25</v>
      </c>
      <c r="L104" s="15" t="s">
        <v>864</v>
      </c>
      <c r="M104" s="26"/>
      <c r="N104" s="26"/>
    </row>
    <row r="105" spans="1:14" ht="21" customHeight="1" x14ac:dyDescent="0.15">
      <c r="A105" s="21" t="s">
        <v>2009</v>
      </c>
      <c r="B105" s="21" t="s">
        <v>792</v>
      </c>
      <c r="C105" s="76" t="s">
        <v>2032</v>
      </c>
      <c r="D105" s="26" t="str">
        <f ca="1">IFERROR(VLOOKUP($A105,OFFSET(achievement_criterion_id,0,0,COUNTA($A:$A),MATCH(D$1,missions!$2:$2,0)-MATCH($A$1,missions!$2:$2,0)+1),MATCH(D$1,missions!$2:$2,0)-MATCH($A$1,missions!$2:$2,0)+1,FALSE),IFERROR(VLOOKUP($A105,OFFSET(weekly_achievement_criterion_id,0,0,COUNTA($A:$A),MATCH(D$1,weekly_missions!$2:$2,0)-MATCH($A$1,weekly_missions!$2:$2,0)+1),MATCH(D$1,weekly_missions!$2:$2,0)-MATCH($A$1,weekly_missions!$2:$2,0)+1,FALSE),"＊missions 未設定＊"))</f>
        <v>マシン・シュプール x 1</v>
      </c>
      <c r="E105" s="27" t="s">
        <v>864</v>
      </c>
      <c r="F105" s="2" t="s">
        <v>31</v>
      </c>
      <c r="G105" s="26" t="str">
        <f ca="1">VLOOKUP($F105,OFFSET(達成条件!$A$1,0,0,COUNTA($A:$A),MATCH(G$1,達成条件!$1:$1,0)-MATCH($F$1,達成条件!$1:$1,0)+1),MATCH(G$1,達成条件!$1:$1,0)-MATCH($F$1,達成条件!$1:$1,0)+1,FALSE)</f>
        <v>ユニット 【x】 を y 体ゲットしよう！</v>
      </c>
      <c r="H105" s="26" t="str">
        <f ca="1">VLOOKUP($F105,OFFSET(達成条件!$A$1,0,0,COUNTA($A:$A),MATCH(H$1,達成条件!$1:$1,0)-MATCH($F$1,達成条件!$1:$1,0)+1),MATCH(H$1,達成条件!$1:$1,0)-MATCH($F$1,達成条件!$1:$1,0)+1,FALSE)</f>
        <v>ユニットID</v>
      </c>
      <c r="I105" s="83" t="s">
        <v>2034</v>
      </c>
      <c r="J105" s="54" t="str">
        <f ca="1">IF(F105="specific_unit_aquired_count",SUBSTITUTE(G105,"x",VLOOKUP(INT($I105),OFFSET([3]characters!$A$1,0,0,COUNTA([3]characters!$A:$A),MATCH(J$1,[3]characters!$1:$1,0)-MATCH("character_id",[3]characters!$1:$1,0)+1),MATCH(J$1,[3]characters!$1:$1,0)-MATCH("character_id",[3]characters!$1:$1,0)+1,FALSE)),IF(F105="specific_quest_clear",VLOOKUP(SUBSTITUTE(I105,"-","_"),OFFSET([2]stages!$A$1,0,0,COUNTA([2]stages!$A:$A),MATCH("name",[2]stages!$1:$1,0)-MATCH("temp_stage",[2]stages!$1:$1,0)+1),MATCH("name",[2]stages!$1:$1,0)-MATCH("temp_stage",[2]stages!$1:$1,0)+1,FALSE),""))</f>
        <v>ユニット 【マシン・シュプール】 を y 体ゲットしよう！</v>
      </c>
      <c r="K105" s="15">
        <v>50</v>
      </c>
      <c r="L105" s="15" t="s">
        <v>864</v>
      </c>
      <c r="M105" s="26"/>
      <c r="N105" s="26"/>
    </row>
    <row r="106" spans="1:14" ht="21" customHeight="1" x14ac:dyDescent="0.15">
      <c r="A106" s="21" t="s">
        <v>2010</v>
      </c>
      <c r="B106" s="21" t="s">
        <v>792</v>
      </c>
      <c r="C106" s="76" t="s">
        <v>2033</v>
      </c>
      <c r="D106" s="26" t="str">
        <f ca="1">IFERROR(VLOOKUP($A106,OFFSET(achievement_criterion_id,0,0,COUNTA($A:$A),MATCH(D$1,missions!$2:$2,0)-MATCH($A$1,missions!$2:$2,0)+1),MATCH(D$1,missions!$2:$2,0)-MATCH($A$1,missions!$2:$2,0)+1,FALSE),IFERROR(VLOOKUP($A106,OFFSET(weekly_achievement_criterion_id,0,0,COUNTA($A:$A),MATCH(D$1,weekly_missions!$2:$2,0)-MATCH($A$1,weekly_missions!$2:$2,0)+1),MATCH(D$1,weekly_missions!$2:$2,0)-MATCH($A$1,weekly_missions!$2:$2,0)+1,FALSE),"＊missions 未設定＊"))</f>
        <v>リトルハンプティ x 1</v>
      </c>
      <c r="E106" s="27" t="s">
        <v>864</v>
      </c>
      <c r="F106" s="2" t="s">
        <v>31</v>
      </c>
      <c r="G106" s="26" t="str">
        <f ca="1">VLOOKUP($F106,OFFSET(達成条件!$A$1,0,0,COUNTA($A:$A),MATCH(G$1,達成条件!$1:$1,0)-MATCH($F$1,達成条件!$1:$1,0)+1),MATCH(G$1,達成条件!$1:$1,0)-MATCH($F$1,達成条件!$1:$1,0)+1,FALSE)</f>
        <v>ユニット 【x】 を y 体ゲットしよう！</v>
      </c>
      <c r="H106" s="26" t="str">
        <f ca="1">VLOOKUP($F106,OFFSET(達成条件!$A$1,0,0,COUNTA($A:$A),MATCH(H$1,達成条件!$1:$1,0)-MATCH($F$1,達成条件!$1:$1,0)+1),MATCH(H$1,達成条件!$1:$1,0)-MATCH($F$1,達成条件!$1:$1,0)+1,FALSE)</f>
        <v>ユニットID</v>
      </c>
      <c r="I106" s="83" t="s">
        <v>2034</v>
      </c>
      <c r="J106" s="54" t="str">
        <f ca="1">IF(F106="specific_unit_aquired_count",SUBSTITUTE(G106,"x",VLOOKUP(INT($I106),OFFSET([3]characters!$A$1,0,0,COUNTA([3]characters!$A:$A),MATCH(J$1,[3]characters!$1:$1,0)-MATCH("character_id",[3]characters!$1:$1,0)+1),MATCH(J$1,[3]characters!$1:$1,0)-MATCH("character_id",[3]characters!$1:$1,0)+1,FALSE)),IF(F106="specific_quest_clear",VLOOKUP(SUBSTITUTE(I106,"-","_"),OFFSET([2]stages!$A$1,0,0,COUNTA([2]stages!$A:$A),MATCH("name",[2]stages!$1:$1,0)-MATCH("temp_stage",[2]stages!$1:$1,0)+1),MATCH("name",[2]stages!$1:$1,0)-MATCH("temp_stage",[2]stages!$1:$1,0)+1,FALSE),""))</f>
        <v>ユニット 【マシン・シュプール】 を y 体ゲットしよう！</v>
      </c>
      <c r="K106" s="15">
        <v>75</v>
      </c>
      <c r="L106" s="15" t="s">
        <v>864</v>
      </c>
      <c r="M106" s="26"/>
      <c r="N106" s="26"/>
    </row>
    <row r="107" spans="1:14" ht="21" customHeight="1" x14ac:dyDescent="0.15">
      <c r="A107" s="21" t="s">
        <v>2011</v>
      </c>
      <c r="B107" s="21" t="s">
        <v>792</v>
      </c>
      <c r="C107" s="76" t="s">
        <v>2053</v>
      </c>
      <c r="D107" s="26" t="str">
        <f ca="1">IFERROR(VLOOKUP($A107,OFFSET(achievement_criterion_id,0,0,COUNTA($A:$A),MATCH(D$1,missions!$2:$2,0)-MATCH($A$1,missions!$2:$2,0)+1),MATCH(D$1,missions!$2:$2,0)-MATCH($A$1,missions!$2:$2,0)+1,FALSE),IFERROR(VLOOKUP($A107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107" s="27" t="s">
        <v>864</v>
      </c>
      <c r="F107" s="2" t="s">
        <v>31</v>
      </c>
      <c r="G107" s="26" t="str">
        <f ca="1">VLOOKUP($F107,OFFSET(達成条件!$A$1,0,0,COUNTA($A:$A),MATCH(G$1,達成条件!$1:$1,0)-MATCH($F$1,達成条件!$1:$1,0)+1),MATCH(G$1,達成条件!$1:$1,0)-MATCH($F$1,達成条件!$1:$1,0)+1,FALSE)</f>
        <v>ユニット 【x】 を y 体ゲットしよう！</v>
      </c>
      <c r="H107" s="26" t="str">
        <f ca="1">VLOOKUP($F107,OFFSET(達成条件!$A$1,0,0,COUNTA($A:$A),MATCH(H$1,達成条件!$1:$1,0)-MATCH($F$1,達成条件!$1:$1,0)+1),MATCH(H$1,達成条件!$1:$1,0)-MATCH($F$1,達成条件!$1:$1,0)+1,FALSE)</f>
        <v>ユニットID</v>
      </c>
      <c r="I107" s="83" t="s">
        <v>2055</v>
      </c>
      <c r="J107" s="54" t="str">
        <f ca="1">IF(F107="specific_unit_aquired_count",SUBSTITUTE(G107,"x",VLOOKUP(INT($I107),OFFSET([3]characters!$A$1,0,0,COUNTA([3]characters!$A:$A),MATCH(J$1,[3]characters!$1:$1,0)-MATCH("character_id",[3]characters!$1:$1,0)+1),MATCH(J$1,[3]characters!$1:$1,0)-MATCH("character_id",[3]characters!$1:$1,0)+1,FALSE)),IF(F107="specific_quest_clear",VLOOKUP(SUBSTITUTE(I107,"-","_"),OFFSET([2]stages!$A$1,0,0,COUNTA([2]stages!$A:$A),MATCH("name",[2]stages!$1:$1,0)-MATCH("temp_stage",[2]stages!$1:$1,0)+1),MATCH("name",[2]stages!$1:$1,0)-MATCH("temp_stage",[2]stages!$1:$1,0)+1,FALSE),""))</f>
        <v>ユニット 【マシン・シュプール】 を y 体ゲットしよう！</v>
      </c>
      <c r="K107" s="15">
        <v>85</v>
      </c>
      <c r="L107" s="15" t="s">
        <v>864</v>
      </c>
      <c r="M107" s="26"/>
      <c r="N107" s="26"/>
    </row>
    <row r="108" spans="1:14" ht="21" customHeight="1" x14ac:dyDescent="0.15">
      <c r="A108" s="21" t="s">
        <v>2052</v>
      </c>
      <c r="B108" s="21" t="s">
        <v>792</v>
      </c>
      <c r="C108" s="105" t="s">
        <v>2054</v>
      </c>
      <c r="D108" s="26" t="str">
        <f ca="1">IFERROR(VLOOKUP($A108,OFFSET(achievement_criterion_id,0,0,COUNTA($A:$A),MATCH(D$1,missions!$2:$2,0)-MATCH($A$1,missions!$2:$2,0)+1),MATCH(D$1,missions!$2:$2,0)-MATCH($A$1,missions!$2:$2,0)+1,FALSE),IFERROR(VLOOKUP($A108,OFFSET(weekly_achievement_criterion_id,0,0,COUNTA($A:$A),MATCH(D$1,weekly_missions!$2:$2,0)-MATCH($A$1,weekly_missions!$2:$2,0)+1),MATCH(D$1,weekly_missions!$2:$2,0)-MATCH($A$1,weekly_missions!$2:$2,0)+1,FALSE),"＊missions 未設定＊"))</f>
        <v>ポリゴン x 3</v>
      </c>
      <c r="E108" s="27" t="s">
        <v>864</v>
      </c>
      <c r="F108" s="17" t="s">
        <v>310</v>
      </c>
      <c r="G108" s="27" t="s">
        <v>765</v>
      </c>
      <c r="H108" s="26" t="str">
        <f ca="1">VLOOKUP($F108,OFFSET(達成条件!$A$1,0,0,COUNTA($A:$A),MATCH(H$1,達成条件!$1:$1,0)-MATCH($F$1,達成条件!$1:$1,0)+1),MATCH(H$1,達成条件!$1:$1,0)-MATCH($F$1,達成条件!$1:$1,0)+1,FALSE)</f>
        <v>該当のクエスト(99-9)</v>
      </c>
      <c r="I108" s="83" t="s">
        <v>2056</v>
      </c>
      <c r="J108" s="54" t="str">
        <f ca="1">IF(F108="specific_unit_aquired_count",SUBSTITUTE(G108,"x",VLOOKUP(INT($I108),OFFSET([3]characters!$A$2,0,0,COUNTA([3]characters!$A:$A),MATCH(J$1,[3]characters!$2:$2,0)-MATCH("character_id",[3]characters!$2:$2,0)+1),MATCH(J$1,[3]characters!$2:$2,0)-MATCH("character_id",[3]characters!$2:$2,0)+1,FALSE)),IF(F108="specific_quest_clear",VLOOKUP(SUBSTITUTE(I108,"-","_"),OFFSET([2]stages!$A$2,0,0,COUNTA([2]stages!$A:$A),MATCH("name",[2]stages!$2:$2,0)-MATCH("temp_stage",[2]stages!$2:$2,0)+1),MATCH("name",[2]stages!$2:$2,0)-MATCH("temp_stage",[2]stages!$2:$2,0)+1,FALSE),""))</f>
        <v>マリアチャレンジ</v>
      </c>
      <c r="K108" s="15" t="s">
        <v>864</v>
      </c>
      <c r="L108" s="15" t="s">
        <v>864</v>
      </c>
      <c r="M108" s="26"/>
      <c r="N108" s="26"/>
    </row>
    <row r="109" spans="1:14" ht="21" customHeight="1" x14ac:dyDescent="0.15">
      <c r="A109" s="125" t="s">
        <v>2060</v>
      </c>
      <c r="B109" s="21" t="s">
        <v>792</v>
      </c>
      <c r="C109" s="26" t="str">
        <f ca="1">IF(F109="specific_quest_clear",SUBSTITUTE(G109,"x",J109),IF(F109="specific_unit_aquired_count",SUBSTITUTE(J109,"y",K109),SUBSTITUTE(G109,"x",I109)))</f>
        <v>クエスト 【初級】黄巾賊の暴走を止めろ！ をクリアしよう！</v>
      </c>
      <c r="D109" s="26" t="str">
        <f ca="1">IFERROR(VLOOKUP($A109,OFFSET(achievement_criterion_id,0,0,COUNTA($A:$A),MATCH(D$1,missions!$2:$2,0)-MATCH($A$1,missions!$2:$2,0)+1),MATCH(D$1,missions!$2:$2,0)-MATCH($A$1,missions!$2:$2,0)+1,FALSE),IFERROR(VLOOKUP($A109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09" s="27" t="s">
        <v>864</v>
      </c>
      <c r="F109" s="17" t="s">
        <v>310</v>
      </c>
      <c r="G109" s="27" t="s">
        <v>765</v>
      </c>
      <c r="H109" s="26" t="str">
        <f ca="1">VLOOKUP($F109,OFFSET(達成条件!$A$1,0,0,COUNTA($A:$A),MATCH(H$1,達成条件!$1:$1,0)-MATCH($F$1,達成条件!$1:$1,0)+1),MATCH(H$1,達成条件!$1:$1,0)-MATCH($F$1,達成条件!$1:$1,0)+1,FALSE)</f>
        <v>該当のクエスト(99-9)</v>
      </c>
      <c r="I109" s="83" t="s">
        <v>2074</v>
      </c>
      <c r="J109" s="54" t="str">
        <f ca="1">IF(F109="specific_unit_aquired_count",SUBSTITUTE(G109,"x",VLOOKUP(INT($I109),OFFSET([3]characters!$A$2,0,0,COUNTA([3]characters!$A:$A),MATCH(J$1,[3]characters!$2:$2,0)-MATCH("character_id",[3]characters!$2:$2,0)+1),MATCH(J$1,[3]characters!$2:$2,0)-MATCH("character_id",[3]characters!$2:$2,0)+1,FALSE)),IF(F109="specific_quest_clear",VLOOKUP(SUBSTITUTE(I109,"-","_"),OFFSET([2]stages!$A$2,0,0,COUNTA([2]stages!$A:$A),MATCH("name",[2]stages!$2:$2,0)-MATCH("temp_stage",[2]stages!$2:$2,0)+1),MATCH("name",[2]stages!$2:$2,0)-MATCH("temp_stage",[2]stages!$2:$2,0)+1,FALSE),""))</f>
        <v>【初級】黄巾賊の暴走を止めろ！</v>
      </c>
      <c r="K109" s="15" t="s">
        <v>931</v>
      </c>
      <c r="L109" s="15" t="s">
        <v>931</v>
      </c>
      <c r="M109" s="26"/>
      <c r="N109" s="26"/>
    </row>
    <row r="110" spans="1:14" ht="21" customHeight="1" x14ac:dyDescent="0.15">
      <c r="A110" s="125" t="s">
        <v>2061</v>
      </c>
      <c r="B110" s="21" t="s">
        <v>792</v>
      </c>
      <c r="C110" s="26" t="str">
        <f t="shared" ref="C110:C118" ca="1" si="8">IF(F110="specific_quest_clear",SUBSTITUTE(G110,"x",J110),IF(F110="specific_unit_aquired_count",SUBSTITUTE(J110,"y",K110),SUBSTITUTE(G110,"x",I110)))</f>
        <v>クエスト 【初級】ブルースクウェアを追え！ をクリアしよう！</v>
      </c>
      <c r="D110" s="26" t="str">
        <f ca="1">IFERROR(VLOOKUP($A110,OFFSET(achievement_criterion_id,0,0,COUNTA($A:$A),MATCH(D$1,missions!$2:$2,0)-MATCH($A$1,missions!$2:$2,0)+1),MATCH(D$1,missions!$2:$2,0)-MATCH($A$1,missions!$2:$2,0)+1,FALSE),IFERROR(VLOOKUP($A110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10" s="27" t="s">
        <v>864</v>
      </c>
      <c r="F110" s="17" t="s">
        <v>310</v>
      </c>
      <c r="G110" s="27" t="s">
        <v>765</v>
      </c>
      <c r="H110" s="26" t="str">
        <f ca="1">VLOOKUP($F110,OFFSET(達成条件!$A$1,0,0,COUNTA($A:$A),MATCH(H$1,達成条件!$1:$1,0)-MATCH($F$1,達成条件!$1:$1,0)+1),MATCH(H$1,達成条件!$1:$1,0)-MATCH($F$1,達成条件!$1:$1,0)+1,FALSE)</f>
        <v>該当のクエスト(99-9)</v>
      </c>
      <c r="I110" s="83" t="s">
        <v>2078</v>
      </c>
      <c r="J110" s="54" t="str">
        <f ca="1">IF(F110="specific_unit_aquired_count",SUBSTITUTE(G110,"x",VLOOKUP(INT($I110),OFFSET([3]characters!$A$2,0,0,COUNTA([3]characters!$A:$A),MATCH(J$1,[3]characters!$2:$2,0)-MATCH("character_id",[3]characters!$2:$2,0)+1),MATCH(J$1,[3]characters!$2:$2,0)-MATCH("character_id",[3]characters!$2:$2,0)+1,FALSE)),IF(F110="specific_quest_clear",VLOOKUP(SUBSTITUTE(I110,"-","_"),OFFSET([2]stages!$A$2,0,0,COUNTA([2]stages!$A:$A),MATCH("name",[2]stages!$2:$2,0)-MATCH("temp_stage",[2]stages!$2:$2,0)+1),MATCH("name",[2]stages!$2:$2,0)-MATCH("temp_stage",[2]stages!$2:$2,0)+1,FALSE),""))</f>
        <v>【初級】ブルースクウェアを追え！</v>
      </c>
      <c r="K110" s="15" t="s">
        <v>931</v>
      </c>
      <c r="L110" s="15" t="s">
        <v>931</v>
      </c>
      <c r="M110" s="26"/>
      <c r="N110" s="26"/>
    </row>
    <row r="111" spans="1:14" ht="21" customHeight="1" x14ac:dyDescent="0.15">
      <c r="A111" s="125" t="s">
        <v>2062</v>
      </c>
      <c r="B111" s="21" t="s">
        <v>792</v>
      </c>
      <c r="C111" s="26" t="str">
        <f t="shared" ca="1" si="8"/>
        <v>クエスト 【中級】黄巾賊の暴走を止めろ！ をクリアしよう！</v>
      </c>
      <c r="D111" s="26" t="str">
        <f ca="1">IFERROR(VLOOKUP($A111,OFFSET(achievement_criterion_id,0,0,COUNTA($A:$A),MATCH(D$1,missions!$2:$2,0)-MATCH($A$1,missions!$2:$2,0)+1),MATCH(D$1,missions!$2:$2,0)-MATCH($A$1,missions!$2:$2,0)+1,FALSE),IFERROR(VLOOKUP($A111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11" s="27" t="s">
        <v>864</v>
      </c>
      <c r="F111" s="17" t="s">
        <v>310</v>
      </c>
      <c r="G111" s="27" t="s">
        <v>765</v>
      </c>
      <c r="H111" s="26" t="str">
        <f ca="1">VLOOKUP($F111,OFFSET(達成条件!$A$1,0,0,COUNTA($A:$A),MATCH(H$1,達成条件!$1:$1,0)-MATCH($F$1,達成条件!$1:$1,0)+1),MATCH(H$1,達成条件!$1:$1,0)-MATCH($F$1,達成条件!$1:$1,0)+1,FALSE)</f>
        <v>該当のクエスト(99-9)</v>
      </c>
      <c r="I111" s="83" t="s">
        <v>2075</v>
      </c>
      <c r="J111" s="54" t="str">
        <f ca="1">IF(F111="specific_unit_aquired_count",SUBSTITUTE(G111,"x",VLOOKUP(INT($I111),OFFSET([3]characters!$A$2,0,0,COUNTA([3]characters!$A:$A),MATCH(J$1,[3]characters!$2:$2,0)-MATCH("character_id",[3]characters!$2:$2,0)+1),MATCH(J$1,[3]characters!$2:$2,0)-MATCH("character_id",[3]characters!$2:$2,0)+1,FALSE)),IF(F111="specific_quest_clear",VLOOKUP(SUBSTITUTE(I111,"-","_"),OFFSET([2]stages!$A$2,0,0,COUNTA([2]stages!$A:$A),MATCH("name",[2]stages!$2:$2,0)-MATCH("temp_stage",[2]stages!$2:$2,0)+1),MATCH("name",[2]stages!$2:$2,0)-MATCH("temp_stage",[2]stages!$2:$2,0)+1,FALSE),""))</f>
        <v>【中級】黄巾賊の暴走を止めろ！</v>
      </c>
      <c r="K111" s="15" t="s">
        <v>931</v>
      </c>
      <c r="L111" s="15" t="s">
        <v>931</v>
      </c>
      <c r="M111" s="26"/>
      <c r="N111" s="26"/>
    </row>
    <row r="112" spans="1:14" ht="21" customHeight="1" x14ac:dyDescent="0.15">
      <c r="A112" s="125" t="s">
        <v>2063</v>
      </c>
      <c r="B112" s="21" t="s">
        <v>792</v>
      </c>
      <c r="C112" s="26" t="str">
        <f t="shared" ca="1" si="8"/>
        <v>クエスト 【中級】ブルースクウェアを追え！ をクリアしよう！</v>
      </c>
      <c r="D112" s="26" t="str">
        <f ca="1">IFERROR(VLOOKUP($A112,OFFSET(achievement_criterion_id,0,0,COUNTA($A:$A),MATCH(D$1,missions!$2:$2,0)-MATCH($A$1,missions!$2:$2,0)+1),MATCH(D$1,missions!$2:$2,0)-MATCH($A$1,missions!$2:$2,0)+1,FALSE),IFERROR(VLOOKUP($A112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12" s="27" t="s">
        <v>864</v>
      </c>
      <c r="F112" s="17" t="s">
        <v>310</v>
      </c>
      <c r="G112" s="27" t="s">
        <v>765</v>
      </c>
      <c r="H112" s="26" t="str">
        <f ca="1">VLOOKUP($F112,OFFSET(達成条件!$A$1,0,0,COUNTA($A:$A),MATCH(H$1,達成条件!$1:$1,0)-MATCH($F$1,達成条件!$1:$1,0)+1),MATCH(H$1,達成条件!$1:$1,0)-MATCH($F$1,達成条件!$1:$1,0)+1,FALSE)</f>
        <v>該当のクエスト(99-9)</v>
      </c>
      <c r="I112" s="83" t="s">
        <v>2079</v>
      </c>
      <c r="J112" s="54" t="str">
        <f ca="1">IF(F112="specific_unit_aquired_count",SUBSTITUTE(G112,"x",VLOOKUP(INT($I112),OFFSET([3]characters!$A$2,0,0,COUNTA([3]characters!$A:$A),MATCH(J$1,[3]characters!$2:$2,0)-MATCH("character_id",[3]characters!$2:$2,0)+1),MATCH(J$1,[3]characters!$2:$2,0)-MATCH("character_id",[3]characters!$2:$2,0)+1,FALSE)),IF(F112="specific_quest_clear",VLOOKUP(SUBSTITUTE(I112,"-","_"),OFFSET([2]stages!$A$2,0,0,COUNTA([2]stages!$A:$A),MATCH("name",[2]stages!$2:$2,0)-MATCH("temp_stage",[2]stages!$2:$2,0)+1),MATCH("name",[2]stages!$2:$2,0)-MATCH("temp_stage",[2]stages!$2:$2,0)+1,FALSE),""))</f>
        <v>【中級】ブルースクウェアを追え！</v>
      </c>
      <c r="K112" s="15" t="s">
        <v>931</v>
      </c>
      <c r="L112" s="15" t="s">
        <v>931</v>
      </c>
      <c r="M112" s="26"/>
      <c r="N112" s="26"/>
    </row>
    <row r="113" spans="1:14" ht="21" customHeight="1" x14ac:dyDescent="0.15">
      <c r="A113" s="125" t="s">
        <v>2064</v>
      </c>
      <c r="B113" s="21" t="s">
        <v>792</v>
      </c>
      <c r="C113" s="26" t="str">
        <f t="shared" ca="1" si="8"/>
        <v>クエスト 【上級】黄巾賊の暴走を止めろ！ をクリアしよう！</v>
      </c>
      <c r="D113" s="26" t="str">
        <f ca="1">IFERROR(VLOOKUP($A113,OFFSET(achievement_criterion_id,0,0,COUNTA($A:$A),MATCH(D$1,missions!$2:$2,0)-MATCH($A$1,missions!$2:$2,0)+1),MATCH(D$1,missions!$2:$2,0)-MATCH($A$1,missions!$2:$2,0)+1,FALSE),IFERROR(VLOOKUP($A113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13" s="27" t="s">
        <v>864</v>
      </c>
      <c r="F113" s="17" t="s">
        <v>310</v>
      </c>
      <c r="G113" s="27" t="s">
        <v>765</v>
      </c>
      <c r="H113" s="26" t="str">
        <f ca="1">VLOOKUP($F113,OFFSET(達成条件!$A$1,0,0,COUNTA($A:$A),MATCH(H$1,達成条件!$1:$1,0)-MATCH($F$1,達成条件!$1:$1,0)+1),MATCH(H$1,達成条件!$1:$1,0)-MATCH($F$1,達成条件!$1:$1,0)+1,FALSE)</f>
        <v>該当のクエスト(99-9)</v>
      </c>
      <c r="I113" s="83" t="s">
        <v>2076</v>
      </c>
      <c r="J113" s="54" t="str">
        <f ca="1">IF(F113="specific_unit_aquired_count",SUBSTITUTE(G113,"x",VLOOKUP(INT($I113),OFFSET([3]characters!$A$2,0,0,COUNTA([3]characters!$A:$A),MATCH(J$1,[3]characters!$2:$2,0)-MATCH("character_id",[3]characters!$2:$2,0)+1),MATCH(J$1,[3]characters!$2:$2,0)-MATCH("character_id",[3]characters!$2:$2,0)+1,FALSE)),IF(F113="specific_quest_clear",VLOOKUP(SUBSTITUTE(I113,"-","_"),OFFSET([2]stages!$A$2,0,0,COUNTA([2]stages!$A:$A),MATCH("name",[2]stages!$2:$2,0)-MATCH("temp_stage",[2]stages!$2:$2,0)+1),MATCH("name",[2]stages!$2:$2,0)-MATCH("temp_stage",[2]stages!$2:$2,0)+1,FALSE),""))</f>
        <v>【上級】黄巾賊の暴走を止めろ！</v>
      </c>
      <c r="K113" s="15" t="s">
        <v>931</v>
      </c>
      <c r="L113" s="15" t="s">
        <v>931</v>
      </c>
      <c r="M113" s="26"/>
      <c r="N113" s="26"/>
    </row>
    <row r="114" spans="1:14" ht="21" customHeight="1" x14ac:dyDescent="0.15">
      <c r="A114" s="125" t="s">
        <v>2065</v>
      </c>
      <c r="B114" s="21" t="s">
        <v>792</v>
      </c>
      <c r="C114" s="26" t="str">
        <f t="shared" ca="1" si="8"/>
        <v>クエスト 【上級】ブルースクウェアを追え！ をクリアしよう！</v>
      </c>
      <c r="D114" s="26" t="str">
        <f ca="1">IFERROR(VLOOKUP($A114,OFFSET(achievement_criterion_id,0,0,COUNTA($A:$A),MATCH(D$1,missions!$2:$2,0)-MATCH($A$1,missions!$2:$2,0)+1),MATCH(D$1,missions!$2:$2,0)-MATCH($A$1,missions!$2:$2,0)+1,FALSE),IFERROR(VLOOKUP($A114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14" s="27" t="s">
        <v>864</v>
      </c>
      <c r="F114" s="17" t="s">
        <v>310</v>
      </c>
      <c r="G114" s="27" t="s">
        <v>765</v>
      </c>
      <c r="H114" s="26" t="str">
        <f ca="1">VLOOKUP($F114,OFFSET(達成条件!$A$1,0,0,COUNTA($A:$A),MATCH(H$1,達成条件!$1:$1,0)-MATCH($F$1,達成条件!$1:$1,0)+1),MATCH(H$1,達成条件!$1:$1,0)-MATCH($F$1,達成条件!$1:$1,0)+1,FALSE)</f>
        <v>該当のクエスト(99-9)</v>
      </c>
      <c r="I114" s="83" t="s">
        <v>2080</v>
      </c>
      <c r="J114" s="54" t="str">
        <f ca="1">IF(F114="specific_unit_aquired_count",SUBSTITUTE(G114,"x",VLOOKUP(INT($I114),OFFSET([3]characters!$A$2,0,0,COUNTA([3]characters!$A:$A),MATCH(J$1,[3]characters!$2:$2,0)-MATCH("character_id",[3]characters!$2:$2,0)+1),MATCH(J$1,[3]characters!$2:$2,0)-MATCH("character_id",[3]characters!$2:$2,0)+1,FALSE)),IF(F114="specific_quest_clear",VLOOKUP(SUBSTITUTE(I114,"-","_"),OFFSET([2]stages!$A$2,0,0,COUNTA([2]stages!$A:$A),MATCH("name",[2]stages!$2:$2,0)-MATCH("temp_stage",[2]stages!$2:$2,0)+1),MATCH("name",[2]stages!$2:$2,0)-MATCH("temp_stage",[2]stages!$2:$2,0)+1,FALSE),""))</f>
        <v>【上級】ブルースクウェアを追え！</v>
      </c>
      <c r="K114" s="15" t="s">
        <v>931</v>
      </c>
      <c r="L114" s="15" t="s">
        <v>931</v>
      </c>
      <c r="M114" s="26"/>
      <c r="N114" s="26"/>
    </row>
    <row r="115" spans="1:14" ht="21" customHeight="1" x14ac:dyDescent="0.15">
      <c r="A115" s="125" t="s">
        <v>2066</v>
      </c>
      <c r="B115" s="21" t="s">
        <v>792</v>
      </c>
      <c r="C115" s="26" t="str">
        <f t="shared" ca="1" si="8"/>
        <v>クエスト 【超級】黄巾賊の暴走を止めろ！ をクリアしよう！</v>
      </c>
      <c r="D115" s="26" t="str">
        <f ca="1">IFERROR(VLOOKUP($A115,OFFSET(achievement_criterion_id,0,0,COUNTA($A:$A),MATCH(D$1,missions!$2:$2,0)-MATCH($A$1,missions!$2:$2,0)+1),MATCH(D$1,missions!$2:$2,0)-MATCH($A$1,missions!$2:$2,0)+1,FALSE),IFERROR(VLOOKUP($A115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115" s="27" t="s">
        <v>864</v>
      </c>
      <c r="F115" s="17" t="s">
        <v>310</v>
      </c>
      <c r="G115" s="27" t="s">
        <v>765</v>
      </c>
      <c r="H115" s="26" t="str">
        <f ca="1">VLOOKUP($F115,OFFSET(達成条件!$A$1,0,0,COUNTA($A:$A),MATCH(H$1,達成条件!$1:$1,0)-MATCH($F$1,達成条件!$1:$1,0)+1),MATCH(H$1,達成条件!$1:$1,0)-MATCH($F$1,達成条件!$1:$1,0)+1,FALSE)</f>
        <v>該当のクエスト(99-9)</v>
      </c>
      <c r="I115" s="83" t="s">
        <v>2077</v>
      </c>
      <c r="J115" s="54" t="str">
        <f ca="1">IF(F115="specific_unit_aquired_count",SUBSTITUTE(G115,"x",VLOOKUP(INT($I115),OFFSET([3]characters!$A$2,0,0,COUNTA([3]characters!$A:$A),MATCH(J$1,[3]characters!$2:$2,0)-MATCH("character_id",[3]characters!$2:$2,0)+1),MATCH(J$1,[3]characters!$2:$2,0)-MATCH("character_id",[3]characters!$2:$2,0)+1,FALSE)),IF(F115="specific_quest_clear",VLOOKUP(SUBSTITUTE(I115,"-","_"),OFFSET([2]stages!$A$2,0,0,COUNTA([2]stages!$A:$A),MATCH("name",[2]stages!$2:$2,0)-MATCH("temp_stage",[2]stages!$2:$2,0)+1),MATCH("name",[2]stages!$2:$2,0)-MATCH("temp_stage",[2]stages!$2:$2,0)+1,FALSE),""))</f>
        <v>【超級】黄巾賊の暴走を止めろ！</v>
      </c>
      <c r="K115" s="15" t="s">
        <v>931</v>
      </c>
      <c r="L115" s="15" t="s">
        <v>931</v>
      </c>
      <c r="M115" s="26"/>
      <c r="N115" s="26"/>
    </row>
    <row r="116" spans="1:14" ht="21" customHeight="1" x14ac:dyDescent="0.15">
      <c r="A116" s="125" t="s">
        <v>2067</v>
      </c>
      <c r="B116" s="21" t="s">
        <v>792</v>
      </c>
      <c r="C116" s="26" t="str">
        <f t="shared" ca="1" si="8"/>
        <v>クエスト 【超級】ブルースクウェアを追え！ をクリアしよう！</v>
      </c>
      <c r="D116" s="26" t="str">
        <f ca="1">IFERROR(VLOOKUP($A116,OFFSET(achievement_criterion_id,0,0,COUNTA($A:$A),MATCH(D$1,missions!$2:$2,0)-MATCH($A$1,missions!$2:$2,0)+1),MATCH(D$1,missions!$2:$2,0)-MATCH($A$1,missions!$2:$2,0)+1,FALSE),IFERROR(VLOOKUP($A116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116" s="27" t="s">
        <v>864</v>
      </c>
      <c r="F116" s="17" t="s">
        <v>310</v>
      </c>
      <c r="G116" s="27" t="s">
        <v>765</v>
      </c>
      <c r="H116" s="26" t="str">
        <f ca="1">VLOOKUP($F116,OFFSET(達成条件!$A$1,0,0,COUNTA($A:$A),MATCH(H$1,達成条件!$1:$1,0)-MATCH($F$1,達成条件!$1:$1,0)+1),MATCH(H$1,達成条件!$1:$1,0)-MATCH($F$1,達成条件!$1:$1,0)+1,FALSE)</f>
        <v>該当のクエスト(99-9)</v>
      </c>
      <c r="I116" s="83" t="s">
        <v>2081</v>
      </c>
      <c r="J116" s="54" t="str">
        <f ca="1">IF(F116="specific_unit_aquired_count",SUBSTITUTE(G116,"x",VLOOKUP(INT($I116),OFFSET([3]characters!$A$2,0,0,COUNTA([3]characters!$A:$A),MATCH(J$1,[3]characters!$2:$2,0)-MATCH("character_id",[3]characters!$2:$2,0)+1),MATCH(J$1,[3]characters!$2:$2,0)-MATCH("character_id",[3]characters!$2:$2,0)+1,FALSE)),IF(F116="specific_quest_clear",VLOOKUP(SUBSTITUTE(I116,"-","_"),OFFSET([2]stages!$A$2,0,0,COUNTA([2]stages!$A:$A),MATCH("name",[2]stages!$2:$2,0)-MATCH("temp_stage",[2]stages!$2:$2,0)+1),MATCH("name",[2]stages!$2:$2,0)-MATCH("temp_stage",[2]stages!$2:$2,0)+1,FALSE),""))</f>
        <v>【超級】ブルースクウェアを追え！</v>
      </c>
      <c r="K116" s="15" t="s">
        <v>931</v>
      </c>
      <c r="L116" s="15" t="s">
        <v>931</v>
      </c>
      <c r="M116" s="26"/>
      <c r="N116" s="26"/>
    </row>
    <row r="117" spans="1:14" ht="21" customHeight="1" x14ac:dyDescent="0.15">
      <c r="A117" s="125" t="s">
        <v>2068</v>
      </c>
      <c r="B117" s="21" t="s">
        <v>792</v>
      </c>
      <c r="C117" s="26" t="str">
        <f t="shared" ca="1" si="8"/>
        <v>クエスト 【ウィザード級】園原杏里襲来 をクリアしよう！</v>
      </c>
      <c r="D117" s="26" t="str">
        <f ca="1">IFERROR(VLOOKUP($A117,OFFSET(achievement_criterion_id,0,0,COUNTA($A:$A),MATCH(D$1,missions!$2:$2,0)-MATCH($A$1,missions!$2:$2,0)+1),MATCH(D$1,missions!$2:$2,0)-MATCH($A$1,missions!$2:$2,0)+1,FALSE),IFERROR(VLOOKUP($A117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117" s="27" t="s">
        <v>864</v>
      </c>
      <c r="F117" s="17" t="s">
        <v>310</v>
      </c>
      <c r="G117" s="27" t="s">
        <v>765</v>
      </c>
      <c r="H117" s="26" t="str">
        <f ca="1">VLOOKUP($F117,OFFSET(達成条件!$A$1,0,0,COUNTA($A:$A),MATCH(H$1,達成条件!$1:$1,0)-MATCH($F$1,達成条件!$1:$1,0)+1),MATCH(H$1,達成条件!$1:$1,0)-MATCH($F$1,達成条件!$1:$1,0)+1,FALSE)</f>
        <v>該当のクエスト(99-9)</v>
      </c>
      <c r="I117" s="83" t="s">
        <v>2083</v>
      </c>
      <c r="J117" s="54" t="str">
        <f ca="1">IF(F117="specific_unit_aquired_count",SUBSTITUTE(G117,"x",VLOOKUP(INT($I117),OFFSET([3]characters!$A$2,0,0,COUNTA([3]characters!$A:$A),MATCH(J$1,[3]characters!$2:$2,0)-MATCH("character_id",[3]characters!$2:$2,0)+1),MATCH(J$1,[3]characters!$2:$2,0)-MATCH("character_id",[3]characters!$2:$2,0)+1,FALSE)),IF(F117="specific_quest_clear",VLOOKUP(SUBSTITUTE(I117,"-","_"),OFFSET([2]stages!$A$2,0,0,COUNTA([2]stages!$A:$A),MATCH("name",[2]stages!$2:$2,0)-MATCH("temp_stage",[2]stages!$2:$2,0)+1),MATCH("name",[2]stages!$2:$2,0)-MATCH("temp_stage",[2]stages!$2:$2,0)+1,FALSE),""))</f>
        <v>【ウィザード級】園原杏里襲来</v>
      </c>
      <c r="K117" s="15" t="s">
        <v>931</v>
      </c>
      <c r="L117" s="15" t="s">
        <v>931</v>
      </c>
      <c r="M117" s="26"/>
      <c r="N117" s="26"/>
    </row>
    <row r="118" spans="1:14" ht="21" customHeight="1" x14ac:dyDescent="0.15">
      <c r="A118" s="125" t="s">
        <v>2069</v>
      </c>
      <c r="B118" s="21" t="s">
        <v>792</v>
      </c>
      <c r="C118" s="26" t="str">
        <f t="shared" ca="1" si="8"/>
        <v>クエスト 【ウィザード級】折原臨也襲来 をクリアしよう！</v>
      </c>
      <c r="D118" s="26" t="str">
        <f ca="1">IFERROR(VLOOKUP($A118,OFFSET(achievement_criterion_id,0,0,COUNTA($A:$A),MATCH(D$1,missions!$2:$2,0)-MATCH($A$1,missions!$2:$2,0)+1),MATCH(D$1,missions!$2:$2,0)-MATCH($A$1,missions!$2:$2,0)+1,FALSE),IFERROR(VLOOKUP($A118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118" s="27" t="s">
        <v>864</v>
      </c>
      <c r="F118" s="17" t="s">
        <v>310</v>
      </c>
      <c r="G118" s="27" t="s">
        <v>765</v>
      </c>
      <c r="H118" s="26" t="str">
        <f ca="1">VLOOKUP($F118,OFFSET(達成条件!$A$1,0,0,COUNTA($A:$A),MATCH(H$1,達成条件!$1:$1,0)-MATCH($F$1,達成条件!$1:$1,0)+1),MATCH(H$1,達成条件!$1:$1,0)-MATCH($F$1,達成条件!$1:$1,0)+1,FALSE)</f>
        <v>該当のクエスト(99-9)</v>
      </c>
      <c r="I118" s="83" t="s">
        <v>2082</v>
      </c>
      <c r="J118" s="54" t="str">
        <f ca="1">IF(F118="specific_unit_aquired_count",SUBSTITUTE(G118,"x",VLOOKUP(INT($I118),OFFSET([3]characters!$A$2,0,0,COUNTA([3]characters!$A:$A),MATCH(J$1,[3]characters!$2:$2,0)-MATCH("character_id",[3]characters!$2:$2,0)+1),MATCH(J$1,[3]characters!$2:$2,0)-MATCH("character_id",[3]characters!$2:$2,0)+1,FALSE)),IF(F118="specific_quest_clear",VLOOKUP(SUBSTITUTE(I118,"-","_"),OFFSET([2]stages!$A$2,0,0,COUNTA([2]stages!$A:$A),MATCH("name",[2]stages!$2:$2,0)-MATCH("temp_stage",[2]stages!$2:$2,0)+1),MATCH("name",[2]stages!$2:$2,0)-MATCH("temp_stage",[2]stages!$2:$2,0)+1,FALSE),""))</f>
        <v>【ウィザード級】折原臨也襲来</v>
      </c>
      <c r="K118" s="15" t="s">
        <v>931</v>
      </c>
      <c r="L118" s="15" t="s">
        <v>931</v>
      </c>
      <c r="M118" s="26"/>
      <c r="N118" s="26"/>
    </row>
    <row r="119" spans="1:14" ht="21" customHeight="1" x14ac:dyDescent="0.15">
      <c r="A119" s="21" t="s">
        <v>2088</v>
      </c>
      <c r="B119" s="21" t="s">
        <v>792</v>
      </c>
      <c r="C119" s="26" t="str">
        <f t="shared" ref="C119:C120" ca="1" si="9">IF(F119="specific_quest_clear",SUBSTITUTE(G119,"x",J119),IF(F119="specific_unit_aquired_count",SUBSTITUTE(J119,"y",K119),SUBSTITUTE(G119,"x",I119)))</f>
        <v>クエスト チューリングチャレンジ をクリアしよう！</v>
      </c>
      <c r="D119" s="26" t="str">
        <f ca="1">IFERROR(VLOOKUP($A119,OFFSET(achievement_criterion_id,0,0,COUNTA($A:$A),MATCH(D$1,missions!$2:$2,0)-MATCH($A$1,missions!$2:$2,0)+1),MATCH(D$1,missions!$2:$2,0)-MATCH($A$1,missions!$2:$2,0)+1,FALSE),IFERROR(VLOOKUP($A119,OFFSET(weekly_achievement_criterion_id,0,0,COUNTA($A:$A),MATCH(D$1,weekly_missions!$2:$2,0)-MATCH($A$1,weekly_missions!$2:$2,0)+1),MATCH(D$1,weekly_missions!$2:$2,0)-MATCH($A$1,weekly_missions!$2:$2,0)+1,FALSE),"＊missions 未設定＊"))</f>
        <v>ポリゴン x 3</v>
      </c>
      <c r="E119" s="27" t="s">
        <v>352</v>
      </c>
      <c r="F119" s="17" t="s">
        <v>310</v>
      </c>
      <c r="G119" s="27" t="s">
        <v>765</v>
      </c>
      <c r="H119" s="26" t="str">
        <f ca="1">VLOOKUP($F119,OFFSET(達成条件!$A$1,0,0,COUNTA($A:$A),MATCH(H$1,達成条件!$1:$1,0)-MATCH($F$1,達成条件!$1:$1,0)+1),MATCH(H$1,達成条件!$1:$1,0)-MATCH($F$1,達成条件!$1:$1,0)+1,FALSE)</f>
        <v>該当のクエスト(99-9)</v>
      </c>
      <c r="I119" s="83" t="s">
        <v>2089</v>
      </c>
      <c r="J119" s="54" t="str">
        <f ca="1">IF(F119="specific_unit_aquired_count",SUBSTITUTE(G119,"x",VLOOKUP(INT($I119),OFFSET([3]characters!$A$2,0,0,COUNTA([3]characters!$A:$A),MATCH(J$1,[3]characters!$2:$2,0)-MATCH("character_id",[3]characters!$2:$2,0)+1),MATCH(J$1,[3]characters!$2:$2,0)-MATCH("character_id",[3]characters!$2:$2,0)+1,FALSE)),IF(F119="specific_quest_clear",VLOOKUP(SUBSTITUTE(I119,"-","_"),OFFSET([2]stages!$A$2,0,0,COUNTA([2]stages!$A:$A),MATCH("name",[2]stages!$2:$2,0)-MATCH("temp_stage",[2]stages!$2:$2,0)+1),MATCH("name",[2]stages!$2:$2,0)-MATCH("temp_stage",[2]stages!$2:$2,0)+1,FALSE),""))</f>
        <v>チューリングチャレンジ</v>
      </c>
      <c r="K119" s="15" t="s">
        <v>352</v>
      </c>
      <c r="L119" s="15" t="s">
        <v>352</v>
      </c>
      <c r="M119" s="26"/>
      <c r="N119" s="26"/>
    </row>
    <row r="120" spans="1:14" ht="21" customHeight="1" x14ac:dyDescent="0.15">
      <c r="A120" s="125" t="s">
        <v>2091</v>
      </c>
      <c r="B120" s="21" t="s">
        <v>792</v>
      </c>
      <c r="C120" s="26" t="str">
        <f t="shared" ca="1" si="9"/>
        <v>クエスト 【ウィザード級】折原臨也襲来 をクリアしよう！</v>
      </c>
      <c r="D120" s="26" t="str">
        <f ca="1">IFERROR(VLOOKUP($A120,OFFSET(achievement_criterion_id,0,0,COUNTA($A:$A),MATCH(D$1,missions!$2:$2,0)-MATCH($A$1,missions!$2:$2,0)+1),MATCH(D$1,missions!$2:$2,0)-MATCH($A$1,missions!$2:$2,0)+1,FALSE),IFERROR(VLOOKUP($A120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120" s="27" t="s">
        <v>352</v>
      </c>
      <c r="F120" s="17" t="s">
        <v>310</v>
      </c>
      <c r="G120" s="27" t="s">
        <v>765</v>
      </c>
      <c r="H120" s="26" t="str">
        <f ca="1">VLOOKUP($F120,OFFSET(達成条件!$A$1,0,0,COUNTA($A:$A),MATCH(H$1,達成条件!$1:$1,0)-MATCH($F$1,達成条件!$1:$1,0)+1),MATCH(H$1,達成条件!$1:$1,0)-MATCH($F$1,達成条件!$1:$1,0)+1,FALSE)</f>
        <v>該当のクエスト(99-9)</v>
      </c>
      <c r="I120" s="83" t="s">
        <v>2082</v>
      </c>
      <c r="J120" s="54" t="str">
        <f ca="1">IF(F120="specific_unit_aquired_count",SUBSTITUTE(G120,"x",VLOOKUP(INT($I120),OFFSET([3]characters!$A$2,0,0,COUNTA([3]characters!$A:$A),MATCH(J$1,[3]characters!$2:$2,0)-MATCH("character_id",[3]characters!$2:$2,0)+1),MATCH(J$1,[3]characters!$2:$2,0)-MATCH("character_id",[3]characters!$2:$2,0)+1,FALSE)),IF(F120="specific_quest_clear",VLOOKUP(SUBSTITUTE(I120,"-","_"),OFFSET([2]stages!$A$2,0,0,COUNTA([2]stages!$A:$A),MATCH("name",[2]stages!$2:$2,0)-MATCH("temp_stage",[2]stages!$2:$2,0)+1),MATCH("name",[2]stages!$2:$2,0)-MATCH("temp_stage",[2]stages!$2:$2,0)+1,FALSE),""))</f>
        <v>【ウィザード級】折原臨也襲来</v>
      </c>
      <c r="K120" s="15" t="s">
        <v>352</v>
      </c>
      <c r="L120" s="15" t="s">
        <v>352</v>
      </c>
      <c r="M120" s="26"/>
      <c r="N120" s="26"/>
    </row>
    <row r="121" spans="1:14" ht="21" customHeight="1" x14ac:dyDescent="0.15">
      <c r="A121" s="21" t="s">
        <v>2094</v>
      </c>
      <c r="B121" s="21" t="s">
        <v>792</v>
      </c>
      <c r="C121" s="26" t="str">
        <f ca="1">IF(F121="specific_quest_clear",SUBSTITUTE(G121,"x",J121),IF(F121="specific_unit_aquired_count",SUBSTITUTE(J121,"y",K121),SUBSTITUTE(G121,"x",I121)))</f>
        <v>クエスト ハップルチャレンジ をクリアしよう！</v>
      </c>
      <c r="D121" s="26" t="str">
        <f ca="1">IFERROR(VLOOKUP($A121,OFFSET(achievement_criterion_id,0,0,COUNTA($A:$A),MATCH(D$1,missions!$2:$2,0)-MATCH($A$1,missions!$2:$2,0)+1),MATCH(D$1,missions!$2:$2,0)-MATCH($A$1,missions!$2:$2,0)+1,FALSE),IFERROR(VLOOKUP($A121,OFFSET(weekly_achievement_criterion_id,0,0,COUNTA($A:$A),MATCH(D$1,weekly_missions!$2:$2,0)-MATCH($A$1,weekly_missions!$2:$2,0)+1),MATCH(D$1,weekly_missions!$2:$2,0)-MATCH($A$1,weekly_missions!$2:$2,0)+1,FALSE),"＊missions 未設定＊"))</f>
        <v>ポリゴン x 3</v>
      </c>
      <c r="E121" s="27" t="s">
        <v>352</v>
      </c>
      <c r="F121" s="17" t="s">
        <v>310</v>
      </c>
      <c r="G121" s="27" t="s">
        <v>765</v>
      </c>
      <c r="H121" s="26" t="str">
        <f ca="1">VLOOKUP($F121,OFFSET(達成条件!$A$1,0,0,COUNTA($A:$A),MATCH(H$1,達成条件!$1:$1,0)-MATCH($F$1,達成条件!$1:$1,0)+1),MATCH(H$1,達成条件!$1:$1,0)-MATCH($F$1,達成条件!$1:$1,0)+1,FALSE)</f>
        <v>該当のクエスト(99-9)</v>
      </c>
      <c r="I121" s="83" t="s">
        <v>2129</v>
      </c>
      <c r="J121" s="54" t="str">
        <f ca="1">IF(F121="specific_unit_aquired_count",SUBSTITUTE(G121,"x",VLOOKUP(INT($I121),OFFSET([3]characters!$A$2,0,0,COUNTA([3]characters!$A:$A),MATCH(J$1,[3]characters!$2:$2,0)-MATCH("character_id",[3]characters!$2:$2,0)+1),MATCH(J$1,[3]characters!$2:$2,0)-MATCH("character_id",[3]characters!$2:$2,0)+1,FALSE)),IF(F121="specific_quest_clear",VLOOKUP(SUBSTITUTE(I121,"-","_"),OFFSET([2]stages!$A$2,0,0,COUNTA([2]stages!$A:$A),MATCH("name",[2]stages!$2:$2,0)-MATCH("temp_stage",[2]stages!$2:$2,0)+1),MATCH("name",[2]stages!$2:$2,0)-MATCH("temp_stage",[2]stages!$2:$2,0)+1,FALSE),""))</f>
        <v>ハップルチャレンジ</v>
      </c>
      <c r="K121" s="15" t="s">
        <v>352</v>
      </c>
      <c r="L121" s="15" t="s">
        <v>352</v>
      </c>
      <c r="M121" s="26"/>
      <c r="N121" s="26"/>
    </row>
    <row r="122" spans="1:14" ht="21" customHeight="1" x14ac:dyDescent="0.2">
      <c r="A122" s="130" t="s">
        <v>2107</v>
      </c>
      <c r="B122" s="21" t="s">
        <v>792</v>
      </c>
      <c r="C122" s="134" t="s">
        <v>2154</v>
      </c>
      <c r="D122" s="26" t="str">
        <f ca="1">IFERROR(VLOOKUP($A122,OFFSET(achievement_criterion_id,0,0,COUNTA($A:$A),MATCH(D$1,missions!$2:$2,0)-MATCH($A$1,missions!$2:$2,0)+1),MATCH(D$1,missions!$2:$2,0)-MATCH($A$1,missions!$2:$2,0)+1,FALSE),IFERROR(VLOOKUP($A122,OFFSET(weekly_achievement_criterion_id,0,0,COUNTA($A:$A),MATCH(D$1,weekly_missions!$2:$2,0)-MATCH($A$1,weekly_missions!$2:$2,0)+1),MATCH(D$1,weekly_missions!$2:$2,0)-MATCH($A$1,weekly_missions!$2:$2,0)+1,FALSE),"＊missions 未設定＊"))</f>
        <v>水のメタルジェントル x 3</v>
      </c>
      <c r="E122" s="27" t="s">
        <v>352</v>
      </c>
      <c r="F122" s="17" t="s">
        <v>310</v>
      </c>
      <c r="G122" s="27" t="s">
        <v>765</v>
      </c>
      <c r="H122" s="26" t="str">
        <f ca="1">VLOOKUP($F122,OFFSET(達成条件!$A$1,0,0,COUNTA($A:$A),MATCH(H$1,達成条件!$1:$1,0)-MATCH($F$1,達成条件!$1:$1,0)+1),MATCH(H$1,達成条件!$1:$1,0)-MATCH($F$1,達成条件!$1:$1,0)+1,FALSE)</f>
        <v>該当のクエスト(99-9)</v>
      </c>
      <c r="I122" s="83" t="s">
        <v>2128</v>
      </c>
      <c r="J122" s="54" t="str">
        <f ca="1">IF(F122="specific_unit_aquired_count",SUBSTITUTE(G122,"x",VLOOKUP(INT($I122),OFFSET([3]characters!$A$2,0,0,COUNTA([3]characters!$A:$A),MATCH(J$1,[3]characters!$2:$2,0)-MATCH("character_id",[3]characters!$2:$2,0)+1),MATCH(J$1,[3]characters!$2:$2,0)-MATCH("character_id",[3]characters!$2:$2,0)+1,FALSE)),IF(F122="specific_quest_clear",VLOOKUP(SUBSTITUTE(I122,"-","_"),OFFSET([2]stages!$A$2,0,0,COUNTA([2]stages!$A:$A),MATCH("name",[2]stages!$2:$2,0)-MATCH("temp_stage",[2]stages!$2:$2,0)+1),MATCH("name",[2]stages!$2:$2,0)-MATCH("temp_stage",[2]stages!$2:$2,0)+1,FALSE),""))</f>
        <v>【初級】雪の歌姫</v>
      </c>
      <c r="K122" s="15" t="s">
        <v>352</v>
      </c>
      <c r="L122" s="15" t="s">
        <v>352</v>
      </c>
      <c r="M122" s="26"/>
      <c r="N122" s="26"/>
    </row>
    <row r="123" spans="1:14" ht="21" customHeight="1" x14ac:dyDescent="0.2">
      <c r="A123" s="130" t="s">
        <v>2112</v>
      </c>
      <c r="B123" s="21" t="s">
        <v>792</v>
      </c>
      <c r="C123" s="133" t="s">
        <v>2155</v>
      </c>
      <c r="D123" s="26" t="str">
        <f ca="1">IFERROR(VLOOKUP($A123,OFFSET(achievement_criterion_id,0,0,COUNTA($A:$A),MATCH(D$1,missions!$2:$2,0)-MATCH($A$1,missions!$2:$2,0)+1),MATCH(D$1,missions!$2:$2,0)-MATCH($A$1,missions!$2:$2,0)+1,FALSE),IFERROR(VLOOKUP($A123,OFFSET(weekly_achievement_criterion_id,0,0,COUNTA($A:$A),MATCH(D$1,weekly_missions!$2:$2,0)-MATCH($A$1,weekly_missions!$2:$2,0)+1),MATCH(D$1,weekly_missions!$2:$2,0)-MATCH($A$1,weekly_missions!$2:$2,0)+1,FALSE),"＊missions 未設定＊"))</f>
        <v>ビット x 300000</v>
      </c>
      <c r="E123" s="27" t="s">
        <v>352</v>
      </c>
      <c r="F123" s="17" t="s">
        <v>310</v>
      </c>
      <c r="G123" s="27" t="s">
        <v>765</v>
      </c>
      <c r="H123" s="26" t="str">
        <f ca="1">VLOOKUP($F123,OFFSET(達成条件!$A$1,0,0,COUNTA($A:$A),MATCH(H$1,達成条件!$1:$1,0)-MATCH($F$1,達成条件!$1:$1,0)+1),MATCH(H$1,達成条件!$1:$1,0)-MATCH($F$1,達成条件!$1:$1,0)+1,FALSE)</f>
        <v>該当のクエスト(99-9)</v>
      </c>
      <c r="I123" s="83" t="s">
        <v>2132</v>
      </c>
      <c r="J123" s="54" t="str">
        <f ca="1">IF(F123="specific_unit_aquired_count",SUBSTITUTE(G123,"x",VLOOKUP(INT($I123),OFFSET([3]characters!$A$2,0,0,COUNTA([3]characters!$A:$A),MATCH(J$1,[3]characters!$2:$2,0)-MATCH("character_id",[3]characters!$2:$2,0)+1),MATCH(J$1,[3]characters!$2:$2,0)-MATCH("character_id",[3]characters!$2:$2,0)+1,FALSE)),IF(F123="specific_quest_clear",VLOOKUP(SUBSTITUTE(I123,"-","_"),OFFSET([2]stages!$A$2,0,0,COUNTA([2]stages!$A:$A),MATCH("name",[2]stages!$2:$2,0)-MATCH("temp_stage",[2]stages!$2:$2,0)+1),MATCH("name",[2]stages!$2:$2,0)-MATCH("temp_stage",[2]stages!$2:$2,0)+1,FALSE),""))</f>
        <v>【中級】雪の歌姫</v>
      </c>
      <c r="K123" s="15" t="s">
        <v>352</v>
      </c>
      <c r="L123" s="15" t="s">
        <v>352</v>
      </c>
      <c r="M123" s="26"/>
      <c r="N123" s="26"/>
    </row>
    <row r="124" spans="1:14" ht="21" customHeight="1" x14ac:dyDescent="0.2">
      <c r="A124" s="130" t="s">
        <v>2113</v>
      </c>
      <c r="B124" s="21" t="s">
        <v>792</v>
      </c>
      <c r="C124" s="132" t="s">
        <v>2168</v>
      </c>
      <c r="D124" s="26" t="str">
        <f ca="1">IFERROR(VLOOKUP($A124,OFFSET(achievement_criterion_id,0,0,COUNTA($A:$A),MATCH(D$1,missions!$2:$2,0)-MATCH($A$1,missions!$2:$2,0)+1),MATCH(D$1,missions!$2:$2,0)-MATCH($A$1,missions!$2:$2,0)+1,FALSE),IFERROR(VLOOKUP($A124,OFFSET(weekly_achievement_criterion_id,0,0,COUNTA($A:$A),MATCH(D$1,weekly_missions!$2:$2,0)-MATCH($A$1,weekly_missions!$2:$2,0)+1),MATCH(D$1,weekly_missions!$2:$2,0)-MATCH($A$1,weekly_missions!$2:$2,0)+1,FALSE),"＊missions 未設定＊"))</f>
        <v>メガ秘術の果実 x 1</v>
      </c>
      <c r="E124" s="27" t="s">
        <v>352</v>
      </c>
      <c r="F124" s="17" t="s">
        <v>310</v>
      </c>
      <c r="G124" s="27" t="s">
        <v>765</v>
      </c>
      <c r="H124" s="26" t="str">
        <f ca="1">VLOOKUP($F124,OFFSET(達成条件!$A$1,0,0,COUNTA($A:$A),MATCH(H$1,達成条件!$1:$1,0)-MATCH($F$1,達成条件!$1:$1,0)+1),MATCH(H$1,達成条件!$1:$1,0)-MATCH($F$1,達成条件!$1:$1,0)+1,FALSE)</f>
        <v>該当のクエスト(99-9)</v>
      </c>
      <c r="I124" s="83" t="s">
        <v>2133</v>
      </c>
      <c r="J124" s="54" t="str">
        <f ca="1">IF(F124="specific_unit_aquired_count",SUBSTITUTE(G124,"x",VLOOKUP(INT($I124),OFFSET([3]characters!$A$2,0,0,COUNTA([3]characters!$A:$A),MATCH(J$1,[3]characters!$2:$2,0)-MATCH("character_id",[3]characters!$2:$2,0)+1),MATCH(J$1,[3]characters!$2:$2,0)-MATCH("character_id",[3]characters!$2:$2,0)+1,FALSE)),IF(F124="specific_quest_clear",VLOOKUP(SUBSTITUTE(I124,"-","_"),OFFSET([2]stages!$A$2,0,0,COUNTA([2]stages!$A:$A),MATCH("name",[2]stages!$2:$2,0)-MATCH("temp_stage",[2]stages!$2:$2,0)+1),MATCH("name",[2]stages!$2:$2,0)-MATCH("temp_stage",[2]stages!$2:$2,0)+1,FALSE),""))</f>
        <v>【上級】雪の歌姫</v>
      </c>
      <c r="K124" s="15" t="s">
        <v>352</v>
      </c>
      <c r="L124" s="15" t="s">
        <v>352</v>
      </c>
      <c r="M124" s="26"/>
      <c r="N124" s="26"/>
    </row>
    <row r="125" spans="1:14" ht="21" customHeight="1" x14ac:dyDescent="0.2">
      <c r="A125" s="130" t="s">
        <v>2114</v>
      </c>
      <c r="B125" s="21" t="s">
        <v>792</v>
      </c>
      <c r="C125" s="134" t="s">
        <v>2167</v>
      </c>
      <c r="D125" s="26" t="str">
        <f ca="1">IFERROR(VLOOKUP($A125,OFFSET(achievement_criterion_id,0,0,COUNTA($A:$A),MATCH(D$1,missions!$2:$2,0)-MATCH($A$1,missions!$2:$2,0)+1),MATCH(D$1,missions!$2:$2,0)-MATCH($A$1,missions!$2:$2,0)+1,FALSE),IFERROR(VLOOKUP($A125,OFFSET(weekly_achievement_criterion_id,0,0,COUNTA($A:$A),MATCH(D$1,weekly_missions!$2:$2,0)-MATCH($A$1,weekly_missions!$2:$2,0)+1),MATCH(D$1,weekly_missions!$2:$2,0)-MATCH($A$1,weekly_missions!$2:$2,0)+1,FALSE),"＊missions 未設定＊"))</f>
        <v>メガ秘術の果実 x 1</v>
      </c>
      <c r="E125" s="27" t="s">
        <v>352</v>
      </c>
      <c r="F125" s="17" t="s">
        <v>310</v>
      </c>
      <c r="G125" s="27" t="s">
        <v>765</v>
      </c>
      <c r="H125" s="26" t="str">
        <f ca="1">VLOOKUP($F125,OFFSET(達成条件!$A$1,0,0,COUNTA($A:$A),MATCH(H$1,達成条件!$1:$1,0)-MATCH($F$1,達成条件!$1:$1,0)+1),MATCH(H$1,達成条件!$1:$1,0)-MATCH($F$1,達成条件!$1:$1,0)+1,FALSE)</f>
        <v>該当のクエスト(99-9)</v>
      </c>
      <c r="I125" s="83" t="s">
        <v>2134</v>
      </c>
      <c r="J125" s="54" t="str">
        <f ca="1">IF(F125="specific_unit_aquired_count",SUBSTITUTE(G125,"x",VLOOKUP(INT($I125),OFFSET([3]characters!$A$2,0,0,COUNTA([3]characters!$A:$A),MATCH(J$1,[3]characters!$2:$2,0)-MATCH("character_id",[3]characters!$2:$2,0)+1),MATCH(J$1,[3]characters!$2:$2,0)-MATCH("character_id",[3]characters!$2:$2,0)+1,FALSE)),IF(F125="specific_quest_clear",VLOOKUP(SUBSTITUTE(I125,"-","_"),OFFSET([2]stages!$A$2,0,0,COUNTA([2]stages!$A:$A),MATCH("name",[2]stages!$2:$2,0)-MATCH("temp_stage",[2]stages!$2:$2,0)+1),MATCH("name",[2]stages!$2:$2,0)-MATCH("temp_stage",[2]stages!$2:$2,0)+1,FALSE),""))</f>
        <v>【超級】雪の歌姫</v>
      </c>
      <c r="K125" s="15" t="s">
        <v>352</v>
      </c>
      <c r="L125" s="15" t="s">
        <v>352</v>
      </c>
      <c r="M125" s="26"/>
      <c r="N125" s="26"/>
    </row>
    <row r="126" spans="1:14" ht="21" customHeight="1" x14ac:dyDescent="0.2">
      <c r="A126" s="130" t="s">
        <v>2115</v>
      </c>
      <c r="B126" s="21" t="s">
        <v>792</v>
      </c>
      <c r="C126" s="134" t="s">
        <v>2156</v>
      </c>
      <c r="D126" s="26" t="str">
        <f ca="1">IFERROR(VLOOKUP($A126,OFFSET(achievement_criterion_id,0,0,COUNTA($A:$A),MATCH(D$1,missions!$2:$2,0)-MATCH($A$1,missions!$2:$2,0)+1),MATCH(D$1,missions!$2:$2,0)-MATCH($A$1,missions!$2:$2,0)+1,FALSE),IFERROR(VLOOKUP($A126,OFFSET(weekly_achievement_criterion_id,0,0,COUNTA($A:$A),MATCH(D$1,weekly_missions!$2:$2,0)-MATCH($A$1,weekly_missions!$2:$2,0)+1),MATCH(D$1,weekly_missions!$2:$2,0)-MATCH($A$1,weekly_missions!$2:$2,0)+1,FALSE),"＊missions 未設定＊"))</f>
        <v>雪ミク2016 x 1</v>
      </c>
      <c r="E126" s="27" t="s">
        <v>352</v>
      </c>
      <c r="F126" s="17" t="s">
        <v>310</v>
      </c>
      <c r="G126" s="27" t="s">
        <v>765</v>
      </c>
      <c r="H126" s="26" t="str">
        <f ca="1">VLOOKUP($F126,OFFSET(達成条件!$A$1,0,0,COUNTA($A:$A),MATCH(H$1,達成条件!$1:$1,0)-MATCH($F$1,達成条件!$1:$1,0)+1),MATCH(H$1,達成条件!$1:$1,0)-MATCH($F$1,達成条件!$1:$1,0)+1,FALSE)</f>
        <v>該当のクエスト(99-9)</v>
      </c>
      <c r="I126" s="83" t="s">
        <v>2135</v>
      </c>
      <c r="J126" s="54" t="str">
        <f ca="1">IF(F126="specific_unit_aquired_count",SUBSTITUTE(G126,"x",VLOOKUP(INT($I126),OFFSET([3]characters!$A$2,0,0,COUNTA([3]characters!$A:$A),MATCH(J$1,[3]characters!$2:$2,0)-MATCH("character_id",[3]characters!$2:$2,0)+1),MATCH(J$1,[3]characters!$2:$2,0)-MATCH("character_id",[3]characters!$2:$2,0)+1,FALSE)),IF(F126="specific_quest_clear",VLOOKUP(SUBSTITUTE(I126,"-","_"),OFFSET([2]stages!$A$2,0,0,COUNTA([2]stages!$A:$A),MATCH("name",[2]stages!$2:$2,0)-MATCH("temp_stage",[2]stages!$2:$2,0)+1),MATCH("name",[2]stages!$2:$2,0)-MATCH("temp_stage",[2]stages!$2:$2,0)+1,FALSE),""))</f>
        <v>【超絶級】雪の歌姫</v>
      </c>
      <c r="K126" s="15" t="s">
        <v>352</v>
      </c>
      <c r="L126" s="15" t="s">
        <v>352</v>
      </c>
      <c r="M126" s="26"/>
      <c r="N126" s="26"/>
    </row>
    <row r="127" spans="1:14" ht="21" customHeight="1" x14ac:dyDescent="0.2">
      <c r="A127" s="130" t="s">
        <v>2116</v>
      </c>
      <c r="B127" s="21" t="s">
        <v>792</v>
      </c>
      <c r="C127" s="134" t="s">
        <v>2157</v>
      </c>
      <c r="D127" s="26" t="str">
        <f ca="1">IFERROR(VLOOKUP($A127,OFFSET(achievement_criterion_id,0,0,COUNTA($A:$A),MATCH(D$1,missions!$2:$2,0)-MATCH($A$1,missions!$2:$2,0)+1),MATCH(D$1,missions!$2:$2,0)-MATCH($A$1,missions!$2:$2,0)+1,FALSE),IFERROR(VLOOKUP($A127,OFFSET(weekly_achievement_criterion_id,0,0,COUNTA($A:$A),MATCH(D$1,weekly_missions!$2:$2,0)-MATCH($A$1,weekly_missions!$2:$2,0)+1),MATCH(D$1,weekly_missions!$2:$2,0)-MATCH($A$1,weekly_missions!$2:$2,0)+1,FALSE),"＊missions 未設定＊"))</f>
        <v>森のメタルジェントル x 3</v>
      </c>
      <c r="E127" s="27" t="s">
        <v>352</v>
      </c>
      <c r="F127" s="17" t="s">
        <v>310</v>
      </c>
      <c r="G127" s="27" t="s">
        <v>765</v>
      </c>
      <c r="H127" s="26" t="str">
        <f ca="1">VLOOKUP($F127,OFFSET(達成条件!$A$1,0,0,COUNTA($A:$A),MATCH(H$1,達成条件!$1:$1,0)-MATCH($F$1,達成条件!$1:$1,0)+1),MATCH(H$1,達成条件!$1:$1,0)-MATCH($F$1,達成条件!$1:$1,0)+1,FALSE)</f>
        <v>該当のクエスト(99-9)</v>
      </c>
      <c r="I127" s="83" t="s">
        <v>2137</v>
      </c>
      <c r="J127" s="54" t="str">
        <f ca="1">IF(F127="specific_unit_aquired_count",SUBSTITUTE(G127,"x",VLOOKUP(INT($I127),OFFSET([3]characters!$A$2,0,0,COUNTA([3]characters!$A:$A),MATCH(J$1,[3]characters!$2:$2,0)-MATCH("character_id",[3]characters!$2:$2,0)+1),MATCH(J$1,[3]characters!$2:$2,0)-MATCH("character_id",[3]characters!$2:$2,0)+1,FALSE)),IF(F127="specific_quest_clear",VLOOKUP(SUBSTITUTE(I127,"-","_"),OFFSET([2]stages!$A$2,0,0,COUNTA([2]stages!$A:$A),MATCH("name",[2]stages!$2:$2,0)-MATCH("temp_stage",[2]stages!$2:$2,0)+1),MATCH("name",[2]stages!$2:$2,0)-MATCH("temp_stage",[2]stages!$2:$2,0)+1,FALSE),""))</f>
        <v>【初級】星空の歌姫</v>
      </c>
      <c r="K127" s="15" t="s">
        <v>352</v>
      </c>
      <c r="L127" s="15" t="s">
        <v>352</v>
      </c>
      <c r="M127" s="26"/>
      <c r="N127" s="26"/>
    </row>
    <row r="128" spans="1:14" ht="21" customHeight="1" x14ac:dyDescent="0.2">
      <c r="A128" s="130" t="s">
        <v>2117</v>
      </c>
      <c r="B128" s="21" t="s">
        <v>792</v>
      </c>
      <c r="C128" s="134" t="s">
        <v>2158</v>
      </c>
      <c r="D128" s="26" t="str">
        <f ca="1">IFERROR(VLOOKUP($A128,OFFSET(achievement_criterion_id,0,0,COUNTA($A:$A),MATCH(D$1,missions!$2:$2,0)-MATCH($A$1,missions!$2:$2,0)+1),MATCH(D$1,missions!$2:$2,0)-MATCH($A$1,missions!$2:$2,0)+1,FALSE),IFERROR(VLOOKUP($A128,OFFSET(weekly_achievement_criterion_id,0,0,COUNTA($A:$A),MATCH(D$1,weekly_missions!$2:$2,0)-MATCH($A$1,weekly_missions!$2:$2,0)+1),MATCH(D$1,weekly_missions!$2:$2,0)-MATCH($A$1,weekly_missions!$2:$2,0)+1,FALSE),"＊missions 未設定＊"))</f>
        <v>ビット x 300000</v>
      </c>
      <c r="E128" s="27" t="s">
        <v>352</v>
      </c>
      <c r="F128" s="17" t="s">
        <v>310</v>
      </c>
      <c r="G128" s="27" t="s">
        <v>765</v>
      </c>
      <c r="H128" s="26" t="str">
        <f ca="1">VLOOKUP($F128,OFFSET(達成条件!$A$1,0,0,COUNTA($A:$A),MATCH(H$1,達成条件!$1:$1,0)-MATCH($F$1,達成条件!$1:$1,0)+1),MATCH(H$1,達成条件!$1:$1,0)-MATCH($F$1,達成条件!$1:$1,0)+1,FALSE)</f>
        <v>該当のクエスト(99-9)</v>
      </c>
      <c r="I128" s="83" t="s">
        <v>2138</v>
      </c>
      <c r="J128" s="54" t="str">
        <f ca="1">IF(F128="specific_unit_aquired_count",SUBSTITUTE(G128,"x",VLOOKUP(INT($I128),OFFSET([3]characters!$A$2,0,0,COUNTA([3]characters!$A:$A),MATCH(J$1,[3]characters!$2:$2,0)-MATCH("character_id",[3]characters!$2:$2,0)+1),MATCH(J$1,[3]characters!$2:$2,0)-MATCH("character_id",[3]characters!$2:$2,0)+1,FALSE)),IF(F128="specific_quest_clear",VLOOKUP(SUBSTITUTE(I128,"-","_"),OFFSET([2]stages!$A$2,0,0,COUNTA([2]stages!$A:$A),MATCH("name",[2]stages!$2:$2,0)-MATCH("temp_stage",[2]stages!$2:$2,0)+1),MATCH("name",[2]stages!$2:$2,0)-MATCH("temp_stage",[2]stages!$2:$2,0)+1,FALSE),""))</f>
        <v>【中級】星空の歌姫</v>
      </c>
      <c r="K128" s="15" t="s">
        <v>352</v>
      </c>
      <c r="L128" s="15" t="s">
        <v>352</v>
      </c>
      <c r="M128" s="26"/>
      <c r="N128" s="26"/>
    </row>
    <row r="129" spans="1:14" ht="21" customHeight="1" x14ac:dyDescent="0.2">
      <c r="A129" s="130" t="s">
        <v>2118</v>
      </c>
      <c r="B129" s="21" t="s">
        <v>792</v>
      </c>
      <c r="C129" s="134" t="s">
        <v>2159</v>
      </c>
      <c r="D129" s="26" t="str">
        <f ca="1">IFERROR(VLOOKUP($A129,OFFSET(achievement_criterion_id,0,0,COUNTA($A:$A),MATCH(D$1,missions!$2:$2,0)-MATCH($A$1,missions!$2:$2,0)+1),MATCH(D$1,missions!$2:$2,0)-MATCH($A$1,missions!$2:$2,0)+1,FALSE),IFERROR(VLOOKUP($A129,OFFSET(weekly_achievement_criterion_id,0,0,COUNTA($A:$A),MATCH(D$1,weekly_missions!$2:$2,0)-MATCH($A$1,weekly_missions!$2:$2,0)+1),MATCH(D$1,weekly_missions!$2:$2,0)-MATCH($A$1,weekly_missions!$2:$2,0)+1,FALSE),"＊missions 未設定＊"))</f>
        <v>メガ秘術の果実 x 1</v>
      </c>
      <c r="E129" s="27" t="s">
        <v>352</v>
      </c>
      <c r="F129" s="17" t="s">
        <v>310</v>
      </c>
      <c r="G129" s="27" t="s">
        <v>765</v>
      </c>
      <c r="H129" s="26" t="str">
        <f ca="1">VLOOKUP($F129,OFFSET(達成条件!$A$1,0,0,COUNTA($A:$A),MATCH(H$1,達成条件!$1:$1,0)-MATCH($F$1,達成条件!$1:$1,0)+1),MATCH(H$1,達成条件!$1:$1,0)-MATCH($F$1,達成条件!$1:$1,0)+1,FALSE)</f>
        <v>該当のクエスト(99-9)</v>
      </c>
      <c r="I129" s="83" t="s">
        <v>2139</v>
      </c>
      <c r="J129" s="54" t="str">
        <f ca="1">IF(F129="specific_unit_aquired_count",SUBSTITUTE(G129,"x",VLOOKUP(INT($I129),OFFSET([3]characters!$A$2,0,0,COUNTA([3]characters!$A:$A),MATCH(J$1,[3]characters!$2:$2,0)-MATCH("character_id",[3]characters!$2:$2,0)+1),MATCH(J$1,[3]characters!$2:$2,0)-MATCH("character_id",[3]characters!$2:$2,0)+1,FALSE)),IF(F129="specific_quest_clear",VLOOKUP(SUBSTITUTE(I129,"-","_"),OFFSET([2]stages!$A$2,0,0,COUNTA([2]stages!$A:$A),MATCH("name",[2]stages!$2:$2,0)-MATCH("temp_stage",[2]stages!$2:$2,0)+1),MATCH("name",[2]stages!$2:$2,0)-MATCH("temp_stage",[2]stages!$2:$2,0)+1,FALSE),""))</f>
        <v>【上級】星空の歌姫</v>
      </c>
      <c r="K129" s="15" t="s">
        <v>352</v>
      </c>
      <c r="L129" s="15" t="s">
        <v>352</v>
      </c>
      <c r="M129" s="26"/>
      <c r="N129" s="26"/>
    </row>
    <row r="130" spans="1:14" ht="21" customHeight="1" x14ac:dyDescent="0.2">
      <c r="A130" s="130" t="s">
        <v>2119</v>
      </c>
      <c r="B130" s="21" t="s">
        <v>792</v>
      </c>
      <c r="C130" s="134" t="s">
        <v>2160</v>
      </c>
      <c r="D130" s="26" t="str">
        <f ca="1">IFERROR(VLOOKUP($A130,OFFSET(achievement_criterion_id,0,0,COUNTA($A:$A),MATCH(D$1,missions!$2:$2,0)-MATCH($A$1,missions!$2:$2,0)+1),MATCH(D$1,missions!$2:$2,0)-MATCH($A$1,missions!$2:$2,0)+1,FALSE),IFERROR(VLOOKUP($A130,OFFSET(weekly_achievement_criterion_id,0,0,COUNTA($A:$A),MATCH(D$1,weekly_missions!$2:$2,0)-MATCH($A$1,weekly_missions!$2:$2,0)+1),MATCH(D$1,weekly_missions!$2:$2,0)-MATCH($A$1,weekly_missions!$2:$2,0)+1,FALSE),"＊missions 未設定＊"))</f>
        <v>メガ秘術の果実 x 1</v>
      </c>
      <c r="E130" s="27" t="s">
        <v>352</v>
      </c>
      <c r="F130" s="17" t="s">
        <v>310</v>
      </c>
      <c r="G130" s="27" t="s">
        <v>765</v>
      </c>
      <c r="H130" s="26" t="str">
        <f ca="1">VLOOKUP($F130,OFFSET(達成条件!$A$1,0,0,COUNTA($A:$A),MATCH(H$1,達成条件!$1:$1,0)-MATCH($F$1,達成条件!$1:$1,0)+1),MATCH(H$1,達成条件!$1:$1,0)-MATCH($F$1,達成条件!$1:$1,0)+1,FALSE)</f>
        <v>該当のクエスト(99-9)</v>
      </c>
      <c r="I130" s="83" t="s">
        <v>2140</v>
      </c>
      <c r="J130" s="54" t="str">
        <f ca="1">IF(F130="specific_unit_aquired_count",SUBSTITUTE(G130,"x",VLOOKUP(INT($I130),OFFSET([3]characters!$A$2,0,0,COUNTA([3]characters!$A:$A),MATCH(J$1,[3]characters!$2:$2,0)-MATCH("character_id",[3]characters!$2:$2,0)+1),MATCH(J$1,[3]characters!$2:$2,0)-MATCH("character_id",[3]characters!$2:$2,0)+1,FALSE)),IF(F130="specific_quest_clear",VLOOKUP(SUBSTITUTE(I130,"-","_"),OFFSET([2]stages!$A$2,0,0,COUNTA([2]stages!$A:$A),MATCH("name",[2]stages!$2:$2,0)-MATCH("temp_stage",[2]stages!$2:$2,0)+1),MATCH("name",[2]stages!$2:$2,0)-MATCH("temp_stage",[2]stages!$2:$2,0)+1,FALSE),""))</f>
        <v>【超級】星空の歌姫</v>
      </c>
      <c r="K130" s="15" t="s">
        <v>352</v>
      </c>
      <c r="L130" s="15" t="s">
        <v>352</v>
      </c>
      <c r="M130" s="26"/>
      <c r="N130" s="26"/>
    </row>
    <row r="131" spans="1:14" ht="21" customHeight="1" x14ac:dyDescent="0.2">
      <c r="A131" s="130" t="s">
        <v>2120</v>
      </c>
      <c r="B131" s="21" t="s">
        <v>792</v>
      </c>
      <c r="C131" s="134" t="s">
        <v>2161</v>
      </c>
      <c r="D131" s="26" t="str">
        <f ca="1">IFERROR(VLOOKUP($A131,OFFSET(achievement_criterion_id,0,0,COUNTA($A:$A),MATCH(D$1,missions!$2:$2,0)-MATCH($A$1,missions!$2:$2,0)+1),MATCH(D$1,missions!$2:$2,0)-MATCH($A$1,missions!$2:$2,0)+1,FALSE),IFERROR(VLOOKUP($A131,OFFSET(weekly_achievement_criterion_id,0,0,COUNTA($A:$A),MATCH(D$1,weekly_missions!$2:$2,0)-MATCH($A$1,weekly_missions!$2:$2,0)+1),MATCH(D$1,weekly_missions!$2:$2,0)-MATCH($A$1,weekly_missions!$2:$2,0)+1,FALSE),"＊missions 未設定＊"))</f>
        <v>リトルハンプティ x 1</v>
      </c>
      <c r="E131" s="27" t="s">
        <v>352</v>
      </c>
      <c r="F131" s="17" t="s">
        <v>310</v>
      </c>
      <c r="G131" s="27" t="s">
        <v>765</v>
      </c>
      <c r="H131" s="26" t="str">
        <f ca="1">VLOOKUP($F131,OFFSET(達成条件!$A$1,0,0,COUNTA($A:$A),MATCH(H$1,達成条件!$1:$1,0)-MATCH($F$1,達成条件!$1:$1,0)+1),MATCH(H$1,達成条件!$1:$1,0)-MATCH($F$1,達成条件!$1:$1,0)+1,FALSE)</f>
        <v>該当のクエスト(99-9)</v>
      </c>
      <c r="I131" s="83" t="s">
        <v>2141</v>
      </c>
      <c r="J131" s="54" t="str">
        <f ca="1">IF(F131="specific_unit_aquired_count",SUBSTITUTE(G131,"x",VLOOKUP(INT($I131),OFFSET([3]characters!$A$2,0,0,COUNTA([3]characters!$A:$A),MATCH(J$1,[3]characters!$2:$2,0)-MATCH("character_id",[3]characters!$2:$2,0)+1),MATCH(J$1,[3]characters!$2:$2,0)-MATCH("character_id",[3]characters!$2:$2,0)+1,FALSE)),IF(F131="specific_quest_clear",VLOOKUP(SUBSTITUTE(I131,"-","_"),OFFSET([2]stages!$A$2,0,0,COUNTA([2]stages!$A:$A),MATCH("name",[2]stages!$2:$2,0)-MATCH("temp_stage",[2]stages!$2:$2,0)+1),MATCH("name",[2]stages!$2:$2,0)-MATCH("temp_stage",[2]stages!$2:$2,0)+1,FALSE),""))</f>
        <v>【超絶級】星空の歌姫</v>
      </c>
      <c r="K131" s="15" t="s">
        <v>352</v>
      </c>
      <c r="L131" s="15" t="s">
        <v>352</v>
      </c>
      <c r="M131" s="26"/>
      <c r="N131" s="26"/>
    </row>
    <row r="132" spans="1:14" ht="21" customHeight="1" x14ac:dyDescent="0.2">
      <c r="A132" s="130" t="s">
        <v>2121</v>
      </c>
      <c r="B132" s="21" t="s">
        <v>792</v>
      </c>
      <c r="C132" s="134" t="s">
        <v>2162</v>
      </c>
      <c r="D132" s="26" t="str">
        <f ca="1">IFERROR(VLOOKUP($A132,OFFSET(achievement_criterion_id,0,0,COUNTA($A:$A),MATCH(D$1,missions!$2:$2,0)-MATCH($A$1,missions!$2:$2,0)+1),MATCH(D$1,missions!$2:$2,0)-MATCH($A$1,missions!$2:$2,0)+1,FALSE),IFERROR(VLOOKUP($A132,OFFSET(weekly_achievement_criterion_id,0,0,COUNTA($A:$A),MATCH(D$1,weekly_missions!$2:$2,0)-MATCH($A$1,weekly_missions!$2:$2,0)+1),MATCH(D$1,weekly_missions!$2:$2,0)-MATCH($A$1,weekly_missions!$2:$2,0)+1,FALSE),"＊missions 未設定＊"))</f>
        <v>雪ミク2014 x 1</v>
      </c>
      <c r="E132" s="27" t="s">
        <v>352</v>
      </c>
      <c r="F132" s="17" t="s">
        <v>310</v>
      </c>
      <c r="G132" s="27" t="s">
        <v>765</v>
      </c>
      <c r="H132" s="26" t="str">
        <f ca="1">VLOOKUP($F132,OFFSET(達成条件!$A$1,0,0,COUNTA($A:$A),MATCH(H$1,達成条件!$1:$1,0)-MATCH($F$1,達成条件!$1:$1,0)+1),MATCH(H$1,達成条件!$1:$1,0)-MATCH($F$1,達成条件!$1:$1,0)+1,FALSE)</f>
        <v>該当のクエスト(99-9)</v>
      </c>
      <c r="I132" s="83" t="s">
        <v>2136</v>
      </c>
      <c r="J132" s="54" t="str">
        <f ca="1">IF(F132="specific_unit_aquired_count",SUBSTITUTE(G132,"x",VLOOKUP(INT($I132),OFFSET([3]characters!$A$2,0,0,COUNTA([3]characters!$A:$A),MATCH(J$1,[3]characters!$2:$2,0)-MATCH("character_id",[3]characters!$2:$2,0)+1),MATCH(J$1,[3]characters!$2:$2,0)-MATCH("character_id",[3]characters!$2:$2,0)+1,FALSE)),IF(F132="specific_quest_clear",VLOOKUP(SUBSTITUTE(I132,"-","_"),OFFSET([2]stages!$A$2,0,0,COUNTA([2]stages!$A:$A),MATCH("name",[2]stages!$2:$2,0)-MATCH("temp_stage",[2]stages!$2:$2,0)+1),MATCH("name",[2]stages!$2:$2,0)-MATCH("temp_stage",[2]stages!$2:$2,0)+1,FALSE),""))</f>
        <v>【ウィザード級】熱唱！初音ミクV3</v>
      </c>
      <c r="K132" s="15" t="s">
        <v>352</v>
      </c>
      <c r="L132" s="15" t="s">
        <v>352</v>
      </c>
      <c r="M132" s="26"/>
      <c r="N132" s="26"/>
    </row>
    <row r="133" spans="1:14" ht="21" customHeight="1" x14ac:dyDescent="0.2">
      <c r="A133" s="130" t="s">
        <v>2122</v>
      </c>
      <c r="B133" s="21" t="s">
        <v>792</v>
      </c>
      <c r="C133" s="134" t="s">
        <v>2163</v>
      </c>
      <c r="D133" s="26" t="str">
        <f ca="1">IFERROR(VLOOKUP($A133,OFFSET(achievement_criterion_id,0,0,COUNTA($A:$A),MATCH(D$1,missions!$2:$2,0)-MATCH($A$1,missions!$2:$2,0)+1),MATCH(D$1,missions!$2:$2,0)-MATCH($A$1,missions!$2:$2,0)+1,FALSE),IFERROR(VLOOKUP($A133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33" s="27" t="s">
        <v>352</v>
      </c>
      <c r="F133" s="17" t="s">
        <v>310</v>
      </c>
      <c r="G133" s="27" t="s">
        <v>765</v>
      </c>
      <c r="H133" s="26" t="str">
        <f ca="1">VLOOKUP($F133,OFFSET(達成条件!$A$1,0,0,COUNTA($A:$A),MATCH(H$1,達成条件!$1:$1,0)-MATCH($F$1,達成条件!$1:$1,0)+1),MATCH(H$1,達成条件!$1:$1,0)-MATCH($F$1,達成条件!$1:$1,0)+1,FALSE)</f>
        <v>該当のクエスト(99-9)</v>
      </c>
      <c r="I133" s="83" t="s">
        <v>2145</v>
      </c>
      <c r="J133" s="54" t="str">
        <f ca="1">IF(F133="specific_unit_aquired_count",SUBSTITUTE(G133,"x",VLOOKUP(INT($I133),OFFSET([3]characters!$A$2,0,0,COUNTA([3]characters!$A:$A),MATCH(J$1,[3]characters!$2:$2,0)-MATCH("character_id",[3]characters!$2:$2,0)+1),MATCH(J$1,[3]characters!$2:$2,0)-MATCH("character_id",[3]characters!$2:$2,0)+1,FALSE)),IF(F133="specific_quest_clear",VLOOKUP(SUBSTITUTE(I133,"-","_"),OFFSET([2]stages!$A$2,0,0,COUNTA([2]stages!$A:$A),MATCH("name",[2]stages!$2:$2,0)-MATCH("temp_stage",[2]stages!$2:$2,0)+1),MATCH("name",[2]stages!$2:$2,0)-MATCH("temp_stage",[2]stages!$2:$2,0)+1,FALSE),""))</f>
        <v>【ウィザード級】電子音協奏曲</v>
      </c>
      <c r="K133" s="15" t="s">
        <v>352</v>
      </c>
      <c r="L133" s="15" t="s">
        <v>352</v>
      </c>
      <c r="M133" s="26"/>
      <c r="N133" s="26"/>
    </row>
    <row r="134" spans="1:14" ht="21" customHeight="1" x14ac:dyDescent="0.2">
      <c r="A134" s="130" t="s">
        <v>2123</v>
      </c>
      <c r="B134" s="21" t="s">
        <v>792</v>
      </c>
      <c r="C134" s="134" t="s">
        <v>2164</v>
      </c>
      <c r="D134" s="26" t="str">
        <f ca="1">IFERROR(VLOOKUP($A134,OFFSET(achievement_criterion_id,0,0,COUNTA($A:$A),MATCH(D$1,missions!$2:$2,0)-MATCH($A$1,missions!$2:$2,0)+1),MATCH(D$1,missions!$2:$2,0)-MATCH($A$1,missions!$2:$2,0)+1,FALSE),IFERROR(VLOOKUP($A134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34" s="27" t="s">
        <v>352</v>
      </c>
      <c r="F134" s="17" t="s">
        <v>310</v>
      </c>
      <c r="G134" s="27" t="s">
        <v>765</v>
      </c>
      <c r="H134" s="26" t="str">
        <f ca="1">VLOOKUP($F134,OFFSET(達成条件!$A$1,0,0,COUNTA($A:$A),MATCH(H$1,達成条件!$1:$1,0)-MATCH($F$1,達成条件!$1:$1,0)+1),MATCH(H$1,達成条件!$1:$1,0)-MATCH($F$1,達成条件!$1:$1,0)+1,FALSE)</f>
        <v>該当のクエスト(99-9)</v>
      </c>
      <c r="I134" s="83" t="s">
        <v>2146</v>
      </c>
      <c r="J134" s="54" t="str">
        <f ca="1">IF(F134="specific_unit_aquired_count",SUBSTITUTE(G134,"x",VLOOKUP(INT($I134),OFFSET([3]characters!$A$2,0,0,COUNTA([3]characters!$A:$A),MATCH(J$1,[3]characters!$2:$2,0)-MATCH("character_id",[3]characters!$2:$2,0)+1),MATCH(J$1,[3]characters!$2:$2,0)-MATCH("character_id",[3]characters!$2:$2,0)+1,FALSE)),IF(F134="specific_quest_clear",VLOOKUP(SUBSTITUTE(I134,"-","_"),OFFSET([2]stages!$A$2,0,0,COUNTA([2]stages!$A:$A),MATCH("name",[2]stages!$2:$2,0)-MATCH("temp_stage",[2]stages!$2:$2,0)+1),MATCH("name",[2]stages!$2:$2,0)-MATCH("temp_stage",[2]stages!$2:$2,0)+1,FALSE),""))</f>
        <v>【ｳｨｻﾞ】走り抜けろ！ALICE GP</v>
      </c>
      <c r="K134" s="15" t="s">
        <v>352</v>
      </c>
      <c r="L134" s="15" t="s">
        <v>352</v>
      </c>
      <c r="M134" s="26"/>
      <c r="N134" s="26"/>
    </row>
    <row r="135" spans="1:14" ht="21" customHeight="1" x14ac:dyDescent="0.2">
      <c r="A135" s="130" t="s">
        <v>2124</v>
      </c>
      <c r="B135" s="21" t="s">
        <v>792</v>
      </c>
      <c r="C135" s="134" t="s">
        <v>2165</v>
      </c>
      <c r="D135" s="26" t="str">
        <f ca="1">IFERROR(VLOOKUP($A135,OFFSET(achievement_criterion_id,0,0,COUNTA($A:$A),MATCH(D$1,missions!$2:$2,0)-MATCH($A$1,missions!$2:$2,0)+1),MATCH(D$1,missions!$2:$2,0)-MATCH($A$1,missions!$2:$2,0)+1,FALSE),IFERROR(VLOOKUP($A135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35" s="27" t="s">
        <v>352</v>
      </c>
      <c r="F135" s="17" t="s">
        <v>310</v>
      </c>
      <c r="G135" s="27" t="s">
        <v>765</v>
      </c>
      <c r="H135" s="26" t="str">
        <f ca="1">VLOOKUP($F135,OFFSET(達成条件!$A$1,0,0,COUNTA($A:$A),MATCH(H$1,達成条件!$1:$1,0)-MATCH($F$1,達成条件!$1:$1,0)+1),MATCH(H$1,達成条件!$1:$1,0)-MATCH($F$1,達成条件!$1:$1,0)+1,FALSE)</f>
        <v>該当のクエスト(99-9)</v>
      </c>
      <c r="I135" s="83" t="s">
        <v>2147</v>
      </c>
      <c r="J135" s="54" t="str">
        <f ca="1">IF(F135="specific_unit_aquired_count",SUBSTITUTE(G135,"x",VLOOKUP(INT($I135),OFFSET([3]characters!$A$2,0,0,COUNTA([3]characters!$A:$A),MATCH(J$1,[3]characters!$2:$2,0)-MATCH("character_id",[3]characters!$2:$2,0)+1),MATCH(J$1,[3]characters!$2:$2,0)-MATCH("character_id",[3]characters!$2:$2,0)+1,FALSE)),IF(F135="specific_quest_clear",VLOOKUP(SUBSTITUTE(I135,"-","_"),OFFSET([2]stages!$A$2,0,0,COUNTA([2]stages!$A:$A),MATCH("name",[2]stages!$2:$2,0)-MATCH("temp_stage",[2]stages!$2:$2,0)+1),MATCH("name",[2]stages!$2:$2,0)-MATCH("temp_stage",[2]stages!$2:$2,0)+1,FALSE),""))</f>
        <v>【ｳｨｻﾞ】秘密のイベント潜入作戦</v>
      </c>
      <c r="K135" s="15" t="s">
        <v>352</v>
      </c>
      <c r="L135" s="15" t="s">
        <v>352</v>
      </c>
      <c r="M135" s="26"/>
      <c r="N135" s="26"/>
    </row>
    <row r="136" spans="1:14" ht="21" customHeight="1" x14ac:dyDescent="0.2">
      <c r="A136" s="130" t="s">
        <v>2125</v>
      </c>
      <c r="B136" s="21" t="s">
        <v>792</v>
      </c>
      <c r="C136" s="131" t="s">
        <v>2166</v>
      </c>
      <c r="D136" s="26" t="str">
        <f ca="1">IFERROR(VLOOKUP($A136,OFFSET(achievement_criterion_id,0,0,COUNTA($A:$A),MATCH(D$1,missions!$2:$2,0)-MATCH($A$1,missions!$2:$2,0)+1),MATCH(D$1,missions!$2:$2,0)-MATCH($A$1,missions!$2:$2,0)+1,FALSE),IFERROR(VLOOKUP($A136,OFFSET(weekly_achievement_criterion_id,0,0,COUNTA($A:$A),MATCH(D$1,weekly_missions!$2:$2,0)-MATCH($A$1,weekly_missions!$2:$2,0)+1),MATCH(D$1,weekly_missions!$2:$2,0)-MATCH($A$1,weekly_missions!$2:$2,0)+1,FALSE),"＊missions 未設定＊"))</f>
        <v>ポリゴン x 3</v>
      </c>
      <c r="E136" s="27" t="s">
        <v>352</v>
      </c>
      <c r="F136" s="17" t="s">
        <v>310</v>
      </c>
      <c r="G136" s="27" t="s">
        <v>765</v>
      </c>
      <c r="H136" s="26" t="str">
        <f ca="1">VLOOKUP($F136,OFFSET(達成条件!$A$1,0,0,COUNTA($A:$A),MATCH(H$1,達成条件!$1:$1,0)-MATCH($F$1,達成条件!$1:$1,0)+1),MATCH(H$1,達成条件!$1:$1,0)-MATCH($F$1,達成条件!$1:$1,0)+1,FALSE)</f>
        <v>該当のクエスト(99-9)</v>
      </c>
      <c r="I136" s="83" t="s">
        <v>2148</v>
      </c>
      <c r="J136" s="54" t="str">
        <f ca="1">IF(F136="specific_unit_aquired_count",SUBSTITUTE(G136,"x",VLOOKUP(INT($I136),OFFSET([3]characters!$A$2,0,0,COUNTA([3]characters!$A:$A),MATCH(J$1,[3]characters!$2:$2,0)-MATCH("character_id",[3]characters!$2:$2,0)+1),MATCH(J$1,[3]characters!$2:$2,0)-MATCH("character_id",[3]characters!$2:$2,0)+1,FALSE)),IF(F136="specific_quest_clear",VLOOKUP(SUBSTITUTE(I136,"-","_"),OFFSET([2]stages!$A$2,0,0,COUNTA([2]stages!$A:$A),MATCH("name",[2]stages!$2:$2,0)-MATCH("temp_stage",[2]stages!$2:$2,0)+1),MATCH("name",[2]stages!$2:$2,0)-MATCH("temp_stage",[2]stages!$2:$2,0)+1,FALSE),""))</f>
        <v>【超ウィザード級】電子歌姫の堕天使</v>
      </c>
      <c r="K136" s="15" t="s">
        <v>352</v>
      </c>
      <c r="L136" s="15" t="s">
        <v>352</v>
      </c>
      <c r="M136" s="26"/>
      <c r="N136" s="26"/>
    </row>
    <row r="137" spans="1:14" ht="54" customHeight="1" x14ac:dyDescent="0.15">
      <c r="A137" s="130" t="s">
        <v>2149</v>
      </c>
      <c r="B137" s="21" t="s">
        <v>792</v>
      </c>
      <c r="C137" s="26" t="str">
        <f t="shared" ref="C137:C138" si="10">IF(F137="specific_quest_clear",SUBSTITUTE(G137,"x",J137),IF(F137="specific_unit_aquired_count",SUBSTITUTE(J137,"y",K137),SUBSTITUTE(G137,"x",I137)))</f>
        <v>初音ミクコラボをLINEのタイムライン投稿しよう！</v>
      </c>
      <c r="D137" s="26" t="str">
        <f ca="1">IFERROR(VLOOKUP($A137,OFFSET(achievement_criterion_id,0,0,COUNTA($A:$A),MATCH(D$1,missions!$2:$2,0)-MATCH($A$1,missions!$2:$2,0)+1),MATCH(D$1,missions!$2:$2,0)-MATCH($A$1,missions!$2:$2,0)+1,FALSE),IFERROR(VLOOKUP($A137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37" s="39" t="s">
        <v>1066</v>
      </c>
      <c r="F137" s="75" t="s">
        <v>895</v>
      </c>
      <c r="G137" s="90" t="s">
        <v>2169</v>
      </c>
      <c r="H137" s="26">
        <f ca="1">VLOOKUP($F137,OFFSET(達成条件!$A$1,0,0,COUNTA($A:$A),MATCH(H$1,達成条件!$1:$1,0)-MATCH($F$1,達成条件!$1:$1,0)+1),MATCH(H$1,達成条件!$1:$1,0)-MATCH($F$1,達成条件!$1:$1,0)+1,FALSE)</f>
        <v>0</v>
      </c>
      <c r="I137" s="84" t="s">
        <v>2170</v>
      </c>
      <c r="J137" s="54" t="str">
        <f ca="1">IF(F137="specific_unit_aquired_count",SUBSTITUTE(G137,"x",VLOOKUP(INT($I137),OFFSET([3]characters!$A$2,0,0,COUNTA([3]characters!$A:$A),MATCH(J$1,[3]characters!$2:$2,0)-MATCH("character_id",[3]characters!$2:$2,0)+1),MATCH(J$1,[3]characters!$2:$2,0)-MATCH("character_id",[3]characters!$2:$2,0)+1,FALSE)),IF(F137="specific_quest_clear",VLOOKUP(SUBSTITUTE(I137,"-","_"),OFFSET([2]stages!$A$2,0,0,COUNTA([2]stages!$A:$A),MATCH("name",[2]stages!$2:$2,0)-MATCH("temp_stage",[2]stages!$2:$2,0)+1),MATCH("name",[2]stages!$2:$2,0)-MATCH("temp_stage",[2]stages!$2:$2,0)+1,FALSE),""))</f>
        <v/>
      </c>
      <c r="K137" s="15">
        <v>1</v>
      </c>
      <c r="L137" s="15" t="s">
        <v>864</v>
      </c>
      <c r="M137" s="26"/>
      <c r="N137" s="26"/>
    </row>
    <row r="138" spans="1:14" ht="74" customHeight="1" x14ac:dyDescent="0.15">
      <c r="A138" s="130" t="s">
        <v>2150</v>
      </c>
      <c r="B138" s="21" t="s">
        <v>792</v>
      </c>
      <c r="C138" s="26" t="str">
        <f t="shared" si="10"/>
        <v>初音ミクコラボをTwitterでツイートしよう！</v>
      </c>
      <c r="D138" s="26" t="str">
        <f ca="1">IFERROR(VLOOKUP($A138,OFFSET(achievement_criterion_id,0,0,COUNTA($A:$A),MATCH(D$1,missions!$2:$2,0)-MATCH($A$1,missions!$2:$2,0)+1),MATCH(D$1,missions!$2:$2,0)-MATCH($A$1,missions!$2:$2,0)+1,FALSE),IFERROR(VLOOKUP($A138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38" s="39" t="s">
        <v>1066</v>
      </c>
      <c r="F138" s="75" t="s">
        <v>895</v>
      </c>
      <c r="G138" s="90" t="s">
        <v>2152</v>
      </c>
      <c r="H138" s="26">
        <f ca="1">VLOOKUP($F138,OFFSET(達成条件!$A$1,0,0,COUNTA($A:$A),MATCH(H$1,達成条件!$1:$1,0)-MATCH($F$1,達成条件!$1:$1,0)+1),MATCH(H$1,達成条件!$1:$1,0)-MATCH($F$1,達成条件!$1:$1,0)+1,FALSE)</f>
        <v>0</v>
      </c>
      <c r="I138" s="84" t="s">
        <v>2153</v>
      </c>
      <c r="J138" s="54" t="str">
        <f ca="1">IF(F138="specific_unit_aquired_count",SUBSTITUTE(G138,"x",VLOOKUP(INT($I138),OFFSET([3]characters!$A$2,0,0,COUNTA([3]characters!$A:$A),MATCH(J$1,[3]characters!$2:$2,0)-MATCH("character_id",[3]characters!$2:$2,0)+1),MATCH(J$1,[3]characters!$2:$2,0)-MATCH("character_id",[3]characters!$2:$2,0)+1,FALSE)),IF(F138="specific_quest_clear",VLOOKUP(SUBSTITUTE(I138,"-","_"),OFFSET([2]stages!$A$2,0,0,COUNTA([2]stages!$A:$A),MATCH("name",[2]stages!$2:$2,0)-MATCH("temp_stage",[2]stages!$2:$2,0)+1),MATCH("name",[2]stages!$2:$2,0)-MATCH("temp_stage",[2]stages!$2:$2,0)+1,FALSE),""))</f>
        <v/>
      </c>
      <c r="K138" s="15">
        <v>1</v>
      </c>
      <c r="L138" s="15" t="s">
        <v>864</v>
      </c>
      <c r="M138" s="26"/>
      <c r="N138" s="26"/>
    </row>
    <row r="139" spans="1:14" ht="74" customHeight="1" x14ac:dyDescent="0.15">
      <c r="A139" s="138" t="s">
        <v>2172</v>
      </c>
      <c r="B139" s="21" t="s">
        <v>792</v>
      </c>
      <c r="C139" s="140" t="s">
        <v>2207</v>
      </c>
      <c r="D139" s="26" t="str">
        <f ca="1">IFERROR(VLOOKUP($A139,OFFSET(achievement_criterion_id,0,0,COUNTA($A:$A),MATCH(D$1,missions!$2:$2,0)-MATCH($A$1,missions!$2:$2,0)+1),MATCH(D$1,missions!$2:$2,0)-MATCH($A$1,missions!$2:$2,0)+1,FALSE),IFERROR(VLOOKUP($A139,OFFSET(weekly_achievement_criterion_id,0,0,COUNTA($A:$A),MATCH(D$1,weekly_missions!$2:$2,0)-MATCH($A$1,weekly_missions!$2:$2,0)+1),MATCH(D$1,weekly_missions!$2:$2,0)-MATCH($A$1,weekly_missions!$2:$2,0)+1,FALSE),"＊missions 未設定＊"))</f>
        <v>メガ秘術の果実 x 1</v>
      </c>
      <c r="E139" s="39" t="s">
        <v>864</v>
      </c>
      <c r="F139" s="17" t="s">
        <v>310</v>
      </c>
      <c r="G139" s="27" t="s">
        <v>765</v>
      </c>
      <c r="H139" s="26" t="str">
        <f ca="1">VLOOKUP($F139,OFFSET(達成条件!$A$1,0,0,COUNTA($A:$A),MATCH(H$1,達成条件!$1:$1,0)-MATCH($F$1,達成条件!$1:$1,0)+1),MATCH(H$1,達成条件!$1:$1,0)-MATCH($F$1,達成条件!$1:$1,0)+1,FALSE)</f>
        <v>該当のクエスト(99-9)</v>
      </c>
      <c r="I139" s="84" t="s">
        <v>2174</v>
      </c>
      <c r="J139" s="54" t="str">
        <f ca="1">IF(F139="specific_unit_aquired_count",SUBSTITUTE(G139,"x",VLOOKUP(INT($I139),OFFSET([3]characters!$A$2,0,0,COUNTA([3]characters!$A:$A),MATCH(J$1,[3]characters!$2:$2,0)-MATCH("character_id",[3]characters!$2:$2,0)+1),MATCH(J$1,[3]characters!$2:$2,0)-MATCH("character_id",[3]characters!$2:$2,0)+1,FALSE)),IF(F139="specific_quest_clear",VLOOKUP(SUBSTITUTE(I139,"-","_"),OFFSET([2]stages!$A$2,0,0,COUNTA([2]stages!$A:$A),MATCH("name",[2]stages!$2:$2,0)-MATCH("temp_stage",[2]stages!$2:$2,0)+1),MATCH("name",[2]stages!$2:$2,0)-MATCH("temp_stage",[2]stages!$2:$2,0)+1,FALSE),""))</f>
        <v>【上級】ツンデレ少女の恋心</v>
      </c>
      <c r="K139" s="15">
        <v>1</v>
      </c>
      <c r="L139" s="15" t="s">
        <v>864</v>
      </c>
      <c r="M139" s="26"/>
      <c r="N139" s="26"/>
    </row>
    <row r="140" spans="1:14" ht="74" customHeight="1" x14ac:dyDescent="0.15">
      <c r="A140" s="138" t="s">
        <v>2175</v>
      </c>
      <c r="B140" s="21" t="s">
        <v>792</v>
      </c>
      <c r="C140" s="141" t="s">
        <v>2208</v>
      </c>
      <c r="D140" s="26" t="str">
        <f ca="1">IFERROR(VLOOKUP($A140,OFFSET(achievement_criterion_id,0,0,COUNTA($A:$A),MATCH(D$1,missions!$2:$2,0)-MATCH($A$1,missions!$2:$2,0)+1),MATCH(D$1,missions!$2:$2,0)-MATCH($A$1,missions!$2:$2,0)+1,FALSE),IFERROR(VLOOKUP($A140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40" s="39" t="s">
        <v>864</v>
      </c>
      <c r="F140" s="17" t="s">
        <v>310</v>
      </c>
      <c r="G140" s="27" t="s">
        <v>765</v>
      </c>
      <c r="H140" s="26" t="str">
        <f ca="1">VLOOKUP($F140,OFFSET(達成条件!$A$1,0,0,COUNTA($A:$A),MATCH(H$1,達成条件!$1:$1,0)-MATCH($F$1,達成条件!$1:$1,0)+1),MATCH(H$1,達成条件!$1:$1,0)-MATCH($F$1,達成条件!$1:$1,0)+1,FALSE)</f>
        <v>該当のクエスト(99-9)</v>
      </c>
      <c r="I140" s="84" t="s">
        <v>2176</v>
      </c>
      <c r="J140" s="54" t="str">
        <f ca="1">IF(F140="specific_unit_aquired_count",SUBSTITUTE(G140,"x",VLOOKUP(INT($I140),OFFSET([3]characters!$A$2,0,0,COUNTA([3]characters!$A:$A),MATCH(J$1,[3]characters!$2:$2,0)-MATCH("character_id",[3]characters!$2:$2,0)+1),MATCH(J$1,[3]characters!$2:$2,0)-MATCH("character_id",[3]characters!$2:$2,0)+1,FALSE)),IF(F140="specific_quest_clear",VLOOKUP(SUBSTITUTE(I140,"-","_"),OFFSET([2]stages!$A$2,0,0,COUNTA([2]stages!$A:$A),MATCH("name",[2]stages!$2:$2,0)-MATCH("temp_stage",[2]stages!$2:$2,0)+1),MATCH("name",[2]stages!$2:$2,0)-MATCH("temp_stage",[2]stages!$2:$2,0)+1,FALSE),""))</f>
        <v>【ウィザード級】ツンデレ少女の恋心</v>
      </c>
      <c r="K140" s="15">
        <v>1</v>
      </c>
      <c r="L140" s="15" t="s">
        <v>864</v>
      </c>
      <c r="M140" s="26"/>
      <c r="N140" s="26"/>
    </row>
    <row r="141" spans="1:14" ht="74" customHeight="1" x14ac:dyDescent="0.15">
      <c r="A141" s="138" t="s">
        <v>2177</v>
      </c>
      <c r="B141" s="21" t="s">
        <v>792</v>
      </c>
      <c r="C141" s="141" t="s">
        <v>2209</v>
      </c>
      <c r="D141" s="26" t="str">
        <f ca="1">IFERROR(VLOOKUP($A141,OFFSET(achievement_criterion_id,0,0,COUNTA($A:$A),MATCH(D$1,missions!$2:$2,0)-MATCH($A$1,missions!$2:$2,0)+1),MATCH(D$1,missions!$2:$2,0)-MATCH($A$1,missions!$2:$2,0)+1,FALSE),IFERROR(VLOOKUP($A141,OFFSET(weekly_achievement_criterion_id,0,0,COUNTA($A:$A),MATCH(D$1,weekly_missions!$2:$2,0)-MATCH($A$1,weekly_missions!$2:$2,0)+1),MATCH(D$1,weekly_missions!$2:$2,0)-MATCH($A$1,weekly_missions!$2:$2,0)+1,FALSE),"＊missions 未設定＊"))</f>
        <v>メガ秘術の果実 x 1</v>
      </c>
      <c r="E141" s="39" t="s">
        <v>864</v>
      </c>
      <c r="F141" s="17" t="s">
        <v>310</v>
      </c>
      <c r="G141" s="27" t="s">
        <v>765</v>
      </c>
      <c r="H141" s="26" t="str">
        <f ca="1">VLOOKUP($F141,OFFSET(達成条件!$A$1,0,0,COUNTA($A:$A),MATCH(H$1,達成条件!$1:$1,0)-MATCH($F$1,達成条件!$1:$1,0)+1),MATCH(H$1,達成条件!$1:$1,0)-MATCH($F$1,達成条件!$1:$1,0)+1,FALSE)</f>
        <v>該当のクエスト(99-9)</v>
      </c>
      <c r="I141" s="84" t="s">
        <v>2179</v>
      </c>
      <c r="J141" s="54" t="str">
        <f ca="1">IF(F141="specific_unit_aquired_count",SUBSTITUTE(G141,"x",VLOOKUP(INT($I141),OFFSET([3]characters!$A$2,0,0,COUNTA([3]characters!$A:$A),MATCH(J$1,[3]characters!$2:$2,0)-MATCH("character_id",[3]characters!$2:$2,0)+1),MATCH(J$1,[3]characters!$2:$2,0)-MATCH("character_id",[3]characters!$2:$2,0)+1,FALSE)),IF(F141="specific_quest_clear",VLOOKUP(SUBSTITUTE(I141,"-","_"),OFFSET([2]stages!$A$2,0,0,COUNTA([2]stages!$A:$A),MATCH("name",[2]stages!$2:$2,0)-MATCH("temp_stage",[2]stages!$2:$2,0)+1),MATCH("name",[2]stages!$2:$2,0)-MATCH("temp_stage",[2]stages!$2:$2,0)+1,FALSE),""))</f>
        <v>【上級】ふんわり少女の恋心</v>
      </c>
      <c r="K141" s="15">
        <v>1</v>
      </c>
      <c r="L141" s="15" t="s">
        <v>864</v>
      </c>
      <c r="M141" s="26"/>
      <c r="N141" s="26"/>
    </row>
    <row r="142" spans="1:14" ht="74" customHeight="1" x14ac:dyDescent="0.15">
      <c r="A142" s="138" t="s">
        <v>2178</v>
      </c>
      <c r="B142" s="21" t="s">
        <v>792</v>
      </c>
      <c r="C142" s="140" t="s">
        <v>2210</v>
      </c>
      <c r="D142" s="26" t="str">
        <f ca="1">IFERROR(VLOOKUP($A142,OFFSET(achievement_criterion_id,0,0,COUNTA($A:$A),MATCH(D$1,missions!$2:$2,0)-MATCH($A$1,missions!$2:$2,0)+1),MATCH(D$1,missions!$2:$2,0)-MATCH($A$1,missions!$2:$2,0)+1,FALSE),IFERROR(VLOOKUP($A142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42" s="39" t="s">
        <v>864</v>
      </c>
      <c r="F142" s="17" t="s">
        <v>310</v>
      </c>
      <c r="G142" s="27" t="s">
        <v>765</v>
      </c>
      <c r="H142" s="26" t="str">
        <f ca="1">VLOOKUP($F142,OFFSET(達成条件!$A$1,0,0,COUNTA($A:$A),MATCH(H$1,達成条件!$1:$1,0)-MATCH($F$1,達成条件!$1:$1,0)+1),MATCH(H$1,達成条件!$1:$1,0)-MATCH($F$1,達成条件!$1:$1,0)+1,FALSE)</f>
        <v>該当のクエスト(99-9)</v>
      </c>
      <c r="I142" s="84" t="s">
        <v>2180</v>
      </c>
      <c r="J142" s="54" t="str">
        <f ca="1">IF(F142="specific_unit_aquired_count",SUBSTITUTE(G142,"x",VLOOKUP(INT($I142),OFFSET([3]characters!$A$2,0,0,COUNTA([3]characters!$A:$A),MATCH(J$1,[3]characters!$2:$2,0)-MATCH("character_id",[3]characters!$2:$2,0)+1),MATCH(J$1,[3]characters!$2:$2,0)-MATCH("character_id",[3]characters!$2:$2,0)+1,FALSE)),IF(F142="specific_quest_clear",VLOOKUP(SUBSTITUTE(I142,"-","_"),OFFSET([2]stages!$A$2,0,0,COUNTA([2]stages!$A:$A),MATCH("name",[2]stages!$2:$2,0)-MATCH("temp_stage",[2]stages!$2:$2,0)+1),MATCH("name",[2]stages!$2:$2,0)-MATCH("temp_stage",[2]stages!$2:$2,0)+1,FALSE),""))</f>
        <v>【ウィザード級】ふんわり少女の恋心</v>
      </c>
      <c r="K142" s="15">
        <v>1</v>
      </c>
      <c r="L142" s="15" t="s">
        <v>864</v>
      </c>
      <c r="M142" s="26"/>
      <c r="N142" s="26"/>
    </row>
    <row r="143" spans="1:14" ht="21" customHeight="1" x14ac:dyDescent="0.15">
      <c r="A143" s="138" t="s">
        <v>2181</v>
      </c>
      <c r="B143" s="21" t="s">
        <v>792</v>
      </c>
      <c r="C143" s="139" t="s">
        <v>2201</v>
      </c>
      <c r="D143" s="26" t="str">
        <f ca="1">IFERROR(VLOOKUP($A143,OFFSET(achievement_criterion_id,0,0,COUNTA($A:$A),MATCH(D$1,missions!$2:$2,0)-MATCH($A$1,missions!$2:$2,0)+1),MATCH(D$1,missions!$2:$2,0)-MATCH($A$1,missions!$2:$2,0)+1,FALSE),IFERROR(VLOOKUP($A143,OFFSET(weekly_achievement_criterion_id,0,0,COUNTA($A:$A),MATCH(D$1,weekly_missions!$2:$2,0)-MATCH($A$1,weekly_missions!$2:$2,0)+1),MATCH(D$1,weekly_missions!$2:$2,0)-MATCH($A$1,weekly_missions!$2:$2,0)+1,FALSE),"＊missions 未設定＊"))</f>
        <v>森のメタルジェントル x 5</v>
      </c>
      <c r="E143" s="27" t="s">
        <v>864</v>
      </c>
      <c r="F143" s="2" t="s">
        <v>31</v>
      </c>
      <c r="G143" s="26" t="str">
        <f ca="1">VLOOKUP($F143,OFFSET(達成条件!$A$1,0,0,COUNTA($A:$A),MATCH(G$1,達成条件!$1:$1,0)-MATCH($F$1,達成条件!$1:$1,0)+1),MATCH(G$1,達成条件!$1:$1,0)-MATCH($F$1,達成条件!$1:$1,0)+1,FALSE)</f>
        <v>ユニット 【x】 を y 体ゲットしよう！</v>
      </c>
      <c r="H143" s="26" t="str">
        <f ca="1">VLOOKUP($F143,OFFSET(達成条件!$A$1,0,0,COUNTA($A:$A),MATCH(H$1,達成条件!$1:$1,0)-MATCH($F$1,達成条件!$1:$1,0)+1),MATCH(H$1,達成条件!$1:$1,0)-MATCH($F$1,達成条件!$1:$1,0)+1,FALSE)</f>
        <v>ユニットID</v>
      </c>
      <c r="I143" s="83" t="s">
        <v>2185</v>
      </c>
      <c r="J143" s="54" t="str">
        <f ca="1">IF(F143="specific_unit_aquired_count",SUBSTITUTE(G143,"x",VLOOKUP(INT($I143),OFFSET([3]characters!$A$1,0,0,COUNTA([3]characters!$A:$A),MATCH(J$1,[3]characters!$1:$1,0)-MATCH("character_id",[3]characters!$1:$1,0)+1),MATCH(J$1,[3]characters!$1:$1,0)-MATCH("character_id",[3]characters!$1:$1,0)+1,FALSE)),IF(F143="specific_quest_clear",VLOOKUP(SUBSTITUTE(I143,"-","_"),OFFSET([2]stages!$A$1,0,0,COUNTA([2]stages!$A:$A),MATCH("name",[2]stages!$1:$1,0)-MATCH("temp_stage",[2]stages!$1:$1,0)+1),MATCH("name",[2]stages!$1:$1,0)-MATCH("temp_stage",[2]stages!$1:$1,0)+1,FALSE),""))</f>
        <v>ユニット 【百菓の甘味家 パティ】 を y 体ゲットしよう！</v>
      </c>
      <c r="K143" s="15">
        <v>10</v>
      </c>
      <c r="L143" s="15" t="s">
        <v>864</v>
      </c>
      <c r="M143" s="26"/>
      <c r="N143" s="26"/>
    </row>
    <row r="144" spans="1:14" ht="21" customHeight="1" x14ac:dyDescent="0.15">
      <c r="A144" s="138" t="s">
        <v>2183</v>
      </c>
      <c r="B144" s="21" t="s">
        <v>792</v>
      </c>
      <c r="C144" s="139" t="s">
        <v>2202</v>
      </c>
      <c r="D144" s="26" t="str">
        <f ca="1">IFERROR(VLOOKUP($A144,OFFSET(achievement_criterion_id,0,0,COUNTA($A:$A),MATCH(D$1,missions!$2:$2,0)-MATCH($A$1,missions!$2:$2,0)+1),MATCH(D$1,missions!$2:$2,0)-MATCH($A$1,missions!$2:$2,0)+1,FALSE),IFERROR(VLOOKUP($A144,OFFSET(weekly_achievement_criterion_id,0,0,COUNTA($A:$A),MATCH(D$1,weekly_missions!$2:$2,0)-MATCH($A$1,weekly_missions!$2:$2,0)+1),MATCH(D$1,weekly_missions!$2:$2,0)-MATCH($A$1,weekly_missions!$2:$2,0)+1,FALSE),"＊missions 未設定＊"))</f>
        <v>メガ秘術の果実 x 1</v>
      </c>
      <c r="E144" s="27" t="s">
        <v>864</v>
      </c>
      <c r="F144" s="2" t="s">
        <v>31</v>
      </c>
      <c r="G144" s="26" t="str">
        <f ca="1">VLOOKUP($F144,OFFSET(達成条件!$A$1,0,0,COUNTA($A:$A),MATCH(G$1,達成条件!$1:$1,0)-MATCH($F$1,達成条件!$1:$1,0)+1),MATCH(G$1,達成条件!$1:$1,0)-MATCH($F$1,達成条件!$1:$1,0)+1,FALSE)</f>
        <v>ユニット 【x】 を y 体ゲットしよう！</v>
      </c>
      <c r="H144" s="26" t="str">
        <f ca="1">VLOOKUP($F144,OFFSET(達成条件!$A$1,0,0,COUNTA($A:$A),MATCH(H$1,達成条件!$1:$1,0)-MATCH($F$1,達成条件!$1:$1,0)+1),MATCH(H$1,達成条件!$1:$1,0)-MATCH($F$1,達成条件!$1:$1,0)+1,FALSE)</f>
        <v>ユニットID</v>
      </c>
      <c r="I144" s="83" t="s">
        <v>2185</v>
      </c>
      <c r="J144" s="54" t="str">
        <f ca="1">IF(F144="specific_unit_aquired_count",SUBSTITUTE(G144,"x",VLOOKUP(INT($I144),OFFSET([3]characters!$A$1,0,0,COUNTA([3]characters!$A:$A),MATCH(J$1,[3]characters!$1:$1,0)-MATCH("character_id",[3]characters!$1:$1,0)+1),MATCH(J$1,[3]characters!$1:$1,0)-MATCH("character_id",[3]characters!$1:$1,0)+1,FALSE)),IF(F144="specific_quest_clear",VLOOKUP(SUBSTITUTE(I144,"-","_"),OFFSET([2]stages!$A$1,0,0,COUNTA([2]stages!$A:$A),MATCH("name",[2]stages!$1:$1,0)-MATCH("temp_stage",[2]stages!$1:$1,0)+1),MATCH("name",[2]stages!$1:$1,0)-MATCH("temp_stage",[2]stages!$1:$1,0)+1,FALSE),""))</f>
        <v>ユニット 【百菓の甘味家 パティ】 を y 体ゲットしよう！</v>
      </c>
      <c r="K144" s="15">
        <v>20</v>
      </c>
      <c r="L144" s="15" t="s">
        <v>864</v>
      </c>
      <c r="M144" s="26"/>
      <c r="N144" s="26"/>
    </row>
    <row r="145" spans="1:14" ht="21" customHeight="1" x14ac:dyDescent="0.15">
      <c r="A145" s="138" t="s">
        <v>2186</v>
      </c>
      <c r="B145" s="21" t="s">
        <v>792</v>
      </c>
      <c r="C145" s="139" t="s">
        <v>2203</v>
      </c>
      <c r="D145" s="26" t="str">
        <f ca="1">IFERROR(VLOOKUP($A145,OFFSET(achievement_criterion_id,0,0,COUNTA($A:$A),MATCH(D$1,missions!$2:$2,0)-MATCH($A$1,missions!$2:$2,0)+1),MATCH(D$1,missions!$2:$2,0)-MATCH($A$1,missions!$2:$2,0)+1,FALSE),IFERROR(VLOOKUP($A145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45" s="27" t="s">
        <v>864</v>
      </c>
      <c r="F145" s="2" t="s">
        <v>31</v>
      </c>
      <c r="G145" s="26" t="str">
        <f ca="1">VLOOKUP($F145,OFFSET(達成条件!$A$1,0,0,COUNTA($A:$A),MATCH(G$1,達成条件!$1:$1,0)-MATCH($F$1,達成条件!$1:$1,0)+1),MATCH(G$1,達成条件!$1:$1,0)-MATCH($F$1,達成条件!$1:$1,0)+1,FALSE)</f>
        <v>ユニット 【x】 を y 体ゲットしよう！</v>
      </c>
      <c r="H145" s="26" t="str">
        <f ca="1">VLOOKUP($F145,OFFSET(達成条件!$A$1,0,0,COUNTA($A:$A),MATCH(H$1,達成条件!$1:$1,0)-MATCH($F$1,達成条件!$1:$1,0)+1),MATCH(H$1,達成条件!$1:$1,0)-MATCH($F$1,達成条件!$1:$1,0)+1,FALSE)</f>
        <v>ユニットID</v>
      </c>
      <c r="I145" s="83" t="s">
        <v>2185</v>
      </c>
      <c r="J145" s="54" t="str">
        <f ca="1">IF(F145="specific_unit_aquired_count",SUBSTITUTE(G145,"x",VLOOKUP(INT($I145),OFFSET([3]characters!$A$1,0,0,COUNTA([3]characters!$A:$A),MATCH(J$1,[3]characters!$1:$1,0)-MATCH("character_id",[3]characters!$1:$1,0)+1),MATCH(J$1,[3]characters!$1:$1,0)-MATCH("character_id",[3]characters!$1:$1,0)+1,FALSE)),IF(F145="specific_quest_clear",VLOOKUP(SUBSTITUTE(I145,"-","_"),OFFSET([2]stages!$A$1,0,0,COUNTA([2]stages!$A:$A),MATCH("name",[2]stages!$1:$1,0)-MATCH("temp_stage",[2]stages!$1:$1,0)+1),MATCH("name",[2]stages!$1:$1,0)-MATCH("temp_stage",[2]stages!$1:$1,0)+1,FALSE),""))</f>
        <v>ユニット 【百菓の甘味家 パティ】 を y 体ゲットしよう！</v>
      </c>
      <c r="K145" s="15">
        <v>30</v>
      </c>
      <c r="L145" s="15" t="s">
        <v>864</v>
      </c>
      <c r="M145" s="26"/>
      <c r="N145" s="26"/>
    </row>
    <row r="146" spans="1:14" ht="21" customHeight="1" x14ac:dyDescent="0.15">
      <c r="A146" s="138" t="s">
        <v>2190</v>
      </c>
      <c r="B146" s="21" t="s">
        <v>792</v>
      </c>
      <c r="C146" s="139" t="s">
        <v>2204</v>
      </c>
      <c r="D146" s="26" t="str">
        <f ca="1">IFERROR(VLOOKUP($A146,OFFSET(achievement_criterion_id,0,0,COUNTA($A:$A),MATCH(D$1,missions!$2:$2,0)-MATCH($A$1,missions!$2:$2,0)+1),MATCH(D$1,missions!$2:$2,0)-MATCH($A$1,missions!$2:$2,0)+1,FALSE),IFERROR(VLOOKUP($A146,OFFSET(weekly_achievement_criterion_id,0,0,COUNTA($A:$A),MATCH(D$1,weekly_missions!$2:$2,0)-MATCH($A$1,weekly_missions!$2:$2,0)+1),MATCH(D$1,weekly_missions!$2:$2,0)-MATCH($A$1,weekly_missions!$2:$2,0)+1,FALSE),"＊missions 未設定＊"))</f>
        <v>炎のメタルジェントル x 5</v>
      </c>
      <c r="E146" s="27" t="s">
        <v>864</v>
      </c>
      <c r="F146" s="2" t="s">
        <v>31</v>
      </c>
      <c r="G146" s="26" t="str">
        <f ca="1">VLOOKUP($F146,OFFSET(達成条件!$A$1,0,0,COUNTA($A:$A),MATCH(G$1,達成条件!$1:$1,0)-MATCH($F$1,達成条件!$1:$1,0)+1),MATCH(G$1,達成条件!$1:$1,0)-MATCH($F$1,達成条件!$1:$1,0)+1,FALSE)</f>
        <v>ユニット 【x】 を y 体ゲットしよう！</v>
      </c>
      <c r="H146" s="26" t="str">
        <f ca="1">VLOOKUP($F146,OFFSET(達成条件!$A$1,0,0,COUNTA($A:$A),MATCH(H$1,達成条件!$1:$1,0)-MATCH($F$1,達成条件!$1:$1,0)+1),MATCH(H$1,達成条件!$1:$1,0)-MATCH($F$1,達成条件!$1:$1,0)+1,FALSE)</f>
        <v>ユニットID</v>
      </c>
      <c r="I146" s="83" t="s">
        <v>2187</v>
      </c>
      <c r="J146" s="54" t="str">
        <f ca="1">IF(F146="specific_unit_aquired_count",SUBSTITUTE(G146,"x",VLOOKUP(INT($I146),OFFSET([3]characters!$A$1,0,0,COUNTA([3]characters!$A:$A),MATCH(J$1,[3]characters!$1:$1,0)-MATCH("character_id",[3]characters!$1:$1,0)+1),MATCH(J$1,[3]characters!$1:$1,0)-MATCH("character_id",[3]characters!$1:$1,0)+1,FALSE)),IF(F146="specific_quest_clear",VLOOKUP(SUBSTITUTE(I146,"-","_"),OFFSET([2]stages!$A$1,0,0,COUNTA([2]stages!$A:$A),MATCH("name",[2]stages!$1:$1,0)-MATCH("temp_stage",[2]stages!$1:$1,0)+1),MATCH("name",[2]stages!$1:$1,0)-MATCH("temp_stage",[2]stages!$1:$1,0)+1,FALSE),""))</f>
        <v>ユニット 【甘頬の魔糖菓 プラリーヌ】 を y 体ゲットしよう！</v>
      </c>
      <c r="K146" s="15">
        <v>10</v>
      </c>
      <c r="L146" s="15" t="s">
        <v>864</v>
      </c>
      <c r="M146" s="26"/>
      <c r="N146" s="26"/>
    </row>
    <row r="147" spans="1:14" ht="21" customHeight="1" x14ac:dyDescent="0.15">
      <c r="A147" s="138" t="s">
        <v>2191</v>
      </c>
      <c r="B147" s="21" t="s">
        <v>792</v>
      </c>
      <c r="C147" s="139" t="s">
        <v>2205</v>
      </c>
      <c r="D147" s="26" t="str">
        <f ca="1">IFERROR(VLOOKUP($A147,OFFSET(achievement_criterion_id,0,0,COUNTA($A:$A),MATCH(D$1,missions!$2:$2,0)-MATCH($A$1,missions!$2:$2,0)+1),MATCH(D$1,missions!$2:$2,0)-MATCH($A$1,missions!$2:$2,0)+1,FALSE),IFERROR(VLOOKUP($A147,OFFSET(weekly_achievement_criterion_id,0,0,COUNTA($A:$A),MATCH(D$1,weekly_missions!$2:$2,0)-MATCH($A$1,weekly_missions!$2:$2,0)+1),MATCH(D$1,weekly_missions!$2:$2,0)-MATCH($A$1,weekly_missions!$2:$2,0)+1,FALSE),"＊missions 未設定＊"))</f>
        <v>メガ秘術の果実 x 1</v>
      </c>
      <c r="E147" s="27" t="s">
        <v>864</v>
      </c>
      <c r="F147" s="2" t="s">
        <v>31</v>
      </c>
      <c r="G147" s="26" t="str">
        <f ca="1">VLOOKUP($F147,OFFSET(達成条件!$A$1,0,0,COUNTA($A:$A),MATCH(G$1,達成条件!$1:$1,0)-MATCH($F$1,達成条件!$1:$1,0)+1),MATCH(G$1,達成条件!$1:$1,0)-MATCH($F$1,達成条件!$1:$1,0)+1,FALSE)</f>
        <v>ユニット 【x】 を y 体ゲットしよう！</v>
      </c>
      <c r="H147" s="26" t="str">
        <f ca="1">VLOOKUP($F147,OFFSET(達成条件!$A$1,0,0,COUNTA($A:$A),MATCH(H$1,達成条件!$1:$1,0)-MATCH($F$1,達成条件!$1:$1,0)+1),MATCH(H$1,達成条件!$1:$1,0)-MATCH($F$1,達成条件!$1:$1,0)+1,FALSE)</f>
        <v>ユニットID</v>
      </c>
      <c r="I147" s="83" t="s">
        <v>2187</v>
      </c>
      <c r="J147" s="54" t="str">
        <f ca="1">IF(F147="specific_unit_aquired_count",SUBSTITUTE(G147,"x",VLOOKUP(INT($I147),OFFSET([3]characters!$A$1,0,0,COUNTA([3]characters!$A:$A),MATCH(J$1,[3]characters!$1:$1,0)-MATCH("character_id",[3]characters!$1:$1,0)+1),MATCH(J$1,[3]characters!$1:$1,0)-MATCH("character_id",[3]characters!$1:$1,0)+1,FALSE)),IF(F147="specific_quest_clear",VLOOKUP(SUBSTITUTE(I147,"-","_"),OFFSET([2]stages!$A$1,0,0,COUNTA([2]stages!$A:$A),MATCH("name",[2]stages!$1:$1,0)-MATCH("temp_stage",[2]stages!$1:$1,0)+1),MATCH("name",[2]stages!$1:$1,0)-MATCH("temp_stage",[2]stages!$1:$1,0)+1,FALSE),""))</f>
        <v>ユニット 【甘頬の魔糖菓 プラリーヌ】 を y 体ゲットしよう！</v>
      </c>
      <c r="K147" s="15">
        <v>20</v>
      </c>
      <c r="L147" s="15" t="s">
        <v>864</v>
      </c>
      <c r="M147" s="26"/>
      <c r="N147" s="26"/>
    </row>
    <row r="148" spans="1:14" ht="21" customHeight="1" x14ac:dyDescent="0.15">
      <c r="A148" s="138" t="s">
        <v>2192</v>
      </c>
      <c r="B148" s="21" t="s">
        <v>792</v>
      </c>
      <c r="C148" s="139" t="s">
        <v>2206</v>
      </c>
      <c r="D148" s="26" t="str">
        <f ca="1">IFERROR(VLOOKUP($A148,OFFSET(achievement_criterion_id,0,0,COUNTA($A:$A),MATCH(D$1,missions!$2:$2,0)-MATCH($A$1,missions!$2:$2,0)+1),MATCH(D$1,missions!$2:$2,0)-MATCH($A$1,missions!$2:$2,0)+1,FALSE),IFERROR(VLOOKUP($A148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48" s="27" t="s">
        <v>864</v>
      </c>
      <c r="F148" s="2" t="s">
        <v>31</v>
      </c>
      <c r="G148" s="26" t="str">
        <f ca="1">VLOOKUP($F148,OFFSET(達成条件!$A$1,0,0,COUNTA($A:$A),MATCH(G$1,達成条件!$1:$1,0)-MATCH($F$1,達成条件!$1:$1,0)+1),MATCH(G$1,達成条件!$1:$1,0)-MATCH($F$1,達成条件!$1:$1,0)+1,FALSE)</f>
        <v>ユニット 【x】 を y 体ゲットしよう！</v>
      </c>
      <c r="H148" s="26" t="str">
        <f ca="1">VLOOKUP($F148,OFFSET(達成条件!$A$1,0,0,COUNTA($A:$A),MATCH(H$1,達成条件!$1:$1,0)-MATCH($F$1,達成条件!$1:$1,0)+1),MATCH(H$1,達成条件!$1:$1,0)-MATCH($F$1,達成条件!$1:$1,0)+1,FALSE)</f>
        <v>ユニットID</v>
      </c>
      <c r="I148" s="83" t="s">
        <v>2187</v>
      </c>
      <c r="J148" s="54" t="str">
        <f ca="1">IF(F148="specific_unit_aquired_count",SUBSTITUTE(G148,"x",VLOOKUP(INT($I148),OFFSET([3]characters!$A$1,0,0,COUNTA([3]characters!$A:$A),MATCH(J$1,[3]characters!$1:$1,0)-MATCH("character_id",[3]characters!$1:$1,0)+1),MATCH(J$1,[3]characters!$1:$1,0)-MATCH("character_id",[3]characters!$1:$1,0)+1,FALSE)),IF(F148="specific_quest_clear",VLOOKUP(SUBSTITUTE(I148,"-","_"),OFFSET([2]stages!$A$1,0,0,COUNTA([2]stages!$A:$A),MATCH("name",[2]stages!$1:$1,0)-MATCH("temp_stage",[2]stages!$1:$1,0)+1),MATCH("name",[2]stages!$1:$1,0)-MATCH("temp_stage",[2]stages!$1:$1,0)+1,FALSE),""))</f>
        <v>ユニット 【甘頬の魔糖菓 プラリーヌ】 を y 体ゲットしよう！</v>
      </c>
      <c r="K148" s="15">
        <v>30</v>
      </c>
      <c r="L148" s="15" t="s">
        <v>864</v>
      </c>
      <c r="M148" s="26"/>
      <c r="N148" s="26"/>
    </row>
    <row r="149" spans="1:14" ht="21" customHeight="1" x14ac:dyDescent="0.15">
      <c r="A149" s="138" t="s">
        <v>2193</v>
      </c>
      <c r="B149" s="21" t="s">
        <v>792</v>
      </c>
      <c r="C149" s="39" t="s">
        <v>1010</v>
      </c>
      <c r="D149" s="26" t="str">
        <f ca="1">IFERROR(VLOOKUP($A149,OFFSET(achievement_criterion_id,0,0,COUNTA($A:$A),MATCH(D$1,missions!$2:$2,0)-MATCH($A$1,missions!$2:$2,0)+1),MATCH(D$1,missions!$2:$2,0)-MATCH($A$1,missions!$2:$2,0)+1,FALSE),IFERROR(VLOOKUP($A149,OFFSET(weekly_achievement_criterion_id,0,0,COUNTA($A:$A),MATCH(D$1,weekly_missions!$2:$2,0)-MATCH($A$1,weekly_missions!$2:$2,0)+1),MATCH(D$1,weekly_missions!$2:$2,0)-MATCH($A$1,weekly_missions!$2:$2,0)+1,FALSE),"＊missions 未設定＊"))</f>
        <v>ハッピー バレンタイン x 1</v>
      </c>
      <c r="E149" s="27" t="s">
        <v>864</v>
      </c>
      <c r="F149" s="17" t="s">
        <v>310</v>
      </c>
      <c r="G149" s="27" t="s">
        <v>765</v>
      </c>
      <c r="H149" s="26" t="str">
        <f ca="1">VLOOKUP($F149,OFFSET(達成条件!$A$1,0,0,COUNTA($A:$A),MATCH(H$1,達成条件!$1:$1,0)-MATCH($F$1,達成条件!$1:$1,0)+1),MATCH(H$1,達成条件!$1:$1,0)-MATCH($F$1,達成条件!$1:$1,0)+1,FALSE)</f>
        <v>該当のクエスト(99-9)</v>
      </c>
      <c r="I149" s="83" t="s">
        <v>2194</v>
      </c>
      <c r="J149" s="54" t="str">
        <f ca="1">IF(F149="specific_unit_aquired_count",SUBSTITUTE(G149,"x",VLOOKUP(INT($I149),OFFSET([3]characters!$A$2,0,0,COUNTA([3]characters!$A:$A),MATCH(J$1,[3]characters!$2:$2,0)-MATCH("character_id",[3]characters!$2:$2,0)+1),MATCH(J$1,[3]characters!$2:$2,0)-MATCH("character_id",[3]characters!$2:$2,0)+1,FALSE)),IF(F149="specific_quest_clear",VLOOKUP(SUBSTITUTE(I149,"-","_"),OFFSET([2]stages!$A$2,0,0,COUNTA([2]stages!$A:$A),MATCH("name",[2]stages!$2:$2,0)-MATCH("temp_stage",[2]stages!$2:$2,0)+1),MATCH("name",[2]stages!$2:$2,0)-MATCH("temp_stage",[2]stages!$2:$2,0)+1,FALSE),""))</f>
        <v>【ストーリー】バレンタイン狂想曲</v>
      </c>
      <c r="K149" s="15" t="s">
        <v>888</v>
      </c>
      <c r="L149" s="15" t="s">
        <v>888</v>
      </c>
      <c r="M149" s="26"/>
      <c r="N149" s="26"/>
    </row>
    <row r="150" spans="1:14" ht="21" customHeight="1" x14ac:dyDescent="0.15">
      <c r="A150" s="138" t="s">
        <v>2247</v>
      </c>
      <c r="B150" s="21" t="s">
        <v>792</v>
      </c>
      <c r="C150" s="26" t="str">
        <f ca="1">IF(F150="specific_quest_clear",SUBSTITUTE(G150,"x",J150),IF(F150="specific_unit_aquired_count",SUBSTITUTE(J150,"y",K150),SUBSTITUTE(G150,"x",I150)))</f>
        <v>クエスト クロネッカーチャレンジ をクリアしよう！</v>
      </c>
      <c r="D150" s="26" t="str">
        <f ca="1">IFERROR(VLOOKUP($A150,OFFSET(achievement_criterion_id,0,0,COUNTA($A:$A),MATCH(D$1,missions!$2:$2,0)-MATCH($A$1,missions!$2:$2,0)+1),MATCH(D$1,missions!$2:$2,0)-MATCH($A$1,missions!$2:$2,0)+1,FALSE),IFERROR(VLOOKUP($A150,OFFSET(weekly_achievement_criterion_id,0,0,COUNTA($A:$A),MATCH(D$1,weekly_missions!$2:$2,0)-MATCH($A$1,weekly_missions!$2:$2,0)+1),MATCH(D$1,weekly_missions!$2:$2,0)-MATCH($A$1,weekly_missions!$2:$2,0)+1,FALSE),"＊missions 未設定＊"))</f>
        <v>ポリゴン x 3</v>
      </c>
      <c r="E150" s="27" t="s">
        <v>352</v>
      </c>
      <c r="F150" s="17" t="s">
        <v>310</v>
      </c>
      <c r="G150" s="27" t="s">
        <v>765</v>
      </c>
      <c r="H150" s="26" t="str">
        <f ca="1">VLOOKUP($F150,OFFSET(達成条件!$A$1,0,0,COUNTA($A:$A),MATCH(H$1,達成条件!$1:$1,0)-MATCH($F$1,達成条件!$1:$1,0)+1),MATCH(H$1,達成条件!$1:$1,0)-MATCH($F$1,達成条件!$1:$1,0)+1,FALSE)</f>
        <v>該当のクエスト(99-9)</v>
      </c>
      <c r="I150" s="83" t="s">
        <v>2230</v>
      </c>
      <c r="J150" s="54" t="str">
        <f ca="1">IF(F150="specific_unit_aquired_count",SUBSTITUTE(G150,"x",VLOOKUP(INT($I150),OFFSET([3]characters!$A$2,0,0,COUNTA([3]characters!$A:$A),MATCH(J$1,[3]characters!$2:$2,0)-MATCH("character_id",[3]characters!$2:$2,0)+1),MATCH(J$1,[3]characters!$2:$2,0)-MATCH("character_id",[3]characters!$2:$2,0)+1,FALSE)),IF(F150="specific_quest_clear",VLOOKUP(SUBSTITUTE(I150,"-","_"),OFFSET([2]stages!$A$2,0,0,COUNTA([2]stages!$A:$A),MATCH("name",[2]stages!$2:$2,0)-MATCH("temp_stage",[2]stages!$2:$2,0)+1),MATCH("name",[2]stages!$2:$2,0)-MATCH("temp_stage",[2]stages!$2:$2,0)+1,FALSE),""))</f>
        <v>クロネッカーチャレンジ</v>
      </c>
      <c r="K150" s="15" t="s">
        <v>352</v>
      </c>
      <c r="L150" s="15" t="s">
        <v>888</v>
      </c>
      <c r="M150" s="26"/>
      <c r="N150" s="26"/>
    </row>
    <row r="151" spans="1:14" ht="21" customHeight="1" x14ac:dyDescent="0.15">
      <c r="A151" s="138" t="s">
        <v>2248</v>
      </c>
      <c r="B151" s="21" t="s">
        <v>792</v>
      </c>
      <c r="C151" s="26" t="str">
        <f t="shared" ref="C151:C157" ca="1" si="11">IF(F151="specific_quest_clear",SUBSTITUTE(G151,"x",J151),IF(F151="specific_unit_aquired_count",SUBSTITUTE(J151,"y",K151),SUBSTITUTE(G151,"x",I151)))</f>
        <v>クエスト 【上級】僕の愛よあの子にとどけ！ をクリアしよう！</v>
      </c>
      <c r="D151" s="26" t="str">
        <f ca="1">IFERROR(VLOOKUP($A151,OFFSET(achievement_criterion_id,0,0,COUNTA($A:$A),MATCH(D$1,missions!$2:$2,0)-MATCH($A$1,missions!$2:$2,0)+1),MATCH(D$1,missions!$2:$2,0)-MATCH($A$1,missions!$2:$2,0)+1,FALSE),IFERROR(VLOOKUP($A151,OFFSET(weekly_achievement_criterion_id,0,0,COUNTA($A:$A),MATCH(D$1,weekly_missions!$2:$2,0)-MATCH($A$1,weekly_missions!$2:$2,0)+1),MATCH(D$1,weekly_missions!$2:$2,0)-MATCH($A$1,weekly_missions!$2:$2,0)+1,FALSE),"＊missions 未設定＊"))</f>
        <v>ホワイトデーチケット × 15</v>
      </c>
      <c r="E151" s="27" t="s">
        <v>352</v>
      </c>
      <c r="F151" s="17" t="s">
        <v>310</v>
      </c>
      <c r="G151" s="27" t="s">
        <v>765</v>
      </c>
      <c r="H151" s="26" t="str">
        <f ca="1">VLOOKUP($F151,OFFSET(達成条件!$A$1,0,0,COUNTA($A:$A),MATCH(H$1,達成条件!$1:$1,0)-MATCH($F$1,達成条件!$1:$1,0)+1),MATCH(H$1,達成条件!$1:$1,0)-MATCH($F$1,達成条件!$1:$1,0)+1,FALSE)</f>
        <v>該当のクエスト(99-9)</v>
      </c>
      <c r="I151" s="83" t="s">
        <v>2249</v>
      </c>
      <c r="J151" s="54" t="str">
        <f ca="1">IF(F151="specific_unit_aquired_count",SUBSTITUTE(G151,"x",VLOOKUP(INT($I151),OFFSET([3]characters!$A$2,0,0,COUNTA([3]characters!$A:$A),MATCH(J$1,[3]characters!$2:$2,0)-MATCH("character_id",[3]characters!$2:$2,0)+1),MATCH(J$1,[3]characters!$2:$2,0)-MATCH("character_id",[3]characters!$2:$2,0)+1,FALSE)),IF(F151="specific_quest_clear",VLOOKUP(SUBSTITUTE(I151,"-","_"),OFFSET([2]stages!$A$2,0,0,COUNTA([2]stages!$A:$A),MATCH("name",[2]stages!$2:$2,0)-MATCH("temp_stage",[2]stages!$2:$2,0)+1),MATCH("name",[2]stages!$2:$2,0)-MATCH("temp_stage",[2]stages!$2:$2,0)+1,FALSE),""))</f>
        <v>【上級】僕の愛よあの子にとどけ！</v>
      </c>
      <c r="K151" s="15">
        <v>1</v>
      </c>
      <c r="L151" s="15" t="s">
        <v>352</v>
      </c>
      <c r="M151" s="26"/>
      <c r="N151" s="26"/>
    </row>
    <row r="152" spans="1:14" ht="21" customHeight="1" x14ac:dyDescent="0.15">
      <c r="A152" s="138" t="s">
        <v>2251</v>
      </c>
      <c r="B152" s="21" t="s">
        <v>792</v>
      </c>
      <c r="C152" s="26" t="str">
        <f t="shared" ca="1" si="11"/>
        <v>クエスト 【ｳｨｻﾞ】僕の愛よあの子にとどけ！ をクリアしよう！</v>
      </c>
      <c r="D152" s="26" t="str">
        <f ca="1">IFERROR(VLOOKUP($A152,OFFSET(achievement_criterion_id,0,0,COUNTA($A:$A),MATCH(D$1,missions!$2:$2,0)-MATCH($A$1,missions!$2:$2,0)+1),MATCH(D$1,missions!$2:$2,0)-MATCH($A$1,missions!$2:$2,0)+1,FALSE),IFERROR(VLOOKUP($A152,OFFSET(weekly_achievement_criterion_id,0,0,COUNTA($A:$A),MATCH(D$1,weekly_missions!$2:$2,0)-MATCH($A$1,weekly_missions!$2:$2,0)+1),MATCH(D$1,weekly_missions!$2:$2,0)-MATCH($A$1,weekly_missions!$2:$2,0)+1,FALSE),"＊missions 未設定＊"))</f>
        <v>ホワイトデーチケット × 30</v>
      </c>
      <c r="E152" s="27" t="s">
        <v>352</v>
      </c>
      <c r="F152" s="17" t="s">
        <v>310</v>
      </c>
      <c r="G152" s="27" t="s">
        <v>765</v>
      </c>
      <c r="H152" s="26" t="str">
        <f ca="1">VLOOKUP($F152,OFFSET(達成条件!$A$1,0,0,COUNTA($A:$A),MATCH(H$1,達成条件!$1:$1,0)-MATCH($F$1,達成条件!$1:$1,0)+1),MATCH(H$1,達成条件!$1:$1,0)-MATCH($F$1,達成条件!$1:$1,0)+1,FALSE)</f>
        <v>該当のクエスト(99-9)</v>
      </c>
      <c r="I152" s="83" t="s">
        <v>2250</v>
      </c>
      <c r="J152" s="54" t="str">
        <f ca="1">IF(F152="specific_unit_aquired_count",SUBSTITUTE(G152,"x",VLOOKUP(INT($I152),OFFSET([3]characters!$A$2,0,0,COUNTA([3]characters!$A:$A),MATCH(J$1,[3]characters!$2:$2,0)-MATCH("character_id",[3]characters!$2:$2,0)+1),MATCH(J$1,[3]characters!$2:$2,0)-MATCH("character_id",[3]characters!$2:$2,0)+1,FALSE)),IF(F152="specific_quest_clear",VLOOKUP(SUBSTITUTE(I152,"-","_"),OFFSET([2]stages!$A$2,0,0,COUNTA([2]stages!$A:$A),MATCH("name",[2]stages!$2:$2,0)-MATCH("temp_stage",[2]stages!$2:$2,0)+1),MATCH("name",[2]stages!$2:$2,0)-MATCH("temp_stage",[2]stages!$2:$2,0)+1,FALSE),""))</f>
        <v>【ｳｨｻﾞ】僕の愛よあの子にとどけ！</v>
      </c>
      <c r="K152" s="15">
        <v>1</v>
      </c>
      <c r="L152" s="15" t="s">
        <v>352</v>
      </c>
      <c r="M152" s="26"/>
      <c r="N152" s="26"/>
    </row>
    <row r="153" spans="1:14" ht="21" customHeight="1" x14ac:dyDescent="0.15">
      <c r="A153" s="138" t="s">
        <v>2252</v>
      </c>
      <c r="B153" s="21" t="s">
        <v>792</v>
      </c>
      <c r="C153" s="26" t="str">
        <f t="shared" ca="1" si="11"/>
        <v>ユニット 【グリム・ザ・ダンディ】 を 5 体ゲットしよう！</v>
      </c>
      <c r="D153" s="26" t="str">
        <f ca="1">IFERROR(VLOOKUP($A153,OFFSET(achievement_criterion_id,0,0,COUNTA($A:$A),MATCH(D$1,missions!$2:$2,0)-MATCH($A$1,missions!$2:$2,0)+1),MATCH(D$1,missions!$2:$2,0)-MATCH($A$1,missions!$2:$2,0)+1,FALSE),IFERROR(VLOOKUP($A153,OFFSET(weekly_achievement_criterion_id,0,0,COUNTA($A:$A),MATCH(D$1,weekly_missions!$2:$2,0)-MATCH($A$1,weekly_missions!$2:$2,0)+1),MATCH(D$1,weekly_missions!$2:$2,0)-MATCH($A$1,weekly_missions!$2:$2,0)+1,FALSE),"＊missions 未設定＊"))</f>
        <v>ホワイトデーチケット × 3</v>
      </c>
      <c r="E153" s="27" t="s">
        <v>352</v>
      </c>
      <c r="F153" s="2" t="s">
        <v>31</v>
      </c>
      <c r="G153" s="26" t="str">
        <f ca="1">VLOOKUP($F153,OFFSET(達成条件!$A$1,0,0,COUNTA($A:$A),MATCH(G$1,達成条件!$1:$1,0)-MATCH($F$1,達成条件!$1:$1,0)+1),MATCH(G$1,達成条件!$1:$1,0)-MATCH($F$1,達成条件!$1:$1,0)+1,FALSE)</f>
        <v>ユニット 【x】 を y 体ゲットしよう！</v>
      </c>
      <c r="H153" s="26" t="str">
        <f ca="1">VLOOKUP($F153,OFFSET(達成条件!$A$1,0,0,COUNTA($A:$A),MATCH(H$1,達成条件!$1:$1,0)-MATCH($F$1,達成条件!$1:$1,0)+1),MATCH(H$1,達成条件!$1:$1,0)-MATCH($F$1,達成条件!$1:$1,0)+1,FALSE)</f>
        <v>ユニットID</v>
      </c>
      <c r="I153" s="83" t="s">
        <v>2257</v>
      </c>
      <c r="J153" s="54" t="str">
        <f ca="1">IF(F153="specific_unit_aquired_count",SUBSTITUTE(G153,"x",VLOOKUP(INT($I153),OFFSET([3]characters!$A$1,0,0,COUNTA([3]characters!$A:$A),MATCH(J$1,[3]characters!$1:$1,0)-MATCH("character_id",[3]characters!$1:$1,0)+1),MATCH(J$1,[3]characters!$1:$1,0)-MATCH("character_id",[3]characters!$1:$1,0)+1,FALSE)),IF(F153="specific_quest_clear",VLOOKUP(SUBSTITUTE(I153,"-","_"),OFFSET([2]stages!$A$1,0,0,COUNTA([2]stages!$A:$A),MATCH("name",[2]stages!$1:$1,0)-MATCH("temp_stage",[2]stages!$1:$1,0)+1),MATCH("name",[2]stages!$1:$1,0)-MATCH("temp_stage",[2]stages!$1:$1,0)+1,FALSE),""))</f>
        <v>ユニット 【グリム・ザ・ダンディ】 を y 体ゲットしよう！</v>
      </c>
      <c r="K153" s="15">
        <v>5</v>
      </c>
      <c r="L153" s="15" t="s">
        <v>352</v>
      </c>
      <c r="M153" s="26"/>
      <c r="N153" s="26"/>
    </row>
    <row r="154" spans="1:14" ht="21" customHeight="1" x14ac:dyDescent="0.15">
      <c r="A154" s="138" t="s">
        <v>2253</v>
      </c>
      <c r="B154" s="21" t="s">
        <v>792</v>
      </c>
      <c r="C154" s="26" t="str">
        <f t="shared" ca="1" si="11"/>
        <v>ユニット 【グリム・ザ・ダンディ】 を 15 体ゲットしよう！</v>
      </c>
      <c r="D154" s="26" t="str">
        <f ca="1">IFERROR(VLOOKUP($A154,OFFSET(achievement_criterion_id,0,0,COUNTA($A:$A),MATCH(D$1,missions!$2:$2,0)-MATCH($A$1,missions!$2:$2,0)+1),MATCH(D$1,missions!$2:$2,0)-MATCH($A$1,missions!$2:$2,0)+1,FALSE),IFERROR(VLOOKUP($A154,OFFSET(weekly_achievement_criterion_id,0,0,COUNTA($A:$A),MATCH(D$1,weekly_missions!$2:$2,0)-MATCH($A$1,weekly_missions!$2:$2,0)+1),MATCH(D$1,weekly_missions!$2:$2,0)-MATCH($A$1,weekly_missions!$2:$2,0)+1,FALSE),"＊missions 未設定＊"))</f>
        <v>ホワイトデーチケット × 9</v>
      </c>
      <c r="E154" s="27" t="s">
        <v>352</v>
      </c>
      <c r="F154" s="2" t="s">
        <v>31</v>
      </c>
      <c r="G154" s="26" t="str">
        <f ca="1">VLOOKUP($F154,OFFSET(達成条件!$A$1,0,0,COUNTA($A:$A),MATCH(G$1,達成条件!$1:$1,0)-MATCH($F$1,達成条件!$1:$1,0)+1),MATCH(G$1,達成条件!$1:$1,0)-MATCH($F$1,達成条件!$1:$1,0)+1,FALSE)</f>
        <v>ユニット 【x】 を y 体ゲットしよう！</v>
      </c>
      <c r="H154" s="26" t="str">
        <f ca="1">VLOOKUP($F154,OFFSET(達成条件!$A$1,0,0,COUNTA($A:$A),MATCH(H$1,達成条件!$1:$1,0)-MATCH($F$1,達成条件!$1:$1,0)+1),MATCH(H$1,達成条件!$1:$1,0)-MATCH($F$1,達成条件!$1:$1,0)+1,FALSE)</f>
        <v>ユニットID</v>
      </c>
      <c r="I154" s="83" t="s">
        <v>2257</v>
      </c>
      <c r="J154" s="54" t="str">
        <f ca="1">IF(F154="specific_unit_aquired_count",SUBSTITUTE(G154,"x",VLOOKUP(INT($I154),OFFSET([3]characters!$A$1,0,0,COUNTA([3]characters!$A:$A),MATCH(J$1,[3]characters!$1:$1,0)-MATCH("character_id",[3]characters!$1:$1,0)+1),MATCH(J$1,[3]characters!$1:$1,0)-MATCH("character_id",[3]characters!$1:$1,0)+1,FALSE)),IF(F154="specific_quest_clear",VLOOKUP(SUBSTITUTE(I154,"-","_"),OFFSET([2]stages!$A$1,0,0,COUNTA([2]stages!$A:$A),MATCH("name",[2]stages!$1:$1,0)-MATCH("temp_stage",[2]stages!$1:$1,0)+1),MATCH("name",[2]stages!$1:$1,0)-MATCH("temp_stage",[2]stages!$1:$1,0)+1,FALSE),""))</f>
        <v>ユニット 【グリム・ザ・ダンディ】 を y 体ゲットしよう！</v>
      </c>
      <c r="K154" s="15">
        <v>15</v>
      </c>
      <c r="L154" s="15" t="s">
        <v>352</v>
      </c>
      <c r="M154" s="26"/>
      <c r="N154" s="26"/>
    </row>
    <row r="155" spans="1:14" ht="21" customHeight="1" x14ac:dyDescent="0.15">
      <c r="A155" s="138" t="s">
        <v>2254</v>
      </c>
      <c r="B155" s="21" t="s">
        <v>792</v>
      </c>
      <c r="C155" s="26" t="str">
        <f t="shared" ca="1" si="11"/>
        <v>ユニット 【グリム・ザ・ダンディ】 を 30 体ゲットしよう！</v>
      </c>
      <c r="D155" s="26" t="str">
        <f ca="1">IFERROR(VLOOKUP($A155,OFFSET(achievement_criterion_id,0,0,COUNTA($A:$A),MATCH(D$1,missions!$2:$2,0)-MATCH($A$1,missions!$2:$2,0)+1),MATCH(D$1,missions!$2:$2,0)-MATCH($A$1,missions!$2:$2,0)+1,FALSE),IFERROR(VLOOKUP($A155,OFFSET(weekly_achievement_criterion_id,0,0,COUNTA($A:$A),MATCH(D$1,weekly_missions!$2:$2,0)-MATCH($A$1,weekly_missions!$2:$2,0)+1),MATCH(D$1,weekly_missions!$2:$2,0)-MATCH($A$1,weekly_missions!$2:$2,0)+1,FALSE),"＊missions 未設定＊"))</f>
        <v>ホワイトデーチケット × 15</v>
      </c>
      <c r="E155" s="27" t="s">
        <v>352</v>
      </c>
      <c r="F155" s="2" t="s">
        <v>31</v>
      </c>
      <c r="G155" s="26" t="str">
        <f ca="1">VLOOKUP($F155,OFFSET(達成条件!$A$1,0,0,COUNTA($A:$A),MATCH(G$1,達成条件!$1:$1,0)-MATCH($F$1,達成条件!$1:$1,0)+1),MATCH(G$1,達成条件!$1:$1,0)-MATCH($F$1,達成条件!$1:$1,0)+1,FALSE)</f>
        <v>ユニット 【x】 を y 体ゲットしよう！</v>
      </c>
      <c r="H155" s="26" t="str">
        <f ca="1">VLOOKUP($F155,OFFSET(達成条件!$A$1,0,0,COUNTA($A:$A),MATCH(H$1,達成条件!$1:$1,0)-MATCH($F$1,達成条件!$1:$1,0)+1),MATCH(H$1,達成条件!$1:$1,0)-MATCH($F$1,達成条件!$1:$1,0)+1,FALSE)</f>
        <v>ユニットID</v>
      </c>
      <c r="I155" s="83" t="s">
        <v>2257</v>
      </c>
      <c r="J155" s="54" t="str">
        <f ca="1">IF(F155="specific_unit_aquired_count",SUBSTITUTE(G155,"x",VLOOKUP(INT($I155),OFFSET([3]characters!$A$1,0,0,COUNTA([3]characters!$A:$A),MATCH(J$1,[3]characters!$1:$1,0)-MATCH("character_id",[3]characters!$1:$1,0)+1),MATCH(J$1,[3]characters!$1:$1,0)-MATCH("character_id",[3]characters!$1:$1,0)+1,FALSE)),IF(F155="specific_quest_clear",VLOOKUP(SUBSTITUTE(I155,"-","_"),OFFSET([2]stages!$A$1,0,0,COUNTA([2]stages!$A:$A),MATCH("name",[2]stages!$1:$1,0)-MATCH("temp_stage",[2]stages!$1:$1,0)+1),MATCH("name",[2]stages!$1:$1,0)-MATCH("temp_stage",[2]stages!$1:$1,0)+1,FALSE),""))</f>
        <v>ユニット 【グリム・ザ・ダンディ】 を y 体ゲットしよう！</v>
      </c>
      <c r="K155" s="15">
        <v>30</v>
      </c>
      <c r="L155" s="15" t="s">
        <v>352</v>
      </c>
      <c r="M155" s="26"/>
      <c r="N155" s="26"/>
    </row>
    <row r="156" spans="1:14" ht="21" customHeight="1" x14ac:dyDescent="0.15">
      <c r="A156" s="138" t="s">
        <v>2255</v>
      </c>
      <c r="B156" s="21" t="s">
        <v>792</v>
      </c>
      <c r="C156" s="26" t="str">
        <f t="shared" ca="1" si="11"/>
        <v>ユニット 【グリム・ザ・ダンディ】 を 50 体ゲットしよう！</v>
      </c>
      <c r="D156" s="26" t="str">
        <f ca="1">IFERROR(VLOOKUP($A156,OFFSET(achievement_criterion_id,0,0,COUNTA($A:$A),MATCH(D$1,missions!$2:$2,0)-MATCH($A$1,missions!$2:$2,0)+1),MATCH(D$1,missions!$2:$2,0)-MATCH($A$1,missions!$2:$2,0)+1,FALSE),IFERROR(VLOOKUP($A156,OFFSET(weekly_achievement_criterion_id,0,0,COUNTA($A:$A),MATCH(D$1,weekly_missions!$2:$2,0)-MATCH($A$1,weekly_missions!$2:$2,0)+1),MATCH(D$1,weekly_missions!$2:$2,0)-MATCH($A$1,weekly_missions!$2:$2,0)+1,FALSE),"＊missions 未設定＊"))</f>
        <v>ホワイトデーチケット × 30</v>
      </c>
      <c r="E156" s="27" t="s">
        <v>352</v>
      </c>
      <c r="F156" s="2" t="s">
        <v>31</v>
      </c>
      <c r="G156" s="26" t="str">
        <f ca="1">VLOOKUP($F156,OFFSET(達成条件!$A$1,0,0,COUNTA($A:$A),MATCH(G$1,達成条件!$1:$1,0)-MATCH($F$1,達成条件!$1:$1,0)+1),MATCH(G$1,達成条件!$1:$1,0)-MATCH($F$1,達成条件!$1:$1,0)+1,FALSE)</f>
        <v>ユニット 【x】 を y 体ゲットしよう！</v>
      </c>
      <c r="H156" s="26" t="str">
        <f ca="1">VLOOKUP($F156,OFFSET(達成条件!$A$1,0,0,COUNTA($A:$A),MATCH(H$1,達成条件!$1:$1,0)-MATCH($F$1,達成条件!$1:$1,0)+1),MATCH(H$1,達成条件!$1:$1,0)-MATCH($F$1,達成条件!$1:$1,0)+1,FALSE)</f>
        <v>ユニットID</v>
      </c>
      <c r="I156" s="83" t="s">
        <v>2257</v>
      </c>
      <c r="J156" s="54" t="str">
        <f ca="1">IF(F156="specific_unit_aquired_count",SUBSTITUTE(G156,"x",VLOOKUP(INT($I156),OFFSET([3]characters!$A$1,0,0,COUNTA([3]characters!$A:$A),MATCH(J$1,[3]characters!$1:$1,0)-MATCH("character_id",[3]characters!$1:$1,0)+1),MATCH(J$1,[3]characters!$1:$1,0)-MATCH("character_id",[3]characters!$1:$1,0)+1,FALSE)),IF(F156="specific_quest_clear",VLOOKUP(SUBSTITUTE(I156,"-","_"),OFFSET([2]stages!$A$1,0,0,COUNTA([2]stages!$A:$A),MATCH("name",[2]stages!$1:$1,0)-MATCH("temp_stage",[2]stages!$1:$1,0)+1),MATCH("name",[2]stages!$1:$1,0)-MATCH("temp_stage",[2]stages!$1:$1,0)+1,FALSE),""))</f>
        <v>ユニット 【グリム・ザ・ダンディ】 を y 体ゲットしよう！</v>
      </c>
      <c r="K156" s="15">
        <v>50</v>
      </c>
      <c r="L156" s="15" t="s">
        <v>352</v>
      </c>
      <c r="M156" s="26"/>
      <c r="N156" s="26"/>
    </row>
    <row r="157" spans="1:14" ht="21" customHeight="1" x14ac:dyDescent="0.15">
      <c r="A157" s="138" t="s">
        <v>2256</v>
      </c>
      <c r="B157" s="21" t="s">
        <v>792</v>
      </c>
      <c r="C157" s="26" t="str">
        <f t="shared" ca="1" si="11"/>
        <v>ユニット 【グリム・ザ・ダンディ】 を 70 体ゲットしよう！</v>
      </c>
      <c r="D157" s="26" t="str">
        <f ca="1">IFERROR(VLOOKUP($A157,OFFSET(achievement_criterion_id,0,0,COUNTA($A:$A),MATCH(D$1,missions!$2:$2,0)-MATCH($A$1,missions!$2:$2,0)+1),MATCH(D$1,missions!$2:$2,0)-MATCH($A$1,missions!$2:$2,0)+1,FALSE),IFERROR(VLOOKUP($A157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157" s="27" t="s">
        <v>352</v>
      </c>
      <c r="F157" s="2" t="s">
        <v>31</v>
      </c>
      <c r="G157" s="26" t="str">
        <f ca="1">VLOOKUP($F157,OFFSET(達成条件!$A$1,0,0,COUNTA($A:$A),MATCH(G$1,達成条件!$1:$1,0)-MATCH($F$1,達成条件!$1:$1,0)+1),MATCH(G$1,達成条件!$1:$1,0)-MATCH($F$1,達成条件!$1:$1,0)+1,FALSE)</f>
        <v>ユニット 【x】 を y 体ゲットしよう！</v>
      </c>
      <c r="H157" s="26" t="str">
        <f ca="1">VLOOKUP($F157,OFFSET(達成条件!$A$1,0,0,COUNTA($A:$A),MATCH(H$1,達成条件!$1:$1,0)-MATCH($F$1,達成条件!$1:$1,0)+1),MATCH(H$1,達成条件!$1:$1,0)-MATCH($F$1,達成条件!$1:$1,0)+1,FALSE)</f>
        <v>ユニットID</v>
      </c>
      <c r="I157" s="83" t="s">
        <v>2257</v>
      </c>
      <c r="J157" s="54" t="str">
        <f ca="1">IF(F157="specific_unit_aquired_count",SUBSTITUTE(G157,"x",VLOOKUP(INT($I157),OFFSET([3]characters!$A$1,0,0,COUNTA([3]characters!$A:$A),MATCH(J$1,[3]characters!$1:$1,0)-MATCH("character_id",[3]characters!$1:$1,0)+1),MATCH(J$1,[3]characters!$1:$1,0)-MATCH("character_id",[3]characters!$1:$1,0)+1,FALSE)),IF(F157="specific_quest_clear",VLOOKUP(SUBSTITUTE(I157,"-","_"),OFFSET([2]stages!$A$1,0,0,COUNTA([2]stages!$A:$A),MATCH("name",[2]stages!$1:$1,0)-MATCH("temp_stage",[2]stages!$1:$1,0)+1),MATCH("name",[2]stages!$1:$1,0)-MATCH("temp_stage",[2]stages!$1:$1,0)+1,FALSE),""))</f>
        <v>ユニット 【グリム・ザ・ダンディ】 を y 体ゲットしよう！</v>
      </c>
      <c r="K157" s="15">
        <v>70</v>
      </c>
      <c r="L157" s="15" t="s">
        <v>352</v>
      </c>
      <c r="M157" s="26"/>
      <c r="N157" s="26"/>
    </row>
    <row r="158" spans="1:14" ht="21" customHeight="1" x14ac:dyDescent="0.15">
      <c r="A158" s="138" t="s">
        <v>2312</v>
      </c>
      <c r="B158" s="21" t="s">
        <v>792</v>
      </c>
      <c r="C158" s="26" t="str">
        <f ca="1">IF(F158="specific_quest_clear",SUBSTITUTE(G158,"x",J158),IF(F158="specific_unit_aquired_count",SUBSTITUTE(J158,"y",K158),SUBSTITUTE(G158,"x",I158)))</f>
        <v>クエスト 【初級】侵略！？にゃんこ軍団現る！ をクリアしよう！</v>
      </c>
      <c r="D158" s="26" t="str">
        <f ca="1">IFERROR(VLOOKUP($A158,OFFSET(achievement_criterion_id,0,0,COUNTA($A:$A),MATCH(D$1,missions!$2:$2,0)-MATCH($A$1,missions!$2:$2,0)+1),MATCH(D$1,missions!$2:$2,0)-MATCH($A$1,missions!$2:$2,0)+1,FALSE),IFERROR(VLOOKUP($A158,OFFSET(weekly_achievement_criterion_id,0,0,COUNTA($A:$A),MATCH(D$1,weekly_missions!$2:$2,0)-MATCH($A$1,weekly_missions!$2:$2,0)+1),MATCH(D$1,weekly_missions!$2:$2,0)-MATCH($A$1,weekly_missions!$2:$2,0)+1,FALSE),"＊missions 未設定＊"))</f>
        <v>にゃんこワクワクチケット x 5</v>
      </c>
      <c r="E158" s="27" t="s">
        <v>352</v>
      </c>
      <c r="F158" s="17" t="s">
        <v>310</v>
      </c>
      <c r="G158" s="27" t="s">
        <v>765</v>
      </c>
      <c r="H158" s="26" t="str">
        <f ca="1">VLOOKUP($F158,OFFSET(達成条件!$A$1,0,0,COUNTA($A:$A),MATCH(H$1,達成条件!$1:$1,0)-MATCH($F$1,達成条件!$1:$1,0)+1),MATCH(H$1,達成条件!$1:$1,0)-MATCH($F$1,達成条件!$1:$1,0)+1,FALSE)</f>
        <v>該当のクエスト(99-9)</v>
      </c>
      <c r="I158" s="83" t="s">
        <v>2320</v>
      </c>
      <c r="J158" s="54" t="str">
        <f ca="1">IF(F158="specific_unit_aquired_count",SUBSTITUTE(G158,"x",VLOOKUP(INT($I158),OFFSET([3]characters!$A$2,0,0,COUNTA([3]characters!$A:$A),MATCH(J$1,[3]characters!$2:$2,0)-MATCH("character_id",[3]characters!$2:$2,0)+1),MATCH(J$1,[3]characters!$2:$2,0)-MATCH("character_id",[3]characters!$2:$2,0)+1,FALSE)),IF(F158="specific_quest_clear",VLOOKUP(SUBSTITUTE(I158,"-","_"),OFFSET([2]stages!$A$2,0,0,COUNTA([2]stages!$A:$A),MATCH("name",[2]stages!$2:$2,0)-MATCH("temp_stage",[2]stages!$2:$2,0)+1),MATCH("name",[2]stages!$2:$2,0)-MATCH("temp_stage",[2]stages!$2:$2,0)+1,FALSE),""))</f>
        <v>【初級】侵略！？にゃんこ軍団現る！</v>
      </c>
      <c r="K158" s="15">
        <v>1</v>
      </c>
      <c r="L158" s="15" t="s">
        <v>352</v>
      </c>
      <c r="M158" s="26"/>
      <c r="N158" s="26"/>
    </row>
    <row r="159" spans="1:14" ht="21" customHeight="1" x14ac:dyDescent="0.15">
      <c r="A159" s="138" t="s">
        <v>2313</v>
      </c>
      <c r="B159" s="21" t="s">
        <v>792</v>
      </c>
      <c r="C159" s="26" t="str">
        <f t="shared" ref="C159:C170" ca="1" si="12">IF(F159="specific_quest_clear",SUBSTITUTE(G159,"x",J159),IF(F159="specific_unit_aquired_count",SUBSTITUTE(J159,"y",K159),SUBSTITUTE(G159,"x",I159)))</f>
        <v>クエスト 【中級】侵略！？にゃんこ軍団現る！ をクリアしよう！</v>
      </c>
      <c r="D159" s="26" t="str">
        <f ca="1">IFERROR(VLOOKUP($A159,OFFSET(achievement_criterion_id,0,0,COUNTA($A:$A),MATCH(D$1,missions!$2:$2,0)-MATCH($A$1,missions!$2:$2,0)+1),MATCH(D$1,missions!$2:$2,0)-MATCH($A$1,missions!$2:$2,0)+1,FALSE),IFERROR(VLOOKUP($A159,OFFSET(weekly_achievement_criterion_id,0,0,COUNTA($A:$A),MATCH(D$1,weekly_missions!$2:$2,0)-MATCH($A$1,weekly_missions!$2:$2,0)+1),MATCH(D$1,weekly_missions!$2:$2,0)-MATCH($A$1,weekly_missions!$2:$2,0)+1,FALSE),"＊missions 未設定＊"))</f>
        <v>にゃんこワクワクチケット x 7</v>
      </c>
      <c r="E159" s="27" t="s">
        <v>352</v>
      </c>
      <c r="F159" s="17" t="s">
        <v>310</v>
      </c>
      <c r="G159" s="27" t="s">
        <v>765</v>
      </c>
      <c r="H159" s="26" t="str">
        <f ca="1">VLOOKUP($F159,OFFSET(達成条件!$A$1,0,0,COUNTA($A:$A),MATCH(H$1,達成条件!$1:$1,0)-MATCH($F$1,達成条件!$1:$1,0)+1),MATCH(H$1,達成条件!$1:$1,0)-MATCH($F$1,達成条件!$1:$1,0)+1,FALSE)</f>
        <v>該当のクエスト(99-9)</v>
      </c>
      <c r="I159" s="83" t="s">
        <v>2321</v>
      </c>
      <c r="J159" s="54" t="str">
        <f ca="1">IF(F159="specific_unit_aquired_count",SUBSTITUTE(G159,"x",VLOOKUP(INT($I159),OFFSET([3]characters!$A$2,0,0,COUNTA([3]characters!$A:$A),MATCH(J$1,[3]characters!$2:$2,0)-MATCH("character_id",[3]characters!$2:$2,0)+1),MATCH(J$1,[3]characters!$2:$2,0)-MATCH("character_id",[3]characters!$2:$2,0)+1,FALSE)),IF(F159="specific_quest_clear",VLOOKUP(SUBSTITUTE(I159,"-","_"),OFFSET([2]stages!$A$2,0,0,COUNTA([2]stages!$A:$A),MATCH("name",[2]stages!$2:$2,0)-MATCH("temp_stage",[2]stages!$2:$2,0)+1),MATCH("name",[2]stages!$2:$2,0)-MATCH("temp_stage",[2]stages!$2:$2,0)+1,FALSE),""))</f>
        <v>【中級】侵略！？にゃんこ軍団現る！</v>
      </c>
      <c r="K159" s="15">
        <v>1</v>
      </c>
      <c r="L159" s="15" t="s">
        <v>352</v>
      </c>
      <c r="M159" s="26"/>
      <c r="N159" s="26"/>
    </row>
    <row r="160" spans="1:14" ht="21" customHeight="1" x14ac:dyDescent="0.15">
      <c r="A160" s="138" t="s">
        <v>2314</v>
      </c>
      <c r="B160" s="21" t="s">
        <v>792</v>
      </c>
      <c r="C160" s="26" t="str">
        <f t="shared" ca="1" si="12"/>
        <v>クエスト 【上級】侵略！？にゃんこ軍団現る！ をクリアしよう！</v>
      </c>
      <c r="D160" s="26" t="str">
        <f ca="1">IFERROR(VLOOKUP($A160,OFFSET(achievement_criterion_id,0,0,COUNTA($A:$A),MATCH(D$1,missions!$2:$2,0)-MATCH($A$1,missions!$2:$2,0)+1),MATCH(D$1,missions!$2:$2,0)-MATCH($A$1,missions!$2:$2,0)+1,FALSE),IFERROR(VLOOKUP($A160,OFFSET(weekly_achievement_criterion_id,0,0,COUNTA($A:$A),MATCH(D$1,weekly_missions!$2:$2,0)-MATCH($A$1,weekly_missions!$2:$2,0)+1),MATCH(D$1,weekly_missions!$2:$2,0)-MATCH($A$1,weekly_missions!$2:$2,0)+1,FALSE),"＊missions 未設定＊"))</f>
        <v>にゃんこワクワクチケット x 10</v>
      </c>
      <c r="E160" s="27" t="s">
        <v>352</v>
      </c>
      <c r="F160" s="17" t="s">
        <v>310</v>
      </c>
      <c r="G160" s="27" t="s">
        <v>765</v>
      </c>
      <c r="H160" s="26" t="str">
        <f ca="1">VLOOKUP($F160,OFFSET(達成条件!$A$1,0,0,COUNTA($A:$A),MATCH(H$1,達成条件!$1:$1,0)-MATCH($F$1,達成条件!$1:$1,0)+1),MATCH(H$1,達成条件!$1:$1,0)-MATCH($F$1,達成条件!$1:$1,0)+1,FALSE)</f>
        <v>該当のクエスト(99-9)</v>
      </c>
      <c r="I160" s="83" t="s">
        <v>2322</v>
      </c>
      <c r="J160" s="54" t="str">
        <f ca="1">IF(F160="specific_unit_aquired_count",SUBSTITUTE(G160,"x",VLOOKUP(INT($I160),OFFSET([3]characters!$A$2,0,0,COUNTA([3]characters!$A:$A),MATCH(J$1,[3]characters!$2:$2,0)-MATCH("character_id",[3]characters!$2:$2,0)+1),MATCH(J$1,[3]characters!$2:$2,0)-MATCH("character_id",[3]characters!$2:$2,0)+1,FALSE)),IF(F160="specific_quest_clear",VLOOKUP(SUBSTITUTE(I160,"-","_"),OFFSET([2]stages!$A$2,0,0,COUNTA([2]stages!$A:$A),MATCH("name",[2]stages!$2:$2,0)-MATCH("temp_stage",[2]stages!$2:$2,0)+1),MATCH("name",[2]stages!$2:$2,0)-MATCH("temp_stage",[2]stages!$2:$2,0)+1,FALSE),""))</f>
        <v>【上級】侵略！？にゃんこ軍団現る！</v>
      </c>
      <c r="K160" s="15">
        <v>1</v>
      </c>
      <c r="L160" s="15" t="s">
        <v>352</v>
      </c>
      <c r="M160" s="26"/>
      <c r="N160" s="26"/>
    </row>
    <row r="161" spans="1:14" ht="21" customHeight="1" x14ac:dyDescent="0.15">
      <c r="A161" s="138" t="s">
        <v>2315</v>
      </c>
      <c r="B161" s="21" t="s">
        <v>792</v>
      </c>
      <c r="C161" s="26" t="str">
        <f t="shared" ca="1" si="12"/>
        <v>クエスト 【超上級】侵略！？にゃんこ軍団現る！ をクリアしよう！</v>
      </c>
      <c r="D161" s="26" t="str">
        <f ca="1">IFERROR(VLOOKUP($A161,OFFSET(achievement_criterion_id,0,0,COUNTA($A:$A),MATCH(D$1,missions!$2:$2,0)-MATCH($A$1,missions!$2:$2,0)+1),MATCH(D$1,missions!$2:$2,0)-MATCH($A$1,missions!$2:$2,0)+1,FALSE),IFERROR(VLOOKUP($A161,OFFSET(weekly_achievement_criterion_id,0,0,COUNTA($A:$A),MATCH(D$1,weekly_missions!$2:$2,0)-MATCH($A$1,weekly_missions!$2:$2,0)+1),MATCH(D$1,weekly_missions!$2:$2,0)-MATCH($A$1,weekly_missions!$2:$2,0)+1,FALSE),"＊missions 未設定＊"))</f>
        <v>ネコフラワー x 1</v>
      </c>
      <c r="E161" s="27" t="s">
        <v>352</v>
      </c>
      <c r="F161" s="17" t="s">
        <v>310</v>
      </c>
      <c r="G161" s="27" t="s">
        <v>765</v>
      </c>
      <c r="H161" s="26" t="str">
        <f ca="1">VLOOKUP($F161,OFFSET(達成条件!$A$1,0,0,COUNTA($A:$A),MATCH(H$1,達成条件!$1:$1,0)-MATCH($F$1,達成条件!$1:$1,0)+1),MATCH(H$1,達成条件!$1:$1,0)-MATCH($F$1,達成条件!$1:$1,0)+1,FALSE)</f>
        <v>該当のクエスト(99-9)</v>
      </c>
      <c r="I161" s="83" t="s">
        <v>2323</v>
      </c>
      <c r="J161" s="54" t="str">
        <f ca="1">IF(F161="specific_unit_aquired_count",SUBSTITUTE(G161,"x",VLOOKUP(INT($I161),OFFSET([3]characters!$A$2,0,0,COUNTA([3]characters!$A:$A),MATCH(J$1,[3]characters!$2:$2,0)-MATCH("character_id",[3]characters!$2:$2,0)+1),MATCH(J$1,[3]characters!$2:$2,0)-MATCH("character_id",[3]characters!$2:$2,0)+1,FALSE)),IF(F161="specific_quest_clear",VLOOKUP(SUBSTITUTE(I161,"-","_"),OFFSET([2]stages!$A$2,0,0,COUNTA([2]stages!$A:$A),MATCH("name",[2]stages!$2:$2,0)-MATCH("temp_stage",[2]stages!$2:$2,0)+1),MATCH("name",[2]stages!$2:$2,0)-MATCH("temp_stage",[2]stages!$2:$2,0)+1,FALSE),""))</f>
        <v>【超上級】侵略！？にゃんこ軍団現る！</v>
      </c>
      <c r="K161" s="15">
        <v>1</v>
      </c>
      <c r="L161" s="15" t="s">
        <v>352</v>
      </c>
      <c r="M161" s="26"/>
      <c r="N161" s="26"/>
    </row>
    <row r="162" spans="1:14" ht="21" customHeight="1" x14ac:dyDescent="0.15">
      <c r="A162" s="138" t="s">
        <v>2316</v>
      </c>
      <c r="B162" s="21" t="s">
        <v>792</v>
      </c>
      <c r="C162" s="26" t="str">
        <f t="shared" ca="1" si="12"/>
        <v>クエスト 【激ムズ】侵略！？にゃんこ軍団現る！ をクリアしよう！</v>
      </c>
      <c r="D162" s="26" t="str">
        <f ca="1">IFERROR(VLOOKUP($A162,OFFSET(achievement_criterion_id,0,0,COUNTA($A:$A),MATCH(D$1,missions!$2:$2,0)-MATCH($A$1,missions!$2:$2,0)+1),MATCH(D$1,missions!$2:$2,0)-MATCH($A$1,missions!$2:$2,0)+1,FALSE),IFERROR(VLOOKUP($A162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62" s="27" t="s">
        <v>352</v>
      </c>
      <c r="F162" s="17" t="s">
        <v>310</v>
      </c>
      <c r="G162" s="27" t="s">
        <v>765</v>
      </c>
      <c r="H162" s="26" t="str">
        <f ca="1">VLOOKUP($F162,OFFSET(達成条件!$A$1,0,0,COUNTA($A:$A),MATCH(H$1,達成条件!$1:$1,0)-MATCH($F$1,達成条件!$1:$1,0)+1),MATCH(H$1,達成条件!$1:$1,0)-MATCH($F$1,達成条件!$1:$1,0)+1,FALSE)</f>
        <v>該当のクエスト(99-9)</v>
      </c>
      <c r="I162" s="83" t="s">
        <v>2324</v>
      </c>
      <c r="J162" s="54" t="str">
        <f ca="1">IF(F162="specific_unit_aquired_count",SUBSTITUTE(G162,"x",VLOOKUP(INT($I162),OFFSET([3]characters!$A$2,0,0,COUNTA([3]characters!$A:$A),MATCH(J$1,[3]characters!$2:$2,0)-MATCH("character_id",[3]characters!$2:$2,0)+1),MATCH(J$1,[3]characters!$2:$2,0)-MATCH("character_id",[3]characters!$2:$2,0)+1,FALSE)),IF(F162="specific_quest_clear",VLOOKUP(SUBSTITUTE(I162,"-","_"),OFFSET([2]stages!$A$2,0,0,COUNTA([2]stages!$A:$A),MATCH("name",[2]stages!$2:$2,0)-MATCH("temp_stage",[2]stages!$2:$2,0)+1),MATCH("name",[2]stages!$2:$2,0)-MATCH("temp_stage",[2]stages!$2:$2,0)+1,FALSE),""))</f>
        <v>【激ムズ】侵略！？にゃんこ軍団現る！</v>
      </c>
      <c r="K162" s="15">
        <v>1</v>
      </c>
      <c r="L162" s="15" t="s">
        <v>352</v>
      </c>
      <c r="M162" s="26"/>
      <c r="N162" s="26"/>
    </row>
    <row r="163" spans="1:14" ht="21" customHeight="1" x14ac:dyDescent="0.15">
      <c r="A163" s="138" t="s">
        <v>2317</v>
      </c>
      <c r="B163" s="21" t="s">
        <v>792</v>
      </c>
      <c r="C163" s="26" t="str">
        <f t="shared" ca="1" si="12"/>
        <v>クエスト 【激ムズ】ネコムート襲来 をクリアしよう！</v>
      </c>
      <c r="D163" s="26" t="str">
        <f ca="1">IFERROR(VLOOKUP($A163,OFFSET(achievement_criterion_id,0,0,COUNTA($A:$A),MATCH(D$1,missions!$2:$2,0)-MATCH($A$1,missions!$2:$2,0)+1),MATCH(D$1,missions!$2:$2,0)-MATCH($A$1,missions!$2:$2,0)+1,FALSE),IFERROR(VLOOKUP($A163,OFFSET(weekly_achievement_criterion_id,0,0,COUNTA($A:$A),MATCH(D$1,weekly_missions!$2:$2,0)-MATCH($A$1,weekly_missions!$2:$2,0)+1),MATCH(D$1,weekly_missions!$2:$2,0)-MATCH($A$1,weekly_missions!$2:$2,0)+1,FALSE),"＊missions 未設定＊"))</f>
        <v>にゃんこワクワクチケット x 10</v>
      </c>
      <c r="E163" s="27" t="s">
        <v>352</v>
      </c>
      <c r="F163" s="17" t="s">
        <v>310</v>
      </c>
      <c r="G163" s="27" t="s">
        <v>765</v>
      </c>
      <c r="H163" s="26" t="str">
        <f ca="1">VLOOKUP($F163,OFFSET(達成条件!$A$1,0,0,COUNTA($A:$A),MATCH(H$1,達成条件!$1:$1,0)-MATCH($F$1,達成条件!$1:$1,0)+1),MATCH(H$1,達成条件!$1:$1,0)-MATCH($F$1,達成条件!$1:$1,0)+1,FALSE)</f>
        <v>該当のクエスト(99-9)</v>
      </c>
      <c r="I163" s="83" t="s">
        <v>2325</v>
      </c>
      <c r="J163" s="54" t="str">
        <f ca="1">IF(F163="specific_unit_aquired_count",SUBSTITUTE(G163,"x",VLOOKUP(INT($I163),OFFSET([3]characters!$A$2,0,0,COUNTA([3]characters!$A:$A),MATCH(J$1,[3]characters!$2:$2,0)-MATCH("character_id",[3]characters!$2:$2,0)+1),MATCH(J$1,[3]characters!$2:$2,0)-MATCH("character_id",[3]characters!$2:$2,0)+1,FALSE)),IF(F163="specific_quest_clear",VLOOKUP(SUBSTITUTE(I163,"-","_"),OFFSET([2]stages!$A$2,0,0,COUNTA([2]stages!$A:$A),MATCH("name",[2]stages!$2:$2,0)-MATCH("temp_stage",[2]stages!$2:$2,0)+1),MATCH("name",[2]stages!$2:$2,0)-MATCH("temp_stage",[2]stages!$2:$2,0)+1,FALSE),""))</f>
        <v>【激ムズ】ネコムート襲来</v>
      </c>
      <c r="K163" s="15">
        <v>1</v>
      </c>
      <c r="L163" s="15" t="s">
        <v>352</v>
      </c>
      <c r="M163" s="26"/>
      <c r="N163" s="26"/>
    </row>
    <row r="164" spans="1:14" ht="21" customHeight="1" x14ac:dyDescent="0.15">
      <c r="A164" s="138" t="s">
        <v>2318</v>
      </c>
      <c r="B164" s="21" t="s">
        <v>792</v>
      </c>
      <c r="C164" s="26" t="str">
        <f t="shared" ca="1" si="12"/>
        <v>クエスト 【超激ムズ】ネコムート襲来 をクリアしよう！</v>
      </c>
      <c r="D164" s="26" t="str">
        <f ca="1">IFERROR(VLOOKUP($A164,OFFSET(achievement_criterion_id,0,0,COUNTA($A:$A),MATCH(D$1,missions!$2:$2,0)-MATCH($A$1,missions!$2:$2,0)+1),MATCH(D$1,missions!$2:$2,0)-MATCH($A$1,missions!$2:$2,0)+1,FALSE),IFERROR(VLOOKUP($A164,OFFSET(weekly_achievement_criterion_id,0,0,COUNTA($A:$A),MATCH(D$1,weekly_missions!$2:$2,0)-MATCH($A$1,weekly_missions!$2:$2,0)+1),MATCH(D$1,weekly_missions!$2:$2,0)-MATCH($A$1,weekly_missions!$2:$2,0)+1,FALSE),"＊missions 未設定＊"))</f>
        <v>ポリゴン x 3</v>
      </c>
      <c r="E164" s="27" t="s">
        <v>352</v>
      </c>
      <c r="F164" s="17" t="s">
        <v>310</v>
      </c>
      <c r="G164" s="27" t="s">
        <v>765</v>
      </c>
      <c r="H164" s="26" t="str">
        <f ca="1">VLOOKUP($F164,OFFSET(達成条件!$A$1,0,0,COUNTA($A:$A),MATCH(H$1,達成条件!$1:$1,0)-MATCH($F$1,達成条件!$1:$1,0)+1),MATCH(H$1,達成条件!$1:$1,0)-MATCH($F$1,達成条件!$1:$1,0)+1,FALSE)</f>
        <v>該当のクエスト(99-9)</v>
      </c>
      <c r="I164" s="83" t="s">
        <v>2326</v>
      </c>
      <c r="J164" s="54" t="str">
        <f ca="1">IF(F164="specific_unit_aquired_count",SUBSTITUTE(G164,"x",VLOOKUP(INT($I164),OFFSET([3]characters!$A$2,0,0,COUNTA([3]characters!$A:$A),MATCH(J$1,[3]characters!$2:$2,0)-MATCH("character_id",[3]characters!$2:$2,0)+1),MATCH(J$1,[3]characters!$2:$2,0)-MATCH("character_id",[3]characters!$2:$2,0)+1,FALSE)),IF(F164="specific_quest_clear",VLOOKUP(SUBSTITUTE(I164,"-","_"),OFFSET([2]stages!$A$2,0,0,COUNTA([2]stages!$A:$A),MATCH("name",[2]stages!$2:$2,0)-MATCH("temp_stage",[2]stages!$2:$2,0)+1),MATCH("name",[2]stages!$2:$2,0)-MATCH("temp_stage",[2]stages!$2:$2,0)+1,FALSE),""))</f>
        <v>【超激ムズ】ネコムート襲来</v>
      </c>
      <c r="K164" s="15">
        <v>1</v>
      </c>
      <c r="L164" s="15" t="s">
        <v>352</v>
      </c>
      <c r="M164" s="26"/>
      <c r="N164" s="26"/>
    </row>
    <row r="165" spans="1:14" ht="21" customHeight="1" x14ac:dyDescent="0.15">
      <c r="A165" s="138" t="s">
        <v>2319</v>
      </c>
      <c r="B165" s="21" t="s">
        <v>792</v>
      </c>
      <c r="C165" s="26" t="str">
        <f t="shared" ca="1" si="12"/>
        <v>クエスト 【極ムズ】狂乱のネコ降臨 をクリアしよう！</v>
      </c>
      <c r="D165" s="26" t="str">
        <f ca="1">IFERROR(VLOOKUP($A165,OFFSET(achievement_criterion_id,0,0,COUNTA($A:$A),MATCH(D$1,missions!$2:$2,0)-MATCH($A$1,missions!$2:$2,0)+1),MATCH(D$1,missions!$2:$2,0)-MATCH($A$1,missions!$2:$2,0)+1,FALSE),IFERROR(VLOOKUP($A165,OFFSET(weekly_achievement_criterion_id,0,0,COUNTA($A:$A),MATCH(D$1,weekly_missions!$2:$2,0)-MATCH($A$1,weekly_missions!$2:$2,0)+1),MATCH(D$1,weekly_missions!$2:$2,0)-MATCH($A$1,weekly_missions!$2:$2,0)+1,FALSE),"＊missions 未設定＊"))</f>
        <v>ポリゴン x 3</v>
      </c>
      <c r="E165" s="27" t="s">
        <v>352</v>
      </c>
      <c r="F165" s="17" t="s">
        <v>310</v>
      </c>
      <c r="G165" s="27" t="s">
        <v>765</v>
      </c>
      <c r="H165" s="26" t="str">
        <f ca="1">VLOOKUP($F165,OFFSET(達成条件!$A$1,0,0,COUNTA($A:$A),MATCH(H$1,達成条件!$1:$1,0)-MATCH($F$1,達成条件!$1:$1,0)+1),MATCH(H$1,達成条件!$1:$1,0)-MATCH($F$1,達成条件!$1:$1,0)+1,FALSE)</f>
        <v>該当のクエスト(99-9)</v>
      </c>
      <c r="I165" s="83" t="s">
        <v>2327</v>
      </c>
      <c r="J165" s="54" t="str">
        <f ca="1">IF(F165="specific_unit_aquired_count",SUBSTITUTE(G165,"x",VLOOKUP(INT($I165),OFFSET([3]characters!$A$2,0,0,COUNTA([3]characters!$A:$A),MATCH(J$1,[3]characters!$2:$2,0)-MATCH("character_id",[3]characters!$2:$2,0)+1),MATCH(J$1,[3]characters!$2:$2,0)-MATCH("character_id",[3]characters!$2:$2,0)+1,FALSE)),IF(F165="specific_quest_clear",VLOOKUP(SUBSTITUTE(I165,"-","_"),OFFSET([2]stages!$A$2,0,0,COUNTA([2]stages!$A:$A),MATCH("name",[2]stages!$2:$2,0)-MATCH("temp_stage",[2]stages!$2:$2,0)+1),MATCH("name",[2]stages!$2:$2,0)-MATCH("temp_stage",[2]stages!$2:$2,0)+1,FALSE),""))</f>
        <v>【極ムズ】狂乱のネコ降臨</v>
      </c>
      <c r="K165" s="15">
        <v>1</v>
      </c>
      <c r="L165" s="15" t="s">
        <v>352</v>
      </c>
      <c r="M165" s="26"/>
      <c r="N165" s="26"/>
    </row>
    <row r="166" spans="1:14" ht="21" customHeight="1" x14ac:dyDescent="0.15">
      <c r="A166" s="138" t="s">
        <v>2484</v>
      </c>
      <c r="B166" s="21" t="s">
        <v>792</v>
      </c>
      <c r="C166" s="26" t="str">
        <f t="shared" ca="1" si="12"/>
        <v>ユニット 【ヨシノ】 を 5 体ゲットしよう！</v>
      </c>
      <c r="D166" s="26" t="str">
        <f ca="1">IFERROR(VLOOKUP($A166,OFFSET(achievement_criterion_id,0,0,COUNTA($A:$A),MATCH(D$1,missions!$2:$2,0)-MATCH($A$1,missions!$2:$2,0)+1),MATCH(D$1,missions!$2:$2,0)-MATCH($A$1,missions!$2:$2,0)+1,FALSE),IFERROR(VLOOKUP($A166,OFFSET(weekly_achievement_criterion_id,0,0,COUNTA($A:$A),MATCH(D$1,weekly_missions!$2:$2,0)-MATCH($A$1,weekly_missions!$2:$2,0)+1),MATCH(D$1,weekly_missions!$2:$2,0)-MATCH($A$1,weekly_missions!$2:$2,0)+1,FALSE),"＊missions 未設定＊"))</f>
        <v>桜の花びら x 5</v>
      </c>
      <c r="E166" s="27" t="s">
        <v>352</v>
      </c>
      <c r="F166" s="2" t="s">
        <v>31</v>
      </c>
      <c r="G166" s="26" t="str">
        <f ca="1">VLOOKUP($F166,OFFSET(達成条件!$A$1,0,0,COUNTA($A:$A),MATCH(G$1,達成条件!$1:$1,0)-MATCH($F$1,達成条件!$1:$1,0)+1),MATCH(G$1,達成条件!$1:$1,0)-MATCH($F$1,達成条件!$1:$1,0)+1,FALSE)</f>
        <v>ユニット 【x】 を y 体ゲットしよう！</v>
      </c>
      <c r="H166" s="26" t="str">
        <f ca="1">VLOOKUP($F166,OFFSET(達成条件!$A$1,0,0,COUNTA($A:$A),MATCH(H$1,達成条件!$1:$1,0)-MATCH($F$1,達成条件!$1:$1,0)+1),MATCH(H$1,達成条件!$1:$1,0)-MATCH($F$1,達成条件!$1:$1,0)+1,FALSE)</f>
        <v>ユニットID</v>
      </c>
      <c r="I166" s="83" t="s">
        <v>2489</v>
      </c>
      <c r="J166" s="54" t="str">
        <f ca="1">IF(F166="specific_unit_aquired_count",SUBSTITUTE(G166,"x",VLOOKUP(INT($I166),OFFSET([3]characters!$A$1,0,0,COUNTA([3]characters!$A:$A),MATCH(J$1,[3]characters!$1:$1,0)-MATCH("character_id",[3]characters!$1:$1,0)+1),MATCH(J$1,[3]characters!$1:$1,0)-MATCH("character_id",[3]characters!$1:$1,0)+1,FALSE)),IF(F166="specific_quest_clear",VLOOKUP(SUBSTITUTE(I166,"-","_"),OFFSET([2]stages!$A$1,0,0,COUNTA([2]stages!$A:$A),MATCH("name",[2]stages!$1:$1,0)-MATCH("temp_stage",[2]stages!$1:$1,0)+1),MATCH("name",[2]stages!$1:$1,0)-MATCH("temp_stage",[2]stages!$1:$1,0)+1,FALSE),""))</f>
        <v>ユニット 【ヨシノ】 を y 体ゲットしよう！</v>
      </c>
      <c r="K166" s="15">
        <v>5</v>
      </c>
      <c r="L166" s="15" t="s">
        <v>352</v>
      </c>
      <c r="M166" s="26"/>
      <c r="N166" s="26"/>
    </row>
    <row r="167" spans="1:14" ht="21" customHeight="1" x14ac:dyDescent="0.15">
      <c r="A167" s="138" t="s">
        <v>2485</v>
      </c>
      <c r="B167" s="21" t="s">
        <v>792</v>
      </c>
      <c r="C167" s="26" t="str">
        <f t="shared" ca="1" si="12"/>
        <v>ユニット 【ヨシノ】 を 15 体ゲットしよう！</v>
      </c>
      <c r="D167" s="26" t="str">
        <f ca="1">IFERROR(VLOOKUP($A167,OFFSET(achievement_criterion_id,0,0,COUNTA($A:$A),MATCH(D$1,missions!$2:$2,0)-MATCH($A$1,missions!$2:$2,0)+1),MATCH(D$1,missions!$2:$2,0)-MATCH($A$1,missions!$2:$2,0)+1,FALSE),IFERROR(VLOOKUP($A167,OFFSET(weekly_achievement_criterion_id,0,0,COUNTA($A:$A),MATCH(D$1,weekly_missions!$2:$2,0)-MATCH($A$1,weekly_missions!$2:$2,0)+1),MATCH(D$1,weekly_missions!$2:$2,0)-MATCH($A$1,weekly_missions!$2:$2,0)+1,FALSE),"＊missions 未設定＊"))</f>
        <v>桜の花びら x 10</v>
      </c>
      <c r="E167" s="27" t="s">
        <v>352</v>
      </c>
      <c r="F167" s="2" t="s">
        <v>31</v>
      </c>
      <c r="G167" s="26" t="str">
        <f ca="1">VLOOKUP($F167,OFFSET(達成条件!$A$1,0,0,COUNTA($A:$A),MATCH(G$1,達成条件!$1:$1,0)-MATCH($F$1,達成条件!$1:$1,0)+1),MATCH(G$1,達成条件!$1:$1,0)-MATCH($F$1,達成条件!$1:$1,0)+1,FALSE)</f>
        <v>ユニット 【x】 を y 体ゲットしよう！</v>
      </c>
      <c r="H167" s="26" t="str">
        <f ca="1">VLOOKUP($F167,OFFSET(達成条件!$A$1,0,0,COUNTA($A:$A),MATCH(H$1,達成条件!$1:$1,0)-MATCH($F$1,達成条件!$1:$1,0)+1),MATCH(H$1,達成条件!$1:$1,0)-MATCH($F$1,達成条件!$1:$1,0)+1,FALSE)</f>
        <v>ユニットID</v>
      </c>
      <c r="I167" s="83" t="s">
        <v>2489</v>
      </c>
      <c r="J167" s="54" t="str">
        <f ca="1">IF(F167="specific_unit_aquired_count",SUBSTITUTE(G167,"x",VLOOKUP(INT($I167),OFFSET([3]characters!$A$1,0,0,COUNTA([3]characters!$A:$A),MATCH(J$1,[3]characters!$1:$1,0)-MATCH("character_id",[3]characters!$1:$1,0)+1),MATCH(J$1,[3]characters!$1:$1,0)-MATCH("character_id",[3]characters!$1:$1,0)+1,FALSE)),IF(F167="specific_quest_clear",VLOOKUP(SUBSTITUTE(I167,"-","_"),OFFSET([2]stages!$A$1,0,0,COUNTA([2]stages!$A:$A),MATCH("name",[2]stages!$1:$1,0)-MATCH("temp_stage",[2]stages!$1:$1,0)+1),MATCH("name",[2]stages!$1:$1,0)-MATCH("temp_stage",[2]stages!$1:$1,0)+1,FALSE),""))</f>
        <v>ユニット 【ヨシノ】 を y 体ゲットしよう！</v>
      </c>
      <c r="K167" s="15">
        <v>15</v>
      </c>
      <c r="L167" s="15" t="s">
        <v>352</v>
      </c>
      <c r="M167" s="26"/>
      <c r="N167" s="26"/>
    </row>
    <row r="168" spans="1:14" ht="21" customHeight="1" x14ac:dyDescent="0.15">
      <c r="A168" s="138" t="s">
        <v>2486</v>
      </c>
      <c r="B168" s="21" t="s">
        <v>792</v>
      </c>
      <c r="C168" s="26" t="str">
        <f t="shared" ca="1" si="12"/>
        <v>ユニット 【ヨシノ】 を 30 体ゲットしよう！</v>
      </c>
      <c r="D168" s="26" t="str">
        <f ca="1">IFERROR(VLOOKUP($A168,OFFSET(achievement_criterion_id,0,0,COUNTA($A:$A),MATCH(D$1,missions!$2:$2,0)-MATCH($A$1,missions!$2:$2,0)+1),MATCH(D$1,missions!$2:$2,0)-MATCH($A$1,missions!$2:$2,0)+1,FALSE),IFERROR(VLOOKUP($A168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68" s="27" t="s">
        <v>352</v>
      </c>
      <c r="F168" s="2" t="s">
        <v>31</v>
      </c>
      <c r="G168" s="26" t="str">
        <f ca="1">VLOOKUP($F168,OFFSET(達成条件!$A$1,0,0,COUNTA($A:$A),MATCH(G$1,達成条件!$1:$1,0)-MATCH($F$1,達成条件!$1:$1,0)+1),MATCH(G$1,達成条件!$1:$1,0)-MATCH($F$1,達成条件!$1:$1,0)+1,FALSE)</f>
        <v>ユニット 【x】 を y 体ゲットしよう！</v>
      </c>
      <c r="H168" s="26" t="str">
        <f ca="1">VLOOKUP($F168,OFFSET(達成条件!$A$1,0,0,COUNTA($A:$A),MATCH(H$1,達成条件!$1:$1,0)-MATCH($F$1,達成条件!$1:$1,0)+1),MATCH(H$1,達成条件!$1:$1,0)-MATCH($F$1,達成条件!$1:$1,0)+1,FALSE)</f>
        <v>ユニットID</v>
      </c>
      <c r="I168" s="83" t="s">
        <v>2489</v>
      </c>
      <c r="J168" s="54" t="str">
        <f ca="1">IF(F168="specific_unit_aquired_count",SUBSTITUTE(G168,"x",VLOOKUP(INT($I168),OFFSET([3]characters!$A$1,0,0,COUNTA([3]characters!$A:$A),MATCH(J$1,[3]characters!$1:$1,0)-MATCH("character_id",[3]characters!$1:$1,0)+1),MATCH(J$1,[3]characters!$1:$1,0)-MATCH("character_id",[3]characters!$1:$1,0)+1,FALSE)),IF(F168="specific_quest_clear",VLOOKUP(SUBSTITUTE(I168,"-","_"),OFFSET([2]stages!$A$1,0,0,COUNTA([2]stages!$A:$A),MATCH("name",[2]stages!$1:$1,0)-MATCH("temp_stage",[2]stages!$1:$1,0)+1),MATCH("name",[2]stages!$1:$1,0)-MATCH("temp_stage",[2]stages!$1:$1,0)+1,FALSE),""))</f>
        <v>ユニット 【ヨシノ】 を y 体ゲットしよう！</v>
      </c>
      <c r="K168" s="15">
        <v>30</v>
      </c>
      <c r="L168" s="15" t="s">
        <v>352</v>
      </c>
      <c r="M168" s="26"/>
      <c r="N168" s="26"/>
    </row>
    <row r="169" spans="1:14" ht="21" customHeight="1" x14ac:dyDescent="0.15">
      <c r="A169" s="138" t="s">
        <v>2487</v>
      </c>
      <c r="B169" s="21" t="s">
        <v>792</v>
      </c>
      <c r="C169" s="26" t="str">
        <f t="shared" ca="1" si="12"/>
        <v>ユニット 【ヨシノ】 を 50 体ゲットしよう！</v>
      </c>
      <c r="D169" s="26" t="str">
        <f ca="1">IFERROR(VLOOKUP($A169,OFFSET(achievement_criterion_id,0,0,COUNTA($A:$A),MATCH(D$1,missions!$2:$2,0)-MATCH($A$1,missions!$2:$2,0)+1),MATCH(D$1,missions!$2:$2,0)-MATCH($A$1,missions!$2:$2,0)+1,FALSE),IFERROR(VLOOKUP($A169,OFFSET(weekly_achievement_criterion_id,0,0,COUNTA($A:$A),MATCH(D$1,weekly_missions!$2:$2,0)-MATCH($A$1,weekly_missions!$2:$2,0)+1),MATCH(D$1,weekly_missions!$2:$2,0)-MATCH($A$1,weekly_missions!$2:$2,0)+1,FALSE),"＊missions 未設定＊"))</f>
        <v>ポリゴン x 2</v>
      </c>
      <c r="E169" s="27" t="s">
        <v>352</v>
      </c>
      <c r="F169" s="2" t="s">
        <v>31</v>
      </c>
      <c r="G169" s="26" t="str">
        <f ca="1">VLOOKUP($F169,OFFSET(達成条件!$A$1,0,0,COUNTA($A:$A),MATCH(G$1,達成条件!$1:$1,0)-MATCH($F$1,達成条件!$1:$1,0)+1),MATCH(G$1,達成条件!$1:$1,0)-MATCH($F$1,達成条件!$1:$1,0)+1,FALSE)</f>
        <v>ユニット 【x】 を y 体ゲットしよう！</v>
      </c>
      <c r="H169" s="26" t="str">
        <f ca="1">VLOOKUP($F169,OFFSET(達成条件!$A$1,0,0,COUNTA($A:$A),MATCH(H$1,達成条件!$1:$1,0)-MATCH($F$1,達成条件!$1:$1,0)+1),MATCH(H$1,達成条件!$1:$1,0)-MATCH($F$1,達成条件!$1:$1,0)+1,FALSE)</f>
        <v>ユニットID</v>
      </c>
      <c r="I169" s="83" t="s">
        <v>2489</v>
      </c>
      <c r="J169" s="54" t="str">
        <f ca="1">IF(F169="specific_unit_aquired_count",SUBSTITUTE(G169,"x",VLOOKUP(INT($I169),OFFSET([3]characters!$A$1,0,0,COUNTA([3]characters!$A:$A),MATCH(J$1,[3]characters!$1:$1,0)-MATCH("character_id",[3]characters!$1:$1,0)+1),MATCH(J$1,[3]characters!$1:$1,0)-MATCH("character_id",[3]characters!$1:$1,0)+1,FALSE)),IF(F169="specific_quest_clear",VLOOKUP(SUBSTITUTE(I169,"-","_"),OFFSET([2]stages!$A$1,0,0,COUNTA([2]stages!$A:$A),MATCH("name",[2]stages!$1:$1,0)-MATCH("temp_stage",[2]stages!$1:$1,0)+1),MATCH("name",[2]stages!$1:$1,0)-MATCH("temp_stage",[2]stages!$1:$1,0)+1,FALSE),""))</f>
        <v>ユニット 【ヨシノ】 を y 体ゲットしよう！</v>
      </c>
      <c r="K169" s="15">
        <v>50</v>
      </c>
      <c r="L169" s="15" t="s">
        <v>352</v>
      </c>
      <c r="M169" s="26"/>
      <c r="N169" s="26"/>
    </row>
    <row r="170" spans="1:14" ht="21" customHeight="1" x14ac:dyDescent="0.15">
      <c r="A170" s="138" t="s">
        <v>2488</v>
      </c>
      <c r="B170" s="21" t="s">
        <v>792</v>
      </c>
      <c r="C170" s="26" t="str">
        <f t="shared" ca="1" si="12"/>
        <v>ユニット 【ヨシノ】 を 70 体ゲットしよう！</v>
      </c>
      <c r="D170" s="26" t="str">
        <f ca="1">IFERROR(VLOOKUP($A170,OFFSET(achievement_criterion_id,0,0,COUNTA($A:$A),MATCH(D$1,missions!$2:$2,0)-MATCH($A$1,missions!$2:$2,0)+1),MATCH(D$1,missions!$2:$2,0)-MATCH($A$1,missions!$2:$2,0)+1,FALSE),IFERROR(VLOOKUP($A170,OFFSET(weekly_achievement_criterion_id,0,0,COUNTA($A:$A),MATCH(D$1,weekly_missions!$2:$2,0)-MATCH($A$1,weekly_missions!$2:$2,0)+1),MATCH(D$1,weekly_missions!$2:$2,0)-MATCH($A$1,weekly_missions!$2:$2,0)+1,FALSE),"＊missions 未設定＊"))</f>
        <v>ポリゴン x 3</v>
      </c>
      <c r="E170" s="27" t="s">
        <v>352</v>
      </c>
      <c r="F170" s="2" t="s">
        <v>31</v>
      </c>
      <c r="G170" s="26" t="str">
        <f ca="1">VLOOKUP($F170,OFFSET(達成条件!$A$1,0,0,COUNTA($A:$A),MATCH(G$1,達成条件!$1:$1,0)-MATCH($F$1,達成条件!$1:$1,0)+1),MATCH(G$1,達成条件!$1:$1,0)-MATCH($F$1,達成条件!$1:$1,0)+1,FALSE)</f>
        <v>ユニット 【x】 を y 体ゲットしよう！</v>
      </c>
      <c r="H170" s="26" t="str">
        <f ca="1">VLOOKUP($F170,OFFSET(達成条件!$A$1,0,0,COUNTA($A:$A),MATCH(H$1,達成条件!$1:$1,0)-MATCH($F$1,達成条件!$1:$1,0)+1),MATCH(H$1,達成条件!$1:$1,0)-MATCH($F$1,達成条件!$1:$1,0)+1,FALSE)</f>
        <v>ユニットID</v>
      </c>
      <c r="I170" s="83" t="s">
        <v>2489</v>
      </c>
      <c r="J170" s="54" t="str">
        <f ca="1">IF(F170="specific_unit_aquired_count",SUBSTITUTE(G170,"x",VLOOKUP(INT($I170),OFFSET([3]characters!$A$1,0,0,COUNTA([3]characters!$A:$A),MATCH(J$1,[3]characters!$1:$1,0)-MATCH("character_id",[3]characters!$1:$1,0)+1),MATCH(J$1,[3]characters!$1:$1,0)-MATCH("character_id",[3]characters!$1:$1,0)+1,FALSE)),IF(F170="specific_quest_clear",VLOOKUP(SUBSTITUTE(I170,"-","_"),OFFSET([2]stages!$A$1,0,0,COUNTA([2]stages!$A:$A),MATCH("name",[2]stages!$1:$1,0)-MATCH("temp_stage",[2]stages!$1:$1,0)+1),MATCH("name",[2]stages!$1:$1,0)-MATCH("temp_stage",[2]stages!$1:$1,0)+1,FALSE),""))</f>
        <v>ユニット 【ヨシノ】 を y 体ゲットしよう！</v>
      </c>
      <c r="K170" s="15">
        <v>70</v>
      </c>
      <c r="L170" s="15" t="s">
        <v>352</v>
      </c>
      <c r="M170" s="26"/>
      <c r="N170" s="26"/>
    </row>
    <row r="171" spans="1:14" ht="21" customHeight="1" x14ac:dyDescent="0.15">
      <c r="A171" s="138" t="s">
        <v>2504</v>
      </c>
      <c r="B171" s="21" t="s">
        <v>792</v>
      </c>
      <c r="C171" s="26" t="str">
        <f t="shared" ref="C171:C172" ca="1" si="13">IF(F171="specific_quest_clear",SUBSTITUTE(G171,"x",J171),IF(F171="specific_unit_aquired_count",SUBSTITUTE(J171,"y",K171),SUBSTITUTE(G171,"x",I171)))</f>
        <v>クエスト 【上級】春呼ぶキミの行方 をクリアしよう！</v>
      </c>
      <c r="D171" s="26" t="str">
        <f ca="1">IFERROR(VLOOKUP($A171,OFFSET(achievement_criterion_id,0,0,COUNTA($A:$A),MATCH(D$1,missions!$2:$2,0)-MATCH($A$1,missions!$2:$2,0)+1),MATCH(D$1,missions!$2:$2,0)-MATCH($A$1,missions!$2:$2,0)+1,FALSE),IFERROR(VLOOKUP($A171,OFFSET(weekly_achievement_criterion_id,0,0,COUNTA($A:$A),MATCH(D$1,weekly_missions!$2:$2,0)-MATCH($A$1,weekly_missions!$2:$2,0)+1),MATCH(D$1,weekly_missions!$2:$2,0)-MATCH($A$1,weekly_missions!$2:$2,0)+1,FALSE),"＊missions 未設定＊"))</f>
        <v>桜の花びら x 3</v>
      </c>
      <c r="E171" s="27" t="s">
        <v>352</v>
      </c>
      <c r="F171" s="17" t="s">
        <v>310</v>
      </c>
      <c r="G171" s="27" t="s">
        <v>765</v>
      </c>
      <c r="H171" s="26" t="str">
        <f ca="1">VLOOKUP($F171,OFFSET(達成条件!$A$1,0,0,COUNTA($A:$A),MATCH(H$1,達成条件!$1:$1,0)-MATCH($F$1,達成条件!$1:$1,0)+1),MATCH(H$1,達成条件!$1:$1,0)-MATCH($F$1,達成条件!$1:$1,0)+1,FALSE)</f>
        <v>該当のクエスト(99-9)</v>
      </c>
      <c r="I171" s="83" t="s">
        <v>2506</v>
      </c>
      <c r="J171" s="54" t="str">
        <f ca="1">IF(F171="specific_unit_aquired_count",SUBSTITUTE(G171,"x",VLOOKUP(INT($I171),OFFSET([3]characters!$A$2,0,0,COUNTA([3]characters!$A:$A),MATCH(J$1,[3]characters!$2:$2,0)-MATCH("character_id",[3]characters!$2:$2,0)+1),MATCH(J$1,[3]characters!$2:$2,0)-MATCH("character_id",[3]characters!$2:$2,0)+1,FALSE)),IF(F171="specific_quest_clear",VLOOKUP(SUBSTITUTE(I171,"-","_"),OFFSET([2]stages!$A$2,0,0,COUNTA([2]stages!$A:$A),MATCH("name",[2]stages!$2:$2,0)-MATCH("temp_stage",[2]stages!$2:$2,0)+1),MATCH("name",[2]stages!$2:$2,0)-MATCH("temp_stage",[2]stages!$2:$2,0)+1,FALSE),""))</f>
        <v>【上級】春呼ぶキミの行方</v>
      </c>
      <c r="K171" s="15">
        <v>1</v>
      </c>
      <c r="L171" s="15" t="s">
        <v>352</v>
      </c>
      <c r="M171" s="26"/>
      <c r="N171" s="26"/>
    </row>
    <row r="172" spans="1:14" ht="21" customHeight="1" x14ac:dyDescent="0.15">
      <c r="A172" s="138" t="s">
        <v>2505</v>
      </c>
      <c r="B172" s="21" t="s">
        <v>792</v>
      </c>
      <c r="C172" s="26" t="str">
        <f t="shared" ca="1" si="13"/>
        <v>クエスト 【ウィザード級】春呼ぶキミの行方 をクリアしよう！</v>
      </c>
      <c r="D172" s="26" t="str">
        <f ca="1">IFERROR(VLOOKUP($A172,OFFSET(achievement_criterion_id,0,0,COUNTA($A:$A),MATCH(D$1,missions!$2:$2,0)-MATCH($A$1,missions!$2:$2,0)+1),MATCH(D$1,missions!$2:$2,0)-MATCH($A$1,missions!$2:$2,0)+1,FALSE),IFERROR(VLOOKUP($A172,OFFSET(weekly_achievement_criterion_id,0,0,COUNTA($A:$A),MATCH(D$1,weekly_missions!$2:$2,0)-MATCH($A$1,weekly_missions!$2:$2,0)+1),MATCH(D$1,weekly_missions!$2:$2,0)-MATCH($A$1,weekly_missions!$2:$2,0)+1,FALSE),"＊missions 未設定＊"))</f>
        <v>桜の花びら x 5</v>
      </c>
      <c r="E172" s="27" t="s">
        <v>352</v>
      </c>
      <c r="F172" s="17" t="s">
        <v>310</v>
      </c>
      <c r="G172" s="27" t="s">
        <v>765</v>
      </c>
      <c r="H172" s="26" t="str">
        <f ca="1">VLOOKUP($F172,OFFSET(達成条件!$A$1,0,0,COUNTA($A:$A),MATCH(H$1,達成条件!$1:$1,0)-MATCH($F$1,達成条件!$1:$1,0)+1),MATCH(H$1,達成条件!$1:$1,0)-MATCH($F$1,達成条件!$1:$1,0)+1,FALSE)</f>
        <v>該当のクエスト(99-9)</v>
      </c>
      <c r="I172" s="83" t="s">
        <v>2507</v>
      </c>
      <c r="J172" s="54" t="str">
        <f ca="1">IF(F172="specific_unit_aquired_count",SUBSTITUTE(G172,"x",VLOOKUP(INT($I172),OFFSET([3]characters!$A$2,0,0,COUNTA([3]characters!$A:$A),MATCH(J$1,[3]characters!$2:$2,0)-MATCH("character_id",[3]characters!$2:$2,0)+1),MATCH(J$1,[3]characters!$2:$2,0)-MATCH("character_id",[3]characters!$2:$2,0)+1,FALSE)),IF(F172="specific_quest_clear",VLOOKUP(SUBSTITUTE(I172,"-","_"),OFFSET([2]stages!$A$2,0,0,COUNTA([2]stages!$A:$A),MATCH("name",[2]stages!$2:$2,0)-MATCH("temp_stage",[2]stages!$2:$2,0)+1),MATCH("name",[2]stages!$2:$2,0)-MATCH("temp_stage",[2]stages!$2:$2,0)+1,FALSE),""))</f>
        <v>【ウィザード級】春呼ぶキミの行方</v>
      </c>
      <c r="K172" s="15">
        <v>1</v>
      </c>
      <c r="L172" s="15" t="s">
        <v>352</v>
      </c>
      <c r="M172" s="26"/>
      <c r="N172" s="26"/>
    </row>
    <row r="173" spans="1:14" ht="21" customHeight="1" x14ac:dyDescent="0.15">
      <c r="A173" s="138" t="s">
        <v>2517</v>
      </c>
      <c r="B173" s="21" t="s">
        <v>792</v>
      </c>
      <c r="C173" s="26" t="str">
        <f ca="1">IF(F173="specific_quest_clear",SUBSTITUTE(G173,"x",J173),IF(F173="specific_unit_aquired_count",SUBSTITUTE(J173,"y",K173),SUBSTITUTE(G173,"x",I173)))</f>
        <v>クエスト オイラーチャレンジ をクリアしよう！</v>
      </c>
      <c r="D173" s="26" t="str">
        <f ca="1">IFERROR(VLOOKUP($A173,OFFSET(achievement_criterion_id,0,0,COUNTA($A:$A),MATCH(D$1,missions!$2:$2,0)-MATCH($A$1,missions!$2:$2,0)+1),MATCH(D$1,missions!$2:$2,0)-MATCH($A$1,missions!$2:$2,0)+1,FALSE),IFERROR(VLOOKUP($A173,OFFSET(weekly_achievement_criterion_id,0,0,COUNTA($A:$A),MATCH(D$1,weekly_missions!$2:$2,0)-MATCH($A$1,weekly_missions!$2:$2,0)+1),MATCH(D$1,weekly_missions!$2:$2,0)-MATCH($A$1,weekly_missions!$2:$2,0)+1,FALSE),"＊missions 未設定＊"))</f>
        <v>ポリゴン x 3</v>
      </c>
      <c r="E173" s="27" t="s">
        <v>352</v>
      </c>
      <c r="F173" s="17" t="s">
        <v>310</v>
      </c>
      <c r="G173" s="27" t="s">
        <v>765</v>
      </c>
      <c r="H173" s="26" t="str">
        <f ca="1">VLOOKUP($F173,OFFSET(達成条件!$A$1,0,0,COUNTA($A:$A),MATCH(H$1,達成条件!$1:$1,0)-MATCH($F$1,達成条件!$1:$1,0)+1),MATCH(H$1,達成条件!$1:$1,0)-MATCH($F$1,達成条件!$1:$1,0)+1,FALSE)</f>
        <v>該当のクエスト(99-9)</v>
      </c>
      <c r="I173" s="83" t="s">
        <v>2518</v>
      </c>
      <c r="J173" s="54" t="str">
        <f ca="1">IF(F173="specific_unit_aquired_count",SUBSTITUTE(G173,"x",VLOOKUP(INT($I173),OFFSET([3]characters!$A$2,0,0,COUNTA([3]characters!$A:$A),MATCH(J$1,[3]characters!$2:$2,0)-MATCH("character_id",[3]characters!$2:$2,0)+1),MATCH(J$1,[3]characters!$2:$2,0)-MATCH("character_id",[3]characters!$2:$2,0)+1,FALSE)),IF(F173="specific_quest_clear",VLOOKUP(SUBSTITUTE(I173,"-","_"),OFFSET([2]stages!$A$2,0,0,COUNTA([2]stages!$A:$A),MATCH("name",[2]stages!$2:$2,0)-MATCH("temp_stage",[2]stages!$2:$2,0)+1),MATCH("name",[2]stages!$2:$2,0)-MATCH("temp_stage",[2]stages!$2:$2,0)+1,FALSE),""))</f>
        <v>オイラーチャレンジ</v>
      </c>
      <c r="K173" s="15">
        <v>1</v>
      </c>
      <c r="L173" s="15" t="s">
        <v>888</v>
      </c>
      <c r="M173" s="26"/>
      <c r="N173" s="26"/>
    </row>
    <row r="174" spans="1:14" ht="21" customHeight="1" x14ac:dyDescent="0.15">
      <c r="A174" s="138" t="s">
        <v>2527</v>
      </c>
      <c r="B174" s="21" t="s">
        <v>792</v>
      </c>
      <c r="C174" s="26" t="str">
        <f t="shared" ref="C174" ca="1" si="14">IF(F174="specific_quest_clear",SUBSTITUTE(G174,"x",J174),IF(F174="specific_unit_aquired_count",SUBSTITUTE(J174,"y",K174),SUBSTITUTE(G174,"x",I174)))</f>
        <v>クエスト 【超絶級】スカルズ襲来 をクリアしよう！</v>
      </c>
      <c r="D174" s="26" t="str">
        <f ca="1">IFERROR(VLOOKUP($A174,OFFSET(achievement_criterion_id,0,0,COUNTA($A:$A),MATCH(D$1,missions!$2:$2,0)-MATCH($A$1,missions!$2:$2,0)+1),MATCH(D$1,missions!$2:$2,0)-MATCH($A$1,missions!$2:$2,0)+1,FALSE),IFERROR(VLOOKUP($A174,OFFSET(weekly_achievement_criterion_id,0,0,COUNTA($A:$A),MATCH(D$1,weekly_missions!$2:$2,0)-MATCH($A$1,weekly_missions!$2:$2,0)+1),MATCH(D$1,weekly_missions!$2:$2,0)-MATCH($A$1,weekly_missions!$2:$2,0)+1,FALSE),"＊missions 未設定＊"))</f>
        <v>リトルハンプティ x 1</v>
      </c>
      <c r="E174" s="27" t="s">
        <v>352</v>
      </c>
      <c r="F174" s="17" t="s">
        <v>310</v>
      </c>
      <c r="G174" s="27" t="s">
        <v>765</v>
      </c>
      <c r="H174" s="26" t="str">
        <f ca="1">VLOOKUP($F174,OFFSET(達成条件!$A$1,0,0,COUNTA($A:$A),MATCH(H$1,達成条件!$1:$1,0)-MATCH($F$1,達成条件!$1:$1,0)+1),MATCH(H$1,達成条件!$1:$1,0)-MATCH($F$1,達成条件!$1:$1,0)+1,FALSE)</f>
        <v>該当のクエスト(99-9)</v>
      </c>
      <c r="I174" s="83" t="s">
        <v>2529</v>
      </c>
      <c r="J174" s="54" t="str">
        <f ca="1">IF(F174="specific_unit_aquired_count",SUBSTITUTE(G174,"x",VLOOKUP(INT($I174),OFFSET([3]characters!$A$2,0,0,COUNTA([3]characters!$A:$A),MATCH(J$1,[3]characters!$2:$2,0)-MATCH("character_id",[3]characters!$2:$2,0)+1),MATCH(J$1,[3]characters!$2:$2,0)-MATCH("character_id",[3]characters!$2:$2,0)+1,FALSE)),IF(F174="specific_quest_clear",VLOOKUP(SUBSTITUTE(I174,"-","_"),OFFSET([2]stages!$A$2,0,0,COUNTA([2]stages!$A:$A),MATCH("name",[2]stages!$2:$2,0)-MATCH("temp_stage",[2]stages!$2:$2,0)+1),MATCH("name",[2]stages!$2:$2,0)-MATCH("temp_stage",[2]stages!$2:$2,0)+1,FALSE),""))</f>
        <v>【超絶級】スカルズ襲来</v>
      </c>
      <c r="K174" s="15">
        <v>1</v>
      </c>
      <c r="L174" s="15" t="s">
        <v>352</v>
      </c>
      <c r="M174" s="26"/>
      <c r="N174" s="26"/>
    </row>
    <row r="175" spans="1:14" ht="21" customHeight="1" x14ac:dyDescent="0.15">
      <c r="A175" s="138" t="s">
        <v>2528</v>
      </c>
      <c r="B175" s="21" t="s">
        <v>792</v>
      </c>
      <c r="C175" s="26" t="str">
        <f ca="1">IF(F175="specific_quest_clear",SUBSTITUTE(G175,"x",J175),IF(F175="specific_unit_aquired_count",SUBSTITUTE(J175,"y",K175),SUBSTITUTE(G175,"x",I175)))</f>
        <v>クエスト 【ウィザード級】スカルズ襲来 をクリアしよう！</v>
      </c>
      <c r="D175" s="26" t="str">
        <f ca="1">IFERROR(VLOOKUP($A175,OFFSET(achievement_criterion_id,0,0,COUNTA($A:$A),MATCH(D$1,missions!$2:$2,0)-MATCH($A$1,missions!$2:$2,0)+1),MATCH(D$1,missions!$2:$2,0)-MATCH($A$1,missions!$2:$2,0)+1,FALSE),IFERROR(VLOOKUP($A175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75" s="27" t="s">
        <v>352</v>
      </c>
      <c r="F175" s="17" t="s">
        <v>310</v>
      </c>
      <c r="G175" s="27" t="s">
        <v>765</v>
      </c>
      <c r="H175" s="26" t="str">
        <f ca="1">VLOOKUP($F175,OFFSET(達成条件!$A$1,0,0,COUNTA($A:$A),MATCH(H$1,達成条件!$1:$1,0)-MATCH($F$1,達成条件!$1:$1,0)+1),MATCH(H$1,達成条件!$1:$1,0)-MATCH($F$1,達成条件!$1:$1,0)+1,FALSE)</f>
        <v>該当のクエスト(99-9)</v>
      </c>
      <c r="I175" s="83" t="s">
        <v>2530</v>
      </c>
      <c r="J175" s="54" t="str">
        <f ca="1">IF(F175="specific_unit_aquired_count",SUBSTITUTE(G175,"x",VLOOKUP(INT($I175),OFFSET([3]characters!$A$2,0,0,COUNTA([3]characters!$A:$A),MATCH(J$1,[3]characters!$2:$2,0)-MATCH("character_id",[3]characters!$2:$2,0)+1),MATCH(J$1,[3]characters!$2:$2,0)-MATCH("character_id",[3]characters!$2:$2,0)+1,FALSE)),IF(F175="specific_quest_clear",VLOOKUP(SUBSTITUTE(I175,"-","_"),OFFSET([2]stages!$A$2,0,0,COUNTA([2]stages!$A:$A),MATCH("name",[2]stages!$2:$2,0)-MATCH("temp_stage",[2]stages!$2:$2,0)+1),MATCH("name",[2]stages!$2:$2,0)-MATCH("temp_stage",[2]stages!$2:$2,0)+1,FALSE),""))</f>
        <v>【ウィザード級】スカルズ襲来</v>
      </c>
      <c r="K175" s="15">
        <v>1</v>
      </c>
      <c r="L175" s="15" t="s">
        <v>888</v>
      </c>
      <c r="M175" s="26"/>
      <c r="N175" s="26"/>
    </row>
    <row r="176" spans="1:14" ht="21" customHeight="1" x14ac:dyDescent="0.15">
      <c r="A176" s="138" t="s">
        <v>2537</v>
      </c>
      <c r="B176" s="21" t="s">
        <v>792</v>
      </c>
      <c r="C176" s="26" t="str">
        <f ca="1">IF(F176="specific_quest_clear",SUBSTITUTE(G176,"x",J176),IF(F176="specific_unit_aquired_count",SUBSTITUTE(J176,"y",K176),SUBSTITUTE(G176,"x",I176)))</f>
        <v>クエスト 【スコアアタック】スカルズ襲来 をクリアしよう！</v>
      </c>
      <c r="D176" s="26" t="str">
        <f ca="1">IFERROR(VLOOKUP($A176,OFFSET(achievement_criterion_id,0,0,COUNTA($A:$A),MATCH(D$1,missions!$2:$2,0)-MATCH($A$1,missions!$2:$2,0)+1),MATCH(D$1,missions!$2:$2,0)-MATCH($A$1,missions!$2:$2,0)+1,FALSE),IFERROR(VLOOKUP($A176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76" s="27" t="s">
        <v>352</v>
      </c>
      <c r="F176" s="17" t="s">
        <v>310</v>
      </c>
      <c r="G176" s="27" t="s">
        <v>765</v>
      </c>
      <c r="H176" s="26" t="str">
        <f ca="1">VLOOKUP($F176,OFFSET(達成条件!$A$1,0,0,COUNTA($A:$A),MATCH(H$1,達成条件!$1:$1,0)-MATCH($F$1,達成条件!$1:$1,0)+1),MATCH(H$1,達成条件!$1:$1,0)-MATCH($F$1,達成条件!$1:$1,0)+1,FALSE)</f>
        <v>該当のクエスト(99-9)</v>
      </c>
      <c r="I176" s="83" t="s">
        <v>2538</v>
      </c>
      <c r="J176" s="54" t="str">
        <f ca="1">IF(F176="specific_unit_aquired_count",SUBSTITUTE(G176,"x",VLOOKUP(INT($I176),OFFSET([3]characters!$A$2,0,0,COUNTA([3]characters!$A:$A),MATCH(J$1,[3]characters!$2:$2,0)-MATCH("character_id",[3]characters!$2:$2,0)+1),MATCH(J$1,[3]characters!$2:$2,0)-MATCH("character_id",[3]characters!$2:$2,0)+1,FALSE)),IF(F176="specific_quest_clear",VLOOKUP(SUBSTITUTE(I176,"-","_"),OFFSET([2]stages!$A$2,0,0,COUNTA([2]stages!$A:$A),MATCH("name",[2]stages!$2:$2,0)-MATCH("temp_stage",[2]stages!$2:$2,0)+1),MATCH("name",[2]stages!$2:$2,0)-MATCH("temp_stage",[2]stages!$2:$2,0)+1,FALSE),""))</f>
        <v>【スコアアタック】スカルズ襲来</v>
      </c>
      <c r="K176" s="15">
        <v>1</v>
      </c>
      <c r="L176" s="15" t="s">
        <v>352</v>
      </c>
      <c r="M176" s="26"/>
      <c r="N176" s="26"/>
    </row>
    <row r="177" spans="1:14" ht="21" customHeight="1" x14ac:dyDescent="0.15">
      <c r="A177" s="138" t="s">
        <v>2540</v>
      </c>
      <c r="B177" s="21" t="s">
        <v>792</v>
      </c>
      <c r="C177" s="26" t="str">
        <f ca="1">IF(F177="specific_quest_clear",SUBSTITUTE(G177,"x",J177),IF(F177="specific_unit_aquired_count",SUBSTITUTE(J177,"y",K177),SUBSTITUTE(G177,"x",I177)))</f>
        <v>クエスト ヘンペルチャレンジ  をクリアしよう！</v>
      </c>
      <c r="D177" s="26" t="str">
        <f ca="1">IFERROR(VLOOKUP($A177,OFFSET(achievement_criterion_id,0,0,COUNTA($A:$A),MATCH(D$1,missions!$2:$2,0)-MATCH($A$1,missions!$2:$2,0)+1),MATCH(D$1,missions!$2:$2,0)-MATCH($A$1,missions!$2:$2,0)+1,FALSE),IFERROR(VLOOKUP($A177,OFFSET(weekly_achievement_criterion_id,0,0,COUNTA($A:$A),MATCH(D$1,weekly_missions!$2:$2,0)-MATCH($A$1,weekly_missions!$2:$2,0)+1),MATCH(D$1,weekly_missions!$2:$2,0)-MATCH($A$1,weekly_missions!$2:$2,0)+1,FALSE),"＊missions 未設定＊"))</f>
        <v>ポリゴン x 3</v>
      </c>
      <c r="E177" s="27" t="s">
        <v>352</v>
      </c>
      <c r="F177" s="17" t="s">
        <v>310</v>
      </c>
      <c r="G177" s="27" t="s">
        <v>765</v>
      </c>
      <c r="H177" s="26" t="str">
        <f ca="1">VLOOKUP($F177,OFFSET(達成条件!$A$1,0,0,COUNTA($A:$A),MATCH(H$1,達成条件!$1:$1,0)-MATCH($F$1,達成条件!$1:$1,0)+1),MATCH(H$1,達成条件!$1:$1,0)-MATCH($F$1,達成条件!$1:$1,0)+1,FALSE)</f>
        <v>該当のクエスト(99-9)</v>
      </c>
      <c r="I177" s="83" t="s">
        <v>2541</v>
      </c>
      <c r="J177" s="54" t="str">
        <f ca="1">IF(F177="specific_unit_aquired_count",SUBSTITUTE(G177,"x",VLOOKUP(INT($I177),OFFSET([3]characters!$A$2,0,0,COUNTA([3]characters!$A:$A),MATCH(J$1,[3]characters!$2:$2,0)-MATCH("character_id",[3]characters!$2:$2,0)+1),MATCH(J$1,[3]characters!$2:$2,0)-MATCH("character_id",[3]characters!$2:$2,0)+1,FALSE)),IF(F177="specific_quest_clear",VLOOKUP(SUBSTITUTE(I177,"-","_"),OFFSET([2]stages!$A$2,0,0,COUNTA([2]stages!$A:$A),MATCH("name",[2]stages!$2:$2,0)-MATCH("temp_stage",[2]stages!$2:$2,0)+1),MATCH("name",[2]stages!$2:$2,0)-MATCH("temp_stage",[2]stages!$2:$2,0)+1,FALSE),""))</f>
        <v xml:space="preserve">ヘンペルチャレンジ </v>
      </c>
      <c r="K177" s="15">
        <v>1</v>
      </c>
      <c r="L177" s="15" t="s">
        <v>888</v>
      </c>
      <c r="M177" s="26"/>
      <c r="N177" s="26"/>
    </row>
    <row r="178" spans="1:14" ht="21" customHeight="1" x14ac:dyDescent="0.15">
      <c r="A178" s="138" t="s">
        <v>2544</v>
      </c>
      <c r="B178" s="21" t="s">
        <v>792</v>
      </c>
      <c r="C178" s="26" t="str">
        <f ca="1">IF(F178="specific_quest_clear",SUBSTITUTE(G178,"x",J178),IF(F178="specific_unit_aquired_count",SUBSTITUTE(J178,"y",K178),SUBSTITUTE(G178,"x",I178)))</f>
        <v>クエスト フロイトチャレンジ をクリアしよう！</v>
      </c>
      <c r="D178" s="26" t="str">
        <f ca="1">IFERROR(VLOOKUP($A178,OFFSET(achievement_criterion_id,0,0,COUNTA($A:$A),MATCH(D$1,missions!$2:$2,0)-MATCH($A$1,missions!$2:$2,0)+1),MATCH(D$1,missions!$2:$2,0)-MATCH($A$1,missions!$2:$2,0)+1,FALSE),IFERROR(VLOOKUP($A178,OFFSET(weekly_achievement_criterion_id,0,0,COUNTA($A:$A),MATCH(D$1,weekly_missions!$2:$2,0)-MATCH($A$1,weekly_missions!$2:$2,0)+1),MATCH(D$1,weekly_missions!$2:$2,0)-MATCH($A$1,weekly_missions!$2:$2,0)+1,FALSE),"＊missions 未設定＊"))</f>
        <v>ポリゴン x 3</v>
      </c>
      <c r="E178" s="27" t="s">
        <v>352</v>
      </c>
      <c r="F178" s="17" t="s">
        <v>310</v>
      </c>
      <c r="G178" s="27" t="s">
        <v>765</v>
      </c>
      <c r="H178" s="26" t="str">
        <f ca="1">VLOOKUP($F178,OFFSET(達成条件!$A$1,0,0,COUNTA($A:$A),MATCH(H$1,達成条件!$1:$1,0)-MATCH($F$1,達成条件!$1:$1,0)+1),MATCH(H$1,達成条件!$1:$1,0)-MATCH($F$1,達成条件!$1:$1,0)+1,FALSE)</f>
        <v>該当のクエスト(99-9)</v>
      </c>
      <c r="I178" s="83" t="s">
        <v>2545</v>
      </c>
      <c r="J178" s="54" t="str">
        <f ca="1">IF(F178="specific_unit_aquired_count",SUBSTITUTE(G178,"x",VLOOKUP(INT($I178),OFFSET([3]characters!$A$2,0,0,COUNTA([3]characters!$A:$A),MATCH(J$1,[3]characters!$2:$2,0)-MATCH("character_id",[3]characters!$2:$2,0)+1),MATCH(J$1,[3]characters!$2:$2,0)-MATCH("character_id",[3]characters!$2:$2,0)+1,FALSE)),IF(F178="specific_quest_clear",VLOOKUP(SUBSTITUTE(I178,"-","_"),OFFSET([2]stages!$A$2,0,0,COUNTA([2]stages!$A:$A),MATCH("name",[2]stages!$2:$2,0)-MATCH("temp_stage",[2]stages!$2:$2,0)+1),MATCH("name",[2]stages!$2:$2,0)-MATCH("temp_stage",[2]stages!$2:$2,0)+1,FALSE),""))</f>
        <v>フロイトチャレンジ</v>
      </c>
      <c r="K178" s="15">
        <v>1</v>
      </c>
      <c r="L178" s="15" t="s">
        <v>352</v>
      </c>
      <c r="M178" s="26"/>
      <c r="N178" s="26"/>
    </row>
    <row r="179" spans="1:14" ht="21" customHeight="1" x14ac:dyDescent="0.15">
      <c r="A179" s="138" t="s">
        <v>2551</v>
      </c>
      <c r="B179" s="21" t="s">
        <v>792</v>
      </c>
      <c r="C179" s="26" t="str">
        <f t="shared" ref="C179:C181" ca="1" si="15">IF(F179="specific_quest_clear",SUBSTITUTE(G179,"x",J179),IF(F179="specific_unit_aquired_count",SUBSTITUTE(J179,"y",K179),SUBSTITUTE(G179,"x",I179)))</f>
        <v>クエスト 【上級】スカー襲来 をクリアしよう！</v>
      </c>
      <c r="D179" s="26" t="str">
        <f ca="1">IFERROR(VLOOKUP($A179,OFFSET(achievement_criterion_id,0,0,COUNTA($A:$A),MATCH(D$1,missions!$2:$2,0)-MATCH($A$1,missions!$2:$2,0)+1),MATCH(D$1,missions!$2:$2,0)-MATCH($A$1,missions!$2:$2,0)+1,FALSE),IFERROR(VLOOKUP($A179,OFFSET(weekly_achievement_criterion_id,0,0,COUNTA($A:$A),MATCH(D$1,weekly_missions!$2:$2,0)-MATCH($A$1,weekly_missions!$2:$2,0)+1),MATCH(D$1,weekly_missions!$2:$2,0)-MATCH($A$1,weekly_missions!$2:$2,0)+1,FALSE),"＊missions 未設定＊"))</f>
        <v>メガ秘術の果実 x 1</v>
      </c>
      <c r="E179" s="27" t="s">
        <v>352</v>
      </c>
      <c r="F179" s="17" t="s">
        <v>310</v>
      </c>
      <c r="G179" s="27" t="s">
        <v>765</v>
      </c>
      <c r="H179" s="26" t="str">
        <f ca="1">VLOOKUP($F179,OFFSET(達成条件!$A$1,0,0,COUNTA($A:$A),MATCH(H$1,達成条件!$1:$1,0)-MATCH($F$1,達成条件!$1:$1,0)+1),MATCH(H$1,達成条件!$1:$1,0)-MATCH($F$1,達成条件!$1:$1,0)+1,FALSE)</f>
        <v>該当のクエスト(99-9)</v>
      </c>
      <c r="I179" s="83" t="s">
        <v>2548</v>
      </c>
      <c r="J179" s="54" t="str">
        <f ca="1">IF(F179="specific_unit_aquired_count",SUBSTITUTE(G179,"x",VLOOKUP(INT($I179),OFFSET([3]characters!$A$2,0,0,COUNTA([3]characters!$A:$A),MATCH(J$1,[3]characters!$2:$2,0)-MATCH("character_id",[3]characters!$2:$2,0)+1),MATCH(J$1,[3]characters!$2:$2,0)-MATCH("character_id",[3]characters!$2:$2,0)+1,FALSE)),IF(F179="specific_quest_clear",VLOOKUP(SUBSTITUTE(I179,"-","_"),OFFSET([2]stages!$A$2,0,0,COUNTA([2]stages!$A:$A),MATCH("name",[2]stages!$2:$2,0)-MATCH("temp_stage",[2]stages!$2:$2,0)+1),MATCH("name",[2]stages!$2:$2,0)-MATCH("temp_stage",[2]stages!$2:$2,0)+1,FALSE),""))</f>
        <v>【上級】スカー襲来</v>
      </c>
      <c r="K179" s="15">
        <v>1</v>
      </c>
      <c r="L179" s="15" t="s">
        <v>352</v>
      </c>
      <c r="M179" s="26"/>
      <c r="N179" s="26"/>
    </row>
    <row r="180" spans="1:14" ht="21" customHeight="1" x14ac:dyDescent="0.15">
      <c r="A180" s="138" t="s">
        <v>2552</v>
      </c>
      <c r="B180" s="21" t="s">
        <v>792</v>
      </c>
      <c r="C180" s="26" t="str">
        <f t="shared" ca="1" si="15"/>
        <v>クエスト 【超級】スカー襲来 をクリアしよう！</v>
      </c>
      <c r="D180" s="26" t="str">
        <f ca="1">IFERROR(VLOOKUP($A180,OFFSET(achievement_criterion_id,0,0,COUNTA($A:$A),MATCH(D$1,missions!$2:$2,0)-MATCH($A$1,missions!$2:$2,0)+1),MATCH(D$1,missions!$2:$2,0)-MATCH($A$1,missions!$2:$2,0)+1,FALSE),IFERROR(VLOOKUP($A180,OFFSET(weekly_achievement_criterion_id,0,0,COUNTA($A:$A),MATCH(D$1,weekly_missions!$2:$2,0)-MATCH($A$1,weekly_missions!$2:$2,0)+1),MATCH(D$1,weekly_missions!$2:$2,0)-MATCH($A$1,weekly_missions!$2:$2,0)+1,FALSE),"＊missions 未設定＊"))</f>
        <v>メガ秘術の果実 x 1</v>
      </c>
      <c r="E180" s="27" t="s">
        <v>352</v>
      </c>
      <c r="F180" s="17" t="s">
        <v>310</v>
      </c>
      <c r="G180" s="27" t="s">
        <v>765</v>
      </c>
      <c r="H180" s="26" t="str">
        <f ca="1">VLOOKUP($F180,OFFSET(達成条件!$A$1,0,0,COUNTA($A:$A),MATCH(H$1,達成条件!$1:$1,0)-MATCH($F$1,達成条件!$1:$1,0)+1),MATCH(H$1,達成条件!$1:$1,0)-MATCH($F$1,達成条件!$1:$1,0)+1,FALSE)</f>
        <v>該当のクエスト(99-9)</v>
      </c>
      <c r="I180" s="83" t="s">
        <v>2549</v>
      </c>
      <c r="J180" s="54" t="str">
        <f ca="1">IF(F180="specific_unit_aquired_count",SUBSTITUTE(G180,"x",VLOOKUP(INT($I180),OFFSET([3]characters!$A$2,0,0,COUNTA([3]characters!$A:$A),MATCH(J$1,[3]characters!$2:$2,0)-MATCH("character_id",[3]characters!$2:$2,0)+1),MATCH(J$1,[3]characters!$2:$2,0)-MATCH("character_id",[3]characters!$2:$2,0)+1,FALSE)),IF(F180="specific_quest_clear",VLOOKUP(SUBSTITUTE(I180,"-","_"),OFFSET([2]stages!$A$2,0,0,COUNTA([2]stages!$A:$A),MATCH("name",[2]stages!$2:$2,0)-MATCH("temp_stage",[2]stages!$2:$2,0)+1),MATCH("name",[2]stages!$2:$2,0)-MATCH("temp_stage",[2]stages!$2:$2,0)+1,FALSE),""))</f>
        <v>【超級】スカー襲来</v>
      </c>
      <c r="K180" s="15">
        <v>1</v>
      </c>
      <c r="L180" s="15" t="s">
        <v>352</v>
      </c>
      <c r="M180" s="26"/>
      <c r="N180" s="26"/>
    </row>
    <row r="181" spans="1:14" ht="21" customHeight="1" x14ac:dyDescent="0.15">
      <c r="A181" s="138" t="s">
        <v>2553</v>
      </c>
      <c r="B181" s="21" t="s">
        <v>792</v>
      </c>
      <c r="C181" s="26" t="str">
        <f t="shared" ca="1" si="15"/>
        <v>クエスト 【ウィザード級】スカー襲来 をクリアしよう！</v>
      </c>
      <c r="D181" s="26" t="str">
        <f ca="1">IFERROR(VLOOKUP($A181,OFFSET(achievement_criterion_id,0,0,COUNTA($A:$A),MATCH(D$1,missions!$2:$2,0)-MATCH($A$1,missions!$2:$2,0)+1),MATCH(D$1,missions!$2:$2,0)-MATCH($A$1,missions!$2:$2,0)+1,FALSE),IFERROR(VLOOKUP($A181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81" s="27" t="s">
        <v>352</v>
      </c>
      <c r="F181" s="17" t="s">
        <v>310</v>
      </c>
      <c r="G181" s="27" t="s">
        <v>765</v>
      </c>
      <c r="H181" s="26" t="str">
        <f ca="1">VLOOKUP($F181,OFFSET(達成条件!$A$1,0,0,COUNTA($A:$A),MATCH(H$1,達成条件!$1:$1,0)-MATCH($F$1,達成条件!$1:$1,0)+1),MATCH(H$1,達成条件!$1:$1,0)-MATCH($F$1,達成条件!$1:$1,0)+1,FALSE)</f>
        <v>該当のクエスト(99-9)</v>
      </c>
      <c r="I181" s="83" t="s">
        <v>2550</v>
      </c>
      <c r="J181" s="54" t="str">
        <f ca="1">IF(F181="specific_unit_aquired_count",SUBSTITUTE(G181,"x",VLOOKUP(INT($I181),OFFSET([3]characters!$A$2,0,0,COUNTA([3]characters!$A:$A),MATCH(J$1,[3]characters!$2:$2,0)-MATCH("character_id",[3]characters!$2:$2,0)+1),MATCH(J$1,[3]characters!$2:$2,0)-MATCH("character_id",[3]characters!$2:$2,0)+1,FALSE)),IF(F181="specific_quest_clear",VLOOKUP(SUBSTITUTE(I181,"-","_"),OFFSET([2]stages!$A$2,0,0,COUNTA([2]stages!$A:$A),MATCH("name",[2]stages!$2:$2,0)-MATCH("temp_stage",[2]stages!$2:$2,0)+1),MATCH("name",[2]stages!$2:$2,0)-MATCH("temp_stage",[2]stages!$2:$2,0)+1,FALSE),""))</f>
        <v>【ウィザード級】スカー襲来</v>
      </c>
      <c r="K181" s="15">
        <v>1</v>
      </c>
      <c r="L181" s="15" t="s">
        <v>352</v>
      </c>
      <c r="M181" s="26"/>
      <c r="N181" s="26"/>
    </row>
    <row r="182" spans="1:14" ht="21" customHeight="1" x14ac:dyDescent="0.15">
      <c r="A182" s="138" t="s">
        <v>2574</v>
      </c>
      <c r="B182" s="21" t="s">
        <v>792</v>
      </c>
      <c r="C182" s="26" t="str">
        <f t="shared" ref="C182:C186" ca="1" si="16">IF(F182="specific_quest_clear",SUBSTITUTE(G182,"x",J182),IF(F182="specific_unit_aquired_count",SUBSTITUTE(J182,"y",K182),SUBSTITUTE(G182,"x",I182)))</f>
        <v>【ウィザード級】聖なる夜に祝福を をクリアしよう！</v>
      </c>
      <c r="D182" s="26" t="str">
        <f ca="1">IFERROR(VLOOKUP($A182,OFFSET(achievement_criterion_id,0,0,COUNTA($A:$A),MATCH(D$1,missions!$2:$2,0)-MATCH($A$1,missions!$2:$2,0)+1),MATCH(D$1,missions!$2:$2,0)-MATCH($A$1,missions!$2:$2,0)+1,FALSE),IFERROR(VLOOKUP($A182,OFFSET(weekly_achievement_criterion_id,0,0,COUNTA($A:$A),MATCH(D$1,weekly_missions!$2:$2,0)-MATCH($A$1,weekly_missions!$2:$2,0)+1),MATCH(D$1,weekly_missions!$2:$2,0)-MATCH($A$1,weekly_missions!$2:$2,0)+1,FALSE),"＊missions 未設定＊"))</f>
        <v>ウィンターチケット x 5</v>
      </c>
      <c r="E182" s="27" t="s">
        <v>352</v>
      </c>
      <c r="F182" s="17" t="s">
        <v>310</v>
      </c>
      <c r="G182" s="76" t="s">
        <v>1439</v>
      </c>
      <c r="H182" s="26" t="str">
        <f ca="1">VLOOKUP($F182,OFFSET(達成条件!$A$1,0,0,COUNTA($A:$A),MATCH(H$1,達成条件!$1:$1,0)-MATCH($F$1,達成条件!$1:$1,0)+1),MATCH(H$1,達成条件!$1:$1,0)-MATCH($F$1,達成条件!$1:$1,0)+1,FALSE)</f>
        <v>該当のクエスト(99-9)</v>
      </c>
      <c r="I182" s="83" t="s">
        <v>2576</v>
      </c>
      <c r="J182" s="54" t="str">
        <f ca="1">IF(F182="specific_unit_aquired_count",SUBSTITUTE(G182,"x",VLOOKUP(INT($I182),OFFSET([3]characters!$A$2,0,0,COUNTA([3]characters!$A:$A),MATCH(J$1,[3]characters!$2:$2,0)-MATCH("character_id",[3]characters!$2:$2,0)+1),MATCH(J$1,[3]characters!$2:$2,0)-MATCH("character_id",[3]characters!$2:$2,0)+1,FALSE)),IF(F182="specific_quest_clear",VLOOKUP(SUBSTITUTE(I182,"-","_"),OFFSET([2]stages!$A$2,0,0,COUNTA([2]stages!$A:$A),MATCH("name",[2]stages!$2:$2,0)-MATCH("temp_stage",[2]stages!$2:$2,0)+1),MATCH("name",[2]stages!$2:$2,0)-MATCH("temp_stage",[2]stages!$2:$2,0)+1,FALSE),""))</f>
        <v>【ウィザード級】聖なる夜に祝福を</v>
      </c>
      <c r="K182" s="15">
        <v>1</v>
      </c>
      <c r="L182" s="15" t="s">
        <v>352</v>
      </c>
      <c r="M182" s="26"/>
      <c r="N182" s="26"/>
    </row>
    <row r="183" spans="1:14" ht="21" customHeight="1" x14ac:dyDescent="0.15">
      <c r="A183" s="138" t="s">
        <v>2575</v>
      </c>
      <c r="B183" s="21" t="s">
        <v>792</v>
      </c>
      <c r="C183" s="26" t="str">
        <f t="shared" ca="1" si="16"/>
        <v>【ｳｨｻﾞ】酉の初めはたまごから をクリアしよう！</v>
      </c>
      <c r="D183" s="26" t="str">
        <f ca="1">IFERROR(VLOOKUP($A183,OFFSET(achievement_criterion_id,0,0,COUNTA($A:$A),MATCH(D$1,missions!$2:$2,0)-MATCH($A$1,missions!$2:$2,0)+1),MATCH(D$1,missions!$2:$2,0)-MATCH($A$1,missions!$2:$2,0)+1,FALSE),IFERROR(VLOOKUP($A183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83" s="27" t="s">
        <v>352</v>
      </c>
      <c r="F183" s="17" t="s">
        <v>310</v>
      </c>
      <c r="G183" s="76" t="s">
        <v>1439</v>
      </c>
      <c r="H183" s="26" t="str">
        <f ca="1">VLOOKUP($F183,OFFSET(達成条件!$A$1,0,0,COUNTA($A:$A),MATCH(H$1,達成条件!$1:$1,0)-MATCH($F$1,達成条件!$1:$1,0)+1),MATCH(H$1,達成条件!$1:$1,0)-MATCH($F$1,達成条件!$1:$1,0)+1,FALSE)</f>
        <v>該当のクエスト(99-9)</v>
      </c>
      <c r="I183" s="83" t="s">
        <v>2577</v>
      </c>
      <c r="J183" s="54" t="str">
        <f ca="1">IF(F183="specific_unit_aquired_count",SUBSTITUTE(G183,"x",VLOOKUP(INT($I183),OFFSET([3]characters!$A$2,0,0,COUNTA([3]characters!$A:$A),MATCH(J$1,[3]characters!$2:$2,0)-MATCH("character_id",[3]characters!$2:$2,0)+1),MATCH(J$1,[3]characters!$2:$2,0)-MATCH("character_id",[3]characters!$2:$2,0)+1,FALSE)),IF(F183="specific_quest_clear",VLOOKUP(SUBSTITUTE(I183,"-","_"),OFFSET([2]stages!$A$2,0,0,COUNTA([2]stages!$A:$A),MATCH("name",[2]stages!$2:$2,0)-MATCH("temp_stage",[2]stages!$2:$2,0)+1),MATCH("name",[2]stages!$2:$2,0)-MATCH("temp_stage",[2]stages!$2:$2,0)+1,FALSE),""))</f>
        <v>【ｳｨｻﾞ】酉の初めはたまごから</v>
      </c>
      <c r="K183" s="15">
        <v>1</v>
      </c>
      <c r="L183" s="15" t="s">
        <v>352</v>
      </c>
      <c r="M183" s="26"/>
      <c r="N183" s="26"/>
    </row>
    <row r="184" spans="1:14" ht="21" customHeight="1" x14ac:dyDescent="0.15">
      <c r="A184" s="138" t="s">
        <v>2583</v>
      </c>
      <c r="B184" s="21" t="s">
        <v>792</v>
      </c>
      <c r="C184" s="26" t="str">
        <f t="shared" ca="1" si="16"/>
        <v>【上級】ヘルレイザー襲来 をクリアしよう！</v>
      </c>
      <c r="D184" s="26" t="str">
        <f ca="1">IFERROR(VLOOKUP($A184,OFFSET(achievement_criterion_id,0,0,COUNTA($A:$A),MATCH(D$1,missions!$2:$2,0)-MATCH($A$1,missions!$2:$2,0)+1),MATCH(D$1,missions!$2:$2,0)-MATCH($A$1,missions!$2:$2,0)+1,FALSE),IFERROR(VLOOKUP($A184,OFFSET(weekly_achievement_criterion_id,0,0,COUNTA($A:$A),MATCH(D$1,weekly_missions!$2:$2,0)-MATCH($A$1,weekly_missions!$2:$2,0)+1),MATCH(D$1,weekly_missions!$2:$2,0)-MATCH($A$1,weekly_missions!$2:$2,0)+1,FALSE),"＊missions 未設定＊"))</f>
        <v>メガ秘術の果実 x 1</v>
      </c>
      <c r="E184" s="27" t="s">
        <v>352</v>
      </c>
      <c r="F184" s="17" t="s">
        <v>310</v>
      </c>
      <c r="G184" s="76" t="s">
        <v>1439</v>
      </c>
      <c r="H184" s="26" t="str">
        <f ca="1">VLOOKUP($F184,OFFSET(達成条件!$A$1,0,0,COUNTA($A:$A),MATCH(H$1,達成条件!$1:$1,0)-MATCH($F$1,達成条件!$1:$1,0)+1),MATCH(H$1,達成条件!$1:$1,0)-MATCH($F$1,達成条件!$1:$1,0)+1,FALSE)</f>
        <v>該当のクエスト(99-9)</v>
      </c>
      <c r="I184" s="83" t="s">
        <v>2586</v>
      </c>
      <c r="J184" s="54" t="str">
        <f ca="1">IF(F184="specific_unit_aquired_count",SUBSTITUTE(G184,"x",VLOOKUP(INT($I184),OFFSET([3]characters!$A$2,0,0,COUNTA([3]characters!$A:$A),MATCH(J$1,[3]characters!$2:$2,0)-MATCH("character_id",[3]characters!$2:$2,0)+1),MATCH(J$1,[3]characters!$2:$2,0)-MATCH("character_id",[3]characters!$2:$2,0)+1,FALSE)),IF(F184="specific_quest_clear",VLOOKUP(SUBSTITUTE(I184,"-","_"),OFFSET([2]stages!$A$2,0,0,COUNTA([2]stages!$A:$A),MATCH("name",[2]stages!$2:$2,0)-MATCH("temp_stage",[2]stages!$2:$2,0)+1),MATCH("name",[2]stages!$2:$2,0)-MATCH("temp_stage",[2]stages!$2:$2,0)+1,FALSE),""))</f>
        <v>【上級】ヘルレイザー襲来</v>
      </c>
      <c r="K184" s="15">
        <v>1</v>
      </c>
      <c r="L184" s="15" t="s">
        <v>352</v>
      </c>
      <c r="M184" s="26"/>
      <c r="N184" s="26"/>
    </row>
    <row r="185" spans="1:14" ht="21" customHeight="1" x14ac:dyDescent="0.15">
      <c r="A185" s="138" t="s">
        <v>2584</v>
      </c>
      <c r="B185" s="21" t="s">
        <v>792</v>
      </c>
      <c r="C185" s="26" t="str">
        <f t="shared" ca="1" si="16"/>
        <v>【超絶級】ヘルレイザー襲来 をクリアしよう！</v>
      </c>
      <c r="D185" s="26" t="str">
        <f ca="1">IFERROR(VLOOKUP($A185,OFFSET(achievement_criterion_id,0,0,COUNTA($A:$A),MATCH(D$1,missions!$2:$2,0)-MATCH($A$1,missions!$2:$2,0)+1),MATCH(D$1,missions!$2:$2,0)-MATCH($A$1,missions!$2:$2,0)+1,FALSE),IFERROR(VLOOKUP($A185,OFFSET(weekly_achievement_criterion_id,0,0,COUNTA($A:$A),MATCH(D$1,weekly_missions!$2:$2,0)-MATCH($A$1,weekly_missions!$2:$2,0)+1),MATCH(D$1,weekly_missions!$2:$2,0)-MATCH($A$1,weekly_missions!$2:$2,0)+1,FALSE),"＊missions 未設定＊"))</f>
        <v>リトルハンプティ x 1</v>
      </c>
      <c r="E185" s="27" t="s">
        <v>352</v>
      </c>
      <c r="F185" s="17" t="s">
        <v>310</v>
      </c>
      <c r="G185" s="76" t="s">
        <v>1439</v>
      </c>
      <c r="H185" s="26" t="str">
        <f ca="1">VLOOKUP($F185,OFFSET(達成条件!$A$1,0,0,COUNTA($A:$A),MATCH(H$1,達成条件!$1:$1,0)-MATCH($F$1,達成条件!$1:$1,0)+1),MATCH(H$1,達成条件!$1:$1,0)-MATCH($F$1,達成条件!$1:$1,0)+1,FALSE)</f>
        <v>該当のクエスト(99-9)</v>
      </c>
      <c r="I185" s="83" t="s">
        <v>2587</v>
      </c>
      <c r="J185" s="54" t="str">
        <f ca="1">IF(F185="specific_unit_aquired_count",SUBSTITUTE(G185,"x",VLOOKUP(INT($I185),OFFSET([3]characters!$A$2,0,0,COUNTA([3]characters!$A:$A),MATCH(J$1,[3]characters!$2:$2,0)-MATCH("character_id",[3]characters!$2:$2,0)+1),MATCH(J$1,[3]characters!$2:$2,0)-MATCH("character_id",[3]characters!$2:$2,0)+1,FALSE)),IF(F185="specific_quest_clear",VLOOKUP(SUBSTITUTE(I185,"-","_"),OFFSET([2]stages!$A$2,0,0,COUNTA([2]stages!$A:$A),MATCH("name",[2]stages!$2:$2,0)-MATCH("temp_stage",[2]stages!$2:$2,0)+1),MATCH("name",[2]stages!$2:$2,0)-MATCH("temp_stage",[2]stages!$2:$2,0)+1,FALSE),""))</f>
        <v>【超絶級】ヘルレイザー襲来</v>
      </c>
      <c r="K185" s="15">
        <v>1</v>
      </c>
      <c r="L185" s="15" t="s">
        <v>352</v>
      </c>
      <c r="M185" s="26"/>
      <c r="N185" s="26"/>
    </row>
    <row r="186" spans="1:14" ht="21" customHeight="1" x14ac:dyDescent="0.15">
      <c r="A186" s="138" t="s">
        <v>2585</v>
      </c>
      <c r="B186" s="21" t="s">
        <v>792</v>
      </c>
      <c r="C186" s="26" t="str">
        <f t="shared" ca="1" si="16"/>
        <v>【ウィザード級】ヘルレイザー襲来 をクリアしよう！</v>
      </c>
      <c r="D186" s="26" t="str">
        <f ca="1">IFERROR(VLOOKUP($A186,OFFSET(achievement_criterion_id,0,0,COUNTA($A:$A),MATCH(D$1,missions!$2:$2,0)-MATCH($A$1,missions!$2:$2,0)+1),MATCH(D$1,missions!$2:$2,0)-MATCH($A$1,missions!$2:$2,0)+1,FALSE),IFERROR(VLOOKUP($A186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86" s="27" t="s">
        <v>352</v>
      </c>
      <c r="F186" s="17" t="s">
        <v>310</v>
      </c>
      <c r="G186" s="76" t="s">
        <v>1439</v>
      </c>
      <c r="H186" s="26" t="str">
        <f ca="1">VLOOKUP($F186,OFFSET(達成条件!$A$1,0,0,COUNTA($A:$A),MATCH(H$1,達成条件!$1:$1,0)-MATCH($F$1,達成条件!$1:$1,0)+1),MATCH(H$1,達成条件!$1:$1,0)-MATCH($F$1,達成条件!$1:$1,0)+1,FALSE)</f>
        <v>該当のクエスト(99-9)</v>
      </c>
      <c r="I186" s="83" t="s">
        <v>2588</v>
      </c>
      <c r="J186" s="54" t="str">
        <f ca="1">IF(F186="specific_unit_aquired_count",SUBSTITUTE(G186,"x",VLOOKUP(INT($I186),OFFSET([3]characters!$A$2,0,0,COUNTA([3]characters!$A:$A),MATCH(J$1,[3]characters!$2:$2,0)-MATCH("character_id",[3]characters!$2:$2,0)+1),MATCH(J$1,[3]characters!$2:$2,0)-MATCH("character_id",[3]characters!$2:$2,0)+1,FALSE)),IF(F186="specific_quest_clear",VLOOKUP(SUBSTITUTE(I186,"-","_"),OFFSET([2]stages!$A$2,0,0,COUNTA([2]stages!$A:$A),MATCH("name",[2]stages!$2:$2,0)-MATCH("temp_stage",[2]stages!$2:$2,0)+1),MATCH("name",[2]stages!$2:$2,0)-MATCH("temp_stage",[2]stages!$2:$2,0)+1,FALSE),""))</f>
        <v>【ウィザード級】ヘルレイザー襲来</v>
      </c>
      <c r="K186" s="15">
        <v>1</v>
      </c>
      <c r="L186" s="15" t="s">
        <v>352</v>
      </c>
      <c r="M186" s="26"/>
      <c r="N186" s="26"/>
    </row>
    <row r="187" spans="1:14" ht="21" customHeight="1" x14ac:dyDescent="0.15">
      <c r="A187" s="138" t="s">
        <v>2674</v>
      </c>
      <c r="B187" s="21" t="s">
        <v>792</v>
      </c>
      <c r="C187" s="26" t="str">
        <f ca="1">IF(F187="specific_quest_clear",SUBSTITUTE(G187,"x",J187),IF(F187="specific_unit_aquired_count",SUBSTITUTE(J187,"y",K187),SUBSTITUTE(G187,"x",I187)))</f>
        <v>クエスト ラグランジュチャレンジ  をクリアしよう！</v>
      </c>
      <c r="D187" s="26" t="str">
        <f ca="1">IFERROR(VLOOKUP($A187,OFFSET(achievement_criterion_id,0,0,COUNTA($A:$A),MATCH(D$1,missions!$2:$2,0)-MATCH($A$1,missions!$2:$2,0)+1),MATCH(D$1,missions!$2:$2,0)-MATCH($A$1,missions!$2:$2,0)+1,FALSE),IFERROR(VLOOKUP($A187,OFFSET(weekly_achievement_criterion_id,0,0,COUNTA($A:$A),MATCH(D$1,weekly_missions!$2:$2,0)-MATCH($A$1,weekly_missions!$2:$2,0)+1),MATCH(D$1,weekly_missions!$2:$2,0)-MATCH($A$1,weekly_missions!$2:$2,0)+1,FALSE),"＊missions 未設定＊"))</f>
        <v>ポリゴン x 3</v>
      </c>
      <c r="E187" s="27" t="s">
        <v>352</v>
      </c>
      <c r="F187" s="17" t="s">
        <v>310</v>
      </c>
      <c r="G187" s="27" t="s">
        <v>765</v>
      </c>
      <c r="H187" s="26" t="str">
        <f ca="1">VLOOKUP($F187,OFFSET(達成条件!$A$1,0,0,COUNTA($A:$A),MATCH(H$1,達成条件!$1:$1,0)-MATCH($F$1,達成条件!$1:$1,0)+1),MATCH(H$1,達成条件!$1:$1,0)-MATCH($F$1,達成条件!$1:$1,0)+1,FALSE)</f>
        <v>該当のクエスト(99-9)</v>
      </c>
      <c r="I187" s="83" t="s">
        <v>2675</v>
      </c>
      <c r="J187" s="54" t="str">
        <f ca="1">IF(F187="specific_unit_aquired_count",SUBSTITUTE(G187,"x",VLOOKUP(INT($I187),OFFSET([3]characters!$A$2,0,0,COUNTA([3]characters!$A:$A),MATCH(J$1,[3]characters!$2:$2,0)-MATCH("character_id",[3]characters!$2:$2,0)+1),MATCH(J$1,[3]characters!$2:$2,0)-MATCH("character_id",[3]characters!$2:$2,0)+1,FALSE)),IF(F187="specific_quest_clear",VLOOKUP(SUBSTITUTE(I187,"-","_"),OFFSET([2]stages!$A$2,0,0,COUNTA([2]stages!$A:$A),MATCH("name",[2]stages!$2:$2,0)-MATCH("temp_stage",[2]stages!$2:$2,0)+1),MATCH("name",[2]stages!$2:$2,0)-MATCH("temp_stage",[2]stages!$2:$2,0)+1,FALSE),""))</f>
        <v xml:space="preserve">ラグランジュチャレンジ </v>
      </c>
      <c r="K187" s="15">
        <v>1</v>
      </c>
      <c r="L187" s="15" t="s">
        <v>352</v>
      </c>
      <c r="M187" s="26"/>
      <c r="N187" s="26"/>
    </row>
    <row r="188" spans="1:14" ht="21" customHeight="1" x14ac:dyDescent="0.15">
      <c r="A188" s="138" t="s">
        <v>2713</v>
      </c>
      <c r="B188" s="21" t="s">
        <v>792</v>
      </c>
      <c r="C188" s="26" t="str">
        <f t="shared" ref="C188:C189" ca="1" si="17">IF(F188="specific_quest_clear",SUBSTITUTE(G188,"x",J188),IF(F188="specific_unit_aquired_count",SUBSTITUTE(J188,"y",K188),SUBSTITUTE(G188,"x",I188)))</f>
        <v>クエスト 【ｳｨｻﾞ】後光射す白無垢装束 をクリアしよう！</v>
      </c>
      <c r="D188" s="26" t="str">
        <f ca="1">IFERROR(VLOOKUP($A188,OFFSET(achievement_criterion_id,0,0,COUNTA($A:$A),MATCH(D$1,missions!$2:$2,0)-MATCH($A$1,missions!$2:$2,0)+1),MATCH(D$1,missions!$2:$2,0)-MATCH($A$1,missions!$2:$2,0)+1,FALSE),IFERROR(VLOOKUP($A188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88" s="27" t="s">
        <v>352</v>
      </c>
      <c r="F188" s="17" t="s">
        <v>310</v>
      </c>
      <c r="G188" s="27" t="s">
        <v>765</v>
      </c>
      <c r="H188" s="26" t="str">
        <f ca="1">VLOOKUP($F188,OFFSET(達成条件!$A$1,0,0,COUNTA($A:$A),MATCH(H$1,達成条件!$1:$1,0)-MATCH($F$1,達成条件!$1:$1,0)+1),MATCH(H$1,達成条件!$1:$1,0)-MATCH($F$1,達成条件!$1:$1,0)+1,FALSE)</f>
        <v>該当のクエスト(99-9)</v>
      </c>
      <c r="I188" s="83" t="s">
        <v>2717</v>
      </c>
      <c r="J188" s="54" t="str">
        <f ca="1">IF(F188="specific_unit_aquired_count",SUBSTITUTE(G188,"x",VLOOKUP(INT($I188),OFFSET([3]characters!$A$2,0,0,COUNTA([3]characters!$A:$A),MATCH(J$1,[3]characters!$2:$2,0)-MATCH("character_id",[3]characters!$2:$2,0)+1),MATCH(J$1,[3]characters!$2:$2,0)-MATCH("character_id",[3]characters!$2:$2,0)+1,FALSE)),IF(F188="specific_quest_clear",VLOOKUP(SUBSTITUTE(I188,"-","_"),OFFSET([2]stages!$A$2,0,0,COUNTA([2]stages!$A:$A),MATCH("name",[2]stages!$2:$2,0)-MATCH("temp_stage",[2]stages!$2:$2,0)+1),MATCH("name",[2]stages!$2:$2,0)-MATCH("temp_stage",[2]stages!$2:$2,0)+1,FALSE),""))</f>
        <v>【ｳｨｻﾞ】後光射す白無垢装束</v>
      </c>
      <c r="K188" s="15">
        <v>1</v>
      </c>
      <c r="L188" s="15" t="s">
        <v>352</v>
      </c>
      <c r="M188" s="26"/>
      <c r="N188" s="26"/>
    </row>
    <row r="189" spans="1:14" ht="21" customHeight="1" x14ac:dyDescent="0.15">
      <c r="A189" s="138" t="s">
        <v>2714</v>
      </c>
      <c r="B189" s="21" t="s">
        <v>792</v>
      </c>
      <c r="C189" s="26" t="str">
        <f t="shared" ca="1" si="17"/>
        <v>クエスト 【ｳｨｻﾞ】嫁入り道具はチェーンソー をクリアしよう！</v>
      </c>
      <c r="D189" s="26" t="str">
        <f ca="1">IFERROR(VLOOKUP($A189,OFFSET(achievement_criterion_id,0,0,COUNTA($A:$A),MATCH(D$1,missions!$2:$2,0)-MATCH($A$1,missions!$2:$2,0)+1),MATCH(D$1,missions!$2:$2,0)-MATCH($A$1,missions!$2:$2,0)+1,FALSE),IFERROR(VLOOKUP($A189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89" s="27" t="s">
        <v>352</v>
      </c>
      <c r="F189" s="17" t="s">
        <v>310</v>
      </c>
      <c r="G189" s="27" t="s">
        <v>765</v>
      </c>
      <c r="H189" s="26" t="str">
        <f ca="1">VLOOKUP($F189,OFFSET(達成条件!$A$1,0,0,COUNTA($A:$A),MATCH(H$1,達成条件!$1:$1,0)-MATCH($F$1,達成条件!$1:$1,0)+1),MATCH(H$1,達成条件!$1:$1,0)-MATCH($F$1,達成条件!$1:$1,0)+1,FALSE)</f>
        <v>該当のクエスト(99-9)</v>
      </c>
      <c r="I189" s="83" t="s">
        <v>2718</v>
      </c>
      <c r="J189" s="54" t="str">
        <f ca="1">IF(F189="specific_unit_aquired_count",SUBSTITUTE(G189,"x",VLOOKUP(INT($I189),OFFSET([3]characters!$A$2,0,0,COUNTA([3]characters!$A:$A),MATCH(J$1,[3]characters!$2:$2,0)-MATCH("character_id",[3]characters!$2:$2,0)+1),MATCH(J$1,[3]characters!$2:$2,0)-MATCH("character_id",[3]characters!$2:$2,0)+1,FALSE)),IF(F189="specific_quest_clear",VLOOKUP(SUBSTITUTE(I189,"-","_"),OFFSET([2]stages!$A$2,0,0,COUNTA([2]stages!$A:$A),MATCH("name",[2]stages!$2:$2,0)-MATCH("temp_stage",[2]stages!$2:$2,0)+1),MATCH("name",[2]stages!$2:$2,0)-MATCH("temp_stage",[2]stages!$2:$2,0)+1,FALSE),""))</f>
        <v>【ｳｨｻﾞ】嫁入り道具はチェーンソー</v>
      </c>
      <c r="K189" s="15">
        <v>1</v>
      </c>
      <c r="L189" s="15" t="s">
        <v>352</v>
      </c>
      <c r="M189" s="26"/>
      <c r="N189" s="26"/>
    </row>
    <row r="190" spans="1:14" ht="21" customHeight="1" x14ac:dyDescent="0.15">
      <c r="A190" s="125" t="s">
        <v>2235</v>
      </c>
      <c r="B190" s="21" t="s">
        <v>792</v>
      </c>
      <c r="C190" s="128" t="s">
        <v>2236</v>
      </c>
      <c r="D190" s="26" t="str">
        <f ca="1">IFERROR(VLOOKUP($A190,OFFSET(achievement_criterion_id,0,0,COUNTA($A:$A),MATCH(D$1,missions!$2:$2,0)-MATCH($A$1,missions!$2:$2,0)+1),MATCH(D$1,missions!$2:$2,0)-MATCH($A$1,missions!$2:$2,0)+1,FALSE),IFERROR(VLOOKUP($A190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90" s="27" t="s">
        <v>352</v>
      </c>
      <c r="F190" s="17" t="s">
        <v>310</v>
      </c>
      <c r="G190" s="27" t="s">
        <v>765</v>
      </c>
      <c r="H190" s="26" t="str">
        <f ca="1">VLOOKUP($F190,OFFSET(達成条件!$A$1,0,0,COUNTA($A:$A),MATCH(H$1,達成条件!$1:$1,0)-MATCH($F$1,達成条件!$1:$1,0)+1),MATCH(H$1,達成条件!$1:$1,0)-MATCH($F$1,達成条件!$1:$1,0)+1,FALSE)</f>
        <v>該当のクエスト(99-9)</v>
      </c>
      <c r="I190" s="148" t="s">
        <v>2237</v>
      </c>
      <c r="J190" s="54" t="str">
        <f ca="1">IF(F190="specific_unit_aquired_count",SUBSTITUTE(G190,"x",VLOOKUP(INT($I190),OFFSET([3]characters!$A$2,0,0,COUNTA([3]characters!$A:$A),MATCH(J$1,[3]characters!$2:$2,0)-MATCH("character_id",[3]characters!$2:$2,0)+1),MATCH(J$1,[3]characters!$2:$2,0)-MATCH("character_id",[3]characters!$2:$2,0)+1,FALSE)),IF(F190="specific_quest_clear",VLOOKUP(SUBSTITUTE(I190,"-","_"),OFFSET([2]stages!$A$2,0,0,COUNTA([2]stages!$A:$A),MATCH("name",[2]stages!$2:$2,0)-MATCH("temp_stage",[2]stages!$2:$2,0)+1),MATCH("name",[2]stages!$2:$2,0)-MATCH("temp_stage",[2]stages!$2:$2,0)+1,FALSE),""))</f>
        <v>【LB田邉】アニメーション検証</v>
      </c>
      <c r="K190" s="15">
        <v>1</v>
      </c>
      <c r="L190" s="15" t="s">
        <v>352</v>
      </c>
      <c r="M190" s="26"/>
      <c r="N190" s="26"/>
    </row>
    <row r="191" spans="1:14" ht="21" customHeight="1" x14ac:dyDescent="0.15">
      <c r="A191" s="150" t="s">
        <v>2287</v>
      </c>
      <c r="B191" s="21" t="s">
        <v>792</v>
      </c>
      <c r="C191" s="151" t="s">
        <v>2292</v>
      </c>
      <c r="D191" s="26" t="str">
        <f ca="1">IFERROR(VLOOKUP($A191,OFFSET(achievement_criterion_id,0,0,COUNTA($A:$A),MATCH(D$1,missions!$2:$2,0)-MATCH($A$1,missions!$2:$2,0)+1),MATCH(D$1,missions!$2:$2,0)-MATCH($A$1,missions!$2:$2,0)+1,FALSE),IFERROR(VLOOKUP($A191,OFFSET(weekly_achievement_criterion_id,0,0,COUNTA($A:$A),MATCH(D$1,weekly_missions!$2:$2,0)-MATCH($A$1,weekly_missions!$2:$2,0)+1),MATCH(D$1,weekly_missions!$2:$2,0)-MATCH($A$1,weekly_missions!$2:$2,0)+1,FALSE),"＊missions 未設定＊"))</f>
        <v>にゃんこワクワクチケット x 10</v>
      </c>
      <c r="E191" s="27" t="s">
        <v>352</v>
      </c>
      <c r="F191" s="2" t="s">
        <v>2291</v>
      </c>
      <c r="G191" s="26" t="e">
        <f ca="1">VLOOKUP($F191,OFFSET(達成条件!$A$1,0,0,COUNTA($A:$A),MATCH(G$1,達成条件!$1:$1,0)-MATCH($F$1,達成条件!$1:$1,0)+1),MATCH(G$1,達成条件!$1:$1,0)-MATCH($F$1,達成条件!$1:$1,0)+1,FALSE)</f>
        <v>#N/A</v>
      </c>
      <c r="H191" s="26" t="e">
        <f ca="1">VLOOKUP($F191,OFFSET(達成条件!$A$1,0,0,COUNTA($A:$A),MATCH(H$1,達成条件!$1:$1,0)-MATCH($F$1,達成条件!$1:$1,0)+1),MATCH(H$1,達成条件!$1:$1,0)-MATCH($F$1,達成条件!$1:$1,0)+1,FALSE)</f>
        <v>#N/A</v>
      </c>
      <c r="I191" s="83" t="s">
        <v>2288</v>
      </c>
      <c r="J191" s="54" t="str">
        <f ca="1">IF(F191="specific_unit_aquired_count",SUBSTITUTE(G191,"x",VLOOKUP(INT($I191),OFFSET([3]characters!$A$1,0,0,COUNTA([3]characters!$A:$A),MATCH(J$1,[3]characters!$1:$1,0)-MATCH("character_id",[3]characters!$1:$1,0)+1),MATCH(J$1,[3]characters!$1:$1,0)-MATCH("character_id",[3]characters!$1:$1,0)+1,FALSE)),IF(F191="specific_quest_clear",VLOOKUP(SUBSTITUTE(I191,"-","_"),OFFSET([2]stages!$A$1,0,0,COUNTA([2]stages!$A:$A),MATCH("name",[2]stages!$1:$1,0)-MATCH("temp_stage",[2]stages!$1:$1,0)+1),MATCH("name",[2]stages!$1:$1,0)-MATCH("temp_stage",[2]stages!$1:$1,0)+1,FALSE),""))</f>
        <v/>
      </c>
      <c r="K191" s="15">
        <v>1</v>
      </c>
      <c r="L191" s="15" t="s">
        <v>352</v>
      </c>
      <c r="M191" s="26"/>
      <c r="N191" s="26"/>
    </row>
    <row r="192" spans="1:14" ht="21" customHeight="1" x14ac:dyDescent="0.15">
      <c r="A192" s="150" t="s">
        <v>2289</v>
      </c>
      <c r="B192" s="21" t="s">
        <v>792</v>
      </c>
      <c r="C192" s="152" t="s">
        <v>2293</v>
      </c>
      <c r="D192" s="26" t="str">
        <f ca="1">IFERROR(VLOOKUP($A192,OFFSET(achievement_criterion_id,0,0,COUNTA($A:$A),MATCH(D$1,missions!$2:$2,0)-MATCH($A$1,missions!$2:$2,0)+1),MATCH(D$1,missions!$2:$2,0)-MATCH($A$1,missions!$2:$2,0)+1,FALSE),IFERROR(VLOOKUP($A192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192" s="27" t="s">
        <v>352</v>
      </c>
      <c r="F192" s="2" t="s">
        <v>2291</v>
      </c>
      <c r="G192" s="26" t="e">
        <f ca="1">VLOOKUP($F192,OFFSET(達成条件!$A$1,0,0,COUNTA($A:$A),MATCH(G$1,達成条件!$1:$1,0)-MATCH($F$1,達成条件!$1:$1,0)+1),MATCH(G$1,達成条件!$1:$1,0)-MATCH($F$1,達成条件!$1:$1,0)+1,FALSE)</f>
        <v>#N/A</v>
      </c>
      <c r="H192" s="26" t="e">
        <f ca="1">VLOOKUP($F192,OFFSET(達成条件!$A$1,0,0,COUNTA($A:$A),MATCH(H$1,達成条件!$1:$1,0)-MATCH($F$1,達成条件!$1:$1,0)+1),MATCH(H$1,達成条件!$1:$1,0)-MATCH($F$1,達成条件!$1:$1,0)+1,FALSE)</f>
        <v>#N/A</v>
      </c>
      <c r="I192" s="83" t="s">
        <v>2290</v>
      </c>
      <c r="J192" s="54" t="str">
        <f ca="1">IF(F192="specific_unit_aquired_count",SUBSTITUTE(G192,"x",VLOOKUP(INT($I192),OFFSET([3]characters!$A$1,0,0,COUNTA([3]characters!$A:$A),MATCH(J$1,[3]characters!$1:$1,0)-MATCH("character_id",[3]characters!$1:$1,0)+1),MATCH(J$1,[3]characters!$1:$1,0)-MATCH("character_id",[3]characters!$1:$1,0)+1,FALSE)),IF(F192="specific_quest_clear",VLOOKUP(SUBSTITUTE(I192,"-","_"),OFFSET([2]stages!$A$1,0,0,COUNTA([2]stages!$A:$A),MATCH("name",[2]stages!$1:$1,0)-MATCH("temp_stage",[2]stages!$1:$1,0)+1),MATCH("name",[2]stages!$1:$1,0)-MATCH("temp_stage",[2]stages!$1:$1,0)+1,FALSE),""))</f>
        <v/>
      </c>
      <c r="K192" s="15">
        <v>1</v>
      </c>
      <c r="L192" s="15" t="s">
        <v>352</v>
      </c>
      <c r="M192" s="26"/>
      <c r="N192" s="26"/>
    </row>
    <row r="193" spans="1:14" ht="21" customHeight="1" x14ac:dyDescent="0.15">
      <c r="A193" s="2" t="s">
        <v>52</v>
      </c>
      <c r="B193" s="21" t="s">
        <v>792</v>
      </c>
      <c r="C193" s="26" t="str">
        <f ca="1">IF(F193="specific_quest_clear",SUBSTITUTE(G193,"x",J193),IF(F193="specific_unit_aquired_count",SUBSTITUTE(J193,"y",K193),SUBSTITUTE(G193,"x",I193)))</f>
        <v>チュートリアルをクリアしよう！</v>
      </c>
      <c r="D193" s="26" t="str">
        <f ca="1">IFERROR(VLOOKUP($A193,OFFSET(achievement_criterion_id,0,0,COUNTA($A:$A),MATCH(D$1,missions!$2:$2,0)-MATCH($A$1,missions!$2:$2,0)+1),MATCH(D$1,missions!$2:$2,0)-MATCH($A$1,missions!$2:$2,0)+1,FALSE),IFERROR(VLOOKUP($A193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193" s="27" t="s">
        <v>864</v>
      </c>
      <c r="F193" s="17" t="s">
        <v>1860</v>
      </c>
      <c r="G193" s="26" t="str">
        <f ca="1">VLOOKUP($F193,OFFSET(達成条件!$A$1,0,0,COUNTA($A:$A),MATCH(G$1,達成条件!$1:$1,0)-MATCH($F$1,達成条件!$1:$1,0)+1),MATCH(G$1,達成条件!$1:$1,0)-MATCH($F$1,達成条件!$1:$1,0)+1,FALSE)</f>
        <v>チュートリアルをクリアしよう！</v>
      </c>
      <c r="H193" s="26">
        <f ca="1">VLOOKUP($F193,OFFSET(達成条件!$A$1,0,0,COUNTA($A:$A),MATCH(H$1,達成条件!$1:$1,0)-MATCH($F$1,達成条件!$1:$1,0)+1),MATCH(H$1,達成条件!$1:$1,0)-MATCH($F$1,達成条件!$1:$1,0)+1,FALSE)</f>
        <v>0</v>
      </c>
      <c r="I193" s="56">
        <v>1</v>
      </c>
      <c r="J193" s="54" t="str">
        <f ca="1">IF(F193="specific_unit_aquired_count",SUBSTITUTE(G193,"x",VLOOKUP(INT($I193),OFFSET([3]characters!$A$2,0,0,COUNTA([3]characters!$A:$A),MATCH(J$1,[3]characters!$2:$2,0)-MATCH("character_id",[3]characters!$2:$2,0)+1),MATCH(J$1,[3]characters!$2:$2,0)-MATCH("character_id",[3]characters!$2:$2,0)+1,FALSE)),IF(F193="specific_quest_clear",VLOOKUP(SUBSTITUTE(I193,"-","_"),OFFSET([2]stages!$A$2,0,0,COUNTA([2]stages!$A:$A),MATCH("name",[2]stages!$2:$2,0)-MATCH("temp_stage",[2]stages!$2:$2,0)+1),MATCH("name",[2]stages!$2:$2,0)-MATCH("temp_stage",[2]stages!$2:$2,0)+1,FALSE),""))</f>
        <v/>
      </c>
      <c r="K193" s="15">
        <v>1</v>
      </c>
      <c r="L193" s="15" t="s">
        <v>542</v>
      </c>
      <c r="M193" s="26" t="str">
        <f ca="1">IFERROR(VLOOKUP($L193,OFFSET(missions!$A$2,0,0,COUNTA($A:$A),MATCH(M$1,missions!$2:$2,0)-MATCH("mission_id",missions!$2:$2,0)+1),MATCH(M$1,missions!$2:$2,0)-MATCH("mission_id",missions!$2:$2,0)+1,FALSE),"")</f>
        <v/>
      </c>
      <c r="N193" s="26" t="str">
        <f ca="1">IFERROR(VLOOKUP($L193,OFFSET(missions!$A$2,0,0,COUNTA($A:$A),MATCH(N$1,missions!$2:$2,0)-MATCH("mission_id",missions!$2:$2,0)+1),MATCH(N$1,missions!$2:$2,0)-MATCH("mission_id",missions!$2:$2,0)+1,FALSE),"")</f>
        <v/>
      </c>
    </row>
    <row r="194" spans="1:14" ht="21" customHeight="1" x14ac:dyDescent="0.15">
      <c r="A194" s="2" t="s">
        <v>53</v>
      </c>
      <c r="B194" s="21" t="s">
        <v>792</v>
      </c>
      <c r="C194" s="26" t="str">
        <f t="shared" ca="1" si="0"/>
        <v>レアガチャを引いてみよう！</v>
      </c>
      <c r="D194" s="26" t="str">
        <f ca="1">IFERROR(VLOOKUP($A194,OFFSET(achievement_criterion_id,0,0,COUNTA($A:$A),MATCH(D$1,missions!$2:$2,0)-MATCH($A$1,missions!$2:$2,0)+1),MATCH(D$1,missions!$2:$2,0)-MATCH($A$1,missions!$2:$2,0)+1,FALSE),IFERROR(VLOOKUP($A194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94" s="27" t="s">
        <v>864</v>
      </c>
      <c r="F194" s="17" t="s">
        <v>41</v>
      </c>
      <c r="G194" s="26" t="str">
        <f ca="1">VLOOKUP($F194,OFFSET(達成条件!$A$1,0,0,COUNTA($A:$A),MATCH(G$1,達成条件!$1:$1,0)-MATCH($F$1,達成条件!$1:$1,0)+1),MATCH(G$1,達成条件!$1:$1,0)-MATCH($F$1,達成条件!$1:$1,0)+1,FALSE)</f>
        <v>レアガチャを引いてみよう！</v>
      </c>
      <c r="H194" s="26">
        <f ca="1">VLOOKUP($F194,OFFSET(達成条件!$A$1,0,0,COUNTA($A:$A),MATCH(H$1,達成条件!$1:$1,0)-MATCH($F$1,達成条件!$1:$1,0)+1),MATCH(H$1,達成条件!$1:$1,0)-MATCH($F$1,達成条件!$1:$1,0)+1,FALSE)</f>
        <v>0</v>
      </c>
      <c r="I194" s="56">
        <v>1</v>
      </c>
      <c r="J194" s="54" t="str">
        <f ca="1">IF(F194="specific_unit_aquired_count",SUBSTITUTE(G194,"x",VLOOKUP(INT($I194),OFFSET([3]characters!$A$2,0,0,COUNTA([3]characters!$A:$A),MATCH(J$1,[3]characters!$2:$2,0)-MATCH("character_id",[3]characters!$2:$2,0)+1),MATCH(J$1,[3]characters!$2:$2,0)-MATCH("character_id",[3]characters!$2:$2,0)+1,FALSE)),IF(F194="specific_quest_clear",VLOOKUP(SUBSTITUTE(I194,"-","_"),OFFSET([2]stages!$A$2,0,0,COUNTA([2]stages!$A:$A),MATCH("name",[2]stages!$2:$2,0)-MATCH("temp_stage",[2]stages!$2:$2,0)+1),MATCH("name",[2]stages!$2:$2,0)-MATCH("temp_stage",[2]stages!$2:$2,0)+1,FALSE),""))</f>
        <v/>
      </c>
      <c r="K194" s="15">
        <v>1</v>
      </c>
      <c r="L194" s="15" t="s">
        <v>542</v>
      </c>
      <c r="M194" s="26" t="str">
        <f ca="1">IFERROR(VLOOKUP($L194,OFFSET(missions!$A$2,0,0,COUNTA($A:$A),MATCH(M$1,missions!$2:$2,0)-MATCH("mission_id",missions!$2:$2,0)+1),MATCH(M$1,missions!$2:$2,0)-MATCH("mission_id",missions!$2:$2,0)+1,FALSE),"")</f>
        <v/>
      </c>
      <c r="N194" s="26" t="str">
        <f ca="1">IFERROR(VLOOKUP($L194,OFFSET(missions!$A$2,0,0,COUNTA($A:$A),MATCH(N$1,missions!$2:$2,0)-MATCH("mission_id",missions!$2:$2,0)+1),MATCH(N$1,missions!$2:$2,0)-MATCH("mission_id",missions!$2:$2,0)+1,FALSE),"")</f>
        <v/>
      </c>
    </row>
    <row r="195" spans="1:14" ht="21" customHeight="1" x14ac:dyDescent="0.15">
      <c r="A195" s="2" t="s">
        <v>54</v>
      </c>
      <c r="B195" s="21" t="s">
        <v>792</v>
      </c>
      <c r="C195" s="27" t="s">
        <v>465</v>
      </c>
      <c r="D195" s="26" t="str">
        <f ca="1">IFERROR(VLOOKUP($A195,OFFSET(achievement_criterion_id,0,0,COUNTA($A:$A),MATCH(D$1,missions!$2:$2,0)-MATCH($A$1,missions!$2:$2,0)+1),MATCH(D$1,missions!$2:$2,0)-MATCH($A$1,missions!$2:$2,0)+1,FALSE),IFERROR(VLOOKUP($A195,OFFSET(weekly_achievement_criterion_id,0,0,COUNTA($A:$A),MATCH(D$1,weekly_missions!$2:$2,0)-MATCH($A$1,weekly_missions!$2:$2,0)+1),MATCH(D$1,weekly_missions!$2:$2,0)-MATCH($A$1,weekly_missions!$2:$2,0)+1,FALSE),"＊missions 未設定＊"))</f>
        <v>炎のメタルチック x 1</v>
      </c>
      <c r="E195" s="27" t="s">
        <v>864</v>
      </c>
      <c r="F195" s="17" t="s">
        <v>57</v>
      </c>
      <c r="G195" s="26" t="str">
        <f ca="1">VLOOKUP($F195,OFFSET(達成条件!$A$1,0,0,COUNTA($A:$A),MATCH(G$1,達成条件!$1:$1,0)-MATCH($F$1,達成条件!$1:$1,0)+1),MATCH(G$1,達成条件!$1:$1,0)-MATCH($F$1,達成条件!$1:$1,0)+1,FALSE)</f>
        <v>ユニットを x 回以上強化しよう！</v>
      </c>
      <c r="H195" s="26" t="str">
        <f ca="1">VLOOKUP($F195,OFFSET(達成条件!$A$1,0,0,COUNTA($A:$A),MATCH(H$1,達成条件!$1:$1,0)-MATCH($F$1,達成条件!$1:$1,0)+1),MATCH(H$1,達成条件!$1:$1,0)-MATCH($F$1,達成条件!$1:$1,0)+1,FALSE)</f>
        <v>回数</v>
      </c>
      <c r="I195" s="56">
        <v>1</v>
      </c>
      <c r="J195" s="54" t="str">
        <f ca="1">IF(F195="specific_unit_aquired_count",SUBSTITUTE(G195,"x",VLOOKUP(INT($I195),OFFSET([3]characters!$A$2,0,0,COUNTA([3]characters!$A:$A),MATCH(J$1,[3]characters!$2:$2,0)-MATCH("character_id",[3]characters!$2:$2,0)+1),MATCH(J$1,[3]characters!$2:$2,0)-MATCH("character_id",[3]characters!$2:$2,0)+1,FALSE)),IF(F195="specific_quest_clear",VLOOKUP(SUBSTITUTE(I195,"-","_"),OFFSET([2]stages!$A$2,0,0,COUNTA([2]stages!$A:$A),MATCH("name",[2]stages!$2:$2,0)-MATCH("temp_stage",[2]stages!$2:$2,0)+1),MATCH("name",[2]stages!$2:$2,0)-MATCH("temp_stage",[2]stages!$2:$2,0)+1,FALSE),""))</f>
        <v/>
      </c>
      <c r="K195" s="15">
        <v>1</v>
      </c>
      <c r="L195" s="15" t="s">
        <v>542</v>
      </c>
      <c r="M195" s="26" t="str">
        <f ca="1">IFERROR(VLOOKUP($L195,OFFSET(missions!$A$2,0,0,COUNTA($A:$A),MATCH(M$1,missions!$2:$2,0)-MATCH("mission_id",missions!$2:$2,0)+1),MATCH(M$1,missions!$2:$2,0)-MATCH("mission_id",missions!$2:$2,0)+1,FALSE),"")</f>
        <v/>
      </c>
      <c r="N195" s="26" t="str">
        <f ca="1">IFERROR(VLOOKUP($L195,OFFSET(missions!$A$2,0,0,COUNTA($A:$A),MATCH(N$1,missions!$2:$2,0)-MATCH("mission_id",missions!$2:$2,0)+1),MATCH(N$1,missions!$2:$2,0)-MATCH("mission_id",missions!$2:$2,0)+1,FALSE),"")</f>
        <v/>
      </c>
    </row>
    <row r="196" spans="1:14" ht="21" customHeight="1" x14ac:dyDescent="0.15">
      <c r="A196" s="2" t="s">
        <v>55</v>
      </c>
      <c r="B196" s="21" t="s">
        <v>792</v>
      </c>
      <c r="C196" s="26" t="str">
        <f t="shared" ca="1" si="0"/>
        <v>ユニットを Lv.15 まで育てよう！</v>
      </c>
      <c r="D196" s="26" t="str">
        <f ca="1">IFERROR(VLOOKUP($A196,OFFSET(achievement_criterion_id,0,0,COUNTA($A:$A),MATCH(D$1,missions!$2:$2,0)-MATCH($A$1,missions!$2:$2,0)+1),MATCH(D$1,missions!$2:$2,0)-MATCH($A$1,missions!$2:$2,0)+1,FALSE),IFERROR(VLOOKUP($A196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96" s="27" t="s">
        <v>864</v>
      </c>
      <c r="F196" s="17" t="s">
        <v>27</v>
      </c>
      <c r="G196" s="26" t="str">
        <f ca="1">VLOOKUP($F196,OFFSET(達成条件!$A$1,0,0,COUNTA($A:$A),MATCH(G$1,達成条件!$1:$1,0)-MATCH($F$1,達成条件!$1:$1,0)+1),MATCH(G$1,達成条件!$1:$1,0)-MATCH($F$1,達成条件!$1:$1,0)+1,FALSE)</f>
        <v>ユニットを Lv.x まで育てよう！</v>
      </c>
      <c r="H196" s="26" t="str">
        <f ca="1">VLOOKUP($F196,OFFSET(達成条件!$A$1,0,0,COUNTA($A:$A),MATCH(H$1,達成条件!$1:$1,0)-MATCH($F$1,達成条件!$1:$1,0)+1),MATCH(H$1,達成条件!$1:$1,0)-MATCH($F$1,達成条件!$1:$1,0)+1,FALSE)</f>
        <v>レベル</v>
      </c>
      <c r="I196" s="57">
        <v>15</v>
      </c>
      <c r="J196" s="54" t="str">
        <f ca="1">IF(F196="specific_unit_aquired_count",SUBSTITUTE(G196,"x",VLOOKUP(INT($I196),OFFSET([3]characters!$A$2,0,0,COUNTA([3]characters!$A:$A),MATCH(J$1,[3]characters!$2:$2,0)-MATCH("character_id",[3]characters!$2:$2,0)+1),MATCH(J$1,[3]characters!$2:$2,0)-MATCH("character_id",[3]characters!$2:$2,0)+1,FALSE)),IF(F196="specific_quest_clear",VLOOKUP(SUBSTITUTE(I196,"-","_"),OFFSET([2]stages!$A$2,0,0,COUNTA([2]stages!$A:$A),MATCH("name",[2]stages!$2:$2,0)-MATCH("temp_stage",[2]stages!$2:$2,0)+1),MATCH("name",[2]stages!$2:$2,0)-MATCH("temp_stage",[2]stages!$2:$2,0)+1,FALSE),""))</f>
        <v/>
      </c>
      <c r="K196" s="6">
        <v>1</v>
      </c>
      <c r="L196" s="6" t="s">
        <v>542</v>
      </c>
      <c r="M196" s="26" t="str">
        <f ca="1">IFERROR(VLOOKUP($L196,OFFSET(missions!$A$2,0,0,COUNTA($A:$A),MATCH(M$1,missions!$2:$2,0)-MATCH("mission_id",missions!$2:$2,0)+1),MATCH(M$1,missions!$2:$2,0)-MATCH("mission_id",missions!$2:$2,0)+1,FALSE),"")</f>
        <v/>
      </c>
      <c r="N196" s="26" t="str">
        <f ca="1">IFERROR(VLOOKUP($L196,OFFSET(missions!$A$2,0,0,COUNTA($A:$A),MATCH(N$1,missions!$2:$2,0)-MATCH("mission_id",missions!$2:$2,0)+1),MATCH(N$1,missions!$2:$2,0)-MATCH("mission_id",missions!$2:$2,0)+1,FALSE),"")</f>
        <v/>
      </c>
    </row>
    <row r="197" spans="1:14" ht="21" customHeight="1" x14ac:dyDescent="0.15">
      <c r="A197" s="2" t="s">
        <v>2295</v>
      </c>
      <c r="B197" s="21" t="s">
        <v>792</v>
      </c>
      <c r="C197" s="27" t="s">
        <v>466</v>
      </c>
      <c r="D197" s="26" t="str">
        <f ca="1">IFERROR(VLOOKUP($A197,OFFSET(achievement_criterion_id,0,0,COUNTA($A:$A),MATCH(D$1,missions!$2:$2,0)-MATCH($A$1,missions!$2:$2,0)+1),MATCH(D$1,missions!$2:$2,0)-MATCH($A$1,missions!$2:$2,0)+1,FALSE),IFERROR(VLOOKUP($A197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97" s="27" t="s">
        <v>864</v>
      </c>
      <c r="F197" s="17" t="s">
        <v>29</v>
      </c>
      <c r="G197" s="26" t="str">
        <f ca="1">VLOOKUP($F197,OFFSET(達成条件!$A$1,0,0,COUNTA($A:$A),MATCH(G$1,達成条件!$1:$1,0)-MATCH($F$1,達成条件!$1:$1,0)+1),MATCH(G$1,達成条件!$1:$1,0)-MATCH($F$1,達成条件!$1:$1,0)+1,FALSE)</f>
        <v>ユニットを x 回以上覚醒しよう！</v>
      </c>
      <c r="H197" s="26" t="str">
        <f ca="1">VLOOKUP($F197,OFFSET(達成条件!$A$1,0,0,COUNTA($A:$A),MATCH(H$1,達成条件!$1:$1,0)-MATCH($F$1,達成条件!$1:$1,0)+1),MATCH(H$1,達成条件!$1:$1,0)-MATCH($F$1,達成条件!$1:$1,0)+1,FALSE)</f>
        <v>回数</v>
      </c>
      <c r="I197" s="57">
        <v>1</v>
      </c>
      <c r="J197" s="54" t="str">
        <f ca="1">IF(F197="specific_unit_aquired_count",SUBSTITUTE(G197,"x",VLOOKUP(INT($I197),OFFSET([3]characters!$A$2,0,0,COUNTA([3]characters!$A:$A),MATCH(J$1,[3]characters!$2:$2,0)-MATCH("character_id",[3]characters!$2:$2,0)+1),MATCH(J$1,[3]characters!$2:$2,0)-MATCH("character_id",[3]characters!$2:$2,0)+1,FALSE)),IF(F197="specific_quest_clear",VLOOKUP(SUBSTITUTE(I197,"-","_"),OFFSET([2]stages!$A$2,0,0,COUNTA([2]stages!$A:$A),MATCH("name",[2]stages!$2:$2,0)-MATCH("temp_stage",[2]stages!$2:$2,0)+1),MATCH("name",[2]stages!$2:$2,0)-MATCH("temp_stage",[2]stages!$2:$2,0)+1,FALSE),""))</f>
        <v/>
      </c>
      <c r="K197" s="6">
        <v>1</v>
      </c>
      <c r="L197" s="15" t="s">
        <v>542</v>
      </c>
      <c r="M197" s="26" t="str">
        <f ca="1">IFERROR(VLOOKUP($L197,OFFSET(missions!$A$2,0,0,COUNTA($A:$A),MATCH(M$1,missions!$2:$2,0)-MATCH("mission_id",missions!$2:$2,0)+1),MATCH(M$1,missions!$2:$2,0)-MATCH("mission_id",missions!$2:$2,0)+1,FALSE),"")</f>
        <v/>
      </c>
      <c r="N197" s="26" t="str">
        <f ca="1">IFERROR(VLOOKUP($L197,OFFSET(missions!$A$2,0,0,COUNTA($A:$A),MATCH(N$1,missions!$2:$2,0)-MATCH("mission_id",missions!$2:$2,0)+1),MATCH(N$1,missions!$2:$2,0)-MATCH("mission_id",missions!$2:$2,0)+1,FALSE),"")</f>
        <v/>
      </c>
    </row>
    <row r="198" spans="1:14" ht="21" customHeight="1" x14ac:dyDescent="0.15">
      <c r="A198" s="2" t="s">
        <v>2281</v>
      </c>
      <c r="B198" s="21" t="s">
        <v>792</v>
      </c>
      <c r="C198" s="26" t="str">
        <f t="shared" ref="C198" ca="1" si="18">IF(F198="specific_quest_clear",SUBSTITUTE(G198,"x",J198),IF(F198="specific_unit_aquired_count",SUBSTITUTE(J198,"y",K198),SUBSTITUTE(G198,"x",I198)))</f>
        <v>ユニットを Lv.45 まで育てよう！</v>
      </c>
      <c r="D198" s="26" t="str">
        <f ca="1">IFERROR(VLOOKUP($A198,OFFSET(achievement_criterion_id,0,0,COUNTA($A:$A),MATCH(D$1,missions!$2:$2,0)-MATCH($A$1,missions!$2:$2,0)+1),MATCH(D$1,missions!$2:$2,0)-MATCH($A$1,missions!$2:$2,0)+1,FALSE),IFERROR(VLOOKUP($A198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98" s="27" t="s">
        <v>864</v>
      </c>
      <c r="F198" s="17" t="s">
        <v>27</v>
      </c>
      <c r="G198" s="26" t="str">
        <f ca="1">VLOOKUP($F198,OFFSET(達成条件!$A$1,0,0,COUNTA($A:$A),MATCH(G$1,達成条件!$1:$1,0)-MATCH($F$1,達成条件!$1:$1,0)+1),MATCH(G$1,達成条件!$1:$1,0)-MATCH($F$1,達成条件!$1:$1,0)+1,FALSE)</f>
        <v>ユニットを Lv.x まで育てよう！</v>
      </c>
      <c r="H198" s="26" t="str">
        <f ca="1">VLOOKUP($F198,OFFSET(達成条件!$A$1,0,0,COUNTA($A:$A),MATCH(H$1,達成条件!$1:$1,0)-MATCH($F$1,達成条件!$1:$1,0)+1),MATCH(H$1,達成条件!$1:$1,0)-MATCH($F$1,達成条件!$1:$1,0)+1,FALSE)</f>
        <v>レベル</v>
      </c>
      <c r="I198" s="57" t="s">
        <v>1254</v>
      </c>
      <c r="J198" s="54" t="str">
        <f ca="1">IF(F198="specific_unit_aquired_count",SUBSTITUTE(G198,"x",VLOOKUP(INT($I198),OFFSET([3]characters!$A$2,0,0,COUNTA([3]characters!$A:$A),MATCH(J$1,[3]characters!$2:$2,0)-MATCH("character_id",[3]characters!$2:$2,0)+1),MATCH(J$1,[3]characters!$2:$2,0)-MATCH("character_id",[3]characters!$2:$2,0)+1,FALSE)),IF(F198="specific_quest_clear",VLOOKUP(SUBSTITUTE(I198,"-","_"),OFFSET([2]stages!$A$2,0,0,COUNTA([2]stages!$A:$A),MATCH("name",[2]stages!$2:$2,0)-MATCH("temp_stage",[2]stages!$2:$2,0)+1),MATCH("name",[2]stages!$2:$2,0)-MATCH("temp_stage",[2]stages!$2:$2,0)+1,FALSE),""))</f>
        <v/>
      </c>
      <c r="K198" s="6">
        <v>1</v>
      </c>
      <c r="L198" s="6" t="s">
        <v>542</v>
      </c>
      <c r="M198" s="26" t="str">
        <f ca="1">IFERROR(VLOOKUP($L198,OFFSET(missions!$A$2,0,0,COUNTA($A:$A),MATCH(M$1,missions!$2:$2,0)-MATCH("mission_id",missions!$2:$2,0)+1),MATCH(M$1,missions!$2:$2,0)-MATCH("mission_id",missions!$2:$2,0)+1,FALSE),"")</f>
        <v/>
      </c>
      <c r="N198" s="26" t="str">
        <f ca="1">IFERROR(VLOOKUP($L198,OFFSET(missions!$A$2,0,0,COUNTA($A:$A),MATCH(N$1,missions!$2:$2,0)-MATCH("mission_id",missions!$2:$2,0)+1),MATCH(N$1,missions!$2:$2,0)-MATCH("mission_id",missions!$2:$2,0)+1,FALSE),"")</f>
        <v/>
      </c>
    </row>
    <row r="199" spans="1:14" ht="21" customHeight="1" x14ac:dyDescent="0.15">
      <c r="A199" s="2" t="s">
        <v>373</v>
      </c>
      <c r="B199" s="21" t="s">
        <v>792</v>
      </c>
      <c r="C199" s="26" t="str">
        <f t="shared" ca="1" si="0"/>
        <v>プレイヤーランクを 10 まで上げよう！</v>
      </c>
      <c r="D199" s="26" t="str">
        <f ca="1">IFERROR(VLOOKUP($A199,OFFSET(achievement_criterion_id,0,0,COUNTA($A:$A),MATCH(D$1,missions!$2:$2,0)-MATCH($A$1,missions!$2:$2,0)+1),MATCH(D$1,missions!$2:$2,0)-MATCH($A$1,missions!$2:$2,0)+1,FALSE),IFERROR(VLOOKUP($A199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199" s="27" t="s">
        <v>864</v>
      </c>
      <c r="F199" s="17" t="s">
        <v>11</v>
      </c>
      <c r="G199" s="26" t="str">
        <f ca="1">VLOOKUP($F199,OFFSET(達成条件!$A$1,0,0,COUNTA($A:$A),MATCH(G$1,達成条件!$1:$1,0)-MATCH($F$1,達成条件!$1:$1,0)+1),MATCH(G$1,達成条件!$1:$1,0)-MATCH($F$1,達成条件!$1:$1,0)+1,FALSE)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199" s="26" t="str">
        <f ca="1">VLOOKUP($F199,OFFSET(達成条件!$A$1,0,0,COUNTA($A:$A),MATCH(H$1,達成条件!$1:$1,0)-MATCH($F$1,達成条件!$1:$1,0)+1),MATCH(H$1,達成条件!$1:$1,0)-MATCH($F$1,達成条件!$1:$1,0)+1,FALSE)</f>
        <v>プレイヤーランク</v>
      </c>
      <c r="I199" s="56">
        <v>10</v>
      </c>
      <c r="J199" s="54" t="str">
        <f ca="1">IF(F199="specific_unit_aquired_count",SUBSTITUTE(G199,"x",VLOOKUP(INT($I199),OFFSET([3]characters!$A$2,0,0,COUNTA([3]characters!$A:$A),MATCH(J$1,[3]characters!$2:$2,0)-MATCH("character_id",[3]characters!$2:$2,0)+1),MATCH(J$1,[3]characters!$2:$2,0)-MATCH("character_id",[3]characters!$2:$2,0)+1,FALSE)),IF(F199="specific_quest_clear",VLOOKUP(SUBSTITUTE(I199,"-","_"),OFFSET([2]stages!$A$2,0,0,COUNTA([2]stages!$A:$A),MATCH("name",[2]stages!$2:$2,0)-MATCH("temp_stage",[2]stages!$2:$2,0)+1),MATCH("name",[2]stages!$2:$2,0)-MATCH("temp_stage",[2]stages!$2:$2,0)+1,FALSE),""))</f>
        <v/>
      </c>
      <c r="K199" s="15">
        <v>1</v>
      </c>
      <c r="L199" s="27">
        <v>3002</v>
      </c>
      <c r="M199" s="26" t="str">
        <f ca="1">IFERROR(VLOOKUP($L199,OFFSET(missions!$A$2,0,0,COUNTA($A:$A),MATCH(M$1,missions!$2:$2,0)-MATCH("mission_id",missions!$2:$2,0)+1),MATCH(M$1,missions!$2:$2,0)-MATCH("mission_id",missions!$2:$2,0)+1,FALSE),"")</f>
        <v>プレイヤーランクを 15 まで上げよう！</v>
      </c>
      <c r="N199" s="26" t="str">
        <f ca="1">IFERROR(VLOOKUP($L199,OFFSET(missions!$A$2,0,0,COUNTA($A:$A),MATCH(N$1,missions!$2:$2,0)-MATCH("mission_id",missions!$2:$2,0)+1),MATCH(N$1,missions!$2:$2,0)-MATCH("mission_id",missions!$2:$2,0)+1,FALSE),"")</f>
        <v>ポリゴン x 1</v>
      </c>
    </row>
    <row r="200" spans="1:14" ht="21" customHeight="1" x14ac:dyDescent="0.15">
      <c r="A200" s="2" t="s">
        <v>374</v>
      </c>
      <c r="B200" s="21" t="s">
        <v>792</v>
      </c>
      <c r="C200" s="26" t="str">
        <f t="shared" ca="1" si="0"/>
        <v>プレイヤーランクを 15 まで上げよう！</v>
      </c>
      <c r="D200" s="26" t="str">
        <f ca="1">IFERROR(VLOOKUP($A200,OFFSET(achievement_criterion_id,0,0,COUNTA($A:$A),MATCH(D$1,missions!$2:$2,0)-MATCH($A$1,missions!$2:$2,0)+1),MATCH(D$1,missions!$2:$2,0)-MATCH($A$1,missions!$2:$2,0)+1,FALSE),IFERROR(VLOOKUP($A200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00" s="27" t="s">
        <v>864</v>
      </c>
      <c r="F200" s="17" t="s">
        <v>11</v>
      </c>
      <c r="G200" s="26" t="str">
        <f ca="1">VLOOKUP($F200,OFFSET(達成条件!$A$1,0,0,COUNTA($A:$A),MATCH(G$1,達成条件!$1:$1,0)-MATCH($F$1,達成条件!$1:$1,0)+1),MATCH(G$1,達成条件!$1:$1,0)-MATCH($F$1,達成条件!$1:$1,0)+1,FALSE)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00" s="26" t="str">
        <f ca="1">VLOOKUP($F200,OFFSET(達成条件!$A$1,0,0,COUNTA($A:$A),MATCH(H$1,達成条件!$1:$1,0)-MATCH($F$1,達成条件!$1:$1,0)+1),MATCH(H$1,達成条件!$1:$1,0)-MATCH($F$1,達成条件!$1:$1,0)+1,FALSE)</f>
        <v>プレイヤーランク</v>
      </c>
      <c r="I200" s="56">
        <v>15</v>
      </c>
      <c r="J200" s="54" t="str">
        <f ca="1">IF(F200="specific_unit_aquired_count",SUBSTITUTE(G200,"x",VLOOKUP(INT($I200),OFFSET([3]characters!$A$2,0,0,COUNTA([3]characters!$A:$A),MATCH(J$1,[3]characters!$2:$2,0)-MATCH("character_id",[3]characters!$2:$2,0)+1),MATCH(J$1,[3]characters!$2:$2,0)-MATCH("character_id",[3]characters!$2:$2,0)+1,FALSE)),IF(F200="specific_quest_clear",VLOOKUP(SUBSTITUTE(I200,"-","_"),OFFSET([2]stages!$A$2,0,0,COUNTA([2]stages!$A:$A),MATCH("name",[2]stages!$2:$2,0)-MATCH("temp_stage",[2]stages!$2:$2,0)+1),MATCH("name",[2]stages!$2:$2,0)-MATCH("temp_stage",[2]stages!$2:$2,0)+1,FALSE),""))</f>
        <v/>
      </c>
      <c r="K200" s="15">
        <v>1</v>
      </c>
      <c r="L200" s="27">
        <v>3003</v>
      </c>
      <c r="M200" s="26" t="str">
        <f ca="1">IFERROR(VLOOKUP($L200,OFFSET(missions!$A$2,0,0,COUNTA($A:$A),MATCH(M$1,missions!$2:$2,0)-MATCH("mission_id",missions!$2:$2,0)+1),MATCH(M$1,missions!$2:$2,0)-MATCH("mission_id",missions!$2:$2,0)+1,FALSE),"")</f>
        <v>プレイヤーランクを 20 まで上げよう！</v>
      </c>
      <c r="N200" s="26" t="str">
        <f ca="1">IFERROR(VLOOKUP($L200,OFFSET(missions!$A$2,0,0,COUNTA($A:$A),MATCH(N$1,missions!$2:$2,0)-MATCH("mission_id",missions!$2:$2,0)+1),MATCH(N$1,missions!$2:$2,0)-MATCH("mission_id",missions!$2:$2,0)+1,FALSE),"")</f>
        <v>ポリゴン x 2</v>
      </c>
    </row>
    <row r="201" spans="1:14" ht="21" customHeight="1" x14ac:dyDescent="0.15">
      <c r="A201" s="2" t="s">
        <v>375</v>
      </c>
      <c r="B201" s="21" t="s">
        <v>792</v>
      </c>
      <c r="C201" s="26" t="str">
        <f t="shared" ca="1" si="0"/>
        <v>プレイヤーランクを 20 まで上げよう！</v>
      </c>
      <c r="D201" s="26" t="str">
        <f ca="1">IFERROR(VLOOKUP($A201,OFFSET(achievement_criterion_id,0,0,COUNTA($A:$A),MATCH(D$1,missions!$2:$2,0)-MATCH($A$1,missions!$2:$2,0)+1),MATCH(D$1,missions!$2:$2,0)-MATCH($A$1,missions!$2:$2,0)+1,FALSE),IFERROR(VLOOKUP($A201,OFFSET(weekly_achievement_criterion_id,0,0,COUNTA($A:$A),MATCH(D$1,weekly_missions!$2:$2,0)-MATCH($A$1,weekly_missions!$2:$2,0)+1),MATCH(D$1,weekly_missions!$2:$2,0)-MATCH($A$1,weekly_missions!$2:$2,0)+1,FALSE),"＊missions 未設定＊"))</f>
        <v>ポリゴン x 2</v>
      </c>
      <c r="E201" s="27" t="s">
        <v>864</v>
      </c>
      <c r="F201" s="17" t="s">
        <v>11</v>
      </c>
      <c r="G201" s="26" t="str">
        <f ca="1">VLOOKUP($F201,OFFSET(達成条件!$A$1,0,0,COUNTA($A:$A),MATCH(G$1,達成条件!$1:$1,0)-MATCH($F$1,達成条件!$1:$1,0)+1),MATCH(G$1,達成条件!$1:$1,0)-MATCH($F$1,達成条件!$1:$1,0)+1,FALSE)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01" s="26" t="str">
        <f ca="1">VLOOKUP($F201,OFFSET(達成条件!$A$1,0,0,COUNTA($A:$A),MATCH(H$1,達成条件!$1:$1,0)-MATCH($F$1,達成条件!$1:$1,0)+1),MATCH(H$1,達成条件!$1:$1,0)-MATCH($F$1,達成条件!$1:$1,0)+1,FALSE)</f>
        <v>プレイヤーランク</v>
      </c>
      <c r="I201" s="56">
        <v>20</v>
      </c>
      <c r="J201" s="54" t="str">
        <f ca="1">IF(F201="specific_unit_aquired_count",SUBSTITUTE(G201,"x",VLOOKUP(INT($I201),OFFSET([3]characters!$A$2,0,0,COUNTA([3]characters!$A:$A),MATCH(J$1,[3]characters!$2:$2,0)-MATCH("character_id",[3]characters!$2:$2,0)+1),MATCH(J$1,[3]characters!$2:$2,0)-MATCH("character_id",[3]characters!$2:$2,0)+1,FALSE)),IF(F201="specific_quest_clear",VLOOKUP(SUBSTITUTE(I201,"-","_"),OFFSET([2]stages!$A$2,0,0,COUNTA([2]stages!$A:$A),MATCH("name",[2]stages!$2:$2,0)-MATCH("temp_stage",[2]stages!$2:$2,0)+1),MATCH("name",[2]stages!$2:$2,0)-MATCH("temp_stage",[2]stages!$2:$2,0)+1,FALSE),""))</f>
        <v/>
      </c>
      <c r="K201" s="15">
        <v>1</v>
      </c>
      <c r="L201" s="27">
        <v>3004</v>
      </c>
      <c r="M201" s="26" t="str">
        <f ca="1">IFERROR(VLOOKUP($L201,OFFSET(missions!$A$2,0,0,COUNTA($A:$A),MATCH(M$1,missions!$2:$2,0)-MATCH("mission_id",missions!$2:$2,0)+1),MATCH(M$1,missions!$2:$2,0)-MATCH("mission_id",missions!$2:$2,0)+1,FALSE),"")</f>
        <v>プレイヤーランクを 25 まで上げよう！</v>
      </c>
      <c r="N201" s="26" t="str">
        <f ca="1">IFERROR(VLOOKUP($L201,OFFSET(missions!$A$2,0,0,COUNTA($A:$A),MATCH(N$1,missions!$2:$2,0)-MATCH("mission_id",missions!$2:$2,0)+1),MATCH(N$1,missions!$2:$2,0)-MATCH("mission_id",missions!$2:$2,0)+1,FALSE),"")</f>
        <v>ポリゴン x 2</v>
      </c>
    </row>
    <row r="202" spans="1:14" ht="21" customHeight="1" x14ac:dyDescent="0.15">
      <c r="A202" s="2" t="s">
        <v>376</v>
      </c>
      <c r="B202" s="21" t="s">
        <v>792</v>
      </c>
      <c r="C202" s="26" t="str">
        <f t="shared" ca="1" si="0"/>
        <v>プレイヤーランクを 25 まで上げよう！</v>
      </c>
      <c r="D202" s="26" t="str">
        <f ca="1">IFERROR(VLOOKUP($A202,OFFSET(achievement_criterion_id,0,0,COUNTA($A:$A),MATCH(D$1,missions!$2:$2,0)-MATCH($A$1,missions!$2:$2,0)+1),MATCH(D$1,missions!$2:$2,0)-MATCH($A$1,missions!$2:$2,0)+1,FALSE),IFERROR(VLOOKUP($A202,OFFSET(weekly_achievement_criterion_id,0,0,COUNTA($A:$A),MATCH(D$1,weekly_missions!$2:$2,0)-MATCH($A$1,weekly_missions!$2:$2,0)+1),MATCH(D$1,weekly_missions!$2:$2,0)-MATCH($A$1,weekly_missions!$2:$2,0)+1,FALSE),"＊missions 未設定＊"))</f>
        <v>ポリゴン x 2</v>
      </c>
      <c r="E202" s="27" t="s">
        <v>864</v>
      </c>
      <c r="F202" s="17" t="s">
        <v>11</v>
      </c>
      <c r="G202" s="26" t="str">
        <f ca="1">VLOOKUP($F202,OFFSET(達成条件!$A$1,0,0,COUNTA($A:$A),MATCH(G$1,達成条件!$1:$1,0)-MATCH($F$1,達成条件!$1:$1,0)+1),MATCH(G$1,達成条件!$1:$1,0)-MATCH($F$1,達成条件!$1:$1,0)+1,FALSE)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02" s="26" t="str">
        <f ca="1">VLOOKUP($F202,OFFSET(達成条件!$A$1,0,0,COUNTA($A:$A),MATCH(H$1,達成条件!$1:$1,0)-MATCH($F$1,達成条件!$1:$1,0)+1),MATCH(H$1,達成条件!$1:$1,0)-MATCH($F$1,達成条件!$1:$1,0)+1,FALSE)</f>
        <v>プレイヤーランク</v>
      </c>
      <c r="I202" s="56">
        <v>25</v>
      </c>
      <c r="J202" s="54" t="str">
        <f ca="1">IF(F202="specific_unit_aquired_count",SUBSTITUTE(G202,"x",VLOOKUP(INT($I202),OFFSET([3]characters!$A$2,0,0,COUNTA([3]characters!$A:$A),MATCH(J$1,[3]characters!$2:$2,0)-MATCH("character_id",[3]characters!$2:$2,0)+1),MATCH(J$1,[3]characters!$2:$2,0)-MATCH("character_id",[3]characters!$2:$2,0)+1,FALSE)),IF(F202="specific_quest_clear",VLOOKUP(SUBSTITUTE(I202,"-","_"),OFFSET([2]stages!$A$2,0,0,COUNTA([2]stages!$A:$A),MATCH("name",[2]stages!$2:$2,0)-MATCH("temp_stage",[2]stages!$2:$2,0)+1),MATCH("name",[2]stages!$2:$2,0)-MATCH("temp_stage",[2]stages!$2:$2,0)+1,FALSE),""))</f>
        <v/>
      </c>
      <c r="K202" s="15">
        <v>1</v>
      </c>
      <c r="L202" s="27">
        <v>3005</v>
      </c>
      <c r="M202" s="26" t="str">
        <f ca="1">IFERROR(VLOOKUP($L202,OFFSET(missions!$A$2,0,0,COUNTA($A:$A),MATCH(M$1,missions!$2:$2,0)-MATCH("mission_id",missions!$2:$2,0)+1),MATCH(M$1,missions!$2:$2,0)-MATCH("mission_id",missions!$2:$2,0)+1,FALSE),"")</f>
        <v>プレイヤーランクを 30 まで上げよう！</v>
      </c>
      <c r="N202" s="26" t="str">
        <f ca="1">IFERROR(VLOOKUP($L202,OFFSET(missions!$A$2,0,0,COUNTA($A:$A),MATCH(N$1,missions!$2:$2,0)-MATCH("mission_id",missions!$2:$2,0)+1),MATCH(N$1,missions!$2:$2,0)-MATCH("mission_id",missions!$2:$2,0)+1,FALSE),"")</f>
        <v>ポリゴン x 3</v>
      </c>
    </row>
    <row r="203" spans="1:14" ht="21" customHeight="1" x14ac:dyDescent="0.15">
      <c r="A203" s="2" t="s">
        <v>377</v>
      </c>
      <c r="B203" s="21" t="s">
        <v>792</v>
      </c>
      <c r="C203" s="26" t="str">
        <f t="shared" ca="1" si="0"/>
        <v>プレイヤーランクを 30 まで上げよう！</v>
      </c>
      <c r="D203" s="26" t="str">
        <f ca="1">IFERROR(VLOOKUP($A203,OFFSET(achievement_criterion_id,0,0,COUNTA($A:$A),MATCH(D$1,missions!$2:$2,0)-MATCH($A$1,missions!$2:$2,0)+1),MATCH(D$1,missions!$2:$2,0)-MATCH($A$1,missions!$2:$2,0)+1,FALSE),IFERROR(VLOOKUP($A203,OFFSET(weekly_achievement_criterion_id,0,0,COUNTA($A:$A),MATCH(D$1,weekly_missions!$2:$2,0)-MATCH($A$1,weekly_missions!$2:$2,0)+1),MATCH(D$1,weekly_missions!$2:$2,0)-MATCH($A$1,weekly_missions!$2:$2,0)+1,FALSE),"＊missions 未設定＊"))</f>
        <v>ポリゴン x 3</v>
      </c>
      <c r="E203" s="27" t="s">
        <v>864</v>
      </c>
      <c r="F203" s="17" t="s">
        <v>11</v>
      </c>
      <c r="G203" s="26" t="str">
        <f ca="1">VLOOKUP($F203,OFFSET(達成条件!$A$1,0,0,COUNTA($A:$A),MATCH(G$1,達成条件!$1:$1,0)-MATCH($F$1,達成条件!$1:$1,0)+1),MATCH(G$1,達成条件!$1:$1,0)-MATCH($F$1,達成条件!$1:$1,0)+1,FALSE)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03" s="26" t="str">
        <f ca="1">VLOOKUP($F203,OFFSET(達成条件!$A$1,0,0,COUNTA($A:$A),MATCH(H$1,達成条件!$1:$1,0)-MATCH($F$1,達成条件!$1:$1,0)+1),MATCH(H$1,達成条件!$1:$1,0)-MATCH($F$1,達成条件!$1:$1,0)+1,FALSE)</f>
        <v>プレイヤーランク</v>
      </c>
      <c r="I203" s="56">
        <v>30</v>
      </c>
      <c r="J203" s="54" t="str">
        <f ca="1">IF(F203="specific_unit_aquired_count",SUBSTITUTE(G203,"x",VLOOKUP(INT($I203),OFFSET([3]characters!$A$2,0,0,COUNTA([3]characters!$A:$A),MATCH(J$1,[3]characters!$2:$2,0)-MATCH("character_id",[3]characters!$2:$2,0)+1),MATCH(J$1,[3]characters!$2:$2,0)-MATCH("character_id",[3]characters!$2:$2,0)+1,FALSE)),IF(F203="specific_quest_clear",VLOOKUP(SUBSTITUTE(I203,"-","_"),OFFSET([2]stages!$A$2,0,0,COUNTA([2]stages!$A:$A),MATCH("name",[2]stages!$2:$2,0)-MATCH("temp_stage",[2]stages!$2:$2,0)+1),MATCH("name",[2]stages!$2:$2,0)-MATCH("temp_stage",[2]stages!$2:$2,0)+1,FALSE),""))</f>
        <v/>
      </c>
      <c r="K203" s="15">
        <v>1</v>
      </c>
      <c r="L203" s="27">
        <v>3006</v>
      </c>
      <c r="M203" s="26" t="str">
        <f ca="1">IFERROR(VLOOKUP($L203,OFFSET(missions!$A$2,0,0,COUNTA($A:$A),MATCH(M$1,missions!$2:$2,0)-MATCH("mission_id",missions!$2:$2,0)+1),MATCH(M$1,missions!$2:$2,0)-MATCH("mission_id",missions!$2:$2,0)+1,FALSE),"")</f>
        <v>プレイヤーランクを 35 まで上げよう！</v>
      </c>
      <c r="N203" s="26" t="str">
        <f ca="1">IFERROR(VLOOKUP($L203,OFFSET(missions!$A$2,0,0,COUNTA($A:$A),MATCH(N$1,missions!$2:$2,0)-MATCH("mission_id",missions!$2:$2,0)+1),MATCH(N$1,missions!$2:$2,0)-MATCH("mission_id",missions!$2:$2,0)+1,FALSE),"")</f>
        <v>ポリゴン x 3</v>
      </c>
    </row>
    <row r="204" spans="1:14" ht="21" customHeight="1" x14ac:dyDescent="0.15">
      <c r="A204" s="2" t="s">
        <v>378</v>
      </c>
      <c r="B204" s="21" t="s">
        <v>792</v>
      </c>
      <c r="C204" s="26" t="str">
        <f t="shared" ca="1" si="0"/>
        <v>プレイヤーランクを 35 まで上げよう！</v>
      </c>
      <c r="D204" s="26" t="str">
        <f ca="1">IFERROR(VLOOKUP($A204,OFFSET(achievement_criterion_id,0,0,COUNTA($A:$A),MATCH(D$1,missions!$2:$2,0)-MATCH($A$1,missions!$2:$2,0)+1),MATCH(D$1,missions!$2:$2,0)-MATCH($A$1,missions!$2:$2,0)+1,FALSE),IFERROR(VLOOKUP($A204,OFFSET(weekly_achievement_criterion_id,0,0,COUNTA($A:$A),MATCH(D$1,weekly_missions!$2:$2,0)-MATCH($A$1,weekly_missions!$2:$2,0)+1),MATCH(D$1,weekly_missions!$2:$2,0)-MATCH($A$1,weekly_missions!$2:$2,0)+1,FALSE),"＊missions 未設定＊"))</f>
        <v>ポリゴン x 3</v>
      </c>
      <c r="E204" s="27" t="s">
        <v>864</v>
      </c>
      <c r="F204" s="17" t="s">
        <v>11</v>
      </c>
      <c r="G204" s="26" t="str">
        <f ca="1">VLOOKUP($F204,OFFSET(達成条件!$A$1,0,0,COUNTA($A:$A),MATCH(G$1,達成条件!$1:$1,0)-MATCH($F$1,達成条件!$1:$1,0)+1),MATCH(G$1,達成条件!$1:$1,0)-MATCH($F$1,達成条件!$1:$1,0)+1,FALSE)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04" s="26" t="str">
        <f ca="1">VLOOKUP($F204,OFFSET(達成条件!$A$1,0,0,COUNTA($A:$A),MATCH(H$1,達成条件!$1:$1,0)-MATCH($F$1,達成条件!$1:$1,0)+1),MATCH(H$1,達成条件!$1:$1,0)-MATCH($F$1,達成条件!$1:$1,0)+1,FALSE)</f>
        <v>プレイヤーランク</v>
      </c>
      <c r="I204" s="56">
        <v>35</v>
      </c>
      <c r="J204" s="54" t="str">
        <f ca="1">IF(F204="specific_unit_aquired_count",SUBSTITUTE(G204,"x",VLOOKUP(INT($I204),OFFSET([3]characters!$A$2,0,0,COUNTA([3]characters!$A:$A),MATCH(J$1,[3]characters!$2:$2,0)-MATCH("character_id",[3]characters!$2:$2,0)+1),MATCH(J$1,[3]characters!$2:$2,0)-MATCH("character_id",[3]characters!$2:$2,0)+1,FALSE)),IF(F204="specific_quest_clear",VLOOKUP(SUBSTITUTE(I204,"-","_"),OFFSET([2]stages!$A$2,0,0,COUNTA([2]stages!$A:$A),MATCH("name",[2]stages!$2:$2,0)-MATCH("temp_stage",[2]stages!$2:$2,0)+1),MATCH("name",[2]stages!$2:$2,0)-MATCH("temp_stage",[2]stages!$2:$2,0)+1,FALSE),""))</f>
        <v/>
      </c>
      <c r="K204" s="15">
        <v>1</v>
      </c>
      <c r="L204" s="27">
        <v>3007</v>
      </c>
      <c r="M204" s="26" t="str">
        <f ca="1">IFERROR(VLOOKUP($L204,OFFSET(missions!$A$2,0,0,COUNTA($A:$A),MATCH(M$1,missions!$2:$2,0)-MATCH("mission_id",missions!$2:$2,0)+1),MATCH(M$1,missions!$2:$2,0)-MATCH("mission_id",missions!$2:$2,0)+1,FALSE),"")</f>
        <v>プレイヤーランクを 40 まで上げよう！</v>
      </c>
      <c r="N204" s="26" t="str">
        <f ca="1">IFERROR(VLOOKUP($L204,OFFSET(missions!$A$2,0,0,COUNTA($A:$A),MATCH(N$1,missions!$2:$2,0)-MATCH("mission_id",missions!$2:$2,0)+1),MATCH(N$1,missions!$2:$2,0)-MATCH("mission_id",missions!$2:$2,0)+1,FALSE),"")</f>
        <v>ポリゴン x 4</v>
      </c>
    </row>
    <row r="205" spans="1:14" ht="21" customHeight="1" x14ac:dyDescent="0.15">
      <c r="A205" s="2" t="s">
        <v>379</v>
      </c>
      <c r="B205" s="21" t="s">
        <v>792</v>
      </c>
      <c r="C205" s="26" t="str">
        <f t="shared" ca="1" si="0"/>
        <v>プレイヤーランクを 40 まで上げよう！</v>
      </c>
      <c r="D205" s="26" t="str">
        <f ca="1">IFERROR(VLOOKUP($A205,OFFSET(achievement_criterion_id,0,0,COUNTA($A:$A),MATCH(D$1,missions!$2:$2,0)-MATCH($A$1,missions!$2:$2,0)+1),MATCH(D$1,missions!$2:$2,0)-MATCH($A$1,missions!$2:$2,0)+1,FALSE),IFERROR(VLOOKUP($A205,OFFSET(weekly_achievement_criterion_id,0,0,COUNTA($A:$A),MATCH(D$1,weekly_missions!$2:$2,0)-MATCH($A$1,weekly_missions!$2:$2,0)+1),MATCH(D$1,weekly_missions!$2:$2,0)-MATCH($A$1,weekly_missions!$2:$2,0)+1,FALSE),"＊missions 未設定＊"))</f>
        <v>ポリゴン x 4</v>
      </c>
      <c r="E205" s="27" t="s">
        <v>864</v>
      </c>
      <c r="F205" s="17" t="s">
        <v>11</v>
      </c>
      <c r="G205" s="26" t="str">
        <f ca="1">VLOOKUP($F205,OFFSET(達成条件!$A$1,0,0,COUNTA($A:$A),MATCH(G$1,達成条件!$1:$1,0)-MATCH($F$1,達成条件!$1:$1,0)+1),MATCH(G$1,達成条件!$1:$1,0)-MATCH($F$1,達成条件!$1:$1,0)+1,FALSE)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05" s="26" t="str">
        <f ca="1">VLOOKUP($F205,OFFSET(達成条件!$A$1,0,0,COUNTA($A:$A),MATCH(H$1,達成条件!$1:$1,0)-MATCH($F$1,達成条件!$1:$1,0)+1),MATCH(H$1,達成条件!$1:$1,0)-MATCH($F$1,達成条件!$1:$1,0)+1,FALSE)</f>
        <v>プレイヤーランク</v>
      </c>
      <c r="I205" s="56">
        <v>40</v>
      </c>
      <c r="J205" s="54" t="str">
        <f ca="1">IF(F205="specific_unit_aquired_count",SUBSTITUTE(G205,"x",VLOOKUP(INT($I205),OFFSET([3]characters!$A$2,0,0,COUNTA([3]characters!$A:$A),MATCH(J$1,[3]characters!$2:$2,0)-MATCH("character_id",[3]characters!$2:$2,0)+1),MATCH(J$1,[3]characters!$2:$2,0)-MATCH("character_id",[3]characters!$2:$2,0)+1,FALSE)),IF(F205="specific_quest_clear",VLOOKUP(SUBSTITUTE(I205,"-","_"),OFFSET([2]stages!$A$2,0,0,COUNTA([2]stages!$A:$A),MATCH("name",[2]stages!$2:$2,0)-MATCH("temp_stage",[2]stages!$2:$2,0)+1),MATCH("name",[2]stages!$2:$2,0)-MATCH("temp_stage",[2]stages!$2:$2,0)+1,FALSE),""))</f>
        <v/>
      </c>
      <c r="K205" s="15">
        <v>1</v>
      </c>
      <c r="L205" s="27">
        <v>3008</v>
      </c>
      <c r="M205" s="26" t="str">
        <f ca="1">IFERROR(VLOOKUP($L205,OFFSET(missions!$A$2,0,0,COUNTA($A:$A),MATCH(M$1,missions!$2:$2,0)-MATCH("mission_id",missions!$2:$2,0)+1),MATCH(M$1,missions!$2:$2,0)-MATCH("mission_id",missions!$2:$2,0)+1,FALSE),"")</f>
        <v>プレイヤーランクを 45 まで上げよう！</v>
      </c>
      <c r="N205" s="26" t="str">
        <f ca="1">IFERROR(VLOOKUP($L205,OFFSET(missions!$A$2,0,0,COUNTA($A:$A),MATCH(N$1,missions!$2:$2,0)-MATCH("mission_id",missions!$2:$2,0)+1),MATCH(N$1,missions!$2:$2,0)-MATCH("mission_id",missions!$2:$2,0)+1,FALSE),"")</f>
        <v>ポリゴン x 4</v>
      </c>
    </row>
    <row r="206" spans="1:14" ht="21" customHeight="1" x14ac:dyDescent="0.15">
      <c r="A206" s="2" t="s">
        <v>371</v>
      </c>
      <c r="B206" s="21" t="s">
        <v>792</v>
      </c>
      <c r="C206" s="26" t="str">
        <f t="shared" ca="1" si="0"/>
        <v>プレイヤーランクを 45 まで上げよう！</v>
      </c>
      <c r="D206" s="26" t="str">
        <f ca="1">IFERROR(VLOOKUP($A206,OFFSET(achievement_criterion_id,0,0,COUNTA($A:$A),MATCH(D$1,missions!$2:$2,0)-MATCH($A$1,missions!$2:$2,0)+1),MATCH(D$1,missions!$2:$2,0)-MATCH($A$1,missions!$2:$2,0)+1,FALSE),IFERROR(VLOOKUP($A206,OFFSET(weekly_achievement_criterion_id,0,0,COUNTA($A:$A),MATCH(D$1,weekly_missions!$2:$2,0)-MATCH($A$1,weekly_missions!$2:$2,0)+1),MATCH(D$1,weekly_missions!$2:$2,0)-MATCH($A$1,weekly_missions!$2:$2,0)+1,FALSE),"＊missions 未設定＊"))</f>
        <v>ポリゴン x 4</v>
      </c>
      <c r="E206" s="27" t="s">
        <v>864</v>
      </c>
      <c r="F206" s="17" t="s">
        <v>11</v>
      </c>
      <c r="G206" s="26" t="str">
        <f ca="1">VLOOKUP($F206,OFFSET(達成条件!$A$1,0,0,COUNTA($A:$A),MATCH(G$1,達成条件!$1:$1,0)-MATCH($F$1,達成条件!$1:$1,0)+1),MATCH(G$1,達成条件!$1:$1,0)-MATCH($F$1,達成条件!$1:$1,0)+1,FALSE)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06" s="26" t="str">
        <f ca="1">VLOOKUP($F206,OFFSET(達成条件!$A$1,0,0,COUNTA($A:$A),MATCH(H$1,達成条件!$1:$1,0)-MATCH($F$1,達成条件!$1:$1,0)+1),MATCH(H$1,達成条件!$1:$1,0)-MATCH($F$1,達成条件!$1:$1,0)+1,FALSE)</f>
        <v>プレイヤーランク</v>
      </c>
      <c r="I206" s="56">
        <v>45</v>
      </c>
      <c r="J206" s="54" t="str">
        <f ca="1">IF(F206="specific_unit_aquired_count",SUBSTITUTE(G206,"x",VLOOKUP(INT($I206),OFFSET([3]characters!$A$2,0,0,COUNTA([3]characters!$A:$A),MATCH(J$1,[3]characters!$2:$2,0)-MATCH("character_id",[3]characters!$2:$2,0)+1),MATCH(J$1,[3]characters!$2:$2,0)-MATCH("character_id",[3]characters!$2:$2,0)+1,FALSE)),IF(F206="specific_quest_clear",VLOOKUP(SUBSTITUTE(I206,"-","_"),OFFSET([2]stages!$A$2,0,0,COUNTA([2]stages!$A:$A),MATCH("name",[2]stages!$2:$2,0)-MATCH("temp_stage",[2]stages!$2:$2,0)+1),MATCH("name",[2]stages!$2:$2,0)-MATCH("temp_stage",[2]stages!$2:$2,0)+1,FALSE),""))</f>
        <v/>
      </c>
      <c r="K206" s="15">
        <v>1</v>
      </c>
      <c r="L206" s="27">
        <v>3009</v>
      </c>
      <c r="M206" s="26" t="str">
        <f ca="1">IFERROR(VLOOKUP($L206,OFFSET(missions!$A$2,0,0,COUNTA($A:$A),MATCH(M$1,missions!$2:$2,0)-MATCH("mission_id",missions!$2:$2,0)+1),MATCH(M$1,missions!$2:$2,0)-MATCH("mission_id",missions!$2:$2,0)+1,FALSE),"")</f>
        <v>プレイヤーランクを 50 まで上げよう！</v>
      </c>
      <c r="N206" s="26" t="str">
        <f ca="1">IFERROR(VLOOKUP($L206,OFFSET(missions!$A$2,0,0,COUNTA($A:$A),MATCH(N$1,missions!$2:$2,0)-MATCH("mission_id",missions!$2:$2,0)+1),MATCH(N$1,missions!$2:$2,0)-MATCH("mission_id",missions!$2:$2,0)+1,FALSE),"")</f>
        <v>ポリゴン x 5</v>
      </c>
    </row>
    <row r="207" spans="1:14" ht="21" customHeight="1" x14ac:dyDescent="0.15">
      <c r="A207" s="2" t="s">
        <v>394</v>
      </c>
      <c r="B207" s="21" t="s">
        <v>792</v>
      </c>
      <c r="C207" s="26" t="str">
        <f t="shared" ca="1" si="0"/>
        <v>プレイヤーランクを 50 まで上げよう！</v>
      </c>
      <c r="D207" s="26" t="str">
        <f ca="1">IFERROR(VLOOKUP($A207,OFFSET(achievement_criterion_id,0,0,COUNTA($A:$A),MATCH(D$1,missions!$2:$2,0)-MATCH($A$1,missions!$2:$2,0)+1),MATCH(D$1,missions!$2:$2,0)-MATCH($A$1,missions!$2:$2,0)+1,FALSE),IFERROR(VLOOKUP($A207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207" s="27" t="s">
        <v>864</v>
      </c>
      <c r="F207" s="17" t="s">
        <v>11</v>
      </c>
      <c r="G207" s="26" t="str">
        <f ca="1">VLOOKUP($F207,OFFSET(達成条件!$A$1,0,0,COUNTA($A:$A),MATCH(G$1,達成条件!$1:$1,0)-MATCH($F$1,達成条件!$1:$1,0)+1),MATCH(G$1,達成条件!$1:$1,0)-MATCH($F$1,達成条件!$1:$1,0)+1,FALSE)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07" s="26" t="str">
        <f ca="1">VLOOKUP($F207,OFFSET(達成条件!$A$1,0,0,COUNTA($A:$A),MATCH(H$1,達成条件!$1:$1,0)-MATCH($F$1,達成条件!$1:$1,0)+1),MATCH(H$1,達成条件!$1:$1,0)-MATCH($F$1,達成条件!$1:$1,0)+1,FALSE)</f>
        <v>プレイヤーランク</v>
      </c>
      <c r="I207" s="56">
        <v>50</v>
      </c>
      <c r="J207" s="54" t="str">
        <f ca="1">IF(F207="specific_unit_aquired_count",SUBSTITUTE(G207,"x",VLOOKUP(INT($I207),OFFSET([3]characters!$A$2,0,0,COUNTA([3]characters!$A:$A),MATCH(J$1,[3]characters!$2:$2,0)-MATCH("character_id",[3]characters!$2:$2,0)+1),MATCH(J$1,[3]characters!$2:$2,0)-MATCH("character_id",[3]characters!$2:$2,0)+1,FALSE)),IF(F207="specific_quest_clear",VLOOKUP(SUBSTITUTE(I207,"-","_"),OFFSET([2]stages!$A$2,0,0,COUNTA([2]stages!$A:$A),MATCH("name",[2]stages!$2:$2,0)-MATCH("temp_stage",[2]stages!$2:$2,0)+1),MATCH("name",[2]stages!$2:$2,0)-MATCH("temp_stage",[2]stages!$2:$2,0)+1,FALSE),""))</f>
        <v/>
      </c>
      <c r="K207" s="15">
        <v>1</v>
      </c>
      <c r="L207" s="15" t="s">
        <v>542</v>
      </c>
      <c r="M207" s="26" t="str">
        <f ca="1">IFERROR(VLOOKUP($L207,OFFSET(missions!$A$2,0,0,COUNTA($A:$A),MATCH(M$1,missions!$2:$2,0)-MATCH("mission_id",missions!$2:$2,0)+1),MATCH(M$1,missions!$2:$2,0)-MATCH("mission_id",missions!$2:$2,0)+1,FALSE),"")</f>
        <v/>
      </c>
      <c r="N207" s="26" t="str">
        <f ca="1">IFERROR(VLOOKUP($L207,OFFSET(missions!$A$2,0,0,COUNTA($A:$A),MATCH(N$1,missions!$2:$2,0)-MATCH("mission_id",missions!$2:$2,0)+1),MATCH(N$1,missions!$2:$2,0)-MATCH("mission_id",missions!$2:$2,0)+1,FALSE),"")</f>
        <v/>
      </c>
    </row>
    <row r="208" spans="1:14" ht="21" customHeight="1" x14ac:dyDescent="0.15">
      <c r="A208" s="2" t="s">
        <v>458</v>
      </c>
      <c r="B208" s="21" t="s">
        <v>792</v>
      </c>
      <c r="C208" s="27" t="s">
        <v>467</v>
      </c>
      <c r="D208" s="26" t="str">
        <f ca="1">IFERROR(VLOOKUP($A208,OFFSET(achievement_criterion_id,0,0,COUNTA($A:$A),MATCH(D$1,missions!$2:$2,0)-MATCH($A$1,missions!$2:$2,0)+1),MATCH(D$1,missions!$2:$2,0)-MATCH($A$1,missions!$2:$2,0)+1,FALSE),IFERROR(VLOOKUP($A208,OFFSET(weekly_achievement_criterion_id,0,0,COUNTA($A:$A),MATCH(D$1,weekly_missions!$2:$2,0)-MATCH($A$1,weekly_missions!$2:$2,0)+1),MATCH(D$1,weekly_missions!$2:$2,0)-MATCH($A$1,weekly_missions!$2:$2,0)+1,FALSE),"＊missions 未設定＊"))</f>
        <v>リンク x 200</v>
      </c>
      <c r="E208" s="27" t="s">
        <v>864</v>
      </c>
      <c r="F208" s="17" t="s">
        <v>20</v>
      </c>
      <c r="G208" s="26" t="str">
        <f ca="1">VLOOKUP($F208,OFFSET(達成条件!$A$1,0,0,COUNTA($A:$A),MATCH(G$1,達成条件!$1:$1,0)-MATCH($F$1,達成条件!$1:$1,0)+1),MATCH(G$1,達成条件!$1:$1,0)-MATCH($F$1,達成条件!$1:$1,0)+1,FALSE)</f>
        <v>フレンドを x 人つくろう！</v>
      </c>
      <c r="H208" s="26" t="str">
        <f ca="1">VLOOKUP($F208,OFFSET(達成条件!$A$1,0,0,COUNTA($A:$A),MATCH(H$1,達成条件!$1:$1,0)-MATCH($F$1,達成条件!$1:$1,0)+1),MATCH(H$1,達成条件!$1:$1,0)-MATCH($F$1,達成条件!$1:$1,0)+1,FALSE)</f>
        <v>フレンド数</v>
      </c>
      <c r="I208" s="56">
        <v>1</v>
      </c>
      <c r="J208" s="54" t="str">
        <f ca="1">IF(F208="specific_unit_aquired_count",SUBSTITUTE(G208,"x",VLOOKUP(INT($I208),OFFSET([3]characters!$A$2,0,0,COUNTA([3]characters!$A:$A),MATCH(J$1,[3]characters!$2:$2,0)-MATCH("character_id",[3]characters!$2:$2,0)+1),MATCH(J$1,[3]characters!$2:$2,0)-MATCH("character_id",[3]characters!$2:$2,0)+1,FALSE)),IF(F208="specific_quest_clear",VLOOKUP(SUBSTITUTE(I208,"-","_"),OFFSET([2]stages!$A$2,0,0,COUNTA([2]stages!$A:$A),MATCH("name",[2]stages!$2:$2,0)-MATCH("temp_stage",[2]stages!$2:$2,0)+1),MATCH("name",[2]stages!$2:$2,0)-MATCH("temp_stage",[2]stages!$2:$2,0)+1,FALSE),""))</f>
        <v/>
      </c>
      <c r="K208" s="15">
        <v>1</v>
      </c>
      <c r="L208" s="15">
        <v>4002</v>
      </c>
      <c r="M208" s="26" t="str">
        <f ca="1">IFERROR(VLOOKUP($L208,OFFSET(missions!$A$2,0,0,COUNTA($A:$A),MATCH(M$1,missions!$2:$2,0)-MATCH("mission_id",missions!$2:$2,0)+1),MATCH(M$1,missions!$2:$2,0)-MATCH("mission_id",missions!$2:$2,0)+1,FALSE),"")</f>
        <v>フレンドを 3 人つくろう！</v>
      </c>
      <c r="N208" s="26" t="str">
        <f ca="1">IFERROR(VLOOKUP($L208,OFFSET(missions!$A$2,0,0,COUNTA($A:$A),MATCH(N$1,missions!$2:$2,0)-MATCH("mission_id",missions!$2:$2,0)+1),MATCH(N$1,missions!$2:$2,0)-MATCH("mission_id",missions!$2:$2,0)+1,FALSE),"")</f>
        <v>リンク x 300</v>
      </c>
    </row>
    <row r="209" spans="1:14" ht="21" customHeight="1" x14ac:dyDescent="0.15">
      <c r="A209" s="2" t="s">
        <v>459</v>
      </c>
      <c r="B209" s="21" t="s">
        <v>792</v>
      </c>
      <c r="C209" s="26" t="str">
        <f t="shared" ca="1" si="0"/>
        <v>フレンドを 3 人つくろう！</v>
      </c>
      <c r="D209" s="26" t="str">
        <f ca="1">IFERROR(VLOOKUP($A209,OFFSET(achievement_criterion_id,0,0,COUNTA($A:$A),MATCH(D$1,missions!$2:$2,0)-MATCH($A$1,missions!$2:$2,0)+1),MATCH(D$1,missions!$2:$2,0)-MATCH($A$1,missions!$2:$2,0)+1,FALSE),IFERROR(VLOOKUP($A209,OFFSET(weekly_achievement_criterion_id,0,0,COUNTA($A:$A),MATCH(D$1,weekly_missions!$2:$2,0)-MATCH($A$1,weekly_missions!$2:$2,0)+1),MATCH(D$1,weekly_missions!$2:$2,0)-MATCH($A$1,weekly_missions!$2:$2,0)+1,FALSE),"＊missions 未設定＊"))</f>
        <v>リンク x 300</v>
      </c>
      <c r="E209" s="27" t="s">
        <v>864</v>
      </c>
      <c r="F209" s="17" t="s">
        <v>20</v>
      </c>
      <c r="G209" s="26" t="str">
        <f ca="1">VLOOKUP($F209,OFFSET(達成条件!$A$1,0,0,COUNTA($A:$A),MATCH(G$1,達成条件!$1:$1,0)-MATCH($F$1,達成条件!$1:$1,0)+1),MATCH(G$1,達成条件!$1:$1,0)-MATCH($F$1,達成条件!$1:$1,0)+1,FALSE)</f>
        <v>フレンドを x 人つくろう！</v>
      </c>
      <c r="H209" s="26" t="str">
        <f ca="1">VLOOKUP($F209,OFFSET(達成条件!$A$1,0,0,COUNTA($A:$A),MATCH(H$1,達成条件!$1:$1,0)-MATCH($F$1,達成条件!$1:$1,0)+1),MATCH(H$1,達成条件!$1:$1,0)-MATCH($F$1,達成条件!$1:$1,0)+1,FALSE)</f>
        <v>フレンド数</v>
      </c>
      <c r="I209" s="56">
        <v>3</v>
      </c>
      <c r="J209" s="54" t="str">
        <f ca="1">IF(F209="specific_unit_aquired_count",SUBSTITUTE(G209,"x",VLOOKUP(INT($I209),OFFSET([3]characters!$A$2,0,0,COUNTA([3]characters!$A:$A),MATCH(J$1,[3]characters!$2:$2,0)-MATCH("character_id",[3]characters!$2:$2,0)+1),MATCH(J$1,[3]characters!$2:$2,0)-MATCH("character_id",[3]characters!$2:$2,0)+1,FALSE)),IF(F209="specific_quest_clear",VLOOKUP(SUBSTITUTE(I209,"-","_"),OFFSET([2]stages!$A$2,0,0,COUNTA([2]stages!$A:$A),MATCH("name",[2]stages!$2:$2,0)-MATCH("temp_stage",[2]stages!$2:$2,0)+1),MATCH("name",[2]stages!$2:$2,0)-MATCH("temp_stage",[2]stages!$2:$2,0)+1,FALSE),""))</f>
        <v/>
      </c>
      <c r="K209" s="15">
        <v>1</v>
      </c>
      <c r="L209" s="15">
        <v>4002</v>
      </c>
      <c r="M209" s="26" t="str">
        <f ca="1">IFERROR(VLOOKUP($L209,OFFSET(missions!$A$2,0,0,COUNTA($A:$A),MATCH(M$1,missions!$2:$2,0)-MATCH("mission_id",missions!$2:$2,0)+1),MATCH(M$1,missions!$2:$2,0)-MATCH("mission_id",missions!$2:$2,0)+1,FALSE),"")</f>
        <v>フレンドを 3 人つくろう！</v>
      </c>
      <c r="N209" s="26" t="str">
        <f ca="1">IFERROR(VLOOKUP($L209,OFFSET(missions!$A$2,0,0,COUNTA($A:$A),MATCH(N$1,missions!$2:$2,0)-MATCH("mission_id",missions!$2:$2,0)+1),MATCH(N$1,missions!$2:$2,0)-MATCH("mission_id",missions!$2:$2,0)+1,FALSE),"")</f>
        <v>リンク x 300</v>
      </c>
    </row>
    <row r="210" spans="1:14" ht="21" customHeight="1" x14ac:dyDescent="0.15">
      <c r="A210" s="2" t="s">
        <v>203</v>
      </c>
      <c r="B210" s="21" t="s">
        <v>792</v>
      </c>
      <c r="C210" s="26" t="str">
        <f t="shared" ca="1" si="0"/>
        <v>フレンドを 5 人つくろう！</v>
      </c>
      <c r="D210" s="26" t="str">
        <f ca="1">IFERROR(VLOOKUP($A210,OFFSET(achievement_criterion_id,0,0,COUNTA($A:$A),MATCH(D$1,missions!$2:$2,0)-MATCH($A$1,missions!$2:$2,0)+1),MATCH(D$1,missions!$2:$2,0)-MATCH($A$1,missions!$2:$2,0)+1,FALSE),IFERROR(VLOOKUP($A210,OFFSET(weekly_achievement_criterion_id,0,0,COUNTA($A:$A),MATCH(D$1,weekly_missions!$2:$2,0)-MATCH($A$1,weekly_missions!$2:$2,0)+1),MATCH(D$1,weekly_missions!$2:$2,0)-MATCH($A$1,weekly_missions!$2:$2,0)+1,FALSE),"＊missions 未設定＊"))</f>
        <v>リンク x 500</v>
      </c>
      <c r="E210" s="27" t="s">
        <v>864</v>
      </c>
      <c r="F210" s="17" t="s">
        <v>20</v>
      </c>
      <c r="G210" s="26" t="str">
        <f ca="1">VLOOKUP($F210,OFFSET(達成条件!$A$1,0,0,COUNTA($A:$A),MATCH(G$1,達成条件!$1:$1,0)-MATCH($F$1,達成条件!$1:$1,0)+1),MATCH(G$1,達成条件!$1:$1,0)-MATCH($F$1,達成条件!$1:$1,0)+1,FALSE)</f>
        <v>フレンドを x 人つくろう！</v>
      </c>
      <c r="H210" s="26" t="str">
        <f ca="1">VLOOKUP($F210,OFFSET(達成条件!$A$1,0,0,COUNTA($A:$A),MATCH(H$1,達成条件!$1:$1,0)-MATCH($F$1,達成条件!$1:$1,0)+1),MATCH(H$1,達成条件!$1:$1,0)-MATCH($F$1,達成条件!$1:$1,0)+1,FALSE)</f>
        <v>フレンド数</v>
      </c>
      <c r="I210" s="56">
        <v>5</v>
      </c>
      <c r="J210" s="54" t="str">
        <f ca="1">IF(F210="specific_unit_aquired_count",SUBSTITUTE(G210,"x",VLOOKUP(INT($I210),OFFSET([3]characters!$A$2,0,0,COUNTA([3]characters!$A:$A),MATCH(J$1,[3]characters!$2:$2,0)-MATCH("character_id",[3]characters!$2:$2,0)+1),MATCH(J$1,[3]characters!$2:$2,0)-MATCH("character_id",[3]characters!$2:$2,0)+1,FALSE)),IF(F210="specific_quest_clear",VLOOKUP(SUBSTITUTE(I210,"-","_"),OFFSET([2]stages!$A$2,0,0,COUNTA([2]stages!$A:$A),MATCH("name",[2]stages!$2:$2,0)-MATCH("temp_stage",[2]stages!$2:$2,0)+1),MATCH("name",[2]stages!$2:$2,0)-MATCH("temp_stage",[2]stages!$2:$2,0)+1,FALSE),""))</f>
        <v/>
      </c>
      <c r="K210" s="15">
        <v>1</v>
      </c>
      <c r="L210" s="15">
        <v>4002</v>
      </c>
      <c r="M210" s="26" t="str">
        <f ca="1">IFERROR(VLOOKUP($L210,OFFSET(missions!$A$2,0,0,COUNTA($A:$A),MATCH(M$1,missions!$2:$2,0)-MATCH("mission_id",missions!$2:$2,0)+1),MATCH(M$1,missions!$2:$2,0)-MATCH("mission_id",missions!$2:$2,0)+1,FALSE),"")</f>
        <v>フレンドを 3 人つくろう！</v>
      </c>
      <c r="N210" s="26" t="str">
        <f ca="1">IFERROR(VLOOKUP($L210,OFFSET(missions!$A$2,0,0,COUNTA($A:$A),MATCH(N$1,missions!$2:$2,0)-MATCH("mission_id",missions!$2:$2,0)+1),MATCH(N$1,missions!$2:$2,0)-MATCH("mission_id",missions!$2:$2,0)+1,FALSE),"")</f>
        <v>リンク x 300</v>
      </c>
    </row>
    <row r="211" spans="1:14" ht="21" customHeight="1" x14ac:dyDescent="0.15">
      <c r="A211" s="2" t="s">
        <v>201</v>
      </c>
      <c r="B211" s="21" t="s">
        <v>792</v>
      </c>
      <c r="C211" s="26" t="str">
        <f t="shared" ca="1" si="0"/>
        <v>フレンドを 10 人つくろう！</v>
      </c>
      <c r="D211" s="26" t="str">
        <f ca="1">IFERROR(VLOOKUP($A211,OFFSET(achievement_criterion_id,0,0,COUNTA($A:$A),MATCH(D$1,missions!$2:$2,0)-MATCH($A$1,missions!$2:$2,0)+1),MATCH(D$1,missions!$2:$2,0)-MATCH($A$1,missions!$2:$2,0)+1,FALSE),IFERROR(VLOOKUP($A211,OFFSET(weekly_achievement_criterion_id,0,0,COUNTA($A:$A),MATCH(D$1,weekly_missions!$2:$2,0)-MATCH($A$1,weekly_missions!$2:$2,0)+1),MATCH(D$1,weekly_missions!$2:$2,0)-MATCH($A$1,weekly_missions!$2:$2,0)+1,FALSE),"＊missions 未設定＊"))</f>
        <v>リンク x 700</v>
      </c>
      <c r="E211" s="27" t="s">
        <v>864</v>
      </c>
      <c r="F211" s="17" t="s">
        <v>20</v>
      </c>
      <c r="G211" s="26" t="str">
        <f ca="1">VLOOKUP($F211,OFFSET(達成条件!$A$1,0,0,COUNTA($A:$A),MATCH(G$1,達成条件!$1:$1,0)-MATCH($F$1,達成条件!$1:$1,0)+1),MATCH(G$1,達成条件!$1:$1,0)-MATCH($F$1,達成条件!$1:$1,0)+1,FALSE)</f>
        <v>フレンドを x 人つくろう！</v>
      </c>
      <c r="H211" s="26" t="str">
        <f ca="1">VLOOKUP($F211,OFFSET(達成条件!$A$1,0,0,COUNTA($A:$A),MATCH(H$1,達成条件!$1:$1,0)-MATCH($F$1,達成条件!$1:$1,0)+1),MATCH(H$1,達成条件!$1:$1,0)-MATCH($F$1,達成条件!$1:$1,0)+1,FALSE)</f>
        <v>フレンド数</v>
      </c>
      <c r="I211" s="56">
        <v>10</v>
      </c>
      <c r="J211" s="54" t="str">
        <f ca="1">IF(F211="specific_unit_aquired_count",SUBSTITUTE(G211,"x",VLOOKUP(INT($I211),OFFSET([3]characters!$A$2,0,0,COUNTA([3]characters!$A:$A),MATCH(J$1,[3]characters!$2:$2,0)-MATCH("character_id",[3]characters!$2:$2,0)+1),MATCH(J$1,[3]characters!$2:$2,0)-MATCH("character_id",[3]characters!$2:$2,0)+1,FALSE)),IF(F211="specific_quest_clear",VLOOKUP(SUBSTITUTE(I211,"-","_"),OFFSET([2]stages!$A$2,0,0,COUNTA([2]stages!$A:$A),MATCH("name",[2]stages!$2:$2,0)-MATCH("temp_stage",[2]stages!$2:$2,0)+1),MATCH("name",[2]stages!$2:$2,0)-MATCH("temp_stage",[2]stages!$2:$2,0)+1,FALSE),""))</f>
        <v/>
      </c>
      <c r="K211" s="15">
        <v>1</v>
      </c>
      <c r="L211" s="15">
        <v>4003</v>
      </c>
      <c r="M211" s="26" t="str">
        <f ca="1">IFERROR(VLOOKUP($L211,OFFSET(missions!$A$2,0,0,COUNTA($A:$A),MATCH(M$1,missions!$2:$2,0)-MATCH("mission_id",missions!$2:$2,0)+1),MATCH(M$1,missions!$2:$2,0)-MATCH("mission_id",missions!$2:$2,0)+1,FALSE),"")</f>
        <v>フレンドを 5 人つくろう！</v>
      </c>
      <c r="N211" s="26" t="str">
        <f ca="1">IFERROR(VLOOKUP($L211,OFFSET(missions!$A$2,0,0,COUNTA($A:$A),MATCH(N$1,missions!$2:$2,0)-MATCH("mission_id",missions!$2:$2,0)+1),MATCH(N$1,missions!$2:$2,0)-MATCH("mission_id",missions!$2:$2,0)+1,FALSE),"")</f>
        <v>リンク x 500</v>
      </c>
    </row>
    <row r="212" spans="1:14" ht="21" customHeight="1" x14ac:dyDescent="0.15">
      <c r="A212" s="2" t="s">
        <v>193</v>
      </c>
      <c r="B212" s="21" t="s">
        <v>792</v>
      </c>
      <c r="C212" s="26" t="str">
        <f t="shared" ca="1" si="0"/>
        <v>フレンドを 20 人つくろう！</v>
      </c>
      <c r="D212" s="26" t="str">
        <f ca="1">IFERROR(VLOOKUP($A212,OFFSET(achievement_criterion_id,0,0,COUNTA($A:$A),MATCH(D$1,missions!$2:$2,0)-MATCH($A$1,missions!$2:$2,0)+1),MATCH(D$1,missions!$2:$2,0)-MATCH($A$1,missions!$2:$2,0)+1,FALSE),IFERROR(VLOOKUP($A212,OFFSET(weekly_achievement_criterion_id,0,0,COUNTA($A:$A),MATCH(D$1,weekly_missions!$2:$2,0)-MATCH($A$1,weekly_missions!$2:$2,0)+1),MATCH(D$1,weekly_missions!$2:$2,0)-MATCH($A$1,weekly_missions!$2:$2,0)+1,FALSE),"＊missions 未設定＊"))</f>
        <v>リンク x 1000</v>
      </c>
      <c r="E212" s="27" t="s">
        <v>864</v>
      </c>
      <c r="F212" s="17" t="s">
        <v>20</v>
      </c>
      <c r="G212" s="26" t="str">
        <f ca="1">VLOOKUP($F212,OFFSET(達成条件!$A$1,0,0,COUNTA($A:$A),MATCH(G$1,達成条件!$1:$1,0)-MATCH($F$1,達成条件!$1:$1,0)+1),MATCH(G$1,達成条件!$1:$1,0)-MATCH($F$1,達成条件!$1:$1,0)+1,FALSE)</f>
        <v>フレンドを x 人つくろう！</v>
      </c>
      <c r="H212" s="26" t="str">
        <f ca="1">VLOOKUP($F212,OFFSET(達成条件!$A$1,0,0,COUNTA($A:$A),MATCH(H$1,達成条件!$1:$1,0)-MATCH($F$1,達成条件!$1:$1,0)+1),MATCH(H$1,達成条件!$1:$1,0)-MATCH($F$1,達成条件!$1:$1,0)+1,FALSE)</f>
        <v>フレンド数</v>
      </c>
      <c r="I212" s="56">
        <v>20</v>
      </c>
      <c r="J212" s="54" t="str">
        <f ca="1">IF(F212="specific_unit_aquired_count",SUBSTITUTE(G212,"x",VLOOKUP(INT($I212),OFFSET([3]characters!$A$2,0,0,COUNTA([3]characters!$A:$A),MATCH(J$1,[3]characters!$2:$2,0)-MATCH("character_id",[3]characters!$2:$2,0)+1),MATCH(J$1,[3]characters!$2:$2,0)-MATCH("character_id",[3]characters!$2:$2,0)+1,FALSE)),IF(F212="specific_quest_clear",VLOOKUP(SUBSTITUTE(I212,"-","_"),OFFSET([2]stages!$A$2,0,0,COUNTA([2]stages!$A:$A),MATCH("name",[2]stages!$2:$2,0)-MATCH("temp_stage",[2]stages!$2:$2,0)+1),MATCH("name",[2]stages!$2:$2,0)-MATCH("temp_stage",[2]stages!$2:$2,0)+1,FALSE),""))</f>
        <v/>
      </c>
      <c r="K212" s="15">
        <v>1</v>
      </c>
      <c r="L212" s="15">
        <v>4004</v>
      </c>
      <c r="M212" s="26" t="str">
        <f ca="1">IFERROR(VLOOKUP($L212,OFFSET(missions!$A$2,0,0,COUNTA($A:$A),MATCH(M$1,missions!$2:$2,0)-MATCH("mission_id",missions!$2:$2,0)+1),MATCH(M$1,missions!$2:$2,0)-MATCH("mission_id",missions!$2:$2,0)+1,FALSE),"")</f>
        <v>フレンドを 10 人つくろう！</v>
      </c>
      <c r="N212" s="26" t="str">
        <f ca="1">IFERROR(VLOOKUP($L212,OFFSET(missions!$A$2,0,0,COUNTA($A:$A),MATCH(N$1,missions!$2:$2,0)-MATCH("mission_id",missions!$2:$2,0)+1),MATCH(N$1,missions!$2:$2,0)-MATCH("mission_id",missions!$2:$2,0)+1,FALSE),"")</f>
        <v>リンク x 700</v>
      </c>
    </row>
    <row r="213" spans="1:14" ht="21" customHeight="1" x14ac:dyDescent="0.15">
      <c r="A213" s="2" t="s">
        <v>195</v>
      </c>
      <c r="B213" s="21" t="s">
        <v>792</v>
      </c>
      <c r="C213" s="26" t="str">
        <f t="shared" ca="1" si="0"/>
        <v>フレンドを 30 人つくろう！</v>
      </c>
      <c r="D213" s="26" t="str">
        <f ca="1">IFERROR(VLOOKUP($A213,OFFSET(achievement_criterion_id,0,0,COUNTA($A:$A),MATCH(D$1,missions!$2:$2,0)-MATCH($A$1,missions!$2:$2,0)+1),MATCH(D$1,missions!$2:$2,0)-MATCH($A$1,missions!$2:$2,0)+1,FALSE),IFERROR(VLOOKUP($A213,OFFSET(weekly_achievement_criterion_id,0,0,COUNTA($A:$A),MATCH(D$1,weekly_missions!$2:$2,0)-MATCH($A$1,weekly_missions!$2:$2,0)+1),MATCH(D$1,weekly_missions!$2:$2,0)-MATCH($A$1,weekly_missions!$2:$2,0)+1,FALSE),"＊missions 未設定＊"))</f>
        <v>リンク x 1500</v>
      </c>
      <c r="E213" s="27" t="s">
        <v>864</v>
      </c>
      <c r="F213" s="17" t="s">
        <v>20</v>
      </c>
      <c r="G213" s="26" t="str">
        <f ca="1">VLOOKUP($F213,OFFSET(達成条件!$A$1,0,0,COUNTA($A:$A),MATCH(G$1,達成条件!$1:$1,0)-MATCH($F$1,達成条件!$1:$1,0)+1),MATCH(G$1,達成条件!$1:$1,0)-MATCH($F$1,達成条件!$1:$1,0)+1,FALSE)</f>
        <v>フレンドを x 人つくろう！</v>
      </c>
      <c r="H213" s="26" t="str">
        <f ca="1">VLOOKUP($F213,OFFSET(達成条件!$A$1,0,0,COUNTA($A:$A),MATCH(H$1,達成条件!$1:$1,0)-MATCH($F$1,達成条件!$1:$1,0)+1),MATCH(H$1,達成条件!$1:$1,0)-MATCH($F$1,達成条件!$1:$1,0)+1,FALSE)</f>
        <v>フレンド数</v>
      </c>
      <c r="I213" s="56">
        <v>30</v>
      </c>
      <c r="J213" s="54" t="str">
        <f ca="1">IF(F213="specific_unit_aquired_count",SUBSTITUTE(G213,"x",VLOOKUP(INT($I213),OFFSET([3]characters!$A$2,0,0,COUNTA([3]characters!$A:$A),MATCH(J$1,[3]characters!$2:$2,0)-MATCH("character_id",[3]characters!$2:$2,0)+1),MATCH(J$1,[3]characters!$2:$2,0)-MATCH("character_id",[3]characters!$2:$2,0)+1,FALSE)),IF(F213="specific_quest_clear",VLOOKUP(SUBSTITUTE(I213,"-","_"),OFFSET([2]stages!$A$2,0,0,COUNTA([2]stages!$A:$A),MATCH("name",[2]stages!$2:$2,0)-MATCH("temp_stage",[2]stages!$2:$2,0)+1),MATCH("name",[2]stages!$2:$2,0)-MATCH("temp_stage",[2]stages!$2:$2,0)+1,FALSE),""))</f>
        <v/>
      </c>
      <c r="K213" s="15">
        <v>1</v>
      </c>
      <c r="L213" s="15">
        <v>4005</v>
      </c>
      <c r="M213" s="26" t="str">
        <f ca="1">IFERROR(VLOOKUP($L213,OFFSET(missions!$A$2,0,0,COUNTA($A:$A),MATCH(M$1,missions!$2:$2,0)-MATCH("mission_id",missions!$2:$2,0)+1),MATCH(M$1,missions!$2:$2,0)-MATCH("mission_id",missions!$2:$2,0)+1,FALSE),"")</f>
        <v>フレンドを 20 人つくろう！</v>
      </c>
      <c r="N213" s="26" t="str">
        <f ca="1">IFERROR(VLOOKUP($L213,OFFSET(missions!$A$2,0,0,COUNTA($A:$A),MATCH(N$1,missions!$2:$2,0)-MATCH("mission_id",missions!$2:$2,0)+1),MATCH(N$1,missions!$2:$2,0)-MATCH("mission_id",missions!$2:$2,0)+1,FALSE),"")</f>
        <v>リンク x 1000</v>
      </c>
    </row>
    <row r="214" spans="1:14" ht="21" customHeight="1" x14ac:dyDescent="0.15">
      <c r="A214" s="2" t="s">
        <v>197</v>
      </c>
      <c r="B214" s="21" t="s">
        <v>792</v>
      </c>
      <c r="C214" s="26" t="str">
        <f t="shared" ca="1" si="0"/>
        <v>フレンドを 40 人つくろう！</v>
      </c>
      <c r="D214" s="26" t="str">
        <f ca="1">IFERROR(VLOOKUP($A214,OFFSET(achievement_criterion_id,0,0,COUNTA($A:$A),MATCH(D$1,missions!$2:$2,0)-MATCH($A$1,missions!$2:$2,0)+1),MATCH(D$1,missions!$2:$2,0)-MATCH($A$1,missions!$2:$2,0)+1,FALSE),IFERROR(VLOOKUP($A214,OFFSET(weekly_achievement_criterion_id,0,0,COUNTA($A:$A),MATCH(D$1,weekly_missions!$2:$2,0)-MATCH($A$1,weekly_missions!$2:$2,0)+1),MATCH(D$1,weekly_missions!$2:$2,0)-MATCH($A$1,weekly_missions!$2:$2,0)+1,FALSE),"＊missions 未設定＊"))</f>
        <v>リンク x 2000</v>
      </c>
      <c r="E214" s="27" t="s">
        <v>864</v>
      </c>
      <c r="F214" s="17" t="s">
        <v>20</v>
      </c>
      <c r="G214" s="26" t="str">
        <f ca="1">VLOOKUP($F214,OFFSET(達成条件!$A$1,0,0,COUNTA($A:$A),MATCH(G$1,達成条件!$1:$1,0)-MATCH($F$1,達成条件!$1:$1,0)+1),MATCH(G$1,達成条件!$1:$1,0)-MATCH($F$1,達成条件!$1:$1,0)+1,FALSE)</f>
        <v>フレンドを x 人つくろう！</v>
      </c>
      <c r="H214" s="26" t="str">
        <f ca="1">VLOOKUP($F214,OFFSET(達成条件!$A$1,0,0,COUNTA($A:$A),MATCH(H$1,達成条件!$1:$1,0)-MATCH($F$1,達成条件!$1:$1,0)+1),MATCH(H$1,達成条件!$1:$1,0)-MATCH($F$1,達成条件!$1:$1,0)+1,FALSE)</f>
        <v>フレンド数</v>
      </c>
      <c r="I214" s="56">
        <v>40</v>
      </c>
      <c r="J214" s="54" t="str">
        <f ca="1">IF(F214="specific_unit_aquired_count",SUBSTITUTE(G214,"x",VLOOKUP(INT($I214),OFFSET([3]characters!$A$2,0,0,COUNTA([3]characters!$A:$A),MATCH(J$1,[3]characters!$2:$2,0)-MATCH("character_id",[3]characters!$2:$2,0)+1),MATCH(J$1,[3]characters!$2:$2,0)-MATCH("character_id",[3]characters!$2:$2,0)+1,FALSE)),IF(F214="specific_quest_clear",VLOOKUP(SUBSTITUTE(I214,"-","_"),OFFSET([2]stages!$A$2,0,0,COUNTA([2]stages!$A:$A),MATCH("name",[2]stages!$2:$2,0)-MATCH("temp_stage",[2]stages!$2:$2,0)+1),MATCH("name",[2]stages!$2:$2,0)-MATCH("temp_stage",[2]stages!$2:$2,0)+1,FALSE),""))</f>
        <v/>
      </c>
      <c r="K214" s="15">
        <v>1</v>
      </c>
      <c r="L214" s="15">
        <v>4006</v>
      </c>
      <c r="M214" s="26" t="str">
        <f ca="1">IFERROR(VLOOKUP($L214,OFFSET(missions!$A$2,0,0,COUNTA($A:$A),MATCH(M$1,missions!$2:$2,0)-MATCH("mission_id",missions!$2:$2,0)+1),MATCH(M$1,missions!$2:$2,0)-MATCH("mission_id",missions!$2:$2,0)+1,FALSE),"")</f>
        <v>フレンドを 30 人つくろう！</v>
      </c>
      <c r="N214" s="26" t="str">
        <f ca="1">IFERROR(VLOOKUP($L214,OFFSET(missions!$A$2,0,0,COUNTA($A:$A),MATCH(N$1,missions!$2:$2,0)-MATCH("mission_id",missions!$2:$2,0)+1),MATCH(N$1,missions!$2:$2,0)-MATCH("mission_id",missions!$2:$2,0)+1,FALSE),"")</f>
        <v>リンク x 1500</v>
      </c>
    </row>
    <row r="215" spans="1:14" ht="21" customHeight="1" x14ac:dyDescent="0.15">
      <c r="A215" s="2" t="s">
        <v>199</v>
      </c>
      <c r="B215" s="21" t="s">
        <v>792</v>
      </c>
      <c r="C215" s="26" t="str">
        <f t="shared" ca="1" si="0"/>
        <v>フレンドを 50 人つくろう！</v>
      </c>
      <c r="D215" s="26" t="str">
        <f ca="1">IFERROR(VLOOKUP($A215,OFFSET(achievement_criterion_id,0,0,COUNTA($A:$A),MATCH(D$1,missions!$2:$2,0)-MATCH($A$1,missions!$2:$2,0)+1),MATCH(D$1,missions!$2:$2,0)-MATCH($A$1,missions!$2:$2,0)+1,FALSE),IFERROR(VLOOKUP($A215,OFFSET(weekly_achievement_criterion_id,0,0,COUNTA($A:$A),MATCH(D$1,weekly_missions!$2:$2,0)-MATCH($A$1,weekly_missions!$2:$2,0)+1),MATCH(D$1,weekly_missions!$2:$2,0)-MATCH($A$1,weekly_missions!$2:$2,0)+1,FALSE),"＊missions 未設定＊"))</f>
        <v>リンク x 3000</v>
      </c>
      <c r="E215" s="27" t="s">
        <v>864</v>
      </c>
      <c r="F215" s="17" t="s">
        <v>20</v>
      </c>
      <c r="G215" s="26" t="str">
        <f ca="1">VLOOKUP($F215,OFFSET(達成条件!$A$1,0,0,COUNTA($A:$A),MATCH(G$1,達成条件!$1:$1,0)-MATCH($F$1,達成条件!$1:$1,0)+1),MATCH(G$1,達成条件!$1:$1,0)-MATCH($F$1,達成条件!$1:$1,0)+1,FALSE)</f>
        <v>フレンドを x 人つくろう！</v>
      </c>
      <c r="H215" s="26" t="str">
        <f ca="1">VLOOKUP($F215,OFFSET(達成条件!$A$1,0,0,COUNTA($A:$A),MATCH(H$1,達成条件!$1:$1,0)-MATCH($F$1,達成条件!$1:$1,0)+1),MATCH(H$1,達成条件!$1:$1,0)-MATCH($F$1,達成条件!$1:$1,0)+1,FALSE)</f>
        <v>フレンド数</v>
      </c>
      <c r="I215" s="56">
        <v>50</v>
      </c>
      <c r="J215" s="54" t="str">
        <f ca="1">IF(F215="specific_unit_aquired_count",SUBSTITUTE(G215,"x",VLOOKUP(INT($I215),OFFSET([3]characters!$A$2,0,0,COUNTA([3]characters!$A:$A),MATCH(J$1,[3]characters!$2:$2,0)-MATCH("character_id",[3]characters!$2:$2,0)+1),MATCH(J$1,[3]characters!$2:$2,0)-MATCH("character_id",[3]characters!$2:$2,0)+1,FALSE)),IF(F215="specific_quest_clear",VLOOKUP(SUBSTITUTE(I215,"-","_"),OFFSET([2]stages!$A$2,0,0,COUNTA([2]stages!$A:$A),MATCH("name",[2]stages!$2:$2,0)-MATCH("temp_stage",[2]stages!$2:$2,0)+1),MATCH("name",[2]stages!$2:$2,0)-MATCH("temp_stage",[2]stages!$2:$2,0)+1,FALSE),""))</f>
        <v/>
      </c>
      <c r="K215" s="15">
        <v>1</v>
      </c>
      <c r="L215" s="15" t="s">
        <v>542</v>
      </c>
      <c r="M215" s="26" t="str">
        <f ca="1">IFERROR(VLOOKUP($L215,OFFSET(missions!$A$2,0,0,COUNTA($A:$A),MATCH(M$1,missions!$2:$2,0)-MATCH("mission_id",missions!$2:$2,0)+1),MATCH(M$1,missions!$2:$2,0)-MATCH("mission_id",missions!$2:$2,0)+1,FALSE),"")</f>
        <v/>
      </c>
      <c r="N215" s="26" t="str">
        <f ca="1">IFERROR(VLOOKUP($L215,OFFSET(missions!$A$2,0,0,COUNTA($A:$A),MATCH(N$1,missions!$2:$2,0)-MATCH("mission_id",missions!$2:$2,0)+1),MATCH(N$1,missions!$2:$2,0)-MATCH("mission_id",missions!$2:$2,0)+1,FALSE),"")</f>
        <v/>
      </c>
    </row>
    <row r="216" spans="1:14" ht="21" customHeight="1" x14ac:dyDescent="0.15">
      <c r="A216" s="2" t="s">
        <v>205</v>
      </c>
      <c r="B216" s="21" t="s">
        <v>792</v>
      </c>
      <c r="C216" s="27" t="s">
        <v>468</v>
      </c>
      <c r="D216" s="26" t="str">
        <f ca="1">IFERROR(VLOOKUP($A216,OFFSET(achievement_criterion_id,0,0,COUNTA($A:$A),MATCH(D$1,missions!$2:$2,0)-MATCH($A$1,missions!$2:$2,0)+1),MATCH(D$1,missions!$2:$2,0)-MATCH($A$1,missions!$2:$2,0)+1,FALSE),IFERROR(VLOOKUP($A216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216" s="27" t="s">
        <v>864</v>
      </c>
      <c r="F216" s="17" t="s">
        <v>22</v>
      </c>
      <c r="G216" s="26" t="str">
        <f ca="1">VLOOKUP($F216,OFFSET(達成条件!$A$1,0,0,COUNTA($A:$A),MATCH(G$1,達成条件!$1:$1,0)-MATCH($F$1,達成条件!$1:$1,0)+1),MATCH(G$1,達成条件!$1:$1,0)-MATCH($F$1,達成条件!$1:$1,0)+1,FALSE)</f>
        <v>マルチプレイを x 回プレイしよう！</v>
      </c>
      <c r="H216" s="26" t="str">
        <f ca="1">VLOOKUP($F216,OFFSET(達成条件!$A$1,0,0,COUNTA($A:$A),MATCH(H$1,達成条件!$1:$1,0)-MATCH($F$1,達成条件!$1:$1,0)+1),MATCH(H$1,達成条件!$1:$1,0)-MATCH($F$1,達成条件!$1:$1,0)+1,FALSE)</f>
        <v>マルチプレイプレイ回数</v>
      </c>
      <c r="I216" s="56">
        <v>1</v>
      </c>
      <c r="J216" s="54" t="str">
        <f ca="1">IF(F216="specific_unit_aquired_count",SUBSTITUTE(G216,"x",VLOOKUP(INT($I216),OFFSET([3]characters!$A$2,0,0,COUNTA([3]characters!$A:$A),MATCH(J$1,[3]characters!$2:$2,0)-MATCH("character_id",[3]characters!$2:$2,0)+1),MATCH(J$1,[3]characters!$2:$2,0)-MATCH("character_id",[3]characters!$2:$2,0)+1,FALSE)),IF(F216="specific_quest_clear",VLOOKUP(SUBSTITUTE(I216,"-","_"),OFFSET([2]stages!$A$2,0,0,COUNTA([2]stages!$A:$A),MATCH("name",[2]stages!$2:$2,0)-MATCH("temp_stage",[2]stages!$2:$2,0)+1),MATCH("name",[2]stages!$2:$2,0)-MATCH("temp_stage",[2]stages!$2:$2,0)+1,FALSE),""))</f>
        <v/>
      </c>
      <c r="K216" s="15">
        <v>1</v>
      </c>
      <c r="L216" s="15" t="s">
        <v>542</v>
      </c>
      <c r="M216" s="26" t="str">
        <f ca="1">IFERROR(VLOOKUP($L216,OFFSET(missions!$A$2,0,0,COUNTA($A:$A),MATCH(M$1,missions!$2:$2,0)-MATCH("mission_id",missions!$2:$2,0)+1),MATCH(M$1,missions!$2:$2,0)-MATCH("mission_id",missions!$2:$2,0)+1,FALSE),"")</f>
        <v/>
      </c>
      <c r="N216" s="26" t="str">
        <f ca="1">IFERROR(VLOOKUP($L216,OFFSET(missions!$A$2,0,0,COUNTA($A:$A),MATCH(N$1,missions!$2:$2,0)-MATCH("mission_id",missions!$2:$2,0)+1),MATCH(N$1,missions!$2:$2,0)-MATCH("mission_id",missions!$2:$2,0)+1,FALSE),"")</f>
        <v/>
      </c>
    </row>
    <row r="217" spans="1:14" ht="21" customHeight="1" x14ac:dyDescent="0.15">
      <c r="A217" s="2" t="s">
        <v>61</v>
      </c>
      <c r="B217" s="21" t="s">
        <v>792</v>
      </c>
      <c r="C217" s="26" t="str">
        <f t="shared" ca="1" si="0"/>
        <v>レビューを書いてみよう！</v>
      </c>
      <c r="D217" s="26" t="str">
        <f ca="1">IFERROR(VLOOKUP($A217,OFFSET(achievement_criterion_id,0,0,COUNTA($A:$A),MATCH(D$1,missions!$2:$2,0)-MATCH($A$1,missions!$2:$2,0)+1),MATCH(D$1,missions!$2:$2,0)-MATCH($A$1,missions!$2:$2,0)+1,FALSE),IFERROR(VLOOKUP($A217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17" s="27" t="s">
        <v>864</v>
      </c>
      <c r="F217" s="17" t="s">
        <v>38</v>
      </c>
      <c r="G217" s="26" t="str">
        <f ca="1">VLOOKUP($F217,OFFSET(達成条件!$A$1,0,0,COUNTA($A:$A),MATCH(G$1,達成条件!$1:$1,0)-MATCH($F$1,達成条件!$1:$1,0)+1),MATCH(G$1,達成条件!$1:$1,0)-MATCH($F$1,達成条件!$1:$1,0)+1,FALSE)</f>
        <v>レビューを書いてみよう！</v>
      </c>
      <c r="H217" s="26">
        <f ca="1">VLOOKUP($F217,OFFSET(達成条件!$A$1,0,0,COUNTA($A:$A),MATCH(H$1,達成条件!$1:$1,0)-MATCH($F$1,達成条件!$1:$1,0)+1),MATCH(H$1,達成条件!$1:$1,0)-MATCH($F$1,達成条件!$1:$1,0)+1,FALSE)</f>
        <v>0</v>
      </c>
      <c r="I217" s="56">
        <v>1</v>
      </c>
      <c r="J217" s="54" t="str">
        <f ca="1">IF(F217="specific_unit_aquired_count",SUBSTITUTE(G217,"x",VLOOKUP(INT($I217),OFFSET([3]characters!$A$2,0,0,COUNTA([3]characters!$A:$A),MATCH(J$1,[3]characters!$2:$2,0)-MATCH("character_id",[3]characters!$2:$2,0)+1),MATCH(J$1,[3]characters!$2:$2,0)-MATCH("character_id",[3]characters!$2:$2,0)+1,FALSE)),IF(F217="specific_quest_clear",VLOOKUP(SUBSTITUTE(I217,"-","_"),OFFSET([2]stages!$A$2,0,0,COUNTA([2]stages!$A:$A),MATCH("name",[2]stages!$2:$2,0)-MATCH("temp_stage",[2]stages!$2:$2,0)+1),MATCH("name",[2]stages!$2:$2,0)-MATCH("temp_stage",[2]stages!$2:$2,0)+1,FALSE),""))</f>
        <v/>
      </c>
      <c r="K217" s="15">
        <v>1</v>
      </c>
      <c r="L217" s="15" t="s">
        <v>542</v>
      </c>
      <c r="M217" s="26" t="str">
        <f ca="1">IFERROR(VLOOKUP($L217,OFFSET(missions!$A$2,0,0,COUNTA($A:$A),MATCH(M$1,missions!$2:$2,0)-MATCH("mission_id",missions!$2:$2,0)+1),MATCH(M$1,missions!$2:$2,0)-MATCH("mission_id",missions!$2:$2,0)+1,FALSE),"")</f>
        <v/>
      </c>
      <c r="N217" s="26" t="str">
        <f ca="1">IFERROR(VLOOKUP($L217,OFFSET(missions!$A$2,0,0,COUNTA($A:$A),MATCH(N$1,missions!$2:$2,0)-MATCH("mission_id",missions!$2:$2,0)+1),MATCH(N$1,missions!$2:$2,0)-MATCH("mission_id",missions!$2:$2,0)+1,FALSE),"")</f>
        <v/>
      </c>
    </row>
    <row r="218" spans="1:14" ht="21" customHeight="1" x14ac:dyDescent="0.15">
      <c r="A218" s="2" t="s">
        <v>534</v>
      </c>
      <c r="B218" s="21" t="s">
        <v>792</v>
      </c>
      <c r="C218" s="26" t="str">
        <f ca="1">IF(F218="specific_quest_clear",SUBSTITUTE(G218,"x",J218),IF(F218="specific_unit_aquired_count",SUBSTITUTE(J218,"y",K218),SUBSTITUTE(G218,"x",I218)))</f>
        <v>公式ツイッターをフォローしよう！</v>
      </c>
      <c r="D218" s="26" t="str">
        <f ca="1">IFERROR(VLOOKUP($A218,OFFSET(achievement_criterion_id,0,0,COUNTA($A:$A),MATCH(D$1,missions!$2:$2,0)-MATCH($A$1,missions!$2:$2,0)+1),MATCH(D$1,missions!$2:$2,0)-MATCH($A$1,missions!$2:$2,0)+1,FALSE),IFERROR(VLOOKUP($A218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18" s="27" t="s">
        <v>864</v>
      </c>
      <c r="F218" s="17" t="s">
        <v>1682</v>
      </c>
      <c r="G218" s="26" t="str">
        <f ca="1">VLOOKUP($F218,OFFSET(達成条件!$A$1,0,0,COUNTA($A:$A),MATCH(G$1,達成条件!$1:$1,0)-MATCH($F$1,達成条件!$1:$1,0)+1),MATCH(G$1,達成条件!$1:$1,0)-MATCH($F$1,達成条件!$1:$1,0)+1,FALSE)</f>
        <v>公式ツイッターをフォローしよう！</v>
      </c>
      <c r="H218" s="26">
        <f ca="1">VLOOKUP($F218,OFFSET(達成条件!$A$1,0,0,COUNTA($A:$A),MATCH(H$1,達成条件!$1:$1,0)-MATCH($F$1,達成条件!$1:$1,0)+1),MATCH(H$1,達成条件!$1:$1,0)-MATCH($F$1,達成条件!$1:$1,0)+1,FALSE)</f>
        <v>0</v>
      </c>
      <c r="I218" s="56">
        <v>1</v>
      </c>
      <c r="J218" s="54" t="str">
        <f ca="1">IF(F218="specific_unit_aquired_count",SUBSTITUTE(G218,"x",VLOOKUP(INT($I218),OFFSET([3]characters!$A$2,0,0,COUNTA([3]characters!$A:$A),MATCH(J$1,[3]characters!$2:$2,0)-MATCH("character_id",[3]characters!$2:$2,0)+1),MATCH(J$1,[3]characters!$2:$2,0)-MATCH("character_id",[3]characters!$2:$2,0)+1,FALSE)),IF(F218="specific_quest_clear",VLOOKUP(SUBSTITUTE(I218,"-","_"),OFFSET([2]stages!$A$2,0,0,COUNTA([2]stages!$A:$A),MATCH("name",[2]stages!$2:$2,0)-MATCH("temp_stage",[2]stages!$2:$2,0)+1),MATCH("name",[2]stages!$2:$2,0)-MATCH("temp_stage",[2]stages!$2:$2,0)+1,FALSE),""))</f>
        <v/>
      </c>
      <c r="K218" s="15">
        <v>1</v>
      </c>
      <c r="L218" s="15" t="s">
        <v>542</v>
      </c>
      <c r="M218" s="26" t="str">
        <f ca="1">IFERROR(VLOOKUP($L218,OFFSET(missions!$A$2,0,0,COUNTA($A:$A),MATCH(M$1,missions!$2:$2,0)-MATCH("mission_id",missions!$2:$2,0)+1),MATCH(M$1,missions!$2:$2,0)-MATCH("mission_id",missions!$2:$2,0)+1,FALSE),"")</f>
        <v/>
      </c>
      <c r="N218" s="26" t="str">
        <f ca="1">IFERROR(VLOOKUP($L218,OFFSET(missions!$A$2,0,0,COUNTA($A:$A),MATCH(N$1,missions!$2:$2,0)-MATCH("mission_id",missions!$2:$2,0)+1),MATCH(N$1,missions!$2:$2,0)-MATCH("mission_id",missions!$2:$2,0)+1,FALSE),"")</f>
        <v/>
      </c>
    </row>
    <row r="219" spans="1:14" ht="44" customHeight="1" x14ac:dyDescent="0.15">
      <c r="A219" s="2" t="s">
        <v>861</v>
      </c>
      <c r="B219" s="21" t="s">
        <v>792</v>
      </c>
      <c r="C219" s="26" t="str">
        <f t="shared" ca="1" si="0"/>
        <v>Lobi公認グループに入ろう！</v>
      </c>
      <c r="D219" s="26" t="str">
        <f ca="1">IFERROR(VLOOKUP($A219,OFFSET(achievement_criterion_id,0,0,COUNTA($A:$A),MATCH(D$1,missions!$2:$2,0)-MATCH($A$1,missions!$2:$2,0)+1),MATCH(D$1,missions!$2:$2,0)-MATCH($A$1,missions!$2:$2,0)+1,FALSE),IFERROR(VLOOKUP($A219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19" s="39" t="s">
        <v>870</v>
      </c>
      <c r="F219" s="17" t="s">
        <v>863</v>
      </c>
      <c r="G219" s="26" t="str">
        <f ca="1">VLOOKUP($F219,OFFSET(達成条件!$A$1,0,0,COUNTA($A:$A),MATCH(G$1,達成条件!$1:$1,0)-MATCH($F$1,達成条件!$1:$1,0)+1),MATCH(G$1,達成条件!$1:$1,0)-MATCH($F$1,達成条件!$1:$1,0)+1,FALSE)</f>
        <v>Lobi公認グループに入ろう！</v>
      </c>
      <c r="H219" s="26">
        <f ca="1">VLOOKUP($F219,OFFSET(達成条件!$A$1,0,0,COUNTA($A:$A),MATCH(H$1,達成条件!$1:$1,0)-MATCH($F$1,達成条件!$1:$1,0)+1),MATCH(H$1,達成条件!$1:$1,0)-MATCH($F$1,達成条件!$1:$1,0)+1,FALSE)</f>
        <v>0</v>
      </c>
      <c r="I219" s="56" t="s">
        <v>1004</v>
      </c>
      <c r="J219" s="54" t="str">
        <f ca="1">IF(F219="specific_unit_aquired_count",SUBSTITUTE(G219,"x",VLOOKUP(INT($I219),OFFSET([3]characters!$A$2,0,0,COUNTA([3]characters!$A:$A),MATCH(J$1,[3]characters!$2:$2,0)-MATCH("character_id",[3]characters!$2:$2,0)+1),MATCH(J$1,[3]characters!$2:$2,0)-MATCH("character_id",[3]characters!$2:$2,0)+1,FALSE)),IF(F219="specific_quest_clear",VLOOKUP(SUBSTITUTE(I219,"-","_"),OFFSET([2]stages!$A$2,0,0,COUNTA([2]stages!$A:$A),MATCH("name",[2]stages!$2:$2,0)-MATCH("temp_stage",[2]stages!$2:$2,0)+1),MATCH("name",[2]stages!$2:$2,0)-MATCH("temp_stage",[2]stages!$2:$2,0)+1,FALSE),""))</f>
        <v/>
      </c>
      <c r="K219" s="15">
        <v>1</v>
      </c>
      <c r="L219" s="15" t="s">
        <v>542</v>
      </c>
      <c r="M219" s="26"/>
      <c r="N219" s="26"/>
    </row>
    <row r="220" spans="1:14" ht="44" customHeight="1" x14ac:dyDescent="0.15">
      <c r="A220" s="2" t="s">
        <v>886</v>
      </c>
      <c r="B220" s="21" t="s">
        <v>887</v>
      </c>
      <c r="C220" s="26" t="str">
        <f ca="1">IF(F220="specific_quest_clear",SUBSTITUTE(G220,"x",J220),IF(F220="specific_unit_aquired_count",SUBSTITUTE(J220,"y",K220),SUBSTITUTE(G220,"x",I220)))</f>
        <v>初音ミクコラボをTwitterでツイートしよう！</v>
      </c>
      <c r="D220" s="26" t="str">
        <f ca="1">IFERROR(VLOOKUP($A220,OFFSET(achievement_criterion_id,0,0,COUNTA($A:$A),MATCH(D$1,missions!$2:$2,0)-MATCH($A$1,missions!$2:$2,0)+1),MATCH(D$1,missions!$2:$2,0)-MATCH($A$1,missions!$2:$2,0)+1,FALSE),IFERROR(VLOOKUP($A220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20" s="39" t="s">
        <v>960</v>
      </c>
      <c r="F220" s="75" t="s">
        <v>895</v>
      </c>
      <c r="G220" s="26" t="str">
        <f ca="1">VLOOKUP($F220,OFFSET(達成条件!$A$1,0,0,COUNTA($A:$A),MATCH(G$1,達成条件!$1:$1,0)-MATCH($F$1,達成条件!$1:$1,0)+1),MATCH(G$1,達成条件!$1:$1,0)-MATCH($F$1,達成条件!$1:$1,0)+1,FALSE)</f>
        <v>初音ミクコラボをTwitterでツイートしよう！</v>
      </c>
      <c r="H220" s="26">
        <f ca="1">VLOOKUP($F220,OFFSET(達成条件!$A$1,0,0,COUNTA($A:$A),MATCH(H$1,達成条件!$1:$1,0)-MATCH($F$1,達成条件!$1:$1,0)+1),MATCH(H$1,達成条件!$1:$1,0)-MATCH($F$1,達成条件!$1:$1,0)+1,FALSE)</f>
        <v>0</v>
      </c>
      <c r="I220" s="56" t="s">
        <v>1004</v>
      </c>
      <c r="J220" s="54" t="str">
        <f ca="1">IF(F220="specific_unit_aquired_count",SUBSTITUTE(G220,"x",VLOOKUP(INT($I220),OFFSET([3]characters!$A$2,0,0,COUNTA([3]characters!$A:$A),MATCH(J$1,[3]characters!$2:$2,0)-MATCH("character_id",[3]characters!$2:$2,0)+1),MATCH(J$1,[3]characters!$2:$2,0)-MATCH("character_id",[3]characters!$2:$2,0)+1,FALSE)),IF(F220="specific_quest_clear",VLOOKUP(SUBSTITUTE(I220,"-","_"),OFFSET([2]stages!$A$2,0,0,COUNTA([2]stages!$A:$A),MATCH("name",[2]stages!$2:$2,0)-MATCH("temp_stage",[2]stages!$2:$2,0)+1),MATCH("name",[2]stages!$2:$2,0)-MATCH("temp_stage",[2]stages!$2:$2,0)+1,FALSE),""))</f>
        <v/>
      </c>
      <c r="K220" s="15">
        <v>1</v>
      </c>
      <c r="L220" s="15" t="s">
        <v>888</v>
      </c>
      <c r="M220" s="26"/>
      <c r="N220" s="26"/>
    </row>
    <row r="221" spans="1:14" ht="44" customHeight="1" x14ac:dyDescent="0.15">
      <c r="A221" s="2" t="s">
        <v>890</v>
      </c>
      <c r="B221" s="21" t="s">
        <v>891</v>
      </c>
      <c r="C221" s="76" t="s">
        <v>961</v>
      </c>
      <c r="D221" s="26" t="str">
        <f ca="1">IFERROR(VLOOKUP($A221,OFFSET(achievement_criterion_id,0,0,COUNTA($A:$A),MATCH(D$1,missions!$2:$2,0)-MATCH($A$1,missions!$2:$2,0)+1),MATCH(D$1,missions!$2:$2,0)-MATCH($A$1,missions!$2:$2,0)+1,FALSE),IFERROR(VLOOKUP($A221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221" s="39" t="s">
        <v>959</v>
      </c>
      <c r="F221" s="75" t="s">
        <v>895</v>
      </c>
      <c r="G221" s="76" t="s">
        <v>961</v>
      </c>
      <c r="H221" s="26">
        <f ca="1">VLOOKUP($F221,OFFSET(達成条件!$A$1,0,0,COUNTA($A:$A),MATCH(H$1,達成条件!$1:$1,0)-MATCH($F$1,達成条件!$1:$1,0)+1),MATCH(H$1,達成条件!$1:$1,0)-MATCH($F$1,達成条件!$1:$1,0)+1,FALSE)</f>
        <v>0</v>
      </c>
      <c r="I221" s="56" t="s">
        <v>1004</v>
      </c>
      <c r="J221" s="54" t="str">
        <f ca="1">IF(F221="specific_unit_aquired_count",SUBSTITUTE(G221,"x",VLOOKUP(INT($I221),OFFSET([3]characters!$A$2,0,0,COUNTA([3]characters!$A:$A),MATCH(J$1,[3]characters!$2:$2,0)-MATCH("character_id",[3]characters!$2:$2,0)+1),MATCH(J$1,[3]characters!$2:$2,0)-MATCH("character_id",[3]characters!$2:$2,0)+1,FALSE)),IF(F221="specific_quest_clear",VLOOKUP(SUBSTITUTE(I221,"-","_"),OFFSET([2]stages!$A$2,0,0,COUNTA([2]stages!$A:$A),MATCH("name",[2]stages!$2:$2,0)-MATCH("temp_stage",[2]stages!$2:$2,0)+1),MATCH("name",[2]stages!$2:$2,0)-MATCH("temp_stage",[2]stages!$2:$2,0)+1,FALSE),""))</f>
        <v/>
      </c>
      <c r="K221" s="15">
        <v>1</v>
      </c>
      <c r="L221" s="15" t="s">
        <v>892</v>
      </c>
      <c r="M221" s="26"/>
      <c r="N221" s="26"/>
    </row>
    <row r="222" spans="1:14" ht="44" customHeight="1" x14ac:dyDescent="0.15">
      <c r="A222" s="2" t="s">
        <v>897</v>
      </c>
      <c r="B222" s="21" t="s">
        <v>891</v>
      </c>
      <c r="C222" s="26" t="str">
        <f t="shared" ca="1" si="0"/>
        <v>バックアップしよう！</v>
      </c>
      <c r="D222" s="26" t="str">
        <f ca="1">IFERROR(VLOOKUP($A222,OFFSET(achievement_criterion_id,0,0,COUNTA($A:$A),MATCH(D$1,missions!$2:$2,0)-MATCH($A$1,missions!$2:$2,0)+1),MATCH(D$1,missions!$2:$2,0)-MATCH($A$1,missions!$2:$2,0)+1,FALSE),IFERROR(VLOOKUP($A222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22" s="39" t="s">
        <v>907</v>
      </c>
      <c r="F222" s="75" t="s">
        <v>899</v>
      </c>
      <c r="G222" s="26" t="str">
        <f ca="1">VLOOKUP($F222,OFFSET(達成条件!$A$1,0,0,COUNTA($A:$A),MATCH(G$1,達成条件!$1:$1,0)-MATCH($F$1,達成条件!$1:$1,0)+1),MATCH(G$1,達成条件!$1:$1,0)-MATCH($F$1,達成条件!$1:$1,0)+1,FALSE)</f>
        <v>バックアップしよう！</v>
      </c>
      <c r="H222" s="26">
        <f ca="1">VLOOKUP($F222,OFFSET(達成条件!$A$1,0,0,COUNTA($A:$A),MATCH(H$1,達成条件!$1:$1,0)-MATCH($F$1,達成条件!$1:$1,0)+1),MATCH(H$1,達成条件!$1:$1,0)-MATCH($F$1,達成条件!$1:$1,0)+1,FALSE)</f>
        <v>0</v>
      </c>
      <c r="I222" s="79">
        <v>1</v>
      </c>
      <c r="J222" s="54" t="str">
        <f ca="1">IF(F222="specific_unit_aquired_count",SUBSTITUTE(G222,"x",VLOOKUP(INT($I222),OFFSET([3]characters!$A$2,0,0,COUNTA([3]characters!$A:$A),MATCH(J$1,[3]characters!$2:$2,0)-MATCH("character_id",[3]characters!$2:$2,0)+1),MATCH(J$1,[3]characters!$2:$2,0)-MATCH("character_id",[3]characters!$2:$2,0)+1,FALSE)),IF(F222="specific_quest_clear",VLOOKUP(SUBSTITUTE(I222,"-","_"),OFFSET([2]stages!$A$2,0,0,COUNTA([2]stages!$A:$A),MATCH("name",[2]stages!$2:$2,0)-MATCH("temp_stage",[2]stages!$2:$2,0)+1),MATCH("name",[2]stages!$2:$2,0)-MATCH("temp_stage",[2]stages!$2:$2,0)+1,FALSE),""))</f>
        <v/>
      </c>
      <c r="K222" s="15">
        <v>1</v>
      </c>
      <c r="L222" s="15" t="s">
        <v>903</v>
      </c>
      <c r="M222" s="26"/>
      <c r="N222" s="26"/>
    </row>
    <row r="223" spans="1:14" ht="44" customHeight="1" x14ac:dyDescent="0.15">
      <c r="A223" s="2" t="s">
        <v>1061</v>
      </c>
      <c r="B223" s="21" t="s">
        <v>1063</v>
      </c>
      <c r="C223" s="26" t="str">
        <f>IF(F223="specific_quest_clear",SUBSTITUTE(G223,"x",J223),IF(F223="specific_unit_aquired_count",SUBSTITUTE(J223,"y",K223),SUBSTITUTE(G223,"x",I223)))</f>
        <v>デュラララ!!×2 コラボをTwitterでツイートしよう！</v>
      </c>
      <c r="D223" s="26" t="str">
        <f ca="1">IFERROR(VLOOKUP($A223,OFFSET(achievement_criterion_id,0,0,COUNTA($A:$A),MATCH(D$1,missions!$2:$2,0)-MATCH($A$1,missions!$2:$2,0)+1),MATCH(D$1,missions!$2:$2,0)-MATCH($A$1,missions!$2:$2,0)+1,FALSE),IFERROR(VLOOKUP($A223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23" s="39" t="s">
        <v>1065</v>
      </c>
      <c r="F223" s="75" t="s">
        <v>1286</v>
      </c>
      <c r="G223" s="90" t="s">
        <v>2151</v>
      </c>
      <c r="H223" s="26">
        <f ca="1">VLOOKUP($F223,OFFSET(達成条件!$A$1,0,0,COUNTA($A:$A),MATCH(H$1,達成条件!$1:$1,0)-MATCH($F$1,達成条件!$1:$1,0)+1),MATCH(H$1,達成条件!$1:$1,0)-MATCH($F$1,達成条件!$1:$1,0)+1,FALSE)</f>
        <v>0</v>
      </c>
      <c r="I223" s="84" t="s">
        <v>1756</v>
      </c>
      <c r="J223" s="54" t="str">
        <f ca="1">IF(F223="specific_unit_aquired_count",SUBSTITUTE(G223,"x",VLOOKUP(INT($I223),OFFSET([3]characters!$A$2,0,0,COUNTA([3]characters!$A:$A),MATCH(J$1,[3]characters!$2:$2,0)-MATCH("character_id",[3]characters!$2:$2,0)+1),MATCH(J$1,[3]characters!$2:$2,0)-MATCH("character_id",[3]characters!$2:$2,0)+1,FALSE)),IF(F223="specific_quest_clear",VLOOKUP(SUBSTITUTE(I223,"-","_"),OFFSET([2]stages!$A$2,0,0,COUNTA([2]stages!$A:$A),MATCH("name",[2]stages!$2:$2,0)-MATCH("temp_stage",[2]stages!$2:$2,0)+1),MATCH("name",[2]stages!$2:$2,0)-MATCH("temp_stage",[2]stages!$2:$2,0)+1,FALSE),""))</f>
        <v/>
      </c>
      <c r="K223" s="15">
        <v>1</v>
      </c>
      <c r="L223" s="15" t="s">
        <v>1066</v>
      </c>
      <c r="M223" s="26"/>
      <c r="N223" s="26"/>
    </row>
    <row r="224" spans="1:14" ht="44" customHeight="1" x14ac:dyDescent="0.15">
      <c r="A224" s="2" t="s">
        <v>1062</v>
      </c>
      <c r="B224" s="21" t="s">
        <v>1064</v>
      </c>
      <c r="C224" s="26" t="str">
        <f>IF(F224="specific_quest_clear",SUBSTITUTE(G224,"x",J224),IF(F224="specific_unit_aquired_count",SUBSTITUTE(J224,"y",K224),SUBSTITUTE(G224,"x",I224)))</f>
        <v>デュラララ!!×2 コラボをLINEで友だちに教えてあげよう！</v>
      </c>
      <c r="D224" s="26" t="str">
        <f ca="1">IFERROR(VLOOKUP($A224,OFFSET(achievement_criterion_id,0,0,COUNTA($A:$A),MATCH(D$1,missions!$2:$2,0)-MATCH($A$1,missions!$2:$2,0)+1),MATCH(D$1,missions!$2:$2,0)-MATCH($A$1,missions!$2:$2,0)+1,FALSE),IFERROR(VLOOKUP($A224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24" s="39" t="s">
        <v>1066</v>
      </c>
      <c r="F224" s="75" t="s">
        <v>895</v>
      </c>
      <c r="G224" s="90" t="s">
        <v>1134</v>
      </c>
      <c r="H224" s="26">
        <f ca="1">VLOOKUP($F224,OFFSET(達成条件!$A$1,0,0,COUNTA($A:$A),MATCH(H$1,達成条件!$1:$1,0)-MATCH($F$1,達成条件!$1:$1,0)+1),MATCH(H$1,達成条件!$1:$1,0)-MATCH($F$1,達成条件!$1:$1,0)+1,FALSE)</f>
        <v>0</v>
      </c>
      <c r="I224" s="84" t="s">
        <v>1274</v>
      </c>
      <c r="J224" s="54" t="str">
        <f ca="1">IF(F224="specific_unit_aquired_count",SUBSTITUTE(G224,"x",VLOOKUP(INT($I224),OFFSET([3]characters!$A$2,0,0,COUNTA([3]characters!$A:$A),MATCH(J$1,[3]characters!$2:$2,0)-MATCH("character_id",[3]characters!$2:$2,0)+1),MATCH(J$1,[3]characters!$2:$2,0)-MATCH("character_id",[3]characters!$2:$2,0)+1,FALSE)),IF(F224="specific_quest_clear",VLOOKUP(SUBSTITUTE(I224,"-","_"),OFFSET([2]stages!$A$2,0,0,COUNTA([2]stages!$A:$A),MATCH("name",[2]stages!$2:$2,0)-MATCH("temp_stage",[2]stages!$2:$2,0)+1),MATCH("name",[2]stages!$2:$2,0)-MATCH("temp_stage",[2]stages!$2:$2,0)+1,FALSE),""))</f>
        <v/>
      </c>
      <c r="K224" s="15">
        <v>1</v>
      </c>
      <c r="L224" s="15" t="s">
        <v>1067</v>
      </c>
      <c r="M224" s="26"/>
      <c r="N224" s="26"/>
    </row>
    <row r="225" spans="1:14" ht="44" customHeight="1" x14ac:dyDescent="0.15">
      <c r="A225" s="2" t="s">
        <v>1284</v>
      </c>
      <c r="B225" s="21" t="s">
        <v>1285</v>
      </c>
      <c r="C225" s="76" t="s">
        <v>1311</v>
      </c>
      <c r="D225" s="26" t="str">
        <f ca="1">IFERROR(VLOOKUP($A225,OFFSET(achievement_criterion_id,0,0,COUNTA($A:$A),MATCH(D$1,missions!$2:$2,0)-MATCH($A$1,missions!$2:$2,0)+1),MATCH(D$1,missions!$2:$2,0)-MATCH($A$1,missions!$2:$2,0)+1,FALSE),IFERROR(VLOOKUP($A225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25" s="39" t="s">
        <v>1310</v>
      </c>
      <c r="F225" s="75" t="s">
        <v>895</v>
      </c>
      <c r="G225" s="76" t="s">
        <v>1309</v>
      </c>
      <c r="H225" s="26">
        <f ca="1">VLOOKUP($F225,OFFSET(達成条件!$A$1,0,0,COUNTA($A:$A),MATCH(H$1,達成条件!$1:$1,0)-MATCH($F$1,達成条件!$1:$1,0)+1),MATCH(H$1,達成条件!$1:$1,0)-MATCH($F$1,達成条件!$1:$1,0)+1,FALSE)</f>
        <v>0</v>
      </c>
      <c r="I225" s="104" t="s">
        <v>1287</v>
      </c>
      <c r="J225" s="54" t="str">
        <f ca="1">IF(F225="specific_unit_aquired_count",SUBSTITUTE(G225,"x",VLOOKUP(INT($I225),OFFSET([3]characters!$A$2,0,0,COUNTA([3]characters!$A:$A),MATCH(J$1,[3]characters!$2:$2,0)-MATCH("character_id",[3]characters!$2:$2,0)+1),MATCH(J$1,[3]characters!$2:$2,0)-MATCH("character_id",[3]characters!$2:$2,0)+1,FALSE)),IF(F225="specific_quest_clear",VLOOKUP(SUBSTITUTE(I225,"-","_"),OFFSET([2]stages!$A$2,0,0,COUNTA([2]stages!$A:$A),MATCH("name",[2]stages!$2:$2,0)-MATCH("temp_stage",[2]stages!$2:$2,0)+1),MATCH("name",[2]stages!$2:$2,0)-MATCH("temp_stage",[2]stages!$2:$2,0)+1,FALSE),""))</f>
        <v/>
      </c>
      <c r="K225" s="15">
        <v>1</v>
      </c>
      <c r="L225" s="15" t="s">
        <v>1067</v>
      </c>
      <c r="M225" s="26"/>
      <c r="N225" s="26"/>
    </row>
    <row r="226" spans="1:14" ht="44" customHeight="1" x14ac:dyDescent="0.15">
      <c r="A226" s="2" t="s">
        <v>1291</v>
      </c>
      <c r="B226" s="21" t="s">
        <v>1292</v>
      </c>
      <c r="C226" s="26" t="str">
        <f>IF(F226="specific_quest_clear",SUBSTITUTE(G226,"x",J226),IF(F226="specific_unit_aquired_count",SUBSTITUTE(J226,"y",K226),SUBSTITUTE(G226,"x",I226)))</f>
        <v>TVCMキャンペーンをTwitterでツイートしよう！</v>
      </c>
      <c r="D226" s="26" t="str">
        <f ca="1">IFERROR(VLOOKUP($A226,OFFSET(achievement_criterion_id,0,0,COUNTA($A:$A),MATCH(D$1,missions!$2:$2,0)-MATCH($A$1,missions!$2:$2,0)+1),MATCH(D$1,missions!$2:$2,0)-MATCH($A$1,missions!$2:$2,0)+1,FALSE),IFERROR(VLOOKUP($A226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26" s="39" t="s">
        <v>888</v>
      </c>
      <c r="F226" s="75" t="s">
        <v>895</v>
      </c>
      <c r="G226" s="76" t="s">
        <v>1386</v>
      </c>
      <c r="H226" s="26">
        <f ca="1">VLOOKUP($F226,OFFSET(達成条件!$A$1,0,0,COUNTA($A:$A),MATCH(H$1,達成条件!$1:$1,0)-MATCH($F$1,達成条件!$1:$1,0)+1),MATCH(H$1,達成条件!$1:$1,0)-MATCH($F$1,達成条件!$1:$1,0)+1,FALSE)</f>
        <v>0</v>
      </c>
      <c r="I226" s="104" t="s">
        <v>1312</v>
      </c>
      <c r="J226" s="54" t="str">
        <f ca="1">IF(F226="specific_unit_aquired_count",SUBSTITUTE(G226,"x",VLOOKUP(INT($I226),OFFSET([3]characters!$A$2,0,0,COUNTA([3]characters!$A:$A),MATCH(J$1,[3]characters!$2:$2,0)-MATCH("character_id",[3]characters!$2:$2,0)+1),MATCH(J$1,[3]characters!$2:$2,0)-MATCH("character_id",[3]characters!$2:$2,0)+1,FALSE)),IF(F226="specific_quest_clear",VLOOKUP(SUBSTITUTE(I226,"-","_"),OFFSET([2]stages!$A$2,0,0,COUNTA([2]stages!$A:$A),MATCH("name",[2]stages!$2:$2,0)-MATCH("temp_stage",[2]stages!$2:$2,0)+1),MATCH("name",[2]stages!$2:$2,0)-MATCH("temp_stage",[2]stages!$2:$2,0)+1,FALSE),""))</f>
        <v/>
      </c>
      <c r="K226" s="15">
        <v>1</v>
      </c>
      <c r="L226" s="15" t="s">
        <v>888</v>
      </c>
      <c r="M226" s="26"/>
      <c r="N226" s="26"/>
    </row>
    <row r="227" spans="1:14" ht="44" customHeight="1" x14ac:dyDescent="0.15">
      <c r="A227" s="2" t="s">
        <v>1295</v>
      </c>
      <c r="B227" s="21" t="s">
        <v>1292</v>
      </c>
      <c r="C227" s="26" t="str">
        <f>IF(F227="specific_quest_clear",SUBSTITUTE(G227,"x",J227),IF(F227="specific_unit_aquired_count",SUBSTITUTE(J227,"y",K227),SUBSTITUTE(G227,"x",I227)))</f>
        <v>TVCMキャンペーンをLINEで友達に教えよう！</v>
      </c>
      <c r="D227" s="26" t="str">
        <f ca="1">IFERROR(VLOOKUP($A227,OFFSET(achievement_criterion_id,0,0,COUNTA($A:$A),MATCH(D$1,missions!$2:$2,0)-MATCH($A$1,missions!$2:$2,0)+1),MATCH(D$1,missions!$2:$2,0)-MATCH($A$1,missions!$2:$2,0)+1,FALSE),IFERROR(VLOOKUP($A227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27" s="39" t="s">
        <v>352</v>
      </c>
      <c r="F227" s="75" t="s">
        <v>895</v>
      </c>
      <c r="G227" s="76" t="s">
        <v>1294</v>
      </c>
      <c r="H227" s="26">
        <f ca="1">VLOOKUP($F227,OFFSET(達成条件!$A$1,0,0,COUNTA($A:$A),MATCH(H$1,達成条件!$1:$1,0)-MATCH($F$1,達成条件!$1:$1,0)+1),MATCH(H$1,達成条件!$1:$1,0)-MATCH($F$1,達成条件!$1:$1,0)+1,FALSE)</f>
        <v>0</v>
      </c>
      <c r="I227" s="84" t="s">
        <v>1741</v>
      </c>
      <c r="J227" s="54"/>
      <c r="K227" s="15">
        <v>1</v>
      </c>
      <c r="L227" s="15" t="s">
        <v>352</v>
      </c>
      <c r="M227" s="26"/>
      <c r="N227" s="26"/>
    </row>
    <row r="228" spans="1:14" ht="44" customHeight="1" x14ac:dyDescent="0.15">
      <c r="A228" s="2" t="s">
        <v>1299</v>
      </c>
      <c r="B228" s="21" t="s">
        <v>1292</v>
      </c>
      <c r="C228" s="26" t="str">
        <f ca="1">IF(F228="specific_quest_clear",SUBSTITUTE(G228,"x",J228),IF(F228="specific_unit_aquired_count",SUBSTITUTE(J228,"y",K228),SUBSTITUTE(G228,"x",I228)))</f>
        <v>クエスト 【超ウザード級】ウザリーマン襲来 をクリアしよう！</v>
      </c>
      <c r="D228" s="26" t="str">
        <f ca="1">IFERROR(VLOOKUP($A228,OFFSET(achievement_criterion_id,0,0,COUNTA($A:$A),MATCH(D$1,missions!$2:$2,0)-MATCH($A$1,missions!$2:$2,0)+1),MATCH(D$1,missions!$2:$2,0)-MATCH($A$1,missions!$2:$2,0)+1,FALSE),IFERROR(VLOOKUP($A228,OFFSET(weekly_achievement_criterion_id,0,0,COUNTA($A:$A),MATCH(D$1,weekly_missions!$2:$2,0)-MATCH($A$1,weekly_missions!$2:$2,0)+1),MATCH(D$1,weekly_missions!$2:$2,0)-MATCH($A$1,weekly_missions!$2:$2,0)+1,FALSE),"＊missions 未設定＊"))</f>
        <v>イグニス x 1</v>
      </c>
      <c r="E228" s="39" t="s">
        <v>352</v>
      </c>
      <c r="F228" s="17" t="s">
        <v>310</v>
      </c>
      <c r="G228" s="27" t="s">
        <v>765</v>
      </c>
      <c r="H228" s="26" t="str">
        <f ca="1">VLOOKUP($F228,OFFSET(達成条件!$A$1,0,0,COUNTA($A:$A),MATCH(H$1,達成条件!$1:$1,0)-MATCH($F$1,達成条件!$1:$1,0)+1),MATCH(H$1,達成条件!$1:$1,0)-MATCH($F$1,達成条件!$1:$1,0)+1,FALSE)</f>
        <v>該当のクエスト(99-9)</v>
      </c>
      <c r="I228" s="83" t="s">
        <v>1304</v>
      </c>
      <c r="J228" s="54" t="str">
        <f ca="1">IF(F228="specific_unit_aquired_count",SUBSTITUTE(G228,"x",VLOOKUP(INT($I228),OFFSET([3]characters!$A$2,0,0,COUNTA([3]characters!$A:$A),MATCH(J$1,[3]characters!$2:$2,0)-MATCH("character_id",[3]characters!$2:$2,0)+1),MATCH(J$1,[3]characters!$2:$2,0)-MATCH("character_id",[3]characters!$2:$2,0)+1,FALSE)),IF(F228="specific_quest_clear",VLOOKUP(SUBSTITUTE(I228,"-","_"),OFFSET([2]stages!$A$2,0,0,COUNTA([2]stages!$A:$A),MATCH("name",[2]stages!$2:$2,0)-MATCH("temp_stage",[2]stages!$2:$2,0)+1),MATCH("name",[2]stages!$2:$2,0)-MATCH("temp_stage",[2]stages!$2:$2,0)+1,FALSE),""))</f>
        <v>【超ウザード級】ウザリーマン襲来</v>
      </c>
      <c r="K228" s="15" t="s">
        <v>352</v>
      </c>
      <c r="L228" s="15" t="s">
        <v>352</v>
      </c>
      <c r="M228" s="26"/>
      <c r="N228" s="26"/>
    </row>
    <row r="229" spans="1:14" ht="44" customHeight="1" x14ac:dyDescent="0.15">
      <c r="A229" s="2" t="s">
        <v>1300</v>
      </c>
      <c r="B229" s="21" t="s">
        <v>1292</v>
      </c>
      <c r="C229" s="26" t="str">
        <f t="shared" ref="C229:C239" si="19">IF(F229="specific_quest_clear",SUBSTITUTE(G229,"x",J229),IF(F229="specific_unit_aquired_count",SUBSTITUTE(J229,"y",K229),SUBSTITUTE(G229,"x",I229)))</f>
        <v>TVCM「既読スルー」篇を観よう！</v>
      </c>
      <c r="D229" s="26" t="str">
        <f ca="1">IFERROR(VLOOKUP($A229,OFFSET(achievement_criterion_id,0,0,COUNTA($A:$A),MATCH(D$1,missions!$2:$2,0)-MATCH($A$1,missions!$2:$2,0)+1),MATCH(D$1,missions!$2:$2,0)-MATCH($A$1,missions!$2:$2,0)+1,FALSE),IFERROR(VLOOKUP($A229,OFFSET(weekly_achievement_criterion_id,0,0,COUNTA($A:$A),MATCH(D$1,weekly_missions!$2:$2,0)-MATCH($A$1,weekly_missions!$2:$2,0)+1),MATCH(D$1,weekly_missions!$2:$2,0)-MATCH($A$1,weekly_missions!$2:$2,0)+1,FALSE),"＊missions 未設定＊"))</f>
        <v>イグニス x 1</v>
      </c>
      <c r="E229" s="39" t="s">
        <v>352</v>
      </c>
      <c r="F229" s="75" t="s">
        <v>895</v>
      </c>
      <c r="G229" s="76" t="s">
        <v>1313</v>
      </c>
      <c r="H229" s="26">
        <f ca="1">VLOOKUP($F229,OFFSET(達成条件!$A$1,0,0,COUNTA($A:$A),MATCH(H$1,達成条件!$1:$1,0)-MATCH($F$1,達成条件!$1:$1,0)+1),MATCH(H$1,達成条件!$1:$1,0)-MATCH($F$1,達成条件!$1:$1,0)+1,FALSE)</f>
        <v>0</v>
      </c>
      <c r="I229" s="84" t="s">
        <v>1308</v>
      </c>
      <c r="J229" s="54"/>
      <c r="K229" s="15">
        <v>1</v>
      </c>
      <c r="L229" s="15" t="s">
        <v>352</v>
      </c>
      <c r="M229" s="26"/>
      <c r="N229" s="26"/>
    </row>
    <row r="230" spans="1:14" ht="44" customHeight="1" x14ac:dyDescent="0.15">
      <c r="A230" s="2" t="s">
        <v>1301</v>
      </c>
      <c r="B230" s="21" t="s">
        <v>1292</v>
      </c>
      <c r="C230" s="26" t="str">
        <f t="shared" si="19"/>
        <v>TVCM「ニャンニャン」篇を観よう！</v>
      </c>
      <c r="D230" s="26" t="str">
        <f ca="1">IFERROR(VLOOKUP($A230,OFFSET(achievement_criterion_id,0,0,COUNTA($A:$A),MATCH(D$1,missions!$2:$2,0)-MATCH($A$1,missions!$2:$2,0)+1),MATCH(D$1,missions!$2:$2,0)-MATCH($A$1,missions!$2:$2,0)+1,FALSE),IFERROR(VLOOKUP($A230,OFFSET(weekly_achievement_criterion_id,0,0,COUNTA($A:$A),MATCH(D$1,weekly_missions!$2:$2,0)-MATCH($A$1,weekly_missions!$2:$2,0)+1),MATCH(D$1,weekly_missions!$2:$2,0)-MATCH($A$1,weekly_missions!$2:$2,0)+1,FALSE),"＊missions 未設定＊"))</f>
        <v>イグニス x 1</v>
      </c>
      <c r="E230" s="39" t="s">
        <v>352</v>
      </c>
      <c r="F230" s="75" t="s">
        <v>895</v>
      </c>
      <c r="G230" s="76" t="s">
        <v>1314</v>
      </c>
      <c r="H230" s="26">
        <f ca="1">VLOOKUP($F230,OFFSET(達成条件!$A$1,0,0,COUNTA($A:$A),MATCH(H$1,達成条件!$1:$1,0)-MATCH($F$1,達成条件!$1:$1,0)+1),MATCH(H$1,達成条件!$1:$1,0)-MATCH($F$1,達成条件!$1:$1,0)+1,FALSE)</f>
        <v>0</v>
      </c>
      <c r="I230" s="84" t="s">
        <v>1307</v>
      </c>
      <c r="J230" s="54"/>
      <c r="K230" s="15">
        <v>1</v>
      </c>
      <c r="L230" s="15" t="s">
        <v>352</v>
      </c>
      <c r="M230" s="26"/>
      <c r="N230" s="26"/>
    </row>
    <row r="231" spans="1:14" ht="44" customHeight="1" x14ac:dyDescent="0.15">
      <c r="A231" s="2" t="s">
        <v>1302</v>
      </c>
      <c r="B231" s="21" t="s">
        <v>1292</v>
      </c>
      <c r="C231" s="26" t="str">
        <f t="shared" si="19"/>
        <v>TVCM「酔っ払Ride On！」篇を観よう！</v>
      </c>
      <c r="D231" s="26" t="str">
        <f ca="1">IFERROR(VLOOKUP($A231,OFFSET(achievement_criterion_id,0,0,COUNTA($A:$A),MATCH(D$1,missions!$2:$2,0)-MATCH($A$1,missions!$2:$2,0)+1),MATCH(D$1,missions!$2:$2,0)-MATCH($A$1,missions!$2:$2,0)+1,FALSE),IFERROR(VLOOKUP($A231,OFFSET(weekly_achievement_criterion_id,0,0,COUNTA($A:$A),MATCH(D$1,weekly_missions!$2:$2,0)-MATCH($A$1,weekly_missions!$2:$2,0)+1),MATCH(D$1,weekly_missions!$2:$2,0)-MATCH($A$1,weekly_missions!$2:$2,0)+1,FALSE),"＊missions 未設定＊"))</f>
        <v>イグニス x 1</v>
      </c>
      <c r="E231" s="39" t="s">
        <v>352</v>
      </c>
      <c r="F231" s="75" t="s">
        <v>895</v>
      </c>
      <c r="G231" s="76" t="s">
        <v>1370</v>
      </c>
      <c r="H231" s="26">
        <f ca="1">VLOOKUP($F231,OFFSET(達成条件!$A$1,0,0,COUNTA($A:$A),MATCH(H$1,達成条件!$1:$1,0)-MATCH($F$1,達成条件!$1:$1,0)+1),MATCH(H$1,達成条件!$1:$1,0)-MATCH($F$1,達成条件!$1:$1,0)+1,FALSE)</f>
        <v>0</v>
      </c>
      <c r="I231" s="84" t="s">
        <v>1305</v>
      </c>
      <c r="J231" s="54"/>
      <c r="K231" s="15">
        <v>1</v>
      </c>
      <c r="L231" s="15" t="s">
        <v>352</v>
      </c>
      <c r="M231" s="26"/>
      <c r="N231" s="26"/>
    </row>
    <row r="232" spans="1:14" ht="44" customHeight="1" x14ac:dyDescent="0.15">
      <c r="A232" s="2" t="s">
        <v>1303</v>
      </c>
      <c r="B232" s="21" t="s">
        <v>1292</v>
      </c>
      <c r="C232" s="26" t="str">
        <f t="shared" si="19"/>
        <v>TVCM「オレまだ係長」篇を観よう！</v>
      </c>
      <c r="D232" s="26" t="str">
        <f ca="1">IFERROR(VLOOKUP($A232,OFFSET(achievement_criterion_id,0,0,COUNTA($A:$A),MATCH(D$1,missions!$2:$2,0)-MATCH($A$1,missions!$2:$2,0)+1),MATCH(D$1,missions!$2:$2,0)-MATCH($A$1,missions!$2:$2,0)+1,FALSE),IFERROR(VLOOKUP($A232,OFFSET(weekly_achievement_criterion_id,0,0,COUNTA($A:$A),MATCH(D$1,weekly_missions!$2:$2,0)-MATCH($A$1,weekly_missions!$2:$2,0)+1),MATCH(D$1,weekly_missions!$2:$2,0)-MATCH($A$1,weekly_missions!$2:$2,0)+1,FALSE),"＊missions 未設定＊"))</f>
        <v>イグニス x 1</v>
      </c>
      <c r="E232" s="39" t="s">
        <v>352</v>
      </c>
      <c r="F232" s="75" t="s">
        <v>895</v>
      </c>
      <c r="G232" s="76" t="s">
        <v>1315</v>
      </c>
      <c r="H232" s="26">
        <f ca="1">VLOOKUP($F232,OFFSET(達成条件!$A$1,0,0,COUNTA($A:$A),MATCH(H$1,達成条件!$1:$1,0)-MATCH($F$1,達成条件!$1:$1,0)+1),MATCH(H$1,達成条件!$1:$1,0)-MATCH($F$1,達成条件!$1:$1,0)+1,FALSE)</f>
        <v>0</v>
      </c>
      <c r="I232" s="84" t="s">
        <v>1306</v>
      </c>
      <c r="J232" s="54"/>
      <c r="K232" s="15">
        <v>1</v>
      </c>
      <c r="L232" s="15" t="s">
        <v>352</v>
      </c>
      <c r="M232" s="26"/>
      <c r="N232" s="26"/>
    </row>
    <row r="233" spans="1:14" ht="44" customHeight="1" x14ac:dyDescent="0.15">
      <c r="A233" s="2" t="s">
        <v>1375</v>
      </c>
      <c r="B233" s="21" t="s">
        <v>792</v>
      </c>
      <c r="C233" s="26" t="str">
        <f>IF(F233="specific_quest_clear",SUBSTITUTE(G233,"x",J233),IF(F233="specific_unit_aquired_count",SUBSTITUTE(J233,"y",K233),SUBSTITUTE(G233,"x",I233)))</f>
        <v>Web限定CM「調子はどうだい？」篇を観よう！</v>
      </c>
      <c r="D233" s="26" t="str">
        <f ca="1">IFERROR(VLOOKUP($A233,OFFSET(achievement_criterion_id,0,0,COUNTA($A:$A),MATCH(D$1,missions!$2:$2,0)-MATCH($A$1,missions!$2:$2,0)+1),MATCH(D$1,missions!$2:$2,0)-MATCH($A$1,missions!$2:$2,0)+1,FALSE),IFERROR(VLOOKUP($A233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33" s="39" t="s">
        <v>352</v>
      </c>
      <c r="F233" s="75" t="s">
        <v>895</v>
      </c>
      <c r="G233" s="76" t="s">
        <v>1380</v>
      </c>
      <c r="H233" s="26">
        <f ca="1">VLOOKUP($F233,OFFSET(達成条件!$A$1,0,0,COUNTA($A:$A),MATCH(H$1,達成条件!$1:$1,0)-MATCH($F$1,達成条件!$1:$1,0)+1),MATCH(H$1,達成条件!$1:$1,0)-MATCH($F$1,達成条件!$1:$1,0)+1,FALSE)</f>
        <v>0</v>
      </c>
      <c r="I233" s="104" t="s">
        <v>1379</v>
      </c>
      <c r="J233" s="54"/>
      <c r="K233" s="15">
        <v>1</v>
      </c>
      <c r="L233" s="15" t="s">
        <v>352</v>
      </c>
      <c r="M233" s="26"/>
      <c r="N233" s="26"/>
    </row>
    <row r="234" spans="1:14" ht="44" customHeight="1" x14ac:dyDescent="0.15">
      <c r="A234" s="2" t="s">
        <v>1376</v>
      </c>
      <c r="B234" s="21" t="s">
        <v>792</v>
      </c>
      <c r="C234" s="26" t="str">
        <f t="shared" ref="C234:C236" si="20">IF(F234="specific_quest_clear",SUBSTITUTE(G234,"x",J234),IF(F234="specific_unit_aquired_count",SUBSTITUTE(J234,"y",K234),SUBSTITUTE(G234,"x",I234)))</f>
        <v>Web限定CM「遅延行為だよ〜！」篇を観よう！</v>
      </c>
      <c r="D234" s="26" t="str">
        <f ca="1">IFERROR(VLOOKUP($A234,OFFSET(achievement_criterion_id,0,0,COUNTA($A:$A),MATCH(D$1,missions!$2:$2,0)-MATCH($A$1,missions!$2:$2,0)+1),MATCH(D$1,missions!$2:$2,0)-MATCH($A$1,missions!$2:$2,0)+1,FALSE),IFERROR(VLOOKUP($A234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34" s="39" t="s">
        <v>352</v>
      </c>
      <c r="F234" s="75" t="s">
        <v>895</v>
      </c>
      <c r="G234" s="76" t="s">
        <v>1381</v>
      </c>
      <c r="H234" s="26">
        <f ca="1">VLOOKUP($F234,OFFSET(達成条件!$A$1,0,0,COUNTA($A:$A),MATCH(H$1,達成条件!$1:$1,0)-MATCH($F$1,達成条件!$1:$1,0)+1),MATCH(H$1,達成条件!$1:$1,0)-MATCH($F$1,達成条件!$1:$1,0)+1,FALSE)</f>
        <v>0</v>
      </c>
      <c r="I234" s="84" t="s">
        <v>1384</v>
      </c>
      <c r="J234" s="54"/>
      <c r="K234" s="15">
        <v>1</v>
      </c>
      <c r="L234" s="15" t="s">
        <v>352</v>
      </c>
      <c r="M234" s="26"/>
      <c r="N234" s="26"/>
    </row>
    <row r="235" spans="1:14" ht="44" customHeight="1" x14ac:dyDescent="0.15">
      <c r="A235" s="2" t="s">
        <v>1377</v>
      </c>
      <c r="B235" s="21" t="s">
        <v>792</v>
      </c>
      <c r="C235" s="26" t="str">
        <f t="shared" si="20"/>
        <v>Web限定CM「車掌」篇を観よう！</v>
      </c>
      <c r="D235" s="26" t="str">
        <f ca="1">IFERROR(VLOOKUP($A235,OFFSET(achievement_criterion_id,0,0,COUNTA($A:$A),MATCH(D$1,missions!$2:$2,0)-MATCH($A$1,missions!$2:$2,0)+1),MATCH(D$1,missions!$2:$2,0)-MATCH($A$1,missions!$2:$2,0)+1,FALSE),IFERROR(VLOOKUP($A235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35" s="39" t="s">
        <v>352</v>
      </c>
      <c r="F235" s="75" t="s">
        <v>895</v>
      </c>
      <c r="G235" s="76" t="s">
        <v>1382</v>
      </c>
      <c r="H235" s="26">
        <f ca="1">VLOOKUP($F235,OFFSET(達成条件!$A$1,0,0,COUNTA($A:$A),MATCH(H$1,達成条件!$1:$1,0)-MATCH($F$1,達成条件!$1:$1,0)+1),MATCH(H$1,達成条件!$1:$1,0)-MATCH($F$1,達成条件!$1:$1,0)+1,FALSE)</f>
        <v>0</v>
      </c>
      <c r="I235" s="84" t="s">
        <v>1383</v>
      </c>
      <c r="J235" s="54"/>
      <c r="K235" s="15">
        <v>1</v>
      </c>
      <c r="L235" s="15" t="s">
        <v>352</v>
      </c>
      <c r="M235" s="26"/>
      <c r="N235" s="26"/>
    </row>
    <row r="236" spans="1:14" ht="44" customHeight="1" x14ac:dyDescent="0.15">
      <c r="A236" s="2" t="s">
        <v>1385</v>
      </c>
      <c r="B236" s="21" t="s">
        <v>792</v>
      </c>
      <c r="C236" s="26" t="str">
        <f t="shared" si="20"/>
        <v>TVCMキャンペーンをもっとTwitterでツイートしよう！</v>
      </c>
      <c r="D236" s="26" t="str">
        <f ca="1">IFERROR(VLOOKUP($A236,OFFSET(achievement_criterion_id,0,0,COUNTA($A:$A),MATCH(D$1,missions!$2:$2,0)-MATCH($A$1,missions!$2:$2,0)+1),MATCH(D$1,missions!$2:$2,0)-MATCH($A$1,missions!$2:$2,0)+1,FALSE),IFERROR(VLOOKUP($A236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36" s="39" t="s">
        <v>864</v>
      </c>
      <c r="F236" s="75" t="s">
        <v>895</v>
      </c>
      <c r="G236" s="76" t="s">
        <v>1388</v>
      </c>
      <c r="H236" s="26">
        <f ca="1">VLOOKUP($F236,OFFSET(達成条件!$A$1,0,0,COUNTA($A:$A),MATCH(H$1,達成条件!$1:$1,0)-MATCH($F$1,達成条件!$1:$1,0)+1),MATCH(H$1,達成条件!$1:$1,0)-MATCH($F$1,達成条件!$1:$1,0)+1,FALSE)</f>
        <v>0</v>
      </c>
      <c r="I236" s="84" t="s">
        <v>1743</v>
      </c>
      <c r="J236" s="54" t="str">
        <f ca="1">IF(F236="specific_unit_aquired_count",SUBSTITUTE(G236,"x",VLOOKUP(INT($I236),OFFSET([3]characters!$A$2,0,0,COUNTA([3]characters!$A:$A),MATCH(J$1,[3]characters!$2:$2,0)-MATCH("character_id",[3]characters!$2:$2,0)+1),MATCH(J$1,[3]characters!$2:$2,0)-MATCH("character_id",[3]characters!$2:$2,0)+1,FALSE)),IF(F236="specific_quest_clear",VLOOKUP(SUBSTITUTE(I236,"-","_"),OFFSET([2]stages!$A$2,0,0,COUNTA([2]stages!$A:$A),MATCH("name",[2]stages!$2:$2,0)-MATCH("temp_stage",[2]stages!$2:$2,0)+1),MATCH("name",[2]stages!$2:$2,0)-MATCH("temp_stage",[2]stages!$2:$2,0)+1,FALSE),""))</f>
        <v/>
      </c>
      <c r="K236" s="15">
        <v>1</v>
      </c>
      <c r="L236" s="15" t="s">
        <v>864</v>
      </c>
      <c r="M236" s="26"/>
      <c r="N236" s="26"/>
    </row>
    <row r="237" spans="1:14" ht="44" customHeight="1" x14ac:dyDescent="0.15">
      <c r="A237" s="2" t="s">
        <v>1390</v>
      </c>
      <c r="B237" s="21" t="s">
        <v>1292</v>
      </c>
      <c r="C237" s="26" t="str">
        <f>IF(F237="specific_quest_clear",SUBSTITUTE(G237,"x",J237),IF(F237="specific_unit_aquired_count",SUBSTITUTE(J237,"y",K237),SUBSTITUTE(G237,"x",I237)))</f>
        <v>TVCMキャンペーンをもっとLINEで友達に教えよう！</v>
      </c>
      <c r="D237" s="26" t="str">
        <f ca="1">IFERROR(VLOOKUP($A237,OFFSET(achievement_criterion_id,0,0,COUNTA($A:$A),MATCH(D$1,missions!$2:$2,0)-MATCH($A$1,missions!$2:$2,0)+1),MATCH(D$1,missions!$2:$2,0)-MATCH($A$1,missions!$2:$2,0)+1,FALSE),IFERROR(VLOOKUP($A237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37" s="39" t="s">
        <v>352</v>
      </c>
      <c r="F237" s="75" t="s">
        <v>895</v>
      </c>
      <c r="G237" s="76" t="s">
        <v>1389</v>
      </c>
      <c r="H237" s="26">
        <f ca="1">VLOOKUP($F237,OFFSET(達成条件!$A$1,0,0,COUNTA($A:$A),MATCH(H$1,達成条件!$1:$1,0)-MATCH($F$1,達成条件!$1:$1,0)+1),MATCH(H$1,達成条件!$1:$1,0)-MATCH($F$1,達成条件!$1:$1,0)+1,FALSE)</f>
        <v>0</v>
      </c>
      <c r="I237" s="84" t="s">
        <v>1742</v>
      </c>
      <c r="J237" s="54"/>
      <c r="K237" s="15">
        <v>1</v>
      </c>
      <c r="L237" s="15" t="s">
        <v>352</v>
      </c>
      <c r="M237" s="26"/>
      <c r="N237" s="26"/>
    </row>
    <row r="238" spans="1:14" ht="44" customHeight="1" x14ac:dyDescent="0.15">
      <c r="A238" s="2" t="s">
        <v>1038</v>
      </c>
      <c r="B238" s="21" t="s">
        <v>887</v>
      </c>
      <c r="C238" s="26" t="str">
        <f t="shared" si="19"/>
        <v>200万DL突破をTwitterでツイートしよう！</v>
      </c>
      <c r="D238" s="26" t="str">
        <f ca="1">IFERROR(VLOOKUP($A238,OFFSET(achievement_criterion_id,0,0,COUNTA($A:$A),MATCH(D$1,missions!$2:$2,0)-MATCH($A$1,missions!$2:$2,0)+1),MATCH(D$1,missions!$2:$2,0)-MATCH($A$1,missions!$2:$2,0)+1,FALSE),IFERROR(VLOOKUP($A238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38" s="39" t="s">
        <v>864</v>
      </c>
      <c r="F238" s="75" t="s">
        <v>895</v>
      </c>
      <c r="G238" s="76" t="s">
        <v>1044</v>
      </c>
      <c r="H238" s="26">
        <f ca="1">VLOOKUP($F238,OFFSET(達成条件!$A$1,0,0,COUNTA($A:$A),MATCH(H$1,達成条件!$1:$1,0)-MATCH($F$1,達成条件!$1:$1,0)+1),MATCH(H$1,達成条件!$1:$1,0)-MATCH($F$1,達成条件!$1:$1,0)+1,FALSE)</f>
        <v>0</v>
      </c>
      <c r="I238" s="84" t="s">
        <v>1107</v>
      </c>
      <c r="J238" s="54" t="str">
        <f ca="1">IF(F238="specific_unit_aquired_count",SUBSTITUTE(G238,"x",VLOOKUP(INT($I238),OFFSET([3]characters!$A$2,0,0,COUNTA([3]characters!$A:$A),MATCH(J$1,[3]characters!$2:$2,0)-MATCH("character_id",[3]characters!$2:$2,0)+1),MATCH(J$1,[3]characters!$2:$2,0)-MATCH("character_id",[3]characters!$2:$2,0)+1,FALSE)),IF(F238="specific_quest_clear",VLOOKUP(SUBSTITUTE(I238,"-","_"),OFFSET([2]stages!$A$2,0,0,COUNTA([2]stages!$A:$A),MATCH("name",[2]stages!$2:$2,0)-MATCH("temp_stage",[2]stages!$2:$2,0)+1),MATCH("name",[2]stages!$2:$2,0)-MATCH("temp_stage",[2]stages!$2:$2,0)+1,FALSE),""))</f>
        <v/>
      </c>
      <c r="K238" s="15">
        <v>1</v>
      </c>
      <c r="L238" s="15" t="s">
        <v>864</v>
      </c>
      <c r="M238" s="26"/>
      <c r="N238" s="26"/>
    </row>
    <row r="239" spans="1:14" ht="44" customHeight="1" x14ac:dyDescent="0.15">
      <c r="A239" s="2" t="s">
        <v>1039</v>
      </c>
      <c r="B239" s="21" t="s">
        <v>891</v>
      </c>
      <c r="C239" s="26" t="str">
        <f t="shared" si="19"/>
        <v>200万DL突破をLINEで友だちに教えてあげよう！</v>
      </c>
      <c r="D239" s="26" t="str">
        <f ca="1">IFERROR(VLOOKUP($A239,OFFSET(achievement_criterion_id,0,0,COUNTA($A:$A),MATCH(D$1,missions!$2:$2,0)-MATCH($A$1,missions!$2:$2,0)+1),MATCH(D$1,missions!$2:$2,0)-MATCH($A$1,missions!$2:$2,0)+1,FALSE),IFERROR(VLOOKUP($A239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39" s="39" t="s">
        <v>864</v>
      </c>
      <c r="F239" s="75" t="s">
        <v>895</v>
      </c>
      <c r="G239" s="76" t="s">
        <v>1043</v>
      </c>
      <c r="H239" s="26">
        <f ca="1">VLOOKUP($F239,OFFSET(達成条件!$A$1,0,0,COUNTA($A:$A),MATCH(H$1,達成条件!$1:$1,0)-MATCH($F$1,達成条件!$1:$1,0)+1),MATCH(H$1,達成条件!$1:$1,0)-MATCH($F$1,達成条件!$1:$1,0)+1,FALSE)</f>
        <v>0</v>
      </c>
      <c r="I239" s="84" t="s">
        <v>1108</v>
      </c>
      <c r="J239" s="54" t="str">
        <f ca="1">IF(F239="specific_unit_aquired_count",SUBSTITUTE(G239,"x",VLOOKUP(INT($I239),OFFSET([3]characters!$A$2,0,0,COUNTA([3]characters!$A:$A),MATCH(J$1,[3]characters!$2:$2,0)-MATCH("character_id",[3]characters!$2:$2,0)+1),MATCH(J$1,[3]characters!$2:$2,0)-MATCH("character_id",[3]characters!$2:$2,0)+1,FALSE)),IF(F239="specific_quest_clear",VLOOKUP(SUBSTITUTE(I239,"-","_"),OFFSET([2]stages!$A$2,0,0,COUNTA([2]stages!$A:$A),MATCH("name",[2]stages!$2:$2,0)-MATCH("temp_stage",[2]stages!$2:$2,0)+1),MATCH("name",[2]stages!$2:$2,0)-MATCH("temp_stage",[2]stages!$2:$2,0)+1,FALSE),""))</f>
        <v/>
      </c>
      <c r="K239" s="15">
        <v>1</v>
      </c>
      <c r="L239" s="15" t="s">
        <v>864</v>
      </c>
      <c r="M239" s="26"/>
      <c r="N239" s="26"/>
    </row>
    <row r="240" spans="1:14" ht="44" customHeight="1" x14ac:dyDescent="0.15">
      <c r="A240" s="2" t="s">
        <v>1724</v>
      </c>
      <c r="B240" s="21" t="s">
        <v>891</v>
      </c>
      <c r="C240" s="26" t="str">
        <f>IF(F240="specific_quest_clear",SUBSTITUTE(G240,"x",J240),IF(F240="specific_unit_aquired_count",SUBSTITUTE(J240,"y",K240),SUBSTITUTE(G240,"x",I240)))</f>
        <v>TVCM「帰り道の期待感」篇を観よう！</v>
      </c>
      <c r="D240" s="26" t="str">
        <f ca="1">IFERROR(VLOOKUP($A240,OFFSET(achievement_criterion_id,0,0,COUNTA($A:$A),MATCH(D$1,missions!$2:$2,0)-MATCH($A$1,missions!$2:$2,0)+1),MATCH(D$1,missions!$2:$2,0)-MATCH($A$1,missions!$2:$2,0)+1,FALSE),IFERROR(VLOOKUP($A240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40" s="39" t="s">
        <v>864</v>
      </c>
      <c r="F240" s="75" t="s">
        <v>895</v>
      </c>
      <c r="G240" s="26" t="s">
        <v>1713</v>
      </c>
      <c r="H240" s="26">
        <f ca="1">VLOOKUP($F240,OFFSET(達成条件!$A$1,0,0,COUNTA($A:$A),MATCH(H$1,達成条件!$1:$1,0)-MATCH($F$1,達成条件!$1:$1,0)+1),MATCH(H$1,達成条件!$1:$1,0)-MATCH($F$1,達成条件!$1:$1,0)+1,FALSE)</f>
        <v>0</v>
      </c>
      <c r="I240" s="112" t="s">
        <v>1721</v>
      </c>
      <c r="J240" s="54" t="str">
        <f ca="1">IF(F240="specific_unit_aquired_count",SUBSTITUTE(G240,"x",VLOOKUP(INT($I240),OFFSET([3]characters!$A$2,0,0,COUNTA([3]characters!$A:$A),MATCH(J$1,[3]characters!$2:$2,0)-MATCH("character_id",[3]characters!$2:$2,0)+1),MATCH(J$1,[3]characters!$2:$2,0)-MATCH("character_id",[3]characters!$2:$2,0)+1,FALSE)),IF(F240="specific_quest_clear",VLOOKUP(SUBSTITUTE(I240,"-","_"),OFFSET([2]stages!$A$2,0,0,COUNTA([2]stages!$A:$A),MATCH("name",[2]stages!$2:$2,0)-MATCH("temp_stage",[2]stages!$2:$2,0)+1),MATCH("name",[2]stages!$2:$2,0)-MATCH("temp_stage",[2]stages!$2:$2,0)+1,FALSE),""))</f>
        <v/>
      </c>
      <c r="K240" s="15">
        <v>1</v>
      </c>
      <c r="L240" s="15" t="s">
        <v>864</v>
      </c>
      <c r="M240" s="26"/>
      <c r="N240" s="26"/>
    </row>
    <row r="241" spans="1:14" ht="44" customHeight="1" x14ac:dyDescent="0.15">
      <c r="A241" s="2" t="s">
        <v>1725</v>
      </c>
      <c r="B241" s="21" t="s">
        <v>891</v>
      </c>
      <c r="C241" s="26" t="str">
        <f t="shared" ref="C241:C242" si="21">IF(F241="specific_quest_clear",SUBSTITUTE(G241,"x",J241),IF(F241="specific_unit_aquired_count",SUBSTITUTE(J241,"y",K241),SUBSTITUTE(G241,"x",I241)))</f>
        <v>TVCM「渡り廊下の期待感」篇を観よう！</v>
      </c>
      <c r="D241" s="26" t="str">
        <f ca="1">IFERROR(VLOOKUP($A241,OFFSET(achievement_criterion_id,0,0,COUNTA($A:$A),MATCH(D$1,missions!$2:$2,0)-MATCH($A$1,missions!$2:$2,0)+1),MATCH(D$1,missions!$2:$2,0)-MATCH($A$1,missions!$2:$2,0)+1,FALSE),IFERROR(VLOOKUP($A241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41" s="39" t="s">
        <v>864</v>
      </c>
      <c r="F241" s="75" t="s">
        <v>895</v>
      </c>
      <c r="G241" s="26" t="s">
        <v>1714</v>
      </c>
      <c r="H241" s="26">
        <f ca="1">VLOOKUP($F241,OFFSET(達成条件!$A$1,0,0,COUNTA($A:$A),MATCH(H$1,達成条件!$1:$1,0)-MATCH($F$1,達成条件!$1:$1,0)+1),MATCH(H$1,達成条件!$1:$1,0)-MATCH($F$1,達成条件!$1:$1,0)+1,FALSE)</f>
        <v>0</v>
      </c>
      <c r="I241" s="112" t="s">
        <v>1722</v>
      </c>
      <c r="J241" s="54" t="str">
        <f ca="1">IF(F241="specific_unit_aquired_count",SUBSTITUTE(G241,"x",VLOOKUP(INT($I241),OFFSET([3]characters!$A$2,0,0,COUNTA([3]characters!$A:$A),MATCH(J$1,[3]characters!$2:$2,0)-MATCH("character_id",[3]characters!$2:$2,0)+1),MATCH(J$1,[3]characters!$2:$2,0)-MATCH("character_id",[3]characters!$2:$2,0)+1,FALSE)),IF(F241="specific_quest_clear",VLOOKUP(SUBSTITUTE(I241,"-","_"),OFFSET([2]stages!$A$2,0,0,COUNTA([2]stages!$A:$A),MATCH("name",[2]stages!$2:$2,0)-MATCH("temp_stage",[2]stages!$2:$2,0)+1),MATCH("name",[2]stages!$2:$2,0)-MATCH("temp_stage",[2]stages!$2:$2,0)+1,FALSE),""))</f>
        <v/>
      </c>
      <c r="K241" s="15">
        <v>1</v>
      </c>
      <c r="L241" s="15" t="s">
        <v>864</v>
      </c>
      <c r="M241" s="26"/>
      <c r="N241" s="26"/>
    </row>
    <row r="242" spans="1:14" ht="44" customHeight="1" x14ac:dyDescent="0.15">
      <c r="A242" s="2" t="s">
        <v>1718</v>
      </c>
      <c r="B242" s="21" t="s">
        <v>891</v>
      </c>
      <c r="C242" s="26" t="str">
        <f t="shared" si="21"/>
        <v>TVCM「世界観」篇を観よう！</v>
      </c>
      <c r="D242" s="26" t="str">
        <f ca="1">IFERROR(VLOOKUP($A242,OFFSET(achievement_criterion_id,0,0,COUNTA($A:$A),MATCH(D$1,missions!$2:$2,0)-MATCH($A$1,missions!$2:$2,0)+1),MATCH(D$1,missions!$2:$2,0)-MATCH($A$1,missions!$2:$2,0)+1,FALSE),IFERROR(VLOOKUP($A242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42" s="39" t="s">
        <v>864</v>
      </c>
      <c r="F242" s="75" t="s">
        <v>895</v>
      </c>
      <c r="G242" s="26" t="s">
        <v>1715</v>
      </c>
      <c r="H242" s="26">
        <f ca="1">VLOOKUP($F242,OFFSET(達成条件!$A$1,0,0,COUNTA($A:$A),MATCH(H$1,達成条件!$1:$1,0)-MATCH($F$1,達成条件!$1:$1,0)+1),MATCH(H$1,達成条件!$1:$1,0)-MATCH($F$1,達成条件!$1:$1,0)+1,FALSE)</f>
        <v>0</v>
      </c>
      <c r="I242" s="112" t="s">
        <v>1723</v>
      </c>
      <c r="J242" s="54" t="str">
        <f ca="1">IF(F242="specific_unit_aquired_count",SUBSTITUTE(G242,"x",VLOOKUP(INT($I242),OFFSET([3]characters!$A$2,0,0,COUNTA([3]characters!$A:$A),MATCH(J$1,[3]characters!$2:$2,0)-MATCH("character_id",[3]characters!$2:$2,0)+1),MATCH(J$1,[3]characters!$2:$2,0)-MATCH("character_id",[3]characters!$2:$2,0)+1,FALSE)),IF(F242="specific_quest_clear",VLOOKUP(SUBSTITUTE(I242,"-","_"),OFFSET([2]stages!$A$2,0,0,COUNTA([2]stages!$A:$A),MATCH("name",[2]stages!$2:$2,0)-MATCH("temp_stage",[2]stages!$2:$2,0)+1),MATCH("name",[2]stages!$2:$2,0)-MATCH("temp_stage",[2]stages!$2:$2,0)+1,FALSE),""))</f>
        <v/>
      </c>
      <c r="K242" s="15">
        <v>1</v>
      </c>
      <c r="L242" s="15" t="s">
        <v>864</v>
      </c>
      <c r="M242" s="26"/>
      <c r="N242" s="26"/>
    </row>
    <row r="243" spans="1:14" ht="44" customHeight="1" x14ac:dyDescent="0.15">
      <c r="A243" s="2" t="s">
        <v>1729</v>
      </c>
      <c r="B243" s="21" t="s">
        <v>891</v>
      </c>
      <c r="C243" s="26" t="str">
        <f t="shared" ref="C243:C245" si="22">IF(F243="specific_quest_clear",SUBSTITUTE(G243,"x",J243),IF(F243="specific_unit_aquired_count",SUBSTITUTE(J243,"y",K243),SUBSTITUTE(G243,"x",I243)))</f>
        <v>TVCMキャンペーンをTwitterでツイートしよう！</v>
      </c>
      <c r="D243" s="26" t="str">
        <f ca="1">IFERROR(VLOOKUP($A243,OFFSET(achievement_criterion_id,0,0,COUNTA($A:$A),MATCH(D$1,missions!$2:$2,0)-MATCH($A$1,missions!$2:$2,0)+1),MATCH(D$1,missions!$2:$2,0)-MATCH($A$1,missions!$2:$2,0)+1,FALSE),IFERROR(VLOOKUP($A243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43" s="39" t="s">
        <v>864</v>
      </c>
      <c r="F243" s="75" t="s">
        <v>895</v>
      </c>
      <c r="G243" s="26" t="s">
        <v>1386</v>
      </c>
      <c r="H243" s="26">
        <f ca="1">VLOOKUP($F243,OFFSET(達成条件!$A$1,0,0,COUNTA($A:$A),MATCH(H$1,達成条件!$1:$1,0)-MATCH($F$1,達成条件!$1:$1,0)+1),MATCH(H$1,達成条件!$1:$1,0)-MATCH($F$1,達成条件!$1:$1,0)+1,FALSE)</f>
        <v>0</v>
      </c>
      <c r="I243" s="112" t="s">
        <v>1757</v>
      </c>
      <c r="J243" s="54" t="str">
        <f ca="1">IF(F243="specific_unit_aquired_count",SUBSTITUTE(G243,"x",VLOOKUP(INT($I243),OFFSET([3]characters!$A$2,0,0,COUNTA([3]characters!$A:$A),MATCH(J$1,[3]characters!$2:$2,0)-MATCH("character_id",[3]characters!$2:$2,0)+1),MATCH(J$1,[3]characters!$2:$2,0)-MATCH("character_id",[3]characters!$2:$2,0)+1,FALSE)),IF(F243="specific_quest_clear",VLOOKUP(SUBSTITUTE(I243,"-","_"),OFFSET([2]stages!$A$2,0,0,COUNTA([2]stages!$A:$A),MATCH("name",[2]stages!$2:$2,0)-MATCH("temp_stage",[2]stages!$2:$2,0)+1),MATCH("name",[2]stages!$2:$2,0)-MATCH("temp_stage",[2]stages!$2:$2,0)+1,FALSE),""))</f>
        <v/>
      </c>
      <c r="K243" s="15">
        <v>1</v>
      </c>
      <c r="L243" s="15" t="s">
        <v>864</v>
      </c>
      <c r="M243" s="26"/>
      <c r="N243" s="26"/>
    </row>
    <row r="244" spans="1:14" ht="44" customHeight="1" x14ac:dyDescent="0.15">
      <c r="A244" s="2" t="s">
        <v>1731</v>
      </c>
      <c r="B244" s="21" t="s">
        <v>891</v>
      </c>
      <c r="C244" s="26" t="str">
        <f t="shared" si="22"/>
        <v>TVCMキャンペーンをLINEで友達に教えよう！</v>
      </c>
      <c r="D244" s="26" t="str">
        <f ca="1">IFERROR(VLOOKUP($A244,OFFSET(achievement_criterion_id,0,0,COUNTA($A:$A),MATCH(D$1,missions!$2:$2,0)-MATCH($A$1,missions!$2:$2,0)+1),MATCH(D$1,missions!$2:$2,0)-MATCH($A$1,missions!$2:$2,0)+1,FALSE),IFERROR(VLOOKUP($A244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44" s="39" t="s">
        <v>864</v>
      </c>
      <c r="F244" s="75" t="s">
        <v>895</v>
      </c>
      <c r="G244" s="26" t="s">
        <v>1294</v>
      </c>
      <c r="H244" s="26">
        <f ca="1">VLOOKUP($F244,OFFSET(達成条件!$A$1,0,0,COUNTA($A:$A),MATCH(H$1,達成条件!$1:$1,0)-MATCH($F$1,達成条件!$1:$1,0)+1),MATCH(H$1,達成条件!$1:$1,0)-MATCH($F$1,達成条件!$1:$1,0)+1,FALSE)</f>
        <v>0</v>
      </c>
      <c r="I244" s="112" t="s">
        <v>1744</v>
      </c>
      <c r="J244" s="54" t="str">
        <f ca="1">IF(F244="specific_unit_aquired_count",SUBSTITUTE(G244,"x",VLOOKUP(INT($I244),OFFSET([3]characters!$A$2,0,0,COUNTA([3]characters!$A:$A),MATCH(J$1,[3]characters!$2:$2,0)-MATCH("character_id",[3]characters!$2:$2,0)+1),MATCH(J$1,[3]characters!$2:$2,0)-MATCH("character_id",[3]characters!$2:$2,0)+1,FALSE)),IF(F244="specific_quest_clear",VLOOKUP(SUBSTITUTE(I244,"-","_"),OFFSET([2]stages!$A$2,0,0,COUNTA([2]stages!$A:$A),MATCH("name",[2]stages!$2:$2,0)-MATCH("temp_stage",[2]stages!$2:$2,0)+1),MATCH("name",[2]stages!$2:$2,0)-MATCH("temp_stage",[2]stages!$2:$2,0)+1,FALSE),""))</f>
        <v/>
      </c>
      <c r="K244" s="15">
        <v>1</v>
      </c>
      <c r="L244" s="15" t="s">
        <v>864</v>
      </c>
      <c r="M244" s="26"/>
      <c r="N244" s="26"/>
    </row>
    <row r="245" spans="1:14" ht="44" customHeight="1" x14ac:dyDescent="0.15">
      <c r="A245" s="2" t="s">
        <v>1732</v>
      </c>
      <c r="B245" s="21" t="s">
        <v>891</v>
      </c>
      <c r="C245" s="26" t="str">
        <f t="shared" si="22"/>
        <v>LINEスタンプをチェックしよう！</v>
      </c>
      <c r="D245" s="26" t="str">
        <f ca="1">IFERROR(VLOOKUP($A245,OFFSET(achievement_criterion_id,0,0,COUNTA($A:$A),MATCH(D$1,missions!$2:$2,0)-MATCH($A$1,missions!$2:$2,0)+1),MATCH(D$1,missions!$2:$2,0)-MATCH($A$1,missions!$2:$2,0)+1,FALSE),IFERROR(VLOOKUP($A245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45" s="39" t="s">
        <v>864</v>
      </c>
      <c r="F245" s="75" t="s">
        <v>895</v>
      </c>
      <c r="G245" s="26" t="s">
        <v>1735</v>
      </c>
      <c r="H245" s="26">
        <f ca="1">VLOOKUP($F245,OFFSET(達成条件!$A$1,0,0,COUNTA($A:$A),MATCH(H$1,達成条件!$1:$1,0)-MATCH($F$1,達成条件!$1:$1,0)+1),MATCH(H$1,達成条件!$1:$1,0)-MATCH($F$1,達成条件!$1:$1,0)+1,FALSE)</f>
        <v>0</v>
      </c>
      <c r="I245" s="112" t="s">
        <v>1736</v>
      </c>
      <c r="J245" s="54" t="str">
        <f ca="1">IF(F245="specific_unit_aquired_count",SUBSTITUTE(G245,"x",VLOOKUP(INT($I245),OFFSET([3]characters!$A$2,0,0,COUNTA([3]characters!$A:$A),MATCH(J$1,[3]characters!$2:$2,0)-MATCH("character_id",[3]characters!$2:$2,0)+1),MATCH(J$1,[3]characters!$2:$2,0)-MATCH("character_id",[3]characters!$2:$2,0)+1,FALSE)),IF(F245="specific_quest_clear",VLOOKUP(SUBSTITUTE(I245,"-","_"),OFFSET([2]stages!$A$2,0,0,COUNTA([2]stages!$A:$A),MATCH("name",[2]stages!$2:$2,0)-MATCH("temp_stage",[2]stages!$2:$2,0)+1),MATCH("name",[2]stages!$2:$2,0)-MATCH("temp_stage",[2]stages!$2:$2,0)+1,FALSE),""))</f>
        <v/>
      </c>
      <c r="K245" s="15">
        <v>1</v>
      </c>
      <c r="L245" s="15" t="s">
        <v>864</v>
      </c>
      <c r="M245" s="26"/>
      <c r="N245" s="26"/>
    </row>
    <row r="246" spans="1:14" ht="44" customHeight="1" x14ac:dyDescent="0.15">
      <c r="A246" s="2" t="s">
        <v>1745</v>
      </c>
      <c r="B246" s="21" t="s">
        <v>891</v>
      </c>
      <c r="C246" s="26" t="str">
        <f t="shared" ref="C246:C252" si="23">IF(F246="specific_quest_clear",SUBSTITUTE(G246,"x",J246),IF(F246="specific_unit_aquired_count",SUBSTITUTE(J246,"y",K246),SUBSTITUTE(G246,"x",I246)))</f>
        <v>公式ツイッターをフォローしよう！</v>
      </c>
      <c r="D246" s="26" t="str">
        <f ca="1">IFERROR(VLOOKUP($A246,OFFSET(achievement_criterion_id,0,0,COUNTA($A:$A),MATCH(D$1,missions!$2:$2,0)-MATCH($A$1,missions!$2:$2,0)+1),MATCH(D$1,missions!$2:$2,0)-MATCH($A$1,missions!$2:$2,0)+1,FALSE),IFERROR(VLOOKUP($A246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46" s="39" t="s">
        <v>864</v>
      </c>
      <c r="F246" s="17" t="s">
        <v>1682</v>
      </c>
      <c r="G246" s="26" t="s">
        <v>1747</v>
      </c>
      <c r="H246" s="26">
        <f ca="1">VLOOKUP($F246,OFFSET(達成条件!$A$1,0,0,COUNTA($A:$A),MATCH(H$1,達成条件!$1:$1,0)-MATCH($F$1,達成条件!$1:$1,0)+1),MATCH(H$1,達成条件!$1:$1,0)-MATCH($F$1,達成条件!$1:$1,0)+1,FALSE)</f>
        <v>0</v>
      </c>
      <c r="I246" s="112">
        <v>1</v>
      </c>
      <c r="J246" s="54" t="str">
        <f ca="1">IF(F246="specific_unit_aquired_count",SUBSTITUTE(G246,"x",VLOOKUP(INT($I246),OFFSET([3]characters!$A$2,0,0,COUNTA([3]characters!$A:$A),MATCH(J$1,[3]characters!$2:$2,0)-MATCH("character_id",[3]characters!$2:$2,0)+1),MATCH(J$1,[3]characters!$2:$2,0)-MATCH("character_id",[3]characters!$2:$2,0)+1,FALSE)),IF(F246="specific_quest_clear",VLOOKUP(SUBSTITUTE(I246,"-","_"),OFFSET([2]stages!$A$2,0,0,COUNTA([2]stages!$A:$A),MATCH("name",[2]stages!$2:$2,0)-MATCH("temp_stage",[2]stages!$2:$2,0)+1),MATCH("name",[2]stages!$2:$2,0)-MATCH("temp_stage",[2]stages!$2:$2,0)+1,FALSE),""))</f>
        <v/>
      </c>
      <c r="K246" s="15">
        <v>1</v>
      </c>
      <c r="L246" s="15" t="s">
        <v>864</v>
      </c>
      <c r="M246" s="26"/>
      <c r="N246" s="26"/>
    </row>
    <row r="247" spans="1:14" ht="44" customHeight="1" x14ac:dyDescent="0.15">
      <c r="A247" s="2" t="s">
        <v>1754</v>
      </c>
      <c r="B247" s="21" t="s">
        <v>891</v>
      </c>
      <c r="C247" s="26" t="str">
        <f t="shared" si="23"/>
        <v>YouTube公式チャンネルに登録しよう</v>
      </c>
      <c r="D247" s="26" t="str">
        <f ca="1">IFERROR(VLOOKUP($A247,OFFSET(achievement_criterion_id,0,0,COUNTA($A:$A),MATCH(D$1,missions!$2:$2,0)-MATCH($A$1,missions!$2:$2,0)+1),MATCH(D$1,missions!$2:$2,0)-MATCH($A$1,missions!$2:$2,0)+1,FALSE),IFERROR(VLOOKUP($A247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47" s="39" t="s">
        <v>864</v>
      </c>
      <c r="F247" s="75" t="s">
        <v>895</v>
      </c>
      <c r="G247" s="26" t="s">
        <v>1751</v>
      </c>
      <c r="H247" s="26">
        <f ca="1">VLOOKUP($F247,OFFSET(達成条件!$A$1,0,0,COUNTA($A:$A),MATCH(H$1,達成条件!$1:$1,0)-MATCH($F$1,達成条件!$1:$1,0)+1),MATCH(H$1,達成条件!$1:$1,0)-MATCH($F$1,達成条件!$1:$1,0)+1,FALSE)</f>
        <v>0</v>
      </c>
      <c r="I247" s="112" t="s">
        <v>1755</v>
      </c>
      <c r="J247" s="54" t="str">
        <f ca="1">IF(F247="specific_unit_aquired_count",SUBSTITUTE(G247,"x",VLOOKUP(INT($I247),OFFSET([3]characters!$A$2,0,0,COUNTA([3]characters!$A:$A),MATCH(J$1,[3]characters!$2:$2,0)-MATCH("character_id",[3]characters!$2:$2,0)+1),MATCH(J$1,[3]characters!$2:$2,0)-MATCH("character_id",[3]characters!$2:$2,0)+1,FALSE)),IF(F247="specific_quest_clear",VLOOKUP(SUBSTITUTE(I247,"-","_"),OFFSET([2]stages!$A$2,0,0,COUNTA([2]stages!$A:$A),MATCH("name",[2]stages!$2:$2,0)-MATCH("temp_stage",[2]stages!$2:$2,0)+1),MATCH("name",[2]stages!$2:$2,0)-MATCH("temp_stage",[2]stages!$2:$2,0)+1,FALSE),""))</f>
        <v/>
      </c>
      <c r="K247" s="15">
        <v>1</v>
      </c>
      <c r="L247" s="15" t="s">
        <v>864</v>
      </c>
      <c r="M247" s="26"/>
      <c r="N247" s="26"/>
    </row>
    <row r="248" spans="1:14" ht="44" customHeight="1" x14ac:dyDescent="0.15">
      <c r="A248" s="2" t="s">
        <v>1790</v>
      </c>
      <c r="B248" s="21" t="s">
        <v>792</v>
      </c>
      <c r="C248" s="26" t="str">
        <f t="shared" ref="C248" si="24">IF(F248="specific_quest_clear",SUBSTITUTE(G248,"x",J248),IF(F248="specific_unit_aquired_count",SUBSTITUTE(J248,"y",K248),SUBSTITUTE(G248,"x",I248)))</f>
        <v>チャットアンケートに投票しよう！</v>
      </c>
      <c r="D248" s="26" t="str">
        <f ca="1">IFERROR(VLOOKUP($A248,OFFSET(achievement_criterion_id,0,0,COUNTA($A:$A),MATCH(D$1,missions!$2:$2,0)-MATCH($A$1,missions!$2:$2,0)+1),MATCH(D$1,missions!$2:$2,0)-MATCH($A$1,missions!$2:$2,0)+1,FALSE),IFERROR(VLOOKUP($A248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48" s="39" t="s">
        <v>864</v>
      </c>
      <c r="F248" s="75" t="s">
        <v>895</v>
      </c>
      <c r="G248" s="26" t="s">
        <v>1791</v>
      </c>
      <c r="H248" s="26">
        <f ca="1">VLOOKUP($F248,OFFSET(達成条件!$A$1,0,0,COUNTA($A:$A),MATCH(H$1,達成条件!$1:$1,0)-MATCH($F$1,達成条件!$1:$1,0)+1),MATCH(H$1,達成条件!$1:$1,0)-MATCH($F$1,達成条件!$1:$1,0)+1,FALSE)</f>
        <v>0</v>
      </c>
      <c r="I248" s="114" t="s">
        <v>1793</v>
      </c>
      <c r="J248" s="54" t="str">
        <f ca="1">IF(F248="specific_unit_aquired_count",SUBSTITUTE(G248,"x",VLOOKUP(INT($I248),OFFSET([3]characters!$A$2,0,0,COUNTA([3]characters!$A:$A),MATCH(J$1,[3]characters!$2:$2,0)-MATCH("character_id",[3]characters!$2:$2,0)+1),MATCH(J$1,[3]characters!$2:$2,0)-MATCH("character_id",[3]characters!$2:$2,0)+1,FALSE)),IF(F248="specific_quest_clear",VLOOKUP(SUBSTITUTE(I248,"-","_"),OFFSET([2]stages!$A$2,0,0,COUNTA([2]stages!$A:$A),MATCH("name",[2]stages!$2:$2,0)-MATCH("temp_stage",[2]stages!$2:$2,0)+1),MATCH("name",[2]stages!$2:$2,0)-MATCH("temp_stage",[2]stages!$2:$2,0)+1,FALSE),""))</f>
        <v/>
      </c>
      <c r="K248" s="15">
        <v>1</v>
      </c>
      <c r="L248" s="15" t="s">
        <v>864</v>
      </c>
      <c r="M248" s="26"/>
      <c r="N248" s="26"/>
    </row>
    <row r="249" spans="1:14" ht="44" customHeight="1" x14ac:dyDescent="0.15">
      <c r="A249" s="2" t="s">
        <v>1448</v>
      </c>
      <c r="B249" s="21" t="s">
        <v>887</v>
      </c>
      <c r="C249" s="26" t="str">
        <f t="shared" si="23"/>
        <v>「ルシファー襲来！」 攻略動画を観よう！</v>
      </c>
      <c r="D249" s="26" t="str">
        <f ca="1">IFERROR(VLOOKUP($A249,OFFSET(achievement_criterion_id,0,0,COUNTA($A:$A),MATCH(D$1,missions!$2:$2,0)-MATCH($A$1,missions!$2:$2,0)+1),MATCH(D$1,missions!$2:$2,0)-MATCH($A$1,missions!$2:$2,0)+1,FALSE),IFERROR(VLOOKUP($A249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49" s="27" t="s">
        <v>352</v>
      </c>
      <c r="F249" s="75" t="s">
        <v>895</v>
      </c>
      <c r="G249" s="105" t="s">
        <v>1406</v>
      </c>
      <c r="H249" s="26">
        <f ca="1">VLOOKUP($F249,OFFSET(達成条件!$A$1,0,0,COUNTA($A:$A),MATCH(H$1,達成条件!$1:$1,0)-MATCH($F$1,達成条件!$1:$1,0)+1),MATCH(H$1,達成条件!$1:$1,0)-MATCH($F$1,達成条件!$1:$1,0)+1,FALSE)</f>
        <v>0</v>
      </c>
      <c r="I249" s="106" t="s">
        <v>1407</v>
      </c>
      <c r="J249" s="54" t="str">
        <f ca="1">IF(F249="specific_unit_aquired_count",SUBSTITUTE(G249,"x",VLOOKUP(INT($I249),OFFSET([3]characters!$A$2,0,0,COUNTA([3]characters!$A:$A),MATCH(J$1,[3]characters!$2:$2,0)-MATCH("character_id",[3]characters!$2:$2,0)+1),MATCH(J$1,[3]characters!$2:$2,0)-MATCH("character_id",[3]characters!$2:$2,0)+1,FALSE)),IF(F249="specific_quest_clear",VLOOKUP(SUBSTITUTE(I249,"-","_"),OFFSET([2]stages!$A$2,0,0,COUNTA([2]stages!$A:$A),MATCH("name",[2]stages!$2:$2,0)-MATCH("temp_stage",[2]stages!$2:$2,0)+1),MATCH("name",[2]stages!$2:$2,0)-MATCH("temp_stage",[2]stages!$2:$2,0)+1,FALSE),""))</f>
        <v/>
      </c>
      <c r="K249" s="15">
        <v>1</v>
      </c>
      <c r="L249" s="15" t="s">
        <v>352</v>
      </c>
      <c r="M249" s="26"/>
      <c r="N249" s="26"/>
    </row>
    <row r="250" spans="1:14" ht="44" customHeight="1" x14ac:dyDescent="0.15">
      <c r="A250" s="2" t="s">
        <v>1449</v>
      </c>
      <c r="B250" s="21" t="s">
        <v>792</v>
      </c>
      <c r="C250" s="26" t="str">
        <f t="shared" si="23"/>
        <v>「第二回さいかわ総選挙」に投票しよう！(6/30まで)</v>
      </c>
      <c r="D250" s="26" t="str">
        <f ca="1">IFERROR(VLOOKUP($A250,OFFSET(achievement_criterion_id,0,0,COUNTA($A:$A),MATCH(D$1,missions!$2:$2,0)-MATCH($A$1,missions!$2:$2,0)+1),MATCH(D$1,missions!$2:$2,0)-MATCH($A$1,missions!$2:$2,0)+1,FALSE),IFERROR(VLOOKUP($A250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50" s="39" t="s">
        <v>1458</v>
      </c>
      <c r="F250" s="75" t="s">
        <v>895</v>
      </c>
      <c r="G250" s="105" t="s">
        <v>1457</v>
      </c>
      <c r="H250" s="26">
        <f ca="1">VLOOKUP($F250,OFFSET(達成条件!$A$1,0,0,COUNTA($A:$A),MATCH(H$1,達成条件!$1:$1,0)-MATCH($F$1,達成条件!$1:$1,0)+1),MATCH(H$1,達成条件!$1:$1,0)-MATCH($F$1,達成条件!$1:$1,0)+1,FALSE)</f>
        <v>0</v>
      </c>
      <c r="I250" s="106" t="s">
        <v>1453</v>
      </c>
      <c r="J250" s="54" t="str">
        <f ca="1">IF(F250="specific_unit_aquired_count",SUBSTITUTE(G250,"x",VLOOKUP(INT($I250),OFFSET([3]characters!$A$2,0,0,COUNTA([3]characters!$A:$A),MATCH(J$1,[3]characters!$2:$2,0)-MATCH("character_id",[3]characters!$2:$2,0)+1),MATCH(J$1,[3]characters!$2:$2,0)-MATCH("character_id",[3]characters!$2:$2,0)+1,FALSE)),IF(F250="specific_quest_clear",VLOOKUP(SUBSTITUTE(I250,"-","_"),OFFSET([2]stages!$A$2,0,0,COUNTA([2]stages!$A:$A),MATCH("name",[2]stages!$2:$2,0)-MATCH("temp_stage",[2]stages!$2:$2,0)+1),MATCH("name",[2]stages!$2:$2,0)-MATCH("temp_stage",[2]stages!$2:$2,0)+1,FALSE),""))</f>
        <v/>
      </c>
      <c r="K250" s="15">
        <v>1</v>
      </c>
      <c r="L250" s="15" t="s">
        <v>352</v>
      </c>
      <c r="M250" s="26"/>
      <c r="N250" s="26"/>
    </row>
    <row r="251" spans="1:14" ht="44" customHeight="1" x14ac:dyDescent="0.15">
      <c r="A251" s="2" t="s">
        <v>1572</v>
      </c>
      <c r="B251" s="21" t="s">
        <v>792</v>
      </c>
      <c r="C251" s="26" t="str">
        <f t="shared" si="23"/>
        <v>「★6覚醒実装して欲しいユニットは？」に投票しよう！(7/14まで)</v>
      </c>
      <c r="D251" s="26" t="str">
        <f ca="1">IFERROR(VLOOKUP($A251,OFFSET(achievement_criterion_id,0,0,COUNTA($A:$A),MATCH(D$1,missions!$2:$2,0)-MATCH($A$1,missions!$2:$2,0)+1),MATCH(D$1,missions!$2:$2,0)-MATCH($A$1,missions!$2:$2,0)+1,FALSE),IFERROR(VLOOKUP($A251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51" s="39" t="s">
        <v>1578</v>
      </c>
      <c r="F251" s="75" t="s">
        <v>895</v>
      </c>
      <c r="G251" s="105" t="s">
        <v>1576</v>
      </c>
      <c r="H251" s="26">
        <f ca="1">VLOOKUP($F251,OFFSET(達成条件!$A$1,0,0,COUNTA($A:$A),MATCH(H$1,達成条件!$1:$1,0)-MATCH($F$1,達成条件!$1:$1,0)+1),MATCH(H$1,達成条件!$1:$1,0)-MATCH($F$1,達成条件!$1:$1,0)+1,FALSE)</f>
        <v>0</v>
      </c>
      <c r="I251" s="106" t="s">
        <v>1574</v>
      </c>
      <c r="J251" s="54" t="str">
        <f ca="1">IF(F251="specific_unit_aquired_count",SUBSTITUTE(G251,"x",VLOOKUP(INT($I251),OFFSET([3]characters!$A$2,0,0,COUNTA([3]characters!$A:$A),MATCH(J$1,[3]characters!$2:$2,0)-MATCH("character_id",[3]characters!$2:$2,0)+1),MATCH(J$1,[3]characters!$2:$2,0)-MATCH("character_id",[3]characters!$2:$2,0)+1,FALSE)),IF(F251="specific_quest_clear",VLOOKUP(SUBSTITUTE(I251,"-","_"),OFFSET([2]stages!$A$2,0,0,COUNTA([2]stages!$A:$A),MATCH("name",[2]stages!$2:$2,0)-MATCH("temp_stage",[2]stages!$2:$2,0)+1),MATCH("name",[2]stages!$2:$2,0)-MATCH("temp_stage",[2]stages!$2:$2,0)+1,FALSE),""))</f>
        <v/>
      </c>
      <c r="K251" s="15">
        <v>1</v>
      </c>
      <c r="L251" s="15" t="s">
        <v>352</v>
      </c>
      <c r="M251" s="26"/>
      <c r="N251" s="26"/>
    </row>
    <row r="252" spans="1:14" ht="44" customHeight="1" x14ac:dyDescent="0.15">
      <c r="A252" s="2" t="s">
        <v>1582</v>
      </c>
      <c r="B252" s="21" t="s">
        <v>792</v>
      </c>
      <c r="C252" s="26" t="str">
        <f t="shared" si="23"/>
        <v>「ゼウス襲来！」 攻略動画を観よう！</v>
      </c>
      <c r="D252" s="26" t="str">
        <f ca="1">IFERROR(VLOOKUP($A252,OFFSET(achievement_criterion_id,0,0,COUNTA($A:$A),MATCH(D$1,missions!$2:$2,0)-MATCH($A$1,missions!$2:$2,0)+1),MATCH(D$1,missions!$2:$2,0)-MATCH($A$1,missions!$2:$2,0)+1,FALSE),IFERROR(VLOOKUP($A252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52" s="27" t="s">
        <v>352</v>
      </c>
      <c r="F252" s="75" t="s">
        <v>895</v>
      </c>
      <c r="G252" s="105" t="s">
        <v>1580</v>
      </c>
      <c r="H252" s="26">
        <f ca="1">VLOOKUP($F252,OFFSET(達成条件!$A$1,0,0,COUNTA($A:$A),MATCH(H$1,達成条件!$1:$1,0)-MATCH($F$1,達成条件!$1:$1,0)+1),MATCH(H$1,達成条件!$1:$1,0)-MATCH($F$1,達成条件!$1:$1,0)+1,FALSE)</f>
        <v>0</v>
      </c>
      <c r="I252" s="106" t="s">
        <v>1581</v>
      </c>
      <c r="J252" s="54" t="str">
        <f ca="1">IF(F252="specific_unit_aquired_count",SUBSTITUTE(G252,"x",VLOOKUP(INT($I252),OFFSET([3]characters!$A$2,0,0,COUNTA([3]characters!$A:$A),MATCH(J$1,[3]characters!$2:$2,0)-MATCH("character_id",[3]characters!$2:$2,0)+1),MATCH(J$1,[3]characters!$2:$2,0)-MATCH("character_id",[3]characters!$2:$2,0)+1,FALSE)),IF(F252="specific_quest_clear",VLOOKUP(SUBSTITUTE(I252,"-","_"),OFFSET([2]stages!$A$2,0,0,COUNTA([2]stages!$A:$A),MATCH("name",[2]stages!$2:$2,0)-MATCH("temp_stage",[2]stages!$2:$2,0)+1),MATCH("name",[2]stages!$2:$2,0)-MATCH("temp_stage",[2]stages!$2:$2,0)+1,FALSE),""))</f>
        <v/>
      </c>
      <c r="K252" s="15">
        <v>1</v>
      </c>
      <c r="L252" s="15" t="s">
        <v>352</v>
      </c>
      <c r="M252" s="26"/>
      <c r="N252" s="26"/>
    </row>
    <row r="253" spans="1:14" ht="44" customHeight="1" x14ac:dyDescent="0.15">
      <c r="A253" s="2" t="s">
        <v>2099</v>
      </c>
      <c r="B253" s="21" t="s">
        <v>792</v>
      </c>
      <c r="C253" s="26" t="str">
        <f t="shared" ref="C253" si="25">IF(F253="specific_quest_clear",SUBSTITUTE(G253,"x",J253),IF(F253="specific_unit_aquired_count",SUBSTITUTE(J253,"y",K253),SUBSTITUTE(G253,"x",I253)))</f>
        <v>「上方修正・超覚醒して欲しいユニット」に投票しよう！</v>
      </c>
      <c r="D253" s="26" t="str">
        <f ca="1">IFERROR(VLOOKUP($A253,OFFSET(achievement_criterion_id,0,0,COUNTA($A:$A),MATCH(D$1,missions!$2:$2,0)-MATCH($A$1,missions!$2:$2,0)+1),MATCH(D$1,missions!$2:$2,0)-MATCH($A$1,missions!$2:$2,0)+1,FALSE),IFERROR(VLOOKUP($A253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53" s="39" t="s">
        <v>864</v>
      </c>
      <c r="F253" s="75" t="s">
        <v>895</v>
      </c>
      <c r="G253" s="26" t="s">
        <v>2098</v>
      </c>
      <c r="H253" s="26">
        <f ca="1">VLOOKUP($F253,OFFSET(達成条件!$A$1,0,0,COUNTA($A:$A),MATCH(H$1,達成条件!$1:$1,0)-MATCH($F$1,達成条件!$1:$1,0)+1),MATCH(H$1,達成条件!$1:$1,0)-MATCH($F$1,達成条件!$1:$1,0)+1,FALSE)</f>
        <v>0</v>
      </c>
      <c r="I253" s="114" t="s">
        <v>2097</v>
      </c>
      <c r="J253" s="54" t="str">
        <f ca="1">IF(F253="specific_unit_aquired_count",SUBSTITUTE(G253,"x",VLOOKUP(INT($I253),OFFSET([3]characters!$A$2,0,0,COUNTA([3]characters!$A:$A),MATCH(J$1,[3]characters!$2:$2,0)-MATCH("character_id",[3]characters!$2:$2,0)+1),MATCH(J$1,[3]characters!$2:$2,0)-MATCH("character_id",[3]characters!$2:$2,0)+1,FALSE)),IF(F253="specific_quest_clear",VLOOKUP(SUBSTITUTE(I253,"-","_"),OFFSET([2]stages!$A$2,0,0,COUNTA([2]stages!$A:$A),MATCH("name",[2]stages!$2:$2,0)-MATCH("temp_stage",[2]stages!$2:$2,0)+1),MATCH("name",[2]stages!$2:$2,0)-MATCH("temp_stage",[2]stages!$2:$2,0)+1,FALSE),""))</f>
        <v/>
      </c>
      <c r="K253" s="15">
        <v>1</v>
      </c>
      <c r="L253" s="15" t="s">
        <v>864</v>
      </c>
      <c r="M253" s="26"/>
      <c r="N253" s="26"/>
    </row>
    <row r="254" spans="1:14" ht="44" customHeight="1" x14ac:dyDescent="0.15">
      <c r="A254" s="2" t="s">
        <v>2101</v>
      </c>
      <c r="B254" s="21" t="s">
        <v>792</v>
      </c>
      <c r="C254" s="26" t="str">
        <f>IF(F254="specific_quest_clear",SUBSTITUTE(G254,"x",J254),IF(F254="specific_unit_aquired_count",SUBSTITUTE(J254,"y",K254),SUBSTITUTE(G254,"x",I254)))</f>
        <v>「クラフィ公式ニコ生」を見よう！</v>
      </c>
      <c r="D254" s="26" t="str">
        <f ca="1">IFERROR(VLOOKUP($A254,OFFSET(achievement_criterion_id,0,0,COUNTA($A:$A),MATCH(D$1,missions!$2:$2,0)-MATCH($A$1,missions!$2:$2,0)+1),MATCH(D$1,missions!$2:$2,0)-MATCH($A$1,missions!$2:$2,0)+1,FALSE),IFERROR(VLOOKUP($A254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54" s="39" t="s">
        <v>864</v>
      </c>
      <c r="F254" s="75" t="s">
        <v>895</v>
      </c>
      <c r="G254" s="26" t="s">
        <v>2102</v>
      </c>
      <c r="H254" s="26">
        <f ca="1">VLOOKUP($F254,OFFSET(達成条件!$A$1,0,0,COUNTA($A:$A),MATCH(H$1,達成条件!$1:$1,0)-MATCH($F$1,達成条件!$1:$1,0)+1),MATCH(H$1,達成条件!$1:$1,0)-MATCH($F$1,達成条件!$1:$1,0)+1,FALSE)</f>
        <v>0</v>
      </c>
      <c r="I254" s="114" t="s">
        <v>2106</v>
      </c>
      <c r="J254" s="54"/>
      <c r="K254" s="15">
        <v>1</v>
      </c>
      <c r="L254" s="15" t="s">
        <v>864</v>
      </c>
      <c r="M254" s="26"/>
      <c r="N254" s="26"/>
    </row>
    <row r="255" spans="1:14" ht="44" customHeight="1" x14ac:dyDescent="0.15">
      <c r="A255" s="2" t="s">
        <v>2512</v>
      </c>
      <c r="B255" s="21" t="s">
        <v>792</v>
      </c>
      <c r="C255" s="26" t="str">
        <f>IF(F255="specific_quest_clear",SUBSTITUTE(G255,"x",J255),IF(F255="specific_unit_aquired_count",SUBSTITUTE(J255,"y",K255),SUBSTITUTE(G255,"x",I255)))</f>
        <v>「第１回クラフィユニット人気投票アンケート」に投票しよう！</v>
      </c>
      <c r="D255" s="26" t="str">
        <f ca="1">IFERROR(VLOOKUP($A255,OFFSET(achievement_criterion_id,0,0,COUNTA($A:$A),MATCH(D$1,missions!$2:$2,0)-MATCH($A$1,missions!$2:$2,0)+1),MATCH(D$1,missions!$2:$2,0)-MATCH($A$1,missions!$2:$2,0)+1,FALSE),IFERROR(VLOOKUP($A255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255" s="39" t="s">
        <v>864</v>
      </c>
      <c r="F255" s="75" t="s">
        <v>895</v>
      </c>
      <c r="G255" s="26" t="s">
        <v>2513</v>
      </c>
      <c r="H255" s="26">
        <f ca="1">VLOOKUP($F255,OFFSET(達成条件!$A$1,0,0,COUNTA($A:$A),MATCH(H$1,達成条件!$1:$1,0)-MATCH($F$1,達成条件!$1:$1,0)+1),MATCH(H$1,達成条件!$1:$1,0)-MATCH($F$1,達成条件!$1:$1,0)+1,FALSE)</f>
        <v>0</v>
      </c>
      <c r="I255" s="114" t="s">
        <v>2514</v>
      </c>
      <c r="J255" s="54"/>
      <c r="K255" s="15">
        <v>1</v>
      </c>
      <c r="L255" s="15" t="s">
        <v>864</v>
      </c>
      <c r="M255" s="26"/>
      <c r="N255" s="26"/>
    </row>
    <row r="256" spans="1:14" ht="44" customHeight="1" x14ac:dyDescent="0.15">
      <c r="A256" s="2" t="s">
        <v>1318</v>
      </c>
      <c r="B256" s="21" t="s">
        <v>887</v>
      </c>
      <c r="C256" s="105" t="s">
        <v>1343</v>
      </c>
      <c r="D256" s="26" t="str">
        <f ca="1">IFERROR(VLOOKUP($A256,OFFSET(achievement_criterion_id,0,0,COUNTA($A:$A),MATCH(D$1,missions!$2:$2,0)-MATCH($A$1,missions!$2:$2,0)+1),MATCH(D$1,missions!$2:$2,0)-MATCH($A$1,missions!$2:$2,0)+1,FALSE),IFERROR(VLOOKUP($A256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256" s="27" t="s">
        <v>352</v>
      </c>
      <c r="F256" s="17" t="s">
        <v>11</v>
      </c>
      <c r="G256" s="26" t="str">
        <f ca="1">VLOOKUP($F256,OFFSET(達成条件!$A$1,0,0,COUNTA($A:$A),MATCH(G$1,達成条件!$1:$1,0)-MATCH($F$1,達成条件!$1:$1,0)+1),MATCH(G$1,達成条件!$1:$1,0)-MATCH($F$1,達成条件!$1:$1,0)+1,FALSE)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56" s="26" t="str">
        <f ca="1">VLOOKUP($F256,OFFSET(達成条件!$A$1,0,0,COUNTA($A:$A),MATCH(H$1,達成条件!$1:$1,0)-MATCH($F$1,達成条件!$1:$1,0)+1),MATCH(H$1,達成条件!$1:$1,0)-MATCH($F$1,達成条件!$1:$1,0)+1,FALSE)</f>
        <v>プレイヤーランク</v>
      </c>
      <c r="I256" s="56" t="s">
        <v>1392</v>
      </c>
      <c r="J256" s="54" t="str">
        <f ca="1">IF(F256="specific_unit_aquired_count",SUBSTITUTE(G256,"x",VLOOKUP(INT($I256),OFFSET([3]characters!$A$2,0,0,COUNTA([3]characters!$A:$A),MATCH(J$1,[3]characters!$2:$2,0)-MATCH("character_id",[3]characters!$2:$2,0)+1),MATCH(J$1,[3]characters!$2:$2,0)-MATCH("character_id",[3]characters!$2:$2,0)+1,FALSE)),IF(F256="specific_quest_clear",VLOOKUP(SUBSTITUTE(I256,"-","_"),OFFSET([2]stages!$A$2,0,0,COUNTA([2]stages!$A:$A),MATCH("name",[2]stages!$2:$2,0)-MATCH("temp_stage",[2]stages!$2:$2,0)+1),MATCH("name",[2]stages!$2:$2,0)-MATCH("temp_stage",[2]stages!$2:$2,0)+1,FALSE),""))</f>
        <v/>
      </c>
      <c r="K256" s="15">
        <v>1</v>
      </c>
      <c r="L256" s="15" t="s">
        <v>352</v>
      </c>
      <c r="M256" s="26"/>
      <c r="N256" s="26"/>
    </row>
    <row r="257" spans="1:14" ht="44" customHeight="1" x14ac:dyDescent="0.15">
      <c r="A257" s="2" t="s">
        <v>1319</v>
      </c>
      <c r="B257" s="21" t="s">
        <v>887</v>
      </c>
      <c r="C257" s="105" t="s">
        <v>1344</v>
      </c>
      <c r="D257" s="26" t="str">
        <f ca="1">IFERROR(VLOOKUP($A257,OFFSET(achievement_criterion_id,0,0,COUNTA($A:$A),MATCH(D$1,missions!$2:$2,0)-MATCH($A$1,missions!$2:$2,0)+1),MATCH(D$1,missions!$2:$2,0)-MATCH($A$1,missions!$2:$2,0)+1,FALSE),IFERROR(VLOOKUP($A257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257" s="27" t="s">
        <v>352</v>
      </c>
      <c r="F257" s="17" t="s">
        <v>11</v>
      </c>
      <c r="G257" s="26" t="str">
        <f ca="1">VLOOKUP($F257,OFFSET(達成条件!$A$1,0,0,COUNTA($A:$A),MATCH(G$1,達成条件!$1:$1,0)-MATCH($F$1,達成条件!$1:$1,0)+1),MATCH(G$1,達成条件!$1:$1,0)-MATCH($F$1,達成条件!$1:$1,0)+1,FALSE)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57" s="26" t="str">
        <f ca="1">VLOOKUP($F257,OFFSET(達成条件!$A$1,0,0,COUNTA($A:$A),MATCH(H$1,達成条件!$1:$1,0)-MATCH($F$1,達成条件!$1:$1,0)+1),MATCH(H$1,達成条件!$1:$1,0)-MATCH($F$1,達成条件!$1:$1,0)+1,FALSE)</f>
        <v>プレイヤーランク</v>
      </c>
      <c r="I257" s="56" t="s">
        <v>1392</v>
      </c>
      <c r="J257" s="54" t="str">
        <f ca="1">IF(F257="specific_unit_aquired_count",SUBSTITUTE(G257,"x",VLOOKUP(INT($I257),OFFSET([3]characters!$A$2,0,0,COUNTA([3]characters!$A:$A),MATCH(J$1,[3]characters!$2:$2,0)-MATCH("character_id",[3]characters!$2:$2,0)+1),MATCH(J$1,[3]characters!$2:$2,0)-MATCH("character_id",[3]characters!$2:$2,0)+1,FALSE)),IF(F257="specific_quest_clear",VLOOKUP(SUBSTITUTE(I257,"-","_"),OFFSET([2]stages!$A$2,0,0,COUNTA([2]stages!$A:$A),MATCH("name",[2]stages!$2:$2,0)-MATCH("temp_stage",[2]stages!$2:$2,0)+1),MATCH("name",[2]stages!$2:$2,0)-MATCH("temp_stage",[2]stages!$2:$2,0)+1,FALSE),""))</f>
        <v/>
      </c>
      <c r="K257" s="15">
        <v>1</v>
      </c>
      <c r="L257" s="15" t="s">
        <v>352</v>
      </c>
      <c r="M257" s="26"/>
      <c r="N257" s="26"/>
    </row>
    <row r="258" spans="1:14" ht="44" customHeight="1" x14ac:dyDescent="0.15">
      <c r="A258" s="2" t="s">
        <v>1320</v>
      </c>
      <c r="B258" s="21" t="s">
        <v>887</v>
      </c>
      <c r="C258" s="105" t="s">
        <v>1345</v>
      </c>
      <c r="D258" s="26" t="str">
        <f ca="1">IFERROR(VLOOKUP($A258,OFFSET(achievement_criterion_id,0,0,COUNTA($A:$A),MATCH(D$1,missions!$2:$2,0)-MATCH($A$1,missions!$2:$2,0)+1),MATCH(D$1,missions!$2:$2,0)-MATCH($A$1,missions!$2:$2,0)+1,FALSE),IFERROR(VLOOKUP($A258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258" s="27" t="s">
        <v>352</v>
      </c>
      <c r="F258" s="17" t="s">
        <v>11</v>
      </c>
      <c r="G258" s="26" t="str">
        <f ca="1">VLOOKUP($F258,OFFSET(達成条件!$A$1,0,0,COUNTA($A:$A),MATCH(G$1,達成条件!$1:$1,0)-MATCH($F$1,達成条件!$1:$1,0)+1),MATCH(G$1,達成条件!$1:$1,0)-MATCH($F$1,達成条件!$1:$1,0)+1,FALSE)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58" s="26" t="str">
        <f ca="1">VLOOKUP($F258,OFFSET(達成条件!$A$1,0,0,COUNTA($A:$A),MATCH(H$1,達成条件!$1:$1,0)-MATCH($F$1,達成条件!$1:$1,0)+1),MATCH(H$1,達成条件!$1:$1,0)-MATCH($F$1,達成条件!$1:$1,0)+1,FALSE)</f>
        <v>プレイヤーランク</v>
      </c>
      <c r="I258" s="56" t="s">
        <v>1392</v>
      </c>
      <c r="J258" s="54" t="str">
        <f ca="1">IF(F258="specific_unit_aquired_count",SUBSTITUTE(G258,"x",VLOOKUP(INT($I258),OFFSET([3]characters!$A$2,0,0,COUNTA([3]characters!$A:$A),MATCH(J$1,[3]characters!$2:$2,0)-MATCH("character_id",[3]characters!$2:$2,0)+1),MATCH(J$1,[3]characters!$2:$2,0)-MATCH("character_id",[3]characters!$2:$2,0)+1,FALSE)),IF(F258="specific_quest_clear",VLOOKUP(SUBSTITUTE(I258,"-","_"),OFFSET([2]stages!$A$2,0,0,COUNTA([2]stages!$A:$A),MATCH("name",[2]stages!$2:$2,0)-MATCH("temp_stage",[2]stages!$2:$2,0)+1),MATCH("name",[2]stages!$2:$2,0)-MATCH("temp_stage",[2]stages!$2:$2,0)+1,FALSE),""))</f>
        <v/>
      </c>
      <c r="K258" s="15">
        <v>1</v>
      </c>
      <c r="L258" s="15" t="s">
        <v>352</v>
      </c>
      <c r="M258" s="26"/>
      <c r="N258" s="26"/>
    </row>
    <row r="259" spans="1:14" ht="44" customHeight="1" x14ac:dyDescent="0.15">
      <c r="A259" s="2" t="s">
        <v>1321</v>
      </c>
      <c r="B259" s="21" t="s">
        <v>887</v>
      </c>
      <c r="C259" s="105" t="s">
        <v>1346</v>
      </c>
      <c r="D259" s="26" t="str">
        <f ca="1">IFERROR(VLOOKUP($A259,OFFSET(achievement_criterion_id,0,0,COUNTA($A:$A),MATCH(D$1,missions!$2:$2,0)-MATCH($A$1,missions!$2:$2,0)+1),MATCH(D$1,missions!$2:$2,0)-MATCH($A$1,missions!$2:$2,0)+1,FALSE),IFERROR(VLOOKUP($A259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259" s="27" t="s">
        <v>352</v>
      </c>
      <c r="F259" s="17" t="s">
        <v>11</v>
      </c>
      <c r="G259" s="26" t="str">
        <f ca="1">VLOOKUP($F259,OFFSET(達成条件!$A$1,0,0,COUNTA($A:$A),MATCH(G$1,達成条件!$1:$1,0)-MATCH($F$1,達成条件!$1:$1,0)+1),MATCH(G$1,達成条件!$1:$1,0)-MATCH($F$1,達成条件!$1:$1,0)+1,FALSE)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59" s="26" t="str">
        <f ca="1">VLOOKUP($F259,OFFSET(達成条件!$A$1,0,0,COUNTA($A:$A),MATCH(H$1,達成条件!$1:$1,0)-MATCH($F$1,達成条件!$1:$1,0)+1),MATCH(H$1,達成条件!$1:$1,0)-MATCH($F$1,達成条件!$1:$1,0)+1,FALSE)</f>
        <v>プレイヤーランク</v>
      </c>
      <c r="I259" s="56" t="s">
        <v>1392</v>
      </c>
      <c r="J259" s="54" t="str">
        <f ca="1">IF(F259="specific_unit_aquired_count",SUBSTITUTE(G259,"x",VLOOKUP(INT($I259),OFFSET([3]characters!$A$2,0,0,COUNTA([3]characters!$A:$A),MATCH(J$1,[3]characters!$2:$2,0)-MATCH("character_id",[3]characters!$2:$2,0)+1),MATCH(J$1,[3]characters!$2:$2,0)-MATCH("character_id",[3]characters!$2:$2,0)+1,FALSE)),IF(F259="specific_quest_clear",VLOOKUP(SUBSTITUTE(I259,"-","_"),OFFSET([2]stages!$A$2,0,0,COUNTA([2]stages!$A:$A),MATCH("name",[2]stages!$2:$2,0)-MATCH("temp_stage",[2]stages!$2:$2,0)+1),MATCH("name",[2]stages!$2:$2,0)-MATCH("temp_stage",[2]stages!$2:$2,0)+1,FALSE),""))</f>
        <v/>
      </c>
      <c r="K259" s="15">
        <v>1</v>
      </c>
      <c r="L259" s="15" t="s">
        <v>352</v>
      </c>
      <c r="M259" s="26"/>
      <c r="N259" s="26"/>
    </row>
    <row r="260" spans="1:14" ht="44" customHeight="1" x14ac:dyDescent="0.15">
      <c r="A260" s="2" t="s">
        <v>1322</v>
      </c>
      <c r="B260" s="21" t="s">
        <v>887</v>
      </c>
      <c r="C260" s="105" t="s">
        <v>1348</v>
      </c>
      <c r="D260" s="26" t="str">
        <f ca="1">IFERROR(VLOOKUP($A260,OFFSET(achievement_criterion_id,0,0,COUNTA($A:$A),MATCH(D$1,missions!$2:$2,0)-MATCH($A$1,missions!$2:$2,0)+1),MATCH(D$1,missions!$2:$2,0)-MATCH($A$1,missions!$2:$2,0)+1,FALSE),IFERROR(VLOOKUP($A260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260" s="27" t="s">
        <v>352</v>
      </c>
      <c r="F260" s="17" t="s">
        <v>11</v>
      </c>
      <c r="G260" s="26" t="str">
        <f ca="1">VLOOKUP($F260,OFFSET(達成条件!$A$1,0,0,COUNTA($A:$A),MATCH(G$1,達成条件!$1:$1,0)-MATCH($F$1,達成条件!$1:$1,0)+1),MATCH(G$1,達成条件!$1:$1,0)-MATCH($F$1,達成条件!$1:$1,0)+1,FALSE)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60" s="26" t="str">
        <f ca="1">VLOOKUP($F260,OFFSET(達成条件!$A$1,0,0,COUNTA($A:$A),MATCH(H$1,達成条件!$1:$1,0)-MATCH($F$1,達成条件!$1:$1,0)+1),MATCH(H$1,達成条件!$1:$1,0)-MATCH($F$1,達成条件!$1:$1,0)+1,FALSE)</f>
        <v>プレイヤーランク</v>
      </c>
      <c r="I260" s="56" t="s">
        <v>1392</v>
      </c>
      <c r="J260" s="54" t="str">
        <f ca="1">IF(F260="specific_unit_aquired_count",SUBSTITUTE(G260,"x",VLOOKUP(INT($I260),OFFSET([3]characters!$A$2,0,0,COUNTA([3]characters!$A:$A),MATCH(J$1,[3]characters!$2:$2,0)-MATCH("character_id",[3]characters!$2:$2,0)+1),MATCH(J$1,[3]characters!$2:$2,0)-MATCH("character_id",[3]characters!$2:$2,0)+1,FALSE)),IF(F260="specific_quest_clear",VLOOKUP(SUBSTITUTE(I260,"-","_"),OFFSET([2]stages!$A$2,0,0,COUNTA([2]stages!$A:$A),MATCH("name",[2]stages!$2:$2,0)-MATCH("temp_stage",[2]stages!$2:$2,0)+1),MATCH("name",[2]stages!$2:$2,0)-MATCH("temp_stage",[2]stages!$2:$2,0)+1,FALSE),""))</f>
        <v/>
      </c>
      <c r="K260" s="15">
        <v>1</v>
      </c>
      <c r="L260" s="15" t="s">
        <v>352</v>
      </c>
      <c r="M260" s="26"/>
      <c r="N260" s="26"/>
    </row>
    <row r="261" spans="1:14" ht="44" customHeight="1" x14ac:dyDescent="0.15">
      <c r="A261" s="2" t="s">
        <v>1323</v>
      </c>
      <c r="B261" s="21" t="s">
        <v>887</v>
      </c>
      <c r="C261" s="105" t="s">
        <v>1347</v>
      </c>
      <c r="D261" s="26" t="str">
        <f ca="1">IFERROR(VLOOKUP($A261,OFFSET(achievement_criterion_id,0,0,COUNTA($A:$A),MATCH(D$1,missions!$2:$2,0)-MATCH($A$1,missions!$2:$2,0)+1),MATCH(D$1,missions!$2:$2,0)-MATCH($A$1,missions!$2:$2,0)+1,FALSE),IFERROR(VLOOKUP($A261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261" s="27" t="s">
        <v>352</v>
      </c>
      <c r="F261" s="17" t="s">
        <v>11</v>
      </c>
      <c r="G261" s="26" t="str">
        <f ca="1">VLOOKUP($F261,OFFSET(達成条件!$A$1,0,0,COUNTA($A:$A),MATCH(G$1,達成条件!$1:$1,0)-MATCH($F$1,達成条件!$1:$1,0)+1),MATCH(G$1,達成条件!$1:$1,0)-MATCH($F$1,達成条件!$1:$1,0)+1,FALSE)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61" s="26" t="str">
        <f ca="1">VLOOKUP($F261,OFFSET(達成条件!$A$1,0,0,COUNTA($A:$A),MATCH(H$1,達成条件!$1:$1,0)-MATCH($F$1,達成条件!$1:$1,0)+1),MATCH(H$1,達成条件!$1:$1,0)-MATCH($F$1,達成条件!$1:$1,0)+1,FALSE)</f>
        <v>プレイヤーランク</v>
      </c>
      <c r="I261" s="56" t="s">
        <v>1392</v>
      </c>
      <c r="J261" s="54" t="str">
        <f ca="1">IF(F261="specific_unit_aquired_count",SUBSTITUTE(G261,"x",VLOOKUP(INT($I261),OFFSET([3]characters!$A$2,0,0,COUNTA([3]characters!$A:$A),MATCH(J$1,[3]characters!$2:$2,0)-MATCH("character_id",[3]characters!$2:$2,0)+1),MATCH(J$1,[3]characters!$2:$2,0)-MATCH("character_id",[3]characters!$2:$2,0)+1,FALSE)),IF(F261="specific_quest_clear",VLOOKUP(SUBSTITUTE(I261,"-","_"),OFFSET([2]stages!$A$2,0,0,COUNTA([2]stages!$A:$A),MATCH("name",[2]stages!$2:$2,0)-MATCH("temp_stage",[2]stages!$2:$2,0)+1),MATCH("name",[2]stages!$2:$2,0)-MATCH("temp_stage",[2]stages!$2:$2,0)+1,FALSE),""))</f>
        <v/>
      </c>
      <c r="K261" s="15">
        <v>1</v>
      </c>
      <c r="L261" s="15" t="s">
        <v>352</v>
      </c>
      <c r="M261" s="26"/>
      <c r="N261" s="26"/>
    </row>
    <row r="262" spans="1:14" ht="44" customHeight="1" x14ac:dyDescent="0.15">
      <c r="A262" s="2" t="s">
        <v>1329</v>
      </c>
      <c r="B262" s="21" t="s">
        <v>887</v>
      </c>
      <c r="C262" s="105" t="s">
        <v>1349</v>
      </c>
      <c r="D262" s="26" t="str">
        <f ca="1">IFERROR(VLOOKUP($A262,OFFSET(achievement_criterion_id,0,0,COUNTA($A:$A),MATCH(D$1,missions!$2:$2,0)-MATCH($A$1,missions!$2:$2,0)+1),MATCH(D$1,missions!$2:$2,0)-MATCH($A$1,missions!$2:$2,0)+1,FALSE),IFERROR(VLOOKUP($A262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262" s="27" t="s">
        <v>352</v>
      </c>
      <c r="F262" s="17" t="s">
        <v>11</v>
      </c>
      <c r="G262" s="26" t="str">
        <f ca="1">VLOOKUP($F262,OFFSET(達成条件!$A$1,0,0,COUNTA($A:$A),MATCH(G$1,達成条件!$1:$1,0)-MATCH($F$1,達成条件!$1:$1,0)+1),MATCH(G$1,達成条件!$1:$1,0)-MATCH($F$1,達成条件!$1:$1,0)+1,FALSE)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62" s="26" t="str">
        <f ca="1">VLOOKUP($F262,OFFSET(達成条件!$A$1,0,0,COUNTA($A:$A),MATCH(H$1,達成条件!$1:$1,0)-MATCH($F$1,達成条件!$1:$1,0)+1),MATCH(H$1,達成条件!$1:$1,0)-MATCH($F$1,達成条件!$1:$1,0)+1,FALSE)</f>
        <v>プレイヤーランク</v>
      </c>
      <c r="I262" s="56" t="s">
        <v>1392</v>
      </c>
      <c r="J262" s="54" t="str">
        <f ca="1">IF(F262="specific_unit_aquired_count",SUBSTITUTE(G262,"x",VLOOKUP(INT($I262),OFFSET([3]characters!$A$2,0,0,COUNTA([3]characters!$A:$A),MATCH(J$1,[3]characters!$2:$2,0)-MATCH("character_id",[3]characters!$2:$2,0)+1),MATCH(J$1,[3]characters!$2:$2,0)-MATCH("character_id",[3]characters!$2:$2,0)+1,FALSE)),IF(F262="specific_quest_clear",VLOOKUP(SUBSTITUTE(I262,"-","_"),OFFSET([2]stages!$A$2,0,0,COUNTA([2]stages!$A:$A),MATCH("name",[2]stages!$2:$2,0)-MATCH("temp_stage",[2]stages!$2:$2,0)+1),MATCH("name",[2]stages!$2:$2,0)-MATCH("temp_stage",[2]stages!$2:$2,0)+1,FALSE),""))</f>
        <v/>
      </c>
      <c r="K262" s="15">
        <v>1</v>
      </c>
      <c r="L262" s="15" t="s">
        <v>352</v>
      </c>
      <c r="M262" s="26"/>
      <c r="N262" s="26"/>
    </row>
    <row r="263" spans="1:14" ht="44" customHeight="1" x14ac:dyDescent="0.15">
      <c r="A263" s="2" t="s">
        <v>1330</v>
      </c>
      <c r="B263" s="21" t="s">
        <v>887</v>
      </c>
      <c r="C263" s="105" t="s">
        <v>1350</v>
      </c>
      <c r="D263" s="26" t="str">
        <f ca="1">IFERROR(VLOOKUP($A263,OFFSET(achievement_criterion_id,0,0,COUNTA($A:$A),MATCH(D$1,missions!$2:$2,0)-MATCH($A$1,missions!$2:$2,0)+1),MATCH(D$1,missions!$2:$2,0)-MATCH($A$1,missions!$2:$2,0)+1,FALSE),IFERROR(VLOOKUP($A263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263" s="27" t="s">
        <v>352</v>
      </c>
      <c r="F263" s="17" t="s">
        <v>11</v>
      </c>
      <c r="G263" s="26" t="str">
        <f ca="1">VLOOKUP($F263,OFFSET(達成条件!$A$1,0,0,COUNTA($A:$A),MATCH(G$1,達成条件!$1:$1,0)-MATCH($F$1,達成条件!$1:$1,0)+1),MATCH(G$1,達成条件!$1:$1,0)-MATCH($F$1,達成条件!$1:$1,0)+1,FALSE)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63" s="26" t="str">
        <f ca="1">VLOOKUP($F263,OFFSET(達成条件!$A$1,0,0,COUNTA($A:$A),MATCH(H$1,達成条件!$1:$1,0)-MATCH($F$1,達成条件!$1:$1,0)+1),MATCH(H$1,達成条件!$1:$1,0)-MATCH($F$1,達成条件!$1:$1,0)+1,FALSE)</f>
        <v>プレイヤーランク</v>
      </c>
      <c r="I263" s="56" t="s">
        <v>1392</v>
      </c>
      <c r="J263" s="54" t="str">
        <f ca="1">IF(F263="specific_unit_aquired_count",SUBSTITUTE(G263,"x",VLOOKUP(INT($I263),OFFSET([3]characters!$A$2,0,0,COUNTA([3]characters!$A:$A),MATCH(J$1,[3]characters!$2:$2,0)-MATCH("character_id",[3]characters!$2:$2,0)+1),MATCH(J$1,[3]characters!$2:$2,0)-MATCH("character_id",[3]characters!$2:$2,0)+1,FALSE)),IF(F263="specific_quest_clear",VLOOKUP(SUBSTITUTE(I263,"-","_"),OFFSET([2]stages!$A$2,0,0,COUNTA([2]stages!$A:$A),MATCH("name",[2]stages!$2:$2,0)-MATCH("temp_stage",[2]stages!$2:$2,0)+1),MATCH("name",[2]stages!$2:$2,0)-MATCH("temp_stage",[2]stages!$2:$2,0)+1,FALSE),""))</f>
        <v/>
      </c>
      <c r="K263" s="15">
        <v>1</v>
      </c>
      <c r="L263" s="15" t="s">
        <v>352</v>
      </c>
      <c r="M263" s="26"/>
      <c r="N263" s="26"/>
    </row>
    <row r="264" spans="1:14" ht="44" customHeight="1" x14ac:dyDescent="0.15">
      <c r="A264" s="2" t="s">
        <v>1331</v>
      </c>
      <c r="B264" s="21" t="s">
        <v>887</v>
      </c>
      <c r="C264" s="105" t="s">
        <v>1351</v>
      </c>
      <c r="D264" s="26" t="str">
        <f ca="1">IFERROR(VLOOKUP($A264,OFFSET(achievement_criterion_id,0,0,COUNTA($A:$A),MATCH(D$1,missions!$2:$2,0)-MATCH($A$1,missions!$2:$2,0)+1),MATCH(D$1,missions!$2:$2,0)-MATCH($A$1,missions!$2:$2,0)+1,FALSE),IFERROR(VLOOKUP($A264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264" s="27" t="s">
        <v>352</v>
      </c>
      <c r="F264" s="17" t="s">
        <v>11</v>
      </c>
      <c r="G264" s="26" t="str">
        <f ca="1">VLOOKUP($F264,OFFSET(達成条件!$A$1,0,0,COUNTA($A:$A),MATCH(G$1,達成条件!$1:$1,0)-MATCH($F$1,達成条件!$1:$1,0)+1),MATCH(G$1,達成条件!$1:$1,0)-MATCH($F$1,達成条件!$1:$1,0)+1,FALSE)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64" s="26" t="str">
        <f ca="1">VLOOKUP($F264,OFFSET(達成条件!$A$1,0,0,COUNTA($A:$A),MATCH(H$1,達成条件!$1:$1,0)-MATCH($F$1,達成条件!$1:$1,0)+1),MATCH(H$1,達成条件!$1:$1,0)-MATCH($F$1,達成条件!$1:$1,0)+1,FALSE)</f>
        <v>プレイヤーランク</v>
      </c>
      <c r="I264" s="56" t="s">
        <v>1392</v>
      </c>
      <c r="J264" s="54" t="str">
        <f ca="1">IF(F264="specific_unit_aquired_count",SUBSTITUTE(G264,"x",VLOOKUP(INT($I264),OFFSET([3]characters!$A$2,0,0,COUNTA([3]characters!$A:$A),MATCH(J$1,[3]characters!$2:$2,0)-MATCH("character_id",[3]characters!$2:$2,0)+1),MATCH(J$1,[3]characters!$2:$2,0)-MATCH("character_id",[3]characters!$2:$2,0)+1,FALSE)),IF(F264="specific_quest_clear",VLOOKUP(SUBSTITUTE(I264,"-","_"),OFFSET([2]stages!$A$2,0,0,COUNTA([2]stages!$A:$A),MATCH("name",[2]stages!$2:$2,0)-MATCH("temp_stage",[2]stages!$2:$2,0)+1),MATCH("name",[2]stages!$2:$2,0)-MATCH("temp_stage",[2]stages!$2:$2,0)+1,FALSE),""))</f>
        <v/>
      </c>
      <c r="K264" s="15">
        <v>1</v>
      </c>
      <c r="L264" s="15" t="s">
        <v>352</v>
      </c>
      <c r="M264" s="26"/>
      <c r="N264" s="26"/>
    </row>
    <row r="265" spans="1:14" ht="44" customHeight="1" x14ac:dyDescent="0.15">
      <c r="A265" s="2" t="s">
        <v>1332</v>
      </c>
      <c r="B265" s="21" t="s">
        <v>887</v>
      </c>
      <c r="C265" s="105" t="s">
        <v>1352</v>
      </c>
      <c r="D265" s="26" t="str">
        <f ca="1">IFERROR(VLOOKUP($A265,OFFSET(achievement_criterion_id,0,0,COUNTA($A:$A),MATCH(D$1,missions!$2:$2,0)-MATCH($A$1,missions!$2:$2,0)+1),MATCH(D$1,missions!$2:$2,0)-MATCH($A$1,missions!$2:$2,0)+1,FALSE),IFERROR(VLOOKUP($A265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265" s="27" t="s">
        <v>352</v>
      </c>
      <c r="F265" s="17" t="s">
        <v>11</v>
      </c>
      <c r="G265" s="26" t="str">
        <f ca="1">VLOOKUP($F265,OFFSET(達成条件!$A$1,0,0,COUNTA($A:$A),MATCH(G$1,達成条件!$1:$1,0)-MATCH($F$1,達成条件!$1:$1,0)+1),MATCH(G$1,達成条件!$1:$1,0)-MATCH($F$1,達成条件!$1:$1,0)+1,FALSE)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65" s="26" t="str">
        <f ca="1">VLOOKUP($F265,OFFSET(達成条件!$A$1,0,0,COUNTA($A:$A),MATCH(H$1,達成条件!$1:$1,0)-MATCH($F$1,達成条件!$1:$1,0)+1),MATCH(H$1,達成条件!$1:$1,0)-MATCH($F$1,達成条件!$1:$1,0)+1,FALSE)</f>
        <v>プレイヤーランク</v>
      </c>
      <c r="I265" s="56" t="s">
        <v>1392</v>
      </c>
      <c r="J265" s="54" t="str">
        <f ca="1">IF(F265="specific_unit_aquired_count",SUBSTITUTE(G265,"x",VLOOKUP(INT($I265),OFFSET([3]characters!$A$2,0,0,COUNTA([3]characters!$A:$A),MATCH(J$1,[3]characters!$2:$2,0)-MATCH("character_id",[3]characters!$2:$2,0)+1),MATCH(J$1,[3]characters!$2:$2,0)-MATCH("character_id",[3]characters!$2:$2,0)+1,FALSE)),IF(F265="specific_quest_clear",VLOOKUP(SUBSTITUTE(I265,"-","_"),OFFSET([2]stages!$A$2,0,0,COUNTA([2]stages!$A:$A),MATCH("name",[2]stages!$2:$2,0)-MATCH("temp_stage",[2]stages!$2:$2,0)+1),MATCH("name",[2]stages!$2:$2,0)-MATCH("temp_stage",[2]stages!$2:$2,0)+1,FALSE),""))</f>
        <v/>
      </c>
      <c r="K265" s="15">
        <v>1</v>
      </c>
      <c r="L265" s="15" t="s">
        <v>352</v>
      </c>
      <c r="M265" s="26"/>
      <c r="N265" s="26"/>
    </row>
    <row r="266" spans="1:14" ht="44" customHeight="1" x14ac:dyDescent="0.15">
      <c r="A266" s="2" t="s">
        <v>1623</v>
      </c>
      <c r="B266" s="21" t="s">
        <v>887</v>
      </c>
      <c r="C266" s="105" t="s">
        <v>1646</v>
      </c>
      <c r="D266" s="26" t="str">
        <f ca="1">IFERROR(VLOOKUP($A266,OFFSET(achievement_criterion_id,0,0,COUNTA($A:$A),MATCH(D$1,missions!$2:$2,0)-MATCH($A$1,missions!$2:$2,0)+1),MATCH(D$1,missions!$2:$2,0)-MATCH($A$1,missions!$2:$2,0)+1,FALSE),IFERROR(VLOOKUP($A266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266" s="27" t="s">
        <v>352</v>
      </c>
      <c r="F266" s="17" t="s">
        <v>11</v>
      </c>
      <c r="G266" s="26" t="str">
        <f ca="1">VLOOKUP($F266,OFFSET(達成条件!$A$1,0,0,COUNTA($A:$A),MATCH(G$1,達成条件!$1:$1,0)-MATCH($F$1,達成条件!$1:$1,0)+1),MATCH(G$1,達成条件!$1:$1,0)-MATCH($F$1,達成条件!$1:$1,0)+1,FALSE)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66" s="26" t="str">
        <f ca="1">VLOOKUP($F266,OFFSET(達成条件!$A$1,0,0,COUNTA($A:$A),MATCH(H$1,達成条件!$1:$1,0)-MATCH($F$1,達成条件!$1:$1,0)+1),MATCH(H$1,達成条件!$1:$1,0)-MATCH($F$1,達成条件!$1:$1,0)+1,FALSE)</f>
        <v>プレイヤーランク</v>
      </c>
      <c r="I266" s="56" t="s">
        <v>1392</v>
      </c>
      <c r="J266" s="54" t="str">
        <f ca="1">IF(F266="specific_unit_aquired_count",SUBSTITUTE(G266,"x",VLOOKUP(INT($I266),OFFSET([3]characters!$A$2,0,0,COUNTA([3]characters!$A:$A),MATCH(J$1,[3]characters!$2:$2,0)-MATCH("character_id",[3]characters!$2:$2,0)+1),MATCH(J$1,[3]characters!$2:$2,0)-MATCH("character_id",[3]characters!$2:$2,0)+1,FALSE)),IF(F266="specific_quest_clear",VLOOKUP(SUBSTITUTE(I266,"-","_"),OFFSET([2]stages!$A$2,0,0,COUNTA([2]stages!$A:$A),MATCH("name",[2]stages!$2:$2,0)-MATCH("temp_stage",[2]stages!$2:$2,0)+1),MATCH("name",[2]stages!$2:$2,0)-MATCH("temp_stage",[2]stages!$2:$2,0)+1,FALSE),""))</f>
        <v/>
      </c>
      <c r="K266" s="15">
        <v>1</v>
      </c>
      <c r="L266" s="15" t="s">
        <v>352</v>
      </c>
      <c r="M266" s="26"/>
      <c r="N266" s="26"/>
    </row>
    <row r="267" spans="1:14" ht="44" customHeight="1" x14ac:dyDescent="0.15">
      <c r="A267" s="2" t="s">
        <v>1624</v>
      </c>
      <c r="B267" s="21" t="s">
        <v>887</v>
      </c>
      <c r="C267" s="105" t="s">
        <v>1633</v>
      </c>
      <c r="D267" s="26" t="str">
        <f ca="1">IFERROR(VLOOKUP($A267,OFFSET(achievement_criterion_id,0,0,COUNTA($A:$A),MATCH(D$1,missions!$2:$2,0)-MATCH($A$1,missions!$2:$2,0)+1),MATCH(D$1,missions!$2:$2,0)-MATCH($A$1,missions!$2:$2,0)+1,FALSE),IFERROR(VLOOKUP($A267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267" s="27" t="s">
        <v>352</v>
      </c>
      <c r="F267" s="17" t="s">
        <v>11</v>
      </c>
      <c r="G267" s="26" t="str">
        <f ca="1">VLOOKUP($F267,OFFSET(達成条件!$A$1,0,0,COUNTA($A:$A),MATCH(G$1,達成条件!$1:$1,0)-MATCH($F$1,達成条件!$1:$1,0)+1),MATCH(G$1,達成条件!$1:$1,0)-MATCH($F$1,達成条件!$1:$1,0)+1,FALSE)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67" s="26" t="str">
        <f ca="1">VLOOKUP($F267,OFFSET(達成条件!$A$1,0,0,COUNTA($A:$A),MATCH(H$1,達成条件!$1:$1,0)-MATCH($F$1,達成条件!$1:$1,0)+1),MATCH(H$1,達成条件!$1:$1,0)-MATCH($F$1,達成条件!$1:$1,0)+1,FALSE)</f>
        <v>プレイヤーランク</v>
      </c>
      <c r="I267" s="56" t="s">
        <v>1392</v>
      </c>
      <c r="J267" s="54" t="str">
        <f ca="1">IF(F267="specific_unit_aquired_count",SUBSTITUTE(G267,"x",VLOOKUP(INT($I267),OFFSET([3]characters!$A$2,0,0,COUNTA([3]characters!$A:$A),MATCH(J$1,[3]characters!$2:$2,0)-MATCH("character_id",[3]characters!$2:$2,0)+1),MATCH(J$1,[3]characters!$2:$2,0)-MATCH("character_id",[3]characters!$2:$2,0)+1,FALSE)),IF(F267="specific_quest_clear",VLOOKUP(SUBSTITUTE(I267,"-","_"),OFFSET([2]stages!$A$2,0,0,COUNTA([2]stages!$A:$A),MATCH("name",[2]stages!$2:$2,0)-MATCH("temp_stage",[2]stages!$2:$2,0)+1),MATCH("name",[2]stages!$2:$2,0)-MATCH("temp_stage",[2]stages!$2:$2,0)+1,FALSE),""))</f>
        <v/>
      </c>
      <c r="K267" s="15">
        <v>1</v>
      </c>
      <c r="L267" s="15" t="s">
        <v>352</v>
      </c>
      <c r="M267" s="26"/>
      <c r="N267" s="26"/>
    </row>
    <row r="268" spans="1:14" ht="44" customHeight="1" x14ac:dyDescent="0.15">
      <c r="A268" s="2" t="s">
        <v>1610</v>
      </c>
      <c r="B268" s="21" t="s">
        <v>887</v>
      </c>
      <c r="C268" s="105" t="s">
        <v>1634</v>
      </c>
      <c r="D268" s="26" t="str">
        <f ca="1">IFERROR(VLOOKUP($A268,OFFSET(achievement_criterion_id,0,0,COUNTA($A:$A),MATCH(D$1,missions!$2:$2,0)-MATCH($A$1,missions!$2:$2,0)+1),MATCH(D$1,missions!$2:$2,0)-MATCH($A$1,missions!$2:$2,0)+1,FALSE),IFERROR(VLOOKUP($A268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268" s="27" t="s">
        <v>352</v>
      </c>
      <c r="F268" s="17" t="s">
        <v>11</v>
      </c>
      <c r="G268" s="26" t="str">
        <f ca="1">VLOOKUP($F268,OFFSET(達成条件!$A$1,0,0,COUNTA($A:$A),MATCH(G$1,達成条件!$1:$1,0)-MATCH($F$1,達成条件!$1:$1,0)+1),MATCH(G$1,達成条件!$1:$1,0)-MATCH($F$1,達成条件!$1:$1,0)+1,FALSE)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68" s="26" t="str">
        <f ca="1">VLOOKUP($F268,OFFSET(達成条件!$A$1,0,0,COUNTA($A:$A),MATCH(H$1,達成条件!$1:$1,0)-MATCH($F$1,達成条件!$1:$1,0)+1),MATCH(H$1,達成条件!$1:$1,0)-MATCH($F$1,達成条件!$1:$1,0)+1,FALSE)</f>
        <v>プレイヤーランク</v>
      </c>
      <c r="I268" s="56" t="s">
        <v>1392</v>
      </c>
      <c r="J268" s="54" t="str">
        <f ca="1">IF(F268="specific_unit_aquired_count",SUBSTITUTE(G268,"x",VLOOKUP(INT($I268),OFFSET([3]characters!$A$2,0,0,COUNTA([3]characters!$A:$A),MATCH(J$1,[3]characters!$2:$2,0)-MATCH("character_id",[3]characters!$2:$2,0)+1),MATCH(J$1,[3]characters!$2:$2,0)-MATCH("character_id",[3]characters!$2:$2,0)+1,FALSE)),IF(F268="specific_quest_clear",VLOOKUP(SUBSTITUTE(I268,"-","_"),OFFSET([2]stages!$A$2,0,0,COUNTA([2]stages!$A:$A),MATCH("name",[2]stages!$2:$2,0)-MATCH("temp_stage",[2]stages!$2:$2,0)+1),MATCH("name",[2]stages!$2:$2,0)-MATCH("temp_stage",[2]stages!$2:$2,0)+1,FALSE),""))</f>
        <v/>
      </c>
      <c r="K268" s="15">
        <v>1</v>
      </c>
      <c r="L268" s="15" t="s">
        <v>352</v>
      </c>
      <c r="M268" s="26"/>
      <c r="N268" s="26"/>
    </row>
    <row r="269" spans="1:14" ht="44" customHeight="1" x14ac:dyDescent="0.15">
      <c r="A269" s="2" t="s">
        <v>1611</v>
      </c>
      <c r="B269" s="21" t="s">
        <v>887</v>
      </c>
      <c r="C269" s="105" t="s">
        <v>1635</v>
      </c>
      <c r="D269" s="26" t="str">
        <f ca="1">IFERROR(VLOOKUP($A269,OFFSET(achievement_criterion_id,0,0,COUNTA($A:$A),MATCH(D$1,missions!$2:$2,0)-MATCH($A$1,missions!$2:$2,0)+1),MATCH(D$1,missions!$2:$2,0)-MATCH($A$1,missions!$2:$2,0)+1,FALSE),IFERROR(VLOOKUP($A269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269" s="27" t="s">
        <v>352</v>
      </c>
      <c r="F269" s="17" t="s">
        <v>11</v>
      </c>
      <c r="G269" s="26" t="str">
        <f ca="1">VLOOKUP($F269,OFFSET(達成条件!$A$1,0,0,COUNTA($A:$A),MATCH(G$1,達成条件!$1:$1,0)-MATCH($F$1,達成条件!$1:$1,0)+1),MATCH(G$1,達成条件!$1:$1,0)-MATCH($F$1,達成条件!$1:$1,0)+1,FALSE)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69" s="26" t="str">
        <f ca="1">VLOOKUP($F269,OFFSET(達成条件!$A$1,0,0,COUNTA($A:$A),MATCH(H$1,達成条件!$1:$1,0)-MATCH($F$1,達成条件!$1:$1,0)+1),MATCH(H$1,達成条件!$1:$1,0)-MATCH($F$1,達成条件!$1:$1,0)+1,FALSE)</f>
        <v>プレイヤーランク</v>
      </c>
      <c r="I269" s="56" t="s">
        <v>1392</v>
      </c>
      <c r="J269" s="54" t="str">
        <f ca="1">IF(F269="specific_unit_aquired_count",SUBSTITUTE(G269,"x",VLOOKUP(INT($I269),OFFSET([3]characters!$A$2,0,0,COUNTA([3]characters!$A:$A),MATCH(J$1,[3]characters!$2:$2,0)-MATCH("character_id",[3]characters!$2:$2,0)+1),MATCH(J$1,[3]characters!$2:$2,0)-MATCH("character_id",[3]characters!$2:$2,0)+1,FALSE)),IF(F269="specific_quest_clear",VLOOKUP(SUBSTITUTE(I269,"-","_"),OFFSET([2]stages!$A$2,0,0,COUNTA([2]stages!$A:$A),MATCH("name",[2]stages!$2:$2,0)-MATCH("temp_stage",[2]stages!$2:$2,0)+1),MATCH("name",[2]stages!$2:$2,0)-MATCH("temp_stage",[2]stages!$2:$2,0)+1,FALSE),""))</f>
        <v/>
      </c>
      <c r="K269" s="15">
        <v>1</v>
      </c>
      <c r="L269" s="15" t="s">
        <v>352</v>
      </c>
      <c r="M269" s="26"/>
      <c r="N269" s="26"/>
    </row>
    <row r="270" spans="1:14" ht="44" customHeight="1" x14ac:dyDescent="0.15">
      <c r="A270" s="2" t="s">
        <v>1625</v>
      </c>
      <c r="B270" s="21" t="s">
        <v>887</v>
      </c>
      <c r="C270" s="105" t="s">
        <v>1636</v>
      </c>
      <c r="D270" s="26" t="str">
        <f ca="1">IFERROR(VLOOKUP($A270,OFFSET(achievement_criterion_id,0,0,COUNTA($A:$A),MATCH(D$1,missions!$2:$2,0)-MATCH($A$1,missions!$2:$2,0)+1),MATCH(D$1,missions!$2:$2,0)-MATCH($A$1,missions!$2:$2,0)+1,FALSE),IFERROR(VLOOKUP($A270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270" s="27" t="s">
        <v>352</v>
      </c>
      <c r="F270" s="17" t="s">
        <v>11</v>
      </c>
      <c r="G270" s="26" t="str">
        <f ca="1">VLOOKUP($F270,OFFSET(達成条件!$A$1,0,0,COUNTA($A:$A),MATCH(G$1,達成条件!$1:$1,0)-MATCH($F$1,達成条件!$1:$1,0)+1),MATCH(G$1,達成条件!$1:$1,0)-MATCH($F$1,達成条件!$1:$1,0)+1,FALSE)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70" s="26" t="str">
        <f ca="1">VLOOKUP($F270,OFFSET(達成条件!$A$1,0,0,COUNTA($A:$A),MATCH(H$1,達成条件!$1:$1,0)-MATCH($F$1,達成条件!$1:$1,0)+1),MATCH(H$1,達成条件!$1:$1,0)-MATCH($F$1,達成条件!$1:$1,0)+1,FALSE)</f>
        <v>プレイヤーランク</v>
      </c>
      <c r="I270" s="56" t="s">
        <v>1392</v>
      </c>
      <c r="J270" s="54" t="str">
        <f ca="1">IF(F270="specific_unit_aquired_count",SUBSTITUTE(G270,"x",VLOOKUP(INT($I270),OFFSET([3]characters!$A$2,0,0,COUNTA([3]characters!$A:$A),MATCH(J$1,[3]characters!$2:$2,0)-MATCH("character_id",[3]characters!$2:$2,0)+1),MATCH(J$1,[3]characters!$2:$2,0)-MATCH("character_id",[3]characters!$2:$2,0)+1,FALSE)),IF(F270="specific_quest_clear",VLOOKUP(SUBSTITUTE(I270,"-","_"),OFFSET([2]stages!$A$2,0,0,COUNTA([2]stages!$A:$A),MATCH("name",[2]stages!$2:$2,0)-MATCH("temp_stage",[2]stages!$2:$2,0)+1),MATCH("name",[2]stages!$2:$2,0)-MATCH("temp_stage",[2]stages!$2:$2,0)+1,FALSE),""))</f>
        <v/>
      </c>
      <c r="K270" s="15">
        <v>1</v>
      </c>
      <c r="L270" s="15" t="s">
        <v>352</v>
      </c>
      <c r="M270" s="26"/>
      <c r="N270" s="26"/>
    </row>
    <row r="271" spans="1:14" ht="44" customHeight="1" x14ac:dyDescent="0.15">
      <c r="A271" s="2" t="s">
        <v>1613</v>
      </c>
      <c r="B271" s="21" t="s">
        <v>887</v>
      </c>
      <c r="C271" s="105" t="s">
        <v>1637</v>
      </c>
      <c r="D271" s="26" t="str">
        <f ca="1">IFERROR(VLOOKUP($A271,OFFSET(achievement_criterion_id,0,0,COUNTA($A:$A),MATCH(D$1,missions!$2:$2,0)-MATCH($A$1,missions!$2:$2,0)+1),MATCH(D$1,missions!$2:$2,0)-MATCH($A$1,missions!$2:$2,0)+1,FALSE),IFERROR(VLOOKUP($A271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271" s="27" t="s">
        <v>352</v>
      </c>
      <c r="F271" s="17" t="s">
        <v>11</v>
      </c>
      <c r="G271" s="26" t="str">
        <f ca="1">VLOOKUP($F271,OFFSET(達成条件!$A$1,0,0,COUNTA($A:$A),MATCH(G$1,達成条件!$1:$1,0)-MATCH($F$1,達成条件!$1:$1,0)+1),MATCH(G$1,達成条件!$1:$1,0)-MATCH($F$1,達成条件!$1:$1,0)+1,FALSE)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71" s="26" t="str">
        <f ca="1">VLOOKUP($F271,OFFSET(達成条件!$A$1,0,0,COUNTA($A:$A),MATCH(H$1,達成条件!$1:$1,0)-MATCH($F$1,達成条件!$1:$1,0)+1),MATCH(H$1,達成条件!$1:$1,0)-MATCH($F$1,達成条件!$1:$1,0)+1,FALSE)</f>
        <v>プレイヤーランク</v>
      </c>
      <c r="I271" s="56" t="s">
        <v>1392</v>
      </c>
      <c r="J271" s="54" t="str">
        <f ca="1">IF(F271="specific_unit_aquired_count",SUBSTITUTE(G271,"x",VLOOKUP(INT($I271),OFFSET([3]characters!$A$2,0,0,COUNTA([3]characters!$A:$A),MATCH(J$1,[3]characters!$2:$2,0)-MATCH("character_id",[3]characters!$2:$2,0)+1),MATCH(J$1,[3]characters!$2:$2,0)-MATCH("character_id",[3]characters!$2:$2,0)+1,FALSE)),IF(F271="specific_quest_clear",VLOOKUP(SUBSTITUTE(I271,"-","_"),OFFSET([2]stages!$A$2,0,0,COUNTA([2]stages!$A:$A),MATCH("name",[2]stages!$2:$2,0)-MATCH("temp_stage",[2]stages!$2:$2,0)+1),MATCH("name",[2]stages!$2:$2,0)-MATCH("temp_stage",[2]stages!$2:$2,0)+1,FALSE),""))</f>
        <v/>
      </c>
      <c r="K271" s="15">
        <v>1</v>
      </c>
      <c r="L271" s="15" t="s">
        <v>352</v>
      </c>
      <c r="M271" s="26"/>
      <c r="N271" s="26"/>
    </row>
    <row r="272" spans="1:14" ht="44" customHeight="1" x14ac:dyDescent="0.15">
      <c r="A272" s="2" t="s">
        <v>1626</v>
      </c>
      <c r="B272" s="21" t="s">
        <v>887</v>
      </c>
      <c r="C272" s="105" t="s">
        <v>1638</v>
      </c>
      <c r="D272" s="26" t="str">
        <f ca="1">IFERROR(VLOOKUP($A272,OFFSET(achievement_criterion_id,0,0,COUNTA($A:$A),MATCH(D$1,missions!$2:$2,0)-MATCH($A$1,missions!$2:$2,0)+1),MATCH(D$1,missions!$2:$2,0)-MATCH($A$1,missions!$2:$2,0)+1,FALSE),IFERROR(VLOOKUP($A272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272" s="27" t="s">
        <v>352</v>
      </c>
      <c r="F272" s="17" t="s">
        <v>11</v>
      </c>
      <c r="G272" s="26" t="str">
        <f ca="1">VLOOKUP($F272,OFFSET(達成条件!$A$1,0,0,COUNTA($A:$A),MATCH(G$1,達成条件!$1:$1,0)-MATCH($F$1,達成条件!$1:$1,0)+1),MATCH(G$1,達成条件!$1:$1,0)-MATCH($F$1,達成条件!$1:$1,0)+1,FALSE)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72" s="26" t="str">
        <f ca="1">VLOOKUP($F272,OFFSET(達成条件!$A$1,0,0,COUNTA($A:$A),MATCH(H$1,達成条件!$1:$1,0)-MATCH($F$1,達成条件!$1:$1,0)+1),MATCH(H$1,達成条件!$1:$1,0)-MATCH($F$1,達成条件!$1:$1,0)+1,FALSE)</f>
        <v>プレイヤーランク</v>
      </c>
      <c r="I272" s="56" t="s">
        <v>1392</v>
      </c>
      <c r="J272" s="54" t="str">
        <f ca="1">IF(F272="specific_unit_aquired_count",SUBSTITUTE(G272,"x",VLOOKUP(INT($I272),OFFSET([3]characters!$A$2,0,0,COUNTA([3]characters!$A:$A),MATCH(J$1,[3]characters!$2:$2,0)-MATCH("character_id",[3]characters!$2:$2,0)+1),MATCH(J$1,[3]characters!$2:$2,0)-MATCH("character_id",[3]characters!$2:$2,0)+1,FALSE)),IF(F272="specific_quest_clear",VLOOKUP(SUBSTITUTE(I272,"-","_"),OFFSET([2]stages!$A$2,0,0,COUNTA([2]stages!$A:$A),MATCH("name",[2]stages!$2:$2,0)-MATCH("temp_stage",[2]stages!$2:$2,0)+1),MATCH("name",[2]stages!$2:$2,0)-MATCH("temp_stage",[2]stages!$2:$2,0)+1,FALSE),""))</f>
        <v/>
      </c>
      <c r="K272" s="15">
        <v>1</v>
      </c>
      <c r="L272" s="15" t="s">
        <v>352</v>
      </c>
      <c r="M272" s="26"/>
      <c r="N272" s="26"/>
    </row>
    <row r="273" spans="1:14" ht="44" customHeight="1" x14ac:dyDescent="0.15">
      <c r="A273" s="2" t="s">
        <v>1615</v>
      </c>
      <c r="B273" s="21" t="s">
        <v>887</v>
      </c>
      <c r="C273" s="105" t="s">
        <v>1639</v>
      </c>
      <c r="D273" s="26" t="str">
        <f ca="1">IFERROR(VLOOKUP($A273,OFFSET(achievement_criterion_id,0,0,COUNTA($A:$A),MATCH(D$1,missions!$2:$2,0)-MATCH($A$1,missions!$2:$2,0)+1),MATCH(D$1,missions!$2:$2,0)-MATCH($A$1,missions!$2:$2,0)+1,FALSE),IFERROR(VLOOKUP($A273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273" s="27" t="s">
        <v>352</v>
      </c>
      <c r="F273" s="17" t="s">
        <v>11</v>
      </c>
      <c r="G273" s="26" t="str">
        <f ca="1">VLOOKUP($F273,OFFSET(達成条件!$A$1,0,0,COUNTA($A:$A),MATCH(G$1,達成条件!$1:$1,0)-MATCH($F$1,達成条件!$1:$1,0)+1),MATCH(G$1,達成条件!$1:$1,0)-MATCH($F$1,達成条件!$1:$1,0)+1,FALSE)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73" s="26" t="str">
        <f ca="1">VLOOKUP($F273,OFFSET(達成条件!$A$1,0,0,COUNTA($A:$A),MATCH(H$1,達成条件!$1:$1,0)-MATCH($F$1,達成条件!$1:$1,0)+1),MATCH(H$1,達成条件!$1:$1,0)-MATCH($F$1,達成条件!$1:$1,0)+1,FALSE)</f>
        <v>プレイヤーランク</v>
      </c>
      <c r="I273" s="56" t="s">
        <v>1392</v>
      </c>
      <c r="J273" s="54" t="str">
        <f ca="1">IF(F273="specific_unit_aquired_count",SUBSTITUTE(G273,"x",VLOOKUP(INT($I273),OFFSET([3]characters!$A$2,0,0,COUNTA([3]characters!$A:$A),MATCH(J$1,[3]characters!$2:$2,0)-MATCH("character_id",[3]characters!$2:$2,0)+1),MATCH(J$1,[3]characters!$2:$2,0)-MATCH("character_id",[3]characters!$2:$2,0)+1,FALSE)),IF(F273="specific_quest_clear",VLOOKUP(SUBSTITUTE(I273,"-","_"),OFFSET([2]stages!$A$2,0,0,COUNTA([2]stages!$A:$A),MATCH("name",[2]stages!$2:$2,0)-MATCH("temp_stage",[2]stages!$2:$2,0)+1),MATCH("name",[2]stages!$2:$2,0)-MATCH("temp_stage",[2]stages!$2:$2,0)+1,FALSE),""))</f>
        <v/>
      </c>
      <c r="K273" s="15">
        <v>1</v>
      </c>
      <c r="L273" s="15" t="s">
        <v>352</v>
      </c>
      <c r="M273" s="26"/>
      <c r="N273" s="26"/>
    </row>
    <row r="274" spans="1:14" ht="44" customHeight="1" x14ac:dyDescent="0.15">
      <c r="A274" s="2" t="s">
        <v>1627</v>
      </c>
      <c r="B274" s="21" t="s">
        <v>887</v>
      </c>
      <c r="C274" s="105" t="s">
        <v>1645</v>
      </c>
      <c r="D274" s="26" t="str">
        <f ca="1">IFERROR(VLOOKUP($A274,OFFSET(achievement_criterion_id,0,0,COUNTA($A:$A),MATCH(D$1,missions!$2:$2,0)-MATCH($A$1,missions!$2:$2,0)+1),MATCH(D$1,missions!$2:$2,0)-MATCH($A$1,missions!$2:$2,0)+1,FALSE),IFERROR(VLOOKUP($A274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274" s="27" t="s">
        <v>352</v>
      </c>
      <c r="F274" s="17" t="s">
        <v>11</v>
      </c>
      <c r="G274" s="26" t="str">
        <f ca="1">VLOOKUP($F274,OFFSET(達成条件!$A$1,0,0,COUNTA($A:$A),MATCH(G$1,達成条件!$1:$1,0)-MATCH($F$1,達成条件!$1:$1,0)+1),MATCH(G$1,達成条件!$1:$1,0)-MATCH($F$1,達成条件!$1:$1,0)+1,FALSE)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74" s="26" t="str">
        <f ca="1">VLOOKUP($F274,OFFSET(達成条件!$A$1,0,0,COUNTA($A:$A),MATCH(H$1,達成条件!$1:$1,0)-MATCH($F$1,達成条件!$1:$1,0)+1),MATCH(H$1,達成条件!$1:$1,0)-MATCH($F$1,達成条件!$1:$1,0)+1,FALSE)</f>
        <v>プレイヤーランク</v>
      </c>
      <c r="I274" s="56" t="s">
        <v>1392</v>
      </c>
      <c r="J274" s="54" t="str">
        <f ca="1">IF(F274="specific_unit_aquired_count",SUBSTITUTE(G274,"x",VLOOKUP(INT($I274),OFFSET([3]characters!$A$2,0,0,COUNTA([3]characters!$A:$A),MATCH(J$1,[3]characters!$2:$2,0)-MATCH("character_id",[3]characters!$2:$2,0)+1),MATCH(J$1,[3]characters!$2:$2,0)-MATCH("character_id",[3]characters!$2:$2,0)+1,FALSE)),IF(F274="specific_quest_clear",VLOOKUP(SUBSTITUTE(I274,"-","_"),OFFSET([2]stages!$A$2,0,0,COUNTA([2]stages!$A:$A),MATCH("name",[2]stages!$2:$2,0)-MATCH("temp_stage",[2]stages!$2:$2,0)+1),MATCH("name",[2]stages!$2:$2,0)-MATCH("temp_stage",[2]stages!$2:$2,0)+1,FALSE),""))</f>
        <v/>
      </c>
      <c r="K274" s="15">
        <v>1</v>
      </c>
      <c r="L274" s="15" t="s">
        <v>352</v>
      </c>
      <c r="M274" s="26"/>
      <c r="N274" s="26"/>
    </row>
    <row r="275" spans="1:14" ht="44" customHeight="1" x14ac:dyDescent="0.15">
      <c r="A275" s="2" t="s">
        <v>1628</v>
      </c>
      <c r="B275" s="21" t="s">
        <v>887</v>
      </c>
      <c r="C275" s="105" t="s">
        <v>1644</v>
      </c>
      <c r="D275" s="26" t="str">
        <f ca="1">IFERROR(VLOOKUP($A275,OFFSET(achievement_criterion_id,0,0,COUNTA($A:$A),MATCH(D$1,missions!$2:$2,0)-MATCH($A$1,missions!$2:$2,0)+1),MATCH(D$1,missions!$2:$2,0)-MATCH($A$1,missions!$2:$2,0)+1,FALSE),IFERROR(VLOOKUP($A275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275" s="27" t="s">
        <v>352</v>
      </c>
      <c r="F275" s="17" t="s">
        <v>11</v>
      </c>
      <c r="G275" s="26" t="str">
        <f ca="1">VLOOKUP($F275,OFFSET(達成条件!$A$1,0,0,COUNTA($A:$A),MATCH(G$1,達成条件!$1:$1,0)-MATCH($F$1,達成条件!$1:$1,0)+1),MATCH(G$1,達成条件!$1:$1,0)-MATCH($F$1,達成条件!$1:$1,0)+1,FALSE)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75" s="26" t="str">
        <f ca="1">VLOOKUP($F275,OFFSET(達成条件!$A$1,0,0,COUNTA($A:$A),MATCH(H$1,達成条件!$1:$1,0)-MATCH($F$1,達成条件!$1:$1,0)+1),MATCH(H$1,達成条件!$1:$1,0)-MATCH($F$1,達成条件!$1:$1,0)+1,FALSE)</f>
        <v>プレイヤーランク</v>
      </c>
      <c r="I275" s="56" t="s">
        <v>1392</v>
      </c>
      <c r="J275" s="54" t="str">
        <f ca="1">IF(F275="specific_unit_aquired_count",SUBSTITUTE(G275,"x",VLOOKUP(INT($I275),OFFSET([3]characters!$A$2,0,0,COUNTA([3]characters!$A:$A),MATCH(J$1,[3]characters!$2:$2,0)-MATCH("character_id",[3]characters!$2:$2,0)+1),MATCH(J$1,[3]characters!$2:$2,0)-MATCH("character_id",[3]characters!$2:$2,0)+1,FALSE)),IF(F275="specific_quest_clear",VLOOKUP(SUBSTITUTE(I275,"-","_"),OFFSET([2]stages!$A$2,0,0,COUNTA([2]stages!$A:$A),MATCH("name",[2]stages!$2:$2,0)-MATCH("temp_stage",[2]stages!$2:$2,0)+1),MATCH("name",[2]stages!$2:$2,0)-MATCH("temp_stage",[2]stages!$2:$2,0)+1,FALSE),""))</f>
        <v/>
      </c>
      <c r="K275" s="15">
        <v>1</v>
      </c>
      <c r="L275" s="15" t="s">
        <v>352</v>
      </c>
      <c r="M275" s="26"/>
      <c r="N275" s="26"/>
    </row>
    <row r="276" spans="1:14" ht="44" customHeight="1" x14ac:dyDescent="0.15">
      <c r="A276" s="2" t="s">
        <v>1629</v>
      </c>
      <c r="B276" s="21" t="s">
        <v>887</v>
      </c>
      <c r="C276" s="105" t="s">
        <v>1643</v>
      </c>
      <c r="D276" s="26" t="str">
        <f ca="1">IFERROR(VLOOKUP($A276,OFFSET(achievement_criterion_id,0,0,COUNTA($A:$A),MATCH(D$1,missions!$2:$2,0)-MATCH($A$1,missions!$2:$2,0)+1),MATCH(D$1,missions!$2:$2,0)-MATCH($A$1,missions!$2:$2,0)+1,FALSE),IFERROR(VLOOKUP($A276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276" s="27" t="s">
        <v>352</v>
      </c>
      <c r="F276" s="17" t="s">
        <v>11</v>
      </c>
      <c r="G276" s="26" t="str">
        <f ca="1">VLOOKUP($F276,OFFSET(達成条件!$A$1,0,0,COUNTA($A:$A),MATCH(G$1,達成条件!$1:$1,0)-MATCH($F$1,達成条件!$1:$1,0)+1),MATCH(G$1,達成条件!$1:$1,0)-MATCH($F$1,達成条件!$1:$1,0)+1,FALSE)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76" s="26" t="str">
        <f ca="1">VLOOKUP($F276,OFFSET(達成条件!$A$1,0,0,COUNTA($A:$A),MATCH(H$1,達成条件!$1:$1,0)-MATCH($F$1,達成条件!$1:$1,0)+1),MATCH(H$1,達成条件!$1:$1,0)-MATCH($F$1,達成条件!$1:$1,0)+1,FALSE)</f>
        <v>プレイヤーランク</v>
      </c>
      <c r="I276" s="56" t="s">
        <v>1392</v>
      </c>
      <c r="J276" s="54" t="str">
        <f ca="1">IF(F276="specific_unit_aquired_count",SUBSTITUTE(G276,"x",VLOOKUP(INT($I276),OFFSET([3]characters!$A$2,0,0,COUNTA([3]characters!$A:$A),MATCH(J$1,[3]characters!$2:$2,0)-MATCH("character_id",[3]characters!$2:$2,0)+1),MATCH(J$1,[3]characters!$2:$2,0)-MATCH("character_id",[3]characters!$2:$2,0)+1,FALSE)),IF(F276="specific_quest_clear",VLOOKUP(SUBSTITUTE(I276,"-","_"),OFFSET([2]stages!$A$2,0,0,COUNTA([2]stages!$A:$A),MATCH("name",[2]stages!$2:$2,0)-MATCH("temp_stage",[2]stages!$2:$2,0)+1),MATCH("name",[2]stages!$2:$2,0)-MATCH("temp_stage",[2]stages!$2:$2,0)+1,FALSE),""))</f>
        <v/>
      </c>
      <c r="K276" s="15">
        <v>1</v>
      </c>
      <c r="L276" s="15" t="s">
        <v>352</v>
      </c>
      <c r="M276" s="26"/>
      <c r="N276" s="26"/>
    </row>
    <row r="277" spans="1:14" ht="44" customHeight="1" x14ac:dyDescent="0.15">
      <c r="A277" s="2" t="s">
        <v>1630</v>
      </c>
      <c r="B277" s="21" t="s">
        <v>887</v>
      </c>
      <c r="C277" s="105" t="s">
        <v>1640</v>
      </c>
      <c r="D277" s="26" t="str">
        <f ca="1">IFERROR(VLOOKUP($A277,OFFSET(achievement_criterion_id,0,0,COUNTA($A:$A),MATCH(D$1,missions!$2:$2,0)-MATCH($A$1,missions!$2:$2,0)+1),MATCH(D$1,missions!$2:$2,0)-MATCH($A$1,missions!$2:$2,0)+1,FALSE),IFERROR(VLOOKUP($A277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277" s="27" t="s">
        <v>352</v>
      </c>
      <c r="F277" s="17" t="s">
        <v>11</v>
      </c>
      <c r="G277" s="26" t="str">
        <f ca="1">VLOOKUP($F277,OFFSET(達成条件!$A$1,0,0,COUNTA($A:$A),MATCH(G$1,達成条件!$1:$1,0)-MATCH($F$1,達成条件!$1:$1,0)+1),MATCH(G$1,達成条件!$1:$1,0)-MATCH($F$1,達成条件!$1:$1,0)+1,FALSE)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77" s="26" t="str">
        <f ca="1">VLOOKUP($F277,OFFSET(達成条件!$A$1,0,0,COUNTA($A:$A),MATCH(H$1,達成条件!$1:$1,0)-MATCH($F$1,達成条件!$1:$1,0)+1),MATCH(H$1,達成条件!$1:$1,0)-MATCH($F$1,達成条件!$1:$1,0)+1,FALSE)</f>
        <v>プレイヤーランク</v>
      </c>
      <c r="I277" s="56" t="s">
        <v>1392</v>
      </c>
      <c r="J277" s="54" t="str">
        <f ca="1">IF(F277="specific_unit_aquired_count",SUBSTITUTE(G277,"x",VLOOKUP(INT($I277),OFFSET([3]characters!$A$2,0,0,COUNTA([3]characters!$A:$A),MATCH(J$1,[3]characters!$2:$2,0)-MATCH("character_id",[3]characters!$2:$2,0)+1),MATCH(J$1,[3]characters!$2:$2,0)-MATCH("character_id",[3]characters!$2:$2,0)+1,FALSE)),IF(F277="specific_quest_clear",VLOOKUP(SUBSTITUTE(I277,"-","_"),OFFSET([2]stages!$A$2,0,0,COUNTA([2]stages!$A:$A),MATCH("name",[2]stages!$2:$2,0)-MATCH("temp_stage",[2]stages!$2:$2,0)+1),MATCH("name",[2]stages!$2:$2,0)-MATCH("temp_stage",[2]stages!$2:$2,0)+1,FALSE),""))</f>
        <v/>
      </c>
      <c r="K277" s="15">
        <v>1</v>
      </c>
      <c r="L277" s="15" t="s">
        <v>352</v>
      </c>
      <c r="M277" s="26"/>
      <c r="N277" s="26"/>
    </row>
    <row r="278" spans="1:14" ht="44" customHeight="1" x14ac:dyDescent="0.15">
      <c r="A278" s="2" t="s">
        <v>1631</v>
      </c>
      <c r="B278" s="21" t="s">
        <v>887</v>
      </c>
      <c r="C278" s="105" t="s">
        <v>1642</v>
      </c>
      <c r="D278" s="26" t="str">
        <f ca="1">IFERROR(VLOOKUP($A278,OFFSET(achievement_criterion_id,0,0,COUNTA($A:$A),MATCH(D$1,missions!$2:$2,0)-MATCH($A$1,missions!$2:$2,0)+1),MATCH(D$1,missions!$2:$2,0)-MATCH($A$1,missions!$2:$2,0)+1,FALSE),IFERROR(VLOOKUP($A278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278" s="27" t="s">
        <v>352</v>
      </c>
      <c r="F278" s="17" t="s">
        <v>11</v>
      </c>
      <c r="G278" s="26" t="str">
        <f ca="1">VLOOKUP($F278,OFFSET(達成条件!$A$1,0,0,COUNTA($A:$A),MATCH(G$1,達成条件!$1:$1,0)-MATCH($F$1,達成条件!$1:$1,0)+1),MATCH(G$1,達成条件!$1:$1,0)-MATCH($F$1,達成条件!$1:$1,0)+1,FALSE)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78" s="26" t="str">
        <f ca="1">VLOOKUP($F278,OFFSET(達成条件!$A$1,0,0,COUNTA($A:$A),MATCH(H$1,達成条件!$1:$1,0)-MATCH($F$1,達成条件!$1:$1,0)+1),MATCH(H$1,達成条件!$1:$1,0)-MATCH($F$1,達成条件!$1:$1,0)+1,FALSE)</f>
        <v>プレイヤーランク</v>
      </c>
      <c r="I278" s="56" t="s">
        <v>1392</v>
      </c>
      <c r="J278" s="54" t="str">
        <f ca="1">IF(F278="specific_unit_aquired_count",SUBSTITUTE(G278,"x",VLOOKUP(INT($I278),OFFSET([3]characters!$A$2,0,0,COUNTA([3]characters!$A:$A),MATCH(J$1,[3]characters!$2:$2,0)-MATCH("character_id",[3]characters!$2:$2,0)+1),MATCH(J$1,[3]characters!$2:$2,0)-MATCH("character_id",[3]characters!$2:$2,0)+1,FALSE)),IF(F278="specific_quest_clear",VLOOKUP(SUBSTITUTE(I278,"-","_"),OFFSET([2]stages!$A$2,0,0,COUNTA([2]stages!$A:$A),MATCH("name",[2]stages!$2:$2,0)-MATCH("temp_stage",[2]stages!$2:$2,0)+1),MATCH("name",[2]stages!$2:$2,0)-MATCH("temp_stage",[2]stages!$2:$2,0)+1,FALSE),""))</f>
        <v/>
      </c>
      <c r="K278" s="15">
        <v>1</v>
      </c>
      <c r="L278" s="15" t="s">
        <v>352</v>
      </c>
      <c r="M278" s="26"/>
      <c r="N278" s="26"/>
    </row>
    <row r="279" spans="1:14" ht="44" customHeight="1" x14ac:dyDescent="0.15">
      <c r="A279" s="2" t="s">
        <v>1632</v>
      </c>
      <c r="B279" s="21" t="s">
        <v>887</v>
      </c>
      <c r="C279" s="105" t="s">
        <v>1641</v>
      </c>
      <c r="D279" s="26" t="str">
        <f ca="1">IFERROR(VLOOKUP($A279,OFFSET(achievement_criterion_id,0,0,COUNTA($A:$A),MATCH(D$1,missions!$2:$2,0)-MATCH($A$1,missions!$2:$2,0)+1),MATCH(D$1,missions!$2:$2,0)-MATCH($A$1,missions!$2:$2,0)+1,FALSE),IFERROR(VLOOKUP($A279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279" s="27" t="s">
        <v>352</v>
      </c>
      <c r="F279" s="17" t="s">
        <v>11</v>
      </c>
      <c r="G279" s="26" t="str">
        <f ca="1">VLOOKUP($F279,OFFSET(達成条件!$A$1,0,0,COUNTA($A:$A),MATCH(G$1,達成条件!$1:$1,0)-MATCH($F$1,達成条件!$1:$1,0)+1),MATCH(G$1,達成条件!$1:$1,0)-MATCH($F$1,達成条件!$1:$1,0)+1,FALSE)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79" s="26" t="str">
        <f ca="1">VLOOKUP($F279,OFFSET(達成条件!$A$1,0,0,COUNTA($A:$A),MATCH(H$1,達成条件!$1:$1,0)-MATCH($F$1,達成条件!$1:$1,0)+1),MATCH(H$1,達成条件!$1:$1,0)-MATCH($F$1,達成条件!$1:$1,0)+1,FALSE)</f>
        <v>プレイヤーランク</v>
      </c>
      <c r="I279" s="56" t="s">
        <v>1392</v>
      </c>
      <c r="J279" s="54" t="str">
        <f ca="1">IF(F279="specific_unit_aquired_count",SUBSTITUTE(G279,"x",VLOOKUP(INT($I279),OFFSET([3]characters!$A$2,0,0,COUNTA([3]characters!$A:$A),MATCH(J$1,[3]characters!$2:$2,0)-MATCH("character_id",[3]characters!$2:$2,0)+1),MATCH(J$1,[3]characters!$2:$2,0)-MATCH("character_id",[3]characters!$2:$2,0)+1,FALSE)),IF(F279="specific_quest_clear",VLOOKUP(SUBSTITUTE(I279,"-","_"),OFFSET([2]stages!$A$2,0,0,COUNTA([2]stages!$A:$A),MATCH("name",[2]stages!$2:$2,0)-MATCH("temp_stage",[2]stages!$2:$2,0)+1),MATCH("name",[2]stages!$2:$2,0)-MATCH("temp_stage",[2]stages!$2:$2,0)+1,FALSE),""))</f>
        <v/>
      </c>
      <c r="K279" s="15">
        <v>1</v>
      </c>
      <c r="L279" s="15" t="s">
        <v>352</v>
      </c>
      <c r="M279" s="26"/>
      <c r="N279" s="26"/>
    </row>
    <row r="280" spans="1:14" ht="44" customHeight="1" x14ac:dyDescent="0.15">
      <c r="A280" s="2" t="s">
        <v>1324</v>
      </c>
      <c r="B280" s="21" t="s">
        <v>887</v>
      </c>
      <c r="C280" s="105" t="s">
        <v>1353</v>
      </c>
      <c r="D280" s="26" t="str">
        <f ca="1">IFERROR(VLOOKUP($A280,OFFSET(achievement_criterion_id,0,0,COUNTA($A:$A),MATCH(D$1,missions!$2:$2,0)-MATCH($A$1,missions!$2:$2,0)+1),MATCH(D$1,missions!$2:$2,0)-MATCH($A$1,missions!$2:$2,0)+1,FALSE),IFERROR(VLOOKUP($A280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280" s="27" t="s">
        <v>352</v>
      </c>
      <c r="F280" s="17" t="s">
        <v>11</v>
      </c>
      <c r="G280" s="26" t="str">
        <f ca="1">VLOOKUP($F280,OFFSET(達成条件!$A$1,0,0,COUNTA($A:$A),MATCH(G$1,達成条件!$1:$1,0)-MATCH($F$1,達成条件!$1:$1,0)+1),MATCH(G$1,達成条件!$1:$1,0)-MATCH($F$1,達成条件!$1:$1,0)+1,FALSE)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80" s="26" t="str">
        <f ca="1">VLOOKUP($F280,OFFSET(達成条件!$A$1,0,0,COUNTA($A:$A),MATCH(H$1,達成条件!$1:$1,0)-MATCH($F$1,達成条件!$1:$1,0)+1),MATCH(H$1,達成条件!$1:$1,0)-MATCH($F$1,達成条件!$1:$1,0)+1,FALSE)</f>
        <v>プレイヤーランク</v>
      </c>
      <c r="I280" s="56" t="s">
        <v>1392</v>
      </c>
      <c r="J280" s="54" t="str">
        <f ca="1">IF(F280="specific_unit_aquired_count",SUBSTITUTE(G280,"x",VLOOKUP(INT($I280),OFFSET([3]characters!$A$2,0,0,COUNTA([3]characters!$A:$A),MATCH(J$1,[3]characters!$2:$2,0)-MATCH("character_id",[3]characters!$2:$2,0)+1),MATCH(J$1,[3]characters!$2:$2,0)-MATCH("character_id",[3]characters!$2:$2,0)+1,FALSE)),IF(F280="specific_quest_clear",VLOOKUP(SUBSTITUTE(I280,"-","_"),OFFSET([2]stages!$A$2,0,0,COUNTA([2]stages!$A:$A),MATCH("name",[2]stages!$2:$2,0)-MATCH("temp_stage",[2]stages!$2:$2,0)+1),MATCH("name",[2]stages!$2:$2,0)-MATCH("temp_stage",[2]stages!$2:$2,0)+1,FALSE),""))</f>
        <v/>
      </c>
      <c r="K280" s="15">
        <v>1</v>
      </c>
      <c r="L280" s="15" t="s">
        <v>352</v>
      </c>
      <c r="M280" s="26"/>
      <c r="N280" s="26"/>
    </row>
    <row r="281" spans="1:14" ht="44" customHeight="1" x14ac:dyDescent="0.15">
      <c r="A281" s="2" t="s">
        <v>1325</v>
      </c>
      <c r="B281" s="21" t="s">
        <v>887</v>
      </c>
      <c r="C281" s="105" t="s">
        <v>1354</v>
      </c>
      <c r="D281" s="26" t="str">
        <f ca="1">IFERROR(VLOOKUP($A281,OFFSET(achievement_criterion_id,0,0,COUNTA($A:$A),MATCH(D$1,missions!$2:$2,0)-MATCH($A$1,missions!$2:$2,0)+1),MATCH(D$1,missions!$2:$2,0)-MATCH($A$1,missions!$2:$2,0)+1,FALSE),IFERROR(VLOOKUP($A281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281" s="27" t="s">
        <v>352</v>
      </c>
      <c r="F281" s="17" t="s">
        <v>11</v>
      </c>
      <c r="G281" s="26" t="str">
        <f ca="1">VLOOKUP($F281,OFFSET(達成条件!$A$1,0,0,COUNTA($A:$A),MATCH(G$1,達成条件!$1:$1,0)-MATCH($F$1,達成条件!$1:$1,0)+1),MATCH(G$1,達成条件!$1:$1,0)-MATCH($F$1,達成条件!$1:$1,0)+1,FALSE)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81" s="26" t="str">
        <f ca="1">VLOOKUP($F281,OFFSET(達成条件!$A$1,0,0,COUNTA($A:$A),MATCH(H$1,達成条件!$1:$1,0)-MATCH($F$1,達成条件!$1:$1,0)+1),MATCH(H$1,達成条件!$1:$1,0)-MATCH($F$1,達成条件!$1:$1,0)+1,FALSE)</f>
        <v>プレイヤーランク</v>
      </c>
      <c r="I281" s="56" t="s">
        <v>1392</v>
      </c>
      <c r="J281" s="54" t="str">
        <f ca="1">IF(F281="specific_unit_aquired_count",SUBSTITUTE(G281,"x",VLOOKUP(INT($I281),OFFSET([3]characters!$A$2,0,0,COUNTA([3]characters!$A:$A),MATCH(J$1,[3]characters!$2:$2,0)-MATCH("character_id",[3]characters!$2:$2,0)+1),MATCH(J$1,[3]characters!$2:$2,0)-MATCH("character_id",[3]characters!$2:$2,0)+1,FALSE)),IF(F281="specific_quest_clear",VLOOKUP(SUBSTITUTE(I281,"-","_"),OFFSET([2]stages!$A$2,0,0,COUNTA([2]stages!$A:$A),MATCH("name",[2]stages!$2:$2,0)-MATCH("temp_stage",[2]stages!$2:$2,0)+1),MATCH("name",[2]stages!$2:$2,0)-MATCH("temp_stage",[2]stages!$2:$2,0)+1,FALSE),""))</f>
        <v/>
      </c>
      <c r="K281" s="15">
        <v>1</v>
      </c>
      <c r="L281" s="15" t="s">
        <v>352</v>
      </c>
      <c r="M281" s="26"/>
      <c r="N281" s="26"/>
    </row>
    <row r="282" spans="1:14" ht="44" customHeight="1" x14ac:dyDescent="0.15">
      <c r="A282" s="2" t="s">
        <v>1326</v>
      </c>
      <c r="B282" s="21" t="s">
        <v>887</v>
      </c>
      <c r="C282" s="105" t="s">
        <v>1355</v>
      </c>
      <c r="D282" s="26" t="str">
        <f ca="1">IFERROR(VLOOKUP($A282,OFFSET(achievement_criterion_id,0,0,COUNTA($A:$A),MATCH(D$1,missions!$2:$2,0)-MATCH($A$1,missions!$2:$2,0)+1),MATCH(D$1,missions!$2:$2,0)-MATCH($A$1,missions!$2:$2,0)+1,FALSE),IFERROR(VLOOKUP($A282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282" s="27" t="s">
        <v>352</v>
      </c>
      <c r="F282" s="17" t="s">
        <v>11</v>
      </c>
      <c r="G282" s="26" t="str">
        <f ca="1">VLOOKUP($F282,OFFSET(達成条件!$A$1,0,0,COUNTA($A:$A),MATCH(G$1,達成条件!$1:$1,0)-MATCH($F$1,達成条件!$1:$1,0)+1),MATCH(G$1,達成条件!$1:$1,0)-MATCH($F$1,達成条件!$1:$1,0)+1,FALSE)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82" s="26" t="str">
        <f ca="1">VLOOKUP($F282,OFFSET(達成条件!$A$1,0,0,COUNTA($A:$A),MATCH(H$1,達成条件!$1:$1,0)-MATCH($F$1,達成条件!$1:$1,0)+1),MATCH(H$1,達成条件!$1:$1,0)-MATCH($F$1,達成条件!$1:$1,0)+1,FALSE)</f>
        <v>プレイヤーランク</v>
      </c>
      <c r="I282" s="56" t="s">
        <v>1392</v>
      </c>
      <c r="J282" s="54" t="str">
        <f ca="1">IF(F282="specific_unit_aquired_count",SUBSTITUTE(G282,"x",VLOOKUP(INT($I282),OFFSET([3]characters!$A$2,0,0,COUNTA([3]characters!$A:$A),MATCH(J$1,[3]characters!$2:$2,0)-MATCH("character_id",[3]characters!$2:$2,0)+1),MATCH(J$1,[3]characters!$2:$2,0)-MATCH("character_id",[3]characters!$2:$2,0)+1,FALSE)),IF(F282="specific_quest_clear",VLOOKUP(SUBSTITUTE(I282,"-","_"),OFFSET([2]stages!$A$2,0,0,COUNTA([2]stages!$A:$A),MATCH("name",[2]stages!$2:$2,0)-MATCH("temp_stage",[2]stages!$2:$2,0)+1),MATCH("name",[2]stages!$2:$2,0)-MATCH("temp_stage",[2]stages!$2:$2,0)+1,FALSE),""))</f>
        <v/>
      </c>
      <c r="K282" s="15">
        <v>1</v>
      </c>
      <c r="L282" s="15" t="s">
        <v>352</v>
      </c>
      <c r="M282" s="26"/>
      <c r="N282" s="26"/>
    </row>
    <row r="283" spans="1:14" ht="44" customHeight="1" x14ac:dyDescent="0.15">
      <c r="A283" s="2" t="s">
        <v>1327</v>
      </c>
      <c r="B283" s="21" t="s">
        <v>887</v>
      </c>
      <c r="C283" s="105" t="s">
        <v>1356</v>
      </c>
      <c r="D283" s="26" t="str">
        <f ca="1">IFERROR(VLOOKUP($A283,OFFSET(achievement_criterion_id,0,0,COUNTA($A:$A),MATCH(D$1,missions!$2:$2,0)-MATCH($A$1,missions!$2:$2,0)+1),MATCH(D$1,missions!$2:$2,0)-MATCH($A$1,missions!$2:$2,0)+1,FALSE),IFERROR(VLOOKUP($A283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283" s="27" t="s">
        <v>352</v>
      </c>
      <c r="F283" s="17" t="s">
        <v>11</v>
      </c>
      <c r="G283" s="26" t="str">
        <f ca="1">VLOOKUP($F283,OFFSET(達成条件!$A$1,0,0,COUNTA($A:$A),MATCH(G$1,達成条件!$1:$1,0)-MATCH($F$1,達成条件!$1:$1,0)+1),MATCH(G$1,達成条件!$1:$1,0)-MATCH($F$1,達成条件!$1:$1,0)+1,FALSE)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83" s="26" t="str">
        <f ca="1">VLOOKUP($F283,OFFSET(達成条件!$A$1,0,0,COUNTA($A:$A),MATCH(H$1,達成条件!$1:$1,0)-MATCH($F$1,達成条件!$1:$1,0)+1),MATCH(H$1,達成条件!$1:$1,0)-MATCH($F$1,達成条件!$1:$1,0)+1,FALSE)</f>
        <v>プレイヤーランク</v>
      </c>
      <c r="I283" s="56" t="s">
        <v>1392</v>
      </c>
      <c r="J283" s="54" t="str">
        <f ca="1">IF(F283="specific_unit_aquired_count",SUBSTITUTE(G283,"x",VLOOKUP(INT($I283),OFFSET([3]characters!$A$2,0,0,COUNTA([3]characters!$A:$A),MATCH(J$1,[3]characters!$2:$2,0)-MATCH("character_id",[3]characters!$2:$2,0)+1),MATCH(J$1,[3]characters!$2:$2,0)-MATCH("character_id",[3]characters!$2:$2,0)+1,FALSE)),IF(F283="specific_quest_clear",VLOOKUP(SUBSTITUTE(I283,"-","_"),OFFSET([2]stages!$A$2,0,0,COUNTA([2]stages!$A:$A),MATCH("name",[2]stages!$2:$2,0)-MATCH("temp_stage",[2]stages!$2:$2,0)+1),MATCH("name",[2]stages!$2:$2,0)-MATCH("temp_stage",[2]stages!$2:$2,0)+1,FALSE),""))</f>
        <v/>
      </c>
      <c r="K283" s="15">
        <v>1</v>
      </c>
      <c r="L283" s="15" t="s">
        <v>352</v>
      </c>
      <c r="M283" s="26"/>
      <c r="N283" s="26"/>
    </row>
    <row r="284" spans="1:14" ht="44" customHeight="1" x14ac:dyDescent="0.15">
      <c r="A284" s="2" t="s">
        <v>1328</v>
      </c>
      <c r="B284" s="21" t="s">
        <v>887</v>
      </c>
      <c r="C284" s="105" t="s">
        <v>1357</v>
      </c>
      <c r="D284" s="26" t="str">
        <f ca="1">IFERROR(VLOOKUP($A284,OFFSET(achievement_criterion_id,0,0,COUNTA($A:$A),MATCH(D$1,missions!$2:$2,0)-MATCH($A$1,missions!$2:$2,0)+1),MATCH(D$1,missions!$2:$2,0)-MATCH($A$1,missions!$2:$2,0)+1,FALSE),IFERROR(VLOOKUP($A284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284" s="27" t="s">
        <v>352</v>
      </c>
      <c r="F284" s="17" t="s">
        <v>11</v>
      </c>
      <c r="G284" s="26" t="str">
        <f ca="1">VLOOKUP($F284,OFFSET(達成条件!$A$1,0,0,COUNTA($A:$A),MATCH(G$1,達成条件!$1:$1,0)-MATCH($F$1,達成条件!$1:$1,0)+1),MATCH(G$1,達成条件!$1:$1,0)-MATCH($F$1,達成条件!$1:$1,0)+1,FALSE)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84" s="26" t="str">
        <f ca="1">VLOOKUP($F284,OFFSET(達成条件!$A$1,0,0,COUNTA($A:$A),MATCH(H$1,達成条件!$1:$1,0)-MATCH($F$1,達成条件!$1:$1,0)+1),MATCH(H$1,達成条件!$1:$1,0)-MATCH($F$1,達成条件!$1:$1,0)+1,FALSE)</f>
        <v>プレイヤーランク</v>
      </c>
      <c r="I284" s="56" t="s">
        <v>1392</v>
      </c>
      <c r="J284" s="54" t="str">
        <f ca="1">IF(F284="specific_unit_aquired_count",SUBSTITUTE(G284,"x",VLOOKUP(INT($I284),OFFSET([3]characters!$A$2,0,0,COUNTA([3]characters!$A:$A),MATCH(J$1,[3]characters!$2:$2,0)-MATCH("character_id",[3]characters!$2:$2,0)+1),MATCH(J$1,[3]characters!$2:$2,0)-MATCH("character_id",[3]characters!$2:$2,0)+1,FALSE)),IF(F284="specific_quest_clear",VLOOKUP(SUBSTITUTE(I284,"-","_"),OFFSET([2]stages!$A$2,0,0,COUNTA([2]stages!$A:$A),MATCH("name",[2]stages!$2:$2,0)-MATCH("temp_stage",[2]stages!$2:$2,0)+1),MATCH("name",[2]stages!$2:$2,0)-MATCH("temp_stage",[2]stages!$2:$2,0)+1,FALSE),""))</f>
        <v/>
      </c>
      <c r="K284" s="15">
        <v>1</v>
      </c>
      <c r="L284" s="15" t="s">
        <v>352</v>
      </c>
      <c r="M284" s="26"/>
      <c r="N284" s="26"/>
    </row>
    <row r="285" spans="1:14" ht="44" customHeight="1" x14ac:dyDescent="0.15">
      <c r="A285" s="2" t="s">
        <v>1333</v>
      </c>
      <c r="B285" s="21" t="s">
        <v>887</v>
      </c>
      <c r="C285" s="105" t="s">
        <v>1358</v>
      </c>
      <c r="D285" s="26" t="str">
        <f ca="1">IFERROR(VLOOKUP($A285,OFFSET(achievement_criterion_id,0,0,COUNTA($A:$A),MATCH(D$1,missions!$2:$2,0)-MATCH($A$1,missions!$2:$2,0)+1),MATCH(D$1,missions!$2:$2,0)-MATCH($A$1,missions!$2:$2,0)+1,FALSE),IFERROR(VLOOKUP($A285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285" s="27" t="s">
        <v>352</v>
      </c>
      <c r="F285" s="17" t="s">
        <v>11</v>
      </c>
      <c r="G285" s="26" t="str">
        <f ca="1">VLOOKUP($F285,OFFSET(達成条件!$A$1,0,0,COUNTA($A:$A),MATCH(G$1,達成条件!$1:$1,0)-MATCH($F$1,達成条件!$1:$1,0)+1),MATCH(G$1,達成条件!$1:$1,0)-MATCH($F$1,達成条件!$1:$1,0)+1,FALSE)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85" s="26" t="str">
        <f ca="1">VLOOKUP($F285,OFFSET(達成条件!$A$1,0,0,COUNTA($A:$A),MATCH(H$1,達成条件!$1:$1,0)-MATCH($F$1,達成条件!$1:$1,0)+1),MATCH(H$1,達成条件!$1:$1,0)-MATCH($F$1,達成条件!$1:$1,0)+1,FALSE)</f>
        <v>プレイヤーランク</v>
      </c>
      <c r="I285" s="56" t="s">
        <v>1392</v>
      </c>
      <c r="J285" s="54" t="str">
        <f ca="1">IF(F285="specific_unit_aquired_count",SUBSTITUTE(G285,"x",VLOOKUP(INT($I285),OFFSET([3]characters!$A$2,0,0,COUNTA([3]characters!$A:$A),MATCH(J$1,[3]characters!$2:$2,0)-MATCH("character_id",[3]characters!$2:$2,0)+1),MATCH(J$1,[3]characters!$2:$2,0)-MATCH("character_id",[3]characters!$2:$2,0)+1,FALSE)),IF(F285="specific_quest_clear",VLOOKUP(SUBSTITUTE(I285,"-","_"),OFFSET([2]stages!$A$2,0,0,COUNTA([2]stages!$A:$A),MATCH("name",[2]stages!$2:$2,0)-MATCH("temp_stage",[2]stages!$2:$2,0)+1),MATCH("name",[2]stages!$2:$2,0)-MATCH("temp_stage",[2]stages!$2:$2,0)+1,FALSE),""))</f>
        <v/>
      </c>
      <c r="K285" s="15">
        <v>1</v>
      </c>
      <c r="L285" s="15" t="s">
        <v>352</v>
      </c>
      <c r="M285" s="26"/>
      <c r="N285" s="26"/>
    </row>
    <row r="286" spans="1:14" ht="44" customHeight="1" x14ac:dyDescent="0.15">
      <c r="A286" s="2" t="s">
        <v>1334</v>
      </c>
      <c r="B286" s="21" t="s">
        <v>887</v>
      </c>
      <c r="C286" s="105" t="s">
        <v>1359</v>
      </c>
      <c r="D286" s="26" t="str">
        <f ca="1">IFERROR(VLOOKUP($A286,OFFSET(achievement_criterion_id,0,0,COUNTA($A:$A),MATCH(D$1,missions!$2:$2,0)-MATCH($A$1,missions!$2:$2,0)+1),MATCH(D$1,missions!$2:$2,0)-MATCH($A$1,missions!$2:$2,0)+1,FALSE),IFERROR(VLOOKUP($A286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286" s="27" t="s">
        <v>352</v>
      </c>
      <c r="F286" s="17" t="s">
        <v>11</v>
      </c>
      <c r="G286" s="26" t="str">
        <f ca="1">VLOOKUP($F286,OFFSET(達成条件!$A$1,0,0,COUNTA($A:$A),MATCH(G$1,達成条件!$1:$1,0)-MATCH($F$1,達成条件!$1:$1,0)+1),MATCH(G$1,達成条件!$1:$1,0)-MATCH($F$1,達成条件!$1:$1,0)+1,FALSE)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86" s="26" t="str">
        <f ca="1">VLOOKUP($F286,OFFSET(達成条件!$A$1,0,0,COUNTA($A:$A),MATCH(H$1,達成条件!$1:$1,0)-MATCH($F$1,達成条件!$1:$1,0)+1),MATCH(H$1,達成条件!$1:$1,0)-MATCH($F$1,達成条件!$1:$1,0)+1,FALSE)</f>
        <v>プレイヤーランク</v>
      </c>
      <c r="I286" s="56" t="s">
        <v>1392</v>
      </c>
      <c r="J286" s="54" t="str">
        <f ca="1">IF(F286="specific_unit_aquired_count",SUBSTITUTE(G286,"x",VLOOKUP(INT($I286),OFFSET([3]characters!$A$2,0,0,COUNTA([3]characters!$A:$A),MATCH(J$1,[3]characters!$2:$2,0)-MATCH("character_id",[3]characters!$2:$2,0)+1),MATCH(J$1,[3]characters!$2:$2,0)-MATCH("character_id",[3]characters!$2:$2,0)+1,FALSE)),IF(F286="specific_quest_clear",VLOOKUP(SUBSTITUTE(I286,"-","_"),OFFSET([2]stages!$A$2,0,0,COUNTA([2]stages!$A:$A),MATCH("name",[2]stages!$2:$2,0)-MATCH("temp_stage",[2]stages!$2:$2,0)+1),MATCH("name",[2]stages!$2:$2,0)-MATCH("temp_stage",[2]stages!$2:$2,0)+1,FALSE),""))</f>
        <v/>
      </c>
      <c r="K286" s="15">
        <v>1</v>
      </c>
      <c r="L286" s="15" t="s">
        <v>352</v>
      </c>
      <c r="M286" s="26"/>
      <c r="N286" s="26"/>
    </row>
    <row r="287" spans="1:14" ht="44" customHeight="1" x14ac:dyDescent="0.15">
      <c r="A287" s="2" t="s">
        <v>1335</v>
      </c>
      <c r="B287" s="21" t="s">
        <v>887</v>
      </c>
      <c r="C287" s="105" t="s">
        <v>1360</v>
      </c>
      <c r="D287" s="26" t="str">
        <f ca="1">IFERROR(VLOOKUP($A287,OFFSET(achievement_criterion_id,0,0,COUNTA($A:$A),MATCH(D$1,missions!$2:$2,0)-MATCH($A$1,missions!$2:$2,0)+1),MATCH(D$1,missions!$2:$2,0)-MATCH($A$1,missions!$2:$2,0)+1,FALSE),IFERROR(VLOOKUP($A287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287" s="27" t="s">
        <v>352</v>
      </c>
      <c r="F287" s="17" t="s">
        <v>11</v>
      </c>
      <c r="G287" s="26" t="str">
        <f ca="1">VLOOKUP($F287,OFFSET(達成条件!$A$1,0,0,COUNTA($A:$A),MATCH(G$1,達成条件!$1:$1,0)-MATCH($F$1,達成条件!$1:$1,0)+1),MATCH(G$1,達成条件!$1:$1,0)-MATCH($F$1,達成条件!$1:$1,0)+1,FALSE)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87" s="26" t="str">
        <f ca="1">VLOOKUP($F287,OFFSET(達成条件!$A$1,0,0,COUNTA($A:$A),MATCH(H$1,達成条件!$1:$1,0)-MATCH($F$1,達成条件!$1:$1,0)+1),MATCH(H$1,達成条件!$1:$1,0)-MATCH($F$1,達成条件!$1:$1,0)+1,FALSE)</f>
        <v>プレイヤーランク</v>
      </c>
      <c r="I287" s="56" t="s">
        <v>1392</v>
      </c>
      <c r="J287" s="54" t="str">
        <f ca="1">IF(F287="specific_unit_aquired_count",SUBSTITUTE(G287,"x",VLOOKUP(INT($I287),OFFSET([3]characters!$A$2,0,0,COUNTA([3]characters!$A:$A),MATCH(J$1,[3]characters!$2:$2,0)-MATCH("character_id",[3]characters!$2:$2,0)+1),MATCH(J$1,[3]characters!$2:$2,0)-MATCH("character_id",[3]characters!$2:$2,0)+1,FALSE)),IF(F287="specific_quest_clear",VLOOKUP(SUBSTITUTE(I287,"-","_"),OFFSET([2]stages!$A$2,0,0,COUNTA([2]stages!$A:$A),MATCH("name",[2]stages!$2:$2,0)-MATCH("temp_stage",[2]stages!$2:$2,0)+1),MATCH("name",[2]stages!$2:$2,0)-MATCH("temp_stage",[2]stages!$2:$2,0)+1,FALSE),""))</f>
        <v/>
      </c>
      <c r="K287" s="15">
        <v>1</v>
      </c>
      <c r="L287" s="15" t="s">
        <v>352</v>
      </c>
      <c r="M287" s="26"/>
      <c r="N287" s="26"/>
    </row>
    <row r="288" spans="1:14" ht="44" customHeight="1" x14ac:dyDescent="0.15">
      <c r="A288" s="2" t="s">
        <v>1336</v>
      </c>
      <c r="B288" s="21" t="s">
        <v>887</v>
      </c>
      <c r="C288" s="105" t="s">
        <v>1361</v>
      </c>
      <c r="D288" s="26" t="str">
        <f ca="1">IFERROR(VLOOKUP($A288,OFFSET(achievement_criterion_id,0,0,COUNTA($A:$A),MATCH(D$1,missions!$2:$2,0)-MATCH($A$1,missions!$2:$2,0)+1),MATCH(D$1,missions!$2:$2,0)-MATCH($A$1,missions!$2:$2,0)+1,FALSE),IFERROR(VLOOKUP($A288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288" s="27" t="s">
        <v>352</v>
      </c>
      <c r="F288" s="17" t="s">
        <v>11</v>
      </c>
      <c r="G288" s="26" t="str">
        <f ca="1">VLOOKUP($F288,OFFSET(達成条件!$A$1,0,0,COUNTA($A:$A),MATCH(G$1,達成条件!$1:$1,0)-MATCH($F$1,達成条件!$1:$1,0)+1),MATCH(G$1,達成条件!$1:$1,0)-MATCH($F$1,達成条件!$1:$1,0)+1,FALSE)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88" s="26" t="str">
        <f ca="1">VLOOKUP($F288,OFFSET(達成条件!$A$1,0,0,COUNTA($A:$A),MATCH(H$1,達成条件!$1:$1,0)-MATCH($F$1,達成条件!$1:$1,0)+1),MATCH(H$1,達成条件!$1:$1,0)-MATCH($F$1,達成条件!$1:$1,0)+1,FALSE)</f>
        <v>プレイヤーランク</v>
      </c>
      <c r="I288" s="56" t="s">
        <v>1392</v>
      </c>
      <c r="J288" s="54" t="str">
        <f ca="1">IF(F288="specific_unit_aquired_count",SUBSTITUTE(G288,"x",VLOOKUP(INT($I288),OFFSET([3]characters!$A$2,0,0,COUNTA([3]characters!$A:$A),MATCH(J$1,[3]characters!$2:$2,0)-MATCH("character_id",[3]characters!$2:$2,0)+1),MATCH(J$1,[3]characters!$2:$2,0)-MATCH("character_id",[3]characters!$2:$2,0)+1,FALSE)),IF(F288="specific_quest_clear",VLOOKUP(SUBSTITUTE(I288,"-","_"),OFFSET([2]stages!$A$2,0,0,COUNTA([2]stages!$A:$A),MATCH("name",[2]stages!$2:$2,0)-MATCH("temp_stage",[2]stages!$2:$2,0)+1),MATCH("name",[2]stages!$2:$2,0)-MATCH("temp_stage",[2]stages!$2:$2,0)+1,FALSE),""))</f>
        <v/>
      </c>
      <c r="K288" s="15">
        <v>1</v>
      </c>
      <c r="L288" s="15" t="s">
        <v>352</v>
      </c>
      <c r="M288" s="26"/>
      <c r="N288" s="26"/>
    </row>
    <row r="289" spans="1:14" ht="44" customHeight="1" x14ac:dyDescent="0.15">
      <c r="A289" s="2" t="s">
        <v>1337</v>
      </c>
      <c r="B289" s="21" t="s">
        <v>887</v>
      </c>
      <c r="C289" s="105" t="s">
        <v>1362</v>
      </c>
      <c r="D289" s="26" t="str">
        <f ca="1">IFERROR(VLOOKUP($A289,OFFSET(achievement_criterion_id,0,0,COUNTA($A:$A),MATCH(D$1,missions!$2:$2,0)-MATCH($A$1,missions!$2:$2,0)+1),MATCH(D$1,missions!$2:$2,0)-MATCH($A$1,missions!$2:$2,0)+1,FALSE),IFERROR(VLOOKUP($A289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289" s="27" t="s">
        <v>352</v>
      </c>
      <c r="F289" s="17" t="s">
        <v>11</v>
      </c>
      <c r="G289" s="26" t="str">
        <f ca="1">VLOOKUP($F289,OFFSET(達成条件!$A$1,0,0,COUNTA($A:$A),MATCH(G$1,達成条件!$1:$1,0)-MATCH($F$1,達成条件!$1:$1,0)+1),MATCH(G$1,達成条件!$1:$1,0)-MATCH($F$1,達成条件!$1:$1,0)+1,FALSE)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89" s="26" t="str">
        <f ca="1">VLOOKUP($F289,OFFSET(達成条件!$A$1,0,0,COUNTA($A:$A),MATCH(H$1,達成条件!$1:$1,0)-MATCH($F$1,達成条件!$1:$1,0)+1),MATCH(H$1,達成条件!$1:$1,0)-MATCH($F$1,達成条件!$1:$1,0)+1,FALSE)</f>
        <v>プレイヤーランク</v>
      </c>
      <c r="I289" s="56" t="s">
        <v>1392</v>
      </c>
      <c r="J289" s="54" t="str">
        <f ca="1">IF(F289="specific_unit_aquired_count",SUBSTITUTE(G289,"x",VLOOKUP(INT($I289),OFFSET([3]characters!$A$2,0,0,COUNTA([3]characters!$A:$A),MATCH(J$1,[3]characters!$2:$2,0)-MATCH("character_id",[3]characters!$2:$2,0)+1),MATCH(J$1,[3]characters!$2:$2,0)-MATCH("character_id",[3]characters!$2:$2,0)+1,FALSE)),IF(F289="specific_quest_clear",VLOOKUP(SUBSTITUTE(I289,"-","_"),OFFSET([2]stages!$A$2,0,0,COUNTA([2]stages!$A:$A),MATCH("name",[2]stages!$2:$2,0)-MATCH("temp_stage",[2]stages!$2:$2,0)+1),MATCH("name",[2]stages!$2:$2,0)-MATCH("temp_stage",[2]stages!$2:$2,0)+1,FALSE),""))</f>
        <v/>
      </c>
      <c r="K289" s="15">
        <v>1</v>
      </c>
      <c r="L289" s="15" t="s">
        <v>352</v>
      </c>
      <c r="M289" s="26"/>
      <c r="N289" s="26"/>
    </row>
    <row r="290" spans="1:14" ht="44" customHeight="1" x14ac:dyDescent="0.15">
      <c r="A290" s="2" t="s">
        <v>1688</v>
      </c>
      <c r="B290" s="21" t="s">
        <v>792</v>
      </c>
      <c r="C290" s="105" t="s">
        <v>1706</v>
      </c>
      <c r="D290" s="26" t="str">
        <f ca="1">IFERROR(VLOOKUP($A290,OFFSET(achievement_criterion_id,0,0,COUNTA($A:$A),MATCH(D$1,missions!$2:$2,0)-MATCH($A$1,missions!$2:$2,0)+1),MATCH(D$1,missions!$2:$2,0)-MATCH($A$1,missions!$2:$2,0)+1,FALSE),IFERROR(VLOOKUP($A290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290" s="27" t="s">
        <v>352</v>
      </c>
      <c r="F290" s="17" t="s">
        <v>11</v>
      </c>
      <c r="G290" s="26" t="str">
        <f ca="1">VLOOKUP($F290,OFFSET(達成条件!$A$1,0,0,COUNTA($A:$A),MATCH(G$1,達成条件!$1:$1,0)-MATCH($F$1,達成条件!$1:$1,0)+1),MATCH(G$1,達成条件!$1:$1,0)-MATCH($F$1,達成条件!$1:$1,0)+1,FALSE)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90" s="26" t="str">
        <f ca="1">VLOOKUP($F290,OFFSET(達成条件!$A$1,0,0,COUNTA($A:$A),MATCH(H$1,達成条件!$1:$1,0)-MATCH($F$1,達成条件!$1:$1,0)+1),MATCH(H$1,達成条件!$1:$1,0)-MATCH($F$1,達成条件!$1:$1,0)+1,FALSE)</f>
        <v>プレイヤーランク</v>
      </c>
      <c r="I290" s="56" t="s">
        <v>1392</v>
      </c>
      <c r="J290" s="54"/>
      <c r="K290" s="15">
        <v>1</v>
      </c>
      <c r="L290" s="15" t="s">
        <v>352</v>
      </c>
      <c r="M290" s="26"/>
      <c r="N290" s="26"/>
    </row>
    <row r="291" spans="1:14" ht="44" customHeight="1" x14ac:dyDescent="0.15">
      <c r="A291" s="2" t="s">
        <v>1689</v>
      </c>
      <c r="B291" s="21" t="s">
        <v>792</v>
      </c>
      <c r="C291" s="105" t="s">
        <v>1707</v>
      </c>
      <c r="D291" s="26" t="str">
        <f ca="1">IFERROR(VLOOKUP($A291,OFFSET(achievement_criterion_id,0,0,COUNTA($A:$A),MATCH(D$1,missions!$2:$2,0)-MATCH($A$1,missions!$2:$2,0)+1),MATCH(D$1,missions!$2:$2,0)-MATCH($A$1,missions!$2:$2,0)+1,FALSE),IFERROR(VLOOKUP($A291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291" s="27" t="s">
        <v>352</v>
      </c>
      <c r="F291" s="17" t="s">
        <v>11</v>
      </c>
      <c r="G291" s="26" t="str">
        <f ca="1">VLOOKUP($F291,OFFSET(達成条件!$A$1,0,0,COUNTA($A:$A),MATCH(G$1,達成条件!$1:$1,0)-MATCH($F$1,達成条件!$1:$1,0)+1),MATCH(G$1,達成条件!$1:$1,0)-MATCH($F$1,達成条件!$1:$1,0)+1,FALSE)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91" s="26" t="str">
        <f ca="1">VLOOKUP($F291,OFFSET(達成条件!$A$1,0,0,COUNTA($A:$A),MATCH(H$1,達成条件!$1:$1,0)-MATCH($F$1,達成条件!$1:$1,0)+1),MATCH(H$1,達成条件!$1:$1,0)-MATCH($F$1,達成条件!$1:$1,0)+1,FALSE)</f>
        <v>プレイヤーランク</v>
      </c>
      <c r="I291" s="56" t="s">
        <v>1792</v>
      </c>
      <c r="J291" s="54"/>
      <c r="K291" s="15">
        <v>1</v>
      </c>
      <c r="L291" s="15" t="s">
        <v>352</v>
      </c>
      <c r="M291" s="26"/>
      <c r="N291" s="26"/>
    </row>
    <row r="292" spans="1:14" ht="44" customHeight="1" x14ac:dyDescent="0.15">
      <c r="A292" s="2" t="s">
        <v>1690</v>
      </c>
      <c r="B292" s="21" t="s">
        <v>792</v>
      </c>
      <c r="C292" s="105" t="s">
        <v>1763</v>
      </c>
      <c r="D292" s="26" t="str">
        <f ca="1">IFERROR(VLOOKUP($A292,OFFSET(achievement_criterion_id,0,0,COUNTA($A:$A),MATCH(D$1,missions!$2:$2,0)-MATCH($A$1,missions!$2:$2,0)+1),MATCH(D$1,missions!$2:$2,0)-MATCH($A$1,missions!$2:$2,0)+1,FALSE),IFERROR(VLOOKUP($A292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292" s="27" t="s">
        <v>352</v>
      </c>
      <c r="F292" s="17" t="s">
        <v>11</v>
      </c>
      <c r="G292" s="26" t="str">
        <f ca="1">VLOOKUP($F292,OFFSET(達成条件!$A$1,0,0,COUNTA($A:$A),MATCH(G$1,達成条件!$1:$1,0)-MATCH($F$1,達成条件!$1:$1,0)+1),MATCH(G$1,達成条件!$1:$1,0)-MATCH($F$1,達成条件!$1:$1,0)+1,FALSE)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92" s="26" t="str">
        <f ca="1">VLOOKUP($F292,OFFSET(達成条件!$A$1,0,0,COUNTA($A:$A),MATCH(H$1,達成条件!$1:$1,0)-MATCH($F$1,達成条件!$1:$1,0)+1),MATCH(H$1,達成条件!$1:$1,0)-MATCH($F$1,達成条件!$1:$1,0)+1,FALSE)</f>
        <v>プレイヤーランク</v>
      </c>
      <c r="I292" s="56" t="s">
        <v>1792</v>
      </c>
      <c r="J292" s="54"/>
      <c r="K292" s="15">
        <v>1</v>
      </c>
      <c r="L292" s="15" t="s">
        <v>352</v>
      </c>
      <c r="M292" s="26"/>
      <c r="N292" s="26"/>
    </row>
    <row r="293" spans="1:14" ht="44" customHeight="1" x14ac:dyDescent="0.15">
      <c r="A293" s="2" t="s">
        <v>1691</v>
      </c>
      <c r="B293" s="21" t="s">
        <v>792</v>
      </c>
      <c r="C293" s="105" t="s">
        <v>1764</v>
      </c>
      <c r="D293" s="26" t="str">
        <f ca="1">IFERROR(VLOOKUP($A293,OFFSET(achievement_criterion_id,0,0,COUNTA($A:$A),MATCH(D$1,missions!$2:$2,0)-MATCH($A$1,missions!$2:$2,0)+1),MATCH(D$1,missions!$2:$2,0)-MATCH($A$1,missions!$2:$2,0)+1,FALSE),IFERROR(VLOOKUP($A293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293" s="27" t="s">
        <v>352</v>
      </c>
      <c r="F293" s="17" t="s">
        <v>11</v>
      </c>
      <c r="G293" s="26" t="str">
        <f ca="1">VLOOKUP($F293,OFFSET(達成条件!$A$1,0,0,COUNTA($A:$A),MATCH(G$1,達成条件!$1:$1,0)-MATCH($F$1,達成条件!$1:$1,0)+1),MATCH(G$1,達成条件!$1:$1,0)-MATCH($F$1,達成条件!$1:$1,0)+1,FALSE)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93" s="26" t="str">
        <f ca="1">VLOOKUP($F293,OFFSET(達成条件!$A$1,0,0,COUNTA($A:$A),MATCH(H$1,達成条件!$1:$1,0)-MATCH($F$1,達成条件!$1:$1,0)+1),MATCH(H$1,達成条件!$1:$1,0)-MATCH($F$1,達成条件!$1:$1,0)+1,FALSE)</f>
        <v>プレイヤーランク</v>
      </c>
      <c r="I293" s="56" t="s">
        <v>1792</v>
      </c>
      <c r="J293" s="54"/>
      <c r="K293" s="15">
        <v>1</v>
      </c>
      <c r="L293" s="15" t="s">
        <v>352</v>
      </c>
      <c r="M293" s="26"/>
      <c r="N293" s="26"/>
    </row>
    <row r="294" spans="1:14" ht="44" customHeight="1" x14ac:dyDescent="0.15">
      <c r="A294" s="2" t="s">
        <v>1692</v>
      </c>
      <c r="B294" s="21" t="s">
        <v>792</v>
      </c>
      <c r="C294" s="105" t="s">
        <v>1765</v>
      </c>
      <c r="D294" s="26" t="str">
        <f ca="1">IFERROR(VLOOKUP($A294,OFFSET(achievement_criterion_id,0,0,COUNTA($A:$A),MATCH(D$1,missions!$2:$2,0)-MATCH($A$1,missions!$2:$2,0)+1),MATCH(D$1,missions!$2:$2,0)-MATCH($A$1,missions!$2:$2,0)+1,FALSE),IFERROR(VLOOKUP($A294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294" s="27" t="s">
        <v>352</v>
      </c>
      <c r="F294" s="17" t="s">
        <v>11</v>
      </c>
      <c r="G294" s="26" t="str">
        <f ca="1">VLOOKUP($F294,OFFSET(達成条件!$A$1,0,0,COUNTA($A:$A),MATCH(G$1,達成条件!$1:$1,0)-MATCH($F$1,達成条件!$1:$1,0)+1),MATCH(G$1,達成条件!$1:$1,0)-MATCH($F$1,達成条件!$1:$1,0)+1,FALSE)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94" s="26" t="str">
        <f ca="1">VLOOKUP($F294,OFFSET(達成条件!$A$1,0,0,COUNTA($A:$A),MATCH(H$1,達成条件!$1:$1,0)-MATCH($F$1,達成条件!$1:$1,0)+1),MATCH(H$1,達成条件!$1:$1,0)-MATCH($F$1,達成条件!$1:$1,0)+1,FALSE)</f>
        <v>プレイヤーランク</v>
      </c>
      <c r="I294" s="56" t="s">
        <v>1792</v>
      </c>
      <c r="J294" s="54"/>
      <c r="K294" s="15">
        <v>1</v>
      </c>
      <c r="L294" s="15" t="s">
        <v>352</v>
      </c>
      <c r="M294" s="26"/>
      <c r="N294" s="26"/>
    </row>
    <row r="295" spans="1:14" ht="44" customHeight="1" x14ac:dyDescent="0.15">
      <c r="A295" s="2" t="s">
        <v>1693</v>
      </c>
      <c r="B295" s="21" t="s">
        <v>792</v>
      </c>
      <c r="C295" s="105" t="s">
        <v>1766</v>
      </c>
      <c r="D295" s="26" t="str">
        <f ca="1">IFERROR(VLOOKUP($A295,OFFSET(achievement_criterion_id,0,0,COUNTA($A:$A),MATCH(D$1,missions!$2:$2,0)-MATCH($A$1,missions!$2:$2,0)+1),MATCH(D$1,missions!$2:$2,0)-MATCH($A$1,missions!$2:$2,0)+1,FALSE),IFERROR(VLOOKUP($A295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295" s="27" t="s">
        <v>352</v>
      </c>
      <c r="F295" s="17" t="s">
        <v>11</v>
      </c>
      <c r="G295" s="26" t="str">
        <f ca="1">VLOOKUP($F295,OFFSET(達成条件!$A$1,0,0,COUNTA($A:$A),MATCH(G$1,達成条件!$1:$1,0)-MATCH($F$1,達成条件!$1:$1,0)+1),MATCH(G$1,達成条件!$1:$1,0)-MATCH($F$1,達成条件!$1:$1,0)+1,FALSE)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95" s="26" t="str">
        <f ca="1">VLOOKUP($F295,OFFSET(達成条件!$A$1,0,0,COUNTA($A:$A),MATCH(H$1,達成条件!$1:$1,0)-MATCH($F$1,達成条件!$1:$1,0)+1),MATCH(H$1,達成条件!$1:$1,0)-MATCH($F$1,達成条件!$1:$1,0)+1,FALSE)</f>
        <v>プレイヤーランク</v>
      </c>
      <c r="I295" s="56" t="s">
        <v>1792</v>
      </c>
      <c r="J295" s="54"/>
      <c r="K295" s="15">
        <v>1</v>
      </c>
      <c r="L295" s="15" t="s">
        <v>352</v>
      </c>
      <c r="M295" s="26"/>
      <c r="N295" s="26"/>
    </row>
    <row r="296" spans="1:14" ht="44" customHeight="1" x14ac:dyDescent="0.15">
      <c r="A296" s="2" t="s">
        <v>1694</v>
      </c>
      <c r="B296" s="21" t="s">
        <v>792</v>
      </c>
      <c r="C296" s="105" t="s">
        <v>1767</v>
      </c>
      <c r="D296" s="26" t="str">
        <f ca="1">IFERROR(VLOOKUP($A296,OFFSET(achievement_criterion_id,0,0,COUNTA($A:$A),MATCH(D$1,missions!$2:$2,0)-MATCH($A$1,missions!$2:$2,0)+1),MATCH(D$1,missions!$2:$2,0)-MATCH($A$1,missions!$2:$2,0)+1,FALSE),IFERROR(VLOOKUP($A296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296" s="27" t="s">
        <v>352</v>
      </c>
      <c r="F296" s="17" t="s">
        <v>11</v>
      </c>
      <c r="G296" s="26" t="str">
        <f ca="1">VLOOKUP($F296,OFFSET(達成条件!$A$1,0,0,COUNTA($A:$A),MATCH(G$1,達成条件!$1:$1,0)-MATCH($F$1,達成条件!$1:$1,0)+1),MATCH(G$1,達成条件!$1:$1,0)-MATCH($F$1,達成条件!$1:$1,0)+1,FALSE)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96" s="26" t="str">
        <f ca="1">VLOOKUP($F296,OFFSET(達成条件!$A$1,0,0,COUNTA($A:$A),MATCH(H$1,達成条件!$1:$1,0)-MATCH($F$1,達成条件!$1:$1,0)+1),MATCH(H$1,達成条件!$1:$1,0)-MATCH($F$1,達成条件!$1:$1,0)+1,FALSE)</f>
        <v>プレイヤーランク</v>
      </c>
      <c r="I296" s="56" t="s">
        <v>1792</v>
      </c>
      <c r="J296" s="54"/>
      <c r="K296" s="15">
        <v>1</v>
      </c>
      <c r="L296" s="15" t="s">
        <v>352</v>
      </c>
      <c r="M296" s="26"/>
      <c r="N296" s="26"/>
    </row>
    <row r="297" spans="1:14" ht="44" customHeight="1" x14ac:dyDescent="0.15">
      <c r="A297" s="2" t="s">
        <v>1695</v>
      </c>
      <c r="B297" s="21" t="s">
        <v>792</v>
      </c>
      <c r="C297" s="105" t="s">
        <v>1768</v>
      </c>
      <c r="D297" s="26" t="str">
        <f ca="1">IFERROR(VLOOKUP($A297,OFFSET(achievement_criterion_id,0,0,COUNTA($A:$A),MATCH(D$1,missions!$2:$2,0)-MATCH($A$1,missions!$2:$2,0)+1),MATCH(D$1,missions!$2:$2,0)-MATCH($A$1,missions!$2:$2,0)+1,FALSE),IFERROR(VLOOKUP($A297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297" s="27" t="s">
        <v>352</v>
      </c>
      <c r="F297" s="17" t="s">
        <v>11</v>
      </c>
      <c r="G297" s="26" t="str">
        <f ca="1">VLOOKUP($F297,OFFSET(達成条件!$A$1,0,0,COUNTA($A:$A),MATCH(G$1,達成条件!$1:$1,0)-MATCH($F$1,達成条件!$1:$1,0)+1),MATCH(G$1,達成条件!$1:$1,0)-MATCH($F$1,達成条件!$1:$1,0)+1,FALSE)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97" s="26" t="str">
        <f ca="1">VLOOKUP($F297,OFFSET(達成条件!$A$1,0,0,COUNTA($A:$A),MATCH(H$1,達成条件!$1:$1,0)-MATCH($F$1,達成条件!$1:$1,0)+1),MATCH(H$1,達成条件!$1:$1,0)-MATCH($F$1,達成条件!$1:$1,0)+1,FALSE)</f>
        <v>プレイヤーランク</v>
      </c>
      <c r="I297" s="56" t="s">
        <v>1792</v>
      </c>
      <c r="J297" s="54"/>
      <c r="K297" s="15">
        <v>1</v>
      </c>
      <c r="L297" s="15" t="s">
        <v>352</v>
      </c>
      <c r="M297" s="26"/>
      <c r="N297" s="26"/>
    </row>
    <row r="298" spans="1:14" ht="44" customHeight="1" x14ac:dyDescent="0.15">
      <c r="A298" s="2" t="s">
        <v>1696</v>
      </c>
      <c r="B298" s="21" t="s">
        <v>792</v>
      </c>
      <c r="C298" s="105" t="s">
        <v>1769</v>
      </c>
      <c r="D298" s="26" t="str">
        <f ca="1">IFERROR(VLOOKUP($A298,OFFSET(achievement_criterion_id,0,0,COUNTA($A:$A),MATCH(D$1,missions!$2:$2,0)-MATCH($A$1,missions!$2:$2,0)+1),MATCH(D$1,missions!$2:$2,0)-MATCH($A$1,missions!$2:$2,0)+1,FALSE),IFERROR(VLOOKUP($A298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298" s="27" t="s">
        <v>352</v>
      </c>
      <c r="F298" s="17" t="s">
        <v>11</v>
      </c>
      <c r="G298" s="26" t="str">
        <f ca="1">VLOOKUP($F298,OFFSET(達成条件!$A$1,0,0,COUNTA($A:$A),MATCH(G$1,達成条件!$1:$1,0)-MATCH($F$1,達成条件!$1:$1,0)+1),MATCH(G$1,達成条件!$1:$1,0)-MATCH($F$1,達成条件!$1:$1,0)+1,FALSE)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98" s="26" t="str">
        <f ca="1">VLOOKUP($F298,OFFSET(達成条件!$A$1,0,0,COUNTA($A:$A),MATCH(H$1,達成条件!$1:$1,0)-MATCH($F$1,達成条件!$1:$1,0)+1),MATCH(H$1,達成条件!$1:$1,0)-MATCH($F$1,達成条件!$1:$1,0)+1,FALSE)</f>
        <v>プレイヤーランク</v>
      </c>
      <c r="I298" s="56" t="s">
        <v>1792</v>
      </c>
      <c r="J298" s="54"/>
      <c r="K298" s="15">
        <v>1</v>
      </c>
      <c r="L298" s="15" t="s">
        <v>352</v>
      </c>
      <c r="M298" s="26"/>
      <c r="N298" s="26"/>
    </row>
    <row r="299" spans="1:14" ht="44" customHeight="1" x14ac:dyDescent="0.15">
      <c r="A299" s="2" t="s">
        <v>1697</v>
      </c>
      <c r="B299" s="21" t="s">
        <v>792</v>
      </c>
      <c r="C299" s="105" t="s">
        <v>1770</v>
      </c>
      <c r="D299" s="26" t="str">
        <f ca="1">IFERROR(VLOOKUP($A299,OFFSET(achievement_criterion_id,0,0,COUNTA($A:$A),MATCH(D$1,missions!$2:$2,0)-MATCH($A$1,missions!$2:$2,0)+1),MATCH(D$1,missions!$2:$2,0)-MATCH($A$1,missions!$2:$2,0)+1,FALSE),IFERROR(VLOOKUP($A299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299" s="27" t="s">
        <v>352</v>
      </c>
      <c r="F299" s="17" t="s">
        <v>11</v>
      </c>
      <c r="G299" s="26" t="str">
        <f ca="1">VLOOKUP($F299,OFFSET(達成条件!$A$1,0,0,COUNTA($A:$A),MATCH(G$1,達成条件!$1:$1,0)-MATCH($F$1,達成条件!$1:$1,0)+1),MATCH(G$1,達成条件!$1:$1,0)-MATCH($F$1,達成条件!$1:$1,0)+1,FALSE)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299" s="26" t="str">
        <f ca="1">VLOOKUP($F299,OFFSET(達成条件!$A$1,0,0,COUNTA($A:$A),MATCH(H$1,達成条件!$1:$1,0)-MATCH($F$1,達成条件!$1:$1,0)+1),MATCH(H$1,達成条件!$1:$1,0)-MATCH($F$1,達成条件!$1:$1,0)+1,FALSE)</f>
        <v>プレイヤーランク</v>
      </c>
      <c r="I299" s="56" t="s">
        <v>1792</v>
      </c>
      <c r="J299" s="54"/>
      <c r="K299" s="15">
        <v>1</v>
      </c>
      <c r="L299" s="15" t="s">
        <v>352</v>
      </c>
      <c r="M299" s="26"/>
      <c r="N299" s="26"/>
    </row>
    <row r="300" spans="1:14" ht="44" customHeight="1" x14ac:dyDescent="0.15">
      <c r="A300" s="2" t="s">
        <v>1698</v>
      </c>
      <c r="B300" s="21" t="s">
        <v>792</v>
      </c>
      <c r="C300" s="105" t="s">
        <v>1771</v>
      </c>
      <c r="D300" s="26" t="str">
        <f ca="1">IFERROR(VLOOKUP($A300,OFFSET(achievement_criterion_id,0,0,COUNTA($A:$A),MATCH(D$1,missions!$2:$2,0)-MATCH($A$1,missions!$2:$2,0)+1),MATCH(D$1,missions!$2:$2,0)-MATCH($A$1,missions!$2:$2,0)+1,FALSE),IFERROR(VLOOKUP($A300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300" s="27" t="s">
        <v>352</v>
      </c>
      <c r="F300" s="17" t="s">
        <v>11</v>
      </c>
      <c r="G300" s="26" t="str">
        <f ca="1">VLOOKUP($F300,OFFSET(達成条件!$A$1,0,0,COUNTA($A:$A),MATCH(G$1,達成条件!$1:$1,0)-MATCH($F$1,達成条件!$1:$1,0)+1),MATCH(G$1,達成条件!$1:$1,0)-MATCH($F$1,達成条件!$1:$1,0)+1,FALSE)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300" s="26" t="str">
        <f ca="1">VLOOKUP($F300,OFFSET(達成条件!$A$1,0,0,COUNTA($A:$A),MATCH(H$1,達成条件!$1:$1,0)-MATCH($F$1,達成条件!$1:$1,0)+1),MATCH(H$1,達成条件!$1:$1,0)-MATCH($F$1,達成条件!$1:$1,0)+1,FALSE)</f>
        <v>プレイヤーランク</v>
      </c>
      <c r="I300" s="56" t="s">
        <v>1792</v>
      </c>
      <c r="J300" s="54"/>
      <c r="K300" s="15">
        <v>1</v>
      </c>
      <c r="L300" s="15" t="s">
        <v>352</v>
      </c>
      <c r="M300" s="26"/>
      <c r="N300" s="26"/>
    </row>
    <row r="301" spans="1:14" ht="44" customHeight="1" x14ac:dyDescent="0.15">
      <c r="A301" s="2" t="s">
        <v>1699</v>
      </c>
      <c r="B301" s="21" t="s">
        <v>792</v>
      </c>
      <c r="C301" s="105" t="s">
        <v>1772</v>
      </c>
      <c r="D301" s="26" t="str">
        <f ca="1">IFERROR(VLOOKUP($A301,OFFSET(achievement_criterion_id,0,0,COUNTA($A:$A),MATCH(D$1,missions!$2:$2,0)-MATCH($A$1,missions!$2:$2,0)+1),MATCH(D$1,missions!$2:$2,0)-MATCH($A$1,missions!$2:$2,0)+1,FALSE),IFERROR(VLOOKUP($A301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301" s="27" t="s">
        <v>352</v>
      </c>
      <c r="F301" s="17" t="s">
        <v>11</v>
      </c>
      <c r="G301" s="26" t="str">
        <f ca="1">VLOOKUP($F301,OFFSET(達成条件!$A$1,0,0,COUNTA($A:$A),MATCH(G$1,達成条件!$1:$1,0)-MATCH($F$1,達成条件!$1:$1,0)+1),MATCH(G$1,達成条件!$1:$1,0)-MATCH($F$1,達成条件!$1:$1,0)+1,FALSE)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301" s="26" t="str">
        <f ca="1">VLOOKUP($F301,OFFSET(達成条件!$A$1,0,0,COUNTA($A:$A),MATCH(H$1,達成条件!$1:$1,0)-MATCH($F$1,達成条件!$1:$1,0)+1),MATCH(H$1,達成条件!$1:$1,0)-MATCH($F$1,達成条件!$1:$1,0)+1,FALSE)</f>
        <v>プレイヤーランク</v>
      </c>
      <c r="I301" s="56" t="s">
        <v>1792</v>
      </c>
      <c r="J301" s="54"/>
      <c r="K301" s="15">
        <v>1</v>
      </c>
      <c r="L301" s="15" t="s">
        <v>352</v>
      </c>
      <c r="M301" s="26"/>
      <c r="N301" s="26"/>
    </row>
    <row r="302" spans="1:14" ht="44" customHeight="1" x14ac:dyDescent="0.15">
      <c r="A302" s="2" t="s">
        <v>1700</v>
      </c>
      <c r="B302" s="21" t="s">
        <v>792</v>
      </c>
      <c r="C302" s="105" t="s">
        <v>1773</v>
      </c>
      <c r="D302" s="26" t="str">
        <f ca="1">IFERROR(VLOOKUP($A302,OFFSET(achievement_criterion_id,0,0,COUNTA($A:$A),MATCH(D$1,missions!$2:$2,0)-MATCH($A$1,missions!$2:$2,0)+1),MATCH(D$1,missions!$2:$2,0)-MATCH($A$1,missions!$2:$2,0)+1,FALSE),IFERROR(VLOOKUP($A302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302" s="27" t="s">
        <v>352</v>
      </c>
      <c r="F302" s="17" t="s">
        <v>11</v>
      </c>
      <c r="G302" s="26" t="str">
        <f ca="1">VLOOKUP($F302,OFFSET(達成条件!$A$1,0,0,COUNTA($A:$A),MATCH(G$1,達成条件!$1:$1,0)-MATCH($F$1,達成条件!$1:$1,0)+1),MATCH(G$1,達成条件!$1:$1,0)-MATCH($F$1,達成条件!$1:$1,0)+1,FALSE)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302" s="26" t="str">
        <f ca="1">VLOOKUP($F302,OFFSET(達成条件!$A$1,0,0,COUNTA($A:$A),MATCH(H$1,達成条件!$1:$1,0)-MATCH($F$1,達成条件!$1:$1,0)+1),MATCH(H$1,達成条件!$1:$1,0)-MATCH($F$1,達成条件!$1:$1,0)+1,FALSE)</f>
        <v>プレイヤーランク</v>
      </c>
      <c r="I302" s="56" t="s">
        <v>1792</v>
      </c>
      <c r="J302" s="54"/>
      <c r="K302" s="15">
        <v>1</v>
      </c>
      <c r="L302" s="15" t="s">
        <v>352</v>
      </c>
      <c r="M302" s="26"/>
      <c r="N302" s="26"/>
    </row>
    <row r="303" spans="1:14" ht="44" customHeight="1" x14ac:dyDescent="0.15">
      <c r="A303" s="2" t="s">
        <v>1701</v>
      </c>
      <c r="B303" s="21" t="s">
        <v>792</v>
      </c>
      <c r="C303" s="105" t="s">
        <v>1774</v>
      </c>
      <c r="D303" s="26" t="str">
        <f ca="1">IFERROR(VLOOKUP($A303,OFFSET(achievement_criterion_id,0,0,COUNTA($A:$A),MATCH(D$1,missions!$2:$2,0)-MATCH($A$1,missions!$2:$2,0)+1),MATCH(D$1,missions!$2:$2,0)-MATCH($A$1,missions!$2:$2,0)+1,FALSE),IFERROR(VLOOKUP($A303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303" s="27" t="s">
        <v>352</v>
      </c>
      <c r="F303" s="17" t="s">
        <v>11</v>
      </c>
      <c r="G303" s="26" t="str">
        <f ca="1">VLOOKUP($F303,OFFSET(達成条件!$A$1,0,0,COUNTA($A:$A),MATCH(G$1,達成条件!$1:$1,0)-MATCH($F$1,達成条件!$1:$1,0)+1),MATCH(G$1,達成条件!$1:$1,0)-MATCH($F$1,達成条件!$1:$1,0)+1,FALSE)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303" s="26" t="str">
        <f ca="1">VLOOKUP($F303,OFFSET(達成条件!$A$1,0,0,COUNTA($A:$A),MATCH(H$1,達成条件!$1:$1,0)-MATCH($F$1,達成条件!$1:$1,0)+1),MATCH(H$1,達成条件!$1:$1,0)-MATCH($F$1,達成条件!$1:$1,0)+1,FALSE)</f>
        <v>プレイヤーランク</v>
      </c>
      <c r="I303" s="56" t="s">
        <v>1792</v>
      </c>
      <c r="J303" s="54"/>
      <c r="K303" s="15">
        <v>1</v>
      </c>
      <c r="L303" s="15" t="s">
        <v>352</v>
      </c>
      <c r="M303" s="26"/>
      <c r="N303" s="26"/>
    </row>
    <row r="304" spans="1:14" ht="44" customHeight="1" x14ac:dyDescent="0.15">
      <c r="A304" s="2" t="s">
        <v>1702</v>
      </c>
      <c r="B304" s="21" t="s">
        <v>792</v>
      </c>
      <c r="C304" s="105" t="s">
        <v>1775</v>
      </c>
      <c r="D304" s="26" t="str">
        <f ca="1">IFERROR(VLOOKUP($A304,OFFSET(achievement_criterion_id,0,0,COUNTA($A:$A),MATCH(D$1,missions!$2:$2,0)-MATCH($A$1,missions!$2:$2,0)+1),MATCH(D$1,missions!$2:$2,0)-MATCH($A$1,missions!$2:$2,0)+1,FALSE),IFERROR(VLOOKUP($A304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304" s="27" t="s">
        <v>352</v>
      </c>
      <c r="F304" s="17" t="s">
        <v>11</v>
      </c>
      <c r="G304" s="26" t="str">
        <f ca="1">VLOOKUP($F304,OFFSET(達成条件!$A$1,0,0,COUNTA($A:$A),MATCH(G$1,達成条件!$1:$1,0)-MATCH($F$1,達成条件!$1:$1,0)+1),MATCH(G$1,達成条件!$1:$1,0)-MATCH($F$1,達成条件!$1:$1,0)+1,FALSE)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304" s="26" t="str">
        <f ca="1">VLOOKUP($F304,OFFSET(達成条件!$A$1,0,0,COUNTA($A:$A),MATCH(H$1,達成条件!$1:$1,0)-MATCH($F$1,達成条件!$1:$1,0)+1),MATCH(H$1,達成条件!$1:$1,0)-MATCH($F$1,達成条件!$1:$1,0)+1,FALSE)</f>
        <v>プレイヤーランク</v>
      </c>
      <c r="I304" s="56" t="s">
        <v>1792</v>
      </c>
      <c r="J304" s="54"/>
      <c r="K304" s="15">
        <v>1</v>
      </c>
      <c r="L304" s="15" t="s">
        <v>352</v>
      </c>
      <c r="M304" s="26"/>
      <c r="N304" s="26"/>
    </row>
    <row r="305" spans="1:14" ht="44" customHeight="1" x14ac:dyDescent="0.15">
      <c r="A305" s="2" t="s">
        <v>1703</v>
      </c>
      <c r="B305" s="21" t="s">
        <v>792</v>
      </c>
      <c r="C305" s="105" t="s">
        <v>1776</v>
      </c>
      <c r="D305" s="26" t="str">
        <f ca="1">IFERROR(VLOOKUP($A305,OFFSET(achievement_criterion_id,0,0,COUNTA($A:$A),MATCH(D$1,missions!$2:$2,0)-MATCH($A$1,missions!$2:$2,0)+1),MATCH(D$1,missions!$2:$2,0)-MATCH($A$1,missions!$2:$2,0)+1,FALSE),IFERROR(VLOOKUP($A305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305" s="27" t="s">
        <v>352</v>
      </c>
      <c r="F305" s="17" t="s">
        <v>11</v>
      </c>
      <c r="G305" s="26" t="str">
        <f ca="1">VLOOKUP($F305,OFFSET(達成条件!$A$1,0,0,COUNTA($A:$A),MATCH(G$1,達成条件!$1:$1,0)-MATCH($F$1,達成条件!$1:$1,0)+1),MATCH(G$1,達成条件!$1:$1,0)-MATCH($F$1,達成条件!$1:$1,0)+1,FALSE)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305" s="26" t="str">
        <f ca="1">VLOOKUP($F305,OFFSET(達成条件!$A$1,0,0,COUNTA($A:$A),MATCH(H$1,達成条件!$1:$1,0)-MATCH($F$1,達成条件!$1:$1,0)+1),MATCH(H$1,達成条件!$1:$1,0)-MATCH($F$1,達成条件!$1:$1,0)+1,FALSE)</f>
        <v>プレイヤーランク</v>
      </c>
      <c r="I305" s="56" t="s">
        <v>1792</v>
      </c>
      <c r="J305" s="54"/>
      <c r="K305" s="15">
        <v>1</v>
      </c>
      <c r="L305" s="15" t="s">
        <v>352</v>
      </c>
      <c r="M305" s="26"/>
      <c r="N305" s="26"/>
    </row>
    <row r="306" spans="1:14" ht="44" customHeight="1" x14ac:dyDescent="0.15">
      <c r="A306" s="2" t="s">
        <v>1704</v>
      </c>
      <c r="B306" s="21" t="s">
        <v>792</v>
      </c>
      <c r="C306" s="105" t="s">
        <v>1777</v>
      </c>
      <c r="D306" s="26" t="str">
        <f ca="1">IFERROR(VLOOKUP($A306,OFFSET(achievement_criterion_id,0,0,COUNTA($A:$A),MATCH(D$1,missions!$2:$2,0)-MATCH($A$1,missions!$2:$2,0)+1),MATCH(D$1,missions!$2:$2,0)-MATCH($A$1,missions!$2:$2,0)+1,FALSE),IFERROR(VLOOKUP($A306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306" s="27" t="s">
        <v>352</v>
      </c>
      <c r="F306" s="17" t="s">
        <v>11</v>
      </c>
      <c r="G306" s="26" t="str">
        <f ca="1">VLOOKUP($F306,OFFSET(達成条件!$A$1,0,0,COUNTA($A:$A),MATCH(G$1,達成条件!$1:$1,0)-MATCH($F$1,達成条件!$1:$1,0)+1),MATCH(G$1,達成条件!$1:$1,0)-MATCH($F$1,達成条件!$1:$1,0)+1,FALSE)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306" s="26" t="str">
        <f ca="1">VLOOKUP($F306,OFFSET(達成条件!$A$1,0,0,COUNTA($A:$A),MATCH(H$1,達成条件!$1:$1,0)-MATCH($F$1,達成条件!$1:$1,0)+1),MATCH(H$1,達成条件!$1:$1,0)-MATCH($F$1,達成条件!$1:$1,0)+1,FALSE)</f>
        <v>プレイヤーランク</v>
      </c>
      <c r="I306" s="56" t="s">
        <v>1792</v>
      </c>
      <c r="J306" s="54"/>
      <c r="K306" s="15">
        <v>1</v>
      </c>
      <c r="L306" s="15" t="s">
        <v>352</v>
      </c>
      <c r="M306" s="26"/>
      <c r="N306" s="26"/>
    </row>
    <row r="307" spans="1:14" ht="44" customHeight="1" x14ac:dyDescent="0.15">
      <c r="A307" s="2" t="s">
        <v>1705</v>
      </c>
      <c r="B307" s="21" t="s">
        <v>792</v>
      </c>
      <c r="C307" s="105" t="s">
        <v>1778</v>
      </c>
      <c r="D307" s="26" t="str">
        <f ca="1">IFERROR(VLOOKUP($A307,OFFSET(achievement_criterion_id,0,0,COUNTA($A:$A),MATCH(D$1,missions!$2:$2,0)-MATCH($A$1,missions!$2:$2,0)+1),MATCH(D$1,missions!$2:$2,0)-MATCH($A$1,missions!$2:$2,0)+1,FALSE),IFERROR(VLOOKUP($A307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307" s="27" t="s">
        <v>352</v>
      </c>
      <c r="F307" s="17" t="s">
        <v>11</v>
      </c>
      <c r="G307" s="26" t="str">
        <f ca="1">VLOOKUP($F307,OFFSET(達成条件!$A$1,0,0,COUNTA($A:$A),MATCH(G$1,達成条件!$1:$1,0)-MATCH($F$1,達成条件!$1:$1,0)+1),MATCH(G$1,達成条件!$1:$1,0)-MATCH($F$1,達成条件!$1:$1,0)+1,FALSE)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307" s="26" t="str">
        <f ca="1">VLOOKUP($F307,OFFSET(達成条件!$A$1,0,0,COUNTA($A:$A),MATCH(H$1,達成条件!$1:$1,0)-MATCH($F$1,達成条件!$1:$1,0)+1),MATCH(H$1,達成条件!$1:$1,0)-MATCH($F$1,達成条件!$1:$1,0)+1,FALSE)</f>
        <v>プレイヤーランク</v>
      </c>
      <c r="I307" s="56" t="s">
        <v>1792</v>
      </c>
      <c r="J307" s="54"/>
      <c r="K307" s="15">
        <v>1</v>
      </c>
      <c r="L307" s="15" t="s">
        <v>352</v>
      </c>
      <c r="M307" s="26"/>
      <c r="N307" s="26"/>
    </row>
    <row r="308" spans="1:14" ht="44" customHeight="1" x14ac:dyDescent="0.15">
      <c r="A308" s="2" t="s">
        <v>1911</v>
      </c>
      <c r="B308" s="21" t="s">
        <v>792</v>
      </c>
      <c r="C308" s="105" t="s">
        <v>1909</v>
      </c>
      <c r="D308" s="26" t="str">
        <f ca="1">IFERROR(VLOOKUP($A308,OFFSET(achievement_criterion_id,0,0,COUNTA($A:$A),MATCH(D$1,missions!$2:$2,0)-MATCH($A$1,missions!$2:$2,0)+1),MATCH(D$1,missions!$2:$2,0)-MATCH($A$1,missions!$2:$2,0)+1,FALSE),IFERROR(VLOOKUP($A308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308" s="27" t="s">
        <v>352</v>
      </c>
      <c r="F308" s="17" t="s">
        <v>11</v>
      </c>
      <c r="G308" s="26" t="str">
        <f ca="1">VLOOKUP($F308,OFFSET(達成条件!$A$1,0,0,COUNTA($A:$A),MATCH(G$1,達成条件!$1:$1,0)-MATCH($F$1,達成条件!$1:$1,0)+1),MATCH(G$1,達成条件!$1:$1,0)-MATCH($F$1,達成条件!$1:$1,0)+1,FALSE)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308" s="26" t="str">
        <f ca="1">VLOOKUP($F308,OFFSET(達成条件!$A$1,0,0,COUNTA($A:$A),MATCH(H$1,達成条件!$1:$1,0)-MATCH($F$1,達成条件!$1:$1,0)+1),MATCH(H$1,達成条件!$1:$1,0)-MATCH($F$1,達成条件!$1:$1,0)+1,FALSE)</f>
        <v>プレイヤーランク</v>
      </c>
      <c r="I308" s="56" t="s">
        <v>1792</v>
      </c>
      <c r="J308" s="54"/>
      <c r="K308" s="15">
        <v>1</v>
      </c>
      <c r="L308" s="15" t="s">
        <v>352</v>
      </c>
      <c r="M308" s="26"/>
      <c r="N308" s="26"/>
    </row>
    <row r="309" spans="1:14" ht="44" customHeight="1" x14ac:dyDescent="0.15">
      <c r="A309" s="2" t="s">
        <v>2596</v>
      </c>
      <c r="B309" s="21" t="s">
        <v>792</v>
      </c>
      <c r="C309" s="76" t="s">
        <v>2669</v>
      </c>
      <c r="D309" s="26" t="str">
        <f ca="1">IFERROR(VLOOKUP($A309,OFFSET(achievement_criterion_id,0,0,COUNTA($A:$A),MATCH(D$1,missions!$2:$2,0)-MATCH($A$1,missions!$2:$2,0)+1),MATCH(D$1,missions!$2:$2,0)-MATCH($A$1,missions!$2:$2,0)+1,FALSE),IFERROR(VLOOKUP($A309,OFFSET(weekly_achievement_criterion_id,0,0,COUNTA($A:$A),MATCH(D$1,weekly_missions!$2:$2,0)-MATCH($A$1,weekly_missions!$2:$2,0)+1),MATCH(D$1,weekly_missions!$2:$2,0)-MATCH($A$1,weekly_missions!$2:$2,0)+1,FALSE),"＊missions 未設定＊"))</f>
        <v>二つ名 &lt;歩き始めた&gt;</v>
      </c>
      <c r="E309" s="27" t="s">
        <v>352</v>
      </c>
      <c r="F309" s="17" t="s">
        <v>11</v>
      </c>
      <c r="G309" s="26" t="str">
        <f ca="1">VLOOKUP($F309,OFFSET(達成条件!$A$1,0,0,COUNTA($A:$A),MATCH(G$1,達成条件!$1:$1,0)-MATCH($F$1,達成条件!$1:$1,0)+1),MATCH(G$1,達成条件!$1:$1,0)-MATCH($F$1,達成条件!$1:$1,0)+1,FALSE)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309" s="26" t="str">
        <f ca="1">VLOOKUP($F309,OFFSET(達成条件!$A$1,0,0,COUNTA($A:$A),MATCH(H$1,達成条件!$1:$1,0)-MATCH($F$1,達成条件!$1:$1,0)+1),MATCH(H$1,達成条件!$1:$1,0)-MATCH($F$1,達成条件!$1:$1,0)+1,FALSE)</f>
        <v>プレイヤーランク</v>
      </c>
      <c r="I309" s="56" t="s">
        <v>1004</v>
      </c>
      <c r="J309" s="54"/>
      <c r="K309" s="15">
        <v>1</v>
      </c>
      <c r="L309" s="15" t="s">
        <v>352</v>
      </c>
      <c r="M309" s="26"/>
      <c r="N309" s="26"/>
    </row>
    <row r="310" spans="1:14" ht="44" customHeight="1" x14ac:dyDescent="0.15">
      <c r="A310" s="2" t="s">
        <v>2597</v>
      </c>
      <c r="B310" s="21" t="s">
        <v>792</v>
      </c>
      <c r="C310" s="76" t="s">
        <v>2669</v>
      </c>
      <c r="D310" s="26" t="str">
        <f ca="1">IFERROR(VLOOKUP($A310,OFFSET(achievement_criterion_id,0,0,COUNTA($A:$A),MATCH(D$1,missions!$2:$2,0)-MATCH($A$1,missions!$2:$2,0)+1),MATCH(D$1,missions!$2:$2,0)-MATCH($A$1,missions!$2:$2,0)+1,FALSE),IFERROR(VLOOKUP($A310,OFFSET(weekly_achievement_criterion_id,0,0,COUNTA($A:$A),MATCH(D$1,weekly_missions!$2:$2,0)-MATCH($A$1,weekly_missions!$2:$2,0)+1),MATCH(D$1,weekly_missions!$2:$2,0)-MATCH($A$1,weekly_missions!$2:$2,0)+1,FALSE),"＊missions 未設定＊"))</f>
        <v>二つ名 &lt;クラフィっ子&gt;</v>
      </c>
      <c r="E310" s="27" t="s">
        <v>352</v>
      </c>
      <c r="F310" s="17" t="s">
        <v>11</v>
      </c>
      <c r="G310" s="26" t="str">
        <f ca="1">VLOOKUP($F310,OFFSET(達成条件!$A$1,0,0,COUNTA($A:$A),MATCH(G$1,達成条件!$1:$1,0)-MATCH($F$1,達成条件!$1:$1,0)+1),MATCH(G$1,達成条件!$1:$1,0)-MATCH($F$1,達成条件!$1:$1,0)+1,FALSE)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310" s="26" t="str">
        <f ca="1">VLOOKUP($F310,OFFSET(達成条件!$A$1,0,0,COUNTA($A:$A),MATCH(H$1,達成条件!$1:$1,0)-MATCH($F$1,達成条件!$1:$1,0)+1),MATCH(H$1,達成条件!$1:$1,0)-MATCH($F$1,達成条件!$1:$1,0)+1,FALSE)</f>
        <v>プレイヤーランク</v>
      </c>
      <c r="I310" s="56" t="s">
        <v>1004</v>
      </c>
      <c r="J310" s="54"/>
      <c r="K310" s="15">
        <v>1</v>
      </c>
      <c r="L310" s="15" t="s">
        <v>352</v>
      </c>
      <c r="M310" s="26"/>
      <c r="N310" s="26"/>
    </row>
    <row r="311" spans="1:14" ht="44" customHeight="1" x14ac:dyDescent="0.15">
      <c r="A311" s="2" t="s">
        <v>2598</v>
      </c>
      <c r="B311" s="21" t="s">
        <v>792</v>
      </c>
      <c r="C311" s="76" t="s">
        <v>2669</v>
      </c>
      <c r="D311" s="26" t="str">
        <f ca="1">IFERROR(VLOOKUP($A311,OFFSET(achievement_criterion_id,0,0,COUNTA($A:$A),MATCH(D$1,missions!$2:$2,0)-MATCH($A$1,missions!$2:$2,0)+1),MATCH(D$1,missions!$2:$2,0)-MATCH($A$1,missions!$2:$2,0)+1,FALSE),IFERROR(VLOOKUP($A311,OFFSET(weekly_achievement_criterion_id,0,0,COUNTA($A:$A),MATCH(D$1,weekly_missions!$2:$2,0)-MATCH($A$1,weekly_missions!$2:$2,0)+1),MATCH(D$1,weekly_missions!$2:$2,0)-MATCH($A$1,weekly_missions!$2:$2,0)+1,FALSE),"＊missions 未設定＊"))</f>
        <v>二つ名 &lt;新人&gt;</v>
      </c>
      <c r="E311" s="27" t="s">
        <v>352</v>
      </c>
      <c r="F311" s="17" t="s">
        <v>11</v>
      </c>
      <c r="G311" s="26" t="str">
        <f ca="1">VLOOKUP($F311,OFFSET(達成条件!$A$1,0,0,COUNTA($A:$A),MATCH(G$1,達成条件!$1:$1,0)-MATCH($F$1,達成条件!$1:$1,0)+1),MATCH(G$1,達成条件!$1:$1,0)-MATCH($F$1,達成条件!$1:$1,0)+1,FALSE)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311" s="26" t="str">
        <f ca="1">VLOOKUP($F311,OFFSET(達成条件!$A$1,0,0,COUNTA($A:$A),MATCH(H$1,達成条件!$1:$1,0)-MATCH($F$1,達成条件!$1:$1,0)+1),MATCH(H$1,達成条件!$1:$1,0)-MATCH($F$1,達成条件!$1:$1,0)+1,FALSE)</f>
        <v>プレイヤーランク</v>
      </c>
      <c r="I311" s="56" t="s">
        <v>1004</v>
      </c>
      <c r="J311" s="54"/>
      <c r="K311" s="15">
        <v>1</v>
      </c>
      <c r="L311" s="15" t="s">
        <v>352</v>
      </c>
      <c r="M311" s="26"/>
      <c r="N311" s="26"/>
    </row>
    <row r="312" spans="1:14" ht="44" customHeight="1" x14ac:dyDescent="0.15">
      <c r="A312" s="2" t="s">
        <v>2599</v>
      </c>
      <c r="B312" s="21" t="s">
        <v>792</v>
      </c>
      <c r="C312" s="76" t="s">
        <v>2669</v>
      </c>
      <c r="D312" s="26" t="str">
        <f ca="1">IFERROR(VLOOKUP($A312,OFFSET(achievement_criterion_id,0,0,COUNTA($A:$A),MATCH(D$1,missions!$2:$2,0)-MATCH($A$1,missions!$2:$2,0)+1),MATCH(D$1,missions!$2:$2,0)-MATCH($A$1,missions!$2:$2,0)+1,FALSE),IFERROR(VLOOKUP($A312,OFFSET(weekly_achievement_criterion_id,0,0,COUNTA($A:$A),MATCH(D$1,weekly_missions!$2:$2,0)-MATCH($A$1,weekly_missions!$2:$2,0)+1),MATCH(D$1,weekly_missions!$2:$2,0)-MATCH($A$1,weekly_missions!$2:$2,0)+1,FALSE),"＊missions 未設定＊"))</f>
        <v>二つ名 &lt;ひよっこクラファー&gt;</v>
      </c>
      <c r="E312" s="27" t="s">
        <v>352</v>
      </c>
      <c r="F312" s="17" t="s">
        <v>11</v>
      </c>
      <c r="G312" s="26" t="str">
        <f ca="1">VLOOKUP($F312,OFFSET(達成条件!$A$1,0,0,COUNTA($A:$A),MATCH(G$1,達成条件!$1:$1,0)-MATCH($F$1,達成条件!$1:$1,0)+1),MATCH(G$1,達成条件!$1:$1,0)-MATCH($F$1,達成条件!$1:$1,0)+1,FALSE)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312" s="26" t="str">
        <f ca="1">VLOOKUP($F312,OFFSET(達成条件!$A$1,0,0,COUNTA($A:$A),MATCH(H$1,達成条件!$1:$1,0)-MATCH($F$1,達成条件!$1:$1,0)+1),MATCH(H$1,達成条件!$1:$1,0)-MATCH($F$1,達成条件!$1:$1,0)+1,FALSE)</f>
        <v>プレイヤーランク</v>
      </c>
      <c r="I312" s="56" t="s">
        <v>1004</v>
      </c>
      <c r="J312" s="54"/>
      <c r="K312" s="15">
        <v>1</v>
      </c>
      <c r="L312" s="15" t="s">
        <v>352</v>
      </c>
      <c r="M312" s="26"/>
      <c r="N312" s="26"/>
    </row>
    <row r="313" spans="1:14" ht="44" customHeight="1" x14ac:dyDescent="0.15">
      <c r="A313" s="2" t="s">
        <v>2600</v>
      </c>
      <c r="B313" s="21" t="s">
        <v>792</v>
      </c>
      <c r="C313" s="26" t="str">
        <f t="shared" ref="C313:C332" ca="1" si="26">IF(F313="specific_quest_clear",SUBSTITUTE(G313,"x",J313),IF(F313="specific_unit_aquired_count",SUBSTITUTE(J313,"y",K313),SUBSTITUTE(G313,"x",I313)))</f>
        <v>プレイヤーランクを 10 まで上げよう！</v>
      </c>
      <c r="D313" s="26" t="str">
        <f ca="1">IFERROR(VLOOKUP($A313,OFFSET(achievement_criterion_id,0,0,COUNTA($A:$A),MATCH(D$1,missions!$2:$2,0)-MATCH($A$1,missions!$2:$2,0)+1),MATCH(D$1,missions!$2:$2,0)-MATCH($A$1,missions!$2:$2,0)+1,FALSE),IFERROR(VLOOKUP($A313,OFFSET(weekly_achievement_criterion_id,0,0,COUNTA($A:$A),MATCH(D$1,weekly_missions!$2:$2,0)-MATCH($A$1,weekly_missions!$2:$2,0)+1),MATCH(D$1,weekly_missions!$2:$2,0)-MATCH($A$1,weekly_missions!$2:$2,0)+1,FALSE),"＊missions 未設定＊"))</f>
        <v>二つ名 &lt;上を目指す&gt;</v>
      </c>
      <c r="E313" s="27" t="s">
        <v>352</v>
      </c>
      <c r="F313" s="17" t="s">
        <v>11</v>
      </c>
      <c r="G313" s="26" t="str">
        <f ca="1">VLOOKUP($F313,OFFSET(達成条件!$A$1,0,0,COUNTA($A:$A),MATCH(G$1,達成条件!$1:$1,0)-MATCH($F$1,達成条件!$1:$1,0)+1),MATCH(G$1,達成条件!$1:$1,0)-MATCH($F$1,達成条件!$1:$1,0)+1,FALSE)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313" s="26" t="str">
        <f ca="1">VLOOKUP($F313,OFFSET(達成条件!$A$1,0,0,COUNTA($A:$A),MATCH(H$1,達成条件!$1:$1,0)-MATCH($F$1,達成条件!$1:$1,0)+1),MATCH(H$1,達成条件!$1:$1,0)-MATCH($F$1,達成条件!$1:$1,0)+1,FALSE)</f>
        <v>プレイヤーランク</v>
      </c>
      <c r="I313" s="56" t="s">
        <v>2620</v>
      </c>
      <c r="J313" s="54"/>
      <c r="K313" s="15">
        <v>1</v>
      </c>
      <c r="L313" s="15" t="s">
        <v>352</v>
      </c>
      <c r="M313" s="26"/>
      <c r="N313" s="26"/>
    </row>
    <row r="314" spans="1:14" ht="44" customHeight="1" x14ac:dyDescent="0.15">
      <c r="A314" s="2" t="s">
        <v>2601</v>
      </c>
      <c r="B314" s="21" t="s">
        <v>792</v>
      </c>
      <c r="C314" s="26" t="str">
        <f t="shared" ca="1" si="26"/>
        <v>プレイヤーランクを 10 まで上げよう！</v>
      </c>
      <c r="D314" s="26" t="str">
        <f ca="1">IFERROR(VLOOKUP($A314,OFFSET(achievement_criterion_id,0,0,COUNTA($A:$A),MATCH(D$1,missions!$2:$2,0)-MATCH($A$1,missions!$2:$2,0)+1),MATCH(D$1,missions!$2:$2,0)-MATCH($A$1,missions!$2:$2,0)+1,FALSE),IFERROR(VLOOKUP($A314,OFFSET(weekly_achievement_criterion_id,0,0,COUNTA($A:$A),MATCH(D$1,weekly_missions!$2:$2,0)-MATCH($A$1,weekly_missions!$2:$2,0)+1),MATCH(D$1,weekly_missions!$2:$2,0)-MATCH($A$1,weekly_missions!$2:$2,0)+1,FALSE),"＊missions 未設定＊"))</f>
        <v>二つ名 &lt;アマクラファー&gt;</v>
      </c>
      <c r="E314" s="27" t="s">
        <v>352</v>
      </c>
      <c r="F314" s="17" t="s">
        <v>11</v>
      </c>
      <c r="G314" s="26" t="str">
        <f ca="1">VLOOKUP($F314,OFFSET(達成条件!$A$1,0,0,COUNTA($A:$A),MATCH(G$1,達成条件!$1:$1,0)-MATCH($F$1,達成条件!$1:$1,0)+1),MATCH(G$1,達成条件!$1:$1,0)-MATCH($F$1,達成条件!$1:$1,0)+1,FALSE)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314" s="26" t="str">
        <f ca="1">VLOOKUP($F314,OFFSET(達成条件!$A$1,0,0,COUNTA($A:$A),MATCH(H$1,達成条件!$1:$1,0)-MATCH($F$1,達成条件!$1:$1,0)+1),MATCH(H$1,達成条件!$1:$1,0)-MATCH($F$1,達成条件!$1:$1,0)+1,FALSE)</f>
        <v>プレイヤーランク</v>
      </c>
      <c r="I314" s="56" t="s">
        <v>2620</v>
      </c>
      <c r="J314" s="54"/>
      <c r="K314" s="15">
        <v>1</v>
      </c>
      <c r="L314" s="15" t="s">
        <v>352</v>
      </c>
      <c r="M314" s="26"/>
      <c r="N314" s="26"/>
    </row>
    <row r="315" spans="1:14" ht="44" customHeight="1" x14ac:dyDescent="0.15">
      <c r="A315" s="2" t="s">
        <v>2602</v>
      </c>
      <c r="B315" s="21" t="s">
        <v>792</v>
      </c>
      <c r="C315" s="26" t="str">
        <f t="shared" ca="1" si="26"/>
        <v>プレイヤーランクを 30 まで上げよう！</v>
      </c>
      <c r="D315" s="26" t="str">
        <f ca="1">IFERROR(VLOOKUP($A315,OFFSET(achievement_criterion_id,0,0,COUNTA($A:$A),MATCH(D$1,missions!$2:$2,0)-MATCH($A$1,missions!$2:$2,0)+1),MATCH(D$1,missions!$2:$2,0)-MATCH($A$1,missions!$2:$2,0)+1,FALSE),IFERROR(VLOOKUP($A315,OFFSET(weekly_achievement_criterion_id,0,0,COUNTA($A:$A),MATCH(D$1,weekly_missions!$2:$2,0)-MATCH($A$1,weekly_missions!$2:$2,0)+1),MATCH(D$1,weekly_missions!$2:$2,0)-MATCH($A$1,weekly_missions!$2:$2,0)+1,FALSE),"＊missions 未設定＊"))</f>
        <v>二つ名 &lt;一般&gt;</v>
      </c>
      <c r="E315" s="27" t="s">
        <v>352</v>
      </c>
      <c r="F315" s="17" t="s">
        <v>11</v>
      </c>
      <c r="G315" s="26" t="str">
        <f ca="1">VLOOKUP($F315,OFFSET(達成条件!$A$1,0,0,COUNTA($A:$A),MATCH(G$1,達成条件!$1:$1,0)-MATCH($F$1,達成条件!$1:$1,0)+1),MATCH(G$1,達成条件!$1:$1,0)-MATCH($F$1,達成条件!$1:$1,0)+1,FALSE)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315" s="26" t="str">
        <f ca="1">VLOOKUP($F315,OFFSET(達成条件!$A$1,0,0,COUNTA($A:$A),MATCH(H$1,達成条件!$1:$1,0)-MATCH($F$1,達成条件!$1:$1,0)+1),MATCH(H$1,達成条件!$1:$1,0)-MATCH($F$1,達成条件!$1:$1,0)+1,FALSE)</f>
        <v>プレイヤーランク</v>
      </c>
      <c r="I315" s="56" t="s">
        <v>2621</v>
      </c>
      <c r="J315" s="54"/>
      <c r="K315" s="15">
        <v>1</v>
      </c>
      <c r="L315" s="15" t="s">
        <v>352</v>
      </c>
      <c r="M315" s="26"/>
      <c r="N315" s="26"/>
    </row>
    <row r="316" spans="1:14" ht="44" customHeight="1" x14ac:dyDescent="0.15">
      <c r="A316" s="2" t="s">
        <v>2603</v>
      </c>
      <c r="B316" s="21" t="s">
        <v>792</v>
      </c>
      <c r="C316" s="26" t="str">
        <f t="shared" ca="1" si="26"/>
        <v>プレイヤーランクを 30 まで上げよう！</v>
      </c>
      <c r="D316" s="26" t="str">
        <f ca="1">IFERROR(VLOOKUP($A316,OFFSET(achievement_criterion_id,0,0,COUNTA($A:$A),MATCH(D$1,missions!$2:$2,0)-MATCH($A$1,missions!$2:$2,0)+1),MATCH(D$1,missions!$2:$2,0)-MATCH($A$1,missions!$2:$2,0)+1,FALSE),IFERROR(VLOOKUP($A316,OFFSET(weekly_achievement_criterion_id,0,0,COUNTA($A:$A),MATCH(D$1,weekly_missions!$2:$2,0)-MATCH($A$1,weekly_missions!$2:$2,0)+1),MATCH(D$1,weekly_missions!$2:$2,0)-MATCH($A$1,weekly_missions!$2:$2,0)+1,FALSE),"＊missions 未設定＊"))</f>
        <v>二つ名 &lt;クラファー&gt;</v>
      </c>
      <c r="E316" s="27" t="s">
        <v>352</v>
      </c>
      <c r="F316" s="17" t="s">
        <v>11</v>
      </c>
      <c r="G316" s="26" t="str">
        <f ca="1">VLOOKUP($F316,OFFSET(達成条件!$A$1,0,0,COUNTA($A:$A),MATCH(G$1,達成条件!$1:$1,0)-MATCH($F$1,達成条件!$1:$1,0)+1),MATCH(G$1,達成条件!$1:$1,0)-MATCH($F$1,達成条件!$1:$1,0)+1,FALSE)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316" s="26" t="str">
        <f ca="1">VLOOKUP($F316,OFFSET(達成条件!$A$1,0,0,COUNTA($A:$A),MATCH(H$1,達成条件!$1:$1,0)-MATCH($F$1,達成条件!$1:$1,0)+1),MATCH(H$1,達成条件!$1:$1,0)-MATCH($F$1,達成条件!$1:$1,0)+1,FALSE)</f>
        <v>プレイヤーランク</v>
      </c>
      <c r="I316" s="56" t="s">
        <v>2621</v>
      </c>
      <c r="J316" s="54"/>
      <c r="K316" s="15">
        <v>1</v>
      </c>
      <c r="L316" s="15" t="s">
        <v>352</v>
      </c>
      <c r="M316" s="26"/>
      <c r="N316" s="26"/>
    </row>
    <row r="317" spans="1:14" ht="44" customHeight="1" x14ac:dyDescent="0.15">
      <c r="A317" s="2" t="s">
        <v>2604</v>
      </c>
      <c r="B317" s="21" t="s">
        <v>792</v>
      </c>
      <c r="C317" s="26" t="str">
        <f t="shared" ca="1" si="26"/>
        <v>プレイヤーランクを 50 まで上げよう！</v>
      </c>
      <c r="D317" s="26" t="str">
        <f ca="1">IFERROR(VLOOKUP($A317,OFFSET(achievement_criterion_id,0,0,COUNTA($A:$A),MATCH(D$1,missions!$2:$2,0)-MATCH($A$1,missions!$2:$2,0)+1),MATCH(D$1,missions!$2:$2,0)-MATCH($A$1,missions!$2:$2,0)+1,FALSE),IFERROR(VLOOKUP($A317,OFFSET(weekly_achievement_criterion_id,0,0,COUNTA($A:$A),MATCH(D$1,weekly_missions!$2:$2,0)-MATCH($A$1,weekly_missions!$2:$2,0)+1),MATCH(D$1,weekly_missions!$2:$2,0)-MATCH($A$1,weekly_missions!$2:$2,0)+1,FALSE),"＊missions 未設定＊"))</f>
        <v>二つ名 &lt;立派な&gt;</v>
      </c>
      <c r="E317" s="27" t="s">
        <v>352</v>
      </c>
      <c r="F317" s="17" t="s">
        <v>11</v>
      </c>
      <c r="G317" s="26" t="str">
        <f ca="1">VLOOKUP($F317,OFFSET(達成条件!$A$1,0,0,COUNTA($A:$A),MATCH(G$1,達成条件!$1:$1,0)-MATCH($F$1,達成条件!$1:$1,0)+1),MATCH(G$1,達成条件!$1:$1,0)-MATCH($F$1,達成条件!$1:$1,0)+1,FALSE)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317" s="26" t="str">
        <f ca="1">VLOOKUP($F317,OFFSET(達成条件!$A$1,0,0,COUNTA($A:$A),MATCH(H$1,達成条件!$1:$1,0)-MATCH($F$1,達成条件!$1:$1,0)+1),MATCH(H$1,達成条件!$1:$1,0)-MATCH($F$1,達成条件!$1:$1,0)+1,FALSE)</f>
        <v>プレイヤーランク</v>
      </c>
      <c r="I317" s="56" t="s">
        <v>2622</v>
      </c>
      <c r="J317" s="54"/>
      <c r="K317" s="15">
        <v>1</v>
      </c>
      <c r="L317" s="15" t="s">
        <v>352</v>
      </c>
      <c r="M317" s="26"/>
      <c r="N317" s="26"/>
    </row>
    <row r="318" spans="1:14" ht="44" customHeight="1" x14ac:dyDescent="0.15">
      <c r="A318" s="2" t="s">
        <v>2605</v>
      </c>
      <c r="B318" s="21" t="s">
        <v>792</v>
      </c>
      <c r="C318" s="26" t="str">
        <f t="shared" ca="1" si="26"/>
        <v>プレイヤーランクを 50 まで上げよう！</v>
      </c>
      <c r="D318" s="26" t="str">
        <f ca="1">IFERROR(VLOOKUP($A318,OFFSET(achievement_criterion_id,0,0,COUNTA($A:$A),MATCH(D$1,missions!$2:$2,0)-MATCH($A$1,missions!$2:$2,0)+1),MATCH(D$1,missions!$2:$2,0)-MATCH($A$1,missions!$2:$2,0)+1,FALSE),IFERROR(VLOOKUP($A318,OFFSET(weekly_achievement_criterion_id,0,0,COUNTA($A:$A),MATCH(D$1,weekly_missions!$2:$2,0)-MATCH($A$1,weekly_missions!$2:$2,0)+1),MATCH(D$1,weekly_missions!$2:$2,0)-MATCH($A$1,weekly_missions!$2:$2,0)+1,FALSE),"＊missions 未設定＊"))</f>
        <v>二つ名 &lt;クラファー先輩&gt;</v>
      </c>
      <c r="E318" s="27" t="s">
        <v>352</v>
      </c>
      <c r="F318" s="17" t="s">
        <v>11</v>
      </c>
      <c r="G318" s="26" t="str">
        <f ca="1">VLOOKUP($F318,OFFSET(達成条件!$A$1,0,0,COUNTA($A:$A),MATCH(G$1,達成条件!$1:$1,0)-MATCH($F$1,達成条件!$1:$1,0)+1),MATCH(G$1,達成条件!$1:$1,0)-MATCH($F$1,達成条件!$1:$1,0)+1,FALSE)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318" s="26" t="str">
        <f ca="1">VLOOKUP($F318,OFFSET(達成条件!$A$1,0,0,COUNTA($A:$A),MATCH(H$1,達成条件!$1:$1,0)-MATCH($F$1,達成条件!$1:$1,0)+1),MATCH(H$1,達成条件!$1:$1,0)-MATCH($F$1,達成条件!$1:$1,0)+1,FALSE)</f>
        <v>プレイヤーランク</v>
      </c>
      <c r="I318" s="56" t="s">
        <v>2622</v>
      </c>
      <c r="J318" s="54"/>
      <c r="K318" s="15">
        <v>1</v>
      </c>
      <c r="L318" s="15" t="s">
        <v>352</v>
      </c>
      <c r="M318" s="26"/>
      <c r="N318" s="26"/>
    </row>
    <row r="319" spans="1:14" ht="44" customHeight="1" x14ac:dyDescent="0.15">
      <c r="A319" s="2" t="s">
        <v>2606</v>
      </c>
      <c r="B319" s="21" t="s">
        <v>792</v>
      </c>
      <c r="C319" s="26" t="str">
        <f t="shared" ca="1" si="26"/>
        <v>プレイヤーランクを 70 まで上げよう！</v>
      </c>
      <c r="D319" s="26" t="str">
        <f ca="1">IFERROR(VLOOKUP($A319,OFFSET(achievement_criterion_id,0,0,COUNTA($A:$A),MATCH(D$1,missions!$2:$2,0)-MATCH($A$1,missions!$2:$2,0)+1),MATCH(D$1,missions!$2:$2,0)-MATCH($A$1,missions!$2:$2,0)+1,FALSE),IFERROR(VLOOKUP($A319,OFFSET(weekly_achievement_criterion_id,0,0,COUNTA($A:$A),MATCH(D$1,weekly_missions!$2:$2,0)-MATCH($A$1,weekly_missions!$2:$2,0)+1),MATCH(D$1,weekly_missions!$2:$2,0)-MATCH($A$1,weekly_missions!$2:$2,0)+1,FALSE),"＊missions 未設定＊"))</f>
        <v>二つ名 &lt;ハイスペック&gt;</v>
      </c>
      <c r="E319" s="27" t="s">
        <v>352</v>
      </c>
      <c r="F319" s="17" t="s">
        <v>11</v>
      </c>
      <c r="G319" s="26" t="str">
        <f ca="1">VLOOKUP($F319,OFFSET(達成条件!$A$1,0,0,COUNTA($A:$A),MATCH(G$1,達成条件!$1:$1,0)-MATCH($F$1,達成条件!$1:$1,0)+1),MATCH(G$1,達成条件!$1:$1,0)-MATCH($F$1,達成条件!$1:$1,0)+1,FALSE)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319" s="26" t="str">
        <f ca="1">VLOOKUP($F319,OFFSET(達成条件!$A$1,0,0,COUNTA($A:$A),MATCH(H$1,達成条件!$1:$1,0)-MATCH($F$1,達成条件!$1:$1,0)+1),MATCH(H$1,達成条件!$1:$1,0)-MATCH($F$1,達成条件!$1:$1,0)+1,FALSE)</f>
        <v>プレイヤーランク</v>
      </c>
      <c r="I319" s="56" t="s">
        <v>2623</v>
      </c>
      <c r="J319" s="54"/>
      <c r="K319" s="15">
        <v>1</v>
      </c>
      <c r="L319" s="15" t="s">
        <v>352</v>
      </c>
      <c r="M319" s="26"/>
      <c r="N319" s="26"/>
    </row>
    <row r="320" spans="1:14" ht="44" customHeight="1" x14ac:dyDescent="0.15">
      <c r="A320" s="2" t="s">
        <v>2607</v>
      </c>
      <c r="B320" s="21" t="s">
        <v>792</v>
      </c>
      <c r="C320" s="26" t="str">
        <f t="shared" ca="1" si="26"/>
        <v>プレイヤーランクを 70 まで上げよう！</v>
      </c>
      <c r="D320" s="26" t="str">
        <f ca="1">IFERROR(VLOOKUP($A320,OFFSET(achievement_criterion_id,0,0,COUNTA($A:$A),MATCH(D$1,missions!$2:$2,0)-MATCH($A$1,missions!$2:$2,0)+1),MATCH(D$1,missions!$2:$2,0)-MATCH($A$1,missions!$2:$2,0)+1,FALSE),IFERROR(VLOOKUP($A320,OFFSET(weekly_achievement_criterion_id,0,0,COUNTA($A:$A),MATCH(D$1,weekly_missions!$2:$2,0)-MATCH($A$1,weekly_missions!$2:$2,0)+1),MATCH(D$1,weekly_missions!$2:$2,0)-MATCH($A$1,weekly_missions!$2:$2,0)+1,FALSE),"＊missions 未設定＊"))</f>
        <v>二つ名 &lt;クラファー先生&gt;</v>
      </c>
      <c r="E320" s="27" t="s">
        <v>352</v>
      </c>
      <c r="F320" s="17" t="s">
        <v>11</v>
      </c>
      <c r="G320" s="26" t="str">
        <f ca="1">VLOOKUP($F320,OFFSET(達成条件!$A$1,0,0,COUNTA($A:$A),MATCH(G$1,達成条件!$1:$1,0)-MATCH($F$1,達成条件!$1:$1,0)+1),MATCH(G$1,達成条件!$1:$1,0)-MATCH($F$1,達成条件!$1:$1,0)+1,FALSE)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320" s="26" t="str">
        <f ca="1">VLOOKUP($F320,OFFSET(達成条件!$A$1,0,0,COUNTA($A:$A),MATCH(H$1,達成条件!$1:$1,0)-MATCH($F$1,達成条件!$1:$1,0)+1),MATCH(H$1,達成条件!$1:$1,0)-MATCH($F$1,達成条件!$1:$1,0)+1,FALSE)</f>
        <v>プレイヤーランク</v>
      </c>
      <c r="I320" s="56" t="s">
        <v>2623</v>
      </c>
      <c r="J320" s="54"/>
      <c r="K320" s="15">
        <v>1</v>
      </c>
      <c r="L320" s="15" t="s">
        <v>352</v>
      </c>
      <c r="M320" s="26"/>
      <c r="N320" s="26"/>
    </row>
    <row r="321" spans="1:14" ht="44" customHeight="1" x14ac:dyDescent="0.15">
      <c r="A321" s="2" t="s">
        <v>2608</v>
      </c>
      <c r="B321" s="21" t="s">
        <v>792</v>
      </c>
      <c r="C321" s="26" t="str">
        <f t="shared" ca="1" si="26"/>
        <v>プレイヤーランクを 100 まで上げよう！</v>
      </c>
      <c r="D321" s="26" t="str">
        <f ca="1">IFERROR(VLOOKUP($A321,OFFSET(achievement_criterion_id,0,0,COUNTA($A:$A),MATCH(D$1,missions!$2:$2,0)-MATCH($A$1,missions!$2:$2,0)+1),MATCH(D$1,missions!$2:$2,0)-MATCH($A$1,missions!$2:$2,0)+1,FALSE),IFERROR(VLOOKUP($A321,OFFSET(weekly_achievement_criterion_id,0,0,COUNTA($A:$A),MATCH(D$1,weekly_missions!$2:$2,0)-MATCH($A$1,weekly_missions!$2:$2,0)+1),MATCH(D$1,weekly_missions!$2:$2,0)-MATCH($A$1,weekly_missions!$2:$2,0)+1,FALSE),"＊missions 未設定＊"))</f>
        <v>二つ名 &lt;憧れの&gt;</v>
      </c>
      <c r="E321" s="27" t="s">
        <v>352</v>
      </c>
      <c r="F321" s="17" t="s">
        <v>11</v>
      </c>
      <c r="G321" s="26" t="str">
        <f ca="1">VLOOKUP($F321,OFFSET(達成条件!$A$1,0,0,COUNTA($A:$A),MATCH(G$1,達成条件!$1:$1,0)-MATCH($F$1,達成条件!$1:$1,0)+1),MATCH(G$1,達成条件!$1:$1,0)-MATCH($F$1,達成条件!$1:$1,0)+1,FALSE)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321" s="26" t="str">
        <f ca="1">VLOOKUP($F321,OFFSET(達成条件!$A$1,0,0,COUNTA($A:$A),MATCH(H$1,達成条件!$1:$1,0)-MATCH($F$1,達成条件!$1:$1,0)+1),MATCH(H$1,達成条件!$1:$1,0)-MATCH($F$1,達成条件!$1:$1,0)+1,FALSE)</f>
        <v>プレイヤーランク</v>
      </c>
      <c r="I321" s="56" t="s">
        <v>2624</v>
      </c>
      <c r="J321" s="54"/>
      <c r="K321" s="15">
        <v>1</v>
      </c>
      <c r="L321" s="15" t="s">
        <v>352</v>
      </c>
      <c r="M321" s="26"/>
      <c r="N321" s="26"/>
    </row>
    <row r="322" spans="1:14" ht="44" customHeight="1" x14ac:dyDescent="0.15">
      <c r="A322" s="2" t="s">
        <v>2609</v>
      </c>
      <c r="B322" s="21" t="s">
        <v>792</v>
      </c>
      <c r="C322" s="26" t="str">
        <f t="shared" ca="1" si="26"/>
        <v>プレイヤーランクを 100 まで上げよう！</v>
      </c>
      <c r="D322" s="26" t="str">
        <f ca="1">IFERROR(VLOOKUP($A322,OFFSET(achievement_criterion_id,0,0,COUNTA($A:$A),MATCH(D$1,missions!$2:$2,0)-MATCH($A$1,missions!$2:$2,0)+1),MATCH(D$1,missions!$2:$2,0)-MATCH($A$1,missions!$2:$2,0)+1,FALSE),IFERROR(VLOOKUP($A322,OFFSET(weekly_achievement_criterion_id,0,0,COUNTA($A:$A),MATCH(D$1,weekly_missions!$2:$2,0)-MATCH($A$1,weekly_missions!$2:$2,0)+1),MATCH(D$1,weekly_missions!$2:$2,0)-MATCH($A$1,weekly_missions!$2:$2,0)+1,FALSE),"＊missions 未設定＊"))</f>
        <v>二つ名 &lt;プロクラファー&gt;</v>
      </c>
      <c r="E322" s="27" t="s">
        <v>352</v>
      </c>
      <c r="F322" s="17" t="s">
        <v>11</v>
      </c>
      <c r="G322" s="26" t="str">
        <f ca="1">VLOOKUP($F322,OFFSET(達成条件!$A$1,0,0,COUNTA($A:$A),MATCH(G$1,達成条件!$1:$1,0)-MATCH($F$1,達成条件!$1:$1,0)+1),MATCH(G$1,達成条件!$1:$1,0)-MATCH($F$1,達成条件!$1:$1,0)+1,FALSE)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322" s="26" t="str">
        <f ca="1">VLOOKUP($F322,OFFSET(達成条件!$A$1,0,0,COUNTA($A:$A),MATCH(H$1,達成条件!$1:$1,0)-MATCH($F$1,達成条件!$1:$1,0)+1),MATCH(H$1,達成条件!$1:$1,0)-MATCH($F$1,達成条件!$1:$1,0)+1,FALSE)</f>
        <v>プレイヤーランク</v>
      </c>
      <c r="I322" s="56" t="s">
        <v>2624</v>
      </c>
      <c r="J322" s="54"/>
      <c r="K322" s="15">
        <v>1</v>
      </c>
      <c r="L322" s="15" t="s">
        <v>352</v>
      </c>
      <c r="M322" s="26"/>
      <c r="N322" s="26"/>
    </row>
    <row r="323" spans="1:14" ht="44" customHeight="1" x14ac:dyDescent="0.15">
      <c r="A323" s="2" t="s">
        <v>2610</v>
      </c>
      <c r="B323" s="21" t="s">
        <v>792</v>
      </c>
      <c r="C323" s="26" t="str">
        <f t="shared" ca="1" si="26"/>
        <v>プレイヤーランクを 150 まで上げよう！</v>
      </c>
      <c r="D323" s="26" t="str">
        <f ca="1">IFERROR(VLOOKUP($A323,OFFSET(achievement_criterion_id,0,0,COUNTA($A:$A),MATCH(D$1,missions!$2:$2,0)-MATCH($A$1,missions!$2:$2,0)+1),MATCH(D$1,missions!$2:$2,0)-MATCH($A$1,missions!$2:$2,0)+1,FALSE),IFERROR(VLOOKUP($A323,OFFSET(weekly_achievement_criterion_id,0,0,COUNTA($A:$A),MATCH(D$1,weekly_missions!$2:$2,0)-MATCH($A$1,weekly_missions!$2:$2,0)+1),MATCH(D$1,weekly_missions!$2:$2,0)-MATCH($A$1,weekly_missions!$2:$2,0)+1,FALSE),"＊missions 未設定＊"))</f>
        <v>二つ名 &lt;カリスマ&gt;</v>
      </c>
      <c r="E323" s="27" t="s">
        <v>352</v>
      </c>
      <c r="F323" s="17" t="s">
        <v>11</v>
      </c>
      <c r="G323" s="26" t="str">
        <f ca="1">VLOOKUP($F323,OFFSET(達成条件!$A$1,0,0,COUNTA($A:$A),MATCH(G$1,達成条件!$1:$1,0)-MATCH($F$1,達成条件!$1:$1,0)+1),MATCH(G$1,達成条件!$1:$1,0)-MATCH($F$1,達成条件!$1:$1,0)+1,FALSE)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323" s="26" t="str">
        <f ca="1">VLOOKUP($F323,OFFSET(達成条件!$A$1,0,0,COUNTA($A:$A),MATCH(H$1,達成条件!$1:$1,0)-MATCH($F$1,達成条件!$1:$1,0)+1),MATCH(H$1,達成条件!$1:$1,0)-MATCH($F$1,達成条件!$1:$1,0)+1,FALSE)</f>
        <v>プレイヤーランク</v>
      </c>
      <c r="I323" s="56" t="s">
        <v>2625</v>
      </c>
      <c r="J323" s="54"/>
      <c r="K323" s="15">
        <v>1</v>
      </c>
      <c r="L323" s="15" t="s">
        <v>352</v>
      </c>
      <c r="M323" s="26"/>
      <c r="N323" s="26"/>
    </row>
    <row r="324" spans="1:14" ht="44" customHeight="1" x14ac:dyDescent="0.15">
      <c r="A324" s="2" t="s">
        <v>2611</v>
      </c>
      <c r="B324" s="21" t="s">
        <v>792</v>
      </c>
      <c r="C324" s="26" t="str">
        <f t="shared" ca="1" si="26"/>
        <v>プレイヤーランクを 150 まで上げよう！</v>
      </c>
      <c r="D324" s="26" t="str">
        <f ca="1">IFERROR(VLOOKUP($A324,OFFSET(achievement_criterion_id,0,0,COUNTA($A:$A),MATCH(D$1,missions!$2:$2,0)-MATCH($A$1,missions!$2:$2,0)+1),MATCH(D$1,missions!$2:$2,0)-MATCH($A$1,missions!$2:$2,0)+1,FALSE),IFERROR(VLOOKUP($A324,OFFSET(weekly_achievement_criterion_id,0,0,COUNTA($A:$A),MATCH(D$1,weekly_missions!$2:$2,0)-MATCH($A$1,weekly_missions!$2:$2,0)+1),MATCH(D$1,weekly_missions!$2:$2,0)-MATCH($A$1,weekly_missions!$2:$2,0)+1,FALSE),"＊missions 未設定＊"))</f>
        <v>二つ名 &lt;クラファー名人&gt;</v>
      </c>
      <c r="E324" s="27" t="s">
        <v>352</v>
      </c>
      <c r="F324" s="17" t="s">
        <v>11</v>
      </c>
      <c r="G324" s="26" t="str">
        <f ca="1">VLOOKUP($F324,OFFSET(達成条件!$A$1,0,0,COUNTA($A:$A),MATCH(G$1,達成条件!$1:$1,0)-MATCH($F$1,達成条件!$1:$1,0)+1),MATCH(G$1,達成条件!$1:$1,0)-MATCH($F$1,達成条件!$1:$1,0)+1,FALSE)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324" s="26" t="str">
        <f ca="1">VLOOKUP($F324,OFFSET(達成条件!$A$1,0,0,COUNTA($A:$A),MATCH(H$1,達成条件!$1:$1,0)-MATCH($F$1,達成条件!$1:$1,0)+1),MATCH(H$1,達成条件!$1:$1,0)-MATCH($F$1,達成条件!$1:$1,0)+1,FALSE)</f>
        <v>プレイヤーランク</v>
      </c>
      <c r="I324" s="56" t="s">
        <v>2625</v>
      </c>
      <c r="J324" s="54"/>
      <c r="K324" s="15">
        <v>1</v>
      </c>
      <c r="L324" s="15" t="s">
        <v>352</v>
      </c>
      <c r="M324" s="26"/>
      <c r="N324" s="26"/>
    </row>
    <row r="325" spans="1:14" ht="44" customHeight="1" x14ac:dyDescent="0.15">
      <c r="A325" s="2" t="s">
        <v>2612</v>
      </c>
      <c r="B325" s="21" t="s">
        <v>792</v>
      </c>
      <c r="C325" s="26" t="str">
        <f t="shared" ca="1" si="26"/>
        <v>プレイヤーランクを 200 まで上げよう！</v>
      </c>
      <c r="D325" s="26" t="str">
        <f ca="1">IFERROR(VLOOKUP($A325,OFFSET(achievement_criterion_id,0,0,COUNTA($A:$A),MATCH(D$1,missions!$2:$2,0)-MATCH($A$1,missions!$2:$2,0)+1),MATCH(D$1,missions!$2:$2,0)-MATCH($A$1,missions!$2:$2,0)+1,FALSE),IFERROR(VLOOKUP($A325,OFFSET(weekly_achievement_criterion_id,0,0,COUNTA($A:$A),MATCH(D$1,weekly_missions!$2:$2,0)-MATCH($A$1,weekly_missions!$2:$2,0)+1),MATCH(D$1,weekly_missions!$2:$2,0)-MATCH($A$1,weekly_missions!$2:$2,0)+1,FALSE),"＊missions 未設定＊"))</f>
        <v>二つ名 &lt;伝説の&gt;</v>
      </c>
      <c r="E325" s="27" t="s">
        <v>352</v>
      </c>
      <c r="F325" s="17" t="s">
        <v>11</v>
      </c>
      <c r="G325" s="26" t="str">
        <f ca="1">VLOOKUP($F325,OFFSET(達成条件!$A$1,0,0,COUNTA($A:$A),MATCH(G$1,達成条件!$1:$1,0)-MATCH($F$1,達成条件!$1:$1,0)+1),MATCH(G$1,達成条件!$1:$1,0)-MATCH($F$1,達成条件!$1:$1,0)+1,FALSE)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325" s="26" t="str">
        <f ca="1">VLOOKUP($F325,OFFSET(達成条件!$A$1,0,0,COUNTA($A:$A),MATCH(H$1,達成条件!$1:$1,0)-MATCH($F$1,達成条件!$1:$1,0)+1),MATCH(H$1,達成条件!$1:$1,0)-MATCH($F$1,達成条件!$1:$1,0)+1,FALSE)</f>
        <v>プレイヤーランク</v>
      </c>
      <c r="I325" s="56" t="s">
        <v>2626</v>
      </c>
      <c r="J325" s="54"/>
      <c r="K325" s="15">
        <v>1</v>
      </c>
      <c r="L325" s="15" t="s">
        <v>352</v>
      </c>
      <c r="M325" s="26"/>
      <c r="N325" s="26"/>
    </row>
    <row r="326" spans="1:14" ht="44" customHeight="1" x14ac:dyDescent="0.15">
      <c r="A326" s="2" t="s">
        <v>2613</v>
      </c>
      <c r="B326" s="21" t="s">
        <v>792</v>
      </c>
      <c r="C326" s="26" t="str">
        <f t="shared" ca="1" si="26"/>
        <v>プレイヤーランクを 200 まで上げよう！</v>
      </c>
      <c r="D326" s="26" t="str">
        <f ca="1">IFERROR(VLOOKUP($A326,OFFSET(achievement_criterion_id,0,0,COUNTA($A:$A),MATCH(D$1,missions!$2:$2,0)-MATCH($A$1,missions!$2:$2,0)+1),MATCH(D$1,missions!$2:$2,0)-MATCH($A$1,missions!$2:$2,0)+1,FALSE),IFERROR(VLOOKUP($A326,OFFSET(weekly_achievement_criterion_id,0,0,COUNTA($A:$A),MATCH(D$1,weekly_missions!$2:$2,0)-MATCH($A$1,weekly_missions!$2:$2,0)+1),MATCH(D$1,weekly_missions!$2:$2,0)-MATCH($A$1,weekly_missions!$2:$2,0)+1,FALSE),"＊missions 未設定＊"))</f>
        <v>二つ名 &lt;クラファー王&gt;</v>
      </c>
      <c r="E326" s="27" t="s">
        <v>352</v>
      </c>
      <c r="F326" s="17" t="s">
        <v>11</v>
      </c>
      <c r="G326" s="26" t="str">
        <f ca="1">VLOOKUP($F326,OFFSET(達成条件!$A$1,0,0,COUNTA($A:$A),MATCH(G$1,達成条件!$1:$1,0)-MATCH($F$1,達成条件!$1:$1,0)+1),MATCH(G$1,達成条件!$1:$1,0)-MATCH($F$1,達成条件!$1:$1,0)+1,FALSE)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326" s="26" t="str">
        <f ca="1">VLOOKUP($F326,OFFSET(達成条件!$A$1,0,0,COUNTA($A:$A),MATCH(H$1,達成条件!$1:$1,0)-MATCH($F$1,達成条件!$1:$1,0)+1),MATCH(H$1,達成条件!$1:$1,0)-MATCH($F$1,達成条件!$1:$1,0)+1,FALSE)</f>
        <v>プレイヤーランク</v>
      </c>
      <c r="I326" s="56" t="s">
        <v>2626</v>
      </c>
      <c r="J326" s="54"/>
      <c r="K326" s="15">
        <v>1</v>
      </c>
      <c r="L326" s="15" t="s">
        <v>352</v>
      </c>
      <c r="M326" s="26"/>
      <c r="N326" s="26"/>
    </row>
    <row r="327" spans="1:14" ht="44" customHeight="1" x14ac:dyDescent="0.15">
      <c r="A327" s="2" t="s">
        <v>2614</v>
      </c>
      <c r="B327" s="21" t="s">
        <v>792</v>
      </c>
      <c r="C327" s="26" t="str">
        <f t="shared" ca="1" si="26"/>
        <v>プレイヤーランクを 250 まで上げよう！</v>
      </c>
      <c r="D327" s="26" t="str">
        <f ca="1">IFERROR(VLOOKUP($A327,OFFSET(achievement_criterion_id,0,0,COUNTA($A:$A),MATCH(D$1,missions!$2:$2,0)-MATCH($A$1,missions!$2:$2,0)+1),MATCH(D$1,missions!$2:$2,0)-MATCH($A$1,missions!$2:$2,0)+1,FALSE),IFERROR(VLOOKUP($A327,OFFSET(weekly_achievement_criterion_id,0,0,COUNTA($A:$A),MATCH(D$1,weekly_missions!$2:$2,0)-MATCH($A$1,weekly_missions!$2:$2,0)+1),MATCH(D$1,weekly_missions!$2:$2,0)-MATCH($A$1,weekly_missions!$2:$2,0)+1,FALSE),"＊missions 未設定＊"))</f>
        <v>二つ名 &lt;超越的な&gt;</v>
      </c>
      <c r="E327" s="27" t="s">
        <v>352</v>
      </c>
      <c r="F327" s="17" t="s">
        <v>11</v>
      </c>
      <c r="G327" s="26" t="str">
        <f ca="1">VLOOKUP($F327,OFFSET(達成条件!$A$1,0,0,COUNTA($A:$A),MATCH(G$1,達成条件!$1:$1,0)-MATCH($F$1,達成条件!$1:$1,0)+1),MATCH(G$1,達成条件!$1:$1,0)-MATCH($F$1,達成条件!$1:$1,0)+1,FALSE)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327" s="26" t="str">
        <f ca="1">VLOOKUP($F327,OFFSET(達成条件!$A$1,0,0,COUNTA($A:$A),MATCH(H$1,達成条件!$1:$1,0)-MATCH($F$1,達成条件!$1:$1,0)+1),MATCH(H$1,達成条件!$1:$1,0)-MATCH($F$1,達成条件!$1:$1,0)+1,FALSE)</f>
        <v>プレイヤーランク</v>
      </c>
      <c r="I327" s="56" t="s">
        <v>2627</v>
      </c>
      <c r="J327" s="54"/>
      <c r="K327" s="15">
        <v>1</v>
      </c>
      <c r="L327" s="15" t="s">
        <v>352</v>
      </c>
      <c r="M327" s="26"/>
      <c r="N327" s="26"/>
    </row>
    <row r="328" spans="1:14" ht="44" customHeight="1" x14ac:dyDescent="0.15">
      <c r="A328" s="2" t="s">
        <v>2615</v>
      </c>
      <c r="B328" s="21" t="s">
        <v>792</v>
      </c>
      <c r="C328" s="26" t="str">
        <f t="shared" ca="1" si="26"/>
        <v>プレイヤーランクを 250 まで上げよう！</v>
      </c>
      <c r="D328" s="26" t="str">
        <f ca="1">IFERROR(VLOOKUP($A328,OFFSET(achievement_criterion_id,0,0,COUNTA($A:$A),MATCH(D$1,missions!$2:$2,0)-MATCH($A$1,missions!$2:$2,0)+1),MATCH(D$1,missions!$2:$2,0)-MATCH($A$1,missions!$2:$2,0)+1,FALSE),IFERROR(VLOOKUP($A328,OFFSET(weekly_achievement_criterion_id,0,0,COUNTA($A:$A),MATCH(D$1,weekly_missions!$2:$2,0)-MATCH($A$1,weekly_missions!$2:$2,0)+1),MATCH(D$1,weekly_missions!$2:$2,0)-MATCH($A$1,weekly_missions!$2:$2,0)+1,FALSE),"＊missions 未設定＊"))</f>
        <v>二つ名 &lt;クラファー狂&gt;</v>
      </c>
      <c r="E328" s="27" t="s">
        <v>352</v>
      </c>
      <c r="F328" s="17" t="s">
        <v>11</v>
      </c>
      <c r="G328" s="26" t="str">
        <f ca="1">VLOOKUP($F328,OFFSET(達成条件!$A$1,0,0,COUNTA($A:$A),MATCH(G$1,達成条件!$1:$1,0)-MATCH($F$1,達成条件!$1:$1,0)+1),MATCH(G$1,達成条件!$1:$1,0)-MATCH($F$1,達成条件!$1:$1,0)+1,FALSE)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328" s="26" t="str">
        <f ca="1">VLOOKUP($F328,OFFSET(達成条件!$A$1,0,0,COUNTA($A:$A),MATCH(H$1,達成条件!$1:$1,0)-MATCH($F$1,達成条件!$1:$1,0)+1),MATCH(H$1,達成条件!$1:$1,0)-MATCH($F$1,達成条件!$1:$1,0)+1,FALSE)</f>
        <v>プレイヤーランク</v>
      </c>
      <c r="I328" s="56" t="s">
        <v>2627</v>
      </c>
      <c r="J328" s="54"/>
      <c r="K328" s="15">
        <v>1</v>
      </c>
      <c r="L328" s="15" t="s">
        <v>352</v>
      </c>
      <c r="M328" s="26"/>
      <c r="N328" s="26"/>
    </row>
    <row r="329" spans="1:14" ht="44" customHeight="1" x14ac:dyDescent="0.15">
      <c r="A329" s="2" t="s">
        <v>2616</v>
      </c>
      <c r="B329" s="21" t="s">
        <v>792</v>
      </c>
      <c r="C329" s="26" t="str">
        <f t="shared" ca="1" si="26"/>
        <v>プレイヤーランクを 300 まで上げよう！</v>
      </c>
      <c r="D329" s="26" t="str">
        <f ca="1">IFERROR(VLOOKUP($A329,OFFSET(achievement_criterion_id,0,0,COUNTA($A:$A),MATCH(D$1,missions!$2:$2,0)-MATCH($A$1,missions!$2:$2,0)+1),MATCH(D$1,missions!$2:$2,0)-MATCH($A$1,missions!$2:$2,0)+1,FALSE),IFERROR(VLOOKUP($A329,OFFSET(weekly_achievement_criterion_id,0,0,COUNTA($A:$A),MATCH(D$1,weekly_missions!$2:$2,0)-MATCH($A$1,weekly_missions!$2:$2,0)+1),MATCH(D$1,weekly_missions!$2:$2,0)-MATCH($A$1,weekly_missions!$2:$2,0)+1,FALSE),"＊missions 未設定＊"))</f>
        <v>二つ名 &lt;偉大な&gt;</v>
      </c>
      <c r="E329" s="27" t="s">
        <v>352</v>
      </c>
      <c r="F329" s="17" t="s">
        <v>11</v>
      </c>
      <c r="G329" s="26" t="str">
        <f ca="1">VLOOKUP($F329,OFFSET(達成条件!$A$1,0,0,COUNTA($A:$A),MATCH(G$1,達成条件!$1:$1,0)-MATCH($F$1,達成条件!$1:$1,0)+1),MATCH(G$1,達成条件!$1:$1,0)-MATCH($F$1,達成条件!$1:$1,0)+1,FALSE)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329" s="26" t="str">
        <f ca="1">VLOOKUP($F329,OFFSET(達成条件!$A$1,0,0,COUNTA($A:$A),MATCH(H$1,達成条件!$1:$1,0)-MATCH($F$1,達成条件!$1:$1,0)+1),MATCH(H$1,達成条件!$1:$1,0)-MATCH($F$1,達成条件!$1:$1,0)+1,FALSE)</f>
        <v>プレイヤーランク</v>
      </c>
      <c r="I329" s="56" t="s">
        <v>2628</v>
      </c>
      <c r="J329" s="54"/>
      <c r="K329" s="15">
        <v>1</v>
      </c>
      <c r="L329" s="15" t="s">
        <v>352</v>
      </c>
      <c r="M329" s="26"/>
      <c r="N329" s="26"/>
    </row>
    <row r="330" spans="1:14" ht="44" customHeight="1" x14ac:dyDescent="0.15">
      <c r="A330" s="2" t="s">
        <v>2617</v>
      </c>
      <c r="B330" s="21" t="s">
        <v>792</v>
      </c>
      <c r="C330" s="26" t="str">
        <f t="shared" ca="1" si="26"/>
        <v>プレイヤーランクを 300 まで上げよう！</v>
      </c>
      <c r="D330" s="26" t="str">
        <f ca="1">IFERROR(VLOOKUP($A330,OFFSET(achievement_criterion_id,0,0,COUNTA($A:$A),MATCH(D$1,missions!$2:$2,0)-MATCH($A$1,missions!$2:$2,0)+1),MATCH(D$1,missions!$2:$2,0)-MATCH($A$1,missions!$2:$2,0)+1,FALSE),IFERROR(VLOOKUP($A330,OFFSET(weekly_achievement_criterion_id,0,0,COUNTA($A:$A),MATCH(D$1,weekly_missions!$2:$2,0)-MATCH($A$1,weekly_missions!$2:$2,0)+1),MATCH(D$1,weekly_missions!$2:$2,0)-MATCH($A$1,weekly_missions!$2:$2,0)+1,FALSE),"＊missions 未設定＊"))</f>
        <v>二つ名 &lt;クラファー帝&gt;</v>
      </c>
      <c r="E330" s="27" t="s">
        <v>352</v>
      </c>
      <c r="F330" s="17" t="s">
        <v>11</v>
      </c>
      <c r="G330" s="26" t="str">
        <f ca="1">VLOOKUP($F330,OFFSET(達成条件!$A$1,0,0,COUNTA($A:$A),MATCH(G$1,達成条件!$1:$1,0)-MATCH($F$1,達成条件!$1:$1,0)+1),MATCH(G$1,達成条件!$1:$1,0)-MATCH($F$1,達成条件!$1:$1,0)+1,FALSE)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330" s="26" t="str">
        <f ca="1">VLOOKUP($F330,OFFSET(達成条件!$A$1,0,0,COUNTA($A:$A),MATCH(H$1,達成条件!$1:$1,0)-MATCH($F$1,達成条件!$1:$1,0)+1),MATCH(H$1,達成条件!$1:$1,0)-MATCH($F$1,達成条件!$1:$1,0)+1,FALSE)</f>
        <v>プレイヤーランク</v>
      </c>
      <c r="I330" s="56" t="s">
        <v>2628</v>
      </c>
      <c r="J330" s="54"/>
      <c r="K330" s="15">
        <v>1</v>
      </c>
      <c r="L330" s="15" t="s">
        <v>352</v>
      </c>
      <c r="M330" s="26"/>
      <c r="N330" s="26"/>
    </row>
    <row r="331" spans="1:14" ht="44" customHeight="1" x14ac:dyDescent="0.15">
      <c r="A331" s="2" t="s">
        <v>2618</v>
      </c>
      <c r="B331" s="21" t="s">
        <v>792</v>
      </c>
      <c r="C331" s="26" t="str">
        <f t="shared" ca="1" si="26"/>
        <v>プレイヤーランクを 400 まで上げよう！</v>
      </c>
      <c r="D331" s="26" t="str">
        <f ca="1">IFERROR(VLOOKUP($A331,OFFSET(achievement_criterion_id,0,0,COUNTA($A:$A),MATCH(D$1,missions!$2:$2,0)-MATCH($A$1,missions!$2:$2,0)+1),MATCH(D$1,missions!$2:$2,0)-MATCH($A$1,missions!$2:$2,0)+1,FALSE),IFERROR(VLOOKUP($A331,OFFSET(weekly_achievement_criterion_id,0,0,COUNTA($A:$A),MATCH(D$1,weekly_missions!$2:$2,0)-MATCH($A$1,weekly_missions!$2:$2,0)+1),MATCH(D$1,weekly_missions!$2:$2,0)-MATCH($A$1,weekly_missions!$2:$2,0)+1,FALSE),"＊missions 未設定＊"))</f>
        <v>二つ名 &lt;マスターオブ&gt;</v>
      </c>
      <c r="E331" s="27" t="s">
        <v>352</v>
      </c>
      <c r="F331" s="17" t="s">
        <v>11</v>
      </c>
      <c r="G331" s="26" t="str">
        <f ca="1">VLOOKUP($F331,OFFSET(達成条件!$A$1,0,0,COUNTA($A:$A),MATCH(G$1,達成条件!$1:$1,0)-MATCH($F$1,達成条件!$1:$1,0)+1),MATCH(G$1,達成条件!$1:$1,0)-MATCH($F$1,達成条件!$1:$1,0)+1,FALSE)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331" s="26" t="str">
        <f ca="1">VLOOKUP($F331,OFFSET(達成条件!$A$1,0,0,COUNTA($A:$A),MATCH(H$1,達成条件!$1:$1,0)-MATCH($F$1,達成条件!$1:$1,0)+1),MATCH(H$1,達成条件!$1:$1,0)-MATCH($F$1,達成条件!$1:$1,0)+1,FALSE)</f>
        <v>プレイヤーランク</v>
      </c>
      <c r="I331" s="56" t="s">
        <v>2629</v>
      </c>
      <c r="J331" s="54"/>
      <c r="K331" s="15">
        <v>1</v>
      </c>
      <c r="L331" s="15" t="s">
        <v>352</v>
      </c>
      <c r="M331" s="26"/>
      <c r="N331" s="26"/>
    </row>
    <row r="332" spans="1:14" ht="44" customHeight="1" x14ac:dyDescent="0.15">
      <c r="A332" s="2" t="s">
        <v>2619</v>
      </c>
      <c r="B332" s="21" t="s">
        <v>792</v>
      </c>
      <c r="C332" s="26" t="str">
        <f t="shared" ca="1" si="26"/>
        <v>プレイヤーランクを 400 まで上げよう！</v>
      </c>
      <c r="D332" s="26" t="str">
        <f ca="1">IFERROR(VLOOKUP($A332,OFFSET(achievement_criterion_id,0,0,COUNTA($A:$A),MATCH(D$1,missions!$2:$2,0)-MATCH($A$1,missions!$2:$2,0)+1),MATCH(D$1,missions!$2:$2,0)-MATCH($A$1,missions!$2:$2,0)+1,FALSE),IFERROR(VLOOKUP($A332,OFFSET(weekly_achievement_criterion_id,0,0,COUNTA($A:$A),MATCH(D$1,weekly_missions!$2:$2,0)-MATCH($A$1,weekly_missions!$2:$2,0)+1),MATCH(D$1,weekly_missions!$2:$2,0)-MATCH($A$1,weekly_missions!$2:$2,0)+1,FALSE),"＊missions 未設定＊"))</f>
        <v>二つ名 &lt;クラファー仙人&gt;</v>
      </c>
      <c r="E332" s="27" t="s">
        <v>352</v>
      </c>
      <c r="F332" s="17" t="s">
        <v>11</v>
      </c>
      <c r="G332" s="26" t="str">
        <f ca="1">VLOOKUP($F332,OFFSET(達成条件!$A$1,0,0,COUNTA($A:$A),MATCH(G$1,達成条件!$1:$1,0)-MATCH($F$1,達成条件!$1:$1,0)+1),MATCH(G$1,達成条件!$1:$1,0)-MATCH($F$1,達成条件!$1:$1,0)+1,FALSE)</f>
        <v>プレイヤーランクを x まで上げよう！</v>
      </c>
      <c r="H332" s="26" t="str">
        <f ca="1">VLOOKUP($F332,OFFSET(達成条件!$A$1,0,0,COUNTA($A:$A),MATCH(H$1,達成条件!$1:$1,0)-MATCH($F$1,達成条件!$1:$1,0)+1),MATCH(H$1,達成条件!$1:$1,0)-MATCH($F$1,達成条件!$1:$1,0)+1,FALSE)</f>
        <v>プレイヤーランク</v>
      </c>
      <c r="I332" s="56" t="s">
        <v>2629</v>
      </c>
      <c r="J332" s="54"/>
      <c r="K332" s="15">
        <v>1</v>
      </c>
      <c r="L332" s="15" t="s">
        <v>352</v>
      </c>
      <c r="M332" s="26"/>
      <c r="N332" s="26"/>
    </row>
    <row r="333" spans="1:14" ht="44" customHeight="1" x14ac:dyDescent="0.15">
      <c r="A333" s="2" t="s">
        <v>1363</v>
      </c>
      <c r="B333" s="21" t="s">
        <v>1364</v>
      </c>
      <c r="C333" s="26" t="str">
        <f>IF(F333="specific_quest_clear",SUBSTITUTE(G333,"x",J333),IF(F333="specific_unit_aquired_count",SUBSTITUTE(J333,"y",K333),SUBSTITUTE(G333,"x",I333)))</f>
        <v>「ベルゼブブ襲来！」 攻略動画を観よう！</v>
      </c>
      <c r="D333" s="26" t="str">
        <f ca="1">IFERROR(VLOOKUP($A333,OFFSET(achievement_criterion_id,0,0,COUNTA($A:$A),MATCH(D$1,missions!$2:$2,0)-MATCH($A$1,missions!$2:$2,0)+1),MATCH(D$1,missions!$2:$2,0)-MATCH($A$1,missions!$2:$2,0)+1,FALSE),IFERROR(VLOOKUP($A333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33" s="27" t="s">
        <v>352</v>
      </c>
      <c r="F333" s="75" t="s">
        <v>895</v>
      </c>
      <c r="G333" s="105" t="s">
        <v>1371</v>
      </c>
      <c r="H333" s="26">
        <f ca="1">VLOOKUP($F333,OFFSET(達成条件!$A$1,0,0,COUNTA($A:$A),MATCH(H$1,達成条件!$1:$1,0)-MATCH($F$1,達成条件!$1:$1,0)+1),MATCH(H$1,達成条件!$1:$1,0)-MATCH($F$1,達成条件!$1:$1,0)+1,FALSE)</f>
        <v>0</v>
      </c>
      <c r="I333" s="106" t="s">
        <v>1372</v>
      </c>
      <c r="J333" s="54" t="str">
        <f ca="1">IF(F333="specific_unit_aquired_count",SUBSTITUTE(G333,"x",VLOOKUP(INT($I333),OFFSET([3]characters!$A$2,0,0,COUNTA([3]characters!$A:$A),MATCH(J$1,[3]characters!$2:$2,0)-MATCH("character_id",[3]characters!$2:$2,0)+1),MATCH(J$1,[3]characters!$2:$2,0)-MATCH("character_id",[3]characters!$2:$2,0)+1,FALSE)),IF(F333="specific_quest_clear",VLOOKUP(SUBSTITUTE(I333,"-","_"),OFFSET([2]stages!$A$2,0,0,COUNTA([2]stages!$A:$A),MATCH("name",[2]stages!$2:$2,0)-MATCH("temp_stage",[2]stages!$2:$2,0)+1),MATCH("name",[2]stages!$2:$2,0)-MATCH("temp_stage",[2]stages!$2:$2,0)+1,FALSE),""))</f>
        <v/>
      </c>
      <c r="K333" s="15">
        <v>1</v>
      </c>
      <c r="L333" s="15" t="s">
        <v>352</v>
      </c>
      <c r="M333" s="26"/>
      <c r="N333" s="26"/>
    </row>
    <row r="334" spans="1:14" ht="44" customHeight="1" x14ac:dyDescent="0.15">
      <c r="A334" s="2" t="s">
        <v>1401</v>
      </c>
      <c r="B334" s="21" t="s">
        <v>792</v>
      </c>
      <c r="C334" s="26" t="str">
        <f t="shared" ref="C334:C338" si="27">IF(F334="specific_quest_clear",SUBSTITUTE(G334,"x",J334),IF(F334="specific_unit_aquired_count",SUBSTITUTE(J334,"y",K334),SUBSTITUTE(G334,"x",I334)))</f>
        <v>AppStoreセールスTOP10ランクインをTwitterでツイートしよう！</v>
      </c>
      <c r="D334" s="26" t="str">
        <f ca="1">IFERROR(VLOOKUP($A334,OFFSET(achievement_criterion_id,0,0,COUNTA($A:$A),MATCH(D$1,missions!$2:$2,0)-MATCH($A$1,missions!$2:$2,0)+1),MATCH(D$1,missions!$2:$2,0)-MATCH($A$1,missions!$2:$2,0)+1,FALSE),IFERROR(VLOOKUP($A334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34" s="27" t="s">
        <v>352</v>
      </c>
      <c r="F334" s="75" t="s">
        <v>895</v>
      </c>
      <c r="G334" s="76" t="s">
        <v>1403</v>
      </c>
      <c r="H334" s="26">
        <f ca="1">VLOOKUP($F334,OFFSET(達成条件!$A$1,0,0,COUNTA($A:$A),MATCH(H$1,達成条件!$1:$1,0)-MATCH($F$1,達成条件!$1:$1,0)+1),MATCH(H$1,達成条件!$1:$1,0)-MATCH($F$1,達成条件!$1:$1,0)+1,FALSE)</f>
        <v>0</v>
      </c>
      <c r="I334" s="84" t="s">
        <v>1794</v>
      </c>
      <c r="J334" s="54" t="str">
        <f ca="1">IF(F334="specific_unit_aquired_count",SUBSTITUTE(G334,"x",VLOOKUP(INT($I334),OFFSET([3]characters!$A$2,0,0,COUNTA([3]characters!$A:$A),MATCH(J$1,[3]characters!$2:$2,0)-MATCH("character_id",[3]characters!$2:$2,0)+1),MATCH(J$1,[3]characters!$2:$2,0)-MATCH("character_id",[3]characters!$2:$2,0)+1,FALSE)),IF(F334="specific_quest_clear",VLOOKUP(SUBSTITUTE(I334,"-","_"),OFFSET([2]stages!$A$2,0,0,COUNTA([2]stages!$A:$A),MATCH("name",[2]stages!$2:$2,0)-MATCH("temp_stage",[2]stages!$2:$2,0)+1),MATCH("name",[2]stages!$2:$2,0)-MATCH("temp_stage",[2]stages!$2:$2,0)+1,FALSE),""))</f>
        <v/>
      </c>
      <c r="K334" s="15">
        <v>1</v>
      </c>
      <c r="L334" s="15" t="s">
        <v>352</v>
      </c>
      <c r="M334" s="26"/>
      <c r="N334" s="26"/>
    </row>
    <row r="335" spans="1:14" ht="44" customHeight="1" x14ac:dyDescent="0.15">
      <c r="A335" s="2" t="s">
        <v>1402</v>
      </c>
      <c r="B335" s="21" t="s">
        <v>792</v>
      </c>
      <c r="C335" s="26" t="str">
        <f t="shared" si="27"/>
        <v>AppStoreセールスTOP10ランクインをLINEで友だちに教えてあげよう！</v>
      </c>
      <c r="D335" s="26" t="str">
        <f ca="1">IFERROR(VLOOKUP($A335,OFFSET(achievement_criterion_id,0,0,COUNTA($A:$A),MATCH(D$1,missions!$2:$2,0)-MATCH($A$1,missions!$2:$2,0)+1),MATCH(D$1,missions!$2:$2,0)-MATCH($A$1,missions!$2:$2,0)+1,FALSE),IFERROR(VLOOKUP($A335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35" s="27" t="s">
        <v>352</v>
      </c>
      <c r="F335" s="75" t="s">
        <v>895</v>
      </c>
      <c r="G335" s="76" t="s">
        <v>1404</v>
      </c>
      <c r="H335" s="26">
        <f ca="1">VLOOKUP($F335,OFFSET(達成条件!$A$1,0,0,COUNTA($A:$A),MATCH(H$1,達成条件!$1:$1,0)-MATCH($F$1,達成条件!$1:$1,0)+1),MATCH(H$1,達成条件!$1:$1,0)-MATCH($F$1,達成条件!$1:$1,0)+1,FALSE)</f>
        <v>0</v>
      </c>
      <c r="I335" s="84" t="s">
        <v>1405</v>
      </c>
      <c r="J335" s="54" t="str">
        <f ca="1">IF(F335="specific_unit_aquired_count",SUBSTITUTE(G335,"x",VLOOKUP(INT($I335),OFFSET([3]characters!$A$2,0,0,COUNTA([3]characters!$A:$A),MATCH(J$1,[3]characters!$2:$2,0)-MATCH("character_id",[3]characters!$2:$2,0)+1),MATCH(J$1,[3]characters!$2:$2,0)-MATCH("character_id",[3]characters!$2:$2,0)+1,FALSE)),IF(F335="specific_quest_clear",VLOOKUP(SUBSTITUTE(I335,"-","_"),OFFSET([2]stages!$A$2,0,0,COUNTA([2]stages!$A:$A),MATCH("name",[2]stages!$2:$2,0)-MATCH("temp_stage",[2]stages!$2:$2,0)+1),MATCH("name",[2]stages!$2:$2,0)-MATCH("temp_stage",[2]stages!$2:$2,0)+1,FALSE),""))</f>
        <v/>
      </c>
      <c r="K335" s="15">
        <v>1</v>
      </c>
      <c r="L335" s="15" t="s">
        <v>352</v>
      </c>
      <c r="M335" s="26"/>
      <c r="N335" s="26"/>
    </row>
    <row r="336" spans="1:14" ht="44" customHeight="1" x14ac:dyDescent="0.15">
      <c r="A336" s="2" t="s">
        <v>1397</v>
      </c>
      <c r="B336" s="21" t="s">
        <v>792</v>
      </c>
      <c r="C336" s="26" t="str">
        <f t="shared" si="27"/>
        <v>クラフィFacebook公式ページに_x000D_「いいね！」をしよう！</v>
      </c>
      <c r="D336" s="26" t="str">
        <f ca="1">IFERROR(VLOOKUP($A336,OFFSET(achievement_criterion_id,0,0,COUNTA($A:$A),MATCH(D$1,missions!$2:$2,0)-MATCH($A$1,missions!$2:$2,0)+1),MATCH(D$1,missions!$2:$2,0)-MATCH($A$1,missions!$2:$2,0)+1,FALSE),IFERROR(VLOOKUP($A336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36" s="27" t="s">
        <v>352</v>
      </c>
      <c r="F336" s="75" t="s">
        <v>895</v>
      </c>
      <c r="G336" s="105" t="s">
        <v>1399</v>
      </c>
      <c r="H336" s="26">
        <f ca="1">VLOOKUP($F336,OFFSET(達成条件!$A$1,0,0,COUNTA($A:$A),MATCH(H$1,達成条件!$1:$1,0)-MATCH($F$1,達成条件!$1:$1,0)+1),MATCH(H$1,達成条件!$1:$1,0)-MATCH($F$1,達成条件!$1:$1,0)+1,FALSE)</f>
        <v>0</v>
      </c>
      <c r="I336" s="104" t="s">
        <v>1400</v>
      </c>
      <c r="J336" s="54" t="str">
        <f ca="1">IF(F336="specific_unit_aquired_count",SUBSTITUTE(G336,"x",VLOOKUP(INT($I336),OFFSET([3]characters!$A$2,0,0,COUNTA([3]characters!$A:$A),MATCH(J$1,[3]characters!$2:$2,0)-MATCH("character_id",[3]characters!$2:$2,0)+1),MATCH(J$1,[3]characters!$2:$2,0)-MATCH("character_id",[3]characters!$2:$2,0)+1,FALSE)),IF(F336="specific_quest_clear",VLOOKUP(SUBSTITUTE(I336,"-","_"),OFFSET([2]stages!$A$2,0,0,COUNTA([2]stages!$A:$A),MATCH("name",[2]stages!$2:$2,0)-MATCH("temp_stage",[2]stages!$2:$2,0)+1),MATCH("name",[2]stages!$2:$2,0)-MATCH("temp_stage",[2]stages!$2:$2,0)+1,FALSE),""))</f>
        <v/>
      </c>
      <c r="K336" s="15">
        <v>1</v>
      </c>
      <c r="L336" s="15" t="s">
        <v>352</v>
      </c>
      <c r="M336" s="26"/>
      <c r="N336" s="26"/>
    </row>
    <row r="337" spans="1:16" ht="44" customHeight="1" x14ac:dyDescent="0.15">
      <c r="A337" s="2" t="s">
        <v>1412</v>
      </c>
      <c r="B337" s="21" t="s">
        <v>792</v>
      </c>
      <c r="C337" s="26" t="str">
        <f t="shared" si="27"/>
        <v>サンリオキャラクターズコラボをTwitterでツイートしよう！</v>
      </c>
      <c r="D337" s="26" t="str">
        <f ca="1">IFERROR(VLOOKUP($A337,OFFSET(achievement_criterion_id,0,0,COUNTA($A:$A),MATCH(D$1,missions!$2:$2,0)-MATCH($A$1,missions!$2:$2,0)+1),MATCH(D$1,missions!$2:$2,0)-MATCH($A$1,missions!$2:$2,0)+1,FALSE),IFERROR(VLOOKUP($A337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37" s="27" t="s">
        <v>352</v>
      </c>
      <c r="F337" s="75" t="s">
        <v>895</v>
      </c>
      <c r="G337" s="105" t="s">
        <v>1414</v>
      </c>
      <c r="H337" s="26">
        <f ca="1">VLOOKUP($F337,OFFSET(達成条件!$A$1,0,0,COUNTA($A:$A),MATCH(H$1,達成条件!$1:$1,0)-MATCH($F$1,達成条件!$1:$1,0)+1),MATCH(H$1,達成条件!$1:$1,0)-MATCH($F$1,達成条件!$1:$1,0)+1,FALSE)</f>
        <v>0</v>
      </c>
      <c r="I337" s="84" t="s">
        <v>1443</v>
      </c>
      <c r="J337" s="54" t="str">
        <f ca="1">IF(F337="specific_unit_aquired_count",SUBSTITUTE(G337,"x",VLOOKUP(INT($I337),OFFSET([3]characters!$A$2,0,0,COUNTA([3]characters!$A:$A),MATCH(J$1,[3]characters!$2:$2,0)-MATCH("character_id",[3]characters!$2:$2,0)+1),MATCH(J$1,[3]characters!$2:$2,0)-MATCH("character_id",[3]characters!$2:$2,0)+1,FALSE)),IF(F337="specific_quest_clear",VLOOKUP(SUBSTITUTE(I337,"-","_"),OFFSET([2]stages!$A$2,0,0,COUNTA([2]stages!$A:$A),MATCH("name",[2]stages!$2:$2,0)-MATCH("temp_stage",[2]stages!$2:$2,0)+1),MATCH("name",[2]stages!$2:$2,0)-MATCH("temp_stage",[2]stages!$2:$2,0)+1,FALSE),""))</f>
        <v/>
      </c>
      <c r="K337" s="15">
        <v>1</v>
      </c>
      <c r="L337" s="15" t="s">
        <v>352</v>
      </c>
      <c r="M337" s="26"/>
      <c r="N337" s="26"/>
    </row>
    <row r="338" spans="1:16" ht="44" customHeight="1" x14ac:dyDescent="0.15">
      <c r="A338" s="2" t="s">
        <v>1415</v>
      </c>
      <c r="B338" s="21" t="s">
        <v>792</v>
      </c>
      <c r="C338" s="26" t="str">
        <f t="shared" si="27"/>
        <v>サンリオキャラクターズコラボをLINEで友だちに教えてあげよう！</v>
      </c>
      <c r="D338" s="26" t="str">
        <f ca="1">IFERROR(VLOOKUP($A338,OFFSET(achievement_criterion_id,0,0,COUNTA($A:$A),MATCH(D$1,missions!$2:$2,0)-MATCH($A$1,missions!$2:$2,0)+1),MATCH(D$1,missions!$2:$2,0)-MATCH($A$1,missions!$2:$2,0)+1,FALSE),IFERROR(VLOOKUP($A338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38" s="27" t="s">
        <v>352</v>
      </c>
      <c r="F338" s="75" t="s">
        <v>895</v>
      </c>
      <c r="G338" s="105" t="s">
        <v>1416</v>
      </c>
      <c r="H338" s="26">
        <f ca="1">VLOOKUP($F338,OFFSET(達成条件!$A$1,0,0,COUNTA($A:$A),MATCH(H$1,達成条件!$1:$1,0)-MATCH($F$1,達成条件!$1:$1,0)+1),MATCH(H$1,達成条件!$1:$1,0)-MATCH($F$1,達成条件!$1:$1,0)+1,FALSE)</f>
        <v>0</v>
      </c>
      <c r="I338" s="84" t="s">
        <v>1440</v>
      </c>
      <c r="J338" s="54" t="str">
        <f ca="1">IF(F338="specific_unit_aquired_count",SUBSTITUTE(G338,"x",VLOOKUP(INT($I338),OFFSET([3]characters!$A$2,0,0,COUNTA([3]characters!$A:$A),MATCH(J$1,[3]characters!$2:$2,0)-MATCH("character_id",[3]characters!$2:$2,0)+1),MATCH(J$1,[3]characters!$2:$2,0)-MATCH("character_id",[3]characters!$2:$2,0)+1,FALSE)),IF(F338="specific_quest_clear",VLOOKUP(SUBSTITUTE(I338,"-","_"),OFFSET([2]stages!$A$2,0,0,COUNTA([2]stages!$A:$A),MATCH("name",[2]stages!$2:$2,0)-MATCH("temp_stage",[2]stages!$2:$2,0)+1),MATCH("name",[2]stages!$2:$2,0)-MATCH("temp_stage",[2]stages!$2:$2,0)+1,FALSE),""))</f>
        <v/>
      </c>
      <c r="K338" s="15">
        <v>1</v>
      </c>
      <c r="L338" s="15" t="s">
        <v>352</v>
      </c>
      <c r="M338" s="26"/>
      <c r="N338" s="26"/>
    </row>
    <row r="339" spans="1:16" ht="44" customHeight="1" x14ac:dyDescent="0.15">
      <c r="A339" s="2" t="s">
        <v>1444</v>
      </c>
      <c r="B339" s="21" t="s">
        <v>792</v>
      </c>
      <c r="C339" s="26" t="str">
        <f t="shared" ref="C339:C340" si="28">IF(F339="specific_quest_clear",SUBSTITUTE(G339,"x",J339),IF(F339="specific_unit_aquired_count",SUBSTITUTE(J339,"y",K339),SUBSTITUTE(G339,"x",I339)))</f>
        <v>400万DL突破をTwitterでツイートしよう！</v>
      </c>
      <c r="D339" s="26" t="str">
        <f ca="1">IFERROR(VLOOKUP($A339,OFFSET(achievement_criterion_id,0,0,COUNTA($A:$A),MATCH(D$1,missions!$2:$2,0)-MATCH($A$1,missions!$2:$2,0)+1),MATCH(D$1,missions!$2:$2,0)-MATCH($A$1,missions!$2:$2,0)+1,FALSE),IFERROR(VLOOKUP($A339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39" s="27" t="s">
        <v>352</v>
      </c>
      <c r="F339" s="75" t="s">
        <v>895</v>
      </c>
      <c r="G339" s="105" t="s">
        <v>1441</v>
      </c>
      <c r="H339" s="26">
        <f ca="1">VLOOKUP($F339,OFFSET(達成条件!$A$1,0,0,COUNTA($A:$A),MATCH(H$1,達成条件!$1:$1,0)-MATCH($F$1,達成条件!$1:$1,0)+1),MATCH(H$1,達成条件!$1:$1,0)-MATCH($F$1,達成条件!$1:$1,0)+1,FALSE)</f>
        <v>0</v>
      </c>
      <c r="I339" s="84" t="s">
        <v>1455</v>
      </c>
      <c r="J339" s="54" t="str">
        <f ca="1">IF(F339="specific_unit_aquired_count",SUBSTITUTE(G339,"x",VLOOKUP(INT($I339),OFFSET([3]characters!$A$2,0,0,COUNTA([3]characters!$A:$A),MATCH(J$1,[3]characters!$2:$2,0)-MATCH("character_id",[3]characters!$2:$2,0)+1),MATCH(J$1,[3]characters!$2:$2,0)-MATCH("character_id",[3]characters!$2:$2,0)+1,FALSE)),IF(F339="specific_quest_clear",VLOOKUP(SUBSTITUTE(I339,"-","_"),OFFSET([2]stages!$A$2,0,0,COUNTA([2]stages!$A:$A),MATCH("name",[2]stages!$2:$2,0)-MATCH("temp_stage",[2]stages!$2:$2,0)+1),MATCH("name",[2]stages!$2:$2,0)-MATCH("temp_stage",[2]stages!$2:$2,0)+1,FALSE),""))</f>
        <v/>
      </c>
      <c r="K339" s="15">
        <v>1</v>
      </c>
      <c r="L339" s="15" t="s">
        <v>352</v>
      </c>
      <c r="M339" s="26"/>
      <c r="N339" s="26"/>
    </row>
    <row r="340" spans="1:16" ht="44" customHeight="1" x14ac:dyDescent="0.15">
      <c r="A340" s="2" t="s">
        <v>1445</v>
      </c>
      <c r="B340" s="21" t="s">
        <v>792</v>
      </c>
      <c r="C340" s="26" t="str">
        <f t="shared" si="28"/>
        <v>400万DL突破をLINEで友だちに教えてあげよう！</v>
      </c>
      <c r="D340" s="26" t="str">
        <f ca="1">IFERROR(VLOOKUP($A340,OFFSET(achievement_criterion_id,0,0,COUNTA($A:$A),MATCH(D$1,missions!$2:$2,0)-MATCH($A$1,missions!$2:$2,0)+1),MATCH(D$1,missions!$2:$2,0)-MATCH($A$1,missions!$2:$2,0)+1,FALSE),IFERROR(VLOOKUP($A340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40" s="27" t="s">
        <v>352</v>
      </c>
      <c r="F340" s="75" t="s">
        <v>895</v>
      </c>
      <c r="G340" s="105" t="s">
        <v>1442</v>
      </c>
      <c r="H340" s="26">
        <f ca="1">VLOOKUP($F340,OFFSET(達成条件!$A$1,0,0,COUNTA($A:$A),MATCH(H$1,達成条件!$1:$1,0)-MATCH($F$1,達成条件!$1:$1,0)+1),MATCH(H$1,達成条件!$1:$1,0)-MATCH($F$1,達成条件!$1:$1,0)+1,FALSE)</f>
        <v>0</v>
      </c>
      <c r="I340" s="84" t="s">
        <v>1454</v>
      </c>
      <c r="J340" s="54" t="str">
        <f ca="1">IF(F340="specific_unit_aquired_count",SUBSTITUTE(G340,"x",VLOOKUP(INT($I340),OFFSET([3]characters!$A$2,0,0,COUNTA([3]characters!$A:$A),MATCH(J$1,[3]characters!$2:$2,0)-MATCH("character_id",[3]characters!$2:$2,0)+1),MATCH(J$1,[3]characters!$2:$2,0)-MATCH("character_id",[3]characters!$2:$2,0)+1,FALSE)),IF(F340="specific_quest_clear",VLOOKUP(SUBSTITUTE(I340,"-","_"),OFFSET([2]stages!$A$2,0,0,COUNTA([2]stages!$A:$A),MATCH("name",[2]stages!$2:$2,0)-MATCH("temp_stage",[2]stages!$2:$2,0)+1),MATCH("name",[2]stages!$2:$2,0)-MATCH("temp_stage",[2]stages!$2:$2,0)+1,FALSE),""))</f>
        <v/>
      </c>
      <c r="K340" s="15">
        <v>1</v>
      </c>
      <c r="L340" s="15" t="s">
        <v>352</v>
      </c>
      <c r="M340" s="26"/>
      <c r="N340" s="26"/>
    </row>
    <row r="341" spans="1:16" ht="44" customHeight="1" x14ac:dyDescent="0.15">
      <c r="A341" s="2" t="s">
        <v>1566</v>
      </c>
      <c r="B341" s="21" t="s">
        <v>792</v>
      </c>
      <c r="C341" s="26" t="str">
        <f>IF(F341="specific_quest_clear",SUBSTITUTE(G341,"x",J341),IF(F341="specific_unit_aquired_count",SUBSTITUTE(J341,"y",K341),SUBSTITUTE(G341,"x",I341)))</f>
        <v>クラフィ1周年をTwitterでツイートしよう！</v>
      </c>
      <c r="D341" s="26" t="str">
        <f ca="1">IFERROR(VLOOKUP($A341,OFFSET(achievement_criterion_id,0,0,COUNTA($A:$A),MATCH(D$1,missions!$2:$2,0)-MATCH($A$1,missions!$2:$2,0)+1),MATCH(D$1,missions!$2:$2,0)-MATCH($A$1,missions!$2:$2,0)+1,FALSE),IFERROR(VLOOKUP($A341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41" s="27" t="s">
        <v>352</v>
      </c>
      <c r="F341" s="75" t="s">
        <v>895</v>
      </c>
      <c r="G341" s="105" t="s">
        <v>1571</v>
      </c>
      <c r="H341" s="26">
        <f ca="1">VLOOKUP($F341,OFFSET(達成条件!$A$1,0,0,COUNTA($A:$A),MATCH(H$1,達成条件!$1:$1,0)-MATCH($F$1,達成条件!$1:$1,0)+1),MATCH(H$1,達成条件!$1:$1,0)-MATCH($F$1,達成条件!$1:$1,0)+1,FALSE)</f>
        <v>0</v>
      </c>
      <c r="I341" s="84" t="s">
        <v>1669</v>
      </c>
      <c r="J341" s="54" t="str">
        <f ca="1">IF(F341="specific_unit_aquired_count",SUBSTITUTE(G341,"x",VLOOKUP(INT($I341),OFFSET([3]characters!$A$2,0,0,COUNTA([3]characters!$A:$A),MATCH(J$1,[3]characters!$2:$2,0)-MATCH("character_id",[3]characters!$2:$2,0)+1),MATCH(J$1,[3]characters!$2:$2,0)-MATCH("character_id",[3]characters!$2:$2,0)+1,FALSE)),IF(F341="specific_quest_clear",VLOOKUP(SUBSTITUTE(I341,"-","_"),OFFSET([2]stages!$A$2,0,0,COUNTA([2]stages!$A:$A),MATCH("name",[2]stages!$2:$2,0)-MATCH("temp_stage",[2]stages!$2:$2,0)+1),MATCH("name",[2]stages!$2:$2,0)-MATCH("temp_stage",[2]stages!$2:$2,0)+1,FALSE),""))</f>
        <v/>
      </c>
      <c r="K341" s="15">
        <v>1</v>
      </c>
      <c r="L341" s="15" t="s">
        <v>352</v>
      </c>
      <c r="M341" s="26"/>
      <c r="N341" s="26"/>
    </row>
    <row r="342" spans="1:16" ht="44" customHeight="1" x14ac:dyDescent="0.15">
      <c r="A342" s="2" t="s">
        <v>1567</v>
      </c>
      <c r="B342" s="21" t="s">
        <v>792</v>
      </c>
      <c r="C342" s="26" t="str">
        <f t="shared" ref="C342" si="29">IF(F342="specific_quest_clear",SUBSTITUTE(G342,"x",J342),IF(F342="specific_unit_aquired_count",SUBSTITUTE(J342,"y",K342),SUBSTITUTE(G342,"x",I342)))</f>
        <v>クラフィ1周年をLINEで友だちに教えてあげよう！</v>
      </c>
      <c r="D342" s="26" t="str">
        <f ca="1">IFERROR(VLOOKUP($A342,OFFSET(achievement_criterion_id,0,0,COUNTA($A:$A),MATCH(D$1,missions!$2:$2,0)-MATCH($A$1,missions!$2:$2,0)+1),MATCH(D$1,missions!$2:$2,0)-MATCH($A$1,missions!$2:$2,0)+1,FALSE),IFERROR(VLOOKUP($A342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42" s="27" t="s">
        <v>352</v>
      </c>
      <c r="F342" s="75" t="s">
        <v>895</v>
      </c>
      <c r="G342" s="105" t="s">
        <v>1577</v>
      </c>
      <c r="H342" s="26">
        <f ca="1">VLOOKUP($F342,OFFSET(達成条件!$A$1,0,0,COUNTA($A:$A),MATCH(H$1,達成条件!$1:$1,0)-MATCH($F$1,達成条件!$1:$1,0)+1),MATCH(H$1,達成条件!$1:$1,0)-MATCH($F$1,達成条件!$1:$1,0)+1,FALSE)</f>
        <v>0</v>
      </c>
      <c r="I342" s="84" t="s">
        <v>1670</v>
      </c>
      <c r="J342" s="54" t="str">
        <f ca="1">IF(F342="specific_unit_aquired_count",SUBSTITUTE(G342,"x",VLOOKUP(INT($I342),OFFSET([3]characters!$A$2,0,0,COUNTA([3]characters!$A:$A),MATCH(J$1,[3]characters!$2:$2,0)-MATCH("character_id",[3]characters!$2:$2,0)+1),MATCH(J$1,[3]characters!$2:$2,0)-MATCH("character_id",[3]characters!$2:$2,0)+1,FALSE)),IF(F342="specific_quest_clear",VLOOKUP(SUBSTITUTE(I342,"-","_"),OFFSET([2]stages!$A$2,0,0,COUNTA([2]stages!$A:$A),MATCH("name",[2]stages!$2:$2,0)-MATCH("temp_stage",[2]stages!$2:$2,0)+1),MATCH("name",[2]stages!$2:$2,0)-MATCH("temp_stage",[2]stages!$2:$2,0)+1,FALSE),""))</f>
        <v/>
      </c>
      <c r="K342" s="15">
        <v>1</v>
      </c>
      <c r="L342" s="15" t="s">
        <v>352</v>
      </c>
      <c r="M342" s="26"/>
      <c r="N342" s="26"/>
    </row>
    <row r="343" spans="1:16" ht="44" customHeight="1" x14ac:dyDescent="0.15">
      <c r="A343" s="2" t="s">
        <v>1679</v>
      </c>
      <c r="B343" s="21" t="s">
        <v>792</v>
      </c>
      <c r="C343" s="26" t="str">
        <f t="shared" ref="C343:C344" si="30">IF(F343="specific_quest_clear",SUBSTITUTE(G343,"x",J343),IF(F343="specific_unit_aquired_count",SUBSTITUTE(J343,"y",K343),SUBSTITUTE(G343,"x",I343)))</f>
        <v>進撃の巨人コラボをTwitterでツイートしよう！</v>
      </c>
      <c r="D343" s="26" t="str">
        <f ca="1">IFERROR(VLOOKUP($A343,OFFSET(achievement_criterion_id,0,0,COUNTA($A:$A),MATCH(D$1,missions!$2:$2,0)-MATCH($A$1,missions!$2:$2,0)+1),MATCH(D$1,missions!$2:$2,0)-MATCH($A$1,missions!$2:$2,0)+1,FALSE),IFERROR(VLOOKUP($A343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43" s="27" t="s">
        <v>352</v>
      </c>
      <c r="F343" s="75" t="s">
        <v>895</v>
      </c>
      <c r="G343" s="105" t="s">
        <v>1676</v>
      </c>
      <c r="H343" s="26">
        <f ca="1">VLOOKUP($F343,OFFSET(達成条件!$A$1,0,0,COUNTA($A:$A),MATCH(H$1,達成条件!$1:$1,0)-MATCH($F$1,達成条件!$1:$1,0)+1),MATCH(H$1,達成条件!$1:$1,0)-MATCH($F$1,達成条件!$1:$1,0)+1,FALSE)</f>
        <v>0</v>
      </c>
      <c r="I343" s="84" t="s">
        <v>1678</v>
      </c>
      <c r="J343" s="54" t="str">
        <f ca="1">IF(F343="specific_unit_aquired_count",SUBSTITUTE(G343,"x",VLOOKUP(INT($I343),OFFSET([3]characters!$A$2,0,0,COUNTA([3]characters!$A:$A),MATCH(J$1,[3]characters!$2:$2,0)-MATCH("character_id",[3]characters!$2:$2,0)+1),MATCH(J$1,[3]characters!$2:$2,0)-MATCH("character_id",[3]characters!$2:$2,0)+1,FALSE)),IF(F343="specific_quest_clear",VLOOKUP(SUBSTITUTE(I343,"-","_"),OFFSET([2]stages!$A$2,0,0,COUNTA([2]stages!$A:$A),MATCH("name",[2]stages!$2:$2,0)-MATCH("temp_stage",[2]stages!$2:$2,0)+1),MATCH("name",[2]stages!$2:$2,0)-MATCH("temp_stage",[2]stages!$2:$2,0)+1,FALSE),""))</f>
        <v/>
      </c>
      <c r="K343" s="15">
        <v>1</v>
      </c>
      <c r="L343" s="15" t="s">
        <v>352</v>
      </c>
      <c r="M343" s="26"/>
      <c r="N343" s="26"/>
    </row>
    <row r="344" spans="1:16" ht="44" customHeight="1" x14ac:dyDescent="0.15">
      <c r="A344" s="2" t="s">
        <v>1683</v>
      </c>
      <c r="B344" s="21" t="s">
        <v>792</v>
      </c>
      <c r="C344" s="26" t="str">
        <f t="shared" si="30"/>
        <v>進撃の巨人コラボをLINEで友だちに教えてあげよう！</v>
      </c>
      <c r="D344" s="26" t="str">
        <f ca="1">IFERROR(VLOOKUP($A344,OFFSET(achievement_criterion_id,0,0,COUNTA($A:$A),MATCH(D$1,missions!$2:$2,0)-MATCH($A$1,missions!$2:$2,0)+1),MATCH(D$1,missions!$2:$2,0)-MATCH($A$1,missions!$2:$2,0)+1,FALSE),IFERROR(VLOOKUP($A344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44" s="27" t="s">
        <v>352</v>
      </c>
      <c r="F344" s="75" t="s">
        <v>895</v>
      </c>
      <c r="G344" s="105" t="s">
        <v>1677</v>
      </c>
      <c r="H344" s="26">
        <f ca="1">VLOOKUP($F344,OFFSET(達成条件!$A$1,0,0,COUNTA($A:$A),MATCH(H$1,達成条件!$1:$1,0)-MATCH($F$1,達成条件!$1:$1,0)+1),MATCH(H$1,達成条件!$1:$1,0)-MATCH($F$1,達成条件!$1:$1,0)+1,FALSE)</f>
        <v>0</v>
      </c>
      <c r="I344" s="84" t="s">
        <v>1857</v>
      </c>
      <c r="J344" s="54" t="str">
        <f ca="1">IF(F344="specific_unit_aquired_count",SUBSTITUTE(G344,"x",VLOOKUP(INT($I344),OFFSET([3]characters!$A$2,0,0,COUNTA([3]characters!$A:$A),MATCH(J$1,[3]characters!$2:$2,0)-MATCH("character_id",[3]characters!$2:$2,0)+1),MATCH(J$1,[3]characters!$2:$2,0)-MATCH("character_id",[3]characters!$2:$2,0)+1,FALSE)),IF(F344="specific_quest_clear",VLOOKUP(SUBSTITUTE(I344,"-","_"),OFFSET([2]stages!$A$2,0,0,COUNTA([2]stages!$A:$A),MATCH("name",[2]stages!$2:$2,0)-MATCH("temp_stage",[2]stages!$2:$2,0)+1),MATCH("name",[2]stages!$2:$2,0)-MATCH("temp_stage",[2]stages!$2:$2,0)+1,FALSE),""))</f>
        <v/>
      </c>
      <c r="K344" s="15">
        <v>1</v>
      </c>
      <c r="L344" s="15" t="s">
        <v>352</v>
      </c>
      <c r="M344" s="26"/>
      <c r="N344" s="26"/>
    </row>
    <row r="345" spans="1:16" ht="44" customHeight="1" x14ac:dyDescent="0.15">
      <c r="A345" s="2" t="s">
        <v>1684</v>
      </c>
      <c r="B345" s="21" t="s">
        <v>887</v>
      </c>
      <c r="C345" s="26" t="str">
        <f t="shared" ref="C345" si="31">IF(F345="specific_quest_clear",SUBSTITUTE(G345,"x",J345),IF(F345="specific_unit_aquired_count",SUBSTITUTE(J345,"y",K345),SUBSTITUTE(G345,"x",I345)))</f>
        <v>公式LINEアカウントと友達になろう！</v>
      </c>
      <c r="D345" s="26" t="str">
        <f ca="1">IFERROR(VLOOKUP($A345,OFFSET(achievement_criterion_id,0,0,COUNTA($A:$A),MATCH(D$1,missions!$2:$2,0)-MATCH($A$1,missions!$2:$2,0)+1),MATCH(D$1,missions!$2:$2,0)-MATCH($A$1,missions!$2:$2,0)+1,FALSE),IFERROR(VLOOKUP($A345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45" s="39" t="s">
        <v>864</v>
      </c>
      <c r="F345" s="75" t="s">
        <v>895</v>
      </c>
      <c r="G345" s="76" t="s">
        <v>1740</v>
      </c>
      <c r="H345" s="26">
        <f ca="1">VLOOKUP($F345,OFFSET(達成条件!$A$1,0,0,COUNTA($A:$A),MATCH(H$1,達成条件!$1:$1,0)-MATCH($F$1,達成条件!$1:$1,0)+1),MATCH(H$1,達成条件!$1:$1,0)-MATCH($F$1,達成条件!$1:$1,0)+1,FALSE)</f>
        <v>0</v>
      </c>
      <c r="I345" s="104" t="s">
        <v>1739</v>
      </c>
      <c r="J345" s="54" t="str">
        <f ca="1">IF(F345="specific_unit_aquired_count",SUBSTITUTE(G345,"x",VLOOKUP(INT($I345),OFFSET([3]characters!$A$2,0,0,COUNTA([3]characters!$A:$A),MATCH(J$1,[3]characters!$2:$2,0)-MATCH("character_id",[3]characters!$2:$2,0)+1),MATCH(J$1,[3]characters!$2:$2,0)-MATCH("character_id",[3]characters!$2:$2,0)+1,FALSE)),IF(F345="specific_quest_clear",VLOOKUP(SUBSTITUTE(I345,"-","_"),OFFSET([2]stages!$A$2,0,0,COUNTA([2]stages!$A:$A),MATCH("name",[2]stages!$2:$2,0)-MATCH("temp_stage",[2]stages!$2:$2,0)+1),MATCH("name",[2]stages!$2:$2,0)-MATCH("temp_stage",[2]stages!$2:$2,0)+1,FALSE),""))</f>
        <v/>
      </c>
      <c r="K345" s="15">
        <v>1</v>
      </c>
      <c r="L345" s="15" t="s">
        <v>864</v>
      </c>
      <c r="M345" s="26"/>
      <c r="N345" s="26"/>
    </row>
    <row r="346" spans="1:16" ht="44" customHeight="1" x14ac:dyDescent="0.15">
      <c r="A346" s="2" t="s">
        <v>1795</v>
      </c>
      <c r="B346" s="21" t="s">
        <v>792</v>
      </c>
      <c r="C346" s="26" t="str">
        <f t="shared" ref="C346:C350" si="32">IF(F346="specific_quest_clear",SUBSTITUTE(G346,"x",J346),IF(F346="specific_unit_aquired_count",SUBSTITUTE(J346,"y",K346),SUBSTITUTE(G346,"x",I346)))</f>
        <v>台湾AppStoreセールス1位をTwitterでツイートしよう！</v>
      </c>
      <c r="D346" s="26" t="str">
        <f ca="1">IFERROR(VLOOKUP($A346,OFFSET(achievement_criterion_id,0,0,COUNTA($A:$A),MATCH(D$1,missions!$2:$2,0)-MATCH($A$1,missions!$2:$2,0)+1),MATCH(D$1,missions!$2:$2,0)-MATCH($A$1,missions!$2:$2,0)+1,FALSE),IFERROR(VLOOKUP($A346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346" s="39" t="s">
        <v>864</v>
      </c>
      <c r="F346" s="75" t="s">
        <v>895</v>
      </c>
      <c r="G346" s="76" t="s">
        <v>1800</v>
      </c>
      <c r="H346" s="26">
        <f ca="1">VLOOKUP($F346,OFFSET(達成条件!$A$1,0,0,COUNTA($A:$A),MATCH(H$1,達成条件!$1:$1,0)-MATCH($F$1,達成条件!$1:$1,0)+1),MATCH(H$1,達成条件!$1:$1,0)-MATCH($F$1,達成条件!$1:$1,0)+1,FALSE)</f>
        <v>0</v>
      </c>
      <c r="I346" s="104" t="s">
        <v>1801</v>
      </c>
      <c r="J346" s="54" t="str">
        <f ca="1">IF(F346="specific_unit_aquired_count",SUBSTITUTE(G346,"x",VLOOKUP(INT($I346),OFFSET([3]characters!$A$2,0,0,COUNTA([3]characters!$A:$A),MATCH(J$1,[3]characters!$2:$2,0)-MATCH("character_id",[3]characters!$2:$2,0)+1),MATCH(J$1,[3]characters!$2:$2,0)-MATCH("character_id",[3]characters!$2:$2,0)+1,FALSE)),IF(F346="specific_quest_clear",VLOOKUP(SUBSTITUTE(I346,"-","_"),OFFSET([2]stages!$A$2,0,0,COUNTA([2]stages!$A:$A),MATCH("name",[2]stages!$2:$2,0)-MATCH("temp_stage",[2]stages!$2:$2,0)+1),MATCH("name",[2]stages!$2:$2,0)-MATCH("temp_stage",[2]stages!$2:$2,0)+1,FALSE),""))</f>
        <v/>
      </c>
      <c r="K346" s="15">
        <v>1</v>
      </c>
      <c r="L346" s="15" t="s">
        <v>864</v>
      </c>
      <c r="M346" s="26"/>
      <c r="N346" s="26"/>
    </row>
    <row r="347" spans="1:16" ht="44" customHeight="1" x14ac:dyDescent="0.15">
      <c r="A347" s="2" t="s">
        <v>1811</v>
      </c>
      <c r="B347" s="21" t="s">
        <v>792</v>
      </c>
      <c r="C347" s="26" t="str">
        <f t="shared" si="32"/>
        <v>全世界600万DL突破をTwitterでツイートしよう！</v>
      </c>
      <c r="D347" s="26" t="str">
        <f ca="1">IFERROR(VLOOKUP($A347,OFFSET(achievement_criterion_id,0,0,COUNTA($A:$A),MATCH(D$1,missions!$2:$2,0)-MATCH($A$1,missions!$2:$2,0)+1),MATCH(D$1,missions!$2:$2,0)-MATCH($A$1,missions!$2:$2,0)+1,FALSE),IFERROR(VLOOKUP($A347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47" s="39" t="s">
        <v>864</v>
      </c>
      <c r="F347" s="75" t="s">
        <v>895</v>
      </c>
      <c r="G347" s="76" t="s">
        <v>1856</v>
      </c>
      <c r="H347" s="26">
        <f ca="1">VLOOKUP($F347,OFFSET(達成条件!$A$1,0,0,COUNTA($A:$A),MATCH(H$1,達成条件!$1:$1,0)-MATCH($F$1,達成条件!$1:$1,0)+1),MATCH(H$1,達成条件!$1:$1,0)-MATCH($F$1,達成条件!$1:$1,0)+1,FALSE)</f>
        <v>0</v>
      </c>
      <c r="I347" s="104" t="str">
        <f t="shared" ref="I347:I352" si="33">O347&amp;P347</f>
        <v>twitter://post?message=%E3%80%90%E5%85%A8%E4%B8%96%E7%95%8C600%E4%B8%87DL%E7%AA%81%E7%A0%B4%E8%A8%98%E5%BF%B5%E2%98%86%E5%A4%A7%E6%84%9F%E8%AC%9D%E7%A5%AD%E3%80%91%E3%82%AF%E3%83%A9%E3%83%83%E3%82%B7%E3%83%A5%E3%83%95%E3%82%A3%E3%83%BC%E3%83%90%E3%83%BC%E3%80%8A%E6%AF%8E%E6%97%A5%E3%83%AC%E3%82%A2%E3%82%AC%E3%83%81%E3%83%A3%E7%84%A1%E6%96%99%E3%80%8B%E3%81%97%E3%81%8B%E3%82%82%EF%BC%81%E6%97%A5%E6%9B%BF%E3%82%8F%E3%82%8A%E3%81%A7%E5%AC%89%E3%81%97%E3%81%84%E7%89%B9%E5%85%B8%E3%82%82%E3%82%B2%E3%83%83%E3%83%88%EF%BC%81%E3%81%93%E3%81%93%E3%81%8B%E3%82%89%E4%BB%8A%E3%81%99%E3%81%90%E7%84%A1%E6%96%99%E3%81%A7%E3%83%AC%E3%82%A2%E3%82%AC%E3%83%81%E3%83%A3%E3%82%92%E5%9B%9E%E3%81%9D%E3%81%86%E2%86%92%20http%3A%2F%2Fcrashfever.com%2Fletsplay%20%23%E3%82%AF%E3%83%A9%E3%83%95%E3%82%A3</v>
      </c>
      <c r="J347" s="54" t="str">
        <f ca="1">IF(F347="specific_unit_aquired_count",SUBSTITUTE(G347,"x",VLOOKUP(INT($I347),OFFSET([3]characters!$A$2,0,0,COUNTA([3]characters!$A:$A),MATCH(J$1,[3]characters!$2:$2,0)-MATCH("character_id",[3]characters!$2:$2,0)+1),MATCH(J$1,[3]characters!$2:$2,0)-MATCH("character_id",[3]characters!$2:$2,0)+1,FALSE)),IF(F347="specific_quest_clear",VLOOKUP(SUBSTITUTE(I347,"-","_"),OFFSET([2]stages!$A$2,0,0,COUNTA([2]stages!$A:$A),MATCH("name",[2]stages!$2:$2,0)-MATCH("temp_stage",[2]stages!$2:$2,0)+1),MATCH("name",[2]stages!$2:$2,0)-MATCH("temp_stage",[2]stages!$2:$2,0)+1,FALSE),""))</f>
        <v/>
      </c>
      <c r="K347" s="15">
        <v>1</v>
      </c>
      <c r="L347" s="15" t="s">
        <v>864</v>
      </c>
      <c r="M347" s="26"/>
      <c r="N347" s="26"/>
      <c r="O347" s="1" t="s">
        <v>1854</v>
      </c>
      <c r="P347" s="1" t="s">
        <v>1858</v>
      </c>
    </row>
    <row r="348" spans="1:16" ht="44" customHeight="1" x14ac:dyDescent="0.15">
      <c r="A348" s="2" t="s">
        <v>1813</v>
      </c>
      <c r="B348" s="21" t="s">
        <v>792</v>
      </c>
      <c r="C348" s="26" t="str">
        <f t="shared" si="32"/>
        <v>全世界600万DL突破をLINEでタイムライン投稿しよう！</v>
      </c>
      <c r="D348" s="26" t="str">
        <f ca="1">IFERROR(VLOOKUP($A348,OFFSET(achievement_criterion_id,0,0,COUNTA($A:$A),MATCH(D$1,missions!$2:$2,0)-MATCH($A$1,missions!$2:$2,0)+1),MATCH(D$1,missions!$2:$2,0)-MATCH($A$1,missions!$2:$2,0)+1,FALSE),IFERROR(VLOOKUP($A348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48" s="39" t="s">
        <v>864</v>
      </c>
      <c r="F348" s="75" t="s">
        <v>895</v>
      </c>
      <c r="G348" s="76" t="s">
        <v>1859</v>
      </c>
      <c r="H348" s="26">
        <f ca="1">VLOOKUP($F348,OFFSET(達成条件!$A$1,0,0,COUNTA($A:$A),MATCH(H$1,達成条件!$1:$1,0)-MATCH($F$1,達成条件!$1:$1,0)+1),MATCH(H$1,達成条件!$1:$1,0)-MATCH($F$1,達成条件!$1:$1,0)+1,FALSE)</f>
        <v>0</v>
      </c>
      <c r="I348" s="104" t="str">
        <f t="shared" si="33"/>
        <v>line://msg/text/%E3%80%90%E5%85%A8%E4%B8%96%E7%95%8C600%E4%B8%87DL%E7%AA%81%E7%A0%B4%E8%A8%98%E5%BF%B5%E2%98%86%E5%A4%A7%E6%84%9F%E8%AC%9D%E7%A5%AD%E3%80%91%E3%82%AF%E3%83%A9%E3%83%83%E3%82%B7%E3%83%A5%E3%83%95%E3%82%A3%E3%83%BC%E3%83%90%E3%83%BC%E3%80%8A%E6%AF%8E%E6%97%A5%E3%83%AC%E3%82%A2%E3%82%AC%E3%83%81%E3%83%A3%E7%84%A1%E6%96%99%E3%80%8B%E3%81%97%E3%81%8B%E3%82%82%EF%BC%81%E6%97%A5%E6%9B%BF%E3%82%8F%E3%82%8A%E3%81%A7%E5%AC%89%E3%81%97%E3%81%84%E7%89%B9%E5%85%B8%E3%82%82%E3%82%B2%E3%83%83%E3%83%88%EF%BC%81%E3%81%93%E3%81%93%E3%81%8B%E3%82%89%E4%BB%8A%E3%81%99%E3%81%90%E7%84%A1%E6%96%99%E3%81%A7%E3%83%AC%E3%82%A2%E3%82%AC%E3%83%81%E3%83%A3%E3%82%92%E5%9B%9E%E3%81%9D%E3%81%86%E2%86%92%20http%3A%2F%2Fcrashfever.com%2Fletsplay</v>
      </c>
      <c r="J348" s="54" t="str">
        <f ca="1">IF(F348="specific_unit_aquired_count",SUBSTITUTE(G348,"x",VLOOKUP(INT($I348),OFFSET([3]characters!$A$2,0,0,COUNTA([3]characters!$A:$A),MATCH(J$1,[3]characters!$2:$2,0)-MATCH("character_id",[3]characters!$2:$2,0)+1),MATCH(J$1,[3]characters!$2:$2,0)-MATCH("character_id",[3]characters!$2:$2,0)+1,FALSE)),IF(F348="specific_quest_clear",VLOOKUP(SUBSTITUTE(I348,"-","_"),OFFSET([2]stages!$A$2,0,0,COUNTA([2]stages!$A:$A),MATCH("name",[2]stages!$2:$2,0)-MATCH("temp_stage",[2]stages!$2:$2,0)+1),MATCH("name",[2]stages!$2:$2,0)-MATCH("temp_stage",[2]stages!$2:$2,0)+1,FALSE),""))</f>
        <v/>
      </c>
      <c r="K348" s="15">
        <v>1</v>
      </c>
      <c r="L348" s="15" t="s">
        <v>864</v>
      </c>
      <c r="M348" s="26"/>
      <c r="N348" s="26"/>
      <c r="O348" s="1" t="s">
        <v>1855</v>
      </c>
      <c r="P348" s="1" t="s">
        <v>1904</v>
      </c>
    </row>
    <row r="349" spans="1:16" ht="44" customHeight="1" x14ac:dyDescent="0.15">
      <c r="A349" s="2" t="s">
        <v>1871</v>
      </c>
      <c r="B349" s="21" t="s">
        <v>792</v>
      </c>
      <c r="C349" s="26" t="str">
        <f t="shared" si="32"/>
        <v>顔合わせリセットをTwitterでツイートしよう！</v>
      </c>
      <c r="D349" s="26" t="str">
        <f ca="1">IFERROR(VLOOKUP($A349,OFFSET(achievement_criterion_id,0,0,COUNTA($A:$A),MATCH(D$1,missions!$2:$2,0)-MATCH($A$1,missions!$2:$2,0)+1),MATCH(D$1,missions!$2:$2,0)-MATCH($A$1,missions!$2:$2,0)+1,FALSE),IFERROR(VLOOKUP($A349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49" s="39" t="s">
        <v>352</v>
      </c>
      <c r="F349" s="75" t="s">
        <v>895</v>
      </c>
      <c r="G349" s="76" t="s">
        <v>1875</v>
      </c>
      <c r="H349" s="26">
        <f ca="1">VLOOKUP($F349,OFFSET(達成条件!$A$1,0,0,COUNTA($A:$A),MATCH(H$1,達成条件!$1:$1,0)-MATCH($F$1,達成条件!$1:$1,0)+1),MATCH(H$1,達成条件!$1:$1,0)-MATCH($F$1,達成条件!$1:$1,0)+1,FALSE)</f>
        <v>0</v>
      </c>
      <c r="I349" s="104" t="str">
        <f t="shared" si="33"/>
        <v>twitter://post?message=%E3%82%AF%E3%83%A9%E3%83%83%E3%82%B7%E3%83%A5%E3%83%95%E3%82%A3%E3%83%BC%E3%83%90%E3%83%BC%E2%98%86%E5%85%A8%E3%83%A6%E3%83%BC%E3%82%B6%E3%83%BC%E5%BE%85%E6%9C%9B%E3%81%AE%E3%80%8A%E9%A1%94%E5%90%88%E3%82%8F%E3%81%9B%E3%83%9C%E3%83%BC%E3%83%8A%E3%82%B9%E3%80%8B%E3%82%92%E3%83%AA%E3%82%BB%E3%83%83%E3%83%88%EF%BC%81%E3%83%9D%E3%83%AA%E3%82%B4%E3%83%B3%E3%80%90%E6%9C%80%E5%A4%A7140%E5%80%8B%EF%BC%88%E3%83%AC%E3%82%A2%E3%82%AC%E3%83%81%E3%83%A328%E5%9B%9E%E5%88%86%EF%BC%89%E3%80%91%E3%82%92%E3%83%97%E3%83%AC%E3%82%BC%E3%83%B3%E3%83%88%EF%BC%81%E4%BB%8A%E3%81%99%E3%81%90%E5%8F%8B%E3%81%A0%E3%81%A1%E3%81%A8%E3%83%9E%E3%83%AB%E3%83%81%E3%83%97%E3%83%AC%E3%82%A4%E3%82%92%E3%81%97%E3%81%A6%E5%A4%A7%E9%87%8F%E3%81%AE%E3%83%9D%E3%83%AA%E3%82%B4%E3%83%B3%E3%82%92%E3%82%B2%E3%83%83%E3%83%88%E3%81%97%E3%82%88%E3%81%86%E2%86%92%20http%3A%2F%2Fcrashfever.com%2Fletsplay%2F%20%23%E3%82%AF%E3%83%A9%E3%83%95%E3%82%A3</v>
      </c>
      <c r="J349" s="54" t="str">
        <f ca="1">IF(F349="specific_unit_aquired_count",SUBSTITUTE(G349,"x",VLOOKUP(INT($I349),OFFSET([3]characters!$A$2,0,0,COUNTA([3]characters!$A:$A),MATCH(J$1,[3]characters!$2:$2,0)-MATCH("character_id",[3]characters!$2:$2,0)+1),MATCH(J$1,[3]characters!$2:$2,0)-MATCH("character_id",[3]characters!$2:$2,0)+1,FALSE)),IF(F349="specific_quest_clear",VLOOKUP(SUBSTITUTE(I349,"-","_"),OFFSET([2]stages!$A$2,0,0,COUNTA([2]stages!$A:$A),MATCH("name",[2]stages!$2:$2,0)-MATCH("temp_stage",[2]stages!$2:$2,0)+1),MATCH("name",[2]stages!$2:$2,0)-MATCH("temp_stage",[2]stages!$2:$2,0)+1,FALSE),""))</f>
        <v/>
      </c>
      <c r="K349" s="15">
        <v>1</v>
      </c>
      <c r="L349" s="15" t="s">
        <v>352</v>
      </c>
      <c r="M349" s="26"/>
      <c r="N349" s="26"/>
      <c r="O349" s="1" t="s">
        <v>1854</v>
      </c>
      <c r="P349" s="1" t="s">
        <v>1879</v>
      </c>
    </row>
    <row r="350" spans="1:16" ht="44" customHeight="1" x14ac:dyDescent="0.15">
      <c r="A350" s="2" t="s">
        <v>1872</v>
      </c>
      <c r="B350" s="21" t="s">
        <v>792</v>
      </c>
      <c r="C350" s="26" t="str">
        <f t="shared" si="32"/>
        <v>顔合わせリセットをLINEでタイムライン投稿しよう！</v>
      </c>
      <c r="D350" s="26" t="str">
        <f ca="1">IFERROR(VLOOKUP($A350,OFFSET(achievement_criterion_id,0,0,COUNTA($A:$A),MATCH(D$1,missions!$2:$2,0)-MATCH($A$1,missions!$2:$2,0)+1),MATCH(D$1,missions!$2:$2,0)-MATCH($A$1,missions!$2:$2,0)+1,FALSE),IFERROR(VLOOKUP($A350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50" s="39" t="s">
        <v>352</v>
      </c>
      <c r="F350" s="75" t="s">
        <v>895</v>
      </c>
      <c r="G350" s="76" t="s">
        <v>1876</v>
      </c>
      <c r="H350" s="26">
        <f ca="1">VLOOKUP($F350,OFFSET(達成条件!$A$1,0,0,COUNTA($A:$A),MATCH(H$1,達成条件!$1:$1,0)-MATCH($F$1,達成条件!$1:$1,0)+1),MATCH(H$1,達成条件!$1:$1,0)-MATCH($F$1,達成条件!$1:$1,0)+1,FALSE)</f>
        <v>0</v>
      </c>
      <c r="I350" s="104" t="str">
        <f t="shared" si="33"/>
        <v>line://msg/text/%E3%82%AF%E3%83%A9%E3%83%83%E3%82%B7%E3%83%A5%E3%83%95%E3%82%A3%E3%83%BC%E3%83%90%E3%83%BC%E2%98%86%E5%85%A8%E3%83%A6%E3%83%BC%E3%82%B6%E3%83%BC%E5%BE%85%E6%9C%9B%E3%81%AE%E3%80%8A%E9%A1%94%E5%90%88%E3%82%8F%E3%81%9B%E3%83%9C%E3%83%BC%E3%83%8A%E3%82%B9%E3%80%8B%E3%82%92%E3%83%AA%E3%82%BB%E3%83%83%E3%83%88%EF%BC%81%E3%83%9D%E3%83%AA%E3%82%B4%E3%83%B3%E3%80%90%E6%9C%80%E5%A4%A7140%E5%80%8B%EF%BC%88%E3%83%AC%E3%82%A2%E3%82%AC%E3%83%81%E3%83%A328%E5%9B%9E%E5%88%86%EF%BC%89%E3%80%91%E3%82%92%E3%83%97%E3%83%AC%E3%82%BC%E3%83%B3%E3%83%88%EF%BC%81%E4%BB%8A%E3%81%99%E3%81%90%E5%8F%8B%E3%81%A0%E3%81%A1%E3%81%A8%E3%83%9E%E3%83%AB%E3%83%81%E3%83%97%E3%83%AC%E3%82%A4%E3%82%92%E3%81%97%E3%81%A6%E5%A4%A7%E9%87%8F%E3%81%AE%E3%83%9D%E3%83%AA%E3%82%B4%E3%83%B3%E3%82%92%E3%82%B2%E3%83%83%E3%83%88%E3%81%97%E3%82%88%E3%81%86%E2%86%92%20http%3A%2F%2Fcrashfever.com%2Fletsplay%2F%20</v>
      </c>
      <c r="J350" s="54" t="str">
        <f ca="1">IF(F350="specific_unit_aquired_count",SUBSTITUTE(G350,"x",VLOOKUP(INT($I350),OFFSET([3]characters!$A$2,0,0,COUNTA([3]characters!$A:$A),MATCH(J$1,[3]characters!$2:$2,0)-MATCH("character_id",[3]characters!$2:$2,0)+1),MATCH(J$1,[3]characters!$2:$2,0)-MATCH("character_id",[3]characters!$2:$2,0)+1,FALSE)),IF(F350="specific_quest_clear",VLOOKUP(SUBSTITUTE(I350,"-","_"),OFFSET([2]stages!$A$2,0,0,COUNTA([2]stages!$A:$A),MATCH("name",[2]stages!$2:$2,0)-MATCH("temp_stage",[2]stages!$2:$2,0)+1),MATCH("name",[2]stages!$2:$2,0)-MATCH("temp_stage",[2]stages!$2:$2,0)+1,FALSE),""))</f>
        <v/>
      </c>
      <c r="K350" s="15">
        <v>1</v>
      </c>
      <c r="L350" s="15" t="s">
        <v>352</v>
      </c>
      <c r="M350" s="26"/>
      <c r="N350" s="26"/>
      <c r="O350" s="1" t="s">
        <v>1855</v>
      </c>
      <c r="P350" s="1" t="s">
        <v>1880</v>
      </c>
    </row>
    <row r="351" spans="1:16" ht="44" customHeight="1" x14ac:dyDescent="0.15">
      <c r="A351" s="2" t="s">
        <v>1888</v>
      </c>
      <c r="B351" s="21" t="s">
        <v>792</v>
      </c>
      <c r="C351" s="26" t="str">
        <f t="shared" ref="C351:C352" si="34">IF(F351="specific_quest_clear",SUBSTITUTE(G351,"x",J351),IF(F351="specific_unit_aquired_count",SUBSTITUTE(J351,"y",K351),SUBSTITUTE(G351,"x",I351)))</f>
        <v>ハロウィンイベント開催をTwitterでツイートしよう！</v>
      </c>
      <c r="D351" s="26" t="str">
        <f ca="1">IFERROR(VLOOKUP($A351,OFFSET(achievement_criterion_id,0,0,COUNTA($A:$A),MATCH(D$1,missions!$2:$2,0)-MATCH($A$1,missions!$2:$2,0)+1),MATCH(D$1,missions!$2:$2,0)-MATCH($A$1,missions!$2:$2,0)+1,FALSE),IFERROR(VLOOKUP($A351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351" s="39" t="s">
        <v>352</v>
      </c>
      <c r="F351" s="75" t="s">
        <v>895</v>
      </c>
      <c r="G351" s="76" t="s">
        <v>1890</v>
      </c>
      <c r="H351" s="26">
        <f ca="1">VLOOKUP($F351,OFFSET(達成条件!$A$1,0,0,COUNTA($A:$A),MATCH(H$1,達成条件!$1:$1,0)-MATCH($F$1,達成条件!$1:$1,0)+1),MATCH(H$1,達成条件!$1:$1,0)-MATCH($F$1,達成条件!$1:$1,0)+1,FALSE)</f>
        <v>0</v>
      </c>
      <c r="I351" s="104" t="str">
        <f t="shared" si="33"/>
        <v>twitter://post?message=%E3%83%8F%E3%83%AD%E3%82%A6%E3%82%A3%E3%83%B3%E3%81%8C%E3%82%AF%E3%83%A9%E3%83%83%E3%82%B7%E3%83%A5%E3%83%95%E3%82%A3%E3%83%BC%E3%83%90%E3%83%BC%E3%81%AB%E3%82%84%E3%81%A3%E3%81%A6%E3%81%8D%E3%81%9F%EF%BC%81%E3%81%8A%E8%8F%93%E5%AD%90%E3%83%81%E3%82%B1%E3%83%83%E3%83%88%E3%82%92%E9%9B%86%E3%82%81%E3%81%A6%E3%80%90%E7%84%A1%E6%96%99%E3%81%A710%E9%80%A3%E3%82%AC%E3%83%81%E3%83%A3%E3%80%91%E3%82%92%E5%9B%9E%E3%81%9D%E3%81%86%EF%BC%81%E3%83%8F%E3%83%AD%E3%82%A6%E3%82%A3%E3%83%B3%E9%99%90%E5%AE%9A%E3%82%B3%E3%82%B9%E3%83%97%E3%83%AC%E3%83%BB%E3%82%B9%E3%83%9A%E3%82%B7%E3%83%A3%E3%83%AB%E3%83%A6%E3%83%8B%E3%83%83%E3%83%88%E3%82%82%E7%99%BB%E5%A0%B4%E4%B8%AD%E2%98%86%E3%81%8A%E8%8F%93%E5%AD%90%E3%83%81%E3%82%B1%E3%83%83%E3%83%88%E3%81%AE%E5%8F%97%E3%81%91%E5%8F%96%E3%82%8A%E3%81%AF%E3%81%93%E3%81%A1%E3%82%89%E2%86%92%20http%3A%2F%2Fcrashfever.com%2Fletsplay%2F%20%23%E3%82%AF%E3%83%A9%E3%83%95%E3%82%A3</v>
      </c>
      <c r="J351" s="54" t="str">
        <f ca="1">IF(F351="specific_unit_aquired_count",SUBSTITUTE(G351,"x",VLOOKUP(INT($I351),OFFSET([3]characters!$A$2,0,0,COUNTA([3]characters!$A:$A),MATCH(J$1,[3]characters!$2:$2,0)-MATCH("character_id",[3]characters!$2:$2,0)+1),MATCH(J$1,[3]characters!$2:$2,0)-MATCH("character_id",[3]characters!$2:$2,0)+1,FALSE)),IF(F351="specific_quest_clear",VLOOKUP(SUBSTITUTE(I351,"-","_"),OFFSET([2]stages!$A$2,0,0,COUNTA([2]stages!$A:$A),MATCH("name",[2]stages!$2:$2,0)-MATCH("temp_stage",[2]stages!$2:$2,0)+1),MATCH("name",[2]stages!$2:$2,0)-MATCH("temp_stage",[2]stages!$2:$2,0)+1,FALSE),""))</f>
        <v/>
      </c>
      <c r="K351" s="15">
        <v>1</v>
      </c>
      <c r="L351" s="15" t="s">
        <v>352</v>
      </c>
      <c r="M351" s="26"/>
      <c r="N351" s="26"/>
      <c r="O351" s="1" t="s">
        <v>1854</v>
      </c>
      <c r="P351" s="1" t="s">
        <v>1892</v>
      </c>
    </row>
    <row r="352" spans="1:16" ht="44" customHeight="1" x14ac:dyDescent="0.15">
      <c r="A352" s="2" t="s">
        <v>1889</v>
      </c>
      <c r="B352" s="21" t="s">
        <v>792</v>
      </c>
      <c r="C352" s="26" t="str">
        <f t="shared" si="34"/>
        <v>ハロウィンイベント開催をLINEでタイムライン投稿しよう！</v>
      </c>
      <c r="D352" s="26" t="str">
        <f ca="1">IFERROR(VLOOKUP($A352,OFFSET(achievement_criterion_id,0,0,COUNTA($A:$A),MATCH(D$1,missions!$2:$2,0)-MATCH($A$1,missions!$2:$2,0)+1),MATCH(D$1,missions!$2:$2,0)-MATCH($A$1,missions!$2:$2,0)+1,FALSE),IFERROR(VLOOKUP($A352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352" s="39" t="s">
        <v>352</v>
      </c>
      <c r="F352" s="75" t="s">
        <v>895</v>
      </c>
      <c r="G352" s="76" t="s">
        <v>1891</v>
      </c>
      <c r="H352" s="26">
        <f ca="1">VLOOKUP($F352,OFFSET(達成条件!$A$1,0,0,COUNTA($A:$A),MATCH(H$1,達成条件!$1:$1,0)-MATCH($F$1,達成条件!$1:$1,0)+1),MATCH(H$1,達成条件!$1:$1,0)-MATCH($F$1,達成条件!$1:$1,0)+1,FALSE)</f>
        <v>0</v>
      </c>
      <c r="I352" s="104" t="str">
        <f t="shared" si="33"/>
        <v>line://msg/text/%E3%83%8F%E3%83%AD%E3%82%A6%E3%82%A3%E3%83%B3%E3%81%8C%E3%82%AF%E3%83%A9%E3%83%83%E3%82%B7%E3%83%A5%E3%83%95%E3%82%A3%E3%83%BC%E3%83%90%E3%83%BC%E3%81%AB%E3%82%84%E3%81%A3%E3%81%A6%E3%81%8D%E3%81%9F%EF%BC%81%E3%81%8A%E8%8F%93%E5%AD%90%E3%83%81%E3%82%B1%E3%83%83%E3%83%88%E3%82%92%E9%9B%86%E3%82%81%E3%81%A6%E3%80%90%E7%84%A1%E6%96%99%E3%81%A710%E9%80%A3%E3%82%AC%E3%83%81%E3%83%A3%E3%80%91%E3%82%92%E5%9B%9E%E3%81%9D%E3%81%86%EF%BC%81%E3%83%8F%E3%83%AD%E3%82%A6%E3%82%A3%E3%83%B3%E9%99%90%E5%AE%9A%E3%82%B3%E3%82%B9%E3%83%97%E3%83%AC%E3%83%BB%E3%82%B9%E3%83%9A%E3%82%B7%E3%83%A3%E3%83%AB%E3%83%A6%E3%83%8B%E3%83%83%E3%83%88%E3%82%82%E7%99%BB%E5%A0%B4%E4%B8%AD%E2%98%86%E3%81%8A%E8%8F%93%E5%AD%90%E3%83%81%E3%82%B1%E3%83%83%E3%83%88%E3%81%AE%E5%8F%97%E3%81%91%E5%8F%96%E3%82%8A%E3%81%AF%E3%81%93%E3%81%A1%E3%82%89%E2%86%92%20http%3A%2F%2Fcrashfever.com%2Fletsplay%2F</v>
      </c>
      <c r="J352" s="54" t="str">
        <f ca="1">IF(F352="specific_unit_aquired_count",SUBSTITUTE(G352,"x",VLOOKUP(INT($I352),OFFSET([3]characters!$A$2,0,0,COUNTA([3]characters!$A:$A),MATCH(J$1,[3]characters!$2:$2,0)-MATCH("character_id",[3]characters!$2:$2,0)+1),MATCH(J$1,[3]characters!$2:$2,0)-MATCH("character_id",[3]characters!$2:$2,0)+1,FALSE)),IF(F352="specific_quest_clear",VLOOKUP(SUBSTITUTE(I352,"-","_"),OFFSET([2]stages!$A$2,0,0,COUNTA([2]stages!$A:$A),MATCH("name",[2]stages!$2:$2,0)-MATCH("temp_stage",[2]stages!$2:$2,0)+1),MATCH("name",[2]stages!$2:$2,0)-MATCH("temp_stage",[2]stages!$2:$2,0)+1,FALSE),""))</f>
        <v/>
      </c>
      <c r="K352" s="15">
        <v>1</v>
      </c>
      <c r="L352" s="15" t="s">
        <v>352</v>
      </c>
      <c r="M352" s="26"/>
      <c r="N352" s="26"/>
      <c r="O352" s="1" t="s">
        <v>1855</v>
      </c>
      <c r="P352" s="1" t="s">
        <v>1893</v>
      </c>
    </row>
    <row r="353" spans="1:16" ht="44" customHeight="1" x14ac:dyDescent="0.15">
      <c r="A353" s="2" t="s">
        <v>1899</v>
      </c>
      <c r="B353" s="21" t="s">
        <v>792</v>
      </c>
      <c r="C353" s="26" t="str">
        <f t="shared" ref="C353:C354" si="35">IF(F353="specific_quest_clear",SUBSTITUTE(G353,"x",J353),IF(F353="specific_unit_aquired_count",SUBSTITUTE(J353,"y",K353),SUBSTITUTE(G353,"x",I353)))</f>
        <v>ハロウィンイベント開催をTwitterでツイートしよう！</v>
      </c>
      <c r="D353" s="26" t="str">
        <f ca="1">IFERROR(VLOOKUP($A353,OFFSET(achievement_criterion_id,0,0,COUNTA($A:$A),MATCH(D$1,missions!$2:$2,0)-MATCH($A$1,missions!$2:$2,0)+1),MATCH(D$1,missions!$2:$2,0)-MATCH($A$1,missions!$2:$2,0)+1,FALSE),IFERROR(VLOOKUP($A353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53" s="39" t="s">
        <v>352</v>
      </c>
      <c r="F353" s="75" t="s">
        <v>895</v>
      </c>
      <c r="G353" s="76" t="s">
        <v>1890</v>
      </c>
      <c r="H353" s="26">
        <f ca="1">VLOOKUP($F353,OFFSET(達成条件!$A$1,0,0,COUNTA($A:$A),MATCH(H$1,達成条件!$1:$1,0)-MATCH($F$1,達成条件!$1:$1,0)+1),MATCH(H$1,達成条件!$1:$1,0)-MATCH($F$1,達成条件!$1:$1,0)+1,FALSE)</f>
        <v>0</v>
      </c>
      <c r="I353" s="104" t="str">
        <f t="shared" ref="I353:I354" si="36">O353&amp;P353</f>
        <v>twitter://post?message=%E3%83%8F%E3%83%AD%E3%82%A6%E3%82%A3%E3%83%B3%E3%81%8C%E3%82%AF%E3%83%A9%E3%83%83%E3%82%B7%E3%83%A5%E3%83%95%E3%82%A3%E3%83%BC%E3%83%90%E3%83%BC%E3%81%AB%E3%82%84%E3%81%A3%E3%81%A6%E3%81%8D%E3%81%9F%EF%BC%81%E4%BB%8A%E3%81%A0%E3%81%91%E2%98%86%E3%83%8F%E3%83%AD%E3%82%A6%E3%82%A3%E3%83%B3%E9%99%90%E5%AE%9A%E3%83%A6%E3%83%8B%E3%83%83%E3%83%88%E3%82%84%E3%82%B3%E3%82%B9%E3%83%97%E3%83%AC%E3%83%A6%E3%83%8B%E3%83%83%E3%83%88%E3%81%8C%E5%87%BA%E7%8F%BE%E3%81%99%E3%82%8B%E3%80%8A%E3%82%B9%E3%83%9A%E3%82%B7%E3%83%A3%E3%83%AB%E3%83%8F%E3%83%AD%E3%82%A6%E3%82%A3%E3%83%B3%E3%82%AC%E3%83%81%E3%83%A3%E3%80%8B%E3%81%8C%E6%AF%8E%E6%97%A5%EF%BC%91%E5%9B%9E%E7%84%A1%E6%96%99%EF%BC%81%E4%BB%8A%E3%81%99%E3%81%90%E5%9B%9E%E3%81%97%E3%81%A6%E3%81%BF%E3%82%88%E3%81%86%E2%86%92%20http%3A%2F%2Fcrashfever.com%2Fletsplay%2F%20%23%E3%82%AF%E3%83%A9%E3%83%95%E3%82%A3</v>
      </c>
      <c r="J353" s="54" t="str">
        <f ca="1">IF(F353="specific_unit_aquired_count",SUBSTITUTE(G353,"x",VLOOKUP(INT($I353),OFFSET([3]characters!$A$2,0,0,COUNTA([3]characters!$A:$A),MATCH(J$1,[3]characters!$2:$2,0)-MATCH("character_id",[3]characters!$2:$2,0)+1),MATCH(J$1,[3]characters!$2:$2,0)-MATCH("character_id",[3]characters!$2:$2,0)+1,FALSE)),IF(F353="specific_quest_clear",VLOOKUP(SUBSTITUTE(I353,"-","_"),OFFSET([2]stages!$A$2,0,0,COUNTA([2]stages!$A:$A),MATCH("name",[2]stages!$2:$2,0)-MATCH("temp_stage",[2]stages!$2:$2,0)+1),MATCH("name",[2]stages!$2:$2,0)-MATCH("temp_stage",[2]stages!$2:$2,0)+1,FALSE),""))</f>
        <v/>
      </c>
      <c r="K353" s="15">
        <v>1</v>
      </c>
      <c r="L353" s="15" t="s">
        <v>352</v>
      </c>
      <c r="M353" s="26"/>
      <c r="N353" s="26"/>
      <c r="O353" s="1" t="s">
        <v>1854</v>
      </c>
      <c r="P353" s="1" t="s">
        <v>1903</v>
      </c>
    </row>
    <row r="354" spans="1:16" ht="44" customHeight="1" x14ac:dyDescent="0.15">
      <c r="A354" s="2" t="s">
        <v>1900</v>
      </c>
      <c r="B354" s="21" t="s">
        <v>792</v>
      </c>
      <c r="C354" s="26" t="str">
        <f t="shared" si="35"/>
        <v>ハロウィンイベント開催をLINEでタイムライン投稿しよう！</v>
      </c>
      <c r="D354" s="26" t="str">
        <f ca="1">IFERROR(VLOOKUP($A354,OFFSET(achievement_criterion_id,0,0,COUNTA($A:$A),MATCH(D$1,missions!$2:$2,0)-MATCH($A$1,missions!$2:$2,0)+1),MATCH(D$1,missions!$2:$2,0)-MATCH($A$1,missions!$2:$2,0)+1,FALSE),IFERROR(VLOOKUP($A354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54" s="39" t="s">
        <v>352</v>
      </c>
      <c r="F354" s="75" t="s">
        <v>895</v>
      </c>
      <c r="G354" s="76" t="s">
        <v>1891</v>
      </c>
      <c r="H354" s="26">
        <f ca="1">VLOOKUP($F354,OFFSET(達成条件!$A$1,0,0,COUNTA($A:$A),MATCH(H$1,達成条件!$1:$1,0)-MATCH($F$1,達成条件!$1:$1,0)+1),MATCH(H$1,達成条件!$1:$1,0)-MATCH($F$1,達成条件!$1:$1,0)+1,FALSE)</f>
        <v>0</v>
      </c>
      <c r="I354" s="104" t="str">
        <f t="shared" si="36"/>
        <v>line://msg/text/%E3%83%8F%E3%83%AD%E3%82%A6%E3%82%A3%E3%83%B3%E3%81%8C%E3%82%AF%E3%83%A9%E3%83%83%E3%82%B7%E3%83%A5%E3%83%95%E3%82%A3%E3%83%BC%E3%83%90%E3%83%BC%E3%81%AB%E3%82%84%E3%81%A3%E3%81%A6%E3%81%8D%E3%81%9F%EF%BC%81%E4%BB%8A%E3%81%A0%E3%81%91%E2%98%86%E3%83%8F%E3%83%AD%E3%82%A6%E3%82%A3%E3%83%B3%E9%99%90%E5%AE%9A%E3%83%A6%E3%83%8B%E3%83%83%E3%83%88%E3%82%84%E3%82%B3%E3%82%B9%E3%83%97%E3%83%AC%E3%83%A6%E3%83%8B%E3%83%83%E3%83%88%E3%81%8C%E5%87%BA%E7%8F%BE%E3%81%99%E3%82%8B%E3%80%8A%E3%82%B9%E3%83%9A%E3%82%B7%E3%83%A3%E3%83%AB%E3%83%8F%E3%83%AD%E3%82%A6%E3%82%A3%E3%83%B3%E3%82%AC%E3%83%81%E3%83%A3%E3%80%8B%E3%81%8C%E6%AF%8E%E6%97%A5%EF%BC%91%E5%9B%9E%E7%84%A1%E6%96%99%EF%BC%81%E4%BB%8A%E3%81%99%E3%81%90%E5%9B%9E%E3%81%97%E3%81%A6%E3%81%BF%E3%82%88%E3%81%86%E2%86%92%20http%3A%2F%2Fcrashfever.com%2Fletsplay</v>
      </c>
      <c r="J354" s="54" t="str">
        <f ca="1">IF(F354="specific_unit_aquired_count",SUBSTITUTE(G354,"x",VLOOKUP(INT($I354),OFFSET([3]characters!$A$2,0,0,COUNTA([3]characters!$A:$A),MATCH(J$1,[3]characters!$2:$2,0)-MATCH("character_id",[3]characters!$2:$2,0)+1),MATCH(J$1,[3]characters!$2:$2,0)-MATCH("character_id",[3]characters!$2:$2,0)+1,FALSE)),IF(F354="specific_quest_clear",VLOOKUP(SUBSTITUTE(I354,"-","_"),OFFSET([2]stages!$A$2,0,0,COUNTA([2]stages!$A:$A),MATCH("name",[2]stages!$2:$2,0)-MATCH("temp_stage",[2]stages!$2:$2,0)+1),MATCH("name",[2]stages!$2:$2,0)-MATCH("temp_stage",[2]stages!$2:$2,0)+1,FALSE),""))</f>
        <v/>
      </c>
      <c r="K354" s="15">
        <v>1</v>
      </c>
      <c r="L354" s="15" t="s">
        <v>352</v>
      </c>
      <c r="M354" s="26"/>
      <c r="N354" s="26"/>
      <c r="O354" s="1" t="s">
        <v>1855</v>
      </c>
      <c r="P354" s="1" t="s">
        <v>1905</v>
      </c>
    </row>
    <row r="355" spans="1:16" ht="44" customHeight="1" x14ac:dyDescent="0.15">
      <c r="A355" s="2" t="s">
        <v>1987</v>
      </c>
      <c r="B355" s="21" t="s">
        <v>792</v>
      </c>
      <c r="C355" s="26" t="str">
        <f t="shared" ref="C355:C356" si="37">IF(F355="specific_quest_clear",SUBSTITUTE(G355,"x",J355),IF(F355="specific_unit_aquired_count",SUBSTITUTE(J355,"y",K355),SUBSTITUTE(G355,"x",I355)))</f>
        <v>全世界700万DL突破をTwitterでツイートしよう！</v>
      </c>
      <c r="D355" s="26" t="str">
        <f ca="1">IFERROR(VLOOKUP($A355,OFFSET(achievement_criterion_id,0,0,COUNTA($A:$A),MATCH(D$1,missions!$2:$2,0)-MATCH($A$1,missions!$2:$2,0)+1),MATCH(D$1,missions!$2:$2,0)-MATCH($A$1,missions!$2:$2,0)+1,FALSE),IFERROR(VLOOKUP($A355,OFFSET(weekly_achievement_criterion_id,0,0,COUNTA($A:$A),MATCH(D$1,weekly_missions!$2:$2,0)-MATCH($A$1,weekly_missions!$2:$2,0)+1),MATCH(D$1,weekly_missions!$2:$2,0)-MATCH($A$1,weekly_missions!$2:$2,0)+1,FALSE),"＊missions 未設定＊"))</f>
        <v>リトルハンプティ x 1</v>
      </c>
      <c r="E355" s="39" t="s">
        <v>352</v>
      </c>
      <c r="F355" s="75" t="s">
        <v>895</v>
      </c>
      <c r="G355" s="76" t="s">
        <v>1989</v>
      </c>
      <c r="H355" s="26">
        <f ca="1">VLOOKUP($F355,OFFSET(達成条件!$A$1,0,0,COUNTA($A:$A),MATCH(H$1,達成条件!$1:$1,0)-MATCH($F$1,達成条件!$1:$1,0)+1),MATCH(H$1,達成条件!$1:$1,0)-MATCH($F$1,達成条件!$1:$1,0)+1,FALSE)</f>
        <v>0</v>
      </c>
      <c r="I355" s="104" t="str">
        <f t="shared" ref="I355:I356" si="38">O355&amp;P355</f>
        <v>twitter://post?message=%E3%80%90%E5%85%A8%E4%B8%96%E7%95%8C700%E4%B8%87%E3%83%80%E3%82%A6%E3%83%B3%E3%83%AD%E3%83%BC%E3%83%89%E7%AA%81%E7%A0%B4%EF%BC%81%E3%80%91%E3%82%AF%E3%83%A9%E3%83%83%E3%82%B7%E3%83%A5%E3%83%95%E3%82%A3%E3%83%BC%E3%83%90%E3%83%BC%E2%98%85%E8%A8%98%E5%BF%B5%E3%82%AD%E3%83%A3%E3%83%B3%E3%83%9A%E3%83%BC%E3%83%B3%E5%AE%9F%E6%96%BD%E4%B8%AD%EF%BC%81%E3%83%95%E3%82%A7%E3%82%B9%E9%99%90%E7%A2%BA%E5%AE%9A%E3%82%AC%E3%83%81%E3%83%A3%E3%81%A4%E3%81%84%E3%81%AB%EF%BC%81%EF%BD%B7%EF%BE%80%E2%94%81%28%EF%BE%9F%E2%88%80%EF%BE%9F%29%E2%94%81%21%20%E4%BB%8A%E3%81%A0%E3%81%91%E6%AF%8E%E6%97%A51%E5%9B%9E%E3%83%AC%E3%82%A2%E3%82%AC%E3%83%81%E3%83%A3%E7%84%A1%E6%96%99%EF%BC%81%E8%82%B2%E6%88%90%E7%B4%A0%E6%9D%90%E3%82%82%E5%A4%A7%E9%96%8B%E6%94%BE%E4%B8%AD%EF%BC%81http%3A%2F%2Fcrashfever.com%2Fletsplay%20%23%E3%82%AF%E3%83%A9%E3%83%95%E3%82%A3</v>
      </c>
      <c r="J355" s="54" t="str">
        <f ca="1">IF(F355="specific_unit_aquired_count",SUBSTITUTE(G355,"x",VLOOKUP(INT($I355),OFFSET([3]characters!$A$2,0,0,COUNTA([3]characters!$A:$A),MATCH(J$1,[3]characters!$2:$2,0)-MATCH("character_id",[3]characters!$2:$2,0)+1),MATCH(J$1,[3]characters!$2:$2,0)-MATCH("character_id",[3]characters!$2:$2,0)+1,FALSE)),IF(F355="specific_quest_clear",VLOOKUP(SUBSTITUTE(I355,"-","_"),OFFSET([2]stages!$A$2,0,0,COUNTA([2]stages!$A:$A),MATCH("name",[2]stages!$2:$2,0)-MATCH("temp_stage",[2]stages!$2:$2,0)+1),MATCH("name",[2]stages!$2:$2,0)-MATCH("temp_stage",[2]stages!$2:$2,0)+1,FALSE),""))</f>
        <v/>
      </c>
      <c r="K355" s="15">
        <v>1</v>
      </c>
      <c r="L355" s="15" t="s">
        <v>352</v>
      </c>
      <c r="M355" s="26"/>
      <c r="N355" s="26"/>
      <c r="O355" s="1" t="s">
        <v>1854</v>
      </c>
      <c r="P355" s="1" t="s">
        <v>1992</v>
      </c>
    </row>
    <row r="356" spans="1:16" ht="44" customHeight="1" x14ac:dyDescent="0.15">
      <c r="A356" s="2" t="s">
        <v>1988</v>
      </c>
      <c r="B356" s="21" t="s">
        <v>792</v>
      </c>
      <c r="C356" s="26" t="str">
        <f t="shared" si="37"/>
        <v>全世界700万DL突破をLINEでタイムライン投稿しよう！</v>
      </c>
      <c r="D356" s="26" t="str">
        <f ca="1">IFERROR(VLOOKUP($A356,OFFSET(achievement_criterion_id,0,0,COUNTA($A:$A),MATCH(D$1,missions!$2:$2,0)-MATCH($A$1,missions!$2:$2,0)+1),MATCH(D$1,missions!$2:$2,0)-MATCH($A$1,missions!$2:$2,0)+1,FALSE),IFERROR(VLOOKUP($A356,OFFSET(weekly_achievement_criterion_id,0,0,COUNTA($A:$A),MATCH(D$1,weekly_missions!$2:$2,0)-MATCH($A$1,weekly_missions!$2:$2,0)+1),MATCH(D$1,weekly_missions!$2:$2,0)-MATCH($A$1,weekly_missions!$2:$2,0)+1,FALSE),"＊missions 未設定＊"))</f>
        <v>リトルハンプティ x 1</v>
      </c>
      <c r="E356" s="39" t="s">
        <v>352</v>
      </c>
      <c r="F356" s="75" t="s">
        <v>895</v>
      </c>
      <c r="G356" s="76" t="s">
        <v>1990</v>
      </c>
      <c r="H356" s="26">
        <f ca="1">VLOOKUP($F356,OFFSET(達成条件!$A$1,0,0,COUNTA($A:$A),MATCH(H$1,達成条件!$1:$1,0)-MATCH($F$1,達成条件!$1:$1,0)+1),MATCH(H$1,達成条件!$1:$1,0)-MATCH($F$1,達成条件!$1:$1,0)+1,FALSE)</f>
        <v>0</v>
      </c>
      <c r="I356" s="104" t="str">
        <f t="shared" si="38"/>
        <v>line://msg/text/%E3%80%90%E5%85%A8%E4%B8%96%E7%95%8C700%E4%B8%87%E3%83%80%E3%82%A6%E3%83%B3%E3%83%AD%E3%83%BC%E3%83%89%E7%AA%81%E7%A0%B4%EF%BC%81%E3%80%91%E3%82%AF%E3%83%A9%E3%83%83%E3%82%B7%E3%83%A5%E3%83%95%E3%82%A3%E3%83%BC%E3%83%90%E3%83%BC%E2%98%85%E8%A8%98%E5%BF%B5%E3%82%AD%E3%83%A3%E3%83%B3%E3%83%9A%E3%83%BC%E3%83%B3%E5%AE%9F%E6%96%BD%E4%B8%AD%EF%BC%81%E3%83%95%E3%82%A7%E3%82%B9%E9%99%90%E7%A2%BA%E5%AE%9A%E3%82%AC%E3%83%81%E3%83%A3%E3%81%A4%E3%81%84%E3%81%AB%EF%BC%81%EF%BD%B7%EF%BE%80%E2%94%81%28%EF%BE%9F%E2%88%80%EF%BE%9F%29%E2%94%81%21%20%E4%BB%8A%E3%81%A0%E3%81%91%E6%AF%8E%E6%97%A51%E5%9B%9E%E3%83%AC%E3%82%A2%E3%82%AC%E3%83%81%E3%83%A3%E7%84%A1%E6%96%99%EF%BC%81%E8%82%B2%E6%88%90%E7%B4%A0%E6%9D%90%E3%82%82%E5%A4%A7%E9%96%8B%E6%94%BE%E4%B8%AD%EF%BC%81http%3A%2F%2Fcrashfever.com%2Fletsplay</v>
      </c>
      <c r="J356" s="54" t="str">
        <f ca="1">IF(F356="specific_unit_aquired_count",SUBSTITUTE(G356,"x",VLOOKUP(INT($I356),OFFSET([3]characters!$A$2,0,0,COUNTA([3]characters!$A:$A),MATCH(J$1,[3]characters!$2:$2,0)-MATCH("character_id",[3]characters!$2:$2,0)+1),MATCH(J$1,[3]characters!$2:$2,0)-MATCH("character_id",[3]characters!$2:$2,0)+1,FALSE)),IF(F356="specific_quest_clear",VLOOKUP(SUBSTITUTE(I356,"-","_"),OFFSET([2]stages!$A$2,0,0,COUNTA([2]stages!$A:$A),MATCH("name",[2]stages!$2:$2,0)-MATCH("temp_stage",[2]stages!$2:$2,0)+1),MATCH("name",[2]stages!$2:$2,0)-MATCH("temp_stage",[2]stages!$2:$2,0)+1,FALSE),""))</f>
        <v/>
      </c>
      <c r="K356" s="15">
        <v>1</v>
      </c>
      <c r="L356" s="15" t="s">
        <v>352</v>
      </c>
      <c r="M356" s="26"/>
      <c r="N356" s="26"/>
      <c r="O356" s="1" t="s">
        <v>1855</v>
      </c>
      <c r="P356" s="1" t="s">
        <v>1991</v>
      </c>
    </row>
    <row r="357" spans="1:16" ht="44" customHeight="1" x14ac:dyDescent="0.15">
      <c r="A357" s="2" t="s">
        <v>2002</v>
      </c>
      <c r="B357" s="21" t="s">
        <v>792</v>
      </c>
      <c r="C357" s="26" t="str">
        <f>IF(F357="specific_quest_clear",SUBSTITUTE(G357,"x",J357),IF(F357="specific_unit_aquired_count",SUBSTITUTE(J357,"y",K357),SUBSTITUTE(G357,"x",I357)))</f>
        <v>台湾/香港ベストゲーム選出記念ツイートをリツイートしよう！</v>
      </c>
      <c r="D357" s="26" t="str">
        <f ca="1">IFERROR(VLOOKUP($A357,OFFSET(achievement_criterion_id,0,0,COUNTA($A:$A),MATCH(D$1,missions!$2:$2,0)-MATCH($A$1,missions!$2:$2,0)+1),MATCH(D$1,missions!$2:$2,0)-MATCH($A$1,missions!$2:$2,0)+1,FALSE),IFERROR(VLOOKUP($A357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357" s="39" t="s">
        <v>352</v>
      </c>
      <c r="F357" s="75" t="s">
        <v>895</v>
      </c>
      <c r="G357" s="76" t="s">
        <v>2050</v>
      </c>
      <c r="H357" s="26">
        <f ca="1">VLOOKUP($F357,OFFSET(達成条件!$A$1,0,0,COUNTA($A:$A),MATCH(H$1,達成条件!$1:$1,0)-MATCH($F$1,達成条件!$1:$1,0)+1),MATCH(H$1,達成条件!$1:$1,0)-MATCH($F$1,達成条件!$1:$1,0)+1,FALSE)</f>
        <v>0</v>
      </c>
      <c r="I357" s="104" t="s">
        <v>2049</v>
      </c>
      <c r="J357" s="54" t="str">
        <f ca="1">IF(F357="specific_unit_aquired_count",SUBSTITUTE(G357,"x",VLOOKUP(INT($I357),OFFSET([3]characters!$A$2,0,0,COUNTA([3]characters!$A:$A),MATCH(J$1,[3]characters!$2:$2,0)-MATCH("character_id",[3]characters!$2:$2,0)+1),MATCH(J$1,[3]characters!$2:$2,0)-MATCH("character_id",[3]characters!$2:$2,0)+1,FALSE)),IF(F357="specific_quest_clear",VLOOKUP(SUBSTITUTE(I357,"-","_"),OFFSET([2]stages!$A$2,0,0,COUNTA([2]stages!$A:$A),MATCH("name",[2]stages!$2:$2,0)-MATCH("temp_stage",[2]stages!$2:$2,0)+1),MATCH("name",[2]stages!$2:$2,0)-MATCH("temp_stage",[2]stages!$2:$2,0)+1,FALSE),""))</f>
        <v/>
      </c>
      <c r="K357" s="15">
        <v>1</v>
      </c>
      <c r="L357" s="15" t="s">
        <v>352</v>
      </c>
      <c r="M357" s="26"/>
      <c r="N357" s="26"/>
      <c r="O357" s="1" t="s">
        <v>1855</v>
      </c>
      <c r="P357" s="1" t="s">
        <v>1991</v>
      </c>
    </row>
    <row r="358" spans="1:16" ht="44" customHeight="1" x14ac:dyDescent="0.15">
      <c r="A358" s="2" t="s">
        <v>2238</v>
      </c>
      <c r="B358" s="21" t="s">
        <v>792</v>
      </c>
      <c r="C358" s="26" t="str">
        <f t="shared" ref="C358:C359" si="39">IF(F358="specific_quest_clear",SUBSTITUTE(G358,"x",J358),IF(F358="specific_unit_aquired_count",SUBSTITUTE(J358,"y",K358),SUBSTITUTE(G358,"x",I358)))</f>
        <v>ホワイトデーイベント開催をTwitterでツイートしよう！</v>
      </c>
      <c r="D358" s="26" t="str">
        <f ca="1">IFERROR(VLOOKUP($A358,OFFSET(achievement_criterion_id,0,0,COUNTA($A:$A),MATCH(D$1,missions!$2:$2,0)-MATCH($A$1,missions!$2:$2,0)+1),MATCH(D$1,missions!$2:$2,0)-MATCH($A$1,missions!$2:$2,0)+1,FALSE),IFERROR(VLOOKUP($A358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58" s="39" t="s">
        <v>352</v>
      </c>
      <c r="F358" s="75" t="s">
        <v>895</v>
      </c>
      <c r="G358" s="76" t="s">
        <v>2241</v>
      </c>
      <c r="H358" s="26">
        <f ca="1">VLOOKUP($F358,OFFSET(達成条件!$A$1,0,0,COUNTA($A:$A),MATCH(H$1,達成条件!$1:$1,0)-MATCH($F$1,達成条件!$1:$1,0)+1),MATCH(H$1,達成条件!$1:$1,0)-MATCH($F$1,達成条件!$1:$1,0)+1,FALSE)</f>
        <v>0</v>
      </c>
      <c r="I358" s="104" t="str">
        <f t="shared" ref="I358:I359" si="40">O358&amp;P358</f>
        <v>twitter://post?message=%E3%83%9B%E3%83%AF%E3%82%A4%E3%83%88%E3%83%87%E3%83%BC%E3%82%AD%E3%83%A3%E3%83%B3%E3%83%9A%E3%83%BC%E3%83%B3%E5%AE%9F%E6%96%BD%E4%B8%AD%E2%99%AA%E4%BB%8A%E3%81%AA%E3%82%89%E3%80%901%E6%97%A51%E5%9B%9E%E7%84%A1%E6%96%99%E3%82%AC%E3%83%81%E3%83%A3%E3%80%91%E3%81%8C%E5%9B%9E%E3%81%9B%E3%81%A1%E3%82%83%E3%81%86%E2%98%86%E3%83%9B%E3%83%AF%E3%82%A4%E3%83%88%E3%83%87%E3%83%BC%E9%99%90%E5%AE%9A%E3%83%A6%E3%83%8B%E3%83%83%E3%83%88%E3%81%8C%E6%89%8B%E3%81%AB%E5%85%A5%E3%82%8B%E3%83%81%E3%83%A3%E3%83%B3%E3%82%B9%EF%BC%81%E3%82%AF%E3%83%A9%E3%83%83%E3%82%B7%E3%83%A5%E3%83%95%E3%82%A3%E3%83%BC%E3%83%90%E3%83%BC%E3%81%AE%E3%82%A4%E3%83%B3%E3%82%B9%E3%83%88%E3%83%BC%E3%83%AB%E3%81%AF%E3%81%93%E3%81%A1%E3%82%89%E2%99%AA%E2%86%92%20http%3A%2F%2Fcrashfever.com%2Fletsplay%2F%20%23%E3%82%AF%E3%83%A9%E3%83%95%E3%82%A3</v>
      </c>
      <c r="J358" s="54" t="str">
        <f ca="1">IF(F358="specific_unit_aquired_count",SUBSTITUTE(G358,"x",VLOOKUP(INT($I358),OFFSET([3]characters!$A$2,0,0,COUNTA([3]characters!$A:$A),MATCH(J$1,[3]characters!$2:$2,0)-MATCH("character_id",[3]characters!$2:$2,0)+1),MATCH(J$1,[3]characters!$2:$2,0)-MATCH("character_id",[3]characters!$2:$2,0)+1,FALSE)),IF(F358="specific_quest_clear",VLOOKUP(SUBSTITUTE(I358,"-","_"),OFFSET([2]stages!$A$2,0,0,COUNTA([2]stages!$A:$A),MATCH("name",[2]stages!$2:$2,0)-MATCH("temp_stage",[2]stages!$2:$2,0)+1),MATCH("name",[2]stages!$2:$2,0)-MATCH("temp_stage",[2]stages!$2:$2,0)+1,FALSE),""))</f>
        <v/>
      </c>
      <c r="K358" s="15">
        <v>1</v>
      </c>
      <c r="L358" s="15" t="s">
        <v>352</v>
      </c>
      <c r="M358" s="26"/>
      <c r="N358" s="26"/>
      <c r="O358" s="1" t="s">
        <v>1854</v>
      </c>
      <c r="P358" s="1" t="s">
        <v>2243</v>
      </c>
    </row>
    <row r="359" spans="1:16" ht="44" customHeight="1" x14ac:dyDescent="0.15">
      <c r="A359" s="2" t="s">
        <v>2239</v>
      </c>
      <c r="B359" s="21" t="s">
        <v>792</v>
      </c>
      <c r="C359" s="26" t="str">
        <f t="shared" si="39"/>
        <v>ホワイトデーイベント開催をLINEでタイムライン投稿しよう！</v>
      </c>
      <c r="D359" s="26" t="str">
        <f ca="1">IFERROR(VLOOKUP($A359,OFFSET(achievement_criterion_id,0,0,COUNTA($A:$A),MATCH(D$1,missions!$2:$2,0)-MATCH($A$1,missions!$2:$2,0)+1),MATCH(D$1,missions!$2:$2,0)-MATCH($A$1,missions!$2:$2,0)+1,FALSE),IFERROR(VLOOKUP($A359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59" s="39" t="s">
        <v>352</v>
      </c>
      <c r="F359" s="75" t="s">
        <v>895</v>
      </c>
      <c r="G359" s="76" t="s">
        <v>2242</v>
      </c>
      <c r="H359" s="26">
        <f ca="1">VLOOKUP($F359,OFFSET(達成条件!$A$1,0,0,COUNTA($A:$A),MATCH(H$1,達成条件!$1:$1,0)-MATCH($F$1,達成条件!$1:$1,0)+1),MATCH(H$1,達成条件!$1:$1,0)-MATCH($F$1,達成条件!$1:$1,0)+1,FALSE)</f>
        <v>0</v>
      </c>
      <c r="I359" s="104" t="str">
        <f t="shared" si="40"/>
        <v>line://msg/text/%E3%83%9B%E3%83%AF%E3%82%A4%E3%83%88%E3%83%87%E3%83%BC%E3%82%AD%E3%83%A3%E3%83%B3%E3%83%9A%E3%83%BC%E3%83%B3%E5%AE%9F%E6%96%BD%E4%B8%AD%E2%99%AA%E4%BB%8A%E3%81%AA%E3%82%89%E3%80%901%E6%97%A51%E5%9B%9E%E7%84%A1%E6%96%99%E3%82%AC%E3%83%81%E3%83%A3%E3%80%91%E3%81%8C%E5%9B%9E%E3%81%9B%E3%81%A1%E3%82%83%E3%81%86%E2%98%86%E3%83%9B%E3%83%AF%E3%82%A4%E3%83%88%E3%83%87%E3%83%BC%E9%99%90%E5%AE%9A%E3%83%A6%E3%83%8B%E3%83%83%E3%83%88%E3%81%8C%E6%89%8B%E3%81%AB%E5%85%A5%E3%82%8B%E3%83%81%E3%83%A3%E3%83%B3%E3%82%B9%EF%BC%81%E3%82%AF%E3%83%A9%E3%83%83%E3%82%B7%E3%83%A5%E3%83%95%E3%82%A3%E3%83%BC%E3%83%90%E3%83%BC%E3%81%AE%E3%82%A4%E3%83%B3%E3%82%B9%E3%83%88%E3%83%BC%E3%83%AB%E3%81%AF%E3%81%93%E3%81%A1%E3%82%89%E2%99%AA%E2%86%92%20http%3A%2F%2Fcrashfever.com%2Fletsplay</v>
      </c>
      <c r="J359" s="54" t="str">
        <f ca="1">IF(F359="specific_unit_aquired_count",SUBSTITUTE(G359,"x",VLOOKUP(INT($I359),OFFSET([3]characters!$A$2,0,0,COUNTA([3]characters!$A:$A),MATCH(J$1,[3]characters!$2:$2,0)-MATCH("character_id",[3]characters!$2:$2,0)+1),MATCH(J$1,[3]characters!$2:$2,0)-MATCH("character_id",[3]characters!$2:$2,0)+1,FALSE)),IF(F359="specific_quest_clear",VLOOKUP(SUBSTITUTE(I359,"-","_"),OFFSET([2]stages!$A$2,0,0,COUNTA([2]stages!$A:$A),MATCH("name",[2]stages!$2:$2,0)-MATCH("temp_stage",[2]stages!$2:$2,0)+1),MATCH("name",[2]stages!$2:$2,0)-MATCH("temp_stage",[2]stages!$2:$2,0)+1,FALSE),""))</f>
        <v/>
      </c>
      <c r="K359" s="15">
        <v>1</v>
      </c>
      <c r="L359" s="15" t="s">
        <v>352</v>
      </c>
      <c r="M359" s="26"/>
      <c r="N359" s="26"/>
      <c r="O359" s="1" t="s">
        <v>1855</v>
      </c>
      <c r="P359" s="1" t="s">
        <v>2244</v>
      </c>
    </row>
    <row r="360" spans="1:16" ht="44" customHeight="1" x14ac:dyDescent="0.15">
      <c r="A360" s="2" t="s">
        <v>2298</v>
      </c>
      <c r="B360" s="21" t="s">
        <v>792</v>
      </c>
      <c r="C360" s="26" t="str">
        <f>IF(F360="specific_quest_clear",SUBSTITUTE(G360,"x",J360),IF(F360="specific_unit_aquired_count",SUBSTITUTE(J360,"y",K360),SUBSTITUTE(G360,"x",I360)))</f>
        <v>「にゃんこ大戦争」で『ハッピー100』がもらえるよ【1回のみ】</v>
      </c>
      <c r="D360" s="26" t="str">
        <f ca="1">IFERROR(VLOOKUP($A360,OFFSET(achievement_criterion_id,0,0,COUNTA($A:$A),MATCH(D$1,missions!$2:$2,0)-MATCH($A$1,missions!$2:$2,0)+1),MATCH(D$1,missions!$2:$2,0)-MATCH($A$1,missions!$2:$2,0)+1,FALSE),IFERROR(VLOOKUP($A360,OFFSET(weekly_achievement_criterion_id,0,0,COUNTA($A:$A),MATCH(D$1,weekly_missions!$2:$2,0)-MATCH($A$1,weekly_missions!$2:$2,0)+1),MATCH(D$1,weekly_missions!$2:$2,0)-MATCH($A$1,weekly_missions!$2:$2,0)+1,FALSE),"＊missions 未設定＊"))</f>
        <v>にゃんこ大戦争用アイテム</v>
      </c>
      <c r="E360" s="105" t="s">
        <v>2346</v>
      </c>
      <c r="F360" s="75" t="s">
        <v>895</v>
      </c>
      <c r="G360" s="76" t="s">
        <v>2335</v>
      </c>
      <c r="H360" s="26">
        <f ca="1">VLOOKUP($F360,OFFSET(達成条件!$A$1,0,0,COUNTA($A:$A),MATCH(H$1,達成条件!$1:$1,0)-MATCH($F$1,達成条件!$1:$1,0)+1),MATCH(H$1,達成条件!$1:$1,0)-MATCH($F$1,達成条件!$1:$1,0)+1,FALSE)</f>
        <v>0</v>
      </c>
      <c r="I360" s="104" t="s">
        <v>2303</v>
      </c>
      <c r="J360" s="54" t="str">
        <f ca="1">IF(F360="specific_unit_aquired_count",SUBSTITUTE(G360,"x",VLOOKUP(INT($I360),OFFSET([3]characters!$A$2,0,0,COUNTA([3]characters!$A:$A),MATCH(J$1,[3]characters!$2:$2,0)-MATCH("character_id",[3]characters!$2:$2,0)+1),MATCH(J$1,[3]characters!$2:$2,0)-MATCH("character_id",[3]characters!$2:$2,0)+1,FALSE)),IF(F360="specific_quest_clear",VLOOKUP(SUBSTITUTE(I360,"-","_"),OFFSET([2]stages!$A$2,0,0,COUNTA([2]stages!$A:$A),MATCH("name",[2]stages!$2:$2,0)-MATCH("temp_stage",[2]stages!$2:$2,0)+1),MATCH("name",[2]stages!$2:$2,0)-MATCH("temp_stage",[2]stages!$2:$2,0)+1,FALSE),""))</f>
        <v/>
      </c>
      <c r="K360" s="153">
        <v>2</v>
      </c>
      <c r="L360" s="15" t="s">
        <v>352</v>
      </c>
      <c r="M360" s="26"/>
      <c r="N360" s="26"/>
    </row>
    <row r="361" spans="1:16" ht="44" customHeight="1" x14ac:dyDescent="0.15">
      <c r="A361" s="2" t="s">
        <v>2300</v>
      </c>
      <c r="B361" s="21" t="s">
        <v>792</v>
      </c>
      <c r="C361" s="26" t="str">
        <f t="shared" ref="C361" si="41">IF(F361="specific_quest_clear",SUBSTITUTE(G361,"x",J361),IF(F361="specific_unit_aquired_count",SUBSTITUTE(J361,"y",K361),SUBSTITUTE(G361,"x",I361)))</f>
        <v>「にゃんこ大戦争」で『XP30000』がもらえるよ【1回のみ】</v>
      </c>
      <c r="D361" s="26" t="str">
        <f ca="1">IFERROR(VLOOKUP($A361,OFFSET(achievement_criterion_id,0,0,COUNTA($A:$A),MATCH(D$1,missions!$2:$2,0)-MATCH($A$1,missions!$2:$2,0)+1),MATCH(D$1,missions!$2:$2,0)-MATCH($A$1,missions!$2:$2,0)+1,FALSE),IFERROR(VLOOKUP($A361,OFFSET(weekly_achievement_criterion_id,0,0,COUNTA($A:$A),MATCH(D$1,weekly_missions!$2:$2,0)-MATCH($A$1,weekly_missions!$2:$2,0)+1),MATCH(D$1,weekly_missions!$2:$2,0)-MATCH($A$1,weekly_missions!$2:$2,0)+1,FALSE),"＊missions 未設定＊"))</f>
        <v>にゃんこ大戦争用アイテム</v>
      </c>
      <c r="E361" s="105" t="s">
        <v>2346</v>
      </c>
      <c r="F361" s="75" t="s">
        <v>895</v>
      </c>
      <c r="G361" s="76" t="s">
        <v>2342</v>
      </c>
      <c r="H361" s="26">
        <f ca="1">VLOOKUP($F361,OFFSET(達成条件!$A$1,0,0,COUNTA($A:$A),MATCH(H$1,達成条件!$1:$1,0)-MATCH($F$1,達成条件!$1:$1,0)+1),MATCH(H$1,達成条件!$1:$1,0)-MATCH($F$1,達成条件!$1:$1,0)+1,FALSE)</f>
        <v>0</v>
      </c>
      <c r="I361" s="104" t="s">
        <v>2304</v>
      </c>
      <c r="J361" s="54" t="str">
        <f ca="1">IF(F361="specific_unit_aquired_count",SUBSTITUTE(G361,"x",VLOOKUP(INT($I361),OFFSET([3]characters!$A$2,0,0,COUNTA([3]characters!$A:$A),MATCH(J$1,[3]characters!$2:$2,0)-MATCH("character_id",[3]characters!$2:$2,0)+1),MATCH(J$1,[3]characters!$2:$2,0)-MATCH("character_id",[3]characters!$2:$2,0)+1,FALSE)),IF(F361="specific_quest_clear",VLOOKUP(SUBSTITUTE(I361,"-","_"),OFFSET([2]stages!$A$2,0,0,COUNTA([2]stages!$A:$A),MATCH("name",[2]stages!$2:$2,0)-MATCH("temp_stage",[2]stages!$2:$2,0)+1),MATCH("name",[2]stages!$2:$2,0)-MATCH("temp_stage",[2]stages!$2:$2,0)+1,FALSE),""))</f>
        <v/>
      </c>
      <c r="K361" s="153">
        <v>2</v>
      </c>
      <c r="L361" s="15" t="s">
        <v>352</v>
      </c>
      <c r="M361" s="26"/>
      <c r="N361" s="26"/>
    </row>
    <row r="362" spans="1:16" ht="44" customHeight="1" x14ac:dyDescent="0.15">
      <c r="A362" s="2" t="s">
        <v>2302</v>
      </c>
      <c r="B362" s="21" t="s">
        <v>792</v>
      </c>
      <c r="C362" s="26" t="str">
        <f t="shared" ref="C362:C364" si="42">IF(F362="specific_quest_clear",SUBSTITUTE(G362,"x",J362),IF(F362="specific_unit_aquired_count",SUBSTITUTE(J362,"y",K362),SUBSTITUTE(G362,"x",I362)))</f>
        <v>「にゃんこ大戦争」で『にゃんこチケット3枚』がもらえるよ【1回のみ】</v>
      </c>
      <c r="D362" s="26" t="str">
        <f ca="1">IFERROR(VLOOKUP($A362,OFFSET(achievement_criterion_id,0,0,COUNTA($A:$A),MATCH(D$1,missions!$2:$2,0)-MATCH($A$1,missions!$2:$2,0)+1),MATCH(D$1,missions!$2:$2,0)-MATCH($A$1,missions!$2:$2,0)+1,FALSE),IFERROR(VLOOKUP($A362,OFFSET(weekly_achievement_criterion_id,0,0,COUNTA($A:$A),MATCH(D$1,weekly_missions!$2:$2,0)-MATCH($A$1,weekly_missions!$2:$2,0)+1),MATCH(D$1,weekly_missions!$2:$2,0)-MATCH($A$1,weekly_missions!$2:$2,0)+1,FALSE),"＊missions 未設定＊"))</f>
        <v>にゃんこ大戦争用アイテム</v>
      </c>
      <c r="E362" s="105" t="s">
        <v>2346</v>
      </c>
      <c r="F362" s="75" t="s">
        <v>895</v>
      </c>
      <c r="G362" s="76" t="s">
        <v>2343</v>
      </c>
      <c r="H362" s="26">
        <f ca="1">VLOOKUP($F362,OFFSET(達成条件!$A$1,0,0,COUNTA($A:$A),MATCH(H$1,達成条件!$1:$1,0)-MATCH($F$1,達成条件!$1:$1,0)+1),MATCH(H$1,達成条件!$1:$1,0)-MATCH($F$1,達成条件!$1:$1,0)+1,FALSE)</f>
        <v>0</v>
      </c>
      <c r="I362" s="104" t="s">
        <v>2305</v>
      </c>
      <c r="J362" s="54" t="str">
        <f ca="1">IF(F362="specific_unit_aquired_count",SUBSTITUTE(G362,"x",VLOOKUP(INT($I362),OFFSET([3]characters!$A$2,0,0,COUNTA([3]characters!$A:$A),MATCH(J$1,[3]characters!$2:$2,0)-MATCH("character_id",[3]characters!$2:$2,0)+1),MATCH(J$1,[3]characters!$2:$2,0)-MATCH("character_id",[3]characters!$2:$2,0)+1,FALSE)),IF(F362="specific_quest_clear",VLOOKUP(SUBSTITUTE(I362,"-","_"),OFFSET([2]stages!$A$2,0,0,COUNTA([2]stages!$A:$A),MATCH("name",[2]stages!$2:$2,0)-MATCH("temp_stage",[2]stages!$2:$2,0)+1),MATCH("name",[2]stages!$2:$2,0)-MATCH("temp_stage",[2]stages!$2:$2,0)+1,FALSE),""))</f>
        <v/>
      </c>
      <c r="K362" s="153">
        <v>2</v>
      </c>
      <c r="L362" s="15" t="s">
        <v>352</v>
      </c>
      <c r="M362" s="26"/>
      <c r="N362" s="26"/>
    </row>
    <row r="363" spans="1:16" ht="44" customHeight="1" x14ac:dyDescent="0.15">
      <c r="A363" s="2" t="s">
        <v>2308</v>
      </c>
      <c r="B363" s="21" t="s">
        <v>792</v>
      </c>
      <c r="C363" s="26" t="str">
        <f t="shared" si="42"/>
        <v>にゃんこ大戦争コラボをTwitterでツイートしよう！</v>
      </c>
      <c r="D363" s="26" t="str">
        <f ca="1">IFERROR(VLOOKUP($A363,OFFSET(achievement_criterion_id,0,0,COUNTA($A:$A),MATCH(D$1,missions!$2:$2,0)-MATCH($A$1,missions!$2:$2,0)+1),MATCH(D$1,missions!$2:$2,0)-MATCH($A$1,missions!$2:$2,0)+1,FALSE),IFERROR(VLOOKUP($A363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63" s="39" t="s">
        <v>352</v>
      </c>
      <c r="F363" s="75" t="s">
        <v>895</v>
      </c>
      <c r="G363" s="76" t="s">
        <v>2310</v>
      </c>
      <c r="H363" s="26">
        <f ca="1">VLOOKUP($F363,OFFSET(達成条件!$A$1,0,0,COUNTA($A:$A),MATCH(H$1,達成条件!$1:$1,0)-MATCH($F$1,達成条件!$1:$1,0)+1),MATCH(H$1,達成条件!$1:$1,0)-MATCH($F$1,達成条件!$1:$1,0)+1,FALSE)</f>
        <v>0</v>
      </c>
      <c r="I363" s="104" t="str">
        <f t="shared" ref="I363:I364" si="43">O363&amp;P363</f>
        <v>twitter://post?message=%E3%80%90%E3%81%AB%E3%82%83%E3%82%93%E3%81%93%E5%A4%A7%E6%88%A6%E4%BA%89%C3%97%E3%82%AF%E3%83%A9%E3%83%83%E3%82%B7%E3%83%A5%E3%83%95%E3%82%A3%E3%83%BC%E3%83%90%E3%83%BC%E3%80%91%E3%81%AB%E3%82%83%E3%82%93%E3%81%93%E9%81%94%E3%81%8C%E3%82%AF%E3%83%A9%E3%83%95%E3%82%A3%E3%81%AE%E4%B8%96%E7%95%8C%E3%81%AB%E9%80%B2%E8%BB%8D%EF%BC%81%EF%BC%9F%E4%BB%8A%E3%81%AA%E3%82%89%E3%81%82%E3%81%AE%E3%80%8C%E3%81%AB%E3%82%83%E3%82%93%E3%81%93%E3%80%8D%E9%81%94%E3%81%8C%E3%82%AF%E3%82%A8%E3%82%B9%E3%83%88%E3%81%A7%E6%89%8B%E3%81%AB%E5%85%A5%E3%82%8B%E2%99%AA%E3%80%90%E9%80%B2%E8%BB%8D%E3%81%AB%E3%82%83%EF%BC%81%E3%80%91%E3%82%AF%E3%83%A9%E3%83%83%E3%82%B7%E3%83%A5%E3%83%95%E3%82%A3%E3%83%BC%E3%83%90%E3%83%BC%E3%81%AE%E3%82%A4%E3%83%B3%E3%82%B9%E3%83%88%E3%83%BC%E3%83%AB%E3%81%AF%E3%81%93%E3%81%A1%E3%82%89%E2%99%AA%E2%86%92%20http%3A%2F%2Fcrashfever.com%2Fletsplay%2F%20%23%E3%82%AF%E3%83%A9%E3%83%95%E3%82%A3</v>
      </c>
      <c r="J363" s="54" t="str">
        <f ca="1">IF(F363="specific_unit_aquired_count",SUBSTITUTE(G363,"x",VLOOKUP(INT($I363),OFFSET([3]characters!$A$2,0,0,COUNTA([3]characters!$A:$A),MATCH(J$1,[3]characters!$2:$2,0)-MATCH("character_id",[3]characters!$2:$2,0)+1),MATCH(J$1,[3]characters!$2:$2,0)-MATCH("character_id",[3]characters!$2:$2,0)+1,FALSE)),IF(F363="specific_quest_clear",VLOOKUP(SUBSTITUTE(I363,"-","_"),OFFSET([2]stages!$A$2,0,0,COUNTA([2]stages!$A:$A),MATCH("name",[2]stages!$2:$2,0)-MATCH("temp_stage",[2]stages!$2:$2,0)+1),MATCH("name",[2]stages!$2:$2,0)-MATCH("temp_stage",[2]stages!$2:$2,0)+1,FALSE),""))</f>
        <v/>
      </c>
      <c r="K363" s="15">
        <v>1</v>
      </c>
      <c r="L363" s="15" t="s">
        <v>352</v>
      </c>
      <c r="M363" s="26"/>
      <c r="N363" s="26"/>
      <c r="O363" s="1" t="s">
        <v>1854</v>
      </c>
      <c r="P363" s="1" t="s">
        <v>2344</v>
      </c>
    </row>
    <row r="364" spans="1:16" ht="44" customHeight="1" x14ac:dyDescent="0.15">
      <c r="A364" s="2" t="s">
        <v>2309</v>
      </c>
      <c r="B364" s="21" t="s">
        <v>792</v>
      </c>
      <c r="C364" s="26" t="str">
        <f t="shared" si="42"/>
        <v>にゃんこ大戦争コラボをLINEでタイムライン投稿しよう！</v>
      </c>
      <c r="D364" s="26" t="str">
        <f ca="1">IFERROR(VLOOKUP($A364,OFFSET(achievement_criterion_id,0,0,COUNTA($A:$A),MATCH(D$1,missions!$2:$2,0)-MATCH($A$1,missions!$2:$2,0)+1),MATCH(D$1,missions!$2:$2,0)-MATCH($A$1,missions!$2:$2,0)+1,FALSE),IFERROR(VLOOKUP($A364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64" s="39" t="s">
        <v>352</v>
      </c>
      <c r="F364" s="75" t="s">
        <v>895</v>
      </c>
      <c r="G364" s="76" t="s">
        <v>2311</v>
      </c>
      <c r="H364" s="26">
        <f ca="1">VLOOKUP($F364,OFFSET(達成条件!$A$1,0,0,COUNTA($A:$A),MATCH(H$1,達成条件!$1:$1,0)-MATCH($F$1,達成条件!$1:$1,0)+1),MATCH(H$1,達成条件!$1:$1,0)-MATCH($F$1,達成条件!$1:$1,0)+1,FALSE)</f>
        <v>0</v>
      </c>
      <c r="I364" s="104" t="str">
        <f t="shared" si="43"/>
        <v>line://msg/text/%E3%80%90%E3%81%AB%E3%82%83%E3%82%93%E3%81%93%E5%A4%A7%E6%88%A6%E4%BA%89%C3%97%E3%82%AF%E3%83%A9%E3%83%83%E3%82%B7%E3%83%A5%E3%83%95%E3%82%A3%E3%83%BC%E3%83%90%E3%83%BC%E3%80%91%E3%81%AB%E3%82%83%E3%82%93%E3%81%93%E9%81%94%E3%81%8C%E3%82%AF%E3%83%A9%E3%83%95%E3%82%A3%E3%81%AE%E4%B8%96%E7%95%8C%E3%81%AB%E9%80%B2%E8%BB%8D%EF%BC%81%EF%BC%9F%E4%BB%8A%E3%81%AA%E3%82%89%E3%81%82%E3%81%AE%E3%80%8C%E3%81%AB%E3%82%83%E3%82%93%E3%81%93%E3%80%8D%E9%81%94%E3%81%8C%E3%82%AF%E3%82%A8%E3%82%B9%E3%83%88%E3%81%A7%E6%89%8B%E3%81%AB%E5%85%A5%E3%82%8B%E2%99%AA%E3%80%90%E9%80%B2%E8%BB%8D%E3%81%AB%E3%82%83%EF%BC%81%E3%80%91%E3%82%AF%E3%83%A9%E3%83%83%E3%82%B7%E3%83%A5%E3%83%95%E3%82%A3%E3%83%BC%E3%83%90%E3%83%BC%E3%81%AE%E3%82%A4%E3%83%B3%E3%82%B9%E3%83%88%E3%83%BC%E3%83%AB%E3%81%AF%E3%81%93%E3%81%A1%E3%82%89%E2%99%AA%E2%86%92%20http%3A%2F%2Fcrashfever.com%2Fletsplay%2F</v>
      </c>
      <c r="J364" s="54" t="str">
        <f ca="1">IF(F364="specific_unit_aquired_count",SUBSTITUTE(G364,"x",VLOOKUP(INT($I364),OFFSET([3]characters!$A$2,0,0,COUNTA([3]characters!$A:$A),MATCH(J$1,[3]characters!$2:$2,0)-MATCH("character_id",[3]characters!$2:$2,0)+1),MATCH(J$1,[3]characters!$2:$2,0)-MATCH("character_id",[3]characters!$2:$2,0)+1,FALSE)),IF(F364="specific_quest_clear",VLOOKUP(SUBSTITUTE(I364,"-","_"),OFFSET([2]stages!$A$2,0,0,COUNTA([2]stages!$A:$A),MATCH("name",[2]stages!$2:$2,0)-MATCH("temp_stage",[2]stages!$2:$2,0)+1),MATCH("name",[2]stages!$2:$2,0)-MATCH("temp_stage",[2]stages!$2:$2,0)+1,FALSE),""))</f>
        <v/>
      </c>
      <c r="K364" s="15">
        <v>1</v>
      </c>
      <c r="L364" s="15" t="s">
        <v>352</v>
      </c>
      <c r="M364" s="26"/>
      <c r="N364" s="26"/>
      <c r="O364" s="1" t="s">
        <v>1855</v>
      </c>
      <c r="P364" s="1" t="s">
        <v>2345</v>
      </c>
    </row>
    <row r="365" spans="1:16" ht="44" customHeight="1" x14ac:dyDescent="0.15">
      <c r="A365" s="2" t="s">
        <v>2500</v>
      </c>
      <c r="B365" s="21" t="s">
        <v>792</v>
      </c>
      <c r="C365" s="26" t="str">
        <f t="shared" ref="C365:C366" si="44">IF(F365="specific_quest_clear",SUBSTITUTE(G365,"x",J365),IF(F365="specific_unit_aquired_count",SUBSTITUTE(J365,"y",K365),SUBSTITUTE(G365,"x",I365)))</f>
        <v>花見キャンペーンをTwitterでツイートしよう！</v>
      </c>
      <c r="D365" s="26" t="str">
        <f ca="1">IFERROR(VLOOKUP($A365,OFFSET(achievement_criterion_id,0,0,COUNTA($A:$A),MATCH(D$1,missions!$2:$2,0)-MATCH($A$1,missions!$2:$2,0)+1),MATCH(D$1,missions!$2:$2,0)-MATCH($A$1,missions!$2:$2,0)+1,FALSE),IFERROR(VLOOKUP($A365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65" s="39" t="s">
        <v>352</v>
      </c>
      <c r="F365" s="75" t="s">
        <v>895</v>
      </c>
      <c r="G365" s="76" t="s">
        <v>2502</v>
      </c>
      <c r="H365" s="26">
        <f ca="1">VLOOKUP($F365,OFFSET(達成条件!$A$1,0,0,COUNTA($A:$A),MATCH(H$1,達成条件!$1:$1,0)-MATCH($F$1,達成条件!$1:$1,0)+1),MATCH(H$1,達成条件!$1:$1,0)-MATCH($F$1,達成条件!$1:$1,0)+1,FALSE)</f>
        <v>0</v>
      </c>
      <c r="I365" s="104" t="str">
        <f t="shared" ref="I365:I367" si="45">O365&amp;P365</f>
        <v>twitter://post?message=%E3%81%8A%E8%8A%B1%E8%A6%8B%E3%82%AD%E3%83%A3%E3%83%B3%E3%83%9A%E3%83%BC%E3%83%B3%E5%AE%9F%E6%96%BD%E4%B8%AD%E2%99%AA%E3%80%90%E3%81%BF%E3%82%93%E3%81%AA%E3%81%A7%E5%8D%94%E5%8A%9B%EF%BC%81%E3%80%91%E3%82%B5%E3%82%AF%E3%83%A9%E3%82%92%E6%BA%80%E9%96%8B%E3%81%AB%E3%81%97%E3%81%A6%E8%B1%AA%E8%8F%AF%E5%A0%B1%E9%85%AC%E3%82%92%E3%82%B2%E3%83%83%E3%83%88%E3%81%97%E3%82%88%E3%81%86%EF%BC%81%E3%82%AF%E3%83%A9%E3%83%83%E3%82%B7%E3%83%A5%E3%83%95%E3%82%A3%E3%83%BC%E3%83%90%E3%83%BC%E3%81%AE%E3%82%A4%E3%83%B3%E3%82%B9%E3%83%88%E3%83%BC%E3%83%AB%E3%81%AF%E3%81%93%E3%81%A1%E3%82%89%E2%99%AA%E2%86%92%20http%3A%2F%2Fcrashfever.com%2Fletsplay%2F%20%23%E3%82%AF%E3%83%A9%E3%83%95%E3%82%A3</v>
      </c>
      <c r="J365" s="54" t="str">
        <f ca="1">IF(F365="specific_unit_aquired_count",SUBSTITUTE(G365,"x",VLOOKUP(INT($I365),OFFSET([3]characters!$A$2,0,0,COUNTA([3]characters!$A:$A),MATCH(J$1,[3]characters!$2:$2,0)-MATCH("character_id",[3]characters!$2:$2,0)+1),MATCH(J$1,[3]characters!$2:$2,0)-MATCH("character_id",[3]characters!$2:$2,0)+1,FALSE)),IF(F365="specific_quest_clear",VLOOKUP(SUBSTITUTE(I365,"-","_"),OFFSET([2]stages!$A$2,0,0,COUNTA([2]stages!$A:$A),MATCH("name",[2]stages!$2:$2,0)-MATCH("temp_stage",[2]stages!$2:$2,0)+1),MATCH("name",[2]stages!$2:$2,0)-MATCH("temp_stage",[2]stages!$2:$2,0)+1,FALSE),""))</f>
        <v/>
      </c>
      <c r="K365" s="15">
        <v>1</v>
      </c>
      <c r="L365" s="15" t="s">
        <v>352</v>
      </c>
      <c r="M365" s="26"/>
      <c r="N365" s="26"/>
      <c r="O365" s="1" t="s">
        <v>1854</v>
      </c>
      <c r="P365" s="1" t="s">
        <v>2510</v>
      </c>
    </row>
    <row r="366" spans="1:16" ht="44" customHeight="1" x14ac:dyDescent="0.15">
      <c r="A366" s="2" t="s">
        <v>2501</v>
      </c>
      <c r="B366" s="21" t="s">
        <v>792</v>
      </c>
      <c r="C366" s="26" t="str">
        <f t="shared" si="44"/>
        <v>花見キャンペーンをLINEでタイムライン投稿しよう！</v>
      </c>
      <c r="D366" s="26" t="str">
        <f ca="1">IFERROR(VLOOKUP($A366,OFFSET(achievement_criterion_id,0,0,COUNTA($A:$A),MATCH(D$1,missions!$2:$2,0)-MATCH($A$1,missions!$2:$2,0)+1),MATCH(D$1,missions!$2:$2,0)-MATCH($A$1,missions!$2:$2,0)+1,FALSE),IFERROR(VLOOKUP($A366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66" s="39" t="s">
        <v>352</v>
      </c>
      <c r="F366" s="75" t="s">
        <v>895</v>
      </c>
      <c r="G366" s="76" t="s">
        <v>2503</v>
      </c>
      <c r="H366" s="26">
        <f ca="1">VLOOKUP($F366,OFFSET(達成条件!$A$1,0,0,COUNTA($A:$A),MATCH(H$1,達成条件!$1:$1,0)-MATCH($F$1,達成条件!$1:$1,0)+1),MATCH(H$1,達成条件!$1:$1,0)-MATCH($F$1,達成条件!$1:$1,0)+1,FALSE)</f>
        <v>0</v>
      </c>
      <c r="I366" s="104" t="str">
        <f t="shared" si="45"/>
        <v>line://msg/text/%E3%81%8A%E8%8A%B1%E8%A6%8B%E3%82%AD%E3%83%A3%E3%83%B3%E3%83%9A%E3%83%BC%E3%83%B3%E5%AE%9F%E6%96%BD%E4%B8%AD%E2%99%AA%E3%80%90%E3%81%BF%E3%82%93%E3%81%AA%E3%81%A7%E5%8D%94%E5%8A%9B%EF%BC%81%E3%80%91%E3%82%B5%E3%82%AF%E3%83%A9%E3%82%92%E6%BA%80%E9%96%8B%E3%81%AB%E3%81%97%E3%81%A6%E8%B1%AA%E8%8F%AF%E5%A0%B1%E9%85%AC%E3%82%92%E3%82%B2%E3%83%83%E3%83%88%E3%81%97%E3%82%88%E3%81%86%EF%BC%81%E3%82%AF%E3%83%A9%E3%83%83%E3%82%B7%E3%83%A5%E3%83%95%E3%82%A3%E3%83%BC%E3%83%90%E3%83%BC%E3%81%AE%E3%82%A4%E3%83%B3%E3%82%B9%E3%83%88%E3%83%BC%E3%83%AB%E3%81%AF%E3%81%93%E3%81%A1%E3%82%89%E2%99%AA%E2%86%92%20http%3A%2F%2Fcrashfever.com%2Fletsplay%2F</v>
      </c>
      <c r="J366" s="54" t="str">
        <f ca="1">IF(F366="specific_unit_aquired_count",SUBSTITUTE(G366,"x",VLOOKUP(INT($I366),OFFSET([3]characters!$A$2,0,0,COUNTA([3]characters!$A:$A),MATCH(J$1,[3]characters!$2:$2,0)-MATCH("character_id",[3]characters!$2:$2,0)+1),MATCH(J$1,[3]characters!$2:$2,0)-MATCH("character_id",[3]characters!$2:$2,0)+1,FALSE)),IF(F366="specific_quest_clear",VLOOKUP(SUBSTITUTE(I366,"-","_"),OFFSET([2]stages!$A$2,0,0,COUNTA([2]stages!$A:$A),MATCH("name",[2]stages!$2:$2,0)-MATCH("temp_stage",[2]stages!$2:$2,0)+1),MATCH("name",[2]stages!$2:$2,0)-MATCH("temp_stage",[2]stages!$2:$2,0)+1,FALSE),""))</f>
        <v/>
      </c>
      <c r="K366" s="15">
        <v>1</v>
      </c>
      <c r="L366" s="15" t="s">
        <v>352</v>
      </c>
      <c r="M366" s="26"/>
      <c r="N366" s="26"/>
      <c r="O366" s="1" t="s">
        <v>1855</v>
      </c>
      <c r="P366" s="1" t="s">
        <v>2511</v>
      </c>
    </row>
    <row r="367" spans="1:16" ht="44" customHeight="1" x14ac:dyDescent="0.15">
      <c r="A367" s="2" t="s">
        <v>2525</v>
      </c>
      <c r="B367" s="21" t="s">
        <v>792</v>
      </c>
      <c r="C367" s="26" t="str">
        <f t="shared" ref="C367:C368" si="46">IF(F367="specific_quest_clear",SUBSTITUTE(G367,"x",J367),IF(F367="specific_unit_aquired_count",SUBSTITUTE(J367,"y",K367),SUBSTITUTE(G367,"x",I367)))</f>
        <v>1000億BKキャンペーンをTwitterでツイートしよう！</v>
      </c>
      <c r="D367" s="26" t="str">
        <f ca="1">IFERROR(VLOOKUP($A367,OFFSET(achievement_criterion_id,0,0,COUNTA($A:$A),MATCH(D$1,missions!$2:$2,0)-MATCH($A$1,missions!$2:$2,0)+1),MATCH(D$1,missions!$2:$2,0)-MATCH($A$1,missions!$2:$2,0)+1,FALSE),IFERROR(VLOOKUP($A367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67" s="39" t="s">
        <v>352</v>
      </c>
      <c r="F367" s="75" t="s">
        <v>895</v>
      </c>
      <c r="G367" s="76" t="s">
        <v>2523</v>
      </c>
      <c r="H367" s="26">
        <f ca="1">VLOOKUP($F367,OFFSET(達成条件!$A$1,0,0,COUNTA($A:$A),MATCH(H$1,達成条件!$1:$1,0)-MATCH($F$1,達成条件!$1:$1,0)+1),MATCH(H$1,達成条件!$1:$1,0)-MATCH($F$1,達成条件!$1:$1,0)+1,FALSE)</f>
        <v>0</v>
      </c>
      <c r="I367" s="104" t="str">
        <f t="shared" si="45"/>
        <v>twitter://post?message=%E3%80%90%E5%85%A8%E4%B8%96%E7%95%8C1000%E5%84%84%E3%83%91%E3%83%8D%E3%83%AB%E3%83%96%E3%83%83%E5%A3%8A%E3%81%97%E8%A8%98%E5%BF%B5%EF%BC%81%E3%80%91%E4%BB%8A%E3%81%AA%E3%82%89%E3%80%8E%E3%83%AD%E3%82%B0%E3%82%A4%E3%83%B3%E3%81%99%E3%82%8B%E3%81%A0%E3%81%91%E3%80%8F%E3%81%A7%E3%80%9010%E9%80%A3%E3%82%AC%E3%83%81%E3%83%A3%E3%80%91%E3%81%8C1%E5%9B%9E%E7%84%A1%E6%96%99%EF%BC%81%EF%BC%81%E3%80%8E1000%E5%84%84BK%E3%82%AD%E3%83%A3%E3%83%B3%E3%83%9A%E3%83%BC%E3%83%B3%E3%80%8F%E9%96%8B%E5%82%AC%E4%B8%AD%EF%BC%81%E3%81%95%E3%82%89%E3%81%AB%E9%99%90%E5%AE%9A%E3%82%AD%E3%83%A3%E3%83%A9%E3%82%82%E7%99%BB%E5%A0%B4%EF%BC%81%E3%82%A4%E3%83%B3%E3%82%B9%E3%83%88%E3%83%BC%E3%83%AB%E3%81%AF%E3%81%93%E3%81%A1%E3%82%89%E2%99%AA%E2%86%92http%3A%2F%2Fcrashfever.com%2Fletsplay%2F%20%23%E3%82%AF%E3%83%A9%E3%83%95%E3%82%A3</v>
      </c>
      <c r="J367" s="54" t="str">
        <f ca="1">IF(F367="specific_unit_aquired_count",SUBSTITUTE(G367,"x",VLOOKUP(INT($I367),OFFSET([3]characters!$A$2,0,0,COUNTA([3]characters!$A:$A),MATCH(J$1,[3]characters!$2:$2,0)-MATCH("character_id",[3]characters!$2:$2,0)+1),MATCH(J$1,[3]characters!$2:$2,0)-MATCH("character_id",[3]characters!$2:$2,0)+1,FALSE)),IF(F367="specific_quest_clear",VLOOKUP(SUBSTITUTE(I367,"-","_"),OFFSET([2]stages!$A$2,0,0,COUNTA([2]stages!$A:$A),MATCH("name",[2]stages!$2:$2,0)-MATCH("temp_stage",[2]stages!$2:$2,0)+1),MATCH("name",[2]stages!$2:$2,0)-MATCH("temp_stage",[2]stages!$2:$2,0)+1,FALSE),""))</f>
        <v/>
      </c>
      <c r="K367" s="15">
        <v>1</v>
      </c>
      <c r="L367" s="15" t="s">
        <v>352</v>
      </c>
      <c r="M367" s="26"/>
      <c r="N367" s="26"/>
      <c r="O367" s="1" t="s">
        <v>1854</v>
      </c>
      <c r="P367" s="1" t="s">
        <v>2532</v>
      </c>
    </row>
    <row r="368" spans="1:16" ht="44" customHeight="1" x14ac:dyDescent="0.15">
      <c r="A368" s="2" t="s">
        <v>2526</v>
      </c>
      <c r="B368" s="21" t="s">
        <v>792</v>
      </c>
      <c r="C368" s="26" t="str">
        <f t="shared" si="46"/>
        <v>1000億BKキャンペーンをLINEでタイムライン投稿しよう！</v>
      </c>
      <c r="D368" s="26" t="str">
        <f ca="1">IFERROR(VLOOKUP($A368,OFFSET(achievement_criterion_id,0,0,COUNTA($A:$A),MATCH(D$1,missions!$2:$2,0)-MATCH($A$1,missions!$2:$2,0)+1),MATCH(D$1,missions!$2:$2,0)-MATCH($A$1,missions!$2:$2,0)+1,FALSE),IFERROR(VLOOKUP($A368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68" s="39" t="s">
        <v>352</v>
      </c>
      <c r="F368" s="75" t="s">
        <v>895</v>
      </c>
      <c r="G368" s="76" t="s">
        <v>2524</v>
      </c>
      <c r="H368" s="26">
        <f ca="1">VLOOKUP($F368,OFFSET(達成条件!$A$1,0,0,COUNTA($A:$A),MATCH(H$1,達成条件!$1:$1,0)-MATCH($F$1,達成条件!$1:$1,0)+1),MATCH(H$1,達成条件!$1:$1,0)-MATCH($F$1,達成条件!$1:$1,0)+1,FALSE)</f>
        <v>0</v>
      </c>
      <c r="I368" s="104" t="str">
        <f t="shared" ref="I368:I369" si="47">O368&amp;P368</f>
        <v>line://msg/text/%E3%80%90%E5%85%A8%E4%B8%96%E7%95%8C1000%E5%84%84%E3%83%91%E3%83%8D%E3%83%AB%E3%83%96%E3%83%83%E5%A3%8A%E3%81%97%E8%A8%98%E5%BF%B5%EF%BC%81%E3%80%91%E4%BB%8A%E3%81%AA%E3%82%89%E3%80%8E%E3%83%AD%E3%82%B0%E3%82%A4%E3%83%B3%E3%81%99%E3%82%8B%E3%81%A0%E3%81%91%E3%80%8F%E3%81%A7%E3%80%9010%E9%80%A3%E3%83%AC%E3%82%A2%E3%82%AC%E3%83%81%E3%83%A3%E3%80%91%E3%81%8C1%E5%9B%9E%E7%84%A1%E6%96%99%EF%BC%81%EF%BC%81%E3%80%8E1000%E5%84%84BK%E3%82%AD%E3%83%A3%E3%83%B3%E3%83%9A%E3%83%BC%E3%83%B3%E3%80%8F%E9%96%8B%E5%82%AC%E4%B8%AD%EF%BC%81%E3%81%95%E3%82%89%E3%81%AB%E3%82%AB%E3%83%AF%E3%82%A4%E3%82%A4%E9%99%90%E5%AE%9A%E3%82%AD%E3%83%A3%E3%83%A9%E3%82%82%E7%99%BB%E5%A0%B4%EF%BC%81%E3%82%82%E3%81%A1%E3%82%8D%E3%82%93%E7%84%A1%E6%96%99%E3%80%9010%E9%80%A3%E3%83%AC%E3%82%A2%E3%82%AC%E3%83%81%E3%83%A3%E3%80%91%E3%81%A7%E3%82%82%E9%81%8B%E3%81%8C%E8%89%AF%E3%81%91%E3%82%8C%E3%81%B0%E3%82%B2%E3%83%83%E3%83%88%E3%81%A7%E3%81%8D%E3%81%A1%E3%82%83%E3%81%86%EF%BC%81%E3%82%A4%E3%83%B3%E3%82%B9%E3%83%88%E3%83%BC%E3%83%AB%E3%81%AF%E3%81%93%E3%81%A1%E3%82%89%E2%99%AA%E2%86%92%20http%3A%2F%2Fcrashfever.com%2Fletsplay%2F</v>
      </c>
      <c r="J368" s="54" t="str">
        <f ca="1">IF(F368="specific_unit_aquired_count",SUBSTITUTE(G368,"x",VLOOKUP(INT($I368),OFFSET([3]characters!$A$2,0,0,COUNTA([3]characters!$A:$A),MATCH(J$1,[3]characters!$2:$2,0)-MATCH("character_id",[3]characters!$2:$2,0)+1),MATCH(J$1,[3]characters!$2:$2,0)-MATCH("character_id",[3]characters!$2:$2,0)+1,FALSE)),IF(F368="specific_quest_clear",VLOOKUP(SUBSTITUTE(I368,"-","_"),OFFSET([2]stages!$A$2,0,0,COUNTA([2]stages!$A:$A),MATCH("name",[2]stages!$2:$2,0)-MATCH("temp_stage",[2]stages!$2:$2,0)+1),MATCH("name",[2]stages!$2:$2,0)-MATCH("temp_stage",[2]stages!$2:$2,0)+1,FALSE),""))</f>
        <v/>
      </c>
      <c r="K368" s="15">
        <v>1</v>
      </c>
      <c r="L368" s="15" t="s">
        <v>352</v>
      </c>
      <c r="M368" s="26"/>
      <c r="N368" s="26"/>
      <c r="O368" s="1" t="s">
        <v>1855</v>
      </c>
      <c r="P368" s="1" t="s">
        <v>2531</v>
      </c>
    </row>
    <row r="369" spans="1:16" ht="44" customHeight="1" x14ac:dyDescent="0.15">
      <c r="A369" s="2" t="s">
        <v>2556</v>
      </c>
      <c r="B369" s="21" t="s">
        <v>792</v>
      </c>
      <c r="C369" s="26" t="str">
        <f t="shared" ref="C369:C372" si="48">IF(F369="specific_quest_clear",SUBSTITUTE(G369,"x",J369),IF(F369="specific_unit_aquired_count",SUBSTITUTE(J369,"y",K369),SUBSTITUTE(G369,"x",I369)))</f>
        <v>鋼の錬金術師コラボをTwitterでツイートしよう！</v>
      </c>
      <c r="D369" s="26" t="str">
        <f ca="1">IFERROR(VLOOKUP($A369,OFFSET(achievement_criterion_id,0,0,COUNTA($A:$A),MATCH(D$1,missions!$2:$2,0)-MATCH($A$1,missions!$2:$2,0)+1),MATCH(D$1,missions!$2:$2,0)-MATCH($A$1,missions!$2:$2,0)+1,FALSE),IFERROR(VLOOKUP($A369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69" s="39" t="s">
        <v>352</v>
      </c>
      <c r="F369" s="75" t="s">
        <v>895</v>
      </c>
      <c r="G369" s="76" t="s">
        <v>2561</v>
      </c>
      <c r="H369" s="26">
        <f ca="1">VLOOKUP($F369,OFFSET(達成条件!$A$1,0,0,COUNTA($A:$A),MATCH(H$1,達成条件!$1:$1,0)-MATCH($F$1,達成条件!$1:$1,0)+1),MATCH(H$1,達成条件!$1:$1,0)-MATCH($F$1,達成条件!$1:$1,0)+1,FALSE)</f>
        <v>0</v>
      </c>
      <c r="I369" s="104" t="str">
        <f t="shared" si="47"/>
        <v>twitter://post?message=%E3%80%90%E9%8B%BC%E3%81%AE%E9%8C%AC%E9%87%91%E8%A1%93%E5%B8%AB%C3%97%E3%82%AF%E3%83%A9%E3%83%83%E3%82%B7%E3%83%A5%E3%83%95%E3%82%A3%E3%83%BC%E3%83%90%E3%83%BC%E3%80%91%E3%82%A8%E3%83%AB%E3%83%AA%E3%83%83%E3%82%AF%E5%85%84%E5%BC%9F%E3%82%84%E3%83%9E%E3%82%B9%E3%82%BF%E3%83%B3%E3%82%B0%E5%A4%A7%E4%BD%90%E3%81%8C%E3%82%AF%E3%83%A9%E3%83%95%E3%82%A3%E3%81%AB%E7%99%BB%E5%A0%B4%EF%BC%81%E3%81%95%E3%82%89%E3%81%AB%E9%99%90%E5%AE%9A%E3%82%B3%E3%83%A9%E3%83%9C%E3%82%AF%E3%82%A8%E3%82%B9%E3%83%88%E3%82%92%E9%96%8B%E5%82%AC%E4%B8%AD%EF%BC%81%EF%BC%81%E4%BB%8A%E3%81%99%E3%81%90%E3%83%97%E3%83%AC%E3%82%A4%E2%99%AA%E2%86%92%20http%3A%2F%2Fcrashfever.com%2Fletsplay%2F%20%23%E3%82%AF%E3%83%A9%E3%83%95%E3%82%A3</v>
      </c>
      <c r="J369" s="54" t="str">
        <f ca="1">IF(F369="specific_unit_aquired_count",SUBSTITUTE(G369,"x",VLOOKUP(INT($I369),OFFSET([3]characters!$A$2,0,0,COUNTA([3]characters!$A:$A),MATCH(J$1,[3]characters!$2:$2,0)-MATCH("character_id",[3]characters!$2:$2,0)+1),MATCH(J$1,[3]characters!$2:$2,0)-MATCH("character_id",[3]characters!$2:$2,0)+1,FALSE)),IF(F369="specific_quest_clear",VLOOKUP(SUBSTITUTE(I369,"-","_"),OFFSET([2]stages!$A$2,0,0,COUNTA([2]stages!$A:$A),MATCH("name",[2]stages!$2:$2,0)-MATCH("temp_stage",[2]stages!$2:$2,0)+1),MATCH("name",[2]stages!$2:$2,0)-MATCH("temp_stage",[2]stages!$2:$2,0)+1,FALSE),""))</f>
        <v/>
      </c>
      <c r="K369" s="15">
        <v>1</v>
      </c>
      <c r="L369" s="15" t="s">
        <v>352</v>
      </c>
      <c r="M369" s="26"/>
      <c r="N369" s="26"/>
      <c r="O369" s="1" t="s">
        <v>1854</v>
      </c>
      <c r="P369" s="1" t="s">
        <v>2562</v>
      </c>
    </row>
    <row r="370" spans="1:16" ht="44" customHeight="1" x14ac:dyDescent="0.15">
      <c r="A370" s="2" t="s">
        <v>2557</v>
      </c>
      <c r="B370" s="21" t="s">
        <v>792</v>
      </c>
      <c r="C370" s="26" t="str">
        <f t="shared" si="48"/>
        <v>鋼の錬金術師コラボをLINEでタイムライン投稿しよう！</v>
      </c>
      <c r="D370" s="26" t="str">
        <f ca="1">IFERROR(VLOOKUP($A370,OFFSET(achievement_criterion_id,0,0,COUNTA($A:$A),MATCH(D$1,missions!$2:$2,0)-MATCH($A$1,missions!$2:$2,0)+1),MATCH(D$1,missions!$2:$2,0)-MATCH($A$1,missions!$2:$2,0)+1,FALSE),IFERROR(VLOOKUP($A370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70" s="39" t="s">
        <v>352</v>
      </c>
      <c r="F370" s="75" t="s">
        <v>895</v>
      </c>
      <c r="G370" s="76" t="s">
        <v>2560</v>
      </c>
      <c r="H370" s="26">
        <f ca="1">VLOOKUP($F370,OFFSET(達成条件!$A$1,0,0,COUNTA($A:$A),MATCH(H$1,達成条件!$1:$1,0)-MATCH($F$1,達成条件!$1:$1,0)+1),MATCH(H$1,達成条件!$1:$1,0)-MATCH($F$1,達成条件!$1:$1,0)+1,FALSE)</f>
        <v>0</v>
      </c>
      <c r="I370" s="104" t="str">
        <f t="shared" ref="I370" si="49">O370&amp;P370</f>
        <v>line://msg/text/%E3%80%90%E9%8B%BC%E3%81%AE%E9%8C%AC%E9%87%91%E8%A1%93%E5%B8%AB%C3%97%E3%82%AF%E3%83%A9%E3%83%83%E3%82%B7%E3%83%A5%E3%83%95%E3%82%A3%E3%83%BC%E3%83%90%E3%83%BC%E3%80%91%E3%82%A8%E3%83%AB%E3%83%AA%E3%83%83%E3%82%AF%E5%85%84%E5%BC%9F%E3%82%84%E3%83%9E%E3%82%B9%E3%82%BF%E3%83%B3%E3%82%B0%E5%A4%A7%E4%BD%90%E3%81%8C%E3%82%AF%E3%83%A9%E3%83%95%E3%82%A3%E3%81%AB%E7%99%BB%E5%A0%B4%EF%BC%81%E3%81%95%E3%82%89%E3%81%AB%E9%99%90%E5%AE%9A%E3%82%B3%E3%83%A9%E3%83%9C%E3%82%AF%E3%82%A8%E3%82%B9%E3%83%88%E3%82%92%E9%96%8B%E5%82%AC%E4%B8%AD%EF%BC%81%EF%BC%81%E4%BB%8A%E3%81%99%E3%81%90%E3%83%97%E3%83%AC%E3%82%A4%E2%99%AA%E2%86%92%20http%3A%2F%2Fcrashfever.com%2Fletsplay%2F</v>
      </c>
      <c r="J370" s="54" t="str">
        <f ca="1">IF(F370="specific_unit_aquired_count",SUBSTITUTE(G370,"x",VLOOKUP(INT($I370),OFFSET([3]characters!$A$2,0,0,COUNTA([3]characters!$A:$A),MATCH(J$1,[3]characters!$2:$2,0)-MATCH("character_id",[3]characters!$2:$2,0)+1),MATCH(J$1,[3]characters!$2:$2,0)-MATCH("character_id",[3]characters!$2:$2,0)+1,FALSE)),IF(F370="specific_quest_clear",VLOOKUP(SUBSTITUTE(I370,"-","_"),OFFSET([2]stages!$A$2,0,0,COUNTA([2]stages!$A:$A),MATCH("name",[2]stages!$2:$2,0)-MATCH("temp_stage",[2]stages!$2:$2,0)+1),MATCH("name",[2]stages!$2:$2,0)-MATCH("temp_stage",[2]stages!$2:$2,0)+1,FALSE),""))</f>
        <v/>
      </c>
      <c r="K370" s="15">
        <v>1</v>
      </c>
      <c r="L370" s="15" t="s">
        <v>352</v>
      </c>
      <c r="M370" s="26"/>
      <c r="N370" s="26"/>
      <c r="O370" s="1" t="s">
        <v>1855</v>
      </c>
      <c r="P370" s="1" t="s">
        <v>2563</v>
      </c>
    </row>
    <row r="371" spans="1:16" ht="44" customHeight="1" x14ac:dyDescent="0.15">
      <c r="A371" s="2" t="s">
        <v>2564</v>
      </c>
      <c r="B371" s="21" t="s">
        <v>891</v>
      </c>
      <c r="C371" s="26" t="str">
        <f t="shared" si="48"/>
        <v>サントラ第一弾の情報をチェックしよう！</v>
      </c>
      <c r="D371" s="26" t="str">
        <f ca="1">IFERROR(VLOOKUP($A371,OFFSET(achievement_criterion_id,0,0,COUNTA($A:$A),MATCH(D$1,missions!$2:$2,0)-MATCH($A$1,missions!$2:$2,0)+1),MATCH(D$1,missions!$2:$2,0)-MATCH($A$1,missions!$2:$2,0)+1,FALSE),IFERROR(VLOOKUP($A371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71" s="39" t="s">
        <v>864</v>
      </c>
      <c r="F371" s="75" t="s">
        <v>895</v>
      </c>
      <c r="G371" s="76" t="s">
        <v>2568</v>
      </c>
      <c r="H371" s="26">
        <f ca="1">VLOOKUP($F371,OFFSET(達成条件!$A$1,0,0,COUNTA($A:$A),MATCH(H$1,達成条件!$1:$1,0)-MATCH($F$1,達成条件!$1:$1,0)+1),MATCH(H$1,達成条件!$1:$1,0)-MATCH($F$1,達成条件!$1:$1,0)+1,FALSE)</f>
        <v>0</v>
      </c>
      <c r="I371" s="112" t="s">
        <v>2570</v>
      </c>
      <c r="J371" s="54" t="str">
        <f ca="1">IF(F371="specific_unit_aquired_count",SUBSTITUTE(G371,"x",VLOOKUP(INT($I371),OFFSET([3]characters!$A$2,0,0,COUNTA([3]characters!$A:$A),MATCH(J$1,[3]characters!$2:$2,0)-MATCH("character_id",[3]characters!$2:$2,0)+1),MATCH(J$1,[3]characters!$2:$2,0)-MATCH("character_id",[3]characters!$2:$2,0)+1,FALSE)),IF(F371="specific_quest_clear",VLOOKUP(SUBSTITUTE(I371,"-","_"),OFFSET([2]stages!$A$2,0,0,COUNTA([2]stages!$A:$A),MATCH("name",[2]stages!$2:$2,0)-MATCH("temp_stage",[2]stages!$2:$2,0)+1),MATCH("name",[2]stages!$2:$2,0)-MATCH("temp_stage",[2]stages!$2:$2,0)+1,FALSE),""))</f>
        <v/>
      </c>
      <c r="K371" s="15">
        <v>1</v>
      </c>
      <c r="L371" s="15" t="s">
        <v>864</v>
      </c>
      <c r="M371" s="26"/>
      <c r="N371" s="26"/>
    </row>
    <row r="372" spans="1:16" ht="44" customHeight="1" x14ac:dyDescent="0.15">
      <c r="A372" s="2" t="s">
        <v>2565</v>
      </c>
      <c r="B372" s="21" t="s">
        <v>891</v>
      </c>
      <c r="C372" s="26" t="str">
        <f t="shared" si="48"/>
        <v>サントラ第二弾の情報をチェックしよう！</v>
      </c>
      <c r="D372" s="26" t="str">
        <f ca="1">IFERROR(VLOOKUP($A372,OFFSET(achievement_criterion_id,0,0,COUNTA($A:$A),MATCH(D$1,missions!$2:$2,0)-MATCH($A$1,missions!$2:$2,0)+1),MATCH(D$1,missions!$2:$2,0)-MATCH($A$1,missions!$2:$2,0)+1,FALSE),IFERROR(VLOOKUP($A372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72" s="39" t="s">
        <v>864</v>
      </c>
      <c r="F372" s="75" t="s">
        <v>895</v>
      </c>
      <c r="G372" s="76" t="s">
        <v>2569</v>
      </c>
      <c r="H372" s="26">
        <f ca="1">VLOOKUP($F372,OFFSET(達成条件!$A$1,0,0,COUNTA($A:$A),MATCH(H$1,達成条件!$1:$1,0)-MATCH($F$1,達成条件!$1:$1,0)+1),MATCH(H$1,達成条件!$1:$1,0)-MATCH($F$1,達成条件!$1:$1,0)+1,FALSE)</f>
        <v>0</v>
      </c>
      <c r="I372" s="112" t="s">
        <v>2673</v>
      </c>
      <c r="J372" s="54" t="str">
        <f ca="1">IF(F372="specific_unit_aquired_count",SUBSTITUTE(G372,"x",VLOOKUP(INT($I372),OFFSET([3]characters!$A$2,0,0,COUNTA([3]characters!$A:$A),MATCH(J$1,[3]characters!$2:$2,0)-MATCH("character_id",[3]characters!$2:$2,0)+1),MATCH(J$1,[3]characters!$2:$2,0)-MATCH("character_id",[3]characters!$2:$2,0)+1,FALSE)),IF(F372="specific_quest_clear",VLOOKUP(SUBSTITUTE(I372,"-","_"),OFFSET([2]stages!$A$2,0,0,COUNTA([2]stages!$A:$A),MATCH("name",[2]stages!$2:$2,0)-MATCH("temp_stage",[2]stages!$2:$2,0)+1),MATCH("name",[2]stages!$2:$2,0)-MATCH("temp_stage",[2]stages!$2:$2,0)+1,FALSE),""))</f>
        <v/>
      </c>
      <c r="K372" s="15">
        <v>1</v>
      </c>
      <c r="L372" s="15" t="s">
        <v>864</v>
      </c>
      <c r="M372" s="26"/>
      <c r="N372" s="26"/>
    </row>
    <row r="373" spans="1:16" ht="44" customHeight="1" x14ac:dyDescent="0.15">
      <c r="A373" s="2" t="s">
        <v>2590</v>
      </c>
      <c r="B373" s="21" t="s">
        <v>792</v>
      </c>
      <c r="C373" s="26" t="str">
        <f t="shared" ref="C373:C374" si="50">IF(F373="specific_quest_clear",SUBSTITUTE(G373,"x",J373),IF(F373="specific_unit_aquired_count",SUBSTITUTE(J373,"y",K373),SUBSTITUTE(G373,"x",I373)))</f>
        <v>全世界800万DL突破をTwitterでツイートしよう！</v>
      </c>
      <c r="D373" s="26" t="str">
        <f ca="1">IFERROR(VLOOKUP($A373,OFFSET(achievement_criterion_id,0,0,COUNTA($A:$A),MATCH(D$1,missions!$2:$2,0)-MATCH($A$1,missions!$2:$2,0)+1),MATCH(D$1,missions!$2:$2,0)-MATCH($A$1,missions!$2:$2,0)+1,FALSE),IFERROR(VLOOKUP($A373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73" s="39" t="s">
        <v>352</v>
      </c>
      <c r="F373" s="75" t="s">
        <v>895</v>
      </c>
      <c r="G373" s="76" t="s">
        <v>2594</v>
      </c>
      <c r="H373" s="26">
        <f ca="1">VLOOKUP($F373,OFFSET(達成条件!$A$1,0,0,COUNTA($A:$A),MATCH(H$1,達成条件!$1:$1,0)-MATCH($F$1,達成条件!$1:$1,0)+1),MATCH(H$1,達成条件!$1:$1,0)-MATCH($F$1,達成条件!$1:$1,0)+1,FALSE)</f>
        <v>0</v>
      </c>
      <c r="I373" s="104" t="str">
        <f t="shared" ref="I373:I374" si="51">O373&amp;P373</f>
        <v>twitter://post?message=%E3%80%90%E5%85%A8%E4%B8%96%E7%95%8C800%E4%B8%87%E3%83%80%E3%82%A6%E3%83%B3%E3%83%AD%E3%83%BC%E3%83%89%E7%AA%81%E7%A0%B4%EF%BC%81%E3%80%91%E3%82%AF%E3%83%A9%E3%83%83%E3%82%B7%E3%83%A5%E3%83%95%E3%82%A3%E3%83%BC%E3%83%90%E3%83%BC%E2%98%85%E8%A8%98%E5%BF%B5%E3%82%AD%E3%83%A3%E3%83%B3%E3%83%9A%E3%83%BC%E3%83%B3%E5%AE%9F%E6%96%BD%E4%B8%AD%EF%BC%81%E6%96%B0%E6%A9%9F%E8%83%BD%E3%80%8C%E3%83%9E%E3%83%AB%E3%83%81%E3%83%AB%E3%83%BC%E3%83%A0%E3%80%8D%E3%82%84%E3%81%9D%E3%81%AE%E4%BB%96%E3%82%AD%E3%83%A3%E3%83%B3%E3%83%9A%E3%83%BC%E3%83%B3%E7%9B%9B%E3%82%8A%E3%81%A0%E3%81%8F%E3%81%95%E3%82%93%EF%BC%81%EF%BC%81%E6%9C%9F%E9%96%93%E4%B8%AD%E3%80%81%E8%A8%98%E5%BF%B5%E3%83%AD%E3%82%B0%E3%83%9C%E3%81%A7%E3%82%A2%E3%82%A4%E3%83%86%E3%83%A0%E3%81%96%E3%81%8F%E3%81%96%E3%81%8F%E3%82%82%E3%82%89%E3%81%88%E3%82%8B%EF%BC%81%EF%BC%81%E4%BB%8A%E3%81%99%E3%81%90%E3%83%97%E3%83%AC%E3%82%A4%E2%99%AA%E2%86%92%20http%3A%2F%2Fcrashfever.com%2Fletsplay%2F%20%23%E3%82%AF%E3%83%A9%E3%83%95%E3%82%A3</v>
      </c>
      <c r="J373" s="54" t="str">
        <f ca="1">IF(F373="specific_unit_aquired_count",SUBSTITUTE(G373,"x",VLOOKUP(INT($I373),OFFSET([3]characters!$A$2,0,0,COUNTA([3]characters!$A:$A),MATCH(J$1,[3]characters!$2:$2,0)-MATCH("character_id",[3]characters!$2:$2,0)+1),MATCH(J$1,[3]characters!$2:$2,0)-MATCH("character_id",[3]characters!$2:$2,0)+1,FALSE)),IF(F373="specific_quest_clear",VLOOKUP(SUBSTITUTE(I373,"-","_"),OFFSET([2]stages!$A$2,0,0,COUNTA([2]stages!$A:$A),MATCH("name",[2]stages!$2:$2,0)-MATCH("temp_stage",[2]stages!$2:$2,0)+1),MATCH("name",[2]stages!$2:$2,0)-MATCH("temp_stage",[2]stages!$2:$2,0)+1,FALSE),""))</f>
        <v/>
      </c>
      <c r="K373" s="15">
        <v>1</v>
      </c>
      <c r="L373" s="15" t="s">
        <v>352</v>
      </c>
      <c r="M373" s="26"/>
      <c r="N373" s="26"/>
      <c r="O373" s="1" t="s">
        <v>1854</v>
      </c>
      <c r="P373" s="1" t="s">
        <v>2671</v>
      </c>
    </row>
    <row r="374" spans="1:16" ht="44" customHeight="1" x14ac:dyDescent="0.15">
      <c r="A374" s="2" t="s">
        <v>2591</v>
      </c>
      <c r="B374" s="21" t="s">
        <v>792</v>
      </c>
      <c r="C374" s="26" t="str">
        <f t="shared" si="50"/>
        <v>全世界800万DL突破をLINEでタイムライン投稿しよう！</v>
      </c>
      <c r="D374" s="26" t="str">
        <f ca="1">IFERROR(VLOOKUP($A374,OFFSET(achievement_criterion_id,0,0,COUNTA($A:$A),MATCH(D$1,missions!$2:$2,0)-MATCH($A$1,missions!$2:$2,0)+1),MATCH(D$1,missions!$2:$2,0)-MATCH($A$1,missions!$2:$2,0)+1,FALSE),IFERROR(VLOOKUP($A374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74" s="39" t="s">
        <v>352</v>
      </c>
      <c r="F374" s="75" t="s">
        <v>895</v>
      </c>
      <c r="G374" s="76" t="s">
        <v>2595</v>
      </c>
      <c r="H374" s="26">
        <f ca="1">VLOOKUP($F374,OFFSET(達成条件!$A$1,0,0,COUNTA($A:$A),MATCH(H$1,達成条件!$1:$1,0)-MATCH($F$1,達成条件!$1:$1,0)+1),MATCH(H$1,達成条件!$1:$1,0)-MATCH($F$1,達成条件!$1:$1,0)+1,FALSE)</f>
        <v>0</v>
      </c>
      <c r="I374" s="104" t="str">
        <f t="shared" si="51"/>
        <v>line://msg/text/%E3%80%90%E5%85%A8%E4%B8%96%E7%95%8C800%E4%B8%87%E3%83%80%E3%82%A6%E3%83%B3%E3%83%AD%E3%83%BC%E3%83%89%E7%AA%81%E7%A0%B4%EF%BC%81%E3%80%91%E3%82%AF%E3%83%A9%E3%83%83%E3%82%B7%E3%83%A5%E3%83%95%E3%82%A3%E3%83%BC%E3%83%90%E3%83%BC%E2%98%85%E8%A8%98%E5%BF%B5%E3%82%AD%E3%83%A3%E3%83%B3%E3%83%9A%E3%83%BC%E3%83%B3%E5%AE%9F%E6%96%BD%E4%B8%AD%EF%BC%81%E6%96%B0%E6%A9%9F%E8%83%BD%E3%80%8C%E3%83%9E%E3%83%AB%E3%83%81%E3%83%AB%E3%83%BC%E3%83%A0%E3%80%8D%E3%82%84%E3%81%9D%E3%81%AE%E4%BB%96%E3%82%AD%E3%83%A3%E3%83%B3%E3%83%9A%E3%83%BC%E3%83%B3%E7%9B%9B%E3%82%8A%E3%81%A0%E3%81%8F%E3%81%95%E3%82%93%EF%BC%81%EF%BC%81%E6%9C%9F%E9%96%93%E4%B8%AD%E3%80%81%E8%A8%98%E5%BF%B5%E3%83%AD%E3%82%B0%E3%83%9C%E3%81%A7%E3%82%A2%E3%82%A4%E3%83%86%E3%83%A0%E3%81%96%E3%81%8F%E3%81%96%E3%81%8F%E3%82%82%E3%82%89%E3%81%88%E3%82%8B%EF%BC%81%EF%BC%81%E4%BB%8A%E3%81%99%E3%81%90%E3%83%97%E3%83%AC%E3%82%A4%E2%99%AA%E2%86%92%20http%3A%2F%2Fcrashfever.com%2Fletsplay%2F</v>
      </c>
      <c r="J374" s="54" t="str">
        <f ca="1">IF(F374="specific_unit_aquired_count",SUBSTITUTE(G374,"x",VLOOKUP(INT($I374),OFFSET([3]characters!$A$2,0,0,COUNTA([3]characters!$A:$A),MATCH(J$1,[3]characters!$2:$2,0)-MATCH("character_id",[3]characters!$2:$2,0)+1),MATCH(J$1,[3]characters!$2:$2,0)-MATCH("character_id",[3]characters!$2:$2,0)+1,FALSE)),IF(F374="specific_quest_clear",VLOOKUP(SUBSTITUTE(I374,"-","_"),OFFSET([2]stages!$A$2,0,0,COUNTA([2]stages!$A:$A),MATCH("name",[2]stages!$2:$2,0)-MATCH("temp_stage",[2]stages!$2:$2,0)+1),MATCH("name",[2]stages!$2:$2,0)-MATCH("temp_stage",[2]stages!$2:$2,0)+1,FALSE),""))</f>
        <v/>
      </c>
      <c r="K374" s="15">
        <v>1</v>
      </c>
      <c r="L374" s="15" t="s">
        <v>352</v>
      </c>
      <c r="M374" s="26"/>
      <c r="N374" s="26"/>
      <c r="O374" s="1" t="s">
        <v>1855</v>
      </c>
      <c r="P374" s="1" t="s">
        <v>2672</v>
      </c>
    </row>
    <row r="375" spans="1:16" ht="21" customHeight="1" x14ac:dyDescent="0.15">
      <c r="A375" s="2" t="s">
        <v>1040</v>
      </c>
      <c r="B375" s="21" t="s">
        <v>991</v>
      </c>
      <c r="C375" s="26" t="str">
        <f t="shared" ca="1" si="0"/>
        <v>バグ 60 のユニットをつくろう！</v>
      </c>
      <c r="D375" s="26" t="str">
        <f ca="1">IFERROR(VLOOKUP($A375,OFFSET(achievement_criterion_id,0,0,COUNTA($A:$A),MATCH(D$1,missions!$2:$2,0)-MATCH($A$1,missions!$2:$2,0)+1),MATCH(D$1,missions!$2:$2,0)-MATCH($A$1,missions!$2:$2,0)+1,FALSE),IFERROR(VLOOKUP($A375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75" s="39" t="s">
        <v>993</v>
      </c>
      <c r="F375" s="75" t="s">
        <v>995</v>
      </c>
      <c r="G375" s="26" t="str">
        <f ca="1">VLOOKUP($F375,OFFSET(達成条件!$A$1,0,0,COUNTA($A:$A),MATCH(G$1,達成条件!$1:$1,0)-MATCH($F$1,達成条件!$1:$1,0)+1),MATCH(G$1,達成条件!$1:$1,0)-MATCH($F$1,達成条件!$1:$1,0)+1,FALSE)</f>
        <v>バグ x のユニットをつくろう！</v>
      </c>
      <c r="H375" s="26" t="str">
        <f ca="1">VLOOKUP($F375,OFFSET(達成条件!$A$1,0,0,COUNTA($A:$A),MATCH(H$1,達成条件!$1:$1,0)-MATCH($F$1,達成条件!$1:$1,0)+1),MATCH(H$1,達成条件!$1:$1,0)-MATCH($F$1,達成条件!$1:$1,0)+1,FALSE)</f>
        <v>バグレベル</v>
      </c>
      <c r="I375" s="79">
        <v>60</v>
      </c>
      <c r="J375" s="54" t="str">
        <f ca="1">IF(F375="specific_unit_aquired_count",SUBSTITUTE(G375,"x",VLOOKUP(INT($I375),OFFSET([3]characters!$A$2,0,0,COUNTA([3]characters!$A:$A),MATCH(J$1,[3]characters!$2:$2,0)-MATCH("character_id",[3]characters!$2:$2,0)+1),MATCH(J$1,[3]characters!$2:$2,0)-MATCH("character_id",[3]characters!$2:$2,0)+1,FALSE)),IF(F375="specific_quest_clear",VLOOKUP(SUBSTITUTE(I375,"-","_"),OFFSET([2]stages!$A$2,0,0,COUNTA([2]stages!$A:$A),MATCH("name",[2]stages!$2:$2,0)-MATCH("temp_stage",[2]stages!$2:$2,0)+1),MATCH("name",[2]stages!$2:$2,0)-MATCH("temp_stage",[2]stages!$2:$2,0)+1,FALSE),""))</f>
        <v/>
      </c>
      <c r="K375" s="15">
        <v>1</v>
      </c>
      <c r="L375" s="15" t="s">
        <v>903</v>
      </c>
      <c r="M375" s="26" t="str">
        <f ca="1">IFERROR(VLOOKUP($L377,OFFSET(missions!$A$2,0,0,COUNTA($A:$A),MATCH(M$1,missions!$2:$2,0)-MATCH("mission_id",missions!$2:$2,0)+1),MATCH(M$1,missions!$2:$2,0)-MATCH("mission_id",missions!$2:$2,0)+1,FALSE),"")</f>
        <v/>
      </c>
      <c r="N375" s="26" t="str">
        <f ca="1">IFERROR(VLOOKUP($L377,OFFSET(missions!$A$2,0,0,COUNTA($A:$A),MATCH(N$1,missions!$2:$2,0)-MATCH("mission_id",missions!$2:$2,0)+1),MATCH(N$1,missions!$2:$2,0)-MATCH("mission_id",missions!$2:$2,0)+1,FALSE),"")</f>
        <v/>
      </c>
    </row>
    <row r="376" spans="1:16" ht="21" customHeight="1" x14ac:dyDescent="0.15">
      <c r="A376" s="2" t="s">
        <v>1000</v>
      </c>
      <c r="B376" s="21" t="s">
        <v>992</v>
      </c>
      <c r="C376" s="26" t="str">
        <f t="shared" ca="1" si="0"/>
        <v>バグ 75 のユニットをつくろう！</v>
      </c>
      <c r="D376" s="26" t="str">
        <f ca="1">IFERROR(VLOOKUP($A376,OFFSET(achievement_criterion_id,0,0,COUNTA($A:$A),MATCH(D$1,missions!$2:$2,0)-MATCH($A$1,missions!$2:$2,0)+1),MATCH(D$1,missions!$2:$2,0)-MATCH($A$1,missions!$2:$2,0)+1,FALSE),IFERROR(VLOOKUP($A376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76" s="39" t="s">
        <v>994</v>
      </c>
      <c r="F376" s="75" t="s">
        <v>996</v>
      </c>
      <c r="G376" s="26" t="str">
        <f ca="1">VLOOKUP($F376,OFFSET(達成条件!$A$1,0,0,COUNTA($A:$A),MATCH(G$1,達成条件!$1:$1,0)-MATCH($F$1,達成条件!$1:$1,0)+1),MATCH(G$1,達成条件!$1:$1,0)-MATCH($F$1,達成条件!$1:$1,0)+1,FALSE)</f>
        <v>バグ x のユニットをつくろう！</v>
      </c>
      <c r="H376" s="26" t="str">
        <f ca="1">VLOOKUP($F376,OFFSET(達成条件!$A$1,0,0,COUNTA($A:$A),MATCH(H$1,達成条件!$1:$1,0)-MATCH($F$1,達成条件!$1:$1,0)+1),MATCH(H$1,達成条件!$1:$1,0)-MATCH($F$1,達成条件!$1:$1,0)+1,FALSE)</f>
        <v>バグレベル</v>
      </c>
      <c r="I376" s="79">
        <v>75</v>
      </c>
      <c r="J376" s="54" t="str">
        <f ca="1">IF(F376="specific_unit_aquired_count",SUBSTITUTE(G376,"x",VLOOKUP(INT($I376),OFFSET([3]characters!$A$2,0,0,COUNTA([3]characters!$A:$A),MATCH(J$1,[3]characters!$2:$2,0)-MATCH("character_id",[3]characters!$2:$2,0)+1),MATCH(J$1,[3]characters!$2:$2,0)-MATCH("character_id",[3]characters!$2:$2,0)+1,FALSE)),IF(F376="specific_quest_clear",VLOOKUP(SUBSTITUTE(I376,"-","_"),OFFSET([2]stages!$A$2,0,0,COUNTA([2]stages!$A:$A),MATCH("name",[2]stages!$2:$2,0)-MATCH("temp_stage",[2]stages!$2:$2,0)+1),MATCH("name",[2]stages!$2:$2,0)-MATCH("temp_stage",[2]stages!$2:$2,0)+1,FALSE),""))</f>
        <v/>
      </c>
      <c r="K376" s="15">
        <v>1</v>
      </c>
      <c r="L376" s="15" t="s">
        <v>903</v>
      </c>
      <c r="M376" s="26" t="str">
        <f ca="1">IFERROR(VLOOKUP($L378,OFFSET(missions!$A$2,0,0,COUNTA($A:$A),MATCH(M$1,missions!$2:$2,0)-MATCH("mission_id",missions!$2:$2,0)+1),MATCH(M$1,missions!$2:$2,0)-MATCH("mission_id",missions!$2:$2,0)+1,FALSE),"")</f>
        <v/>
      </c>
      <c r="N376" s="26" t="str">
        <f ca="1">IFERROR(VLOOKUP($L378,OFFSET(missions!$A$2,0,0,COUNTA($A:$A),MATCH(N$1,missions!$2:$2,0)-MATCH("mission_id",missions!$2:$2,0)+1),MATCH(N$1,missions!$2:$2,0)-MATCH("mission_id",missions!$2:$2,0)+1,FALSE),"")</f>
        <v/>
      </c>
    </row>
    <row r="377" spans="1:16" ht="21" customHeight="1" x14ac:dyDescent="0.15">
      <c r="A377" s="2" t="s">
        <v>380</v>
      </c>
      <c r="B377" s="21" t="s">
        <v>792</v>
      </c>
      <c r="C377" s="26" t="str">
        <f t="shared" ca="1" si="0"/>
        <v>ユニットを 25 種類手に入れよう！</v>
      </c>
      <c r="D377" s="26" t="str">
        <f ca="1">IFERROR(VLOOKUP($A377,OFFSET(achievement_criterion_id,0,0,COUNTA($A:$A),MATCH(D$1,missions!$2:$2,0)-MATCH($A$1,missions!$2:$2,0)+1),MATCH(D$1,missions!$2:$2,0)-MATCH($A$1,missions!$2:$2,0)+1,FALSE),IFERROR(VLOOKUP($A377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77" s="27" t="s">
        <v>864</v>
      </c>
      <c r="F377" s="17" t="s">
        <v>34</v>
      </c>
      <c r="G377" s="26" t="str">
        <f ca="1">VLOOKUP($F377,OFFSET(達成条件!$A$1,0,0,COUNTA($A:$A),MATCH(G$1,達成条件!$1:$1,0)-MATCH($F$1,達成条件!$1:$1,0)+1),MATCH(G$1,達成条件!$1:$1,0)-MATCH($F$1,達成条件!$1:$1,0)+1,FALSE)</f>
        <v>ユニットを x 種類手に入れよう！</v>
      </c>
      <c r="H377" s="26" t="str">
        <f ca="1">VLOOKUP($F377,OFFSET(達成条件!$A$1,0,0,COUNTA($A:$A),MATCH(H$1,達成条件!$1:$1,0)-MATCH($F$1,達成条件!$1:$1,0)+1),MATCH(H$1,達成条件!$1:$1,0)-MATCH($F$1,達成条件!$1:$1,0)+1,FALSE)</f>
        <v>ユニットの種類数</v>
      </c>
      <c r="I377" s="59">
        <v>25</v>
      </c>
      <c r="J377" s="54" t="str">
        <f ca="1">IF(F377="specific_unit_aquired_count",SUBSTITUTE(G377,"x",VLOOKUP(INT($I377),OFFSET([3]characters!$A$2,0,0,COUNTA([3]characters!$A:$A),MATCH(J$1,[3]characters!$2:$2,0)-MATCH("character_id",[3]characters!$2:$2,0)+1),MATCH(J$1,[3]characters!$2:$2,0)-MATCH("character_id",[3]characters!$2:$2,0)+1,FALSE)),IF(F377="specific_quest_clear",VLOOKUP(SUBSTITUTE(I377,"-","_"),OFFSET([2]stages!$A$2,0,0,COUNTA([2]stages!$A:$A),MATCH("name",[2]stages!$2:$2,0)-MATCH("temp_stage",[2]stages!$2:$2,0)+1),MATCH("name",[2]stages!$2:$2,0)-MATCH("temp_stage",[2]stages!$2:$2,0)+1,FALSE),""))</f>
        <v/>
      </c>
      <c r="K377" s="15">
        <v>1</v>
      </c>
      <c r="L377" s="15" t="s">
        <v>542</v>
      </c>
      <c r="M377" s="26" t="str">
        <f ca="1">IFERROR(VLOOKUP($L379,OFFSET(missions!$A$2,0,0,COUNTA($A:$A),MATCH(M$1,missions!$2:$2,0)-MATCH("mission_id",missions!$2:$2,0)+1),MATCH(M$1,missions!$2:$2,0)-MATCH("mission_id",missions!$2:$2,0)+1,FALSE),"")</f>
        <v/>
      </c>
      <c r="N377" s="26" t="str">
        <f ca="1">IFERROR(VLOOKUP($L379,OFFSET(missions!$A$2,0,0,COUNTA($A:$A),MATCH(N$1,missions!$2:$2,0)-MATCH("mission_id",missions!$2:$2,0)+1),MATCH(N$1,missions!$2:$2,0)-MATCH("mission_id",missions!$2:$2,0)+1,FALSE),"")</f>
        <v/>
      </c>
    </row>
    <row r="378" spans="1:16" ht="21" customHeight="1" x14ac:dyDescent="0.15">
      <c r="A378" s="2" t="s">
        <v>381</v>
      </c>
      <c r="B378" s="21" t="s">
        <v>792</v>
      </c>
      <c r="C378" s="26" t="str">
        <f t="shared" ca="1" si="0"/>
        <v>ユニットを 50 種類手に入れよう！</v>
      </c>
      <c r="D378" s="26" t="str">
        <f ca="1">IFERROR(VLOOKUP($A378,OFFSET(achievement_criterion_id,0,0,COUNTA($A:$A),MATCH(D$1,missions!$2:$2,0)-MATCH($A$1,missions!$2:$2,0)+1),MATCH(D$1,missions!$2:$2,0)-MATCH($A$1,missions!$2:$2,0)+1,FALSE),IFERROR(VLOOKUP($A378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378" s="27" t="s">
        <v>864</v>
      </c>
      <c r="F378" s="17" t="s">
        <v>34</v>
      </c>
      <c r="G378" s="26" t="str">
        <f ca="1">VLOOKUP($F378,OFFSET(達成条件!$A$1,0,0,COUNTA($A:$A),MATCH(G$1,達成条件!$1:$1,0)-MATCH($F$1,達成条件!$1:$1,0)+1),MATCH(G$1,達成条件!$1:$1,0)-MATCH($F$1,達成条件!$1:$1,0)+1,FALSE)</f>
        <v>ユニットを x 種類手に入れよう！</v>
      </c>
      <c r="H378" s="26" t="str">
        <f ca="1">VLOOKUP($F378,OFFSET(達成条件!$A$1,0,0,COUNTA($A:$A),MATCH(H$1,達成条件!$1:$1,0)-MATCH($F$1,達成条件!$1:$1,0)+1),MATCH(H$1,達成条件!$1:$1,0)-MATCH($F$1,達成条件!$1:$1,0)+1,FALSE)</f>
        <v>ユニットの種類数</v>
      </c>
      <c r="I378" s="59">
        <v>50</v>
      </c>
      <c r="J378" s="54" t="str">
        <f ca="1">IF(F378="specific_unit_aquired_count",SUBSTITUTE(G378,"x",VLOOKUP(INT($I378),OFFSET([3]characters!$A$2,0,0,COUNTA([3]characters!$A:$A),MATCH(J$1,[3]characters!$2:$2,0)-MATCH("character_id",[3]characters!$2:$2,0)+1),MATCH(J$1,[3]characters!$2:$2,0)-MATCH("character_id",[3]characters!$2:$2,0)+1,FALSE)),IF(F378="specific_quest_clear",VLOOKUP(SUBSTITUTE(I378,"-","_"),OFFSET([2]stages!$A$2,0,0,COUNTA([2]stages!$A:$A),MATCH("name",[2]stages!$2:$2,0)-MATCH("temp_stage",[2]stages!$2:$2,0)+1),MATCH("name",[2]stages!$2:$2,0)-MATCH("temp_stage",[2]stages!$2:$2,0)+1,FALSE),""))</f>
        <v/>
      </c>
      <c r="K378" s="15">
        <v>1</v>
      </c>
      <c r="L378" s="15" t="s">
        <v>542</v>
      </c>
      <c r="M378" s="26" t="str">
        <f ca="1">IFERROR(VLOOKUP($L380,OFFSET(missions!$A$2,0,0,COUNTA($A:$A),MATCH(M$1,missions!$2:$2,0)-MATCH("mission_id",missions!$2:$2,0)+1),MATCH(M$1,missions!$2:$2,0)-MATCH("mission_id",missions!$2:$2,0)+1,FALSE),"")</f>
        <v/>
      </c>
      <c r="N378" s="26" t="str">
        <f ca="1">IFERROR(VLOOKUP($L380,OFFSET(missions!$A$2,0,0,COUNTA($A:$A),MATCH(N$1,missions!$2:$2,0)-MATCH("mission_id",missions!$2:$2,0)+1),MATCH(N$1,missions!$2:$2,0)-MATCH("mission_id",missions!$2:$2,0)+1,FALSE),"")</f>
        <v/>
      </c>
    </row>
    <row r="379" spans="1:16" ht="21" customHeight="1" x14ac:dyDescent="0.15">
      <c r="A379" s="2" t="s">
        <v>382</v>
      </c>
      <c r="B379" s="21" t="s">
        <v>792</v>
      </c>
      <c r="C379" s="26" t="str">
        <f t="shared" ca="1" si="0"/>
        <v>ユニットを 75 種類手に入れよう！</v>
      </c>
      <c r="D379" s="26" t="str">
        <f ca="1">IFERROR(VLOOKUP($A379,OFFSET(achievement_criterion_id,0,0,COUNTA($A:$A),MATCH(D$1,missions!$2:$2,0)-MATCH($A$1,missions!$2:$2,0)+1),MATCH(D$1,missions!$2:$2,0)-MATCH($A$1,missions!$2:$2,0)+1,FALSE),IFERROR(VLOOKUP($A379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379" s="27" t="s">
        <v>864</v>
      </c>
      <c r="F379" s="17" t="s">
        <v>34</v>
      </c>
      <c r="G379" s="26" t="str">
        <f ca="1">VLOOKUP($F379,OFFSET(達成条件!$A$1,0,0,COUNTA($A:$A),MATCH(G$1,達成条件!$1:$1,0)-MATCH($F$1,達成条件!$1:$1,0)+1),MATCH(G$1,達成条件!$1:$1,0)-MATCH($F$1,達成条件!$1:$1,0)+1,FALSE)</f>
        <v>ユニットを x 種類手に入れよう！</v>
      </c>
      <c r="H379" s="26" t="str">
        <f ca="1">VLOOKUP($F379,OFFSET(達成条件!$A$1,0,0,COUNTA($A:$A),MATCH(H$1,達成条件!$1:$1,0)-MATCH($F$1,達成条件!$1:$1,0)+1),MATCH(H$1,達成条件!$1:$1,0)-MATCH($F$1,達成条件!$1:$1,0)+1,FALSE)</f>
        <v>ユニットの種類数</v>
      </c>
      <c r="I379" s="85" t="s">
        <v>958</v>
      </c>
      <c r="J379" s="54" t="str">
        <f ca="1">IF(F379="specific_unit_aquired_count",SUBSTITUTE(G379,"x",VLOOKUP(INT($I379),OFFSET([3]characters!$A$2,0,0,COUNTA([3]characters!$A:$A),MATCH(J$1,[3]characters!$2:$2,0)-MATCH("character_id",[3]characters!$2:$2,0)+1),MATCH(J$1,[3]characters!$2:$2,0)-MATCH("character_id",[3]characters!$2:$2,0)+1,FALSE)),IF(F379="specific_quest_clear",VLOOKUP(SUBSTITUTE(I379,"-","_"),OFFSET([2]stages!$A$2,0,0,COUNTA([2]stages!$A:$A),MATCH("name",[2]stages!$2:$2,0)-MATCH("temp_stage",[2]stages!$2:$2,0)+1),MATCH("name",[2]stages!$2:$2,0)-MATCH("temp_stage",[2]stages!$2:$2,0)+1,FALSE),""))</f>
        <v/>
      </c>
      <c r="K379" s="15">
        <v>1</v>
      </c>
      <c r="L379" s="15" t="s">
        <v>542</v>
      </c>
      <c r="M379" s="26" t="str">
        <f ca="1">IFERROR(VLOOKUP($L381,OFFSET(missions!$A$2,0,0,COUNTA($A:$A),MATCH(M$1,missions!$2:$2,0)-MATCH("mission_id",missions!$2:$2,0)+1),MATCH(M$1,missions!$2:$2,0)-MATCH("mission_id",missions!$2:$2,0)+1,FALSE),"")</f>
        <v/>
      </c>
      <c r="N379" s="26" t="str">
        <f ca="1">IFERROR(VLOOKUP($L381,OFFSET(missions!$A$2,0,0,COUNTA($A:$A),MATCH(N$1,missions!$2:$2,0)-MATCH("mission_id",missions!$2:$2,0)+1),MATCH(N$1,missions!$2:$2,0)-MATCH("mission_id",missions!$2:$2,0)+1,FALSE),"")</f>
        <v/>
      </c>
    </row>
    <row r="380" spans="1:16" ht="21" customHeight="1" x14ac:dyDescent="0.15">
      <c r="A380" s="2" t="s">
        <v>383</v>
      </c>
      <c r="B380" s="21" t="s">
        <v>792</v>
      </c>
      <c r="C380" s="26" t="str">
        <f t="shared" ca="1" si="0"/>
        <v>ユニットを 100 種類手に入れよう！</v>
      </c>
      <c r="D380" s="26" t="str">
        <f ca="1">IFERROR(VLOOKUP($A380,OFFSET(achievement_criterion_id,0,0,COUNTA($A:$A),MATCH(D$1,missions!$2:$2,0)-MATCH($A$1,missions!$2:$2,0)+1),MATCH(D$1,missions!$2:$2,0)-MATCH($A$1,missions!$2:$2,0)+1,FALSE),IFERROR(VLOOKUP($A380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80" s="27" t="s">
        <v>864</v>
      </c>
      <c r="F380" s="17" t="s">
        <v>34</v>
      </c>
      <c r="G380" s="26" t="str">
        <f ca="1">VLOOKUP($F380,OFFSET(達成条件!$A$1,0,0,COUNTA($A:$A),MATCH(G$1,達成条件!$1:$1,0)-MATCH($F$1,達成条件!$1:$1,0)+1),MATCH(G$1,達成条件!$1:$1,0)-MATCH($F$1,達成条件!$1:$1,0)+1,FALSE)</f>
        <v>ユニットを x 種類手に入れよう！</v>
      </c>
      <c r="H380" s="26" t="str">
        <f ca="1">VLOOKUP($F380,OFFSET(達成条件!$A$1,0,0,COUNTA($A:$A),MATCH(H$1,達成条件!$1:$1,0)-MATCH($F$1,達成条件!$1:$1,0)+1),MATCH(H$1,達成条件!$1:$1,0)-MATCH($F$1,達成条件!$1:$1,0)+1,FALSE)</f>
        <v>ユニットの種類数</v>
      </c>
      <c r="I380" s="59">
        <v>100</v>
      </c>
      <c r="J380" s="54" t="str">
        <f ca="1">IF(F380="specific_unit_aquired_count",SUBSTITUTE(G380,"x",VLOOKUP(INT($I380),OFFSET([3]characters!$A$2,0,0,COUNTA([3]characters!$A:$A),MATCH(J$1,[3]characters!$2:$2,0)-MATCH("character_id",[3]characters!$2:$2,0)+1),MATCH(J$1,[3]characters!$2:$2,0)-MATCH("character_id",[3]characters!$2:$2,0)+1,FALSE)),IF(F380="specific_quest_clear",VLOOKUP(SUBSTITUTE(I380,"-","_"),OFFSET([2]stages!$A$2,0,0,COUNTA([2]stages!$A:$A),MATCH("name",[2]stages!$2:$2,0)-MATCH("temp_stage",[2]stages!$2:$2,0)+1),MATCH("name",[2]stages!$2:$2,0)-MATCH("temp_stage",[2]stages!$2:$2,0)+1,FALSE),""))</f>
        <v/>
      </c>
      <c r="K380" s="15">
        <v>1</v>
      </c>
      <c r="L380" s="15" t="s">
        <v>542</v>
      </c>
      <c r="M380" s="26" t="str">
        <f ca="1">IFERROR(VLOOKUP($L382,OFFSET(missions!$A$2,0,0,COUNTA($A:$A),MATCH(M$1,missions!$2:$2,0)-MATCH("mission_id",missions!$2:$2,0)+1),MATCH(M$1,missions!$2:$2,0)-MATCH("mission_id",missions!$2:$2,0)+1,FALSE),"")</f>
        <v/>
      </c>
      <c r="N380" s="26" t="str">
        <f ca="1">IFERROR(VLOOKUP($L382,OFFSET(missions!$A$2,0,0,COUNTA($A:$A),MATCH(N$1,missions!$2:$2,0)-MATCH("mission_id",missions!$2:$2,0)+1),MATCH(N$1,missions!$2:$2,0)-MATCH("mission_id",missions!$2:$2,0)+1,FALSE),"")</f>
        <v/>
      </c>
    </row>
    <row r="381" spans="1:16" ht="21" customHeight="1" x14ac:dyDescent="0.15">
      <c r="A381" s="2" t="s">
        <v>384</v>
      </c>
      <c r="B381" s="21" t="s">
        <v>792</v>
      </c>
      <c r="C381" s="26" t="str">
        <f t="shared" ca="1" si="0"/>
        <v>ユニットを 125 種類手に入れよう！</v>
      </c>
      <c r="D381" s="26" t="str">
        <f ca="1">IFERROR(VLOOKUP($A381,OFFSET(achievement_criterion_id,0,0,COUNTA($A:$A),MATCH(D$1,missions!$2:$2,0)-MATCH($A$1,missions!$2:$2,0)+1),MATCH(D$1,missions!$2:$2,0)-MATCH($A$1,missions!$2:$2,0)+1,FALSE),IFERROR(VLOOKUP($A381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381" s="27" t="s">
        <v>864</v>
      </c>
      <c r="F381" s="17" t="s">
        <v>34</v>
      </c>
      <c r="G381" s="26" t="str">
        <f ca="1">VLOOKUP($F381,OFFSET(達成条件!$A$1,0,0,COUNTA($A:$A),MATCH(G$1,達成条件!$1:$1,0)-MATCH($F$1,達成条件!$1:$1,0)+1),MATCH(G$1,達成条件!$1:$1,0)-MATCH($F$1,達成条件!$1:$1,0)+1,FALSE)</f>
        <v>ユニットを x 種類手に入れよう！</v>
      </c>
      <c r="H381" s="26" t="str">
        <f ca="1">VLOOKUP($F381,OFFSET(達成条件!$A$1,0,0,COUNTA($A:$A),MATCH(H$1,達成条件!$1:$1,0)-MATCH($F$1,達成条件!$1:$1,0)+1),MATCH(H$1,達成条件!$1:$1,0)-MATCH($F$1,達成条件!$1:$1,0)+1,FALSE)</f>
        <v>ユニットの種類数</v>
      </c>
      <c r="I381" s="59">
        <v>125</v>
      </c>
      <c r="J381" s="54" t="str">
        <f ca="1">IF(F381="specific_unit_aquired_count",SUBSTITUTE(G381,"x",VLOOKUP(INT($I381),OFFSET([3]characters!$A$2,0,0,COUNTA([3]characters!$A:$A),MATCH(J$1,[3]characters!$2:$2,0)-MATCH("character_id",[3]characters!$2:$2,0)+1),MATCH(J$1,[3]characters!$2:$2,0)-MATCH("character_id",[3]characters!$2:$2,0)+1,FALSE)),IF(F381="specific_quest_clear",VLOOKUP(SUBSTITUTE(I381,"-","_"),OFFSET([2]stages!$A$2,0,0,COUNTA([2]stages!$A:$A),MATCH("name",[2]stages!$2:$2,0)-MATCH("temp_stage",[2]stages!$2:$2,0)+1),MATCH("name",[2]stages!$2:$2,0)-MATCH("temp_stage",[2]stages!$2:$2,0)+1,FALSE),""))</f>
        <v/>
      </c>
      <c r="K381" s="15">
        <v>1</v>
      </c>
      <c r="L381" s="15" t="s">
        <v>542</v>
      </c>
      <c r="M381" s="26" t="str">
        <f ca="1">IFERROR(VLOOKUP($L383,OFFSET(missions!$A$2,0,0,COUNTA($A:$A),MATCH(M$1,missions!$2:$2,0)-MATCH("mission_id",missions!$2:$2,0)+1),MATCH(M$1,missions!$2:$2,0)-MATCH("mission_id",missions!$2:$2,0)+1,FALSE),"")</f>
        <v/>
      </c>
      <c r="N381" s="26" t="str">
        <f ca="1">IFERROR(VLOOKUP($L383,OFFSET(missions!$A$2,0,0,COUNTA($A:$A),MATCH(N$1,missions!$2:$2,0)-MATCH("mission_id",missions!$2:$2,0)+1),MATCH(N$1,missions!$2:$2,0)-MATCH("mission_id",missions!$2:$2,0)+1,FALSE),"")</f>
        <v/>
      </c>
    </row>
    <row r="382" spans="1:16" ht="21" customHeight="1" x14ac:dyDescent="0.15">
      <c r="A382" s="2" t="s">
        <v>385</v>
      </c>
      <c r="B382" s="21" t="s">
        <v>792</v>
      </c>
      <c r="C382" s="26" t="str">
        <f t="shared" ca="1" si="0"/>
        <v>ユニットを 150 種類手に入れよう！</v>
      </c>
      <c r="D382" s="26" t="str">
        <f ca="1">IFERROR(VLOOKUP($A382,OFFSET(achievement_criterion_id,0,0,COUNTA($A:$A),MATCH(D$1,missions!$2:$2,0)-MATCH($A$1,missions!$2:$2,0)+1),MATCH(D$1,missions!$2:$2,0)-MATCH($A$1,missions!$2:$2,0)+1,FALSE),IFERROR(VLOOKUP($A382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382" s="27" t="s">
        <v>864</v>
      </c>
      <c r="F382" s="17" t="s">
        <v>34</v>
      </c>
      <c r="G382" s="26" t="str">
        <f ca="1">VLOOKUP($F382,OFFSET(達成条件!$A$1,0,0,COUNTA($A:$A),MATCH(G$1,達成条件!$1:$1,0)-MATCH($F$1,達成条件!$1:$1,0)+1),MATCH(G$1,達成条件!$1:$1,0)-MATCH($F$1,達成条件!$1:$1,0)+1,FALSE)</f>
        <v>ユニットを x 種類手に入れよう！</v>
      </c>
      <c r="H382" s="26" t="str">
        <f ca="1">VLOOKUP($F382,OFFSET(達成条件!$A$1,0,0,COUNTA($A:$A),MATCH(H$1,達成条件!$1:$1,0)-MATCH($F$1,達成条件!$1:$1,0)+1),MATCH(H$1,達成条件!$1:$1,0)-MATCH($F$1,達成条件!$1:$1,0)+1,FALSE)</f>
        <v>ユニットの種類数</v>
      </c>
      <c r="I382" s="58">
        <v>150</v>
      </c>
      <c r="J382" s="54" t="str">
        <f ca="1">IF(F382="specific_unit_aquired_count",SUBSTITUTE(G382,"x",VLOOKUP(INT($I382),OFFSET([3]characters!$A$2,0,0,COUNTA([3]characters!$A:$A),MATCH(J$1,[3]characters!$2:$2,0)-MATCH("character_id",[3]characters!$2:$2,0)+1),MATCH(J$1,[3]characters!$2:$2,0)-MATCH("character_id",[3]characters!$2:$2,0)+1,FALSE)),IF(F382="specific_quest_clear",VLOOKUP(SUBSTITUTE(I382,"-","_"),OFFSET([2]stages!$A$2,0,0,COUNTA([2]stages!$A:$A),MATCH("name",[2]stages!$2:$2,0)-MATCH("temp_stage",[2]stages!$2:$2,0)+1),MATCH("name",[2]stages!$2:$2,0)-MATCH("temp_stage",[2]stages!$2:$2,0)+1,FALSE),""))</f>
        <v/>
      </c>
      <c r="K382" s="15">
        <v>1</v>
      </c>
      <c r="L382" s="15" t="s">
        <v>542</v>
      </c>
      <c r="M382" s="26" t="str">
        <f ca="1">IFERROR(VLOOKUP($L384,OFFSET(missions!$A$2,0,0,COUNTA($A:$A),MATCH(M$1,missions!$2:$2,0)-MATCH("mission_id",missions!$2:$2,0)+1),MATCH(M$1,missions!$2:$2,0)-MATCH("mission_id",missions!$2:$2,0)+1,FALSE),"")</f>
        <v/>
      </c>
      <c r="N382" s="26" t="str">
        <f ca="1">IFERROR(VLOOKUP($L384,OFFSET(missions!$A$2,0,0,COUNTA($A:$A),MATCH(N$1,missions!$2:$2,0)-MATCH("mission_id",missions!$2:$2,0)+1),MATCH(N$1,missions!$2:$2,0)-MATCH("mission_id",missions!$2:$2,0)+1,FALSE),"")</f>
        <v/>
      </c>
    </row>
    <row r="383" spans="1:16" ht="21" customHeight="1" x14ac:dyDescent="0.15">
      <c r="A383" s="2" t="s">
        <v>386</v>
      </c>
      <c r="B383" s="21" t="s">
        <v>792</v>
      </c>
      <c r="C383" s="26" t="str">
        <f t="shared" ca="1" si="0"/>
        <v>ユニットを 175 種類手に入れよう！</v>
      </c>
      <c r="D383" s="26" t="str">
        <f ca="1">IFERROR(VLOOKUP($A383,OFFSET(achievement_criterion_id,0,0,COUNTA($A:$A),MATCH(D$1,missions!$2:$2,0)-MATCH($A$1,missions!$2:$2,0)+1),MATCH(D$1,missions!$2:$2,0)-MATCH($A$1,missions!$2:$2,0)+1,FALSE),IFERROR(VLOOKUP($A383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383" s="27" t="s">
        <v>864</v>
      </c>
      <c r="F383" s="17" t="s">
        <v>34</v>
      </c>
      <c r="G383" s="26" t="str">
        <f ca="1">VLOOKUP($F383,OFFSET(達成条件!$A$1,0,0,COUNTA($A:$A),MATCH(G$1,達成条件!$1:$1,0)-MATCH($F$1,達成条件!$1:$1,0)+1),MATCH(G$1,達成条件!$1:$1,0)-MATCH($F$1,達成条件!$1:$1,0)+1,FALSE)</f>
        <v>ユニットを x 種類手に入れよう！</v>
      </c>
      <c r="H383" s="26" t="str">
        <f ca="1">VLOOKUP($F383,OFFSET(達成条件!$A$1,0,0,COUNTA($A:$A),MATCH(H$1,達成条件!$1:$1,0)-MATCH($F$1,達成条件!$1:$1,0)+1),MATCH(H$1,達成条件!$1:$1,0)-MATCH($F$1,達成条件!$1:$1,0)+1,FALSE)</f>
        <v>ユニットの種類数</v>
      </c>
      <c r="I383" s="58">
        <v>175</v>
      </c>
      <c r="J383" s="54" t="str">
        <f ca="1">IF(F383="specific_unit_aquired_count",SUBSTITUTE(G383,"x",VLOOKUP(INT($I383),OFFSET([3]characters!$A$2,0,0,COUNTA([3]characters!$A:$A),MATCH(J$1,[3]characters!$2:$2,0)-MATCH("character_id",[3]characters!$2:$2,0)+1),MATCH(J$1,[3]characters!$2:$2,0)-MATCH("character_id",[3]characters!$2:$2,0)+1,FALSE)),IF(F383="specific_quest_clear",VLOOKUP(SUBSTITUTE(I383,"-","_"),OFFSET([2]stages!$A$2,0,0,COUNTA([2]stages!$A:$A),MATCH("name",[2]stages!$2:$2,0)-MATCH("temp_stage",[2]stages!$2:$2,0)+1),MATCH("name",[2]stages!$2:$2,0)-MATCH("temp_stage",[2]stages!$2:$2,0)+1,FALSE),""))</f>
        <v/>
      </c>
      <c r="K383" s="15">
        <v>1</v>
      </c>
      <c r="L383" s="15" t="s">
        <v>542</v>
      </c>
      <c r="M383" s="26" t="str">
        <f ca="1">IFERROR(VLOOKUP($L385,OFFSET(missions!$A$2,0,0,COUNTA($A:$A),MATCH(M$1,missions!$2:$2,0)-MATCH("mission_id",missions!$2:$2,0)+1),MATCH(M$1,missions!$2:$2,0)-MATCH("mission_id",missions!$2:$2,0)+1,FALSE),"")</f>
        <v/>
      </c>
      <c r="N383" s="26" t="str">
        <f ca="1">IFERROR(VLOOKUP($L385,OFFSET(missions!$A$2,0,0,COUNTA($A:$A),MATCH(N$1,missions!$2:$2,0)-MATCH("mission_id",missions!$2:$2,0)+1),MATCH(N$1,missions!$2:$2,0)-MATCH("mission_id",missions!$2:$2,0)+1,FALSE),"")</f>
        <v/>
      </c>
    </row>
    <row r="384" spans="1:16" ht="21" customHeight="1" x14ac:dyDescent="0.15">
      <c r="A384" s="2" t="s">
        <v>387</v>
      </c>
      <c r="B384" s="21" t="s">
        <v>792</v>
      </c>
      <c r="C384" s="26" t="str">
        <f t="shared" ca="1" si="0"/>
        <v>ユニットを 200 種類手に入れよう！</v>
      </c>
      <c r="D384" s="26" t="str">
        <f ca="1">IFERROR(VLOOKUP($A384,OFFSET(achievement_criterion_id,0,0,COUNTA($A:$A),MATCH(D$1,missions!$2:$2,0)-MATCH($A$1,missions!$2:$2,0)+1),MATCH(D$1,missions!$2:$2,0)-MATCH($A$1,missions!$2:$2,0)+1,FALSE),IFERROR(VLOOKUP($A384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84" s="27" t="s">
        <v>864</v>
      </c>
      <c r="F384" s="17" t="s">
        <v>34</v>
      </c>
      <c r="G384" s="26" t="str">
        <f ca="1">VLOOKUP($F384,OFFSET(達成条件!$A$1,0,0,COUNTA($A:$A),MATCH(G$1,達成条件!$1:$1,0)-MATCH($F$1,達成条件!$1:$1,0)+1),MATCH(G$1,達成条件!$1:$1,0)-MATCH($F$1,達成条件!$1:$1,0)+1,FALSE)</f>
        <v>ユニットを x 種類手に入れよう！</v>
      </c>
      <c r="H384" s="26" t="str">
        <f ca="1">VLOOKUP($F384,OFFSET(達成条件!$A$1,0,0,COUNTA($A:$A),MATCH(H$1,達成条件!$1:$1,0)-MATCH($F$1,達成条件!$1:$1,0)+1),MATCH(H$1,達成条件!$1:$1,0)-MATCH($F$1,達成条件!$1:$1,0)+1,FALSE)</f>
        <v>ユニットの種類数</v>
      </c>
      <c r="I384" s="58">
        <v>200</v>
      </c>
      <c r="J384" s="54" t="str">
        <f ca="1">IF(F384="specific_unit_aquired_count",SUBSTITUTE(G384,"x",VLOOKUP(INT($I384),OFFSET([3]characters!$A$2,0,0,COUNTA([3]characters!$A:$A),MATCH(J$1,[3]characters!$2:$2,0)-MATCH("character_id",[3]characters!$2:$2,0)+1),MATCH(J$1,[3]characters!$2:$2,0)-MATCH("character_id",[3]characters!$2:$2,0)+1,FALSE)),IF(F384="specific_quest_clear",VLOOKUP(SUBSTITUTE(I384,"-","_"),OFFSET([2]stages!$A$2,0,0,COUNTA([2]stages!$A:$A),MATCH("name",[2]stages!$2:$2,0)-MATCH("temp_stage",[2]stages!$2:$2,0)+1),MATCH("name",[2]stages!$2:$2,0)-MATCH("temp_stage",[2]stages!$2:$2,0)+1,FALSE),""))</f>
        <v/>
      </c>
      <c r="K384" s="15">
        <v>1</v>
      </c>
      <c r="L384" s="15" t="s">
        <v>542</v>
      </c>
      <c r="M384" s="26" t="str">
        <f ca="1">IFERROR(VLOOKUP($L386,OFFSET(missions!$A$2,0,0,COUNTA($A:$A),MATCH(M$1,missions!$2:$2,0)-MATCH("mission_id",missions!$2:$2,0)+1),MATCH(M$1,missions!$2:$2,0)-MATCH("mission_id",missions!$2:$2,0)+1,FALSE),"")</f>
        <v/>
      </c>
      <c r="N384" s="26" t="str">
        <f ca="1">IFERROR(VLOOKUP($L386,OFFSET(missions!$A$2,0,0,COUNTA($A:$A),MATCH(N$1,missions!$2:$2,0)-MATCH("mission_id",missions!$2:$2,0)+1),MATCH(N$1,missions!$2:$2,0)-MATCH("mission_id",missions!$2:$2,0)+1,FALSE),"")</f>
        <v/>
      </c>
    </row>
    <row r="385" spans="1:14" ht="21" customHeight="1" x14ac:dyDescent="0.15">
      <c r="A385" s="2" t="s">
        <v>388</v>
      </c>
      <c r="B385" s="21" t="s">
        <v>792</v>
      </c>
      <c r="C385" s="26" t="str">
        <f t="shared" ca="1" si="0"/>
        <v>ユニットを 225 種類手に入れよう！</v>
      </c>
      <c r="D385" s="26" t="str">
        <f ca="1">IFERROR(VLOOKUP($A385,OFFSET(achievement_criterion_id,0,0,COUNTA($A:$A),MATCH(D$1,missions!$2:$2,0)-MATCH($A$1,missions!$2:$2,0)+1),MATCH(D$1,missions!$2:$2,0)-MATCH($A$1,missions!$2:$2,0)+1,FALSE),IFERROR(VLOOKUP($A385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385" s="27" t="s">
        <v>864</v>
      </c>
      <c r="F385" s="17" t="s">
        <v>34</v>
      </c>
      <c r="G385" s="26" t="str">
        <f ca="1">VLOOKUP($F385,OFFSET(達成条件!$A$1,0,0,COUNTA($A:$A),MATCH(G$1,達成条件!$1:$1,0)-MATCH($F$1,達成条件!$1:$1,0)+1),MATCH(G$1,達成条件!$1:$1,0)-MATCH($F$1,達成条件!$1:$1,0)+1,FALSE)</f>
        <v>ユニットを x 種類手に入れよう！</v>
      </c>
      <c r="H385" s="26" t="str">
        <f ca="1">VLOOKUP($F385,OFFSET(達成条件!$A$1,0,0,COUNTA($A:$A),MATCH(H$1,達成条件!$1:$1,0)-MATCH($F$1,達成条件!$1:$1,0)+1),MATCH(H$1,達成条件!$1:$1,0)-MATCH($F$1,達成条件!$1:$1,0)+1,FALSE)</f>
        <v>ユニットの種類数</v>
      </c>
      <c r="I385" s="58">
        <v>225</v>
      </c>
      <c r="J385" s="54" t="str">
        <f ca="1">IF(F385="specific_unit_aquired_count",SUBSTITUTE(G385,"x",VLOOKUP(INT($I385),OFFSET([3]characters!$A$2,0,0,COUNTA([3]characters!$A:$A),MATCH(J$1,[3]characters!$2:$2,0)-MATCH("character_id",[3]characters!$2:$2,0)+1),MATCH(J$1,[3]characters!$2:$2,0)-MATCH("character_id",[3]characters!$2:$2,0)+1,FALSE)),IF(F385="specific_quest_clear",VLOOKUP(SUBSTITUTE(I385,"-","_"),OFFSET([2]stages!$A$2,0,0,COUNTA([2]stages!$A:$A),MATCH("name",[2]stages!$2:$2,0)-MATCH("temp_stage",[2]stages!$2:$2,0)+1),MATCH("name",[2]stages!$2:$2,0)-MATCH("temp_stage",[2]stages!$2:$2,0)+1,FALSE),""))</f>
        <v/>
      </c>
      <c r="K385" s="15">
        <v>1</v>
      </c>
      <c r="L385" s="15" t="s">
        <v>542</v>
      </c>
      <c r="M385" s="26" t="str">
        <f ca="1">IFERROR(VLOOKUP($L387,OFFSET(missions!$A$2,0,0,COUNTA($A:$A),MATCH(M$1,missions!$2:$2,0)-MATCH("mission_id",missions!$2:$2,0)+1),MATCH(M$1,missions!$2:$2,0)-MATCH("mission_id",missions!$2:$2,0)+1,FALSE),"")</f>
        <v/>
      </c>
      <c r="N385" s="26" t="str">
        <f ca="1">IFERROR(VLOOKUP($L387,OFFSET(missions!$A$2,0,0,COUNTA($A:$A),MATCH(N$1,missions!$2:$2,0)-MATCH("mission_id",missions!$2:$2,0)+1),MATCH(N$1,missions!$2:$2,0)-MATCH("mission_id",missions!$2:$2,0)+1,FALSE),"")</f>
        <v/>
      </c>
    </row>
    <row r="386" spans="1:14" ht="21" customHeight="1" x14ac:dyDescent="0.15">
      <c r="A386" s="2" t="s">
        <v>2683</v>
      </c>
      <c r="B386" s="21" t="s">
        <v>792</v>
      </c>
      <c r="C386" s="26" t="str">
        <f t="shared" ref="C386:C503" ca="1" si="52">IF(F386="specific_quest_clear",SUBSTITUTE(G386,"x",J386),IF(F386="specific_unit_aquired_count",SUBSTITUTE(J386,"y",K386),SUBSTITUTE(G386,"x",I386)))</f>
        <v>ユニットを 250 種類手に入れよう！</v>
      </c>
      <c r="D386" s="26" t="str">
        <f ca="1">IFERROR(VLOOKUP($A386,OFFSET(achievement_criterion_id,0,0,COUNTA($A:$A),MATCH(D$1,missions!$2:$2,0)-MATCH($A$1,missions!$2:$2,0)+1),MATCH(D$1,missions!$2:$2,0)-MATCH($A$1,missions!$2:$2,0)+1,FALSE),IFERROR(VLOOKUP($A386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386" s="27" t="s">
        <v>864</v>
      </c>
      <c r="F386" s="17" t="s">
        <v>34</v>
      </c>
      <c r="G386" s="26" t="str">
        <f ca="1">VLOOKUP($F386,OFFSET(達成条件!$A$1,0,0,COUNTA($A:$A),MATCH(G$1,達成条件!$1:$1,0)-MATCH($F$1,達成条件!$1:$1,0)+1),MATCH(G$1,達成条件!$1:$1,0)-MATCH($F$1,達成条件!$1:$1,0)+1,FALSE)</f>
        <v>ユニットを x 種類手に入れよう！</v>
      </c>
      <c r="H386" s="26" t="str">
        <f ca="1">VLOOKUP($F386,OFFSET(達成条件!$A$1,0,0,COUNTA($A:$A),MATCH(H$1,達成条件!$1:$1,0)-MATCH($F$1,達成条件!$1:$1,0)+1),MATCH(H$1,達成条件!$1:$1,0)-MATCH($F$1,達成条件!$1:$1,0)+1,FALSE)</f>
        <v>ユニットの種類数</v>
      </c>
      <c r="I386" s="58">
        <v>250</v>
      </c>
      <c r="J386" s="54" t="str">
        <f ca="1">IF(F386="specific_unit_aquired_count",SUBSTITUTE(G386,"x",VLOOKUP(INT($I386),OFFSET([3]characters!$A$2,0,0,COUNTA([3]characters!$A:$A),MATCH(J$1,[3]characters!$2:$2,0)-MATCH("character_id",[3]characters!$2:$2,0)+1),MATCH(J$1,[3]characters!$2:$2,0)-MATCH("character_id",[3]characters!$2:$2,0)+1,FALSE)),IF(F386="specific_quest_clear",VLOOKUP(SUBSTITUTE(I386,"-","_"),OFFSET([2]stages!$A$2,0,0,COUNTA([2]stages!$A:$A),MATCH("name",[2]stages!$2:$2,0)-MATCH("temp_stage",[2]stages!$2:$2,0)+1),MATCH("name",[2]stages!$2:$2,0)-MATCH("temp_stage",[2]stages!$2:$2,0)+1,FALSE),""))</f>
        <v/>
      </c>
      <c r="K386" s="15">
        <v>1</v>
      </c>
      <c r="L386" s="15" t="s">
        <v>542</v>
      </c>
      <c r="M386" s="26" t="str">
        <f ca="1">IFERROR(VLOOKUP($L388,OFFSET(missions!$A$2,0,0,COUNTA($A:$A),MATCH(M$1,missions!$2:$2,0)-MATCH("mission_id",missions!$2:$2,0)+1),MATCH(M$1,missions!$2:$2,0)-MATCH("mission_id",missions!$2:$2,0)+1,FALSE),"")</f>
        <v/>
      </c>
      <c r="N386" s="26" t="str">
        <f ca="1">IFERROR(VLOOKUP($L388,OFFSET(missions!$A$2,0,0,COUNTA($A:$A),MATCH(N$1,missions!$2:$2,0)-MATCH("mission_id",missions!$2:$2,0)+1),MATCH(N$1,missions!$2:$2,0)-MATCH("mission_id",missions!$2:$2,0)+1,FALSE),"")</f>
        <v/>
      </c>
    </row>
    <row r="387" spans="1:14" ht="21" customHeight="1" x14ac:dyDescent="0.15">
      <c r="A387" s="2" t="s">
        <v>390</v>
      </c>
      <c r="B387" s="21" t="s">
        <v>792</v>
      </c>
      <c r="C387" s="26" t="str">
        <f t="shared" ca="1" si="52"/>
        <v>ユニットを 275 種類手に入れよう！</v>
      </c>
      <c r="D387" s="26" t="str">
        <f ca="1">IFERROR(VLOOKUP($A387,OFFSET(achievement_criterion_id,0,0,COUNTA($A:$A),MATCH(D$1,missions!$2:$2,0)-MATCH($A$1,missions!$2:$2,0)+1),MATCH(D$1,missions!$2:$2,0)-MATCH($A$1,missions!$2:$2,0)+1,FALSE),IFERROR(VLOOKUP($A387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387" s="27" t="s">
        <v>864</v>
      </c>
      <c r="F387" s="17" t="s">
        <v>34</v>
      </c>
      <c r="G387" s="26" t="str">
        <f ca="1">VLOOKUP($F387,OFFSET(達成条件!$A$1,0,0,COUNTA($A:$A),MATCH(G$1,達成条件!$1:$1,0)-MATCH($F$1,達成条件!$1:$1,0)+1),MATCH(G$1,達成条件!$1:$1,0)-MATCH($F$1,達成条件!$1:$1,0)+1,FALSE)</f>
        <v>ユニットを x 種類手に入れよう！</v>
      </c>
      <c r="H387" s="26" t="str">
        <f ca="1">VLOOKUP($F387,OFFSET(達成条件!$A$1,0,0,COUNTA($A:$A),MATCH(H$1,達成条件!$1:$1,0)-MATCH($F$1,達成条件!$1:$1,0)+1),MATCH(H$1,達成条件!$1:$1,0)-MATCH($F$1,達成条件!$1:$1,0)+1,FALSE)</f>
        <v>ユニットの種類数</v>
      </c>
      <c r="I387" s="58">
        <v>275</v>
      </c>
      <c r="J387" s="54" t="str">
        <f ca="1">IF(F387="specific_unit_aquired_count",SUBSTITUTE(G387,"x",VLOOKUP(INT($I387),OFFSET([3]characters!$A$2,0,0,COUNTA([3]characters!$A:$A),MATCH(J$1,[3]characters!$2:$2,0)-MATCH("character_id",[3]characters!$2:$2,0)+1),MATCH(J$1,[3]characters!$2:$2,0)-MATCH("character_id",[3]characters!$2:$2,0)+1,FALSE)),IF(F387="specific_quest_clear",VLOOKUP(SUBSTITUTE(I387,"-","_"),OFFSET([2]stages!$A$2,0,0,COUNTA([2]stages!$A:$A),MATCH("name",[2]stages!$2:$2,0)-MATCH("temp_stage",[2]stages!$2:$2,0)+1),MATCH("name",[2]stages!$2:$2,0)-MATCH("temp_stage",[2]stages!$2:$2,0)+1,FALSE),""))</f>
        <v/>
      </c>
      <c r="K387" s="15">
        <v>1</v>
      </c>
      <c r="L387" s="15" t="s">
        <v>542</v>
      </c>
      <c r="M387" s="26" t="str">
        <f ca="1">IFERROR(VLOOKUP($L389,OFFSET(missions!$A$2,0,0,COUNTA($A:$A),MATCH(M$1,missions!$2:$2,0)-MATCH("mission_id",missions!$2:$2,0)+1),MATCH(M$1,missions!$2:$2,0)-MATCH("mission_id",missions!$2:$2,0)+1,FALSE),"")</f>
        <v/>
      </c>
      <c r="N387" s="26" t="str">
        <f ca="1">IFERROR(VLOOKUP($L389,OFFSET(missions!$A$2,0,0,COUNTA($A:$A),MATCH(N$1,missions!$2:$2,0)-MATCH("mission_id",missions!$2:$2,0)+1),MATCH(N$1,missions!$2:$2,0)-MATCH("mission_id",missions!$2:$2,0)+1,FALSE),"")</f>
        <v/>
      </c>
    </row>
    <row r="388" spans="1:14" ht="21" customHeight="1" x14ac:dyDescent="0.15">
      <c r="A388" s="2" t="s">
        <v>391</v>
      </c>
      <c r="B388" s="21" t="s">
        <v>792</v>
      </c>
      <c r="C388" s="26" t="str">
        <f t="shared" ca="1" si="52"/>
        <v>ユニットを 300 種類手に入れよう！</v>
      </c>
      <c r="D388" s="26" t="str">
        <f ca="1">IFERROR(VLOOKUP($A388,OFFSET(achievement_criterion_id,0,0,COUNTA($A:$A),MATCH(D$1,missions!$2:$2,0)-MATCH($A$1,missions!$2:$2,0)+1),MATCH(D$1,missions!$2:$2,0)-MATCH($A$1,missions!$2:$2,0)+1,FALSE),IFERROR(VLOOKUP($A388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88" s="27" t="s">
        <v>864</v>
      </c>
      <c r="F388" s="17" t="s">
        <v>34</v>
      </c>
      <c r="G388" s="26" t="str">
        <f ca="1">VLOOKUP($F388,OFFSET(達成条件!$A$1,0,0,COUNTA($A:$A),MATCH(G$1,達成条件!$1:$1,0)-MATCH($F$1,達成条件!$1:$1,0)+1),MATCH(G$1,達成条件!$1:$1,0)-MATCH($F$1,達成条件!$1:$1,0)+1,FALSE)</f>
        <v>ユニットを x 種類手に入れよう！</v>
      </c>
      <c r="H388" s="26" t="str">
        <f ca="1">VLOOKUP($F388,OFFSET(達成条件!$A$1,0,0,COUNTA($A:$A),MATCH(H$1,達成条件!$1:$1,0)-MATCH($F$1,達成条件!$1:$1,0)+1),MATCH(H$1,達成条件!$1:$1,0)-MATCH($F$1,達成条件!$1:$1,0)+1,FALSE)</f>
        <v>ユニットの種類数</v>
      </c>
      <c r="I388" s="58">
        <v>300</v>
      </c>
      <c r="J388" s="54" t="str">
        <f ca="1">IF(F388="specific_unit_aquired_count",SUBSTITUTE(G388,"x",VLOOKUP(INT($I388),OFFSET([3]characters!$A$2,0,0,COUNTA([3]characters!$A:$A),MATCH(J$1,[3]characters!$2:$2,0)-MATCH("character_id",[3]characters!$2:$2,0)+1),MATCH(J$1,[3]characters!$2:$2,0)-MATCH("character_id",[3]characters!$2:$2,0)+1,FALSE)),IF(F388="specific_quest_clear",VLOOKUP(SUBSTITUTE(I388,"-","_"),OFFSET([2]stages!$A$2,0,0,COUNTA([2]stages!$A:$A),MATCH("name",[2]stages!$2:$2,0)-MATCH("temp_stage",[2]stages!$2:$2,0)+1),MATCH("name",[2]stages!$2:$2,0)-MATCH("temp_stage",[2]stages!$2:$2,0)+1,FALSE),""))</f>
        <v/>
      </c>
      <c r="K388" s="15">
        <v>1</v>
      </c>
      <c r="L388" s="15" t="s">
        <v>542</v>
      </c>
      <c r="M388" s="26" t="str">
        <f ca="1">IFERROR(VLOOKUP($L390,OFFSET(missions!$A$2,0,0,COUNTA($A:$A),MATCH(M$1,missions!$2:$2,0)-MATCH("mission_id",missions!$2:$2,0)+1),MATCH(M$1,missions!$2:$2,0)-MATCH("mission_id",missions!$2:$2,0)+1,FALSE),"")</f>
        <v/>
      </c>
      <c r="N388" s="26" t="str">
        <f ca="1">IFERROR(VLOOKUP($L390,OFFSET(missions!$A$2,0,0,COUNTA($A:$A),MATCH(N$1,missions!$2:$2,0)-MATCH("mission_id",missions!$2:$2,0)+1),MATCH(N$1,missions!$2:$2,0)-MATCH("mission_id",missions!$2:$2,0)+1,FALSE),"")</f>
        <v/>
      </c>
    </row>
    <row r="389" spans="1:14" ht="21" customHeight="1" x14ac:dyDescent="0.15">
      <c r="A389" s="2" t="s">
        <v>392</v>
      </c>
      <c r="B389" s="21" t="s">
        <v>792</v>
      </c>
      <c r="C389" s="26" t="str">
        <f t="shared" ca="1" si="52"/>
        <v>ユニットを 325 種類手に入れよう！</v>
      </c>
      <c r="D389" s="26" t="str">
        <f ca="1">IFERROR(VLOOKUP($A389,OFFSET(achievement_criterion_id,0,0,COUNTA($A:$A),MATCH(D$1,missions!$2:$2,0)-MATCH($A$1,missions!$2:$2,0)+1),MATCH(D$1,missions!$2:$2,0)-MATCH($A$1,missions!$2:$2,0)+1,FALSE),IFERROR(VLOOKUP($A389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389" s="27" t="s">
        <v>864</v>
      </c>
      <c r="F389" s="17" t="s">
        <v>34</v>
      </c>
      <c r="G389" s="26" t="str">
        <f ca="1">VLOOKUP($F389,OFFSET(達成条件!$A$1,0,0,COUNTA($A:$A),MATCH(G$1,達成条件!$1:$1,0)-MATCH($F$1,達成条件!$1:$1,0)+1),MATCH(G$1,達成条件!$1:$1,0)-MATCH($F$1,達成条件!$1:$1,0)+1,FALSE)</f>
        <v>ユニットを x 種類手に入れよう！</v>
      </c>
      <c r="H389" s="26" t="str">
        <f ca="1">VLOOKUP($F389,OFFSET(達成条件!$A$1,0,0,COUNTA($A:$A),MATCH(H$1,達成条件!$1:$1,0)-MATCH($F$1,達成条件!$1:$1,0)+1),MATCH(H$1,達成条件!$1:$1,0)-MATCH($F$1,達成条件!$1:$1,0)+1,FALSE)</f>
        <v>ユニットの種類数</v>
      </c>
      <c r="I389" s="58">
        <v>325</v>
      </c>
      <c r="J389" s="54" t="str">
        <f ca="1">IF(F389="specific_unit_aquired_count",SUBSTITUTE(G389,"x",VLOOKUP(INT($I389),OFFSET([3]characters!$A$2,0,0,COUNTA([3]characters!$A:$A),MATCH(J$1,[3]characters!$2:$2,0)-MATCH("character_id",[3]characters!$2:$2,0)+1),MATCH(J$1,[3]characters!$2:$2,0)-MATCH("character_id",[3]characters!$2:$2,0)+1,FALSE)),IF(F389="specific_quest_clear",VLOOKUP(SUBSTITUTE(I389,"-","_"),OFFSET([2]stages!$A$2,0,0,COUNTA([2]stages!$A:$A),MATCH("name",[2]stages!$2:$2,0)-MATCH("temp_stage",[2]stages!$2:$2,0)+1),MATCH("name",[2]stages!$2:$2,0)-MATCH("temp_stage",[2]stages!$2:$2,0)+1,FALSE),""))</f>
        <v/>
      </c>
      <c r="K389" s="15">
        <v>1</v>
      </c>
      <c r="L389" s="15" t="s">
        <v>542</v>
      </c>
      <c r="M389" s="26" t="str">
        <f ca="1">IFERROR(VLOOKUP($L391,OFFSET(missions!$A$2,0,0,COUNTA($A:$A),MATCH(M$1,missions!$2:$2,0)-MATCH("mission_id",missions!$2:$2,0)+1),MATCH(M$1,missions!$2:$2,0)-MATCH("mission_id",missions!$2:$2,0)+1,FALSE),"")</f>
        <v/>
      </c>
      <c r="N389" s="26" t="str">
        <f ca="1">IFERROR(VLOOKUP($L391,OFFSET(missions!$A$2,0,0,COUNTA($A:$A),MATCH(N$1,missions!$2:$2,0)-MATCH("mission_id",missions!$2:$2,0)+1),MATCH(N$1,missions!$2:$2,0)-MATCH("mission_id",missions!$2:$2,0)+1,FALSE),"")</f>
        <v/>
      </c>
    </row>
    <row r="390" spans="1:14" ht="21" customHeight="1" x14ac:dyDescent="0.15">
      <c r="A390" s="2" t="s">
        <v>575</v>
      </c>
      <c r="B390" s="21" t="s">
        <v>792</v>
      </c>
      <c r="C390" s="26" t="str">
        <f t="shared" ca="1" si="52"/>
        <v>ユニットを 350 種類手に入れよう！</v>
      </c>
      <c r="D390" s="26" t="str">
        <f ca="1">IFERROR(VLOOKUP($A390,OFFSET(achievement_criterion_id,0,0,COUNTA($A:$A),MATCH(D$1,missions!$2:$2,0)-MATCH($A$1,missions!$2:$2,0)+1),MATCH(D$1,missions!$2:$2,0)-MATCH($A$1,missions!$2:$2,0)+1,FALSE),IFERROR(VLOOKUP($A390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390" s="27" t="s">
        <v>864</v>
      </c>
      <c r="F390" s="17" t="s">
        <v>34</v>
      </c>
      <c r="G390" s="26" t="str">
        <f ca="1">VLOOKUP($F390,OFFSET(達成条件!$A$1,0,0,COUNTA($A:$A),MATCH(G$1,達成条件!$1:$1,0)-MATCH($F$1,達成条件!$1:$1,0)+1),MATCH(G$1,達成条件!$1:$1,0)-MATCH($F$1,達成条件!$1:$1,0)+1,FALSE)</f>
        <v>ユニットを x 種類手に入れよう！</v>
      </c>
      <c r="H390" s="26" t="str">
        <f ca="1">VLOOKUP($F390,OFFSET(達成条件!$A$1,0,0,COUNTA($A:$A),MATCH(H$1,達成条件!$1:$1,0)-MATCH($F$1,達成条件!$1:$1,0)+1),MATCH(H$1,達成条件!$1:$1,0)-MATCH($F$1,達成条件!$1:$1,0)+1,FALSE)</f>
        <v>ユニットの種類数</v>
      </c>
      <c r="I390" s="58">
        <v>350</v>
      </c>
      <c r="J390" s="54" t="str">
        <f ca="1">IF(F390="specific_unit_aquired_count",SUBSTITUTE(G390,"x",VLOOKUP(INT($I390),OFFSET([3]characters!$A$2,0,0,COUNTA([3]characters!$A:$A),MATCH(J$1,[3]characters!$2:$2,0)-MATCH("character_id",[3]characters!$2:$2,0)+1),MATCH(J$1,[3]characters!$2:$2,0)-MATCH("character_id",[3]characters!$2:$2,0)+1,FALSE)),IF(F390="specific_quest_clear",VLOOKUP(SUBSTITUTE(I390,"-","_"),OFFSET([2]stages!$A$2,0,0,COUNTA([2]stages!$A:$A),MATCH("name",[2]stages!$2:$2,0)-MATCH("temp_stage",[2]stages!$2:$2,0)+1),MATCH("name",[2]stages!$2:$2,0)-MATCH("temp_stage",[2]stages!$2:$2,0)+1,FALSE),""))</f>
        <v/>
      </c>
      <c r="K390" s="15">
        <v>1</v>
      </c>
      <c r="L390" s="15" t="s">
        <v>542</v>
      </c>
      <c r="M390" s="26" t="str">
        <f ca="1">IFERROR(VLOOKUP($L392,OFFSET(missions!$A$2,0,0,COUNTA($A:$A),MATCH(M$1,missions!$2:$2,0)-MATCH("mission_id",missions!$2:$2,0)+1),MATCH(M$1,missions!$2:$2,0)-MATCH("mission_id",missions!$2:$2,0)+1,FALSE),"")</f>
        <v/>
      </c>
      <c r="N390" s="26" t="str">
        <f ca="1">IFERROR(VLOOKUP($L392,OFFSET(missions!$A$2,0,0,COUNTA($A:$A),MATCH(N$1,missions!$2:$2,0)-MATCH("mission_id",missions!$2:$2,0)+1),MATCH(N$1,missions!$2:$2,0)-MATCH("mission_id",missions!$2:$2,0)+1,FALSE),"")</f>
        <v/>
      </c>
    </row>
    <row r="391" spans="1:14" ht="21" customHeight="1" x14ac:dyDescent="0.15">
      <c r="A391" s="2" t="s">
        <v>576</v>
      </c>
      <c r="B391" s="21" t="s">
        <v>792</v>
      </c>
      <c r="C391" s="26" t="str">
        <f t="shared" ca="1" si="52"/>
        <v>ユニットを 375 種類手に入れよう！</v>
      </c>
      <c r="D391" s="26" t="str">
        <f ca="1">IFERROR(VLOOKUP($A391,OFFSET(achievement_criterion_id,0,0,COUNTA($A:$A),MATCH(D$1,missions!$2:$2,0)-MATCH($A$1,missions!$2:$2,0)+1),MATCH(D$1,missions!$2:$2,0)-MATCH($A$1,missions!$2:$2,0)+1,FALSE),IFERROR(VLOOKUP($A391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391" s="27" t="s">
        <v>864</v>
      </c>
      <c r="F391" s="17" t="s">
        <v>34</v>
      </c>
      <c r="G391" s="26" t="str">
        <f ca="1">VLOOKUP($F391,OFFSET(達成条件!$A$1,0,0,COUNTA($A:$A),MATCH(G$1,達成条件!$1:$1,0)-MATCH($F$1,達成条件!$1:$1,0)+1),MATCH(G$1,達成条件!$1:$1,0)-MATCH($F$1,達成条件!$1:$1,0)+1,FALSE)</f>
        <v>ユニットを x 種類手に入れよう！</v>
      </c>
      <c r="H391" s="26" t="str">
        <f ca="1">VLOOKUP($F391,OFFSET(達成条件!$A$1,0,0,COUNTA($A:$A),MATCH(H$1,達成条件!$1:$1,0)-MATCH($F$1,達成条件!$1:$1,0)+1),MATCH(H$1,達成条件!$1:$1,0)-MATCH($F$1,達成条件!$1:$1,0)+1,FALSE)</f>
        <v>ユニットの種類数</v>
      </c>
      <c r="I391" s="58">
        <v>375</v>
      </c>
      <c r="J391" s="54" t="str">
        <f ca="1">IF(F391="specific_unit_aquired_count",SUBSTITUTE(G391,"x",VLOOKUP(INT($I391),OFFSET([3]characters!$A$2,0,0,COUNTA([3]characters!$A:$A),MATCH(J$1,[3]characters!$2:$2,0)-MATCH("character_id",[3]characters!$2:$2,0)+1),MATCH(J$1,[3]characters!$2:$2,0)-MATCH("character_id",[3]characters!$2:$2,0)+1,FALSE)),IF(F391="specific_quest_clear",VLOOKUP(SUBSTITUTE(I391,"-","_"),OFFSET([2]stages!$A$2,0,0,COUNTA([2]stages!$A:$A),MATCH("name",[2]stages!$2:$2,0)-MATCH("temp_stage",[2]stages!$2:$2,0)+1),MATCH("name",[2]stages!$2:$2,0)-MATCH("temp_stage",[2]stages!$2:$2,0)+1,FALSE),""))</f>
        <v/>
      </c>
      <c r="K391" s="15">
        <v>1</v>
      </c>
      <c r="L391" s="15" t="s">
        <v>542</v>
      </c>
      <c r="M391" s="26" t="str">
        <f ca="1">IFERROR(VLOOKUP($L393,OFFSET(missions!$A$2,0,0,COUNTA($A:$A),MATCH(M$1,missions!$2:$2,0)-MATCH("mission_id",missions!$2:$2,0)+1),MATCH(M$1,missions!$2:$2,0)-MATCH("mission_id",missions!$2:$2,0)+1,FALSE),"")</f>
        <v/>
      </c>
      <c r="N391" s="26" t="str">
        <f ca="1">IFERROR(VLOOKUP($L393,OFFSET(missions!$A$2,0,0,COUNTA($A:$A),MATCH(N$1,missions!$2:$2,0)-MATCH("mission_id",missions!$2:$2,0)+1),MATCH(N$1,missions!$2:$2,0)-MATCH("mission_id",missions!$2:$2,0)+1,FALSE),"")</f>
        <v/>
      </c>
    </row>
    <row r="392" spans="1:14" ht="21" customHeight="1" x14ac:dyDescent="0.15">
      <c r="A392" s="2" t="s">
        <v>577</v>
      </c>
      <c r="B392" s="21" t="s">
        <v>792</v>
      </c>
      <c r="C392" s="26" t="str">
        <f t="shared" ca="1" si="52"/>
        <v>ユニットを 400 種類手に入れよう！</v>
      </c>
      <c r="D392" s="26" t="str">
        <f ca="1">IFERROR(VLOOKUP($A392,OFFSET(achievement_criterion_id,0,0,COUNTA($A:$A),MATCH(D$1,missions!$2:$2,0)-MATCH($A$1,missions!$2:$2,0)+1),MATCH(D$1,missions!$2:$2,0)-MATCH($A$1,missions!$2:$2,0)+1,FALSE),IFERROR(VLOOKUP($A392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392" s="27" t="s">
        <v>864</v>
      </c>
      <c r="F392" s="17" t="s">
        <v>34</v>
      </c>
      <c r="G392" s="26" t="str">
        <f ca="1">VLOOKUP($F392,OFFSET(達成条件!$A$1,0,0,COUNTA($A:$A),MATCH(G$1,達成条件!$1:$1,0)-MATCH($F$1,達成条件!$1:$1,0)+1),MATCH(G$1,達成条件!$1:$1,0)-MATCH($F$1,達成条件!$1:$1,0)+1,FALSE)</f>
        <v>ユニットを x 種類手に入れよう！</v>
      </c>
      <c r="H392" s="26" t="str">
        <f ca="1">VLOOKUP($F392,OFFSET(達成条件!$A$1,0,0,COUNTA($A:$A),MATCH(H$1,達成条件!$1:$1,0)-MATCH($F$1,達成条件!$1:$1,0)+1),MATCH(H$1,達成条件!$1:$1,0)-MATCH($F$1,達成条件!$1:$1,0)+1,FALSE)</f>
        <v>ユニットの種類数</v>
      </c>
      <c r="I392" s="58">
        <v>400</v>
      </c>
      <c r="J392" s="54" t="str">
        <f ca="1">IF(F392="specific_unit_aquired_count",SUBSTITUTE(G392,"x",VLOOKUP(INT($I392),OFFSET([3]characters!$A$2,0,0,COUNTA([3]characters!$A:$A),MATCH(J$1,[3]characters!$2:$2,0)-MATCH("character_id",[3]characters!$2:$2,0)+1),MATCH(J$1,[3]characters!$2:$2,0)-MATCH("character_id",[3]characters!$2:$2,0)+1,FALSE)),IF(F392="specific_quest_clear",VLOOKUP(SUBSTITUTE(I392,"-","_"),OFFSET([2]stages!$A$2,0,0,COUNTA([2]stages!$A:$A),MATCH("name",[2]stages!$2:$2,0)-MATCH("temp_stage",[2]stages!$2:$2,0)+1),MATCH("name",[2]stages!$2:$2,0)-MATCH("temp_stage",[2]stages!$2:$2,0)+1,FALSE),""))</f>
        <v/>
      </c>
      <c r="K392" s="15">
        <v>1</v>
      </c>
      <c r="L392" s="15" t="s">
        <v>542</v>
      </c>
      <c r="M392" s="26" t="str">
        <f ca="1">IFERROR(VLOOKUP($L394,OFFSET(missions!$A$2,0,0,COUNTA($A:$A),MATCH(M$1,missions!$2:$2,0)-MATCH("mission_id",missions!$2:$2,0)+1),MATCH(M$1,missions!$2:$2,0)-MATCH("mission_id",missions!$2:$2,0)+1,FALSE),"")</f>
        <v/>
      </c>
      <c r="N392" s="26" t="str">
        <f ca="1">IFERROR(VLOOKUP($L394,OFFSET(missions!$A$2,0,0,COUNTA($A:$A),MATCH(N$1,missions!$2:$2,0)-MATCH("mission_id",missions!$2:$2,0)+1),MATCH(N$1,missions!$2:$2,0)-MATCH("mission_id",missions!$2:$2,0)+1,FALSE),"")</f>
        <v/>
      </c>
    </row>
    <row r="393" spans="1:14" ht="21" customHeight="1" x14ac:dyDescent="0.15">
      <c r="A393" s="2" t="s">
        <v>578</v>
      </c>
      <c r="B393" s="21" t="s">
        <v>792</v>
      </c>
      <c r="C393" s="26" t="str">
        <f t="shared" ca="1" si="52"/>
        <v>ユニットを 425 種類手に入れよう！</v>
      </c>
      <c r="D393" s="26" t="str">
        <f ca="1">IFERROR(VLOOKUP($A393,OFFSET(achievement_criterion_id,0,0,COUNTA($A:$A),MATCH(D$1,missions!$2:$2,0)-MATCH($A$1,missions!$2:$2,0)+1),MATCH(D$1,missions!$2:$2,0)-MATCH($A$1,missions!$2:$2,0)+1,FALSE),IFERROR(VLOOKUP($A393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393" s="27" t="s">
        <v>864</v>
      </c>
      <c r="F393" s="17" t="s">
        <v>34</v>
      </c>
      <c r="G393" s="26" t="str">
        <f ca="1">VLOOKUP($F393,OFFSET(達成条件!$A$1,0,0,COUNTA($A:$A),MATCH(G$1,達成条件!$1:$1,0)-MATCH($F$1,達成条件!$1:$1,0)+1),MATCH(G$1,達成条件!$1:$1,0)-MATCH($F$1,達成条件!$1:$1,0)+1,FALSE)</f>
        <v>ユニットを x 種類手に入れよう！</v>
      </c>
      <c r="H393" s="26" t="str">
        <f ca="1">VLOOKUP($F393,OFFSET(達成条件!$A$1,0,0,COUNTA($A:$A),MATCH(H$1,達成条件!$1:$1,0)-MATCH($F$1,達成条件!$1:$1,0)+1),MATCH(H$1,達成条件!$1:$1,0)-MATCH($F$1,達成条件!$1:$1,0)+1,FALSE)</f>
        <v>ユニットの種類数</v>
      </c>
      <c r="I393" s="58">
        <v>425</v>
      </c>
      <c r="J393" s="54" t="str">
        <f ca="1">IF(F393="specific_unit_aquired_count",SUBSTITUTE(G393,"x",VLOOKUP(INT($I393),OFFSET([3]characters!$A$2,0,0,COUNTA([3]characters!$A:$A),MATCH(J$1,[3]characters!$2:$2,0)-MATCH("character_id",[3]characters!$2:$2,0)+1),MATCH(J$1,[3]characters!$2:$2,0)-MATCH("character_id",[3]characters!$2:$2,0)+1,FALSE)),IF(F393="specific_quest_clear",VLOOKUP(SUBSTITUTE(I393,"-","_"),OFFSET([2]stages!$A$2,0,0,COUNTA([2]stages!$A:$A),MATCH("name",[2]stages!$2:$2,0)-MATCH("temp_stage",[2]stages!$2:$2,0)+1),MATCH("name",[2]stages!$2:$2,0)-MATCH("temp_stage",[2]stages!$2:$2,0)+1,FALSE),""))</f>
        <v/>
      </c>
      <c r="K393" s="15">
        <v>1</v>
      </c>
      <c r="L393" s="15" t="s">
        <v>542</v>
      </c>
      <c r="M393" s="26" t="str">
        <f ca="1">IFERROR(VLOOKUP($L395,OFFSET(missions!$A$2,0,0,COUNTA($A:$A),MATCH(M$1,missions!$2:$2,0)-MATCH("mission_id",missions!$2:$2,0)+1),MATCH(M$1,missions!$2:$2,0)-MATCH("mission_id",missions!$2:$2,0)+1,FALSE),"")</f>
        <v/>
      </c>
      <c r="N393" s="26" t="str">
        <f ca="1">IFERROR(VLOOKUP($L395,OFFSET(missions!$A$2,0,0,COUNTA($A:$A),MATCH(N$1,missions!$2:$2,0)-MATCH("mission_id",missions!$2:$2,0)+1),MATCH(N$1,missions!$2:$2,0)-MATCH("mission_id",missions!$2:$2,0)+1,FALSE),"")</f>
        <v/>
      </c>
    </row>
    <row r="394" spans="1:14" ht="21" customHeight="1" x14ac:dyDescent="0.15">
      <c r="A394" s="2" t="s">
        <v>579</v>
      </c>
      <c r="B394" s="21" t="s">
        <v>792</v>
      </c>
      <c r="C394" s="26" t="str">
        <f t="shared" ca="1" si="52"/>
        <v>ユニットを 450 種類手に入れよう！</v>
      </c>
      <c r="D394" s="26" t="str">
        <f ca="1">IFERROR(VLOOKUP($A394,OFFSET(achievement_criterion_id,0,0,COUNTA($A:$A),MATCH(D$1,missions!$2:$2,0)-MATCH($A$1,missions!$2:$2,0)+1),MATCH(D$1,missions!$2:$2,0)-MATCH($A$1,missions!$2:$2,0)+1,FALSE),IFERROR(VLOOKUP($A394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394" s="27" t="s">
        <v>864</v>
      </c>
      <c r="F394" s="17" t="s">
        <v>34</v>
      </c>
      <c r="G394" s="26" t="str">
        <f ca="1">VLOOKUP($F394,OFFSET(達成条件!$A$1,0,0,COUNTA($A:$A),MATCH(G$1,達成条件!$1:$1,0)-MATCH($F$1,達成条件!$1:$1,0)+1),MATCH(G$1,達成条件!$1:$1,0)-MATCH($F$1,達成条件!$1:$1,0)+1,FALSE)</f>
        <v>ユニットを x 種類手に入れよう！</v>
      </c>
      <c r="H394" s="26" t="str">
        <f ca="1">VLOOKUP($F394,OFFSET(達成条件!$A$1,0,0,COUNTA($A:$A),MATCH(H$1,達成条件!$1:$1,0)-MATCH($F$1,達成条件!$1:$1,0)+1),MATCH(H$1,達成条件!$1:$1,0)-MATCH($F$1,達成条件!$1:$1,0)+1,FALSE)</f>
        <v>ユニットの種類数</v>
      </c>
      <c r="I394" s="58">
        <v>450</v>
      </c>
      <c r="J394" s="54" t="str">
        <f ca="1">IF(F394="specific_unit_aquired_count",SUBSTITUTE(G394,"x",VLOOKUP(INT($I394),OFFSET([3]characters!$A$2,0,0,COUNTA([3]characters!$A:$A),MATCH(J$1,[3]characters!$2:$2,0)-MATCH("character_id",[3]characters!$2:$2,0)+1),MATCH(J$1,[3]characters!$2:$2,0)-MATCH("character_id",[3]characters!$2:$2,0)+1,FALSE)),IF(F394="specific_quest_clear",VLOOKUP(SUBSTITUTE(I394,"-","_"),OFFSET([2]stages!$A$2,0,0,COUNTA([2]stages!$A:$A),MATCH("name",[2]stages!$2:$2,0)-MATCH("temp_stage",[2]stages!$2:$2,0)+1),MATCH("name",[2]stages!$2:$2,0)-MATCH("temp_stage",[2]stages!$2:$2,0)+1,FALSE),""))</f>
        <v/>
      </c>
      <c r="K394" s="15">
        <v>1</v>
      </c>
      <c r="L394" s="15" t="s">
        <v>542</v>
      </c>
      <c r="M394" s="26" t="str">
        <f ca="1">IFERROR(VLOOKUP($L396,OFFSET(missions!$A$2,0,0,COUNTA($A:$A),MATCH(M$1,missions!$2:$2,0)-MATCH("mission_id",missions!$2:$2,0)+1),MATCH(M$1,missions!$2:$2,0)-MATCH("mission_id",missions!$2:$2,0)+1,FALSE),"")</f>
        <v/>
      </c>
      <c r="N394" s="26" t="str">
        <f ca="1">IFERROR(VLOOKUP($L396,OFFSET(missions!$A$2,0,0,COUNTA($A:$A),MATCH(N$1,missions!$2:$2,0)-MATCH("mission_id",missions!$2:$2,0)+1),MATCH(N$1,missions!$2:$2,0)-MATCH("mission_id",missions!$2:$2,0)+1,FALSE),"")</f>
        <v/>
      </c>
    </row>
    <row r="395" spans="1:14" ht="21" customHeight="1" x14ac:dyDescent="0.15">
      <c r="A395" s="2" t="s">
        <v>580</v>
      </c>
      <c r="B395" s="21" t="s">
        <v>792</v>
      </c>
      <c r="C395" s="26" t="str">
        <f t="shared" ca="1" si="52"/>
        <v>ユニットを 475 種類手に入れよう！</v>
      </c>
      <c r="D395" s="26" t="str">
        <f ca="1">IFERROR(VLOOKUP($A395,OFFSET(achievement_criterion_id,0,0,COUNTA($A:$A),MATCH(D$1,missions!$2:$2,0)-MATCH($A$1,missions!$2:$2,0)+1),MATCH(D$1,missions!$2:$2,0)-MATCH($A$1,missions!$2:$2,0)+1,FALSE),IFERROR(VLOOKUP($A395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395" s="27" t="s">
        <v>864</v>
      </c>
      <c r="F395" s="17" t="s">
        <v>34</v>
      </c>
      <c r="G395" s="26" t="str">
        <f ca="1">VLOOKUP($F395,OFFSET(達成条件!$A$1,0,0,COUNTA($A:$A),MATCH(G$1,達成条件!$1:$1,0)-MATCH($F$1,達成条件!$1:$1,0)+1),MATCH(G$1,達成条件!$1:$1,0)-MATCH($F$1,達成条件!$1:$1,0)+1,FALSE)</f>
        <v>ユニットを x 種類手に入れよう！</v>
      </c>
      <c r="H395" s="26" t="str">
        <f ca="1">VLOOKUP($F395,OFFSET(達成条件!$A$1,0,0,COUNTA($A:$A),MATCH(H$1,達成条件!$1:$1,0)-MATCH($F$1,達成条件!$1:$1,0)+1),MATCH(H$1,達成条件!$1:$1,0)-MATCH($F$1,達成条件!$1:$1,0)+1,FALSE)</f>
        <v>ユニットの種類数</v>
      </c>
      <c r="I395" s="58">
        <v>475</v>
      </c>
      <c r="J395" s="54" t="str">
        <f ca="1">IF(F395="specific_unit_aquired_count",SUBSTITUTE(G395,"x",VLOOKUP(INT($I395),OFFSET([3]characters!$A$2,0,0,COUNTA([3]characters!$A:$A),MATCH(J$1,[3]characters!$2:$2,0)-MATCH("character_id",[3]characters!$2:$2,0)+1),MATCH(J$1,[3]characters!$2:$2,0)-MATCH("character_id",[3]characters!$2:$2,0)+1,FALSE)),IF(F395="specific_quest_clear",VLOOKUP(SUBSTITUTE(I395,"-","_"),OFFSET([2]stages!$A$2,0,0,COUNTA([2]stages!$A:$A),MATCH("name",[2]stages!$2:$2,0)-MATCH("temp_stage",[2]stages!$2:$2,0)+1),MATCH("name",[2]stages!$2:$2,0)-MATCH("temp_stage",[2]stages!$2:$2,0)+1,FALSE),""))</f>
        <v/>
      </c>
      <c r="K395" s="15">
        <v>1</v>
      </c>
      <c r="L395" s="15" t="s">
        <v>542</v>
      </c>
      <c r="M395" s="26" t="str">
        <f ca="1">IFERROR(VLOOKUP($L397,OFFSET(missions!$A$2,0,0,COUNTA($A:$A),MATCH(M$1,missions!$2:$2,0)-MATCH("mission_id",missions!$2:$2,0)+1),MATCH(M$1,missions!$2:$2,0)-MATCH("mission_id",missions!$2:$2,0)+1,FALSE),"")</f>
        <v/>
      </c>
      <c r="N395" s="26" t="str">
        <f ca="1">IFERROR(VLOOKUP($L397,OFFSET(missions!$A$2,0,0,COUNTA($A:$A),MATCH(N$1,missions!$2:$2,0)-MATCH("mission_id",missions!$2:$2,0)+1),MATCH(N$1,missions!$2:$2,0)-MATCH("mission_id",missions!$2:$2,0)+1,FALSE),"")</f>
        <v/>
      </c>
    </row>
    <row r="396" spans="1:14" ht="21" customHeight="1" x14ac:dyDescent="0.15">
      <c r="A396" s="2" t="s">
        <v>582</v>
      </c>
      <c r="B396" s="21" t="s">
        <v>792</v>
      </c>
      <c r="C396" s="26" t="str">
        <f t="shared" ca="1" si="52"/>
        <v>ユニットを 500 種類手に入れよう！</v>
      </c>
      <c r="D396" s="26" t="str">
        <f ca="1">IFERROR(VLOOKUP($A396,OFFSET(achievement_criterion_id,0,0,COUNTA($A:$A),MATCH(D$1,missions!$2:$2,0)-MATCH($A$1,missions!$2:$2,0)+1),MATCH(D$1,missions!$2:$2,0)-MATCH($A$1,missions!$2:$2,0)+1,FALSE),IFERROR(VLOOKUP($A396,OFFSET(weekly_achievement_criterion_id,0,0,COUNTA($A:$A),MATCH(D$1,weekly_missions!$2:$2,0)-MATCH($A$1,weekly_missions!$2:$2,0)+1),MATCH(D$1,weekly_missions!$2:$2,0)-MATCH($A$1,weekly_missions!$2:$2,0)+1,FALSE),"＊missions 未設定＊"))</f>
        <v>ポリゴン x 25</v>
      </c>
      <c r="E396" s="27" t="s">
        <v>864</v>
      </c>
      <c r="F396" s="17" t="s">
        <v>34</v>
      </c>
      <c r="G396" s="26" t="str">
        <f ca="1">VLOOKUP($F396,OFFSET(達成条件!$A$1,0,0,COUNTA($A:$A),MATCH(G$1,達成条件!$1:$1,0)-MATCH($F$1,達成条件!$1:$1,0)+1),MATCH(G$1,達成条件!$1:$1,0)-MATCH($F$1,達成条件!$1:$1,0)+1,FALSE)</f>
        <v>ユニットを x 種類手に入れよう！</v>
      </c>
      <c r="H396" s="26" t="str">
        <f ca="1">VLOOKUP($F396,OFFSET(達成条件!$A$1,0,0,COUNTA($A:$A),MATCH(H$1,達成条件!$1:$1,0)-MATCH($F$1,達成条件!$1:$1,0)+1),MATCH(H$1,達成条件!$1:$1,0)-MATCH($F$1,達成条件!$1:$1,0)+1,FALSE)</f>
        <v>ユニットの種類数</v>
      </c>
      <c r="I396" s="58">
        <v>500</v>
      </c>
      <c r="J396" s="54" t="str">
        <f ca="1">IF(F396="specific_unit_aquired_count",SUBSTITUTE(G396,"x",VLOOKUP(INT($I396),OFFSET([3]characters!$A$2,0,0,COUNTA([3]characters!$A:$A),MATCH(J$1,[3]characters!$2:$2,0)-MATCH("character_id",[3]characters!$2:$2,0)+1),MATCH(J$1,[3]characters!$2:$2,0)-MATCH("character_id",[3]characters!$2:$2,0)+1,FALSE)),IF(F396="specific_quest_clear",VLOOKUP(SUBSTITUTE(I396,"-","_"),OFFSET([2]stages!$A$2,0,0,COUNTA([2]stages!$A:$A),MATCH("name",[2]stages!$2:$2,0)-MATCH("temp_stage",[2]stages!$2:$2,0)+1),MATCH("name",[2]stages!$2:$2,0)-MATCH("temp_stage",[2]stages!$2:$2,0)+1,FALSE),""))</f>
        <v/>
      </c>
      <c r="K396" s="15">
        <v>1</v>
      </c>
      <c r="L396" s="15" t="s">
        <v>542</v>
      </c>
      <c r="M396" s="26" t="str">
        <f ca="1">IFERROR(VLOOKUP($L398,OFFSET(missions!$A$2,0,0,COUNTA($A:$A),MATCH(M$1,missions!$2:$2,0)-MATCH("mission_id",missions!$2:$2,0)+1),MATCH(M$1,missions!$2:$2,0)-MATCH("mission_id",missions!$2:$2,0)+1,FALSE),"")</f>
        <v/>
      </c>
      <c r="N396" s="26" t="str">
        <f ca="1">IFERROR(VLOOKUP($L398,OFFSET(missions!$A$2,0,0,COUNTA($A:$A),MATCH(N$1,missions!$2:$2,0)-MATCH("mission_id",missions!$2:$2,0)+1),MATCH(N$1,missions!$2:$2,0)-MATCH("mission_id",missions!$2:$2,0)+1,FALSE),"")</f>
        <v/>
      </c>
    </row>
    <row r="397" spans="1:14" ht="21" customHeight="1" x14ac:dyDescent="0.15">
      <c r="A397" s="2" t="s">
        <v>584</v>
      </c>
      <c r="B397" s="21" t="s">
        <v>792</v>
      </c>
      <c r="C397" s="26" t="str">
        <f t="shared" ca="1" si="52"/>
        <v>ユニットを 525 種類手に入れよう！</v>
      </c>
      <c r="D397" s="26" t="str">
        <f ca="1">IFERROR(VLOOKUP($A397,OFFSET(achievement_criterion_id,0,0,COUNTA($A:$A),MATCH(D$1,missions!$2:$2,0)-MATCH($A$1,missions!$2:$2,0)+1),MATCH(D$1,missions!$2:$2,0)-MATCH($A$1,missions!$2:$2,0)+1,FALSE),IFERROR(VLOOKUP($A397,OFFSET(weekly_achievement_criterion_id,0,0,COUNTA($A:$A),MATCH(D$1,weekly_missions!$2:$2,0)-MATCH($A$1,weekly_missions!$2:$2,0)+1),MATCH(D$1,weekly_missions!$2:$2,0)-MATCH($A$1,weekly_missions!$2:$2,0)+1,FALSE),"＊missions 未設定＊"))</f>
        <v>メガ攻めの果実 x 2</v>
      </c>
      <c r="E397" s="27" t="s">
        <v>864</v>
      </c>
      <c r="F397" s="17" t="s">
        <v>34</v>
      </c>
      <c r="G397" s="26" t="str">
        <f ca="1">VLOOKUP($F397,OFFSET(達成条件!$A$1,0,0,COUNTA($A:$A),MATCH(G$1,達成条件!$1:$1,0)-MATCH($F$1,達成条件!$1:$1,0)+1),MATCH(G$1,達成条件!$1:$1,0)-MATCH($F$1,達成条件!$1:$1,0)+1,FALSE)</f>
        <v>ユニットを x 種類手に入れよう！</v>
      </c>
      <c r="H397" s="26" t="str">
        <f ca="1">VLOOKUP($F397,OFFSET(達成条件!$A$1,0,0,COUNTA($A:$A),MATCH(H$1,達成条件!$1:$1,0)-MATCH($F$1,達成条件!$1:$1,0)+1),MATCH(H$1,達成条件!$1:$1,0)-MATCH($F$1,達成条件!$1:$1,0)+1,FALSE)</f>
        <v>ユニットの種類数</v>
      </c>
      <c r="I397" s="58">
        <v>525</v>
      </c>
      <c r="J397" s="54" t="str">
        <f ca="1">IF(F397="specific_unit_aquired_count",SUBSTITUTE(G397,"x",VLOOKUP(INT($I397),OFFSET([3]characters!$A$2,0,0,COUNTA([3]characters!$A:$A),MATCH(J$1,[3]characters!$2:$2,0)-MATCH("character_id",[3]characters!$2:$2,0)+1),MATCH(J$1,[3]characters!$2:$2,0)-MATCH("character_id",[3]characters!$2:$2,0)+1,FALSE)),IF(F397="specific_quest_clear",VLOOKUP(SUBSTITUTE(I397,"-","_"),OFFSET([2]stages!$A$2,0,0,COUNTA([2]stages!$A:$A),MATCH("name",[2]stages!$2:$2,0)-MATCH("temp_stage",[2]stages!$2:$2,0)+1),MATCH("name",[2]stages!$2:$2,0)-MATCH("temp_stage",[2]stages!$2:$2,0)+1,FALSE),""))</f>
        <v/>
      </c>
      <c r="K397" s="15">
        <v>1</v>
      </c>
      <c r="L397" s="15" t="s">
        <v>542</v>
      </c>
      <c r="M397" s="26" t="str">
        <f ca="1">IFERROR(VLOOKUP($L399,OFFSET(missions!$A$2,0,0,COUNTA($A:$A),MATCH(M$1,missions!$2:$2,0)-MATCH("mission_id",missions!$2:$2,0)+1),MATCH(M$1,missions!$2:$2,0)-MATCH("mission_id",missions!$2:$2,0)+1,FALSE),"")</f>
        <v/>
      </c>
      <c r="N397" s="26" t="str">
        <f ca="1">IFERROR(VLOOKUP($L399,OFFSET(missions!$A$2,0,0,COUNTA($A:$A),MATCH(N$1,missions!$2:$2,0)-MATCH("mission_id",missions!$2:$2,0)+1),MATCH(N$1,missions!$2:$2,0)-MATCH("mission_id",missions!$2:$2,0)+1,FALSE),"")</f>
        <v/>
      </c>
    </row>
    <row r="398" spans="1:14" ht="21" customHeight="1" x14ac:dyDescent="0.15">
      <c r="A398" s="2" t="s">
        <v>586</v>
      </c>
      <c r="B398" s="21" t="s">
        <v>792</v>
      </c>
      <c r="C398" s="26" t="str">
        <f t="shared" ca="1" si="52"/>
        <v>ユニットを 550 種類手に入れよう！</v>
      </c>
      <c r="D398" s="26" t="str">
        <f ca="1">IFERROR(VLOOKUP($A398,OFFSET(achievement_criterion_id,0,0,COUNTA($A:$A),MATCH(D$1,missions!$2:$2,0)-MATCH($A$1,missions!$2:$2,0)+1),MATCH(D$1,missions!$2:$2,0)-MATCH($A$1,missions!$2:$2,0)+1,FALSE),IFERROR(VLOOKUP($A398,OFFSET(weekly_achievement_criterion_id,0,0,COUNTA($A:$A),MATCH(D$1,weekly_missions!$2:$2,0)-MATCH($A$1,weekly_missions!$2:$2,0)+1),MATCH(D$1,weekly_missions!$2:$2,0)-MATCH($A$1,weekly_missions!$2:$2,0)+1,FALSE),"＊missions 未設定＊"))</f>
        <v>経験値キー x 1</v>
      </c>
      <c r="E398" s="27" t="s">
        <v>864</v>
      </c>
      <c r="F398" s="17" t="s">
        <v>34</v>
      </c>
      <c r="G398" s="26" t="str">
        <f ca="1">VLOOKUP($F398,OFFSET(達成条件!$A$1,0,0,COUNTA($A:$A),MATCH(G$1,達成条件!$1:$1,0)-MATCH($F$1,達成条件!$1:$1,0)+1),MATCH(G$1,達成条件!$1:$1,0)-MATCH($F$1,達成条件!$1:$1,0)+1,FALSE)</f>
        <v>ユニットを x 種類手に入れよう！</v>
      </c>
      <c r="H398" s="26" t="str">
        <f ca="1">VLOOKUP($F398,OFFSET(達成条件!$A$1,0,0,COUNTA($A:$A),MATCH(H$1,達成条件!$1:$1,0)-MATCH($F$1,達成条件!$1:$1,0)+1),MATCH(H$1,達成条件!$1:$1,0)-MATCH($F$1,達成条件!$1:$1,0)+1,FALSE)</f>
        <v>ユニットの種類数</v>
      </c>
      <c r="I398" s="58">
        <v>550</v>
      </c>
      <c r="J398" s="54" t="str">
        <f ca="1">IF(F398="specific_unit_aquired_count",SUBSTITUTE(G398,"x",VLOOKUP(INT($I398),OFFSET([3]characters!$A$2,0,0,COUNTA([3]characters!$A:$A),MATCH(J$1,[3]characters!$2:$2,0)-MATCH("character_id",[3]characters!$2:$2,0)+1),MATCH(J$1,[3]characters!$2:$2,0)-MATCH("character_id",[3]characters!$2:$2,0)+1,FALSE)),IF(F398="specific_quest_clear",VLOOKUP(SUBSTITUTE(I398,"-","_"),OFFSET([2]stages!$A$2,0,0,COUNTA([2]stages!$A:$A),MATCH("name",[2]stages!$2:$2,0)-MATCH("temp_stage",[2]stages!$2:$2,0)+1),MATCH("name",[2]stages!$2:$2,0)-MATCH("temp_stage",[2]stages!$2:$2,0)+1,FALSE),""))</f>
        <v/>
      </c>
      <c r="K398" s="15">
        <v>1</v>
      </c>
      <c r="L398" s="15" t="s">
        <v>542</v>
      </c>
      <c r="M398" s="26" t="str">
        <f ca="1">IFERROR(VLOOKUP($L400,OFFSET(missions!$A$2,0,0,COUNTA($A:$A),MATCH(M$1,missions!$2:$2,0)-MATCH("mission_id",missions!$2:$2,0)+1),MATCH(M$1,missions!$2:$2,0)-MATCH("mission_id",missions!$2:$2,0)+1,FALSE),"")</f>
        <v/>
      </c>
      <c r="N398" s="26" t="str">
        <f ca="1">IFERROR(VLOOKUP($L400,OFFSET(missions!$A$2,0,0,COUNTA($A:$A),MATCH(N$1,missions!$2:$2,0)-MATCH("mission_id",missions!$2:$2,0)+1),MATCH(N$1,missions!$2:$2,0)-MATCH("mission_id",missions!$2:$2,0)+1,FALSE),"")</f>
        <v/>
      </c>
    </row>
    <row r="399" spans="1:14" ht="21" customHeight="1" x14ac:dyDescent="0.15">
      <c r="A399" s="2" t="s">
        <v>588</v>
      </c>
      <c r="B399" s="21" t="s">
        <v>792</v>
      </c>
      <c r="C399" s="26" t="str">
        <f t="shared" ca="1" si="52"/>
        <v>ユニットを 575 種類手に入れよう！</v>
      </c>
      <c r="D399" s="26" t="str">
        <f ca="1">IFERROR(VLOOKUP($A399,OFFSET(achievement_criterion_id,0,0,COUNTA($A:$A),MATCH(D$1,missions!$2:$2,0)-MATCH($A$1,missions!$2:$2,0)+1),MATCH(D$1,missions!$2:$2,0)-MATCH($A$1,missions!$2:$2,0)+1,FALSE),IFERROR(VLOOKUP($A399,OFFSET(weekly_achievement_criterion_id,0,0,COUNTA($A:$A),MATCH(D$1,weekly_missions!$2:$2,0)-MATCH($A$1,weekly_missions!$2:$2,0)+1),MATCH(D$1,weekly_missions!$2:$2,0)-MATCH($A$1,weekly_missions!$2:$2,0)+1,FALSE),"＊missions 未設定＊"))</f>
        <v>メガ生命の果実 x 2</v>
      </c>
      <c r="E399" s="27" t="s">
        <v>864</v>
      </c>
      <c r="F399" s="17" t="s">
        <v>34</v>
      </c>
      <c r="G399" s="26" t="str">
        <f ca="1">VLOOKUP($F399,OFFSET(達成条件!$A$1,0,0,COUNTA($A:$A),MATCH(G$1,達成条件!$1:$1,0)-MATCH($F$1,達成条件!$1:$1,0)+1),MATCH(G$1,達成条件!$1:$1,0)-MATCH($F$1,達成条件!$1:$1,0)+1,FALSE)</f>
        <v>ユニットを x 種類手に入れよう！</v>
      </c>
      <c r="H399" s="26" t="str">
        <f ca="1">VLOOKUP($F399,OFFSET(達成条件!$A$1,0,0,COUNTA($A:$A),MATCH(H$1,達成条件!$1:$1,0)-MATCH($F$1,達成条件!$1:$1,0)+1),MATCH(H$1,達成条件!$1:$1,0)-MATCH($F$1,達成条件!$1:$1,0)+1,FALSE)</f>
        <v>ユニットの種類数</v>
      </c>
      <c r="I399" s="58">
        <v>575</v>
      </c>
      <c r="J399" s="54" t="str">
        <f ca="1">IF(F399="specific_unit_aquired_count",SUBSTITUTE(G399,"x",VLOOKUP(INT($I399),OFFSET([3]characters!$A$2,0,0,COUNTA([3]characters!$A:$A),MATCH(J$1,[3]characters!$2:$2,0)-MATCH("character_id",[3]characters!$2:$2,0)+1),MATCH(J$1,[3]characters!$2:$2,0)-MATCH("character_id",[3]characters!$2:$2,0)+1,FALSE)),IF(F399="specific_quest_clear",VLOOKUP(SUBSTITUTE(I399,"-","_"),OFFSET([2]stages!$A$2,0,0,COUNTA([2]stages!$A:$A),MATCH("name",[2]stages!$2:$2,0)-MATCH("temp_stage",[2]stages!$2:$2,0)+1),MATCH("name",[2]stages!$2:$2,0)-MATCH("temp_stage",[2]stages!$2:$2,0)+1,FALSE),""))</f>
        <v/>
      </c>
      <c r="K399" s="15">
        <v>1</v>
      </c>
      <c r="L399" s="15" t="s">
        <v>542</v>
      </c>
      <c r="M399" s="26" t="str">
        <f ca="1">IFERROR(VLOOKUP($L401,OFFSET(missions!$A$2,0,0,COUNTA($A:$A),MATCH(M$1,missions!$2:$2,0)-MATCH("mission_id",missions!$2:$2,0)+1),MATCH(M$1,missions!$2:$2,0)-MATCH("mission_id",missions!$2:$2,0)+1,FALSE),"")</f>
        <v/>
      </c>
      <c r="N399" s="26" t="str">
        <f ca="1">IFERROR(VLOOKUP($L401,OFFSET(missions!$A$2,0,0,COUNTA($A:$A),MATCH(N$1,missions!$2:$2,0)-MATCH("mission_id",missions!$2:$2,0)+1),MATCH(N$1,missions!$2:$2,0)-MATCH("mission_id",missions!$2:$2,0)+1,FALSE),"")</f>
        <v/>
      </c>
    </row>
    <row r="400" spans="1:14" ht="21" customHeight="1" x14ac:dyDescent="0.15">
      <c r="A400" s="2" t="s">
        <v>590</v>
      </c>
      <c r="B400" s="21" t="s">
        <v>792</v>
      </c>
      <c r="C400" s="26" t="str">
        <f t="shared" ca="1" si="52"/>
        <v>ユニットを 600 種類手に入れよう！</v>
      </c>
      <c r="D400" s="26" t="str">
        <f ca="1">IFERROR(VLOOKUP($A400,OFFSET(achievement_criterion_id,0,0,COUNTA($A:$A),MATCH(D$1,missions!$2:$2,0)-MATCH($A$1,missions!$2:$2,0)+1),MATCH(D$1,missions!$2:$2,0)-MATCH($A$1,missions!$2:$2,0)+1,FALSE),IFERROR(VLOOKUP($A400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400" s="27" t="s">
        <v>864</v>
      </c>
      <c r="F400" s="17" t="s">
        <v>34</v>
      </c>
      <c r="G400" s="26" t="str">
        <f ca="1">VLOOKUP($F400,OFFSET(達成条件!$A$1,0,0,COUNTA($A:$A),MATCH(G$1,達成条件!$1:$1,0)-MATCH($F$1,達成条件!$1:$1,0)+1),MATCH(G$1,達成条件!$1:$1,0)-MATCH($F$1,達成条件!$1:$1,0)+1,FALSE)</f>
        <v>ユニットを x 種類手に入れよう！</v>
      </c>
      <c r="H400" s="26" t="str">
        <f ca="1">VLOOKUP($F400,OFFSET(達成条件!$A$1,0,0,COUNTA($A:$A),MATCH(H$1,達成条件!$1:$1,0)-MATCH($F$1,達成条件!$1:$1,0)+1),MATCH(H$1,達成条件!$1:$1,0)-MATCH($F$1,達成条件!$1:$1,0)+1,FALSE)</f>
        <v>ユニットの種類数</v>
      </c>
      <c r="I400" s="58">
        <v>600</v>
      </c>
      <c r="J400" s="54" t="str">
        <f ca="1">IF(F400="specific_unit_aquired_count",SUBSTITUTE(G400,"x",VLOOKUP(INT($I400),OFFSET([3]characters!$A$2,0,0,COUNTA([3]characters!$A:$A),MATCH(J$1,[3]characters!$2:$2,0)-MATCH("character_id",[3]characters!$2:$2,0)+1),MATCH(J$1,[3]characters!$2:$2,0)-MATCH("character_id",[3]characters!$2:$2,0)+1,FALSE)),IF(F400="specific_quest_clear",VLOOKUP(SUBSTITUTE(I400,"-","_"),OFFSET([2]stages!$A$2,0,0,COUNTA([2]stages!$A:$A),MATCH("name",[2]stages!$2:$2,0)-MATCH("temp_stage",[2]stages!$2:$2,0)+1),MATCH("name",[2]stages!$2:$2,0)-MATCH("temp_stage",[2]stages!$2:$2,0)+1,FALSE),""))</f>
        <v/>
      </c>
      <c r="K400" s="15">
        <v>1</v>
      </c>
      <c r="L400" s="15" t="s">
        <v>542</v>
      </c>
      <c r="M400" s="26" t="str">
        <f ca="1">IFERROR(VLOOKUP($L402,OFFSET(missions!$A$2,0,0,COUNTA($A:$A),MATCH(M$1,missions!$2:$2,0)-MATCH("mission_id",missions!$2:$2,0)+1),MATCH(M$1,missions!$2:$2,0)-MATCH("mission_id",missions!$2:$2,0)+1,FALSE),"")</f>
        <v/>
      </c>
      <c r="N400" s="26" t="str">
        <f ca="1">IFERROR(VLOOKUP($L402,OFFSET(missions!$A$2,0,0,COUNTA($A:$A),MATCH(N$1,missions!$2:$2,0)-MATCH("mission_id",missions!$2:$2,0)+1),MATCH(N$1,missions!$2:$2,0)-MATCH("mission_id",missions!$2:$2,0)+1,FALSE),"")</f>
        <v/>
      </c>
    </row>
    <row r="401" spans="1:14" ht="21" customHeight="1" x14ac:dyDescent="0.15">
      <c r="A401" s="2" t="s">
        <v>592</v>
      </c>
      <c r="B401" s="21" t="s">
        <v>792</v>
      </c>
      <c r="C401" s="26" t="str">
        <f ca="1">IF(F401="specific_quest_clear",SUBSTITUTE(G401,"x",J401),IF(F401="specific_unit_aquired_count",SUBSTITUTE(J401,"y",K401),SUBSTITUTE(G401,"x",I401)))</f>
        <v>ユニットを 625 種類手に入れよう！</v>
      </c>
      <c r="D401" s="26" t="str">
        <f ca="1">IFERROR(VLOOKUP($A401,OFFSET(achievement_criterion_id,0,0,COUNTA($A:$A),MATCH(D$1,missions!$2:$2,0)-MATCH($A$1,missions!$2:$2,0)+1),MATCH(D$1,missions!$2:$2,0)-MATCH($A$1,missions!$2:$2,0)+1,FALSE),IFERROR(VLOOKUP($A401,OFFSET(weekly_achievement_criterion_id,0,0,COUNTA($A:$A),MATCH(D$1,weekly_missions!$2:$2,0)-MATCH($A$1,weekly_missions!$2:$2,0)+1),MATCH(D$1,weekly_missions!$2:$2,0)-MATCH($A$1,weekly_missions!$2:$2,0)+1,FALSE),"＊missions 未設定＊"))</f>
        <v>メガ癒しの果実 x 2</v>
      </c>
      <c r="E401" s="27" t="s">
        <v>864</v>
      </c>
      <c r="F401" s="17" t="s">
        <v>34</v>
      </c>
      <c r="G401" s="26" t="str">
        <f ca="1">VLOOKUP($F401,OFFSET(達成条件!$A$1,0,0,COUNTA($A:$A),MATCH(G$1,達成条件!$1:$1,0)-MATCH($F$1,達成条件!$1:$1,0)+1),MATCH(G$1,達成条件!$1:$1,0)-MATCH($F$1,達成条件!$1:$1,0)+1,FALSE)</f>
        <v>ユニットを x 種類手に入れよう！</v>
      </c>
      <c r="H401" s="26" t="str">
        <f ca="1">VLOOKUP($F401,OFFSET(達成条件!$A$1,0,0,COUNTA($A:$A),MATCH(H$1,達成条件!$1:$1,0)-MATCH($F$1,達成条件!$1:$1,0)+1),MATCH(H$1,達成条件!$1:$1,0)-MATCH($F$1,達成条件!$1:$1,0)+1,FALSE)</f>
        <v>ユニットの種類数</v>
      </c>
      <c r="I401" s="58">
        <v>625</v>
      </c>
      <c r="J401" s="54" t="str">
        <f ca="1">IF(F401="specific_unit_aquired_count",SUBSTITUTE(G401,"x",VLOOKUP(INT($I401),OFFSET([3]characters!$A$2,0,0,COUNTA([3]characters!$A:$A),MATCH(J$1,[3]characters!$2:$2,0)-MATCH("character_id",[3]characters!$2:$2,0)+1),MATCH(J$1,[3]characters!$2:$2,0)-MATCH("character_id",[3]characters!$2:$2,0)+1,FALSE)),IF(F401="specific_quest_clear",VLOOKUP(SUBSTITUTE(I401,"-","_"),OFFSET([2]stages!$A$2,0,0,COUNTA([2]stages!$A:$A),MATCH("name",[2]stages!$2:$2,0)-MATCH("temp_stage",[2]stages!$2:$2,0)+1),MATCH("name",[2]stages!$2:$2,0)-MATCH("temp_stage",[2]stages!$2:$2,0)+1,FALSE),""))</f>
        <v/>
      </c>
      <c r="K401" s="15">
        <v>1</v>
      </c>
      <c r="L401" s="15" t="s">
        <v>542</v>
      </c>
      <c r="M401" s="26" t="str">
        <f ca="1">IFERROR(VLOOKUP($L403,OFFSET(missions!$A$2,0,0,COUNTA($A:$A),MATCH(M$1,missions!$2:$2,0)-MATCH("mission_id",missions!$2:$2,0)+1),MATCH(M$1,missions!$2:$2,0)-MATCH("mission_id",missions!$2:$2,0)+1,FALSE),"")</f>
        <v/>
      </c>
      <c r="N401" s="26" t="str">
        <f ca="1">IFERROR(VLOOKUP($L403,OFFSET(missions!$A$2,0,0,COUNTA($A:$A),MATCH(N$1,missions!$2:$2,0)-MATCH("mission_id",missions!$2:$2,0)+1),MATCH(N$1,missions!$2:$2,0)-MATCH("mission_id",missions!$2:$2,0)+1,FALSE),"")</f>
        <v/>
      </c>
    </row>
    <row r="402" spans="1:14" ht="21" customHeight="1" x14ac:dyDescent="0.15">
      <c r="A402" s="2" t="s">
        <v>594</v>
      </c>
      <c r="B402" s="21" t="s">
        <v>792</v>
      </c>
      <c r="C402" s="26" t="str">
        <f t="shared" ca="1" si="52"/>
        <v>ユニットを 650 種類手に入れよう！</v>
      </c>
      <c r="D402" s="26" t="str">
        <f ca="1">IFERROR(VLOOKUP($A402,OFFSET(achievement_criterion_id,0,0,COUNTA($A:$A),MATCH(D$1,missions!$2:$2,0)-MATCH($A$1,missions!$2:$2,0)+1),MATCH(D$1,missions!$2:$2,0)-MATCH($A$1,missions!$2:$2,0)+1,FALSE),IFERROR(VLOOKUP($A402,OFFSET(weekly_achievement_criterion_id,0,0,COUNTA($A:$A),MATCH(D$1,weekly_missions!$2:$2,0)-MATCH($A$1,weekly_missions!$2:$2,0)+1),MATCH(D$1,weekly_missions!$2:$2,0)-MATCH($A$1,weekly_missions!$2:$2,0)+1,FALSE),"＊missions 未設定＊"))</f>
        <v>ビットキー x 1</v>
      </c>
      <c r="E402" s="27" t="s">
        <v>864</v>
      </c>
      <c r="F402" s="17" t="s">
        <v>34</v>
      </c>
      <c r="G402" s="26" t="str">
        <f ca="1">VLOOKUP($F402,OFFSET(達成条件!$A$1,0,0,COUNTA($A:$A),MATCH(G$1,達成条件!$1:$1,0)-MATCH($F$1,達成条件!$1:$1,0)+1),MATCH(G$1,達成条件!$1:$1,0)-MATCH($F$1,達成条件!$1:$1,0)+1,FALSE)</f>
        <v>ユニットを x 種類手に入れよう！</v>
      </c>
      <c r="H402" s="26" t="str">
        <f ca="1">VLOOKUP($F402,OFFSET(達成条件!$A$1,0,0,COUNTA($A:$A),MATCH(H$1,達成条件!$1:$1,0)-MATCH($F$1,達成条件!$1:$1,0)+1),MATCH(H$1,達成条件!$1:$1,0)-MATCH($F$1,達成条件!$1:$1,0)+1,FALSE)</f>
        <v>ユニットの種類数</v>
      </c>
      <c r="I402" s="58">
        <v>650</v>
      </c>
      <c r="J402" s="54" t="str">
        <f ca="1">IF(F402="specific_unit_aquired_count",SUBSTITUTE(G402,"x",VLOOKUP(INT($I402),OFFSET([3]characters!$A$2,0,0,COUNTA([3]characters!$A:$A),MATCH(J$1,[3]characters!$2:$2,0)-MATCH("character_id",[3]characters!$2:$2,0)+1),MATCH(J$1,[3]characters!$2:$2,0)-MATCH("character_id",[3]characters!$2:$2,0)+1,FALSE)),IF(F402="specific_quest_clear",VLOOKUP(SUBSTITUTE(I402,"-","_"),OFFSET([2]stages!$A$2,0,0,COUNTA([2]stages!$A:$A),MATCH("name",[2]stages!$2:$2,0)-MATCH("temp_stage",[2]stages!$2:$2,0)+1),MATCH("name",[2]stages!$2:$2,0)-MATCH("temp_stage",[2]stages!$2:$2,0)+1,FALSE),""))</f>
        <v/>
      </c>
      <c r="K402" s="15">
        <v>1</v>
      </c>
      <c r="L402" s="15" t="s">
        <v>542</v>
      </c>
      <c r="M402" s="26" t="str">
        <f ca="1">IFERROR(VLOOKUP($L404,OFFSET(missions!$A$2,0,0,COUNTA($A:$A),MATCH(M$1,missions!$2:$2,0)-MATCH("mission_id",missions!$2:$2,0)+1),MATCH(M$1,missions!$2:$2,0)-MATCH("mission_id",missions!$2:$2,0)+1,FALSE),"")</f>
        <v/>
      </c>
      <c r="N402" s="26" t="str">
        <f ca="1">IFERROR(VLOOKUP($L404,OFFSET(missions!$A$2,0,0,COUNTA($A:$A),MATCH(N$1,missions!$2:$2,0)-MATCH("mission_id",missions!$2:$2,0)+1),MATCH(N$1,missions!$2:$2,0)-MATCH("mission_id",missions!$2:$2,0)+1,FALSE),"")</f>
        <v/>
      </c>
    </row>
    <row r="403" spans="1:14" ht="21" customHeight="1" x14ac:dyDescent="0.15">
      <c r="A403" s="2" t="s">
        <v>596</v>
      </c>
      <c r="B403" s="21" t="s">
        <v>792</v>
      </c>
      <c r="C403" s="26" t="str">
        <f t="shared" ca="1" si="52"/>
        <v>ユニットを 675 種類手に入れよう！</v>
      </c>
      <c r="D403" s="26" t="str">
        <f ca="1">IFERROR(VLOOKUP($A403,OFFSET(achievement_criterion_id,0,0,COUNTA($A:$A),MATCH(D$1,missions!$2:$2,0)-MATCH($A$1,missions!$2:$2,0)+1),MATCH(D$1,missions!$2:$2,0)-MATCH($A$1,missions!$2:$2,0)+1,FALSE),IFERROR(VLOOKUP($A403,OFFSET(weekly_achievement_criterion_id,0,0,COUNTA($A:$A),MATCH(D$1,weekly_missions!$2:$2,0)-MATCH($A$1,weekly_missions!$2:$2,0)+1),MATCH(D$1,weekly_missions!$2:$2,0)-MATCH($A$1,weekly_missions!$2:$2,0)+1,FALSE),"＊missions 未設定＊"))</f>
        <v>メガ秘術の果実 x 2</v>
      </c>
      <c r="E403" s="27" t="s">
        <v>864</v>
      </c>
      <c r="F403" s="17" t="s">
        <v>34</v>
      </c>
      <c r="G403" s="26" t="str">
        <f ca="1">VLOOKUP($F403,OFFSET(達成条件!$A$1,0,0,COUNTA($A:$A),MATCH(G$1,達成条件!$1:$1,0)-MATCH($F$1,達成条件!$1:$1,0)+1),MATCH(G$1,達成条件!$1:$1,0)-MATCH($F$1,達成条件!$1:$1,0)+1,FALSE)</f>
        <v>ユニットを x 種類手に入れよう！</v>
      </c>
      <c r="H403" s="26" t="str">
        <f ca="1">VLOOKUP($F403,OFFSET(達成条件!$A$1,0,0,COUNTA($A:$A),MATCH(H$1,達成条件!$1:$1,0)-MATCH($F$1,達成条件!$1:$1,0)+1),MATCH(H$1,達成条件!$1:$1,0)-MATCH($F$1,達成条件!$1:$1,0)+1,FALSE)</f>
        <v>ユニットの種類数</v>
      </c>
      <c r="I403" s="58">
        <v>675</v>
      </c>
      <c r="J403" s="54" t="str">
        <f ca="1">IF(F403="specific_unit_aquired_count",SUBSTITUTE(G403,"x",VLOOKUP(INT($I403),OFFSET([3]characters!$A$2,0,0,COUNTA([3]characters!$A:$A),MATCH(J$1,[3]characters!$2:$2,0)-MATCH("character_id",[3]characters!$2:$2,0)+1),MATCH(J$1,[3]characters!$2:$2,0)-MATCH("character_id",[3]characters!$2:$2,0)+1,FALSE)),IF(F403="specific_quest_clear",VLOOKUP(SUBSTITUTE(I403,"-","_"),OFFSET([2]stages!$A$2,0,0,COUNTA([2]stages!$A:$A),MATCH("name",[2]stages!$2:$2,0)-MATCH("temp_stage",[2]stages!$2:$2,0)+1),MATCH("name",[2]stages!$2:$2,0)-MATCH("temp_stage",[2]stages!$2:$2,0)+1,FALSE),""))</f>
        <v/>
      </c>
      <c r="K403" s="15">
        <v>1</v>
      </c>
      <c r="L403" s="15" t="s">
        <v>542</v>
      </c>
      <c r="M403" s="26" t="str">
        <f ca="1">IFERROR(VLOOKUP($L405,OFFSET(missions!$A$2,0,0,COUNTA($A:$A),MATCH(M$1,missions!$2:$2,0)-MATCH("mission_id",missions!$2:$2,0)+1),MATCH(M$1,missions!$2:$2,0)-MATCH("mission_id",missions!$2:$2,0)+1,FALSE),"")</f>
        <v/>
      </c>
      <c r="N403" s="26" t="str">
        <f ca="1">IFERROR(VLOOKUP($L405,OFFSET(missions!$A$2,0,0,COUNTA($A:$A),MATCH(N$1,missions!$2:$2,0)-MATCH("mission_id",missions!$2:$2,0)+1),MATCH(N$1,missions!$2:$2,0)-MATCH("mission_id",missions!$2:$2,0)+1,FALSE),"")</f>
        <v/>
      </c>
    </row>
    <row r="404" spans="1:14" ht="21" customHeight="1" x14ac:dyDescent="0.15">
      <c r="A404" s="2" t="s">
        <v>598</v>
      </c>
      <c r="B404" s="21" t="s">
        <v>792</v>
      </c>
      <c r="C404" s="26" t="str">
        <f t="shared" ca="1" si="52"/>
        <v>ユニットを 700 種類手に入れよう！</v>
      </c>
      <c r="D404" s="26" t="str">
        <f ca="1">IFERROR(VLOOKUP($A404,OFFSET(achievement_criterion_id,0,0,COUNTA($A:$A),MATCH(D$1,missions!$2:$2,0)-MATCH($A$1,missions!$2:$2,0)+1),MATCH(D$1,missions!$2:$2,0)-MATCH($A$1,missions!$2:$2,0)+1,FALSE),IFERROR(VLOOKUP($A404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404" s="27" t="s">
        <v>864</v>
      </c>
      <c r="F404" s="17" t="s">
        <v>34</v>
      </c>
      <c r="G404" s="26" t="str">
        <f ca="1">VLOOKUP($F404,OFFSET(達成条件!$A$1,0,0,COUNTA($A:$A),MATCH(G$1,達成条件!$1:$1,0)-MATCH($F$1,達成条件!$1:$1,0)+1),MATCH(G$1,達成条件!$1:$1,0)-MATCH($F$1,達成条件!$1:$1,0)+1,FALSE)</f>
        <v>ユニットを x 種類手に入れよう！</v>
      </c>
      <c r="H404" s="26" t="str">
        <f ca="1">VLOOKUP($F404,OFFSET(達成条件!$A$1,0,0,COUNTA($A:$A),MATCH(H$1,達成条件!$1:$1,0)-MATCH($F$1,達成条件!$1:$1,0)+1),MATCH(H$1,達成条件!$1:$1,0)-MATCH($F$1,達成条件!$1:$1,0)+1,FALSE)</f>
        <v>ユニットの種類数</v>
      </c>
      <c r="I404" s="58">
        <v>700</v>
      </c>
      <c r="J404" s="54" t="str">
        <f ca="1">IF(F404="specific_unit_aquired_count",SUBSTITUTE(G404,"x",VLOOKUP(INT($I404),OFFSET([3]characters!$A$2,0,0,COUNTA([3]characters!$A:$A),MATCH(J$1,[3]characters!$2:$2,0)-MATCH("character_id",[3]characters!$2:$2,0)+1),MATCH(J$1,[3]characters!$2:$2,0)-MATCH("character_id",[3]characters!$2:$2,0)+1,FALSE)),IF(F404="specific_quest_clear",VLOOKUP(SUBSTITUTE(I404,"-","_"),OFFSET([2]stages!$A$2,0,0,COUNTA([2]stages!$A:$A),MATCH("name",[2]stages!$2:$2,0)-MATCH("temp_stage",[2]stages!$2:$2,0)+1),MATCH("name",[2]stages!$2:$2,0)-MATCH("temp_stage",[2]stages!$2:$2,0)+1,FALSE),""))</f>
        <v/>
      </c>
      <c r="K404" s="15">
        <v>1</v>
      </c>
      <c r="L404" s="15" t="s">
        <v>542</v>
      </c>
      <c r="M404" s="26" t="str">
        <f ca="1">IFERROR(VLOOKUP($L406,OFFSET(missions!$A$2,0,0,COUNTA($A:$A),MATCH(M$1,missions!$2:$2,0)-MATCH("mission_id",missions!$2:$2,0)+1),MATCH(M$1,missions!$2:$2,0)-MATCH("mission_id",missions!$2:$2,0)+1,FALSE),"")</f>
        <v/>
      </c>
      <c r="N404" s="26" t="str">
        <f ca="1">IFERROR(VLOOKUP($L406,OFFSET(missions!$A$2,0,0,COUNTA($A:$A),MATCH(N$1,missions!$2:$2,0)-MATCH("mission_id",missions!$2:$2,0)+1),MATCH(N$1,missions!$2:$2,0)-MATCH("mission_id",missions!$2:$2,0)+1,FALSE),"")</f>
        <v/>
      </c>
    </row>
    <row r="405" spans="1:14" ht="21" customHeight="1" x14ac:dyDescent="0.15">
      <c r="A405" s="2" t="s">
        <v>600</v>
      </c>
      <c r="B405" s="21" t="s">
        <v>792</v>
      </c>
      <c r="C405" s="26" t="str">
        <f t="shared" ca="1" si="52"/>
        <v>ユニットを 725 種類手に入れよう！</v>
      </c>
      <c r="D405" s="26" t="str">
        <f ca="1">IFERROR(VLOOKUP($A405,OFFSET(achievement_criterion_id,0,0,COUNTA($A:$A),MATCH(D$1,missions!$2:$2,0)-MATCH($A$1,missions!$2:$2,0)+1),MATCH(D$1,missions!$2:$2,0)-MATCH($A$1,missions!$2:$2,0)+1,FALSE),IFERROR(VLOOKUP($A405,OFFSET(weekly_achievement_criterion_id,0,0,COUNTA($A:$A),MATCH(D$1,weekly_missions!$2:$2,0)-MATCH($A$1,weekly_missions!$2:$2,0)+1),MATCH(D$1,weekly_missions!$2:$2,0)-MATCH($A$1,weekly_missions!$2:$2,0)+1,FALSE),"＊missions 未設定＊"))</f>
        <v>ギガ攻めの果実 x 1</v>
      </c>
      <c r="E405" s="27" t="s">
        <v>864</v>
      </c>
      <c r="F405" s="17" t="s">
        <v>34</v>
      </c>
      <c r="G405" s="26" t="str">
        <f ca="1">VLOOKUP($F405,OFFSET(達成条件!$A$1,0,0,COUNTA($A:$A),MATCH(G$1,達成条件!$1:$1,0)-MATCH($F$1,達成条件!$1:$1,0)+1),MATCH(G$1,達成条件!$1:$1,0)-MATCH($F$1,達成条件!$1:$1,0)+1,FALSE)</f>
        <v>ユニットを x 種類手に入れよう！</v>
      </c>
      <c r="H405" s="26" t="str">
        <f ca="1">VLOOKUP($F405,OFFSET(達成条件!$A$1,0,0,COUNTA($A:$A),MATCH(H$1,達成条件!$1:$1,0)-MATCH($F$1,達成条件!$1:$1,0)+1),MATCH(H$1,達成条件!$1:$1,0)-MATCH($F$1,達成条件!$1:$1,0)+1,FALSE)</f>
        <v>ユニットの種類数</v>
      </c>
      <c r="I405" s="58">
        <v>725</v>
      </c>
      <c r="J405" s="54" t="str">
        <f ca="1">IF(F405="specific_unit_aquired_count",SUBSTITUTE(G405,"x",VLOOKUP(INT($I405),OFFSET([3]characters!$A$2,0,0,COUNTA([3]characters!$A:$A),MATCH(J$1,[3]characters!$2:$2,0)-MATCH("character_id",[3]characters!$2:$2,0)+1),MATCH(J$1,[3]characters!$2:$2,0)-MATCH("character_id",[3]characters!$2:$2,0)+1,FALSE)),IF(F405="specific_quest_clear",VLOOKUP(SUBSTITUTE(I405,"-","_"),OFFSET([2]stages!$A$2,0,0,COUNTA([2]stages!$A:$A),MATCH("name",[2]stages!$2:$2,0)-MATCH("temp_stage",[2]stages!$2:$2,0)+1),MATCH("name",[2]stages!$2:$2,0)-MATCH("temp_stage",[2]stages!$2:$2,0)+1,FALSE),""))</f>
        <v/>
      </c>
      <c r="K405" s="15">
        <v>1</v>
      </c>
      <c r="L405" s="15" t="s">
        <v>542</v>
      </c>
      <c r="M405" s="26" t="str">
        <f ca="1">IFERROR(VLOOKUP($L407,OFFSET(missions!$A$2,0,0,COUNTA($A:$A),MATCH(M$1,missions!$2:$2,0)-MATCH("mission_id",missions!$2:$2,0)+1),MATCH(M$1,missions!$2:$2,0)-MATCH("mission_id",missions!$2:$2,0)+1,FALSE),"")</f>
        <v/>
      </c>
      <c r="N405" s="26" t="str">
        <f ca="1">IFERROR(VLOOKUP($L407,OFFSET(missions!$A$2,0,0,COUNTA($A:$A),MATCH(N$1,missions!$2:$2,0)-MATCH("mission_id",missions!$2:$2,0)+1),MATCH(N$1,missions!$2:$2,0)-MATCH("mission_id",missions!$2:$2,0)+1,FALSE),"")</f>
        <v/>
      </c>
    </row>
    <row r="406" spans="1:14" ht="21" customHeight="1" x14ac:dyDescent="0.15">
      <c r="A406" s="2" t="s">
        <v>602</v>
      </c>
      <c r="B406" s="21" t="s">
        <v>792</v>
      </c>
      <c r="C406" s="26" t="str">
        <f t="shared" ca="1" si="52"/>
        <v>ユニットを 750 種類手に入れよう！</v>
      </c>
      <c r="D406" s="26" t="str">
        <f ca="1">IFERROR(VLOOKUP($A406,OFFSET(achievement_criterion_id,0,0,COUNTA($A:$A),MATCH(D$1,missions!$2:$2,0)-MATCH($A$1,missions!$2:$2,0)+1),MATCH(D$1,missions!$2:$2,0)-MATCH($A$1,missions!$2:$2,0)+1,FALSE),IFERROR(VLOOKUP($A406,OFFSET(weekly_achievement_criterion_id,0,0,COUNTA($A:$A),MATCH(D$1,weekly_missions!$2:$2,0)-MATCH($A$1,weekly_missions!$2:$2,0)+1),MATCH(D$1,weekly_missions!$2:$2,0)-MATCH($A$1,weekly_missions!$2:$2,0)+1,FALSE),"＊missions 未設定＊"))</f>
        <v>限界突破キー x 1</v>
      </c>
      <c r="E406" s="27" t="s">
        <v>864</v>
      </c>
      <c r="F406" s="17" t="s">
        <v>34</v>
      </c>
      <c r="G406" s="26" t="str">
        <f ca="1">VLOOKUP($F406,OFFSET(達成条件!$A$1,0,0,COUNTA($A:$A),MATCH(G$1,達成条件!$1:$1,0)-MATCH($F$1,達成条件!$1:$1,0)+1),MATCH(G$1,達成条件!$1:$1,0)-MATCH($F$1,達成条件!$1:$1,0)+1,FALSE)</f>
        <v>ユニットを x 種類手に入れよう！</v>
      </c>
      <c r="H406" s="26" t="str">
        <f ca="1">VLOOKUP($F406,OFFSET(達成条件!$A$1,0,0,COUNTA($A:$A),MATCH(H$1,達成条件!$1:$1,0)-MATCH($F$1,達成条件!$1:$1,0)+1),MATCH(H$1,達成条件!$1:$1,0)-MATCH($F$1,達成条件!$1:$1,0)+1,FALSE)</f>
        <v>ユニットの種類数</v>
      </c>
      <c r="I406" s="58">
        <v>750</v>
      </c>
      <c r="J406" s="54" t="str">
        <f ca="1">IF(F406="specific_unit_aquired_count",SUBSTITUTE(G406,"x",VLOOKUP(INT($I406),OFFSET([3]characters!$A$2,0,0,COUNTA([3]characters!$A:$A),MATCH(J$1,[3]characters!$2:$2,0)-MATCH("character_id",[3]characters!$2:$2,0)+1),MATCH(J$1,[3]characters!$2:$2,0)-MATCH("character_id",[3]characters!$2:$2,0)+1,FALSE)),IF(F406="specific_quest_clear",VLOOKUP(SUBSTITUTE(I406,"-","_"),OFFSET([2]stages!$A$2,0,0,COUNTA([2]stages!$A:$A),MATCH("name",[2]stages!$2:$2,0)-MATCH("temp_stage",[2]stages!$2:$2,0)+1),MATCH("name",[2]stages!$2:$2,0)-MATCH("temp_stage",[2]stages!$2:$2,0)+1,FALSE),""))</f>
        <v/>
      </c>
      <c r="K406" s="15">
        <v>1</v>
      </c>
      <c r="L406" s="15" t="s">
        <v>542</v>
      </c>
      <c r="M406" s="26" t="str">
        <f ca="1">IFERROR(VLOOKUP($L408,OFFSET(missions!$A$2,0,0,COUNTA($A:$A),MATCH(M$1,missions!$2:$2,0)-MATCH("mission_id",missions!$2:$2,0)+1),MATCH(M$1,missions!$2:$2,0)-MATCH("mission_id",missions!$2:$2,0)+1,FALSE),"")</f>
        <v/>
      </c>
      <c r="N406" s="26" t="str">
        <f ca="1">IFERROR(VLOOKUP($L408,OFFSET(missions!$A$2,0,0,COUNTA($A:$A),MATCH(N$1,missions!$2:$2,0)-MATCH("mission_id",missions!$2:$2,0)+1),MATCH(N$1,missions!$2:$2,0)-MATCH("mission_id",missions!$2:$2,0)+1,FALSE),"")</f>
        <v/>
      </c>
    </row>
    <row r="407" spans="1:14" ht="21" customHeight="1" x14ac:dyDescent="0.15">
      <c r="A407" s="2" t="s">
        <v>604</v>
      </c>
      <c r="B407" s="21" t="s">
        <v>792</v>
      </c>
      <c r="C407" s="26" t="str">
        <f t="shared" ca="1" si="52"/>
        <v>ユニットを 775 種類手に入れよう！</v>
      </c>
      <c r="D407" s="26" t="str">
        <f ca="1">IFERROR(VLOOKUP($A407,OFFSET(achievement_criterion_id,0,0,COUNTA($A:$A),MATCH(D$1,missions!$2:$2,0)-MATCH($A$1,missions!$2:$2,0)+1),MATCH(D$1,missions!$2:$2,0)-MATCH($A$1,missions!$2:$2,0)+1,FALSE),IFERROR(VLOOKUP($A407,OFFSET(weekly_achievement_criterion_id,0,0,COUNTA($A:$A),MATCH(D$1,weekly_missions!$2:$2,0)-MATCH($A$1,weekly_missions!$2:$2,0)+1),MATCH(D$1,weekly_missions!$2:$2,0)-MATCH($A$1,weekly_missions!$2:$2,0)+1,FALSE),"＊missions 未設定＊"))</f>
        <v>ギガ生命の果実 x 1</v>
      </c>
      <c r="E407" s="27" t="s">
        <v>864</v>
      </c>
      <c r="F407" s="17" t="s">
        <v>34</v>
      </c>
      <c r="G407" s="26" t="str">
        <f ca="1">VLOOKUP($F407,OFFSET(達成条件!$A$1,0,0,COUNTA($A:$A),MATCH(G$1,達成条件!$1:$1,0)-MATCH($F$1,達成条件!$1:$1,0)+1),MATCH(G$1,達成条件!$1:$1,0)-MATCH($F$1,達成条件!$1:$1,0)+1,FALSE)</f>
        <v>ユニットを x 種類手に入れよう！</v>
      </c>
      <c r="H407" s="26" t="str">
        <f ca="1">VLOOKUP($F407,OFFSET(達成条件!$A$1,0,0,COUNTA($A:$A),MATCH(H$1,達成条件!$1:$1,0)-MATCH($F$1,達成条件!$1:$1,0)+1),MATCH(H$1,達成条件!$1:$1,0)-MATCH($F$1,達成条件!$1:$1,0)+1,FALSE)</f>
        <v>ユニットの種類数</v>
      </c>
      <c r="I407" s="58">
        <v>775</v>
      </c>
      <c r="J407" s="54" t="str">
        <f ca="1">IF(F407="specific_unit_aquired_count",SUBSTITUTE(G407,"x",VLOOKUP(INT($I407),OFFSET([3]characters!$A$2,0,0,COUNTA([3]characters!$A:$A),MATCH(J$1,[3]characters!$2:$2,0)-MATCH("character_id",[3]characters!$2:$2,0)+1),MATCH(J$1,[3]characters!$2:$2,0)-MATCH("character_id",[3]characters!$2:$2,0)+1,FALSE)),IF(F407="specific_quest_clear",VLOOKUP(SUBSTITUTE(I407,"-","_"),OFFSET([2]stages!$A$2,0,0,COUNTA([2]stages!$A:$A),MATCH("name",[2]stages!$2:$2,0)-MATCH("temp_stage",[2]stages!$2:$2,0)+1),MATCH("name",[2]stages!$2:$2,0)-MATCH("temp_stage",[2]stages!$2:$2,0)+1,FALSE),""))</f>
        <v/>
      </c>
      <c r="K407" s="15">
        <v>1</v>
      </c>
      <c r="L407" s="15" t="s">
        <v>542</v>
      </c>
      <c r="M407" s="26" t="str">
        <f ca="1">IFERROR(VLOOKUP($L409,OFFSET(missions!$A$2,0,0,COUNTA($A:$A),MATCH(M$1,missions!$2:$2,0)-MATCH("mission_id",missions!$2:$2,0)+1),MATCH(M$1,missions!$2:$2,0)-MATCH("mission_id",missions!$2:$2,0)+1,FALSE),"")</f>
        <v/>
      </c>
      <c r="N407" s="26" t="str">
        <f ca="1">IFERROR(VLOOKUP($L409,OFFSET(missions!$A$2,0,0,COUNTA($A:$A),MATCH(N$1,missions!$2:$2,0)-MATCH("mission_id",missions!$2:$2,0)+1),MATCH(N$1,missions!$2:$2,0)-MATCH("mission_id",missions!$2:$2,0)+1,FALSE),"")</f>
        <v/>
      </c>
    </row>
    <row r="408" spans="1:14" ht="21" customHeight="1" x14ac:dyDescent="0.15">
      <c r="A408" s="2" t="s">
        <v>606</v>
      </c>
      <c r="B408" s="21" t="s">
        <v>792</v>
      </c>
      <c r="C408" s="26" t="str">
        <f t="shared" ca="1" si="52"/>
        <v>ユニットを 800 種類手に入れよう！</v>
      </c>
      <c r="D408" s="26" t="str">
        <f ca="1">IFERROR(VLOOKUP($A408,OFFSET(achievement_criterion_id,0,0,COUNTA($A:$A),MATCH(D$1,missions!$2:$2,0)-MATCH($A$1,missions!$2:$2,0)+1),MATCH(D$1,missions!$2:$2,0)-MATCH($A$1,missions!$2:$2,0)+1,FALSE),IFERROR(VLOOKUP($A408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408" s="27" t="s">
        <v>864</v>
      </c>
      <c r="F408" s="17" t="s">
        <v>34</v>
      </c>
      <c r="G408" s="26" t="str">
        <f ca="1">VLOOKUP($F408,OFFSET(達成条件!$A$1,0,0,COUNTA($A:$A),MATCH(G$1,達成条件!$1:$1,0)-MATCH($F$1,達成条件!$1:$1,0)+1),MATCH(G$1,達成条件!$1:$1,0)-MATCH($F$1,達成条件!$1:$1,0)+1,FALSE)</f>
        <v>ユニットを x 種類手に入れよう！</v>
      </c>
      <c r="H408" s="26" t="str">
        <f ca="1">VLOOKUP($F408,OFFSET(達成条件!$A$1,0,0,COUNTA($A:$A),MATCH(H$1,達成条件!$1:$1,0)-MATCH($F$1,達成条件!$1:$1,0)+1),MATCH(H$1,達成条件!$1:$1,0)-MATCH($F$1,達成条件!$1:$1,0)+1,FALSE)</f>
        <v>ユニットの種類数</v>
      </c>
      <c r="I408" s="58">
        <v>800</v>
      </c>
      <c r="J408" s="54" t="str">
        <f ca="1">IF(F408="specific_unit_aquired_count",SUBSTITUTE(G408,"x",VLOOKUP(INT($I408),OFFSET([3]characters!$A$2,0,0,COUNTA([3]characters!$A:$A),MATCH(J$1,[3]characters!$2:$2,0)-MATCH("character_id",[3]characters!$2:$2,0)+1),MATCH(J$1,[3]characters!$2:$2,0)-MATCH("character_id",[3]characters!$2:$2,0)+1,FALSE)),IF(F408="specific_quest_clear",VLOOKUP(SUBSTITUTE(I408,"-","_"),OFFSET([2]stages!$A$2,0,0,COUNTA([2]stages!$A:$A),MATCH("name",[2]stages!$2:$2,0)-MATCH("temp_stage",[2]stages!$2:$2,0)+1),MATCH("name",[2]stages!$2:$2,0)-MATCH("temp_stage",[2]stages!$2:$2,0)+1,FALSE),""))</f>
        <v/>
      </c>
      <c r="K408" s="15">
        <v>1</v>
      </c>
      <c r="L408" s="15" t="s">
        <v>542</v>
      </c>
      <c r="M408" s="26" t="str">
        <f ca="1">IFERROR(VLOOKUP($L410,OFFSET(missions!$A$2,0,0,COUNTA($A:$A),MATCH(M$1,missions!$2:$2,0)-MATCH("mission_id",missions!$2:$2,0)+1),MATCH(M$1,missions!$2:$2,0)-MATCH("mission_id",missions!$2:$2,0)+1,FALSE),"")</f>
        <v/>
      </c>
      <c r="N408" s="26" t="str">
        <f ca="1">IFERROR(VLOOKUP($L410,OFFSET(missions!$A$2,0,0,COUNTA($A:$A),MATCH(N$1,missions!$2:$2,0)-MATCH("mission_id",missions!$2:$2,0)+1),MATCH(N$1,missions!$2:$2,0)-MATCH("mission_id",missions!$2:$2,0)+1,FALSE),"")</f>
        <v/>
      </c>
    </row>
    <row r="409" spans="1:14" ht="21" customHeight="1" x14ac:dyDescent="0.15">
      <c r="A409" s="2" t="s">
        <v>608</v>
      </c>
      <c r="B409" s="21" t="s">
        <v>792</v>
      </c>
      <c r="C409" s="26" t="str">
        <f t="shared" ca="1" si="52"/>
        <v>ユニットを 825 種類手に入れよう！</v>
      </c>
      <c r="D409" s="26" t="str">
        <f ca="1">IFERROR(VLOOKUP($A409,OFFSET(achievement_criterion_id,0,0,COUNTA($A:$A),MATCH(D$1,missions!$2:$2,0)-MATCH($A$1,missions!$2:$2,0)+1),MATCH(D$1,missions!$2:$2,0)-MATCH($A$1,missions!$2:$2,0)+1,FALSE),IFERROR(VLOOKUP($A409,OFFSET(weekly_achievement_criterion_id,0,0,COUNTA($A:$A),MATCH(D$1,weekly_missions!$2:$2,0)-MATCH($A$1,weekly_missions!$2:$2,0)+1),MATCH(D$1,weekly_missions!$2:$2,0)-MATCH($A$1,weekly_missions!$2:$2,0)+1,FALSE),"＊missions 未設定＊"))</f>
        <v>ギガ癒しの果実 x 1</v>
      </c>
      <c r="E409" s="27" t="s">
        <v>864</v>
      </c>
      <c r="F409" s="17" t="s">
        <v>34</v>
      </c>
      <c r="G409" s="26" t="str">
        <f ca="1">VLOOKUP($F409,OFFSET(達成条件!$A$1,0,0,COUNTA($A:$A),MATCH(G$1,達成条件!$1:$1,0)-MATCH($F$1,達成条件!$1:$1,0)+1),MATCH(G$1,達成条件!$1:$1,0)-MATCH($F$1,達成条件!$1:$1,0)+1,FALSE)</f>
        <v>ユニットを x 種類手に入れよう！</v>
      </c>
      <c r="H409" s="26" t="str">
        <f ca="1">VLOOKUP($F409,OFFSET(達成条件!$A$1,0,0,COUNTA($A:$A),MATCH(H$1,達成条件!$1:$1,0)-MATCH($F$1,達成条件!$1:$1,0)+1),MATCH(H$1,達成条件!$1:$1,0)-MATCH($F$1,達成条件!$1:$1,0)+1,FALSE)</f>
        <v>ユニットの種類数</v>
      </c>
      <c r="I409" s="58">
        <v>825</v>
      </c>
      <c r="J409" s="54" t="str">
        <f ca="1">IF(F409="specific_unit_aquired_count",SUBSTITUTE(G409,"x",VLOOKUP(INT($I409),OFFSET([3]characters!$A$2,0,0,COUNTA([3]characters!$A:$A),MATCH(J$1,[3]characters!$2:$2,0)-MATCH("character_id",[3]characters!$2:$2,0)+1),MATCH(J$1,[3]characters!$2:$2,0)-MATCH("character_id",[3]characters!$2:$2,0)+1,FALSE)),IF(F409="specific_quest_clear",VLOOKUP(SUBSTITUTE(I409,"-","_"),OFFSET([2]stages!$A$2,0,0,COUNTA([2]stages!$A:$A),MATCH("name",[2]stages!$2:$2,0)-MATCH("temp_stage",[2]stages!$2:$2,0)+1),MATCH("name",[2]stages!$2:$2,0)-MATCH("temp_stage",[2]stages!$2:$2,0)+1,FALSE),""))</f>
        <v/>
      </c>
      <c r="K409" s="15">
        <v>1</v>
      </c>
      <c r="L409" s="15" t="s">
        <v>542</v>
      </c>
      <c r="M409" s="26" t="str">
        <f ca="1">IFERROR(VLOOKUP($L411,OFFSET(missions!$A$2,0,0,COUNTA($A:$A),MATCH(M$1,missions!$2:$2,0)-MATCH("mission_id",missions!$2:$2,0)+1),MATCH(M$1,missions!$2:$2,0)-MATCH("mission_id",missions!$2:$2,0)+1,FALSE),"")</f>
        <v/>
      </c>
      <c r="N409" s="26" t="str">
        <f ca="1">IFERROR(VLOOKUP($L411,OFFSET(missions!$A$2,0,0,COUNTA($A:$A),MATCH(N$1,missions!$2:$2,0)-MATCH("mission_id",missions!$2:$2,0)+1),MATCH(N$1,missions!$2:$2,0)-MATCH("mission_id",missions!$2:$2,0)+1,FALSE),"")</f>
        <v/>
      </c>
    </row>
    <row r="410" spans="1:14" ht="21" customHeight="1" x14ac:dyDescent="0.15">
      <c r="A410" s="2" t="s">
        <v>610</v>
      </c>
      <c r="B410" s="21" t="s">
        <v>792</v>
      </c>
      <c r="C410" s="26" t="str">
        <f t="shared" ca="1" si="52"/>
        <v>ユニットを 850 種類手に入れよう！</v>
      </c>
      <c r="D410" s="26" t="str">
        <f ca="1">IFERROR(VLOOKUP($A410,OFFSET(achievement_criterion_id,0,0,COUNTA($A:$A),MATCH(D$1,missions!$2:$2,0)-MATCH($A$1,missions!$2:$2,0)+1),MATCH(D$1,missions!$2:$2,0)-MATCH($A$1,missions!$2:$2,0)+1,FALSE),IFERROR(VLOOKUP($A410,OFFSET(weekly_achievement_criterion_id,0,0,COUNTA($A:$A),MATCH(D$1,weekly_missions!$2:$2,0)-MATCH($A$1,weekly_missions!$2:$2,0)+1),MATCH(D$1,weekly_missions!$2:$2,0)-MATCH($A$1,weekly_missions!$2:$2,0)+1,FALSE),"＊missions 未設定＊"))</f>
        <v>マスターキー x 1</v>
      </c>
      <c r="E410" s="27" t="s">
        <v>864</v>
      </c>
      <c r="F410" s="17" t="s">
        <v>34</v>
      </c>
      <c r="G410" s="26" t="str">
        <f ca="1">VLOOKUP($F410,OFFSET(達成条件!$A$1,0,0,COUNTA($A:$A),MATCH(G$1,達成条件!$1:$1,0)-MATCH($F$1,達成条件!$1:$1,0)+1),MATCH(G$1,達成条件!$1:$1,0)-MATCH($F$1,達成条件!$1:$1,0)+1,FALSE)</f>
        <v>ユニットを x 種類手に入れよう！</v>
      </c>
      <c r="H410" s="26" t="str">
        <f ca="1">VLOOKUP($F410,OFFSET(達成条件!$A$1,0,0,COUNTA($A:$A),MATCH(H$1,達成条件!$1:$1,0)-MATCH($F$1,達成条件!$1:$1,0)+1),MATCH(H$1,達成条件!$1:$1,0)-MATCH($F$1,達成条件!$1:$1,0)+1,FALSE)</f>
        <v>ユニットの種類数</v>
      </c>
      <c r="I410" s="58">
        <v>850</v>
      </c>
      <c r="J410" s="54" t="str">
        <f ca="1">IF(F410="specific_unit_aquired_count",SUBSTITUTE(G410,"x",VLOOKUP(INT($I410),OFFSET([3]characters!$A$2,0,0,COUNTA([3]characters!$A:$A),MATCH(J$1,[3]characters!$2:$2,0)-MATCH("character_id",[3]characters!$2:$2,0)+1),MATCH(J$1,[3]characters!$2:$2,0)-MATCH("character_id",[3]characters!$2:$2,0)+1,FALSE)),IF(F410="specific_quest_clear",VLOOKUP(SUBSTITUTE(I410,"-","_"),OFFSET([2]stages!$A$2,0,0,COUNTA([2]stages!$A:$A),MATCH("name",[2]stages!$2:$2,0)-MATCH("temp_stage",[2]stages!$2:$2,0)+1),MATCH("name",[2]stages!$2:$2,0)-MATCH("temp_stage",[2]stages!$2:$2,0)+1,FALSE),""))</f>
        <v/>
      </c>
      <c r="K410" s="15">
        <v>1</v>
      </c>
      <c r="L410" s="15" t="s">
        <v>542</v>
      </c>
      <c r="M410" s="26" t="str">
        <f ca="1">IFERROR(VLOOKUP($L412,OFFSET(missions!$A$2,0,0,COUNTA($A:$A),MATCH(M$1,missions!$2:$2,0)-MATCH("mission_id",missions!$2:$2,0)+1),MATCH(M$1,missions!$2:$2,0)-MATCH("mission_id",missions!$2:$2,0)+1,FALSE),"")</f>
        <v/>
      </c>
      <c r="N410" s="26" t="str">
        <f ca="1">IFERROR(VLOOKUP($L412,OFFSET(missions!$A$2,0,0,COUNTA($A:$A),MATCH(N$1,missions!$2:$2,0)-MATCH("mission_id",missions!$2:$2,0)+1),MATCH(N$1,missions!$2:$2,0)-MATCH("mission_id",missions!$2:$2,0)+1,FALSE),"")</f>
        <v/>
      </c>
    </row>
    <row r="411" spans="1:14" ht="21" customHeight="1" x14ac:dyDescent="0.15">
      <c r="A411" s="2" t="s">
        <v>612</v>
      </c>
      <c r="B411" s="21" t="s">
        <v>792</v>
      </c>
      <c r="C411" s="26" t="str">
        <f t="shared" ca="1" si="52"/>
        <v>ユニットを 875 種類手に入れよう！</v>
      </c>
      <c r="D411" s="26" t="str">
        <f ca="1">IFERROR(VLOOKUP($A411,OFFSET(achievement_criterion_id,0,0,COUNTA($A:$A),MATCH(D$1,missions!$2:$2,0)-MATCH($A$1,missions!$2:$2,0)+1),MATCH(D$1,missions!$2:$2,0)-MATCH($A$1,missions!$2:$2,0)+1,FALSE),IFERROR(VLOOKUP($A411,OFFSET(weekly_achievement_criterion_id,0,0,COUNTA($A:$A),MATCH(D$1,weekly_missions!$2:$2,0)-MATCH($A$1,weekly_missions!$2:$2,0)+1),MATCH(D$1,weekly_missions!$2:$2,0)-MATCH($A$1,weekly_missions!$2:$2,0)+1,FALSE),"＊missions 未設定＊"))</f>
        <v>ギガ秘術の果実 x 1</v>
      </c>
      <c r="E411" s="27" t="s">
        <v>864</v>
      </c>
      <c r="F411" s="17" t="s">
        <v>34</v>
      </c>
      <c r="G411" s="26" t="str">
        <f ca="1">VLOOKUP($F411,OFFSET(達成条件!$A$1,0,0,COUNTA($A:$A),MATCH(G$1,達成条件!$1:$1,0)-MATCH($F$1,達成条件!$1:$1,0)+1),MATCH(G$1,達成条件!$1:$1,0)-MATCH($F$1,達成条件!$1:$1,0)+1,FALSE)</f>
        <v>ユニットを x 種類手に入れよう！</v>
      </c>
      <c r="H411" s="26" t="str">
        <f ca="1">VLOOKUP($F411,OFFSET(達成条件!$A$1,0,0,COUNTA($A:$A),MATCH(H$1,達成条件!$1:$1,0)-MATCH($F$1,達成条件!$1:$1,0)+1),MATCH(H$1,達成条件!$1:$1,0)-MATCH($F$1,達成条件!$1:$1,0)+1,FALSE)</f>
        <v>ユニットの種類数</v>
      </c>
      <c r="I411" s="58">
        <v>875</v>
      </c>
      <c r="J411" s="54" t="str">
        <f ca="1">IF(F411="specific_unit_aquired_count",SUBSTITUTE(G411,"x",VLOOKUP(INT($I411),OFFSET([3]characters!$A$2,0,0,COUNTA([3]characters!$A:$A),MATCH(J$1,[3]characters!$2:$2,0)-MATCH("character_id",[3]characters!$2:$2,0)+1),MATCH(J$1,[3]characters!$2:$2,0)-MATCH("character_id",[3]characters!$2:$2,0)+1,FALSE)),IF(F411="specific_quest_clear",VLOOKUP(SUBSTITUTE(I411,"-","_"),OFFSET([2]stages!$A$2,0,0,COUNTA([2]stages!$A:$A),MATCH("name",[2]stages!$2:$2,0)-MATCH("temp_stage",[2]stages!$2:$2,0)+1),MATCH("name",[2]stages!$2:$2,0)-MATCH("temp_stage",[2]stages!$2:$2,0)+1,FALSE),""))</f>
        <v/>
      </c>
      <c r="K411" s="15">
        <v>1</v>
      </c>
      <c r="L411" s="15" t="s">
        <v>542</v>
      </c>
      <c r="M411" s="26" t="str">
        <f ca="1">IFERROR(VLOOKUP($L413,OFFSET(missions!$A$2,0,0,COUNTA($A:$A),MATCH(M$1,missions!$2:$2,0)-MATCH("mission_id",missions!$2:$2,0)+1),MATCH(M$1,missions!$2:$2,0)-MATCH("mission_id",missions!$2:$2,0)+1,FALSE),"")</f>
        <v/>
      </c>
      <c r="N411" s="26" t="str">
        <f ca="1">IFERROR(VLOOKUP($L413,OFFSET(missions!$A$2,0,0,COUNTA($A:$A),MATCH(N$1,missions!$2:$2,0)-MATCH("mission_id",missions!$2:$2,0)+1),MATCH(N$1,missions!$2:$2,0)-MATCH("mission_id",missions!$2:$2,0)+1,FALSE),"")</f>
        <v/>
      </c>
    </row>
    <row r="412" spans="1:14" ht="21" customHeight="1" x14ac:dyDescent="0.15">
      <c r="A412" s="2" t="s">
        <v>614</v>
      </c>
      <c r="B412" s="21" t="s">
        <v>792</v>
      </c>
      <c r="C412" s="26" t="str">
        <f t="shared" ca="1" si="52"/>
        <v>ユニットを 900 種類手に入れよう！</v>
      </c>
      <c r="D412" s="26" t="str">
        <f ca="1">IFERROR(VLOOKUP($A412,OFFSET(achievement_criterion_id,0,0,COUNTA($A:$A),MATCH(D$1,missions!$2:$2,0)-MATCH($A$1,missions!$2:$2,0)+1),MATCH(D$1,missions!$2:$2,0)-MATCH($A$1,missions!$2:$2,0)+1,FALSE),IFERROR(VLOOKUP($A412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412" s="27" t="s">
        <v>864</v>
      </c>
      <c r="F412" s="17" t="s">
        <v>34</v>
      </c>
      <c r="G412" s="26" t="str">
        <f ca="1">VLOOKUP($F412,OFFSET(達成条件!$A$1,0,0,COUNTA($A:$A),MATCH(G$1,達成条件!$1:$1,0)-MATCH($F$1,達成条件!$1:$1,0)+1),MATCH(G$1,達成条件!$1:$1,0)-MATCH($F$1,達成条件!$1:$1,0)+1,FALSE)</f>
        <v>ユニットを x 種類手に入れよう！</v>
      </c>
      <c r="H412" s="26" t="str">
        <f ca="1">VLOOKUP($F412,OFFSET(達成条件!$A$1,0,0,COUNTA($A:$A),MATCH(H$1,達成条件!$1:$1,0)-MATCH($F$1,達成条件!$1:$1,0)+1),MATCH(H$1,達成条件!$1:$1,0)-MATCH($F$1,達成条件!$1:$1,0)+1,FALSE)</f>
        <v>ユニットの種類数</v>
      </c>
      <c r="I412" s="58">
        <v>900</v>
      </c>
      <c r="J412" s="54" t="str">
        <f ca="1">IF(F412="specific_unit_aquired_count",SUBSTITUTE(G412,"x",VLOOKUP(INT($I412),OFFSET([3]characters!$A$2,0,0,COUNTA([3]characters!$A:$A),MATCH(J$1,[3]characters!$2:$2,0)-MATCH("character_id",[3]characters!$2:$2,0)+1),MATCH(J$1,[3]characters!$2:$2,0)-MATCH("character_id",[3]characters!$2:$2,0)+1,FALSE)),IF(F412="specific_quest_clear",VLOOKUP(SUBSTITUTE(I412,"-","_"),OFFSET([2]stages!$A$2,0,0,COUNTA([2]stages!$A:$A),MATCH("name",[2]stages!$2:$2,0)-MATCH("temp_stage",[2]stages!$2:$2,0)+1),MATCH("name",[2]stages!$2:$2,0)-MATCH("temp_stage",[2]stages!$2:$2,0)+1,FALSE),""))</f>
        <v/>
      </c>
      <c r="K412" s="15">
        <v>1</v>
      </c>
      <c r="L412" s="15" t="s">
        <v>542</v>
      </c>
      <c r="M412" s="26" t="str">
        <f ca="1">IFERROR(VLOOKUP($L414,OFFSET(missions!$A$2,0,0,COUNTA($A:$A),MATCH(M$1,missions!$2:$2,0)-MATCH("mission_id",missions!$2:$2,0)+1),MATCH(M$1,missions!$2:$2,0)-MATCH("mission_id",missions!$2:$2,0)+1,FALSE),"")</f>
        <v/>
      </c>
      <c r="N412" s="26" t="str">
        <f ca="1">IFERROR(VLOOKUP($L414,OFFSET(missions!$A$2,0,0,COUNTA($A:$A),MATCH(N$1,missions!$2:$2,0)-MATCH("mission_id",missions!$2:$2,0)+1),MATCH(N$1,missions!$2:$2,0)-MATCH("mission_id",missions!$2:$2,0)+1,FALSE),"")</f>
        <v/>
      </c>
    </row>
    <row r="413" spans="1:14" ht="21" customHeight="1" x14ac:dyDescent="0.15">
      <c r="A413" s="2" t="s">
        <v>616</v>
      </c>
      <c r="B413" s="21" t="s">
        <v>792</v>
      </c>
      <c r="C413" s="26" t="str">
        <f t="shared" ca="1" si="52"/>
        <v>ユニットを 925 種類手に入れよう！</v>
      </c>
      <c r="D413" s="26" t="str">
        <f ca="1">IFERROR(VLOOKUP($A413,OFFSET(achievement_criterion_id,0,0,COUNTA($A:$A),MATCH(D$1,missions!$2:$2,0)-MATCH($A$1,missions!$2:$2,0)+1),MATCH(D$1,missions!$2:$2,0)-MATCH($A$1,missions!$2:$2,0)+1,FALSE),IFERROR(VLOOKUP($A413,OFFSET(weekly_achievement_criterion_id,0,0,COUNTA($A:$A),MATCH(D$1,weekly_missions!$2:$2,0)-MATCH($A$1,weekly_missions!$2:$2,0)+1),MATCH(D$1,weekly_missions!$2:$2,0)-MATCH($A$1,weekly_missions!$2:$2,0)+1,FALSE),"＊missions 未設定＊"))</f>
        <v>ギガ攻めの果実 x 2</v>
      </c>
      <c r="E413" s="27" t="s">
        <v>864</v>
      </c>
      <c r="F413" s="17" t="s">
        <v>34</v>
      </c>
      <c r="G413" s="26" t="str">
        <f ca="1">VLOOKUP($F413,OFFSET(達成条件!$A$1,0,0,COUNTA($A:$A),MATCH(G$1,達成条件!$1:$1,0)-MATCH($F$1,達成条件!$1:$1,0)+1),MATCH(G$1,達成条件!$1:$1,0)-MATCH($F$1,達成条件!$1:$1,0)+1,FALSE)</f>
        <v>ユニットを x 種類手に入れよう！</v>
      </c>
      <c r="H413" s="26" t="str">
        <f ca="1">VLOOKUP($F413,OFFSET(達成条件!$A$1,0,0,COUNTA($A:$A),MATCH(H$1,達成条件!$1:$1,0)-MATCH($F$1,達成条件!$1:$1,0)+1),MATCH(H$1,達成条件!$1:$1,0)-MATCH($F$1,達成条件!$1:$1,0)+1,FALSE)</f>
        <v>ユニットの種類数</v>
      </c>
      <c r="I413" s="58">
        <v>925</v>
      </c>
      <c r="J413" s="54" t="str">
        <f ca="1">IF(F413="specific_unit_aquired_count",SUBSTITUTE(G413,"x",VLOOKUP(INT($I413),OFFSET([3]characters!$A$2,0,0,COUNTA([3]characters!$A:$A),MATCH(J$1,[3]characters!$2:$2,0)-MATCH("character_id",[3]characters!$2:$2,0)+1),MATCH(J$1,[3]characters!$2:$2,0)-MATCH("character_id",[3]characters!$2:$2,0)+1,FALSE)),IF(F413="specific_quest_clear",VLOOKUP(SUBSTITUTE(I413,"-","_"),OFFSET([2]stages!$A$2,0,0,COUNTA([2]stages!$A:$A),MATCH("name",[2]stages!$2:$2,0)-MATCH("temp_stage",[2]stages!$2:$2,0)+1),MATCH("name",[2]stages!$2:$2,0)-MATCH("temp_stage",[2]stages!$2:$2,0)+1,FALSE),""))</f>
        <v/>
      </c>
      <c r="K413" s="15">
        <v>1</v>
      </c>
      <c r="L413" s="15" t="s">
        <v>542</v>
      </c>
      <c r="M413" s="26" t="str">
        <f ca="1">IFERROR(VLOOKUP($L415,OFFSET(missions!$A$2,0,0,COUNTA($A:$A),MATCH(M$1,missions!$2:$2,0)-MATCH("mission_id",missions!$2:$2,0)+1),MATCH(M$1,missions!$2:$2,0)-MATCH("mission_id",missions!$2:$2,0)+1,FALSE),"")</f>
        <v/>
      </c>
      <c r="N413" s="26" t="str">
        <f ca="1">IFERROR(VLOOKUP($L415,OFFSET(missions!$A$2,0,0,COUNTA($A:$A),MATCH(N$1,missions!$2:$2,0)-MATCH("mission_id",missions!$2:$2,0)+1),MATCH(N$1,missions!$2:$2,0)-MATCH("mission_id",missions!$2:$2,0)+1,FALSE),"")</f>
        <v/>
      </c>
    </row>
    <row r="414" spans="1:14" ht="21" customHeight="1" x14ac:dyDescent="0.15">
      <c r="A414" s="2" t="s">
        <v>618</v>
      </c>
      <c r="B414" s="21" t="s">
        <v>792</v>
      </c>
      <c r="C414" s="26" t="str">
        <f t="shared" ca="1" si="52"/>
        <v>ユニットを 950 種類手に入れよう！</v>
      </c>
      <c r="D414" s="26" t="str">
        <f ca="1">IFERROR(VLOOKUP($A414,OFFSET(achievement_criterion_id,0,0,COUNTA($A:$A),MATCH(D$1,missions!$2:$2,0)-MATCH($A$1,missions!$2:$2,0)+1),MATCH(D$1,missions!$2:$2,0)-MATCH($A$1,missions!$2:$2,0)+1,FALSE),IFERROR(VLOOKUP($A414,OFFSET(weekly_achievement_criterion_id,0,0,COUNTA($A:$A),MATCH(D$1,weekly_missions!$2:$2,0)-MATCH($A$1,weekly_missions!$2:$2,0)+1),MATCH(D$1,weekly_missions!$2:$2,0)-MATCH($A$1,weekly_missions!$2:$2,0)+1,FALSE),"＊missions 未設定＊"))</f>
        <v>経験値キー x 2</v>
      </c>
      <c r="E414" s="27" t="s">
        <v>864</v>
      </c>
      <c r="F414" s="17" t="s">
        <v>34</v>
      </c>
      <c r="G414" s="26" t="str">
        <f ca="1">VLOOKUP($F414,OFFSET(達成条件!$A$1,0,0,COUNTA($A:$A),MATCH(G$1,達成条件!$1:$1,0)-MATCH($F$1,達成条件!$1:$1,0)+1),MATCH(G$1,達成条件!$1:$1,0)-MATCH($F$1,達成条件!$1:$1,0)+1,FALSE)</f>
        <v>ユニットを x 種類手に入れよう！</v>
      </c>
      <c r="H414" s="26" t="str">
        <f ca="1">VLOOKUP($F414,OFFSET(達成条件!$A$1,0,0,COUNTA($A:$A),MATCH(H$1,達成条件!$1:$1,0)-MATCH($F$1,達成条件!$1:$1,0)+1),MATCH(H$1,達成条件!$1:$1,0)-MATCH($F$1,達成条件!$1:$1,0)+1,FALSE)</f>
        <v>ユニットの種類数</v>
      </c>
      <c r="I414" s="58">
        <v>950</v>
      </c>
      <c r="J414" s="54" t="str">
        <f ca="1">IF(F414="specific_unit_aquired_count",SUBSTITUTE(G414,"x",VLOOKUP(INT($I414),OFFSET([3]characters!$A$2,0,0,COUNTA([3]characters!$A:$A),MATCH(J$1,[3]characters!$2:$2,0)-MATCH("character_id",[3]characters!$2:$2,0)+1),MATCH(J$1,[3]characters!$2:$2,0)-MATCH("character_id",[3]characters!$2:$2,0)+1,FALSE)),IF(F414="specific_quest_clear",VLOOKUP(SUBSTITUTE(I414,"-","_"),OFFSET([2]stages!$A$2,0,0,COUNTA([2]stages!$A:$A),MATCH("name",[2]stages!$2:$2,0)-MATCH("temp_stage",[2]stages!$2:$2,0)+1),MATCH("name",[2]stages!$2:$2,0)-MATCH("temp_stage",[2]stages!$2:$2,0)+1,FALSE),""))</f>
        <v/>
      </c>
      <c r="K414" s="15">
        <v>1</v>
      </c>
      <c r="L414" s="15" t="s">
        <v>542</v>
      </c>
      <c r="M414" s="26" t="str">
        <f ca="1">IFERROR(VLOOKUP($L416,OFFSET(missions!$A$2,0,0,COUNTA($A:$A),MATCH(M$1,missions!$2:$2,0)-MATCH("mission_id",missions!$2:$2,0)+1),MATCH(M$1,missions!$2:$2,0)-MATCH("mission_id",missions!$2:$2,0)+1,FALSE),"")</f>
        <v/>
      </c>
      <c r="N414" s="26" t="str">
        <f ca="1">IFERROR(VLOOKUP($L416,OFFSET(missions!$A$2,0,0,COUNTA($A:$A),MATCH(N$1,missions!$2:$2,0)-MATCH("mission_id",missions!$2:$2,0)+1),MATCH(N$1,missions!$2:$2,0)-MATCH("mission_id",missions!$2:$2,0)+1,FALSE),"")</f>
        <v/>
      </c>
    </row>
    <row r="415" spans="1:14" ht="21" customHeight="1" x14ac:dyDescent="0.15">
      <c r="A415" s="2" t="s">
        <v>620</v>
      </c>
      <c r="B415" s="21" t="s">
        <v>792</v>
      </c>
      <c r="C415" s="26" t="str">
        <f t="shared" ca="1" si="52"/>
        <v>ユニットを 975 種類手に入れよう！</v>
      </c>
      <c r="D415" s="26" t="str">
        <f ca="1">IFERROR(VLOOKUP($A415,OFFSET(achievement_criterion_id,0,0,COUNTA($A:$A),MATCH(D$1,missions!$2:$2,0)-MATCH($A$1,missions!$2:$2,0)+1),MATCH(D$1,missions!$2:$2,0)-MATCH($A$1,missions!$2:$2,0)+1,FALSE),IFERROR(VLOOKUP($A415,OFFSET(weekly_achievement_criterion_id,0,0,COUNTA($A:$A),MATCH(D$1,weekly_missions!$2:$2,0)-MATCH($A$1,weekly_missions!$2:$2,0)+1),MATCH(D$1,weekly_missions!$2:$2,0)-MATCH($A$1,weekly_missions!$2:$2,0)+1,FALSE),"＊missions 未設定＊"))</f>
        <v>ギガ生命の果実 x 2</v>
      </c>
      <c r="E415" s="27" t="s">
        <v>864</v>
      </c>
      <c r="F415" s="17" t="s">
        <v>34</v>
      </c>
      <c r="G415" s="26" t="str">
        <f ca="1">VLOOKUP($F415,OFFSET(達成条件!$A$1,0,0,COUNTA($A:$A),MATCH(G$1,達成条件!$1:$1,0)-MATCH($F$1,達成条件!$1:$1,0)+1),MATCH(G$1,達成条件!$1:$1,0)-MATCH($F$1,達成条件!$1:$1,0)+1,FALSE)</f>
        <v>ユニットを x 種類手に入れよう！</v>
      </c>
      <c r="H415" s="26" t="str">
        <f ca="1">VLOOKUP($F415,OFFSET(達成条件!$A$1,0,0,COUNTA($A:$A),MATCH(H$1,達成条件!$1:$1,0)-MATCH($F$1,達成条件!$1:$1,0)+1),MATCH(H$1,達成条件!$1:$1,0)-MATCH($F$1,達成条件!$1:$1,0)+1,FALSE)</f>
        <v>ユニットの種類数</v>
      </c>
      <c r="I415" s="58">
        <v>975</v>
      </c>
      <c r="J415" s="54" t="str">
        <f ca="1">IF(F415="specific_unit_aquired_count",SUBSTITUTE(G415,"x",VLOOKUP(INT($I415),OFFSET([3]characters!$A$2,0,0,COUNTA([3]characters!$A:$A),MATCH(J$1,[3]characters!$2:$2,0)-MATCH("character_id",[3]characters!$2:$2,0)+1),MATCH(J$1,[3]characters!$2:$2,0)-MATCH("character_id",[3]characters!$2:$2,0)+1,FALSE)),IF(F415="specific_quest_clear",VLOOKUP(SUBSTITUTE(I415,"-","_"),OFFSET([2]stages!$A$2,0,0,COUNTA([2]stages!$A:$A),MATCH("name",[2]stages!$2:$2,0)-MATCH("temp_stage",[2]stages!$2:$2,0)+1),MATCH("name",[2]stages!$2:$2,0)-MATCH("temp_stage",[2]stages!$2:$2,0)+1,FALSE),""))</f>
        <v/>
      </c>
      <c r="K415" s="15">
        <v>1</v>
      </c>
      <c r="L415" s="15" t="s">
        <v>542</v>
      </c>
      <c r="M415" s="26" t="str">
        <f ca="1">IFERROR(VLOOKUP($L469,OFFSET(missions!$A$2,0,0,COUNTA($A:$A),MATCH(M$1,missions!$2:$2,0)-MATCH("mission_id",missions!$2:$2,0)+1),MATCH(M$1,missions!$2:$2,0)-MATCH("mission_id",missions!$2:$2,0)+1,FALSE),"")</f>
        <v>通算 3 日ログインしよう！</v>
      </c>
      <c r="N415" s="26" t="str">
        <f ca="1">IFERROR(VLOOKUP($L469,OFFSET(missions!$A$2,0,0,COUNTA($A:$A),MATCH(N$1,missions!$2:$2,0)-MATCH("mission_id",missions!$2:$2,0)+1),MATCH(N$1,missions!$2:$2,0)-MATCH("mission_id",missions!$2:$2,0)+1,FALSE),"")</f>
        <v>ポリゴン x 5</v>
      </c>
    </row>
    <row r="416" spans="1:14" ht="21" customHeight="1" x14ac:dyDescent="0.15">
      <c r="A416" s="2" t="s">
        <v>622</v>
      </c>
      <c r="B416" s="21" t="s">
        <v>792</v>
      </c>
      <c r="C416" s="26" t="str">
        <f t="shared" ca="1" si="52"/>
        <v>ユニットを 1000 種類手に入れよう！</v>
      </c>
      <c r="D416" s="26" t="str">
        <f ca="1">IFERROR(VLOOKUP($A416,OFFSET(achievement_criterion_id,0,0,COUNTA($A:$A),MATCH(D$1,missions!$2:$2,0)-MATCH($A$1,missions!$2:$2,0)+1),MATCH(D$1,missions!$2:$2,0)-MATCH($A$1,missions!$2:$2,0)+1,FALSE),IFERROR(VLOOKUP($A416,OFFSET(weekly_achievement_criterion_id,0,0,COUNTA($A:$A),MATCH(D$1,weekly_missions!$2:$2,0)-MATCH($A$1,weekly_missions!$2:$2,0)+1),MATCH(D$1,weekly_missions!$2:$2,0)-MATCH($A$1,weekly_missions!$2:$2,0)+1,FALSE),"＊missions 未設定＊"))</f>
        <v>ポリゴン x 50</v>
      </c>
      <c r="E416" s="27" t="s">
        <v>864</v>
      </c>
      <c r="F416" s="17" t="s">
        <v>34</v>
      </c>
      <c r="G416" s="26" t="str">
        <f ca="1">VLOOKUP($F416,OFFSET(達成条件!$A$1,0,0,COUNTA($A:$A),MATCH(G$1,達成条件!$1:$1,0)-MATCH($F$1,達成条件!$1:$1,0)+1),MATCH(G$1,達成条件!$1:$1,0)-MATCH($F$1,達成条件!$1:$1,0)+1,FALSE)</f>
        <v>ユニットを x 種類手に入れよう！</v>
      </c>
      <c r="H416" s="26" t="str">
        <f ca="1">VLOOKUP($F416,OFFSET(達成条件!$A$1,0,0,COUNTA($A:$A),MATCH(H$1,達成条件!$1:$1,0)-MATCH($F$1,達成条件!$1:$1,0)+1),MATCH(H$1,達成条件!$1:$1,0)-MATCH($F$1,達成条件!$1:$1,0)+1,FALSE)</f>
        <v>ユニットの種類数</v>
      </c>
      <c r="I416" s="58">
        <v>1000</v>
      </c>
      <c r="J416" s="54" t="str">
        <f ca="1">IF(F416="specific_unit_aquired_count",SUBSTITUTE(G416,"x",VLOOKUP(INT($I416),OFFSET([3]characters!$A$2,0,0,COUNTA([3]characters!$A:$A),MATCH(J$1,[3]characters!$2:$2,0)-MATCH("character_id",[3]characters!$2:$2,0)+1),MATCH(J$1,[3]characters!$2:$2,0)-MATCH("character_id",[3]characters!$2:$2,0)+1,FALSE)),IF(F416="specific_quest_clear",VLOOKUP(SUBSTITUTE(I416,"-","_"),OFFSET([2]stages!$A$2,0,0,COUNTA([2]stages!$A:$A),MATCH("name",[2]stages!$2:$2,0)-MATCH("temp_stage",[2]stages!$2:$2,0)+1),MATCH("name",[2]stages!$2:$2,0)-MATCH("temp_stage",[2]stages!$2:$2,0)+1,FALSE),""))</f>
        <v/>
      </c>
      <c r="K416" s="15">
        <v>1</v>
      </c>
      <c r="L416" s="15" t="s">
        <v>542</v>
      </c>
      <c r="M416" s="26" t="str">
        <f ca="1">IFERROR(VLOOKUP($L470,OFFSET(missions!$A$2,0,0,COUNTA($A:$A),MATCH(M$1,missions!$2:$2,0)-MATCH("mission_id",missions!$2:$2,0)+1),MATCH(M$1,missions!$2:$2,0)-MATCH("mission_id",missions!$2:$2,0)+1,FALSE),"")</f>
        <v>通算 7 日ログインしよう！</v>
      </c>
      <c r="N416" s="26" t="str">
        <f ca="1">IFERROR(VLOOKUP($L470,OFFSET(missions!$A$2,0,0,COUNTA($A:$A),MATCH(N$1,missions!$2:$2,0)-MATCH("mission_id",missions!$2:$2,0)+1),MATCH(N$1,missions!$2:$2,0)-MATCH("mission_id",missions!$2:$2,0)+1,FALSE),"")</f>
        <v>ポリゴン x 5</v>
      </c>
    </row>
    <row r="417" spans="1:14" ht="21" customHeight="1" x14ac:dyDescent="0.15">
      <c r="A417" s="2" t="s">
        <v>2387</v>
      </c>
      <c r="B417" s="21" t="s">
        <v>792</v>
      </c>
      <c r="C417" s="26" t="str">
        <f t="shared" ref="C417:C457" ca="1" si="53">IF(F417="specific_quest_clear",SUBSTITUTE(G417,"x",J417),IF(F417="specific_unit_aquired_count",SUBSTITUTE(J417,"y",K417),SUBSTITUTE(G417,"x",I417)))</f>
        <v>ユニットを 1025 種類手に入れよう！</v>
      </c>
      <c r="D417" s="26" t="str">
        <f ca="1">IFERROR(VLOOKUP($A417,OFFSET(achievement_criterion_id,0,0,COUNTA($A:$A),MATCH(D$1,missions!$2:$2,0)-MATCH($A$1,missions!$2:$2,0)+1),MATCH(D$1,missions!$2:$2,0)-MATCH($A$1,missions!$2:$2,0)+1,FALSE),IFERROR(VLOOKUP($A417,OFFSET(weekly_achievement_criterion_id,0,0,COUNTA($A:$A),MATCH(D$1,weekly_missions!$2:$2,0)-MATCH($A$1,weekly_missions!$2:$2,0)+1),MATCH(D$1,weekly_missions!$2:$2,0)-MATCH($A$1,weekly_missions!$2:$2,0)+1,FALSE),"＊missions 未設定＊"))</f>
        <v>ギガ癒しの果実 x 2</v>
      </c>
      <c r="E417" s="27" t="s">
        <v>864</v>
      </c>
      <c r="F417" s="17" t="s">
        <v>34</v>
      </c>
      <c r="G417" s="26" t="str">
        <f ca="1">VLOOKUP($F417,OFFSET(達成条件!$A$1,0,0,COUNTA($A:$A),MATCH(G$1,達成条件!$1:$1,0)-MATCH($F$1,達成条件!$1:$1,0)+1),MATCH(G$1,達成条件!$1:$1,0)-MATCH($F$1,達成条件!$1:$1,0)+1,FALSE)</f>
        <v>ユニットを x 種類手に入れよう！</v>
      </c>
      <c r="H417" s="26" t="str">
        <f ca="1">VLOOKUP($F417,OFFSET(達成条件!$A$1,0,0,COUNTA($A:$A),MATCH(H$1,達成条件!$1:$1,0)-MATCH($F$1,達成条件!$1:$1,0)+1),MATCH(H$1,達成条件!$1:$1,0)-MATCH($F$1,達成条件!$1:$1,0)+1,FALSE)</f>
        <v>ユニットの種類数</v>
      </c>
      <c r="I417" s="58">
        <v>1025</v>
      </c>
      <c r="J417" s="54" t="str">
        <f ca="1">IF(F417="specific_unit_aquired_count",SUBSTITUTE(G417,"x",VLOOKUP(INT($I417),OFFSET([3]characters!$A$2,0,0,COUNTA([3]characters!$A:$A),MATCH(J$1,[3]characters!$2:$2,0)-MATCH("character_id",[3]characters!$2:$2,0)+1),MATCH(J$1,[3]characters!$2:$2,0)-MATCH("character_id",[3]characters!$2:$2,0)+1,FALSE)),IF(F417="specific_quest_clear",VLOOKUP(SUBSTITUTE(I417,"-","_"),OFFSET([2]stages!$A$2,0,0,COUNTA([2]stages!$A:$A),MATCH("name",[2]stages!$2:$2,0)-MATCH("temp_stage",[2]stages!$2:$2,0)+1),MATCH("name",[2]stages!$2:$2,0)-MATCH("temp_stage",[2]stages!$2:$2,0)+1,FALSE),""))</f>
        <v/>
      </c>
      <c r="K417" s="15">
        <v>1</v>
      </c>
      <c r="L417" s="15" t="s">
        <v>542</v>
      </c>
      <c r="M417" s="26"/>
      <c r="N417" s="26"/>
    </row>
    <row r="418" spans="1:14" ht="21" customHeight="1" x14ac:dyDescent="0.15">
      <c r="A418" s="2" t="s">
        <v>2388</v>
      </c>
      <c r="B418" s="21" t="s">
        <v>792</v>
      </c>
      <c r="C418" s="26" t="str">
        <f t="shared" ca="1" si="53"/>
        <v>ユニットを 1050 種類手に入れよう！</v>
      </c>
      <c r="D418" s="26" t="str">
        <f ca="1">IFERROR(VLOOKUP($A418,OFFSET(achievement_criterion_id,0,0,COUNTA($A:$A),MATCH(D$1,missions!$2:$2,0)-MATCH($A$1,missions!$2:$2,0)+1),MATCH(D$1,missions!$2:$2,0)-MATCH($A$1,missions!$2:$2,0)+1,FALSE),IFERROR(VLOOKUP($A418,OFFSET(weekly_achievement_criterion_id,0,0,COUNTA($A:$A),MATCH(D$1,weekly_missions!$2:$2,0)-MATCH($A$1,weekly_missions!$2:$2,0)+1),MATCH(D$1,weekly_missions!$2:$2,0)-MATCH($A$1,weekly_missions!$2:$2,0)+1,FALSE),"＊missions 未設定＊"))</f>
        <v>ビットキー x 2</v>
      </c>
      <c r="E418" s="27" t="s">
        <v>864</v>
      </c>
      <c r="F418" s="17" t="s">
        <v>34</v>
      </c>
      <c r="G418" s="26" t="str">
        <f ca="1">VLOOKUP($F418,OFFSET(達成条件!$A$1,0,0,COUNTA($A:$A),MATCH(G$1,達成条件!$1:$1,0)-MATCH($F$1,達成条件!$1:$1,0)+1),MATCH(G$1,達成条件!$1:$1,0)-MATCH($F$1,達成条件!$1:$1,0)+1,FALSE)</f>
        <v>ユニットを x 種類手に入れよう！</v>
      </c>
      <c r="H418" s="26" t="str">
        <f ca="1">VLOOKUP($F418,OFFSET(達成条件!$A$1,0,0,COUNTA($A:$A),MATCH(H$1,達成条件!$1:$1,0)-MATCH($F$1,達成条件!$1:$1,0)+1),MATCH(H$1,達成条件!$1:$1,0)-MATCH($F$1,達成条件!$1:$1,0)+1,FALSE)</f>
        <v>ユニットの種類数</v>
      </c>
      <c r="I418" s="58">
        <v>1050</v>
      </c>
      <c r="J418" s="54" t="str">
        <f ca="1">IF(F418="specific_unit_aquired_count",SUBSTITUTE(G418,"x",VLOOKUP(INT($I418),OFFSET([3]characters!$A$2,0,0,COUNTA([3]characters!$A:$A),MATCH(J$1,[3]characters!$2:$2,0)-MATCH("character_id",[3]characters!$2:$2,0)+1),MATCH(J$1,[3]characters!$2:$2,0)-MATCH("character_id",[3]characters!$2:$2,0)+1,FALSE)),IF(F418="specific_quest_clear",VLOOKUP(SUBSTITUTE(I418,"-","_"),OFFSET([2]stages!$A$2,0,0,COUNTA([2]stages!$A:$A),MATCH("name",[2]stages!$2:$2,0)-MATCH("temp_stage",[2]stages!$2:$2,0)+1),MATCH("name",[2]stages!$2:$2,0)-MATCH("temp_stage",[2]stages!$2:$2,0)+1,FALSE),""))</f>
        <v/>
      </c>
      <c r="K418" s="15">
        <v>1</v>
      </c>
      <c r="L418" s="15" t="s">
        <v>542</v>
      </c>
      <c r="M418" s="26"/>
      <c r="N418" s="26"/>
    </row>
    <row r="419" spans="1:14" ht="21" customHeight="1" x14ac:dyDescent="0.15">
      <c r="A419" s="2" t="s">
        <v>2389</v>
      </c>
      <c r="B419" s="21" t="s">
        <v>792</v>
      </c>
      <c r="C419" s="26" t="str">
        <f t="shared" ca="1" si="53"/>
        <v>ユニットを 1075 種類手に入れよう！</v>
      </c>
      <c r="D419" s="26" t="str">
        <f ca="1">IFERROR(VLOOKUP($A419,OFFSET(achievement_criterion_id,0,0,COUNTA($A:$A),MATCH(D$1,missions!$2:$2,0)-MATCH($A$1,missions!$2:$2,0)+1),MATCH(D$1,missions!$2:$2,0)-MATCH($A$1,missions!$2:$2,0)+1,FALSE),IFERROR(VLOOKUP($A419,OFFSET(weekly_achievement_criterion_id,0,0,COUNTA($A:$A),MATCH(D$1,weekly_missions!$2:$2,0)-MATCH($A$1,weekly_missions!$2:$2,0)+1),MATCH(D$1,weekly_missions!$2:$2,0)-MATCH($A$1,weekly_missions!$2:$2,0)+1,FALSE),"＊missions 未設定＊"))</f>
        <v>ギガ秘術の果実 x 2</v>
      </c>
      <c r="E419" s="27" t="s">
        <v>864</v>
      </c>
      <c r="F419" s="17" t="s">
        <v>34</v>
      </c>
      <c r="G419" s="26" t="str">
        <f ca="1">VLOOKUP($F419,OFFSET(達成条件!$A$1,0,0,COUNTA($A:$A),MATCH(G$1,達成条件!$1:$1,0)-MATCH($F$1,達成条件!$1:$1,0)+1),MATCH(G$1,達成条件!$1:$1,0)-MATCH($F$1,達成条件!$1:$1,0)+1,FALSE)</f>
        <v>ユニットを x 種類手に入れよう！</v>
      </c>
      <c r="H419" s="26" t="str">
        <f ca="1">VLOOKUP($F419,OFFSET(達成条件!$A$1,0,0,COUNTA($A:$A),MATCH(H$1,達成条件!$1:$1,0)-MATCH($F$1,達成条件!$1:$1,0)+1),MATCH(H$1,達成条件!$1:$1,0)-MATCH($F$1,達成条件!$1:$1,0)+1,FALSE)</f>
        <v>ユニットの種類数</v>
      </c>
      <c r="I419" s="58">
        <v>1075</v>
      </c>
      <c r="J419" s="54" t="str">
        <f ca="1">IF(F419="specific_unit_aquired_count",SUBSTITUTE(G419,"x",VLOOKUP(INT($I419),OFFSET([3]characters!$A$2,0,0,COUNTA([3]characters!$A:$A),MATCH(J$1,[3]characters!$2:$2,0)-MATCH("character_id",[3]characters!$2:$2,0)+1),MATCH(J$1,[3]characters!$2:$2,0)-MATCH("character_id",[3]characters!$2:$2,0)+1,FALSE)),IF(F419="specific_quest_clear",VLOOKUP(SUBSTITUTE(I419,"-","_"),OFFSET([2]stages!$A$2,0,0,COUNTA([2]stages!$A:$A),MATCH("name",[2]stages!$2:$2,0)-MATCH("temp_stage",[2]stages!$2:$2,0)+1),MATCH("name",[2]stages!$2:$2,0)-MATCH("temp_stage",[2]stages!$2:$2,0)+1,FALSE),""))</f>
        <v/>
      </c>
      <c r="K419" s="15">
        <v>1</v>
      </c>
      <c r="L419" s="15" t="s">
        <v>542</v>
      </c>
      <c r="M419" s="26"/>
      <c r="N419" s="26"/>
    </row>
    <row r="420" spans="1:14" ht="21" customHeight="1" x14ac:dyDescent="0.15">
      <c r="A420" s="2" t="s">
        <v>2390</v>
      </c>
      <c r="B420" s="21" t="s">
        <v>792</v>
      </c>
      <c r="C420" s="26" t="str">
        <f t="shared" ca="1" si="53"/>
        <v>ユニットを 1100 種類手に入れよう！</v>
      </c>
      <c r="D420" s="26" t="str">
        <f ca="1">IFERROR(VLOOKUP($A420,OFFSET(achievement_criterion_id,0,0,COUNTA($A:$A),MATCH(D$1,missions!$2:$2,0)-MATCH($A$1,missions!$2:$2,0)+1),MATCH(D$1,missions!$2:$2,0)-MATCH($A$1,missions!$2:$2,0)+1,FALSE),IFERROR(VLOOKUP($A420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420" s="27" t="s">
        <v>864</v>
      </c>
      <c r="F420" s="17" t="s">
        <v>34</v>
      </c>
      <c r="G420" s="26" t="str">
        <f ca="1">VLOOKUP($F420,OFFSET(達成条件!$A$1,0,0,COUNTA($A:$A),MATCH(G$1,達成条件!$1:$1,0)-MATCH($F$1,達成条件!$1:$1,0)+1),MATCH(G$1,達成条件!$1:$1,0)-MATCH($F$1,達成条件!$1:$1,0)+1,FALSE)</f>
        <v>ユニットを x 種類手に入れよう！</v>
      </c>
      <c r="H420" s="26" t="str">
        <f ca="1">VLOOKUP($F420,OFFSET(達成条件!$A$1,0,0,COUNTA($A:$A),MATCH(H$1,達成条件!$1:$1,0)-MATCH($F$1,達成条件!$1:$1,0)+1),MATCH(H$1,達成条件!$1:$1,0)-MATCH($F$1,達成条件!$1:$1,0)+1,FALSE)</f>
        <v>ユニットの種類数</v>
      </c>
      <c r="I420" s="58">
        <v>1100</v>
      </c>
      <c r="J420" s="54" t="str">
        <f ca="1">IF(F420="specific_unit_aquired_count",SUBSTITUTE(G420,"x",VLOOKUP(INT($I420),OFFSET([3]characters!$A$2,0,0,COUNTA([3]characters!$A:$A),MATCH(J$1,[3]characters!$2:$2,0)-MATCH("character_id",[3]characters!$2:$2,0)+1),MATCH(J$1,[3]characters!$2:$2,0)-MATCH("character_id",[3]characters!$2:$2,0)+1,FALSE)),IF(F420="specific_quest_clear",VLOOKUP(SUBSTITUTE(I420,"-","_"),OFFSET([2]stages!$A$2,0,0,COUNTA([2]stages!$A:$A),MATCH("name",[2]stages!$2:$2,0)-MATCH("temp_stage",[2]stages!$2:$2,0)+1),MATCH("name",[2]stages!$2:$2,0)-MATCH("temp_stage",[2]stages!$2:$2,0)+1,FALSE),""))</f>
        <v/>
      </c>
      <c r="K420" s="15">
        <v>1</v>
      </c>
      <c r="L420" s="15" t="s">
        <v>542</v>
      </c>
      <c r="M420" s="26"/>
      <c r="N420" s="26"/>
    </row>
    <row r="421" spans="1:14" ht="21" customHeight="1" x14ac:dyDescent="0.15">
      <c r="A421" s="2" t="s">
        <v>2391</v>
      </c>
      <c r="B421" s="21" t="s">
        <v>792</v>
      </c>
      <c r="C421" s="26" t="str">
        <f t="shared" ca="1" si="53"/>
        <v>ユニットを 1125 種類手に入れよう！</v>
      </c>
      <c r="D421" s="26" t="str">
        <f ca="1">IFERROR(VLOOKUP($A421,OFFSET(achievement_criterion_id,0,0,COUNTA($A:$A),MATCH(D$1,missions!$2:$2,0)-MATCH($A$1,missions!$2:$2,0)+1),MATCH(D$1,missions!$2:$2,0)-MATCH($A$1,missions!$2:$2,0)+1,FALSE),IFERROR(VLOOKUP($A421,OFFSET(weekly_achievement_criterion_id,0,0,COUNTA($A:$A),MATCH(D$1,weekly_missions!$2:$2,0)-MATCH($A$1,weekly_missions!$2:$2,0)+1),MATCH(D$1,weekly_missions!$2:$2,0)-MATCH($A$1,weekly_missions!$2:$2,0)+1,FALSE),"＊missions 未設定＊"))</f>
        <v>ギガ攻めの果実 x 2</v>
      </c>
      <c r="E421" s="27" t="s">
        <v>864</v>
      </c>
      <c r="F421" s="17" t="s">
        <v>34</v>
      </c>
      <c r="G421" s="26" t="str">
        <f ca="1">VLOOKUP($F421,OFFSET(達成条件!$A$1,0,0,COUNTA($A:$A),MATCH(G$1,達成条件!$1:$1,0)-MATCH($F$1,達成条件!$1:$1,0)+1),MATCH(G$1,達成条件!$1:$1,0)-MATCH($F$1,達成条件!$1:$1,0)+1,FALSE)</f>
        <v>ユニットを x 種類手に入れよう！</v>
      </c>
      <c r="H421" s="26" t="str">
        <f ca="1">VLOOKUP($F421,OFFSET(達成条件!$A$1,0,0,COUNTA($A:$A),MATCH(H$1,達成条件!$1:$1,0)-MATCH($F$1,達成条件!$1:$1,0)+1),MATCH(H$1,達成条件!$1:$1,0)-MATCH($F$1,達成条件!$1:$1,0)+1,FALSE)</f>
        <v>ユニットの種類数</v>
      </c>
      <c r="I421" s="58">
        <v>1125</v>
      </c>
      <c r="J421" s="54" t="str">
        <f ca="1">IF(F421="specific_unit_aquired_count",SUBSTITUTE(G421,"x",VLOOKUP(INT($I421),OFFSET([3]characters!$A$2,0,0,COUNTA([3]characters!$A:$A),MATCH(J$1,[3]characters!$2:$2,0)-MATCH("character_id",[3]characters!$2:$2,0)+1),MATCH(J$1,[3]characters!$2:$2,0)-MATCH("character_id",[3]characters!$2:$2,0)+1,FALSE)),IF(F421="specific_quest_clear",VLOOKUP(SUBSTITUTE(I421,"-","_"),OFFSET([2]stages!$A$2,0,0,COUNTA([2]stages!$A:$A),MATCH("name",[2]stages!$2:$2,0)-MATCH("temp_stage",[2]stages!$2:$2,0)+1),MATCH("name",[2]stages!$2:$2,0)-MATCH("temp_stage",[2]stages!$2:$2,0)+1,FALSE),""))</f>
        <v/>
      </c>
      <c r="K421" s="15">
        <v>1</v>
      </c>
      <c r="L421" s="15" t="s">
        <v>542</v>
      </c>
      <c r="M421" s="26"/>
      <c r="N421" s="26"/>
    </row>
    <row r="422" spans="1:14" ht="21" customHeight="1" x14ac:dyDescent="0.15">
      <c r="A422" s="2" t="s">
        <v>2392</v>
      </c>
      <c r="B422" s="21" t="s">
        <v>792</v>
      </c>
      <c r="C422" s="26" t="str">
        <f t="shared" ca="1" si="53"/>
        <v>ユニットを 1150 種類手に入れよう！</v>
      </c>
      <c r="D422" s="26" t="str">
        <f ca="1">IFERROR(VLOOKUP($A422,OFFSET(achievement_criterion_id,0,0,COUNTA($A:$A),MATCH(D$1,missions!$2:$2,0)-MATCH($A$1,missions!$2:$2,0)+1),MATCH(D$1,missions!$2:$2,0)-MATCH($A$1,missions!$2:$2,0)+1,FALSE),IFERROR(VLOOKUP($A422,OFFSET(weekly_achievement_criterion_id,0,0,COUNTA($A:$A),MATCH(D$1,weekly_missions!$2:$2,0)-MATCH($A$1,weekly_missions!$2:$2,0)+1),MATCH(D$1,weekly_missions!$2:$2,0)-MATCH($A$1,weekly_missions!$2:$2,0)+1,FALSE),"＊missions 未設定＊"))</f>
        <v>限界突破キー x 2</v>
      </c>
      <c r="E422" s="27" t="s">
        <v>864</v>
      </c>
      <c r="F422" s="17" t="s">
        <v>34</v>
      </c>
      <c r="G422" s="26" t="str">
        <f ca="1">VLOOKUP($F422,OFFSET(達成条件!$A$1,0,0,COUNTA($A:$A),MATCH(G$1,達成条件!$1:$1,0)-MATCH($F$1,達成条件!$1:$1,0)+1),MATCH(G$1,達成条件!$1:$1,0)-MATCH($F$1,達成条件!$1:$1,0)+1,FALSE)</f>
        <v>ユニットを x 種類手に入れよう！</v>
      </c>
      <c r="H422" s="26" t="str">
        <f ca="1">VLOOKUP($F422,OFFSET(達成条件!$A$1,0,0,COUNTA($A:$A),MATCH(H$1,達成条件!$1:$1,0)-MATCH($F$1,達成条件!$1:$1,0)+1),MATCH(H$1,達成条件!$1:$1,0)-MATCH($F$1,達成条件!$1:$1,0)+1,FALSE)</f>
        <v>ユニットの種類数</v>
      </c>
      <c r="I422" s="58">
        <v>1150</v>
      </c>
      <c r="J422" s="54" t="str">
        <f ca="1">IF(F422="specific_unit_aquired_count",SUBSTITUTE(G422,"x",VLOOKUP(INT($I422),OFFSET([3]characters!$A$2,0,0,COUNTA([3]characters!$A:$A),MATCH(J$1,[3]characters!$2:$2,0)-MATCH("character_id",[3]characters!$2:$2,0)+1),MATCH(J$1,[3]characters!$2:$2,0)-MATCH("character_id",[3]characters!$2:$2,0)+1,FALSE)),IF(F422="specific_quest_clear",VLOOKUP(SUBSTITUTE(I422,"-","_"),OFFSET([2]stages!$A$2,0,0,COUNTA([2]stages!$A:$A),MATCH("name",[2]stages!$2:$2,0)-MATCH("temp_stage",[2]stages!$2:$2,0)+1),MATCH("name",[2]stages!$2:$2,0)-MATCH("temp_stage",[2]stages!$2:$2,0)+1,FALSE),""))</f>
        <v/>
      </c>
      <c r="K422" s="15">
        <v>1</v>
      </c>
      <c r="L422" s="15" t="s">
        <v>542</v>
      </c>
      <c r="M422" s="26"/>
      <c r="N422" s="26"/>
    </row>
    <row r="423" spans="1:14" ht="21" customHeight="1" x14ac:dyDescent="0.15">
      <c r="A423" s="2" t="s">
        <v>2393</v>
      </c>
      <c r="B423" s="21" t="s">
        <v>792</v>
      </c>
      <c r="C423" s="26" t="str">
        <f t="shared" ca="1" si="53"/>
        <v>ユニットを 1175 種類手に入れよう！</v>
      </c>
      <c r="D423" s="26" t="str">
        <f ca="1">IFERROR(VLOOKUP($A423,OFFSET(achievement_criterion_id,0,0,COUNTA($A:$A),MATCH(D$1,missions!$2:$2,0)-MATCH($A$1,missions!$2:$2,0)+1),MATCH(D$1,missions!$2:$2,0)-MATCH($A$1,missions!$2:$2,0)+1,FALSE),IFERROR(VLOOKUP($A423,OFFSET(weekly_achievement_criterion_id,0,0,COUNTA($A:$A),MATCH(D$1,weekly_missions!$2:$2,0)-MATCH($A$1,weekly_missions!$2:$2,0)+1),MATCH(D$1,weekly_missions!$2:$2,0)-MATCH($A$1,weekly_missions!$2:$2,0)+1,FALSE),"＊missions 未設定＊"))</f>
        <v>ギガ生命の果実 x 2</v>
      </c>
      <c r="E423" s="27" t="s">
        <v>864</v>
      </c>
      <c r="F423" s="17" t="s">
        <v>34</v>
      </c>
      <c r="G423" s="26" t="str">
        <f ca="1">VLOOKUP($F423,OFFSET(達成条件!$A$1,0,0,COUNTA($A:$A),MATCH(G$1,達成条件!$1:$1,0)-MATCH($F$1,達成条件!$1:$1,0)+1),MATCH(G$1,達成条件!$1:$1,0)-MATCH($F$1,達成条件!$1:$1,0)+1,FALSE)</f>
        <v>ユニットを x 種類手に入れよう！</v>
      </c>
      <c r="H423" s="26" t="str">
        <f ca="1">VLOOKUP($F423,OFFSET(達成条件!$A$1,0,0,COUNTA($A:$A),MATCH(H$1,達成条件!$1:$1,0)-MATCH($F$1,達成条件!$1:$1,0)+1),MATCH(H$1,達成条件!$1:$1,0)-MATCH($F$1,達成条件!$1:$1,0)+1,FALSE)</f>
        <v>ユニットの種類数</v>
      </c>
      <c r="I423" s="58">
        <v>1175</v>
      </c>
      <c r="J423" s="54" t="str">
        <f ca="1">IF(F423="specific_unit_aquired_count",SUBSTITUTE(G423,"x",VLOOKUP(INT($I423),OFFSET([3]characters!$A$2,0,0,COUNTA([3]characters!$A:$A),MATCH(J$1,[3]characters!$2:$2,0)-MATCH("character_id",[3]characters!$2:$2,0)+1),MATCH(J$1,[3]characters!$2:$2,0)-MATCH("character_id",[3]characters!$2:$2,0)+1,FALSE)),IF(F423="specific_quest_clear",VLOOKUP(SUBSTITUTE(I423,"-","_"),OFFSET([2]stages!$A$2,0,0,COUNTA([2]stages!$A:$A),MATCH("name",[2]stages!$2:$2,0)-MATCH("temp_stage",[2]stages!$2:$2,0)+1),MATCH("name",[2]stages!$2:$2,0)-MATCH("temp_stage",[2]stages!$2:$2,0)+1,FALSE),""))</f>
        <v/>
      </c>
      <c r="K423" s="15">
        <v>1</v>
      </c>
      <c r="L423" s="15" t="s">
        <v>542</v>
      </c>
      <c r="M423" s="26"/>
      <c r="N423" s="26"/>
    </row>
    <row r="424" spans="1:14" ht="21" customHeight="1" x14ac:dyDescent="0.15">
      <c r="A424" s="2" t="s">
        <v>2394</v>
      </c>
      <c r="B424" s="21" t="s">
        <v>792</v>
      </c>
      <c r="C424" s="26" t="str">
        <f t="shared" ca="1" si="53"/>
        <v>ユニットを 1200 種類手に入れよう！</v>
      </c>
      <c r="D424" s="26" t="str">
        <f ca="1">IFERROR(VLOOKUP($A424,OFFSET(achievement_criterion_id,0,0,COUNTA($A:$A),MATCH(D$1,missions!$2:$2,0)-MATCH($A$1,missions!$2:$2,0)+1),MATCH(D$1,missions!$2:$2,0)-MATCH($A$1,missions!$2:$2,0)+1,FALSE),IFERROR(VLOOKUP($A424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424" s="27" t="s">
        <v>864</v>
      </c>
      <c r="F424" s="17" t="s">
        <v>34</v>
      </c>
      <c r="G424" s="26" t="str">
        <f ca="1">VLOOKUP($F424,OFFSET(達成条件!$A$1,0,0,COUNTA($A:$A),MATCH(G$1,達成条件!$1:$1,0)-MATCH($F$1,達成条件!$1:$1,0)+1),MATCH(G$1,達成条件!$1:$1,0)-MATCH($F$1,達成条件!$1:$1,0)+1,FALSE)</f>
        <v>ユニットを x 種類手に入れよう！</v>
      </c>
      <c r="H424" s="26" t="str">
        <f ca="1">VLOOKUP($F424,OFFSET(達成条件!$A$1,0,0,COUNTA($A:$A),MATCH(H$1,達成条件!$1:$1,0)-MATCH($F$1,達成条件!$1:$1,0)+1),MATCH(H$1,達成条件!$1:$1,0)-MATCH($F$1,達成条件!$1:$1,0)+1,FALSE)</f>
        <v>ユニットの種類数</v>
      </c>
      <c r="I424" s="58">
        <v>1200</v>
      </c>
      <c r="J424" s="54" t="str">
        <f ca="1">IF(F424="specific_unit_aquired_count",SUBSTITUTE(G424,"x",VLOOKUP(INT($I424),OFFSET([3]characters!$A$2,0,0,COUNTA([3]characters!$A:$A),MATCH(J$1,[3]characters!$2:$2,0)-MATCH("character_id",[3]characters!$2:$2,0)+1),MATCH(J$1,[3]characters!$2:$2,0)-MATCH("character_id",[3]characters!$2:$2,0)+1,FALSE)),IF(F424="specific_quest_clear",VLOOKUP(SUBSTITUTE(I424,"-","_"),OFFSET([2]stages!$A$2,0,0,COUNTA([2]stages!$A:$A),MATCH("name",[2]stages!$2:$2,0)-MATCH("temp_stage",[2]stages!$2:$2,0)+1),MATCH("name",[2]stages!$2:$2,0)-MATCH("temp_stage",[2]stages!$2:$2,0)+1,FALSE),""))</f>
        <v/>
      </c>
      <c r="K424" s="15">
        <v>1</v>
      </c>
      <c r="L424" s="15" t="s">
        <v>542</v>
      </c>
      <c r="M424" s="26"/>
      <c r="N424" s="26"/>
    </row>
    <row r="425" spans="1:14" ht="21" customHeight="1" x14ac:dyDescent="0.15">
      <c r="A425" s="2" t="s">
        <v>2395</v>
      </c>
      <c r="B425" s="21" t="s">
        <v>792</v>
      </c>
      <c r="C425" s="26" t="str">
        <f t="shared" ca="1" si="53"/>
        <v>ユニットを 1225 種類手に入れよう！</v>
      </c>
      <c r="D425" s="26" t="str">
        <f ca="1">IFERROR(VLOOKUP($A425,OFFSET(achievement_criterion_id,0,0,COUNTA($A:$A),MATCH(D$1,missions!$2:$2,0)-MATCH($A$1,missions!$2:$2,0)+1),MATCH(D$1,missions!$2:$2,0)-MATCH($A$1,missions!$2:$2,0)+1,FALSE),IFERROR(VLOOKUP($A425,OFFSET(weekly_achievement_criterion_id,0,0,COUNTA($A:$A),MATCH(D$1,weekly_missions!$2:$2,0)-MATCH($A$1,weekly_missions!$2:$2,0)+1),MATCH(D$1,weekly_missions!$2:$2,0)-MATCH($A$1,weekly_missions!$2:$2,0)+1,FALSE),"＊missions 未設定＊"))</f>
        <v>ギガ癒しの果実 x 2</v>
      </c>
      <c r="E425" s="27" t="s">
        <v>864</v>
      </c>
      <c r="F425" s="17" t="s">
        <v>34</v>
      </c>
      <c r="G425" s="26" t="str">
        <f ca="1">VLOOKUP($F425,OFFSET(達成条件!$A$1,0,0,COUNTA($A:$A),MATCH(G$1,達成条件!$1:$1,0)-MATCH($F$1,達成条件!$1:$1,0)+1),MATCH(G$1,達成条件!$1:$1,0)-MATCH($F$1,達成条件!$1:$1,0)+1,FALSE)</f>
        <v>ユニットを x 種類手に入れよう！</v>
      </c>
      <c r="H425" s="26" t="str">
        <f ca="1">VLOOKUP($F425,OFFSET(達成条件!$A$1,0,0,COUNTA($A:$A),MATCH(H$1,達成条件!$1:$1,0)-MATCH($F$1,達成条件!$1:$1,0)+1),MATCH(H$1,達成条件!$1:$1,0)-MATCH($F$1,達成条件!$1:$1,0)+1,FALSE)</f>
        <v>ユニットの種類数</v>
      </c>
      <c r="I425" s="58">
        <v>1225</v>
      </c>
      <c r="J425" s="54" t="str">
        <f ca="1">IF(F425="specific_unit_aquired_count",SUBSTITUTE(G425,"x",VLOOKUP(INT($I425),OFFSET([3]characters!$A$2,0,0,COUNTA([3]characters!$A:$A),MATCH(J$1,[3]characters!$2:$2,0)-MATCH("character_id",[3]characters!$2:$2,0)+1),MATCH(J$1,[3]characters!$2:$2,0)-MATCH("character_id",[3]characters!$2:$2,0)+1,FALSE)),IF(F425="specific_quest_clear",VLOOKUP(SUBSTITUTE(I425,"-","_"),OFFSET([2]stages!$A$2,0,0,COUNTA([2]stages!$A:$A),MATCH("name",[2]stages!$2:$2,0)-MATCH("temp_stage",[2]stages!$2:$2,0)+1),MATCH("name",[2]stages!$2:$2,0)-MATCH("temp_stage",[2]stages!$2:$2,0)+1,FALSE),""))</f>
        <v/>
      </c>
      <c r="K425" s="15">
        <v>1</v>
      </c>
      <c r="L425" s="15" t="s">
        <v>542</v>
      </c>
      <c r="M425" s="26"/>
      <c r="N425" s="26"/>
    </row>
    <row r="426" spans="1:14" ht="21" customHeight="1" x14ac:dyDescent="0.15">
      <c r="A426" s="2" t="s">
        <v>108</v>
      </c>
      <c r="B426" s="21" t="s">
        <v>792</v>
      </c>
      <c r="C426" s="26" t="str">
        <f t="shared" ca="1" si="53"/>
        <v>ユニットを 1250 種類手に入れよう！</v>
      </c>
      <c r="D426" s="26" t="str">
        <f ca="1">IFERROR(VLOOKUP($A426,OFFSET(achievement_criterion_id,0,0,COUNTA($A:$A),MATCH(D$1,missions!$2:$2,0)-MATCH($A$1,missions!$2:$2,0)+1),MATCH(D$1,missions!$2:$2,0)-MATCH($A$1,missions!$2:$2,0)+1,FALSE),IFERROR(VLOOKUP($A426,OFFSET(weekly_achievement_criterion_id,0,0,COUNTA($A:$A),MATCH(D$1,weekly_missions!$2:$2,0)-MATCH($A$1,weekly_missions!$2:$2,0)+1),MATCH(D$1,weekly_missions!$2:$2,0)-MATCH($A$1,weekly_missions!$2:$2,0)+1,FALSE),"＊missions 未設定＊"))</f>
        <v>マスターキー x 2</v>
      </c>
      <c r="E426" s="27" t="s">
        <v>864</v>
      </c>
      <c r="F426" s="17" t="s">
        <v>34</v>
      </c>
      <c r="G426" s="26" t="str">
        <f ca="1">VLOOKUP($F426,OFFSET(達成条件!$A$1,0,0,COUNTA($A:$A),MATCH(G$1,達成条件!$1:$1,0)-MATCH($F$1,達成条件!$1:$1,0)+1),MATCH(G$1,達成条件!$1:$1,0)-MATCH($F$1,達成条件!$1:$1,0)+1,FALSE)</f>
        <v>ユニットを x 種類手に入れよう！</v>
      </c>
      <c r="H426" s="26" t="str">
        <f ca="1">VLOOKUP($F426,OFFSET(達成条件!$A$1,0,0,COUNTA($A:$A),MATCH(H$1,達成条件!$1:$1,0)-MATCH($F$1,達成条件!$1:$1,0)+1),MATCH(H$1,達成条件!$1:$1,0)-MATCH($F$1,達成条件!$1:$1,0)+1,FALSE)</f>
        <v>ユニットの種類数</v>
      </c>
      <c r="I426" s="58">
        <v>1250</v>
      </c>
      <c r="J426" s="54" t="str">
        <f ca="1">IF(F426="specific_unit_aquired_count",SUBSTITUTE(G426,"x",VLOOKUP(INT($I426),OFFSET([3]characters!$A$2,0,0,COUNTA([3]characters!$A:$A),MATCH(J$1,[3]characters!$2:$2,0)-MATCH("character_id",[3]characters!$2:$2,0)+1),MATCH(J$1,[3]characters!$2:$2,0)-MATCH("character_id",[3]characters!$2:$2,0)+1,FALSE)),IF(F426="specific_quest_clear",VLOOKUP(SUBSTITUTE(I426,"-","_"),OFFSET([2]stages!$A$2,0,0,COUNTA([2]stages!$A:$A),MATCH("name",[2]stages!$2:$2,0)-MATCH("temp_stage",[2]stages!$2:$2,0)+1),MATCH("name",[2]stages!$2:$2,0)-MATCH("temp_stage",[2]stages!$2:$2,0)+1,FALSE),""))</f>
        <v/>
      </c>
      <c r="K426" s="15">
        <v>1</v>
      </c>
      <c r="L426" s="15" t="s">
        <v>542</v>
      </c>
      <c r="M426" s="26"/>
      <c r="N426" s="26"/>
    </row>
    <row r="427" spans="1:14" ht="21" customHeight="1" x14ac:dyDescent="0.15">
      <c r="A427" s="2" t="s">
        <v>2396</v>
      </c>
      <c r="B427" s="21" t="s">
        <v>792</v>
      </c>
      <c r="C427" s="26" t="str">
        <f t="shared" ca="1" si="53"/>
        <v>ユニットを 1275 種類手に入れよう！</v>
      </c>
      <c r="D427" s="26" t="str">
        <f ca="1">IFERROR(VLOOKUP($A427,OFFSET(achievement_criterion_id,0,0,COUNTA($A:$A),MATCH(D$1,missions!$2:$2,0)-MATCH($A$1,missions!$2:$2,0)+1),MATCH(D$1,missions!$2:$2,0)-MATCH($A$1,missions!$2:$2,0)+1,FALSE),IFERROR(VLOOKUP($A427,OFFSET(weekly_achievement_criterion_id,0,0,COUNTA($A:$A),MATCH(D$1,weekly_missions!$2:$2,0)-MATCH($A$1,weekly_missions!$2:$2,0)+1),MATCH(D$1,weekly_missions!$2:$2,0)-MATCH($A$1,weekly_missions!$2:$2,0)+1,FALSE),"＊missions 未設定＊"))</f>
        <v>ギガ秘術の果実 x 2</v>
      </c>
      <c r="E427" s="27" t="s">
        <v>864</v>
      </c>
      <c r="F427" s="17" t="s">
        <v>34</v>
      </c>
      <c r="G427" s="26" t="str">
        <f ca="1">VLOOKUP($F427,OFFSET(達成条件!$A$1,0,0,COUNTA($A:$A),MATCH(G$1,達成条件!$1:$1,0)-MATCH($F$1,達成条件!$1:$1,0)+1),MATCH(G$1,達成条件!$1:$1,0)-MATCH($F$1,達成条件!$1:$1,0)+1,FALSE)</f>
        <v>ユニットを x 種類手に入れよう！</v>
      </c>
      <c r="H427" s="26" t="str">
        <f ca="1">VLOOKUP($F427,OFFSET(達成条件!$A$1,0,0,COUNTA($A:$A),MATCH(H$1,達成条件!$1:$1,0)-MATCH($F$1,達成条件!$1:$1,0)+1),MATCH(H$1,達成条件!$1:$1,0)-MATCH($F$1,達成条件!$1:$1,0)+1,FALSE)</f>
        <v>ユニットの種類数</v>
      </c>
      <c r="I427" s="58">
        <v>1275</v>
      </c>
      <c r="J427" s="54" t="str">
        <f ca="1">IF(F427="specific_unit_aquired_count",SUBSTITUTE(G427,"x",VLOOKUP(INT($I427),OFFSET([3]characters!$A$2,0,0,COUNTA([3]characters!$A:$A),MATCH(J$1,[3]characters!$2:$2,0)-MATCH("character_id",[3]characters!$2:$2,0)+1),MATCH(J$1,[3]characters!$2:$2,0)-MATCH("character_id",[3]characters!$2:$2,0)+1,FALSE)),IF(F427="specific_quest_clear",VLOOKUP(SUBSTITUTE(I427,"-","_"),OFFSET([2]stages!$A$2,0,0,COUNTA([2]stages!$A:$A),MATCH("name",[2]stages!$2:$2,0)-MATCH("temp_stage",[2]stages!$2:$2,0)+1),MATCH("name",[2]stages!$2:$2,0)-MATCH("temp_stage",[2]stages!$2:$2,0)+1,FALSE),""))</f>
        <v/>
      </c>
      <c r="K427" s="15">
        <v>1</v>
      </c>
      <c r="L427" s="15" t="s">
        <v>542</v>
      </c>
      <c r="M427" s="26"/>
      <c r="N427" s="26"/>
    </row>
    <row r="428" spans="1:14" ht="21" customHeight="1" x14ac:dyDescent="0.15">
      <c r="A428" s="2" t="s">
        <v>2397</v>
      </c>
      <c r="B428" s="21" t="s">
        <v>792</v>
      </c>
      <c r="C428" s="26" t="str">
        <f t="shared" ca="1" si="53"/>
        <v>ユニットを 1300 種類手に入れよう！</v>
      </c>
      <c r="D428" s="26" t="str">
        <f ca="1">IFERROR(VLOOKUP($A428,OFFSET(achievement_criterion_id,0,0,COUNTA($A:$A),MATCH(D$1,missions!$2:$2,0)-MATCH($A$1,missions!$2:$2,0)+1),MATCH(D$1,missions!$2:$2,0)-MATCH($A$1,missions!$2:$2,0)+1,FALSE),IFERROR(VLOOKUP($A428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428" s="27" t="s">
        <v>864</v>
      </c>
      <c r="F428" s="17" t="s">
        <v>34</v>
      </c>
      <c r="G428" s="26" t="str">
        <f ca="1">VLOOKUP($F428,OFFSET(達成条件!$A$1,0,0,COUNTA($A:$A),MATCH(G$1,達成条件!$1:$1,0)-MATCH($F$1,達成条件!$1:$1,0)+1),MATCH(G$1,達成条件!$1:$1,0)-MATCH($F$1,達成条件!$1:$1,0)+1,FALSE)</f>
        <v>ユニットを x 種類手に入れよう！</v>
      </c>
      <c r="H428" s="26" t="str">
        <f ca="1">VLOOKUP($F428,OFFSET(達成条件!$A$1,0,0,COUNTA($A:$A),MATCH(H$1,達成条件!$1:$1,0)-MATCH($F$1,達成条件!$1:$1,0)+1),MATCH(H$1,達成条件!$1:$1,0)-MATCH($F$1,達成条件!$1:$1,0)+1,FALSE)</f>
        <v>ユニットの種類数</v>
      </c>
      <c r="I428" s="58">
        <v>1300</v>
      </c>
      <c r="J428" s="54" t="str">
        <f ca="1">IF(F428="specific_unit_aquired_count",SUBSTITUTE(G428,"x",VLOOKUP(INT($I428),OFFSET([3]characters!$A$2,0,0,COUNTA([3]characters!$A:$A),MATCH(J$1,[3]characters!$2:$2,0)-MATCH("character_id",[3]characters!$2:$2,0)+1),MATCH(J$1,[3]characters!$2:$2,0)-MATCH("character_id",[3]characters!$2:$2,0)+1,FALSE)),IF(F428="specific_quest_clear",VLOOKUP(SUBSTITUTE(I428,"-","_"),OFFSET([2]stages!$A$2,0,0,COUNTA([2]stages!$A:$A),MATCH("name",[2]stages!$2:$2,0)-MATCH("temp_stage",[2]stages!$2:$2,0)+1),MATCH("name",[2]stages!$2:$2,0)-MATCH("temp_stage",[2]stages!$2:$2,0)+1,FALSE),""))</f>
        <v/>
      </c>
      <c r="K428" s="15">
        <v>1</v>
      </c>
      <c r="L428" s="15" t="s">
        <v>542</v>
      </c>
      <c r="M428" s="26"/>
      <c r="N428" s="26"/>
    </row>
    <row r="429" spans="1:14" ht="21" customHeight="1" x14ac:dyDescent="0.15">
      <c r="A429" s="2" t="s">
        <v>2398</v>
      </c>
      <c r="B429" s="21" t="s">
        <v>792</v>
      </c>
      <c r="C429" s="26" t="str">
        <f t="shared" ca="1" si="53"/>
        <v>ユニットを 1325 種類手に入れよう！</v>
      </c>
      <c r="D429" s="26" t="str">
        <f ca="1">IFERROR(VLOOKUP($A429,OFFSET(achievement_criterion_id,0,0,COUNTA($A:$A),MATCH(D$1,missions!$2:$2,0)-MATCH($A$1,missions!$2:$2,0)+1),MATCH(D$1,missions!$2:$2,0)-MATCH($A$1,missions!$2:$2,0)+1,FALSE),IFERROR(VLOOKUP($A429,OFFSET(weekly_achievement_criterion_id,0,0,COUNTA($A:$A),MATCH(D$1,weekly_missions!$2:$2,0)-MATCH($A$1,weekly_missions!$2:$2,0)+1),MATCH(D$1,weekly_missions!$2:$2,0)-MATCH($A$1,weekly_missions!$2:$2,0)+1,FALSE),"＊missions 未設定＊"))</f>
        <v>ギガ攻めの果実 x 3</v>
      </c>
      <c r="E429" s="27" t="s">
        <v>864</v>
      </c>
      <c r="F429" s="17" t="s">
        <v>34</v>
      </c>
      <c r="G429" s="26" t="str">
        <f ca="1">VLOOKUP($F429,OFFSET(達成条件!$A$1,0,0,COUNTA($A:$A),MATCH(G$1,達成条件!$1:$1,0)-MATCH($F$1,達成条件!$1:$1,0)+1),MATCH(G$1,達成条件!$1:$1,0)-MATCH($F$1,達成条件!$1:$1,0)+1,FALSE)</f>
        <v>ユニットを x 種類手に入れよう！</v>
      </c>
      <c r="H429" s="26" t="str">
        <f ca="1">VLOOKUP($F429,OFFSET(達成条件!$A$1,0,0,COUNTA($A:$A),MATCH(H$1,達成条件!$1:$1,0)-MATCH($F$1,達成条件!$1:$1,0)+1),MATCH(H$1,達成条件!$1:$1,0)-MATCH($F$1,達成条件!$1:$1,0)+1,FALSE)</f>
        <v>ユニットの種類数</v>
      </c>
      <c r="I429" s="58">
        <v>1325</v>
      </c>
      <c r="J429" s="54" t="str">
        <f ca="1">IF(F429="specific_unit_aquired_count",SUBSTITUTE(G429,"x",VLOOKUP(INT($I429),OFFSET([3]characters!$A$2,0,0,COUNTA([3]characters!$A:$A),MATCH(J$1,[3]characters!$2:$2,0)-MATCH("character_id",[3]characters!$2:$2,0)+1),MATCH(J$1,[3]characters!$2:$2,0)-MATCH("character_id",[3]characters!$2:$2,0)+1,FALSE)),IF(F429="specific_quest_clear",VLOOKUP(SUBSTITUTE(I429,"-","_"),OFFSET([2]stages!$A$2,0,0,COUNTA([2]stages!$A:$A),MATCH("name",[2]stages!$2:$2,0)-MATCH("temp_stage",[2]stages!$2:$2,0)+1),MATCH("name",[2]stages!$2:$2,0)-MATCH("temp_stage",[2]stages!$2:$2,0)+1,FALSE),""))</f>
        <v/>
      </c>
      <c r="K429" s="15">
        <v>1</v>
      </c>
      <c r="L429" s="15" t="s">
        <v>542</v>
      </c>
      <c r="M429" s="26"/>
      <c r="N429" s="26"/>
    </row>
    <row r="430" spans="1:14" ht="21" customHeight="1" x14ac:dyDescent="0.15">
      <c r="A430" s="2" t="s">
        <v>2399</v>
      </c>
      <c r="B430" s="21" t="s">
        <v>792</v>
      </c>
      <c r="C430" s="26" t="str">
        <f t="shared" ca="1" si="53"/>
        <v>ユニットを 1350 種類手に入れよう！</v>
      </c>
      <c r="D430" s="26" t="str">
        <f ca="1">IFERROR(VLOOKUP($A430,OFFSET(achievement_criterion_id,0,0,COUNTA($A:$A),MATCH(D$1,missions!$2:$2,0)-MATCH($A$1,missions!$2:$2,0)+1),MATCH(D$1,missions!$2:$2,0)-MATCH($A$1,missions!$2:$2,0)+1,FALSE),IFERROR(VLOOKUP($A430,OFFSET(weekly_achievement_criterion_id,0,0,COUNTA($A:$A),MATCH(D$1,weekly_missions!$2:$2,0)-MATCH($A$1,weekly_missions!$2:$2,0)+1),MATCH(D$1,weekly_missions!$2:$2,0)-MATCH($A$1,weekly_missions!$2:$2,0)+1,FALSE),"＊missions 未設定＊"))</f>
        <v>経験値キー x 2</v>
      </c>
      <c r="E430" s="27" t="s">
        <v>864</v>
      </c>
      <c r="F430" s="17" t="s">
        <v>34</v>
      </c>
      <c r="G430" s="26" t="str">
        <f ca="1">VLOOKUP($F430,OFFSET(達成条件!$A$1,0,0,COUNTA($A:$A),MATCH(G$1,達成条件!$1:$1,0)-MATCH($F$1,達成条件!$1:$1,0)+1),MATCH(G$1,達成条件!$1:$1,0)-MATCH($F$1,達成条件!$1:$1,0)+1,FALSE)</f>
        <v>ユニットを x 種類手に入れよう！</v>
      </c>
      <c r="H430" s="26" t="str">
        <f ca="1">VLOOKUP($F430,OFFSET(達成条件!$A$1,0,0,COUNTA($A:$A),MATCH(H$1,達成条件!$1:$1,0)-MATCH($F$1,達成条件!$1:$1,0)+1),MATCH(H$1,達成条件!$1:$1,0)-MATCH($F$1,達成条件!$1:$1,0)+1,FALSE)</f>
        <v>ユニットの種類数</v>
      </c>
      <c r="I430" s="58">
        <v>1350</v>
      </c>
      <c r="J430" s="54" t="str">
        <f ca="1">IF(F430="specific_unit_aquired_count",SUBSTITUTE(G430,"x",VLOOKUP(INT($I430),OFFSET([3]characters!$A$2,0,0,COUNTA([3]characters!$A:$A),MATCH(J$1,[3]characters!$2:$2,0)-MATCH("character_id",[3]characters!$2:$2,0)+1),MATCH(J$1,[3]characters!$2:$2,0)-MATCH("character_id",[3]characters!$2:$2,0)+1,FALSE)),IF(F430="specific_quest_clear",VLOOKUP(SUBSTITUTE(I430,"-","_"),OFFSET([2]stages!$A$2,0,0,COUNTA([2]stages!$A:$A),MATCH("name",[2]stages!$2:$2,0)-MATCH("temp_stage",[2]stages!$2:$2,0)+1),MATCH("name",[2]stages!$2:$2,0)-MATCH("temp_stage",[2]stages!$2:$2,0)+1,FALSE),""))</f>
        <v/>
      </c>
      <c r="K430" s="15">
        <v>1</v>
      </c>
      <c r="L430" s="15" t="s">
        <v>542</v>
      </c>
      <c r="M430" s="26"/>
      <c r="N430" s="26"/>
    </row>
    <row r="431" spans="1:14" ht="21" customHeight="1" x14ac:dyDescent="0.15">
      <c r="A431" s="2" t="s">
        <v>2400</v>
      </c>
      <c r="B431" s="21" t="s">
        <v>792</v>
      </c>
      <c r="C431" s="26" t="str">
        <f t="shared" ca="1" si="53"/>
        <v>ユニットを 1375 種類手に入れよう！</v>
      </c>
      <c r="D431" s="26" t="str">
        <f ca="1">IFERROR(VLOOKUP($A431,OFFSET(achievement_criterion_id,0,0,COUNTA($A:$A),MATCH(D$1,missions!$2:$2,0)-MATCH($A$1,missions!$2:$2,0)+1),MATCH(D$1,missions!$2:$2,0)-MATCH($A$1,missions!$2:$2,0)+1,FALSE),IFERROR(VLOOKUP($A431,OFFSET(weekly_achievement_criterion_id,0,0,COUNTA($A:$A),MATCH(D$1,weekly_missions!$2:$2,0)-MATCH($A$1,weekly_missions!$2:$2,0)+1),MATCH(D$1,weekly_missions!$2:$2,0)-MATCH($A$1,weekly_missions!$2:$2,0)+1,FALSE),"＊missions 未設定＊"))</f>
        <v>ギガ生命の果実 x 3</v>
      </c>
      <c r="E431" s="27" t="s">
        <v>864</v>
      </c>
      <c r="F431" s="17" t="s">
        <v>34</v>
      </c>
      <c r="G431" s="26" t="str">
        <f ca="1">VLOOKUP($F431,OFFSET(達成条件!$A$1,0,0,COUNTA($A:$A),MATCH(G$1,達成条件!$1:$1,0)-MATCH($F$1,達成条件!$1:$1,0)+1),MATCH(G$1,達成条件!$1:$1,0)-MATCH($F$1,達成条件!$1:$1,0)+1,FALSE)</f>
        <v>ユニットを x 種類手に入れよう！</v>
      </c>
      <c r="H431" s="26" t="str">
        <f ca="1">VLOOKUP($F431,OFFSET(達成条件!$A$1,0,0,COUNTA($A:$A),MATCH(H$1,達成条件!$1:$1,0)-MATCH($F$1,達成条件!$1:$1,0)+1),MATCH(H$1,達成条件!$1:$1,0)-MATCH($F$1,達成条件!$1:$1,0)+1,FALSE)</f>
        <v>ユニットの種類数</v>
      </c>
      <c r="I431" s="58">
        <v>1375</v>
      </c>
      <c r="J431" s="54" t="str">
        <f ca="1">IF(F431="specific_unit_aquired_count",SUBSTITUTE(G431,"x",VLOOKUP(INT($I431),OFFSET([3]characters!$A$2,0,0,COUNTA([3]characters!$A:$A),MATCH(J$1,[3]characters!$2:$2,0)-MATCH("character_id",[3]characters!$2:$2,0)+1),MATCH(J$1,[3]characters!$2:$2,0)-MATCH("character_id",[3]characters!$2:$2,0)+1,FALSE)),IF(F431="specific_quest_clear",VLOOKUP(SUBSTITUTE(I431,"-","_"),OFFSET([2]stages!$A$2,0,0,COUNTA([2]stages!$A:$A),MATCH("name",[2]stages!$2:$2,0)-MATCH("temp_stage",[2]stages!$2:$2,0)+1),MATCH("name",[2]stages!$2:$2,0)-MATCH("temp_stage",[2]stages!$2:$2,0)+1,FALSE),""))</f>
        <v/>
      </c>
      <c r="K431" s="15">
        <v>1</v>
      </c>
      <c r="L431" s="15" t="s">
        <v>542</v>
      </c>
      <c r="M431" s="26"/>
      <c r="N431" s="26"/>
    </row>
    <row r="432" spans="1:14" ht="21" customHeight="1" x14ac:dyDescent="0.15">
      <c r="A432" s="2" t="s">
        <v>2401</v>
      </c>
      <c r="B432" s="21" t="s">
        <v>792</v>
      </c>
      <c r="C432" s="26" t="str">
        <f t="shared" ca="1" si="53"/>
        <v>ユニットを 1400 種類手に入れよう！</v>
      </c>
      <c r="D432" s="26" t="str">
        <f ca="1">IFERROR(VLOOKUP($A432,OFFSET(achievement_criterion_id,0,0,COUNTA($A:$A),MATCH(D$1,missions!$2:$2,0)-MATCH($A$1,missions!$2:$2,0)+1),MATCH(D$1,missions!$2:$2,0)-MATCH($A$1,missions!$2:$2,0)+1,FALSE),IFERROR(VLOOKUP($A432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432" s="27" t="s">
        <v>864</v>
      </c>
      <c r="F432" s="17" t="s">
        <v>34</v>
      </c>
      <c r="G432" s="26" t="str">
        <f ca="1">VLOOKUP($F432,OFFSET(達成条件!$A$1,0,0,COUNTA($A:$A),MATCH(G$1,達成条件!$1:$1,0)-MATCH($F$1,達成条件!$1:$1,0)+1),MATCH(G$1,達成条件!$1:$1,0)-MATCH($F$1,達成条件!$1:$1,0)+1,FALSE)</f>
        <v>ユニットを x 種類手に入れよう！</v>
      </c>
      <c r="H432" s="26" t="str">
        <f ca="1">VLOOKUP($F432,OFFSET(達成条件!$A$1,0,0,COUNTA($A:$A),MATCH(H$1,達成条件!$1:$1,0)-MATCH($F$1,達成条件!$1:$1,0)+1),MATCH(H$1,達成条件!$1:$1,0)-MATCH($F$1,達成条件!$1:$1,0)+1,FALSE)</f>
        <v>ユニットの種類数</v>
      </c>
      <c r="I432" s="58">
        <v>1400</v>
      </c>
      <c r="J432" s="54" t="str">
        <f ca="1">IF(F432="specific_unit_aquired_count",SUBSTITUTE(G432,"x",VLOOKUP(INT($I432),OFFSET([3]characters!$A$2,0,0,COUNTA([3]characters!$A:$A),MATCH(J$1,[3]characters!$2:$2,0)-MATCH("character_id",[3]characters!$2:$2,0)+1),MATCH(J$1,[3]characters!$2:$2,0)-MATCH("character_id",[3]characters!$2:$2,0)+1,FALSE)),IF(F432="specific_quest_clear",VLOOKUP(SUBSTITUTE(I432,"-","_"),OFFSET([2]stages!$A$2,0,0,COUNTA([2]stages!$A:$A),MATCH("name",[2]stages!$2:$2,0)-MATCH("temp_stage",[2]stages!$2:$2,0)+1),MATCH("name",[2]stages!$2:$2,0)-MATCH("temp_stage",[2]stages!$2:$2,0)+1,FALSE),""))</f>
        <v/>
      </c>
      <c r="K432" s="15">
        <v>1</v>
      </c>
      <c r="L432" s="15" t="s">
        <v>542</v>
      </c>
      <c r="M432" s="26"/>
      <c r="N432" s="26"/>
    </row>
    <row r="433" spans="1:14" ht="21" customHeight="1" x14ac:dyDescent="0.15">
      <c r="A433" s="2" t="s">
        <v>2402</v>
      </c>
      <c r="B433" s="21" t="s">
        <v>792</v>
      </c>
      <c r="C433" s="26" t="str">
        <f t="shared" ca="1" si="53"/>
        <v>ユニットを 1425 種類手に入れよう！</v>
      </c>
      <c r="D433" s="26" t="str">
        <f ca="1">IFERROR(VLOOKUP($A433,OFFSET(achievement_criterion_id,0,0,COUNTA($A:$A),MATCH(D$1,missions!$2:$2,0)-MATCH($A$1,missions!$2:$2,0)+1),MATCH(D$1,missions!$2:$2,0)-MATCH($A$1,missions!$2:$2,0)+1,FALSE),IFERROR(VLOOKUP($A433,OFFSET(weekly_achievement_criterion_id,0,0,COUNTA($A:$A),MATCH(D$1,weekly_missions!$2:$2,0)-MATCH($A$1,weekly_missions!$2:$2,0)+1),MATCH(D$1,weekly_missions!$2:$2,0)-MATCH($A$1,weekly_missions!$2:$2,0)+1,FALSE),"＊missions 未設定＊"))</f>
        <v>ギガ癒しの果実 x 3</v>
      </c>
      <c r="E433" s="27" t="s">
        <v>864</v>
      </c>
      <c r="F433" s="17" t="s">
        <v>34</v>
      </c>
      <c r="G433" s="26" t="str">
        <f ca="1">VLOOKUP($F433,OFFSET(達成条件!$A$1,0,0,COUNTA($A:$A),MATCH(G$1,達成条件!$1:$1,0)-MATCH($F$1,達成条件!$1:$1,0)+1),MATCH(G$1,達成条件!$1:$1,0)-MATCH($F$1,達成条件!$1:$1,0)+1,FALSE)</f>
        <v>ユニットを x 種類手に入れよう！</v>
      </c>
      <c r="H433" s="26" t="str">
        <f ca="1">VLOOKUP($F433,OFFSET(達成条件!$A$1,0,0,COUNTA($A:$A),MATCH(H$1,達成条件!$1:$1,0)-MATCH($F$1,達成条件!$1:$1,0)+1),MATCH(H$1,達成条件!$1:$1,0)-MATCH($F$1,達成条件!$1:$1,0)+1,FALSE)</f>
        <v>ユニットの種類数</v>
      </c>
      <c r="I433" s="58">
        <v>1425</v>
      </c>
      <c r="J433" s="54" t="str">
        <f ca="1">IF(F433="specific_unit_aquired_count",SUBSTITUTE(G433,"x",VLOOKUP(INT($I433),OFFSET([3]characters!$A$2,0,0,COUNTA([3]characters!$A:$A),MATCH(J$1,[3]characters!$2:$2,0)-MATCH("character_id",[3]characters!$2:$2,0)+1),MATCH(J$1,[3]characters!$2:$2,0)-MATCH("character_id",[3]characters!$2:$2,0)+1,FALSE)),IF(F433="specific_quest_clear",VLOOKUP(SUBSTITUTE(I433,"-","_"),OFFSET([2]stages!$A$2,0,0,COUNTA([2]stages!$A:$A),MATCH("name",[2]stages!$2:$2,0)-MATCH("temp_stage",[2]stages!$2:$2,0)+1),MATCH("name",[2]stages!$2:$2,0)-MATCH("temp_stage",[2]stages!$2:$2,0)+1,FALSE),""))</f>
        <v/>
      </c>
      <c r="K433" s="15">
        <v>1</v>
      </c>
      <c r="L433" s="15" t="s">
        <v>542</v>
      </c>
      <c r="M433" s="26"/>
      <c r="N433" s="26"/>
    </row>
    <row r="434" spans="1:14" ht="21" customHeight="1" x14ac:dyDescent="0.15">
      <c r="A434" s="2" t="s">
        <v>2403</v>
      </c>
      <c r="B434" s="21" t="s">
        <v>792</v>
      </c>
      <c r="C434" s="26" t="str">
        <f t="shared" ca="1" si="53"/>
        <v>ユニットを 1450 種類手に入れよう！</v>
      </c>
      <c r="D434" s="26" t="str">
        <f ca="1">IFERROR(VLOOKUP($A434,OFFSET(achievement_criterion_id,0,0,COUNTA($A:$A),MATCH(D$1,missions!$2:$2,0)-MATCH($A$1,missions!$2:$2,0)+1),MATCH(D$1,missions!$2:$2,0)-MATCH($A$1,missions!$2:$2,0)+1,FALSE),IFERROR(VLOOKUP($A434,OFFSET(weekly_achievement_criterion_id,0,0,COUNTA($A:$A),MATCH(D$1,weekly_missions!$2:$2,0)-MATCH($A$1,weekly_missions!$2:$2,0)+1),MATCH(D$1,weekly_missions!$2:$2,0)-MATCH($A$1,weekly_missions!$2:$2,0)+1,FALSE),"＊missions 未設定＊"))</f>
        <v>ビットキー x 2</v>
      </c>
      <c r="E434" s="27" t="s">
        <v>864</v>
      </c>
      <c r="F434" s="17" t="s">
        <v>34</v>
      </c>
      <c r="G434" s="26" t="str">
        <f ca="1">VLOOKUP($F434,OFFSET(達成条件!$A$1,0,0,COUNTA($A:$A),MATCH(G$1,達成条件!$1:$1,0)-MATCH($F$1,達成条件!$1:$1,0)+1),MATCH(G$1,達成条件!$1:$1,0)-MATCH($F$1,達成条件!$1:$1,0)+1,FALSE)</f>
        <v>ユニットを x 種類手に入れよう！</v>
      </c>
      <c r="H434" s="26" t="str">
        <f ca="1">VLOOKUP($F434,OFFSET(達成条件!$A$1,0,0,COUNTA($A:$A),MATCH(H$1,達成条件!$1:$1,0)-MATCH($F$1,達成条件!$1:$1,0)+1),MATCH(H$1,達成条件!$1:$1,0)-MATCH($F$1,達成条件!$1:$1,0)+1,FALSE)</f>
        <v>ユニットの種類数</v>
      </c>
      <c r="I434" s="58">
        <v>1450</v>
      </c>
      <c r="J434" s="54" t="str">
        <f ca="1">IF(F434="specific_unit_aquired_count",SUBSTITUTE(G434,"x",VLOOKUP(INT($I434),OFFSET([3]characters!$A$2,0,0,COUNTA([3]characters!$A:$A),MATCH(J$1,[3]characters!$2:$2,0)-MATCH("character_id",[3]characters!$2:$2,0)+1),MATCH(J$1,[3]characters!$2:$2,0)-MATCH("character_id",[3]characters!$2:$2,0)+1,FALSE)),IF(F434="specific_quest_clear",VLOOKUP(SUBSTITUTE(I434,"-","_"),OFFSET([2]stages!$A$2,0,0,COUNTA([2]stages!$A:$A),MATCH("name",[2]stages!$2:$2,0)-MATCH("temp_stage",[2]stages!$2:$2,0)+1),MATCH("name",[2]stages!$2:$2,0)-MATCH("temp_stage",[2]stages!$2:$2,0)+1,FALSE),""))</f>
        <v/>
      </c>
      <c r="K434" s="15">
        <v>1</v>
      </c>
      <c r="L434" s="15" t="s">
        <v>542</v>
      </c>
      <c r="M434" s="26"/>
      <c r="N434" s="26"/>
    </row>
    <row r="435" spans="1:14" ht="21" customHeight="1" x14ac:dyDescent="0.15">
      <c r="A435" s="2" t="s">
        <v>2404</v>
      </c>
      <c r="B435" s="21" t="s">
        <v>792</v>
      </c>
      <c r="C435" s="26" t="str">
        <f t="shared" ca="1" si="53"/>
        <v>ユニットを 1475 種類手に入れよう！</v>
      </c>
      <c r="D435" s="26" t="str">
        <f ca="1">IFERROR(VLOOKUP($A435,OFFSET(achievement_criterion_id,0,0,COUNTA($A:$A),MATCH(D$1,missions!$2:$2,0)-MATCH($A$1,missions!$2:$2,0)+1),MATCH(D$1,missions!$2:$2,0)-MATCH($A$1,missions!$2:$2,0)+1,FALSE),IFERROR(VLOOKUP($A435,OFFSET(weekly_achievement_criterion_id,0,0,COUNTA($A:$A),MATCH(D$1,weekly_missions!$2:$2,0)-MATCH($A$1,weekly_missions!$2:$2,0)+1),MATCH(D$1,weekly_missions!$2:$2,0)-MATCH($A$1,weekly_missions!$2:$2,0)+1,FALSE),"＊missions 未設定＊"))</f>
        <v>ギガ秘術の果実 x 3</v>
      </c>
      <c r="E435" s="27" t="s">
        <v>864</v>
      </c>
      <c r="F435" s="17" t="s">
        <v>34</v>
      </c>
      <c r="G435" s="26" t="str">
        <f ca="1">VLOOKUP($F435,OFFSET(達成条件!$A$1,0,0,COUNTA($A:$A),MATCH(G$1,達成条件!$1:$1,0)-MATCH($F$1,達成条件!$1:$1,0)+1),MATCH(G$1,達成条件!$1:$1,0)-MATCH($F$1,達成条件!$1:$1,0)+1,FALSE)</f>
        <v>ユニットを x 種類手に入れよう！</v>
      </c>
      <c r="H435" s="26" t="str">
        <f ca="1">VLOOKUP($F435,OFFSET(達成条件!$A$1,0,0,COUNTA($A:$A),MATCH(H$1,達成条件!$1:$1,0)-MATCH($F$1,達成条件!$1:$1,0)+1),MATCH(H$1,達成条件!$1:$1,0)-MATCH($F$1,達成条件!$1:$1,0)+1,FALSE)</f>
        <v>ユニットの種類数</v>
      </c>
      <c r="I435" s="58">
        <v>1475</v>
      </c>
      <c r="J435" s="54" t="str">
        <f ca="1">IF(F435="specific_unit_aquired_count",SUBSTITUTE(G435,"x",VLOOKUP(INT($I435),OFFSET([3]characters!$A$2,0,0,COUNTA([3]characters!$A:$A),MATCH(J$1,[3]characters!$2:$2,0)-MATCH("character_id",[3]characters!$2:$2,0)+1),MATCH(J$1,[3]characters!$2:$2,0)-MATCH("character_id",[3]characters!$2:$2,0)+1,FALSE)),IF(F435="specific_quest_clear",VLOOKUP(SUBSTITUTE(I435,"-","_"),OFFSET([2]stages!$A$2,0,0,COUNTA([2]stages!$A:$A),MATCH("name",[2]stages!$2:$2,0)-MATCH("temp_stage",[2]stages!$2:$2,0)+1),MATCH("name",[2]stages!$2:$2,0)-MATCH("temp_stage",[2]stages!$2:$2,0)+1,FALSE),""))</f>
        <v/>
      </c>
      <c r="K435" s="15">
        <v>1</v>
      </c>
      <c r="L435" s="15" t="s">
        <v>542</v>
      </c>
      <c r="M435" s="26"/>
      <c r="N435" s="26"/>
    </row>
    <row r="436" spans="1:14" ht="21" customHeight="1" x14ac:dyDescent="0.15">
      <c r="A436" s="2" t="s">
        <v>2405</v>
      </c>
      <c r="B436" s="21" t="s">
        <v>792</v>
      </c>
      <c r="C436" s="26" t="str">
        <f t="shared" ca="1" si="53"/>
        <v>ユニットを 1500 種類手に入れよう！</v>
      </c>
      <c r="D436" s="26" t="str">
        <f ca="1">IFERROR(VLOOKUP($A436,OFFSET(achievement_criterion_id,0,0,COUNTA($A:$A),MATCH(D$1,missions!$2:$2,0)-MATCH($A$1,missions!$2:$2,0)+1),MATCH(D$1,missions!$2:$2,0)-MATCH($A$1,missions!$2:$2,0)+1,FALSE),IFERROR(VLOOKUP($A436,OFFSET(weekly_achievement_criterion_id,0,0,COUNTA($A:$A),MATCH(D$1,weekly_missions!$2:$2,0)-MATCH($A$1,weekly_missions!$2:$2,0)+1),MATCH(D$1,weekly_missions!$2:$2,0)-MATCH($A$1,weekly_missions!$2:$2,0)+1,FALSE),"＊missions 未設定＊"))</f>
        <v>ポリゴン x 50</v>
      </c>
      <c r="E436" s="27" t="s">
        <v>864</v>
      </c>
      <c r="F436" s="17" t="s">
        <v>34</v>
      </c>
      <c r="G436" s="26" t="str">
        <f ca="1">VLOOKUP($F436,OFFSET(達成条件!$A$1,0,0,COUNTA($A:$A),MATCH(G$1,達成条件!$1:$1,0)-MATCH($F$1,達成条件!$1:$1,0)+1),MATCH(G$1,達成条件!$1:$1,0)-MATCH($F$1,達成条件!$1:$1,0)+1,FALSE)</f>
        <v>ユニットを x 種類手に入れよう！</v>
      </c>
      <c r="H436" s="26" t="str">
        <f ca="1">VLOOKUP($F436,OFFSET(達成条件!$A$1,0,0,COUNTA($A:$A),MATCH(H$1,達成条件!$1:$1,0)-MATCH($F$1,達成条件!$1:$1,0)+1),MATCH(H$1,達成条件!$1:$1,0)-MATCH($F$1,達成条件!$1:$1,0)+1,FALSE)</f>
        <v>ユニットの種類数</v>
      </c>
      <c r="I436" s="58">
        <v>1500</v>
      </c>
      <c r="J436" s="54" t="str">
        <f ca="1">IF(F436="specific_unit_aquired_count",SUBSTITUTE(G436,"x",VLOOKUP(INT($I436),OFFSET([3]characters!$A$2,0,0,COUNTA([3]characters!$A:$A),MATCH(J$1,[3]characters!$2:$2,0)-MATCH("character_id",[3]characters!$2:$2,0)+1),MATCH(J$1,[3]characters!$2:$2,0)-MATCH("character_id",[3]characters!$2:$2,0)+1,FALSE)),IF(F436="specific_quest_clear",VLOOKUP(SUBSTITUTE(I436,"-","_"),OFFSET([2]stages!$A$2,0,0,COUNTA([2]stages!$A:$A),MATCH("name",[2]stages!$2:$2,0)-MATCH("temp_stage",[2]stages!$2:$2,0)+1),MATCH("name",[2]stages!$2:$2,0)-MATCH("temp_stage",[2]stages!$2:$2,0)+1,FALSE),""))</f>
        <v/>
      </c>
      <c r="K436" s="15">
        <v>1</v>
      </c>
      <c r="L436" s="15" t="s">
        <v>542</v>
      </c>
      <c r="M436" s="26"/>
      <c r="N436" s="26"/>
    </row>
    <row r="437" spans="1:14" ht="21" customHeight="1" x14ac:dyDescent="0.15">
      <c r="A437" s="2" t="s">
        <v>2406</v>
      </c>
      <c r="B437" s="21" t="s">
        <v>792</v>
      </c>
      <c r="C437" s="26" t="str">
        <f t="shared" ca="1" si="53"/>
        <v>ユニットを 1525 種類手に入れよう！</v>
      </c>
      <c r="D437" s="26" t="str">
        <f ca="1">IFERROR(VLOOKUP($A437,OFFSET(achievement_criterion_id,0,0,COUNTA($A:$A),MATCH(D$1,missions!$2:$2,0)-MATCH($A$1,missions!$2:$2,0)+1),MATCH(D$1,missions!$2:$2,0)-MATCH($A$1,missions!$2:$2,0)+1,FALSE),IFERROR(VLOOKUP($A437,OFFSET(weekly_achievement_criterion_id,0,0,COUNTA($A:$A),MATCH(D$1,weekly_missions!$2:$2,0)-MATCH($A$1,weekly_missions!$2:$2,0)+1),MATCH(D$1,weekly_missions!$2:$2,0)-MATCH($A$1,weekly_missions!$2:$2,0)+1,FALSE),"＊missions 未設定＊"))</f>
        <v>ギガ攻めの果実 x 3</v>
      </c>
      <c r="E437" s="27" t="s">
        <v>864</v>
      </c>
      <c r="F437" s="17" t="s">
        <v>34</v>
      </c>
      <c r="G437" s="26" t="str">
        <f ca="1">VLOOKUP($F437,OFFSET(達成条件!$A$1,0,0,COUNTA($A:$A),MATCH(G$1,達成条件!$1:$1,0)-MATCH($F$1,達成条件!$1:$1,0)+1),MATCH(G$1,達成条件!$1:$1,0)-MATCH($F$1,達成条件!$1:$1,0)+1,FALSE)</f>
        <v>ユニットを x 種類手に入れよう！</v>
      </c>
      <c r="H437" s="26" t="str">
        <f ca="1">VLOOKUP($F437,OFFSET(達成条件!$A$1,0,0,COUNTA($A:$A),MATCH(H$1,達成条件!$1:$1,0)-MATCH($F$1,達成条件!$1:$1,0)+1),MATCH(H$1,達成条件!$1:$1,0)-MATCH($F$1,達成条件!$1:$1,0)+1,FALSE)</f>
        <v>ユニットの種類数</v>
      </c>
      <c r="I437" s="58">
        <v>1525</v>
      </c>
      <c r="J437" s="54" t="str">
        <f ca="1">IF(F437="specific_unit_aquired_count",SUBSTITUTE(G437,"x",VLOOKUP(INT($I437),OFFSET([3]characters!$A$2,0,0,COUNTA([3]characters!$A:$A),MATCH(J$1,[3]characters!$2:$2,0)-MATCH("character_id",[3]characters!$2:$2,0)+1),MATCH(J$1,[3]characters!$2:$2,0)-MATCH("character_id",[3]characters!$2:$2,0)+1,FALSE)),IF(F437="specific_quest_clear",VLOOKUP(SUBSTITUTE(I437,"-","_"),OFFSET([2]stages!$A$2,0,0,COUNTA([2]stages!$A:$A),MATCH("name",[2]stages!$2:$2,0)-MATCH("temp_stage",[2]stages!$2:$2,0)+1),MATCH("name",[2]stages!$2:$2,0)-MATCH("temp_stage",[2]stages!$2:$2,0)+1,FALSE),""))</f>
        <v/>
      </c>
      <c r="K437" s="15">
        <v>1</v>
      </c>
      <c r="L437" s="15" t="s">
        <v>542</v>
      </c>
      <c r="M437" s="26"/>
      <c r="N437" s="26"/>
    </row>
    <row r="438" spans="1:14" ht="21" customHeight="1" x14ac:dyDescent="0.15">
      <c r="A438" s="2" t="s">
        <v>2407</v>
      </c>
      <c r="B438" s="21" t="s">
        <v>792</v>
      </c>
      <c r="C438" s="26" t="str">
        <f t="shared" ca="1" si="53"/>
        <v>ユニットを 1550 種類手に入れよう！</v>
      </c>
      <c r="D438" s="26" t="str">
        <f ca="1">IFERROR(VLOOKUP($A438,OFFSET(achievement_criterion_id,0,0,COUNTA($A:$A),MATCH(D$1,missions!$2:$2,0)-MATCH($A$1,missions!$2:$2,0)+1),MATCH(D$1,missions!$2:$2,0)-MATCH($A$1,missions!$2:$2,0)+1,FALSE),IFERROR(VLOOKUP($A438,OFFSET(weekly_achievement_criterion_id,0,0,COUNTA($A:$A),MATCH(D$1,weekly_missions!$2:$2,0)-MATCH($A$1,weekly_missions!$2:$2,0)+1),MATCH(D$1,weekly_missions!$2:$2,0)-MATCH($A$1,weekly_missions!$2:$2,0)+1,FALSE),"＊missions 未設定＊"))</f>
        <v>限界突破キー x 2</v>
      </c>
      <c r="E438" s="27" t="s">
        <v>864</v>
      </c>
      <c r="F438" s="17" t="s">
        <v>34</v>
      </c>
      <c r="G438" s="26" t="str">
        <f ca="1">VLOOKUP($F438,OFFSET(達成条件!$A$1,0,0,COUNTA($A:$A),MATCH(G$1,達成条件!$1:$1,0)-MATCH($F$1,達成条件!$1:$1,0)+1),MATCH(G$1,達成条件!$1:$1,0)-MATCH($F$1,達成条件!$1:$1,0)+1,FALSE)</f>
        <v>ユニットを x 種類手に入れよう！</v>
      </c>
      <c r="H438" s="26" t="str">
        <f ca="1">VLOOKUP($F438,OFFSET(達成条件!$A$1,0,0,COUNTA($A:$A),MATCH(H$1,達成条件!$1:$1,0)-MATCH($F$1,達成条件!$1:$1,0)+1),MATCH(H$1,達成条件!$1:$1,0)-MATCH($F$1,達成条件!$1:$1,0)+1,FALSE)</f>
        <v>ユニットの種類数</v>
      </c>
      <c r="I438" s="58">
        <v>1550</v>
      </c>
      <c r="J438" s="54" t="str">
        <f ca="1">IF(F438="specific_unit_aquired_count",SUBSTITUTE(G438,"x",VLOOKUP(INT($I438),OFFSET([3]characters!$A$2,0,0,COUNTA([3]characters!$A:$A),MATCH(J$1,[3]characters!$2:$2,0)-MATCH("character_id",[3]characters!$2:$2,0)+1),MATCH(J$1,[3]characters!$2:$2,0)-MATCH("character_id",[3]characters!$2:$2,0)+1,FALSE)),IF(F438="specific_quest_clear",VLOOKUP(SUBSTITUTE(I438,"-","_"),OFFSET([2]stages!$A$2,0,0,COUNTA([2]stages!$A:$A),MATCH("name",[2]stages!$2:$2,0)-MATCH("temp_stage",[2]stages!$2:$2,0)+1),MATCH("name",[2]stages!$2:$2,0)-MATCH("temp_stage",[2]stages!$2:$2,0)+1,FALSE),""))</f>
        <v/>
      </c>
      <c r="K438" s="15">
        <v>1</v>
      </c>
      <c r="L438" s="15" t="s">
        <v>542</v>
      </c>
      <c r="M438" s="26"/>
      <c r="N438" s="26"/>
    </row>
    <row r="439" spans="1:14" ht="21" customHeight="1" x14ac:dyDescent="0.15">
      <c r="A439" s="2" t="s">
        <v>2408</v>
      </c>
      <c r="B439" s="21" t="s">
        <v>792</v>
      </c>
      <c r="C439" s="26" t="str">
        <f t="shared" ca="1" si="53"/>
        <v>ユニットを 1575 種類手に入れよう！</v>
      </c>
      <c r="D439" s="26" t="str">
        <f ca="1">IFERROR(VLOOKUP($A439,OFFSET(achievement_criterion_id,0,0,COUNTA($A:$A),MATCH(D$1,missions!$2:$2,0)-MATCH($A$1,missions!$2:$2,0)+1),MATCH(D$1,missions!$2:$2,0)-MATCH($A$1,missions!$2:$2,0)+1,FALSE),IFERROR(VLOOKUP($A439,OFFSET(weekly_achievement_criterion_id,0,0,COUNTA($A:$A),MATCH(D$1,weekly_missions!$2:$2,0)-MATCH($A$1,weekly_missions!$2:$2,0)+1),MATCH(D$1,weekly_missions!$2:$2,0)-MATCH($A$1,weekly_missions!$2:$2,0)+1,FALSE),"＊missions 未設定＊"))</f>
        <v>ギガ生命の果実 x 3</v>
      </c>
      <c r="E439" s="27" t="s">
        <v>864</v>
      </c>
      <c r="F439" s="17" t="s">
        <v>34</v>
      </c>
      <c r="G439" s="26" t="str">
        <f ca="1">VLOOKUP($F439,OFFSET(達成条件!$A$1,0,0,COUNTA($A:$A),MATCH(G$1,達成条件!$1:$1,0)-MATCH($F$1,達成条件!$1:$1,0)+1),MATCH(G$1,達成条件!$1:$1,0)-MATCH($F$1,達成条件!$1:$1,0)+1,FALSE)</f>
        <v>ユニットを x 種類手に入れよう！</v>
      </c>
      <c r="H439" s="26" t="str">
        <f ca="1">VLOOKUP($F439,OFFSET(達成条件!$A$1,0,0,COUNTA($A:$A),MATCH(H$1,達成条件!$1:$1,0)-MATCH($F$1,達成条件!$1:$1,0)+1),MATCH(H$1,達成条件!$1:$1,0)-MATCH($F$1,達成条件!$1:$1,0)+1,FALSE)</f>
        <v>ユニットの種類数</v>
      </c>
      <c r="I439" s="58">
        <v>1575</v>
      </c>
      <c r="J439" s="54" t="str">
        <f ca="1">IF(F439="specific_unit_aquired_count",SUBSTITUTE(G439,"x",VLOOKUP(INT($I439),OFFSET([3]characters!$A$2,0,0,COUNTA([3]characters!$A:$A),MATCH(J$1,[3]characters!$2:$2,0)-MATCH("character_id",[3]characters!$2:$2,0)+1),MATCH(J$1,[3]characters!$2:$2,0)-MATCH("character_id",[3]characters!$2:$2,0)+1,FALSE)),IF(F439="specific_quest_clear",VLOOKUP(SUBSTITUTE(I439,"-","_"),OFFSET([2]stages!$A$2,0,0,COUNTA([2]stages!$A:$A),MATCH("name",[2]stages!$2:$2,0)-MATCH("temp_stage",[2]stages!$2:$2,0)+1),MATCH("name",[2]stages!$2:$2,0)-MATCH("temp_stage",[2]stages!$2:$2,0)+1,FALSE),""))</f>
        <v/>
      </c>
      <c r="K439" s="15">
        <v>1</v>
      </c>
      <c r="L439" s="15" t="s">
        <v>542</v>
      </c>
      <c r="M439" s="26"/>
      <c r="N439" s="26"/>
    </row>
    <row r="440" spans="1:14" ht="21" customHeight="1" x14ac:dyDescent="0.15">
      <c r="A440" s="2" t="s">
        <v>2409</v>
      </c>
      <c r="B440" s="21" t="s">
        <v>792</v>
      </c>
      <c r="C440" s="26" t="str">
        <f t="shared" ca="1" si="53"/>
        <v>ユニットを 1600 種類手に入れよう！</v>
      </c>
      <c r="D440" s="26" t="str">
        <f ca="1">IFERROR(VLOOKUP($A440,OFFSET(achievement_criterion_id,0,0,COUNTA($A:$A),MATCH(D$1,missions!$2:$2,0)-MATCH($A$1,missions!$2:$2,0)+1),MATCH(D$1,missions!$2:$2,0)-MATCH($A$1,missions!$2:$2,0)+1,FALSE),IFERROR(VLOOKUP($A440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440" s="27" t="s">
        <v>864</v>
      </c>
      <c r="F440" s="17" t="s">
        <v>34</v>
      </c>
      <c r="G440" s="26" t="str">
        <f ca="1">VLOOKUP($F440,OFFSET(達成条件!$A$1,0,0,COUNTA($A:$A),MATCH(G$1,達成条件!$1:$1,0)-MATCH($F$1,達成条件!$1:$1,0)+1),MATCH(G$1,達成条件!$1:$1,0)-MATCH($F$1,達成条件!$1:$1,0)+1,FALSE)</f>
        <v>ユニットを x 種類手に入れよう！</v>
      </c>
      <c r="H440" s="26" t="str">
        <f ca="1">VLOOKUP($F440,OFFSET(達成条件!$A$1,0,0,COUNTA($A:$A),MATCH(H$1,達成条件!$1:$1,0)-MATCH($F$1,達成条件!$1:$1,0)+1),MATCH(H$1,達成条件!$1:$1,0)-MATCH($F$1,達成条件!$1:$1,0)+1,FALSE)</f>
        <v>ユニットの種類数</v>
      </c>
      <c r="I440" s="58">
        <v>1600</v>
      </c>
      <c r="J440" s="54" t="str">
        <f ca="1">IF(F440="specific_unit_aquired_count",SUBSTITUTE(G440,"x",VLOOKUP(INT($I440),OFFSET([3]characters!$A$2,0,0,COUNTA([3]characters!$A:$A),MATCH(J$1,[3]characters!$2:$2,0)-MATCH("character_id",[3]characters!$2:$2,0)+1),MATCH(J$1,[3]characters!$2:$2,0)-MATCH("character_id",[3]characters!$2:$2,0)+1,FALSE)),IF(F440="specific_quest_clear",VLOOKUP(SUBSTITUTE(I440,"-","_"),OFFSET([2]stages!$A$2,0,0,COUNTA([2]stages!$A:$A),MATCH("name",[2]stages!$2:$2,0)-MATCH("temp_stage",[2]stages!$2:$2,0)+1),MATCH("name",[2]stages!$2:$2,0)-MATCH("temp_stage",[2]stages!$2:$2,0)+1,FALSE),""))</f>
        <v/>
      </c>
      <c r="K440" s="15">
        <v>1</v>
      </c>
      <c r="L440" s="15" t="s">
        <v>542</v>
      </c>
      <c r="M440" s="26"/>
      <c r="N440" s="26"/>
    </row>
    <row r="441" spans="1:14" ht="21" customHeight="1" x14ac:dyDescent="0.15">
      <c r="A441" s="2" t="s">
        <v>2410</v>
      </c>
      <c r="B441" s="21" t="s">
        <v>792</v>
      </c>
      <c r="C441" s="26" t="str">
        <f t="shared" ca="1" si="53"/>
        <v>ユニットを 1625 種類手に入れよう！</v>
      </c>
      <c r="D441" s="26" t="str">
        <f ca="1">IFERROR(VLOOKUP($A441,OFFSET(achievement_criterion_id,0,0,COUNTA($A:$A),MATCH(D$1,missions!$2:$2,0)-MATCH($A$1,missions!$2:$2,0)+1),MATCH(D$1,missions!$2:$2,0)-MATCH($A$1,missions!$2:$2,0)+1,FALSE),IFERROR(VLOOKUP($A441,OFFSET(weekly_achievement_criterion_id,0,0,COUNTA($A:$A),MATCH(D$1,weekly_missions!$2:$2,0)-MATCH($A$1,weekly_missions!$2:$2,0)+1),MATCH(D$1,weekly_missions!$2:$2,0)-MATCH($A$1,weekly_missions!$2:$2,0)+1,FALSE),"＊missions 未設定＊"))</f>
        <v>ギガ癒しの果実 x 3</v>
      </c>
      <c r="E441" s="27" t="s">
        <v>864</v>
      </c>
      <c r="F441" s="17" t="s">
        <v>34</v>
      </c>
      <c r="G441" s="26" t="str">
        <f ca="1">VLOOKUP($F441,OFFSET(達成条件!$A$1,0,0,COUNTA($A:$A),MATCH(G$1,達成条件!$1:$1,0)-MATCH($F$1,達成条件!$1:$1,0)+1),MATCH(G$1,達成条件!$1:$1,0)-MATCH($F$1,達成条件!$1:$1,0)+1,FALSE)</f>
        <v>ユニットを x 種類手に入れよう！</v>
      </c>
      <c r="H441" s="26" t="str">
        <f ca="1">VLOOKUP($F441,OFFSET(達成条件!$A$1,0,0,COUNTA($A:$A),MATCH(H$1,達成条件!$1:$1,0)-MATCH($F$1,達成条件!$1:$1,0)+1),MATCH(H$1,達成条件!$1:$1,0)-MATCH($F$1,達成条件!$1:$1,0)+1,FALSE)</f>
        <v>ユニットの種類数</v>
      </c>
      <c r="I441" s="58">
        <v>1625</v>
      </c>
      <c r="J441" s="54" t="str">
        <f ca="1">IF(F441="specific_unit_aquired_count",SUBSTITUTE(G441,"x",VLOOKUP(INT($I441),OFFSET([3]characters!$A$2,0,0,COUNTA([3]characters!$A:$A),MATCH(J$1,[3]characters!$2:$2,0)-MATCH("character_id",[3]characters!$2:$2,0)+1),MATCH(J$1,[3]characters!$2:$2,0)-MATCH("character_id",[3]characters!$2:$2,0)+1,FALSE)),IF(F441="specific_quest_clear",VLOOKUP(SUBSTITUTE(I441,"-","_"),OFFSET([2]stages!$A$2,0,0,COUNTA([2]stages!$A:$A),MATCH("name",[2]stages!$2:$2,0)-MATCH("temp_stage",[2]stages!$2:$2,0)+1),MATCH("name",[2]stages!$2:$2,0)-MATCH("temp_stage",[2]stages!$2:$2,0)+1,FALSE),""))</f>
        <v/>
      </c>
      <c r="K441" s="15">
        <v>1</v>
      </c>
      <c r="L441" s="15" t="s">
        <v>542</v>
      </c>
      <c r="M441" s="26"/>
      <c r="N441" s="26"/>
    </row>
    <row r="442" spans="1:14" ht="21" customHeight="1" x14ac:dyDescent="0.15">
      <c r="A442" s="2" t="s">
        <v>2411</v>
      </c>
      <c r="B442" s="21" t="s">
        <v>792</v>
      </c>
      <c r="C442" s="26" t="str">
        <f t="shared" ca="1" si="53"/>
        <v>ユニットを 1650 種類手に入れよう！</v>
      </c>
      <c r="D442" s="26" t="str">
        <f ca="1">IFERROR(VLOOKUP($A442,OFFSET(achievement_criterion_id,0,0,COUNTA($A:$A),MATCH(D$1,missions!$2:$2,0)-MATCH($A$1,missions!$2:$2,0)+1),MATCH(D$1,missions!$2:$2,0)-MATCH($A$1,missions!$2:$2,0)+1,FALSE),IFERROR(VLOOKUP($A442,OFFSET(weekly_achievement_criterion_id,0,0,COUNTA($A:$A),MATCH(D$1,weekly_missions!$2:$2,0)-MATCH($A$1,weekly_missions!$2:$2,0)+1),MATCH(D$1,weekly_missions!$2:$2,0)-MATCH($A$1,weekly_missions!$2:$2,0)+1,FALSE),"＊missions 未設定＊"))</f>
        <v>マスターキー x 2</v>
      </c>
      <c r="E442" s="27" t="s">
        <v>864</v>
      </c>
      <c r="F442" s="17" t="s">
        <v>34</v>
      </c>
      <c r="G442" s="26" t="str">
        <f ca="1">VLOOKUP($F442,OFFSET(達成条件!$A$1,0,0,COUNTA($A:$A),MATCH(G$1,達成条件!$1:$1,0)-MATCH($F$1,達成条件!$1:$1,0)+1),MATCH(G$1,達成条件!$1:$1,0)-MATCH($F$1,達成条件!$1:$1,0)+1,FALSE)</f>
        <v>ユニットを x 種類手に入れよう！</v>
      </c>
      <c r="H442" s="26" t="str">
        <f ca="1">VLOOKUP($F442,OFFSET(達成条件!$A$1,0,0,COUNTA($A:$A),MATCH(H$1,達成条件!$1:$1,0)-MATCH($F$1,達成条件!$1:$1,0)+1),MATCH(H$1,達成条件!$1:$1,0)-MATCH($F$1,達成条件!$1:$1,0)+1,FALSE)</f>
        <v>ユニットの種類数</v>
      </c>
      <c r="I442" s="58">
        <v>1650</v>
      </c>
      <c r="J442" s="54" t="str">
        <f ca="1">IF(F442="specific_unit_aquired_count",SUBSTITUTE(G442,"x",VLOOKUP(INT($I442),OFFSET([3]characters!$A$2,0,0,COUNTA([3]characters!$A:$A),MATCH(J$1,[3]characters!$2:$2,0)-MATCH("character_id",[3]characters!$2:$2,0)+1),MATCH(J$1,[3]characters!$2:$2,0)-MATCH("character_id",[3]characters!$2:$2,0)+1,FALSE)),IF(F442="specific_quest_clear",VLOOKUP(SUBSTITUTE(I442,"-","_"),OFFSET([2]stages!$A$2,0,0,COUNTA([2]stages!$A:$A),MATCH("name",[2]stages!$2:$2,0)-MATCH("temp_stage",[2]stages!$2:$2,0)+1),MATCH("name",[2]stages!$2:$2,0)-MATCH("temp_stage",[2]stages!$2:$2,0)+1,FALSE),""))</f>
        <v/>
      </c>
      <c r="K442" s="15">
        <v>1</v>
      </c>
      <c r="L442" s="15" t="s">
        <v>542</v>
      </c>
      <c r="M442" s="26"/>
      <c r="N442" s="26"/>
    </row>
    <row r="443" spans="1:14" ht="21" customHeight="1" x14ac:dyDescent="0.15">
      <c r="A443" s="2" t="s">
        <v>2412</v>
      </c>
      <c r="B443" s="21" t="s">
        <v>792</v>
      </c>
      <c r="C443" s="26" t="str">
        <f t="shared" ca="1" si="53"/>
        <v>ユニットを 1675 種類手に入れよう！</v>
      </c>
      <c r="D443" s="26" t="str">
        <f ca="1">IFERROR(VLOOKUP($A443,OFFSET(achievement_criterion_id,0,0,COUNTA($A:$A),MATCH(D$1,missions!$2:$2,0)-MATCH($A$1,missions!$2:$2,0)+1),MATCH(D$1,missions!$2:$2,0)-MATCH($A$1,missions!$2:$2,0)+1,FALSE),IFERROR(VLOOKUP($A443,OFFSET(weekly_achievement_criterion_id,0,0,COUNTA($A:$A),MATCH(D$1,weekly_missions!$2:$2,0)-MATCH($A$1,weekly_missions!$2:$2,0)+1),MATCH(D$1,weekly_missions!$2:$2,0)-MATCH($A$1,weekly_missions!$2:$2,0)+1,FALSE),"＊missions 未設定＊"))</f>
        <v>ギガ秘術の果実 x 3</v>
      </c>
      <c r="E443" s="27" t="s">
        <v>864</v>
      </c>
      <c r="F443" s="17" t="s">
        <v>34</v>
      </c>
      <c r="G443" s="26" t="str">
        <f ca="1">VLOOKUP($F443,OFFSET(達成条件!$A$1,0,0,COUNTA($A:$A),MATCH(G$1,達成条件!$1:$1,0)-MATCH($F$1,達成条件!$1:$1,0)+1),MATCH(G$1,達成条件!$1:$1,0)-MATCH($F$1,達成条件!$1:$1,0)+1,FALSE)</f>
        <v>ユニットを x 種類手に入れよう！</v>
      </c>
      <c r="H443" s="26" t="str">
        <f ca="1">VLOOKUP($F443,OFFSET(達成条件!$A$1,0,0,COUNTA($A:$A),MATCH(H$1,達成条件!$1:$1,0)-MATCH($F$1,達成条件!$1:$1,0)+1),MATCH(H$1,達成条件!$1:$1,0)-MATCH($F$1,達成条件!$1:$1,0)+1,FALSE)</f>
        <v>ユニットの種類数</v>
      </c>
      <c r="I443" s="58">
        <v>1675</v>
      </c>
      <c r="J443" s="54" t="str">
        <f ca="1">IF(F443="specific_unit_aquired_count",SUBSTITUTE(G443,"x",VLOOKUP(INT($I443),OFFSET([3]characters!$A$2,0,0,COUNTA([3]characters!$A:$A),MATCH(J$1,[3]characters!$2:$2,0)-MATCH("character_id",[3]characters!$2:$2,0)+1),MATCH(J$1,[3]characters!$2:$2,0)-MATCH("character_id",[3]characters!$2:$2,0)+1,FALSE)),IF(F443="specific_quest_clear",VLOOKUP(SUBSTITUTE(I443,"-","_"),OFFSET([2]stages!$A$2,0,0,COUNTA([2]stages!$A:$A),MATCH("name",[2]stages!$2:$2,0)-MATCH("temp_stage",[2]stages!$2:$2,0)+1),MATCH("name",[2]stages!$2:$2,0)-MATCH("temp_stage",[2]stages!$2:$2,0)+1,FALSE),""))</f>
        <v/>
      </c>
      <c r="K443" s="15">
        <v>1</v>
      </c>
      <c r="L443" s="15" t="s">
        <v>542</v>
      </c>
      <c r="M443" s="26"/>
      <c r="N443" s="26"/>
    </row>
    <row r="444" spans="1:14" ht="21" customHeight="1" x14ac:dyDescent="0.15">
      <c r="A444" s="2" t="s">
        <v>2413</v>
      </c>
      <c r="B444" s="21" t="s">
        <v>792</v>
      </c>
      <c r="C444" s="26" t="str">
        <f t="shared" ca="1" si="53"/>
        <v>ユニットを 1700 種類手に入れよう！</v>
      </c>
      <c r="D444" s="26" t="str">
        <f ca="1">IFERROR(VLOOKUP($A444,OFFSET(achievement_criterion_id,0,0,COUNTA($A:$A),MATCH(D$1,missions!$2:$2,0)-MATCH($A$1,missions!$2:$2,0)+1),MATCH(D$1,missions!$2:$2,0)-MATCH($A$1,missions!$2:$2,0)+1,FALSE),IFERROR(VLOOKUP($A444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444" s="27" t="s">
        <v>864</v>
      </c>
      <c r="F444" s="17" t="s">
        <v>34</v>
      </c>
      <c r="G444" s="26" t="str">
        <f ca="1">VLOOKUP($F444,OFFSET(達成条件!$A$1,0,0,COUNTA($A:$A),MATCH(G$1,達成条件!$1:$1,0)-MATCH($F$1,達成条件!$1:$1,0)+1),MATCH(G$1,達成条件!$1:$1,0)-MATCH($F$1,達成条件!$1:$1,0)+1,FALSE)</f>
        <v>ユニットを x 種類手に入れよう！</v>
      </c>
      <c r="H444" s="26" t="str">
        <f ca="1">VLOOKUP($F444,OFFSET(達成条件!$A$1,0,0,COUNTA($A:$A),MATCH(H$1,達成条件!$1:$1,0)-MATCH($F$1,達成条件!$1:$1,0)+1),MATCH(H$1,達成条件!$1:$1,0)-MATCH($F$1,達成条件!$1:$1,0)+1,FALSE)</f>
        <v>ユニットの種類数</v>
      </c>
      <c r="I444" s="58">
        <v>1700</v>
      </c>
      <c r="J444" s="54" t="str">
        <f ca="1">IF(F444="specific_unit_aquired_count",SUBSTITUTE(G444,"x",VLOOKUP(INT($I444),OFFSET([3]characters!$A$2,0,0,COUNTA([3]characters!$A:$A),MATCH(J$1,[3]characters!$2:$2,0)-MATCH("character_id",[3]characters!$2:$2,0)+1),MATCH(J$1,[3]characters!$2:$2,0)-MATCH("character_id",[3]characters!$2:$2,0)+1,FALSE)),IF(F444="specific_quest_clear",VLOOKUP(SUBSTITUTE(I444,"-","_"),OFFSET([2]stages!$A$2,0,0,COUNTA([2]stages!$A:$A),MATCH("name",[2]stages!$2:$2,0)-MATCH("temp_stage",[2]stages!$2:$2,0)+1),MATCH("name",[2]stages!$2:$2,0)-MATCH("temp_stage",[2]stages!$2:$2,0)+1,FALSE),""))</f>
        <v/>
      </c>
      <c r="K444" s="15">
        <v>1</v>
      </c>
      <c r="L444" s="15" t="s">
        <v>542</v>
      </c>
      <c r="M444" s="26"/>
      <c r="N444" s="26"/>
    </row>
    <row r="445" spans="1:14" ht="21" customHeight="1" x14ac:dyDescent="0.15">
      <c r="A445" s="2" t="s">
        <v>2414</v>
      </c>
      <c r="B445" s="21" t="s">
        <v>792</v>
      </c>
      <c r="C445" s="26" t="str">
        <f t="shared" ca="1" si="53"/>
        <v>ユニットを 1725 種類手に入れよう！</v>
      </c>
      <c r="D445" s="26" t="str">
        <f ca="1">IFERROR(VLOOKUP($A445,OFFSET(achievement_criterion_id,0,0,COUNTA($A:$A),MATCH(D$1,missions!$2:$2,0)-MATCH($A$1,missions!$2:$2,0)+1),MATCH(D$1,missions!$2:$2,0)-MATCH($A$1,missions!$2:$2,0)+1,FALSE),IFERROR(VLOOKUP($A445,OFFSET(weekly_achievement_criterion_id,0,0,COUNTA($A:$A),MATCH(D$1,weekly_missions!$2:$2,0)-MATCH($A$1,weekly_missions!$2:$2,0)+1),MATCH(D$1,weekly_missions!$2:$2,0)-MATCH($A$1,weekly_missions!$2:$2,0)+1,FALSE),"＊missions 未設定＊"))</f>
        <v>ギガ攻めの果実 x 3</v>
      </c>
      <c r="E445" s="27" t="s">
        <v>864</v>
      </c>
      <c r="F445" s="17" t="s">
        <v>34</v>
      </c>
      <c r="G445" s="26" t="str">
        <f ca="1">VLOOKUP($F445,OFFSET(達成条件!$A$1,0,0,COUNTA($A:$A),MATCH(G$1,達成条件!$1:$1,0)-MATCH($F$1,達成条件!$1:$1,0)+1),MATCH(G$1,達成条件!$1:$1,0)-MATCH($F$1,達成条件!$1:$1,0)+1,FALSE)</f>
        <v>ユニットを x 種類手に入れよう！</v>
      </c>
      <c r="H445" s="26" t="str">
        <f ca="1">VLOOKUP($F445,OFFSET(達成条件!$A$1,0,0,COUNTA($A:$A),MATCH(H$1,達成条件!$1:$1,0)-MATCH($F$1,達成条件!$1:$1,0)+1),MATCH(H$1,達成条件!$1:$1,0)-MATCH($F$1,達成条件!$1:$1,0)+1,FALSE)</f>
        <v>ユニットの種類数</v>
      </c>
      <c r="I445" s="58">
        <v>1725</v>
      </c>
      <c r="J445" s="54" t="str">
        <f ca="1">IF(F445="specific_unit_aquired_count",SUBSTITUTE(G445,"x",VLOOKUP(INT($I445),OFFSET([3]characters!$A$2,0,0,COUNTA([3]characters!$A:$A),MATCH(J$1,[3]characters!$2:$2,0)-MATCH("character_id",[3]characters!$2:$2,0)+1),MATCH(J$1,[3]characters!$2:$2,0)-MATCH("character_id",[3]characters!$2:$2,0)+1,FALSE)),IF(F445="specific_quest_clear",VLOOKUP(SUBSTITUTE(I445,"-","_"),OFFSET([2]stages!$A$2,0,0,COUNTA([2]stages!$A:$A),MATCH("name",[2]stages!$2:$2,0)-MATCH("temp_stage",[2]stages!$2:$2,0)+1),MATCH("name",[2]stages!$2:$2,0)-MATCH("temp_stage",[2]stages!$2:$2,0)+1,FALSE),""))</f>
        <v/>
      </c>
      <c r="K445" s="15">
        <v>1</v>
      </c>
      <c r="L445" s="15" t="s">
        <v>542</v>
      </c>
      <c r="M445" s="26"/>
      <c r="N445" s="26"/>
    </row>
    <row r="446" spans="1:14" ht="21" customHeight="1" x14ac:dyDescent="0.15">
      <c r="A446" s="2" t="s">
        <v>2415</v>
      </c>
      <c r="B446" s="21" t="s">
        <v>792</v>
      </c>
      <c r="C446" s="26" t="str">
        <f t="shared" ca="1" si="53"/>
        <v>ユニットを 1750 種類手に入れよう！</v>
      </c>
      <c r="D446" s="26" t="str">
        <f ca="1">IFERROR(VLOOKUP($A446,OFFSET(achievement_criterion_id,0,0,COUNTA($A:$A),MATCH(D$1,missions!$2:$2,0)-MATCH($A$1,missions!$2:$2,0)+1),MATCH(D$1,missions!$2:$2,0)-MATCH($A$1,missions!$2:$2,0)+1,FALSE),IFERROR(VLOOKUP($A446,OFFSET(weekly_achievement_criterion_id,0,0,COUNTA($A:$A),MATCH(D$1,weekly_missions!$2:$2,0)-MATCH($A$1,weekly_missions!$2:$2,0)+1),MATCH(D$1,weekly_missions!$2:$2,0)-MATCH($A$1,weekly_missions!$2:$2,0)+1,FALSE),"＊missions 未設定＊"))</f>
        <v>マスターキー x 2</v>
      </c>
      <c r="E446" s="27" t="s">
        <v>864</v>
      </c>
      <c r="F446" s="17" t="s">
        <v>34</v>
      </c>
      <c r="G446" s="26" t="str">
        <f ca="1">VLOOKUP($F446,OFFSET(達成条件!$A$1,0,0,COUNTA($A:$A),MATCH(G$1,達成条件!$1:$1,0)-MATCH($F$1,達成条件!$1:$1,0)+1),MATCH(G$1,達成条件!$1:$1,0)-MATCH($F$1,達成条件!$1:$1,0)+1,FALSE)</f>
        <v>ユニットを x 種類手に入れよう！</v>
      </c>
      <c r="H446" s="26" t="str">
        <f ca="1">VLOOKUP($F446,OFFSET(達成条件!$A$1,0,0,COUNTA($A:$A),MATCH(H$1,達成条件!$1:$1,0)-MATCH($F$1,達成条件!$1:$1,0)+1),MATCH(H$1,達成条件!$1:$1,0)-MATCH($F$1,達成条件!$1:$1,0)+1,FALSE)</f>
        <v>ユニットの種類数</v>
      </c>
      <c r="I446" s="58">
        <v>1750</v>
      </c>
      <c r="J446" s="54" t="str">
        <f ca="1">IF(F446="specific_unit_aquired_count",SUBSTITUTE(G446,"x",VLOOKUP(INT($I446),OFFSET([3]characters!$A$2,0,0,COUNTA([3]characters!$A:$A),MATCH(J$1,[3]characters!$2:$2,0)-MATCH("character_id",[3]characters!$2:$2,0)+1),MATCH(J$1,[3]characters!$2:$2,0)-MATCH("character_id",[3]characters!$2:$2,0)+1,FALSE)),IF(F446="specific_quest_clear",VLOOKUP(SUBSTITUTE(I446,"-","_"),OFFSET([2]stages!$A$2,0,0,COUNTA([2]stages!$A:$A),MATCH("name",[2]stages!$2:$2,0)-MATCH("temp_stage",[2]stages!$2:$2,0)+1),MATCH("name",[2]stages!$2:$2,0)-MATCH("temp_stage",[2]stages!$2:$2,0)+1,FALSE),""))</f>
        <v/>
      </c>
      <c r="K446" s="15">
        <v>1</v>
      </c>
      <c r="L446" s="15" t="s">
        <v>542</v>
      </c>
      <c r="M446" s="26"/>
      <c r="N446" s="26"/>
    </row>
    <row r="447" spans="1:14" ht="21" customHeight="1" x14ac:dyDescent="0.15">
      <c r="A447" s="2" t="s">
        <v>2416</v>
      </c>
      <c r="B447" s="21" t="s">
        <v>792</v>
      </c>
      <c r="C447" s="26" t="str">
        <f t="shared" ca="1" si="53"/>
        <v>ユニットを 1775 種類手に入れよう！</v>
      </c>
      <c r="D447" s="26" t="str">
        <f ca="1">IFERROR(VLOOKUP($A447,OFFSET(achievement_criterion_id,0,0,COUNTA($A:$A),MATCH(D$1,missions!$2:$2,0)-MATCH($A$1,missions!$2:$2,0)+1),MATCH(D$1,missions!$2:$2,0)-MATCH($A$1,missions!$2:$2,0)+1,FALSE),IFERROR(VLOOKUP($A447,OFFSET(weekly_achievement_criterion_id,0,0,COUNTA($A:$A),MATCH(D$1,weekly_missions!$2:$2,0)-MATCH($A$1,weekly_missions!$2:$2,0)+1),MATCH(D$1,weekly_missions!$2:$2,0)-MATCH($A$1,weekly_missions!$2:$2,0)+1,FALSE),"＊missions 未設定＊"))</f>
        <v>ギガ生命の果実 x 3</v>
      </c>
      <c r="E447" s="27" t="s">
        <v>864</v>
      </c>
      <c r="F447" s="17" t="s">
        <v>34</v>
      </c>
      <c r="G447" s="26" t="str">
        <f ca="1">VLOOKUP($F447,OFFSET(達成条件!$A$1,0,0,COUNTA($A:$A),MATCH(G$1,達成条件!$1:$1,0)-MATCH($F$1,達成条件!$1:$1,0)+1),MATCH(G$1,達成条件!$1:$1,0)-MATCH($F$1,達成条件!$1:$1,0)+1,FALSE)</f>
        <v>ユニットを x 種類手に入れよう！</v>
      </c>
      <c r="H447" s="26" t="str">
        <f ca="1">VLOOKUP($F447,OFFSET(達成条件!$A$1,0,0,COUNTA($A:$A),MATCH(H$1,達成条件!$1:$1,0)-MATCH($F$1,達成条件!$1:$1,0)+1),MATCH(H$1,達成条件!$1:$1,0)-MATCH($F$1,達成条件!$1:$1,0)+1,FALSE)</f>
        <v>ユニットの種類数</v>
      </c>
      <c r="I447" s="58">
        <v>1775</v>
      </c>
      <c r="J447" s="54" t="str">
        <f ca="1">IF(F447="specific_unit_aquired_count",SUBSTITUTE(G447,"x",VLOOKUP(INT($I447),OFFSET([3]characters!$A$2,0,0,COUNTA([3]characters!$A:$A),MATCH(J$1,[3]characters!$2:$2,0)-MATCH("character_id",[3]characters!$2:$2,0)+1),MATCH(J$1,[3]characters!$2:$2,0)-MATCH("character_id",[3]characters!$2:$2,0)+1,FALSE)),IF(F447="specific_quest_clear",VLOOKUP(SUBSTITUTE(I447,"-","_"),OFFSET([2]stages!$A$2,0,0,COUNTA([2]stages!$A:$A),MATCH("name",[2]stages!$2:$2,0)-MATCH("temp_stage",[2]stages!$2:$2,0)+1),MATCH("name",[2]stages!$2:$2,0)-MATCH("temp_stage",[2]stages!$2:$2,0)+1,FALSE),""))</f>
        <v/>
      </c>
      <c r="K447" s="15">
        <v>1</v>
      </c>
      <c r="L447" s="15" t="s">
        <v>542</v>
      </c>
      <c r="M447" s="26"/>
      <c r="N447" s="26"/>
    </row>
    <row r="448" spans="1:14" ht="21" customHeight="1" x14ac:dyDescent="0.15">
      <c r="A448" s="2" t="s">
        <v>2417</v>
      </c>
      <c r="B448" s="21" t="s">
        <v>792</v>
      </c>
      <c r="C448" s="26" t="str">
        <f t="shared" ca="1" si="53"/>
        <v>ユニットを 1800 種類手に入れよう！</v>
      </c>
      <c r="D448" s="26" t="str">
        <f ca="1">IFERROR(VLOOKUP($A448,OFFSET(achievement_criterion_id,0,0,COUNTA($A:$A),MATCH(D$1,missions!$2:$2,0)-MATCH($A$1,missions!$2:$2,0)+1),MATCH(D$1,missions!$2:$2,0)-MATCH($A$1,missions!$2:$2,0)+1,FALSE),IFERROR(VLOOKUP($A448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448" s="27" t="s">
        <v>864</v>
      </c>
      <c r="F448" s="17" t="s">
        <v>34</v>
      </c>
      <c r="G448" s="26" t="str">
        <f ca="1">VLOOKUP($F448,OFFSET(達成条件!$A$1,0,0,COUNTA($A:$A),MATCH(G$1,達成条件!$1:$1,0)-MATCH($F$1,達成条件!$1:$1,0)+1),MATCH(G$1,達成条件!$1:$1,0)-MATCH($F$1,達成条件!$1:$1,0)+1,FALSE)</f>
        <v>ユニットを x 種類手に入れよう！</v>
      </c>
      <c r="H448" s="26" t="str">
        <f ca="1">VLOOKUP($F448,OFFSET(達成条件!$A$1,0,0,COUNTA($A:$A),MATCH(H$1,達成条件!$1:$1,0)-MATCH($F$1,達成条件!$1:$1,0)+1),MATCH(H$1,達成条件!$1:$1,0)-MATCH($F$1,達成条件!$1:$1,0)+1,FALSE)</f>
        <v>ユニットの種類数</v>
      </c>
      <c r="I448" s="58">
        <v>1800</v>
      </c>
      <c r="J448" s="54" t="str">
        <f ca="1">IF(F448="specific_unit_aquired_count",SUBSTITUTE(G448,"x",VLOOKUP(INT($I448),OFFSET([3]characters!$A$2,0,0,COUNTA([3]characters!$A:$A),MATCH(J$1,[3]characters!$2:$2,0)-MATCH("character_id",[3]characters!$2:$2,0)+1),MATCH(J$1,[3]characters!$2:$2,0)-MATCH("character_id",[3]characters!$2:$2,0)+1,FALSE)),IF(F448="specific_quest_clear",VLOOKUP(SUBSTITUTE(I448,"-","_"),OFFSET([2]stages!$A$2,0,0,COUNTA([2]stages!$A:$A),MATCH("name",[2]stages!$2:$2,0)-MATCH("temp_stage",[2]stages!$2:$2,0)+1),MATCH("name",[2]stages!$2:$2,0)-MATCH("temp_stage",[2]stages!$2:$2,0)+1,FALSE),""))</f>
        <v/>
      </c>
      <c r="K448" s="15">
        <v>1</v>
      </c>
      <c r="L448" s="15" t="s">
        <v>542</v>
      </c>
      <c r="M448" s="26"/>
      <c r="N448" s="26"/>
    </row>
    <row r="449" spans="1:14" ht="21" customHeight="1" x14ac:dyDescent="0.15">
      <c r="A449" s="2" t="s">
        <v>2418</v>
      </c>
      <c r="B449" s="21" t="s">
        <v>792</v>
      </c>
      <c r="C449" s="26" t="str">
        <f t="shared" ca="1" si="53"/>
        <v>ユニットを 1825 種類手に入れよう！</v>
      </c>
      <c r="D449" s="26" t="str">
        <f ca="1">IFERROR(VLOOKUP($A449,OFFSET(achievement_criterion_id,0,0,COUNTA($A:$A),MATCH(D$1,missions!$2:$2,0)-MATCH($A$1,missions!$2:$2,0)+1),MATCH(D$1,missions!$2:$2,0)-MATCH($A$1,missions!$2:$2,0)+1,FALSE),IFERROR(VLOOKUP($A449,OFFSET(weekly_achievement_criterion_id,0,0,COUNTA($A:$A),MATCH(D$1,weekly_missions!$2:$2,0)-MATCH($A$1,weekly_missions!$2:$2,0)+1),MATCH(D$1,weekly_missions!$2:$2,0)-MATCH($A$1,weekly_missions!$2:$2,0)+1,FALSE),"＊missions 未設定＊"))</f>
        <v>ギガ癒しの果実 x 3</v>
      </c>
      <c r="E449" s="27" t="s">
        <v>864</v>
      </c>
      <c r="F449" s="17" t="s">
        <v>34</v>
      </c>
      <c r="G449" s="26" t="str">
        <f ca="1">VLOOKUP($F449,OFFSET(達成条件!$A$1,0,0,COUNTA($A:$A),MATCH(G$1,達成条件!$1:$1,0)-MATCH($F$1,達成条件!$1:$1,0)+1),MATCH(G$1,達成条件!$1:$1,0)-MATCH($F$1,達成条件!$1:$1,0)+1,FALSE)</f>
        <v>ユニットを x 種類手に入れよう！</v>
      </c>
      <c r="H449" s="26" t="str">
        <f ca="1">VLOOKUP($F449,OFFSET(達成条件!$A$1,0,0,COUNTA($A:$A),MATCH(H$1,達成条件!$1:$1,0)-MATCH($F$1,達成条件!$1:$1,0)+1),MATCH(H$1,達成条件!$1:$1,0)-MATCH($F$1,達成条件!$1:$1,0)+1,FALSE)</f>
        <v>ユニットの種類数</v>
      </c>
      <c r="I449" s="58">
        <v>1825</v>
      </c>
      <c r="J449" s="54" t="str">
        <f ca="1">IF(F449="specific_unit_aquired_count",SUBSTITUTE(G449,"x",VLOOKUP(INT($I449),OFFSET([3]characters!$A$2,0,0,COUNTA([3]characters!$A:$A),MATCH(J$1,[3]characters!$2:$2,0)-MATCH("character_id",[3]characters!$2:$2,0)+1),MATCH(J$1,[3]characters!$2:$2,0)-MATCH("character_id",[3]characters!$2:$2,0)+1,FALSE)),IF(F449="specific_quest_clear",VLOOKUP(SUBSTITUTE(I449,"-","_"),OFFSET([2]stages!$A$2,0,0,COUNTA([2]stages!$A:$A),MATCH("name",[2]stages!$2:$2,0)-MATCH("temp_stage",[2]stages!$2:$2,0)+1),MATCH("name",[2]stages!$2:$2,0)-MATCH("temp_stage",[2]stages!$2:$2,0)+1,FALSE),""))</f>
        <v/>
      </c>
      <c r="K449" s="15">
        <v>1</v>
      </c>
      <c r="L449" s="15" t="s">
        <v>542</v>
      </c>
      <c r="M449" s="26"/>
      <c r="N449" s="26"/>
    </row>
    <row r="450" spans="1:14" ht="21" customHeight="1" x14ac:dyDescent="0.15">
      <c r="A450" s="2" t="s">
        <v>2419</v>
      </c>
      <c r="B450" s="21" t="s">
        <v>792</v>
      </c>
      <c r="C450" s="26" t="str">
        <f t="shared" ca="1" si="53"/>
        <v>ユニットを 1850 種類手に入れよう！</v>
      </c>
      <c r="D450" s="26" t="str">
        <f ca="1">IFERROR(VLOOKUP($A450,OFFSET(achievement_criterion_id,0,0,COUNTA($A:$A),MATCH(D$1,missions!$2:$2,0)-MATCH($A$1,missions!$2:$2,0)+1),MATCH(D$1,missions!$2:$2,0)-MATCH($A$1,missions!$2:$2,0)+1,FALSE),IFERROR(VLOOKUP($A450,OFFSET(weekly_achievement_criterion_id,0,0,COUNTA($A:$A),MATCH(D$1,weekly_missions!$2:$2,0)-MATCH($A$1,weekly_missions!$2:$2,0)+1),MATCH(D$1,weekly_missions!$2:$2,0)-MATCH($A$1,weekly_missions!$2:$2,0)+1,FALSE),"＊missions 未設定＊"))</f>
        <v>マスターキー x 2</v>
      </c>
      <c r="E450" s="27" t="s">
        <v>864</v>
      </c>
      <c r="F450" s="17" t="s">
        <v>34</v>
      </c>
      <c r="G450" s="26" t="str">
        <f ca="1">VLOOKUP($F450,OFFSET(達成条件!$A$1,0,0,COUNTA($A:$A),MATCH(G$1,達成条件!$1:$1,0)-MATCH($F$1,達成条件!$1:$1,0)+1),MATCH(G$1,達成条件!$1:$1,0)-MATCH($F$1,達成条件!$1:$1,0)+1,FALSE)</f>
        <v>ユニットを x 種類手に入れよう！</v>
      </c>
      <c r="H450" s="26" t="str">
        <f ca="1">VLOOKUP($F450,OFFSET(達成条件!$A$1,0,0,COUNTA($A:$A),MATCH(H$1,達成条件!$1:$1,0)-MATCH($F$1,達成条件!$1:$1,0)+1),MATCH(H$1,達成条件!$1:$1,0)-MATCH($F$1,達成条件!$1:$1,0)+1,FALSE)</f>
        <v>ユニットの種類数</v>
      </c>
      <c r="I450" s="58">
        <v>1850</v>
      </c>
      <c r="J450" s="54" t="str">
        <f ca="1">IF(F450="specific_unit_aquired_count",SUBSTITUTE(G450,"x",VLOOKUP(INT($I450),OFFSET([3]characters!$A$2,0,0,COUNTA([3]characters!$A:$A),MATCH(J$1,[3]characters!$2:$2,0)-MATCH("character_id",[3]characters!$2:$2,0)+1),MATCH(J$1,[3]characters!$2:$2,0)-MATCH("character_id",[3]characters!$2:$2,0)+1,FALSE)),IF(F450="specific_quest_clear",VLOOKUP(SUBSTITUTE(I450,"-","_"),OFFSET([2]stages!$A$2,0,0,COUNTA([2]stages!$A:$A),MATCH("name",[2]stages!$2:$2,0)-MATCH("temp_stage",[2]stages!$2:$2,0)+1),MATCH("name",[2]stages!$2:$2,0)-MATCH("temp_stage",[2]stages!$2:$2,0)+1,FALSE),""))</f>
        <v/>
      </c>
      <c r="K450" s="15">
        <v>1</v>
      </c>
      <c r="L450" s="15" t="s">
        <v>542</v>
      </c>
      <c r="M450" s="26"/>
      <c r="N450" s="26"/>
    </row>
    <row r="451" spans="1:14" ht="21" customHeight="1" x14ac:dyDescent="0.15">
      <c r="A451" s="2" t="s">
        <v>109</v>
      </c>
      <c r="B451" s="21" t="s">
        <v>792</v>
      </c>
      <c r="C451" s="26" t="str">
        <f t="shared" ca="1" si="53"/>
        <v>ユニットを 1875 種類手に入れよう！</v>
      </c>
      <c r="D451" s="26" t="str">
        <f ca="1">IFERROR(VLOOKUP($A451,OFFSET(achievement_criterion_id,0,0,COUNTA($A:$A),MATCH(D$1,missions!$2:$2,0)-MATCH($A$1,missions!$2:$2,0)+1),MATCH(D$1,missions!$2:$2,0)-MATCH($A$1,missions!$2:$2,0)+1,FALSE),IFERROR(VLOOKUP($A451,OFFSET(weekly_achievement_criterion_id,0,0,COUNTA($A:$A),MATCH(D$1,weekly_missions!$2:$2,0)-MATCH($A$1,weekly_missions!$2:$2,0)+1),MATCH(D$1,weekly_missions!$2:$2,0)-MATCH($A$1,weekly_missions!$2:$2,0)+1,FALSE),"＊missions 未設定＊"))</f>
        <v>ギガ秘術の果実 x 3</v>
      </c>
      <c r="E451" s="27" t="s">
        <v>864</v>
      </c>
      <c r="F451" s="17" t="s">
        <v>34</v>
      </c>
      <c r="G451" s="26" t="str">
        <f ca="1">VLOOKUP($F451,OFFSET(達成条件!$A$1,0,0,COUNTA($A:$A),MATCH(G$1,達成条件!$1:$1,0)-MATCH($F$1,達成条件!$1:$1,0)+1),MATCH(G$1,達成条件!$1:$1,0)-MATCH($F$1,達成条件!$1:$1,0)+1,FALSE)</f>
        <v>ユニットを x 種類手に入れよう！</v>
      </c>
      <c r="H451" s="26" t="str">
        <f ca="1">VLOOKUP($F451,OFFSET(達成条件!$A$1,0,0,COUNTA($A:$A),MATCH(H$1,達成条件!$1:$1,0)-MATCH($F$1,達成条件!$1:$1,0)+1),MATCH(H$1,達成条件!$1:$1,0)-MATCH($F$1,達成条件!$1:$1,0)+1,FALSE)</f>
        <v>ユニットの種類数</v>
      </c>
      <c r="I451" s="58">
        <v>1875</v>
      </c>
      <c r="J451" s="54" t="str">
        <f ca="1">IF(F451="specific_unit_aquired_count",SUBSTITUTE(G451,"x",VLOOKUP(INT($I451),OFFSET([3]characters!$A$2,0,0,COUNTA([3]characters!$A:$A),MATCH(J$1,[3]characters!$2:$2,0)-MATCH("character_id",[3]characters!$2:$2,0)+1),MATCH(J$1,[3]characters!$2:$2,0)-MATCH("character_id",[3]characters!$2:$2,0)+1,FALSE)),IF(F451="specific_quest_clear",VLOOKUP(SUBSTITUTE(I451,"-","_"),OFFSET([2]stages!$A$2,0,0,COUNTA([2]stages!$A:$A),MATCH("name",[2]stages!$2:$2,0)-MATCH("temp_stage",[2]stages!$2:$2,0)+1),MATCH("name",[2]stages!$2:$2,0)-MATCH("temp_stage",[2]stages!$2:$2,0)+1,FALSE),""))</f>
        <v/>
      </c>
      <c r="K451" s="15">
        <v>1</v>
      </c>
      <c r="L451" s="15" t="s">
        <v>542</v>
      </c>
      <c r="M451" s="26"/>
      <c r="N451" s="26"/>
    </row>
    <row r="452" spans="1:14" ht="21" customHeight="1" x14ac:dyDescent="0.15">
      <c r="A452" s="2" t="s">
        <v>2420</v>
      </c>
      <c r="B452" s="21" t="s">
        <v>792</v>
      </c>
      <c r="C452" s="26" t="str">
        <f t="shared" ca="1" si="53"/>
        <v>ユニットを 1900 種類手に入れよう！</v>
      </c>
      <c r="D452" s="26" t="str">
        <f ca="1">IFERROR(VLOOKUP($A452,OFFSET(achievement_criterion_id,0,0,COUNTA($A:$A),MATCH(D$1,missions!$2:$2,0)-MATCH($A$1,missions!$2:$2,0)+1),MATCH(D$1,missions!$2:$2,0)-MATCH($A$1,missions!$2:$2,0)+1,FALSE),IFERROR(VLOOKUP($A452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452" s="27" t="s">
        <v>864</v>
      </c>
      <c r="F452" s="17" t="s">
        <v>34</v>
      </c>
      <c r="G452" s="26" t="str">
        <f ca="1">VLOOKUP($F452,OFFSET(達成条件!$A$1,0,0,COUNTA($A:$A),MATCH(G$1,達成条件!$1:$1,0)-MATCH($F$1,達成条件!$1:$1,0)+1),MATCH(G$1,達成条件!$1:$1,0)-MATCH($F$1,達成条件!$1:$1,0)+1,FALSE)</f>
        <v>ユニットを x 種類手に入れよう！</v>
      </c>
      <c r="H452" s="26" t="str">
        <f ca="1">VLOOKUP($F452,OFFSET(達成条件!$A$1,0,0,COUNTA($A:$A),MATCH(H$1,達成条件!$1:$1,0)-MATCH($F$1,達成条件!$1:$1,0)+1),MATCH(H$1,達成条件!$1:$1,0)-MATCH($F$1,達成条件!$1:$1,0)+1,FALSE)</f>
        <v>ユニットの種類数</v>
      </c>
      <c r="I452" s="58">
        <v>1900</v>
      </c>
      <c r="J452" s="54" t="str">
        <f ca="1">IF(F452="specific_unit_aquired_count",SUBSTITUTE(G452,"x",VLOOKUP(INT($I452),OFFSET([3]characters!$A$2,0,0,COUNTA([3]characters!$A:$A),MATCH(J$1,[3]characters!$2:$2,0)-MATCH("character_id",[3]characters!$2:$2,0)+1),MATCH(J$1,[3]characters!$2:$2,0)-MATCH("character_id",[3]characters!$2:$2,0)+1,FALSE)),IF(F452="specific_quest_clear",VLOOKUP(SUBSTITUTE(I452,"-","_"),OFFSET([2]stages!$A$2,0,0,COUNTA([2]stages!$A:$A),MATCH("name",[2]stages!$2:$2,0)-MATCH("temp_stage",[2]stages!$2:$2,0)+1),MATCH("name",[2]stages!$2:$2,0)-MATCH("temp_stage",[2]stages!$2:$2,0)+1,FALSE),""))</f>
        <v/>
      </c>
      <c r="K452" s="15">
        <v>1</v>
      </c>
      <c r="L452" s="15" t="s">
        <v>542</v>
      </c>
      <c r="M452" s="26"/>
      <c r="N452" s="26"/>
    </row>
    <row r="453" spans="1:14" ht="21" customHeight="1" x14ac:dyDescent="0.15">
      <c r="A453" s="2" t="s">
        <v>2421</v>
      </c>
      <c r="B453" s="21" t="s">
        <v>792</v>
      </c>
      <c r="C453" s="26" t="str">
        <f t="shared" ca="1" si="53"/>
        <v>ユニットを 1925 種類手に入れよう！</v>
      </c>
      <c r="D453" s="26" t="str">
        <f ca="1">IFERROR(VLOOKUP($A453,OFFSET(achievement_criterion_id,0,0,COUNTA($A:$A),MATCH(D$1,missions!$2:$2,0)-MATCH($A$1,missions!$2:$2,0)+1),MATCH(D$1,missions!$2:$2,0)-MATCH($A$1,missions!$2:$2,0)+1,FALSE),IFERROR(VLOOKUP($A453,OFFSET(weekly_achievement_criterion_id,0,0,COUNTA($A:$A),MATCH(D$1,weekly_missions!$2:$2,0)-MATCH($A$1,weekly_missions!$2:$2,0)+1),MATCH(D$1,weekly_missions!$2:$2,0)-MATCH($A$1,weekly_missions!$2:$2,0)+1,FALSE),"＊missions 未設定＊"))</f>
        <v>ギガ攻めの果実 x 3</v>
      </c>
      <c r="E453" s="27" t="s">
        <v>864</v>
      </c>
      <c r="F453" s="17" t="s">
        <v>34</v>
      </c>
      <c r="G453" s="26" t="str">
        <f ca="1">VLOOKUP($F453,OFFSET(達成条件!$A$1,0,0,COUNTA($A:$A),MATCH(G$1,達成条件!$1:$1,0)-MATCH($F$1,達成条件!$1:$1,0)+1),MATCH(G$1,達成条件!$1:$1,0)-MATCH($F$1,達成条件!$1:$1,0)+1,FALSE)</f>
        <v>ユニットを x 種類手に入れよう！</v>
      </c>
      <c r="H453" s="26" t="str">
        <f ca="1">VLOOKUP($F453,OFFSET(達成条件!$A$1,0,0,COUNTA($A:$A),MATCH(H$1,達成条件!$1:$1,0)-MATCH($F$1,達成条件!$1:$1,0)+1),MATCH(H$1,達成条件!$1:$1,0)-MATCH($F$1,達成条件!$1:$1,0)+1,FALSE)</f>
        <v>ユニットの種類数</v>
      </c>
      <c r="I453" s="58">
        <v>1925</v>
      </c>
      <c r="J453" s="54" t="str">
        <f ca="1">IF(F453="specific_unit_aquired_count",SUBSTITUTE(G453,"x",VLOOKUP(INT($I453),OFFSET([3]characters!$A$2,0,0,COUNTA([3]characters!$A:$A),MATCH(J$1,[3]characters!$2:$2,0)-MATCH("character_id",[3]characters!$2:$2,0)+1),MATCH(J$1,[3]characters!$2:$2,0)-MATCH("character_id",[3]characters!$2:$2,0)+1,FALSE)),IF(F453="specific_quest_clear",VLOOKUP(SUBSTITUTE(I453,"-","_"),OFFSET([2]stages!$A$2,0,0,COUNTA([2]stages!$A:$A),MATCH("name",[2]stages!$2:$2,0)-MATCH("temp_stage",[2]stages!$2:$2,0)+1),MATCH("name",[2]stages!$2:$2,0)-MATCH("temp_stage",[2]stages!$2:$2,0)+1,FALSE),""))</f>
        <v/>
      </c>
      <c r="K453" s="15">
        <v>1</v>
      </c>
      <c r="L453" s="15" t="s">
        <v>542</v>
      </c>
      <c r="M453" s="26"/>
      <c r="N453" s="26"/>
    </row>
    <row r="454" spans="1:14" ht="21" customHeight="1" x14ac:dyDescent="0.15">
      <c r="A454" s="2" t="s">
        <v>2422</v>
      </c>
      <c r="B454" s="21" t="s">
        <v>792</v>
      </c>
      <c r="C454" s="26" t="str">
        <f t="shared" ca="1" si="53"/>
        <v>ユニットを 1950 種類手に入れよう！</v>
      </c>
      <c r="D454" s="26" t="str">
        <f ca="1">IFERROR(VLOOKUP($A454,OFFSET(achievement_criterion_id,0,0,COUNTA($A:$A),MATCH(D$1,missions!$2:$2,0)-MATCH($A$1,missions!$2:$2,0)+1),MATCH(D$1,missions!$2:$2,0)-MATCH($A$1,missions!$2:$2,0)+1,FALSE),IFERROR(VLOOKUP($A454,OFFSET(weekly_achievement_criterion_id,0,0,COUNTA($A:$A),MATCH(D$1,weekly_missions!$2:$2,0)-MATCH($A$1,weekly_missions!$2:$2,0)+1),MATCH(D$1,weekly_missions!$2:$2,0)-MATCH($A$1,weekly_missions!$2:$2,0)+1,FALSE),"＊missions 未設定＊"))</f>
        <v>マスターキー x 2</v>
      </c>
      <c r="E454" s="27" t="s">
        <v>864</v>
      </c>
      <c r="F454" s="17" t="s">
        <v>34</v>
      </c>
      <c r="G454" s="26" t="str">
        <f ca="1">VLOOKUP($F454,OFFSET(達成条件!$A$1,0,0,COUNTA($A:$A),MATCH(G$1,達成条件!$1:$1,0)-MATCH($F$1,達成条件!$1:$1,0)+1),MATCH(G$1,達成条件!$1:$1,0)-MATCH($F$1,達成条件!$1:$1,0)+1,FALSE)</f>
        <v>ユニットを x 種類手に入れよう！</v>
      </c>
      <c r="H454" s="26" t="str">
        <f ca="1">VLOOKUP($F454,OFFSET(達成条件!$A$1,0,0,COUNTA($A:$A),MATCH(H$1,達成条件!$1:$1,0)-MATCH($F$1,達成条件!$1:$1,0)+1),MATCH(H$1,達成条件!$1:$1,0)-MATCH($F$1,達成条件!$1:$1,0)+1,FALSE)</f>
        <v>ユニットの種類数</v>
      </c>
      <c r="I454" s="58">
        <v>1950</v>
      </c>
      <c r="J454" s="54" t="str">
        <f ca="1">IF(F454="specific_unit_aquired_count",SUBSTITUTE(G454,"x",VLOOKUP(INT($I454),OFFSET([3]characters!$A$2,0,0,COUNTA([3]characters!$A:$A),MATCH(J$1,[3]characters!$2:$2,0)-MATCH("character_id",[3]characters!$2:$2,0)+1),MATCH(J$1,[3]characters!$2:$2,0)-MATCH("character_id",[3]characters!$2:$2,0)+1,FALSE)),IF(F454="specific_quest_clear",VLOOKUP(SUBSTITUTE(I454,"-","_"),OFFSET([2]stages!$A$2,0,0,COUNTA([2]stages!$A:$A),MATCH("name",[2]stages!$2:$2,0)-MATCH("temp_stage",[2]stages!$2:$2,0)+1),MATCH("name",[2]stages!$2:$2,0)-MATCH("temp_stage",[2]stages!$2:$2,0)+1,FALSE),""))</f>
        <v/>
      </c>
      <c r="K454" s="15">
        <v>1</v>
      </c>
      <c r="L454" s="15" t="s">
        <v>542</v>
      </c>
      <c r="M454" s="26"/>
      <c r="N454" s="26"/>
    </row>
    <row r="455" spans="1:14" ht="21" customHeight="1" x14ac:dyDescent="0.15">
      <c r="A455" s="2" t="s">
        <v>2423</v>
      </c>
      <c r="B455" s="21" t="s">
        <v>792</v>
      </c>
      <c r="C455" s="26" t="str">
        <f t="shared" ca="1" si="53"/>
        <v>ユニットを 1975 種類手に入れよう！</v>
      </c>
      <c r="D455" s="26" t="str">
        <f ca="1">IFERROR(VLOOKUP($A455,OFFSET(achievement_criterion_id,0,0,COUNTA($A:$A),MATCH(D$1,missions!$2:$2,0)-MATCH($A$1,missions!$2:$2,0)+1),MATCH(D$1,missions!$2:$2,0)-MATCH($A$1,missions!$2:$2,0)+1,FALSE),IFERROR(VLOOKUP($A455,OFFSET(weekly_achievement_criterion_id,0,0,COUNTA($A:$A),MATCH(D$1,weekly_missions!$2:$2,0)-MATCH($A$1,weekly_missions!$2:$2,0)+1),MATCH(D$1,weekly_missions!$2:$2,0)-MATCH($A$1,weekly_missions!$2:$2,0)+1,FALSE),"＊missions 未設定＊"))</f>
        <v>ギガ生命の果実 x 3</v>
      </c>
      <c r="E455" s="27" t="s">
        <v>864</v>
      </c>
      <c r="F455" s="17" t="s">
        <v>34</v>
      </c>
      <c r="G455" s="26" t="str">
        <f ca="1">VLOOKUP($F455,OFFSET(達成条件!$A$1,0,0,COUNTA($A:$A),MATCH(G$1,達成条件!$1:$1,0)-MATCH($F$1,達成条件!$1:$1,0)+1),MATCH(G$1,達成条件!$1:$1,0)-MATCH($F$1,達成条件!$1:$1,0)+1,FALSE)</f>
        <v>ユニットを x 種類手に入れよう！</v>
      </c>
      <c r="H455" s="26" t="str">
        <f ca="1">VLOOKUP($F455,OFFSET(達成条件!$A$1,0,0,COUNTA($A:$A),MATCH(H$1,達成条件!$1:$1,0)-MATCH($F$1,達成条件!$1:$1,0)+1),MATCH(H$1,達成条件!$1:$1,0)-MATCH($F$1,達成条件!$1:$1,0)+1,FALSE)</f>
        <v>ユニットの種類数</v>
      </c>
      <c r="I455" s="58">
        <v>1975</v>
      </c>
      <c r="J455" s="54" t="str">
        <f ca="1">IF(F455="specific_unit_aquired_count",SUBSTITUTE(G455,"x",VLOOKUP(INT($I455),OFFSET([3]characters!$A$2,0,0,COUNTA([3]characters!$A:$A),MATCH(J$1,[3]characters!$2:$2,0)-MATCH("character_id",[3]characters!$2:$2,0)+1),MATCH(J$1,[3]characters!$2:$2,0)-MATCH("character_id",[3]characters!$2:$2,0)+1,FALSE)),IF(F455="specific_quest_clear",VLOOKUP(SUBSTITUTE(I455,"-","_"),OFFSET([2]stages!$A$2,0,0,COUNTA([2]stages!$A:$A),MATCH("name",[2]stages!$2:$2,0)-MATCH("temp_stage",[2]stages!$2:$2,0)+1),MATCH("name",[2]stages!$2:$2,0)-MATCH("temp_stage",[2]stages!$2:$2,0)+1,FALSE),""))</f>
        <v/>
      </c>
      <c r="K455" s="15">
        <v>1</v>
      </c>
      <c r="L455" s="15" t="s">
        <v>542</v>
      </c>
      <c r="M455" s="26"/>
      <c r="N455" s="26"/>
    </row>
    <row r="456" spans="1:14" ht="21" customHeight="1" x14ac:dyDescent="0.15">
      <c r="A456" s="2" t="s">
        <v>2678</v>
      </c>
      <c r="B456" s="21" t="s">
        <v>792</v>
      </c>
      <c r="C456" s="26" t="str">
        <f t="shared" ca="1" si="53"/>
        <v>ユニットを 2000 種類手に入れよう！</v>
      </c>
      <c r="D456" s="26" t="str">
        <f ca="1">IFERROR(VLOOKUP($A456,OFFSET(achievement_criterion_id,0,0,COUNTA($A:$A),MATCH(D$1,missions!$2:$2,0)-MATCH($A$1,missions!$2:$2,0)+1),MATCH(D$1,missions!$2:$2,0)-MATCH($A$1,missions!$2:$2,0)+1,FALSE),IFERROR(VLOOKUP($A456,OFFSET(weekly_achievement_criterion_id,0,0,COUNTA($A:$A),MATCH(D$1,weekly_missions!$2:$2,0)-MATCH($A$1,weekly_missions!$2:$2,0)+1),MATCH(D$1,weekly_missions!$2:$2,0)-MATCH($A$1,weekly_missions!$2:$2,0)+1,FALSE),"＊missions 未設定＊"))</f>
        <v>ポリゴン x 50</v>
      </c>
      <c r="E456" s="27" t="s">
        <v>864</v>
      </c>
      <c r="F456" s="17" t="s">
        <v>34</v>
      </c>
      <c r="G456" s="26" t="str">
        <f ca="1">VLOOKUP($F456,OFFSET(達成条件!$A$1,0,0,COUNTA($A:$A),MATCH(G$1,達成条件!$1:$1,0)-MATCH($F$1,達成条件!$1:$1,0)+1),MATCH(G$1,達成条件!$1:$1,0)-MATCH($F$1,達成条件!$1:$1,0)+1,FALSE)</f>
        <v>ユニットを x 種類手に入れよう！</v>
      </c>
      <c r="H456" s="26" t="str">
        <f ca="1">VLOOKUP($F456,OFFSET(達成条件!$A$1,0,0,COUNTA($A:$A),MATCH(H$1,達成条件!$1:$1,0)-MATCH($F$1,達成条件!$1:$1,0)+1),MATCH(H$1,達成条件!$1:$1,0)-MATCH($F$1,達成条件!$1:$1,0)+1,FALSE)</f>
        <v>ユニットの種類数</v>
      </c>
      <c r="I456" s="58">
        <v>2000</v>
      </c>
      <c r="J456" s="54" t="str">
        <f ca="1">IF(F456="specific_unit_aquired_count",SUBSTITUTE(G456,"x",VLOOKUP(INT($I456),OFFSET([3]characters!$A$2,0,0,COUNTA([3]characters!$A:$A),MATCH(J$1,[3]characters!$2:$2,0)-MATCH("character_id",[3]characters!$2:$2,0)+1),MATCH(J$1,[3]characters!$2:$2,0)-MATCH("character_id",[3]characters!$2:$2,0)+1,FALSE)),IF(F456="specific_quest_clear",VLOOKUP(SUBSTITUTE(I456,"-","_"),OFFSET([2]stages!$A$2,0,0,COUNTA([2]stages!$A:$A),MATCH("name",[2]stages!$2:$2,0)-MATCH("temp_stage",[2]stages!$2:$2,0)+1),MATCH("name",[2]stages!$2:$2,0)-MATCH("temp_stage",[2]stages!$2:$2,0)+1,FALSE),""))</f>
        <v/>
      </c>
      <c r="K456" s="15">
        <v>1</v>
      </c>
      <c r="L456" s="15" t="s">
        <v>542</v>
      </c>
      <c r="M456" s="26"/>
      <c r="N456" s="26"/>
    </row>
    <row r="457" spans="1:14" ht="21" customHeight="1" x14ac:dyDescent="0.15">
      <c r="A457" s="2" t="s">
        <v>2679</v>
      </c>
      <c r="B457" s="21" t="s">
        <v>792</v>
      </c>
      <c r="C457" s="26" t="str">
        <f t="shared" ca="1" si="53"/>
        <v>ユニットを 100 種類手に入れよう！</v>
      </c>
      <c r="D457" s="26" t="str">
        <f ca="1">IFERROR(VLOOKUP($A457,OFFSET(achievement_criterion_id,0,0,COUNTA($A:$A),MATCH(D$1,missions!$2:$2,0)-MATCH($A$1,missions!$2:$2,0)+1),MATCH(D$1,missions!$2:$2,0)-MATCH($A$1,missions!$2:$2,0)+1,FALSE),IFERROR(VLOOKUP($A457,OFFSET(weekly_achievement_criterion_id,0,0,COUNTA($A:$A),MATCH(D$1,weekly_missions!$2:$2,0)-MATCH($A$1,weekly_missions!$2:$2,0)+1),MATCH(D$1,weekly_missions!$2:$2,0)-MATCH($A$1,weekly_missions!$2:$2,0)+1,FALSE),"＊missions 未設定＊"))</f>
        <v>二つ名 &lt;集め始めた&gt;</v>
      </c>
      <c r="E457" s="27" t="s">
        <v>864</v>
      </c>
      <c r="F457" s="17" t="s">
        <v>34</v>
      </c>
      <c r="G457" s="26" t="str">
        <f ca="1">VLOOKUP($F457,OFFSET(達成条件!$A$1,0,0,COUNTA($A:$A),MATCH(G$1,達成条件!$1:$1,0)-MATCH($F$1,達成条件!$1:$1,0)+1),MATCH(G$1,達成条件!$1:$1,0)-MATCH($F$1,達成条件!$1:$1,0)+1,FALSE)</f>
        <v>ユニットを x 種類手に入れよう！</v>
      </c>
      <c r="H457" s="26" t="str">
        <f ca="1">VLOOKUP($F457,OFFSET(達成条件!$A$1,0,0,COUNTA($A:$A),MATCH(H$1,達成条件!$1:$1,0)-MATCH($F$1,達成条件!$1:$1,0)+1),MATCH(H$1,達成条件!$1:$1,0)-MATCH($F$1,達成条件!$1:$1,0)+1,FALSE)</f>
        <v>ユニットの種類数</v>
      </c>
      <c r="I457" s="59">
        <v>100</v>
      </c>
      <c r="J457" s="54" t="str">
        <f ca="1">IF(F457="specific_unit_aquired_count",SUBSTITUTE(G457,"x",VLOOKUP(INT($I457),OFFSET([3]characters!$A$2,0,0,COUNTA([3]characters!$A:$A),MATCH(J$1,[3]characters!$2:$2,0)-MATCH("character_id",[3]characters!$2:$2,0)+1),MATCH(J$1,[3]characters!$2:$2,0)-MATCH("character_id",[3]characters!$2:$2,0)+1,FALSE)),IF(F457="specific_quest_clear",VLOOKUP(SUBSTITUTE(I457,"-","_"),OFFSET([2]stages!$A$2,0,0,COUNTA([2]stages!$A:$A),MATCH("name",[2]stages!$2:$2,0)-MATCH("temp_stage",[2]stages!$2:$2,0)+1),MATCH("name",[2]stages!$2:$2,0)-MATCH("temp_stage",[2]stages!$2:$2,0)+1,FALSE),""))</f>
        <v/>
      </c>
      <c r="K457" s="15">
        <v>1</v>
      </c>
      <c r="L457" s="15" t="s">
        <v>542</v>
      </c>
      <c r="M457" s="26" t="str">
        <f ca="1">IFERROR(VLOOKUP($L470,OFFSET(missions!$A$2,0,0,COUNTA($A:$A),MATCH(M$1,missions!$2:$2,0)-MATCH("mission_id",missions!$2:$2,0)+1),MATCH(M$1,missions!$2:$2,0)-MATCH("mission_id",missions!$2:$2,0)+1,FALSE),"")</f>
        <v>通算 7 日ログインしよう！</v>
      </c>
      <c r="N457" s="26" t="str">
        <f ca="1">IFERROR(VLOOKUP($L470,OFFSET(missions!$A$2,0,0,COUNTA($A:$A),MATCH(N$1,missions!$2:$2,0)-MATCH("mission_id",missions!$2:$2,0)+1),MATCH(N$1,missions!$2:$2,0)-MATCH("mission_id",missions!$2:$2,0)+1,FALSE),"")</f>
        <v>ポリゴン x 5</v>
      </c>
    </row>
    <row r="458" spans="1:14" ht="21" customHeight="1" x14ac:dyDescent="0.15">
      <c r="A458" s="2" t="s">
        <v>2695</v>
      </c>
      <c r="B458" s="21" t="s">
        <v>792</v>
      </c>
      <c r="C458" s="26" t="str">
        <f t="shared" ref="C458:C459" ca="1" si="54">IF(F458="specific_quest_clear",SUBSTITUTE(G458,"x",J458),IF(F458="specific_unit_aquired_count",SUBSTITUTE(J458,"y",K458),SUBSTITUTE(G458,"x",I458)))</f>
        <v>ユニットを 100 種類手に入れよう！</v>
      </c>
      <c r="D458" s="26" t="str">
        <f ca="1">IFERROR(VLOOKUP($A458,OFFSET(achievement_criterion_id,0,0,COUNTA($A:$A),MATCH(D$1,missions!$2:$2,0)-MATCH($A$1,missions!$2:$2,0)+1),MATCH(D$1,missions!$2:$2,0)-MATCH($A$1,missions!$2:$2,0)+1,FALSE),IFERROR(VLOOKUP($A458,OFFSET(weekly_achievement_criterion_id,0,0,COUNTA($A:$A),MATCH(D$1,weekly_missions!$2:$2,0)-MATCH($A$1,weekly_missions!$2:$2,0)+1),MATCH(D$1,weekly_missions!$2:$2,0)-MATCH($A$1,weekly_missions!$2:$2,0)+1,FALSE),"＊missions 未設定＊"))</f>
        <v>二つ名 &lt;ファン&gt;</v>
      </c>
      <c r="E458" s="27" t="s">
        <v>864</v>
      </c>
      <c r="F458" s="17" t="s">
        <v>34</v>
      </c>
      <c r="G458" s="26" t="str">
        <f ca="1">VLOOKUP($F458,OFFSET(達成条件!$A$1,0,0,COUNTA($A:$A),MATCH(G$1,達成条件!$1:$1,0)-MATCH($F$1,達成条件!$1:$1,0)+1),MATCH(G$1,達成条件!$1:$1,0)-MATCH($F$1,達成条件!$1:$1,0)+1,FALSE)</f>
        <v>ユニットを x 種類手に入れよう！</v>
      </c>
      <c r="H458" s="26" t="str">
        <f ca="1">VLOOKUP($F458,OFFSET(達成条件!$A$1,0,0,COUNTA($A:$A),MATCH(H$1,達成条件!$1:$1,0)-MATCH($F$1,達成条件!$1:$1,0)+1),MATCH(H$1,達成条件!$1:$1,0)-MATCH($F$1,達成条件!$1:$1,0)+1,FALSE)</f>
        <v>ユニットの種類数</v>
      </c>
      <c r="I458" s="59">
        <v>100</v>
      </c>
      <c r="J458" s="54" t="str">
        <f ca="1">IF(F458="specific_unit_aquired_count",SUBSTITUTE(G458,"x",VLOOKUP(INT($I458),OFFSET([3]characters!$A$2,0,0,COUNTA([3]characters!$A:$A),MATCH(J$1,[3]characters!$2:$2,0)-MATCH("character_id",[3]characters!$2:$2,0)+1),MATCH(J$1,[3]characters!$2:$2,0)-MATCH("character_id",[3]characters!$2:$2,0)+1,FALSE)),IF(F458="specific_quest_clear",VLOOKUP(SUBSTITUTE(I458,"-","_"),OFFSET([2]stages!$A$2,0,0,COUNTA([2]stages!$A:$A),MATCH("name",[2]stages!$2:$2,0)-MATCH("temp_stage",[2]stages!$2:$2,0)+1),MATCH("name",[2]stages!$2:$2,0)-MATCH("temp_stage",[2]stages!$2:$2,0)+1,FALSE),""))</f>
        <v/>
      </c>
      <c r="K458" s="15">
        <v>1</v>
      </c>
      <c r="L458" s="15" t="s">
        <v>542</v>
      </c>
      <c r="M458" s="26" t="str">
        <f ca="1">IFERROR(VLOOKUP($L471,OFFSET(missions!$A$2,0,0,COUNTA($A:$A),MATCH(M$1,missions!$2:$2,0)-MATCH("mission_id",missions!$2:$2,0)+1),MATCH(M$1,missions!$2:$2,0)-MATCH("mission_id",missions!$2:$2,0)+1,FALSE),"")</f>
        <v/>
      </c>
      <c r="N458" s="26" t="str">
        <f ca="1">IFERROR(VLOOKUP($L471,OFFSET(missions!$A$2,0,0,COUNTA($A:$A),MATCH(N$1,missions!$2:$2,0)-MATCH("mission_id",missions!$2:$2,0)+1),MATCH(N$1,missions!$2:$2,0)-MATCH("mission_id",missions!$2:$2,0)+1,FALSE),"")</f>
        <v/>
      </c>
    </row>
    <row r="459" spans="1:14" ht="21" customHeight="1" x14ac:dyDescent="0.15">
      <c r="A459" s="2" t="s">
        <v>2696</v>
      </c>
      <c r="B459" s="21" t="s">
        <v>792</v>
      </c>
      <c r="C459" s="26" t="str">
        <f t="shared" ca="1" si="54"/>
        <v>ユニットを 250 種類手に入れよう！</v>
      </c>
      <c r="D459" s="26" t="str">
        <f ca="1">IFERROR(VLOOKUP($A459,OFFSET(achievement_criterion_id,0,0,COUNTA($A:$A),MATCH(D$1,missions!$2:$2,0)-MATCH($A$1,missions!$2:$2,0)+1),MATCH(D$1,missions!$2:$2,0)-MATCH($A$1,missions!$2:$2,0)+1,FALSE),IFERROR(VLOOKUP($A459,OFFSET(weekly_achievement_criterion_id,0,0,COUNTA($A:$A),MATCH(D$1,weekly_missions!$2:$2,0)-MATCH($A$1,weekly_missions!$2:$2,0)+1),MATCH(D$1,weekly_missions!$2:$2,0)-MATCH($A$1,weekly_missions!$2:$2,0)+1,FALSE),"＊missions 未設定＊"))</f>
        <v>二つ名 &lt;巷で噂の&gt;</v>
      </c>
      <c r="E459" s="27" t="s">
        <v>864</v>
      </c>
      <c r="F459" s="17" t="s">
        <v>34</v>
      </c>
      <c r="G459" s="26" t="str">
        <f ca="1">VLOOKUP($F459,OFFSET(達成条件!$A$1,0,0,COUNTA($A:$A),MATCH(G$1,達成条件!$1:$1,0)-MATCH($F$1,達成条件!$1:$1,0)+1),MATCH(G$1,達成条件!$1:$1,0)-MATCH($F$1,達成条件!$1:$1,0)+1,FALSE)</f>
        <v>ユニットを x 種類手に入れよう！</v>
      </c>
      <c r="H459" s="26" t="str">
        <f ca="1">VLOOKUP($F459,OFFSET(達成条件!$A$1,0,0,COUNTA($A:$A),MATCH(H$1,達成条件!$1:$1,0)-MATCH($F$1,達成条件!$1:$1,0)+1),MATCH(H$1,達成条件!$1:$1,0)-MATCH($F$1,達成条件!$1:$1,0)+1,FALSE)</f>
        <v>ユニットの種類数</v>
      </c>
      <c r="I459" s="85" t="s">
        <v>2633</v>
      </c>
      <c r="J459" s="54" t="str">
        <f ca="1">IF(F459="specific_unit_aquired_count",SUBSTITUTE(G459,"x",VLOOKUP(INT($I459),OFFSET([3]characters!$A$2,0,0,COUNTA([3]characters!$A:$A),MATCH(J$1,[3]characters!$2:$2,0)-MATCH("character_id",[3]characters!$2:$2,0)+1),MATCH(J$1,[3]characters!$2:$2,0)-MATCH("character_id",[3]characters!$2:$2,0)+1,FALSE)),IF(F459="specific_quest_clear",VLOOKUP(SUBSTITUTE(I459,"-","_"),OFFSET([2]stages!$A$2,0,0,COUNTA([2]stages!$A:$A),MATCH("name",[2]stages!$2:$2,0)-MATCH("temp_stage",[2]stages!$2:$2,0)+1),MATCH("name",[2]stages!$2:$2,0)-MATCH("temp_stage",[2]stages!$2:$2,0)+1,FALSE),""))</f>
        <v/>
      </c>
      <c r="K459" s="15">
        <v>1</v>
      </c>
      <c r="L459" s="15" t="s">
        <v>542</v>
      </c>
      <c r="M459" s="26" t="str">
        <f ca="1">IFERROR(VLOOKUP($L472,OFFSET(missions!$A$2,0,0,COUNTA($A:$A),MATCH(M$1,missions!$2:$2,0)-MATCH("mission_id",missions!$2:$2,0)+1),MATCH(M$1,missions!$2:$2,0)-MATCH("mission_id",missions!$2:$2,0)+1,FALSE),"")</f>
        <v/>
      </c>
      <c r="N459" s="26" t="str">
        <f ca="1">IFERROR(VLOOKUP($L472,OFFSET(missions!$A$2,0,0,COUNTA($A:$A),MATCH(N$1,missions!$2:$2,0)-MATCH("mission_id",missions!$2:$2,0)+1),MATCH(N$1,missions!$2:$2,0)-MATCH("mission_id",missions!$2:$2,0)+1,FALSE),"")</f>
        <v/>
      </c>
    </row>
    <row r="460" spans="1:14" ht="21" customHeight="1" x14ac:dyDescent="0.15">
      <c r="A460" s="2" t="s">
        <v>2697</v>
      </c>
      <c r="B460" s="21" t="s">
        <v>792</v>
      </c>
      <c r="C460" s="26" t="str">
        <f t="shared" ref="C460:C461" ca="1" si="55">IF(F460="specific_quest_clear",SUBSTITUTE(G460,"x",J460),IF(F460="specific_unit_aquired_count",SUBSTITUTE(J460,"y",K460),SUBSTITUTE(G460,"x",I460)))</f>
        <v>ユニットを 250 種類手に入れよう！</v>
      </c>
      <c r="D460" s="26" t="str">
        <f ca="1">IFERROR(VLOOKUP($A460,OFFSET(achievement_criterion_id,0,0,COUNTA($A:$A),MATCH(D$1,missions!$2:$2,0)-MATCH($A$1,missions!$2:$2,0)+1),MATCH(D$1,missions!$2:$2,0)-MATCH($A$1,missions!$2:$2,0)+1,FALSE),IFERROR(VLOOKUP($A460,OFFSET(weekly_achievement_criterion_id,0,0,COUNTA($A:$A),MATCH(D$1,weekly_missions!$2:$2,0)-MATCH($A$1,weekly_missions!$2:$2,0)+1),MATCH(D$1,weekly_missions!$2:$2,0)-MATCH($A$1,weekly_missions!$2:$2,0)+1,FALSE),"＊missions 未設定＊"))</f>
        <v>二つ名 &lt;マニア&gt;</v>
      </c>
      <c r="E460" s="27" t="s">
        <v>864</v>
      </c>
      <c r="F460" s="17" t="s">
        <v>34</v>
      </c>
      <c r="G460" s="26" t="str">
        <f ca="1">VLOOKUP($F460,OFFSET(達成条件!$A$1,0,0,COUNTA($A:$A),MATCH(G$1,達成条件!$1:$1,0)-MATCH($F$1,達成条件!$1:$1,0)+1),MATCH(G$1,達成条件!$1:$1,0)-MATCH($F$1,達成条件!$1:$1,0)+1,FALSE)</f>
        <v>ユニットを x 種類手に入れよう！</v>
      </c>
      <c r="H460" s="26" t="str">
        <f ca="1">VLOOKUP($F460,OFFSET(達成条件!$A$1,0,0,COUNTA($A:$A),MATCH(H$1,達成条件!$1:$1,0)-MATCH($F$1,達成条件!$1:$1,0)+1),MATCH(H$1,達成条件!$1:$1,0)-MATCH($F$1,達成条件!$1:$1,0)+1,FALSE)</f>
        <v>ユニットの種類数</v>
      </c>
      <c r="I460" s="85" t="s">
        <v>2633</v>
      </c>
      <c r="J460" s="54" t="str">
        <f ca="1">IF(F460="specific_unit_aquired_count",SUBSTITUTE(G460,"x",VLOOKUP(INT($I460),OFFSET([3]characters!$A$2,0,0,COUNTA([3]characters!$A:$A),MATCH(J$1,[3]characters!$2:$2,0)-MATCH("character_id",[3]characters!$2:$2,0)+1),MATCH(J$1,[3]characters!$2:$2,0)-MATCH("character_id",[3]characters!$2:$2,0)+1,FALSE)),IF(F460="specific_quest_clear",VLOOKUP(SUBSTITUTE(I460,"-","_"),OFFSET([2]stages!$A$2,0,0,COUNTA([2]stages!$A:$A),MATCH("name",[2]stages!$2:$2,0)-MATCH("temp_stage",[2]stages!$2:$2,0)+1),MATCH("name",[2]stages!$2:$2,0)-MATCH("temp_stage",[2]stages!$2:$2,0)+1,FALSE),""))</f>
        <v/>
      </c>
      <c r="K460" s="15">
        <v>1</v>
      </c>
      <c r="L460" s="15" t="s">
        <v>542</v>
      </c>
      <c r="M460" s="26" t="str">
        <f ca="1">IFERROR(VLOOKUP($L473,OFFSET(missions!$A$2,0,0,COUNTA($A:$A),MATCH(M$1,missions!$2:$2,0)-MATCH("mission_id",missions!$2:$2,0)+1),MATCH(M$1,missions!$2:$2,0)-MATCH("mission_id",missions!$2:$2,0)+1,FALSE),"")</f>
        <v/>
      </c>
      <c r="N460" s="26" t="str">
        <f ca="1">IFERROR(VLOOKUP($L473,OFFSET(missions!$A$2,0,0,COUNTA($A:$A),MATCH(N$1,missions!$2:$2,0)-MATCH("mission_id",missions!$2:$2,0)+1),MATCH(N$1,missions!$2:$2,0)-MATCH("mission_id",missions!$2:$2,0)+1,FALSE),"")</f>
        <v/>
      </c>
    </row>
    <row r="461" spans="1:14" ht="21" customHeight="1" x14ac:dyDescent="0.15">
      <c r="A461" s="2" t="s">
        <v>2698</v>
      </c>
      <c r="B461" s="21" t="s">
        <v>792</v>
      </c>
      <c r="C461" s="26" t="str">
        <f t="shared" ca="1" si="55"/>
        <v>ユニットを 500 種類手に入れよう！</v>
      </c>
      <c r="D461" s="26" t="str">
        <f ca="1">IFERROR(VLOOKUP($A461,OFFSET(achievement_criterion_id,0,0,COUNTA($A:$A),MATCH(D$1,missions!$2:$2,0)-MATCH($A$1,missions!$2:$2,0)+1),MATCH(D$1,missions!$2:$2,0)-MATCH($A$1,missions!$2:$2,0)+1,FALSE),IFERROR(VLOOKUP($A461,OFFSET(weekly_achievement_criterion_id,0,0,COUNTA($A:$A),MATCH(D$1,weekly_missions!$2:$2,0)-MATCH($A$1,weekly_missions!$2:$2,0)+1),MATCH(D$1,weekly_missions!$2:$2,0)-MATCH($A$1,weekly_missions!$2:$2,0)+1,FALSE),"＊missions 未設定＊"))</f>
        <v>二つ名 &lt;手当たり次第の&gt;</v>
      </c>
      <c r="E461" s="27" t="s">
        <v>864</v>
      </c>
      <c r="F461" s="17" t="s">
        <v>34</v>
      </c>
      <c r="G461" s="26" t="str">
        <f ca="1">VLOOKUP($F461,OFFSET(達成条件!$A$1,0,0,COUNTA($A:$A),MATCH(G$1,達成条件!$1:$1,0)-MATCH($F$1,達成条件!$1:$1,0)+1),MATCH(G$1,達成条件!$1:$1,0)-MATCH($F$1,達成条件!$1:$1,0)+1,FALSE)</f>
        <v>ユニットを x 種類手に入れよう！</v>
      </c>
      <c r="H461" s="26" t="str">
        <f ca="1">VLOOKUP($F461,OFFSET(達成条件!$A$1,0,0,COUNTA($A:$A),MATCH(H$1,達成条件!$1:$1,0)-MATCH($F$1,達成条件!$1:$1,0)+1),MATCH(H$1,達成条件!$1:$1,0)-MATCH($F$1,達成条件!$1:$1,0)+1,FALSE)</f>
        <v>ユニットの種類数</v>
      </c>
      <c r="I461" s="85" t="s">
        <v>2700</v>
      </c>
      <c r="J461" s="54" t="str">
        <f ca="1">IF(F461="specific_unit_aquired_count",SUBSTITUTE(G461,"x",VLOOKUP(INT($I461),OFFSET([3]characters!$A$2,0,0,COUNTA([3]characters!$A:$A),MATCH(J$1,[3]characters!$2:$2,0)-MATCH("character_id",[3]characters!$2:$2,0)+1),MATCH(J$1,[3]characters!$2:$2,0)-MATCH("character_id",[3]characters!$2:$2,0)+1,FALSE)),IF(F461="specific_quest_clear",VLOOKUP(SUBSTITUTE(I461,"-","_"),OFFSET([2]stages!$A$2,0,0,COUNTA([2]stages!$A:$A),MATCH("name",[2]stages!$2:$2,0)-MATCH("temp_stage",[2]stages!$2:$2,0)+1),MATCH("name",[2]stages!$2:$2,0)-MATCH("temp_stage",[2]stages!$2:$2,0)+1,FALSE),""))</f>
        <v/>
      </c>
      <c r="K461" s="15">
        <v>1</v>
      </c>
      <c r="L461" s="15" t="s">
        <v>542</v>
      </c>
      <c r="M461" s="26" t="str">
        <f ca="1">IFERROR(VLOOKUP($L474,OFFSET(missions!$A$2,0,0,COUNTA($A:$A),MATCH(M$1,missions!$2:$2,0)-MATCH("mission_id",missions!$2:$2,0)+1),MATCH(M$1,missions!$2:$2,0)-MATCH("mission_id",missions!$2:$2,0)+1,FALSE),"")</f>
        <v/>
      </c>
      <c r="N461" s="26" t="str">
        <f ca="1">IFERROR(VLOOKUP($L474,OFFSET(missions!$A$2,0,0,COUNTA($A:$A),MATCH(N$1,missions!$2:$2,0)-MATCH("mission_id",missions!$2:$2,0)+1),MATCH(N$1,missions!$2:$2,0)-MATCH("mission_id",missions!$2:$2,0)+1,FALSE),"")</f>
        <v/>
      </c>
    </row>
    <row r="462" spans="1:14" ht="21" customHeight="1" x14ac:dyDescent="0.15">
      <c r="A462" s="2" t="s">
        <v>2699</v>
      </c>
      <c r="B462" s="21" t="s">
        <v>792</v>
      </c>
      <c r="C462" s="26" t="str">
        <f t="shared" ref="C462:C463" ca="1" si="56">IF(F462="specific_quest_clear",SUBSTITUTE(G462,"x",J462),IF(F462="specific_unit_aquired_count",SUBSTITUTE(J462,"y",K462),SUBSTITUTE(G462,"x",I462)))</f>
        <v>ユニットを 500 種類手に入れよう！</v>
      </c>
      <c r="D462" s="26" t="str">
        <f ca="1">IFERROR(VLOOKUP($A462,OFFSET(achievement_criterion_id,0,0,COUNTA($A:$A),MATCH(D$1,missions!$2:$2,0)-MATCH($A$1,missions!$2:$2,0)+1),MATCH(D$1,missions!$2:$2,0)-MATCH($A$1,missions!$2:$2,0)+1,FALSE),IFERROR(VLOOKUP($A462,OFFSET(weekly_achievement_criterion_id,0,0,COUNTA($A:$A),MATCH(D$1,weekly_missions!$2:$2,0)-MATCH($A$1,weekly_missions!$2:$2,0)+1),MATCH(D$1,weekly_missions!$2:$2,0)-MATCH($A$1,weekly_missions!$2:$2,0)+1,FALSE),"＊missions 未設定＊"))</f>
        <v>二つ名 &lt;コレクター&gt;</v>
      </c>
      <c r="E462" s="27" t="s">
        <v>864</v>
      </c>
      <c r="F462" s="17" t="s">
        <v>34</v>
      </c>
      <c r="G462" s="26" t="str">
        <f ca="1">VLOOKUP($F462,OFFSET(達成条件!$A$1,0,0,COUNTA($A:$A),MATCH(G$1,達成条件!$1:$1,0)-MATCH($F$1,達成条件!$1:$1,0)+1),MATCH(G$1,達成条件!$1:$1,0)-MATCH($F$1,達成条件!$1:$1,0)+1,FALSE)</f>
        <v>ユニットを x 種類手に入れよう！</v>
      </c>
      <c r="H462" s="26" t="str">
        <f ca="1">VLOOKUP($F462,OFFSET(達成条件!$A$1,0,0,COUNTA($A:$A),MATCH(H$1,達成条件!$1:$1,0)-MATCH($F$1,達成条件!$1:$1,0)+1),MATCH(H$1,達成条件!$1:$1,0)-MATCH($F$1,達成条件!$1:$1,0)+1,FALSE)</f>
        <v>ユニットの種類数</v>
      </c>
      <c r="I462" s="85" t="s">
        <v>2700</v>
      </c>
      <c r="J462" s="54" t="str">
        <f ca="1">IF(F462="specific_unit_aquired_count",SUBSTITUTE(G462,"x",VLOOKUP(INT($I462),OFFSET([3]characters!$A$2,0,0,COUNTA([3]characters!$A:$A),MATCH(J$1,[3]characters!$2:$2,0)-MATCH("character_id",[3]characters!$2:$2,0)+1),MATCH(J$1,[3]characters!$2:$2,0)-MATCH("character_id",[3]characters!$2:$2,0)+1,FALSE)),IF(F462="specific_quest_clear",VLOOKUP(SUBSTITUTE(I462,"-","_"),OFFSET([2]stages!$A$2,0,0,COUNTA([2]stages!$A:$A),MATCH("name",[2]stages!$2:$2,0)-MATCH("temp_stage",[2]stages!$2:$2,0)+1),MATCH("name",[2]stages!$2:$2,0)-MATCH("temp_stage",[2]stages!$2:$2,0)+1,FALSE),""))</f>
        <v/>
      </c>
      <c r="K462" s="15">
        <v>1</v>
      </c>
      <c r="L462" s="15" t="s">
        <v>542</v>
      </c>
      <c r="M462" s="26" t="str">
        <f ca="1">IFERROR(VLOOKUP($L475,OFFSET(missions!$A$2,0,0,COUNTA($A:$A),MATCH(M$1,missions!$2:$2,0)-MATCH("mission_id",missions!$2:$2,0)+1),MATCH(M$1,missions!$2:$2,0)-MATCH("mission_id",missions!$2:$2,0)+1,FALSE),"")</f>
        <v/>
      </c>
      <c r="N462" s="26" t="str">
        <f ca="1">IFERROR(VLOOKUP($L475,OFFSET(missions!$A$2,0,0,COUNTA($A:$A),MATCH(N$1,missions!$2:$2,0)-MATCH("mission_id",missions!$2:$2,0)+1),MATCH(N$1,missions!$2:$2,0)-MATCH("mission_id",missions!$2:$2,0)+1,FALSE),"")</f>
        <v/>
      </c>
    </row>
    <row r="463" spans="1:14" ht="21" customHeight="1" x14ac:dyDescent="0.15">
      <c r="A463" s="2" t="s">
        <v>2702</v>
      </c>
      <c r="B463" s="21" t="s">
        <v>792</v>
      </c>
      <c r="C463" s="26" t="str">
        <f t="shared" ca="1" si="56"/>
        <v>ユニットを 750 種類手に入れよう！</v>
      </c>
      <c r="D463" s="26" t="str">
        <f ca="1">IFERROR(VLOOKUP($A463,OFFSET(achievement_criterion_id,0,0,COUNTA($A:$A),MATCH(D$1,missions!$2:$2,0)-MATCH($A$1,missions!$2:$2,0)+1),MATCH(D$1,missions!$2:$2,0)-MATCH($A$1,missions!$2:$2,0)+1,FALSE),IFERROR(VLOOKUP($A463,OFFSET(weekly_achievement_criterion_id,0,0,COUNTA($A:$A),MATCH(D$1,weekly_missions!$2:$2,0)-MATCH($A$1,weekly_missions!$2:$2,0)+1),MATCH(D$1,weekly_missions!$2:$2,0)-MATCH($A$1,weekly_missions!$2:$2,0)+1,FALSE),"＊missions 未設定＊"))</f>
        <v>二つ名 &lt;博識の&gt;</v>
      </c>
      <c r="E463" s="27" t="s">
        <v>864</v>
      </c>
      <c r="F463" s="17" t="s">
        <v>34</v>
      </c>
      <c r="G463" s="26" t="str">
        <f ca="1">VLOOKUP($F463,OFFSET(達成条件!$A$1,0,0,COUNTA($A:$A),MATCH(G$1,達成条件!$1:$1,0)-MATCH($F$1,達成条件!$1:$1,0)+1),MATCH(G$1,達成条件!$1:$1,0)-MATCH($F$1,達成条件!$1:$1,0)+1,FALSE)</f>
        <v>ユニットを x 種類手に入れよう！</v>
      </c>
      <c r="H463" s="26" t="str">
        <f ca="1">VLOOKUP($F463,OFFSET(達成条件!$A$1,0,0,COUNTA($A:$A),MATCH(H$1,達成条件!$1:$1,0)-MATCH($F$1,達成条件!$1:$1,0)+1),MATCH(H$1,達成条件!$1:$1,0)-MATCH($F$1,達成条件!$1:$1,0)+1,FALSE)</f>
        <v>ユニットの種類数</v>
      </c>
      <c r="I463" s="85" t="s">
        <v>2704</v>
      </c>
      <c r="J463" s="54" t="str">
        <f ca="1">IF(F463="specific_unit_aquired_count",SUBSTITUTE(G463,"x",VLOOKUP(INT($I463),OFFSET([3]characters!$A$2,0,0,COUNTA([3]characters!$A:$A),MATCH(J$1,[3]characters!$2:$2,0)-MATCH("character_id",[3]characters!$2:$2,0)+1),MATCH(J$1,[3]characters!$2:$2,0)-MATCH("character_id",[3]characters!$2:$2,0)+1,FALSE)),IF(F463="specific_quest_clear",VLOOKUP(SUBSTITUTE(I463,"-","_"),OFFSET([2]stages!$A$2,0,0,COUNTA([2]stages!$A:$A),MATCH("name",[2]stages!$2:$2,0)-MATCH("temp_stage",[2]stages!$2:$2,0)+1),MATCH("name",[2]stages!$2:$2,0)-MATCH("temp_stage",[2]stages!$2:$2,0)+1,FALSE),""))</f>
        <v/>
      </c>
      <c r="K463" s="15">
        <v>1</v>
      </c>
      <c r="L463" s="15" t="s">
        <v>542</v>
      </c>
      <c r="M463" s="26" t="str">
        <f ca="1">IFERROR(VLOOKUP($L476,OFFSET(missions!$A$2,0,0,COUNTA($A:$A),MATCH(M$1,missions!$2:$2,0)-MATCH("mission_id",missions!$2:$2,0)+1),MATCH(M$1,missions!$2:$2,0)-MATCH("mission_id",missions!$2:$2,0)+1,FALSE),"")</f>
        <v/>
      </c>
      <c r="N463" s="26" t="str">
        <f ca="1">IFERROR(VLOOKUP($L476,OFFSET(missions!$A$2,0,0,COUNTA($A:$A),MATCH(N$1,missions!$2:$2,0)-MATCH("mission_id",missions!$2:$2,0)+1),MATCH(N$1,missions!$2:$2,0)-MATCH("mission_id",missions!$2:$2,0)+1,FALSE),"")</f>
        <v/>
      </c>
    </row>
    <row r="464" spans="1:14" ht="21" customHeight="1" x14ac:dyDescent="0.15">
      <c r="A464" s="2" t="s">
        <v>2703</v>
      </c>
      <c r="B464" s="21" t="s">
        <v>792</v>
      </c>
      <c r="C464" s="26" t="str">
        <f t="shared" ref="C464:C465" ca="1" si="57">IF(F464="specific_quest_clear",SUBSTITUTE(G464,"x",J464),IF(F464="specific_unit_aquired_count",SUBSTITUTE(J464,"y",K464),SUBSTITUTE(G464,"x",I464)))</f>
        <v>ユニットを 750 種類手に入れよう！</v>
      </c>
      <c r="D464" s="26" t="str">
        <f ca="1">IFERROR(VLOOKUP($A464,OFFSET(achievement_criterion_id,0,0,COUNTA($A:$A),MATCH(D$1,missions!$2:$2,0)-MATCH($A$1,missions!$2:$2,0)+1),MATCH(D$1,missions!$2:$2,0)-MATCH($A$1,missions!$2:$2,0)+1,FALSE),IFERROR(VLOOKUP($A464,OFFSET(weekly_achievement_criterion_id,0,0,COUNTA($A:$A),MATCH(D$1,weekly_missions!$2:$2,0)-MATCH($A$1,weekly_missions!$2:$2,0)+1),MATCH(D$1,weekly_missions!$2:$2,0)-MATCH($A$1,weekly_missions!$2:$2,0)+1,FALSE),"＊missions 未設定＊"))</f>
        <v>二つ名 &lt;マイスター&gt;</v>
      </c>
      <c r="E464" s="27" t="s">
        <v>864</v>
      </c>
      <c r="F464" s="17" t="s">
        <v>34</v>
      </c>
      <c r="G464" s="26" t="str">
        <f ca="1">VLOOKUP($F464,OFFSET(達成条件!$A$1,0,0,COUNTA($A:$A),MATCH(G$1,達成条件!$1:$1,0)-MATCH($F$1,達成条件!$1:$1,0)+1),MATCH(G$1,達成条件!$1:$1,0)-MATCH($F$1,達成条件!$1:$1,0)+1,FALSE)</f>
        <v>ユニットを x 種類手に入れよう！</v>
      </c>
      <c r="H464" s="26" t="str">
        <f ca="1">VLOOKUP($F464,OFFSET(達成条件!$A$1,0,0,COUNTA($A:$A),MATCH(H$1,達成条件!$1:$1,0)-MATCH($F$1,達成条件!$1:$1,0)+1),MATCH(H$1,達成条件!$1:$1,0)-MATCH($F$1,達成条件!$1:$1,0)+1,FALSE)</f>
        <v>ユニットの種類数</v>
      </c>
      <c r="I464" s="85" t="s">
        <v>2704</v>
      </c>
      <c r="J464" s="54" t="str">
        <f ca="1">IF(F464="specific_unit_aquired_count",SUBSTITUTE(G464,"x",VLOOKUP(INT($I464),OFFSET([3]characters!$A$2,0,0,COUNTA([3]characters!$A:$A),MATCH(J$1,[3]characters!$2:$2,0)-MATCH("character_id",[3]characters!$2:$2,0)+1),MATCH(J$1,[3]characters!$2:$2,0)-MATCH("character_id",[3]characters!$2:$2,0)+1,FALSE)),IF(F464="specific_quest_clear",VLOOKUP(SUBSTITUTE(I464,"-","_"),OFFSET([2]stages!$A$2,0,0,COUNTA([2]stages!$A:$A),MATCH("name",[2]stages!$2:$2,0)-MATCH("temp_stage",[2]stages!$2:$2,0)+1),MATCH("name",[2]stages!$2:$2,0)-MATCH("temp_stage",[2]stages!$2:$2,0)+1,FALSE),""))</f>
        <v/>
      </c>
      <c r="K464" s="15">
        <v>1</v>
      </c>
      <c r="L464" s="15" t="s">
        <v>542</v>
      </c>
      <c r="M464" s="26" t="str">
        <f ca="1">IFERROR(VLOOKUP($L477,OFFSET(missions!$A$2,0,0,COUNTA($A:$A),MATCH(M$1,missions!$2:$2,0)-MATCH("mission_id",missions!$2:$2,0)+1),MATCH(M$1,missions!$2:$2,0)-MATCH("mission_id",missions!$2:$2,0)+1,FALSE),"")</f>
        <v/>
      </c>
      <c r="N464" s="26" t="str">
        <f ca="1">IFERROR(VLOOKUP($L477,OFFSET(missions!$A$2,0,0,COUNTA($A:$A),MATCH(N$1,missions!$2:$2,0)-MATCH("mission_id",missions!$2:$2,0)+1),MATCH(N$1,missions!$2:$2,0)-MATCH("mission_id",missions!$2:$2,0)+1,FALSE),"")</f>
        <v/>
      </c>
    </row>
    <row r="465" spans="1:14" ht="21" customHeight="1" x14ac:dyDescent="0.15">
      <c r="A465" s="2" t="s">
        <v>2706</v>
      </c>
      <c r="B465" s="21" t="s">
        <v>792</v>
      </c>
      <c r="C465" s="26" t="str">
        <f t="shared" ca="1" si="57"/>
        <v>ユニットを 1000 種類手に入れよう！</v>
      </c>
      <c r="D465" s="26" t="str">
        <f ca="1">IFERROR(VLOOKUP($A465,OFFSET(achievement_criterion_id,0,0,COUNTA($A:$A),MATCH(D$1,missions!$2:$2,0)-MATCH($A$1,missions!$2:$2,0)+1),MATCH(D$1,missions!$2:$2,0)-MATCH($A$1,missions!$2:$2,0)+1,FALSE),IFERROR(VLOOKUP($A465,OFFSET(weekly_achievement_criterion_id,0,0,COUNTA($A:$A),MATCH(D$1,weekly_missions!$2:$2,0)-MATCH($A$1,weekly_missions!$2:$2,0)+1),MATCH(D$1,weekly_missions!$2:$2,0)-MATCH($A$1,weekly_missions!$2:$2,0)+1,FALSE),"＊missions 未設定＊"))</f>
        <v>二つ名 &lt;知りすぎた&gt;</v>
      </c>
      <c r="E465" s="27" t="s">
        <v>864</v>
      </c>
      <c r="F465" s="17" t="s">
        <v>34</v>
      </c>
      <c r="G465" s="26" t="str">
        <f ca="1">VLOOKUP($F465,OFFSET(達成条件!$A$1,0,0,COUNTA($A:$A),MATCH(G$1,達成条件!$1:$1,0)-MATCH($F$1,達成条件!$1:$1,0)+1),MATCH(G$1,達成条件!$1:$1,0)-MATCH($F$1,達成条件!$1:$1,0)+1,FALSE)</f>
        <v>ユニットを x 種類手に入れよう！</v>
      </c>
      <c r="H465" s="26" t="str">
        <f ca="1">VLOOKUP($F465,OFFSET(達成条件!$A$1,0,0,COUNTA($A:$A),MATCH(H$1,達成条件!$1:$1,0)-MATCH($F$1,達成条件!$1:$1,0)+1),MATCH(H$1,達成条件!$1:$1,0)-MATCH($F$1,達成条件!$1:$1,0)+1,FALSE)</f>
        <v>ユニットの種類数</v>
      </c>
      <c r="I465" s="85" t="s">
        <v>2708</v>
      </c>
      <c r="J465" s="54" t="str">
        <f ca="1">IF(F465="specific_unit_aquired_count",SUBSTITUTE(G465,"x",VLOOKUP(INT($I465),OFFSET([3]characters!$A$2,0,0,COUNTA([3]characters!$A:$A),MATCH(J$1,[3]characters!$2:$2,0)-MATCH("character_id",[3]characters!$2:$2,0)+1),MATCH(J$1,[3]characters!$2:$2,0)-MATCH("character_id",[3]characters!$2:$2,0)+1,FALSE)),IF(F465="specific_quest_clear",VLOOKUP(SUBSTITUTE(I465,"-","_"),OFFSET([2]stages!$A$2,0,0,COUNTA([2]stages!$A:$A),MATCH("name",[2]stages!$2:$2,0)-MATCH("temp_stage",[2]stages!$2:$2,0)+1),MATCH("name",[2]stages!$2:$2,0)-MATCH("temp_stage",[2]stages!$2:$2,0)+1,FALSE),""))</f>
        <v/>
      </c>
      <c r="K465" s="15">
        <v>1</v>
      </c>
      <c r="L465" s="15" t="s">
        <v>542</v>
      </c>
      <c r="M465" s="26" t="str">
        <f ca="1">IFERROR(VLOOKUP($L478,OFFSET(missions!$A$2,0,0,COUNTA($A:$A),MATCH(M$1,missions!$2:$2,0)-MATCH("mission_id",missions!$2:$2,0)+1),MATCH(M$1,missions!$2:$2,0)-MATCH("mission_id",missions!$2:$2,0)+1,FALSE),"")</f>
        <v/>
      </c>
      <c r="N465" s="26" t="str">
        <f ca="1">IFERROR(VLOOKUP($L478,OFFSET(missions!$A$2,0,0,COUNTA($A:$A),MATCH(N$1,missions!$2:$2,0)-MATCH("mission_id",missions!$2:$2,0)+1),MATCH(N$1,missions!$2:$2,0)-MATCH("mission_id",missions!$2:$2,0)+1,FALSE),"")</f>
        <v/>
      </c>
    </row>
    <row r="466" spans="1:14" ht="21" customHeight="1" x14ac:dyDescent="0.15">
      <c r="A466" s="2" t="s">
        <v>2707</v>
      </c>
      <c r="B466" s="21" t="s">
        <v>792</v>
      </c>
      <c r="C466" s="26" t="str">
        <f t="shared" ref="C466:C467" ca="1" si="58">IF(F466="specific_quest_clear",SUBSTITUTE(G466,"x",J466),IF(F466="specific_unit_aquired_count",SUBSTITUTE(J466,"y",K466),SUBSTITUTE(G466,"x",I466)))</f>
        <v>ユニットを 1000 種類手に入れよう！</v>
      </c>
      <c r="D466" s="26" t="str">
        <f ca="1">IFERROR(VLOOKUP($A466,OFFSET(achievement_criterion_id,0,0,COUNTA($A:$A),MATCH(D$1,missions!$2:$2,0)-MATCH($A$1,missions!$2:$2,0)+1),MATCH(D$1,missions!$2:$2,0)-MATCH($A$1,missions!$2:$2,0)+1,FALSE),IFERROR(VLOOKUP($A466,OFFSET(weekly_achievement_criterion_id,0,0,COUNTA($A:$A),MATCH(D$1,weekly_missions!$2:$2,0)-MATCH($A$1,weekly_missions!$2:$2,0)+1),MATCH(D$1,weekly_missions!$2:$2,0)-MATCH($A$1,weekly_missions!$2:$2,0)+1,FALSE),"＊missions 未設定＊"))</f>
        <v>二つ名 &lt;プロフェッサー&gt;</v>
      </c>
      <c r="E466" s="27" t="s">
        <v>864</v>
      </c>
      <c r="F466" s="17" t="s">
        <v>34</v>
      </c>
      <c r="G466" s="26" t="str">
        <f ca="1">VLOOKUP($F466,OFFSET(達成条件!$A$1,0,0,COUNTA($A:$A),MATCH(G$1,達成条件!$1:$1,0)-MATCH($F$1,達成条件!$1:$1,0)+1),MATCH(G$1,達成条件!$1:$1,0)-MATCH($F$1,達成条件!$1:$1,0)+1,FALSE)</f>
        <v>ユニットを x 種類手に入れよう！</v>
      </c>
      <c r="H466" s="26" t="str">
        <f ca="1">VLOOKUP($F466,OFFSET(達成条件!$A$1,0,0,COUNTA($A:$A),MATCH(H$1,達成条件!$1:$1,0)-MATCH($F$1,達成条件!$1:$1,0)+1),MATCH(H$1,達成条件!$1:$1,0)-MATCH($F$1,達成条件!$1:$1,0)+1,FALSE)</f>
        <v>ユニットの種類数</v>
      </c>
      <c r="I466" s="85" t="s">
        <v>2708</v>
      </c>
      <c r="J466" s="54" t="str">
        <f ca="1">IF(F466="specific_unit_aquired_count",SUBSTITUTE(G466,"x",VLOOKUP(INT($I466),OFFSET([3]characters!$A$2,0,0,COUNTA([3]characters!$A:$A),MATCH(J$1,[3]characters!$2:$2,0)-MATCH("character_id",[3]characters!$2:$2,0)+1),MATCH(J$1,[3]characters!$2:$2,0)-MATCH("character_id",[3]characters!$2:$2,0)+1,FALSE)),IF(F466="specific_quest_clear",VLOOKUP(SUBSTITUTE(I466,"-","_"),OFFSET([2]stages!$A$2,0,0,COUNTA([2]stages!$A:$A),MATCH("name",[2]stages!$2:$2,0)-MATCH("temp_stage",[2]stages!$2:$2,0)+1),MATCH("name",[2]stages!$2:$2,0)-MATCH("temp_stage",[2]stages!$2:$2,0)+1,FALSE),""))</f>
        <v/>
      </c>
      <c r="K466" s="15">
        <v>1</v>
      </c>
      <c r="L466" s="15" t="s">
        <v>542</v>
      </c>
      <c r="M466" s="26" t="str">
        <f ca="1">IFERROR(VLOOKUP($L479,OFFSET(missions!$A$2,0,0,COUNTA($A:$A),MATCH(M$1,missions!$2:$2,0)-MATCH("mission_id",missions!$2:$2,0)+1),MATCH(M$1,missions!$2:$2,0)-MATCH("mission_id",missions!$2:$2,0)+1,FALSE),"")</f>
        <v>通算 50 日ログインしよう！</v>
      </c>
      <c r="N466" s="26" t="str">
        <f ca="1">IFERROR(VLOOKUP($L479,OFFSET(missions!$A$2,0,0,COUNTA($A:$A),MATCH(N$1,missions!$2:$2,0)-MATCH("mission_id",missions!$2:$2,0)+1),MATCH(N$1,missions!$2:$2,0)-MATCH("mission_id",missions!$2:$2,0)+1,FALSE),"")</f>
        <v>ポリゴン x 10</v>
      </c>
    </row>
    <row r="467" spans="1:14" ht="21" customHeight="1" x14ac:dyDescent="0.15">
      <c r="A467" s="2" t="s">
        <v>2710</v>
      </c>
      <c r="B467" s="21" t="s">
        <v>792</v>
      </c>
      <c r="C467" s="26" t="str">
        <f t="shared" ca="1" si="58"/>
        <v>ユニットを 1250 種類手に入れよう！</v>
      </c>
      <c r="D467" s="26" t="str">
        <f ca="1">IFERROR(VLOOKUP($A467,OFFSET(achievement_criterion_id,0,0,COUNTA($A:$A),MATCH(D$1,missions!$2:$2,0)-MATCH($A$1,missions!$2:$2,0)+1),MATCH(D$1,missions!$2:$2,0)-MATCH($A$1,missions!$2:$2,0)+1,FALSE),IFERROR(VLOOKUP($A467,OFFSET(weekly_achievement_criterion_id,0,0,COUNTA($A:$A),MATCH(D$1,weekly_missions!$2:$2,0)-MATCH($A$1,weekly_missions!$2:$2,0)+1),MATCH(D$1,weekly_missions!$2:$2,0)-MATCH($A$1,weekly_missions!$2:$2,0)+1,FALSE),"＊missions 未設定＊"))</f>
        <v>二つ名 &lt;果て無き道の&gt;</v>
      </c>
      <c r="E467" s="27" t="s">
        <v>864</v>
      </c>
      <c r="F467" s="17" t="s">
        <v>34</v>
      </c>
      <c r="G467" s="26" t="str">
        <f ca="1">VLOOKUP($F467,OFFSET(達成条件!$A$1,0,0,COUNTA($A:$A),MATCH(G$1,達成条件!$1:$1,0)-MATCH($F$1,達成条件!$1:$1,0)+1),MATCH(G$1,達成条件!$1:$1,0)-MATCH($F$1,達成条件!$1:$1,0)+1,FALSE)</f>
        <v>ユニットを x 種類手に入れよう！</v>
      </c>
      <c r="H467" s="26" t="str">
        <f ca="1">VLOOKUP($F467,OFFSET(達成条件!$A$1,0,0,COUNTA($A:$A),MATCH(H$1,達成条件!$1:$1,0)-MATCH($F$1,達成条件!$1:$1,0)+1),MATCH(H$1,達成条件!$1:$1,0)-MATCH($F$1,達成条件!$1:$1,0)+1,FALSE)</f>
        <v>ユニットの種類数</v>
      </c>
      <c r="I467" s="85" t="s">
        <v>2712</v>
      </c>
      <c r="J467" s="54" t="str">
        <f ca="1">IF(F467="specific_unit_aquired_count",SUBSTITUTE(G467,"x",VLOOKUP(INT($I467),OFFSET([3]characters!$A$2,0,0,COUNTA([3]characters!$A:$A),MATCH(J$1,[3]characters!$2:$2,0)-MATCH("character_id",[3]characters!$2:$2,0)+1),MATCH(J$1,[3]characters!$2:$2,0)-MATCH("character_id",[3]characters!$2:$2,0)+1,FALSE)),IF(F467="specific_quest_clear",VLOOKUP(SUBSTITUTE(I467,"-","_"),OFFSET([2]stages!$A$2,0,0,COUNTA([2]stages!$A:$A),MATCH("name",[2]stages!$2:$2,0)-MATCH("temp_stage",[2]stages!$2:$2,0)+1),MATCH("name",[2]stages!$2:$2,0)-MATCH("temp_stage",[2]stages!$2:$2,0)+1,FALSE),""))</f>
        <v/>
      </c>
      <c r="K467" s="15">
        <v>1</v>
      </c>
      <c r="L467" s="15" t="s">
        <v>542</v>
      </c>
      <c r="M467" s="26" t="str">
        <f ca="1">IFERROR(VLOOKUP($L480,OFFSET(missions!$A$2,0,0,COUNTA($A:$A),MATCH(M$1,missions!$2:$2,0)-MATCH("mission_id",missions!$2:$2,0)+1),MATCH(M$1,missions!$2:$2,0)-MATCH("mission_id",missions!$2:$2,0)+1,FALSE),"")</f>
        <v/>
      </c>
      <c r="N467" s="26" t="str">
        <f ca="1">IFERROR(VLOOKUP($L480,OFFSET(missions!$A$2,0,0,COUNTA($A:$A),MATCH(N$1,missions!$2:$2,0)-MATCH("mission_id",missions!$2:$2,0)+1),MATCH(N$1,missions!$2:$2,0)-MATCH("mission_id",missions!$2:$2,0)+1,FALSE),"")</f>
        <v/>
      </c>
    </row>
    <row r="468" spans="1:14" ht="21" customHeight="1" x14ac:dyDescent="0.15">
      <c r="A468" s="2" t="s">
        <v>2711</v>
      </c>
      <c r="B468" s="21" t="s">
        <v>792</v>
      </c>
      <c r="C468" s="26" t="str">
        <f t="shared" ref="C468" ca="1" si="59">IF(F468="specific_quest_clear",SUBSTITUTE(G468,"x",J468),IF(F468="specific_unit_aquired_count",SUBSTITUTE(J468,"y",K468),SUBSTITUTE(G468,"x",I468)))</f>
        <v>ユニットを 1250 種類手に入れよう！</v>
      </c>
      <c r="D468" s="26" t="str">
        <f ca="1">IFERROR(VLOOKUP($A468,OFFSET(achievement_criterion_id,0,0,COUNTA($A:$A),MATCH(D$1,missions!$2:$2,0)-MATCH($A$1,missions!$2:$2,0)+1),MATCH(D$1,missions!$2:$2,0)-MATCH($A$1,missions!$2:$2,0)+1,FALSE),IFERROR(VLOOKUP($A468,OFFSET(weekly_achievement_criterion_id,0,0,COUNTA($A:$A),MATCH(D$1,weekly_missions!$2:$2,0)-MATCH($A$1,weekly_missions!$2:$2,0)+1),MATCH(D$1,weekly_missions!$2:$2,0)-MATCH($A$1,weekly_missions!$2:$2,0)+1,FALSE),"＊missions 未設定＊"))</f>
        <v>二つ名 &lt;インデックス&gt;</v>
      </c>
      <c r="E468" s="27" t="s">
        <v>864</v>
      </c>
      <c r="F468" s="17" t="s">
        <v>34</v>
      </c>
      <c r="G468" s="26" t="str">
        <f ca="1">VLOOKUP($F468,OFFSET(達成条件!$A$1,0,0,COUNTA($A:$A),MATCH(G$1,達成条件!$1:$1,0)-MATCH($F$1,達成条件!$1:$1,0)+1),MATCH(G$1,達成条件!$1:$1,0)-MATCH($F$1,達成条件!$1:$1,0)+1,FALSE)</f>
        <v>ユニットを x 種類手に入れよう！</v>
      </c>
      <c r="H468" s="26" t="str">
        <f ca="1">VLOOKUP($F468,OFFSET(達成条件!$A$1,0,0,COUNTA($A:$A),MATCH(H$1,達成条件!$1:$1,0)-MATCH($F$1,達成条件!$1:$1,0)+1),MATCH(H$1,達成条件!$1:$1,0)-MATCH($F$1,達成条件!$1:$1,0)+1,FALSE)</f>
        <v>ユニットの種類数</v>
      </c>
      <c r="I468" s="85" t="s">
        <v>2712</v>
      </c>
      <c r="J468" s="54" t="str">
        <f ca="1">IF(F468="specific_unit_aquired_count",SUBSTITUTE(G468,"x",VLOOKUP(INT($I468),OFFSET([3]characters!$A$2,0,0,COUNTA([3]characters!$A:$A),MATCH(J$1,[3]characters!$2:$2,0)-MATCH("character_id",[3]characters!$2:$2,0)+1),MATCH(J$1,[3]characters!$2:$2,0)-MATCH("character_id",[3]characters!$2:$2,0)+1,FALSE)),IF(F468="specific_quest_clear",VLOOKUP(SUBSTITUTE(I468,"-","_"),OFFSET([2]stages!$A$2,0,0,COUNTA([2]stages!$A:$A),MATCH("name",[2]stages!$2:$2,0)-MATCH("temp_stage",[2]stages!$2:$2,0)+1),MATCH("name",[2]stages!$2:$2,0)-MATCH("temp_stage",[2]stages!$2:$2,0)+1,FALSE),""))</f>
        <v/>
      </c>
      <c r="K468" s="15">
        <v>1</v>
      </c>
      <c r="L468" s="15" t="s">
        <v>542</v>
      </c>
      <c r="M468" s="26" t="str">
        <f ca="1">IFERROR(VLOOKUP($L481,OFFSET(missions!$A$2,0,0,COUNTA($A:$A),MATCH(M$1,missions!$2:$2,0)-MATCH("mission_id",missions!$2:$2,0)+1),MATCH(M$1,missions!$2:$2,0)-MATCH("mission_id",missions!$2:$2,0)+1,FALSE),"")</f>
        <v/>
      </c>
      <c r="N468" s="26" t="str">
        <f ca="1">IFERROR(VLOOKUP($L481,OFFSET(missions!$A$2,0,0,COUNTA($A:$A),MATCH(N$1,missions!$2:$2,0)-MATCH("mission_id",missions!$2:$2,0)+1),MATCH(N$1,missions!$2:$2,0)-MATCH("mission_id",missions!$2:$2,0)+1,FALSE),"")</f>
        <v/>
      </c>
    </row>
    <row r="469" spans="1:14" ht="21" customHeight="1" x14ac:dyDescent="0.15">
      <c r="A469" s="2" t="s">
        <v>74</v>
      </c>
      <c r="B469" s="21" t="s">
        <v>792</v>
      </c>
      <c r="C469" s="27" t="s">
        <v>469</v>
      </c>
      <c r="D469" s="26" t="str">
        <f ca="1">IFERROR(VLOOKUP($A469,OFFSET(achievement_criterion_id,0,0,COUNTA($A:$A),MATCH(D$1,missions!$2:$2,0)-MATCH($A$1,missions!$2:$2,0)+1),MATCH(D$1,missions!$2:$2,0)-MATCH($A$1,missions!$2:$2,0)+1,FALSE),IFERROR(VLOOKUP($A469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469" s="27" t="s">
        <v>864</v>
      </c>
      <c r="F469" s="17" t="s">
        <v>18</v>
      </c>
      <c r="G469" s="26" t="str">
        <f ca="1">VLOOKUP($F469,OFFSET(達成条件!$A$1,0,0,COUNTA($A:$A),MATCH(G$1,達成条件!$1:$1,0)-MATCH($F$1,達成条件!$1:$1,0)+1),MATCH(G$1,達成条件!$1:$1,0)-MATCH($F$1,達成条件!$1:$1,0)+1,FALSE)</f>
        <v>通算 x 日ログインしよう！</v>
      </c>
      <c r="H469" s="26" t="str">
        <f ca="1">VLOOKUP($F469,OFFSET(達成条件!$A$1,0,0,COUNTA($A:$A),MATCH(H$1,達成条件!$1:$1,0)-MATCH($F$1,達成条件!$1:$1,0)+1),MATCH(H$1,達成条件!$1:$1,0)-MATCH($F$1,達成条件!$1:$1,0)+1,FALSE)</f>
        <v>ログイン回数</v>
      </c>
      <c r="I469" s="56">
        <v>2</v>
      </c>
      <c r="J469" s="54" t="str">
        <f ca="1">IF(F469="specific_unit_aquired_count",SUBSTITUTE(G469,"x",VLOOKUP(INT($I469),OFFSET([3]characters!$A$2,0,0,COUNTA([3]characters!$A:$A),MATCH(J$1,[3]characters!$2:$2,0)-MATCH("character_id",[3]characters!$2:$2,0)+1),MATCH(J$1,[3]characters!$2:$2,0)-MATCH("character_id",[3]characters!$2:$2,0)+1,FALSE)),IF(F469="specific_quest_clear",VLOOKUP(SUBSTITUTE(I469,"-","_"),OFFSET([2]stages!$A$2,0,0,COUNTA([2]stages!$A:$A),MATCH("name",[2]stages!$2:$2,0)-MATCH("temp_stage",[2]stages!$2:$2,0)+1),MATCH("name",[2]stages!$2:$2,0)-MATCH("temp_stage",[2]stages!$2:$2,0)+1,FALSE),""))</f>
        <v/>
      </c>
      <c r="K469" s="15">
        <v>1</v>
      </c>
      <c r="L469" s="15">
        <v>6002</v>
      </c>
      <c r="M469" s="26" t="str">
        <f ca="1">IFERROR(VLOOKUP($L473,OFFSET(missions!$A$2,0,0,COUNTA($A:$A),MATCH(M$1,missions!$2:$2,0)-MATCH("mission_id",missions!$2:$2,0)+1),MATCH(M$1,missions!$2:$2,0)-MATCH("mission_id",missions!$2:$2,0)+1,FALSE),"")</f>
        <v/>
      </c>
      <c r="N469" s="26" t="str">
        <f ca="1">IFERROR(VLOOKUP($L473,OFFSET(missions!$A$2,0,0,COUNTA($A:$A),MATCH(N$1,missions!$2:$2,0)-MATCH("mission_id",missions!$2:$2,0)+1),MATCH(N$1,missions!$2:$2,0)-MATCH("mission_id",missions!$2:$2,0)+1,FALSE),"")</f>
        <v/>
      </c>
    </row>
    <row r="470" spans="1:14" ht="21" customHeight="1" x14ac:dyDescent="0.15">
      <c r="A470" s="2" t="s">
        <v>2216</v>
      </c>
      <c r="B470" s="21" t="s">
        <v>792</v>
      </c>
      <c r="C470" s="26" t="str">
        <f t="shared" ca="1" si="52"/>
        <v>通算 3 日ログインしよう！</v>
      </c>
      <c r="D470" s="26" t="str">
        <f ca="1">IFERROR(VLOOKUP($A470,OFFSET(achievement_criterion_id,0,0,COUNTA($A:$A),MATCH(D$1,missions!$2:$2,0)-MATCH($A$1,missions!$2:$2,0)+1),MATCH(D$1,missions!$2:$2,0)-MATCH($A$1,missions!$2:$2,0)+1,FALSE),IFERROR(VLOOKUP($A470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470" s="27" t="s">
        <v>864</v>
      </c>
      <c r="F470" s="17" t="s">
        <v>18</v>
      </c>
      <c r="G470" s="26" t="str">
        <f ca="1">VLOOKUP($F470,OFFSET(達成条件!$A$1,0,0,COUNTA($A:$A),MATCH(G$1,達成条件!$1:$1,0)-MATCH($F$1,達成条件!$1:$1,0)+1),MATCH(G$1,達成条件!$1:$1,0)-MATCH($F$1,達成条件!$1:$1,0)+1,FALSE)</f>
        <v>通算 x 日ログインしよう！</v>
      </c>
      <c r="H470" s="26" t="str">
        <f ca="1">VLOOKUP($F470,OFFSET(達成条件!$A$1,0,0,COUNTA($A:$A),MATCH(H$1,達成条件!$1:$1,0)-MATCH($F$1,達成条件!$1:$1,0)+1),MATCH(H$1,達成条件!$1:$1,0)-MATCH($F$1,達成条件!$1:$1,0)+1,FALSE)</f>
        <v>ログイン回数</v>
      </c>
      <c r="I470" s="56">
        <v>3</v>
      </c>
      <c r="J470" s="54" t="str">
        <f ca="1">IF(F470="specific_unit_aquired_count",SUBSTITUTE(G470,"x",VLOOKUP(INT($I470),OFFSET([3]characters!$A$2,0,0,COUNTA([3]characters!$A:$A),MATCH(J$1,[3]characters!$2:$2,0)-MATCH("character_id",[3]characters!$2:$2,0)+1),MATCH(J$1,[3]characters!$2:$2,0)-MATCH("character_id",[3]characters!$2:$2,0)+1,FALSE)),IF(F470="specific_quest_clear",VLOOKUP(SUBSTITUTE(I470,"-","_"),OFFSET([2]stages!$A$2,0,0,COUNTA([2]stages!$A:$A),MATCH("name",[2]stages!$2:$2,0)-MATCH("temp_stage",[2]stages!$2:$2,0)+1),MATCH("name",[2]stages!$2:$2,0)-MATCH("temp_stage",[2]stages!$2:$2,0)+1,FALSE),""))</f>
        <v/>
      </c>
      <c r="K470" s="15">
        <v>1</v>
      </c>
      <c r="L470" s="15">
        <v>6003</v>
      </c>
      <c r="M470" s="26" t="str">
        <f ca="1">IFERROR(VLOOKUP($L474,OFFSET(missions!$A$2,0,0,COUNTA($A:$A),MATCH(M$1,missions!$2:$2,0)-MATCH("mission_id",missions!$2:$2,0)+1),MATCH(M$1,missions!$2:$2,0)-MATCH("mission_id",missions!$2:$2,0)+1,FALSE),"")</f>
        <v/>
      </c>
      <c r="N470" s="26" t="str">
        <f ca="1">IFERROR(VLOOKUP($L474,OFFSET(missions!$A$2,0,0,COUNTA($A:$A),MATCH(N$1,missions!$2:$2,0)-MATCH("mission_id",missions!$2:$2,0)+1),MATCH(N$1,missions!$2:$2,0)-MATCH("mission_id",missions!$2:$2,0)+1,FALSE),"")</f>
        <v/>
      </c>
    </row>
    <row r="471" spans="1:14" ht="21" customHeight="1" x14ac:dyDescent="0.15">
      <c r="A471" s="2" t="s">
        <v>2217</v>
      </c>
      <c r="B471" s="21" t="s">
        <v>792</v>
      </c>
      <c r="C471" s="26" t="str">
        <f t="shared" ref="C471" ca="1" si="60">IF(F471="specific_quest_clear",SUBSTITUTE(G471,"x",J471),IF(F471="specific_unit_aquired_count",SUBSTITUTE(J471,"y",K471),SUBSTITUTE(G471,"x",I471)))</f>
        <v>通算 4 日ログインしよう！</v>
      </c>
      <c r="D471" s="26" t="str">
        <f ca="1">IFERROR(VLOOKUP($A471,OFFSET(achievement_criterion_id,0,0,COUNTA($A:$A),MATCH(D$1,missions!$2:$2,0)-MATCH($A$1,missions!$2:$2,0)+1),MATCH(D$1,missions!$2:$2,0)-MATCH($A$1,missions!$2:$2,0)+1,FALSE),IFERROR(VLOOKUP($A471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471" s="27" t="s">
        <v>864</v>
      </c>
      <c r="F471" s="17" t="s">
        <v>18</v>
      </c>
      <c r="G471" s="26" t="str">
        <f ca="1">VLOOKUP($F471,OFFSET(達成条件!$A$1,0,0,COUNTA($A:$A),MATCH(G$1,達成条件!$1:$1,0)-MATCH($F$1,達成条件!$1:$1,0)+1),MATCH(G$1,達成条件!$1:$1,0)-MATCH($F$1,達成条件!$1:$1,0)+1,FALSE)</f>
        <v>通算 x 日ログインしよう！</v>
      </c>
      <c r="H471" s="26" t="str">
        <f ca="1">VLOOKUP($F471,OFFSET(達成条件!$A$1,0,0,COUNTA($A:$A),MATCH(H$1,達成条件!$1:$1,0)-MATCH($F$1,達成条件!$1:$1,0)+1),MATCH(H$1,達成条件!$1:$1,0)-MATCH($F$1,達成条件!$1:$1,0)+1,FALSE)</f>
        <v>ログイン回数</v>
      </c>
      <c r="I471" s="56" t="s">
        <v>2218</v>
      </c>
      <c r="J471" s="54" t="str">
        <f ca="1">IF(F471="specific_unit_aquired_count",SUBSTITUTE(G471,"x",VLOOKUP(INT($I471),OFFSET([3]characters!$A$2,0,0,COUNTA([3]characters!$A:$A),MATCH(J$1,[3]characters!$2:$2,0)-MATCH("character_id",[3]characters!$2:$2,0)+1),MATCH(J$1,[3]characters!$2:$2,0)-MATCH("character_id",[3]characters!$2:$2,0)+1,FALSE)),IF(F471="specific_quest_clear",VLOOKUP(SUBSTITUTE(I471,"-","_"),OFFSET([2]stages!$A$2,0,0,COUNTA([2]stages!$A:$A),MATCH("name",[2]stages!$2:$2,0)-MATCH("temp_stage",[2]stages!$2:$2,0)+1),MATCH("name",[2]stages!$2:$2,0)-MATCH("temp_stage",[2]stages!$2:$2,0)+1,FALSE),""))</f>
        <v/>
      </c>
      <c r="K471" s="15">
        <v>1</v>
      </c>
      <c r="L471" s="15" t="s">
        <v>542</v>
      </c>
      <c r="M471" s="26" t="str">
        <f ca="1">IFERROR(VLOOKUP($L475,OFFSET(missions!$A$2,0,0,COUNTA($A:$A),MATCH(M$1,missions!$2:$2,0)-MATCH("mission_id",missions!$2:$2,0)+1),MATCH(M$1,missions!$2:$2,0)-MATCH("mission_id",missions!$2:$2,0)+1,FALSE),"")</f>
        <v/>
      </c>
      <c r="N471" s="26" t="str">
        <f ca="1">IFERROR(VLOOKUP($L475,OFFSET(missions!$A$2,0,0,COUNTA($A:$A),MATCH(N$1,missions!$2:$2,0)-MATCH("mission_id",missions!$2:$2,0)+1),MATCH(N$1,missions!$2:$2,0)-MATCH("mission_id",missions!$2:$2,0)+1,FALSE),"")</f>
        <v/>
      </c>
    </row>
    <row r="472" spans="1:14" ht="21" customHeight="1" x14ac:dyDescent="0.15">
      <c r="A472" s="2" t="s">
        <v>2219</v>
      </c>
      <c r="B472" s="21" t="s">
        <v>792</v>
      </c>
      <c r="C472" s="26" t="str">
        <f t="shared" ref="C472" ca="1" si="61">IF(F472="specific_quest_clear",SUBSTITUTE(G472,"x",J472),IF(F472="specific_unit_aquired_count",SUBSTITUTE(J472,"y",K472),SUBSTITUTE(G472,"x",I472)))</f>
        <v>通算 6 日ログインしよう！</v>
      </c>
      <c r="D472" s="26" t="str">
        <f ca="1">IFERROR(VLOOKUP($A472,OFFSET(achievement_criterion_id,0,0,COUNTA($A:$A),MATCH(D$1,missions!$2:$2,0)-MATCH($A$1,missions!$2:$2,0)+1),MATCH(D$1,missions!$2:$2,0)-MATCH($A$1,missions!$2:$2,0)+1,FALSE),IFERROR(VLOOKUP($A472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472" s="27" t="s">
        <v>864</v>
      </c>
      <c r="F472" s="17" t="s">
        <v>18</v>
      </c>
      <c r="G472" s="26" t="str">
        <f ca="1">VLOOKUP($F472,OFFSET(達成条件!$A$1,0,0,COUNTA($A:$A),MATCH(G$1,達成条件!$1:$1,0)-MATCH($F$1,達成条件!$1:$1,0)+1),MATCH(G$1,達成条件!$1:$1,0)-MATCH($F$1,達成条件!$1:$1,0)+1,FALSE)</f>
        <v>通算 x 日ログインしよう！</v>
      </c>
      <c r="H472" s="26" t="str">
        <f ca="1">VLOOKUP($F472,OFFSET(達成条件!$A$1,0,0,COUNTA($A:$A),MATCH(H$1,達成条件!$1:$1,0)-MATCH($F$1,達成条件!$1:$1,0)+1),MATCH(H$1,達成条件!$1:$1,0)-MATCH($F$1,達成条件!$1:$1,0)+1,FALSE)</f>
        <v>ログイン回数</v>
      </c>
      <c r="I472" s="56" t="s">
        <v>1946</v>
      </c>
      <c r="J472" s="54" t="str">
        <f ca="1">IF(F472="specific_unit_aquired_count",SUBSTITUTE(G472,"x",VLOOKUP(INT($I472),OFFSET([3]characters!$A$2,0,0,COUNTA([3]characters!$A:$A),MATCH(J$1,[3]characters!$2:$2,0)-MATCH("character_id",[3]characters!$2:$2,0)+1),MATCH(J$1,[3]characters!$2:$2,0)-MATCH("character_id",[3]characters!$2:$2,0)+1,FALSE)),IF(F472="specific_quest_clear",VLOOKUP(SUBSTITUTE(I472,"-","_"),OFFSET([2]stages!$A$2,0,0,COUNTA([2]stages!$A:$A),MATCH("name",[2]stages!$2:$2,0)-MATCH("temp_stage",[2]stages!$2:$2,0)+1),MATCH("name",[2]stages!$2:$2,0)-MATCH("temp_stage",[2]stages!$2:$2,0)+1,FALSE),""))</f>
        <v/>
      </c>
      <c r="K472" s="15">
        <v>1</v>
      </c>
      <c r="L472" s="15" t="s">
        <v>542</v>
      </c>
      <c r="M472" s="26" t="str">
        <f ca="1">IFERROR(VLOOKUP($L476,OFFSET(missions!$A$2,0,0,COUNTA($A:$A),MATCH(M$1,missions!$2:$2,0)-MATCH("mission_id",missions!$2:$2,0)+1),MATCH(M$1,missions!$2:$2,0)-MATCH("mission_id",missions!$2:$2,0)+1,FALSE),"")</f>
        <v/>
      </c>
      <c r="N472" s="26" t="str">
        <f ca="1">IFERROR(VLOOKUP($L476,OFFSET(missions!$A$2,0,0,COUNTA($A:$A),MATCH(N$1,missions!$2:$2,0)-MATCH("mission_id",missions!$2:$2,0)+1),MATCH(N$1,missions!$2:$2,0)-MATCH("mission_id",missions!$2:$2,0)+1,FALSE),"")</f>
        <v/>
      </c>
    </row>
    <row r="473" spans="1:14" ht="21" customHeight="1" x14ac:dyDescent="0.15">
      <c r="A473" s="2" t="s">
        <v>67</v>
      </c>
      <c r="B473" s="21" t="s">
        <v>792</v>
      </c>
      <c r="C473" s="26" t="str">
        <f t="shared" ca="1" si="52"/>
        <v>通算 7 日ログインしよう！</v>
      </c>
      <c r="D473" s="26" t="str">
        <f ca="1">IFERROR(VLOOKUP($A473,OFFSET(achievement_criterion_id,0,0,COUNTA($A:$A),MATCH(D$1,missions!$2:$2,0)-MATCH($A$1,missions!$2:$2,0)+1),MATCH(D$1,missions!$2:$2,0)-MATCH($A$1,missions!$2:$2,0)+1,FALSE),IFERROR(VLOOKUP($A473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473" s="27" t="s">
        <v>864</v>
      </c>
      <c r="F473" s="17" t="s">
        <v>18</v>
      </c>
      <c r="G473" s="26" t="str">
        <f ca="1">VLOOKUP($F473,OFFSET(達成条件!$A$1,0,0,COUNTA($A:$A),MATCH(G$1,達成条件!$1:$1,0)-MATCH($F$1,達成条件!$1:$1,0)+1),MATCH(G$1,達成条件!$1:$1,0)-MATCH($F$1,達成条件!$1:$1,0)+1,FALSE)</f>
        <v>通算 x 日ログインしよう！</v>
      </c>
      <c r="H473" s="26" t="str">
        <f ca="1">VLOOKUP($F473,OFFSET(達成条件!$A$1,0,0,COUNTA($A:$A),MATCH(H$1,達成条件!$1:$1,0)-MATCH($F$1,達成条件!$1:$1,0)+1),MATCH(H$1,達成条件!$1:$1,0)-MATCH($F$1,達成条件!$1:$1,0)+1,FALSE)</f>
        <v>ログイン回数</v>
      </c>
      <c r="I473" s="56">
        <v>7</v>
      </c>
      <c r="J473" s="54" t="str">
        <f ca="1">IF(F473="specific_unit_aquired_count",SUBSTITUTE(G473,"x",VLOOKUP(INT($I473),OFFSET([3]characters!$A$2,0,0,COUNTA([3]characters!$A:$A),MATCH(J$1,[3]characters!$2:$2,0)-MATCH("character_id",[3]characters!$2:$2,0)+1),MATCH(J$1,[3]characters!$2:$2,0)-MATCH("character_id",[3]characters!$2:$2,0)+1,FALSE)),IF(F473="specific_quest_clear",VLOOKUP(SUBSTITUTE(I473,"-","_"),OFFSET([2]stages!$A$2,0,0,COUNTA([2]stages!$A:$A),MATCH("name",[2]stages!$2:$2,0)-MATCH("temp_stage",[2]stages!$2:$2,0)+1),MATCH("name",[2]stages!$2:$2,0)-MATCH("temp_stage",[2]stages!$2:$2,0)+1,FALSE),""))</f>
        <v/>
      </c>
      <c r="K473" s="15">
        <v>1</v>
      </c>
      <c r="L473" s="15">
        <v>6004</v>
      </c>
      <c r="M473" s="26" t="str">
        <f ca="1">IFERROR(VLOOKUP($L475,OFFSET(missions!$A$2,0,0,COUNTA($A:$A),MATCH(M$1,missions!$2:$2,0)-MATCH("mission_id",missions!$2:$2,0)+1),MATCH(M$1,missions!$2:$2,0)-MATCH("mission_id",missions!$2:$2,0)+1,FALSE),"")</f>
        <v/>
      </c>
      <c r="N473" s="26" t="str">
        <f ca="1">IFERROR(VLOOKUP($L475,OFFSET(missions!$A$2,0,0,COUNTA($A:$A),MATCH(N$1,missions!$2:$2,0)-MATCH("mission_id",missions!$2:$2,0)+1),MATCH(N$1,missions!$2:$2,0)-MATCH("mission_id",missions!$2:$2,0)+1,FALSE),"")</f>
        <v/>
      </c>
    </row>
    <row r="474" spans="1:14" ht="21" customHeight="1" x14ac:dyDescent="0.15">
      <c r="A474" s="2" t="s">
        <v>68</v>
      </c>
      <c r="B474" s="21" t="s">
        <v>792</v>
      </c>
      <c r="C474" s="26" t="str">
        <f t="shared" ca="1" si="52"/>
        <v>通算 10 日ログインしよう！</v>
      </c>
      <c r="D474" s="26" t="str">
        <f ca="1">IFERROR(VLOOKUP($A474,OFFSET(achievement_criterion_id,0,0,COUNTA($A:$A),MATCH(D$1,missions!$2:$2,0)-MATCH($A$1,missions!$2:$2,0)+1),MATCH(D$1,missions!$2:$2,0)-MATCH($A$1,missions!$2:$2,0)+1,FALSE),IFERROR(VLOOKUP($A474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474" s="27" t="s">
        <v>864</v>
      </c>
      <c r="F474" s="17" t="s">
        <v>18</v>
      </c>
      <c r="G474" s="26" t="str">
        <f ca="1">VLOOKUP($F474,OFFSET(達成条件!$A$1,0,0,COUNTA($A:$A),MATCH(G$1,達成条件!$1:$1,0)-MATCH($F$1,達成条件!$1:$1,0)+1),MATCH(G$1,達成条件!$1:$1,0)-MATCH($F$1,達成条件!$1:$1,0)+1,FALSE)</f>
        <v>通算 x 日ログインしよう！</v>
      </c>
      <c r="H474" s="26" t="str">
        <f ca="1">VLOOKUP($F474,OFFSET(達成条件!$A$1,0,0,COUNTA($A:$A),MATCH(H$1,達成条件!$1:$1,0)-MATCH($F$1,達成条件!$1:$1,0)+1),MATCH(H$1,達成条件!$1:$1,0)-MATCH($F$1,達成条件!$1:$1,0)+1,FALSE)</f>
        <v>ログイン回数</v>
      </c>
      <c r="I474" s="56">
        <v>10</v>
      </c>
      <c r="J474" s="54" t="str">
        <f ca="1">IF(F474="specific_unit_aquired_count",SUBSTITUTE(G474,"x",VLOOKUP(INT($I474),OFFSET([3]characters!$A$2,0,0,COUNTA([3]characters!$A:$A),MATCH(J$1,[3]characters!$2:$2,0)-MATCH("character_id",[3]characters!$2:$2,0)+1),MATCH(J$1,[3]characters!$2:$2,0)-MATCH("character_id",[3]characters!$2:$2,0)+1,FALSE)),IF(F474="specific_quest_clear",VLOOKUP(SUBSTITUTE(I474,"-","_"),OFFSET([2]stages!$A$2,0,0,COUNTA([2]stages!$A:$A),MATCH("name",[2]stages!$2:$2,0)-MATCH("temp_stage",[2]stages!$2:$2,0)+1),MATCH("name",[2]stages!$2:$2,0)-MATCH("temp_stage",[2]stages!$2:$2,0)+1,FALSE),""))</f>
        <v/>
      </c>
      <c r="K474" s="15">
        <v>1</v>
      </c>
      <c r="L474" s="15">
        <v>6005</v>
      </c>
      <c r="M474" s="26" t="str">
        <f ca="1">IFERROR(VLOOKUP($L476,OFFSET(missions!$A$2,0,0,COUNTA($A:$A),MATCH(M$1,missions!$2:$2,0)-MATCH("mission_id",missions!$2:$2,0)+1),MATCH(M$1,missions!$2:$2,0)-MATCH("mission_id",missions!$2:$2,0)+1,FALSE),"")</f>
        <v/>
      </c>
      <c r="N474" s="26" t="str">
        <f ca="1">IFERROR(VLOOKUP($L476,OFFSET(missions!$A$2,0,0,COUNTA($A:$A),MATCH(N$1,missions!$2:$2,0)-MATCH("mission_id",missions!$2:$2,0)+1),MATCH(N$1,missions!$2:$2,0)-MATCH("mission_id",missions!$2:$2,0)+1,FALSE),"")</f>
        <v/>
      </c>
    </row>
    <row r="475" spans="1:14" ht="21" customHeight="1" x14ac:dyDescent="0.15">
      <c r="A475" s="2" t="s">
        <v>69</v>
      </c>
      <c r="B475" s="21" t="s">
        <v>792</v>
      </c>
      <c r="C475" s="26" t="str">
        <f t="shared" ca="1" si="52"/>
        <v>通算 14 日ログインしよう！</v>
      </c>
      <c r="D475" s="26" t="str">
        <f ca="1">IFERROR(VLOOKUP($A475,OFFSET(achievement_criterion_id,0,0,COUNTA($A:$A),MATCH(D$1,missions!$2:$2,0)-MATCH($A$1,missions!$2:$2,0)+1),MATCH(D$1,missions!$2:$2,0)-MATCH($A$1,missions!$2:$2,0)+1,FALSE),IFERROR(VLOOKUP($A475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475" s="27" t="s">
        <v>864</v>
      </c>
      <c r="F475" s="17" t="s">
        <v>18</v>
      </c>
      <c r="G475" s="26" t="str">
        <f ca="1">VLOOKUP($F475,OFFSET(達成条件!$A$1,0,0,COUNTA($A:$A),MATCH(G$1,達成条件!$1:$1,0)-MATCH($F$1,達成条件!$1:$1,0)+1),MATCH(G$1,達成条件!$1:$1,0)-MATCH($F$1,達成条件!$1:$1,0)+1,FALSE)</f>
        <v>通算 x 日ログインしよう！</v>
      </c>
      <c r="H475" s="26" t="str">
        <f ca="1">VLOOKUP($F475,OFFSET(達成条件!$A$1,0,0,COUNTA($A:$A),MATCH(H$1,達成条件!$1:$1,0)-MATCH($F$1,達成条件!$1:$1,0)+1),MATCH(H$1,達成条件!$1:$1,0)-MATCH($F$1,達成条件!$1:$1,0)+1,FALSE)</f>
        <v>ログイン回数</v>
      </c>
      <c r="I475" s="56">
        <v>14</v>
      </c>
      <c r="J475" s="54" t="str">
        <f ca="1">IF(F475="specific_unit_aquired_count",SUBSTITUTE(G475,"x",VLOOKUP(INT($I475),OFFSET([3]characters!$A$2,0,0,COUNTA([3]characters!$A:$A),MATCH(J$1,[3]characters!$2:$2,0)-MATCH("character_id",[3]characters!$2:$2,0)+1),MATCH(J$1,[3]characters!$2:$2,0)-MATCH("character_id",[3]characters!$2:$2,0)+1,FALSE)),IF(F475="specific_quest_clear",VLOOKUP(SUBSTITUTE(I475,"-","_"),OFFSET([2]stages!$A$2,0,0,COUNTA([2]stages!$A:$A),MATCH("name",[2]stages!$2:$2,0)-MATCH("temp_stage",[2]stages!$2:$2,0)+1),MATCH("name",[2]stages!$2:$2,0)-MATCH("temp_stage",[2]stages!$2:$2,0)+1,FALSE),""))</f>
        <v/>
      </c>
      <c r="K475" s="15">
        <v>1</v>
      </c>
      <c r="L475" s="15">
        <v>6006</v>
      </c>
      <c r="M475" s="26" t="str">
        <f ca="1">IFERROR(VLOOKUP($L477,OFFSET(missions!$A$2,0,0,COUNTA($A:$A),MATCH(M$1,missions!$2:$2,0)-MATCH("mission_id",missions!$2:$2,0)+1),MATCH(M$1,missions!$2:$2,0)-MATCH("mission_id",missions!$2:$2,0)+1,FALSE),"")</f>
        <v/>
      </c>
      <c r="N475" s="26" t="str">
        <f ca="1">IFERROR(VLOOKUP($L477,OFFSET(missions!$A$2,0,0,COUNTA($A:$A),MATCH(N$1,missions!$2:$2,0)-MATCH("mission_id",missions!$2:$2,0)+1),MATCH(N$1,missions!$2:$2,0)-MATCH("mission_id",missions!$2:$2,0)+1,FALSE),"")</f>
        <v/>
      </c>
    </row>
    <row r="476" spans="1:14" ht="21" customHeight="1" x14ac:dyDescent="0.15">
      <c r="A476" s="2" t="s">
        <v>70</v>
      </c>
      <c r="B476" s="21" t="s">
        <v>792</v>
      </c>
      <c r="C476" s="26" t="str">
        <f t="shared" ca="1" si="52"/>
        <v>通算 20 日ログインしよう！</v>
      </c>
      <c r="D476" s="26" t="str">
        <f ca="1">IFERROR(VLOOKUP($A476,OFFSET(achievement_criterion_id,0,0,COUNTA($A:$A),MATCH(D$1,missions!$2:$2,0)-MATCH($A$1,missions!$2:$2,0)+1),MATCH(D$1,missions!$2:$2,0)-MATCH($A$1,missions!$2:$2,0)+1,FALSE),IFERROR(VLOOKUP($A476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476" s="27" t="s">
        <v>864</v>
      </c>
      <c r="F476" s="17" t="s">
        <v>18</v>
      </c>
      <c r="G476" s="26" t="str">
        <f ca="1">VLOOKUP($F476,OFFSET(達成条件!$A$1,0,0,COUNTA($A:$A),MATCH(G$1,達成条件!$1:$1,0)-MATCH($F$1,達成条件!$1:$1,0)+1),MATCH(G$1,達成条件!$1:$1,0)-MATCH($F$1,達成条件!$1:$1,0)+1,FALSE)</f>
        <v>通算 x 日ログインしよう！</v>
      </c>
      <c r="H476" s="26" t="str">
        <f ca="1">VLOOKUP($F476,OFFSET(達成条件!$A$1,0,0,COUNTA($A:$A),MATCH(H$1,達成条件!$1:$1,0)-MATCH($F$1,達成条件!$1:$1,0)+1),MATCH(H$1,達成条件!$1:$1,0)-MATCH($F$1,達成条件!$1:$1,0)+1,FALSE)</f>
        <v>ログイン回数</v>
      </c>
      <c r="I476" s="56">
        <v>20</v>
      </c>
      <c r="J476" s="54" t="str">
        <f ca="1">IF(F476="specific_unit_aquired_count",SUBSTITUTE(G476,"x",VLOOKUP(INT($I476),OFFSET([3]characters!$A$2,0,0,COUNTA([3]characters!$A:$A),MATCH(J$1,[3]characters!$2:$2,0)-MATCH("character_id",[3]characters!$2:$2,0)+1),MATCH(J$1,[3]characters!$2:$2,0)-MATCH("character_id",[3]characters!$2:$2,0)+1,FALSE)),IF(F476="specific_quest_clear",VLOOKUP(SUBSTITUTE(I476,"-","_"),OFFSET([2]stages!$A$2,0,0,COUNTA([2]stages!$A:$A),MATCH("name",[2]stages!$2:$2,0)-MATCH("temp_stage",[2]stages!$2:$2,0)+1),MATCH("name",[2]stages!$2:$2,0)-MATCH("temp_stage",[2]stages!$2:$2,0)+1,FALSE),""))</f>
        <v/>
      </c>
      <c r="K476" s="15">
        <v>1</v>
      </c>
      <c r="L476" s="15">
        <v>6007</v>
      </c>
      <c r="M476" s="26" t="str">
        <f ca="1">IFERROR(VLOOKUP($L478,OFFSET(missions!$A$2,0,0,COUNTA($A:$A),MATCH(M$1,missions!$2:$2,0)-MATCH("mission_id",missions!$2:$2,0)+1),MATCH(M$1,missions!$2:$2,0)-MATCH("mission_id",missions!$2:$2,0)+1,FALSE),"")</f>
        <v/>
      </c>
      <c r="N476" s="26" t="str">
        <f ca="1">IFERROR(VLOOKUP($L478,OFFSET(missions!$A$2,0,0,COUNTA($A:$A),MATCH(N$1,missions!$2:$2,0)-MATCH("mission_id",missions!$2:$2,0)+1),MATCH(N$1,missions!$2:$2,0)-MATCH("mission_id",missions!$2:$2,0)+1,FALSE),"")</f>
        <v/>
      </c>
    </row>
    <row r="477" spans="1:14" ht="21" customHeight="1" x14ac:dyDescent="0.15">
      <c r="A477" s="2" t="s">
        <v>71</v>
      </c>
      <c r="B477" s="21" t="s">
        <v>792</v>
      </c>
      <c r="C477" s="26" t="str">
        <f t="shared" ca="1" si="52"/>
        <v>通算 25 日ログインしよう！</v>
      </c>
      <c r="D477" s="26" t="str">
        <f ca="1">IFERROR(VLOOKUP($A477,OFFSET(achievement_criterion_id,0,0,COUNTA($A:$A),MATCH(D$1,missions!$2:$2,0)-MATCH($A$1,missions!$2:$2,0)+1),MATCH(D$1,missions!$2:$2,0)-MATCH($A$1,missions!$2:$2,0)+1,FALSE),IFERROR(VLOOKUP($A477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477" s="27" t="s">
        <v>864</v>
      </c>
      <c r="F477" s="17" t="s">
        <v>18</v>
      </c>
      <c r="G477" s="26" t="str">
        <f ca="1">VLOOKUP($F477,OFFSET(達成条件!$A$1,0,0,COUNTA($A:$A),MATCH(G$1,達成条件!$1:$1,0)-MATCH($F$1,達成条件!$1:$1,0)+1),MATCH(G$1,達成条件!$1:$1,0)-MATCH($F$1,達成条件!$1:$1,0)+1,FALSE)</f>
        <v>通算 x 日ログインしよう！</v>
      </c>
      <c r="H477" s="26" t="str">
        <f ca="1">VLOOKUP($F477,OFFSET(達成条件!$A$1,0,0,COUNTA($A:$A),MATCH(H$1,達成条件!$1:$1,0)-MATCH($F$1,達成条件!$1:$1,0)+1),MATCH(H$1,達成条件!$1:$1,0)-MATCH($F$1,達成条件!$1:$1,0)+1,FALSE)</f>
        <v>ログイン回数</v>
      </c>
      <c r="I477" s="56">
        <v>25</v>
      </c>
      <c r="J477" s="54" t="str">
        <f ca="1">IF(F477="specific_unit_aquired_count",SUBSTITUTE(G477,"x",VLOOKUP(INT($I477),OFFSET([3]characters!$A$2,0,0,COUNTA([3]characters!$A:$A),MATCH(J$1,[3]characters!$2:$2,0)-MATCH("character_id",[3]characters!$2:$2,0)+1),MATCH(J$1,[3]characters!$2:$2,0)-MATCH("character_id",[3]characters!$2:$2,0)+1,FALSE)),IF(F477="specific_quest_clear",VLOOKUP(SUBSTITUTE(I477,"-","_"),OFFSET([2]stages!$A$2,0,0,COUNTA([2]stages!$A:$A),MATCH("name",[2]stages!$2:$2,0)-MATCH("temp_stage",[2]stages!$2:$2,0)+1),MATCH("name",[2]stages!$2:$2,0)-MATCH("temp_stage",[2]stages!$2:$2,0)+1,FALSE),""))</f>
        <v/>
      </c>
      <c r="K477" s="15">
        <v>1</v>
      </c>
      <c r="L477" s="15">
        <v>6008</v>
      </c>
      <c r="M477" s="26" t="str">
        <f ca="1">IFERROR(VLOOKUP($L479,OFFSET(missions!$A$2,0,0,COUNTA($A:$A),MATCH(M$1,missions!$2:$2,0)-MATCH("mission_id",missions!$2:$2,0)+1),MATCH(M$1,missions!$2:$2,0)-MATCH("mission_id",missions!$2:$2,0)+1,FALSE),"")</f>
        <v>通算 50 日ログインしよう！</v>
      </c>
      <c r="N477" s="26" t="str">
        <f ca="1">IFERROR(VLOOKUP($L479,OFFSET(missions!$A$2,0,0,COUNTA($A:$A),MATCH(N$1,missions!$2:$2,0)-MATCH("mission_id",missions!$2:$2,0)+1),MATCH(N$1,missions!$2:$2,0)-MATCH("mission_id",missions!$2:$2,0)+1,FALSE),"")</f>
        <v>ポリゴン x 10</v>
      </c>
    </row>
    <row r="478" spans="1:14" ht="21" customHeight="1" x14ac:dyDescent="0.15">
      <c r="A478" s="2" t="s">
        <v>72</v>
      </c>
      <c r="B478" s="21" t="s">
        <v>792</v>
      </c>
      <c r="C478" s="26" t="str">
        <f t="shared" ca="1" si="52"/>
        <v>通算 30 日ログインしよう！</v>
      </c>
      <c r="D478" s="26" t="str">
        <f ca="1">IFERROR(VLOOKUP($A478,OFFSET(achievement_criterion_id,0,0,COUNTA($A:$A),MATCH(D$1,missions!$2:$2,0)-MATCH($A$1,missions!$2:$2,0)+1),MATCH(D$1,missions!$2:$2,0)-MATCH($A$1,missions!$2:$2,0)+1,FALSE),IFERROR(VLOOKUP($A478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478" s="27" t="s">
        <v>864</v>
      </c>
      <c r="F478" s="17" t="s">
        <v>18</v>
      </c>
      <c r="G478" s="26" t="str">
        <f ca="1">VLOOKUP($F478,OFFSET(達成条件!$A$1,0,0,COUNTA($A:$A),MATCH(G$1,達成条件!$1:$1,0)-MATCH($F$1,達成条件!$1:$1,0)+1),MATCH(G$1,達成条件!$1:$1,0)-MATCH($F$1,達成条件!$1:$1,0)+1,FALSE)</f>
        <v>通算 x 日ログインしよう！</v>
      </c>
      <c r="H478" s="26" t="str">
        <f ca="1">VLOOKUP($F478,OFFSET(達成条件!$A$1,0,0,COUNTA($A:$A),MATCH(H$1,達成条件!$1:$1,0)-MATCH($F$1,達成条件!$1:$1,0)+1),MATCH(H$1,達成条件!$1:$1,0)-MATCH($F$1,達成条件!$1:$1,0)+1,FALSE)</f>
        <v>ログイン回数</v>
      </c>
      <c r="I478" s="56">
        <v>30</v>
      </c>
      <c r="J478" s="54" t="str">
        <f ca="1">IF(F478="specific_unit_aquired_count",SUBSTITUTE(G478,"x",VLOOKUP(INT($I478),OFFSET([3]characters!$A$2,0,0,COUNTA([3]characters!$A:$A),MATCH(J$1,[3]characters!$2:$2,0)-MATCH("character_id",[3]characters!$2:$2,0)+1),MATCH(J$1,[3]characters!$2:$2,0)-MATCH("character_id",[3]characters!$2:$2,0)+1,FALSE)),IF(F478="specific_quest_clear",VLOOKUP(SUBSTITUTE(I478,"-","_"),OFFSET([2]stages!$A$2,0,0,COUNTA([2]stages!$A:$A),MATCH("name",[2]stages!$2:$2,0)-MATCH("temp_stage",[2]stages!$2:$2,0)+1),MATCH("name",[2]stages!$2:$2,0)-MATCH("temp_stage",[2]stages!$2:$2,0)+1,FALSE),""))</f>
        <v/>
      </c>
      <c r="K478" s="15">
        <v>1</v>
      </c>
      <c r="L478" s="15">
        <v>6009</v>
      </c>
      <c r="M478" s="26" t="str">
        <f ca="1">IFERROR(VLOOKUP($L480,OFFSET(missions!$A$2,0,0,COUNTA($A:$A),MATCH(M$1,missions!$2:$2,0)-MATCH("mission_id",missions!$2:$2,0)+1),MATCH(M$1,missions!$2:$2,0)-MATCH("mission_id",missions!$2:$2,0)+1,FALSE),"")</f>
        <v/>
      </c>
      <c r="N478" s="26" t="str">
        <f ca="1">IFERROR(VLOOKUP($L480,OFFSET(missions!$A$2,0,0,COUNTA($A:$A),MATCH(N$1,missions!$2:$2,0)-MATCH("mission_id",missions!$2:$2,0)+1),MATCH(N$1,missions!$2:$2,0)-MATCH("mission_id",missions!$2:$2,0)+1,FALSE),"")</f>
        <v/>
      </c>
    </row>
    <row r="479" spans="1:14" ht="21" customHeight="1" x14ac:dyDescent="0.15">
      <c r="A479" s="2" t="s">
        <v>73</v>
      </c>
      <c r="B479" s="21" t="s">
        <v>792</v>
      </c>
      <c r="C479" s="26" t="str">
        <f t="shared" ca="1" si="52"/>
        <v>通算 40 日ログインしよう！</v>
      </c>
      <c r="D479" s="26" t="str">
        <f ca="1">IFERROR(VLOOKUP($A479,OFFSET(achievement_criterion_id,0,0,COUNTA($A:$A),MATCH(D$1,missions!$2:$2,0)-MATCH($A$1,missions!$2:$2,0)+1),MATCH(D$1,missions!$2:$2,0)-MATCH($A$1,missions!$2:$2,0)+1,FALSE),IFERROR(VLOOKUP($A479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479" s="27" t="s">
        <v>864</v>
      </c>
      <c r="F479" s="17" t="s">
        <v>18</v>
      </c>
      <c r="G479" s="26" t="str">
        <f ca="1">VLOOKUP($F479,OFFSET(達成条件!$A$1,0,0,COUNTA($A:$A),MATCH(G$1,達成条件!$1:$1,0)-MATCH($F$1,達成条件!$1:$1,0)+1),MATCH(G$1,達成条件!$1:$1,0)-MATCH($F$1,達成条件!$1:$1,0)+1,FALSE)</f>
        <v>通算 x 日ログインしよう！</v>
      </c>
      <c r="H479" s="26" t="str">
        <f ca="1">VLOOKUP($F479,OFFSET(達成条件!$A$1,0,0,COUNTA($A:$A),MATCH(H$1,達成条件!$1:$1,0)-MATCH($F$1,達成条件!$1:$1,0)+1),MATCH(H$1,達成条件!$1:$1,0)-MATCH($F$1,達成条件!$1:$1,0)+1,FALSE)</f>
        <v>ログイン回数</v>
      </c>
      <c r="I479" s="56">
        <v>40</v>
      </c>
      <c r="J479" s="54" t="str">
        <f ca="1">IF(F479="specific_unit_aquired_count",SUBSTITUTE(G479,"x",VLOOKUP(INT($I479),OFFSET([3]characters!$A$2,0,0,COUNTA([3]characters!$A:$A),MATCH(J$1,[3]characters!$2:$2,0)-MATCH("character_id",[3]characters!$2:$2,0)+1),MATCH(J$1,[3]characters!$2:$2,0)-MATCH("character_id",[3]characters!$2:$2,0)+1,FALSE)),IF(F479="specific_quest_clear",VLOOKUP(SUBSTITUTE(I479,"-","_"),OFFSET([2]stages!$A$2,0,0,COUNTA([2]stages!$A:$A),MATCH("name",[2]stages!$2:$2,0)-MATCH("temp_stage",[2]stages!$2:$2,0)+1),MATCH("name",[2]stages!$2:$2,0)-MATCH("temp_stage",[2]stages!$2:$2,0)+1,FALSE),""))</f>
        <v/>
      </c>
      <c r="K479" s="15">
        <v>1</v>
      </c>
      <c r="L479" s="15">
        <v>6010</v>
      </c>
      <c r="M479" s="26" t="str">
        <f ca="1">IFERROR(VLOOKUP($L481,OFFSET(missions!$A$2,0,0,COUNTA($A:$A),MATCH(M$1,missions!$2:$2,0)-MATCH("mission_id",missions!$2:$2,0)+1),MATCH(M$1,missions!$2:$2,0)-MATCH("mission_id",missions!$2:$2,0)+1,FALSE),"")</f>
        <v/>
      </c>
      <c r="N479" s="26" t="str">
        <f ca="1">IFERROR(VLOOKUP($L481,OFFSET(missions!$A$2,0,0,COUNTA($A:$A),MATCH(N$1,missions!$2:$2,0)-MATCH("mission_id",missions!$2:$2,0)+1),MATCH(N$1,missions!$2:$2,0)-MATCH("mission_id",missions!$2:$2,0)+1,FALSE),"")</f>
        <v/>
      </c>
    </row>
    <row r="480" spans="1:14" ht="21" customHeight="1" x14ac:dyDescent="0.15">
      <c r="A480" s="2" t="s">
        <v>75</v>
      </c>
      <c r="B480" s="21" t="s">
        <v>792</v>
      </c>
      <c r="C480" s="26" t="str">
        <f t="shared" ca="1" si="52"/>
        <v>通算 50 日ログインしよう！</v>
      </c>
      <c r="D480" s="26" t="str">
        <f ca="1">IFERROR(VLOOKUP($A480,OFFSET(achievement_criterion_id,0,0,COUNTA($A:$A),MATCH(D$1,missions!$2:$2,0)-MATCH($A$1,missions!$2:$2,0)+1),MATCH(D$1,missions!$2:$2,0)-MATCH($A$1,missions!$2:$2,0)+1,FALSE),IFERROR(VLOOKUP($A480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480" s="27" t="s">
        <v>864</v>
      </c>
      <c r="F480" s="17" t="s">
        <v>18</v>
      </c>
      <c r="G480" s="26" t="str">
        <f ca="1">VLOOKUP($F480,OFFSET(達成条件!$A$1,0,0,COUNTA($A:$A),MATCH(G$1,達成条件!$1:$1,0)-MATCH($F$1,達成条件!$1:$1,0)+1),MATCH(G$1,達成条件!$1:$1,0)-MATCH($F$1,達成条件!$1:$1,0)+1,FALSE)</f>
        <v>通算 x 日ログインしよう！</v>
      </c>
      <c r="H480" s="26" t="str">
        <f ca="1">VLOOKUP($F480,OFFSET(達成条件!$A$1,0,0,COUNTA($A:$A),MATCH(H$1,達成条件!$1:$1,0)-MATCH($F$1,達成条件!$1:$1,0)+1),MATCH(H$1,達成条件!$1:$1,0)-MATCH($F$1,達成条件!$1:$1,0)+1,FALSE)</f>
        <v>ログイン回数</v>
      </c>
      <c r="I480" s="56">
        <v>50</v>
      </c>
      <c r="J480" s="54" t="str">
        <f ca="1">IF(F480="specific_unit_aquired_count",SUBSTITUTE(G480,"x",VLOOKUP(INT($I480),OFFSET([3]characters!$A$2,0,0,COUNTA([3]characters!$A:$A),MATCH(J$1,[3]characters!$2:$2,0)-MATCH("character_id",[3]characters!$2:$2,0)+1),MATCH(J$1,[3]characters!$2:$2,0)-MATCH("character_id",[3]characters!$2:$2,0)+1,FALSE)),IF(F480="specific_quest_clear",VLOOKUP(SUBSTITUTE(I480,"-","_"),OFFSET([2]stages!$A$2,0,0,COUNTA([2]stages!$A:$A),MATCH("name",[2]stages!$2:$2,0)-MATCH("temp_stage",[2]stages!$2:$2,0)+1),MATCH("name",[2]stages!$2:$2,0)-MATCH("temp_stage",[2]stages!$2:$2,0)+1,FALSE),""))</f>
        <v/>
      </c>
      <c r="K480" s="15">
        <v>1</v>
      </c>
      <c r="L480" s="15">
        <v>6011</v>
      </c>
      <c r="M480" s="26" t="str">
        <f ca="1">IFERROR(VLOOKUP($L482,OFFSET(missions!$A$2,0,0,COUNTA($A:$A),MATCH(M$1,missions!$2:$2,0)-MATCH("mission_id",missions!$2:$2,0)+1),MATCH(M$1,missions!$2:$2,0)-MATCH("mission_id",missions!$2:$2,0)+1,FALSE),"")</f>
        <v/>
      </c>
      <c r="N480" s="26" t="str">
        <f ca="1">IFERROR(VLOOKUP($L482,OFFSET(missions!$A$2,0,0,COUNTA($A:$A),MATCH(N$1,missions!$2:$2,0)-MATCH("mission_id",missions!$2:$2,0)+1),MATCH(N$1,missions!$2:$2,0)-MATCH("mission_id",missions!$2:$2,0)+1,FALSE),"")</f>
        <v/>
      </c>
    </row>
    <row r="481" spans="1:14" ht="21" customHeight="1" x14ac:dyDescent="0.15">
      <c r="A481" s="2" t="s">
        <v>76</v>
      </c>
      <c r="B481" s="21" t="s">
        <v>792</v>
      </c>
      <c r="C481" s="26" t="str">
        <f t="shared" ca="1" si="52"/>
        <v>通算 60 日ログインしよう！</v>
      </c>
      <c r="D481" s="26" t="str">
        <f ca="1">IFERROR(VLOOKUP($A481,OFFSET(achievement_criterion_id,0,0,COUNTA($A:$A),MATCH(D$1,missions!$2:$2,0)-MATCH($A$1,missions!$2:$2,0)+1),MATCH(D$1,missions!$2:$2,0)-MATCH($A$1,missions!$2:$2,0)+1,FALSE),IFERROR(VLOOKUP($A481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481" s="27" t="s">
        <v>864</v>
      </c>
      <c r="F481" s="17" t="s">
        <v>18</v>
      </c>
      <c r="G481" s="26" t="str">
        <f ca="1">VLOOKUP($F481,OFFSET(達成条件!$A$1,0,0,COUNTA($A:$A),MATCH(G$1,達成条件!$1:$1,0)-MATCH($F$1,達成条件!$1:$1,0)+1),MATCH(G$1,達成条件!$1:$1,0)-MATCH($F$1,達成条件!$1:$1,0)+1,FALSE)</f>
        <v>通算 x 日ログインしよう！</v>
      </c>
      <c r="H481" s="26" t="str">
        <f ca="1">VLOOKUP($F481,OFFSET(達成条件!$A$1,0,0,COUNTA($A:$A),MATCH(H$1,達成条件!$1:$1,0)-MATCH($F$1,達成条件!$1:$1,0)+1),MATCH(H$1,達成条件!$1:$1,0)-MATCH($F$1,達成条件!$1:$1,0)+1,FALSE)</f>
        <v>ログイン回数</v>
      </c>
      <c r="I481" s="56">
        <v>60</v>
      </c>
      <c r="J481" s="54" t="str">
        <f ca="1">IF(F481="specific_unit_aquired_count",SUBSTITUTE(G481,"x",VLOOKUP(INT($I481),OFFSET([3]characters!$A$2,0,0,COUNTA([3]characters!$A:$A),MATCH(J$1,[3]characters!$2:$2,0)-MATCH("character_id",[3]characters!$2:$2,0)+1),MATCH(J$1,[3]characters!$2:$2,0)-MATCH("character_id",[3]characters!$2:$2,0)+1,FALSE)),IF(F481="specific_quest_clear",VLOOKUP(SUBSTITUTE(I481,"-","_"),OFFSET([2]stages!$A$2,0,0,COUNTA([2]stages!$A:$A),MATCH("name",[2]stages!$2:$2,0)-MATCH("temp_stage",[2]stages!$2:$2,0)+1),MATCH("name",[2]stages!$2:$2,0)-MATCH("temp_stage",[2]stages!$2:$2,0)+1,FALSE),""))</f>
        <v/>
      </c>
      <c r="K481" s="15">
        <v>1</v>
      </c>
      <c r="L481" s="15">
        <v>6012</v>
      </c>
      <c r="M481" s="26" t="str">
        <f ca="1">IFERROR(VLOOKUP($L483,OFFSET(missions!$A$2,0,0,COUNTA($A:$A),MATCH(M$1,missions!$2:$2,0)-MATCH("mission_id",missions!$2:$2,0)+1),MATCH(M$1,missions!$2:$2,0)-MATCH("mission_id",missions!$2:$2,0)+1,FALSE),"")</f>
        <v/>
      </c>
      <c r="N481" s="26" t="str">
        <f ca="1">IFERROR(VLOOKUP($L483,OFFSET(missions!$A$2,0,0,COUNTA($A:$A),MATCH(N$1,missions!$2:$2,0)-MATCH("mission_id",missions!$2:$2,0)+1),MATCH(N$1,missions!$2:$2,0)-MATCH("mission_id",missions!$2:$2,0)+1,FALSE),"")</f>
        <v/>
      </c>
    </row>
    <row r="482" spans="1:14" ht="21" customHeight="1" x14ac:dyDescent="0.15">
      <c r="A482" s="2" t="s">
        <v>77</v>
      </c>
      <c r="B482" s="21" t="s">
        <v>792</v>
      </c>
      <c r="C482" s="26" t="str">
        <f t="shared" ca="1" si="52"/>
        <v>通算 70 日ログインしよう！</v>
      </c>
      <c r="D482" s="26" t="str">
        <f ca="1">IFERROR(VLOOKUP($A482,OFFSET(achievement_criterion_id,0,0,COUNTA($A:$A),MATCH(D$1,missions!$2:$2,0)-MATCH($A$1,missions!$2:$2,0)+1),MATCH(D$1,missions!$2:$2,0)-MATCH($A$1,missions!$2:$2,0)+1,FALSE),IFERROR(VLOOKUP($A482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482" s="27" t="s">
        <v>864</v>
      </c>
      <c r="F482" s="17" t="s">
        <v>18</v>
      </c>
      <c r="G482" s="26" t="str">
        <f ca="1">VLOOKUP($F482,OFFSET(達成条件!$A$1,0,0,COUNTA($A:$A),MATCH(G$1,達成条件!$1:$1,0)-MATCH($F$1,達成条件!$1:$1,0)+1),MATCH(G$1,達成条件!$1:$1,0)-MATCH($F$1,達成条件!$1:$1,0)+1,FALSE)</f>
        <v>通算 x 日ログインしよう！</v>
      </c>
      <c r="H482" s="26" t="str">
        <f ca="1">VLOOKUP($F482,OFFSET(達成条件!$A$1,0,0,COUNTA($A:$A),MATCH(H$1,達成条件!$1:$1,0)-MATCH($F$1,達成条件!$1:$1,0)+1),MATCH(H$1,達成条件!$1:$1,0)-MATCH($F$1,達成条件!$1:$1,0)+1,FALSE)</f>
        <v>ログイン回数</v>
      </c>
      <c r="I482" s="56">
        <v>70</v>
      </c>
      <c r="J482" s="54" t="str">
        <f ca="1">IF(F482="specific_unit_aquired_count",SUBSTITUTE(G482,"x",VLOOKUP(INT($I482),OFFSET([3]characters!$A$2,0,0,COUNTA([3]characters!$A:$A),MATCH(J$1,[3]characters!$2:$2,0)-MATCH("character_id",[3]characters!$2:$2,0)+1),MATCH(J$1,[3]characters!$2:$2,0)-MATCH("character_id",[3]characters!$2:$2,0)+1,FALSE)),IF(F482="specific_quest_clear",VLOOKUP(SUBSTITUTE(I482,"-","_"),OFFSET([2]stages!$A$2,0,0,COUNTA([2]stages!$A:$A),MATCH("name",[2]stages!$2:$2,0)-MATCH("temp_stage",[2]stages!$2:$2,0)+1),MATCH("name",[2]stages!$2:$2,0)-MATCH("temp_stage",[2]stages!$2:$2,0)+1,FALSE),""))</f>
        <v/>
      </c>
      <c r="K482" s="15">
        <v>1</v>
      </c>
      <c r="L482" s="15">
        <v>6013</v>
      </c>
      <c r="M482" s="26" t="str">
        <f ca="1">IFERROR(VLOOKUP($L484,OFFSET(missions!$A$2,0,0,COUNTA($A:$A),MATCH(M$1,missions!$2:$2,0)-MATCH("mission_id",missions!$2:$2,0)+1),MATCH(M$1,missions!$2:$2,0)-MATCH("mission_id",missions!$2:$2,0)+1,FALSE),"")</f>
        <v>通算 100 日ログインしよう！</v>
      </c>
      <c r="N482" s="26" t="str">
        <f ca="1">IFERROR(VLOOKUP($L484,OFFSET(missions!$A$2,0,0,COUNTA($A:$A),MATCH(N$1,missions!$2:$2,0)-MATCH("mission_id",missions!$2:$2,0)+1),MATCH(N$1,missions!$2:$2,0)-MATCH("mission_id",missions!$2:$2,0)+1,FALSE),"")</f>
        <v>ポリゴン x 20</v>
      </c>
    </row>
    <row r="483" spans="1:14" ht="21" customHeight="1" x14ac:dyDescent="0.15">
      <c r="A483" s="2" t="s">
        <v>78</v>
      </c>
      <c r="B483" s="21" t="s">
        <v>792</v>
      </c>
      <c r="C483" s="26" t="str">
        <f t="shared" ca="1" si="52"/>
        <v>通算 80 日ログインしよう！</v>
      </c>
      <c r="D483" s="26" t="str">
        <f ca="1">IFERROR(VLOOKUP($A483,OFFSET(achievement_criterion_id,0,0,COUNTA($A:$A),MATCH(D$1,missions!$2:$2,0)-MATCH($A$1,missions!$2:$2,0)+1),MATCH(D$1,missions!$2:$2,0)-MATCH($A$1,missions!$2:$2,0)+1,FALSE),IFERROR(VLOOKUP($A483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483" s="27" t="s">
        <v>864</v>
      </c>
      <c r="F483" s="17" t="s">
        <v>18</v>
      </c>
      <c r="G483" s="26" t="str">
        <f ca="1">VLOOKUP($F483,OFFSET(達成条件!$A$1,0,0,COUNTA($A:$A),MATCH(G$1,達成条件!$1:$1,0)-MATCH($F$1,達成条件!$1:$1,0)+1),MATCH(G$1,達成条件!$1:$1,0)-MATCH($F$1,達成条件!$1:$1,0)+1,FALSE)</f>
        <v>通算 x 日ログインしよう！</v>
      </c>
      <c r="H483" s="26" t="str">
        <f ca="1">VLOOKUP($F483,OFFSET(達成条件!$A$1,0,0,COUNTA($A:$A),MATCH(H$1,達成条件!$1:$1,0)-MATCH($F$1,達成条件!$1:$1,0)+1),MATCH(H$1,達成条件!$1:$1,0)-MATCH($F$1,達成条件!$1:$1,0)+1,FALSE)</f>
        <v>ログイン回数</v>
      </c>
      <c r="I483" s="56">
        <v>80</v>
      </c>
      <c r="J483" s="54" t="str">
        <f ca="1">IF(F483="specific_unit_aquired_count",SUBSTITUTE(G483,"x",VLOOKUP(INT($I483),OFFSET([3]characters!$A$2,0,0,COUNTA([3]characters!$A:$A),MATCH(J$1,[3]characters!$2:$2,0)-MATCH("character_id",[3]characters!$2:$2,0)+1),MATCH(J$1,[3]characters!$2:$2,0)-MATCH("character_id",[3]characters!$2:$2,0)+1,FALSE)),IF(F483="specific_quest_clear",VLOOKUP(SUBSTITUTE(I483,"-","_"),OFFSET([2]stages!$A$2,0,0,COUNTA([2]stages!$A:$A),MATCH("name",[2]stages!$2:$2,0)-MATCH("temp_stage",[2]stages!$2:$2,0)+1),MATCH("name",[2]stages!$2:$2,0)-MATCH("temp_stage",[2]stages!$2:$2,0)+1,FALSE),""))</f>
        <v/>
      </c>
      <c r="K483" s="15">
        <v>1</v>
      </c>
      <c r="L483" s="15">
        <v>6014</v>
      </c>
      <c r="M483" s="26" t="str">
        <f ca="1">IFERROR(VLOOKUP($L485,OFFSET(missions!$A$2,0,0,COUNTA($A:$A),MATCH(M$1,missions!$2:$2,0)-MATCH("mission_id",missions!$2:$2,0)+1),MATCH(M$1,missions!$2:$2,0)-MATCH("mission_id",missions!$2:$2,0)+1,FALSE),"")</f>
        <v/>
      </c>
      <c r="N483" s="26" t="str">
        <f ca="1">IFERROR(VLOOKUP($L485,OFFSET(missions!$A$2,0,0,COUNTA($A:$A),MATCH(N$1,missions!$2:$2,0)-MATCH("mission_id",missions!$2:$2,0)+1),MATCH(N$1,missions!$2:$2,0)-MATCH("mission_id",missions!$2:$2,0)+1,FALSE),"")</f>
        <v/>
      </c>
    </row>
    <row r="484" spans="1:14" ht="21" customHeight="1" x14ac:dyDescent="0.15">
      <c r="A484" s="2" t="s">
        <v>79</v>
      </c>
      <c r="B484" s="21" t="s">
        <v>792</v>
      </c>
      <c r="C484" s="26" t="str">
        <f t="shared" ca="1" si="52"/>
        <v>通算 90 日ログインしよう！</v>
      </c>
      <c r="D484" s="26" t="str">
        <f ca="1">IFERROR(VLOOKUP($A484,OFFSET(achievement_criterion_id,0,0,COUNTA($A:$A),MATCH(D$1,missions!$2:$2,0)-MATCH($A$1,missions!$2:$2,0)+1),MATCH(D$1,missions!$2:$2,0)-MATCH($A$1,missions!$2:$2,0)+1,FALSE),IFERROR(VLOOKUP($A484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484" s="27" t="s">
        <v>864</v>
      </c>
      <c r="F484" s="17" t="s">
        <v>18</v>
      </c>
      <c r="G484" s="26" t="str">
        <f ca="1">VLOOKUP($F484,OFFSET(達成条件!$A$1,0,0,COUNTA($A:$A),MATCH(G$1,達成条件!$1:$1,0)-MATCH($F$1,達成条件!$1:$1,0)+1),MATCH(G$1,達成条件!$1:$1,0)-MATCH($F$1,達成条件!$1:$1,0)+1,FALSE)</f>
        <v>通算 x 日ログインしよう！</v>
      </c>
      <c r="H484" s="26" t="str">
        <f ca="1">VLOOKUP($F484,OFFSET(達成条件!$A$1,0,0,COUNTA($A:$A),MATCH(H$1,達成条件!$1:$1,0)-MATCH($F$1,達成条件!$1:$1,0)+1),MATCH(H$1,達成条件!$1:$1,0)-MATCH($F$1,達成条件!$1:$1,0)+1,FALSE)</f>
        <v>ログイン回数</v>
      </c>
      <c r="I484" s="56">
        <v>90</v>
      </c>
      <c r="J484" s="54" t="str">
        <f ca="1">IF(F484="specific_unit_aquired_count",SUBSTITUTE(G484,"x",VLOOKUP(INT($I484),OFFSET([3]characters!$A$2,0,0,COUNTA([3]characters!$A:$A),MATCH(J$1,[3]characters!$2:$2,0)-MATCH("character_id",[3]characters!$2:$2,0)+1),MATCH(J$1,[3]characters!$2:$2,0)-MATCH("character_id",[3]characters!$2:$2,0)+1,FALSE)),IF(F484="specific_quest_clear",VLOOKUP(SUBSTITUTE(I484,"-","_"),OFFSET([2]stages!$A$2,0,0,COUNTA([2]stages!$A:$A),MATCH("name",[2]stages!$2:$2,0)-MATCH("temp_stage",[2]stages!$2:$2,0)+1),MATCH("name",[2]stages!$2:$2,0)-MATCH("temp_stage",[2]stages!$2:$2,0)+1,FALSE),""))</f>
        <v/>
      </c>
      <c r="K484" s="15">
        <v>1</v>
      </c>
      <c r="L484" s="15">
        <v>6015</v>
      </c>
      <c r="M484" s="26" t="str">
        <f ca="1">IFERROR(VLOOKUP($L486,OFFSET(missions!$A$2,0,0,COUNTA($A:$A),MATCH(M$1,missions!$2:$2,0)-MATCH("mission_id",missions!$2:$2,0)+1),MATCH(M$1,missions!$2:$2,0)-MATCH("mission_id",missions!$2:$2,0)+1,FALSE),"")</f>
        <v/>
      </c>
      <c r="N484" s="26" t="str">
        <f ca="1">IFERROR(VLOOKUP($L486,OFFSET(missions!$A$2,0,0,COUNTA($A:$A),MATCH(N$1,missions!$2:$2,0)-MATCH("mission_id",missions!$2:$2,0)+1),MATCH(N$1,missions!$2:$2,0)-MATCH("mission_id",missions!$2:$2,0)+1,FALSE),"")</f>
        <v/>
      </c>
    </row>
    <row r="485" spans="1:14" ht="21" customHeight="1" x14ac:dyDescent="0.15">
      <c r="A485" s="2" t="s">
        <v>80</v>
      </c>
      <c r="B485" s="21" t="s">
        <v>792</v>
      </c>
      <c r="C485" s="26" t="str">
        <f t="shared" ca="1" si="52"/>
        <v>通算 100 日ログインしよう！</v>
      </c>
      <c r="D485" s="26" t="str">
        <f ca="1">IFERROR(VLOOKUP($A485,OFFSET(achievement_criterion_id,0,0,COUNTA($A:$A),MATCH(D$1,missions!$2:$2,0)-MATCH($A$1,missions!$2:$2,0)+1),MATCH(D$1,missions!$2:$2,0)-MATCH($A$1,missions!$2:$2,0)+1,FALSE),IFERROR(VLOOKUP($A485,OFFSET(weekly_achievement_criterion_id,0,0,COUNTA($A:$A),MATCH(D$1,weekly_missions!$2:$2,0)-MATCH($A$1,weekly_missions!$2:$2,0)+1),MATCH(D$1,weekly_missions!$2:$2,0)-MATCH($A$1,weekly_missions!$2:$2,0)+1,FALSE),"＊missions 未設定＊"))</f>
        <v>ポリゴン x 20</v>
      </c>
      <c r="E485" s="27" t="s">
        <v>864</v>
      </c>
      <c r="F485" s="17" t="s">
        <v>18</v>
      </c>
      <c r="G485" s="26" t="str">
        <f ca="1">VLOOKUP($F485,OFFSET(達成条件!$A$1,0,0,COUNTA($A:$A),MATCH(G$1,達成条件!$1:$1,0)-MATCH($F$1,達成条件!$1:$1,0)+1),MATCH(G$1,達成条件!$1:$1,0)-MATCH($F$1,達成条件!$1:$1,0)+1,FALSE)</f>
        <v>通算 x 日ログインしよう！</v>
      </c>
      <c r="H485" s="26" t="str">
        <f ca="1">VLOOKUP($F485,OFFSET(達成条件!$A$1,0,0,COUNTA($A:$A),MATCH(H$1,達成条件!$1:$1,0)-MATCH($F$1,達成条件!$1:$1,0)+1),MATCH(H$1,達成条件!$1:$1,0)-MATCH($F$1,達成条件!$1:$1,0)+1,FALSE)</f>
        <v>ログイン回数</v>
      </c>
      <c r="I485" s="56">
        <v>100</v>
      </c>
      <c r="J485" s="54" t="str">
        <f ca="1">IF(F485="specific_unit_aquired_count",SUBSTITUTE(G485,"x",VLOOKUP(INT($I485),OFFSET([3]characters!$A$2,0,0,COUNTA([3]characters!$A:$A),MATCH(J$1,[3]characters!$2:$2,0)-MATCH("character_id",[3]characters!$2:$2,0)+1),MATCH(J$1,[3]characters!$2:$2,0)-MATCH("character_id",[3]characters!$2:$2,0)+1,FALSE)),IF(F485="specific_quest_clear",VLOOKUP(SUBSTITUTE(I485,"-","_"),OFFSET([2]stages!$A$2,0,0,COUNTA([2]stages!$A:$A),MATCH("name",[2]stages!$2:$2,0)-MATCH("temp_stage",[2]stages!$2:$2,0)+1),MATCH("name",[2]stages!$2:$2,0)-MATCH("temp_stage",[2]stages!$2:$2,0)+1,FALSE),""))</f>
        <v/>
      </c>
      <c r="K485" s="15">
        <v>1</v>
      </c>
      <c r="L485" s="15">
        <v>6016</v>
      </c>
      <c r="M485" s="26" t="str">
        <f ca="1">IFERROR(VLOOKUP($L487,OFFSET(missions!$A$2,0,0,COUNTA($A:$A),MATCH(M$1,missions!$2:$2,0)-MATCH("mission_id",missions!$2:$2,0)+1),MATCH(M$1,missions!$2:$2,0)-MATCH("mission_id",missions!$2:$2,0)+1,FALSE),"")</f>
        <v/>
      </c>
      <c r="N485" s="26" t="str">
        <f ca="1">IFERROR(VLOOKUP($L487,OFFSET(missions!$A$2,0,0,COUNTA($A:$A),MATCH(N$1,missions!$2:$2,0)-MATCH("mission_id",missions!$2:$2,0)+1),MATCH(N$1,missions!$2:$2,0)-MATCH("mission_id",missions!$2:$2,0)+1,FALSE),"")</f>
        <v/>
      </c>
    </row>
    <row r="486" spans="1:14" ht="21" customHeight="1" x14ac:dyDescent="0.15">
      <c r="A486" s="2" t="s">
        <v>81</v>
      </c>
      <c r="B486" s="21" t="s">
        <v>792</v>
      </c>
      <c r="C486" s="26" t="str">
        <f t="shared" ca="1" si="52"/>
        <v>通算 110 日ログインしよう！</v>
      </c>
      <c r="D486" s="26" t="str">
        <f ca="1">IFERROR(VLOOKUP($A486,OFFSET(achievement_criterion_id,0,0,COUNTA($A:$A),MATCH(D$1,missions!$2:$2,0)-MATCH($A$1,missions!$2:$2,0)+1),MATCH(D$1,missions!$2:$2,0)-MATCH($A$1,missions!$2:$2,0)+1,FALSE),IFERROR(VLOOKUP($A486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486" s="27" t="s">
        <v>864</v>
      </c>
      <c r="F486" s="17" t="s">
        <v>18</v>
      </c>
      <c r="G486" s="26" t="str">
        <f ca="1">VLOOKUP($F486,OFFSET(達成条件!$A$1,0,0,COUNTA($A:$A),MATCH(G$1,達成条件!$1:$1,0)-MATCH($F$1,達成条件!$1:$1,0)+1),MATCH(G$1,達成条件!$1:$1,0)-MATCH($F$1,達成条件!$1:$1,0)+1,FALSE)</f>
        <v>通算 x 日ログインしよう！</v>
      </c>
      <c r="H486" s="26" t="str">
        <f ca="1">VLOOKUP($F486,OFFSET(達成条件!$A$1,0,0,COUNTA($A:$A),MATCH(H$1,達成条件!$1:$1,0)-MATCH($F$1,達成条件!$1:$1,0)+1),MATCH(H$1,達成条件!$1:$1,0)-MATCH($F$1,達成条件!$1:$1,0)+1,FALSE)</f>
        <v>ログイン回数</v>
      </c>
      <c r="I486" s="56">
        <v>110</v>
      </c>
      <c r="J486" s="54" t="str">
        <f ca="1">IF(F486="specific_unit_aquired_count",SUBSTITUTE(G486,"x",VLOOKUP(INT($I486),OFFSET([3]characters!$A$2,0,0,COUNTA([3]characters!$A:$A),MATCH(J$1,[3]characters!$2:$2,0)-MATCH("character_id",[3]characters!$2:$2,0)+1),MATCH(J$1,[3]characters!$2:$2,0)-MATCH("character_id",[3]characters!$2:$2,0)+1,FALSE)),IF(F486="specific_quest_clear",VLOOKUP(SUBSTITUTE(I486,"-","_"),OFFSET([2]stages!$A$2,0,0,COUNTA([2]stages!$A:$A),MATCH("name",[2]stages!$2:$2,0)-MATCH("temp_stage",[2]stages!$2:$2,0)+1),MATCH("name",[2]stages!$2:$2,0)-MATCH("temp_stage",[2]stages!$2:$2,0)+1,FALSE),""))</f>
        <v/>
      </c>
      <c r="K486" s="15">
        <v>1</v>
      </c>
      <c r="L486" s="15">
        <v>6017</v>
      </c>
      <c r="M486" s="26" t="str">
        <f ca="1">IFERROR(VLOOKUP($L488,OFFSET(missions!$A$2,0,0,COUNTA($A:$A),MATCH(M$1,missions!$2:$2,0)-MATCH("mission_id",missions!$2:$2,0)+1),MATCH(M$1,missions!$2:$2,0)-MATCH("mission_id",missions!$2:$2,0)+1,FALSE),"")</f>
        <v/>
      </c>
      <c r="N486" s="26" t="str">
        <f ca="1">IFERROR(VLOOKUP($L488,OFFSET(missions!$A$2,0,0,COUNTA($A:$A),MATCH(N$1,missions!$2:$2,0)-MATCH("mission_id",missions!$2:$2,0)+1),MATCH(N$1,missions!$2:$2,0)-MATCH("mission_id",missions!$2:$2,0)+1,FALSE),"")</f>
        <v/>
      </c>
    </row>
    <row r="487" spans="1:14" ht="21" customHeight="1" x14ac:dyDescent="0.15">
      <c r="A487" s="2" t="s">
        <v>82</v>
      </c>
      <c r="B487" s="21" t="s">
        <v>792</v>
      </c>
      <c r="C487" s="26" t="str">
        <f t="shared" ca="1" si="52"/>
        <v>通算 120 日ログインしよう！</v>
      </c>
      <c r="D487" s="26" t="str">
        <f ca="1">IFERROR(VLOOKUP($A487,OFFSET(achievement_criterion_id,0,0,COUNTA($A:$A),MATCH(D$1,missions!$2:$2,0)-MATCH($A$1,missions!$2:$2,0)+1),MATCH(D$1,missions!$2:$2,0)-MATCH($A$1,missions!$2:$2,0)+1,FALSE),IFERROR(VLOOKUP($A487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487" s="27" t="s">
        <v>864</v>
      </c>
      <c r="F487" s="17" t="s">
        <v>18</v>
      </c>
      <c r="G487" s="26" t="str">
        <f ca="1">VLOOKUP($F487,OFFSET(達成条件!$A$1,0,0,COUNTA($A:$A),MATCH(G$1,達成条件!$1:$1,0)-MATCH($F$1,達成条件!$1:$1,0)+1),MATCH(G$1,達成条件!$1:$1,0)-MATCH($F$1,達成条件!$1:$1,0)+1,FALSE)</f>
        <v>通算 x 日ログインしよう！</v>
      </c>
      <c r="H487" s="26" t="str">
        <f ca="1">VLOOKUP($F487,OFFSET(達成条件!$A$1,0,0,COUNTA($A:$A),MATCH(H$1,達成条件!$1:$1,0)-MATCH($F$1,達成条件!$1:$1,0)+1),MATCH(H$1,達成条件!$1:$1,0)-MATCH($F$1,達成条件!$1:$1,0)+1,FALSE)</f>
        <v>ログイン回数</v>
      </c>
      <c r="I487" s="56">
        <v>120</v>
      </c>
      <c r="J487" s="54" t="str">
        <f ca="1">IF(F487="specific_unit_aquired_count",SUBSTITUTE(G487,"x",VLOOKUP(INT($I487),OFFSET([3]characters!$A$2,0,0,COUNTA([3]characters!$A:$A),MATCH(J$1,[3]characters!$2:$2,0)-MATCH("character_id",[3]characters!$2:$2,0)+1),MATCH(J$1,[3]characters!$2:$2,0)-MATCH("character_id",[3]characters!$2:$2,0)+1,FALSE)),IF(F487="specific_quest_clear",VLOOKUP(SUBSTITUTE(I487,"-","_"),OFFSET([2]stages!$A$2,0,0,COUNTA([2]stages!$A:$A),MATCH("name",[2]stages!$2:$2,0)-MATCH("temp_stage",[2]stages!$2:$2,0)+1),MATCH("name",[2]stages!$2:$2,0)-MATCH("temp_stage",[2]stages!$2:$2,0)+1,FALSE),""))</f>
        <v/>
      </c>
      <c r="K487" s="15">
        <v>1</v>
      </c>
      <c r="L487" s="15">
        <v>6018</v>
      </c>
      <c r="M487" s="26" t="str">
        <f ca="1">IFERROR(VLOOKUP($L489,OFFSET(missions!$A$2,0,0,COUNTA($A:$A),MATCH(M$1,missions!$2:$2,0)-MATCH("mission_id",missions!$2:$2,0)+1),MATCH(M$1,missions!$2:$2,0)-MATCH("mission_id",missions!$2:$2,0)+1,FALSE),"")</f>
        <v>通算 150 日ログインしよう！</v>
      </c>
      <c r="N487" s="26" t="str">
        <f ca="1">IFERROR(VLOOKUP($L489,OFFSET(missions!$A$2,0,0,COUNTA($A:$A),MATCH(N$1,missions!$2:$2,0)-MATCH("mission_id",missions!$2:$2,0)+1),MATCH(N$1,missions!$2:$2,0)-MATCH("mission_id",missions!$2:$2,0)+1,FALSE),"")</f>
        <v>ポリゴン x 10</v>
      </c>
    </row>
    <row r="488" spans="1:14" ht="21" customHeight="1" x14ac:dyDescent="0.15">
      <c r="A488" s="2" t="s">
        <v>83</v>
      </c>
      <c r="B488" s="21" t="s">
        <v>792</v>
      </c>
      <c r="C488" s="26" t="str">
        <f t="shared" ca="1" si="52"/>
        <v>通算 130 日ログインしよう！</v>
      </c>
      <c r="D488" s="26" t="str">
        <f ca="1">IFERROR(VLOOKUP($A488,OFFSET(achievement_criterion_id,0,0,COUNTA($A:$A),MATCH(D$1,missions!$2:$2,0)-MATCH($A$1,missions!$2:$2,0)+1),MATCH(D$1,missions!$2:$2,0)-MATCH($A$1,missions!$2:$2,0)+1,FALSE),IFERROR(VLOOKUP($A488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488" s="27" t="s">
        <v>864</v>
      </c>
      <c r="F488" s="17" t="s">
        <v>18</v>
      </c>
      <c r="G488" s="26" t="str">
        <f ca="1">VLOOKUP($F488,OFFSET(達成条件!$A$1,0,0,COUNTA($A:$A),MATCH(G$1,達成条件!$1:$1,0)-MATCH($F$1,達成条件!$1:$1,0)+1),MATCH(G$1,達成条件!$1:$1,0)-MATCH($F$1,達成条件!$1:$1,0)+1,FALSE)</f>
        <v>通算 x 日ログインしよう！</v>
      </c>
      <c r="H488" s="26" t="str">
        <f ca="1">VLOOKUP($F488,OFFSET(達成条件!$A$1,0,0,COUNTA($A:$A),MATCH(H$1,達成条件!$1:$1,0)-MATCH($F$1,達成条件!$1:$1,0)+1),MATCH(H$1,達成条件!$1:$1,0)-MATCH($F$1,達成条件!$1:$1,0)+1,FALSE)</f>
        <v>ログイン回数</v>
      </c>
      <c r="I488" s="56">
        <v>130</v>
      </c>
      <c r="J488" s="54" t="str">
        <f ca="1">IF(F488="specific_unit_aquired_count",SUBSTITUTE(G488,"x",VLOOKUP(INT($I488),OFFSET([3]characters!$A$2,0,0,COUNTA([3]characters!$A:$A),MATCH(J$1,[3]characters!$2:$2,0)-MATCH("character_id",[3]characters!$2:$2,0)+1),MATCH(J$1,[3]characters!$2:$2,0)-MATCH("character_id",[3]characters!$2:$2,0)+1,FALSE)),IF(F488="specific_quest_clear",VLOOKUP(SUBSTITUTE(I488,"-","_"),OFFSET([2]stages!$A$2,0,0,COUNTA([2]stages!$A:$A),MATCH("name",[2]stages!$2:$2,0)-MATCH("temp_stage",[2]stages!$2:$2,0)+1),MATCH("name",[2]stages!$2:$2,0)-MATCH("temp_stage",[2]stages!$2:$2,0)+1,FALSE),""))</f>
        <v/>
      </c>
      <c r="K488" s="15">
        <v>1</v>
      </c>
      <c r="L488" s="15">
        <v>6019</v>
      </c>
      <c r="M488" s="26" t="str">
        <f ca="1">IFERROR(VLOOKUP($L490,OFFSET(missions!$A$2,0,0,COUNTA($A:$A),MATCH(M$1,missions!$2:$2,0)-MATCH("mission_id",missions!$2:$2,0)+1),MATCH(M$1,missions!$2:$2,0)-MATCH("mission_id",missions!$2:$2,0)+1,FALSE),"")</f>
        <v/>
      </c>
      <c r="N488" s="26" t="str">
        <f ca="1">IFERROR(VLOOKUP($L490,OFFSET(missions!$A$2,0,0,COUNTA($A:$A),MATCH(N$1,missions!$2:$2,0)-MATCH("mission_id",missions!$2:$2,0)+1),MATCH(N$1,missions!$2:$2,0)-MATCH("mission_id",missions!$2:$2,0)+1,FALSE),"")</f>
        <v/>
      </c>
    </row>
    <row r="489" spans="1:14" ht="21" customHeight="1" x14ac:dyDescent="0.15">
      <c r="A489" s="2" t="s">
        <v>84</v>
      </c>
      <c r="B489" s="21" t="s">
        <v>792</v>
      </c>
      <c r="C489" s="26" t="str">
        <f t="shared" ca="1" si="52"/>
        <v>通算 140 日ログインしよう！</v>
      </c>
      <c r="D489" s="26" t="str">
        <f ca="1">IFERROR(VLOOKUP($A489,OFFSET(achievement_criterion_id,0,0,COUNTA($A:$A),MATCH(D$1,missions!$2:$2,0)-MATCH($A$1,missions!$2:$2,0)+1),MATCH(D$1,missions!$2:$2,0)-MATCH($A$1,missions!$2:$2,0)+1,FALSE),IFERROR(VLOOKUP($A489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489" s="27" t="s">
        <v>864</v>
      </c>
      <c r="F489" s="17" t="s">
        <v>18</v>
      </c>
      <c r="G489" s="26" t="str">
        <f ca="1">VLOOKUP($F489,OFFSET(達成条件!$A$1,0,0,COUNTA($A:$A),MATCH(G$1,達成条件!$1:$1,0)-MATCH($F$1,達成条件!$1:$1,0)+1),MATCH(G$1,達成条件!$1:$1,0)-MATCH($F$1,達成条件!$1:$1,0)+1,FALSE)</f>
        <v>通算 x 日ログインしよう！</v>
      </c>
      <c r="H489" s="26" t="str">
        <f ca="1">VLOOKUP($F489,OFFSET(達成条件!$A$1,0,0,COUNTA($A:$A),MATCH(H$1,達成条件!$1:$1,0)-MATCH($F$1,達成条件!$1:$1,0)+1),MATCH(H$1,達成条件!$1:$1,0)-MATCH($F$1,達成条件!$1:$1,0)+1,FALSE)</f>
        <v>ログイン回数</v>
      </c>
      <c r="I489" s="56">
        <v>140</v>
      </c>
      <c r="J489" s="54" t="str">
        <f ca="1">IF(F489="specific_unit_aquired_count",SUBSTITUTE(G489,"x",VLOOKUP(INT($I489),OFFSET([3]characters!$A$2,0,0,COUNTA([3]characters!$A:$A),MATCH(J$1,[3]characters!$2:$2,0)-MATCH("character_id",[3]characters!$2:$2,0)+1),MATCH(J$1,[3]characters!$2:$2,0)-MATCH("character_id",[3]characters!$2:$2,0)+1,FALSE)),IF(F489="specific_quest_clear",VLOOKUP(SUBSTITUTE(I489,"-","_"),OFFSET([2]stages!$A$2,0,0,COUNTA([2]stages!$A:$A),MATCH("name",[2]stages!$2:$2,0)-MATCH("temp_stage",[2]stages!$2:$2,0)+1),MATCH("name",[2]stages!$2:$2,0)-MATCH("temp_stage",[2]stages!$2:$2,0)+1,FALSE),""))</f>
        <v/>
      </c>
      <c r="K489" s="15">
        <v>1</v>
      </c>
      <c r="L489" s="15">
        <v>6020</v>
      </c>
      <c r="M489" s="26" t="str">
        <f ca="1">IFERROR(VLOOKUP($L491,OFFSET(missions!$A$2,0,0,COUNTA($A:$A),MATCH(M$1,missions!$2:$2,0)-MATCH("mission_id",missions!$2:$2,0)+1),MATCH(M$1,missions!$2:$2,0)-MATCH("mission_id",missions!$2:$2,0)+1,FALSE),"")</f>
        <v/>
      </c>
      <c r="N489" s="26" t="str">
        <f ca="1">IFERROR(VLOOKUP($L491,OFFSET(missions!$A$2,0,0,COUNTA($A:$A),MATCH(N$1,missions!$2:$2,0)-MATCH("mission_id",missions!$2:$2,0)+1),MATCH(N$1,missions!$2:$2,0)-MATCH("mission_id",missions!$2:$2,0)+1,FALSE),"")</f>
        <v/>
      </c>
    </row>
    <row r="490" spans="1:14" ht="21" customHeight="1" x14ac:dyDescent="0.15">
      <c r="A490" s="2" t="s">
        <v>85</v>
      </c>
      <c r="B490" s="21" t="s">
        <v>792</v>
      </c>
      <c r="C490" s="26" t="str">
        <f t="shared" ca="1" si="52"/>
        <v>通算 150 日ログインしよう！</v>
      </c>
      <c r="D490" s="26" t="str">
        <f ca="1">IFERROR(VLOOKUP($A490,OFFSET(achievement_criterion_id,0,0,COUNTA($A:$A),MATCH(D$1,missions!$2:$2,0)-MATCH($A$1,missions!$2:$2,0)+1),MATCH(D$1,missions!$2:$2,0)-MATCH($A$1,missions!$2:$2,0)+1,FALSE),IFERROR(VLOOKUP($A490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490" s="27" t="s">
        <v>864</v>
      </c>
      <c r="F490" s="17" t="s">
        <v>18</v>
      </c>
      <c r="G490" s="26" t="str">
        <f ca="1">VLOOKUP($F490,OFFSET(達成条件!$A$1,0,0,COUNTA($A:$A),MATCH(G$1,達成条件!$1:$1,0)-MATCH($F$1,達成条件!$1:$1,0)+1),MATCH(G$1,達成条件!$1:$1,0)-MATCH($F$1,達成条件!$1:$1,0)+1,FALSE)</f>
        <v>通算 x 日ログインしよう！</v>
      </c>
      <c r="H490" s="26" t="str">
        <f ca="1">VLOOKUP($F490,OFFSET(達成条件!$A$1,0,0,COUNTA($A:$A),MATCH(H$1,達成条件!$1:$1,0)-MATCH($F$1,達成条件!$1:$1,0)+1),MATCH(H$1,達成条件!$1:$1,0)-MATCH($F$1,達成条件!$1:$1,0)+1,FALSE)</f>
        <v>ログイン回数</v>
      </c>
      <c r="I490" s="56">
        <v>150</v>
      </c>
      <c r="J490" s="54" t="str">
        <f ca="1">IF(F490="specific_unit_aquired_count",SUBSTITUTE(G490,"x",VLOOKUP(INT($I490),OFFSET([3]characters!$A$2,0,0,COUNTA([3]characters!$A:$A),MATCH(J$1,[3]characters!$2:$2,0)-MATCH("character_id",[3]characters!$2:$2,0)+1),MATCH(J$1,[3]characters!$2:$2,0)-MATCH("character_id",[3]characters!$2:$2,0)+1,FALSE)),IF(F490="specific_quest_clear",VLOOKUP(SUBSTITUTE(I490,"-","_"),OFFSET([2]stages!$A$2,0,0,COUNTA([2]stages!$A:$A),MATCH("name",[2]stages!$2:$2,0)-MATCH("temp_stage",[2]stages!$2:$2,0)+1),MATCH("name",[2]stages!$2:$2,0)-MATCH("temp_stage",[2]stages!$2:$2,0)+1,FALSE),""))</f>
        <v/>
      </c>
      <c r="K490" s="15">
        <v>1</v>
      </c>
      <c r="L490" s="15">
        <v>6021</v>
      </c>
      <c r="M490" s="26" t="str">
        <f ca="1">IFERROR(VLOOKUP($L492,OFFSET(missions!$A$2,0,0,COUNTA($A:$A),MATCH(M$1,missions!$2:$2,0)-MATCH("mission_id",missions!$2:$2,0)+1),MATCH(M$1,missions!$2:$2,0)-MATCH("mission_id",missions!$2:$2,0)+1,FALSE),"")</f>
        <v/>
      </c>
      <c r="N490" s="26" t="str">
        <f ca="1">IFERROR(VLOOKUP($L492,OFFSET(missions!$A$2,0,0,COUNTA($A:$A),MATCH(N$1,missions!$2:$2,0)-MATCH("mission_id",missions!$2:$2,0)+1),MATCH(N$1,missions!$2:$2,0)-MATCH("mission_id",missions!$2:$2,0)+1,FALSE),"")</f>
        <v/>
      </c>
    </row>
    <row r="491" spans="1:14" ht="21" customHeight="1" x14ac:dyDescent="0.15">
      <c r="A491" s="2" t="s">
        <v>86</v>
      </c>
      <c r="B491" s="21" t="s">
        <v>792</v>
      </c>
      <c r="C491" s="26" t="str">
        <f t="shared" ca="1" si="52"/>
        <v>通算 160 日ログインしよう！</v>
      </c>
      <c r="D491" s="26" t="str">
        <f ca="1">IFERROR(VLOOKUP($A491,OFFSET(achievement_criterion_id,0,0,COUNTA($A:$A),MATCH(D$1,missions!$2:$2,0)-MATCH($A$1,missions!$2:$2,0)+1),MATCH(D$1,missions!$2:$2,0)-MATCH($A$1,missions!$2:$2,0)+1,FALSE),IFERROR(VLOOKUP($A491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491" s="27" t="s">
        <v>864</v>
      </c>
      <c r="F491" s="17" t="s">
        <v>18</v>
      </c>
      <c r="G491" s="26" t="str">
        <f ca="1">VLOOKUP($F491,OFFSET(達成条件!$A$1,0,0,COUNTA($A:$A),MATCH(G$1,達成条件!$1:$1,0)-MATCH($F$1,達成条件!$1:$1,0)+1),MATCH(G$1,達成条件!$1:$1,0)-MATCH($F$1,達成条件!$1:$1,0)+1,FALSE)</f>
        <v>通算 x 日ログインしよう！</v>
      </c>
      <c r="H491" s="26" t="str">
        <f ca="1">VLOOKUP($F491,OFFSET(達成条件!$A$1,0,0,COUNTA($A:$A),MATCH(H$1,達成条件!$1:$1,0)-MATCH($F$1,達成条件!$1:$1,0)+1),MATCH(H$1,達成条件!$1:$1,0)-MATCH($F$1,達成条件!$1:$1,0)+1,FALSE)</f>
        <v>ログイン回数</v>
      </c>
      <c r="I491" s="56">
        <v>160</v>
      </c>
      <c r="J491" s="54" t="str">
        <f ca="1">IF(F491="specific_unit_aquired_count",SUBSTITUTE(G491,"x",VLOOKUP(INT($I491),OFFSET([3]characters!$A$2,0,0,COUNTA([3]characters!$A:$A),MATCH(J$1,[3]characters!$2:$2,0)-MATCH("character_id",[3]characters!$2:$2,0)+1),MATCH(J$1,[3]characters!$2:$2,0)-MATCH("character_id",[3]characters!$2:$2,0)+1,FALSE)),IF(F491="specific_quest_clear",VLOOKUP(SUBSTITUTE(I491,"-","_"),OFFSET([2]stages!$A$2,0,0,COUNTA([2]stages!$A:$A),MATCH("name",[2]stages!$2:$2,0)-MATCH("temp_stage",[2]stages!$2:$2,0)+1),MATCH("name",[2]stages!$2:$2,0)-MATCH("temp_stage",[2]stages!$2:$2,0)+1,FALSE),""))</f>
        <v/>
      </c>
      <c r="K491" s="15">
        <v>1</v>
      </c>
      <c r="L491" s="15">
        <v>6022</v>
      </c>
      <c r="M491" s="26" t="str">
        <f ca="1">IFERROR(VLOOKUP($L493,OFFSET(missions!$A$2,0,0,COUNTA($A:$A),MATCH(M$1,missions!$2:$2,0)-MATCH("mission_id",missions!$2:$2,0)+1),MATCH(M$1,missions!$2:$2,0)-MATCH("mission_id",missions!$2:$2,0)+1,FALSE),"")</f>
        <v/>
      </c>
      <c r="N491" s="26" t="str">
        <f ca="1">IFERROR(VLOOKUP($L493,OFFSET(missions!$A$2,0,0,COUNTA($A:$A),MATCH(N$1,missions!$2:$2,0)-MATCH("mission_id",missions!$2:$2,0)+1),MATCH(N$1,missions!$2:$2,0)-MATCH("mission_id",missions!$2:$2,0)+1,FALSE),"")</f>
        <v/>
      </c>
    </row>
    <row r="492" spans="1:14" ht="21" customHeight="1" x14ac:dyDescent="0.15">
      <c r="A492" s="2" t="s">
        <v>87</v>
      </c>
      <c r="B492" s="21" t="s">
        <v>792</v>
      </c>
      <c r="C492" s="26" t="str">
        <f t="shared" ca="1" si="52"/>
        <v>通算 170 日ログインしよう！</v>
      </c>
      <c r="D492" s="26" t="str">
        <f ca="1">IFERROR(VLOOKUP($A492,OFFSET(achievement_criterion_id,0,0,COUNTA($A:$A),MATCH(D$1,missions!$2:$2,0)-MATCH($A$1,missions!$2:$2,0)+1),MATCH(D$1,missions!$2:$2,0)-MATCH($A$1,missions!$2:$2,0)+1,FALSE),IFERROR(VLOOKUP($A492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492" s="27" t="s">
        <v>864</v>
      </c>
      <c r="F492" s="17" t="s">
        <v>18</v>
      </c>
      <c r="G492" s="26" t="str">
        <f ca="1">VLOOKUP($F492,OFFSET(達成条件!$A$1,0,0,COUNTA($A:$A),MATCH(G$1,達成条件!$1:$1,0)-MATCH($F$1,達成条件!$1:$1,0)+1),MATCH(G$1,達成条件!$1:$1,0)-MATCH($F$1,達成条件!$1:$1,0)+1,FALSE)</f>
        <v>通算 x 日ログインしよう！</v>
      </c>
      <c r="H492" s="26" t="str">
        <f ca="1">VLOOKUP($F492,OFFSET(達成条件!$A$1,0,0,COUNTA($A:$A),MATCH(H$1,達成条件!$1:$1,0)-MATCH($F$1,達成条件!$1:$1,0)+1),MATCH(H$1,達成条件!$1:$1,0)-MATCH($F$1,達成条件!$1:$1,0)+1,FALSE)</f>
        <v>ログイン回数</v>
      </c>
      <c r="I492" s="56">
        <v>170</v>
      </c>
      <c r="J492" s="54" t="str">
        <f ca="1">IF(F492="specific_unit_aquired_count",SUBSTITUTE(G492,"x",VLOOKUP(INT($I492),OFFSET([3]characters!$A$2,0,0,COUNTA([3]characters!$A:$A),MATCH(J$1,[3]characters!$2:$2,0)-MATCH("character_id",[3]characters!$2:$2,0)+1),MATCH(J$1,[3]characters!$2:$2,0)-MATCH("character_id",[3]characters!$2:$2,0)+1,FALSE)),IF(F492="specific_quest_clear",VLOOKUP(SUBSTITUTE(I492,"-","_"),OFFSET([2]stages!$A$2,0,0,COUNTA([2]stages!$A:$A),MATCH("name",[2]stages!$2:$2,0)-MATCH("temp_stage",[2]stages!$2:$2,0)+1),MATCH("name",[2]stages!$2:$2,0)-MATCH("temp_stage",[2]stages!$2:$2,0)+1,FALSE),""))</f>
        <v/>
      </c>
      <c r="K492" s="15">
        <v>1</v>
      </c>
      <c r="L492" s="15">
        <v>6023</v>
      </c>
      <c r="M492" s="26" t="str">
        <f ca="1">IFERROR(VLOOKUP($L494,OFFSET(missions!$A$2,0,0,COUNTA($A:$A),MATCH(M$1,missions!$2:$2,0)-MATCH("mission_id",missions!$2:$2,0)+1),MATCH(M$1,missions!$2:$2,0)-MATCH("mission_id",missions!$2:$2,0)+1,FALSE),"")</f>
        <v>通算 200 日ログインしよう！</v>
      </c>
      <c r="N492" s="26" t="str">
        <f ca="1">IFERROR(VLOOKUP($L494,OFFSET(missions!$A$2,0,0,COUNTA($A:$A),MATCH(N$1,missions!$2:$2,0)-MATCH("mission_id",missions!$2:$2,0)+1),MATCH(N$1,missions!$2:$2,0)-MATCH("mission_id",missions!$2:$2,0)+1,FALSE),"")</f>
        <v>ポリゴン x 10</v>
      </c>
    </row>
    <row r="493" spans="1:14" ht="21" customHeight="1" x14ac:dyDescent="0.15">
      <c r="A493" s="2" t="s">
        <v>88</v>
      </c>
      <c r="B493" s="21" t="s">
        <v>792</v>
      </c>
      <c r="C493" s="26" t="str">
        <f t="shared" ca="1" si="52"/>
        <v>通算 180 日ログインしよう！</v>
      </c>
      <c r="D493" s="26" t="str">
        <f ca="1">IFERROR(VLOOKUP($A493,OFFSET(achievement_criterion_id,0,0,COUNTA($A:$A),MATCH(D$1,missions!$2:$2,0)-MATCH($A$1,missions!$2:$2,0)+1),MATCH(D$1,missions!$2:$2,0)-MATCH($A$1,missions!$2:$2,0)+1,FALSE),IFERROR(VLOOKUP($A493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493" s="27" t="s">
        <v>864</v>
      </c>
      <c r="F493" s="17" t="s">
        <v>18</v>
      </c>
      <c r="G493" s="26" t="str">
        <f ca="1">VLOOKUP($F493,OFFSET(達成条件!$A$1,0,0,COUNTA($A:$A),MATCH(G$1,達成条件!$1:$1,0)-MATCH($F$1,達成条件!$1:$1,0)+1),MATCH(G$1,達成条件!$1:$1,0)-MATCH($F$1,達成条件!$1:$1,0)+1,FALSE)</f>
        <v>通算 x 日ログインしよう！</v>
      </c>
      <c r="H493" s="26" t="str">
        <f ca="1">VLOOKUP($F493,OFFSET(達成条件!$A$1,0,0,COUNTA($A:$A),MATCH(H$1,達成条件!$1:$1,0)-MATCH($F$1,達成条件!$1:$1,0)+1),MATCH(H$1,達成条件!$1:$1,0)-MATCH($F$1,達成条件!$1:$1,0)+1,FALSE)</f>
        <v>ログイン回数</v>
      </c>
      <c r="I493" s="56">
        <v>180</v>
      </c>
      <c r="J493" s="54" t="str">
        <f ca="1">IF(F493="specific_unit_aquired_count",SUBSTITUTE(G493,"x",VLOOKUP(INT($I493),OFFSET([3]characters!$A$2,0,0,COUNTA([3]characters!$A:$A),MATCH(J$1,[3]characters!$2:$2,0)-MATCH("character_id",[3]characters!$2:$2,0)+1),MATCH(J$1,[3]characters!$2:$2,0)-MATCH("character_id",[3]characters!$2:$2,0)+1,FALSE)),IF(F493="specific_quest_clear",VLOOKUP(SUBSTITUTE(I493,"-","_"),OFFSET([2]stages!$A$2,0,0,COUNTA([2]stages!$A:$A),MATCH("name",[2]stages!$2:$2,0)-MATCH("temp_stage",[2]stages!$2:$2,0)+1),MATCH("name",[2]stages!$2:$2,0)-MATCH("temp_stage",[2]stages!$2:$2,0)+1,FALSE),""))</f>
        <v/>
      </c>
      <c r="K493" s="15">
        <v>1</v>
      </c>
      <c r="L493" s="15">
        <v>6024</v>
      </c>
      <c r="M493" s="26" t="str">
        <f ca="1">IFERROR(VLOOKUP($L495,OFFSET(missions!$A$2,0,0,COUNTA($A:$A),MATCH(M$1,missions!$2:$2,0)-MATCH("mission_id",missions!$2:$2,0)+1),MATCH(M$1,missions!$2:$2,0)-MATCH("mission_id",missions!$2:$2,0)+1,FALSE),"")</f>
        <v/>
      </c>
      <c r="N493" s="26" t="str">
        <f ca="1">IFERROR(VLOOKUP($L495,OFFSET(missions!$A$2,0,0,COUNTA($A:$A),MATCH(N$1,missions!$2:$2,0)-MATCH("mission_id",missions!$2:$2,0)+1),MATCH(N$1,missions!$2:$2,0)-MATCH("mission_id",missions!$2:$2,0)+1,FALSE),"")</f>
        <v/>
      </c>
    </row>
    <row r="494" spans="1:14" ht="21" customHeight="1" x14ac:dyDescent="0.15">
      <c r="A494" s="2" t="s">
        <v>89</v>
      </c>
      <c r="B494" s="21" t="s">
        <v>792</v>
      </c>
      <c r="C494" s="26" t="str">
        <f t="shared" ca="1" si="52"/>
        <v>通算 190 日ログインしよう！</v>
      </c>
      <c r="D494" s="26" t="str">
        <f ca="1">IFERROR(VLOOKUP($A494,OFFSET(achievement_criterion_id,0,0,COUNTA($A:$A),MATCH(D$1,missions!$2:$2,0)-MATCH($A$1,missions!$2:$2,0)+1),MATCH(D$1,missions!$2:$2,0)-MATCH($A$1,missions!$2:$2,0)+1,FALSE),IFERROR(VLOOKUP($A494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494" s="27" t="s">
        <v>864</v>
      </c>
      <c r="F494" s="17" t="s">
        <v>18</v>
      </c>
      <c r="G494" s="26" t="str">
        <f ca="1">VLOOKUP($F494,OFFSET(達成条件!$A$1,0,0,COUNTA($A:$A),MATCH(G$1,達成条件!$1:$1,0)-MATCH($F$1,達成条件!$1:$1,0)+1),MATCH(G$1,達成条件!$1:$1,0)-MATCH($F$1,達成条件!$1:$1,0)+1,FALSE)</f>
        <v>通算 x 日ログインしよう！</v>
      </c>
      <c r="H494" s="26" t="str">
        <f ca="1">VLOOKUP($F494,OFFSET(達成条件!$A$1,0,0,COUNTA($A:$A),MATCH(H$1,達成条件!$1:$1,0)-MATCH($F$1,達成条件!$1:$1,0)+1),MATCH(H$1,達成条件!$1:$1,0)-MATCH($F$1,達成条件!$1:$1,0)+1,FALSE)</f>
        <v>ログイン回数</v>
      </c>
      <c r="I494" s="56">
        <v>190</v>
      </c>
      <c r="J494" s="54" t="str">
        <f ca="1">IF(F494="specific_unit_aquired_count",SUBSTITUTE(G494,"x",VLOOKUP(INT($I494),OFFSET([3]characters!$A$2,0,0,COUNTA([3]characters!$A:$A),MATCH(J$1,[3]characters!$2:$2,0)-MATCH("character_id",[3]characters!$2:$2,0)+1),MATCH(J$1,[3]characters!$2:$2,0)-MATCH("character_id",[3]characters!$2:$2,0)+1,FALSE)),IF(F494="specific_quest_clear",VLOOKUP(SUBSTITUTE(I494,"-","_"),OFFSET([2]stages!$A$2,0,0,COUNTA([2]stages!$A:$A),MATCH("name",[2]stages!$2:$2,0)-MATCH("temp_stage",[2]stages!$2:$2,0)+1),MATCH("name",[2]stages!$2:$2,0)-MATCH("temp_stage",[2]stages!$2:$2,0)+1,FALSE),""))</f>
        <v/>
      </c>
      <c r="K494" s="15">
        <v>1</v>
      </c>
      <c r="L494" s="15">
        <v>6025</v>
      </c>
      <c r="M494" s="26" t="str">
        <f ca="1">IFERROR(VLOOKUP($L496,OFFSET(missions!$A$2,0,0,COUNTA($A:$A),MATCH(M$1,missions!$2:$2,0)-MATCH("mission_id",missions!$2:$2,0)+1),MATCH(M$1,missions!$2:$2,0)-MATCH("mission_id",missions!$2:$2,0)+1,FALSE),"")</f>
        <v/>
      </c>
      <c r="N494" s="26" t="str">
        <f ca="1">IFERROR(VLOOKUP($L496,OFFSET(missions!$A$2,0,0,COUNTA($A:$A),MATCH(N$1,missions!$2:$2,0)-MATCH("mission_id",missions!$2:$2,0)+1),MATCH(N$1,missions!$2:$2,0)-MATCH("mission_id",missions!$2:$2,0)+1,FALSE),"")</f>
        <v/>
      </c>
    </row>
    <row r="495" spans="1:14" ht="21" customHeight="1" x14ac:dyDescent="0.15">
      <c r="A495" s="2" t="s">
        <v>90</v>
      </c>
      <c r="B495" s="21" t="s">
        <v>792</v>
      </c>
      <c r="C495" s="26" t="str">
        <f t="shared" ca="1" si="52"/>
        <v>通算 200 日ログインしよう！</v>
      </c>
      <c r="D495" s="26" t="str">
        <f ca="1">IFERROR(VLOOKUP($A495,OFFSET(achievement_criterion_id,0,0,COUNTA($A:$A),MATCH(D$1,missions!$2:$2,0)-MATCH($A$1,missions!$2:$2,0)+1),MATCH(D$1,missions!$2:$2,0)-MATCH($A$1,missions!$2:$2,0)+1,FALSE),IFERROR(VLOOKUP($A495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495" s="27" t="s">
        <v>864</v>
      </c>
      <c r="F495" s="17" t="s">
        <v>18</v>
      </c>
      <c r="G495" s="26" t="str">
        <f ca="1">VLOOKUP($F495,OFFSET(達成条件!$A$1,0,0,COUNTA($A:$A),MATCH(G$1,達成条件!$1:$1,0)-MATCH($F$1,達成条件!$1:$1,0)+1),MATCH(G$1,達成条件!$1:$1,0)-MATCH($F$1,達成条件!$1:$1,0)+1,FALSE)</f>
        <v>通算 x 日ログインしよう！</v>
      </c>
      <c r="H495" s="26" t="str">
        <f ca="1">VLOOKUP($F495,OFFSET(達成条件!$A$1,0,0,COUNTA($A:$A),MATCH(H$1,達成条件!$1:$1,0)-MATCH($F$1,達成条件!$1:$1,0)+1),MATCH(H$1,達成条件!$1:$1,0)-MATCH($F$1,達成条件!$1:$1,0)+1,FALSE)</f>
        <v>ログイン回数</v>
      </c>
      <c r="I495" s="56">
        <v>200</v>
      </c>
      <c r="J495" s="54" t="str">
        <f ca="1">IF(F495="specific_unit_aquired_count",SUBSTITUTE(G495,"x",VLOOKUP(INT($I495),OFFSET([3]characters!$A$2,0,0,COUNTA([3]characters!$A:$A),MATCH(J$1,[3]characters!$2:$2,0)-MATCH("character_id",[3]characters!$2:$2,0)+1),MATCH(J$1,[3]characters!$2:$2,0)-MATCH("character_id",[3]characters!$2:$2,0)+1,FALSE)),IF(F495="specific_quest_clear",VLOOKUP(SUBSTITUTE(I495,"-","_"),OFFSET([2]stages!$A$2,0,0,COUNTA([2]stages!$A:$A),MATCH("name",[2]stages!$2:$2,0)-MATCH("temp_stage",[2]stages!$2:$2,0)+1),MATCH("name",[2]stages!$2:$2,0)-MATCH("temp_stage",[2]stages!$2:$2,0)+1,FALSE),""))</f>
        <v/>
      </c>
      <c r="K495" s="15">
        <v>1</v>
      </c>
      <c r="L495" s="15">
        <v>6026</v>
      </c>
      <c r="M495" s="26" t="str">
        <f ca="1">IFERROR(VLOOKUP($L497,OFFSET(missions!$A$2,0,0,COUNTA($A:$A),MATCH(M$1,missions!$2:$2,0)-MATCH("mission_id",missions!$2:$2,0)+1),MATCH(M$1,missions!$2:$2,0)-MATCH("mission_id",missions!$2:$2,0)+1,FALSE),"")</f>
        <v/>
      </c>
      <c r="N495" s="26" t="str">
        <f ca="1">IFERROR(VLOOKUP($L497,OFFSET(missions!$A$2,0,0,COUNTA($A:$A),MATCH(N$1,missions!$2:$2,0)-MATCH("mission_id",missions!$2:$2,0)+1),MATCH(N$1,missions!$2:$2,0)-MATCH("mission_id",missions!$2:$2,0)+1,FALSE),"")</f>
        <v/>
      </c>
    </row>
    <row r="496" spans="1:14" ht="21" customHeight="1" x14ac:dyDescent="0.15">
      <c r="A496" s="2" t="s">
        <v>91</v>
      </c>
      <c r="B496" s="21" t="s">
        <v>792</v>
      </c>
      <c r="C496" s="26" t="str">
        <f t="shared" ca="1" si="52"/>
        <v>通算 210 日ログインしよう！</v>
      </c>
      <c r="D496" s="26" t="str">
        <f ca="1">IFERROR(VLOOKUP($A496,OFFSET(achievement_criterion_id,0,0,COUNTA($A:$A),MATCH(D$1,missions!$2:$2,0)-MATCH($A$1,missions!$2:$2,0)+1),MATCH(D$1,missions!$2:$2,0)-MATCH($A$1,missions!$2:$2,0)+1,FALSE),IFERROR(VLOOKUP($A496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496" s="27" t="s">
        <v>864</v>
      </c>
      <c r="F496" s="17" t="s">
        <v>18</v>
      </c>
      <c r="G496" s="26" t="str">
        <f ca="1">VLOOKUP($F496,OFFSET(達成条件!$A$1,0,0,COUNTA($A:$A),MATCH(G$1,達成条件!$1:$1,0)-MATCH($F$1,達成条件!$1:$1,0)+1),MATCH(G$1,達成条件!$1:$1,0)-MATCH($F$1,達成条件!$1:$1,0)+1,FALSE)</f>
        <v>通算 x 日ログインしよう！</v>
      </c>
      <c r="H496" s="26" t="str">
        <f ca="1">VLOOKUP($F496,OFFSET(達成条件!$A$1,0,0,COUNTA($A:$A),MATCH(H$1,達成条件!$1:$1,0)-MATCH($F$1,達成条件!$1:$1,0)+1),MATCH(H$1,達成条件!$1:$1,0)-MATCH($F$1,達成条件!$1:$1,0)+1,FALSE)</f>
        <v>ログイン回数</v>
      </c>
      <c r="I496" s="56">
        <v>210</v>
      </c>
      <c r="J496" s="54" t="str">
        <f ca="1">IF(F496="specific_unit_aquired_count",SUBSTITUTE(G496,"x",VLOOKUP(INT($I496),OFFSET([3]characters!$A$2,0,0,COUNTA([3]characters!$A:$A),MATCH(J$1,[3]characters!$2:$2,0)-MATCH("character_id",[3]characters!$2:$2,0)+1),MATCH(J$1,[3]characters!$2:$2,0)-MATCH("character_id",[3]characters!$2:$2,0)+1,FALSE)),IF(F496="specific_quest_clear",VLOOKUP(SUBSTITUTE(I496,"-","_"),OFFSET([2]stages!$A$2,0,0,COUNTA([2]stages!$A:$A),MATCH("name",[2]stages!$2:$2,0)-MATCH("temp_stage",[2]stages!$2:$2,0)+1),MATCH("name",[2]stages!$2:$2,0)-MATCH("temp_stage",[2]stages!$2:$2,0)+1,FALSE),""))</f>
        <v/>
      </c>
      <c r="K496" s="15">
        <v>1</v>
      </c>
      <c r="L496" s="15">
        <v>6027</v>
      </c>
      <c r="M496" s="26" t="str">
        <f ca="1">IFERROR(VLOOKUP($L498,OFFSET(missions!$A$2,0,0,COUNTA($A:$A),MATCH(M$1,missions!$2:$2,0)-MATCH("mission_id",missions!$2:$2,0)+1),MATCH(M$1,missions!$2:$2,0)-MATCH("mission_id",missions!$2:$2,0)+1,FALSE),"")</f>
        <v/>
      </c>
      <c r="N496" s="26" t="str">
        <f ca="1">IFERROR(VLOOKUP($L498,OFFSET(missions!$A$2,0,0,COUNTA($A:$A),MATCH(N$1,missions!$2:$2,0)-MATCH("mission_id",missions!$2:$2,0)+1),MATCH(N$1,missions!$2:$2,0)-MATCH("mission_id",missions!$2:$2,0)+1,FALSE),"")</f>
        <v/>
      </c>
    </row>
    <row r="497" spans="1:14" ht="21" customHeight="1" x14ac:dyDescent="0.15">
      <c r="A497" s="2" t="s">
        <v>92</v>
      </c>
      <c r="B497" s="21" t="s">
        <v>792</v>
      </c>
      <c r="C497" s="26" t="str">
        <f t="shared" ca="1" si="52"/>
        <v>通算 220 日ログインしよう！</v>
      </c>
      <c r="D497" s="26" t="str">
        <f ca="1">IFERROR(VLOOKUP($A497,OFFSET(achievement_criterion_id,0,0,COUNTA($A:$A),MATCH(D$1,missions!$2:$2,0)-MATCH($A$1,missions!$2:$2,0)+1),MATCH(D$1,missions!$2:$2,0)-MATCH($A$1,missions!$2:$2,0)+1,FALSE),IFERROR(VLOOKUP($A497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497" s="27" t="s">
        <v>864</v>
      </c>
      <c r="F497" s="17" t="s">
        <v>18</v>
      </c>
      <c r="G497" s="26" t="str">
        <f ca="1">VLOOKUP($F497,OFFSET(達成条件!$A$1,0,0,COUNTA($A:$A),MATCH(G$1,達成条件!$1:$1,0)-MATCH($F$1,達成条件!$1:$1,0)+1),MATCH(G$1,達成条件!$1:$1,0)-MATCH($F$1,達成条件!$1:$1,0)+1,FALSE)</f>
        <v>通算 x 日ログインしよう！</v>
      </c>
      <c r="H497" s="26" t="str">
        <f ca="1">VLOOKUP($F497,OFFSET(達成条件!$A$1,0,0,COUNTA($A:$A),MATCH(H$1,達成条件!$1:$1,0)-MATCH($F$1,達成条件!$1:$1,0)+1),MATCH(H$1,達成条件!$1:$1,0)-MATCH($F$1,達成条件!$1:$1,0)+1,FALSE)</f>
        <v>ログイン回数</v>
      </c>
      <c r="I497" s="56">
        <v>220</v>
      </c>
      <c r="J497" s="54" t="str">
        <f ca="1">IF(F497="specific_unit_aquired_count",SUBSTITUTE(G497,"x",VLOOKUP(INT($I497),OFFSET([3]characters!$A$2,0,0,COUNTA([3]characters!$A:$A),MATCH(J$1,[3]characters!$2:$2,0)-MATCH("character_id",[3]characters!$2:$2,0)+1),MATCH(J$1,[3]characters!$2:$2,0)-MATCH("character_id",[3]characters!$2:$2,0)+1,FALSE)),IF(F497="specific_quest_clear",VLOOKUP(SUBSTITUTE(I497,"-","_"),OFFSET([2]stages!$A$2,0,0,COUNTA([2]stages!$A:$A),MATCH("name",[2]stages!$2:$2,0)-MATCH("temp_stage",[2]stages!$2:$2,0)+1),MATCH("name",[2]stages!$2:$2,0)-MATCH("temp_stage",[2]stages!$2:$2,0)+1,FALSE),""))</f>
        <v/>
      </c>
      <c r="K497" s="15">
        <v>1</v>
      </c>
      <c r="L497" s="15">
        <v>6028</v>
      </c>
      <c r="M497" s="26" t="str">
        <f ca="1">IFERROR(VLOOKUP($L499,OFFSET(missions!$A$2,0,0,COUNTA($A:$A),MATCH(M$1,missions!$2:$2,0)-MATCH("mission_id",missions!$2:$2,0)+1),MATCH(M$1,missions!$2:$2,0)-MATCH("mission_id",missions!$2:$2,0)+1,FALSE),"")</f>
        <v>通算 250 日ログインしよう！</v>
      </c>
      <c r="N497" s="26" t="str">
        <f ca="1">IFERROR(VLOOKUP($L499,OFFSET(missions!$A$2,0,0,COUNTA($A:$A),MATCH(N$1,missions!$2:$2,0)-MATCH("mission_id",missions!$2:$2,0)+1),MATCH(N$1,missions!$2:$2,0)-MATCH("mission_id",missions!$2:$2,0)+1,FALSE),"")</f>
        <v>ポリゴン x 10</v>
      </c>
    </row>
    <row r="498" spans="1:14" ht="21" customHeight="1" x14ac:dyDescent="0.15">
      <c r="A498" s="2" t="s">
        <v>93</v>
      </c>
      <c r="B498" s="21" t="s">
        <v>792</v>
      </c>
      <c r="C498" s="26" t="str">
        <f t="shared" ca="1" si="52"/>
        <v>通算 230 日ログインしよう！</v>
      </c>
      <c r="D498" s="26" t="str">
        <f ca="1">IFERROR(VLOOKUP($A498,OFFSET(achievement_criterion_id,0,0,COUNTA($A:$A),MATCH(D$1,missions!$2:$2,0)-MATCH($A$1,missions!$2:$2,0)+1),MATCH(D$1,missions!$2:$2,0)-MATCH($A$1,missions!$2:$2,0)+1,FALSE),IFERROR(VLOOKUP($A498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498" s="27" t="s">
        <v>864</v>
      </c>
      <c r="F498" s="17" t="s">
        <v>18</v>
      </c>
      <c r="G498" s="26" t="str">
        <f ca="1">VLOOKUP($F498,OFFSET(達成条件!$A$1,0,0,COUNTA($A:$A),MATCH(G$1,達成条件!$1:$1,0)-MATCH($F$1,達成条件!$1:$1,0)+1),MATCH(G$1,達成条件!$1:$1,0)-MATCH($F$1,達成条件!$1:$1,0)+1,FALSE)</f>
        <v>通算 x 日ログインしよう！</v>
      </c>
      <c r="H498" s="26" t="str">
        <f ca="1">VLOOKUP($F498,OFFSET(達成条件!$A$1,0,0,COUNTA($A:$A),MATCH(H$1,達成条件!$1:$1,0)-MATCH($F$1,達成条件!$1:$1,0)+1),MATCH(H$1,達成条件!$1:$1,0)-MATCH($F$1,達成条件!$1:$1,0)+1,FALSE)</f>
        <v>ログイン回数</v>
      </c>
      <c r="I498" s="56">
        <v>230</v>
      </c>
      <c r="J498" s="54" t="str">
        <f ca="1">IF(F498="specific_unit_aquired_count",SUBSTITUTE(G498,"x",VLOOKUP(INT($I498),OFFSET([3]characters!$A$2,0,0,COUNTA([3]characters!$A:$A),MATCH(J$1,[3]characters!$2:$2,0)-MATCH("character_id",[3]characters!$2:$2,0)+1),MATCH(J$1,[3]characters!$2:$2,0)-MATCH("character_id",[3]characters!$2:$2,0)+1,FALSE)),IF(F498="specific_quest_clear",VLOOKUP(SUBSTITUTE(I498,"-","_"),OFFSET([2]stages!$A$2,0,0,COUNTA([2]stages!$A:$A),MATCH("name",[2]stages!$2:$2,0)-MATCH("temp_stage",[2]stages!$2:$2,0)+1),MATCH("name",[2]stages!$2:$2,0)-MATCH("temp_stage",[2]stages!$2:$2,0)+1,FALSE),""))</f>
        <v/>
      </c>
      <c r="K498" s="15">
        <v>1</v>
      </c>
      <c r="L498" s="15">
        <v>6029</v>
      </c>
      <c r="M498" s="26" t="str">
        <f ca="1">IFERROR(VLOOKUP($L500,OFFSET(missions!$A$2,0,0,COUNTA($A:$A),MATCH(M$1,missions!$2:$2,0)-MATCH("mission_id",missions!$2:$2,0)+1),MATCH(M$1,missions!$2:$2,0)-MATCH("mission_id",missions!$2:$2,0)+1,FALSE),"")</f>
        <v/>
      </c>
      <c r="N498" s="26" t="str">
        <f ca="1">IFERROR(VLOOKUP($L500,OFFSET(missions!$A$2,0,0,COUNTA($A:$A),MATCH(N$1,missions!$2:$2,0)-MATCH("mission_id",missions!$2:$2,0)+1),MATCH(N$1,missions!$2:$2,0)-MATCH("mission_id",missions!$2:$2,0)+1,FALSE),"")</f>
        <v/>
      </c>
    </row>
    <row r="499" spans="1:14" ht="21" customHeight="1" x14ac:dyDescent="0.15">
      <c r="A499" s="2" t="s">
        <v>94</v>
      </c>
      <c r="B499" s="21" t="s">
        <v>792</v>
      </c>
      <c r="C499" s="26" t="str">
        <f t="shared" ca="1" si="52"/>
        <v>通算 240 日ログインしよう！</v>
      </c>
      <c r="D499" s="26" t="str">
        <f ca="1">IFERROR(VLOOKUP($A499,OFFSET(achievement_criterion_id,0,0,COUNTA($A:$A),MATCH(D$1,missions!$2:$2,0)-MATCH($A$1,missions!$2:$2,0)+1),MATCH(D$1,missions!$2:$2,0)-MATCH($A$1,missions!$2:$2,0)+1,FALSE),IFERROR(VLOOKUP($A499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499" s="27" t="s">
        <v>864</v>
      </c>
      <c r="F499" s="17" t="s">
        <v>18</v>
      </c>
      <c r="G499" s="26" t="str">
        <f ca="1">VLOOKUP($F499,OFFSET(達成条件!$A$1,0,0,COUNTA($A:$A),MATCH(G$1,達成条件!$1:$1,0)-MATCH($F$1,達成条件!$1:$1,0)+1),MATCH(G$1,達成条件!$1:$1,0)-MATCH($F$1,達成条件!$1:$1,0)+1,FALSE)</f>
        <v>通算 x 日ログインしよう！</v>
      </c>
      <c r="H499" s="26" t="str">
        <f ca="1">VLOOKUP($F499,OFFSET(達成条件!$A$1,0,0,COUNTA($A:$A),MATCH(H$1,達成条件!$1:$1,0)-MATCH($F$1,達成条件!$1:$1,0)+1),MATCH(H$1,達成条件!$1:$1,0)-MATCH($F$1,達成条件!$1:$1,0)+1,FALSE)</f>
        <v>ログイン回数</v>
      </c>
      <c r="I499" s="56">
        <v>240</v>
      </c>
      <c r="J499" s="54" t="str">
        <f ca="1">IF(F499="specific_unit_aquired_count",SUBSTITUTE(G499,"x",VLOOKUP(INT($I499),OFFSET([3]characters!$A$2,0,0,COUNTA([3]characters!$A:$A),MATCH(J$1,[3]characters!$2:$2,0)-MATCH("character_id",[3]characters!$2:$2,0)+1),MATCH(J$1,[3]characters!$2:$2,0)-MATCH("character_id",[3]characters!$2:$2,0)+1,FALSE)),IF(F499="specific_quest_clear",VLOOKUP(SUBSTITUTE(I499,"-","_"),OFFSET([2]stages!$A$2,0,0,COUNTA([2]stages!$A:$A),MATCH("name",[2]stages!$2:$2,0)-MATCH("temp_stage",[2]stages!$2:$2,0)+1),MATCH("name",[2]stages!$2:$2,0)-MATCH("temp_stage",[2]stages!$2:$2,0)+1,FALSE),""))</f>
        <v/>
      </c>
      <c r="K499" s="15">
        <v>1</v>
      </c>
      <c r="L499" s="15">
        <v>6030</v>
      </c>
      <c r="M499" s="26" t="str">
        <f ca="1">IFERROR(VLOOKUP($L501,OFFSET(missions!$A$2,0,0,COUNTA($A:$A),MATCH(M$1,missions!$2:$2,0)-MATCH("mission_id",missions!$2:$2,0)+1),MATCH(M$1,missions!$2:$2,0)-MATCH("mission_id",missions!$2:$2,0)+1,FALSE),"")</f>
        <v/>
      </c>
      <c r="N499" s="26" t="str">
        <f ca="1">IFERROR(VLOOKUP($L501,OFFSET(missions!$A$2,0,0,COUNTA($A:$A),MATCH(N$1,missions!$2:$2,0)-MATCH("mission_id",missions!$2:$2,0)+1),MATCH(N$1,missions!$2:$2,0)-MATCH("mission_id",missions!$2:$2,0)+1,FALSE),"")</f>
        <v/>
      </c>
    </row>
    <row r="500" spans="1:14" ht="21" customHeight="1" x14ac:dyDescent="0.15">
      <c r="A500" s="2" t="s">
        <v>95</v>
      </c>
      <c r="B500" s="21" t="s">
        <v>792</v>
      </c>
      <c r="C500" s="26" t="str">
        <f t="shared" ca="1" si="52"/>
        <v>通算 250 日ログインしよう！</v>
      </c>
      <c r="D500" s="26" t="str">
        <f ca="1">IFERROR(VLOOKUP($A500,OFFSET(achievement_criterion_id,0,0,COUNTA($A:$A),MATCH(D$1,missions!$2:$2,0)-MATCH($A$1,missions!$2:$2,0)+1),MATCH(D$1,missions!$2:$2,0)-MATCH($A$1,missions!$2:$2,0)+1,FALSE),IFERROR(VLOOKUP($A500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500" s="27" t="s">
        <v>864</v>
      </c>
      <c r="F500" s="17" t="s">
        <v>18</v>
      </c>
      <c r="G500" s="26" t="str">
        <f ca="1">VLOOKUP($F500,OFFSET(達成条件!$A$1,0,0,COUNTA($A:$A),MATCH(G$1,達成条件!$1:$1,0)-MATCH($F$1,達成条件!$1:$1,0)+1),MATCH(G$1,達成条件!$1:$1,0)-MATCH($F$1,達成条件!$1:$1,0)+1,FALSE)</f>
        <v>通算 x 日ログインしよう！</v>
      </c>
      <c r="H500" s="26" t="str">
        <f ca="1">VLOOKUP($F500,OFFSET(達成条件!$A$1,0,0,COUNTA($A:$A),MATCH(H$1,達成条件!$1:$1,0)-MATCH($F$1,達成条件!$1:$1,0)+1),MATCH(H$1,達成条件!$1:$1,0)-MATCH($F$1,達成条件!$1:$1,0)+1,FALSE)</f>
        <v>ログイン回数</v>
      </c>
      <c r="I500" s="56">
        <v>250</v>
      </c>
      <c r="J500" s="54" t="str">
        <f ca="1">IF(F500="specific_unit_aquired_count",SUBSTITUTE(G500,"x",VLOOKUP(INT($I500),OFFSET([3]characters!$A$2,0,0,COUNTA([3]characters!$A:$A),MATCH(J$1,[3]characters!$2:$2,0)-MATCH("character_id",[3]characters!$2:$2,0)+1),MATCH(J$1,[3]characters!$2:$2,0)-MATCH("character_id",[3]characters!$2:$2,0)+1,FALSE)),IF(F500="specific_quest_clear",VLOOKUP(SUBSTITUTE(I500,"-","_"),OFFSET([2]stages!$A$2,0,0,COUNTA([2]stages!$A:$A),MATCH("name",[2]stages!$2:$2,0)-MATCH("temp_stage",[2]stages!$2:$2,0)+1),MATCH("name",[2]stages!$2:$2,0)-MATCH("temp_stage",[2]stages!$2:$2,0)+1,FALSE),""))</f>
        <v/>
      </c>
      <c r="K500" s="15">
        <v>1</v>
      </c>
      <c r="L500" s="15">
        <v>6031</v>
      </c>
      <c r="M500" s="26" t="str">
        <f ca="1">IFERROR(VLOOKUP($L502,OFFSET(missions!$A$2,0,0,COUNTA($A:$A),MATCH(M$1,missions!$2:$2,0)-MATCH("mission_id",missions!$2:$2,0)+1),MATCH(M$1,missions!$2:$2,0)-MATCH("mission_id",missions!$2:$2,0)+1,FALSE),"")</f>
        <v/>
      </c>
      <c r="N500" s="26" t="str">
        <f ca="1">IFERROR(VLOOKUP($L502,OFFSET(missions!$A$2,0,0,COUNTA($A:$A),MATCH(N$1,missions!$2:$2,0)-MATCH("mission_id",missions!$2:$2,0)+1),MATCH(N$1,missions!$2:$2,0)-MATCH("mission_id",missions!$2:$2,0)+1,FALSE),"")</f>
        <v/>
      </c>
    </row>
    <row r="501" spans="1:14" ht="21" customHeight="1" x14ac:dyDescent="0.15">
      <c r="A501" s="2" t="s">
        <v>96</v>
      </c>
      <c r="B501" s="21" t="s">
        <v>792</v>
      </c>
      <c r="C501" s="26" t="str">
        <f t="shared" ca="1" si="52"/>
        <v>通算 260 日ログインしよう！</v>
      </c>
      <c r="D501" s="26" t="str">
        <f ca="1">IFERROR(VLOOKUP($A501,OFFSET(achievement_criterion_id,0,0,COUNTA($A:$A),MATCH(D$1,missions!$2:$2,0)-MATCH($A$1,missions!$2:$2,0)+1),MATCH(D$1,missions!$2:$2,0)-MATCH($A$1,missions!$2:$2,0)+1,FALSE),IFERROR(VLOOKUP($A501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01" s="27" t="s">
        <v>864</v>
      </c>
      <c r="F501" s="17" t="s">
        <v>18</v>
      </c>
      <c r="G501" s="26" t="str">
        <f ca="1">VLOOKUP($F501,OFFSET(達成条件!$A$1,0,0,COUNTA($A:$A),MATCH(G$1,達成条件!$1:$1,0)-MATCH($F$1,達成条件!$1:$1,0)+1),MATCH(G$1,達成条件!$1:$1,0)-MATCH($F$1,達成条件!$1:$1,0)+1,FALSE)</f>
        <v>通算 x 日ログインしよう！</v>
      </c>
      <c r="H501" s="26" t="str">
        <f ca="1">VLOOKUP($F501,OFFSET(達成条件!$A$1,0,0,COUNTA($A:$A),MATCH(H$1,達成条件!$1:$1,0)-MATCH($F$1,達成条件!$1:$1,0)+1),MATCH(H$1,達成条件!$1:$1,0)-MATCH($F$1,達成条件!$1:$1,0)+1,FALSE)</f>
        <v>ログイン回数</v>
      </c>
      <c r="I501" s="56">
        <v>260</v>
      </c>
      <c r="J501" s="54" t="str">
        <f ca="1">IF(F501="specific_unit_aquired_count",SUBSTITUTE(G501,"x",VLOOKUP(INT($I501),OFFSET([3]characters!$A$2,0,0,COUNTA([3]characters!$A:$A),MATCH(J$1,[3]characters!$2:$2,0)-MATCH("character_id",[3]characters!$2:$2,0)+1),MATCH(J$1,[3]characters!$2:$2,0)-MATCH("character_id",[3]characters!$2:$2,0)+1,FALSE)),IF(F501="specific_quest_clear",VLOOKUP(SUBSTITUTE(I501,"-","_"),OFFSET([2]stages!$A$2,0,0,COUNTA([2]stages!$A:$A),MATCH("name",[2]stages!$2:$2,0)-MATCH("temp_stage",[2]stages!$2:$2,0)+1),MATCH("name",[2]stages!$2:$2,0)-MATCH("temp_stage",[2]stages!$2:$2,0)+1,FALSE),""))</f>
        <v/>
      </c>
      <c r="K501" s="15">
        <v>1</v>
      </c>
      <c r="L501" s="15">
        <v>6032</v>
      </c>
      <c r="M501" s="26" t="str">
        <f ca="1">IFERROR(VLOOKUP($L503,OFFSET(missions!$A$2,0,0,COUNTA($A:$A),MATCH(M$1,missions!$2:$2,0)-MATCH("mission_id",missions!$2:$2,0)+1),MATCH(M$1,missions!$2:$2,0)-MATCH("mission_id",missions!$2:$2,0)+1,FALSE),"")</f>
        <v/>
      </c>
      <c r="N501" s="26" t="str">
        <f ca="1">IFERROR(VLOOKUP($L503,OFFSET(missions!$A$2,0,0,COUNTA($A:$A),MATCH(N$1,missions!$2:$2,0)-MATCH("mission_id",missions!$2:$2,0)+1),MATCH(N$1,missions!$2:$2,0)-MATCH("mission_id",missions!$2:$2,0)+1,FALSE),"")</f>
        <v/>
      </c>
    </row>
    <row r="502" spans="1:14" ht="21" customHeight="1" x14ac:dyDescent="0.15">
      <c r="A502" s="2" t="s">
        <v>97</v>
      </c>
      <c r="B502" s="21" t="s">
        <v>792</v>
      </c>
      <c r="C502" s="26" t="str">
        <f t="shared" ca="1" si="52"/>
        <v>通算 270 日ログインしよう！</v>
      </c>
      <c r="D502" s="26" t="str">
        <f ca="1">IFERROR(VLOOKUP($A502,OFFSET(achievement_criterion_id,0,0,COUNTA($A:$A),MATCH(D$1,missions!$2:$2,0)-MATCH($A$1,missions!$2:$2,0)+1),MATCH(D$1,missions!$2:$2,0)-MATCH($A$1,missions!$2:$2,0)+1,FALSE),IFERROR(VLOOKUP($A502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02" s="27" t="s">
        <v>864</v>
      </c>
      <c r="F502" s="17" t="s">
        <v>18</v>
      </c>
      <c r="G502" s="26" t="str">
        <f ca="1">VLOOKUP($F502,OFFSET(達成条件!$A$1,0,0,COUNTA($A:$A),MATCH(G$1,達成条件!$1:$1,0)-MATCH($F$1,達成条件!$1:$1,0)+1),MATCH(G$1,達成条件!$1:$1,0)-MATCH($F$1,達成条件!$1:$1,0)+1,FALSE)</f>
        <v>通算 x 日ログインしよう！</v>
      </c>
      <c r="H502" s="26" t="str">
        <f ca="1">VLOOKUP($F502,OFFSET(達成条件!$A$1,0,0,COUNTA($A:$A),MATCH(H$1,達成条件!$1:$1,0)-MATCH($F$1,達成条件!$1:$1,0)+1),MATCH(H$1,達成条件!$1:$1,0)-MATCH($F$1,達成条件!$1:$1,0)+1,FALSE)</f>
        <v>ログイン回数</v>
      </c>
      <c r="I502" s="56">
        <v>270</v>
      </c>
      <c r="J502" s="54" t="str">
        <f ca="1">IF(F502="specific_unit_aquired_count",SUBSTITUTE(G502,"x",VLOOKUP(INT($I502),OFFSET([3]characters!$A$2,0,0,COUNTA([3]characters!$A:$A),MATCH(J$1,[3]characters!$2:$2,0)-MATCH("character_id",[3]characters!$2:$2,0)+1),MATCH(J$1,[3]characters!$2:$2,0)-MATCH("character_id",[3]characters!$2:$2,0)+1,FALSE)),IF(F502="specific_quest_clear",VLOOKUP(SUBSTITUTE(I502,"-","_"),OFFSET([2]stages!$A$2,0,0,COUNTA([2]stages!$A:$A),MATCH("name",[2]stages!$2:$2,0)-MATCH("temp_stage",[2]stages!$2:$2,0)+1),MATCH("name",[2]stages!$2:$2,0)-MATCH("temp_stage",[2]stages!$2:$2,0)+1,FALSE),""))</f>
        <v/>
      </c>
      <c r="K502" s="15">
        <v>1</v>
      </c>
      <c r="L502" s="15">
        <v>6033</v>
      </c>
      <c r="M502" s="26" t="str">
        <f ca="1">IFERROR(VLOOKUP($L504,OFFSET(missions!$A$2,0,0,COUNTA($A:$A),MATCH(M$1,missions!$2:$2,0)-MATCH("mission_id",missions!$2:$2,0)+1),MATCH(M$1,missions!$2:$2,0)-MATCH("mission_id",missions!$2:$2,0)+1,FALSE),"")</f>
        <v>通算 300 日ログインしよう！</v>
      </c>
      <c r="N502" s="26" t="str">
        <f ca="1">IFERROR(VLOOKUP($L504,OFFSET(missions!$A$2,0,0,COUNTA($A:$A),MATCH(N$1,missions!$2:$2,0)-MATCH("mission_id",missions!$2:$2,0)+1),MATCH(N$1,missions!$2:$2,0)-MATCH("mission_id",missions!$2:$2,0)+1,FALSE),"")</f>
        <v>ポリゴン x 10</v>
      </c>
    </row>
    <row r="503" spans="1:14" ht="21" customHeight="1" x14ac:dyDescent="0.15">
      <c r="A503" s="2" t="s">
        <v>98</v>
      </c>
      <c r="B503" s="21" t="s">
        <v>792</v>
      </c>
      <c r="C503" s="26" t="str">
        <f t="shared" ca="1" si="52"/>
        <v>通算 280 日ログインしよう！</v>
      </c>
      <c r="D503" s="26" t="str">
        <f ca="1">IFERROR(VLOOKUP($A503,OFFSET(achievement_criterion_id,0,0,COUNTA($A:$A),MATCH(D$1,missions!$2:$2,0)-MATCH($A$1,missions!$2:$2,0)+1),MATCH(D$1,missions!$2:$2,0)-MATCH($A$1,missions!$2:$2,0)+1,FALSE),IFERROR(VLOOKUP($A503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03" s="27" t="s">
        <v>864</v>
      </c>
      <c r="F503" s="17" t="s">
        <v>18</v>
      </c>
      <c r="G503" s="26" t="str">
        <f ca="1">VLOOKUP($F503,OFFSET(達成条件!$A$1,0,0,COUNTA($A:$A),MATCH(G$1,達成条件!$1:$1,0)-MATCH($F$1,達成条件!$1:$1,0)+1),MATCH(G$1,達成条件!$1:$1,0)-MATCH($F$1,達成条件!$1:$1,0)+1,FALSE)</f>
        <v>通算 x 日ログインしよう！</v>
      </c>
      <c r="H503" s="26" t="str">
        <f ca="1">VLOOKUP($F503,OFFSET(達成条件!$A$1,0,0,COUNTA($A:$A),MATCH(H$1,達成条件!$1:$1,0)-MATCH($F$1,達成条件!$1:$1,0)+1),MATCH(H$1,達成条件!$1:$1,0)-MATCH($F$1,達成条件!$1:$1,0)+1,FALSE)</f>
        <v>ログイン回数</v>
      </c>
      <c r="I503" s="56">
        <v>280</v>
      </c>
      <c r="J503" s="54" t="str">
        <f ca="1">IF(F503="specific_unit_aquired_count",SUBSTITUTE(G503,"x",VLOOKUP(INT($I503),OFFSET([3]characters!$A$2,0,0,COUNTA([3]characters!$A:$A),MATCH(J$1,[3]characters!$2:$2,0)-MATCH("character_id",[3]characters!$2:$2,0)+1),MATCH(J$1,[3]characters!$2:$2,0)-MATCH("character_id",[3]characters!$2:$2,0)+1,FALSE)),IF(F503="specific_quest_clear",VLOOKUP(SUBSTITUTE(I503,"-","_"),OFFSET([2]stages!$A$2,0,0,COUNTA([2]stages!$A:$A),MATCH("name",[2]stages!$2:$2,0)-MATCH("temp_stage",[2]stages!$2:$2,0)+1),MATCH("name",[2]stages!$2:$2,0)-MATCH("temp_stage",[2]stages!$2:$2,0)+1,FALSE),""))</f>
        <v/>
      </c>
      <c r="K503" s="15">
        <v>1</v>
      </c>
      <c r="L503" s="15">
        <v>6034</v>
      </c>
      <c r="M503" s="26" t="str">
        <f ca="1">IFERROR(VLOOKUP($L505,OFFSET(missions!$A$2,0,0,COUNTA($A:$A),MATCH(M$1,missions!$2:$2,0)-MATCH("mission_id",missions!$2:$2,0)+1),MATCH(M$1,missions!$2:$2,0)-MATCH("mission_id",missions!$2:$2,0)+1,FALSE),"")</f>
        <v/>
      </c>
      <c r="N503" s="26" t="str">
        <f ca="1">IFERROR(VLOOKUP($L505,OFFSET(missions!$A$2,0,0,COUNTA($A:$A),MATCH(N$1,missions!$2:$2,0)-MATCH("mission_id",missions!$2:$2,0)+1),MATCH(N$1,missions!$2:$2,0)-MATCH("mission_id",missions!$2:$2,0)+1,FALSE),"")</f>
        <v/>
      </c>
    </row>
    <row r="504" spans="1:14" ht="21" customHeight="1" x14ac:dyDescent="0.15">
      <c r="A504" s="2" t="s">
        <v>99</v>
      </c>
      <c r="B504" s="21" t="s">
        <v>792</v>
      </c>
      <c r="C504" s="26" t="str">
        <f t="shared" ref="C504:C568" ca="1" si="62">IF(F504="specific_quest_clear",SUBSTITUTE(G504,"x",J504),IF(F504="specific_unit_aquired_count",SUBSTITUTE(J504,"y",K504),SUBSTITUTE(G504,"x",I504)))</f>
        <v>通算 290 日ログインしよう！</v>
      </c>
      <c r="D504" s="26" t="str">
        <f ca="1">IFERROR(VLOOKUP($A504,OFFSET(achievement_criterion_id,0,0,COUNTA($A:$A),MATCH(D$1,missions!$2:$2,0)-MATCH($A$1,missions!$2:$2,0)+1),MATCH(D$1,missions!$2:$2,0)-MATCH($A$1,missions!$2:$2,0)+1,FALSE),IFERROR(VLOOKUP($A504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04" s="27" t="s">
        <v>864</v>
      </c>
      <c r="F504" s="17" t="s">
        <v>18</v>
      </c>
      <c r="G504" s="26" t="str">
        <f ca="1">VLOOKUP($F504,OFFSET(達成条件!$A$1,0,0,COUNTA($A:$A),MATCH(G$1,達成条件!$1:$1,0)-MATCH($F$1,達成条件!$1:$1,0)+1),MATCH(G$1,達成条件!$1:$1,0)-MATCH($F$1,達成条件!$1:$1,0)+1,FALSE)</f>
        <v>通算 x 日ログインしよう！</v>
      </c>
      <c r="H504" s="26" t="str">
        <f ca="1">VLOOKUP($F504,OFFSET(達成条件!$A$1,0,0,COUNTA($A:$A),MATCH(H$1,達成条件!$1:$1,0)-MATCH($F$1,達成条件!$1:$1,0)+1),MATCH(H$1,達成条件!$1:$1,0)-MATCH($F$1,達成条件!$1:$1,0)+1,FALSE)</f>
        <v>ログイン回数</v>
      </c>
      <c r="I504" s="56">
        <v>290</v>
      </c>
      <c r="J504" s="54" t="str">
        <f ca="1">IF(F504="specific_unit_aquired_count",SUBSTITUTE(G504,"x",VLOOKUP(INT($I504),OFFSET([3]characters!$A$2,0,0,COUNTA([3]characters!$A:$A),MATCH(J$1,[3]characters!$2:$2,0)-MATCH("character_id",[3]characters!$2:$2,0)+1),MATCH(J$1,[3]characters!$2:$2,0)-MATCH("character_id",[3]characters!$2:$2,0)+1,FALSE)),IF(F504="specific_quest_clear",VLOOKUP(SUBSTITUTE(I504,"-","_"),OFFSET([2]stages!$A$2,0,0,COUNTA([2]stages!$A:$A),MATCH("name",[2]stages!$2:$2,0)-MATCH("temp_stage",[2]stages!$2:$2,0)+1),MATCH("name",[2]stages!$2:$2,0)-MATCH("temp_stage",[2]stages!$2:$2,0)+1,FALSE),""))</f>
        <v/>
      </c>
      <c r="K504" s="15">
        <v>1</v>
      </c>
      <c r="L504" s="15">
        <v>6035</v>
      </c>
      <c r="M504" s="26" t="str">
        <f ca="1">IFERROR(VLOOKUP($L506,OFFSET(missions!$A$2,0,0,COUNTA($A:$A),MATCH(M$1,missions!$2:$2,0)-MATCH("mission_id",missions!$2:$2,0)+1),MATCH(M$1,missions!$2:$2,0)-MATCH("mission_id",missions!$2:$2,0)+1,FALSE),"")</f>
        <v/>
      </c>
      <c r="N504" s="26" t="str">
        <f ca="1">IFERROR(VLOOKUP($L506,OFFSET(missions!$A$2,0,0,COUNTA($A:$A),MATCH(N$1,missions!$2:$2,0)-MATCH("mission_id",missions!$2:$2,0)+1),MATCH(N$1,missions!$2:$2,0)-MATCH("mission_id",missions!$2:$2,0)+1,FALSE),"")</f>
        <v/>
      </c>
    </row>
    <row r="505" spans="1:14" ht="21" customHeight="1" x14ac:dyDescent="0.15">
      <c r="A505" s="2" t="s">
        <v>100</v>
      </c>
      <c r="B505" s="21" t="s">
        <v>792</v>
      </c>
      <c r="C505" s="26" t="str">
        <f t="shared" ca="1" si="62"/>
        <v>通算 300 日ログインしよう！</v>
      </c>
      <c r="D505" s="26" t="str">
        <f ca="1">IFERROR(VLOOKUP($A505,OFFSET(achievement_criterion_id,0,0,COUNTA($A:$A),MATCH(D$1,missions!$2:$2,0)-MATCH($A$1,missions!$2:$2,0)+1),MATCH(D$1,missions!$2:$2,0)-MATCH($A$1,missions!$2:$2,0)+1,FALSE),IFERROR(VLOOKUP($A505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505" s="27" t="s">
        <v>864</v>
      </c>
      <c r="F505" s="17" t="s">
        <v>18</v>
      </c>
      <c r="G505" s="26" t="str">
        <f ca="1">VLOOKUP($F505,OFFSET(達成条件!$A$1,0,0,COUNTA($A:$A),MATCH(G$1,達成条件!$1:$1,0)-MATCH($F$1,達成条件!$1:$1,0)+1),MATCH(G$1,達成条件!$1:$1,0)-MATCH($F$1,達成条件!$1:$1,0)+1,FALSE)</f>
        <v>通算 x 日ログインしよう！</v>
      </c>
      <c r="H505" s="26" t="str">
        <f ca="1">VLOOKUP($F505,OFFSET(達成条件!$A$1,0,0,COUNTA($A:$A),MATCH(H$1,達成条件!$1:$1,0)-MATCH($F$1,達成条件!$1:$1,0)+1),MATCH(H$1,達成条件!$1:$1,0)-MATCH($F$1,達成条件!$1:$1,0)+1,FALSE)</f>
        <v>ログイン回数</v>
      </c>
      <c r="I505" s="56">
        <v>300</v>
      </c>
      <c r="J505" s="54" t="str">
        <f ca="1">IF(F505="specific_unit_aquired_count",SUBSTITUTE(G505,"x",VLOOKUP(INT($I505),OFFSET([3]characters!$A$2,0,0,COUNTA([3]characters!$A:$A),MATCH(J$1,[3]characters!$2:$2,0)-MATCH("character_id",[3]characters!$2:$2,0)+1),MATCH(J$1,[3]characters!$2:$2,0)-MATCH("character_id",[3]characters!$2:$2,0)+1,FALSE)),IF(F505="specific_quest_clear",VLOOKUP(SUBSTITUTE(I505,"-","_"),OFFSET([2]stages!$A$2,0,0,COUNTA([2]stages!$A:$A),MATCH("name",[2]stages!$2:$2,0)-MATCH("temp_stage",[2]stages!$2:$2,0)+1),MATCH("name",[2]stages!$2:$2,0)-MATCH("temp_stage",[2]stages!$2:$2,0)+1,FALSE),""))</f>
        <v/>
      </c>
      <c r="K505" s="15">
        <v>1</v>
      </c>
      <c r="L505" s="15">
        <v>6036</v>
      </c>
      <c r="M505" s="26" t="str">
        <f ca="1">IFERROR(VLOOKUP($L507,OFFSET(missions!$A$2,0,0,COUNTA($A:$A),MATCH(M$1,missions!$2:$2,0)-MATCH("mission_id",missions!$2:$2,0)+1),MATCH(M$1,missions!$2:$2,0)-MATCH("mission_id",missions!$2:$2,0)+1,FALSE),"")</f>
        <v/>
      </c>
      <c r="N505" s="26" t="str">
        <f ca="1">IFERROR(VLOOKUP($L507,OFFSET(missions!$A$2,0,0,COUNTA($A:$A),MATCH(N$1,missions!$2:$2,0)-MATCH("mission_id",missions!$2:$2,0)+1),MATCH(N$1,missions!$2:$2,0)-MATCH("mission_id",missions!$2:$2,0)+1,FALSE),"")</f>
        <v/>
      </c>
    </row>
    <row r="506" spans="1:14" ht="21" customHeight="1" x14ac:dyDescent="0.15">
      <c r="A506" s="2" t="s">
        <v>101</v>
      </c>
      <c r="B506" s="21" t="s">
        <v>792</v>
      </c>
      <c r="C506" s="26" t="str">
        <f t="shared" ca="1" si="62"/>
        <v>通算 310 日ログインしよう！</v>
      </c>
      <c r="D506" s="26" t="str">
        <f ca="1">IFERROR(VLOOKUP($A506,OFFSET(achievement_criterion_id,0,0,COUNTA($A:$A),MATCH(D$1,missions!$2:$2,0)-MATCH($A$1,missions!$2:$2,0)+1),MATCH(D$1,missions!$2:$2,0)-MATCH($A$1,missions!$2:$2,0)+1,FALSE),IFERROR(VLOOKUP($A506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06" s="27" t="s">
        <v>864</v>
      </c>
      <c r="F506" s="17" t="s">
        <v>18</v>
      </c>
      <c r="G506" s="26" t="str">
        <f ca="1">VLOOKUP($F506,OFFSET(達成条件!$A$1,0,0,COUNTA($A:$A),MATCH(G$1,達成条件!$1:$1,0)-MATCH($F$1,達成条件!$1:$1,0)+1),MATCH(G$1,達成条件!$1:$1,0)-MATCH($F$1,達成条件!$1:$1,0)+1,FALSE)</f>
        <v>通算 x 日ログインしよう！</v>
      </c>
      <c r="H506" s="26" t="str">
        <f ca="1">VLOOKUP($F506,OFFSET(達成条件!$A$1,0,0,COUNTA($A:$A),MATCH(H$1,達成条件!$1:$1,0)-MATCH($F$1,達成条件!$1:$1,0)+1),MATCH(H$1,達成条件!$1:$1,0)-MATCH($F$1,達成条件!$1:$1,0)+1,FALSE)</f>
        <v>ログイン回数</v>
      </c>
      <c r="I506" s="56">
        <v>310</v>
      </c>
      <c r="J506" s="54" t="str">
        <f ca="1">IF(F506="specific_unit_aquired_count",SUBSTITUTE(G506,"x",VLOOKUP(INT($I506),OFFSET([3]characters!$A$2,0,0,COUNTA([3]characters!$A:$A),MATCH(J$1,[3]characters!$2:$2,0)-MATCH("character_id",[3]characters!$2:$2,0)+1),MATCH(J$1,[3]characters!$2:$2,0)-MATCH("character_id",[3]characters!$2:$2,0)+1,FALSE)),IF(F506="specific_quest_clear",VLOOKUP(SUBSTITUTE(I506,"-","_"),OFFSET([2]stages!$A$2,0,0,COUNTA([2]stages!$A:$A),MATCH("name",[2]stages!$2:$2,0)-MATCH("temp_stage",[2]stages!$2:$2,0)+1),MATCH("name",[2]stages!$2:$2,0)-MATCH("temp_stage",[2]stages!$2:$2,0)+1,FALSE),""))</f>
        <v/>
      </c>
      <c r="K506" s="15">
        <v>1</v>
      </c>
      <c r="L506" s="15">
        <v>6037</v>
      </c>
      <c r="M506" s="26" t="str">
        <f ca="1">IFERROR(VLOOKUP($L508,OFFSET(missions!$A$2,0,0,COUNTA($A:$A),MATCH(M$1,missions!$2:$2,0)-MATCH("mission_id",missions!$2:$2,0)+1),MATCH(M$1,missions!$2:$2,0)-MATCH("mission_id",missions!$2:$2,0)+1,FALSE),"")</f>
        <v/>
      </c>
      <c r="N506" s="26" t="str">
        <f ca="1">IFERROR(VLOOKUP($L508,OFFSET(missions!$A$2,0,0,COUNTA($A:$A),MATCH(N$1,missions!$2:$2,0)-MATCH("mission_id",missions!$2:$2,0)+1),MATCH(N$1,missions!$2:$2,0)-MATCH("mission_id",missions!$2:$2,0)+1,FALSE),"")</f>
        <v/>
      </c>
    </row>
    <row r="507" spans="1:14" ht="21" customHeight="1" x14ac:dyDescent="0.15">
      <c r="A507" s="2" t="s">
        <v>102</v>
      </c>
      <c r="B507" s="21" t="s">
        <v>792</v>
      </c>
      <c r="C507" s="26" t="str">
        <f t="shared" ca="1" si="62"/>
        <v>通算 320 日ログインしよう！</v>
      </c>
      <c r="D507" s="26" t="str">
        <f ca="1">IFERROR(VLOOKUP($A507,OFFSET(achievement_criterion_id,0,0,COUNTA($A:$A),MATCH(D$1,missions!$2:$2,0)-MATCH($A$1,missions!$2:$2,0)+1),MATCH(D$1,missions!$2:$2,0)-MATCH($A$1,missions!$2:$2,0)+1,FALSE),IFERROR(VLOOKUP($A507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07" s="27" t="s">
        <v>864</v>
      </c>
      <c r="F507" s="17" t="s">
        <v>18</v>
      </c>
      <c r="G507" s="26" t="str">
        <f ca="1">VLOOKUP($F507,OFFSET(達成条件!$A$1,0,0,COUNTA($A:$A),MATCH(G$1,達成条件!$1:$1,0)-MATCH($F$1,達成条件!$1:$1,0)+1),MATCH(G$1,達成条件!$1:$1,0)-MATCH($F$1,達成条件!$1:$1,0)+1,FALSE)</f>
        <v>通算 x 日ログインしよう！</v>
      </c>
      <c r="H507" s="26" t="str">
        <f ca="1">VLOOKUP($F507,OFFSET(達成条件!$A$1,0,0,COUNTA($A:$A),MATCH(H$1,達成条件!$1:$1,0)-MATCH($F$1,達成条件!$1:$1,0)+1),MATCH(H$1,達成条件!$1:$1,0)-MATCH($F$1,達成条件!$1:$1,0)+1,FALSE)</f>
        <v>ログイン回数</v>
      </c>
      <c r="I507" s="56">
        <v>320</v>
      </c>
      <c r="J507" s="54" t="str">
        <f ca="1">IF(F507="specific_unit_aquired_count",SUBSTITUTE(G507,"x",VLOOKUP(INT($I507),OFFSET([3]characters!$A$2,0,0,COUNTA([3]characters!$A:$A),MATCH(J$1,[3]characters!$2:$2,0)-MATCH("character_id",[3]characters!$2:$2,0)+1),MATCH(J$1,[3]characters!$2:$2,0)-MATCH("character_id",[3]characters!$2:$2,0)+1,FALSE)),IF(F507="specific_quest_clear",VLOOKUP(SUBSTITUTE(I507,"-","_"),OFFSET([2]stages!$A$2,0,0,COUNTA([2]stages!$A:$A),MATCH("name",[2]stages!$2:$2,0)-MATCH("temp_stage",[2]stages!$2:$2,0)+1),MATCH("name",[2]stages!$2:$2,0)-MATCH("temp_stage",[2]stages!$2:$2,0)+1,FALSE),""))</f>
        <v/>
      </c>
      <c r="K507" s="15">
        <v>1</v>
      </c>
      <c r="L507" s="15">
        <v>6038</v>
      </c>
      <c r="M507" s="26" t="str">
        <f ca="1">IFERROR(VLOOKUP($L509,OFFSET(missions!$A$2,0,0,COUNTA($A:$A),MATCH(M$1,missions!$2:$2,0)-MATCH("mission_id",missions!$2:$2,0)+1),MATCH(M$1,missions!$2:$2,0)-MATCH("mission_id",missions!$2:$2,0)+1,FALSE),"")</f>
        <v>通算 350 日ログインしよう！</v>
      </c>
      <c r="N507" s="26" t="str">
        <f ca="1">IFERROR(VLOOKUP($L509,OFFSET(missions!$A$2,0,0,COUNTA($A:$A),MATCH(N$1,missions!$2:$2,0)-MATCH("mission_id",missions!$2:$2,0)+1),MATCH(N$1,missions!$2:$2,0)-MATCH("mission_id",missions!$2:$2,0)+1,FALSE),"")</f>
        <v>ポリゴン x 10</v>
      </c>
    </row>
    <row r="508" spans="1:14" ht="21" customHeight="1" x14ac:dyDescent="0.15">
      <c r="A508" s="2" t="s">
        <v>103</v>
      </c>
      <c r="B508" s="21" t="s">
        <v>792</v>
      </c>
      <c r="C508" s="26" t="str">
        <f t="shared" ca="1" si="62"/>
        <v>通算 330 日ログインしよう！</v>
      </c>
      <c r="D508" s="26" t="str">
        <f ca="1">IFERROR(VLOOKUP($A508,OFFSET(achievement_criterion_id,0,0,COUNTA($A:$A),MATCH(D$1,missions!$2:$2,0)-MATCH($A$1,missions!$2:$2,0)+1),MATCH(D$1,missions!$2:$2,0)-MATCH($A$1,missions!$2:$2,0)+1,FALSE),IFERROR(VLOOKUP($A508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08" s="27" t="s">
        <v>864</v>
      </c>
      <c r="F508" s="17" t="s">
        <v>18</v>
      </c>
      <c r="G508" s="26" t="str">
        <f ca="1">VLOOKUP($F508,OFFSET(達成条件!$A$1,0,0,COUNTA($A:$A),MATCH(G$1,達成条件!$1:$1,0)-MATCH($F$1,達成条件!$1:$1,0)+1),MATCH(G$1,達成条件!$1:$1,0)-MATCH($F$1,達成条件!$1:$1,0)+1,FALSE)</f>
        <v>通算 x 日ログインしよう！</v>
      </c>
      <c r="H508" s="26" t="str">
        <f ca="1">VLOOKUP($F508,OFFSET(達成条件!$A$1,0,0,COUNTA($A:$A),MATCH(H$1,達成条件!$1:$1,0)-MATCH($F$1,達成条件!$1:$1,0)+1),MATCH(H$1,達成条件!$1:$1,0)-MATCH($F$1,達成条件!$1:$1,0)+1,FALSE)</f>
        <v>ログイン回数</v>
      </c>
      <c r="I508" s="56">
        <v>330</v>
      </c>
      <c r="J508" s="54" t="str">
        <f ca="1">IF(F508="specific_unit_aquired_count",SUBSTITUTE(G508,"x",VLOOKUP(INT($I508),OFFSET([3]characters!$A$2,0,0,COUNTA([3]characters!$A:$A),MATCH(J$1,[3]characters!$2:$2,0)-MATCH("character_id",[3]characters!$2:$2,0)+1),MATCH(J$1,[3]characters!$2:$2,0)-MATCH("character_id",[3]characters!$2:$2,0)+1,FALSE)),IF(F508="specific_quest_clear",VLOOKUP(SUBSTITUTE(I508,"-","_"),OFFSET([2]stages!$A$2,0,0,COUNTA([2]stages!$A:$A),MATCH("name",[2]stages!$2:$2,0)-MATCH("temp_stage",[2]stages!$2:$2,0)+1),MATCH("name",[2]stages!$2:$2,0)-MATCH("temp_stage",[2]stages!$2:$2,0)+1,FALSE),""))</f>
        <v/>
      </c>
      <c r="K508" s="15">
        <v>1</v>
      </c>
      <c r="L508" s="15">
        <v>6039</v>
      </c>
      <c r="M508" s="26" t="str">
        <f ca="1">IFERROR(VLOOKUP($L510,OFFSET(missions!$A$2,0,0,COUNTA($A:$A),MATCH(M$1,missions!$2:$2,0)-MATCH("mission_id",missions!$2:$2,0)+1),MATCH(M$1,missions!$2:$2,0)-MATCH("mission_id",missions!$2:$2,0)+1,FALSE),"")</f>
        <v/>
      </c>
      <c r="N508" s="26" t="str">
        <f ca="1">IFERROR(VLOOKUP($L510,OFFSET(missions!$A$2,0,0,COUNTA($A:$A),MATCH(N$1,missions!$2:$2,0)-MATCH("mission_id",missions!$2:$2,0)+1),MATCH(N$1,missions!$2:$2,0)-MATCH("mission_id",missions!$2:$2,0)+1,FALSE),"")</f>
        <v/>
      </c>
    </row>
    <row r="509" spans="1:14" ht="21" customHeight="1" x14ac:dyDescent="0.15">
      <c r="A509" s="2" t="s">
        <v>104</v>
      </c>
      <c r="B509" s="21" t="s">
        <v>792</v>
      </c>
      <c r="C509" s="26" t="str">
        <f t="shared" ca="1" si="62"/>
        <v>通算 340 日ログインしよう！</v>
      </c>
      <c r="D509" s="26" t="str">
        <f ca="1">IFERROR(VLOOKUP($A509,OFFSET(achievement_criterion_id,0,0,COUNTA($A:$A),MATCH(D$1,missions!$2:$2,0)-MATCH($A$1,missions!$2:$2,0)+1),MATCH(D$1,missions!$2:$2,0)-MATCH($A$1,missions!$2:$2,0)+1,FALSE),IFERROR(VLOOKUP($A509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09" s="27" t="s">
        <v>864</v>
      </c>
      <c r="F509" s="17" t="s">
        <v>18</v>
      </c>
      <c r="G509" s="26" t="str">
        <f ca="1">VLOOKUP($F509,OFFSET(達成条件!$A$1,0,0,COUNTA($A:$A),MATCH(G$1,達成条件!$1:$1,0)-MATCH($F$1,達成条件!$1:$1,0)+1),MATCH(G$1,達成条件!$1:$1,0)-MATCH($F$1,達成条件!$1:$1,0)+1,FALSE)</f>
        <v>通算 x 日ログインしよう！</v>
      </c>
      <c r="H509" s="26" t="str">
        <f ca="1">VLOOKUP($F509,OFFSET(達成条件!$A$1,0,0,COUNTA($A:$A),MATCH(H$1,達成条件!$1:$1,0)-MATCH($F$1,達成条件!$1:$1,0)+1),MATCH(H$1,達成条件!$1:$1,0)-MATCH($F$1,達成条件!$1:$1,0)+1,FALSE)</f>
        <v>ログイン回数</v>
      </c>
      <c r="I509" s="56">
        <v>340</v>
      </c>
      <c r="J509" s="54" t="str">
        <f ca="1">IF(F509="specific_unit_aquired_count",SUBSTITUTE(G509,"x",VLOOKUP(INT($I509),OFFSET([3]characters!$A$2,0,0,COUNTA([3]characters!$A:$A),MATCH(J$1,[3]characters!$2:$2,0)-MATCH("character_id",[3]characters!$2:$2,0)+1),MATCH(J$1,[3]characters!$2:$2,0)-MATCH("character_id",[3]characters!$2:$2,0)+1,FALSE)),IF(F509="specific_quest_clear",VLOOKUP(SUBSTITUTE(I509,"-","_"),OFFSET([2]stages!$A$2,0,0,COUNTA([2]stages!$A:$A),MATCH("name",[2]stages!$2:$2,0)-MATCH("temp_stage",[2]stages!$2:$2,0)+1),MATCH("name",[2]stages!$2:$2,0)-MATCH("temp_stage",[2]stages!$2:$2,0)+1,FALSE),""))</f>
        <v/>
      </c>
      <c r="K509" s="15">
        <v>1</v>
      </c>
      <c r="L509" s="15">
        <v>6040</v>
      </c>
      <c r="M509" s="26" t="str">
        <f ca="1">IFERROR(VLOOKUP($L511,OFFSET(missions!$A$2,0,0,COUNTA($A:$A),MATCH(M$1,missions!$2:$2,0)-MATCH("mission_id",missions!$2:$2,0)+1),MATCH(M$1,missions!$2:$2,0)-MATCH("mission_id",missions!$2:$2,0)+1,FALSE),"")</f>
        <v>通算 365 日ログインしよう！</v>
      </c>
      <c r="N509" s="26" t="str">
        <f ca="1">IFERROR(VLOOKUP($L511,OFFSET(missions!$A$2,0,0,COUNTA($A:$A),MATCH(N$1,missions!$2:$2,0)-MATCH("mission_id",missions!$2:$2,0)+1),MATCH(N$1,missions!$2:$2,0)-MATCH("mission_id",missions!$2:$2,0)+1,FALSE),"")</f>
        <v>ポリゴン x 5</v>
      </c>
    </row>
    <row r="510" spans="1:14" ht="21" customHeight="1" x14ac:dyDescent="0.15">
      <c r="A510" s="2" t="s">
        <v>917</v>
      </c>
      <c r="B510" s="21" t="s">
        <v>792</v>
      </c>
      <c r="C510" s="26" t="str">
        <f ca="1">IF(F510="specific_quest_clear",SUBSTITUTE(G510,"x",J510),IF(F510="specific_unit_aquired_count",SUBSTITUTE(J510,"y",K510),SUBSTITUTE(G510,"x",I510)))</f>
        <v>通算 350 日ログインしよう！</v>
      </c>
      <c r="D510" s="26" t="str">
        <f ca="1">IFERROR(VLOOKUP($A510,OFFSET(achievement_criterion_id,0,0,COUNTA($A:$A),MATCH(D$1,missions!$2:$2,0)-MATCH($A$1,missions!$2:$2,0)+1),MATCH(D$1,missions!$2:$2,0)-MATCH($A$1,missions!$2:$2,0)+1,FALSE),IFERROR(VLOOKUP($A510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510" s="27" t="s">
        <v>864</v>
      </c>
      <c r="F510" s="17" t="s">
        <v>18</v>
      </c>
      <c r="G510" s="26" t="str">
        <f ca="1">VLOOKUP($F510,OFFSET(達成条件!$A$1,0,0,COUNTA($A:$A),MATCH(G$1,達成条件!$1:$1,0)-MATCH($F$1,達成条件!$1:$1,0)+1),MATCH(G$1,達成条件!$1:$1,0)-MATCH($F$1,達成条件!$1:$1,0)+1,FALSE)</f>
        <v>通算 x 日ログインしよう！</v>
      </c>
      <c r="H510" s="26" t="str">
        <f ca="1">VLOOKUP($F510,OFFSET(達成条件!$A$1,0,0,COUNTA($A:$A),MATCH(H$1,達成条件!$1:$1,0)-MATCH($F$1,達成条件!$1:$1,0)+1),MATCH(H$1,達成条件!$1:$1,0)-MATCH($F$1,達成条件!$1:$1,0)+1,FALSE)</f>
        <v>ログイン回数</v>
      </c>
      <c r="I510" s="56">
        <v>350</v>
      </c>
      <c r="J510" s="54" t="str">
        <f ca="1">IF(F510="specific_unit_aquired_count",SUBSTITUTE(G510,"x",VLOOKUP(INT($I510),OFFSET([3]characters!$A$2,0,0,COUNTA([3]characters!$A:$A),MATCH(J$1,[3]characters!$2:$2,0)-MATCH("character_id",[3]characters!$2:$2,0)+1),MATCH(J$1,[3]characters!$2:$2,0)-MATCH("character_id",[3]characters!$2:$2,0)+1,FALSE)),IF(F510="specific_quest_clear",VLOOKUP(SUBSTITUTE(I510,"-","_"),OFFSET([2]stages!$A$2,0,0,COUNTA([2]stages!$A:$A),MATCH("name",[2]stages!$2:$2,0)-MATCH("temp_stage",[2]stages!$2:$2,0)+1),MATCH("name",[2]stages!$2:$2,0)-MATCH("temp_stage",[2]stages!$2:$2,0)+1,FALSE),""))</f>
        <v/>
      </c>
      <c r="K510" s="15">
        <v>1</v>
      </c>
      <c r="L510" s="15">
        <v>6041</v>
      </c>
      <c r="M510" s="26"/>
      <c r="N510" s="26"/>
    </row>
    <row r="511" spans="1:14" ht="21" customHeight="1" x14ac:dyDescent="0.15">
      <c r="A511" s="2" t="s">
        <v>106</v>
      </c>
      <c r="B511" s="21" t="s">
        <v>792</v>
      </c>
      <c r="C511" s="26" t="str">
        <f t="shared" ca="1" si="62"/>
        <v>通算 360 日ログインしよう！</v>
      </c>
      <c r="D511" s="26" t="str">
        <f ca="1">IFERROR(VLOOKUP($A511,OFFSET(achievement_criterion_id,0,0,COUNTA($A:$A),MATCH(D$1,missions!$2:$2,0)-MATCH($A$1,missions!$2:$2,0)+1),MATCH(D$1,missions!$2:$2,0)-MATCH($A$1,missions!$2:$2,0)+1,FALSE),IFERROR(VLOOKUP($A511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11" s="27" t="s">
        <v>864</v>
      </c>
      <c r="F511" s="17" t="s">
        <v>18</v>
      </c>
      <c r="G511" s="26" t="str">
        <f ca="1">VLOOKUP($F511,OFFSET(達成条件!$A$1,0,0,COUNTA($A:$A),MATCH(G$1,達成条件!$1:$1,0)-MATCH($F$1,達成条件!$1:$1,0)+1),MATCH(G$1,達成条件!$1:$1,0)-MATCH($F$1,達成条件!$1:$1,0)+1,FALSE)</f>
        <v>通算 x 日ログインしよう！</v>
      </c>
      <c r="H511" s="26" t="str">
        <f ca="1">VLOOKUP($F511,OFFSET(達成条件!$A$1,0,0,COUNTA($A:$A),MATCH(H$1,達成条件!$1:$1,0)-MATCH($F$1,達成条件!$1:$1,0)+1),MATCH(H$1,達成条件!$1:$1,0)-MATCH($F$1,達成条件!$1:$1,0)+1,FALSE)</f>
        <v>ログイン回数</v>
      </c>
      <c r="I511" s="56">
        <v>360</v>
      </c>
      <c r="J511" s="54" t="str">
        <f ca="1">IF(F511="specific_unit_aquired_count",SUBSTITUTE(G511,"x",VLOOKUP(INT($I511),OFFSET([3]characters!$A$2,0,0,COUNTA([3]characters!$A:$A),MATCH(J$1,[3]characters!$2:$2,0)-MATCH("character_id",[3]characters!$2:$2,0)+1),MATCH(J$1,[3]characters!$2:$2,0)-MATCH("character_id",[3]characters!$2:$2,0)+1,FALSE)),IF(F511="specific_quest_clear",VLOOKUP(SUBSTITUTE(I511,"-","_"),OFFSET([2]stages!$A$2,0,0,COUNTA([2]stages!$A:$A),MATCH("name",[2]stages!$2:$2,0)-MATCH("temp_stage",[2]stages!$2:$2,0)+1),MATCH("name",[2]stages!$2:$2,0)-MATCH("temp_stage",[2]stages!$2:$2,0)+1,FALSE),""))</f>
        <v/>
      </c>
      <c r="K511" s="15">
        <v>1</v>
      </c>
      <c r="L511" s="15">
        <v>6042</v>
      </c>
      <c r="M511" s="26" t="str">
        <f ca="1">IFERROR(VLOOKUP($L513,OFFSET(missions!$A$2,0,0,COUNTA($A:$A),MATCH(M$1,missions!$2:$2,0)-MATCH("mission_id",missions!$2:$2,0)+1),MATCH(M$1,missions!$2:$2,0)-MATCH("mission_id",missions!$2:$2,0)+1,FALSE),"")</f>
        <v/>
      </c>
      <c r="N511" s="26" t="str">
        <f ca="1">IFERROR(VLOOKUP($L513,OFFSET(missions!$A$2,0,0,COUNTA($A:$A),MATCH(N$1,missions!$2:$2,0)-MATCH("mission_id",missions!$2:$2,0)+1),MATCH(N$1,missions!$2:$2,0)-MATCH("mission_id",missions!$2:$2,0)+1,FALSE),"")</f>
        <v/>
      </c>
    </row>
    <row r="512" spans="1:14" ht="21" customHeight="1" x14ac:dyDescent="0.15">
      <c r="A512" s="2" t="s">
        <v>911</v>
      </c>
      <c r="B512" s="21" t="s">
        <v>914</v>
      </c>
      <c r="C512" s="26" t="s">
        <v>918</v>
      </c>
      <c r="D512" s="26" t="str">
        <f ca="1">IFERROR(VLOOKUP($A512,OFFSET(achievement_criterion_id,0,0,COUNTA($A:$A),MATCH(D$1,missions!$2:$2,0)-MATCH($A$1,missions!$2:$2,0)+1),MATCH(D$1,missions!$2:$2,0)-MATCH($A$1,missions!$2:$2,0)+1,FALSE),IFERROR(VLOOKUP($A512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512" s="27" t="s">
        <v>929</v>
      </c>
      <c r="F512" s="17" t="s">
        <v>18</v>
      </c>
      <c r="G512" s="26" t="str">
        <f ca="1">VLOOKUP($F512,OFFSET(達成条件!$A$1,0,0,COUNTA($A:$A),MATCH(G$1,達成条件!$1:$1,0)-MATCH($F$1,達成条件!$1:$1,0)+1),MATCH(G$1,達成条件!$1:$1,0)-MATCH($F$1,達成条件!$1:$1,0)+1,FALSE)</f>
        <v>通算 x 日ログインしよう！</v>
      </c>
      <c r="H512" s="26" t="str">
        <f ca="1">VLOOKUP($F512,OFFSET(達成条件!$A$1,0,0,COUNTA($A:$A),MATCH(H$1,達成条件!$1:$1,0)-MATCH($F$1,達成条件!$1:$1,0)+1),MATCH(H$1,達成条件!$1:$1,0)-MATCH($F$1,達成条件!$1:$1,0)+1,FALSE)</f>
        <v>ログイン回数</v>
      </c>
      <c r="I512" s="56" t="s">
        <v>916</v>
      </c>
      <c r="J512" s="54" t="str">
        <f ca="1">IF(F512="specific_unit_aquired_count",SUBSTITUTE(G512,"x",VLOOKUP(INT($I512),OFFSET([3]characters!$A$2,0,0,COUNTA([3]characters!$A:$A),MATCH(J$1,[3]characters!$2:$2,0)-MATCH("character_id",[3]characters!$2:$2,0)+1),MATCH(J$1,[3]characters!$2:$2,0)-MATCH("character_id",[3]characters!$2:$2,0)+1,FALSE)),IF(F512="specific_quest_clear",VLOOKUP(SUBSTITUTE(I512,"-","_"),OFFSET([2]stages!$A$2,0,0,COUNTA([2]stages!$A:$A),MATCH("name",[2]stages!$2:$2,0)-MATCH("temp_stage",[2]stages!$2:$2,0)+1),MATCH("name",[2]stages!$2:$2,0)-MATCH("temp_stage",[2]stages!$2:$2,0)+1,FALSE),""))</f>
        <v/>
      </c>
      <c r="K512" s="15">
        <v>1</v>
      </c>
      <c r="L512" s="15">
        <v>6043</v>
      </c>
      <c r="M512" s="26" t="str">
        <f ca="1">IFERROR(VLOOKUP($L514,OFFSET(missions!$A$2,0,0,COUNTA($A:$A),MATCH(M$1,missions!$2:$2,0)-MATCH("mission_id",missions!$2:$2,0)+1),MATCH(M$1,missions!$2:$2,0)-MATCH("mission_id",missions!$2:$2,0)+1,FALSE),"")</f>
        <v/>
      </c>
      <c r="N512" s="26" t="str">
        <f ca="1">IFERROR(VLOOKUP($L514,OFFSET(missions!$A$2,0,0,COUNTA($A:$A),MATCH(N$1,missions!$2:$2,0)-MATCH("mission_id",missions!$2:$2,0)+1),MATCH(N$1,missions!$2:$2,0)-MATCH("mission_id",missions!$2:$2,0)+1,FALSE),"")</f>
        <v/>
      </c>
    </row>
    <row r="513" spans="1:14" ht="21" customHeight="1" x14ac:dyDescent="0.15">
      <c r="A513" s="2" t="s">
        <v>121</v>
      </c>
      <c r="B513" s="21" t="s">
        <v>792</v>
      </c>
      <c r="C513" s="26" t="str">
        <f t="shared" ca="1" si="62"/>
        <v>通算 370 日ログインしよう！</v>
      </c>
      <c r="D513" s="26" t="str">
        <f ca="1">IFERROR(VLOOKUP($A513,OFFSET(achievement_criterion_id,0,0,COUNTA($A:$A),MATCH(D$1,missions!$2:$2,0)-MATCH($A$1,missions!$2:$2,0)+1),MATCH(D$1,missions!$2:$2,0)-MATCH($A$1,missions!$2:$2,0)+1,FALSE),IFERROR(VLOOKUP($A513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13" s="27" t="s">
        <v>864</v>
      </c>
      <c r="F513" s="17" t="s">
        <v>915</v>
      </c>
      <c r="G513" s="26" t="str">
        <f ca="1">VLOOKUP($F513,OFFSET(達成条件!$A$1,0,0,COUNTA($A:$A),MATCH(G$1,達成条件!$1:$1,0)-MATCH($F$1,達成条件!$1:$1,0)+1),MATCH(G$1,達成条件!$1:$1,0)-MATCH($F$1,達成条件!$1:$1,0)+1,FALSE)</f>
        <v>通算 x 日ログインしよう！</v>
      </c>
      <c r="H513" s="26" t="str">
        <f ca="1">VLOOKUP($F513,OFFSET(達成条件!$A$1,0,0,COUNTA($A:$A),MATCH(H$1,達成条件!$1:$1,0)-MATCH($F$1,達成条件!$1:$1,0)+1),MATCH(H$1,達成条件!$1:$1,0)-MATCH($F$1,達成条件!$1:$1,0)+1,FALSE)</f>
        <v>ログイン回数</v>
      </c>
      <c r="I513" s="56">
        <v>370</v>
      </c>
      <c r="J513" s="54" t="str">
        <f ca="1">IF(F513="specific_unit_aquired_count",SUBSTITUTE(G513,"x",VLOOKUP(INT($I513),OFFSET([3]characters!$A$2,0,0,COUNTA([3]characters!$A:$A),MATCH(J$1,[3]characters!$2:$2,0)-MATCH("character_id",[3]characters!$2:$2,0)+1),MATCH(J$1,[3]characters!$2:$2,0)-MATCH("character_id",[3]characters!$2:$2,0)+1,FALSE)),IF(F513="specific_quest_clear",VLOOKUP(SUBSTITUTE(I513,"-","_"),OFFSET([2]stages!$A$2,0,0,COUNTA([2]stages!$A:$A),MATCH("name",[2]stages!$2:$2,0)-MATCH("temp_stage",[2]stages!$2:$2,0)+1),MATCH("name",[2]stages!$2:$2,0)-MATCH("temp_stage",[2]stages!$2:$2,0)+1,FALSE),""))</f>
        <v/>
      </c>
      <c r="K513" s="15">
        <v>1</v>
      </c>
      <c r="L513" s="15">
        <v>6044</v>
      </c>
      <c r="M513" s="26" t="str">
        <f ca="1">IFERROR(VLOOKUP($L515,OFFSET(missions!$A$2,0,0,COUNTA($A:$A),MATCH(M$1,missions!$2:$2,0)-MATCH("mission_id",missions!$2:$2,0)+1),MATCH(M$1,missions!$2:$2,0)-MATCH("mission_id",missions!$2:$2,0)+1,FALSE),"")</f>
        <v>通算 400 日ログインしよう！</v>
      </c>
      <c r="N513" s="26" t="str">
        <f ca="1">IFERROR(VLOOKUP($L515,OFFSET(missions!$A$2,0,0,COUNTA($A:$A),MATCH(N$1,missions!$2:$2,0)-MATCH("mission_id",missions!$2:$2,0)+1),MATCH(N$1,missions!$2:$2,0)-MATCH("mission_id",missions!$2:$2,0)+1,FALSE),"")</f>
        <v>ポリゴン x 10</v>
      </c>
    </row>
    <row r="514" spans="1:14" ht="21" customHeight="1" x14ac:dyDescent="0.15">
      <c r="A514" s="2" t="s">
        <v>919</v>
      </c>
      <c r="B514" s="21" t="s">
        <v>792</v>
      </c>
      <c r="C514" s="26" t="str">
        <f t="shared" ca="1" si="62"/>
        <v>通算 380 日ログインしよう！</v>
      </c>
      <c r="D514" s="26" t="str">
        <f ca="1">IFERROR(VLOOKUP($A514,OFFSET(achievement_criterion_id,0,0,COUNTA($A:$A),MATCH(D$1,missions!$2:$2,0)-MATCH($A$1,missions!$2:$2,0)+1),MATCH(D$1,missions!$2:$2,0)-MATCH($A$1,missions!$2:$2,0)+1,FALSE),IFERROR(VLOOKUP($A514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14" s="27" t="s">
        <v>864</v>
      </c>
      <c r="F514" s="17" t="s">
        <v>18</v>
      </c>
      <c r="G514" s="26" t="str">
        <f ca="1">VLOOKUP($F514,OFFSET(達成条件!$A$1,0,0,COUNTA($A:$A),MATCH(G$1,達成条件!$1:$1,0)-MATCH($F$1,達成条件!$1:$1,0)+1),MATCH(G$1,達成条件!$1:$1,0)-MATCH($F$1,達成条件!$1:$1,0)+1,FALSE)</f>
        <v>通算 x 日ログインしよう！</v>
      </c>
      <c r="H514" s="26" t="str">
        <f ca="1">VLOOKUP($F514,OFFSET(達成条件!$A$1,0,0,COUNTA($A:$A),MATCH(H$1,達成条件!$1:$1,0)-MATCH($F$1,達成条件!$1:$1,0)+1),MATCH(H$1,達成条件!$1:$1,0)-MATCH($F$1,達成条件!$1:$1,0)+1,FALSE)</f>
        <v>ログイン回数</v>
      </c>
      <c r="I514" s="56">
        <v>380</v>
      </c>
      <c r="J514" s="54" t="str">
        <f ca="1">IF(F514="specific_unit_aquired_count",SUBSTITUTE(G514,"x",VLOOKUP(INT($I514),OFFSET([3]characters!$A$2,0,0,COUNTA([3]characters!$A:$A),MATCH(J$1,[3]characters!$2:$2,0)-MATCH("character_id",[3]characters!$2:$2,0)+1),MATCH(J$1,[3]characters!$2:$2,0)-MATCH("character_id",[3]characters!$2:$2,0)+1,FALSE)),IF(F514="specific_quest_clear",VLOOKUP(SUBSTITUTE(I514,"-","_"),OFFSET([2]stages!$A$2,0,0,COUNTA([2]stages!$A:$A),MATCH("name",[2]stages!$2:$2,0)-MATCH("temp_stage",[2]stages!$2:$2,0)+1),MATCH("name",[2]stages!$2:$2,0)-MATCH("temp_stage",[2]stages!$2:$2,0)+1,FALSE),""))</f>
        <v/>
      </c>
      <c r="K514" s="15">
        <v>1</v>
      </c>
      <c r="L514" s="15">
        <f>L513+1</f>
        <v>6045</v>
      </c>
      <c r="M514" s="26" t="str">
        <f ca="1">IFERROR(VLOOKUP($L516,OFFSET(missions!$A$2,0,0,COUNTA($A:$A),MATCH(M$1,missions!$2:$2,0)-MATCH("mission_id",missions!$2:$2,0)+1),MATCH(M$1,missions!$2:$2,0)-MATCH("mission_id",missions!$2:$2,0)+1,FALSE),"")</f>
        <v/>
      </c>
      <c r="N514" s="26" t="str">
        <f ca="1">IFERROR(VLOOKUP($L516,OFFSET(missions!$A$2,0,0,COUNTA($A:$A),MATCH(N$1,missions!$2:$2,0)-MATCH("mission_id",missions!$2:$2,0)+1),MATCH(N$1,missions!$2:$2,0)-MATCH("mission_id",missions!$2:$2,0)+1,FALSE),"")</f>
        <v/>
      </c>
    </row>
    <row r="515" spans="1:14" ht="21" customHeight="1" x14ac:dyDescent="0.15">
      <c r="A515" s="2" t="s">
        <v>123</v>
      </c>
      <c r="B515" s="21" t="s">
        <v>792</v>
      </c>
      <c r="C515" s="26" t="str">
        <f t="shared" ca="1" si="62"/>
        <v>通算 390 日ログインしよう！</v>
      </c>
      <c r="D515" s="26" t="str">
        <f ca="1">IFERROR(VLOOKUP($A515,OFFSET(achievement_criterion_id,0,0,COUNTA($A:$A),MATCH(D$1,missions!$2:$2,0)-MATCH($A$1,missions!$2:$2,0)+1),MATCH(D$1,missions!$2:$2,0)-MATCH($A$1,missions!$2:$2,0)+1,FALSE),IFERROR(VLOOKUP($A515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15" s="27" t="s">
        <v>864</v>
      </c>
      <c r="F515" s="17" t="s">
        <v>18</v>
      </c>
      <c r="G515" s="26" t="str">
        <f ca="1">VLOOKUP($F515,OFFSET(達成条件!$A$1,0,0,COUNTA($A:$A),MATCH(G$1,達成条件!$1:$1,0)-MATCH($F$1,達成条件!$1:$1,0)+1),MATCH(G$1,達成条件!$1:$1,0)-MATCH($F$1,達成条件!$1:$1,0)+1,FALSE)</f>
        <v>通算 x 日ログインしよう！</v>
      </c>
      <c r="H515" s="26" t="str">
        <f ca="1">VLOOKUP($F515,OFFSET(達成条件!$A$1,0,0,COUNTA($A:$A),MATCH(H$1,達成条件!$1:$1,0)-MATCH($F$1,達成条件!$1:$1,0)+1),MATCH(H$1,達成条件!$1:$1,0)-MATCH($F$1,達成条件!$1:$1,0)+1,FALSE)</f>
        <v>ログイン回数</v>
      </c>
      <c r="I515" s="56">
        <v>390</v>
      </c>
      <c r="J515" s="54" t="str">
        <f ca="1">IF(F515="specific_unit_aquired_count",SUBSTITUTE(G515,"x",VLOOKUP(INT($I515),OFFSET([3]characters!$A$2,0,0,COUNTA([3]characters!$A:$A),MATCH(J$1,[3]characters!$2:$2,0)-MATCH("character_id",[3]characters!$2:$2,0)+1),MATCH(J$1,[3]characters!$2:$2,0)-MATCH("character_id",[3]characters!$2:$2,0)+1,FALSE)),IF(F515="specific_quest_clear",VLOOKUP(SUBSTITUTE(I515,"-","_"),OFFSET([2]stages!$A$2,0,0,COUNTA([2]stages!$A:$A),MATCH("name",[2]stages!$2:$2,0)-MATCH("temp_stage",[2]stages!$2:$2,0)+1),MATCH("name",[2]stages!$2:$2,0)-MATCH("temp_stage",[2]stages!$2:$2,0)+1,FALSE),""))</f>
        <v/>
      </c>
      <c r="K515" s="15">
        <v>1</v>
      </c>
      <c r="L515" s="15">
        <f>L514+1</f>
        <v>6046</v>
      </c>
      <c r="M515" s="26" t="str">
        <f ca="1">IFERROR(VLOOKUP($L517,OFFSET(missions!$A$2,0,0,COUNTA($A:$A),MATCH(M$1,missions!$2:$2,0)-MATCH("mission_id",missions!$2:$2,0)+1),MATCH(M$1,missions!$2:$2,0)-MATCH("mission_id",missions!$2:$2,0)+1,FALSE),"")</f>
        <v/>
      </c>
      <c r="N515" s="26" t="str">
        <f ca="1">IFERROR(VLOOKUP($L517,OFFSET(missions!$A$2,0,0,COUNTA($A:$A),MATCH(N$1,missions!$2:$2,0)-MATCH("mission_id",missions!$2:$2,0)+1),MATCH(N$1,missions!$2:$2,0)-MATCH("mission_id",missions!$2:$2,0)+1,FALSE),"")</f>
        <v/>
      </c>
    </row>
    <row r="516" spans="1:14" ht="21" customHeight="1" x14ac:dyDescent="0.15">
      <c r="A516" s="2" t="s">
        <v>124</v>
      </c>
      <c r="B516" s="21" t="s">
        <v>792</v>
      </c>
      <c r="C516" s="26" t="str">
        <f t="shared" ca="1" si="62"/>
        <v>通算 400 日ログインしよう！</v>
      </c>
      <c r="D516" s="26" t="str">
        <f ca="1">IFERROR(VLOOKUP($A516,OFFSET(achievement_criterion_id,0,0,COUNTA($A:$A),MATCH(D$1,missions!$2:$2,0)-MATCH($A$1,missions!$2:$2,0)+1),MATCH(D$1,missions!$2:$2,0)-MATCH($A$1,missions!$2:$2,0)+1,FALSE),IFERROR(VLOOKUP($A516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516" s="27" t="s">
        <v>864</v>
      </c>
      <c r="F516" s="17" t="s">
        <v>18</v>
      </c>
      <c r="G516" s="26" t="str">
        <f ca="1">VLOOKUP($F516,OFFSET(達成条件!$A$1,0,0,COUNTA($A:$A),MATCH(G$1,達成条件!$1:$1,0)-MATCH($F$1,達成条件!$1:$1,0)+1),MATCH(G$1,達成条件!$1:$1,0)-MATCH($F$1,達成条件!$1:$1,0)+1,FALSE)</f>
        <v>通算 x 日ログインしよう！</v>
      </c>
      <c r="H516" s="26" t="str">
        <f ca="1">VLOOKUP($F516,OFFSET(達成条件!$A$1,0,0,COUNTA($A:$A),MATCH(H$1,達成条件!$1:$1,0)-MATCH($F$1,達成条件!$1:$1,0)+1),MATCH(H$1,達成条件!$1:$1,0)-MATCH($F$1,達成条件!$1:$1,0)+1,FALSE)</f>
        <v>ログイン回数</v>
      </c>
      <c r="I516" s="56">
        <v>400</v>
      </c>
      <c r="J516" s="54" t="str">
        <f ca="1">IF(F516="specific_unit_aquired_count",SUBSTITUTE(G516,"x",VLOOKUP(INT($I516),OFFSET([3]characters!$A$2,0,0,COUNTA([3]characters!$A:$A),MATCH(J$1,[3]characters!$2:$2,0)-MATCH("character_id",[3]characters!$2:$2,0)+1),MATCH(J$1,[3]characters!$2:$2,0)-MATCH("character_id",[3]characters!$2:$2,0)+1,FALSE)),IF(F516="specific_quest_clear",VLOOKUP(SUBSTITUTE(I516,"-","_"),OFFSET([2]stages!$A$2,0,0,COUNTA([2]stages!$A:$A),MATCH("name",[2]stages!$2:$2,0)-MATCH("temp_stage",[2]stages!$2:$2,0)+1),MATCH("name",[2]stages!$2:$2,0)-MATCH("temp_stage",[2]stages!$2:$2,0)+1,FALSE),""))</f>
        <v/>
      </c>
      <c r="K516" s="15">
        <v>1</v>
      </c>
      <c r="L516" s="15">
        <f t="shared" ref="L516:L579" si="63">L515+1</f>
        <v>6047</v>
      </c>
      <c r="M516" s="26" t="str">
        <f ca="1">IFERROR(VLOOKUP($L518,OFFSET(missions!$A$2,0,0,COUNTA($A:$A),MATCH(M$1,missions!$2:$2,0)-MATCH("mission_id",missions!$2:$2,0)+1),MATCH(M$1,missions!$2:$2,0)-MATCH("mission_id",missions!$2:$2,0)+1,FALSE),"")</f>
        <v/>
      </c>
      <c r="N516" s="26" t="str">
        <f ca="1">IFERROR(VLOOKUP($L518,OFFSET(missions!$A$2,0,0,COUNTA($A:$A),MATCH(N$1,missions!$2:$2,0)-MATCH("mission_id",missions!$2:$2,0)+1),MATCH(N$1,missions!$2:$2,0)-MATCH("mission_id",missions!$2:$2,0)+1,FALSE),"")</f>
        <v/>
      </c>
    </row>
    <row r="517" spans="1:14" ht="21" customHeight="1" x14ac:dyDescent="0.15">
      <c r="A517" s="2" t="s">
        <v>125</v>
      </c>
      <c r="B517" s="21" t="s">
        <v>792</v>
      </c>
      <c r="C517" s="26" t="str">
        <f t="shared" ca="1" si="62"/>
        <v>通算 410 日ログインしよう！</v>
      </c>
      <c r="D517" s="26" t="str">
        <f ca="1">IFERROR(VLOOKUP($A517,OFFSET(achievement_criterion_id,0,0,COUNTA($A:$A),MATCH(D$1,missions!$2:$2,0)-MATCH($A$1,missions!$2:$2,0)+1),MATCH(D$1,missions!$2:$2,0)-MATCH($A$1,missions!$2:$2,0)+1,FALSE),IFERROR(VLOOKUP($A517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17" s="27" t="s">
        <v>864</v>
      </c>
      <c r="F517" s="17" t="s">
        <v>18</v>
      </c>
      <c r="G517" s="26" t="str">
        <f ca="1">VLOOKUP($F517,OFFSET(達成条件!$A$1,0,0,COUNTA($A:$A),MATCH(G$1,達成条件!$1:$1,0)-MATCH($F$1,達成条件!$1:$1,0)+1),MATCH(G$1,達成条件!$1:$1,0)-MATCH($F$1,達成条件!$1:$1,0)+1,FALSE)</f>
        <v>通算 x 日ログインしよう！</v>
      </c>
      <c r="H517" s="26" t="str">
        <f ca="1">VLOOKUP($F517,OFFSET(達成条件!$A$1,0,0,COUNTA($A:$A),MATCH(H$1,達成条件!$1:$1,0)-MATCH($F$1,達成条件!$1:$1,0)+1),MATCH(H$1,達成条件!$1:$1,0)-MATCH($F$1,達成条件!$1:$1,0)+1,FALSE)</f>
        <v>ログイン回数</v>
      </c>
      <c r="I517" s="56">
        <v>410</v>
      </c>
      <c r="J517" s="54" t="str">
        <f ca="1">IF(F517="specific_unit_aquired_count",SUBSTITUTE(G517,"x",VLOOKUP(INT($I517),OFFSET([3]characters!$A$2,0,0,COUNTA([3]characters!$A:$A),MATCH(J$1,[3]characters!$2:$2,0)-MATCH("character_id",[3]characters!$2:$2,0)+1),MATCH(J$1,[3]characters!$2:$2,0)-MATCH("character_id",[3]characters!$2:$2,0)+1,FALSE)),IF(F517="specific_quest_clear",VLOOKUP(SUBSTITUTE(I517,"-","_"),OFFSET([2]stages!$A$2,0,0,COUNTA([2]stages!$A:$A),MATCH("name",[2]stages!$2:$2,0)-MATCH("temp_stage",[2]stages!$2:$2,0)+1),MATCH("name",[2]stages!$2:$2,0)-MATCH("temp_stage",[2]stages!$2:$2,0)+1,FALSE),""))</f>
        <v/>
      </c>
      <c r="K517" s="15">
        <v>1</v>
      </c>
      <c r="L517" s="15">
        <f t="shared" si="63"/>
        <v>6048</v>
      </c>
      <c r="M517" s="26" t="str">
        <f ca="1">IFERROR(VLOOKUP($L519,OFFSET(missions!$A$2,0,0,COUNTA($A:$A),MATCH(M$1,missions!$2:$2,0)-MATCH("mission_id",missions!$2:$2,0)+1),MATCH(M$1,missions!$2:$2,0)-MATCH("mission_id",missions!$2:$2,0)+1,FALSE),"")</f>
        <v/>
      </c>
      <c r="N517" s="26" t="str">
        <f ca="1">IFERROR(VLOOKUP($L519,OFFSET(missions!$A$2,0,0,COUNTA($A:$A),MATCH(N$1,missions!$2:$2,0)-MATCH("mission_id",missions!$2:$2,0)+1),MATCH(N$1,missions!$2:$2,0)-MATCH("mission_id",missions!$2:$2,0)+1,FALSE),"")</f>
        <v/>
      </c>
    </row>
    <row r="518" spans="1:14" ht="21" customHeight="1" x14ac:dyDescent="0.15">
      <c r="A518" s="2" t="s">
        <v>126</v>
      </c>
      <c r="B518" s="21" t="s">
        <v>792</v>
      </c>
      <c r="C518" s="26" t="str">
        <f t="shared" ca="1" si="62"/>
        <v>通算 420 日ログインしよう！</v>
      </c>
      <c r="D518" s="26" t="str">
        <f ca="1">IFERROR(VLOOKUP($A518,OFFSET(achievement_criterion_id,0,0,COUNTA($A:$A),MATCH(D$1,missions!$2:$2,0)-MATCH($A$1,missions!$2:$2,0)+1),MATCH(D$1,missions!$2:$2,0)-MATCH($A$1,missions!$2:$2,0)+1,FALSE),IFERROR(VLOOKUP($A518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18" s="27" t="s">
        <v>864</v>
      </c>
      <c r="F518" s="17" t="s">
        <v>18</v>
      </c>
      <c r="G518" s="26" t="str">
        <f ca="1">VLOOKUP($F518,OFFSET(達成条件!$A$1,0,0,COUNTA($A:$A),MATCH(G$1,達成条件!$1:$1,0)-MATCH($F$1,達成条件!$1:$1,0)+1),MATCH(G$1,達成条件!$1:$1,0)-MATCH($F$1,達成条件!$1:$1,0)+1,FALSE)</f>
        <v>通算 x 日ログインしよう！</v>
      </c>
      <c r="H518" s="26" t="str">
        <f ca="1">VLOOKUP($F518,OFFSET(達成条件!$A$1,0,0,COUNTA($A:$A),MATCH(H$1,達成条件!$1:$1,0)-MATCH($F$1,達成条件!$1:$1,0)+1),MATCH(H$1,達成条件!$1:$1,0)-MATCH($F$1,達成条件!$1:$1,0)+1,FALSE)</f>
        <v>ログイン回数</v>
      </c>
      <c r="I518" s="56">
        <v>420</v>
      </c>
      <c r="J518" s="54" t="str">
        <f ca="1">IF(F518="specific_unit_aquired_count",SUBSTITUTE(G518,"x",VLOOKUP(INT($I518),OFFSET([3]characters!$A$2,0,0,COUNTA([3]characters!$A:$A),MATCH(J$1,[3]characters!$2:$2,0)-MATCH("character_id",[3]characters!$2:$2,0)+1),MATCH(J$1,[3]characters!$2:$2,0)-MATCH("character_id",[3]characters!$2:$2,0)+1,FALSE)),IF(F518="specific_quest_clear",VLOOKUP(SUBSTITUTE(I518,"-","_"),OFFSET([2]stages!$A$2,0,0,COUNTA([2]stages!$A:$A),MATCH("name",[2]stages!$2:$2,0)-MATCH("temp_stage",[2]stages!$2:$2,0)+1),MATCH("name",[2]stages!$2:$2,0)-MATCH("temp_stage",[2]stages!$2:$2,0)+1,FALSE),""))</f>
        <v/>
      </c>
      <c r="K518" s="15">
        <v>1</v>
      </c>
      <c r="L518" s="15">
        <f t="shared" si="63"/>
        <v>6049</v>
      </c>
      <c r="M518" s="26" t="str">
        <f ca="1">IFERROR(VLOOKUP($L520,OFFSET(missions!$A$2,0,0,COUNTA($A:$A),MATCH(M$1,missions!$2:$2,0)-MATCH("mission_id",missions!$2:$2,0)+1),MATCH(M$1,missions!$2:$2,0)-MATCH("mission_id",missions!$2:$2,0)+1,FALSE),"")</f>
        <v>通算 450 日ログインしよう！</v>
      </c>
      <c r="N518" s="26" t="str">
        <f ca="1">IFERROR(VLOOKUP($L520,OFFSET(missions!$A$2,0,0,COUNTA($A:$A),MATCH(N$1,missions!$2:$2,0)-MATCH("mission_id",missions!$2:$2,0)+1),MATCH(N$1,missions!$2:$2,0)-MATCH("mission_id",missions!$2:$2,0)+1,FALSE),"")</f>
        <v>ポリゴン x 10</v>
      </c>
    </row>
    <row r="519" spans="1:14" ht="21" customHeight="1" x14ac:dyDescent="0.15">
      <c r="A519" s="2" t="s">
        <v>127</v>
      </c>
      <c r="B519" s="21" t="s">
        <v>792</v>
      </c>
      <c r="C519" s="26" t="str">
        <f t="shared" ca="1" si="62"/>
        <v>通算 430 日ログインしよう！</v>
      </c>
      <c r="D519" s="26" t="str">
        <f ca="1">IFERROR(VLOOKUP($A519,OFFSET(achievement_criterion_id,0,0,COUNTA($A:$A),MATCH(D$1,missions!$2:$2,0)-MATCH($A$1,missions!$2:$2,0)+1),MATCH(D$1,missions!$2:$2,0)-MATCH($A$1,missions!$2:$2,0)+1,FALSE),IFERROR(VLOOKUP($A519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19" s="27" t="s">
        <v>864</v>
      </c>
      <c r="F519" s="17" t="s">
        <v>18</v>
      </c>
      <c r="G519" s="26" t="str">
        <f ca="1">VLOOKUP($F519,OFFSET(達成条件!$A$1,0,0,COUNTA($A:$A),MATCH(G$1,達成条件!$1:$1,0)-MATCH($F$1,達成条件!$1:$1,0)+1),MATCH(G$1,達成条件!$1:$1,0)-MATCH($F$1,達成条件!$1:$1,0)+1,FALSE)</f>
        <v>通算 x 日ログインしよう！</v>
      </c>
      <c r="H519" s="26" t="str">
        <f ca="1">VLOOKUP($F519,OFFSET(達成条件!$A$1,0,0,COUNTA($A:$A),MATCH(H$1,達成条件!$1:$1,0)-MATCH($F$1,達成条件!$1:$1,0)+1),MATCH(H$1,達成条件!$1:$1,0)-MATCH($F$1,達成条件!$1:$1,0)+1,FALSE)</f>
        <v>ログイン回数</v>
      </c>
      <c r="I519" s="56">
        <v>430</v>
      </c>
      <c r="J519" s="54" t="str">
        <f ca="1">IF(F519="specific_unit_aquired_count",SUBSTITUTE(G519,"x",VLOOKUP(INT($I519),OFFSET([3]characters!$A$2,0,0,COUNTA([3]characters!$A:$A),MATCH(J$1,[3]characters!$2:$2,0)-MATCH("character_id",[3]characters!$2:$2,0)+1),MATCH(J$1,[3]characters!$2:$2,0)-MATCH("character_id",[3]characters!$2:$2,0)+1,FALSE)),IF(F519="specific_quest_clear",VLOOKUP(SUBSTITUTE(I519,"-","_"),OFFSET([2]stages!$A$2,0,0,COUNTA([2]stages!$A:$A),MATCH("name",[2]stages!$2:$2,0)-MATCH("temp_stage",[2]stages!$2:$2,0)+1),MATCH("name",[2]stages!$2:$2,0)-MATCH("temp_stage",[2]stages!$2:$2,0)+1,FALSE),""))</f>
        <v/>
      </c>
      <c r="K519" s="15">
        <v>1</v>
      </c>
      <c r="L519" s="15">
        <f t="shared" si="63"/>
        <v>6050</v>
      </c>
      <c r="M519" s="26" t="str">
        <f ca="1">IFERROR(VLOOKUP($L521,OFFSET(missions!$A$2,0,0,COUNTA($A:$A),MATCH(M$1,missions!$2:$2,0)-MATCH("mission_id",missions!$2:$2,0)+1),MATCH(M$1,missions!$2:$2,0)-MATCH("mission_id",missions!$2:$2,0)+1,FALSE),"")</f>
        <v/>
      </c>
      <c r="N519" s="26" t="str">
        <f ca="1">IFERROR(VLOOKUP($L521,OFFSET(missions!$A$2,0,0,COUNTA($A:$A),MATCH(N$1,missions!$2:$2,0)-MATCH("mission_id",missions!$2:$2,0)+1),MATCH(N$1,missions!$2:$2,0)-MATCH("mission_id",missions!$2:$2,0)+1,FALSE),"")</f>
        <v/>
      </c>
    </row>
    <row r="520" spans="1:14" ht="21" customHeight="1" x14ac:dyDescent="0.15">
      <c r="A520" s="2" t="s">
        <v>128</v>
      </c>
      <c r="B520" s="21" t="s">
        <v>792</v>
      </c>
      <c r="C520" s="26" t="str">
        <f t="shared" ca="1" si="62"/>
        <v>通算 440 日ログインしよう！</v>
      </c>
      <c r="D520" s="26" t="str">
        <f ca="1">IFERROR(VLOOKUP($A520,OFFSET(achievement_criterion_id,0,0,COUNTA($A:$A),MATCH(D$1,missions!$2:$2,0)-MATCH($A$1,missions!$2:$2,0)+1),MATCH(D$1,missions!$2:$2,0)-MATCH($A$1,missions!$2:$2,0)+1,FALSE),IFERROR(VLOOKUP($A520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20" s="27" t="s">
        <v>864</v>
      </c>
      <c r="F520" s="17" t="s">
        <v>18</v>
      </c>
      <c r="G520" s="26" t="str">
        <f ca="1">VLOOKUP($F520,OFFSET(達成条件!$A$1,0,0,COUNTA($A:$A),MATCH(G$1,達成条件!$1:$1,0)-MATCH($F$1,達成条件!$1:$1,0)+1),MATCH(G$1,達成条件!$1:$1,0)-MATCH($F$1,達成条件!$1:$1,0)+1,FALSE)</f>
        <v>通算 x 日ログインしよう！</v>
      </c>
      <c r="H520" s="26" t="str">
        <f ca="1">VLOOKUP($F520,OFFSET(達成条件!$A$1,0,0,COUNTA($A:$A),MATCH(H$1,達成条件!$1:$1,0)-MATCH($F$1,達成条件!$1:$1,0)+1),MATCH(H$1,達成条件!$1:$1,0)-MATCH($F$1,達成条件!$1:$1,0)+1,FALSE)</f>
        <v>ログイン回数</v>
      </c>
      <c r="I520" s="56">
        <v>440</v>
      </c>
      <c r="J520" s="54" t="str">
        <f ca="1">IF(F520="specific_unit_aquired_count",SUBSTITUTE(G520,"x",VLOOKUP(INT($I520),OFFSET([3]characters!$A$2,0,0,COUNTA([3]characters!$A:$A),MATCH(J$1,[3]characters!$2:$2,0)-MATCH("character_id",[3]characters!$2:$2,0)+1),MATCH(J$1,[3]characters!$2:$2,0)-MATCH("character_id",[3]characters!$2:$2,0)+1,FALSE)),IF(F520="specific_quest_clear",VLOOKUP(SUBSTITUTE(I520,"-","_"),OFFSET([2]stages!$A$2,0,0,COUNTA([2]stages!$A:$A),MATCH("name",[2]stages!$2:$2,0)-MATCH("temp_stage",[2]stages!$2:$2,0)+1),MATCH("name",[2]stages!$2:$2,0)-MATCH("temp_stage",[2]stages!$2:$2,0)+1,FALSE),""))</f>
        <v/>
      </c>
      <c r="K520" s="15">
        <v>1</v>
      </c>
      <c r="L520" s="15">
        <f t="shared" si="63"/>
        <v>6051</v>
      </c>
      <c r="M520" s="26" t="str">
        <f ca="1">IFERROR(VLOOKUP($L522,OFFSET(missions!$A$2,0,0,COUNTA($A:$A),MATCH(M$1,missions!$2:$2,0)-MATCH("mission_id",missions!$2:$2,0)+1),MATCH(M$1,missions!$2:$2,0)-MATCH("mission_id",missions!$2:$2,0)+1,FALSE),"")</f>
        <v/>
      </c>
      <c r="N520" s="26" t="str">
        <f ca="1">IFERROR(VLOOKUP($L522,OFFSET(missions!$A$2,0,0,COUNTA($A:$A),MATCH(N$1,missions!$2:$2,0)-MATCH("mission_id",missions!$2:$2,0)+1),MATCH(N$1,missions!$2:$2,0)-MATCH("mission_id",missions!$2:$2,0)+1,FALSE),"")</f>
        <v/>
      </c>
    </row>
    <row r="521" spans="1:14" ht="21" customHeight="1" x14ac:dyDescent="0.15">
      <c r="A521" s="2" t="s">
        <v>129</v>
      </c>
      <c r="B521" s="21" t="s">
        <v>792</v>
      </c>
      <c r="C521" s="26" t="str">
        <f t="shared" ca="1" si="62"/>
        <v>通算 450 日ログインしよう！</v>
      </c>
      <c r="D521" s="26" t="str">
        <f ca="1">IFERROR(VLOOKUP($A521,OFFSET(achievement_criterion_id,0,0,COUNTA($A:$A),MATCH(D$1,missions!$2:$2,0)-MATCH($A$1,missions!$2:$2,0)+1),MATCH(D$1,missions!$2:$2,0)-MATCH($A$1,missions!$2:$2,0)+1,FALSE),IFERROR(VLOOKUP($A521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521" s="27" t="s">
        <v>864</v>
      </c>
      <c r="F521" s="17" t="s">
        <v>18</v>
      </c>
      <c r="G521" s="26" t="str">
        <f ca="1">VLOOKUP($F521,OFFSET(達成条件!$A$1,0,0,COUNTA($A:$A),MATCH(G$1,達成条件!$1:$1,0)-MATCH($F$1,達成条件!$1:$1,0)+1),MATCH(G$1,達成条件!$1:$1,0)-MATCH($F$1,達成条件!$1:$1,0)+1,FALSE)</f>
        <v>通算 x 日ログインしよう！</v>
      </c>
      <c r="H521" s="26" t="str">
        <f ca="1">VLOOKUP($F521,OFFSET(達成条件!$A$1,0,0,COUNTA($A:$A),MATCH(H$1,達成条件!$1:$1,0)-MATCH($F$1,達成条件!$1:$1,0)+1),MATCH(H$1,達成条件!$1:$1,0)-MATCH($F$1,達成条件!$1:$1,0)+1,FALSE)</f>
        <v>ログイン回数</v>
      </c>
      <c r="I521" s="56">
        <v>450</v>
      </c>
      <c r="J521" s="54" t="str">
        <f ca="1">IF(F521="specific_unit_aquired_count",SUBSTITUTE(G521,"x",VLOOKUP(INT($I521),OFFSET([3]characters!$A$2,0,0,COUNTA([3]characters!$A:$A),MATCH(J$1,[3]characters!$2:$2,0)-MATCH("character_id",[3]characters!$2:$2,0)+1),MATCH(J$1,[3]characters!$2:$2,0)-MATCH("character_id",[3]characters!$2:$2,0)+1,FALSE)),IF(F521="specific_quest_clear",VLOOKUP(SUBSTITUTE(I521,"-","_"),OFFSET([2]stages!$A$2,0,0,COUNTA([2]stages!$A:$A),MATCH("name",[2]stages!$2:$2,0)-MATCH("temp_stage",[2]stages!$2:$2,0)+1),MATCH("name",[2]stages!$2:$2,0)-MATCH("temp_stage",[2]stages!$2:$2,0)+1,FALSE),""))</f>
        <v/>
      </c>
      <c r="K521" s="15">
        <v>1</v>
      </c>
      <c r="L521" s="15">
        <f t="shared" si="63"/>
        <v>6052</v>
      </c>
      <c r="M521" s="26" t="str">
        <f ca="1">IFERROR(VLOOKUP($L523,OFFSET(missions!$A$2,0,0,COUNTA($A:$A),MATCH(M$1,missions!$2:$2,0)-MATCH("mission_id",missions!$2:$2,0)+1),MATCH(M$1,missions!$2:$2,0)-MATCH("mission_id",missions!$2:$2,0)+1,FALSE),"")</f>
        <v/>
      </c>
      <c r="N521" s="26" t="str">
        <f ca="1">IFERROR(VLOOKUP($L523,OFFSET(missions!$A$2,0,0,COUNTA($A:$A),MATCH(N$1,missions!$2:$2,0)-MATCH("mission_id",missions!$2:$2,0)+1),MATCH(N$1,missions!$2:$2,0)-MATCH("mission_id",missions!$2:$2,0)+1,FALSE),"")</f>
        <v/>
      </c>
    </row>
    <row r="522" spans="1:14" ht="21" customHeight="1" x14ac:dyDescent="0.15">
      <c r="A522" s="2" t="s">
        <v>130</v>
      </c>
      <c r="B522" s="21" t="s">
        <v>792</v>
      </c>
      <c r="C522" s="26" t="str">
        <f t="shared" ca="1" si="62"/>
        <v>通算 460 日ログインしよう！</v>
      </c>
      <c r="D522" s="26" t="str">
        <f ca="1">IFERROR(VLOOKUP($A522,OFFSET(achievement_criterion_id,0,0,COUNTA($A:$A),MATCH(D$1,missions!$2:$2,0)-MATCH($A$1,missions!$2:$2,0)+1),MATCH(D$1,missions!$2:$2,0)-MATCH($A$1,missions!$2:$2,0)+1,FALSE),IFERROR(VLOOKUP($A522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22" s="27" t="s">
        <v>864</v>
      </c>
      <c r="F522" s="17" t="s">
        <v>18</v>
      </c>
      <c r="G522" s="26" t="str">
        <f ca="1">VLOOKUP($F522,OFFSET(達成条件!$A$1,0,0,COUNTA($A:$A),MATCH(G$1,達成条件!$1:$1,0)-MATCH($F$1,達成条件!$1:$1,0)+1),MATCH(G$1,達成条件!$1:$1,0)-MATCH($F$1,達成条件!$1:$1,0)+1,FALSE)</f>
        <v>通算 x 日ログインしよう！</v>
      </c>
      <c r="H522" s="26" t="str">
        <f ca="1">VLOOKUP($F522,OFFSET(達成条件!$A$1,0,0,COUNTA($A:$A),MATCH(H$1,達成条件!$1:$1,0)-MATCH($F$1,達成条件!$1:$1,0)+1),MATCH(H$1,達成条件!$1:$1,0)-MATCH($F$1,達成条件!$1:$1,0)+1,FALSE)</f>
        <v>ログイン回数</v>
      </c>
      <c r="I522" s="56">
        <v>460</v>
      </c>
      <c r="J522" s="54" t="str">
        <f ca="1">IF(F522="specific_unit_aquired_count",SUBSTITUTE(G522,"x",VLOOKUP(INT($I522),OFFSET([3]characters!$A$2,0,0,COUNTA([3]characters!$A:$A),MATCH(J$1,[3]characters!$2:$2,0)-MATCH("character_id",[3]characters!$2:$2,0)+1),MATCH(J$1,[3]characters!$2:$2,0)-MATCH("character_id",[3]characters!$2:$2,0)+1,FALSE)),IF(F522="specific_quest_clear",VLOOKUP(SUBSTITUTE(I522,"-","_"),OFFSET([2]stages!$A$2,0,0,COUNTA([2]stages!$A:$A),MATCH("name",[2]stages!$2:$2,0)-MATCH("temp_stage",[2]stages!$2:$2,0)+1),MATCH("name",[2]stages!$2:$2,0)-MATCH("temp_stage",[2]stages!$2:$2,0)+1,FALSE),""))</f>
        <v/>
      </c>
      <c r="K522" s="15">
        <v>1</v>
      </c>
      <c r="L522" s="15">
        <f t="shared" si="63"/>
        <v>6053</v>
      </c>
      <c r="M522" s="26" t="str">
        <f ca="1">IFERROR(VLOOKUP($L524,OFFSET(missions!$A$2,0,0,COUNTA($A:$A),MATCH(M$1,missions!$2:$2,0)-MATCH("mission_id",missions!$2:$2,0)+1),MATCH(M$1,missions!$2:$2,0)-MATCH("mission_id",missions!$2:$2,0)+1,FALSE),"")</f>
        <v/>
      </c>
      <c r="N522" s="26" t="str">
        <f ca="1">IFERROR(VLOOKUP($L524,OFFSET(missions!$A$2,0,0,COUNTA($A:$A),MATCH(N$1,missions!$2:$2,0)-MATCH("mission_id",missions!$2:$2,0)+1),MATCH(N$1,missions!$2:$2,0)-MATCH("mission_id",missions!$2:$2,0)+1,FALSE),"")</f>
        <v/>
      </c>
    </row>
    <row r="523" spans="1:14" ht="21" customHeight="1" x14ac:dyDescent="0.15">
      <c r="A523" s="2" t="s">
        <v>131</v>
      </c>
      <c r="B523" s="21" t="s">
        <v>792</v>
      </c>
      <c r="C523" s="26" t="str">
        <f t="shared" ca="1" si="62"/>
        <v>通算 470 日ログインしよう！</v>
      </c>
      <c r="D523" s="26" t="str">
        <f ca="1">IFERROR(VLOOKUP($A523,OFFSET(achievement_criterion_id,0,0,COUNTA($A:$A),MATCH(D$1,missions!$2:$2,0)-MATCH($A$1,missions!$2:$2,0)+1),MATCH(D$1,missions!$2:$2,0)-MATCH($A$1,missions!$2:$2,0)+1,FALSE),IFERROR(VLOOKUP($A523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23" s="27" t="s">
        <v>864</v>
      </c>
      <c r="F523" s="17" t="s">
        <v>18</v>
      </c>
      <c r="G523" s="26" t="str">
        <f ca="1">VLOOKUP($F523,OFFSET(達成条件!$A$1,0,0,COUNTA($A:$A),MATCH(G$1,達成条件!$1:$1,0)-MATCH($F$1,達成条件!$1:$1,0)+1),MATCH(G$1,達成条件!$1:$1,0)-MATCH($F$1,達成条件!$1:$1,0)+1,FALSE)</f>
        <v>通算 x 日ログインしよう！</v>
      </c>
      <c r="H523" s="26" t="str">
        <f ca="1">VLOOKUP($F523,OFFSET(達成条件!$A$1,0,0,COUNTA($A:$A),MATCH(H$1,達成条件!$1:$1,0)-MATCH($F$1,達成条件!$1:$1,0)+1),MATCH(H$1,達成条件!$1:$1,0)-MATCH($F$1,達成条件!$1:$1,0)+1,FALSE)</f>
        <v>ログイン回数</v>
      </c>
      <c r="I523" s="56">
        <v>470</v>
      </c>
      <c r="J523" s="54" t="str">
        <f ca="1">IF(F523="specific_unit_aquired_count",SUBSTITUTE(G523,"x",VLOOKUP(INT($I523),OFFSET([3]characters!$A$2,0,0,COUNTA([3]characters!$A:$A),MATCH(J$1,[3]characters!$2:$2,0)-MATCH("character_id",[3]characters!$2:$2,0)+1),MATCH(J$1,[3]characters!$2:$2,0)-MATCH("character_id",[3]characters!$2:$2,0)+1,FALSE)),IF(F523="specific_quest_clear",VLOOKUP(SUBSTITUTE(I523,"-","_"),OFFSET([2]stages!$A$2,0,0,COUNTA([2]stages!$A:$A),MATCH("name",[2]stages!$2:$2,0)-MATCH("temp_stage",[2]stages!$2:$2,0)+1),MATCH("name",[2]stages!$2:$2,0)-MATCH("temp_stage",[2]stages!$2:$2,0)+1,FALSE),""))</f>
        <v/>
      </c>
      <c r="K523" s="15">
        <v>1</v>
      </c>
      <c r="L523" s="15">
        <f t="shared" si="63"/>
        <v>6054</v>
      </c>
      <c r="M523" s="26" t="str">
        <f ca="1">IFERROR(VLOOKUP($L525,OFFSET(missions!$A$2,0,0,COUNTA($A:$A),MATCH(M$1,missions!$2:$2,0)-MATCH("mission_id",missions!$2:$2,0)+1),MATCH(M$1,missions!$2:$2,0)-MATCH("mission_id",missions!$2:$2,0)+1,FALSE),"")</f>
        <v>通算 500 日ログインしよう！</v>
      </c>
      <c r="N523" s="26" t="str">
        <f ca="1">IFERROR(VLOOKUP($L525,OFFSET(missions!$A$2,0,0,COUNTA($A:$A),MATCH(N$1,missions!$2:$2,0)-MATCH("mission_id",missions!$2:$2,0)+1),MATCH(N$1,missions!$2:$2,0)-MATCH("mission_id",missions!$2:$2,0)+1,FALSE),"")</f>
        <v>ポリゴン x 20</v>
      </c>
    </row>
    <row r="524" spans="1:14" ht="21" customHeight="1" x14ac:dyDescent="0.15">
      <c r="A524" s="2" t="s">
        <v>132</v>
      </c>
      <c r="B524" s="21" t="s">
        <v>792</v>
      </c>
      <c r="C524" s="26" t="str">
        <f t="shared" ca="1" si="62"/>
        <v>通算 480 日ログインしよう！</v>
      </c>
      <c r="D524" s="26" t="str">
        <f ca="1">IFERROR(VLOOKUP($A524,OFFSET(achievement_criterion_id,0,0,COUNTA($A:$A),MATCH(D$1,missions!$2:$2,0)-MATCH($A$1,missions!$2:$2,0)+1),MATCH(D$1,missions!$2:$2,0)-MATCH($A$1,missions!$2:$2,0)+1,FALSE),IFERROR(VLOOKUP($A524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24" s="27" t="s">
        <v>864</v>
      </c>
      <c r="F524" s="17" t="s">
        <v>18</v>
      </c>
      <c r="G524" s="26" t="str">
        <f ca="1">VLOOKUP($F524,OFFSET(達成条件!$A$1,0,0,COUNTA($A:$A),MATCH(G$1,達成条件!$1:$1,0)-MATCH($F$1,達成条件!$1:$1,0)+1),MATCH(G$1,達成条件!$1:$1,0)-MATCH($F$1,達成条件!$1:$1,0)+1,FALSE)</f>
        <v>通算 x 日ログインしよう！</v>
      </c>
      <c r="H524" s="26" t="str">
        <f ca="1">VLOOKUP($F524,OFFSET(達成条件!$A$1,0,0,COUNTA($A:$A),MATCH(H$1,達成条件!$1:$1,0)-MATCH($F$1,達成条件!$1:$1,0)+1),MATCH(H$1,達成条件!$1:$1,0)-MATCH($F$1,達成条件!$1:$1,0)+1,FALSE)</f>
        <v>ログイン回数</v>
      </c>
      <c r="I524" s="56">
        <v>480</v>
      </c>
      <c r="J524" s="54" t="str">
        <f ca="1">IF(F524="specific_unit_aquired_count",SUBSTITUTE(G524,"x",VLOOKUP(INT($I524),OFFSET([3]characters!$A$2,0,0,COUNTA([3]characters!$A:$A),MATCH(J$1,[3]characters!$2:$2,0)-MATCH("character_id",[3]characters!$2:$2,0)+1),MATCH(J$1,[3]characters!$2:$2,0)-MATCH("character_id",[3]characters!$2:$2,0)+1,FALSE)),IF(F524="specific_quest_clear",VLOOKUP(SUBSTITUTE(I524,"-","_"),OFFSET([2]stages!$A$2,0,0,COUNTA([2]stages!$A:$A),MATCH("name",[2]stages!$2:$2,0)-MATCH("temp_stage",[2]stages!$2:$2,0)+1),MATCH("name",[2]stages!$2:$2,0)-MATCH("temp_stage",[2]stages!$2:$2,0)+1,FALSE),""))</f>
        <v/>
      </c>
      <c r="K524" s="15">
        <v>1</v>
      </c>
      <c r="L524" s="15">
        <f t="shared" si="63"/>
        <v>6055</v>
      </c>
      <c r="M524" s="26" t="str">
        <f ca="1">IFERROR(VLOOKUP($L526,OFFSET(missions!$A$2,0,0,COUNTA($A:$A),MATCH(M$1,missions!$2:$2,0)-MATCH("mission_id",missions!$2:$2,0)+1),MATCH(M$1,missions!$2:$2,0)-MATCH("mission_id",missions!$2:$2,0)+1,FALSE),"")</f>
        <v/>
      </c>
      <c r="N524" s="26" t="str">
        <f ca="1">IFERROR(VLOOKUP($L526,OFFSET(missions!$A$2,0,0,COUNTA($A:$A),MATCH(N$1,missions!$2:$2,0)-MATCH("mission_id",missions!$2:$2,0)+1),MATCH(N$1,missions!$2:$2,0)-MATCH("mission_id",missions!$2:$2,0)+1,FALSE),"")</f>
        <v/>
      </c>
    </row>
    <row r="525" spans="1:14" ht="21" customHeight="1" x14ac:dyDescent="0.15">
      <c r="A525" s="2" t="s">
        <v>133</v>
      </c>
      <c r="B525" s="21" t="s">
        <v>792</v>
      </c>
      <c r="C525" s="26" t="str">
        <f t="shared" ca="1" si="62"/>
        <v>通算 490 日ログインしよう！</v>
      </c>
      <c r="D525" s="26" t="str">
        <f ca="1">IFERROR(VLOOKUP($A525,OFFSET(achievement_criterion_id,0,0,COUNTA($A:$A),MATCH(D$1,missions!$2:$2,0)-MATCH($A$1,missions!$2:$2,0)+1),MATCH(D$1,missions!$2:$2,0)-MATCH($A$1,missions!$2:$2,0)+1,FALSE),IFERROR(VLOOKUP($A525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25" s="27" t="s">
        <v>864</v>
      </c>
      <c r="F525" s="17" t="s">
        <v>18</v>
      </c>
      <c r="G525" s="26" t="str">
        <f ca="1">VLOOKUP($F525,OFFSET(達成条件!$A$1,0,0,COUNTA($A:$A),MATCH(G$1,達成条件!$1:$1,0)-MATCH($F$1,達成条件!$1:$1,0)+1),MATCH(G$1,達成条件!$1:$1,0)-MATCH($F$1,達成条件!$1:$1,0)+1,FALSE)</f>
        <v>通算 x 日ログインしよう！</v>
      </c>
      <c r="H525" s="26" t="str">
        <f ca="1">VLOOKUP($F525,OFFSET(達成条件!$A$1,0,0,COUNTA($A:$A),MATCH(H$1,達成条件!$1:$1,0)-MATCH($F$1,達成条件!$1:$1,0)+1),MATCH(H$1,達成条件!$1:$1,0)-MATCH($F$1,達成条件!$1:$1,0)+1,FALSE)</f>
        <v>ログイン回数</v>
      </c>
      <c r="I525" s="56">
        <v>490</v>
      </c>
      <c r="J525" s="54" t="str">
        <f ca="1">IF(F525="specific_unit_aquired_count",SUBSTITUTE(G525,"x",VLOOKUP(INT($I525),OFFSET([3]characters!$A$2,0,0,COUNTA([3]characters!$A:$A),MATCH(J$1,[3]characters!$2:$2,0)-MATCH("character_id",[3]characters!$2:$2,0)+1),MATCH(J$1,[3]characters!$2:$2,0)-MATCH("character_id",[3]characters!$2:$2,0)+1,FALSE)),IF(F525="specific_quest_clear",VLOOKUP(SUBSTITUTE(I525,"-","_"),OFFSET([2]stages!$A$2,0,0,COUNTA([2]stages!$A:$A),MATCH("name",[2]stages!$2:$2,0)-MATCH("temp_stage",[2]stages!$2:$2,0)+1),MATCH("name",[2]stages!$2:$2,0)-MATCH("temp_stage",[2]stages!$2:$2,0)+1,FALSE),""))</f>
        <v/>
      </c>
      <c r="K525" s="15">
        <v>1</v>
      </c>
      <c r="L525" s="15">
        <f t="shared" si="63"/>
        <v>6056</v>
      </c>
      <c r="M525" s="26" t="str">
        <f ca="1">IFERROR(VLOOKUP($L527,OFFSET(missions!$A$2,0,0,COUNTA($A:$A),MATCH(M$1,missions!$2:$2,0)-MATCH("mission_id",missions!$2:$2,0)+1),MATCH(M$1,missions!$2:$2,0)-MATCH("mission_id",missions!$2:$2,0)+1,FALSE),"")</f>
        <v/>
      </c>
      <c r="N525" s="26" t="str">
        <f ca="1">IFERROR(VLOOKUP($L527,OFFSET(missions!$A$2,0,0,COUNTA($A:$A),MATCH(N$1,missions!$2:$2,0)-MATCH("mission_id",missions!$2:$2,0)+1),MATCH(N$1,missions!$2:$2,0)-MATCH("mission_id",missions!$2:$2,0)+1,FALSE),"")</f>
        <v/>
      </c>
    </row>
    <row r="526" spans="1:14" ht="21" customHeight="1" x14ac:dyDescent="0.15">
      <c r="A526" s="2" t="s">
        <v>134</v>
      </c>
      <c r="B526" s="21" t="s">
        <v>792</v>
      </c>
      <c r="C526" s="26" t="str">
        <f t="shared" ca="1" si="62"/>
        <v>通算 500 日ログインしよう！</v>
      </c>
      <c r="D526" s="26" t="str">
        <f ca="1">IFERROR(VLOOKUP($A526,OFFSET(achievement_criterion_id,0,0,COUNTA($A:$A),MATCH(D$1,missions!$2:$2,0)-MATCH($A$1,missions!$2:$2,0)+1),MATCH(D$1,missions!$2:$2,0)-MATCH($A$1,missions!$2:$2,0)+1,FALSE),IFERROR(VLOOKUP($A526,OFFSET(weekly_achievement_criterion_id,0,0,COUNTA($A:$A),MATCH(D$1,weekly_missions!$2:$2,0)-MATCH($A$1,weekly_missions!$2:$2,0)+1),MATCH(D$1,weekly_missions!$2:$2,0)-MATCH($A$1,weekly_missions!$2:$2,0)+1,FALSE),"＊missions 未設定＊"))</f>
        <v>ポリゴン x 20</v>
      </c>
      <c r="E526" s="27" t="s">
        <v>864</v>
      </c>
      <c r="F526" s="17" t="s">
        <v>18</v>
      </c>
      <c r="G526" s="26" t="str">
        <f ca="1">VLOOKUP($F526,OFFSET(達成条件!$A$1,0,0,COUNTA($A:$A),MATCH(G$1,達成条件!$1:$1,0)-MATCH($F$1,達成条件!$1:$1,0)+1),MATCH(G$1,達成条件!$1:$1,0)-MATCH($F$1,達成条件!$1:$1,0)+1,FALSE)</f>
        <v>通算 x 日ログインしよう！</v>
      </c>
      <c r="H526" s="26" t="str">
        <f ca="1">VLOOKUP($F526,OFFSET(達成条件!$A$1,0,0,COUNTA($A:$A),MATCH(H$1,達成条件!$1:$1,0)-MATCH($F$1,達成条件!$1:$1,0)+1),MATCH(H$1,達成条件!$1:$1,0)-MATCH($F$1,達成条件!$1:$1,0)+1,FALSE)</f>
        <v>ログイン回数</v>
      </c>
      <c r="I526" s="56">
        <v>500</v>
      </c>
      <c r="J526" s="54" t="str">
        <f ca="1">IF(F526="specific_unit_aquired_count",SUBSTITUTE(G526,"x",VLOOKUP(INT($I526),OFFSET([3]characters!$A$2,0,0,COUNTA([3]characters!$A:$A),MATCH(J$1,[3]characters!$2:$2,0)-MATCH("character_id",[3]characters!$2:$2,0)+1),MATCH(J$1,[3]characters!$2:$2,0)-MATCH("character_id",[3]characters!$2:$2,0)+1,FALSE)),IF(F526="specific_quest_clear",VLOOKUP(SUBSTITUTE(I526,"-","_"),OFFSET([2]stages!$A$2,0,0,COUNTA([2]stages!$A:$A),MATCH("name",[2]stages!$2:$2,0)-MATCH("temp_stage",[2]stages!$2:$2,0)+1),MATCH("name",[2]stages!$2:$2,0)-MATCH("temp_stage",[2]stages!$2:$2,0)+1,FALSE),""))</f>
        <v/>
      </c>
      <c r="K526" s="15">
        <v>1</v>
      </c>
      <c r="L526" s="15">
        <f t="shared" si="63"/>
        <v>6057</v>
      </c>
      <c r="M526" s="26" t="str">
        <f ca="1">IFERROR(VLOOKUP($L528,OFFSET(missions!$A$2,0,0,COUNTA($A:$A),MATCH(M$1,missions!$2:$2,0)-MATCH("mission_id",missions!$2:$2,0)+1),MATCH(M$1,missions!$2:$2,0)-MATCH("mission_id",missions!$2:$2,0)+1,FALSE),"")</f>
        <v/>
      </c>
      <c r="N526" s="26" t="str">
        <f ca="1">IFERROR(VLOOKUP($L528,OFFSET(missions!$A$2,0,0,COUNTA($A:$A),MATCH(N$1,missions!$2:$2,0)-MATCH("mission_id",missions!$2:$2,0)+1),MATCH(N$1,missions!$2:$2,0)-MATCH("mission_id",missions!$2:$2,0)+1,FALSE),"")</f>
        <v/>
      </c>
    </row>
    <row r="527" spans="1:14" ht="21" customHeight="1" x14ac:dyDescent="0.15">
      <c r="A527" s="2" t="s">
        <v>135</v>
      </c>
      <c r="B527" s="21" t="s">
        <v>792</v>
      </c>
      <c r="C527" s="26" t="str">
        <f t="shared" ca="1" si="62"/>
        <v>通算 510 日ログインしよう！</v>
      </c>
      <c r="D527" s="26" t="str">
        <f ca="1">IFERROR(VLOOKUP($A527,OFFSET(achievement_criterion_id,0,0,COUNTA($A:$A),MATCH(D$1,missions!$2:$2,0)-MATCH($A$1,missions!$2:$2,0)+1),MATCH(D$1,missions!$2:$2,0)-MATCH($A$1,missions!$2:$2,0)+1,FALSE),IFERROR(VLOOKUP($A527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27" s="27" t="s">
        <v>864</v>
      </c>
      <c r="F527" s="17" t="s">
        <v>18</v>
      </c>
      <c r="G527" s="26" t="str">
        <f ca="1">VLOOKUP($F527,OFFSET(達成条件!$A$1,0,0,COUNTA($A:$A),MATCH(G$1,達成条件!$1:$1,0)-MATCH($F$1,達成条件!$1:$1,0)+1),MATCH(G$1,達成条件!$1:$1,0)-MATCH($F$1,達成条件!$1:$1,0)+1,FALSE)</f>
        <v>通算 x 日ログインしよう！</v>
      </c>
      <c r="H527" s="26" t="str">
        <f ca="1">VLOOKUP($F527,OFFSET(達成条件!$A$1,0,0,COUNTA($A:$A),MATCH(H$1,達成条件!$1:$1,0)-MATCH($F$1,達成条件!$1:$1,0)+1),MATCH(H$1,達成条件!$1:$1,0)-MATCH($F$1,達成条件!$1:$1,0)+1,FALSE)</f>
        <v>ログイン回数</v>
      </c>
      <c r="I527" s="56">
        <v>510</v>
      </c>
      <c r="J527" s="54" t="str">
        <f ca="1">IF(F527="specific_unit_aquired_count",SUBSTITUTE(G527,"x",VLOOKUP(INT($I527),OFFSET([3]characters!$A$2,0,0,COUNTA([3]characters!$A:$A),MATCH(J$1,[3]characters!$2:$2,0)-MATCH("character_id",[3]characters!$2:$2,0)+1),MATCH(J$1,[3]characters!$2:$2,0)-MATCH("character_id",[3]characters!$2:$2,0)+1,FALSE)),IF(F527="specific_quest_clear",VLOOKUP(SUBSTITUTE(I527,"-","_"),OFFSET([2]stages!$A$2,0,0,COUNTA([2]stages!$A:$A),MATCH("name",[2]stages!$2:$2,0)-MATCH("temp_stage",[2]stages!$2:$2,0)+1),MATCH("name",[2]stages!$2:$2,0)-MATCH("temp_stage",[2]stages!$2:$2,0)+1,FALSE),""))</f>
        <v/>
      </c>
      <c r="K527" s="15">
        <v>1</v>
      </c>
      <c r="L527" s="15">
        <f t="shared" si="63"/>
        <v>6058</v>
      </c>
      <c r="M527" s="26" t="str">
        <f ca="1">IFERROR(VLOOKUP($L529,OFFSET(missions!$A$2,0,0,COUNTA($A:$A),MATCH(M$1,missions!$2:$2,0)-MATCH("mission_id",missions!$2:$2,0)+1),MATCH(M$1,missions!$2:$2,0)-MATCH("mission_id",missions!$2:$2,0)+1,FALSE),"")</f>
        <v/>
      </c>
      <c r="N527" s="26" t="str">
        <f ca="1">IFERROR(VLOOKUP($L529,OFFSET(missions!$A$2,0,0,COUNTA($A:$A),MATCH(N$1,missions!$2:$2,0)-MATCH("mission_id",missions!$2:$2,0)+1),MATCH(N$1,missions!$2:$2,0)-MATCH("mission_id",missions!$2:$2,0)+1,FALSE),"")</f>
        <v/>
      </c>
    </row>
    <row r="528" spans="1:14" ht="21" customHeight="1" x14ac:dyDescent="0.15">
      <c r="A528" s="2" t="s">
        <v>136</v>
      </c>
      <c r="B528" s="21" t="s">
        <v>792</v>
      </c>
      <c r="C528" s="26" t="str">
        <f t="shared" ca="1" si="62"/>
        <v>通算 520 日ログインしよう！</v>
      </c>
      <c r="D528" s="26" t="str">
        <f ca="1">IFERROR(VLOOKUP($A528,OFFSET(achievement_criterion_id,0,0,COUNTA($A:$A),MATCH(D$1,missions!$2:$2,0)-MATCH($A$1,missions!$2:$2,0)+1),MATCH(D$1,missions!$2:$2,0)-MATCH($A$1,missions!$2:$2,0)+1,FALSE),IFERROR(VLOOKUP($A528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28" s="27" t="s">
        <v>864</v>
      </c>
      <c r="F528" s="17" t="s">
        <v>18</v>
      </c>
      <c r="G528" s="26" t="str">
        <f ca="1">VLOOKUP($F528,OFFSET(達成条件!$A$1,0,0,COUNTA($A:$A),MATCH(G$1,達成条件!$1:$1,0)-MATCH($F$1,達成条件!$1:$1,0)+1),MATCH(G$1,達成条件!$1:$1,0)-MATCH($F$1,達成条件!$1:$1,0)+1,FALSE)</f>
        <v>通算 x 日ログインしよう！</v>
      </c>
      <c r="H528" s="26" t="str">
        <f ca="1">VLOOKUP($F528,OFFSET(達成条件!$A$1,0,0,COUNTA($A:$A),MATCH(H$1,達成条件!$1:$1,0)-MATCH($F$1,達成条件!$1:$1,0)+1),MATCH(H$1,達成条件!$1:$1,0)-MATCH($F$1,達成条件!$1:$1,0)+1,FALSE)</f>
        <v>ログイン回数</v>
      </c>
      <c r="I528" s="56">
        <v>520</v>
      </c>
      <c r="J528" s="54" t="str">
        <f ca="1">IF(F528="specific_unit_aquired_count",SUBSTITUTE(G528,"x",VLOOKUP(INT($I528),OFFSET([3]characters!$A$2,0,0,COUNTA([3]characters!$A:$A),MATCH(J$1,[3]characters!$2:$2,0)-MATCH("character_id",[3]characters!$2:$2,0)+1),MATCH(J$1,[3]characters!$2:$2,0)-MATCH("character_id",[3]characters!$2:$2,0)+1,FALSE)),IF(F528="specific_quest_clear",VLOOKUP(SUBSTITUTE(I528,"-","_"),OFFSET([2]stages!$A$2,0,0,COUNTA([2]stages!$A:$A),MATCH("name",[2]stages!$2:$2,0)-MATCH("temp_stage",[2]stages!$2:$2,0)+1),MATCH("name",[2]stages!$2:$2,0)-MATCH("temp_stage",[2]stages!$2:$2,0)+1,FALSE),""))</f>
        <v/>
      </c>
      <c r="K528" s="15">
        <v>1</v>
      </c>
      <c r="L528" s="15">
        <f t="shared" si="63"/>
        <v>6059</v>
      </c>
      <c r="M528" s="26" t="str">
        <f ca="1">IFERROR(VLOOKUP($L530,OFFSET(missions!$A$2,0,0,COUNTA($A:$A),MATCH(M$1,missions!$2:$2,0)-MATCH("mission_id",missions!$2:$2,0)+1),MATCH(M$1,missions!$2:$2,0)-MATCH("mission_id",missions!$2:$2,0)+1,FALSE),"")</f>
        <v>通算 550 日ログインしよう！</v>
      </c>
      <c r="N528" s="26" t="str">
        <f ca="1">IFERROR(VLOOKUP($L530,OFFSET(missions!$A$2,0,0,COUNTA($A:$A),MATCH(N$1,missions!$2:$2,0)-MATCH("mission_id",missions!$2:$2,0)+1),MATCH(N$1,missions!$2:$2,0)-MATCH("mission_id",missions!$2:$2,0)+1,FALSE),"")</f>
        <v>ポリゴン x 10</v>
      </c>
    </row>
    <row r="529" spans="1:14" ht="21" customHeight="1" x14ac:dyDescent="0.15">
      <c r="A529" s="2" t="s">
        <v>137</v>
      </c>
      <c r="B529" s="21" t="s">
        <v>792</v>
      </c>
      <c r="C529" s="26" t="str">
        <f t="shared" ca="1" si="62"/>
        <v>通算 530 日ログインしよう！</v>
      </c>
      <c r="D529" s="26" t="str">
        <f ca="1">IFERROR(VLOOKUP($A529,OFFSET(achievement_criterion_id,0,0,COUNTA($A:$A),MATCH(D$1,missions!$2:$2,0)-MATCH($A$1,missions!$2:$2,0)+1),MATCH(D$1,missions!$2:$2,0)-MATCH($A$1,missions!$2:$2,0)+1,FALSE),IFERROR(VLOOKUP($A529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29" s="27" t="s">
        <v>864</v>
      </c>
      <c r="F529" s="17" t="s">
        <v>18</v>
      </c>
      <c r="G529" s="26" t="str">
        <f ca="1">VLOOKUP($F529,OFFSET(達成条件!$A$1,0,0,COUNTA($A:$A),MATCH(G$1,達成条件!$1:$1,0)-MATCH($F$1,達成条件!$1:$1,0)+1),MATCH(G$1,達成条件!$1:$1,0)-MATCH($F$1,達成条件!$1:$1,0)+1,FALSE)</f>
        <v>通算 x 日ログインしよう！</v>
      </c>
      <c r="H529" s="26" t="str">
        <f ca="1">VLOOKUP($F529,OFFSET(達成条件!$A$1,0,0,COUNTA($A:$A),MATCH(H$1,達成条件!$1:$1,0)-MATCH($F$1,達成条件!$1:$1,0)+1),MATCH(H$1,達成条件!$1:$1,0)-MATCH($F$1,達成条件!$1:$1,0)+1,FALSE)</f>
        <v>ログイン回数</v>
      </c>
      <c r="I529" s="56">
        <v>530</v>
      </c>
      <c r="J529" s="54" t="str">
        <f ca="1">IF(F529="specific_unit_aquired_count",SUBSTITUTE(G529,"x",VLOOKUP(INT($I529),OFFSET([3]characters!$A$2,0,0,COUNTA([3]characters!$A:$A),MATCH(J$1,[3]characters!$2:$2,0)-MATCH("character_id",[3]characters!$2:$2,0)+1),MATCH(J$1,[3]characters!$2:$2,0)-MATCH("character_id",[3]characters!$2:$2,0)+1,FALSE)),IF(F529="specific_quest_clear",VLOOKUP(SUBSTITUTE(I529,"-","_"),OFFSET([2]stages!$A$2,0,0,COUNTA([2]stages!$A:$A),MATCH("name",[2]stages!$2:$2,0)-MATCH("temp_stage",[2]stages!$2:$2,0)+1),MATCH("name",[2]stages!$2:$2,0)-MATCH("temp_stage",[2]stages!$2:$2,0)+1,FALSE),""))</f>
        <v/>
      </c>
      <c r="K529" s="15">
        <v>1</v>
      </c>
      <c r="L529" s="15">
        <f t="shared" si="63"/>
        <v>6060</v>
      </c>
      <c r="M529" s="26" t="str">
        <f ca="1">IFERROR(VLOOKUP($L531,OFFSET(missions!$A$2,0,0,COUNTA($A:$A),MATCH(M$1,missions!$2:$2,0)-MATCH("mission_id",missions!$2:$2,0)+1),MATCH(M$1,missions!$2:$2,0)-MATCH("mission_id",missions!$2:$2,0)+1,FALSE),"")</f>
        <v/>
      </c>
      <c r="N529" s="26" t="str">
        <f ca="1">IFERROR(VLOOKUP($L531,OFFSET(missions!$A$2,0,0,COUNTA($A:$A),MATCH(N$1,missions!$2:$2,0)-MATCH("mission_id",missions!$2:$2,0)+1),MATCH(N$1,missions!$2:$2,0)-MATCH("mission_id",missions!$2:$2,0)+1,FALSE),"")</f>
        <v/>
      </c>
    </row>
    <row r="530" spans="1:14" ht="21" customHeight="1" x14ac:dyDescent="0.15">
      <c r="A530" s="2" t="s">
        <v>138</v>
      </c>
      <c r="B530" s="21" t="s">
        <v>792</v>
      </c>
      <c r="C530" s="26" t="str">
        <f t="shared" ca="1" si="62"/>
        <v>通算 540 日ログインしよう！</v>
      </c>
      <c r="D530" s="26" t="str">
        <f ca="1">IFERROR(VLOOKUP($A530,OFFSET(achievement_criterion_id,0,0,COUNTA($A:$A),MATCH(D$1,missions!$2:$2,0)-MATCH($A$1,missions!$2:$2,0)+1),MATCH(D$1,missions!$2:$2,0)-MATCH($A$1,missions!$2:$2,0)+1,FALSE),IFERROR(VLOOKUP($A530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30" s="27" t="s">
        <v>864</v>
      </c>
      <c r="F530" s="17" t="s">
        <v>18</v>
      </c>
      <c r="G530" s="26" t="str">
        <f ca="1">VLOOKUP($F530,OFFSET(達成条件!$A$1,0,0,COUNTA($A:$A),MATCH(G$1,達成条件!$1:$1,0)-MATCH($F$1,達成条件!$1:$1,0)+1),MATCH(G$1,達成条件!$1:$1,0)-MATCH($F$1,達成条件!$1:$1,0)+1,FALSE)</f>
        <v>通算 x 日ログインしよう！</v>
      </c>
      <c r="H530" s="26" t="str">
        <f ca="1">VLOOKUP($F530,OFFSET(達成条件!$A$1,0,0,COUNTA($A:$A),MATCH(H$1,達成条件!$1:$1,0)-MATCH($F$1,達成条件!$1:$1,0)+1),MATCH(H$1,達成条件!$1:$1,0)-MATCH($F$1,達成条件!$1:$1,0)+1,FALSE)</f>
        <v>ログイン回数</v>
      </c>
      <c r="I530" s="56">
        <v>540</v>
      </c>
      <c r="J530" s="54" t="str">
        <f ca="1">IF(F530="specific_unit_aquired_count",SUBSTITUTE(G530,"x",VLOOKUP(INT($I530),OFFSET([3]characters!$A$2,0,0,COUNTA([3]characters!$A:$A),MATCH(J$1,[3]characters!$2:$2,0)-MATCH("character_id",[3]characters!$2:$2,0)+1),MATCH(J$1,[3]characters!$2:$2,0)-MATCH("character_id",[3]characters!$2:$2,0)+1,FALSE)),IF(F530="specific_quest_clear",VLOOKUP(SUBSTITUTE(I530,"-","_"),OFFSET([2]stages!$A$2,0,0,COUNTA([2]stages!$A:$A),MATCH("name",[2]stages!$2:$2,0)-MATCH("temp_stage",[2]stages!$2:$2,0)+1),MATCH("name",[2]stages!$2:$2,0)-MATCH("temp_stage",[2]stages!$2:$2,0)+1,FALSE),""))</f>
        <v/>
      </c>
      <c r="K530" s="15">
        <v>1</v>
      </c>
      <c r="L530" s="15">
        <f t="shared" si="63"/>
        <v>6061</v>
      </c>
      <c r="M530" s="26" t="str">
        <f ca="1">IFERROR(VLOOKUP($L532,OFFSET(missions!$A$2,0,0,COUNTA($A:$A),MATCH(M$1,missions!$2:$2,0)-MATCH("mission_id",missions!$2:$2,0)+1),MATCH(M$1,missions!$2:$2,0)-MATCH("mission_id",missions!$2:$2,0)+1,FALSE),"")</f>
        <v/>
      </c>
      <c r="N530" s="26" t="str">
        <f ca="1">IFERROR(VLOOKUP($L532,OFFSET(missions!$A$2,0,0,COUNTA($A:$A),MATCH(N$1,missions!$2:$2,0)-MATCH("mission_id",missions!$2:$2,0)+1),MATCH(N$1,missions!$2:$2,0)-MATCH("mission_id",missions!$2:$2,0)+1,FALSE),"")</f>
        <v/>
      </c>
    </row>
    <row r="531" spans="1:14" ht="21" customHeight="1" x14ac:dyDescent="0.15">
      <c r="A531" s="2" t="s">
        <v>139</v>
      </c>
      <c r="B531" s="21" t="s">
        <v>792</v>
      </c>
      <c r="C531" s="26" t="str">
        <f t="shared" ca="1" si="62"/>
        <v>通算 550 日ログインしよう！</v>
      </c>
      <c r="D531" s="26" t="str">
        <f ca="1">IFERROR(VLOOKUP($A531,OFFSET(achievement_criterion_id,0,0,COUNTA($A:$A),MATCH(D$1,missions!$2:$2,0)-MATCH($A$1,missions!$2:$2,0)+1),MATCH(D$1,missions!$2:$2,0)-MATCH($A$1,missions!$2:$2,0)+1,FALSE),IFERROR(VLOOKUP($A531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531" s="27" t="s">
        <v>864</v>
      </c>
      <c r="F531" s="17" t="s">
        <v>18</v>
      </c>
      <c r="G531" s="26" t="str">
        <f ca="1">VLOOKUP($F531,OFFSET(達成条件!$A$1,0,0,COUNTA($A:$A),MATCH(G$1,達成条件!$1:$1,0)-MATCH($F$1,達成条件!$1:$1,0)+1),MATCH(G$1,達成条件!$1:$1,0)-MATCH($F$1,達成条件!$1:$1,0)+1,FALSE)</f>
        <v>通算 x 日ログインしよう！</v>
      </c>
      <c r="H531" s="26" t="str">
        <f ca="1">VLOOKUP($F531,OFFSET(達成条件!$A$1,0,0,COUNTA($A:$A),MATCH(H$1,達成条件!$1:$1,0)-MATCH($F$1,達成条件!$1:$1,0)+1),MATCH(H$1,達成条件!$1:$1,0)-MATCH($F$1,達成条件!$1:$1,0)+1,FALSE)</f>
        <v>ログイン回数</v>
      </c>
      <c r="I531" s="56">
        <v>550</v>
      </c>
      <c r="J531" s="54" t="str">
        <f ca="1">IF(F531="specific_unit_aquired_count",SUBSTITUTE(G531,"x",VLOOKUP(INT($I531),OFFSET([3]characters!$A$2,0,0,COUNTA([3]characters!$A:$A),MATCH(J$1,[3]characters!$2:$2,0)-MATCH("character_id",[3]characters!$2:$2,0)+1),MATCH(J$1,[3]characters!$2:$2,0)-MATCH("character_id",[3]characters!$2:$2,0)+1,FALSE)),IF(F531="specific_quest_clear",VLOOKUP(SUBSTITUTE(I531,"-","_"),OFFSET([2]stages!$A$2,0,0,COUNTA([2]stages!$A:$A),MATCH("name",[2]stages!$2:$2,0)-MATCH("temp_stage",[2]stages!$2:$2,0)+1),MATCH("name",[2]stages!$2:$2,0)-MATCH("temp_stage",[2]stages!$2:$2,0)+1,FALSE),""))</f>
        <v/>
      </c>
      <c r="K531" s="15">
        <v>1</v>
      </c>
      <c r="L531" s="15">
        <f t="shared" si="63"/>
        <v>6062</v>
      </c>
      <c r="M531" s="26" t="str">
        <f ca="1">IFERROR(VLOOKUP($L533,OFFSET(missions!$A$2,0,0,COUNTA($A:$A),MATCH(M$1,missions!$2:$2,0)-MATCH("mission_id",missions!$2:$2,0)+1),MATCH(M$1,missions!$2:$2,0)-MATCH("mission_id",missions!$2:$2,0)+1,FALSE),"")</f>
        <v/>
      </c>
      <c r="N531" s="26" t="str">
        <f ca="1">IFERROR(VLOOKUP($L533,OFFSET(missions!$A$2,0,0,COUNTA($A:$A),MATCH(N$1,missions!$2:$2,0)-MATCH("mission_id",missions!$2:$2,0)+1),MATCH(N$1,missions!$2:$2,0)-MATCH("mission_id",missions!$2:$2,0)+1,FALSE),"")</f>
        <v/>
      </c>
    </row>
    <row r="532" spans="1:14" ht="21" customHeight="1" x14ac:dyDescent="0.15">
      <c r="A532" s="2" t="s">
        <v>140</v>
      </c>
      <c r="B532" s="21" t="s">
        <v>792</v>
      </c>
      <c r="C532" s="26" t="str">
        <f t="shared" ca="1" si="62"/>
        <v>通算 560 日ログインしよう！</v>
      </c>
      <c r="D532" s="26" t="str">
        <f ca="1">IFERROR(VLOOKUP($A532,OFFSET(achievement_criterion_id,0,0,COUNTA($A:$A),MATCH(D$1,missions!$2:$2,0)-MATCH($A$1,missions!$2:$2,0)+1),MATCH(D$1,missions!$2:$2,0)-MATCH($A$1,missions!$2:$2,0)+1,FALSE),IFERROR(VLOOKUP($A532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32" s="27" t="s">
        <v>926</v>
      </c>
      <c r="F532" s="17" t="s">
        <v>18</v>
      </c>
      <c r="G532" s="26" t="str">
        <f ca="1">VLOOKUP($F532,OFFSET(達成条件!$A$1,0,0,COUNTA($A:$A),MATCH(G$1,達成条件!$1:$1,0)-MATCH($F$1,達成条件!$1:$1,0)+1),MATCH(G$1,達成条件!$1:$1,0)-MATCH($F$1,達成条件!$1:$1,0)+1,FALSE)</f>
        <v>通算 x 日ログインしよう！</v>
      </c>
      <c r="H532" s="26" t="str">
        <f ca="1">VLOOKUP($F532,OFFSET(達成条件!$A$1,0,0,COUNTA($A:$A),MATCH(H$1,達成条件!$1:$1,0)-MATCH($F$1,達成条件!$1:$1,0)+1),MATCH(H$1,達成条件!$1:$1,0)-MATCH($F$1,達成条件!$1:$1,0)+1,FALSE)</f>
        <v>ログイン回数</v>
      </c>
      <c r="I532" s="56">
        <v>560</v>
      </c>
      <c r="J532" s="54" t="str">
        <f ca="1">IF(F532="specific_unit_aquired_count",SUBSTITUTE(G532,"x",VLOOKUP(INT($I532),OFFSET([3]characters!$A$2,0,0,COUNTA([3]characters!$A:$A),MATCH(J$1,[3]characters!$2:$2,0)-MATCH("character_id",[3]characters!$2:$2,0)+1),MATCH(J$1,[3]characters!$2:$2,0)-MATCH("character_id",[3]characters!$2:$2,0)+1,FALSE)),IF(F532="specific_quest_clear",VLOOKUP(SUBSTITUTE(I532,"-","_"),OFFSET([2]stages!$A$2,0,0,COUNTA([2]stages!$A:$A),MATCH("name",[2]stages!$2:$2,0)-MATCH("temp_stage",[2]stages!$2:$2,0)+1),MATCH("name",[2]stages!$2:$2,0)-MATCH("temp_stage",[2]stages!$2:$2,0)+1,FALSE),""))</f>
        <v/>
      </c>
      <c r="K532" s="15">
        <v>1</v>
      </c>
      <c r="L532" s="15">
        <f t="shared" si="63"/>
        <v>6063</v>
      </c>
      <c r="M532" s="26" t="str">
        <f ca="1">IFERROR(VLOOKUP($L534,OFFSET(missions!$A$2,0,0,COUNTA($A:$A),MATCH(M$1,missions!$2:$2,0)-MATCH("mission_id",missions!$2:$2,0)+1),MATCH(M$1,missions!$2:$2,0)-MATCH("mission_id",missions!$2:$2,0)+1,FALSE),"")</f>
        <v/>
      </c>
      <c r="N532" s="26" t="str">
        <f ca="1">IFERROR(VLOOKUP($L534,OFFSET(missions!$A$2,0,0,COUNTA($A:$A),MATCH(N$1,missions!$2:$2,0)-MATCH("mission_id",missions!$2:$2,0)+1),MATCH(N$1,missions!$2:$2,0)-MATCH("mission_id",missions!$2:$2,0)+1,FALSE),"")</f>
        <v/>
      </c>
    </row>
    <row r="533" spans="1:14" ht="21" customHeight="1" x14ac:dyDescent="0.15">
      <c r="A533" s="2" t="s">
        <v>141</v>
      </c>
      <c r="B533" s="21" t="s">
        <v>792</v>
      </c>
      <c r="C533" s="26" t="str">
        <f t="shared" ca="1" si="62"/>
        <v>通算 570 日ログインしよう！</v>
      </c>
      <c r="D533" s="26" t="str">
        <f ca="1">IFERROR(VLOOKUP($A533,OFFSET(achievement_criterion_id,0,0,COUNTA($A:$A),MATCH(D$1,missions!$2:$2,0)-MATCH($A$1,missions!$2:$2,0)+1),MATCH(D$1,missions!$2:$2,0)-MATCH($A$1,missions!$2:$2,0)+1,FALSE),IFERROR(VLOOKUP($A533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33" s="27" t="s">
        <v>864</v>
      </c>
      <c r="F533" s="17" t="s">
        <v>18</v>
      </c>
      <c r="G533" s="26" t="str">
        <f ca="1">VLOOKUP($F533,OFFSET(達成条件!$A$1,0,0,COUNTA($A:$A),MATCH(G$1,達成条件!$1:$1,0)-MATCH($F$1,達成条件!$1:$1,0)+1),MATCH(G$1,達成条件!$1:$1,0)-MATCH($F$1,達成条件!$1:$1,0)+1,FALSE)</f>
        <v>通算 x 日ログインしよう！</v>
      </c>
      <c r="H533" s="26" t="str">
        <f ca="1">VLOOKUP($F533,OFFSET(達成条件!$A$1,0,0,COUNTA($A:$A),MATCH(H$1,達成条件!$1:$1,0)-MATCH($F$1,達成条件!$1:$1,0)+1),MATCH(H$1,達成条件!$1:$1,0)-MATCH($F$1,達成条件!$1:$1,0)+1,FALSE)</f>
        <v>ログイン回数</v>
      </c>
      <c r="I533" s="56">
        <v>570</v>
      </c>
      <c r="J533" s="54" t="str">
        <f ca="1">IF(F533="specific_unit_aquired_count",SUBSTITUTE(G533,"x",VLOOKUP(INT($I533),OFFSET([3]characters!$A$2,0,0,COUNTA([3]characters!$A:$A),MATCH(J$1,[3]characters!$2:$2,0)-MATCH("character_id",[3]characters!$2:$2,0)+1),MATCH(J$1,[3]characters!$2:$2,0)-MATCH("character_id",[3]characters!$2:$2,0)+1,FALSE)),IF(F533="specific_quest_clear",VLOOKUP(SUBSTITUTE(I533,"-","_"),OFFSET([2]stages!$A$2,0,0,COUNTA([2]stages!$A:$A),MATCH("name",[2]stages!$2:$2,0)-MATCH("temp_stage",[2]stages!$2:$2,0)+1),MATCH("name",[2]stages!$2:$2,0)-MATCH("temp_stage",[2]stages!$2:$2,0)+1,FALSE),""))</f>
        <v/>
      </c>
      <c r="K533" s="15">
        <v>1</v>
      </c>
      <c r="L533" s="15">
        <f t="shared" si="63"/>
        <v>6064</v>
      </c>
      <c r="M533" s="26" t="str">
        <f ca="1">IFERROR(VLOOKUP($L535,OFFSET(missions!$A$2,0,0,COUNTA($A:$A),MATCH(M$1,missions!$2:$2,0)-MATCH("mission_id",missions!$2:$2,0)+1),MATCH(M$1,missions!$2:$2,0)-MATCH("mission_id",missions!$2:$2,0)+1,FALSE),"")</f>
        <v>通算 600 日ログインしよう！</v>
      </c>
      <c r="N533" s="26" t="str">
        <f ca="1">IFERROR(VLOOKUP($L535,OFFSET(missions!$A$2,0,0,COUNTA($A:$A),MATCH(N$1,missions!$2:$2,0)-MATCH("mission_id",missions!$2:$2,0)+1),MATCH(N$1,missions!$2:$2,0)-MATCH("mission_id",missions!$2:$2,0)+1,FALSE),"")</f>
        <v>ポリゴン x 10</v>
      </c>
    </row>
    <row r="534" spans="1:14" ht="21" customHeight="1" x14ac:dyDescent="0.15">
      <c r="A534" s="2" t="s">
        <v>142</v>
      </c>
      <c r="B534" s="21" t="s">
        <v>792</v>
      </c>
      <c r="C534" s="26" t="str">
        <f t="shared" ca="1" si="62"/>
        <v>通算 580 日ログインしよう！</v>
      </c>
      <c r="D534" s="26" t="str">
        <f ca="1">IFERROR(VLOOKUP($A534,OFFSET(achievement_criterion_id,0,0,COUNTA($A:$A),MATCH(D$1,missions!$2:$2,0)-MATCH($A$1,missions!$2:$2,0)+1),MATCH(D$1,missions!$2:$2,0)-MATCH($A$1,missions!$2:$2,0)+1,FALSE),IFERROR(VLOOKUP($A534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34" s="27" t="s">
        <v>864</v>
      </c>
      <c r="F534" s="17" t="s">
        <v>18</v>
      </c>
      <c r="G534" s="26" t="str">
        <f ca="1">VLOOKUP($F534,OFFSET(達成条件!$A$1,0,0,COUNTA($A:$A),MATCH(G$1,達成条件!$1:$1,0)-MATCH($F$1,達成条件!$1:$1,0)+1),MATCH(G$1,達成条件!$1:$1,0)-MATCH($F$1,達成条件!$1:$1,0)+1,FALSE)</f>
        <v>通算 x 日ログインしよう！</v>
      </c>
      <c r="H534" s="26" t="str">
        <f ca="1">VLOOKUP($F534,OFFSET(達成条件!$A$1,0,0,COUNTA($A:$A),MATCH(H$1,達成条件!$1:$1,0)-MATCH($F$1,達成条件!$1:$1,0)+1),MATCH(H$1,達成条件!$1:$1,0)-MATCH($F$1,達成条件!$1:$1,0)+1,FALSE)</f>
        <v>ログイン回数</v>
      </c>
      <c r="I534" s="56">
        <v>580</v>
      </c>
      <c r="J534" s="54" t="str">
        <f ca="1">IF(F534="specific_unit_aquired_count",SUBSTITUTE(G534,"x",VLOOKUP(INT($I534),OFFSET([3]characters!$A$2,0,0,COUNTA([3]characters!$A:$A),MATCH(J$1,[3]characters!$2:$2,0)-MATCH("character_id",[3]characters!$2:$2,0)+1),MATCH(J$1,[3]characters!$2:$2,0)-MATCH("character_id",[3]characters!$2:$2,0)+1,FALSE)),IF(F534="specific_quest_clear",VLOOKUP(SUBSTITUTE(I534,"-","_"),OFFSET([2]stages!$A$2,0,0,COUNTA([2]stages!$A:$A),MATCH("name",[2]stages!$2:$2,0)-MATCH("temp_stage",[2]stages!$2:$2,0)+1),MATCH("name",[2]stages!$2:$2,0)-MATCH("temp_stage",[2]stages!$2:$2,0)+1,FALSE),""))</f>
        <v/>
      </c>
      <c r="K534" s="15">
        <v>1</v>
      </c>
      <c r="L534" s="15">
        <f t="shared" si="63"/>
        <v>6065</v>
      </c>
      <c r="M534" s="26" t="str">
        <f ca="1">IFERROR(VLOOKUP($L536,OFFSET(missions!$A$2,0,0,COUNTA($A:$A),MATCH(M$1,missions!$2:$2,0)-MATCH("mission_id",missions!$2:$2,0)+1),MATCH(M$1,missions!$2:$2,0)-MATCH("mission_id",missions!$2:$2,0)+1,FALSE),"")</f>
        <v/>
      </c>
      <c r="N534" s="26" t="str">
        <f ca="1">IFERROR(VLOOKUP($L536,OFFSET(missions!$A$2,0,0,COUNTA($A:$A),MATCH(N$1,missions!$2:$2,0)-MATCH("mission_id",missions!$2:$2,0)+1),MATCH(N$1,missions!$2:$2,0)-MATCH("mission_id",missions!$2:$2,0)+1,FALSE),"")</f>
        <v/>
      </c>
    </row>
    <row r="535" spans="1:14" ht="21" customHeight="1" x14ac:dyDescent="0.15">
      <c r="A535" s="2" t="s">
        <v>143</v>
      </c>
      <c r="B535" s="21" t="s">
        <v>792</v>
      </c>
      <c r="C535" s="26" t="str">
        <f t="shared" ca="1" si="62"/>
        <v>通算 590 日ログインしよう！</v>
      </c>
      <c r="D535" s="26" t="str">
        <f ca="1">IFERROR(VLOOKUP($A535,OFFSET(achievement_criterion_id,0,0,COUNTA($A:$A),MATCH(D$1,missions!$2:$2,0)-MATCH($A$1,missions!$2:$2,0)+1),MATCH(D$1,missions!$2:$2,0)-MATCH($A$1,missions!$2:$2,0)+1,FALSE),IFERROR(VLOOKUP($A535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35" s="27" t="s">
        <v>864</v>
      </c>
      <c r="F535" s="17" t="s">
        <v>18</v>
      </c>
      <c r="G535" s="26" t="str">
        <f ca="1">VLOOKUP($F535,OFFSET(達成条件!$A$1,0,0,COUNTA($A:$A),MATCH(G$1,達成条件!$1:$1,0)-MATCH($F$1,達成条件!$1:$1,0)+1),MATCH(G$1,達成条件!$1:$1,0)-MATCH($F$1,達成条件!$1:$1,0)+1,FALSE)</f>
        <v>通算 x 日ログインしよう！</v>
      </c>
      <c r="H535" s="26" t="str">
        <f ca="1">VLOOKUP($F535,OFFSET(達成条件!$A$1,0,0,COUNTA($A:$A),MATCH(H$1,達成条件!$1:$1,0)-MATCH($F$1,達成条件!$1:$1,0)+1),MATCH(H$1,達成条件!$1:$1,0)-MATCH($F$1,達成条件!$1:$1,0)+1,FALSE)</f>
        <v>ログイン回数</v>
      </c>
      <c r="I535" s="56">
        <v>590</v>
      </c>
      <c r="J535" s="54" t="str">
        <f ca="1">IF(F535="specific_unit_aquired_count",SUBSTITUTE(G535,"x",VLOOKUP(INT($I535),OFFSET([3]characters!$A$2,0,0,COUNTA([3]characters!$A:$A),MATCH(J$1,[3]characters!$2:$2,0)-MATCH("character_id",[3]characters!$2:$2,0)+1),MATCH(J$1,[3]characters!$2:$2,0)-MATCH("character_id",[3]characters!$2:$2,0)+1,FALSE)),IF(F535="specific_quest_clear",VLOOKUP(SUBSTITUTE(I535,"-","_"),OFFSET([2]stages!$A$2,0,0,COUNTA([2]stages!$A:$A),MATCH("name",[2]stages!$2:$2,0)-MATCH("temp_stage",[2]stages!$2:$2,0)+1),MATCH("name",[2]stages!$2:$2,0)-MATCH("temp_stage",[2]stages!$2:$2,0)+1,FALSE),""))</f>
        <v/>
      </c>
      <c r="K535" s="15">
        <v>1</v>
      </c>
      <c r="L535" s="15">
        <f t="shared" si="63"/>
        <v>6066</v>
      </c>
      <c r="M535" s="26" t="str">
        <f ca="1">IFERROR(VLOOKUP($L537,OFFSET(missions!$A$2,0,0,COUNTA($A:$A),MATCH(M$1,missions!$2:$2,0)-MATCH("mission_id",missions!$2:$2,0)+1),MATCH(M$1,missions!$2:$2,0)-MATCH("mission_id",missions!$2:$2,0)+1,FALSE),"")</f>
        <v/>
      </c>
      <c r="N535" s="26" t="str">
        <f ca="1">IFERROR(VLOOKUP($L537,OFFSET(missions!$A$2,0,0,COUNTA($A:$A),MATCH(N$1,missions!$2:$2,0)-MATCH("mission_id",missions!$2:$2,0)+1),MATCH(N$1,missions!$2:$2,0)-MATCH("mission_id",missions!$2:$2,0)+1,FALSE),"")</f>
        <v/>
      </c>
    </row>
    <row r="536" spans="1:14" ht="21" customHeight="1" x14ac:dyDescent="0.15">
      <c r="A536" s="2" t="s">
        <v>144</v>
      </c>
      <c r="B536" s="21" t="s">
        <v>792</v>
      </c>
      <c r="C536" s="26" t="str">
        <f t="shared" ca="1" si="62"/>
        <v>通算 600 日ログインしよう！</v>
      </c>
      <c r="D536" s="26" t="str">
        <f ca="1">IFERROR(VLOOKUP($A536,OFFSET(achievement_criterion_id,0,0,COUNTA($A:$A),MATCH(D$1,missions!$2:$2,0)-MATCH($A$1,missions!$2:$2,0)+1),MATCH(D$1,missions!$2:$2,0)-MATCH($A$1,missions!$2:$2,0)+1,FALSE),IFERROR(VLOOKUP($A536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536" s="27" t="s">
        <v>864</v>
      </c>
      <c r="F536" s="17" t="s">
        <v>18</v>
      </c>
      <c r="G536" s="26" t="str">
        <f ca="1">VLOOKUP($F536,OFFSET(達成条件!$A$1,0,0,COUNTA($A:$A),MATCH(G$1,達成条件!$1:$1,0)-MATCH($F$1,達成条件!$1:$1,0)+1),MATCH(G$1,達成条件!$1:$1,0)-MATCH($F$1,達成条件!$1:$1,0)+1,FALSE)</f>
        <v>通算 x 日ログインしよう！</v>
      </c>
      <c r="H536" s="26" t="str">
        <f ca="1">VLOOKUP($F536,OFFSET(達成条件!$A$1,0,0,COUNTA($A:$A),MATCH(H$1,達成条件!$1:$1,0)-MATCH($F$1,達成条件!$1:$1,0)+1),MATCH(H$1,達成条件!$1:$1,0)-MATCH($F$1,達成条件!$1:$1,0)+1,FALSE)</f>
        <v>ログイン回数</v>
      </c>
      <c r="I536" s="56">
        <v>600</v>
      </c>
      <c r="J536" s="54" t="str">
        <f ca="1">IF(F536="specific_unit_aquired_count",SUBSTITUTE(G536,"x",VLOOKUP(INT($I536),OFFSET([3]characters!$A$2,0,0,COUNTA([3]characters!$A:$A),MATCH(J$1,[3]characters!$2:$2,0)-MATCH("character_id",[3]characters!$2:$2,0)+1),MATCH(J$1,[3]characters!$2:$2,0)-MATCH("character_id",[3]characters!$2:$2,0)+1,FALSE)),IF(F536="specific_quest_clear",VLOOKUP(SUBSTITUTE(I536,"-","_"),OFFSET([2]stages!$A$2,0,0,COUNTA([2]stages!$A:$A),MATCH("name",[2]stages!$2:$2,0)-MATCH("temp_stage",[2]stages!$2:$2,0)+1),MATCH("name",[2]stages!$2:$2,0)-MATCH("temp_stage",[2]stages!$2:$2,0)+1,FALSE),""))</f>
        <v/>
      </c>
      <c r="K536" s="15">
        <v>1</v>
      </c>
      <c r="L536" s="15">
        <f t="shared" si="63"/>
        <v>6067</v>
      </c>
      <c r="M536" s="26" t="str">
        <f ca="1">IFERROR(VLOOKUP($L538,OFFSET(missions!$A$2,0,0,COUNTA($A:$A),MATCH(M$1,missions!$2:$2,0)-MATCH("mission_id",missions!$2:$2,0)+1),MATCH(M$1,missions!$2:$2,0)-MATCH("mission_id",missions!$2:$2,0)+1,FALSE),"")</f>
        <v/>
      </c>
      <c r="N536" s="26" t="str">
        <f ca="1">IFERROR(VLOOKUP($L538,OFFSET(missions!$A$2,0,0,COUNTA($A:$A),MATCH(N$1,missions!$2:$2,0)-MATCH("mission_id",missions!$2:$2,0)+1),MATCH(N$1,missions!$2:$2,0)-MATCH("mission_id",missions!$2:$2,0)+1,FALSE),"")</f>
        <v/>
      </c>
    </row>
    <row r="537" spans="1:14" ht="21" customHeight="1" x14ac:dyDescent="0.15">
      <c r="A537" s="2" t="s">
        <v>145</v>
      </c>
      <c r="B537" s="21" t="s">
        <v>792</v>
      </c>
      <c r="C537" s="26" t="str">
        <f t="shared" ca="1" si="62"/>
        <v>通算 610 日ログインしよう！</v>
      </c>
      <c r="D537" s="26" t="str">
        <f ca="1">IFERROR(VLOOKUP($A537,OFFSET(achievement_criterion_id,0,0,COUNTA($A:$A),MATCH(D$1,missions!$2:$2,0)-MATCH($A$1,missions!$2:$2,0)+1),MATCH(D$1,missions!$2:$2,0)-MATCH($A$1,missions!$2:$2,0)+1,FALSE),IFERROR(VLOOKUP($A537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37" s="27" t="s">
        <v>864</v>
      </c>
      <c r="F537" s="17" t="s">
        <v>18</v>
      </c>
      <c r="G537" s="26" t="str">
        <f ca="1">VLOOKUP($F537,OFFSET(達成条件!$A$1,0,0,COUNTA($A:$A),MATCH(G$1,達成条件!$1:$1,0)-MATCH($F$1,達成条件!$1:$1,0)+1),MATCH(G$1,達成条件!$1:$1,0)-MATCH($F$1,達成条件!$1:$1,0)+1,FALSE)</f>
        <v>通算 x 日ログインしよう！</v>
      </c>
      <c r="H537" s="26" t="str">
        <f ca="1">VLOOKUP($F537,OFFSET(達成条件!$A$1,0,0,COUNTA($A:$A),MATCH(H$1,達成条件!$1:$1,0)-MATCH($F$1,達成条件!$1:$1,0)+1),MATCH(H$1,達成条件!$1:$1,0)-MATCH($F$1,達成条件!$1:$1,0)+1,FALSE)</f>
        <v>ログイン回数</v>
      </c>
      <c r="I537" s="56">
        <v>610</v>
      </c>
      <c r="J537" s="54" t="str">
        <f ca="1">IF(F537="specific_unit_aquired_count",SUBSTITUTE(G537,"x",VLOOKUP(INT($I537),OFFSET([3]characters!$A$2,0,0,COUNTA([3]characters!$A:$A),MATCH(J$1,[3]characters!$2:$2,0)-MATCH("character_id",[3]characters!$2:$2,0)+1),MATCH(J$1,[3]characters!$2:$2,0)-MATCH("character_id",[3]characters!$2:$2,0)+1,FALSE)),IF(F537="specific_quest_clear",VLOOKUP(SUBSTITUTE(I537,"-","_"),OFFSET([2]stages!$A$2,0,0,COUNTA([2]stages!$A:$A),MATCH("name",[2]stages!$2:$2,0)-MATCH("temp_stage",[2]stages!$2:$2,0)+1),MATCH("name",[2]stages!$2:$2,0)-MATCH("temp_stage",[2]stages!$2:$2,0)+1,FALSE),""))</f>
        <v/>
      </c>
      <c r="K537" s="15">
        <v>1</v>
      </c>
      <c r="L537" s="15">
        <f t="shared" si="63"/>
        <v>6068</v>
      </c>
      <c r="M537" s="26" t="str">
        <f ca="1">IFERROR(VLOOKUP($L539,OFFSET(missions!$A$2,0,0,COUNTA($A:$A),MATCH(M$1,missions!$2:$2,0)-MATCH("mission_id",missions!$2:$2,0)+1),MATCH(M$1,missions!$2:$2,0)-MATCH("mission_id",missions!$2:$2,0)+1,FALSE),"")</f>
        <v/>
      </c>
      <c r="N537" s="26" t="str">
        <f ca="1">IFERROR(VLOOKUP($L539,OFFSET(missions!$A$2,0,0,COUNTA($A:$A),MATCH(N$1,missions!$2:$2,0)-MATCH("mission_id",missions!$2:$2,0)+1),MATCH(N$1,missions!$2:$2,0)-MATCH("mission_id",missions!$2:$2,0)+1,FALSE),"")</f>
        <v/>
      </c>
    </row>
    <row r="538" spans="1:14" ht="21" customHeight="1" x14ac:dyDescent="0.15">
      <c r="A538" s="2" t="s">
        <v>146</v>
      </c>
      <c r="B538" s="21" t="s">
        <v>792</v>
      </c>
      <c r="C538" s="26" t="str">
        <f t="shared" ca="1" si="62"/>
        <v>通算 620 日ログインしよう！</v>
      </c>
      <c r="D538" s="26" t="str">
        <f ca="1">IFERROR(VLOOKUP($A538,OFFSET(achievement_criterion_id,0,0,COUNTA($A:$A),MATCH(D$1,missions!$2:$2,0)-MATCH($A$1,missions!$2:$2,0)+1),MATCH(D$1,missions!$2:$2,0)-MATCH($A$1,missions!$2:$2,0)+1,FALSE),IFERROR(VLOOKUP($A538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38" s="27" t="s">
        <v>864</v>
      </c>
      <c r="F538" s="17" t="s">
        <v>18</v>
      </c>
      <c r="G538" s="26" t="str">
        <f ca="1">VLOOKUP($F538,OFFSET(達成条件!$A$1,0,0,COUNTA($A:$A),MATCH(G$1,達成条件!$1:$1,0)-MATCH($F$1,達成条件!$1:$1,0)+1),MATCH(G$1,達成条件!$1:$1,0)-MATCH($F$1,達成条件!$1:$1,0)+1,FALSE)</f>
        <v>通算 x 日ログインしよう！</v>
      </c>
      <c r="H538" s="26" t="str">
        <f ca="1">VLOOKUP($F538,OFFSET(達成条件!$A$1,0,0,COUNTA($A:$A),MATCH(H$1,達成条件!$1:$1,0)-MATCH($F$1,達成条件!$1:$1,0)+1),MATCH(H$1,達成条件!$1:$1,0)-MATCH($F$1,達成条件!$1:$1,0)+1,FALSE)</f>
        <v>ログイン回数</v>
      </c>
      <c r="I538" s="56">
        <v>620</v>
      </c>
      <c r="J538" s="54" t="str">
        <f ca="1">IF(F538="specific_unit_aquired_count",SUBSTITUTE(G538,"x",VLOOKUP(INT($I538),OFFSET([3]characters!$A$2,0,0,COUNTA([3]characters!$A:$A),MATCH(J$1,[3]characters!$2:$2,0)-MATCH("character_id",[3]characters!$2:$2,0)+1),MATCH(J$1,[3]characters!$2:$2,0)-MATCH("character_id",[3]characters!$2:$2,0)+1,FALSE)),IF(F538="specific_quest_clear",VLOOKUP(SUBSTITUTE(I538,"-","_"),OFFSET([2]stages!$A$2,0,0,COUNTA([2]stages!$A:$A),MATCH("name",[2]stages!$2:$2,0)-MATCH("temp_stage",[2]stages!$2:$2,0)+1),MATCH("name",[2]stages!$2:$2,0)-MATCH("temp_stage",[2]stages!$2:$2,0)+1,FALSE),""))</f>
        <v/>
      </c>
      <c r="K538" s="15">
        <v>1</v>
      </c>
      <c r="L538" s="15">
        <f t="shared" si="63"/>
        <v>6069</v>
      </c>
      <c r="M538" s="26" t="str">
        <f ca="1">IFERROR(VLOOKUP($L540,OFFSET(missions!$A$2,0,0,COUNTA($A:$A),MATCH(M$1,missions!$2:$2,0)-MATCH("mission_id",missions!$2:$2,0)+1),MATCH(M$1,missions!$2:$2,0)-MATCH("mission_id",missions!$2:$2,0)+1,FALSE),"")</f>
        <v>通算 650 日ログインしよう！</v>
      </c>
      <c r="N538" s="26" t="str">
        <f ca="1">IFERROR(VLOOKUP($L540,OFFSET(missions!$A$2,0,0,COUNTA($A:$A),MATCH(N$1,missions!$2:$2,0)-MATCH("mission_id",missions!$2:$2,0)+1),MATCH(N$1,missions!$2:$2,0)-MATCH("mission_id",missions!$2:$2,0)+1,FALSE),"")</f>
        <v>ポリゴン x 10</v>
      </c>
    </row>
    <row r="539" spans="1:14" ht="21" customHeight="1" x14ac:dyDescent="0.15">
      <c r="A539" s="2" t="s">
        <v>147</v>
      </c>
      <c r="B539" s="21" t="s">
        <v>792</v>
      </c>
      <c r="C539" s="26" t="str">
        <f t="shared" ca="1" si="62"/>
        <v>通算 630 日ログインしよう！</v>
      </c>
      <c r="D539" s="26" t="str">
        <f ca="1">IFERROR(VLOOKUP($A539,OFFSET(achievement_criterion_id,0,0,COUNTA($A:$A),MATCH(D$1,missions!$2:$2,0)-MATCH($A$1,missions!$2:$2,0)+1),MATCH(D$1,missions!$2:$2,0)-MATCH($A$1,missions!$2:$2,0)+1,FALSE),IFERROR(VLOOKUP($A539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39" s="27" t="s">
        <v>864</v>
      </c>
      <c r="F539" s="17" t="s">
        <v>18</v>
      </c>
      <c r="G539" s="26" t="str">
        <f ca="1">VLOOKUP($F539,OFFSET(達成条件!$A$1,0,0,COUNTA($A:$A),MATCH(G$1,達成条件!$1:$1,0)-MATCH($F$1,達成条件!$1:$1,0)+1),MATCH(G$1,達成条件!$1:$1,0)-MATCH($F$1,達成条件!$1:$1,0)+1,FALSE)</f>
        <v>通算 x 日ログインしよう！</v>
      </c>
      <c r="H539" s="26" t="str">
        <f ca="1">VLOOKUP($F539,OFFSET(達成条件!$A$1,0,0,COUNTA($A:$A),MATCH(H$1,達成条件!$1:$1,0)-MATCH($F$1,達成条件!$1:$1,0)+1),MATCH(H$1,達成条件!$1:$1,0)-MATCH($F$1,達成条件!$1:$1,0)+1,FALSE)</f>
        <v>ログイン回数</v>
      </c>
      <c r="I539" s="56">
        <v>630</v>
      </c>
      <c r="J539" s="54" t="str">
        <f ca="1">IF(F539="specific_unit_aquired_count",SUBSTITUTE(G539,"x",VLOOKUP(INT($I539),OFFSET([3]characters!$A$2,0,0,COUNTA([3]characters!$A:$A),MATCH(J$1,[3]characters!$2:$2,0)-MATCH("character_id",[3]characters!$2:$2,0)+1),MATCH(J$1,[3]characters!$2:$2,0)-MATCH("character_id",[3]characters!$2:$2,0)+1,FALSE)),IF(F539="specific_quest_clear",VLOOKUP(SUBSTITUTE(I539,"-","_"),OFFSET([2]stages!$A$2,0,0,COUNTA([2]stages!$A:$A),MATCH("name",[2]stages!$2:$2,0)-MATCH("temp_stage",[2]stages!$2:$2,0)+1),MATCH("name",[2]stages!$2:$2,0)-MATCH("temp_stage",[2]stages!$2:$2,0)+1,FALSE),""))</f>
        <v/>
      </c>
      <c r="K539" s="15">
        <v>1</v>
      </c>
      <c r="L539" s="15">
        <f t="shared" si="63"/>
        <v>6070</v>
      </c>
      <c r="M539" s="26" t="str">
        <f ca="1">IFERROR(VLOOKUP($L541,OFFSET(missions!$A$2,0,0,COUNTA($A:$A),MATCH(M$1,missions!$2:$2,0)-MATCH("mission_id",missions!$2:$2,0)+1),MATCH(M$1,missions!$2:$2,0)-MATCH("mission_id",missions!$2:$2,0)+1,FALSE),"")</f>
        <v/>
      </c>
      <c r="N539" s="26" t="str">
        <f ca="1">IFERROR(VLOOKUP($L541,OFFSET(missions!$A$2,0,0,COUNTA($A:$A),MATCH(N$1,missions!$2:$2,0)-MATCH("mission_id",missions!$2:$2,0)+1),MATCH(N$1,missions!$2:$2,0)-MATCH("mission_id",missions!$2:$2,0)+1,FALSE),"")</f>
        <v/>
      </c>
    </row>
    <row r="540" spans="1:14" ht="21" customHeight="1" x14ac:dyDescent="0.15">
      <c r="A540" s="2" t="s">
        <v>148</v>
      </c>
      <c r="B540" s="21" t="s">
        <v>792</v>
      </c>
      <c r="C540" s="26" t="str">
        <f t="shared" ca="1" si="62"/>
        <v>通算 640 日ログインしよう！</v>
      </c>
      <c r="D540" s="26" t="str">
        <f ca="1">IFERROR(VLOOKUP($A540,OFFSET(achievement_criterion_id,0,0,COUNTA($A:$A),MATCH(D$1,missions!$2:$2,0)-MATCH($A$1,missions!$2:$2,0)+1),MATCH(D$1,missions!$2:$2,0)-MATCH($A$1,missions!$2:$2,0)+1,FALSE),IFERROR(VLOOKUP($A540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40" s="27" t="s">
        <v>864</v>
      </c>
      <c r="F540" s="17" t="s">
        <v>18</v>
      </c>
      <c r="G540" s="26" t="str">
        <f ca="1">VLOOKUP($F540,OFFSET(達成条件!$A$1,0,0,COUNTA($A:$A),MATCH(G$1,達成条件!$1:$1,0)-MATCH($F$1,達成条件!$1:$1,0)+1),MATCH(G$1,達成条件!$1:$1,0)-MATCH($F$1,達成条件!$1:$1,0)+1,FALSE)</f>
        <v>通算 x 日ログインしよう！</v>
      </c>
      <c r="H540" s="26" t="str">
        <f ca="1">VLOOKUP($F540,OFFSET(達成条件!$A$1,0,0,COUNTA($A:$A),MATCH(H$1,達成条件!$1:$1,0)-MATCH($F$1,達成条件!$1:$1,0)+1),MATCH(H$1,達成条件!$1:$1,0)-MATCH($F$1,達成条件!$1:$1,0)+1,FALSE)</f>
        <v>ログイン回数</v>
      </c>
      <c r="I540" s="56">
        <v>640</v>
      </c>
      <c r="J540" s="54" t="str">
        <f ca="1">IF(F540="specific_unit_aquired_count",SUBSTITUTE(G540,"x",VLOOKUP(INT($I540),OFFSET([3]characters!$A$2,0,0,COUNTA([3]characters!$A:$A),MATCH(J$1,[3]characters!$2:$2,0)-MATCH("character_id",[3]characters!$2:$2,0)+1),MATCH(J$1,[3]characters!$2:$2,0)-MATCH("character_id",[3]characters!$2:$2,0)+1,FALSE)),IF(F540="specific_quest_clear",VLOOKUP(SUBSTITUTE(I540,"-","_"),OFFSET([2]stages!$A$2,0,0,COUNTA([2]stages!$A:$A),MATCH("name",[2]stages!$2:$2,0)-MATCH("temp_stage",[2]stages!$2:$2,0)+1),MATCH("name",[2]stages!$2:$2,0)-MATCH("temp_stage",[2]stages!$2:$2,0)+1,FALSE),""))</f>
        <v/>
      </c>
      <c r="K540" s="15">
        <v>1</v>
      </c>
      <c r="L540" s="15">
        <f t="shared" si="63"/>
        <v>6071</v>
      </c>
      <c r="M540" s="26" t="str">
        <f ca="1">IFERROR(VLOOKUP($L542,OFFSET(missions!$A$2,0,0,COUNTA($A:$A),MATCH(M$1,missions!$2:$2,0)-MATCH("mission_id",missions!$2:$2,0)+1),MATCH(M$1,missions!$2:$2,0)-MATCH("mission_id",missions!$2:$2,0)+1,FALSE),"")</f>
        <v/>
      </c>
      <c r="N540" s="26" t="str">
        <f ca="1">IFERROR(VLOOKUP($L542,OFFSET(missions!$A$2,0,0,COUNTA($A:$A),MATCH(N$1,missions!$2:$2,0)-MATCH("mission_id",missions!$2:$2,0)+1),MATCH(N$1,missions!$2:$2,0)-MATCH("mission_id",missions!$2:$2,0)+1,FALSE),"")</f>
        <v/>
      </c>
    </row>
    <row r="541" spans="1:14" ht="21" customHeight="1" x14ac:dyDescent="0.15">
      <c r="A541" s="2" t="s">
        <v>149</v>
      </c>
      <c r="B541" s="21" t="s">
        <v>792</v>
      </c>
      <c r="C541" s="26" t="str">
        <f t="shared" ca="1" si="62"/>
        <v>通算 650 日ログインしよう！</v>
      </c>
      <c r="D541" s="26" t="str">
        <f ca="1">IFERROR(VLOOKUP($A541,OFFSET(achievement_criterion_id,0,0,COUNTA($A:$A),MATCH(D$1,missions!$2:$2,0)-MATCH($A$1,missions!$2:$2,0)+1),MATCH(D$1,missions!$2:$2,0)-MATCH($A$1,missions!$2:$2,0)+1,FALSE),IFERROR(VLOOKUP($A541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541" s="27" t="s">
        <v>864</v>
      </c>
      <c r="F541" s="17" t="s">
        <v>18</v>
      </c>
      <c r="G541" s="26" t="str">
        <f ca="1">VLOOKUP($F541,OFFSET(達成条件!$A$1,0,0,COUNTA($A:$A),MATCH(G$1,達成条件!$1:$1,0)-MATCH($F$1,達成条件!$1:$1,0)+1),MATCH(G$1,達成条件!$1:$1,0)-MATCH($F$1,達成条件!$1:$1,0)+1,FALSE)</f>
        <v>通算 x 日ログインしよう！</v>
      </c>
      <c r="H541" s="26" t="str">
        <f ca="1">VLOOKUP($F541,OFFSET(達成条件!$A$1,0,0,COUNTA($A:$A),MATCH(H$1,達成条件!$1:$1,0)-MATCH($F$1,達成条件!$1:$1,0)+1),MATCH(H$1,達成条件!$1:$1,0)-MATCH($F$1,達成条件!$1:$1,0)+1,FALSE)</f>
        <v>ログイン回数</v>
      </c>
      <c r="I541" s="56">
        <v>650</v>
      </c>
      <c r="J541" s="54" t="str">
        <f ca="1">IF(F541="specific_unit_aquired_count",SUBSTITUTE(G541,"x",VLOOKUP(INT($I541),OFFSET([3]characters!$A$2,0,0,COUNTA([3]characters!$A:$A),MATCH(J$1,[3]characters!$2:$2,0)-MATCH("character_id",[3]characters!$2:$2,0)+1),MATCH(J$1,[3]characters!$2:$2,0)-MATCH("character_id",[3]characters!$2:$2,0)+1,FALSE)),IF(F541="specific_quest_clear",VLOOKUP(SUBSTITUTE(I541,"-","_"),OFFSET([2]stages!$A$2,0,0,COUNTA([2]stages!$A:$A),MATCH("name",[2]stages!$2:$2,0)-MATCH("temp_stage",[2]stages!$2:$2,0)+1),MATCH("name",[2]stages!$2:$2,0)-MATCH("temp_stage",[2]stages!$2:$2,0)+1,FALSE),""))</f>
        <v/>
      </c>
      <c r="K541" s="15">
        <v>1</v>
      </c>
      <c r="L541" s="15">
        <f t="shared" si="63"/>
        <v>6072</v>
      </c>
      <c r="M541" s="26" t="str">
        <f ca="1">IFERROR(VLOOKUP($L543,OFFSET(missions!$A$2,0,0,COUNTA($A:$A),MATCH(M$1,missions!$2:$2,0)-MATCH("mission_id",missions!$2:$2,0)+1),MATCH(M$1,missions!$2:$2,0)-MATCH("mission_id",missions!$2:$2,0)+1,FALSE),"")</f>
        <v/>
      </c>
      <c r="N541" s="26" t="str">
        <f ca="1">IFERROR(VLOOKUP($L543,OFFSET(missions!$A$2,0,0,COUNTA($A:$A),MATCH(N$1,missions!$2:$2,0)-MATCH("mission_id",missions!$2:$2,0)+1),MATCH(N$1,missions!$2:$2,0)-MATCH("mission_id",missions!$2:$2,0)+1,FALSE),"")</f>
        <v/>
      </c>
    </row>
    <row r="542" spans="1:14" ht="21" customHeight="1" x14ac:dyDescent="0.15">
      <c r="A542" s="2" t="s">
        <v>150</v>
      </c>
      <c r="B542" s="21" t="s">
        <v>792</v>
      </c>
      <c r="C542" s="26" t="str">
        <f t="shared" ca="1" si="62"/>
        <v>通算 660 日ログインしよう！</v>
      </c>
      <c r="D542" s="26" t="str">
        <f ca="1">IFERROR(VLOOKUP($A542,OFFSET(achievement_criterion_id,0,0,COUNTA($A:$A),MATCH(D$1,missions!$2:$2,0)-MATCH($A$1,missions!$2:$2,0)+1),MATCH(D$1,missions!$2:$2,0)-MATCH($A$1,missions!$2:$2,0)+1,FALSE),IFERROR(VLOOKUP($A542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42" s="27" t="s">
        <v>864</v>
      </c>
      <c r="F542" s="17" t="s">
        <v>18</v>
      </c>
      <c r="G542" s="26" t="str">
        <f ca="1">VLOOKUP($F542,OFFSET(達成条件!$A$1,0,0,COUNTA($A:$A),MATCH(G$1,達成条件!$1:$1,0)-MATCH($F$1,達成条件!$1:$1,0)+1),MATCH(G$1,達成条件!$1:$1,0)-MATCH($F$1,達成条件!$1:$1,0)+1,FALSE)</f>
        <v>通算 x 日ログインしよう！</v>
      </c>
      <c r="H542" s="26" t="str">
        <f ca="1">VLOOKUP($F542,OFFSET(達成条件!$A$1,0,0,COUNTA($A:$A),MATCH(H$1,達成条件!$1:$1,0)-MATCH($F$1,達成条件!$1:$1,0)+1),MATCH(H$1,達成条件!$1:$1,0)-MATCH($F$1,達成条件!$1:$1,0)+1,FALSE)</f>
        <v>ログイン回数</v>
      </c>
      <c r="I542" s="56">
        <v>660</v>
      </c>
      <c r="J542" s="54" t="str">
        <f ca="1">IF(F542="specific_unit_aquired_count",SUBSTITUTE(G542,"x",VLOOKUP(INT($I542),OFFSET([3]characters!$A$2,0,0,COUNTA([3]characters!$A:$A),MATCH(J$1,[3]characters!$2:$2,0)-MATCH("character_id",[3]characters!$2:$2,0)+1),MATCH(J$1,[3]characters!$2:$2,0)-MATCH("character_id",[3]characters!$2:$2,0)+1,FALSE)),IF(F542="specific_quest_clear",VLOOKUP(SUBSTITUTE(I542,"-","_"),OFFSET([2]stages!$A$2,0,0,COUNTA([2]stages!$A:$A),MATCH("name",[2]stages!$2:$2,0)-MATCH("temp_stage",[2]stages!$2:$2,0)+1),MATCH("name",[2]stages!$2:$2,0)-MATCH("temp_stage",[2]stages!$2:$2,0)+1,FALSE),""))</f>
        <v/>
      </c>
      <c r="K542" s="15">
        <v>1</v>
      </c>
      <c r="L542" s="15">
        <f t="shared" si="63"/>
        <v>6073</v>
      </c>
      <c r="M542" s="26" t="str">
        <f ca="1">IFERROR(VLOOKUP($L544,OFFSET(missions!$A$2,0,0,COUNTA($A:$A),MATCH(M$1,missions!$2:$2,0)-MATCH("mission_id",missions!$2:$2,0)+1),MATCH(M$1,missions!$2:$2,0)-MATCH("mission_id",missions!$2:$2,0)+1,FALSE),"")</f>
        <v/>
      </c>
      <c r="N542" s="26" t="str">
        <f ca="1">IFERROR(VLOOKUP($L544,OFFSET(missions!$A$2,0,0,COUNTA($A:$A),MATCH(N$1,missions!$2:$2,0)-MATCH("mission_id",missions!$2:$2,0)+1),MATCH(N$1,missions!$2:$2,0)-MATCH("mission_id",missions!$2:$2,0)+1,FALSE),"")</f>
        <v/>
      </c>
    </row>
    <row r="543" spans="1:14" ht="21" customHeight="1" x14ac:dyDescent="0.15">
      <c r="A543" s="2" t="s">
        <v>151</v>
      </c>
      <c r="B543" s="21" t="s">
        <v>792</v>
      </c>
      <c r="C543" s="26" t="str">
        <f t="shared" ca="1" si="62"/>
        <v>通算 670 日ログインしよう！</v>
      </c>
      <c r="D543" s="26" t="str">
        <f ca="1">IFERROR(VLOOKUP($A543,OFFSET(achievement_criterion_id,0,0,COUNTA($A:$A),MATCH(D$1,missions!$2:$2,0)-MATCH($A$1,missions!$2:$2,0)+1),MATCH(D$1,missions!$2:$2,0)-MATCH($A$1,missions!$2:$2,0)+1,FALSE),IFERROR(VLOOKUP($A543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43" s="27" t="s">
        <v>864</v>
      </c>
      <c r="F543" s="17" t="s">
        <v>18</v>
      </c>
      <c r="G543" s="26" t="str">
        <f ca="1">VLOOKUP($F543,OFFSET(達成条件!$A$1,0,0,COUNTA($A:$A),MATCH(G$1,達成条件!$1:$1,0)-MATCH($F$1,達成条件!$1:$1,0)+1),MATCH(G$1,達成条件!$1:$1,0)-MATCH($F$1,達成条件!$1:$1,0)+1,FALSE)</f>
        <v>通算 x 日ログインしよう！</v>
      </c>
      <c r="H543" s="26" t="str">
        <f ca="1">VLOOKUP($F543,OFFSET(達成条件!$A$1,0,0,COUNTA($A:$A),MATCH(H$1,達成条件!$1:$1,0)-MATCH($F$1,達成条件!$1:$1,0)+1),MATCH(H$1,達成条件!$1:$1,0)-MATCH($F$1,達成条件!$1:$1,0)+1,FALSE)</f>
        <v>ログイン回数</v>
      </c>
      <c r="I543" s="56">
        <v>670</v>
      </c>
      <c r="J543" s="54" t="str">
        <f ca="1">IF(F543="specific_unit_aquired_count",SUBSTITUTE(G543,"x",VLOOKUP(INT($I543),OFFSET([3]characters!$A$2,0,0,COUNTA([3]characters!$A:$A),MATCH(J$1,[3]characters!$2:$2,0)-MATCH("character_id",[3]characters!$2:$2,0)+1),MATCH(J$1,[3]characters!$2:$2,0)-MATCH("character_id",[3]characters!$2:$2,0)+1,FALSE)),IF(F543="specific_quest_clear",VLOOKUP(SUBSTITUTE(I543,"-","_"),OFFSET([2]stages!$A$2,0,0,COUNTA([2]stages!$A:$A),MATCH("name",[2]stages!$2:$2,0)-MATCH("temp_stage",[2]stages!$2:$2,0)+1),MATCH("name",[2]stages!$2:$2,0)-MATCH("temp_stage",[2]stages!$2:$2,0)+1,FALSE),""))</f>
        <v/>
      </c>
      <c r="K543" s="15">
        <v>1</v>
      </c>
      <c r="L543" s="15">
        <f t="shared" si="63"/>
        <v>6074</v>
      </c>
      <c r="M543" s="26" t="str">
        <f ca="1">IFERROR(VLOOKUP($L545,OFFSET(missions!$A$2,0,0,COUNTA($A:$A),MATCH(M$1,missions!$2:$2,0)-MATCH("mission_id",missions!$2:$2,0)+1),MATCH(M$1,missions!$2:$2,0)-MATCH("mission_id",missions!$2:$2,0)+1,FALSE),"")</f>
        <v>通算 700 日ログインしよう！</v>
      </c>
      <c r="N543" s="26" t="str">
        <f ca="1">IFERROR(VLOOKUP($L545,OFFSET(missions!$A$2,0,0,COUNTA($A:$A),MATCH(N$1,missions!$2:$2,0)-MATCH("mission_id",missions!$2:$2,0)+1),MATCH(N$1,missions!$2:$2,0)-MATCH("mission_id",missions!$2:$2,0)+1,FALSE),"")</f>
        <v>ポリゴン x 10</v>
      </c>
    </row>
    <row r="544" spans="1:14" ht="21" customHeight="1" x14ac:dyDescent="0.15">
      <c r="A544" s="2" t="s">
        <v>152</v>
      </c>
      <c r="B544" s="21" t="s">
        <v>792</v>
      </c>
      <c r="C544" s="26" t="str">
        <f t="shared" ca="1" si="62"/>
        <v>通算 680 日ログインしよう！</v>
      </c>
      <c r="D544" s="26" t="str">
        <f ca="1">IFERROR(VLOOKUP($A544,OFFSET(achievement_criterion_id,0,0,COUNTA($A:$A),MATCH(D$1,missions!$2:$2,0)-MATCH($A$1,missions!$2:$2,0)+1),MATCH(D$1,missions!$2:$2,0)-MATCH($A$1,missions!$2:$2,0)+1,FALSE),IFERROR(VLOOKUP($A544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44" s="27" t="s">
        <v>864</v>
      </c>
      <c r="F544" s="17" t="s">
        <v>18</v>
      </c>
      <c r="G544" s="26" t="str">
        <f ca="1">VLOOKUP($F544,OFFSET(達成条件!$A$1,0,0,COUNTA($A:$A),MATCH(G$1,達成条件!$1:$1,0)-MATCH($F$1,達成条件!$1:$1,0)+1),MATCH(G$1,達成条件!$1:$1,0)-MATCH($F$1,達成条件!$1:$1,0)+1,FALSE)</f>
        <v>通算 x 日ログインしよう！</v>
      </c>
      <c r="H544" s="26" t="str">
        <f ca="1">VLOOKUP($F544,OFFSET(達成条件!$A$1,0,0,COUNTA($A:$A),MATCH(H$1,達成条件!$1:$1,0)-MATCH($F$1,達成条件!$1:$1,0)+1),MATCH(H$1,達成条件!$1:$1,0)-MATCH($F$1,達成条件!$1:$1,0)+1,FALSE)</f>
        <v>ログイン回数</v>
      </c>
      <c r="I544" s="56">
        <v>680</v>
      </c>
      <c r="J544" s="54" t="str">
        <f ca="1">IF(F544="specific_unit_aquired_count",SUBSTITUTE(G544,"x",VLOOKUP(INT($I544),OFFSET([3]characters!$A$2,0,0,COUNTA([3]characters!$A:$A),MATCH(J$1,[3]characters!$2:$2,0)-MATCH("character_id",[3]characters!$2:$2,0)+1),MATCH(J$1,[3]characters!$2:$2,0)-MATCH("character_id",[3]characters!$2:$2,0)+1,FALSE)),IF(F544="specific_quest_clear",VLOOKUP(SUBSTITUTE(I544,"-","_"),OFFSET([2]stages!$A$2,0,0,COUNTA([2]stages!$A:$A),MATCH("name",[2]stages!$2:$2,0)-MATCH("temp_stage",[2]stages!$2:$2,0)+1),MATCH("name",[2]stages!$2:$2,0)-MATCH("temp_stage",[2]stages!$2:$2,0)+1,FALSE),""))</f>
        <v/>
      </c>
      <c r="K544" s="15">
        <v>1</v>
      </c>
      <c r="L544" s="15">
        <f t="shared" si="63"/>
        <v>6075</v>
      </c>
      <c r="M544" s="26" t="str">
        <f ca="1">IFERROR(VLOOKUP($L546,OFFSET(missions!$A$2,0,0,COUNTA($A:$A),MATCH(M$1,missions!$2:$2,0)-MATCH("mission_id",missions!$2:$2,0)+1),MATCH(M$1,missions!$2:$2,0)-MATCH("mission_id",missions!$2:$2,0)+1,FALSE),"")</f>
        <v/>
      </c>
      <c r="N544" s="26" t="str">
        <f ca="1">IFERROR(VLOOKUP($L546,OFFSET(missions!$A$2,0,0,COUNTA($A:$A),MATCH(N$1,missions!$2:$2,0)-MATCH("mission_id",missions!$2:$2,0)+1),MATCH(N$1,missions!$2:$2,0)-MATCH("mission_id",missions!$2:$2,0)+1,FALSE),"")</f>
        <v/>
      </c>
    </row>
    <row r="545" spans="1:14" ht="21" customHeight="1" x14ac:dyDescent="0.15">
      <c r="A545" s="2" t="s">
        <v>153</v>
      </c>
      <c r="B545" s="21" t="s">
        <v>792</v>
      </c>
      <c r="C545" s="26" t="str">
        <f t="shared" ca="1" si="62"/>
        <v>通算 690 日ログインしよう！</v>
      </c>
      <c r="D545" s="26" t="str">
        <f ca="1">IFERROR(VLOOKUP($A545,OFFSET(achievement_criterion_id,0,0,COUNTA($A:$A),MATCH(D$1,missions!$2:$2,0)-MATCH($A$1,missions!$2:$2,0)+1),MATCH(D$1,missions!$2:$2,0)-MATCH($A$1,missions!$2:$2,0)+1,FALSE),IFERROR(VLOOKUP($A545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45" s="27" t="s">
        <v>864</v>
      </c>
      <c r="F545" s="17" t="s">
        <v>18</v>
      </c>
      <c r="G545" s="26" t="str">
        <f ca="1">VLOOKUP($F545,OFFSET(達成条件!$A$1,0,0,COUNTA($A:$A),MATCH(G$1,達成条件!$1:$1,0)-MATCH($F$1,達成条件!$1:$1,0)+1),MATCH(G$1,達成条件!$1:$1,0)-MATCH($F$1,達成条件!$1:$1,0)+1,FALSE)</f>
        <v>通算 x 日ログインしよう！</v>
      </c>
      <c r="H545" s="26" t="str">
        <f ca="1">VLOOKUP($F545,OFFSET(達成条件!$A$1,0,0,COUNTA($A:$A),MATCH(H$1,達成条件!$1:$1,0)-MATCH($F$1,達成条件!$1:$1,0)+1),MATCH(H$1,達成条件!$1:$1,0)-MATCH($F$1,達成条件!$1:$1,0)+1,FALSE)</f>
        <v>ログイン回数</v>
      </c>
      <c r="I545" s="56">
        <v>690</v>
      </c>
      <c r="J545" s="54" t="str">
        <f ca="1">IF(F545="specific_unit_aquired_count",SUBSTITUTE(G545,"x",VLOOKUP(INT($I545),OFFSET([3]characters!$A$2,0,0,COUNTA([3]characters!$A:$A),MATCH(J$1,[3]characters!$2:$2,0)-MATCH("character_id",[3]characters!$2:$2,0)+1),MATCH(J$1,[3]characters!$2:$2,0)-MATCH("character_id",[3]characters!$2:$2,0)+1,FALSE)),IF(F545="specific_quest_clear",VLOOKUP(SUBSTITUTE(I545,"-","_"),OFFSET([2]stages!$A$2,0,0,COUNTA([2]stages!$A:$A),MATCH("name",[2]stages!$2:$2,0)-MATCH("temp_stage",[2]stages!$2:$2,0)+1),MATCH("name",[2]stages!$2:$2,0)-MATCH("temp_stage",[2]stages!$2:$2,0)+1,FALSE),""))</f>
        <v/>
      </c>
      <c r="K545" s="15">
        <v>1</v>
      </c>
      <c r="L545" s="15">
        <f t="shared" si="63"/>
        <v>6076</v>
      </c>
      <c r="M545" s="26" t="str">
        <f ca="1">IFERROR(VLOOKUP($L547,OFFSET(missions!$A$2,0,0,COUNTA($A:$A),MATCH(M$1,missions!$2:$2,0)-MATCH("mission_id",missions!$2:$2,0)+1),MATCH(M$1,missions!$2:$2,0)-MATCH("mission_id",missions!$2:$2,0)+1,FALSE),"")</f>
        <v/>
      </c>
      <c r="N545" s="26" t="str">
        <f ca="1">IFERROR(VLOOKUP($L547,OFFSET(missions!$A$2,0,0,COUNTA($A:$A),MATCH(N$1,missions!$2:$2,0)-MATCH("mission_id",missions!$2:$2,0)+1),MATCH(N$1,missions!$2:$2,0)-MATCH("mission_id",missions!$2:$2,0)+1,FALSE),"")</f>
        <v/>
      </c>
    </row>
    <row r="546" spans="1:14" ht="21" customHeight="1" x14ac:dyDescent="0.15">
      <c r="A546" s="2" t="s">
        <v>154</v>
      </c>
      <c r="B546" s="21" t="s">
        <v>792</v>
      </c>
      <c r="C546" s="26" t="str">
        <f t="shared" ca="1" si="62"/>
        <v>通算 700 日ログインしよう！</v>
      </c>
      <c r="D546" s="26" t="str">
        <f ca="1">IFERROR(VLOOKUP($A546,OFFSET(achievement_criterion_id,0,0,COUNTA($A:$A),MATCH(D$1,missions!$2:$2,0)-MATCH($A$1,missions!$2:$2,0)+1),MATCH(D$1,missions!$2:$2,0)-MATCH($A$1,missions!$2:$2,0)+1,FALSE),IFERROR(VLOOKUP($A546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546" s="27" t="s">
        <v>864</v>
      </c>
      <c r="F546" s="17" t="s">
        <v>18</v>
      </c>
      <c r="G546" s="26" t="str">
        <f ca="1">VLOOKUP($F546,OFFSET(達成条件!$A$1,0,0,COUNTA($A:$A),MATCH(G$1,達成条件!$1:$1,0)-MATCH($F$1,達成条件!$1:$1,0)+1),MATCH(G$1,達成条件!$1:$1,0)-MATCH($F$1,達成条件!$1:$1,0)+1,FALSE)</f>
        <v>通算 x 日ログインしよう！</v>
      </c>
      <c r="H546" s="26" t="str">
        <f ca="1">VLOOKUP($F546,OFFSET(達成条件!$A$1,0,0,COUNTA($A:$A),MATCH(H$1,達成条件!$1:$1,0)-MATCH($F$1,達成条件!$1:$1,0)+1),MATCH(H$1,達成条件!$1:$1,0)-MATCH($F$1,達成条件!$1:$1,0)+1,FALSE)</f>
        <v>ログイン回数</v>
      </c>
      <c r="I546" s="56">
        <v>700</v>
      </c>
      <c r="J546" s="54" t="str">
        <f ca="1">IF(F546="specific_unit_aquired_count",SUBSTITUTE(G546,"x",VLOOKUP(INT($I546),OFFSET([3]characters!$A$2,0,0,COUNTA([3]characters!$A:$A),MATCH(J$1,[3]characters!$2:$2,0)-MATCH("character_id",[3]characters!$2:$2,0)+1),MATCH(J$1,[3]characters!$2:$2,0)-MATCH("character_id",[3]characters!$2:$2,0)+1,FALSE)),IF(F546="specific_quest_clear",VLOOKUP(SUBSTITUTE(I546,"-","_"),OFFSET([2]stages!$A$2,0,0,COUNTA([2]stages!$A:$A),MATCH("name",[2]stages!$2:$2,0)-MATCH("temp_stage",[2]stages!$2:$2,0)+1),MATCH("name",[2]stages!$2:$2,0)-MATCH("temp_stage",[2]stages!$2:$2,0)+1,FALSE),""))</f>
        <v/>
      </c>
      <c r="K546" s="15">
        <v>1</v>
      </c>
      <c r="L546" s="15">
        <f t="shared" si="63"/>
        <v>6077</v>
      </c>
      <c r="M546" s="26" t="str">
        <f ca="1">IFERROR(VLOOKUP($L548,OFFSET(missions!$A$2,0,0,COUNTA($A:$A),MATCH(M$1,missions!$2:$2,0)-MATCH("mission_id",missions!$2:$2,0)+1),MATCH(M$1,missions!$2:$2,0)-MATCH("mission_id",missions!$2:$2,0)+1,FALSE),"")</f>
        <v>通算 730 日ログインしよう！</v>
      </c>
      <c r="N546" s="26" t="str">
        <f ca="1">IFERROR(VLOOKUP($L548,OFFSET(missions!$A$2,0,0,COUNTA($A:$A),MATCH(N$1,missions!$2:$2,0)-MATCH("mission_id",missions!$2:$2,0)+1),MATCH(N$1,missions!$2:$2,0)-MATCH("mission_id",missions!$2:$2,0)+1,FALSE),"")</f>
        <v>ポリゴン x 50</v>
      </c>
    </row>
    <row r="547" spans="1:14" ht="21" customHeight="1" x14ac:dyDescent="0.15">
      <c r="A547" s="2" t="s">
        <v>155</v>
      </c>
      <c r="B547" s="21" t="s">
        <v>792</v>
      </c>
      <c r="C547" s="26" t="str">
        <f t="shared" ca="1" si="62"/>
        <v>通算 710 日ログインしよう！</v>
      </c>
      <c r="D547" s="26" t="str">
        <f ca="1">IFERROR(VLOOKUP($A547,OFFSET(achievement_criterion_id,0,0,COUNTA($A:$A),MATCH(D$1,missions!$2:$2,0)-MATCH($A$1,missions!$2:$2,0)+1),MATCH(D$1,missions!$2:$2,0)-MATCH($A$1,missions!$2:$2,0)+1,FALSE),IFERROR(VLOOKUP($A547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47" s="27" t="s">
        <v>864</v>
      </c>
      <c r="F547" s="17" t="s">
        <v>18</v>
      </c>
      <c r="G547" s="26" t="str">
        <f ca="1">VLOOKUP($F547,OFFSET(達成条件!$A$1,0,0,COUNTA($A:$A),MATCH(G$1,達成条件!$1:$1,0)-MATCH($F$1,達成条件!$1:$1,0)+1),MATCH(G$1,達成条件!$1:$1,0)-MATCH($F$1,達成条件!$1:$1,0)+1,FALSE)</f>
        <v>通算 x 日ログインしよう！</v>
      </c>
      <c r="H547" s="26" t="str">
        <f ca="1">VLOOKUP($F547,OFFSET(達成条件!$A$1,0,0,COUNTA($A:$A),MATCH(H$1,達成条件!$1:$1,0)-MATCH($F$1,達成条件!$1:$1,0)+1),MATCH(H$1,達成条件!$1:$1,0)-MATCH($F$1,達成条件!$1:$1,0)+1,FALSE)</f>
        <v>ログイン回数</v>
      </c>
      <c r="I547" s="56">
        <v>710</v>
      </c>
      <c r="J547" s="54" t="str">
        <f ca="1">IF(F547="specific_unit_aquired_count",SUBSTITUTE(G547,"x",VLOOKUP(INT($I547),OFFSET([3]characters!$A$2,0,0,COUNTA([3]characters!$A:$A),MATCH(J$1,[3]characters!$2:$2,0)-MATCH("character_id",[3]characters!$2:$2,0)+1),MATCH(J$1,[3]characters!$2:$2,0)-MATCH("character_id",[3]characters!$2:$2,0)+1,FALSE)),IF(F547="specific_quest_clear",VLOOKUP(SUBSTITUTE(I547,"-","_"),OFFSET([2]stages!$A$2,0,0,COUNTA([2]stages!$A:$A),MATCH("name",[2]stages!$2:$2,0)-MATCH("temp_stage",[2]stages!$2:$2,0)+1),MATCH("name",[2]stages!$2:$2,0)-MATCH("temp_stage",[2]stages!$2:$2,0)+1,FALSE),""))</f>
        <v/>
      </c>
      <c r="K547" s="15">
        <v>1</v>
      </c>
      <c r="L547" s="15">
        <f t="shared" si="63"/>
        <v>6078</v>
      </c>
      <c r="M547" s="26" t="str">
        <f ca="1">IFERROR(VLOOKUP($L549,OFFSET(missions!$A$2,0,0,COUNTA($A:$A),MATCH(M$1,missions!$2:$2,0)-MATCH("mission_id",missions!$2:$2,0)+1),MATCH(M$1,missions!$2:$2,0)-MATCH("mission_id",missions!$2:$2,0)+1,FALSE),"")</f>
        <v/>
      </c>
      <c r="N547" s="26" t="str">
        <f ca="1">IFERROR(VLOOKUP($L549,OFFSET(missions!$A$2,0,0,COUNTA($A:$A),MATCH(N$1,missions!$2:$2,0)-MATCH("mission_id",missions!$2:$2,0)+1),MATCH(N$1,missions!$2:$2,0)-MATCH("mission_id",missions!$2:$2,0)+1,FALSE),"")</f>
        <v/>
      </c>
    </row>
    <row r="548" spans="1:14" ht="21" customHeight="1" x14ac:dyDescent="0.15">
      <c r="A548" s="2" t="s">
        <v>156</v>
      </c>
      <c r="B548" s="21" t="s">
        <v>792</v>
      </c>
      <c r="C548" s="26" t="str">
        <f t="shared" ca="1" si="62"/>
        <v>通算 720 日ログインしよう！</v>
      </c>
      <c r="D548" s="26" t="str">
        <f ca="1">IFERROR(VLOOKUP($A548,OFFSET(achievement_criterion_id,0,0,COUNTA($A:$A),MATCH(D$1,missions!$2:$2,0)-MATCH($A$1,missions!$2:$2,0)+1),MATCH(D$1,missions!$2:$2,0)-MATCH($A$1,missions!$2:$2,0)+1,FALSE),IFERROR(VLOOKUP($A548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48" s="27" t="s">
        <v>864</v>
      </c>
      <c r="F548" s="17" t="s">
        <v>18</v>
      </c>
      <c r="G548" s="26" t="str">
        <f ca="1">VLOOKUP($F548,OFFSET(達成条件!$A$1,0,0,COUNTA($A:$A),MATCH(G$1,達成条件!$1:$1,0)-MATCH($F$1,達成条件!$1:$1,0)+1),MATCH(G$1,達成条件!$1:$1,0)-MATCH($F$1,達成条件!$1:$1,0)+1,FALSE)</f>
        <v>通算 x 日ログインしよう！</v>
      </c>
      <c r="H548" s="26" t="str">
        <f ca="1">VLOOKUP($F548,OFFSET(達成条件!$A$1,0,0,COUNTA($A:$A),MATCH(H$1,達成条件!$1:$1,0)-MATCH($F$1,達成条件!$1:$1,0)+1),MATCH(H$1,達成条件!$1:$1,0)-MATCH($F$1,達成条件!$1:$1,0)+1,FALSE)</f>
        <v>ログイン回数</v>
      </c>
      <c r="I548" s="56">
        <v>720</v>
      </c>
      <c r="J548" s="54" t="str">
        <f ca="1">IF(F548="specific_unit_aquired_count",SUBSTITUTE(G548,"x",VLOOKUP(INT($I548),OFFSET([3]characters!$A$2,0,0,COUNTA([3]characters!$A:$A),MATCH(J$1,[3]characters!$2:$2,0)-MATCH("character_id",[3]characters!$2:$2,0)+1),MATCH(J$1,[3]characters!$2:$2,0)-MATCH("character_id",[3]characters!$2:$2,0)+1,FALSE)),IF(F548="specific_quest_clear",VLOOKUP(SUBSTITUTE(I548,"-","_"),OFFSET([2]stages!$A$2,0,0,COUNTA([2]stages!$A:$A),MATCH("name",[2]stages!$2:$2,0)-MATCH("temp_stage",[2]stages!$2:$2,0)+1),MATCH("name",[2]stages!$2:$2,0)-MATCH("temp_stage",[2]stages!$2:$2,0)+1,FALSE),""))</f>
        <v/>
      </c>
      <c r="K548" s="15">
        <v>1</v>
      </c>
      <c r="L548" s="15">
        <f t="shared" si="63"/>
        <v>6079</v>
      </c>
      <c r="M548" s="26" t="str">
        <f ca="1">IFERROR(VLOOKUP($L550,OFFSET(missions!$A$2,0,0,COUNTA($A:$A),MATCH(M$1,missions!$2:$2,0)-MATCH("mission_id",missions!$2:$2,0)+1),MATCH(M$1,missions!$2:$2,0)-MATCH("mission_id",missions!$2:$2,0)+1,FALSE),"")</f>
        <v>通算 750 日ログインしよう！</v>
      </c>
      <c r="N548" s="26" t="str">
        <f ca="1">IFERROR(VLOOKUP($L550,OFFSET(missions!$A$2,0,0,COUNTA($A:$A),MATCH(N$1,missions!$2:$2,0)-MATCH("mission_id",missions!$2:$2,0)+1),MATCH(N$1,missions!$2:$2,0)-MATCH("mission_id",missions!$2:$2,0)+1,FALSE),"")</f>
        <v>ポリゴン x 10</v>
      </c>
    </row>
    <row r="549" spans="1:14" ht="21" customHeight="1" x14ac:dyDescent="0.15">
      <c r="A549" s="2" t="s">
        <v>157</v>
      </c>
      <c r="B549" s="21" t="s">
        <v>792</v>
      </c>
      <c r="C549" s="26" t="str">
        <f t="shared" ca="1" si="62"/>
        <v>通算 730 日ログインしよう！</v>
      </c>
      <c r="D549" s="26" t="str">
        <f ca="1">IFERROR(VLOOKUP($A549,OFFSET(achievement_criterion_id,0,0,COUNTA($A:$A),MATCH(D$1,missions!$2:$2,0)-MATCH($A$1,missions!$2:$2,0)+1),MATCH(D$1,missions!$2:$2,0)-MATCH($A$1,missions!$2:$2,0)+1,FALSE),IFERROR(VLOOKUP($A549,OFFSET(weekly_achievement_criterion_id,0,0,COUNTA($A:$A),MATCH(D$1,weekly_missions!$2:$2,0)-MATCH($A$1,weekly_missions!$2:$2,0)+1),MATCH(D$1,weekly_missions!$2:$2,0)-MATCH($A$1,weekly_missions!$2:$2,0)+1,FALSE),"＊missions 未設定＊"))</f>
        <v>ポリゴン x 50</v>
      </c>
      <c r="E549" s="27" t="s">
        <v>864</v>
      </c>
      <c r="F549" s="17" t="s">
        <v>18</v>
      </c>
      <c r="G549" s="26" t="str">
        <f ca="1">VLOOKUP($F549,OFFSET(達成条件!$A$1,0,0,COUNTA($A:$A),MATCH(G$1,達成条件!$1:$1,0)-MATCH($F$1,達成条件!$1:$1,0)+1),MATCH(G$1,達成条件!$1:$1,0)-MATCH($F$1,達成条件!$1:$1,0)+1,FALSE)</f>
        <v>通算 x 日ログインしよう！</v>
      </c>
      <c r="H549" s="26" t="str">
        <f ca="1">VLOOKUP($F549,OFFSET(達成条件!$A$1,0,0,COUNTA($A:$A),MATCH(H$1,達成条件!$1:$1,0)-MATCH($F$1,達成条件!$1:$1,0)+1),MATCH(H$1,達成条件!$1:$1,0)-MATCH($F$1,達成条件!$1:$1,0)+1,FALSE)</f>
        <v>ログイン回数</v>
      </c>
      <c r="I549" s="56">
        <v>730</v>
      </c>
      <c r="J549" s="54" t="str">
        <f ca="1">IF(F549="specific_unit_aquired_count",SUBSTITUTE(G549,"x",VLOOKUP(INT($I549),OFFSET([3]characters!$A$2,0,0,COUNTA([3]characters!$A:$A),MATCH(J$1,[3]characters!$2:$2,0)-MATCH("character_id",[3]characters!$2:$2,0)+1),MATCH(J$1,[3]characters!$2:$2,0)-MATCH("character_id",[3]characters!$2:$2,0)+1,FALSE)),IF(F549="specific_quest_clear",VLOOKUP(SUBSTITUTE(I549,"-","_"),OFFSET([2]stages!$A$2,0,0,COUNTA([2]stages!$A:$A),MATCH("name",[2]stages!$2:$2,0)-MATCH("temp_stage",[2]stages!$2:$2,0)+1),MATCH("name",[2]stages!$2:$2,0)-MATCH("temp_stage",[2]stages!$2:$2,0)+1,FALSE),""))</f>
        <v/>
      </c>
      <c r="K549" s="15">
        <v>1</v>
      </c>
      <c r="L549" s="15">
        <f t="shared" si="63"/>
        <v>6080</v>
      </c>
      <c r="M549" s="26" t="str">
        <f ca="1">IFERROR(VLOOKUP($L551,OFFSET(missions!$A$2,0,0,COUNTA($A:$A),MATCH(M$1,missions!$2:$2,0)-MATCH("mission_id",missions!$2:$2,0)+1),MATCH(M$1,missions!$2:$2,0)-MATCH("mission_id",missions!$2:$2,0)+1,FALSE),"")</f>
        <v/>
      </c>
      <c r="N549" s="26" t="str">
        <f ca="1">IFERROR(VLOOKUP($L551,OFFSET(missions!$A$2,0,0,COUNTA($A:$A),MATCH(N$1,missions!$2:$2,0)-MATCH("mission_id",missions!$2:$2,0)+1),MATCH(N$1,missions!$2:$2,0)-MATCH("mission_id",missions!$2:$2,0)+1,FALSE),"")</f>
        <v/>
      </c>
    </row>
    <row r="550" spans="1:14" ht="21" customHeight="1" x14ac:dyDescent="0.15">
      <c r="A550" s="2" t="s">
        <v>158</v>
      </c>
      <c r="B550" s="21" t="s">
        <v>792</v>
      </c>
      <c r="C550" s="26" t="str">
        <f t="shared" ca="1" si="62"/>
        <v>通算 740 日ログインしよう！</v>
      </c>
      <c r="D550" s="26" t="str">
        <f ca="1">IFERROR(VLOOKUP($A550,OFFSET(achievement_criterion_id,0,0,COUNTA($A:$A),MATCH(D$1,missions!$2:$2,0)-MATCH($A$1,missions!$2:$2,0)+1),MATCH(D$1,missions!$2:$2,0)-MATCH($A$1,missions!$2:$2,0)+1,FALSE),IFERROR(VLOOKUP($A550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50" s="27" t="s">
        <v>864</v>
      </c>
      <c r="F550" s="17" t="s">
        <v>18</v>
      </c>
      <c r="G550" s="26" t="str">
        <f ca="1">VLOOKUP($F550,OFFSET(達成条件!$A$1,0,0,COUNTA($A:$A),MATCH(G$1,達成条件!$1:$1,0)-MATCH($F$1,達成条件!$1:$1,0)+1),MATCH(G$1,達成条件!$1:$1,0)-MATCH($F$1,達成条件!$1:$1,0)+1,FALSE)</f>
        <v>通算 x 日ログインしよう！</v>
      </c>
      <c r="H550" s="26" t="str">
        <f ca="1">VLOOKUP($F550,OFFSET(達成条件!$A$1,0,0,COUNTA($A:$A),MATCH(H$1,達成条件!$1:$1,0)-MATCH($F$1,達成条件!$1:$1,0)+1),MATCH(H$1,達成条件!$1:$1,0)-MATCH($F$1,達成条件!$1:$1,0)+1,FALSE)</f>
        <v>ログイン回数</v>
      </c>
      <c r="I550" s="56">
        <v>740</v>
      </c>
      <c r="J550" s="54" t="str">
        <f ca="1">IF(F550="specific_unit_aquired_count",SUBSTITUTE(G550,"x",VLOOKUP(INT($I550),OFFSET([3]characters!$A$2,0,0,COUNTA([3]characters!$A:$A),MATCH(J$1,[3]characters!$2:$2,0)-MATCH("character_id",[3]characters!$2:$2,0)+1),MATCH(J$1,[3]characters!$2:$2,0)-MATCH("character_id",[3]characters!$2:$2,0)+1,FALSE)),IF(F550="specific_quest_clear",VLOOKUP(SUBSTITUTE(I550,"-","_"),OFFSET([2]stages!$A$2,0,0,COUNTA([2]stages!$A:$A),MATCH("name",[2]stages!$2:$2,0)-MATCH("temp_stage",[2]stages!$2:$2,0)+1),MATCH("name",[2]stages!$2:$2,0)-MATCH("temp_stage",[2]stages!$2:$2,0)+1,FALSE),""))</f>
        <v/>
      </c>
      <c r="K550" s="15">
        <v>1</v>
      </c>
      <c r="L550" s="15">
        <f t="shared" si="63"/>
        <v>6081</v>
      </c>
      <c r="M550" s="26" t="str">
        <f ca="1">IFERROR(VLOOKUP($L552,OFFSET(missions!$A$2,0,0,COUNTA($A:$A),MATCH(M$1,missions!$2:$2,0)-MATCH("mission_id",missions!$2:$2,0)+1),MATCH(M$1,missions!$2:$2,0)-MATCH("mission_id",missions!$2:$2,0)+1,FALSE),"")</f>
        <v/>
      </c>
      <c r="N550" s="26" t="str">
        <f ca="1">IFERROR(VLOOKUP($L552,OFFSET(missions!$A$2,0,0,COUNTA($A:$A),MATCH(N$1,missions!$2:$2,0)-MATCH("mission_id",missions!$2:$2,0)+1),MATCH(N$1,missions!$2:$2,0)-MATCH("mission_id",missions!$2:$2,0)+1,FALSE),"")</f>
        <v/>
      </c>
    </row>
    <row r="551" spans="1:14" ht="21" customHeight="1" x14ac:dyDescent="0.15">
      <c r="A551" s="2" t="s">
        <v>159</v>
      </c>
      <c r="B551" s="21" t="s">
        <v>792</v>
      </c>
      <c r="C551" s="26" t="str">
        <f t="shared" ca="1" si="62"/>
        <v>通算 750 日ログインしよう！</v>
      </c>
      <c r="D551" s="26" t="str">
        <f ca="1">IFERROR(VLOOKUP($A551,OFFSET(achievement_criterion_id,0,0,COUNTA($A:$A),MATCH(D$1,missions!$2:$2,0)-MATCH($A$1,missions!$2:$2,0)+1),MATCH(D$1,missions!$2:$2,0)-MATCH($A$1,missions!$2:$2,0)+1,FALSE),IFERROR(VLOOKUP($A551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551" s="27" t="s">
        <v>864</v>
      </c>
      <c r="F551" s="17" t="s">
        <v>18</v>
      </c>
      <c r="G551" s="26" t="str">
        <f ca="1">VLOOKUP($F551,OFFSET(達成条件!$A$1,0,0,COUNTA($A:$A),MATCH(G$1,達成条件!$1:$1,0)-MATCH($F$1,達成条件!$1:$1,0)+1),MATCH(G$1,達成条件!$1:$1,0)-MATCH($F$1,達成条件!$1:$1,0)+1,FALSE)</f>
        <v>通算 x 日ログインしよう！</v>
      </c>
      <c r="H551" s="26" t="str">
        <f ca="1">VLOOKUP($F551,OFFSET(達成条件!$A$1,0,0,COUNTA($A:$A),MATCH(H$1,達成条件!$1:$1,0)-MATCH($F$1,達成条件!$1:$1,0)+1),MATCH(H$1,達成条件!$1:$1,0)-MATCH($F$1,達成条件!$1:$1,0)+1,FALSE)</f>
        <v>ログイン回数</v>
      </c>
      <c r="I551" s="56">
        <v>750</v>
      </c>
      <c r="J551" s="54" t="str">
        <f ca="1">IF(F551="specific_unit_aquired_count",SUBSTITUTE(G551,"x",VLOOKUP(INT($I551),OFFSET([3]characters!$A$2,0,0,COUNTA([3]characters!$A:$A),MATCH(J$1,[3]characters!$2:$2,0)-MATCH("character_id",[3]characters!$2:$2,0)+1),MATCH(J$1,[3]characters!$2:$2,0)-MATCH("character_id",[3]characters!$2:$2,0)+1,FALSE)),IF(F551="specific_quest_clear",VLOOKUP(SUBSTITUTE(I551,"-","_"),OFFSET([2]stages!$A$2,0,0,COUNTA([2]stages!$A:$A),MATCH("name",[2]stages!$2:$2,0)-MATCH("temp_stage",[2]stages!$2:$2,0)+1),MATCH("name",[2]stages!$2:$2,0)-MATCH("temp_stage",[2]stages!$2:$2,0)+1,FALSE),""))</f>
        <v/>
      </c>
      <c r="K551" s="15">
        <v>1</v>
      </c>
      <c r="L551" s="15">
        <f t="shared" si="63"/>
        <v>6082</v>
      </c>
      <c r="M551" s="26" t="str">
        <f ca="1">IFERROR(VLOOKUP($L553,OFFSET(missions!$A$2,0,0,COUNTA($A:$A),MATCH(M$1,missions!$2:$2,0)-MATCH("mission_id",missions!$2:$2,0)+1),MATCH(M$1,missions!$2:$2,0)-MATCH("mission_id",missions!$2:$2,0)+1,FALSE),"")</f>
        <v/>
      </c>
      <c r="N551" s="26" t="str">
        <f ca="1">IFERROR(VLOOKUP($L553,OFFSET(missions!$A$2,0,0,COUNTA($A:$A),MATCH(N$1,missions!$2:$2,0)-MATCH("mission_id",missions!$2:$2,0)+1),MATCH(N$1,missions!$2:$2,0)-MATCH("mission_id",missions!$2:$2,0)+1,FALSE),"")</f>
        <v/>
      </c>
    </row>
    <row r="552" spans="1:14" ht="21" customHeight="1" x14ac:dyDescent="0.15">
      <c r="A552" s="2" t="s">
        <v>160</v>
      </c>
      <c r="B552" s="21" t="s">
        <v>792</v>
      </c>
      <c r="C552" s="26" t="str">
        <f t="shared" ca="1" si="62"/>
        <v>通算 760 日ログインしよう！</v>
      </c>
      <c r="D552" s="26" t="str">
        <f ca="1">IFERROR(VLOOKUP($A552,OFFSET(achievement_criterion_id,0,0,COUNTA($A:$A),MATCH(D$1,missions!$2:$2,0)-MATCH($A$1,missions!$2:$2,0)+1),MATCH(D$1,missions!$2:$2,0)-MATCH($A$1,missions!$2:$2,0)+1,FALSE),IFERROR(VLOOKUP($A552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52" s="27" t="s">
        <v>864</v>
      </c>
      <c r="F552" s="17" t="s">
        <v>18</v>
      </c>
      <c r="G552" s="26" t="str">
        <f ca="1">VLOOKUP($F552,OFFSET(達成条件!$A$1,0,0,COUNTA($A:$A),MATCH(G$1,達成条件!$1:$1,0)-MATCH($F$1,達成条件!$1:$1,0)+1),MATCH(G$1,達成条件!$1:$1,0)-MATCH($F$1,達成条件!$1:$1,0)+1,FALSE)</f>
        <v>通算 x 日ログインしよう！</v>
      </c>
      <c r="H552" s="26" t="str">
        <f ca="1">VLOOKUP($F552,OFFSET(達成条件!$A$1,0,0,COUNTA($A:$A),MATCH(H$1,達成条件!$1:$1,0)-MATCH($F$1,達成条件!$1:$1,0)+1),MATCH(H$1,達成条件!$1:$1,0)-MATCH($F$1,達成条件!$1:$1,0)+1,FALSE)</f>
        <v>ログイン回数</v>
      </c>
      <c r="I552" s="56">
        <v>760</v>
      </c>
      <c r="J552" s="54" t="str">
        <f ca="1">IF(F552="specific_unit_aquired_count",SUBSTITUTE(G552,"x",VLOOKUP(INT($I552),OFFSET([3]characters!$A$2,0,0,COUNTA([3]characters!$A:$A),MATCH(J$1,[3]characters!$2:$2,0)-MATCH("character_id",[3]characters!$2:$2,0)+1),MATCH(J$1,[3]characters!$2:$2,0)-MATCH("character_id",[3]characters!$2:$2,0)+1,FALSE)),IF(F552="specific_quest_clear",VLOOKUP(SUBSTITUTE(I552,"-","_"),OFFSET([2]stages!$A$2,0,0,COUNTA([2]stages!$A:$A),MATCH("name",[2]stages!$2:$2,0)-MATCH("temp_stage",[2]stages!$2:$2,0)+1),MATCH("name",[2]stages!$2:$2,0)-MATCH("temp_stage",[2]stages!$2:$2,0)+1,FALSE),""))</f>
        <v/>
      </c>
      <c r="K552" s="15">
        <v>1</v>
      </c>
      <c r="L552" s="15">
        <f t="shared" si="63"/>
        <v>6083</v>
      </c>
      <c r="M552" s="26" t="str">
        <f ca="1">IFERROR(VLOOKUP($L554,OFFSET(missions!$A$2,0,0,COUNTA($A:$A),MATCH(M$1,missions!$2:$2,0)-MATCH("mission_id",missions!$2:$2,0)+1),MATCH(M$1,missions!$2:$2,0)-MATCH("mission_id",missions!$2:$2,0)+1,FALSE),"")</f>
        <v/>
      </c>
      <c r="N552" s="26" t="str">
        <f ca="1">IFERROR(VLOOKUP($L554,OFFSET(missions!$A$2,0,0,COUNTA($A:$A),MATCH(N$1,missions!$2:$2,0)-MATCH("mission_id",missions!$2:$2,0)+1),MATCH(N$1,missions!$2:$2,0)-MATCH("mission_id",missions!$2:$2,0)+1,FALSE),"")</f>
        <v/>
      </c>
    </row>
    <row r="553" spans="1:14" ht="21" customHeight="1" x14ac:dyDescent="0.15">
      <c r="A553" s="2" t="s">
        <v>161</v>
      </c>
      <c r="B553" s="21" t="s">
        <v>792</v>
      </c>
      <c r="C553" s="26" t="str">
        <f t="shared" ca="1" si="62"/>
        <v>通算 770 日ログインしよう！</v>
      </c>
      <c r="D553" s="26" t="str">
        <f ca="1">IFERROR(VLOOKUP($A553,OFFSET(achievement_criterion_id,0,0,COUNTA($A:$A),MATCH(D$1,missions!$2:$2,0)-MATCH($A$1,missions!$2:$2,0)+1),MATCH(D$1,missions!$2:$2,0)-MATCH($A$1,missions!$2:$2,0)+1,FALSE),IFERROR(VLOOKUP($A553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53" s="27" t="s">
        <v>864</v>
      </c>
      <c r="F553" s="17" t="s">
        <v>18</v>
      </c>
      <c r="G553" s="26" t="str">
        <f ca="1">VLOOKUP($F553,OFFSET(達成条件!$A$1,0,0,COUNTA($A:$A),MATCH(G$1,達成条件!$1:$1,0)-MATCH($F$1,達成条件!$1:$1,0)+1),MATCH(G$1,達成条件!$1:$1,0)-MATCH($F$1,達成条件!$1:$1,0)+1,FALSE)</f>
        <v>通算 x 日ログインしよう！</v>
      </c>
      <c r="H553" s="26" t="str">
        <f ca="1">VLOOKUP($F553,OFFSET(達成条件!$A$1,0,0,COUNTA($A:$A),MATCH(H$1,達成条件!$1:$1,0)-MATCH($F$1,達成条件!$1:$1,0)+1),MATCH(H$1,達成条件!$1:$1,0)-MATCH($F$1,達成条件!$1:$1,0)+1,FALSE)</f>
        <v>ログイン回数</v>
      </c>
      <c r="I553" s="56">
        <v>770</v>
      </c>
      <c r="J553" s="54" t="str">
        <f ca="1">IF(F553="specific_unit_aquired_count",SUBSTITUTE(G553,"x",VLOOKUP(INT($I553),OFFSET([3]characters!$A$2,0,0,COUNTA([3]characters!$A:$A),MATCH(J$1,[3]characters!$2:$2,0)-MATCH("character_id",[3]characters!$2:$2,0)+1),MATCH(J$1,[3]characters!$2:$2,0)-MATCH("character_id",[3]characters!$2:$2,0)+1,FALSE)),IF(F553="specific_quest_clear",VLOOKUP(SUBSTITUTE(I553,"-","_"),OFFSET([2]stages!$A$2,0,0,COUNTA([2]stages!$A:$A),MATCH("name",[2]stages!$2:$2,0)-MATCH("temp_stage",[2]stages!$2:$2,0)+1),MATCH("name",[2]stages!$2:$2,0)-MATCH("temp_stage",[2]stages!$2:$2,0)+1,FALSE),""))</f>
        <v/>
      </c>
      <c r="K553" s="15">
        <v>1</v>
      </c>
      <c r="L553" s="15">
        <f t="shared" si="63"/>
        <v>6084</v>
      </c>
      <c r="M553" s="26" t="str">
        <f ca="1">IFERROR(VLOOKUP($L555,OFFSET(missions!$A$2,0,0,COUNTA($A:$A),MATCH(M$1,missions!$2:$2,0)-MATCH("mission_id",missions!$2:$2,0)+1),MATCH(M$1,missions!$2:$2,0)-MATCH("mission_id",missions!$2:$2,0)+1,FALSE),"")</f>
        <v>通算 800 日ログインしよう！</v>
      </c>
      <c r="N553" s="26" t="str">
        <f ca="1">IFERROR(VLOOKUP($L555,OFFSET(missions!$A$2,0,0,COUNTA($A:$A),MATCH(N$1,missions!$2:$2,0)-MATCH("mission_id",missions!$2:$2,0)+1),MATCH(N$1,missions!$2:$2,0)-MATCH("mission_id",missions!$2:$2,0)+1,FALSE),"")</f>
        <v>ポリゴン x 10</v>
      </c>
    </row>
    <row r="554" spans="1:14" ht="21" customHeight="1" x14ac:dyDescent="0.15">
      <c r="A554" s="2" t="s">
        <v>162</v>
      </c>
      <c r="B554" s="21" t="s">
        <v>792</v>
      </c>
      <c r="C554" s="26" t="str">
        <f t="shared" ca="1" si="62"/>
        <v>通算 780 日ログインしよう！</v>
      </c>
      <c r="D554" s="26" t="str">
        <f ca="1">IFERROR(VLOOKUP($A554,OFFSET(achievement_criterion_id,0,0,COUNTA($A:$A),MATCH(D$1,missions!$2:$2,0)-MATCH($A$1,missions!$2:$2,0)+1),MATCH(D$1,missions!$2:$2,0)-MATCH($A$1,missions!$2:$2,0)+1,FALSE),IFERROR(VLOOKUP($A554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54" s="27" t="s">
        <v>864</v>
      </c>
      <c r="F554" s="17" t="s">
        <v>18</v>
      </c>
      <c r="G554" s="26" t="str">
        <f ca="1">VLOOKUP($F554,OFFSET(達成条件!$A$1,0,0,COUNTA($A:$A),MATCH(G$1,達成条件!$1:$1,0)-MATCH($F$1,達成条件!$1:$1,0)+1),MATCH(G$1,達成条件!$1:$1,0)-MATCH($F$1,達成条件!$1:$1,0)+1,FALSE)</f>
        <v>通算 x 日ログインしよう！</v>
      </c>
      <c r="H554" s="26" t="str">
        <f ca="1">VLOOKUP($F554,OFFSET(達成条件!$A$1,0,0,COUNTA($A:$A),MATCH(H$1,達成条件!$1:$1,0)-MATCH($F$1,達成条件!$1:$1,0)+1),MATCH(H$1,達成条件!$1:$1,0)-MATCH($F$1,達成条件!$1:$1,0)+1,FALSE)</f>
        <v>ログイン回数</v>
      </c>
      <c r="I554" s="56">
        <v>780</v>
      </c>
      <c r="J554" s="54" t="str">
        <f ca="1">IF(F554="specific_unit_aquired_count",SUBSTITUTE(G554,"x",VLOOKUP(INT($I554),OFFSET([3]characters!$A$2,0,0,COUNTA([3]characters!$A:$A),MATCH(J$1,[3]characters!$2:$2,0)-MATCH("character_id",[3]characters!$2:$2,0)+1),MATCH(J$1,[3]characters!$2:$2,0)-MATCH("character_id",[3]characters!$2:$2,0)+1,FALSE)),IF(F554="specific_quest_clear",VLOOKUP(SUBSTITUTE(I554,"-","_"),OFFSET([2]stages!$A$2,0,0,COUNTA([2]stages!$A:$A),MATCH("name",[2]stages!$2:$2,0)-MATCH("temp_stage",[2]stages!$2:$2,0)+1),MATCH("name",[2]stages!$2:$2,0)-MATCH("temp_stage",[2]stages!$2:$2,0)+1,FALSE),""))</f>
        <v/>
      </c>
      <c r="K554" s="15">
        <v>1</v>
      </c>
      <c r="L554" s="15">
        <f t="shared" si="63"/>
        <v>6085</v>
      </c>
      <c r="M554" s="26" t="str">
        <f ca="1">IFERROR(VLOOKUP($L556,OFFSET(missions!$A$2,0,0,COUNTA($A:$A),MATCH(M$1,missions!$2:$2,0)-MATCH("mission_id",missions!$2:$2,0)+1),MATCH(M$1,missions!$2:$2,0)-MATCH("mission_id",missions!$2:$2,0)+1,FALSE),"")</f>
        <v/>
      </c>
      <c r="N554" s="26" t="str">
        <f ca="1">IFERROR(VLOOKUP($L556,OFFSET(missions!$A$2,0,0,COUNTA($A:$A),MATCH(N$1,missions!$2:$2,0)-MATCH("mission_id",missions!$2:$2,0)+1),MATCH(N$1,missions!$2:$2,0)-MATCH("mission_id",missions!$2:$2,0)+1,FALSE),"")</f>
        <v/>
      </c>
    </row>
    <row r="555" spans="1:14" ht="21" customHeight="1" x14ac:dyDescent="0.15">
      <c r="A555" s="2" t="s">
        <v>163</v>
      </c>
      <c r="B555" s="21" t="s">
        <v>792</v>
      </c>
      <c r="C555" s="26" t="str">
        <f t="shared" ca="1" si="62"/>
        <v>通算 790 日ログインしよう！</v>
      </c>
      <c r="D555" s="26" t="str">
        <f ca="1">IFERROR(VLOOKUP($A555,OFFSET(achievement_criterion_id,0,0,COUNTA($A:$A),MATCH(D$1,missions!$2:$2,0)-MATCH($A$1,missions!$2:$2,0)+1),MATCH(D$1,missions!$2:$2,0)-MATCH($A$1,missions!$2:$2,0)+1,FALSE),IFERROR(VLOOKUP($A555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55" s="27" t="s">
        <v>864</v>
      </c>
      <c r="F555" s="17" t="s">
        <v>18</v>
      </c>
      <c r="G555" s="26" t="str">
        <f ca="1">VLOOKUP($F555,OFFSET(達成条件!$A$1,0,0,COUNTA($A:$A),MATCH(G$1,達成条件!$1:$1,0)-MATCH($F$1,達成条件!$1:$1,0)+1),MATCH(G$1,達成条件!$1:$1,0)-MATCH($F$1,達成条件!$1:$1,0)+1,FALSE)</f>
        <v>通算 x 日ログインしよう！</v>
      </c>
      <c r="H555" s="26" t="str">
        <f ca="1">VLOOKUP($F555,OFFSET(達成条件!$A$1,0,0,COUNTA($A:$A),MATCH(H$1,達成条件!$1:$1,0)-MATCH($F$1,達成条件!$1:$1,0)+1),MATCH(H$1,達成条件!$1:$1,0)-MATCH($F$1,達成条件!$1:$1,0)+1,FALSE)</f>
        <v>ログイン回数</v>
      </c>
      <c r="I555" s="56">
        <v>790</v>
      </c>
      <c r="J555" s="54" t="str">
        <f ca="1">IF(F555="specific_unit_aquired_count",SUBSTITUTE(G555,"x",VLOOKUP(INT($I555),OFFSET([3]characters!$A$2,0,0,COUNTA([3]characters!$A:$A),MATCH(J$1,[3]characters!$2:$2,0)-MATCH("character_id",[3]characters!$2:$2,0)+1),MATCH(J$1,[3]characters!$2:$2,0)-MATCH("character_id",[3]characters!$2:$2,0)+1,FALSE)),IF(F555="specific_quest_clear",VLOOKUP(SUBSTITUTE(I555,"-","_"),OFFSET([2]stages!$A$2,0,0,COUNTA([2]stages!$A:$A),MATCH("name",[2]stages!$2:$2,0)-MATCH("temp_stage",[2]stages!$2:$2,0)+1),MATCH("name",[2]stages!$2:$2,0)-MATCH("temp_stage",[2]stages!$2:$2,0)+1,FALSE),""))</f>
        <v/>
      </c>
      <c r="K555" s="15">
        <v>1</v>
      </c>
      <c r="L555" s="15">
        <f t="shared" si="63"/>
        <v>6086</v>
      </c>
      <c r="M555" s="26" t="str">
        <f ca="1">IFERROR(VLOOKUP($L557,OFFSET(missions!$A$2,0,0,COUNTA($A:$A),MATCH(M$1,missions!$2:$2,0)-MATCH("mission_id",missions!$2:$2,0)+1),MATCH(M$1,missions!$2:$2,0)-MATCH("mission_id",missions!$2:$2,0)+1,FALSE),"")</f>
        <v/>
      </c>
      <c r="N555" s="26" t="str">
        <f ca="1">IFERROR(VLOOKUP($L557,OFFSET(missions!$A$2,0,0,COUNTA($A:$A),MATCH(N$1,missions!$2:$2,0)-MATCH("mission_id",missions!$2:$2,0)+1),MATCH(N$1,missions!$2:$2,0)-MATCH("mission_id",missions!$2:$2,0)+1,FALSE),"")</f>
        <v/>
      </c>
    </row>
    <row r="556" spans="1:14" ht="21" customHeight="1" x14ac:dyDescent="0.15">
      <c r="A556" s="2" t="s">
        <v>164</v>
      </c>
      <c r="B556" s="21" t="s">
        <v>792</v>
      </c>
      <c r="C556" s="26" t="str">
        <f t="shared" ca="1" si="62"/>
        <v>通算 800 日ログインしよう！</v>
      </c>
      <c r="D556" s="26" t="str">
        <f ca="1">IFERROR(VLOOKUP($A556,OFFSET(achievement_criterion_id,0,0,COUNTA($A:$A),MATCH(D$1,missions!$2:$2,0)-MATCH($A$1,missions!$2:$2,0)+1),MATCH(D$1,missions!$2:$2,0)-MATCH($A$1,missions!$2:$2,0)+1,FALSE),IFERROR(VLOOKUP($A556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556" s="27" t="s">
        <v>864</v>
      </c>
      <c r="F556" s="17" t="s">
        <v>18</v>
      </c>
      <c r="G556" s="26" t="str">
        <f ca="1">VLOOKUP($F556,OFFSET(達成条件!$A$1,0,0,COUNTA($A:$A),MATCH(G$1,達成条件!$1:$1,0)-MATCH($F$1,達成条件!$1:$1,0)+1),MATCH(G$1,達成条件!$1:$1,0)-MATCH($F$1,達成条件!$1:$1,0)+1,FALSE)</f>
        <v>通算 x 日ログインしよう！</v>
      </c>
      <c r="H556" s="26" t="str">
        <f ca="1">VLOOKUP($F556,OFFSET(達成条件!$A$1,0,0,COUNTA($A:$A),MATCH(H$1,達成条件!$1:$1,0)-MATCH($F$1,達成条件!$1:$1,0)+1),MATCH(H$1,達成条件!$1:$1,0)-MATCH($F$1,達成条件!$1:$1,0)+1,FALSE)</f>
        <v>ログイン回数</v>
      </c>
      <c r="I556" s="56">
        <v>800</v>
      </c>
      <c r="J556" s="54" t="str">
        <f ca="1">IF(F556="specific_unit_aquired_count",SUBSTITUTE(G556,"x",VLOOKUP(INT($I556),OFFSET([3]characters!$A$2,0,0,COUNTA([3]characters!$A:$A),MATCH(J$1,[3]characters!$2:$2,0)-MATCH("character_id",[3]characters!$2:$2,0)+1),MATCH(J$1,[3]characters!$2:$2,0)-MATCH("character_id",[3]characters!$2:$2,0)+1,FALSE)),IF(F556="specific_quest_clear",VLOOKUP(SUBSTITUTE(I556,"-","_"),OFFSET([2]stages!$A$2,0,0,COUNTA([2]stages!$A:$A),MATCH("name",[2]stages!$2:$2,0)-MATCH("temp_stage",[2]stages!$2:$2,0)+1),MATCH("name",[2]stages!$2:$2,0)-MATCH("temp_stage",[2]stages!$2:$2,0)+1,FALSE),""))</f>
        <v/>
      </c>
      <c r="K556" s="15">
        <v>1</v>
      </c>
      <c r="L556" s="15">
        <f t="shared" si="63"/>
        <v>6087</v>
      </c>
      <c r="M556" s="26" t="str">
        <f ca="1">IFERROR(VLOOKUP($L558,OFFSET(missions!$A$2,0,0,COUNTA($A:$A),MATCH(M$1,missions!$2:$2,0)-MATCH("mission_id",missions!$2:$2,0)+1),MATCH(M$1,missions!$2:$2,0)-MATCH("mission_id",missions!$2:$2,0)+1,FALSE),"")</f>
        <v/>
      </c>
      <c r="N556" s="26" t="str">
        <f ca="1">IFERROR(VLOOKUP($L558,OFFSET(missions!$A$2,0,0,COUNTA($A:$A),MATCH(N$1,missions!$2:$2,0)-MATCH("mission_id",missions!$2:$2,0)+1),MATCH(N$1,missions!$2:$2,0)-MATCH("mission_id",missions!$2:$2,0)+1,FALSE),"")</f>
        <v/>
      </c>
    </row>
    <row r="557" spans="1:14" ht="21" customHeight="1" x14ac:dyDescent="0.15">
      <c r="A557" s="2" t="s">
        <v>165</v>
      </c>
      <c r="B557" s="21" t="s">
        <v>792</v>
      </c>
      <c r="C557" s="26" t="str">
        <f t="shared" ca="1" si="62"/>
        <v>通算 810 日ログインしよう！</v>
      </c>
      <c r="D557" s="26" t="str">
        <f ca="1">IFERROR(VLOOKUP($A557,OFFSET(achievement_criterion_id,0,0,COUNTA($A:$A),MATCH(D$1,missions!$2:$2,0)-MATCH($A$1,missions!$2:$2,0)+1),MATCH(D$1,missions!$2:$2,0)-MATCH($A$1,missions!$2:$2,0)+1,FALSE),IFERROR(VLOOKUP($A557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57" s="27" t="s">
        <v>864</v>
      </c>
      <c r="F557" s="17" t="s">
        <v>18</v>
      </c>
      <c r="G557" s="26" t="str">
        <f ca="1">VLOOKUP($F557,OFFSET(達成条件!$A$1,0,0,COUNTA($A:$A),MATCH(G$1,達成条件!$1:$1,0)-MATCH($F$1,達成条件!$1:$1,0)+1),MATCH(G$1,達成条件!$1:$1,0)-MATCH($F$1,達成条件!$1:$1,0)+1,FALSE)</f>
        <v>通算 x 日ログインしよう！</v>
      </c>
      <c r="H557" s="26" t="str">
        <f ca="1">VLOOKUP($F557,OFFSET(達成条件!$A$1,0,0,COUNTA($A:$A),MATCH(H$1,達成条件!$1:$1,0)-MATCH($F$1,達成条件!$1:$1,0)+1),MATCH(H$1,達成条件!$1:$1,0)-MATCH($F$1,達成条件!$1:$1,0)+1,FALSE)</f>
        <v>ログイン回数</v>
      </c>
      <c r="I557" s="56">
        <v>810</v>
      </c>
      <c r="J557" s="54" t="str">
        <f ca="1">IF(F557="specific_unit_aquired_count",SUBSTITUTE(G557,"x",VLOOKUP(INT($I557),OFFSET([3]characters!$A$2,0,0,COUNTA([3]characters!$A:$A),MATCH(J$1,[3]characters!$2:$2,0)-MATCH("character_id",[3]characters!$2:$2,0)+1),MATCH(J$1,[3]characters!$2:$2,0)-MATCH("character_id",[3]characters!$2:$2,0)+1,FALSE)),IF(F557="specific_quest_clear",VLOOKUP(SUBSTITUTE(I557,"-","_"),OFFSET([2]stages!$A$2,0,0,COUNTA([2]stages!$A:$A),MATCH("name",[2]stages!$2:$2,0)-MATCH("temp_stage",[2]stages!$2:$2,0)+1),MATCH("name",[2]stages!$2:$2,0)-MATCH("temp_stage",[2]stages!$2:$2,0)+1,FALSE),""))</f>
        <v/>
      </c>
      <c r="K557" s="15">
        <v>1</v>
      </c>
      <c r="L557" s="15">
        <f t="shared" si="63"/>
        <v>6088</v>
      </c>
      <c r="M557" s="26" t="str">
        <f ca="1">IFERROR(VLOOKUP($L559,OFFSET(missions!$A$2,0,0,COUNTA($A:$A),MATCH(M$1,missions!$2:$2,0)-MATCH("mission_id",missions!$2:$2,0)+1),MATCH(M$1,missions!$2:$2,0)-MATCH("mission_id",missions!$2:$2,0)+1,FALSE),"")</f>
        <v/>
      </c>
      <c r="N557" s="26" t="str">
        <f ca="1">IFERROR(VLOOKUP($L559,OFFSET(missions!$A$2,0,0,COUNTA($A:$A),MATCH(N$1,missions!$2:$2,0)-MATCH("mission_id",missions!$2:$2,0)+1),MATCH(N$1,missions!$2:$2,0)-MATCH("mission_id",missions!$2:$2,0)+1,FALSE),"")</f>
        <v/>
      </c>
    </row>
    <row r="558" spans="1:14" ht="21" customHeight="1" x14ac:dyDescent="0.15">
      <c r="A558" s="2" t="s">
        <v>166</v>
      </c>
      <c r="B558" s="21" t="s">
        <v>792</v>
      </c>
      <c r="C558" s="26" t="str">
        <f t="shared" ca="1" si="62"/>
        <v>通算 820 日ログインしよう！</v>
      </c>
      <c r="D558" s="26" t="str">
        <f ca="1">IFERROR(VLOOKUP($A558,OFFSET(achievement_criterion_id,0,0,COUNTA($A:$A),MATCH(D$1,missions!$2:$2,0)-MATCH($A$1,missions!$2:$2,0)+1),MATCH(D$1,missions!$2:$2,0)-MATCH($A$1,missions!$2:$2,0)+1,FALSE),IFERROR(VLOOKUP($A558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58" s="27" t="s">
        <v>864</v>
      </c>
      <c r="F558" s="17" t="s">
        <v>18</v>
      </c>
      <c r="G558" s="26" t="str">
        <f ca="1">VLOOKUP($F558,OFFSET(達成条件!$A$1,0,0,COUNTA($A:$A),MATCH(G$1,達成条件!$1:$1,0)-MATCH($F$1,達成条件!$1:$1,0)+1),MATCH(G$1,達成条件!$1:$1,0)-MATCH($F$1,達成条件!$1:$1,0)+1,FALSE)</f>
        <v>通算 x 日ログインしよう！</v>
      </c>
      <c r="H558" s="26" t="str">
        <f ca="1">VLOOKUP($F558,OFFSET(達成条件!$A$1,0,0,COUNTA($A:$A),MATCH(H$1,達成条件!$1:$1,0)-MATCH($F$1,達成条件!$1:$1,0)+1),MATCH(H$1,達成条件!$1:$1,0)-MATCH($F$1,達成条件!$1:$1,0)+1,FALSE)</f>
        <v>ログイン回数</v>
      </c>
      <c r="I558" s="56">
        <v>820</v>
      </c>
      <c r="J558" s="54" t="str">
        <f ca="1">IF(F558="specific_unit_aquired_count",SUBSTITUTE(G558,"x",VLOOKUP(INT($I558),OFFSET([3]characters!$A$2,0,0,COUNTA([3]characters!$A:$A),MATCH(J$1,[3]characters!$2:$2,0)-MATCH("character_id",[3]characters!$2:$2,0)+1),MATCH(J$1,[3]characters!$2:$2,0)-MATCH("character_id",[3]characters!$2:$2,0)+1,FALSE)),IF(F558="specific_quest_clear",VLOOKUP(SUBSTITUTE(I558,"-","_"),OFFSET([2]stages!$A$2,0,0,COUNTA([2]stages!$A:$A),MATCH("name",[2]stages!$2:$2,0)-MATCH("temp_stage",[2]stages!$2:$2,0)+1),MATCH("name",[2]stages!$2:$2,0)-MATCH("temp_stage",[2]stages!$2:$2,0)+1,FALSE),""))</f>
        <v/>
      </c>
      <c r="K558" s="15">
        <v>1</v>
      </c>
      <c r="L558" s="15">
        <f t="shared" si="63"/>
        <v>6089</v>
      </c>
      <c r="M558" s="26" t="str">
        <f ca="1">IFERROR(VLOOKUP($L560,OFFSET(missions!$A$2,0,0,COUNTA($A:$A),MATCH(M$1,missions!$2:$2,0)-MATCH("mission_id",missions!$2:$2,0)+1),MATCH(M$1,missions!$2:$2,0)-MATCH("mission_id",missions!$2:$2,0)+1,FALSE),"")</f>
        <v>通算 850 日ログインしよう！</v>
      </c>
      <c r="N558" s="26" t="str">
        <f ca="1">IFERROR(VLOOKUP($L560,OFFSET(missions!$A$2,0,0,COUNTA($A:$A),MATCH(N$1,missions!$2:$2,0)-MATCH("mission_id",missions!$2:$2,0)+1),MATCH(N$1,missions!$2:$2,0)-MATCH("mission_id",missions!$2:$2,0)+1,FALSE),"")</f>
        <v>ポリゴン x 10</v>
      </c>
    </row>
    <row r="559" spans="1:14" ht="21" customHeight="1" x14ac:dyDescent="0.15">
      <c r="A559" s="2" t="s">
        <v>167</v>
      </c>
      <c r="B559" s="21" t="s">
        <v>792</v>
      </c>
      <c r="C559" s="26" t="str">
        <f t="shared" ca="1" si="62"/>
        <v>通算 830 日ログインしよう！</v>
      </c>
      <c r="D559" s="26" t="str">
        <f ca="1">IFERROR(VLOOKUP($A559,OFFSET(achievement_criterion_id,0,0,COUNTA($A:$A),MATCH(D$1,missions!$2:$2,0)-MATCH($A$1,missions!$2:$2,0)+1),MATCH(D$1,missions!$2:$2,0)-MATCH($A$1,missions!$2:$2,0)+1,FALSE),IFERROR(VLOOKUP($A559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59" s="27" t="s">
        <v>864</v>
      </c>
      <c r="F559" s="17" t="s">
        <v>18</v>
      </c>
      <c r="G559" s="26" t="str">
        <f ca="1">VLOOKUP($F559,OFFSET(達成条件!$A$1,0,0,COUNTA($A:$A),MATCH(G$1,達成条件!$1:$1,0)-MATCH($F$1,達成条件!$1:$1,0)+1),MATCH(G$1,達成条件!$1:$1,0)-MATCH($F$1,達成条件!$1:$1,0)+1,FALSE)</f>
        <v>通算 x 日ログインしよう！</v>
      </c>
      <c r="H559" s="26" t="str">
        <f ca="1">VLOOKUP($F559,OFFSET(達成条件!$A$1,0,0,COUNTA($A:$A),MATCH(H$1,達成条件!$1:$1,0)-MATCH($F$1,達成条件!$1:$1,0)+1),MATCH(H$1,達成条件!$1:$1,0)-MATCH($F$1,達成条件!$1:$1,0)+1,FALSE)</f>
        <v>ログイン回数</v>
      </c>
      <c r="I559" s="56">
        <v>830</v>
      </c>
      <c r="J559" s="54" t="str">
        <f ca="1">IF(F559="specific_unit_aquired_count",SUBSTITUTE(G559,"x",VLOOKUP(INT($I559),OFFSET([3]characters!$A$2,0,0,COUNTA([3]characters!$A:$A),MATCH(J$1,[3]characters!$2:$2,0)-MATCH("character_id",[3]characters!$2:$2,0)+1),MATCH(J$1,[3]characters!$2:$2,0)-MATCH("character_id",[3]characters!$2:$2,0)+1,FALSE)),IF(F559="specific_quest_clear",VLOOKUP(SUBSTITUTE(I559,"-","_"),OFFSET([2]stages!$A$2,0,0,COUNTA([2]stages!$A:$A),MATCH("name",[2]stages!$2:$2,0)-MATCH("temp_stage",[2]stages!$2:$2,0)+1),MATCH("name",[2]stages!$2:$2,0)-MATCH("temp_stage",[2]stages!$2:$2,0)+1,FALSE),""))</f>
        <v/>
      </c>
      <c r="K559" s="15">
        <v>1</v>
      </c>
      <c r="L559" s="15">
        <f t="shared" si="63"/>
        <v>6090</v>
      </c>
      <c r="M559" s="26" t="str">
        <f ca="1">IFERROR(VLOOKUP($L561,OFFSET(missions!$A$2,0,0,COUNTA($A:$A),MATCH(M$1,missions!$2:$2,0)-MATCH("mission_id",missions!$2:$2,0)+1),MATCH(M$1,missions!$2:$2,0)-MATCH("mission_id",missions!$2:$2,0)+1,FALSE),"")</f>
        <v/>
      </c>
      <c r="N559" s="26" t="str">
        <f ca="1">IFERROR(VLOOKUP($L561,OFFSET(missions!$A$2,0,0,COUNTA($A:$A),MATCH(N$1,missions!$2:$2,0)-MATCH("mission_id",missions!$2:$2,0)+1),MATCH(N$1,missions!$2:$2,0)-MATCH("mission_id",missions!$2:$2,0)+1,FALSE),"")</f>
        <v/>
      </c>
    </row>
    <row r="560" spans="1:14" ht="21" customHeight="1" x14ac:dyDescent="0.15">
      <c r="A560" s="2" t="s">
        <v>168</v>
      </c>
      <c r="B560" s="21" t="s">
        <v>792</v>
      </c>
      <c r="C560" s="26" t="str">
        <f t="shared" ca="1" si="62"/>
        <v>通算 840 日ログインしよう！</v>
      </c>
      <c r="D560" s="26" t="str">
        <f ca="1">IFERROR(VLOOKUP($A560,OFFSET(achievement_criterion_id,0,0,COUNTA($A:$A),MATCH(D$1,missions!$2:$2,0)-MATCH($A$1,missions!$2:$2,0)+1),MATCH(D$1,missions!$2:$2,0)-MATCH($A$1,missions!$2:$2,0)+1,FALSE),IFERROR(VLOOKUP($A560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60" s="27" t="s">
        <v>864</v>
      </c>
      <c r="F560" s="17" t="s">
        <v>18</v>
      </c>
      <c r="G560" s="26" t="str">
        <f ca="1">VLOOKUP($F560,OFFSET(達成条件!$A$1,0,0,COUNTA($A:$A),MATCH(G$1,達成条件!$1:$1,0)-MATCH($F$1,達成条件!$1:$1,0)+1),MATCH(G$1,達成条件!$1:$1,0)-MATCH($F$1,達成条件!$1:$1,0)+1,FALSE)</f>
        <v>通算 x 日ログインしよう！</v>
      </c>
      <c r="H560" s="26" t="str">
        <f ca="1">VLOOKUP($F560,OFFSET(達成条件!$A$1,0,0,COUNTA($A:$A),MATCH(H$1,達成条件!$1:$1,0)-MATCH($F$1,達成条件!$1:$1,0)+1),MATCH(H$1,達成条件!$1:$1,0)-MATCH($F$1,達成条件!$1:$1,0)+1,FALSE)</f>
        <v>ログイン回数</v>
      </c>
      <c r="I560" s="56">
        <v>840</v>
      </c>
      <c r="J560" s="54" t="str">
        <f ca="1">IF(F560="specific_unit_aquired_count",SUBSTITUTE(G560,"x",VLOOKUP(INT($I560),OFFSET([3]characters!$A$2,0,0,COUNTA([3]characters!$A:$A),MATCH(J$1,[3]characters!$2:$2,0)-MATCH("character_id",[3]characters!$2:$2,0)+1),MATCH(J$1,[3]characters!$2:$2,0)-MATCH("character_id",[3]characters!$2:$2,0)+1,FALSE)),IF(F560="specific_quest_clear",VLOOKUP(SUBSTITUTE(I560,"-","_"),OFFSET([2]stages!$A$2,0,0,COUNTA([2]stages!$A:$A),MATCH("name",[2]stages!$2:$2,0)-MATCH("temp_stage",[2]stages!$2:$2,0)+1),MATCH("name",[2]stages!$2:$2,0)-MATCH("temp_stage",[2]stages!$2:$2,0)+1,FALSE),""))</f>
        <v/>
      </c>
      <c r="K560" s="15">
        <v>1</v>
      </c>
      <c r="L560" s="15">
        <f t="shared" si="63"/>
        <v>6091</v>
      </c>
      <c r="M560" s="26" t="str">
        <f ca="1">IFERROR(VLOOKUP($L562,OFFSET(missions!$A$2,0,0,COUNTA($A:$A),MATCH(M$1,missions!$2:$2,0)-MATCH("mission_id",missions!$2:$2,0)+1),MATCH(M$1,missions!$2:$2,0)-MATCH("mission_id",missions!$2:$2,0)+1,FALSE),"")</f>
        <v/>
      </c>
      <c r="N560" s="26" t="str">
        <f ca="1">IFERROR(VLOOKUP($L562,OFFSET(missions!$A$2,0,0,COUNTA($A:$A),MATCH(N$1,missions!$2:$2,0)-MATCH("mission_id",missions!$2:$2,0)+1),MATCH(N$1,missions!$2:$2,0)-MATCH("mission_id",missions!$2:$2,0)+1,FALSE),"")</f>
        <v/>
      </c>
    </row>
    <row r="561" spans="1:14" ht="21" customHeight="1" x14ac:dyDescent="0.15">
      <c r="A561" s="2" t="s">
        <v>169</v>
      </c>
      <c r="B561" s="21" t="s">
        <v>792</v>
      </c>
      <c r="C561" s="26" t="str">
        <f t="shared" ca="1" si="62"/>
        <v>通算 850 日ログインしよう！</v>
      </c>
      <c r="D561" s="26" t="str">
        <f ca="1">IFERROR(VLOOKUP($A561,OFFSET(achievement_criterion_id,0,0,COUNTA($A:$A),MATCH(D$1,missions!$2:$2,0)-MATCH($A$1,missions!$2:$2,0)+1),MATCH(D$1,missions!$2:$2,0)-MATCH($A$1,missions!$2:$2,0)+1,FALSE),IFERROR(VLOOKUP($A561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561" s="27" t="s">
        <v>864</v>
      </c>
      <c r="F561" s="17" t="s">
        <v>18</v>
      </c>
      <c r="G561" s="26" t="str">
        <f ca="1">VLOOKUP($F561,OFFSET(達成条件!$A$1,0,0,COUNTA($A:$A),MATCH(G$1,達成条件!$1:$1,0)-MATCH($F$1,達成条件!$1:$1,0)+1),MATCH(G$1,達成条件!$1:$1,0)-MATCH($F$1,達成条件!$1:$1,0)+1,FALSE)</f>
        <v>通算 x 日ログインしよう！</v>
      </c>
      <c r="H561" s="26" t="str">
        <f ca="1">VLOOKUP($F561,OFFSET(達成条件!$A$1,0,0,COUNTA($A:$A),MATCH(H$1,達成条件!$1:$1,0)-MATCH($F$1,達成条件!$1:$1,0)+1),MATCH(H$1,達成条件!$1:$1,0)-MATCH($F$1,達成条件!$1:$1,0)+1,FALSE)</f>
        <v>ログイン回数</v>
      </c>
      <c r="I561" s="56">
        <v>850</v>
      </c>
      <c r="J561" s="54" t="str">
        <f ca="1">IF(F561="specific_unit_aquired_count",SUBSTITUTE(G561,"x",VLOOKUP(INT($I561),OFFSET([3]characters!$A$2,0,0,COUNTA([3]characters!$A:$A),MATCH(J$1,[3]characters!$2:$2,0)-MATCH("character_id",[3]characters!$2:$2,0)+1),MATCH(J$1,[3]characters!$2:$2,0)-MATCH("character_id",[3]characters!$2:$2,0)+1,FALSE)),IF(F561="specific_quest_clear",VLOOKUP(SUBSTITUTE(I561,"-","_"),OFFSET([2]stages!$A$2,0,0,COUNTA([2]stages!$A:$A),MATCH("name",[2]stages!$2:$2,0)-MATCH("temp_stage",[2]stages!$2:$2,0)+1),MATCH("name",[2]stages!$2:$2,0)-MATCH("temp_stage",[2]stages!$2:$2,0)+1,FALSE),""))</f>
        <v/>
      </c>
      <c r="K561" s="15">
        <v>1</v>
      </c>
      <c r="L561" s="15">
        <f t="shared" si="63"/>
        <v>6092</v>
      </c>
      <c r="M561" s="26" t="str">
        <f ca="1">IFERROR(VLOOKUP($L563,OFFSET(missions!$A$2,0,0,COUNTA($A:$A),MATCH(M$1,missions!$2:$2,0)-MATCH("mission_id",missions!$2:$2,0)+1),MATCH(M$1,missions!$2:$2,0)-MATCH("mission_id",missions!$2:$2,0)+1,FALSE),"")</f>
        <v/>
      </c>
      <c r="N561" s="26" t="str">
        <f ca="1">IFERROR(VLOOKUP($L563,OFFSET(missions!$A$2,0,0,COUNTA($A:$A),MATCH(N$1,missions!$2:$2,0)-MATCH("mission_id",missions!$2:$2,0)+1),MATCH(N$1,missions!$2:$2,0)-MATCH("mission_id",missions!$2:$2,0)+1,FALSE),"")</f>
        <v/>
      </c>
    </row>
    <row r="562" spans="1:14" ht="21" customHeight="1" x14ac:dyDescent="0.15">
      <c r="A562" s="2" t="s">
        <v>170</v>
      </c>
      <c r="B562" s="21" t="s">
        <v>792</v>
      </c>
      <c r="C562" s="26" t="str">
        <f t="shared" ca="1" si="62"/>
        <v>通算 860 日ログインしよう！</v>
      </c>
      <c r="D562" s="26" t="str">
        <f ca="1">IFERROR(VLOOKUP($A562,OFFSET(achievement_criterion_id,0,0,COUNTA($A:$A),MATCH(D$1,missions!$2:$2,0)-MATCH($A$1,missions!$2:$2,0)+1),MATCH(D$1,missions!$2:$2,0)-MATCH($A$1,missions!$2:$2,0)+1,FALSE),IFERROR(VLOOKUP($A562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62" s="27" t="s">
        <v>864</v>
      </c>
      <c r="F562" s="17" t="s">
        <v>18</v>
      </c>
      <c r="G562" s="26" t="str">
        <f ca="1">VLOOKUP($F562,OFFSET(達成条件!$A$1,0,0,COUNTA($A:$A),MATCH(G$1,達成条件!$1:$1,0)-MATCH($F$1,達成条件!$1:$1,0)+1),MATCH(G$1,達成条件!$1:$1,0)-MATCH($F$1,達成条件!$1:$1,0)+1,FALSE)</f>
        <v>通算 x 日ログインしよう！</v>
      </c>
      <c r="H562" s="26" t="str">
        <f ca="1">VLOOKUP($F562,OFFSET(達成条件!$A$1,0,0,COUNTA($A:$A),MATCH(H$1,達成条件!$1:$1,0)-MATCH($F$1,達成条件!$1:$1,0)+1),MATCH(H$1,達成条件!$1:$1,0)-MATCH($F$1,達成条件!$1:$1,0)+1,FALSE)</f>
        <v>ログイン回数</v>
      </c>
      <c r="I562" s="56">
        <v>860</v>
      </c>
      <c r="J562" s="54" t="str">
        <f ca="1">IF(F562="specific_unit_aquired_count",SUBSTITUTE(G562,"x",VLOOKUP(INT($I562),OFFSET([3]characters!$A$2,0,0,COUNTA([3]characters!$A:$A),MATCH(J$1,[3]characters!$2:$2,0)-MATCH("character_id",[3]characters!$2:$2,0)+1),MATCH(J$1,[3]characters!$2:$2,0)-MATCH("character_id",[3]characters!$2:$2,0)+1,FALSE)),IF(F562="specific_quest_clear",VLOOKUP(SUBSTITUTE(I562,"-","_"),OFFSET([2]stages!$A$2,0,0,COUNTA([2]stages!$A:$A),MATCH("name",[2]stages!$2:$2,0)-MATCH("temp_stage",[2]stages!$2:$2,0)+1),MATCH("name",[2]stages!$2:$2,0)-MATCH("temp_stage",[2]stages!$2:$2,0)+1,FALSE),""))</f>
        <v/>
      </c>
      <c r="K562" s="15">
        <v>1</v>
      </c>
      <c r="L562" s="15">
        <f t="shared" si="63"/>
        <v>6093</v>
      </c>
      <c r="M562" s="26" t="str">
        <f ca="1">IFERROR(VLOOKUP($L564,OFFSET(missions!$A$2,0,0,COUNTA($A:$A),MATCH(M$1,missions!$2:$2,0)-MATCH("mission_id",missions!$2:$2,0)+1),MATCH(M$1,missions!$2:$2,0)-MATCH("mission_id",missions!$2:$2,0)+1,FALSE),"")</f>
        <v/>
      </c>
      <c r="N562" s="26" t="str">
        <f ca="1">IFERROR(VLOOKUP($L564,OFFSET(missions!$A$2,0,0,COUNTA($A:$A),MATCH(N$1,missions!$2:$2,0)-MATCH("mission_id",missions!$2:$2,0)+1),MATCH(N$1,missions!$2:$2,0)-MATCH("mission_id",missions!$2:$2,0)+1,FALSE),"")</f>
        <v/>
      </c>
    </row>
    <row r="563" spans="1:14" ht="21" customHeight="1" x14ac:dyDescent="0.15">
      <c r="A563" s="2" t="s">
        <v>171</v>
      </c>
      <c r="B563" s="21" t="s">
        <v>792</v>
      </c>
      <c r="C563" s="26" t="str">
        <f t="shared" ca="1" si="62"/>
        <v>通算 870 日ログインしよう！</v>
      </c>
      <c r="D563" s="26" t="str">
        <f ca="1">IFERROR(VLOOKUP($A563,OFFSET(achievement_criterion_id,0,0,COUNTA($A:$A),MATCH(D$1,missions!$2:$2,0)-MATCH($A$1,missions!$2:$2,0)+1),MATCH(D$1,missions!$2:$2,0)-MATCH($A$1,missions!$2:$2,0)+1,FALSE),IFERROR(VLOOKUP($A563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63" s="27" t="s">
        <v>864</v>
      </c>
      <c r="F563" s="17" t="s">
        <v>18</v>
      </c>
      <c r="G563" s="26" t="str">
        <f ca="1">VLOOKUP($F563,OFFSET(達成条件!$A$1,0,0,COUNTA($A:$A),MATCH(G$1,達成条件!$1:$1,0)-MATCH($F$1,達成条件!$1:$1,0)+1),MATCH(G$1,達成条件!$1:$1,0)-MATCH($F$1,達成条件!$1:$1,0)+1,FALSE)</f>
        <v>通算 x 日ログインしよう！</v>
      </c>
      <c r="H563" s="26" t="str">
        <f ca="1">VLOOKUP($F563,OFFSET(達成条件!$A$1,0,0,COUNTA($A:$A),MATCH(H$1,達成条件!$1:$1,0)-MATCH($F$1,達成条件!$1:$1,0)+1),MATCH(H$1,達成条件!$1:$1,0)-MATCH($F$1,達成条件!$1:$1,0)+1,FALSE)</f>
        <v>ログイン回数</v>
      </c>
      <c r="I563" s="56">
        <v>870</v>
      </c>
      <c r="J563" s="54" t="str">
        <f ca="1">IF(F563="specific_unit_aquired_count",SUBSTITUTE(G563,"x",VLOOKUP(INT($I563),OFFSET([3]characters!$A$2,0,0,COUNTA([3]characters!$A:$A),MATCH(J$1,[3]characters!$2:$2,0)-MATCH("character_id",[3]characters!$2:$2,0)+1),MATCH(J$1,[3]characters!$2:$2,0)-MATCH("character_id",[3]characters!$2:$2,0)+1,FALSE)),IF(F563="specific_quest_clear",VLOOKUP(SUBSTITUTE(I563,"-","_"),OFFSET([2]stages!$A$2,0,0,COUNTA([2]stages!$A:$A),MATCH("name",[2]stages!$2:$2,0)-MATCH("temp_stage",[2]stages!$2:$2,0)+1),MATCH("name",[2]stages!$2:$2,0)-MATCH("temp_stage",[2]stages!$2:$2,0)+1,FALSE),""))</f>
        <v/>
      </c>
      <c r="K563" s="15">
        <v>1</v>
      </c>
      <c r="L563" s="15">
        <f t="shared" si="63"/>
        <v>6094</v>
      </c>
      <c r="M563" s="26" t="str">
        <f ca="1">IFERROR(VLOOKUP($L565,OFFSET(missions!$A$2,0,0,COUNTA($A:$A),MATCH(M$1,missions!$2:$2,0)-MATCH("mission_id",missions!$2:$2,0)+1),MATCH(M$1,missions!$2:$2,0)-MATCH("mission_id",missions!$2:$2,0)+1,FALSE),"")</f>
        <v>通算 900 日ログインしよう！</v>
      </c>
      <c r="N563" s="26" t="str">
        <f ca="1">IFERROR(VLOOKUP($L565,OFFSET(missions!$A$2,0,0,COUNTA($A:$A),MATCH(N$1,missions!$2:$2,0)-MATCH("mission_id",missions!$2:$2,0)+1),MATCH(N$1,missions!$2:$2,0)-MATCH("mission_id",missions!$2:$2,0)+1,FALSE),"")</f>
        <v>ポリゴン x 10</v>
      </c>
    </row>
    <row r="564" spans="1:14" ht="21" customHeight="1" x14ac:dyDescent="0.15">
      <c r="A564" s="2" t="s">
        <v>172</v>
      </c>
      <c r="B564" s="21" t="s">
        <v>792</v>
      </c>
      <c r="C564" s="26" t="str">
        <f t="shared" ca="1" si="62"/>
        <v>通算 880 日ログインしよう！</v>
      </c>
      <c r="D564" s="26" t="str">
        <f ca="1">IFERROR(VLOOKUP($A564,OFFSET(achievement_criterion_id,0,0,COUNTA($A:$A),MATCH(D$1,missions!$2:$2,0)-MATCH($A$1,missions!$2:$2,0)+1),MATCH(D$1,missions!$2:$2,0)-MATCH($A$1,missions!$2:$2,0)+1,FALSE),IFERROR(VLOOKUP($A564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64" s="27" t="s">
        <v>864</v>
      </c>
      <c r="F564" s="17" t="s">
        <v>18</v>
      </c>
      <c r="G564" s="26" t="str">
        <f ca="1">VLOOKUP($F564,OFFSET(達成条件!$A$1,0,0,COUNTA($A:$A),MATCH(G$1,達成条件!$1:$1,0)-MATCH($F$1,達成条件!$1:$1,0)+1),MATCH(G$1,達成条件!$1:$1,0)-MATCH($F$1,達成条件!$1:$1,0)+1,FALSE)</f>
        <v>通算 x 日ログインしよう！</v>
      </c>
      <c r="H564" s="26" t="str">
        <f ca="1">VLOOKUP($F564,OFFSET(達成条件!$A$1,0,0,COUNTA($A:$A),MATCH(H$1,達成条件!$1:$1,0)-MATCH($F$1,達成条件!$1:$1,0)+1),MATCH(H$1,達成条件!$1:$1,0)-MATCH($F$1,達成条件!$1:$1,0)+1,FALSE)</f>
        <v>ログイン回数</v>
      </c>
      <c r="I564" s="56">
        <v>880</v>
      </c>
      <c r="J564" s="54" t="str">
        <f ca="1">IF(F564="specific_unit_aquired_count",SUBSTITUTE(G564,"x",VLOOKUP(INT($I564),OFFSET([3]characters!$A$2,0,0,COUNTA([3]characters!$A:$A),MATCH(J$1,[3]characters!$2:$2,0)-MATCH("character_id",[3]characters!$2:$2,0)+1),MATCH(J$1,[3]characters!$2:$2,0)-MATCH("character_id",[3]characters!$2:$2,0)+1,FALSE)),IF(F564="specific_quest_clear",VLOOKUP(SUBSTITUTE(I564,"-","_"),OFFSET([2]stages!$A$2,0,0,COUNTA([2]stages!$A:$A),MATCH("name",[2]stages!$2:$2,0)-MATCH("temp_stage",[2]stages!$2:$2,0)+1),MATCH("name",[2]stages!$2:$2,0)-MATCH("temp_stage",[2]stages!$2:$2,0)+1,FALSE),""))</f>
        <v/>
      </c>
      <c r="K564" s="15">
        <v>1</v>
      </c>
      <c r="L564" s="15">
        <f t="shared" si="63"/>
        <v>6095</v>
      </c>
      <c r="M564" s="26" t="str">
        <f ca="1">IFERROR(VLOOKUP($L566,OFFSET(missions!$A$2,0,0,COUNTA($A:$A),MATCH(M$1,missions!$2:$2,0)-MATCH("mission_id",missions!$2:$2,0)+1),MATCH(M$1,missions!$2:$2,0)-MATCH("mission_id",missions!$2:$2,0)+1,FALSE),"")</f>
        <v/>
      </c>
      <c r="N564" s="26" t="str">
        <f ca="1">IFERROR(VLOOKUP($L566,OFFSET(missions!$A$2,0,0,COUNTA($A:$A),MATCH(N$1,missions!$2:$2,0)-MATCH("mission_id",missions!$2:$2,0)+1),MATCH(N$1,missions!$2:$2,0)-MATCH("mission_id",missions!$2:$2,0)+1,FALSE),"")</f>
        <v/>
      </c>
    </row>
    <row r="565" spans="1:14" ht="21" customHeight="1" x14ac:dyDescent="0.15">
      <c r="A565" s="2" t="s">
        <v>173</v>
      </c>
      <c r="B565" s="21" t="s">
        <v>792</v>
      </c>
      <c r="C565" s="26" t="str">
        <f t="shared" ca="1" si="62"/>
        <v>通算 890 日ログインしよう！</v>
      </c>
      <c r="D565" s="26" t="str">
        <f ca="1">IFERROR(VLOOKUP($A565,OFFSET(achievement_criterion_id,0,0,COUNTA($A:$A),MATCH(D$1,missions!$2:$2,0)-MATCH($A$1,missions!$2:$2,0)+1),MATCH(D$1,missions!$2:$2,0)-MATCH($A$1,missions!$2:$2,0)+1,FALSE),IFERROR(VLOOKUP($A565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65" s="27" t="s">
        <v>864</v>
      </c>
      <c r="F565" s="17" t="s">
        <v>18</v>
      </c>
      <c r="G565" s="26" t="str">
        <f ca="1">VLOOKUP($F565,OFFSET(達成条件!$A$1,0,0,COUNTA($A:$A),MATCH(G$1,達成条件!$1:$1,0)-MATCH($F$1,達成条件!$1:$1,0)+1),MATCH(G$1,達成条件!$1:$1,0)-MATCH($F$1,達成条件!$1:$1,0)+1,FALSE)</f>
        <v>通算 x 日ログインしよう！</v>
      </c>
      <c r="H565" s="26" t="str">
        <f ca="1">VLOOKUP($F565,OFFSET(達成条件!$A$1,0,0,COUNTA($A:$A),MATCH(H$1,達成条件!$1:$1,0)-MATCH($F$1,達成条件!$1:$1,0)+1),MATCH(H$1,達成条件!$1:$1,0)-MATCH($F$1,達成条件!$1:$1,0)+1,FALSE)</f>
        <v>ログイン回数</v>
      </c>
      <c r="I565" s="56">
        <v>890</v>
      </c>
      <c r="J565" s="54" t="str">
        <f ca="1">IF(F565="specific_unit_aquired_count",SUBSTITUTE(G565,"x",VLOOKUP(INT($I565),OFFSET([3]characters!$A$2,0,0,COUNTA([3]characters!$A:$A),MATCH(J$1,[3]characters!$2:$2,0)-MATCH("character_id",[3]characters!$2:$2,0)+1),MATCH(J$1,[3]characters!$2:$2,0)-MATCH("character_id",[3]characters!$2:$2,0)+1,FALSE)),IF(F565="specific_quest_clear",VLOOKUP(SUBSTITUTE(I565,"-","_"),OFFSET([2]stages!$A$2,0,0,COUNTA([2]stages!$A:$A),MATCH("name",[2]stages!$2:$2,0)-MATCH("temp_stage",[2]stages!$2:$2,0)+1),MATCH("name",[2]stages!$2:$2,0)-MATCH("temp_stage",[2]stages!$2:$2,0)+1,FALSE),""))</f>
        <v/>
      </c>
      <c r="K565" s="15">
        <v>1</v>
      </c>
      <c r="L565" s="15">
        <f t="shared" si="63"/>
        <v>6096</v>
      </c>
      <c r="M565" s="26" t="str">
        <f ca="1">IFERROR(VLOOKUP($L567,OFFSET(missions!$A$2,0,0,COUNTA($A:$A),MATCH(M$1,missions!$2:$2,0)-MATCH("mission_id",missions!$2:$2,0)+1),MATCH(M$1,missions!$2:$2,0)-MATCH("mission_id",missions!$2:$2,0)+1,FALSE),"")</f>
        <v/>
      </c>
      <c r="N565" s="26" t="str">
        <f ca="1">IFERROR(VLOOKUP($L567,OFFSET(missions!$A$2,0,0,COUNTA($A:$A),MATCH(N$1,missions!$2:$2,0)-MATCH("mission_id",missions!$2:$2,0)+1),MATCH(N$1,missions!$2:$2,0)-MATCH("mission_id",missions!$2:$2,0)+1,FALSE),"")</f>
        <v/>
      </c>
    </row>
    <row r="566" spans="1:14" ht="21" customHeight="1" x14ac:dyDescent="0.15">
      <c r="A566" s="2" t="s">
        <v>174</v>
      </c>
      <c r="B566" s="21" t="s">
        <v>792</v>
      </c>
      <c r="C566" s="26" t="str">
        <f t="shared" ca="1" si="62"/>
        <v>通算 900 日ログインしよう！</v>
      </c>
      <c r="D566" s="26" t="str">
        <f ca="1">IFERROR(VLOOKUP($A566,OFFSET(achievement_criterion_id,0,0,COUNTA($A:$A),MATCH(D$1,missions!$2:$2,0)-MATCH($A$1,missions!$2:$2,0)+1),MATCH(D$1,missions!$2:$2,0)-MATCH($A$1,missions!$2:$2,0)+1,FALSE),IFERROR(VLOOKUP($A566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566" s="27" t="s">
        <v>864</v>
      </c>
      <c r="F566" s="17" t="s">
        <v>18</v>
      </c>
      <c r="G566" s="26" t="str">
        <f ca="1">VLOOKUP($F566,OFFSET(達成条件!$A$1,0,0,COUNTA($A:$A),MATCH(G$1,達成条件!$1:$1,0)-MATCH($F$1,達成条件!$1:$1,0)+1),MATCH(G$1,達成条件!$1:$1,0)-MATCH($F$1,達成条件!$1:$1,0)+1,FALSE)</f>
        <v>通算 x 日ログインしよう！</v>
      </c>
      <c r="H566" s="26" t="str">
        <f ca="1">VLOOKUP($F566,OFFSET(達成条件!$A$1,0,0,COUNTA($A:$A),MATCH(H$1,達成条件!$1:$1,0)-MATCH($F$1,達成条件!$1:$1,0)+1),MATCH(H$1,達成条件!$1:$1,0)-MATCH($F$1,達成条件!$1:$1,0)+1,FALSE)</f>
        <v>ログイン回数</v>
      </c>
      <c r="I566" s="56">
        <v>900</v>
      </c>
      <c r="J566" s="54" t="str">
        <f ca="1">IF(F566="specific_unit_aquired_count",SUBSTITUTE(G566,"x",VLOOKUP(INT($I566),OFFSET([3]characters!$A$2,0,0,COUNTA([3]characters!$A:$A),MATCH(J$1,[3]characters!$2:$2,0)-MATCH("character_id",[3]characters!$2:$2,0)+1),MATCH(J$1,[3]characters!$2:$2,0)-MATCH("character_id",[3]characters!$2:$2,0)+1,FALSE)),IF(F566="specific_quest_clear",VLOOKUP(SUBSTITUTE(I566,"-","_"),OFFSET([2]stages!$A$2,0,0,COUNTA([2]stages!$A:$A),MATCH("name",[2]stages!$2:$2,0)-MATCH("temp_stage",[2]stages!$2:$2,0)+1),MATCH("name",[2]stages!$2:$2,0)-MATCH("temp_stage",[2]stages!$2:$2,0)+1,FALSE),""))</f>
        <v/>
      </c>
      <c r="K566" s="15">
        <v>1</v>
      </c>
      <c r="L566" s="15">
        <f t="shared" si="63"/>
        <v>6097</v>
      </c>
      <c r="M566" s="26" t="str">
        <f ca="1">IFERROR(VLOOKUP($L568,OFFSET(missions!$A$2,0,0,COUNTA($A:$A),MATCH(M$1,missions!$2:$2,0)-MATCH("mission_id",missions!$2:$2,0)+1),MATCH(M$1,missions!$2:$2,0)-MATCH("mission_id",missions!$2:$2,0)+1,FALSE),"")</f>
        <v/>
      </c>
      <c r="N566" s="26" t="str">
        <f ca="1">IFERROR(VLOOKUP($L568,OFFSET(missions!$A$2,0,0,COUNTA($A:$A),MATCH(N$1,missions!$2:$2,0)-MATCH("mission_id",missions!$2:$2,0)+1),MATCH(N$1,missions!$2:$2,0)-MATCH("mission_id",missions!$2:$2,0)+1,FALSE),"")</f>
        <v/>
      </c>
    </row>
    <row r="567" spans="1:14" ht="21" customHeight="1" x14ac:dyDescent="0.15">
      <c r="A567" s="2" t="s">
        <v>175</v>
      </c>
      <c r="B567" s="21" t="s">
        <v>792</v>
      </c>
      <c r="C567" s="26" t="str">
        <f t="shared" ca="1" si="62"/>
        <v>通算 910 日ログインしよう！</v>
      </c>
      <c r="D567" s="26" t="str">
        <f ca="1">IFERROR(VLOOKUP($A567,OFFSET(achievement_criterion_id,0,0,COUNTA($A:$A),MATCH(D$1,missions!$2:$2,0)-MATCH($A$1,missions!$2:$2,0)+1),MATCH(D$1,missions!$2:$2,0)-MATCH($A$1,missions!$2:$2,0)+1,FALSE),IFERROR(VLOOKUP($A567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67" s="27" t="s">
        <v>864</v>
      </c>
      <c r="F567" s="17" t="s">
        <v>18</v>
      </c>
      <c r="G567" s="26" t="str">
        <f ca="1">VLOOKUP($F567,OFFSET(達成条件!$A$1,0,0,COUNTA($A:$A),MATCH(G$1,達成条件!$1:$1,0)-MATCH($F$1,達成条件!$1:$1,0)+1),MATCH(G$1,達成条件!$1:$1,0)-MATCH($F$1,達成条件!$1:$1,0)+1,FALSE)</f>
        <v>通算 x 日ログインしよう！</v>
      </c>
      <c r="H567" s="26" t="str">
        <f ca="1">VLOOKUP($F567,OFFSET(達成条件!$A$1,0,0,COUNTA($A:$A),MATCH(H$1,達成条件!$1:$1,0)-MATCH($F$1,達成条件!$1:$1,0)+1),MATCH(H$1,達成条件!$1:$1,0)-MATCH($F$1,達成条件!$1:$1,0)+1,FALSE)</f>
        <v>ログイン回数</v>
      </c>
      <c r="I567" s="56">
        <v>910</v>
      </c>
      <c r="J567" s="54" t="str">
        <f ca="1">IF(F567="specific_unit_aquired_count",SUBSTITUTE(G567,"x",VLOOKUP(INT($I567),OFFSET([3]characters!$A$2,0,0,COUNTA([3]characters!$A:$A),MATCH(J$1,[3]characters!$2:$2,0)-MATCH("character_id",[3]characters!$2:$2,0)+1),MATCH(J$1,[3]characters!$2:$2,0)-MATCH("character_id",[3]characters!$2:$2,0)+1,FALSE)),IF(F567="specific_quest_clear",VLOOKUP(SUBSTITUTE(I567,"-","_"),OFFSET([2]stages!$A$2,0,0,COUNTA([2]stages!$A:$A),MATCH("name",[2]stages!$2:$2,0)-MATCH("temp_stage",[2]stages!$2:$2,0)+1),MATCH("name",[2]stages!$2:$2,0)-MATCH("temp_stage",[2]stages!$2:$2,0)+1,FALSE),""))</f>
        <v/>
      </c>
      <c r="K567" s="15">
        <v>1</v>
      </c>
      <c r="L567" s="15">
        <f t="shared" si="63"/>
        <v>6098</v>
      </c>
      <c r="M567" s="26" t="str">
        <f ca="1">IFERROR(VLOOKUP($L569,OFFSET(missions!$A$2,0,0,COUNTA($A:$A),MATCH(M$1,missions!$2:$2,0)-MATCH("mission_id",missions!$2:$2,0)+1),MATCH(M$1,missions!$2:$2,0)-MATCH("mission_id",missions!$2:$2,0)+1,FALSE),"")</f>
        <v/>
      </c>
      <c r="N567" s="26" t="str">
        <f ca="1">IFERROR(VLOOKUP($L569,OFFSET(missions!$A$2,0,0,COUNTA($A:$A),MATCH(N$1,missions!$2:$2,0)-MATCH("mission_id",missions!$2:$2,0)+1),MATCH(N$1,missions!$2:$2,0)-MATCH("mission_id",missions!$2:$2,0)+1,FALSE),"")</f>
        <v/>
      </c>
    </row>
    <row r="568" spans="1:14" ht="21" customHeight="1" x14ac:dyDescent="0.15">
      <c r="A568" s="2" t="s">
        <v>176</v>
      </c>
      <c r="B568" s="21" t="s">
        <v>792</v>
      </c>
      <c r="C568" s="26" t="str">
        <f t="shared" ca="1" si="62"/>
        <v>通算 920 日ログインしよう！</v>
      </c>
      <c r="D568" s="26" t="str">
        <f ca="1">IFERROR(VLOOKUP($A568,OFFSET(achievement_criterion_id,0,0,COUNTA($A:$A),MATCH(D$1,missions!$2:$2,0)-MATCH($A$1,missions!$2:$2,0)+1),MATCH(D$1,missions!$2:$2,0)-MATCH($A$1,missions!$2:$2,0)+1,FALSE),IFERROR(VLOOKUP($A568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68" s="27" t="s">
        <v>864</v>
      </c>
      <c r="F568" s="17" t="s">
        <v>18</v>
      </c>
      <c r="G568" s="26" t="str">
        <f ca="1">VLOOKUP($F568,OFFSET(達成条件!$A$1,0,0,COUNTA($A:$A),MATCH(G$1,達成条件!$1:$1,0)-MATCH($F$1,達成条件!$1:$1,0)+1),MATCH(G$1,達成条件!$1:$1,0)-MATCH($F$1,達成条件!$1:$1,0)+1,FALSE)</f>
        <v>通算 x 日ログインしよう！</v>
      </c>
      <c r="H568" s="26" t="str">
        <f ca="1">VLOOKUP($F568,OFFSET(達成条件!$A$1,0,0,COUNTA($A:$A),MATCH(H$1,達成条件!$1:$1,0)-MATCH($F$1,達成条件!$1:$1,0)+1),MATCH(H$1,達成条件!$1:$1,0)-MATCH($F$1,達成条件!$1:$1,0)+1,FALSE)</f>
        <v>ログイン回数</v>
      </c>
      <c r="I568" s="56">
        <v>920</v>
      </c>
      <c r="J568" s="54" t="str">
        <f ca="1">IF(F568="specific_unit_aquired_count",SUBSTITUTE(G568,"x",VLOOKUP(INT($I568),OFFSET([3]characters!$A$2,0,0,COUNTA([3]characters!$A:$A),MATCH(J$1,[3]characters!$2:$2,0)-MATCH("character_id",[3]characters!$2:$2,0)+1),MATCH(J$1,[3]characters!$2:$2,0)-MATCH("character_id",[3]characters!$2:$2,0)+1,FALSE)),IF(F568="specific_quest_clear",VLOOKUP(SUBSTITUTE(I568,"-","_"),OFFSET([2]stages!$A$2,0,0,COUNTA([2]stages!$A:$A),MATCH("name",[2]stages!$2:$2,0)-MATCH("temp_stage",[2]stages!$2:$2,0)+1),MATCH("name",[2]stages!$2:$2,0)-MATCH("temp_stage",[2]stages!$2:$2,0)+1,FALSE),""))</f>
        <v/>
      </c>
      <c r="K568" s="15">
        <v>1</v>
      </c>
      <c r="L568" s="15">
        <f t="shared" si="63"/>
        <v>6099</v>
      </c>
      <c r="M568" s="26" t="str">
        <f ca="1">IFERROR(VLOOKUP($L570,OFFSET(missions!$A$2,0,0,COUNTA($A:$A),MATCH(M$1,missions!$2:$2,0)-MATCH("mission_id",missions!$2:$2,0)+1),MATCH(M$1,missions!$2:$2,0)-MATCH("mission_id",missions!$2:$2,0)+1,FALSE),"")</f>
        <v>通算 950 日ログインしよう！</v>
      </c>
      <c r="N568" s="26" t="str">
        <f ca="1">IFERROR(VLOOKUP($L570,OFFSET(missions!$A$2,0,0,COUNTA($A:$A),MATCH(N$1,missions!$2:$2,0)-MATCH("mission_id",missions!$2:$2,0)+1),MATCH(N$1,missions!$2:$2,0)-MATCH("mission_id",missions!$2:$2,0)+1,FALSE),"")</f>
        <v>ポリゴン x 10</v>
      </c>
    </row>
    <row r="569" spans="1:14" ht="21" customHeight="1" x14ac:dyDescent="0.15">
      <c r="A569" s="2" t="s">
        <v>177</v>
      </c>
      <c r="B569" s="21" t="s">
        <v>792</v>
      </c>
      <c r="C569" s="26" t="str">
        <f t="shared" ref="C569:C697" ca="1" si="64">IF(F569="specific_quest_clear",SUBSTITUTE(G569,"x",J569),IF(F569="specific_unit_aquired_count",SUBSTITUTE(J569,"y",K569),SUBSTITUTE(G569,"x",I569)))</f>
        <v>通算 930 日ログインしよう！</v>
      </c>
      <c r="D569" s="26" t="str">
        <f ca="1">IFERROR(VLOOKUP($A569,OFFSET(achievement_criterion_id,0,0,COUNTA($A:$A),MATCH(D$1,missions!$2:$2,0)-MATCH($A$1,missions!$2:$2,0)+1),MATCH(D$1,missions!$2:$2,0)-MATCH($A$1,missions!$2:$2,0)+1,FALSE),IFERROR(VLOOKUP($A569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69" s="27" t="s">
        <v>864</v>
      </c>
      <c r="F569" s="17" t="s">
        <v>18</v>
      </c>
      <c r="G569" s="26" t="str">
        <f ca="1">VLOOKUP($F569,OFFSET(達成条件!$A$1,0,0,COUNTA($A:$A),MATCH(G$1,達成条件!$1:$1,0)-MATCH($F$1,達成条件!$1:$1,0)+1),MATCH(G$1,達成条件!$1:$1,0)-MATCH($F$1,達成条件!$1:$1,0)+1,FALSE)</f>
        <v>通算 x 日ログインしよう！</v>
      </c>
      <c r="H569" s="26" t="str">
        <f ca="1">VLOOKUP($F569,OFFSET(達成条件!$A$1,0,0,COUNTA($A:$A),MATCH(H$1,達成条件!$1:$1,0)-MATCH($F$1,達成条件!$1:$1,0)+1),MATCH(H$1,達成条件!$1:$1,0)-MATCH($F$1,達成条件!$1:$1,0)+1,FALSE)</f>
        <v>ログイン回数</v>
      </c>
      <c r="I569" s="56">
        <v>930</v>
      </c>
      <c r="J569" s="54" t="str">
        <f ca="1">IF(F569="specific_unit_aquired_count",SUBSTITUTE(G569,"x",VLOOKUP(INT($I569),OFFSET([3]characters!$A$2,0,0,COUNTA([3]characters!$A:$A),MATCH(J$1,[3]characters!$2:$2,0)-MATCH("character_id",[3]characters!$2:$2,0)+1),MATCH(J$1,[3]characters!$2:$2,0)-MATCH("character_id",[3]characters!$2:$2,0)+1,FALSE)),IF(F569="specific_quest_clear",VLOOKUP(SUBSTITUTE(I569,"-","_"),OFFSET([2]stages!$A$2,0,0,COUNTA([2]stages!$A:$A),MATCH("name",[2]stages!$2:$2,0)-MATCH("temp_stage",[2]stages!$2:$2,0)+1),MATCH("name",[2]stages!$2:$2,0)-MATCH("temp_stage",[2]stages!$2:$2,0)+1,FALSE),""))</f>
        <v/>
      </c>
      <c r="K569" s="15">
        <v>1</v>
      </c>
      <c r="L569" s="15">
        <f t="shared" si="63"/>
        <v>6100</v>
      </c>
      <c r="M569" s="26" t="str">
        <f ca="1">IFERROR(VLOOKUP($L571,OFFSET(missions!$A$2,0,0,COUNTA($A:$A),MATCH(M$1,missions!$2:$2,0)-MATCH("mission_id",missions!$2:$2,0)+1),MATCH(M$1,missions!$2:$2,0)-MATCH("mission_id",missions!$2:$2,0)+1,FALSE),"")</f>
        <v/>
      </c>
      <c r="N569" s="26" t="str">
        <f ca="1">IFERROR(VLOOKUP($L571,OFFSET(missions!$A$2,0,0,COUNTA($A:$A),MATCH(N$1,missions!$2:$2,0)-MATCH("mission_id",missions!$2:$2,0)+1),MATCH(N$1,missions!$2:$2,0)-MATCH("mission_id",missions!$2:$2,0)+1,FALSE),"")</f>
        <v/>
      </c>
    </row>
    <row r="570" spans="1:14" ht="21" customHeight="1" x14ac:dyDescent="0.15">
      <c r="A570" s="2" t="s">
        <v>178</v>
      </c>
      <c r="B570" s="21" t="s">
        <v>792</v>
      </c>
      <c r="C570" s="26" t="str">
        <f t="shared" ca="1" si="64"/>
        <v>通算 940 日ログインしよう！</v>
      </c>
      <c r="D570" s="26" t="str">
        <f ca="1">IFERROR(VLOOKUP($A570,OFFSET(achievement_criterion_id,0,0,COUNTA($A:$A),MATCH(D$1,missions!$2:$2,0)-MATCH($A$1,missions!$2:$2,0)+1),MATCH(D$1,missions!$2:$2,0)-MATCH($A$1,missions!$2:$2,0)+1,FALSE),IFERROR(VLOOKUP($A570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70" s="27" t="s">
        <v>864</v>
      </c>
      <c r="F570" s="17" t="s">
        <v>18</v>
      </c>
      <c r="G570" s="26" t="str">
        <f ca="1">VLOOKUP($F570,OFFSET(達成条件!$A$1,0,0,COUNTA($A:$A),MATCH(G$1,達成条件!$1:$1,0)-MATCH($F$1,達成条件!$1:$1,0)+1),MATCH(G$1,達成条件!$1:$1,0)-MATCH($F$1,達成条件!$1:$1,0)+1,FALSE)</f>
        <v>通算 x 日ログインしよう！</v>
      </c>
      <c r="H570" s="26" t="str">
        <f ca="1">VLOOKUP($F570,OFFSET(達成条件!$A$1,0,0,COUNTA($A:$A),MATCH(H$1,達成条件!$1:$1,0)-MATCH($F$1,達成条件!$1:$1,0)+1),MATCH(H$1,達成条件!$1:$1,0)-MATCH($F$1,達成条件!$1:$1,0)+1,FALSE)</f>
        <v>ログイン回数</v>
      </c>
      <c r="I570" s="56">
        <v>940</v>
      </c>
      <c r="J570" s="54" t="str">
        <f ca="1">IF(F570="specific_unit_aquired_count",SUBSTITUTE(G570,"x",VLOOKUP(INT($I570),OFFSET([3]characters!$A$2,0,0,COUNTA([3]characters!$A:$A),MATCH(J$1,[3]characters!$2:$2,0)-MATCH("character_id",[3]characters!$2:$2,0)+1),MATCH(J$1,[3]characters!$2:$2,0)-MATCH("character_id",[3]characters!$2:$2,0)+1,FALSE)),IF(F570="specific_quest_clear",VLOOKUP(SUBSTITUTE(I570,"-","_"),OFFSET([2]stages!$A$2,0,0,COUNTA([2]stages!$A:$A),MATCH("name",[2]stages!$2:$2,0)-MATCH("temp_stage",[2]stages!$2:$2,0)+1),MATCH("name",[2]stages!$2:$2,0)-MATCH("temp_stage",[2]stages!$2:$2,0)+1,FALSE),""))</f>
        <v/>
      </c>
      <c r="K570" s="15">
        <v>1</v>
      </c>
      <c r="L570" s="15">
        <f t="shared" si="63"/>
        <v>6101</v>
      </c>
      <c r="M570" s="26" t="str">
        <f ca="1">IFERROR(VLOOKUP($L572,OFFSET(missions!$A$2,0,0,COUNTA($A:$A),MATCH(M$1,missions!$2:$2,0)-MATCH("mission_id",missions!$2:$2,0)+1),MATCH(M$1,missions!$2:$2,0)-MATCH("mission_id",missions!$2:$2,0)+1,FALSE),"")</f>
        <v/>
      </c>
      <c r="N570" s="26" t="str">
        <f ca="1">IFERROR(VLOOKUP($L572,OFFSET(missions!$A$2,0,0,COUNTA($A:$A),MATCH(N$1,missions!$2:$2,0)-MATCH("mission_id",missions!$2:$2,0)+1),MATCH(N$1,missions!$2:$2,0)-MATCH("mission_id",missions!$2:$2,0)+1,FALSE),"")</f>
        <v/>
      </c>
    </row>
    <row r="571" spans="1:14" ht="21" customHeight="1" x14ac:dyDescent="0.15">
      <c r="A571" s="2" t="s">
        <v>179</v>
      </c>
      <c r="B571" s="21" t="s">
        <v>792</v>
      </c>
      <c r="C571" s="26" t="str">
        <f t="shared" ca="1" si="64"/>
        <v>通算 950 日ログインしよう！</v>
      </c>
      <c r="D571" s="26" t="str">
        <f ca="1">IFERROR(VLOOKUP($A571,OFFSET(achievement_criterion_id,0,0,COUNTA($A:$A),MATCH(D$1,missions!$2:$2,0)-MATCH($A$1,missions!$2:$2,0)+1),MATCH(D$1,missions!$2:$2,0)-MATCH($A$1,missions!$2:$2,0)+1,FALSE),IFERROR(VLOOKUP($A571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571" s="27" t="s">
        <v>864</v>
      </c>
      <c r="F571" s="17" t="s">
        <v>18</v>
      </c>
      <c r="G571" s="26" t="str">
        <f ca="1">VLOOKUP($F571,OFFSET(達成条件!$A$1,0,0,COUNTA($A:$A),MATCH(G$1,達成条件!$1:$1,0)-MATCH($F$1,達成条件!$1:$1,0)+1),MATCH(G$1,達成条件!$1:$1,0)-MATCH($F$1,達成条件!$1:$1,0)+1,FALSE)</f>
        <v>通算 x 日ログインしよう！</v>
      </c>
      <c r="H571" s="26" t="str">
        <f ca="1">VLOOKUP($F571,OFFSET(達成条件!$A$1,0,0,COUNTA($A:$A),MATCH(H$1,達成条件!$1:$1,0)-MATCH($F$1,達成条件!$1:$1,0)+1),MATCH(H$1,達成条件!$1:$1,0)-MATCH($F$1,達成条件!$1:$1,0)+1,FALSE)</f>
        <v>ログイン回数</v>
      </c>
      <c r="I571" s="56">
        <v>950</v>
      </c>
      <c r="J571" s="54" t="str">
        <f ca="1">IF(F571="specific_unit_aquired_count",SUBSTITUTE(G571,"x",VLOOKUP(INT($I571),OFFSET([3]characters!$A$2,0,0,COUNTA([3]characters!$A:$A),MATCH(J$1,[3]characters!$2:$2,0)-MATCH("character_id",[3]characters!$2:$2,0)+1),MATCH(J$1,[3]characters!$2:$2,0)-MATCH("character_id",[3]characters!$2:$2,0)+1,FALSE)),IF(F571="specific_quest_clear",VLOOKUP(SUBSTITUTE(I571,"-","_"),OFFSET([2]stages!$A$2,0,0,COUNTA([2]stages!$A:$A),MATCH("name",[2]stages!$2:$2,0)-MATCH("temp_stage",[2]stages!$2:$2,0)+1),MATCH("name",[2]stages!$2:$2,0)-MATCH("temp_stage",[2]stages!$2:$2,0)+1,FALSE),""))</f>
        <v/>
      </c>
      <c r="K571" s="15">
        <v>1</v>
      </c>
      <c r="L571" s="15">
        <f t="shared" si="63"/>
        <v>6102</v>
      </c>
      <c r="M571" s="26" t="str">
        <f ca="1">IFERROR(VLOOKUP($L573,OFFSET(missions!$A$2,0,0,COUNTA($A:$A),MATCH(M$1,missions!$2:$2,0)-MATCH("mission_id",missions!$2:$2,0)+1),MATCH(M$1,missions!$2:$2,0)-MATCH("mission_id",missions!$2:$2,0)+1,FALSE),"")</f>
        <v/>
      </c>
      <c r="N571" s="26" t="str">
        <f ca="1">IFERROR(VLOOKUP($L573,OFFSET(missions!$A$2,0,0,COUNTA($A:$A),MATCH(N$1,missions!$2:$2,0)-MATCH("mission_id",missions!$2:$2,0)+1),MATCH(N$1,missions!$2:$2,0)-MATCH("mission_id",missions!$2:$2,0)+1,FALSE),"")</f>
        <v/>
      </c>
    </row>
    <row r="572" spans="1:14" ht="21" customHeight="1" x14ac:dyDescent="0.15">
      <c r="A572" s="2" t="s">
        <v>180</v>
      </c>
      <c r="B572" s="21" t="s">
        <v>792</v>
      </c>
      <c r="C572" s="26" t="str">
        <f t="shared" ca="1" si="64"/>
        <v>通算 960 日ログインしよう！</v>
      </c>
      <c r="D572" s="26" t="str">
        <f ca="1">IFERROR(VLOOKUP($A572,OFFSET(achievement_criterion_id,0,0,COUNTA($A:$A),MATCH(D$1,missions!$2:$2,0)-MATCH($A$1,missions!$2:$2,0)+1),MATCH(D$1,missions!$2:$2,0)-MATCH($A$1,missions!$2:$2,0)+1,FALSE),IFERROR(VLOOKUP($A572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72" s="27" t="s">
        <v>864</v>
      </c>
      <c r="F572" s="17" t="s">
        <v>18</v>
      </c>
      <c r="G572" s="26" t="str">
        <f ca="1">VLOOKUP($F572,OFFSET(達成条件!$A$1,0,0,COUNTA($A:$A),MATCH(G$1,達成条件!$1:$1,0)-MATCH($F$1,達成条件!$1:$1,0)+1),MATCH(G$1,達成条件!$1:$1,0)-MATCH($F$1,達成条件!$1:$1,0)+1,FALSE)</f>
        <v>通算 x 日ログインしよう！</v>
      </c>
      <c r="H572" s="26" t="str">
        <f ca="1">VLOOKUP($F572,OFFSET(達成条件!$A$1,0,0,COUNTA($A:$A),MATCH(H$1,達成条件!$1:$1,0)-MATCH($F$1,達成条件!$1:$1,0)+1),MATCH(H$1,達成条件!$1:$1,0)-MATCH($F$1,達成条件!$1:$1,0)+1,FALSE)</f>
        <v>ログイン回数</v>
      </c>
      <c r="I572" s="56">
        <v>960</v>
      </c>
      <c r="J572" s="54" t="str">
        <f ca="1">IF(F572="specific_unit_aquired_count",SUBSTITUTE(G572,"x",VLOOKUP(INT($I572),OFFSET([3]characters!$A$2,0,0,COUNTA([3]characters!$A:$A),MATCH(J$1,[3]characters!$2:$2,0)-MATCH("character_id",[3]characters!$2:$2,0)+1),MATCH(J$1,[3]characters!$2:$2,0)-MATCH("character_id",[3]characters!$2:$2,0)+1,FALSE)),IF(F572="specific_quest_clear",VLOOKUP(SUBSTITUTE(I572,"-","_"),OFFSET([2]stages!$A$2,0,0,COUNTA([2]stages!$A:$A),MATCH("name",[2]stages!$2:$2,0)-MATCH("temp_stage",[2]stages!$2:$2,0)+1),MATCH("name",[2]stages!$2:$2,0)-MATCH("temp_stage",[2]stages!$2:$2,0)+1,FALSE),""))</f>
        <v/>
      </c>
      <c r="K572" s="15">
        <v>1</v>
      </c>
      <c r="L572" s="15">
        <f t="shared" si="63"/>
        <v>6103</v>
      </c>
      <c r="M572" s="26" t="str">
        <f ca="1">IFERROR(VLOOKUP($L574,OFFSET(missions!$A$2,0,0,COUNTA($A:$A),MATCH(M$1,missions!$2:$2,0)-MATCH("mission_id",missions!$2:$2,0)+1),MATCH(M$1,missions!$2:$2,0)-MATCH("mission_id",missions!$2:$2,0)+1,FALSE),"")</f>
        <v/>
      </c>
      <c r="N572" s="26" t="str">
        <f ca="1">IFERROR(VLOOKUP($L574,OFFSET(missions!$A$2,0,0,COUNTA($A:$A),MATCH(N$1,missions!$2:$2,0)-MATCH("mission_id",missions!$2:$2,0)+1),MATCH(N$1,missions!$2:$2,0)-MATCH("mission_id",missions!$2:$2,0)+1,FALSE),"")</f>
        <v/>
      </c>
    </row>
    <row r="573" spans="1:14" ht="21" customHeight="1" x14ac:dyDescent="0.15">
      <c r="A573" s="2" t="s">
        <v>181</v>
      </c>
      <c r="B573" s="21" t="s">
        <v>792</v>
      </c>
      <c r="C573" s="26" t="str">
        <f t="shared" ca="1" si="64"/>
        <v>通算 970 日ログインしよう！</v>
      </c>
      <c r="D573" s="26" t="str">
        <f ca="1">IFERROR(VLOOKUP($A573,OFFSET(achievement_criterion_id,0,0,COUNTA($A:$A),MATCH(D$1,missions!$2:$2,0)-MATCH($A$1,missions!$2:$2,0)+1),MATCH(D$1,missions!$2:$2,0)-MATCH($A$1,missions!$2:$2,0)+1,FALSE),IFERROR(VLOOKUP($A573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73" s="27" t="s">
        <v>864</v>
      </c>
      <c r="F573" s="17" t="s">
        <v>18</v>
      </c>
      <c r="G573" s="26" t="str">
        <f ca="1">VLOOKUP($F573,OFFSET(達成条件!$A$1,0,0,COUNTA($A:$A),MATCH(G$1,達成条件!$1:$1,0)-MATCH($F$1,達成条件!$1:$1,0)+1),MATCH(G$1,達成条件!$1:$1,0)-MATCH($F$1,達成条件!$1:$1,0)+1,FALSE)</f>
        <v>通算 x 日ログインしよう！</v>
      </c>
      <c r="H573" s="26" t="str">
        <f ca="1">VLOOKUP($F573,OFFSET(達成条件!$A$1,0,0,COUNTA($A:$A),MATCH(H$1,達成条件!$1:$1,0)-MATCH($F$1,達成条件!$1:$1,0)+1),MATCH(H$1,達成条件!$1:$1,0)-MATCH($F$1,達成条件!$1:$1,0)+1,FALSE)</f>
        <v>ログイン回数</v>
      </c>
      <c r="I573" s="56">
        <v>970</v>
      </c>
      <c r="J573" s="54" t="str">
        <f ca="1">IF(F573="specific_unit_aquired_count",SUBSTITUTE(G573,"x",VLOOKUP(INT($I573),OFFSET([3]characters!$A$2,0,0,COUNTA([3]characters!$A:$A),MATCH(J$1,[3]characters!$2:$2,0)-MATCH("character_id",[3]characters!$2:$2,0)+1),MATCH(J$1,[3]characters!$2:$2,0)-MATCH("character_id",[3]characters!$2:$2,0)+1,FALSE)),IF(F573="specific_quest_clear",VLOOKUP(SUBSTITUTE(I573,"-","_"),OFFSET([2]stages!$A$2,0,0,COUNTA([2]stages!$A:$A),MATCH("name",[2]stages!$2:$2,0)-MATCH("temp_stage",[2]stages!$2:$2,0)+1),MATCH("name",[2]stages!$2:$2,0)-MATCH("temp_stage",[2]stages!$2:$2,0)+1,FALSE),""))</f>
        <v/>
      </c>
      <c r="K573" s="15">
        <v>1</v>
      </c>
      <c r="L573" s="15">
        <f t="shared" si="63"/>
        <v>6104</v>
      </c>
      <c r="M573" s="26" t="str">
        <f ca="1">IFERROR(VLOOKUP($L575,OFFSET(missions!$A$2,0,0,COUNTA($A:$A),MATCH(M$1,missions!$2:$2,0)-MATCH("mission_id",missions!$2:$2,0)+1),MATCH(M$1,missions!$2:$2,0)-MATCH("mission_id",missions!$2:$2,0)+1,FALSE),"")</f>
        <v>通算 1000 日ログインしよう！</v>
      </c>
      <c r="N573" s="26" t="str">
        <f ca="1">IFERROR(VLOOKUP($L575,OFFSET(missions!$A$2,0,0,COUNTA($A:$A),MATCH(N$1,missions!$2:$2,0)-MATCH("mission_id",missions!$2:$2,0)+1),MATCH(N$1,missions!$2:$2,0)-MATCH("mission_id",missions!$2:$2,0)+1,FALSE),"")</f>
        <v>ポリゴン x 50</v>
      </c>
    </row>
    <row r="574" spans="1:14" ht="21" customHeight="1" x14ac:dyDescent="0.15">
      <c r="A574" s="2" t="s">
        <v>182</v>
      </c>
      <c r="B574" s="21" t="s">
        <v>792</v>
      </c>
      <c r="C574" s="26" t="str">
        <f t="shared" ca="1" si="64"/>
        <v>通算 980 日ログインしよう！</v>
      </c>
      <c r="D574" s="26" t="str">
        <f ca="1">IFERROR(VLOOKUP($A574,OFFSET(achievement_criterion_id,0,0,COUNTA($A:$A),MATCH(D$1,missions!$2:$2,0)-MATCH($A$1,missions!$2:$2,0)+1),MATCH(D$1,missions!$2:$2,0)-MATCH($A$1,missions!$2:$2,0)+1,FALSE),IFERROR(VLOOKUP($A574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74" s="27" t="s">
        <v>864</v>
      </c>
      <c r="F574" s="17" t="s">
        <v>18</v>
      </c>
      <c r="G574" s="26" t="str">
        <f ca="1">VLOOKUP($F574,OFFSET(達成条件!$A$1,0,0,COUNTA($A:$A),MATCH(G$1,達成条件!$1:$1,0)-MATCH($F$1,達成条件!$1:$1,0)+1),MATCH(G$1,達成条件!$1:$1,0)-MATCH($F$1,達成条件!$1:$1,0)+1,FALSE)</f>
        <v>通算 x 日ログインしよう！</v>
      </c>
      <c r="H574" s="26" t="str">
        <f ca="1">VLOOKUP($F574,OFFSET(達成条件!$A$1,0,0,COUNTA($A:$A),MATCH(H$1,達成条件!$1:$1,0)-MATCH($F$1,達成条件!$1:$1,0)+1),MATCH(H$1,達成条件!$1:$1,0)-MATCH($F$1,達成条件!$1:$1,0)+1,FALSE)</f>
        <v>ログイン回数</v>
      </c>
      <c r="I574" s="56">
        <v>980</v>
      </c>
      <c r="J574" s="54" t="str">
        <f ca="1">IF(F574="specific_unit_aquired_count",SUBSTITUTE(G574,"x",VLOOKUP(INT($I574),OFFSET([3]characters!$A$2,0,0,COUNTA([3]characters!$A:$A),MATCH(J$1,[3]characters!$2:$2,0)-MATCH("character_id",[3]characters!$2:$2,0)+1),MATCH(J$1,[3]characters!$2:$2,0)-MATCH("character_id",[3]characters!$2:$2,0)+1,FALSE)),IF(F574="specific_quest_clear",VLOOKUP(SUBSTITUTE(I574,"-","_"),OFFSET([2]stages!$A$2,0,0,COUNTA([2]stages!$A:$A),MATCH("name",[2]stages!$2:$2,0)-MATCH("temp_stage",[2]stages!$2:$2,0)+1),MATCH("name",[2]stages!$2:$2,0)-MATCH("temp_stage",[2]stages!$2:$2,0)+1,FALSE),""))</f>
        <v/>
      </c>
      <c r="K574" s="15">
        <v>1</v>
      </c>
      <c r="L574" s="15">
        <f t="shared" si="63"/>
        <v>6105</v>
      </c>
      <c r="M574" s="26" t="str">
        <f ca="1">IFERROR(VLOOKUP($L576,OFFSET(missions!$A$2,0,0,COUNTA($A:$A),MATCH(M$1,missions!$2:$2,0)-MATCH("mission_id",missions!$2:$2,0)+1),MATCH(M$1,missions!$2:$2,0)-MATCH("mission_id",missions!$2:$2,0)+1,FALSE),"")</f>
        <v/>
      </c>
      <c r="N574" s="26" t="str">
        <f ca="1">IFERROR(VLOOKUP($L576,OFFSET(missions!$A$2,0,0,COUNTA($A:$A),MATCH(N$1,missions!$2:$2,0)-MATCH("mission_id",missions!$2:$2,0)+1),MATCH(N$1,missions!$2:$2,0)-MATCH("mission_id",missions!$2:$2,0)+1,FALSE),"")</f>
        <v/>
      </c>
    </row>
    <row r="575" spans="1:14" ht="21" customHeight="1" x14ac:dyDescent="0.15">
      <c r="A575" s="2" t="s">
        <v>183</v>
      </c>
      <c r="B575" s="21" t="s">
        <v>792</v>
      </c>
      <c r="C575" s="26" t="str">
        <f t="shared" ca="1" si="64"/>
        <v>通算 990 日ログインしよう！</v>
      </c>
      <c r="D575" s="26" t="str">
        <f ca="1">IFERROR(VLOOKUP($A575,OFFSET(achievement_criterion_id,0,0,COUNTA($A:$A),MATCH(D$1,missions!$2:$2,0)-MATCH($A$1,missions!$2:$2,0)+1),MATCH(D$1,missions!$2:$2,0)-MATCH($A$1,missions!$2:$2,0)+1,FALSE),IFERROR(VLOOKUP($A575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75" s="27" t="s">
        <v>864</v>
      </c>
      <c r="F575" s="17" t="s">
        <v>18</v>
      </c>
      <c r="G575" s="26" t="str">
        <f ca="1">VLOOKUP($F575,OFFSET(達成条件!$A$1,0,0,COUNTA($A:$A),MATCH(G$1,達成条件!$1:$1,0)-MATCH($F$1,達成条件!$1:$1,0)+1),MATCH(G$1,達成条件!$1:$1,0)-MATCH($F$1,達成条件!$1:$1,0)+1,FALSE)</f>
        <v>通算 x 日ログインしよう！</v>
      </c>
      <c r="H575" s="26" t="str">
        <f ca="1">VLOOKUP($F575,OFFSET(達成条件!$A$1,0,0,COUNTA($A:$A),MATCH(H$1,達成条件!$1:$1,0)-MATCH($F$1,達成条件!$1:$1,0)+1),MATCH(H$1,達成条件!$1:$1,0)-MATCH($F$1,達成条件!$1:$1,0)+1,FALSE)</f>
        <v>ログイン回数</v>
      </c>
      <c r="I575" s="56">
        <v>990</v>
      </c>
      <c r="J575" s="54" t="str">
        <f ca="1">IF(F575="specific_unit_aquired_count",SUBSTITUTE(G575,"x",VLOOKUP(INT($I575),OFFSET([3]characters!$A$2,0,0,COUNTA([3]characters!$A:$A),MATCH(J$1,[3]characters!$2:$2,0)-MATCH("character_id",[3]characters!$2:$2,0)+1),MATCH(J$1,[3]characters!$2:$2,0)-MATCH("character_id",[3]characters!$2:$2,0)+1,FALSE)),IF(F575="specific_quest_clear",VLOOKUP(SUBSTITUTE(I575,"-","_"),OFFSET([2]stages!$A$2,0,0,COUNTA([2]stages!$A:$A),MATCH("name",[2]stages!$2:$2,0)-MATCH("temp_stage",[2]stages!$2:$2,0)+1),MATCH("name",[2]stages!$2:$2,0)-MATCH("temp_stage",[2]stages!$2:$2,0)+1,FALSE),""))</f>
        <v/>
      </c>
      <c r="K575" s="15">
        <v>1</v>
      </c>
      <c r="L575" s="15">
        <f t="shared" si="63"/>
        <v>6106</v>
      </c>
      <c r="M575" s="26" t="str">
        <f ca="1">IFERROR(VLOOKUP($L577,OFFSET(missions!$A$2,0,0,COUNTA($A:$A),MATCH(M$1,missions!$2:$2,0)-MATCH("mission_id",missions!$2:$2,0)+1),MATCH(M$1,missions!$2:$2,0)-MATCH("mission_id",missions!$2:$2,0)+1,FALSE),"")</f>
        <v/>
      </c>
      <c r="N575" s="26" t="str">
        <f ca="1">IFERROR(VLOOKUP($L577,OFFSET(missions!$A$2,0,0,COUNTA($A:$A),MATCH(N$1,missions!$2:$2,0)-MATCH("mission_id",missions!$2:$2,0)+1),MATCH(N$1,missions!$2:$2,0)-MATCH("mission_id",missions!$2:$2,0)+1,FALSE),"")</f>
        <v/>
      </c>
    </row>
    <row r="576" spans="1:14" ht="21" customHeight="1" x14ac:dyDescent="0.15">
      <c r="A576" s="2" t="s">
        <v>184</v>
      </c>
      <c r="B576" s="21" t="s">
        <v>792</v>
      </c>
      <c r="C576" s="26" t="str">
        <f t="shared" ca="1" si="64"/>
        <v>通算 1000 日ログインしよう！</v>
      </c>
      <c r="D576" s="26" t="str">
        <f ca="1">IFERROR(VLOOKUP($A576,OFFSET(achievement_criterion_id,0,0,COUNTA($A:$A),MATCH(D$1,missions!$2:$2,0)-MATCH($A$1,missions!$2:$2,0)+1),MATCH(D$1,missions!$2:$2,0)-MATCH($A$1,missions!$2:$2,0)+1,FALSE),IFERROR(VLOOKUP($A576,OFFSET(weekly_achievement_criterion_id,0,0,COUNTA($A:$A),MATCH(D$1,weekly_missions!$2:$2,0)-MATCH($A$1,weekly_missions!$2:$2,0)+1),MATCH(D$1,weekly_missions!$2:$2,0)-MATCH($A$1,weekly_missions!$2:$2,0)+1,FALSE),"＊missions 未設定＊"))</f>
        <v>ポリゴン x 50</v>
      </c>
      <c r="E576" s="27" t="s">
        <v>926</v>
      </c>
      <c r="F576" s="17" t="s">
        <v>927</v>
      </c>
      <c r="G576" s="26" t="str">
        <f ca="1">VLOOKUP($F576,OFFSET(達成条件!$A$1,0,0,COUNTA($A:$A),MATCH(G$1,達成条件!$1:$1,0)-MATCH($F$1,達成条件!$1:$1,0)+1),MATCH(G$1,達成条件!$1:$1,0)-MATCH($F$1,達成条件!$1:$1,0)+1,FALSE)</f>
        <v>通算 x 日ログインしよう！</v>
      </c>
      <c r="H576" s="26" t="str">
        <f ca="1">VLOOKUP($F576,OFFSET(達成条件!$A$1,0,0,COUNTA($A:$A),MATCH(H$1,達成条件!$1:$1,0)-MATCH($F$1,達成条件!$1:$1,0)+1),MATCH(H$1,達成条件!$1:$1,0)-MATCH($F$1,達成条件!$1:$1,0)+1,FALSE)</f>
        <v>ログイン回数</v>
      </c>
      <c r="I576" s="56">
        <v>1000</v>
      </c>
      <c r="J576" s="54" t="str">
        <f ca="1">IF(F576="specific_unit_aquired_count",SUBSTITUTE(G576,"x",VLOOKUP(INT($I576),OFFSET([3]characters!$A$2,0,0,COUNTA([3]characters!$A:$A),MATCH(J$1,[3]characters!$2:$2,0)-MATCH("character_id",[3]characters!$2:$2,0)+1),MATCH(J$1,[3]characters!$2:$2,0)-MATCH("character_id",[3]characters!$2:$2,0)+1,FALSE)),IF(F576="specific_quest_clear",VLOOKUP(SUBSTITUTE(I576,"-","_"),OFFSET([2]stages!$A$2,0,0,COUNTA([2]stages!$A:$A),MATCH("name",[2]stages!$2:$2,0)-MATCH("temp_stage",[2]stages!$2:$2,0)+1),MATCH("name",[2]stages!$2:$2,0)-MATCH("temp_stage",[2]stages!$2:$2,0)+1,FALSE),""))</f>
        <v/>
      </c>
      <c r="K576" s="15">
        <v>1</v>
      </c>
      <c r="L576" s="15">
        <f t="shared" si="63"/>
        <v>6107</v>
      </c>
      <c r="M576" s="26" t="str">
        <f ca="1">IFERROR(VLOOKUP($L578,OFFSET(missions!$A$2,0,0,COUNTA($A:$A),MATCH(M$1,missions!$2:$2,0)-MATCH("mission_id",missions!$2:$2,0)+1),MATCH(M$1,missions!$2:$2,0)-MATCH("mission_id",missions!$2:$2,0)+1,FALSE),"")</f>
        <v/>
      </c>
      <c r="N576" s="26" t="str">
        <f ca="1">IFERROR(VLOOKUP($L578,OFFSET(missions!$A$2,0,0,COUNTA($A:$A),MATCH(N$1,missions!$2:$2,0)-MATCH("mission_id",missions!$2:$2,0)+1),MATCH(N$1,missions!$2:$2,0)-MATCH("mission_id",missions!$2:$2,0)+1,FALSE),"")</f>
        <v/>
      </c>
    </row>
    <row r="577" spans="1:14" ht="21" customHeight="1" x14ac:dyDescent="0.15">
      <c r="A577" s="2" t="s">
        <v>185</v>
      </c>
      <c r="B577" s="21" t="s">
        <v>792</v>
      </c>
      <c r="C577" s="26" t="str">
        <f t="shared" ca="1" si="64"/>
        <v>通算 1010 日ログインしよう！</v>
      </c>
      <c r="D577" s="26" t="str">
        <f ca="1">IFERROR(VLOOKUP($A577,OFFSET(achievement_criterion_id,0,0,COUNTA($A:$A),MATCH(D$1,missions!$2:$2,0)-MATCH($A$1,missions!$2:$2,0)+1),MATCH(D$1,missions!$2:$2,0)-MATCH($A$1,missions!$2:$2,0)+1,FALSE),IFERROR(VLOOKUP($A577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77" s="27" t="s">
        <v>864</v>
      </c>
      <c r="F577" s="17" t="s">
        <v>18</v>
      </c>
      <c r="G577" s="26" t="str">
        <f ca="1">VLOOKUP($F577,OFFSET(達成条件!$A$1,0,0,COUNTA($A:$A),MATCH(G$1,達成条件!$1:$1,0)-MATCH($F$1,達成条件!$1:$1,0)+1),MATCH(G$1,達成条件!$1:$1,0)-MATCH($F$1,達成条件!$1:$1,0)+1,FALSE)</f>
        <v>通算 x 日ログインしよう！</v>
      </c>
      <c r="H577" s="26" t="str">
        <f ca="1">VLOOKUP($F577,OFFSET(達成条件!$A$1,0,0,COUNTA($A:$A),MATCH(H$1,達成条件!$1:$1,0)-MATCH($F$1,達成条件!$1:$1,0)+1),MATCH(H$1,達成条件!$1:$1,0)-MATCH($F$1,達成条件!$1:$1,0)+1,FALSE)</f>
        <v>ログイン回数</v>
      </c>
      <c r="I577" s="56">
        <v>1010</v>
      </c>
      <c r="J577" s="54" t="str">
        <f ca="1">IF(F577="specific_unit_aquired_count",SUBSTITUTE(G577,"x",VLOOKUP(INT($I577),OFFSET([3]characters!$A$2,0,0,COUNTA([3]characters!$A:$A),MATCH(J$1,[3]characters!$2:$2,0)-MATCH("character_id",[3]characters!$2:$2,0)+1),MATCH(J$1,[3]characters!$2:$2,0)-MATCH("character_id",[3]characters!$2:$2,0)+1,FALSE)),IF(F577="specific_quest_clear",VLOOKUP(SUBSTITUTE(I577,"-","_"),OFFSET([2]stages!$A$2,0,0,COUNTA([2]stages!$A:$A),MATCH("name",[2]stages!$2:$2,0)-MATCH("temp_stage",[2]stages!$2:$2,0)+1),MATCH("name",[2]stages!$2:$2,0)-MATCH("temp_stage",[2]stages!$2:$2,0)+1,FALSE),""))</f>
        <v/>
      </c>
      <c r="K577" s="15">
        <v>1</v>
      </c>
      <c r="L577" s="15">
        <f t="shared" si="63"/>
        <v>6108</v>
      </c>
      <c r="M577" s="26" t="str">
        <f ca="1">IFERROR(VLOOKUP($L579,OFFSET(missions!$A$2,0,0,COUNTA($A:$A),MATCH(M$1,missions!$2:$2,0)-MATCH("mission_id",missions!$2:$2,0)+1),MATCH(M$1,missions!$2:$2,0)-MATCH("mission_id",missions!$2:$2,0)+1,FALSE),"")</f>
        <v/>
      </c>
      <c r="N577" s="26" t="str">
        <f ca="1">IFERROR(VLOOKUP($L579,OFFSET(missions!$A$2,0,0,COUNTA($A:$A),MATCH(N$1,missions!$2:$2,0)-MATCH("mission_id",missions!$2:$2,0)+1),MATCH(N$1,missions!$2:$2,0)-MATCH("mission_id",missions!$2:$2,0)+1,FALSE),"")</f>
        <v/>
      </c>
    </row>
    <row r="578" spans="1:14" ht="21" customHeight="1" x14ac:dyDescent="0.15">
      <c r="A578" s="2" t="s">
        <v>186</v>
      </c>
      <c r="B578" s="21" t="s">
        <v>792</v>
      </c>
      <c r="C578" s="26" t="str">
        <f t="shared" ca="1" si="64"/>
        <v>通算 1020 日ログインしよう！</v>
      </c>
      <c r="D578" s="26" t="str">
        <f ca="1">IFERROR(VLOOKUP($A578,OFFSET(achievement_criterion_id,0,0,COUNTA($A:$A),MATCH(D$1,missions!$2:$2,0)-MATCH($A$1,missions!$2:$2,0)+1),MATCH(D$1,missions!$2:$2,0)-MATCH($A$1,missions!$2:$2,0)+1,FALSE),IFERROR(VLOOKUP($A578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78" s="27" t="s">
        <v>864</v>
      </c>
      <c r="F578" s="17" t="s">
        <v>18</v>
      </c>
      <c r="G578" s="26" t="str">
        <f ca="1">VLOOKUP($F578,OFFSET(達成条件!$A$1,0,0,COUNTA($A:$A),MATCH(G$1,達成条件!$1:$1,0)-MATCH($F$1,達成条件!$1:$1,0)+1),MATCH(G$1,達成条件!$1:$1,0)-MATCH($F$1,達成条件!$1:$1,0)+1,FALSE)</f>
        <v>通算 x 日ログインしよう！</v>
      </c>
      <c r="H578" s="26" t="str">
        <f ca="1">VLOOKUP($F578,OFFSET(達成条件!$A$1,0,0,COUNTA($A:$A),MATCH(H$1,達成条件!$1:$1,0)-MATCH($F$1,達成条件!$1:$1,0)+1),MATCH(H$1,達成条件!$1:$1,0)-MATCH($F$1,達成条件!$1:$1,0)+1,FALSE)</f>
        <v>ログイン回数</v>
      </c>
      <c r="I578" s="56">
        <v>1020</v>
      </c>
      <c r="J578" s="54" t="str">
        <f ca="1">IF(F578="specific_unit_aquired_count",SUBSTITUTE(G578,"x",VLOOKUP(INT($I578),OFFSET([3]characters!$A$2,0,0,COUNTA([3]characters!$A:$A),MATCH(J$1,[3]characters!$2:$2,0)-MATCH("character_id",[3]characters!$2:$2,0)+1),MATCH(J$1,[3]characters!$2:$2,0)-MATCH("character_id",[3]characters!$2:$2,0)+1,FALSE)),IF(F578="specific_quest_clear",VLOOKUP(SUBSTITUTE(I578,"-","_"),OFFSET([2]stages!$A$2,0,0,COUNTA([2]stages!$A:$A),MATCH("name",[2]stages!$2:$2,0)-MATCH("temp_stage",[2]stages!$2:$2,0)+1),MATCH("name",[2]stages!$2:$2,0)-MATCH("temp_stage",[2]stages!$2:$2,0)+1,FALSE),""))</f>
        <v/>
      </c>
      <c r="K578" s="15">
        <v>1</v>
      </c>
      <c r="L578" s="15">
        <f t="shared" si="63"/>
        <v>6109</v>
      </c>
      <c r="M578" s="26" t="str">
        <f ca="1">IFERROR(VLOOKUP($L580,OFFSET(missions!$A$2,0,0,COUNTA($A:$A),MATCH(M$1,missions!$2:$2,0)-MATCH("mission_id",missions!$2:$2,0)+1),MATCH(M$1,missions!$2:$2,0)-MATCH("mission_id",missions!$2:$2,0)+1,FALSE),"")</f>
        <v>通算 1050 日ログインしよう！</v>
      </c>
      <c r="N578" s="26" t="str">
        <f ca="1">IFERROR(VLOOKUP($L580,OFFSET(missions!$A$2,0,0,COUNTA($A:$A),MATCH(N$1,missions!$2:$2,0)-MATCH("mission_id",missions!$2:$2,0)+1),MATCH(N$1,missions!$2:$2,0)-MATCH("mission_id",missions!$2:$2,0)+1,FALSE),"")</f>
        <v>ポリゴン x 10</v>
      </c>
    </row>
    <row r="579" spans="1:14" ht="21" customHeight="1" x14ac:dyDescent="0.15">
      <c r="A579" s="2" t="s">
        <v>187</v>
      </c>
      <c r="B579" s="21" t="s">
        <v>792</v>
      </c>
      <c r="C579" s="26" t="str">
        <f t="shared" ca="1" si="64"/>
        <v>通算 1030 日ログインしよう！</v>
      </c>
      <c r="D579" s="26" t="str">
        <f ca="1">IFERROR(VLOOKUP($A579,OFFSET(achievement_criterion_id,0,0,COUNTA($A:$A),MATCH(D$1,missions!$2:$2,0)-MATCH($A$1,missions!$2:$2,0)+1),MATCH(D$1,missions!$2:$2,0)-MATCH($A$1,missions!$2:$2,0)+1,FALSE),IFERROR(VLOOKUP($A579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79" s="27" t="s">
        <v>864</v>
      </c>
      <c r="F579" s="17" t="s">
        <v>18</v>
      </c>
      <c r="G579" s="26" t="str">
        <f ca="1">VLOOKUP($F579,OFFSET(達成条件!$A$1,0,0,COUNTA($A:$A),MATCH(G$1,達成条件!$1:$1,0)-MATCH($F$1,達成条件!$1:$1,0)+1),MATCH(G$1,達成条件!$1:$1,0)-MATCH($F$1,達成条件!$1:$1,0)+1,FALSE)</f>
        <v>通算 x 日ログインしよう！</v>
      </c>
      <c r="H579" s="26" t="str">
        <f ca="1">VLOOKUP($F579,OFFSET(達成条件!$A$1,0,0,COUNTA($A:$A),MATCH(H$1,達成条件!$1:$1,0)-MATCH($F$1,達成条件!$1:$1,0)+1),MATCH(H$1,達成条件!$1:$1,0)-MATCH($F$1,達成条件!$1:$1,0)+1,FALSE)</f>
        <v>ログイン回数</v>
      </c>
      <c r="I579" s="56">
        <v>1030</v>
      </c>
      <c r="J579" s="54" t="str">
        <f ca="1">IF(F579="specific_unit_aquired_count",SUBSTITUTE(G579,"x",VLOOKUP(INT($I579),OFFSET([3]characters!$A$2,0,0,COUNTA([3]characters!$A:$A),MATCH(J$1,[3]characters!$2:$2,0)-MATCH("character_id",[3]characters!$2:$2,0)+1),MATCH(J$1,[3]characters!$2:$2,0)-MATCH("character_id",[3]characters!$2:$2,0)+1,FALSE)),IF(F579="specific_quest_clear",VLOOKUP(SUBSTITUTE(I579,"-","_"),OFFSET([2]stages!$A$2,0,0,COUNTA([2]stages!$A:$A),MATCH("name",[2]stages!$2:$2,0)-MATCH("temp_stage",[2]stages!$2:$2,0)+1),MATCH("name",[2]stages!$2:$2,0)-MATCH("temp_stage",[2]stages!$2:$2,0)+1,FALSE),""))</f>
        <v/>
      </c>
      <c r="K579" s="15">
        <v>1</v>
      </c>
      <c r="L579" s="15">
        <f t="shared" si="63"/>
        <v>6110</v>
      </c>
      <c r="M579" s="26" t="str">
        <f ca="1">IFERROR(VLOOKUP($L581,OFFSET(missions!$A$2,0,0,COUNTA($A:$A),MATCH(M$1,missions!$2:$2,0)-MATCH("mission_id",missions!$2:$2,0)+1),MATCH(M$1,missions!$2:$2,0)-MATCH("mission_id",missions!$2:$2,0)+1,FALSE),"")</f>
        <v/>
      </c>
      <c r="N579" s="26" t="str">
        <f ca="1">IFERROR(VLOOKUP($L581,OFFSET(missions!$A$2,0,0,COUNTA($A:$A),MATCH(N$1,missions!$2:$2,0)-MATCH("mission_id",missions!$2:$2,0)+1),MATCH(N$1,missions!$2:$2,0)-MATCH("mission_id",missions!$2:$2,0)+1,FALSE),"")</f>
        <v/>
      </c>
    </row>
    <row r="580" spans="1:14" ht="21" customHeight="1" x14ac:dyDescent="0.15">
      <c r="A580" s="2" t="s">
        <v>188</v>
      </c>
      <c r="B580" s="21" t="s">
        <v>792</v>
      </c>
      <c r="C580" s="26" t="str">
        <f t="shared" ca="1" si="64"/>
        <v>通算 1040 日ログインしよう！</v>
      </c>
      <c r="D580" s="26" t="str">
        <f ca="1">IFERROR(VLOOKUP($A580,OFFSET(achievement_criterion_id,0,0,COUNTA($A:$A),MATCH(D$1,missions!$2:$2,0)-MATCH($A$1,missions!$2:$2,0)+1),MATCH(D$1,missions!$2:$2,0)-MATCH($A$1,missions!$2:$2,0)+1,FALSE),IFERROR(VLOOKUP($A580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80" s="27" t="s">
        <v>864</v>
      </c>
      <c r="F580" s="17" t="s">
        <v>18</v>
      </c>
      <c r="G580" s="26" t="str">
        <f ca="1">VLOOKUP($F580,OFFSET(達成条件!$A$1,0,0,COUNTA($A:$A),MATCH(G$1,達成条件!$1:$1,0)-MATCH($F$1,達成条件!$1:$1,0)+1),MATCH(G$1,達成条件!$1:$1,0)-MATCH($F$1,達成条件!$1:$1,0)+1,FALSE)</f>
        <v>通算 x 日ログインしよう！</v>
      </c>
      <c r="H580" s="26" t="str">
        <f ca="1">VLOOKUP($F580,OFFSET(達成条件!$A$1,0,0,COUNTA($A:$A),MATCH(H$1,達成条件!$1:$1,0)-MATCH($F$1,達成条件!$1:$1,0)+1),MATCH(H$1,達成条件!$1:$1,0)-MATCH($F$1,達成条件!$1:$1,0)+1,FALSE)</f>
        <v>ログイン回数</v>
      </c>
      <c r="I580" s="56">
        <v>1040</v>
      </c>
      <c r="J580" s="54" t="str">
        <f ca="1">IF(F580="specific_unit_aquired_count",SUBSTITUTE(G580,"x",VLOOKUP(INT($I580),OFFSET([3]characters!$A$2,0,0,COUNTA([3]characters!$A:$A),MATCH(J$1,[3]characters!$2:$2,0)-MATCH("character_id",[3]characters!$2:$2,0)+1),MATCH(J$1,[3]characters!$2:$2,0)-MATCH("character_id",[3]characters!$2:$2,0)+1,FALSE)),IF(F580="specific_quest_clear",VLOOKUP(SUBSTITUTE(I580,"-","_"),OFFSET([2]stages!$A$2,0,0,COUNTA([2]stages!$A:$A),MATCH("name",[2]stages!$2:$2,0)-MATCH("temp_stage",[2]stages!$2:$2,0)+1),MATCH("name",[2]stages!$2:$2,0)-MATCH("temp_stage",[2]stages!$2:$2,0)+1,FALSE),""))</f>
        <v/>
      </c>
      <c r="K580" s="15">
        <v>1</v>
      </c>
      <c r="L580" s="15">
        <f t="shared" ref="L580:L589" si="65">L579+1</f>
        <v>6111</v>
      </c>
      <c r="M580" s="26" t="str">
        <f ca="1">IFERROR(VLOOKUP($L582,OFFSET(missions!$A$2,0,0,COUNTA($A:$A),MATCH(M$1,missions!$2:$2,0)-MATCH("mission_id",missions!$2:$2,0)+1),MATCH(M$1,missions!$2:$2,0)-MATCH("mission_id",missions!$2:$2,0)+1,FALSE),"")</f>
        <v/>
      </c>
      <c r="N580" s="26" t="str">
        <f ca="1">IFERROR(VLOOKUP($L582,OFFSET(missions!$A$2,0,0,COUNTA($A:$A),MATCH(N$1,missions!$2:$2,0)-MATCH("mission_id",missions!$2:$2,0)+1),MATCH(N$1,missions!$2:$2,0)-MATCH("mission_id",missions!$2:$2,0)+1,FALSE),"")</f>
        <v/>
      </c>
    </row>
    <row r="581" spans="1:14" ht="21" customHeight="1" x14ac:dyDescent="0.15">
      <c r="A581" s="2" t="s">
        <v>189</v>
      </c>
      <c r="B581" s="21" t="s">
        <v>792</v>
      </c>
      <c r="C581" s="26" t="str">
        <f t="shared" ca="1" si="64"/>
        <v>通算 1050 日ログインしよう！</v>
      </c>
      <c r="D581" s="26" t="str">
        <f ca="1">IFERROR(VLOOKUP($A581,OFFSET(achievement_criterion_id,0,0,COUNTA($A:$A),MATCH(D$1,missions!$2:$2,0)-MATCH($A$1,missions!$2:$2,0)+1),MATCH(D$1,missions!$2:$2,0)-MATCH($A$1,missions!$2:$2,0)+1,FALSE),IFERROR(VLOOKUP($A581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581" s="27" t="s">
        <v>864</v>
      </c>
      <c r="F581" s="17" t="s">
        <v>18</v>
      </c>
      <c r="G581" s="26" t="str">
        <f ca="1">VLOOKUP($F581,OFFSET(達成条件!$A$1,0,0,COUNTA($A:$A),MATCH(G$1,達成条件!$1:$1,0)-MATCH($F$1,達成条件!$1:$1,0)+1),MATCH(G$1,達成条件!$1:$1,0)-MATCH($F$1,達成条件!$1:$1,0)+1,FALSE)</f>
        <v>通算 x 日ログインしよう！</v>
      </c>
      <c r="H581" s="26" t="str">
        <f ca="1">VLOOKUP($F581,OFFSET(達成条件!$A$1,0,0,COUNTA($A:$A),MATCH(H$1,達成条件!$1:$1,0)-MATCH($F$1,達成条件!$1:$1,0)+1),MATCH(H$1,達成条件!$1:$1,0)-MATCH($F$1,達成条件!$1:$1,0)+1,FALSE)</f>
        <v>ログイン回数</v>
      </c>
      <c r="I581" s="56">
        <v>1050</v>
      </c>
      <c r="J581" s="54" t="str">
        <f ca="1">IF(F581="specific_unit_aquired_count",SUBSTITUTE(G581,"x",VLOOKUP(INT($I581),OFFSET([3]characters!$A$2,0,0,COUNTA([3]characters!$A:$A),MATCH(J$1,[3]characters!$2:$2,0)-MATCH("character_id",[3]characters!$2:$2,0)+1),MATCH(J$1,[3]characters!$2:$2,0)-MATCH("character_id",[3]characters!$2:$2,0)+1,FALSE)),IF(F581="specific_quest_clear",VLOOKUP(SUBSTITUTE(I581,"-","_"),OFFSET([2]stages!$A$2,0,0,COUNTA([2]stages!$A:$A),MATCH("name",[2]stages!$2:$2,0)-MATCH("temp_stage",[2]stages!$2:$2,0)+1),MATCH("name",[2]stages!$2:$2,0)-MATCH("temp_stage",[2]stages!$2:$2,0)+1,FALSE),""))</f>
        <v/>
      </c>
      <c r="K581" s="15">
        <v>1</v>
      </c>
      <c r="L581" s="15">
        <f t="shared" si="65"/>
        <v>6112</v>
      </c>
      <c r="M581" s="26" t="str">
        <f ca="1">IFERROR(VLOOKUP($L583,OFFSET(missions!$A$2,0,0,COUNTA($A:$A),MATCH(M$1,missions!$2:$2,0)-MATCH("mission_id",missions!$2:$2,0)+1),MATCH(M$1,missions!$2:$2,0)-MATCH("mission_id",missions!$2:$2,0)+1,FALSE),"")</f>
        <v/>
      </c>
      <c r="N581" s="26" t="str">
        <f ca="1">IFERROR(VLOOKUP($L583,OFFSET(missions!$A$2,0,0,COUNTA($A:$A),MATCH(N$1,missions!$2:$2,0)-MATCH("mission_id",missions!$2:$2,0)+1),MATCH(N$1,missions!$2:$2,0)-MATCH("mission_id",missions!$2:$2,0)+1,FALSE),"")</f>
        <v/>
      </c>
    </row>
    <row r="582" spans="1:14" ht="21" customHeight="1" x14ac:dyDescent="0.15">
      <c r="A582" s="2" t="s">
        <v>190</v>
      </c>
      <c r="B582" s="21" t="s">
        <v>792</v>
      </c>
      <c r="C582" s="26" t="str">
        <f t="shared" ca="1" si="64"/>
        <v>通算 1060 日ログインしよう！</v>
      </c>
      <c r="D582" s="26" t="str">
        <f ca="1">IFERROR(VLOOKUP($A582,OFFSET(achievement_criterion_id,0,0,COUNTA($A:$A),MATCH(D$1,missions!$2:$2,0)-MATCH($A$1,missions!$2:$2,0)+1),MATCH(D$1,missions!$2:$2,0)-MATCH($A$1,missions!$2:$2,0)+1,FALSE),IFERROR(VLOOKUP($A582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82" s="27" t="s">
        <v>864</v>
      </c>
      <c r="F582" s="17" t="s">
        <v>18</v>
      </c>
      <c r="G582" s="26" t="str">
        <f ca="1">VLOOKUP($F582,OFFSET(達成条件!$A$1,0,0,COUNTA($A:$A),MATCH(G$1,達成条件!$1:$1,0)-MATCH($F$1,達成条件!$1:$1,0)+1),MATCH(G$1,達成条件!$1:$1,0)-MATCH($F$1,達成条件!$1:$1,0)+1,FALSE)</f>
        <v>通算 x 日ログインしよう！</v>
      </c>
      <c r="H582" s="26" t="str">
        <f ca="1">VLOOKUP($F582,OFFSET(達成条件!$A$1,0,0,COUNTA($A:$A),MATCH(H$1,達成条件!$1:$1,0)-MATCH($F$1,達成条件!$1:$1,0)+1),MATCH(H$1,達成条件!$1:$1,0)-MATCH($F$1,達成条件!$1:$1,0)+1,FALSE)</f>
        <v>ログイン回数</v>
      </c>
      <c r="I582" s="56">
        <v>1060</v>
      </c>
      <c r="J582" s="54" t="str">
        <f ca="1">IF(F582="specific_unit_aquired_count",SUBSTITUTE(G582,"x",VLOOKUP(INT($I582),OFFSET([3]characters!$A$2,0,0,COUNTA([3]characters!$A:$A),MATCH(J$1,[3]characters!$2:$2,0)-MATCH("character_id",[3]characters!$2:$2,0)+1),MATCH(J$1,[3]characters!$2:$2,0)-MATCH("character_id",[3]characters!$2:$2,0)+1,FALSE)),IF(F582="specific_quest_clear",VLOOKUP(SUBSTITUTE(I582,"-","_"),OFFSET([2]stages!$A$2,0,0,COUNTA([2]stages!$A:$A),MATCH("name",[2]stages!$2:$2,0)-MATCH("temp_stage",[2]stages!$2:$2,0)+1),MATCH("name",[2]stages!$2:$2,0)-MATCH("temp_stage",[2]stages!$2:$2,0)+1,FALSE),""))</f>
        <v/>
      </c>
      <c r="K582" s="15">
        <v>1</v>
      </c>
      <c r="L582" s="15">
        <f t="shared" si="65"/>
        <v>6113</v>
      </c>
      <c r="M582" s="26" t="str">
        <f ca="1">IFERROR(VLOOKUP($L584,OFFSET(missions!$A$2,0,0,COUNTA($A:$A),MATCH(M$1,missions!$2:$2,0)-MATCH("mission_id",missions!$2:$2,0)+1),MATCH(M$1,missions!$2:$2,0)-MATCH("mission_id",missions!$2:$2,0)+1,FALSE),"")</f>
        <v/>
      </c>
      <c r="N582" s="26" t="str">
        <f ca="1">IFERROR(VLOOKUP($L584,OFFSET(missions!$A$2,0,0,COUNTA($A:$A),MATCH(N$1,missions!$2:$2,0)-MATCH("mission_id",missions!$2:$2,0)+1),MATCH(N$1,missions!$2:$2,0)-MATCH("mission_id",missions!$2:$2,0)+1,FALSE),"")</f>
        <v/>
      </c>
    </row>
    <row r="583" spans="1:14" ht="21" customHeight="1" x14ac:dyDescent="0.15">
      <c r="A583" s="2" t="s">
        <v>191</v>
      </c>
      <c r="B583" s="21" t="s">
        <v>792</v>
      </c>
      <c r="C583" s="26" t="str">
        <f t="shared" ca="1" si="64"/>
        <v>通算 1070 日ログインしよう！</v>
      </c>
      <c r="D583" s="26" t="str">
        <f ca="1">IFERROR(VLOOKUP($A583,OFFSET(achievement_criterion_id,0,0,COUNTA($A:$A),MATCH(D$1,missions!$2:$2,0)-MATCH($A$1,missions!$2:$2,0)+1),MATCH(D$1,missions!$2:$2,0)-MATCH($A$1,missions!$2:$2,0)+1,FALSE),IFERROR(VLOOKUP($A583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83" s="27" t="s">
        <v>864</v>
      </c>
      <c r="F583" s="17" t="s">
        <v>18</v>
      </c>
      <c r="G583" s="26" t="str">
        <f ca="1">VLOOKUP($F583,OFFSET(達成条件!$A$1,0,0,COUNTA($A:$A),MATCH(G$1,達成条件!$1:$1,0)-MATCH($F$1,達成条件!$1:$1,0)+1),MATCH(G$1,達成条件!$1:$1,0)-MATCH($F$1,達成条件!$1:$1,0)+1,FALSE)</f>
        <v>通算 x 日ログインしよう！</v>
      </c>
      <c r="H583" s="26" t="str">
        <f ca="1">VLOOKUP($F583,OFFSET(達成条件!$A$1,0,0,COUNTA($A:$A),MATCH(H$1,達成条件!$1:$1,0)-MATCH($F$1,達成条件!$1:$1,0)+1),MATCH(H$1,達成条件!$1:$1,0)-MATCH($F$1,達成条件!$1:$1,0)+1,FALSE)</f>
        <v>ログイン回数</v>
      </c>
      <c r="I583" s="56">
        <v>1070</v>
      </c>
      <c r="J583" s="54" t="str">
        <f ca="1">IF(F583="specific_unit_aquired_count",SUBSTITUTE(G583,"x",VLOOKUP(INT($I583),OFFSET([3]characters!$A$2,0,0,COUNTA([3]characters!$A:$A),MATCH(J$1,[3]characters!$2:$2,0)-MATCH("character_id",[3]characters!$2:$2,0)+1),MATCH(J$1,[3]characters!$2:$2,0)-MATCH("character_id",[3]characters!$2:$2,0)+1,FALSE)),IF(F583="specific_quest_clear",VLOOKUP(SUBSTITUTE(I583,"-","_"),OFFSET([2]stages!$A$2,0,0,COUNTA([2]stages!$A:$A),MATCH("name",[2]stages!$2:$2,0)-MATCH("temp_stage",[2]stages!$2:$2,0)+1),MATCH("name",[2]stages!$2:$2,0)-MATCH("temp_stage",[2]stages!$2:$2,0)+1,FALSE),""))</f>
        <v/>
      </c>
      <c r="K583" s="15">
        <v>1</v>
      </c>
      <c r="L583" s="15">
        <f t="shared" si="65"/>
        <v>6114</v>
      </c>
      <c r="M583" s="26" t="str">
        <f ca="1">IFERROR(VLOOKUP($L585,OFFSET(missions!$A$2,0,0,COUNTA($A:$A),MATCH(M$1,missions!$2:$2,0)-MATCH("mission_id",missions!$2:$2,0)+1),MATCH(M$1,missions!$2:$2,0)-MATCH("mission_id",missions!$2:$2,0)+1,FALSE),"")</f>
        <v>通算 1100 日ログインしよう！</v>
      </c>
      <c r="N583" s="26" t="str">
        <f ca="1">IFERROR(VLOOKUP($L585,OFFSET(missions!$A$2,0,0,COUNTA($A:$A),MATCH(N$1,missions!$2:$2,0)-MATCH("mission_id",missions!$2:$2,0)+1),MATCH(N$1,missions!$2:$2,0)-MATCH("mission_id",missions!$2:$2,0)+1,FALSE),"")</f>
        <v>ポリゴン x 10</v>
      </c>
    </row>
    <row r="584" spans="1:14" ht="21" customHeight="1" x14ac:dyDescent="0.15">
      <c r="A584" s="2" t="s">
        <v>192</v>
      </c>
      <c r="B584" s="21" t="s">
        <v>792</v>
      </c>
      <c r="C584" s="26" t="str">
        <f t="shared" ca="1" si="64"/>
        <v>通算 1080 日ログインしよう！</v>
      </c>
      <c r="D584" s="26" t="str">
        <f ca="1">IFERROR(VLOOKUP($A584,OFFSET(achievement_criterion_id,0,0,COUNTA($A:$A),MATCH(D$1,missions!$2:$2,0)-MATCH($A$1,missions!$2:$2,0)+1),MATCH(D$1,missions!$2:$2,0)-MATCH($A$1,missions!$2:$2,0)+1,FALSE),IFERROR(VLOOKUP($A584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84" s="27" t="s">
        <v>864</v>
      </c>
      <c r="F584" s="17" t="s">
        <v>18</v>
      </c>
      <c r="G584" s="26" t="str">
        <f ca="1">VLOOKUP($F584,OFFSET(達成条件!$A$1,0,0,COUNTA($A:$A),MATCH(G$1,達成条件!$1:$1,0)-MATCH($F$1,達成条件!$1:$1,0)+1),MATCH(G$1,達成条件!$1:$1,0)-MATCH($F$1,達成条件!$1:$1,0)+1,FALSE)</f>
        <v>通算 x 日ログインしよう！</v>
      </c>
      <c r="H584" s="26" t="str">
        <f ca="1">VLOOKUP($F584,OFFSET(達成条件!$A$1,0,0,COUNTA($A:$A),MATCH(H$1,達成条件!$1:$1,0)-MATCH($F$1,達成条件!$1:$1,0)+1),MATCH(H$1,達成条件!$1:$1,0)-MATCH($F$1,達成条件!$1:$1,0)+1,FALSE)</f>
        <v>ログイン回数</v>
      </c>
      <c r="I584" s="56">
        <v>1080</v>
      </c>
      <c r="J584" s="54" t="str">
        <f ca="1">IF(F584="specific_unit_aquired_count",SUBSTITUTE(G584,"x",VLOOKUP(INT($I584),OFFSET([3]characters!$A$2,0,0,COUNTA([3]characters!$A:$A),MATCH(J$1,[3]characters!$2:$2,0)-MATCH("character_id",[3]characters!$2:$2,0)+1),MATCH(J$1,[3]characters!$2:$2,0)-MATCH("character_id",[3]characters!$2:$2,0)+1,FALSE)),IF(F584="specific_quest_clear",VLOOKUP(SUBSTITUTE(I584,"-","_"),OFFSET([2]stages!$A$2,0,0,COUNTA([2]stages!$A:$A),MATCH("name",[2]stages!$2:$2,0)-MATCH("temp_stage",[2]stages!$2:$2,0)+1),MATCH("name",[2]stages!$2:$2,0)-MATCH("temp_stage",[2]stages!$2:$2,0)+1,FALSE),""))</f>
        <v/>
      </c>
      <c r="K584" s="15">
        <v>1</v>
      </c>
      <c r="L584" s="15">
        <f t="shared" si="65"/>
        <v>6115</v>
      </c>
      <c r="M584" s="26" t="str">
        <f ca="1">IFERROR(VLOOKUP($L586,OFFSET(missions!$A$2,0,0,COUNTA($A:$A),MATCH(M$1,missions!$2:$2,0)-MATCH("mission_id",missions!$2:$2,0)+1),MATCH(M$1,missions!$2:$2,0)-MATCH("mission_id",missions!$2:$2,0)+1,FALSE),"")</f>
        <v/>
      </c>
      <c r="N584" s="26" t="str">
        <f ca="1">IFERROR(VLOOKUP($L586,OFFSET(missions!$A$2,0,0,COUNTA($A:$A),MATCH(N$1,missions!$2:$2,0)-MATCH("mission_id",missions!$2:$2,0)+1),MATCH(N$1,missions!$2:$2,0)-MATCH("mission_id",missions!$2:$2,0)+1,FALSE),"")</f>
        <v/>
      </c>
    </row>
    <row r="585" spans="1:14" ht="21" customHeight="1" x14ac:dyDescent="0.15">
      <c r="A585" s="2" t="s">
        <v>412</v>
      </c>
      <c r="B585" s="21" t="s">
        <v>928</v>
      </c>
      <c r="C585" s="26" t="str">
        <f t="shared" ca="1" si="64"/>
        <v>通算 1090 日ログインしよう！</v>
      </c>
      <c r="D585" s="26" t="str">
        <f ca="1">IFERROR(VLOOKUP($A585,OFFSET(achievement_criterion_id,0,0,COUNTA($A:$A),MATCH(D$1,missions!$2:$2,0)-MATCH($A$1,missions!$2:$2,0)+1),MATCH(D$1,missions!$2:$2,0)-MATCH($A$1,missions!$2:$2,0)+1,FALSE),IFERROR(VLOOKUP($A585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85" s="27" t="s">
        <v>864</v>
      </c>
      <c r="F585" s="17" t="s">
        <v>18</v>
      </c>
      <c r="G585" s="26" t="str">
        <f ca="1">VLOOKUP($F585,OFFSET(達成条件!$A$1,0,0,COUNTA($A:$A),MATCH(G$1,達成条件!$1:$1,0)-MATCH($F$1,達成条件!$1:$1,0)+1),MATCH(G$1,達成条件!$1:$1,0)-MATCH($F$1,達成条件!$1:$1,0)+1,FALSE)</f>
        <v>通算 x 日ログインしよう！</v>
      </c>
      <c r="H585" s="26" t="str">
        <f ca="1">VLOOKUP($F585,OFFSET(達成条件!$A$1,0,0,COUNTA($A:$A),MATCH(H$1,達成条件!$1:$1,0)-MATCH($F$1,達成条件!$1:$1,0)+1),MATCH(H$1,達成条件!$1:$1,0)-MATCH($F$1,達成条件!$1:$1,0)+1,FALSE)</f>
        <v>ログイン回数</v>
      </c>
      <c r="I585" s="56">
        <v>1090</v>
      </c>
      <c r="J585" s="54" t="str">
        <f ca="1">IF(F585="specific_unit_aquired_count",SUBSTITUTE(G585,"x",VLOOKUP(INT($I585),OFFSET([3]characters!$A$2,0,0,COUNTA([3]characters!$A:$A),MATCH(J$1,[3]characters!$2:$2,0)-MATCH("character_id",[3]characters!$2:$2,0)+1),MATCH(J$1,[3]characters!$2:$2,0)-MATCH("character_id",[3]characters!$2:$2,0)+1,FALSE)),IF(F585="specific_quest_clear",VLOOKUP(SUBSTITUTE(I585,"-","_"),OFFSET([2]stages!$A$2,0,0,COUNTA([2]stages!$A:$A),MATCH("name",[2]stages!$2:$2,0)-MATCH("temp_stage",[2]stages!$2:$2,0)+1),MATCH("name",[2]stages!$2:$2,0)-MATCH("temp_stage",[2]stages!$2:$2,0)+1,FALSE),""))</f>
        <v/>
      </c>
      <c r="K585" s="15">
        <v>1</v>
      </c>
      <c r="L585" s="15">
        <f t="shared" si="65"/>
        <v>6116</v>
      </c>
      <c r="M585" s="26" t="str">
        <f ca="1">IFERROR(VLOOKUP($L587,OFFSET(missions!$A$2,0,0,COUNTA($A:$A),MATCH(M$1,missions!$2:$2,0)-MATCH("mission_id",missions!$2:$2,0)+1),MATCH(M$1,missions!$2:$2,0)-MATCH("mission_id",missions!$2:$2,0)+1,FALSE),"")</f>
        <v/>
      </c>
      <c r="N585" s="26" t="str">
        <f ca="1">IFERROR(VLOOKUP($L587,OFFSET(missions!$A$2,0,0,COUNTA($A:$A),MATCH(N$1,missions!$2:$2,0)-MATCH("mission_id",missions!$2:$2,0)+1),MATCH(N$1,missions!$2:$2,0)-MATCH("mission_id",missions!$2:$2,0)+1,FALSE),"")</f>
        <v/>
      </c>
    </row>
    <row r="586" spans="1:14" ht="21" customHeight="1" x14ac:dyDescent="0.15">
      <c r="A586" s="2" t="s">
        <v>414</v>
      </c>
      <c r="B586" s="21" t="s">
        <v>792</v>
      </c>
      <c r="C586" s="26" t="str">
        <f t="shared" ca="1" si="64"/>
        <v>通算 1100 日ログインしよう！</v>
      </c>
      <c r="D586" s="26" t="str">
        <f ca="1">IFERROR(VLOOKUP($A586,OFFSET(achievement_criterion_id,0,0,COUNTA($A:$A),MATCH(D$1,missions!$2:$2,0)-MATCH($A$1,missions!$2:$2,0)+1),MATCH(D$1,missions!$2:$2,0)-MATCH($A$1,missions!$2:$2,0)+1,FALSE),IFERROR(VLOOKUP($A586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586" s="27" t="s">
        <v>926</v>
      </c>
      <c r="F586" s="17" t="s">
        <v>18</v>
      </c>
      <c r="G586" s="26" t="str">
        <f ca="1">VLOOKUP($F586,OFFSET(達成条件!$A$1,0,0,COUNTA($A:$A),MATCH(G$1,達成条件!$1:$1,0)-MATCH($F$1,達成条件!$1:$1,0)+1),MATCH(G$1,達成条件!$1:$1,0)-MATCH($F$1,達成条件!$1:$1,0)+1,FALSE)</f>
        <v>通算 x 日ログインしよう！</v>
      </c>
      <c r="H586" s="26" t="str">
        <f ca="1">VLOOKUP($F586,OFFSET(達成条件!$A$1,0,0,COUNTA($A:$A),MATCH(H$1,達成条件!$1:$1,0)-MATCH($F$1,達成条件!$1:$1,0)+1),MATCH(H$1,達成条件!$1:$1,0)-MATCH($F$1,達成条件!$1:$1,0)+1,FALSE)</f>
        <v>ログイン回数</v>
      </c>
      <c r="I586" s="56">
        <v>1100</v>
      </c>
      <c r="J586" s="54" t="str">
        <f ca="1">IF(F586="specific_unit_aquired_count",SUBSTITUTE(G586,"x",VLOOKUP(INT($I586),OFFSET([3]characters!$A$2,0,0,COUNTA([3]characters!$A:$A),MATCH(J$1,[3]characters!$2:$2,0)-MATCH("character_id",[3]characters!$2:$2,0)+1),MATCH(J$1,[3]characters!$2:$2,0)-MATCH("character_id",[3]characters!$2:$2,0)+1,FALSE)),IF(F586="specific_quest_clear",VLOOKUP(SUBSTITUTE(I586,"-","_"),OFFSET([2]stages!$A$2,0,0,COUNTA([2]stages!$A:$A),MATCH("name",[2]stages!$2:$2,0)-MATCH("temp_stage",[2]stages!$2:$2,0)+1),MATCH("name",[2]stages!$2:$2,0)-MATCH("temp_stage",[2]stages!$2:$2,0)+1,FALSE),""))</f>
        <v/>
      </c>
      <c r="K586" s="15">
        <v>1</v>
      </c>
      <c r="L586" s="15">
        <f t="shared" si="65"/>
        <v>6117</v>
      </c>
      <c r="M586" s="26" t="str">
        <f ca="1">IFERROR(VLOOKUP($L588,OFFSET(missions!$A$2,0,0,COUNTA($A:$A),MATCH(M$1,missions!$2:$2,0)-MATCH("mission_id",missions!$2:$2,0)+1),MATCH(M$1,missions!$2:$2,0)-MATCH("mission_id",missions!$2:$2,0)+1,FALSE),"")</f>
        <v/>
      </c>
      <c r="N586" s="26" t="str">
        <f ca="1">IFERROR(VLOOKUP($L588,OFFSET(missions!$A$2,0,0,COUNTA($A:$A),MATCH(N$1,missions!$2:$2,0)-MATCH("mission_id",missions!$2:$2,0)+1),MATCH(N$1,missions!$2:$2,0)-MATCH("mission_id",missions!$2:$2,0)+1,FALSE),"")</f>
        <v/>
      </c>
    </row>
    <row r="587" spans="1:14" ht="21" customHeight="1" x14ac:dyDescent="0.15">
      <c r="A587" s="2" t="s">
        <v>413</v>
      </c>
      <c r="B587" s="21" t="s">
        <v>792</v>
      </c>
      <c r="C587" s="26" t="str">
        <f t="shared" ca="1" si="64"/>
        <v>通算 1110 日ログインしよう！</v>
      </c>
      <c r="D587" s="26" t="str">
        <f ca="1">IFERROR(VLOOKUP($A587,OFFSET(achievement_criterion_id,0,0,COUNTA($A:$A),MATCH(D$1,missions!$2:$2,0)-MATCH($A$1,missions!$2:$2,0)+1),MATCH(D$1,missions!$2:$2,0)-MATCH($A$1,missions!$2:$2,0)+1,FALSE),IFERROR(VLOOKUP($A587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87" s="27" t="s">
        <v>864</v>
      </c>
      <c r="F587" s="17" t="s">
        <v>18</v>
      </c>
      <c r="G587" s="26" t="str">
        <f ca="1">VLOOKUP($F587,OFFSET(達成条件!$A$1,0,0,COUNTA($A:$A),MATCH(G$1,達成条件!$1:$1,0)-MATCH($F$1,達成条件!$1:$1,0)+1),MATCH(G$1,達成条件!$1:$1,0)-MATCH($F$1,達成条件!$1:$1,0)+1,FALSE)</f>
        <v>通算 x 日ログインしよう！</v>
      </c>
      <c r="H587" s="26" t="str">
        <f ca="1">VLOOKUP($F587,OFFSET(達成条件!$A$1,0,0,COUNTA($A:$A),MATCH(H$1,達成条件!$1:$1,0)-MATCH($F$1,達成条件!$1:$1,0)+1),MATCH(H$1,達成条件!$1:$1,0)-MATCH($F$1,達成条件!$1:$1,0)+1,FALSE)</f>
        <v>ログイン回数</v>
      </c>
      <c r="I587" s="56">
        <v>1110</v>
      </c>
      <c r="J587" s="54" t="str">
        <f ca="1">IF(F587="specific_unit_aquired_count",SUBSTITUTE(G587,"x",VLOOKUP(INT($I587),OFFSET([3]characters!$A$2,0,0,COUNTA([3]characters!$A:$A),MATCH(J$1,[3]characters!$2:$2,0)-MATCH("character_id",[3]characters!$2:$2,0)+1),MATCH(J$1,[3]characters!$2:$2,0)-MATCH("character_id",[3]characters!$2:$2,0)+1,FALSE)),IF(F587="specific_quest_clear",VLOOKUP(SUBSTITUTE(I587,"-","_"),OFFSET([2]stages!$A$2,0,0,COUNTA([2]stages!$A:$A),MATCH("name",[2]stages!$2:$2,0)-MATCH("temp_stage",[2]stages!$2:$2,0)+1),MATCH("name",[2]stages!$2:$2,0)-MATCH("temp_stage",[2]stages!$2:$2,0)+1,FALSE),""))</f>
        <v/>
      </c>
      <c r="K587" s="15">
        <v>1</v>
      </c>
      <c r="L587" s="15">
        <f t="shared" si="65"/>
        <v>6118</v>
      </c>
      <c r="M587" s="26" t="str">
        <f ca="1">IFERROR(VLOOKUP($L589,OFFSET(missions!$A$2,0,0,COUNTA($A:$A),MATCH(M$1,missions!$2:$2,0)-MATCH("mission_id",missions!$2:$2,0)+1),MATCH(M$1,missions!$2:$2,0)-MATCH("mission_id",missions!$2:$2,0)+1,FALSE),"")</f>
        <v/>
      </c>
      <c r="N587" s="26" t="str">
        <f ca="1">IFERROR(VLOOKUP($L589,OFFSET(missions!$A$2,0,0,COUNTA($A:$A),MATCH(N$1,missions!$2:$2,0)-MATCH("mission_id",missions!$2:$2,0)+1),MATCH(N$1,missions!$2:$2,0)-MATCH("mission_id",missions!$2:$2,0)+1,FALSE),"")</f>
        <v/>
      </c>
    </row>
    <row r="588" spans="1:14" ht="21" customHeight="1" x14ac:dyDescent="0.15">
      <c r="A588" s="2" t="s">
        <v>416</v>
      </c>
      <c r="B588" s="21" t="s">
        <v>792</v>
      </c>
      <c r="C588" s="26" t="str">
        <f t="shared" ca="1" si="64"/>
        <v>通算 1120 日ログインしよう！</v>
      </c>
      <c r="D588" s="26" t="str">
        <f ca="1">IFERROR(VLOOKUP($A588,OFFSET(achievement_criterion_id,0,0,COUNTA($A:$A),MATCH(D$1,missions!$2:$2,0)-MATCH($A$1,missions!$2:$2,0)+1),MATCH(D$1,missions!$2:$2,0)-MATCH($A$1,missions!$2:$2,0)+1,FALSE),IFERROR(VLOOKUP($A588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88" s="27" t="s">
        <v>864</v>
      </c>
      <c r="F588" s="17" t="s">
        <v>18</v>
      </c>
      <c r="G588" s="26" t="str">
        <f ca="1">VLOOKUP($F588,OFFSET(達成条件!$A$1,0,0,COUNTA($A:$A),MATCH(G$1,達成条件!$1:$1,0)-MATCH($F$1,達成条件!$1:$1,0)+1),MATCH(G$1,達成条件!$1:$1,0)-MATCH($F$1,達成条件!$1:$1,0)+1,FALSE)</f>
        <v>通算 x 日ログインしよう！</v>
      </c>
      <c r="H588" s="26" t="str">
        <f ca="1">VLOOKUP($F588,OFFSET(達成条件!$A$1,0,0,COUNTA($A:$A),MATCH(H$1,達成条件!$1:$1,0)-MATCH($F$1,達成条件!$1:$1,0)+1),MATCH(H$1,達成条件!$1:$1,0)-MATCH($F$1,達成条件!$1:$1,0)+1,FALSE)</f>
        <v>ログイン回数</v>
      </c>
      <c r="I588" s="56">
        <v>1120</v>
      </c>
      <c r="J588" s="54" t="str">
        <f ca="1">IF(F588="specific_unit_aquired_count",SUBSTITUTE(G588,"x",VLOOKUP(INT($I588),OFFSET([3]characters!$A$2,0,0,COUNTA([3]characters!$A:$A),MATCH(J$1,[3]characters!$2:$2,0)-MATCH("character_id",[3]characters!$2:$2,0)+1),MATCH(J$1,[3]characters!$2:$2,0)-MATCH("character_id",[3]characters!$2:$2,0)+1,FALSE)),IF(F588="specific_quest_clear",VLOOKUP(SUBSTITUTE(I588,"-","_"),OFFSET([2]stages!$A$2,0,0,COUNTA([2]stages!$A:$A),MATCH("name",[2]stages!$2:$2,0)-MATCH("temp_stage",[2]stages!$2:$2,0)+1),MATCH("name",[2]stages!$2:$2,0)-MATCH("temp_stage",[2]stages!$2:$2,0)+1,FALSE),""))</f>
        <v/>
      </c>
      <c r="K588" s="15">
        <v>1</v>
      </c>
      <c r="L588" s="15">
        <f t="shared" si="65"/>
        <v>6119</v>
      </c>
      <c r="M588" s="26" t="str">
        <f ca="1">IFERROR(VLOOKUP($L590,OFFSET(missions!$A$2,0,0,COUNTA($A:$A),MATCH(M$1,missions!$2:$2,0)-MATCH("mission_id",missions!$2:$2,0)+1),MATCH(M$1,missions!$2:$2,0)-MATCH("mission_id",missions!$2:$2,0)+1,FALSE),"")</f>
        <v/>
      </c>
      <c r="N588" s="26" t="str">
        <f ca="1">IFERROR(VLOOKUP($L590,OFFSET(missions!$A$2,0,0,COUNTA($A:$A),MATCH(N$1,missions!$2:$2,0)-MATCH("mission_id",missions!$2:$2,0)+1),MATCH(N$1,missions!$2:$2,0)-MATCH("mission_id",missions!$2:$2,0)+1,FALSE),"")</f>
        <v/>
      </c>
    </row>
    <row r="589" spans="1:14" ht="21" customHeight="1" x14ac:dyDescent="0.15">
      <c r="A589" s="2" t="s">
        <v>417</v>
      </c>
      <c r="B589" s="21" t="s">
        <v>792</v>
      </c>
      <c r="C589" s="26" t="str">
        <f t="shared" ca="1" si="64"/>
        <v>通算 1130 日ログインしよう！</v>
      </c>
      <c r="D589" s="26" t="str">
        <f ca="1">IFERROR(VLOOKUP($A589,OFFSET(achievement_criterion_id,0,0,COUNTA($A:$A),MATCH(D$1,missions!$2:$2,0)-MATCH($A$1,missions!$2:$2,0)+1),MATCH(D$1,missions!$2:$2,0)-MATCH($A$1,missions!$2:$2,0)+1,FALSE),IFERROR(VLOOKUP($A589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89" s="27" t="s">
        <v>864</v>
      </c>
      <c r="F589" s="17" t="s">
        <v>18</v>
      </c>
      <c r="G589" s="26" t="str">
        <f ca="1">VLOOKUP($F589,OFFSET(達成条件!$A$1,0,0,COUNTA($A:$A),MATCH(G$1,達成条件!$1:$1,0)-MATCH($F$1,達成条件!$1:$1,0)+1),MATCH(G$1,達成条件!$1:$1,0)-MATCH($F$1,達成条件!$1:$1,0)+1,FALSE)</f>
        <v>通算 x 日ログインしよう！</v>
      </c>
      <c r="H589" s="26" t="str">
        <f ca="1">VLOOKUP($F589,OFFSET(達成条件!$A$1,0,0,COUNTA($A:$A),MATCH(H$1,達成条件!$1:$1,0)-MATCH($F$1,達成条件!$1:$1,0)+1),MATCH(H$1,達成条件!$1:$1,0)-MATCH($F$1,達成条件!$1:$1,0)+1,FALSE)</f>
        <v>ログイン回数</v>
      </c>
      <c r="I589" s="56">
        <v>1130</v>
      </c>
      <c r="J589" s="54" t="str">
        <f ca="1">IF(F589="specific_unit_aquired_count",SUBSTITUTE(G589,"x",VLOOKUP(INT($I589),OFFSET([3]characters!$A$2,0,0,COUNTA([3]characters!$A:$A),MATCH(J$1,[3]characters!$2:$2,0)-MATCH("character_id",[3]characters!$2:$2,0)+1),MATCH(J$1,[3]characters!$2:$2,0)-MATCH("character_id",[3]characters!$2:$2,0)+1,FALSE)),IF(F589="specific_quest_clear",VLOOKUP(SUBSTITUTE(I589,"-","_"),OFFSET([2]stages!$A$2,0,0,COUNTA([2]stages!$A:$A),MATCH("name",[2]stages!$2:$2,0)-MATCH("temp_stage",[2]stages!$2:$2,0)+1),MATCH("name",[2]stages!$2:$2,0)-MATCH("temp_stage",[2]stages!$2:$2,0)+1,FALSE),""))</f>
        <v/>
      </c>
      <c r="K589" s="15">
        <v>1</v>
      </c>
      <c r="L589" s="15">
        <f t="shared" si="65"/>
        <v>6120</v>
      </c>
      <c r="M589" s="26" t="str">
        <f ca="1">IFERROR(VLOOKUP($L591,OFFSET(missions!$A$2,0,0,COUNTA($A:$A),MATCH(M$1,missions!$2:$2,0)-MATCH("mission_id",missions!$2:$2,0)+1),MATCH(M$1,missions!$2:$2,0)-MATCH("mission_id",missions!$2:$2,0)+1,FALSE),"")</f>
        <v/>
      </c>
      <c r="N589" s="26" t="str">
        <f ca="1">IFERROR(VLOOKUP($L591,OFFSET(missions!$A$2,0,0,COUNTA($A:$A),MATCH(N$1,missions!$2:$2,0)-MATCH("mission_id",missions!$2:$2,0)+1),MATCH(N$1,missions!$2:$2,0)-MATCH("mission_id",missions!$2:$2,0)+1,FALSE),"")</f>
        <v/>
      </c>
    </row>
    <row r="590" spans="1:14" ht="21" customHeight="1" x14ac:dyDescent="0.15">
      <c r="A590" s="2" t="s">
        <v>415</v>
      </c>
      <c r="B590" s="21" t="s">
        <v>792</v>
      </c>
      <c r="C590" s="26" t="str">
        <f t="shared" ca="1" si="64"/>
        <v>通算 1140 日ログインしよう！</v>
      </c>
      <c r="D590" s="26" t="str">
        <f ca="1">IFERROR(VLOOKUP($A590,OFFSET(achievement_criterion_id,0,0,COUNTA($A:$A),MATCH(D$1,missions!$2:$2,0)-MATCH($A$1,missions!$2:$2,0)+1),MATCH(D$1,missions!$2:$2,0)-MATCH($A$1,missions!$2:$2,0)+1,FALSE),IFERROR(VLOOKUP($A590,OFFSET(weekly_achievement_criterion_id,0,0,COUNTA($A:$A),MATCH(D$1,weekly_missions!$2:$2,0)-MATCH($A$1,weekly_missions!$2:$2,0)+1),MATCH(D$1,weekly_missions!$2:$2,0)-MATCH($A$1,weekly_missions!$2:$2,0)+1,FALSE),"＊missions 未設定＊"))</f>
        <v>＊missions 未設定＊</v>
      </c>
      <c r="E590" s="27" t="s">
        <v>864</v>
      </c>
      <c r="F590" s="17" t="s">
        <v>18</v>
      </c>
      <c r="G590" s="26" t="str">
        <f ca="1">VLOOKUP($F590,OFFSET(達成条件!$A$1,0,0,COUNTA($A:$A),MATCH(G$1,達成条件!$1:$1,0)-MATCH($F$1,達成条件!$1:$1,0)+1),MATCH(G$1,達成条件!$1:$1,0)-MATCH($F$1,達成条件!$1:$1,0)+1,FALSE)</f>
        <v>通算 x 日ログインしよう！</v>
      </c>
      <c r="H590" s="26" t="str">
        <f ca="1">VLOOKUP($F590,OFFSET(達成条件!$A$1,0,0,COUNTA($A:$A),MATCH(H$1,達成条件!$1:$1,0)-MATCH($F$1,達成条件!$1:$1,0)+1),MATCH(H$1,達成条件!$1:$1,0)-MATCH($F$1,達成条件!$1:$1,0)+1,FALSE)</f>
        <v>ログイン回数</v>
      </c>
      <c r="I590" s="56">
        <v>1140</v>
      </c>
      <c r="J590" s="54" t="str">
        <f ca="1">IF(F590="specific_unit_aquired_count",SUBSTITUTE(G590,"x",VLOOKUP(INT($I590),OFFSET([3]characters!$A$2,0,0,COUNTA([3]characters!$A:$A),MATCH(J$1,[3]characters!$2:$2,0)-MATCH("character_id",[3]characters!$2:$2,0)+1),MATCH(J$1,[3]characters!$2:$2,0)-MATCH("character_id",[3]characters!$2:$2,0)+1,FALSE)),IF(F590="specific_quest_clear",VLOOKUP(SUBSTITUTE(I590,"-","_"),OFFSET([2]stages!$A$2,0,0,COUNTA([2]stages!$A:$A),MATCH("name",[2]stages!$2:$2,0)-MATCH("temp_stage",[2]stages!$2:$2,0)+1),MATCH("name",[2]stages!$2:$2,0)-MATCH("temp_stage",[2]stages!$2:$2,0)+1,FALSE),""))</f>
        <v/>
      </c>
      <c r="K590" s="15">
        <v>1</v>
      </c>
      <c r="L590" s="15" t="s">
        <v>542</v>
      </c>
      <c r="M590" s="26" t="str">
        <f ca="1">IFERROR(VLOOKUP($L592,OFFSET(missions!$A$2,0,0,COUNTA($A:$A),MATCH(M$1,missions!$2:$2,0)-MATCH("mission_id",missions!$2:$2,0)+1),MATCH(M$1,missions!$2:$2,0)-MATCH("mission_id",missions!$2:$2,0)+1,FALSE),"")</f>
        <v/>
      </c>
      <c r="N590" s="26" t="str">
        <f ca="1">IFERROR(VLOOKUP($L592,OFFSET(missions!$A$2,0,0,COUNTA($A:$A),MATCH(N$1,missions!$2:$2,0)-MATCH("mission_id",missions!$2:$2,0)+1),MATCH(N$1,missions!$2:$2,0)-MATCH("mission_id",missions!$2:$2,0)+1,FALSE),"")</f>
        <v/>
      </c>
    </row>
    <row r="591" spans="1:14" ht="21" customHeight="1" x14ac:dyDescent="0.15">
      <c r="A591" s="2" t="s">
        <v>701</v>
      </c>
      <c r="B591" s="21" t="s">
        <v>792</v>
      </c>
      <c r="C591" s="26" t="str">
        <f t="shared" ca="1" si="64"/>
        <v>クエストを通算 5 回クリアしよう！</v>
      </c>
      <c r="D591" s="26" t="str">
        <f ca="1">IFERROR(VLOOKUP($A591,OFFSET(achievement_criterion_id,0,0,COUNTA($A:$A),MATCH(D$1,missions!$2:$2,0)-MATCH($A$1,missions!$2:$2,0)+1),MATCH(D$1,missions!$2:$2,0)-MATCH($A$1,missions!$2:$2,0)+1,FALSE),IFERROR(VLOOKUP($A591,OFFSET(weekly_achievement_criterion_id,0,0,COUNTA($A:$A),MATCH(D$1,weekly_missions!$2:$2,0)-MATCH($A$1,weekly_missions!$2:$2,0)+1),MATCH(D$1,weekly_missions!$2:$2,0)-MATCH($A$1,weekly_missions!$2:$2,0)+1,FALSE),"＊missions 未設定＊"))</f>
        <v>生命の果実 x 3</v>
      </c>
      <c r="E591" s="27" t="s">
        <v>864</v>
      </c>
      <c r="F591" s="17" t="s">
        <v>36</v>
      </c>
      <c r="G591" s="26" t="str">
        <f ca="1">VLOOKUP($F591,OFFSET(達成条件!$A$1,0,0,COUNTA($A:$A),MATCH(G$1,達成条件!$1:$1,0)-MATCH($F$1,達成条件!$1:$1,0)+1),MATCH(G$1,達成条件!$1:$1,0)-MATCH($F$1,達成条件!$1:$1,0)+1,FALSE)</f>
        <v>クエストを通算 x 回クリアしよう！</v>
      </c>
      <c r="H591" s="26" t="str">
        <f ca="1">VLOOKUP($F591,OFFSET(達成条件!$A$1,0,0,COUNTA($A:$A),MATCH(H$1,達成条件!$1:$1,0)-MATCH($F$1,達成条件!$1:$1,0)+1),MATCH(H$1,達成条件!$1:$1,0)-MATCH($F$1,達成条件!$1:$1,0)+1,FALSE)</f>
        <v>通算クリア回数</v>
      </c>
      <c r="I591" s="60" t="s">
        <v>692</v>
      </c>
      <c r="J591" s="54" t="str">
        <f ca="1">IF(F591="specific_unit_aquired_count",SUBSTITUTE(G591,"x",VLOOKUP(INT($I591),OFFSET([3]characters!$A$2,0,0,COUNTA([3]characters!$A:$A),MATCH(J$1,[3]characters!$2:$2,0)-MATCH("character_id",[3]characters!$2:$2,0)+1),MATCH(J$1,[3]characters!$2:$2,0)-MATCH("character_id",[3]characters!$2:$2,0)+1,FALSE)),IF(F591="specific_quest_clear",VLOOKUP(SUBSTITUTE(I591,"-","_"),OFFSET([2]stages!$A$2,0,0,COUNTA([2]stages!$A:$A),MATCH("name",[2]stages!$2:$2,0)-MATCH("temp_stage",[2]stages!$2:$2,0)+1),MATCH("name",[2]stages!$2:$2,0)-MATCH("temp_stage",[2]stages!$2:$2,0)+1,FALSE),""))</f>
        <v/>
      </c>
      <c r="K591" s="15">
        <v>1</v>
      </c>
      <c r="L591" s="15" t="s">
        <v>542</v>
      </c>
      <c r="M591" s="26" t="str">
        <f ca="1">IFERROR(VLOOKUP($L593,OFFSET(missions!$A$2,0,0,COUNTA($A:$A),MATCH(M$1,missions!$2:$2,0)-MATCH("mission_id",missions!$2:$2,0)+1),MATCH(M$1,missions!$2:$2,0)-MATCH("mission_id",missions!$2:$2,0)+1,FALSE),"")</f>
        <v/>
      </c>
      <c r="N591" s="26" t="str">
        <f ca="1">IFERROR(VLOOKUP($L593,OFFSET(missions!$A$2,0,0,COUNTA($A:$A),MATCH(N$1,missions!$2:$2,0)-MATCH("mission_id",missions!$2:$2,0)+1),MATCH(N$1,missions!$2:$2,0)-MATCH("mission_id",missions!$2:$2,0)+1,FALSE),"")</f>
        <v/>
      </c>
    </row>
    <row r="592" spans="1:14" ht="21" customHeight="1" x14ac:dyDescent="0.15">
      <c r="A592" s="2" t="s">
        <v>702</v>
      </c>
      <c r="B592" s="21" t="s">
        <v>792</v>
      </c>
      <c r="C592" s="26" t="str">
        <f t="shared" ca="1" si="64"/>
        <v>クエストを通算 5 回クリアしよう！</v>
      </c>
      <c r="D592" s="26" t="str">
        <f ca="1">IFERROR(VLOOKUP($A592,OFFSET(achievement_criterion_id,0,0,COUNTA($A:$A),MATCH(D$1,missions!$2:$2,0)-MATCH($A$1,missions!$2:$2,0)+1),MATCH(D$1,missions!$2:$2,0)-MATCH($A$1,missions!$2:$2,0)+1,FALSE),IFERROR(VLOOKUP($A592,OFFSET(weekly_achievement_criterion_id,0,0,COUNTA($A:$A),MATCH(D$1,weekly_missions!$2:$2,0)-MATCH($A$1,weekly_missions!$2:$2,0)+1),MATCH(D$1,weekly_missions!$2:$2,0)-MATCH($A$1,weekly_missions!$2:$2,0)+1,FALSE),"＊missions 未設定＊"))</f>
        <v>癒しの果実 x 3</v>
      </c>
      <c r="E592" s="27" t="s">
        <v>864</v>
      </c>
      <c r="F592" s="17" t="s">
        <v>36</v>
      </c>
      <c r="G592" s="26" t="str">
        <f ca="1">VLOOKUP($F592,OFFSET(達成条件!$A$1,0,0,COUNTA($A:$A),MATCH(G$1,達成条件!$1:$1,0)-MATCH($F$1,達成条件!$1:$1,0)+1),MATCH(G$1,達成条件!$1:$1,0)-MATCH($F$1,達成条件!$1:$1,0)+1,FALSE)</f>
        <v>クエストを通算 x 回クリアしよう！</v>
      </c>
      <c r="H592" s="26" t="str">
        <f ca="1">VLOOKUP($F592,OFFSET(達成条件!$A$1,0,0,COUNTA($A:$A),MATCH(H$1,達成条件!$1:$1,0)-MATCH($F$1,達成条件!$1:$1,0)+1),MATCH(H$1,達成条件!$1:$1,0)-MATCH($F$1,達成条件!$1:$1,0)+1,FALSE)</f>
        <v>通算クリア回数</v>
      </c>
      <c r="I592" s="60" t="s">
        <v>692</v>
      </c>
      <c r="J592" s="54" t="str">
        <f ca="1">IF(F592="specific_unit_aquired_count",SUBSTITUTE(G592,"x",VLOOKUP(INT($I592),OFFSET([3]characters!$A$2,0,0,COUNTA([3]characters!$A:$A),MATCH(J$1,[3]characters!$2:$2,0)-MATCH("character_id",[3]characters!$2:$2,0)+1),MATCH(J$1,[3]characters!$2:$2,0)-MATCH("character_id",[3]characters!$2:$2,0)+1,FALSE)),IF(F592="specific_quest_clear",VLOOKUP(SUBSTITUTE(I592,"-","_"),OFFSET([2]stages!$A$2,0,0,COUNTA([2]stages!$A:$A),MATCH("name",[2]stages!$2:$2,0)-MATCH("temp_stage",[2]stages!$2:$2,0)+1),MATCH("name",[2]stages!$2:$2,0)-MATCH("temp_stage",[2]stages!$2:$2,0)+1,FALSE),""))</f>
        <v/>
      </c>
      <c r="K592" s="15">
        <v>1</v>
      </c>
      <c r="L592" s="15" t="s">
        <v>542</v>
      </c>
      <c r="M592" s="26" t="str">
        <f ca="1">IFERROR(VLOOKUP($L594,OFFSET(missions!$A$2,0,0,COUNTA($A:$A),MATCH(M$1,missions!$2:$2,0)-MATCH("mission_id",missions!$2:$2,0)+1),MATCH(M$1,missions!$2:$2,0)-MATCH("mission_id",missions!$2:$2,0)+1,FALSE),"")</f>
        <v/>
      </c>
      <c r="N592" s="26" t="str">
        <f ca="1">IFERROR(VLOOKUP($L594,OFFSET(missions!$A$2,0,0,COUNTA($A:$A),MATCH(N$1,missions!$2:$2,0)-MATCH("mission_id",missions!$2:$2,0)+1),MATCH(N$1,missions!$2:$2,0)-MATCH("mission_id",missions!$2:$2,0)+1,FALSE),"")</f>
        <v/>
      </c>
    </row>
    <row r="593" spans="1:14" ht="21" customHeight="1" x14ac:dyDescent="0.15">
      <c r="A593" s="2" t="s">
        <v>703</v>
      </c>
      <c r="B593" s="21" t="s">
        <v>792</v>
      </c>
      <c r="C593" s="26" t="str">
        <f t="shared" ca="1" si="64"/>
        <v>クエストを通算 5 回クリアしよう！</v>
      </c>
      <c r="D593" s="26" t="str">
        <f ca="1">IFERROR(VLOOKUP($A593,OFFSET(achievement_criterion_id,0,0,COUNTA($A:$A),MATCH(D$1,missions!$2:$2,0)-MATCH($A$1,missions!$2:$2,0)+1),MATCH(D$1,missions!$2:$2,0)-MATCH($A$1,missions!$2:$2,0)+1,FALSE),IFERROR(VLOOKUP($A593,OFFSET(weekly_achievement_criterion_id,0,0,COUNTA($A:$A),MATCH(D$1,weekly_missions!$2:$2,0)-MATCH($A$1,weekly_missions!$2:$2,0)+1),MATCH(D$1,weekly_missions!$2:$2,0)-MATCH($A$1,weekly_missions!$2:$2,0)+1,FALSE),"＊missions 未設定＊"))</f>
        <v>攻めの果実 x 3</v>
      </c>
      <c r="E593" s="27" t="s">
        <v>864</v>
      </c>
      <c r="F593" s="17" t="s">
        <v>36</v>
      </c>
      <c r="G593" s="26" t="str">
        <f ca="1">VLOOKUP($F593,OFFSET(達成条件!$A$1,0,0,COUNTA($A:$A),MATCH(G$1,達成条件!$1:$1,0)-MATCH($F$1,達成条件!$1:$1,0)+1),MATCH(G$1,達成条件!$1:$1,0)-MATCH($F$1,達成条件!$1:$1,0)+1,FALSE)</f>
        <v>クエストを通算 x 回クリアしよう！</v>
      </c>
      <c r="H593" s="26" t="str">
        <f ca="1">VLOOKUP($F593,OFFSET(達成条件!$A$1,0,0,COUNTA($A:$A),MATCH(H$1,達成条件!$1:$1,0)-MATCH($F$1,達成条件!$1:$1,0)+1),MATCH(H$1,達成条件!$1:$1,0)-MATCH($F$1,達成条件!$1:$1,0)+1,FALSE)</f>
        <v>通算クリア回数</v>
      </c>
      <c r="I593" s="60" t="s">
        <v>692</v>
      </c>
      <c r="J593" s="54" t="str">
        <f ca="1">IF(F593="specific_unit_aquired_count",SUBSTITUTE(G593,"x",VLOOKUP(INT($I593),OFFSET([3]characters!$A$2,0,0,COUNTA([3]characters!$A:$A),MATCH(J$1,[3]characters!$2:$2,0)-MATCH("character_id",[3]characters!$2:$2,0)+1),MATCH(J$1,[3]characters!$2:$2,0)-MATCH("character_id",[3]characters!$2:$2,0)+1,FALSE)),IF(F593="specific_quest_clear",VLOOKUP(SUBSTITUTE(I593,"-","_"),OFFSET([2]stages!$A$2,0,0,COUNTA([2]stages!$A:$A),MATCH("name",[2]stages!$2:$2,0)-MATCH("temp_stage",[2]stages!$2:$2,0)+1),MATCH("name",[2]stages!$2:$2,0)-MATCH("temp_stage",[2]stages!$2:$2,0)+1,FALSE),""))</f>
        <v/>
      </c>
      <c r="K593" s="15">
        <v>1</v>
      </c>
      <c r="L593" s="15" t="s">
        <v>542</v>
      </c>
      <c r="M593" s="26" t="str">
        <f ca="1">IFERROR(VLOOKUP($L595,OFFSET(missions!$A$2,0,0,COUNTA($A:$A),MATCH(M$1,missions!$2:$2,0)-MATCH("mission_id",missions!$2:$2,0)+1),MATCH(M$1,missions!$2:$2,0)-MATCH("mission_id",missions!$2:$2,0)+1,FALSE),"")</f>
        <v/>
      </c>
      <c r="N593" s="26" t="str">
        <f ca="1">IFERROR(VLOOKUP($L595,OFFSET(missions!$A$2,0,0,COUNTA($A:$A),MATCH(N$1,missions!$2:$2,0)-MATCH("mission_id",missions!$2:$2,0)+1),MATCH(N$1,missions!$2:$2,0)-MATCH("mission_id",missions!$2:$2,0)+1,FALSE),"")</f>
        <v/>
      </c>
    </row>
    <row r="594" spans="1:14" ht="21" customHeight="1" x14ac:dyDescent="0.15">
      <c r="A594" s="2" t="s">
        <v>642</v>
      </c>
      <c r="B594" s="21" t="s">
        <v>792</v>
      </c>
      <c r="C594" s="26" t="str">
        <f t="shared" ca="1" si="64"/>
        <v>クエストを通算 20 回クリアしよう！</v>
      </c>
      <c r="D594" s="26" t="str">
        <f ca="1">IFERROR(VLOOKUP($A594,OFFSET(achievement_criterion_id,0,0,COUNTA($A:$A),MATCH(D$1,missions!$2:$2,0)-MATCH($A$1,missions!$2:$2,0)+1),MATCH(D$1,missions!$2:$2,0)-MATCH($A$1,missions!$2:$2,0)+1,FALSE),IFERROR(VLOOKUP($A594,OFFSET(weekly_achievement_criterion_id,0,0,COUNTA($A:$A),MATCH(D$1,weekly_missions!$2:$2,0)-MATCH($A$1,weekly_missions!$2:$2,0)+1),MATCH(D$1,weekly_missions!$2:$2,0)-MATCH($A$1,weekly_missions!$2:$2,0)+1,FALSE),"＊missions 未設定＊"))</f>
        <v>攻めの果実 x 1</v>
      </c>
      <c r="E594" s="27" t="s">
        <v>864</v>
      </c>
      <c r="F594" s="17" t="s">
        <v>36</v>
      </c>
      <c r="G594" s="26" t="str">
        <f ca="1">VLOOKUP($F594,OFFSET(達成条件!$A$1,0,0,COUNTA($A:$A),MATCH(G$1,達成条件!$1:$1,0)-MATCH($F$1,達成条件!$1:$1,0)+1),MATCH(G$1,達成条件!$1:$1,0)-MATCH($F$1,達成条件!$1:$1,0)+1,FALSE)</f>
        <v>クエストを通算 x 回クリアしよう！</v>
      </c>
      <c r="H594" s="26" t="str">
        <f ca="1">VLOOKUP($F594,OFFSET(達成条件!$A$1,0,0,COUNTA($A:$A),MATCH(H$1,達成条件!$1:$1,0)-MATCH($F$1,達成条件!$1:$1,0)+1),MATCH(H$1,達成条件!$1:$1,0)-MATCH($F$1,達成条件!$1:$1,0)+1,FALSE)</f>
        <v>通算クリア回数</v>
      </c>
      <c r="I594" s="60" t="s">
        <v>641</v>
      </c>
      <c r="J594" s="54" t="str">
        <f ca="1">IF(F594="specific_unit_aquired_count",SUBSTITUTE(G594,"x",VLOOKUP(INT($I594),OFFSET([3]characters!$A$2,0,0,COUNTA([3]characters!$A:$A),MATCH(J$1,[3]characters!$2:$2,0)-MATCH("character_id",[3]characters!$2:$2,0)+1),MATCH(J$1,[3]characters!$2:$2,0)-MATCH("character_id",[3]characters!$2:$2,0)+1,FALSE)),IF(F594="specific_quest_clear",VLOOKUP(SUBSTITUTE(I594,"-","_"),OFFSET([2]stages!$A$2,0,0,COUNTA([2]stages!$A:$A),MATCH("name",[2]stages!$2:$2,0)-MATCH("temp_stage",[2]stages!$2:$2,0)+1),MATCH("name",[2]stages!$2:$2,0)-MATCH("temp_stage",[2]stages!$2:$2,0)+1,FALSE),""))</f>
        <v/>
      </c>
      <c r="K594" s="15">
        <v>1</v>
      </c>
      <c r="L594" s="15" t="s">
        <v>542</v>
      </c>
      <c r="M594" s="26" t="str">
        <f ca="1">IFERROR(VLOOKUP($L596,OFFSET(missions!$A$2,0,0,COUNTA($A:$A),MATCH(M$1,missions!$2:$2,0)-MATCH("mission_id",missions!$2:$2,0)+1),MATCH(M$1,missions!$2:$2,0)-MATCH("mission_id",missions!$2:$2,0)+1,FALSE),"")</f>
        <v/>
      </c>
      <c r="N594" s="26" t="str">
        <f ca="1">IFERROR(VLOOKUP($L596,OFFSET(missions!$A$2,0,0,COUNTA($A:$A),MATCH(N$1,missions!$2:$2,0)-MATCH("mission_id",missions!$2:$2,0)+1),MATCH(N$1,missions!$2:$2,0)-MATCH("mission_id",missions!$2:$2,0)+1,FALSE),"")</f>
        <v/>
      </c>
    </row>
    <row r="595" spans="1:14" ht="21" customHeight="1" x14ac:dyDescent="0.15">
      <c r="A595" s="2" t="s">
        <v>643</v>
      </c>
      <c r="B595" s="21" t="s">
        <v>792</v>
      </c>
      <c r="C595" s="26" t="str">
        <f t="shared" ca="1" si="64"/>
        <v>クエストを通算 20 回クリアしよう！</v>
      </c>
      <c r="D595" s="26" t="str">
        <f ca="1">IFERROR(VLOOKUP($A595,OFFSET(achievement_criterion_id,0,0,COUNTA($A:$A),MATCH(D$1,missions!$2:$2,0)-MATCH($A$1,missions!$2:$2,0)+1),MATCH(D$1,missions!$2:$2,0)-MATCH($A$1,missions!$2:$2,0)+1,FALSE),IFERROR(VLOOKUP($A595,OFFSET(weekly_achievement_criterion_id,0,0,COUNTA($A:$A),MATCH(D$1,weekly_missions!$2:$2,0)-MATCH($A$1,weekly_missions!$2:$2,0)+1),MATCH(D$1,weekly_missions!$2:$2,0)-MATCH($A$1,weekly_missions!$2:$2,0)+1,FALSE),"＊missions 未設定＊"))</f>
        <v>生命の果実 x 1</v>
      </c>
      <c r="E595" s="27" t="s">
        <v>864</v>
      </c>
      <c r="F595" s="17" t="s">
        <v>36</v>
      </c>
      <c r="G595" s="26" t="str">
        <f ca="1">VLOOKUP($F595,OFFSET(達成条件!$A$1,0,0,COUNTA($A:$A),MATCH(G$1,達成条件!$1:$1,0)-MATCH($F$1,達成条件!$1:$1,0)+1),MATCH(G$1,達成条件!$1:$1,0)-MATCH($F$1,達成条件!$1:$1,0)+1,FALSE)</f>
        <v>クエストを通算 x 回クリアしよう！</v>
      </c>
      <c r="H595" s="26" t="str">
        <f ca="1">VLOOKUP($F595,OFFSET(達成条件!$A$1,0,0,COUNTA($A:$A),MATCH(H$1,達成条件!$1:$1,0)-MATCH($F$1,達成条件!$1:$1,0)+1),MATCH(H$1,達成条件!$1:$1,0)-MATCH($F$1,達成条件!$1:$1,0)+1,FALSE)</f>
        <v>通算クリア回数</v>
      </c>
      <c r="I595" s="60" t="s">
        <v>645</v>
      </c>
      <c r="J595" s="54" t="str">
        <f ca="1">IF(F595="specific_unit_aquired_count",SUBSTITUTE(G595,"x",VLOOKUP(INT($I595),OFFSET([3]characters!$A$2,0,0,COUNTA([3]characters!$A:$A),MATCH(J$1,[3]characters!$2:$2,0)-MATCH("character_id",[3]characters!$2:$2,0)+1),MATCH(J$1,[3]characters!$2:$2,0)-MATCH("character_id",[3]characters!$2:$2,0)+1,FALSE)),IF(F595="specific_quest_clear",VLOOKUP(SUBSTITUTE(I595,"-","_"),OFFSET([2]stages!$A$2,0,0,COUNTA([2]stages!$A:$A),MATCH("name",[2]stages!$2:$2,0)-MATCH("temp_stage",[2]stages!$2:$2,0)+1),MATCH("name",[2]stages!$2:$2,0)-MATCH("temp_stage",[2]stages!$2:$2,0)+1,FALSE),""))</f>
        <v/>
      </c>
      <c r="K595" s="15">
        <v>1</v>
      </c>
      <c r="L595" s="15" t="s">
        <v>542</v>
      </c>
      <c r="M595" s="26" t="str">
        <f ca="1">IFERROR(VLOOKUP($L597,OFFSET(missions!$A$2,0,0,COUNTA($A:$A),MATCH(M$1,missions!$2:$2,0)-MATCH("mission_id",missions!$2:$2,0)+1),MATCH(M$1,missions!$2:$2,0)-MATCH("mission_id",missions!$2:$2,0)+1,FALSE),"")</f>
        <v/>
      </c>
      <c r="N595" s="26" t="str">
        <f ca="1">IFERROR(VLOOKUP($L597,OFFSET(missions!$A$2,0,0,COUNTA($A:$A),MATCH(N$1,missions!$2:$2,0)-MATCH("mission_id",missions!$2:$2,0)+1),MATCH(N$1,missions!$2:$2,0)-MATCH("mission_id",missions!$2:$2,0)+1,FALSE),"")</f>
        <v/>
      </c>
    </row>
    <row r="596" spans="1:14" ht="21" customHeight="1" x14ac:dyDescent="0.15">
      <c r="A596" s="2" t="s">
        <v>644</v>
      </c>
      <c r="B596" s="21" t="s">
        <v>792</v>
      </c>
      <c r="C596" s="26" t="str">
        <f t="shared" ca="1" si="64"/>
        <v>クエストを通算 20 回クリアしよう！</v>
      </c>
      <c r="D596" s="26" t="str">
        <f ca="1">IFERROR(VLOOKUP($A596,OFFSET(achievement_criterion_id,0,0,COUNTA($A:$A),MATCH(D$1,missions!$2:$2,0)-MATCH($A$1,missions!$2:$2,0)+1),MATCH(D$1,missions!$2:$2,0)-MATCH($A$1,missions!$2:$2,0)+1,FALSE),IFERROR(VLOOKUP($A596,OFFSET(weekly_achievement_criterion_id,0,0,COUNTA($A:$A),MATCH(D$1,weekly_missions!$2:$2,0)-MATCH($A$1,weekly_missions!$2:$2,0)+1),MATCH(D$1,weekly_missions!$2:$2,0)-MATCH($A$1,weekly_missions!$2:$2,0)+1,FALSE),"＊missions 未設定＊"))</f>
        <v>癒しの果実 x 1</v>
      </c>
      <c r="E596" s="27" t="s">
        <v>864</v>
      </c>
      <c r="F596" s="17" t="s">
        <v>36</v>
      </c>
      <c r="G596" s="26" t="str">
        <f ca="1">VLOOKUP($F596,OFFSET(達成条件!$A$1,0,0,COUNTA($A:$A),MATCH(G$1,達成条件!$1:$1,0)-MATCH($F$1,達成条件!$1:$1,0)+1),MATCH(G$1,達成条件!$1:$1,0)-MATCH($F$1,達成条件!$1:$1,0)+1,FALSE)</f>
        <v>クエストを通算 x 回クリアしよう！</v>
      </c>
      <c r="H596" s="26" t="str">
        <f ca="1">VLOOKUP($F596,OFFSET(達成条件!$A$1,0,0,COUNTA($A:$A),MATCH(H$1,達成条件!$1:$1,0)-MATCH($F$1,達成条件!$1:$1,0)+1),MATCH(H$1,達成条件!$1:$1,0)-MATCH($F$1,達成条件!$1:$1,0)+1,FALSE)</f>
        <v>通算クリア回数</v>
      </c>
      <c r="I596" s="60" t="s">
        <v>645</v>
      </c>
      <c r="J596" s="54" t="str">
        <f ca="1">IF(F596="specific_unit_aquired_count",SUBSTITUTE(G596,"x",VLOOKUP(INT($I596),OFFSET([3]characters!$A$2,0,0,COUNTA([3]characters!$A:$A),MATCH(J$1,[3]characters!$2:$2,0)-MATCH("character_id",[3]characters!$2:$2,0)+1),MATCH(J$1,[3]characters!$2:$2,0)-MATCH("character_id",[3]characters!$2:$2,0)+1,FALSE)),IF(F596="specific_quest_clear",VLOOKUP(SUBSTITUTE(I596,"-","_"),OFFSET([2]stages!$A$2,0,0,COUNTA([2]stages!$A:$A),MATCH("name",[2]stages!$2:$2,0)-MATCH("temp_stage",[2]stages!$2:$2,0)+1),MATCH("name",[2]stages!$2:$2,0)-MATCH("temp_stage",[2]stages!$2:$2,0)+1,FALSE),""))</f>
        <v/>
      </c>
      <c r="K596" s="15">
        <v>1</v>
      </c>
      <c r="L596" s="15" t="s">
        <v>542</v>
      </c>
      <c r="M596" s="26" t="str">
        <f ca="1">IFERROR(VLOOKUP($L598,OFFSET(missions!$A$2,0,0,COUNTA($A:$A),MATCH(M$1,missions!$2:$2,0)-MATCH("mission_id",missions!$2:$2,0)+1),MATCH(M$1,missions!$2:$2,0)-MATCH("mission_id",missions!$2:$2,0)+1,FALSE),"")</f>
        <v/>
      </c>
      <c r="N596" s="26" t="str">
        <f ca="1">IFERROR(VLOOKUP($L598,OFFSET(missions!$A$2,0,0,COUNTA($A:$A),MATCH(N$1,missions!$2:$2,0)-MATCH("mission_id",missions!$2:$2,0)+1),MATCH(N$1,missions!$2:$2,0)-MATCH("mission_id",missions!$2:$2,0)+1,FALSE),"")</f>
        <v/>
      </c>
    </row>
    <row r="597" spans="1:14" ht="21" customHeight="1" x14ac:dyDescent="0.15">
      <c r="A597" s="2" t="s">
        <v>689</v>
      </c>
      <c r="B597" s="21" t="s">
        <v>792</v>
      </c>
      <c r="C597" s="26" t="str">
        <f t="shared" ref="C597:C599" ca="1" si="66">IF(F597="specific_quest_clear",SUBSTITUTE(G597,"x",J597),IF(F597="specific_unit_aquired_count",SUBSTITUTE(J597,"y",K597),SUBSTITUTE(G597,"x",I597)))</f>
        <v>クエストを通算 20 回クリアしよう！</v>
      </c>
      <c r="D597" s="26" t="str">
        <f ca="1">IFERROR(VLOOKUP($A597,OFFSET(achievement_criterion_id,0,0,COUNTA($A:$A),MATCH(D$1,missions!$2:$2,0)-MATCH($A$1,missions!$2:$2,0)+1),MATCH(D$1,missions!$2:$2,0)-MATCH($A$1,missions!$2:$2,0)+1,FALSE),IFERROR(VLOOKUP($A597,OFFSET(weekly_achievement_criterion_id,0,0,COUNTA($A:$A),MATCH(D$1,weekly_missions!$2:$2,0)-MATCH($A$1,weekly_missions!$2:$2,0)+1),MATCH(D$1,weekly_missions!$2:$2,0)-MATCH($A$1,weekly_missions!$2:$2,0)+1,FALSE),"＊missions 未設定＊"))</f>
        <v>癒しの果実 x 3</v>
      </c>
      <c r="E597" s="27" t="s">
        <v>864</v>
      </c>
      <c r="F597" s="17" t="s">
        <v>36</v>
      </c>
      <c r="G597" s="26" t="str">
        <f ca="1">VLOOKUP($F597,OFFSET(達成条件!$A$1,0,0,COUNTA($A:$A),MATCH(G$1,達成条件!$1:$1,0)-MATCH($F$1,達成条件!$1:$1,0)+1),MATCH(G$1,達成条件!$1:$1,0)-MATCH($F$1,達成条件!$1:$1,0)+1,FALSE)</f>
        <v>クエストを通算 x 回クリアしよう！</v>
      </c>
      <c r="H597" s="26" t="str">
        <f ca="1">VLOOKUP($F597,OFFSET(達成条件!$A$1,0,0,COUNTA($A:$A),MATCH(H$1,達成条件!$1:$1,0)-MATCH($F$1,達成条件!$1:$1,0)+1),MATCH(H$1,達成条件!$1:$1,0)-MATCH($F$1,達成条件!$1:$1,0)+1,FALSE)</f>
        <v>通算クリア回数</v>
      </c>
      <c r="I597" s="60" t="s">
        <v>641</v>
      </c>
      <c r="J597" s="54" t="str">
        <f ca="1">IF(F597="specific_unit_aquired_count",SUBSTITUTE(G597,"x",VLOOKUP(INT($I597),OFFSET([3]characters!$A$2,0,0,COUNTA([3]characters!$A:$A),MATCH(J$1,[3]characters!$2:$2,0)-MATCH("character_id",[3]characters!$2:$2,0)+1),MATCH(J$1,[3]characters!$2:$2,0)-MATCH("character_id",[3]characters!$2:$2,0)+1,FALSE)),IF(F597="specific_quest_clear",VLOOKUP(SUBSTITUTE(I597,"-","_"),OFFSET([2]stages!$A$2,0,0,COUNTA([2]stages!$A:$A),MATCH("name",[2]stages!$2:$2,0)-MATCH("temp_stage",[2]stages!$2:$2,0)+1),MATCH("name",[2]stages!$2:$2,0)-MATCH("temp_stage",[2]stages!$2:$2,0)+1,FALSE),""))</f>
        <v/>
      </c>
      <c r="K597" s="15">
        <v>1</v>
      </c>
      <c r="L597" s="15" t="s">
        <v>542</v>
      </c>
      <c r="M597" s="26" t="str">
        <f ca="1">IFERROR(VLOOKUP($L599,OFFSET(missions!$A$2,0,0,COUNTA($A:$A),MATCH(M$1,missions!$2:$2,0)-MATCH("mission_id",missions!$2:$2,0)+1),MATCH(M$1,missions!$2:$2,0)-MATCH("mission_id",missions!$2:$2,0)+1,FALSE),"")</f>
        <v/>
      </c>
      <c r="N597" s="26" t="str">
        <f ca="1">IFERROR(VLOOKUP($L599,OFFSET(missions!$A$2,0,0,COUNTA($A:$A),MATCH(N$1,missions!$2:$2,0)-MATCH("mission_id",missions!$2:$2,0)+1),MATCH(N$1,missions!$2:$2,0)-MATCH("mission_id",missions!$2:$2,0)+1,FALSE),"")</f>
        <v/>
      </c>
    </row>
    <row r="598" spans="1:14" ht="21" customHeight="1" x14ac:dyDescent="0.15">
      <c r="A598" s="2" t="s">
        <v>690</v>
      </c>
      <c r="B598" s="21" t="s">
        <v>792</v>
      </c>
      <c r="C598" s="26" t="str">
        <f t="shared" ca="1" si="66"/>
        <v>クエストを通算 20 回クリアしよう！</v>
      </c>
      <c r="D598" s="26" t="str">
        <f ca="1">IFERROR(VLOOKUP($A598,OFFSET(achievement_criterion_id,0,0,COUNTA($A:$A),MATCH(D$1,missions!$2:$2,0)-MATCH($A$1,missions!$2:$2,0)+1),MATCH(D$1,missions!$2:$2,0)-MATCH($A$1,missions!$2:$2,0)+1,FALSE),IFERROR(VLOOKUP($A598,OFFSET(weekly_achievement_criterion_id,0,0,COUNTA($A:$A),MATCH(D$1,weekly_missions!$2:$2,0)-MATCH($A$1,weekly_missions!$2:$2,0)+1),MATCH(D$1,weekly_missions!$2:$2,0)-MATCH($A$1,weekly_missions!$2:$2,0)+1,FALSE),"＊missions 未設定＊"))</f>
        <v>攻めの果実 x 3</v>
      </c>
      <c r="E598" s="27" t="s">
        <v>864</v>
      </c>
      <c r="F598" s="17" t="s">
        <v>36</v>
      </c>
      <c r="G598" s="26" t="str">
        <f ca="1">VLOOKUP($F598,OFFSET(達成条件!$A$1,0,0,COUNTA($A:$A),MATCH(G$1,達成条件!$1:$1,0)-MATCH($F$1,達成条件!$1:$1,0)+1),MATCH(G$1,達成条件!$1:$1,0)-MATCH($F$1,達成条件!$1:$1,0)+1,FALSE)</f>
        <v>クエストを通算 x 回クリアしよう！</v>
      </c>
      <c r="H598" s="26" t="str">
        <f ca="1">VLOOKUP($F598,OFFSET(達成条件!$A$1,0,0,COUNTA($A:$A),MATCH(H$1,達成条件!$1:$1,0)-MATCH($F$1,達成条件!$1:$1,0)+1),MATCH(H$1,達成条件!$1:$1,0)-MATCH($F$1,達成条件!$1:$1,0)+1,FALSE)</f>
        <v>通算クリア回数</v>
      </c>
      <c r="I598" s="60" t="s">
        <v>641</v>
      </c>
      <c r="J598" s="54" t="str">
        <f ca="1">IF(F598="specific_unit_aquired_count",SUBSTITUTE(G598,"x",VLOOKUP(INT($I598),OFFSET([3]characters!$A$2,0,0,COUNTA([3]characters!$A:$A),MATCH(J$1,[3]characters!$2:$2,0)-MATCH("character_id",[3]characters!$2:$2,0)+1),MATCH(J$1,[3]characters!$2:$2,0)-MATCH("character_id",[3]characters!$2:$2,0)+1,FALSE)),IF(F598="specific_quest_clear",VLOOKUP(SUBSTITUTE(I598,"-","_"),OFFSET([2]stages!$A$2,0,0,COUNTA([2]stages!$A:$A),MATCH("name",[2]stages!$2:$2,0)-MATCH("temp_stage",[2]stages!$2:$2,0)+1),MATCH("name",[2]stages!$2:$2,0)-MATCH("temp_stage",[2]stages!$2:$2,0)+1,FALSE),""))</f>
        <v/>
      </c>
      <c r="K598" s="15">
        <v>1</v>
      </c>
      <c r="L598" s="15" t="s">
        <v>542</v>
      </c>
      <c r="M598" s="26" t="str">
        <f ca="1">IFERROR(VLOOKUP($L600,OFFSET(missions!$A$2,0,0,COUNTA($A:$A),MATCH(M$1,missions!$2:$2,0)-MATCH("mission_id",missions!$2:$2,0)+1),MATCH(M$1,missions!$2:$2,0)-MATCH("mission_id",missions!$2:$2,0)+1,FALSE),"")</f>
        <v/>
      </c>
      <c r="N598" s="26" t="str">
        <f ca="1">IFERROR(VLOOKUP($L600,OFFSET(missions!$A$2,0,0,COUNTA($A:$A),MATCH(N$1,missions!$2:$2,0)-MATCH("mission_id",missions!$2:$2,0)+1),MATCH(N$1,missions!$2:$2,0)-MATCH("mission_id",missions!$2:$2,0)+1,FALSE),"")</f>
        <v/>
      </c>
    </row>
    <row r="599" spans="1:14" ht="21" customHeight="1" x14ac:dyDescent="0.15">
      <c r="A599" s="2" t="s">
        <v>691</v>
      </c>
      <c r="B599" s="21" t="s">
        <v>792</v>
      </c>
      <c r="C599" s="26" t="str">
        <f t="shared" ca="1" si="66"/>
        <v>クエストを通算 20 回クリアしよう！</v>
      </c>
      <c r="D599" s="26" t="str">
        <f ca="1">IFERROR(VLOOKUP($A599,OFFSET(achievement_criterion_id,0,0,COUNTA($A:$A),MATCH(D$1,missions!$2:$2,0)-MATCH($A$1,missions!$2:$2,0)+1),MATCH(D$1,missions!$2:$2,0)-MATCH($A$1,missions!$2:$2,0)+1,FALSE),IFERROR(VLOOKUP($A599,OFFSET(weekly_achievement_criterion_id,0,0,COUNTA($A:$A),MATCH(D$1,weekly_missions!$2:$2,0)-MATCH($A$1,weekly_missions!$2:$2,0)+1),MATCH(D$1,weekly_missions!$2:$2,0)-MATCH($A$1,weekly_missions!$2:$2,0)+1,FALSE),"＊missions 未設定＊"))</f>
        <v>生命の果実 x 3</v>
      </c>
      <c r="E599" s="27" t="s">
        <v>864</v>
      </c>
      <c r="F599" s="17" t="s">
        <v>36</v>
      </c>
      <c r="G599" s="26" t="str">
        <f ca="1">VLOOKUP($F599,OFFSET(達成条件!$A$1,0,0,COUNTA($A:$A),MATCH(G$1,達成条件!$1:$1,0)-MATCH($F$1,達成条件!$1:$1,0)+1),MATCH(G$1,達成条件!$1:$1,0)-MATCH($F$1,達成条件!$1:$1,0)+1,FALSE)</f>
        <v>クエストを通算 x 回クリアしよう！</v>
      </c>
      <c r="H599" s="26" t="str">
        <f ca="1">VLOOKUP($F599,OFFSET(達成条件!$A$1,0,0,COUNTA($A:$A),MATCH(H$1,達成条件!$1:$1,0)-MATCH($F$1,達成条件!$1:$1,0)+1),MATCH(H$1,達成条件!$1:$1,0)-MATCH($F$1,達成条件!$1:$1,0)+1,FALSE)</f>
        <v>通算クリア回数</v>
      </c>
      <c r="I599" s="60" t="s">
        <v>641</v>
      </c>
      <c r="J599" s="54" t="str">
        <f ca="1">IF(F599="specific_unit_aquired_count",SUBSTITUTE(G599,"x",VLOOKUP(INT($I599),OFFSET([3]characters!$A$2,0,0,COUNTA([3]characters!$A:$A),MATCH(J$1,[3]characters!$2:$2,0)-MATCH("character_id",[3]characters!$2:$2,0)+1),MATCH(J$1,[3]characters!$2:$2,0)-MATCH("character_id",[3]characters!$2:$2,0)+1,FALSE)),IF(F599="specific_quest_clear",VLOOKUP(SUBSTITUTE(I599,"-","_"),OFFSET([2]stages!$A$2,0,0,COUNTA([2]stages!$A:$A),MATCH("name",[2]stages!$2:$2,0)-MATCH("temp_stage",[2]stages!$2:$2,0)+1),MATCH("name",[2]stages!$2:$2,0)-MATCH("temp_stage",[2]stages!$2:$2,0)+1,FALSE),""))</f>
        <v/>
      </c>
      <c r="K599" s="15">
        <v>1</v>
      </c>
      <c r="L599" s="15" t="s">
        <v>542</v>
      </c>
      <c r="M599" s="26" t="str">
        <f ca="1">IFERROR(VLOOKUP($L601,OFFSET(missions!$A$2,0,0,COUNTA($A:$A),MATCH(M$1,missions!$2:$2,0)-MATCH("mission_id",missions!$2:$2,0)+1),MATCH(M$1,missions!$2:$2,0)-MATCH("mission_id",missions!$2:$2,0)+1,FALSE),"")</f>
        <v/>
      </c>
      <c r="N599" s="26" t="str">
        <f ca="1">IFERROR(VLOOKUP($L601,OFFSET(missions!$A$2,0,0,COUNTA($A:$A),MATCH(N$1,missions!$2:$2,0)-MATCH("mission_id",missions!$2:$2,0)+1),MATCH(N$1,missions!$2:$2,0)-MATCH("mission_id",missions!$2:$2,0)+1,FALSE),"")</f>
        <v/>
      </c>
    </row>
    <row r="600" spans="1:14" ht="21" customHeight="1" x14ac:dyDescent="0.15">
      <c r="A600" s="2" t="s">
        <v>647</v>
      </c>
      <c r="B600" s="21" t="s">
        <v>792</v>
      </c>
      <c r="C600" s="26" t="str">
        <f t="shared" ca="1" si="64"/>
        <v>マルチプレイを 20 回プレイしよう！</v>
      </c>
      <c r="D600" s="26" t="str">
        <f ca="1">IFERROR(VLOOKUP($A600,OFFSET(achievement_criterion_id,0,0,COUNTA($A:$A),MATCH(D$1,missions!$2:$2,0)-MATCH($A$1,missions!$2:$2,0)+1),MATCH(D$1,missions!$2:$2,0)-MATCH($A$1,missions!$2:$2,0)+1,FALSE),IFERROR(VLOOKUP($A600,OFFSET(weekly_achievement_criterion_id,0,0,COUNTA($A:$A),MATCH(D$1,weekly_missions!$2:$2,0)-MATCH($A$1,weekly_missions!$2:$2,0)+1),MATCH(D$1,weekly_missions!$2:$2,0)-MATCH($A$1,weekly_missions!$2:$2,0)+1,FALSE),"＊missions 未設定＊"))</f>
        <v>癒しの果実 x 1</v>
      </c>
      <c r="E600" s="27" t="s">
        <v>864</v>
      </c>
      <c r="F600" s="17" t="s">
        <v>22</v>
      </c>
      <c r="G600" s="26" t="str">
        <f ca="1">VLOOKUP($F600,OFFSET(達成条件!$A$1,0,0,COUNTA($A:$A),MATCH(G$1,達成条件!$1:$1,0)-MATCH($F$1,達成条件!$1:$1,0)+1),MATCH(G$1,達成条件!$1:$1,0)-MATCH($F$1,達成条件!$1:$1,0)+1,FALSE)</f>
        <v>マルチプレイを x 回プレイしよう！</v>
      </c>
      <c r="H600" s="26" t="str">
        <f ca="1">VLOOKUP($F600,OFFSET(達成条件!$A$1,0,0,COUNTA($A:$A),MATCH(H$1,達成条件!$1:$1,0)-MATCH($F$1,達成条件!$1:$1,0)+1),MATCH(H$1,達成条件!$1:$1,0)-MATCH($F$1,達成条件!$1:$1,0)+1,FALSE)</f>
        <v>マルチプレイプレイ回数</v>
      </c>
      <c r="I600" s="60" t="s">
        <v>645</v>
      </c>
      <c r="J600" s="54" t="str">
        <f ca="1">IF(F600="specific_unit_aquired_count",SUBSTITUTE(G600,"x",VLOOKUP(INT($I600),OFFSET([3]characters!$A$2,0,0,COUNTA([3]characters!$A:$A),MATCH(J$1,[3]characters!$2:$2,0)-MATCH("character_id",[3]characters!$2:$2,0)+1),MATCH(J$1,[3]characters!$2:$2,0)-MATCH("character_id",[3]characters!$2:$2,0)+1,FALSE)),IF(F600="specific_quest_clear",VLOOKUP(SUBSTITUTE(I600,"-","_"),OFFSET([2]stages!$A$2,0,0,COUNTA([2]stages!$A:$A),MATCH("name",[2]stages!$2:$2,0)-MATCH("temp_stage",[2]stages!$2:$2,0)+1),MATCH("name",[2]stages!$2:$2,0)-MATCH("temp_stage",[2]stages!$2:$2,0)+1,FALSE),""))</f>
        <v/>
      </c>
      <c r="K600" s="15">
        <v>1</v>
      </c>
      <c r="L600" s="15" t="s">
        <v>542</v>
      </c>
      <c r="M600" s="26" t="str">
        <f ca="1">IFERROR(VLOOKUP($L602,OFFSET(missions!$A$2,0,0,COUNTA($A:$A),MATCH(M$1,missions!$2:$2,0)-MATCH("mission_id",missions!$2:$2,0)+1),MATCH(M$1,missions!$2:$2,0)-MATCH("mission_id",missions!$2:$2,0)+1,FALSE),"")</f>
        <v/>
      </c>
      <c r="N600" s="26" t="str">
        <f ca="1">IFERROR(VLOOKUP($L602,OFFSET(missions!$A$2,0,0,COUNTA($A:$A),MATCH(N$1,missions!$2:$2,0)-MATCH("mission_id",missions!$2:$2,0)+1),MATCH(N$1,missions!$2:$2,0)-MATCH("mission_id",missions!$2:$2,0)+1,FALSE),"")</f>
        <v/>
      </c>
    </row>
    <row r="601" spans="1:14" ht="21" customHeight="1" x14ac:dyDescent="0.15">
      <c r="A601" s="2" t="s">
        <v>648</v>
      </c>
      <c r="B601" s="21" t="s">
        <v>792</v>
      </c>
      <c r="C601" s="26" t="str">
        <f t="shared" ca="1" si="64"/>
        <v>マルチプレイを 20 回プレイしよう！</v>
      </c>
      <c r="D601" s="26" t="str">
        <f ca="1">IFERROR(VLOOKUP($A601,OFFSET(achievement_criterion_id,0,0,COUNTA($A:$A),MATCH(D$1,missions!$2:$2,0)-MATCH($A$1,missions!$2:$2,0)+1),MATCH(D$1,missions!$2:$2,0)-MATCH($A$1,missions!$2:$2,0)+1,FALSE),IFERROR(VLOOKUP($A601,OFFSET(weekly_achievement_criterion_id,0,0,COUNTA($A:$A),MATCH(D$1,weekly_missions!$2:$2,0)-MATCH($A$1,weekly_missions!$2:$2,0)+1),MATCH(D$1,weekly_missions!$2:$2,0)-MATCH($A$1,weekly_missions!$2:$2,0)+1,FALSE),"＊missions 未設定＊"))</f>
        <v>攻めの果実 x 1</v>
      </c>
      <c r="E601" s="27" t="s">
        <v>864</v>
      </c>
      <c r="F601" s="17" t="s">
        <v>22</v>
      </c>
      <c r="G601" s="26" t="str">
        <f ca="1">VLOOKUP($F601,OFFSET(達成条件!$A$1,0,0,COUNTA($A:$A),MATCH(G$1,達成条件!$1:$1,0)-MATCH($F$1,達成条件!$1:$1,0)+1),MATCH(G$1,達成条件!$1:$1,0)-MATCH($F$1,達成条件!$1:$1,0)+1,FALSE)</f>
        <v>マルチプレイを x 回プレイしよう！</v>
      </c>
      <c r="H601" s="26" t="str">
        <f ca="1">VLOOKUP($F601,OFFSET(達成条件!$A$1,0,0,COUNTA($A:$A),MATCH(H$1,達成条件!$1:$1,0)-MATCH($F$1,達成条件!$1:$1,0)+1),MATCH(H$1,達成条件!$1:$1,0)-MATCH($F$1,達成条件!$1:$1,0)+1,FALSE)</f>
        <v>マルチプレイプレイ回数</v>
      </c>
      <c r="I601" s="60" t="s">
        <v>645</v>
      </c>
      <c r="J601" s="54" t="str">
        <f ca="1">IF(F601="specific_unit_aquired_count",SUBSTITUTE(G601,"x",VLOOKUP(INT($I601),OFFSET([3]characters!$A$2,0,0,COUNTA([3]characters!$A:$A),MATCH(J$1,[3]characters!$2:$2,0)-MATCH("character_id",[3]characters!$2:$2,0)+1),MATCH(J$1,[3]characters!$2:$2,0)-MATCH("character_id",[3]characters!$2:$2,0)+1,FALSE)),IF(F601="specific_quest_clear",VLOOKUP(SUBSTITUTE(I601,"-","_"),OFFSET([2]stages!$A$2,0,0,COUNTA([2]stages!$A:$A),MATCH("name",[2]stages!$2:$2,0)-MATCH("temp_stage",[2]stages!$2:$2,0)+1),MATCH("name",[2]stages!$2:$2,0)-MATCH("temp_stage",[2]stages!$2:$2,0)+1,FALSE),""))</f>
        <v/>
      </c>
      <c r="K601" s="15">
        <v>1</v>
      </c>
      <c r="L601" s="15" t="s">
        <v>542</v>
      </c>
      <c r="M601" s="26" t="str">
        <f ca="1">IFERROR(VLOOKUP($L603,OFFSET(missions!$A$2,0,0,COUNTA($A:$A),MATCH(M$1,missions!$2:$2,0)-MATCH("mission_id",missions!$2:$2,0)+1),MATCH(M$1,missions!$2:$2,0)-MATCH("mission_id",missions!$2:$2,0)+1,FALSE),"")</f>
        <v/>
      </c>
      <c r="N601" s="26" t="str">
        <f ca="1">IFERROR(VLOOKUP($L603,OFFSET(missions!$A$2,0,0,COUNTA($A:$A),MATCH(N$1,missions!$2:$2,0)-MATCH("mission_id",missions!$2:$2,0)+1),MATCH(N$1,missions!$2:$2,0)-MATCH("mission_id",missions!$2:$2,0)+1,FALSE),"")</f>
        <v/>
      </c>
    </row>
    <row r="602" spans="1:14" ht="21" customHeight="1" x14ac:dyDescent="0.15">
      <c r="A602" s="2" t="s">
        <v>649</v>
      </c>
      <c r="B602" s="21" t="s">
        <v>792</v>
      </c>
      <c r="C602" s="26" t="str">
        <f t="shared" ca="1" si="64"/>
        <v>マルチプレイを 20 回プレイしよう！</v>
      </c>
      <c r="D602" s="26" t="str">
        <f ca="1">IFERROR(VLOOKUP($A602,OFFSET(achievement_criterion_id,0,0,COUNTA($A:$A),MATCH(D$1,missions!$2:$2,0)-MATCH($A$1,missions!$2:$2,0)+1),MATCH(D$1,missions!$2:$2,0)-MATCH($A$1,missions!$2:$2,0)+1,FALSE),IFERROR(VLOOKUP($A602,OFFSET(weekly_achievement_criterion_id,0,0,COUNTA($A:$A),MATCH(D$1,weekly_missions!$2:$2,0)-MATCH($A$1,weekly_missions!$2:$2,0)+1),MATCH(D$1,weekly_missions!$2:$2,0)-MATCH($A$1,weekly_missions!$2:$2,0)+1,FALSE),"＊missions 未設定＊"))</f>
        <v>生命の果実 x 1</v>
      </c>
      <c r="E602" s="27" t="s">
        <v>864</v>
      </c>
      <c r="F602" s="17" t="s">
        <v>22</v>
      </c>
      <c r="G602" s="26" t="str">
        <f ca="1">VLOOKUP($F602,OFFSET(達成条件!$A$1,0,0,COUNTA($A:$A),MATCH(G$1,達成条件!$1:$1,0)-MATCH($F$1,達成条件!$1:$1,0)+1),MATCH(G$1,達成条件!$1:$1,0)-MATCH($F$1,達成条件!$1:$1,0)+1,FALSE)</f>
        <v>マルチプレイを x 回プレイしよう！</v>
      </c>
      <c r="H602" s="26" t="str">
        <f ca="1">VLOOKUP($F602,OFFSET(達成条件!$A$1,0,0,COUNTA($A:$A),MATCH(H$1,達成条件!$1:$1,0)-MATCH($F$1,達成条件!$1:$1,0)+1),MATCH(H$1,達成条件!$1:$1,0)-MATCH($F$1,達成条件!$1:$1,0)+1,FALSE)</f>
        <v>マルチプレイプレイ回数</v>
      </c>
      <c r="I602" s="60" t="s">
        <v>645</v>
      </c>
      <c r="J602" s="54" t="str">
        <f ca="1">IF(F602="specific_unit_aquired_count",SUBSTITUTE(G602,"x",VLOOKUP(INT($I602),OFFSET([3]characters!$A$2,0,0,COUNTA([3]characters!$A:$A),MATCH(J$1,[3]characters!$2:$2,0)-MATCH("character_id",[3]characters!$2:$2,0)+1),MATCH(J$1,[3]characters!$2:$2,0)-MATCH("character_id",[3]characters!$2:$2,0)+1,FALSE)),IF(F602="specific_quest_clear",VLOOKUP(SUBSTITUTE(I602,"-","_"),OFFSET([2]stages!$A$2,0,0,COUNTA([2]stages!$A:$A),MATCH("name",[2]stages!$2:$2,0)-MATCH("temp_stage",[2]stages!$2:$2,0)+1),MATCH("name",[2]stages!$2:$2,0)-MATCH("temp_stage",[2]stages!$2:$2,0)+1,FALSE),""))</f>
        <v/>
      </c>
      <c r="K602" s="15">
        <v>1</v>
      </c>
      <c r="L602" s="15" t="s">
        <v>542</v>
      </c>
      <c r="M602" s="26" t="str">
        <f ca="1">IFERROR(VLOOKUP($L604,OFFSET(missions!$A$2,0,0,COUNTA($A:$A),MATCH(M$1,missions!$2:$2,0)-MATCH("mission_id",missions!$2:$2,0)+1),MATCH(M$1,missions!$2:$2,0)-MATCH("mission_id",missions!$2:$2,0)+1,FALSE),"")</f>
        <v/>
      </c>
      <c r="N602" s="26" t="str">
        <f ca="1">IFERROR(VLOOKUP($L604,OFFSET(missions!$A$2,0,0,COUNTA($A:$A),MATCH(N$1,missions!$2:$2,0)-MATCH("mission_id",missions!$2:$2,0)+1),MATCH(N$1,missions!$2:$2,0)-MATCH("mission_id",missions!$2:$2,0)+1,FALSE),"")</f>
        <v/>
      </c>
    </row>
    <row r="603" spans="1:14" ht="21" customHeight="1" x14ac:dyDescent="0.15">
      <c r="A603" s="2" t="s">
        <v>693</v>
      </c>
      <c r="B603" s="21" t="s">
        <v>792</v>
      </c>
      <c r="C603" s="26" t="str">
        <f t="shared" ref="C603:C666" ca="1" si="67">IF(F603="specific_quest_clear",SUBSTITUTE(G603,"x",J603),IF(F603="specific_unit_aquired_count",SUBSTITUTE(J603,"y",K603),SUBSTITUTE(G603,"x",I603)))</f>
        <v>マルチプレイを 20 回プレイしよう！</v>
      </c>
      <c r="D603" s="26" t="str">
        <f ca="1">IFERROR(VLOOKUP($A603,OFFSET(achievement_criterion_id,0,0,COUNTA($A:$A),MATCH(D$1,missions!$2:$2,0)-MATCH($A$1,missions!$2:$2,0)+1),MATCH(D$1,missions!$2:$2,0)-MATCH($A$1,missions!$2:$2,0)+1,FALSE),IFERROR(VLOOKUP($A603,OFFSET(weekly_achievement_criterion_id,0,0,COUNTA($A:$A),MATCH(D$1,weekly_missions!$2:$2,0)-MATCH($A$1,weekly_missions!$2:$2,0)+1),MATCH(D$1,weekly_missions!$2:$2,0)-MATCH($A$1,weekly_missions!$2:$2,0)+1,FALSE),"＊missions 未設定＊"))</f>
        <v>攻めの果実 x 3</v>
      </c>
      <c r="E603" s="27" t="s">
        <v>864</v>
      </c>
      <c r="F603" s="17" t="s">
        <v>22</v>
      </c>
      <c r="G603" s="26" t="str">
        <f ca="1">VLOOKUP($F603,OFFSET(達成条件!$A$1,0,0,COUNTA($A:$A),MATCH(G$1,達成条件!$1:$1,0)-MATCH($F$1,達成条件!$1:$1,0)+1),MATCH(G$1,達成条件!$1:$1,0)-MATCH($F$1,達成条件!$1:$1,0)+1,FALSE)</f>
        <v>マルチプレイを x 回プレイしよう！</v>
      </c>
      <c r="H603" s="26" t="str">
        <f ca="1">VLOOKUP($F603,OFFSET(達成条件!$A$1,0,0,COUNTA($A:$A),MATCH(H$1,達成条件!$1:$1,0)-MATCH($F$1,達成条件!$1:$1,0)+1),MATCH(H$1,達成条件!$1:$1,0)-MATCH($F$1,達成条件!$1:$1,0)+1,FALSE)</f>
        <v>マルチプレイプレイ回数</v>
      </c>
      <c r="I603" s="60" t="s">
        <v>641</v>
      </c>
      <c r="J603" s="54" t="str">
        <f ca="1">IF(F603="specific_unit_aquired_count",SUBSTITUTE(G603,"x",VLOOKUP(INT($I603),OFFSET([3]characters!$A$2,0,0,COUNTA([3]characters!$A:$A),MATCH(J$1,[3]characters!$2:$2,0)-MATCH("character_id",[3]characters!$2:$2,0)+1),MATCH(J$1,[3]characters!$2:$2,0)-MATCH("character_id",[3]characters!$2:$2,0)+1,FALSE)),IF(F603="specific_quest_clear",VLOOKUP(SUBSTITUTE(I603,"-","_"),OFFSET([2]stages!$A$2,0,0,COUNTA([2]stages!$A:$A),MATCH("name",[2]stages!$2:$2,0)-MATCH("temp_stage",[2]stages!$2:$2,0)+1),MATCH("name",[2]stages!$2:$2,0)-MATCH("temp_stage",[2]stages!$2:$2,0)+1,FALSE),""))</f>
        <v/>
      </c>
      <c r="K603" s="15">
        <v>1</v>
      </c>
      <c r="L603" s="15" t="s">
        <v>542</v>
      </c>
      <c r="M603" s="26" t="str">
        <f ca="1">IFERROR(VLOOKUP($L605,OFFSET(missions!$A$2,0,0,COUNTA($A:$A),MATCH(M$1,missions!$2:$2,0)-MATCH("mission_id",missions!$2:$2,0)+1),MATCH(M$1,missions!$2:$2,0)-MATCH("mission_id",missions!$2:$2,0)+1,FALSE),"")</f>
        <v/>
      </c>
      <c r="N603" s="26" t="str">
        <f ca="1">IFERROR(VLOOKUP($L605,OFFSET(missions!$A$2,0,0,COUNTA($A:$A),MATCH(N$1,missions!$2:$2,0)-MATCH("mission_id",missions!$2:$2,0)+1),MATCH(N$1,missions!$2:$2,0)-MATCH("mission_id",missions!$2:$2,0)+1,FALSE),"")</f>
        <v/>
      </c>
    </row>
    <row r="604" spans="1:14" ht="21" customHeight="1" x14ac:dyDescent="0.15">
      <c r="A604" s="2" t="s">
        <v>694</v>
      </c>
      <c r="B604" s="21" t="s">
        <v>792</v>
      </c>
      <c r="C604" s="26" t="str">
        <f t="shared" ca="1" si="67"/>
        <v>マルチプレイを 20 回プレイしよう！</v>
      </c>
      <c r="D604" s="26" t="str">
        <f ca="1">IFERROR(VLOOKUP($A604,OFFSET(achievement_criterion_id,0,0,COUNTA($A:$A),MATCH(D$1,missions!$2:$2,0)-MATCH($A$1,missions!$2:$2,0)+1),MATCH(D$1,missions!$2:$2,0)-MATCH($A$1,missions!$2:$2,0)+1,FALSE),IFERROR(VLOOKUP($A604,OFFSET(weekly_achievement_criterion_id,0,0,COUNTA($A:$A),MATCH(D$1,weekly_missions!$2:$2,0)-MATCH($A$1,weekly_missions!$2:$2,0)+1),MATCH(D$1,weekly_missions!$2:$2,0)-MATCH($A$1,weekly_missions!$2:$2,0)+1,FALSE),"＊missions 未設定＊"))</f>
        <v>生命の果実 x 3</v>
      </c>
      <c r="E604" s="27" t="s">
        <v>864</v>
      </c>
      <c r="F604" s="17" t="s">
        <v>22</v>
      </c>
      <c r="G604" s="26" t="str">
        <f ca="1">VLOOKUP($F604,OFFSET(達成条件!$A$1,0,0,COUNTA($A:$A),MATCH(G$1,達成条件!$1:$1,0)-MATCH($F$1,達成条件!$1:$1,0)+1),MATCH(G$1,達成条件!$1:$1,0)-MATCH($F$1,達成条件!$1:$1,0)+1,FALSE)</f>
        <v>マルチプレイを x 回プレイしよう！</v>
      </c>
      <c r="H604" s="26" t="str">
        <f ca="1">VLOOKUP($F604,OFFSET(達成条件!$A$1,0,0,COUNTA($A:$A),MATCH(H$1,達成条件!$1:$1,0)-MATCH($F$1,達成条件!$1:$1,0)+1),MATCH(H$1,達成条件!$1:$1,0)-MATCH($F$1,達成条件!$1:$1,0)+1,FALSE)</f>
        <v>マルチプレイプレイ回数</v>
      </c>
      <c r="I604" s="60" t="s">
        <v>641</v>
      </c>
      <c r="J604" s="54" t="str">
        <f ca="1">IF(F604="specific_unit_aquired_count",SUBSTITUTE(G604,"x",VLOOKUP(INT($I604),OFFSET([3]characters!$A$2,0,0,COUNTA([3]characters!$A:$A),MATCH(J$1,[3]characters!$2:$2,0)-MATCH("character_id",[3]characters!$2:$2,0)+1),MATCH(J$1,[3]characters!$2:$2,0)-MATCH("character_id",[3]characters!$2:$2,0)+1,FALSE)),IF(F604="specific_quest_clear",VLOOKUP(SUBSTITUTE(I604,"-","_"),OFFSET([2]stages!$A$2,0,0,COUNTA([2]stages!$A:$A),MATCH("name",[2]stages!$2:$2,0)-MATCH("temp_stage",[2]stages!$2:$2,0)+1),MATCH("name",[2]stages!$2:$2,0)-MATCH("temp_stage",[2]stages!$2:$2,0)+1,FALSE),""))</f>
        <v/>
      </c>
      <c r="K604" s="15">
        <v>1</v>
      </c>
      <c r="L604" s="15" t="s">
        <v>542</v>
      </c>
      <c r="M604" s="26" t="str">
        <f ca="1">IFERROR(VLOOKUP($L606,OFFSET(missions!$A$2,0,0,COUNTA($A:$A),MATCH(M$1,missions!$2:$2,0)-MATCH("mission_id",missions!$2:$2,0)+1),MATCH(M$1,missions!$2:$2,0)-MATCH("mission_id",missions!$2:$2,0)+1,FALSE),"")</f>
        <v/>
      </c>
      <c r="N604" s="26" t="str">
        <f ca="1">IFERROR(VLOOKUP($L606,OFFSET(missions!$A$2,0,0,COUNTA($A:$A),MATCH(N$1,missions!$2:$2,0)-MATCH("mission_id",missions!$2:$2,0)+1),MATCH(N$1,missions!$2:$2,0)-MATCH("mission_id",missions!$2:$2,0)+1,FALSE),"")</f>
        <v/>
      </c>
    </row>
    <row r="605" spans="1:14" ht="21" customHeight="1" x14ac:dyDescent="0.15">
      <c r="A605" s="2" t="s">
        <v>695</v>
      </c>
      <c r="B605" s="21" t="s">
        <v>792</v>
      </c>
      <c r="C605" s="26" t="str">
        <f t="shared" ca="1" si="67"/>
        <v>マルチプレイを 20 回プレイしよう！</v>
      </c>
      <c r="D605" s="26" t="str">
        <f ca="1">IFERROR(VLOOKUP($A605,OFFSET(achievement_criterion_id,0,0,COUNTA($A:$A),MATCH(D$1,missions!$2:$2,0)-MATCH($A$1,missions!$2:$2,0)+1),MATCH(D$1,missions!$2:$2,0)-MATCH($A$1,missions!$2:$2,0)+1,FALSE),IFERROR(VLOOKUP($A605,OFFSET(weekly_achievement_criterion_id,0,0,COUNTA($A:$A),MATCH(D$1,weekly_missions!$2:$2,0)-MATCH($A$1,weekly_missions!$2:$2,0)+1),MATCH(D$1,weekly_missions!$2:$2,0)-MATCH($A$1,weekly_missions!$2:$2,0)+1,FALSE),"＊missions 未設定＊"))</f>
        <v>癒しの果実 x 3</v>
      </c>
      <c r="E605" s="27" t="s">
        <v>864</v>
      </c>
      <c r="F605" s="17" t="s">
        <v>22</v>
      </c>
      <c r="G605" s="26" t="str">
        <f ca="1">VLOOKUP($F605,OFFSET(達成条件!$A$1,0,0,COUNTA($A:$A),MATCH(G$1,達成条件!$1:$1,0)-MATCH($F$1,達成条件!$1:$1,0)+1),MATCH(G$1,達成条件!$1:$1,0)-MATCH($F$1,達成条件!$1:$1,0)+1,FALSE)</f>
        <v>マルチプレイを x 回プレイしよう！</v>
      </c>
      <c r="H605" s="26" t="str">
        <f ca="1">VLOOKUP($F605,OFFSET(達成条件!$A$1,0,0,COUNTA($A:$A),MATCH(H$1,達成条件!$1:$1,0)-MATCH($F$1,達成条件!$1:$1,0)+1),MATCH(H$1,達成条件!$1:$1,0)-MATCH($F$1,達成条件!$1:$1,0)+1,FALSE)</f>
        <v>マルチプレイプレイ回数</v>
      </c>
      <c r="I605" s="60" t="s">
        <v>641</v>
      </c>
      <c r="J605" s="54" t="str">
        <f ca="1">IF(F605="specific_unit_aquired_count",SUBSTITUTE(G605,"x",VLOOKUP(INT($I605),OFFSET([3]characters!$A$2,0,0,COUNTA([3]characters!$A:$A),MATCH(J$1,[3]characters!$2:$2,0)-MATCH("character_id",[3]characters!$2:$2,0)+1),MATCH(J$1,[3]characters!$2:$2,0)-MATCH("character_id",[3]characters!$2:$2,0)+1,FALSE)),IF(F605="specific_quest_clear",VLOOKUP(SUBSTITUTE(I605,"-","_"),OFFSET([2]stages!$A$2,0,0,COUNTA([2]stages!$A:$A),MATCH("name",[2]stages!$2:$2,0)-MATCH("temp_stage",[2]stages!$2:$2,0)+1),MATCH("name",[2]stages!$2:$2,0)-MATCH("temp_stage",[2]stages!$2:$2,0)+1,FALSE),""))</f>
        <v/>
      </c>
      <c r="K605" s="15">
        <v>1</v>
      </c>
      <c r="L605" s="15" t="s">
        <v>542</v>
      </c>
      <c r="M605" s="26" t="str">
        <f ca="1">IFERROR(VLOOKUP($L664,OFFSET(missions!$A$2,0,0,COUNTA($A:$A),MATCH(M$1,missions!$2:$2,0)-MATCH("mission_id",missions!$2:$2,0)+1),MATCH(M$1,missions!$2:$2,0)-MATCH("mission_id",missions!$2:$2,0)+1,FALSE),"")</f>
        <v/>
      </c>
      <c r="N605" s="26" t="str">
        <f ca="1">IFERROR(VLOOKUP($L664,OFFSET(missions!$A$2,0,0,COUNTA($A:$A),MATCH(N$1,missions!$2:$2,0)-MATCH("mission_id",missions!$2:$2,0)+1),MATCH(N$1,missions!$2:$2,0)-MATCH("mission_id",missions!$2:$2,0)+1,FALSE),"")</f>
        <v/>
      </c>
    </row>
    <row r="606" spans="1:14" ht="21" customHeight="1" x14ac:dyDescent="0.15">
      <c r="A606" s="2" t="s">
        <v>858</v>
      </c>
      <c r="B606" s="21" t="s">
        <v>792</v>
      </c>
      <c r="C606" s="26" t="str">
        <f t="shared" ref="C606:C607" ca="1" si="68">IF(F606="specific_quest_clear",SUBSTITUTE(G606,"x",J606),IF(F606="specific_unit_aquired_count",SUBSTITUTE(J606,"y",K606),SUBSTITUTE(G606,"x",I606)))</f>
        <v>マルチプレイを 30 回プレイしよう！</v>
      </c>
      <c r="D606" s="26" t="str">
        <f ca="1">IFERROR(VLOOKUP($A606,OFFSET(achievement_criterion_id,0,0,COUNTA($A:$A),MATCH(D$1,missions!$2:$2,0)-MATCH($A$1,missions!$2:$2,0)+1),MATCH(D$1,missions!$2:$2,0)-MATCH($A$1,missions!$2:$2,0)+1,FALSE),IFERROR(VLOOKUP($A606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606" s="27" t="s">
        <v>864</v>
      </c>
      <c r="F606" s="17" t="s">
        <v>22</v>
      </c>
      <c r="G606" s="26" t="str">
        <f ca="1">VLOOKUP($F606,OFFSET(達成条件!$A$1,0,0,COUNTA($A:$A),MATCH(G$1,達成条件!$1:$1,0)-MATCH($F$1,達成条件!$1:$1,0)+1),MATCH(G$1,達成条件!$1:$1,0)-MATCH($F$1,達成条件!$1:$1,0)+1,FALSE)</f>
        <v>マルチプレイを x 回プレイしよう！</v>
      </c>
      <c r="H606" s="26" t="str">
        <f ca="1">VLOOKUP($F606,OFFSET(達成条件!$A$1,0,0,COUNTA($A:$A),MATCH(H$1,達成条件!$1:$1,0)-MATCH($F$1,達成条件!$1:$1,0)+1),MATCH(H$1,達成条件!$1:$1,0)-MATCH($F$1,達成条件!$1:$1,0)+1,FALSE)</f>
        <v>マルチプレイプレイ回数</v>
      </c>
      <c r="I606" s="60" t="s">
        <v>859</v>
      </c>
      <c r="J606" s="54" t="str">
        <f ca="1">IF(F606="specific_unit_aquired_count",SUBSTITUTE(G606,"x",VLOOKUP(INT($I606),OFFSET([3]characters!$A$2,0,0,COUNTA([3]characters!$A:$A),MATCH(J$1,[3]characters!$2:$2,0)-MATCH("character_id",[3]characters!$2:$2,0)+1),MATCH(J$1,[3]characters!$2:$2,0)-MATCH("character_id",[3]characters!$2:$2,0)+1,FALSE)),IF(F606="specific_quest_clear",VLOOKUP(SUBSTITUTE(I606,"-","_"),OFFSET([2]stages!$A$2,0,0,COUNTA([2]stages!$A:$A),MATCH("name",[2]stages!$2:$2,0)-MATCH("temp_stage",[2]stages!$2:$2,0)+1),MATCH("name",[2]stages!$2:$2,0)-MATCH("temp_stage",[2]stages!$2:$2,0)+1,FALSE),""))</f>
        <v/>
      </c>
      <c r="K606" s="15">
        <v>1</v>
      </c>
      <c r="L606" s="15" t="s">
        <v>542</v>
      </c>
      <c r="M606" s="26" t="str">
        <f ca="1">IFERROR(VLOOKUP($L665,OFFSET(missions!$A$2,0,0,COUNTA($A:$A),MATCH(M$1,missions!$2:$2,0)-MATCH("mission_id",missions!$2:$2,0)+1),MATCH(M$1,missions!$2:$2,0)-MATCH("mission_id",missions!$2:$2,0)+1,FALSE),"")</f>
        <v/>
      </c>
      <c r="N606" s="26" t="str">
        <f ca="1">IFERROR(VLOOKUP($L665,OFFSET(missions!$A$2,0,0,COUNTA($A:$A),MATCH(N$1,missions!$2:$2,0)-MATCH("mission_id",missions!$2:$2,0)+1),MATCH(N$1,missions!$2:$2,0)-MATCH("mission_id",missions!$2:$2,0)+1,FALSE),"")</f>
        <v/>
      </c>
    </row>
    <row r="607" spans="1:14" ht="21" customHeight="1" x14ac:dyDescent="0.15">
      <c r="A607" s="2" t="s">
        <v>1169</v>
      </c>
      <c r="B607" s="21" t="s">
        <v>792</v>
      </c>
      <c r="C607" s="26" t="str">
        <f t="shared" ca="1" si="68"/>
        <v>クエストを通算 3 回クリアしよう！</v>
      </c>
      <c r="D607" s="26" t="str">
        <f ca="1">IFERROR(VLOOKUP($A607,OFFSET(achievement_criterion_id,0,0,COUNTA($A:$A),MATCH(D$1,missions!$2:$2,0)-MATCH($A$1,missions!$2:$2,0)+1),MATCH(D$1,missions!$2:$2,0)-MATCH($A$1,missions!$2:$2,0)+1,FALSE),IFERROR(VLOOKUP($A607,OFFSET(weekly_achievement_criterion_id,0,0,COUNTA($A:$A),MATCH(D$1,weekly_missions!$2:$2,0)-MATCH($A$1,weekly_missions!$2:$2,0)+1),MATCH(D$1,weekly_missions!$2:$2,0)-MATCH($A$1,weekly_missions!$2:$2,0)+1,FALSE),"＊missions 未設定＊"))</f>
        <v>メガ攻めの果実 x 1</v>
      </c>
      <c r="E607" s="27" t="s">
        <v>864</v>
      </c>
      <c r="F607" s="17" t="s">
        <v>36</v>
      </c>
      <c r="G607" s="26" t="str">
        <f ca="1">VLOOKUP($F607,OFFSET(達成条件!$A$1,0,0,COUNTA($A:$A),MATCH(G$1,達成条件!$1:$1,0)-MATCH($F$1,達成条件!$1:$1,0)+1),MATCH(G$1,達成条件!$1:$1,0)-MATCH($F$1,達成条件!$1:$1,0)+1,FALSE)</f>
        <v>クエストを通算 x 回クリアしよう！</v>
      </c>
      <c r="H607" s="26" t="str">
        <f ca="1">VLOOKUP($F607,OFFSET(達成条件!$A$1,0,0,COUNTA($A:$A),MATCH(H$1,達成条件!$1:$1,0)-MATCH($F$1,達成条件!$1:$1,0)+1),MATCH(H$1,達成条件!$1:$1,0)-MATCH($F$1,達成条件!$1:$1,0)+1,FALSE)</f>
        <v>通算クリア回数</v>
      </c>
      <c r="I607" s="60" t="s">
        <v>1212</v>
      </c>
      <c r="J607" s="54" t="str">
        <f ca="1">IF(F607="specific_unit_aquired_count",SUBSTITUTE(G607,"x",VLOOKUP(INT($I607),OFFSET([3]characters!$A$2,0,0,COUNTA([3]characters!$A:$A),MATCH(J$1,[3]characters!$2:$2,0)-MATCH("character_id",[3]characters!$2:$2,0)+1),MATCH(J$1,[3]characters!$2:$2,0)-MATCH("character_id",[3]characters!$2:$2,0)+1,FALSE)),IF(F607="specific_quest_clear",VLOOKUP(SUBSTITUTE(I607,"-","_"),OFFSET([2]stages!$A$2,0,0,COUNTA([2]stages!$A:$A),MATCH("name",[2]stages!$2:$2,0)-MATCH("temp_stage",[2]stages!$2:$2,0)+1),MATCH("name",[2]stages!$2:$2,0)-MATCH("temp_stage",[2]stages!$2:$2,0)+1,FALSE),""))</f>
        <v/>
      </c>
      <c r="K607" s="15">
        <v>1</v>
      </c>
      <c r="L607" s="15" t="s">
        <v>542</v>
      </c>
      <c r="M607" s="26" t="str">
        <f ca="1">IFERROR(VLOOKUP($L665,OFFSET(missions!$A$2,0,0,COUNTA($A:$A),MATCH(M$1,missions!$2:$2,0)-MATCH("mission_id",missions!$2:$2,0)+1),MATCH(M$1,missions!$2:$2,0)-MATCH("mission_id",missions!$2:$2,0)+1,FALSE),"")</f>
        <v/>
      </c>
      <c r="N607" s="26" t="str">
        <f ca="1">IFERROR(VLOOKUP($L665,OFFSET(missions!$A$2,0,0,COUNTA($A:$A),MATCH(N$1,missions!$2:$2,0)-MATCH("mission_id",missions!$2:$2,0)+1),MATCH(N$1,missions!$2:$2,0)-MATCH("mission_id",missions!$2:$2,0)+1,FALSE),"")</f>
        <v/>
      </c>
    </row>
    <row r="608" spans="1:14" ht="21" customHeight="1" x14ac:dyDescent="0.15">
      <c r="A608" s="2" t="s">
        <v>1170</v>
      </c>
      <c r="B608" s="21" t="s">
        <v>792</v>
      </c>
      <c r="C608" s="26" t="str">
        <f t="shared" ref="C608" ca="1" si="69">IF(F608="specific_quest_clear",SUBSTITUTE(G608,"x",J608),IF(F608="specific_unit_aquired_count",SUBSTITUTE(J608,"y",K608),SUBSTITUTE(G608,"x",I608)))</f>
        <v>クエストを通算 3 回クリアしよう！</v>
      </c>
      <c r="D608" s="26" t="str">
        <f ca="1">IFERROR(VLOOKUP($A608,OFFSET(achievement_criterion_id,0,0,COUNTA($A:$A),MATCH(D$1,missions!$2:$2,0)-MATCH($A$1,missions!$2:$2,0)+1),MATCH(D$1,missions!$2:$2,0)-MATCH($A$1,missions!$2:$2,0)+1,FALSE),IFERROR(VLOOKUP($A608,OFFSET(weekly_achievement_criterion_id,0,0,COUNTA($A:$A),MATCH(D$1,weekly_missions!$2:$2,0)-MATCH($A$1,weekly_missions!$2:$2,0)+1),MATCH(D$1,weekly_missions!$2:$2,0)-MATCH($A$1,weekly_missions!$2:$2,0)+1,FALSE),"＊missions 未設定＊"))</f>
        <v>メガ生命の果実 x 1</v>
      </c>
      <c r="E608" s="27" t="s">
        <v>864</v>
      </c>
      <c r="F608" s="17" t="s">
        <v>36</v>
      </c>
      <c r="G608" s="26" t="str">
        <f ca="1">VLOOKUP($F608,OFFSET(達成条件!$A$1,0,0,COUNTA($A:$A),MATCH(G$1,達成条件!$1:$1,0)-MATCH($F$1,達成条件!$1:$1,0)+1),MATCH(G$1,達成条件!$1:$1,0)-MATCH($F$1,達成条件!$1:$1,0)+1,FALSE)</f>
        <v>クエストを通算 x 回クリアしよう！</v>
      </c>
      <c r="H608" s="26" t="str">
        <f ca="1">VLOOKUP($F608,OFFSET(達成条件!$A$1,0,0,COUNTA($A:$A),MATCH(H$1,達成条件!$1:$1,0)-MATCH($F$1,達成条件!$1:$1,0)+1),MATCH(H$1,達成条件!$1:$1,0)-MATCH($F$1,達成条件!$1:$1,0)+1,FALSE)</f>
        <v>通算クリア回数</v>
      </c>
      <c r="I608" s="60" t="s">
        <v>655</v>
      </c>
      <c r="J608" s="54" t="str">
        <f ca="1">IF(F608="specific_unit_aquired_count",SUBSTITUTE(G608,"x",VLOOKUP(INT($I608),OFFSET([3]characters!$A$2,0,0,COUNTA([3]characters!$A:$A),MATCH(J$1,[3]characters!$2:$2,0)-MATCH("character_id",[3]characters!$2:$2,0)+1),MATCH(J$1,[3]characters!$2:$2,0)-MATCH("character_id",[3]characters!$2:$2,0)+1,FALSE)),IF(F608="specific_quest_clear",VLOOKUP(SUBSTITUTE(I608,"-","_"),OFFSET([2]stages!$A$2,0,0,COUNTA([2]stages!$A:$A),MATCH("name",[2]stages!$2:$2,0)-MATCH("temp_stage",[2]stages!$2:$2,0)+1),MATCH("name",[2]stages!$2:$2,0)-MATCH("temp_stage",[2]stages!$2:$2,0)+1,FALSE),""))</f>
        <v/>
      </c>
      <c r="K608" s="15">
        <v>1</v>
      </c>
      <c r="L608" s="15" t="s">
        <v>542</v>
      </c>
      <c r="M608" s="26" t="str">
        <f ca="1">IFERROR(VLOOKUP($L666,OFFSET(missions!$A$2,0,0,COUNTA($A:$A),MATCH(M$1,missions!$2:$2,0)-MATCH("mission_id",missions!$2:$2,0)+1),MATCH(M$1,missions!$2:$2,0)-MATCH("mission_id",missions!$2:$2,0)+1,FALSE),"")</f>
        <v/>
      </c>
      <c r="N608" s="26" t="str">
        <f ca="1">IFERROR(VLOOKUP($L666,OFFSET(missions!$A$2,0,0,COUNTA($A:$A),MATCH(N$1,missions!$2:$2,0)-MATCH("mission_id",missions!$2:$2,0)+1),MATCH(N$1,missions!$2:$2,0)-MATCH("mission_id",missions!$2:$2,0)+1,FALSE),"")</f>
        <v/>
      </c>
    </row>
    <row r="609" spans="1:14" ht="21" customHeight="1" x14ac:dyDescent="0.15">
      <c r="A609" s="2" t="s">
        <v>1171</v>
      </c>
      <c r="B609" s="21" t="s">
        <v>792</v>
      </c>
      <c r="C609" s="26" t="str">
        <f t="shared" ref="C609:C612" ca="1" si="70">IF(F609="specific_quest_clear",SUBSTITUTE(G609,"x",J609),IF(F609="specific_unit_aquired_count",SUBSTITUTE(J609,"y",K609),SUBSTITUTE(G609,"x",I609)))</f>
        <v>クエストを通算 3 回クリアしよう！</v>
      </c>
      <c r="D609" s="26" t="str">
        <f ca="1">IFERROR(VLOOKUP($A609,OFFSET(achievement_criterion_id,0,0,COUNTA($A:$A),MATCH(D$1,missions!$2:$2,0)-MATCH($A$1,missions!$2:$2,0)+1),MATCH(D$1,missions!$2:$2,0)-MATCH($A$1,missions!$2:$2,0)+1,FALSE),IFERROR(VLOOKUP($A609,OFFSET(weekly_achievement_criterion_id,0,0,COUNTA($A:$A),MATCH(D$1,weekly_missions!$2:$2,0)-MATCH($A$1,weekly_missions!$2:$2,0)+1),MATCH(D$1,weekly_missions!$2:$2,0)-MATCH($A$1,weekly_missions!$2:$2,0)+1,FALSE),"＊missions 未設定＊"))</f>
        <v>メガ癒しの果実 x 1</v>
      </c>
      <c r="E609" s="27" t="s">
        <v>864</v>
      </c>
      <c r="F609" s="17" t="s">
        <v>36</v>
      </c>
      <c r="G609" s="26" t="str">
        <f ca="1">VLOOKUP($F609,OFFSET(達成条件!$A$1,0,0,COUNTA($A:$A),MATCH(G$1,達成条件!$1:$1,0)-MATCH($F$1,達成条件!$1:$1,0)+1),MATCH(G$1,達成条件!$1:$1,0)-MATCH($F$1,達成条件!$1:$1,0)+1,FALSE)</f>
        <v>クエストを通算 x 回クリアしよう！</v>
      </c>
      <c r="H609" s="26" t="str">
        <f ca="1">VLOOKUP($F609,OFFSET(達成条件!$A$1,0,0,COUNTA($A:$A),MATCH(H$1,達成条件!$1:$1,0)-MATCH($F$1,達成条件!$1:$1,0)+1),MATCH(H$1,達成条件!$1:$1,0)-MATCH($F$1,達成条件!$1:$1,0)+1,FALSE)</f>
        <v>通算クリア回数</v>
      </c>
      <c r="I609" s="60" t="s">
        <v>655</v>
      </c>
      <c r="J609" s="54" t="str">
        <f ca="1">IF(F609="specific_unit_aquired_count",SUBSTITUTE(G609,"x",VLOOKUP(INT($I609),OFFSET([3]characters!$A$2,0,0,COUNTA([3]characters!$A:$A),MATCH(J$1,[3]characters!$2:$2,0)-MATCH("character_id",[3]characters!$2:$2,0)+1),MATCH(J$1,[3]characters!$2:$2,0)-MATCH("character_id",[3]characters!$2:$2,0)+1,FALSE)),IF(F609="specific_quest_clear",VLOOKUP(SUBSTITUTE(I609,"-","_"),OFFSET([2]stages!$A$2,0,0,COUNTA([2]stages!$A:$A),MATCH("name",[2]stages!$2:$2,0)-MATCH("temp_stage",[2]stages!$2:$2,0)+1),MATCH("name",[2]stages!$2:$2,0)-MATCH("temp_stage",[2]stages!$2:$2,0)+1,FALSE),""))</f>
        <v/>
      </c>
      <c r="K609" s="15">
        <v>1</v>
      </c>
      <c r="L609" s="15" t="s">
        <v>542</v>
      </c>
      <c r="M609" s="26" t="str">
        <f ca="1">IFERROR(VLOOKUP($L689,OFFSET(missions!$A$2,0,0,COUNTA($A:$A),MATCH(M$1,missions!$2:$2,0)-MATCH("mission_id",missions!$2:$2,0)+1),MATCH(M$1,missions!$2:$2,0)-MATCH("mission_id",missions!$2:$2,0)+1,FALSE),"")</f>
        <v/>
      </c>
      <c r="N609" s="26" t="str">
        <f ca="1">IFERROR(VLOOKUP($L689,OFFSET(missions!$A$2,0,0,COUNTA($A:$A),MATCH(N$1,missions!$2:$2,0)-MATCH("mission_id",missions!$2:$2,0)+1),MATCH(N$1,missions!$2:$2,0)-MATCH("mission_id",missions!$2:$2,0)+1,FALSE),"")</f>
        <v/>
      </c>
    </row>
    <row r="610" spans="1:14" ht="21" customHeight="1" x14ac:dyDescent="0.15">
      <c r="A610" s="2" t="s">
        <v>1489</v>
      </c>
      <c r="B610" s="21" t="s">
        <v>792</v>
      </c>
      <c r="C610" s="26" t="str">
        <f t="shared" ca="1" si="70"/>
        <v>クエストを通算 3 回クリアしよう！</v>
      </c>
      <c r="D610" s="26" t="str">
        <f ca="1">IFERROR(VLOOKUP($A610,OFFSET(achievement_criterion_id,0,0,COUNTA($A:$A),MATCH(D$1,missions!$2:$2,0)-MATCH($A$1,missions!$2:$2,0)+1),MATCH(D$1,missions!$2:$2,0)-MATCH($A$1,missions!$2:$2,0)+1,FALSE),IFERROR(VLOOKUP($A610,OFFSET(weekly_achievement_criterion_id,0,0,COUNTA($A:$A),MATCH(D$1,weekly_missions!$2:$2,0)-MATCH($A$1,weekly_missions!$2:$2,0)+1),MATCH(D$1,weekly_missions!$2:$2,0)-MATCH($A$1,weekly_missions!$2:$2,0)+1,FALSE),"＊missions 未設定＊"))</f>
        <v>雷のメタルジェントル x 1</v>
      </c>
      <c r="E610" s="27" t="s">
        <v>864</v>
      </c>
      <c r="F610" s="17" t="s">
        <v>36</v>
      </c>
      <c r="G610" s="26" t="str">
        <f ca="1">VLOOKUP($F610,OFFSET(達成条件!$A$1,0,0,COUNTA($A:$A),MATCH(G$1,達成条件!$1:$1,0)-MATCH($F$1,達成条件!$1:$1,0)+1),MATCH(G$1,達成条件!$1:$1,0)-MATCH($F$1,達成条件!$1:$1,0)+1,FALSE)</f>
        <v>クエストを通算 x 回クリアしよう！</v>
      </c>
      <c r="H610" s="26" t="str">
        <f ca="1">VLOOKUP($F610,OFFSET(達成条件!$A$1,0,0,COUNTA($A:$A),MATCH(H$1,達成条件!$1:$1,0)-MATCH($F$1,達成条件!$1:$1,0)+1),MATCH(H$1,達成条件!$1:$1,0)-MATCH($F$1,達成条件!$1:$1,0)+1,FALSE)</f>
        <v>通算クリア回数</v>
      </c>
      <c r="I610" s="60" t="s">
        <v>1496</v>
      </c>
      <c r="J610" s="54" t="str">
        <f ca="1">IF(F610="specific_unit_aquired_count",SUBSTITUTE(G610,"x",VLOOKUP(INT($I610),OFFSET([3]characters!$A$2,0,0,COUNTA([3]characters!$A:$A),MATCH(J$1,[3]characters!$2:$2,0)-MATCH("character_id",[3]characters!$2:$2,0)+1),MATCH(J$1,[3]characters!$2:$2,0)-MATCH("character_id",[3]characters!$2:$2,0)+1,FALSE)),IF(F610="specific_quest_clear",VLOOKUP(SUBSTITUTE(I610,"-","_"),OFFSET([2]stages!$A$2,0,0,COUNTA([2]stages!$A:$A),MATCH("name",[2]stages!$2:$2,0)-MATCH("temp_stage",[2]stages!$2:$2,0)+1),MATCH("name",[2]stages!$2:$2,0)-MATCH("temp_stage",[2]stages!$2:$2,0)+1,FALSE),""))</f>
        <v/>
      </c>
      <c r="K610" s="15">
        <v>1</v>
      </c>
      <c r="L610" s="15" t="s">
        <v>542</v>
      </c>
      <c r="M610" s="26"/>
      <c r="N610" s="26"/>
    </row>
    <row r="611" spans="1:14" ht="21" customHeight="1" x14ac:dyDescent="0.15">
      <c r="A611" s="2" t="s">
        <v>1172</v>
      </c>
      <c r="B611" s="21" t="s">
        <v>792</v>
      </c>
      <c r="C611" s="26" t="str">
        <f t="shared" ca="1" si="70"/>
        <v>クエストを通算 5 回クリアしよう！</v>
      </c>
      <c r="D611" s="26" t="str">
        <f ca="1">IFERROR(VLOOKUP($A611,OFFSET(achievement_criterion_id,0,0,COUNTA($A:$A),MATCH(D$1,missions!$2:$2,0)-MATCH($A$1,missions!$2:$2,0)+1),MATCH(D$1,missions!$2:$2,0)-MATCH($A$1,missions!$2:$2,0)+1,FALSE),IFERROR(VLOOKUP($A611,OFFSET(weekly_achievement_criterion_id,0,0,COUNTA($A:$A),MATCH(D$1,weekly_missions!$2:$2,0)-MATCH($A$1,weekly_missions!$2:$2,0)+1),MATCH(D$1,weekly_missions!$2:$2,0)-MATCH($A$1,weekly_missions!$2:$2,0)+1,FALSE),"＊missions 未設定＊"))</f>
        <v>炎のメタルダック x 1</v>
      </c>
      <c r="E611" s="27" t="s">
        <v>864</v>
      </c>
      <c r="F611" s="17" t="s">
        <v>36</v>
      </c>
      <c r="G611" s="26" t="str">
        <f ca="1">VLOOKUP($F611,OFFSET(達成条件!$A$1,0,0,COUNTA($A:$A),MATCH(G$1,達成条件!$1:$1,0)-MATCH($F$1,達成条件!$1:$1,0)+1),MATCH(G$1,達成条件!$1:$1,0)-MATCH($F$1,達成条件!$1:$1,0)+1,FALSE)</f>
        <v>クエストを通算 x 回クリアしよう！</v>
      </c>
      <c r="H611" s="26" t="str">
        <f ca="1">VLOOKUP($F611,OFFSET(達成条件!$A$1,0,0,COUNTA($A:$A),MATCH(H$1,達成条件!$1:$1,0)-MATCH($F$1,達成条件!$1:$1,0)+1),MATCH(H$1,達成条件!$1:$1,0)-MATCH($F$1,達成条件!$1:$1,0)+1,FALSE)</f>
        <v>通算クリア回数</v>
      </c>
      <c r="I611" s="60" t="s">
        <v>1164</v>
      </c>
      <c r="J611" s="54" t="str">
        <f ca="1">IF(F611="specific_unit_aquired_count",SUBSTITUTE(G611,"x",VLOOKUP(INT($I611),OFFSET([3]characters!$A$2,0,0,COUNTA([3]characters!$A:$A),MATCH(J$1,[3]characters!$2:$2,0)-MATCH("character_id",[3]characters!$2:$2,0)+1),MATCH(J$1,[3]characters!$2:$2,0)-MATCH("character_id",[3]characters!$2:$2,0)+1,FALSE)),IF(F611="specific_quest_clear",VLOOKUP(SUBSTITUTE(I611,"-","_"),OFFSET([2]stages!$A$2,0,0,COUNTA([2]stages!$A:$A),MATCH("name",[2]stages!$2:$2,0)-MATCH("temp_stage",[2]stages!$2:$2,0)+1),MATCH("name",[2]stages!$2:$2,0)-MATCH("temp_stage",[2]stages!$2:$2,0)+1,FALSE),""))</f>
        <v/>
      </c>
      <c r="K611" s="15">
        <v>1</v>
      </c>
      <c r="L611" s="15" t="s">
        <v>542</v>
      </c>
      <c r="M611" s="26" t="str">
        <f ca="1">IFERROR(VLOOKUP($L671,OFFSET(missions!$A$2,0,0,COUNTA($A:$A),MATCH(M$1,missions!$2:$2,0)-MATCH("mission_id",missions!$2:$2,0)+1),MATCH(M$1,missions!$2:$2,0)-MATCH("mission_id",missions!$2:$2,0)+1,FALSE),"")</f>
        <v/>
      </c>
      <c r="N611" s="26" t="str">
        <f ca="1">IFERROR(VLOOKUP($L671,OFFSET(missions!$A$2,0,0,COUNTA($A:$A),MATCH(N$1,missions!$2:$2,0)-MATCH("mission_id",missions!$2:$2,0)+1),MATCH(N$1,missions!$2:$2,0)-MATCH("mission_id",missions!$2:$2,0)+1,FALSE),"")</f>
        <v/>
      </c>
    </row>
    <row r="612" spans="1:14" ht="21" customHeight="1" x14ac:dyDescent="0.15">
      <c r="A612" s="2" t="s">
        <v>1167</v>
      </c>
      <c r="B612" s="21" t="s">
        <v>792</v>
      </c>
      <c r="C612" s="26" t="str">
        <f t="shared" ca="1" si="70"/>
        <v>クエストを通算 5 回クリアしよう！</v>
      </c>
      <c r="D612" s="26" t="str">
        <f ca="1">IFERROR(VLOOKUP($A612,OFFSET(achievement_criterion_id,0,0,COUNTA($A:$A),MATCH(D$1,missions!$2:$2,0)-MATCH($A$1,missions!$2:$2,0)+1),MATCH(D$1,missions!$2:$2,0)-MATCH($A$1,missions!$2:$2,0)+1,FALSE),IFERROR(VLOOKUP($A612,OFFSET(weekly_achievement_criterion_id,0,0,COUNTA($A:$A),MATCH(D$1,weekly_missions!$2:$2,0)-MATCH($A$1,weekly_missions!$2:$2,0)+1),MATCH(D$1,weekly_missions!$2:$2,0)-MATCH($A$1,weekly_missions!$2:$2,0)+1,FALSE),"＊missions 未設定＊"))</f>
        <v>森のメタルダック x 1</v>
      </c>
      <c r="E612" s="27" t="s">
        <v>864</v>
      </c>
      <c r="F612" s="17" t="s">
        <v>36</v>
      </c>
      <c r="G612" s="26" t="str">
        <f ca="1">VLOOKUP($F612,OFFSET(達成条件!$A$1,0,0,COUNTA($A:$A),MATCH(G$1,達成条件!$1:$1,0)-MATCH($F$1,達成条件!$1:$1,0)+1),MATCH(G$1,達成条件!$1:$1,0)-MATCH($F$1,達成条件!$1:$1,0)+1,FALSE)</f>
        <v>クエストを通算 x 回クリアしよう！</v>
      </c>
      <c r="H612" s="26" t="str">
        <f ca="1">VLOOKUP($F612,OFFSET(達成条件!$A$1,0,0,COUNTA($A:$A),MATCH(H$1,達成条件!$1:$1,0)-MATCH($F$1,達成条件!$1:$1,0)+1),MATCH(H$1,達成条件!$1:$1,0)-MATCH($F$1,達成条件!$1:$1,0)+1,FALSE)</f>
        <v>通算クリア回数</v>
      </c>
      <c r="I612" s="60" t="s">
        <v>1185</v>
      </c>
      <c r="J612" s="54" t="str">
        <f ca="1">IF(F612="specific_unit_aquired_count",SUBSTITUTE(G612,"x",VLOOKUP(INT($I612),OFFSET([3]characters!$A$2,0,0,COUNTA([3]characters!$A:$A),MATCH(J$1,[3]characters!$2:$2,0)-MATCH("character_id",[3]characters!$2:$2,0)+1),MATCH(J$1,[3]characters!$2:$2,0)-MATCH("character_id",[3]characters!$2:$2,0)+1,FALSE)),IF(F612="specific_quest_clear",VLOOKUP(SUBSTITUTE(I612,"-","_"),OFFSET([2]stages!$A$2,0,0,COUNTA([2]stages!$A:$A),MATCH("name",[2]stages!$2:$2,0)-MATCH("temp_stage",[2]stages!$2:$2,0)+1),MATCH("name",[2]stages!$2:$2,0)-MATCH("temp_stage",[2]stages!$2:$2,0)+1,FALSE),""))</f>
        <v/>
      </c>
      <c r="K612" s="15">
        <v>1</v>
      </c>
      <c r="L612" s="15" t="s">
        <v>542</v>
      </c>
      <c r="M612" s="26" t="str">
        <f ca="1">IFERROR(VLOOKUP($L672,OFFSET(missions!$A$2,0,0,COUNTA($A:$A),MATCH(M$1,missions!$2:$2,0)-MATCH("mission_id",missions!$2:$2,0)+1),MATCH(M$1,missions!$2:$2,0)-MATCH("mission_id",missions!$2:$2,0)+1,FALSE),"")</f>
        <v/>
      </c>
      <c r="N612" s="26" t="str">
        <f ca="1">IFERROR(VLOOKUP($L672,OFFSET(missions!$A$2,0,0,COUNTA($A:$A),MATCH(N$1,missions!$2:$2,0)-MATCH("mission_id",missions!$2:$2,0)+1),MATCH(N$1,missions!$2:$2,0)-MATCH("mission_id",missions!$2:$2,0)+1,FALSE),"")</f>
        <v/>
      </c>
    </row>
    <row r="613" spans="1:14" ht="21" customHeight="1" x14ac:dyDescent="0.15">
      <c r="A613" s="2" t="s">
        <v>1168</v>
      </c>
      <c r="B613" s="21" t="s">
        <v>792</v>
      </c>
      <c r="C613" s="26" t="str">
        <f t="shared" ref="C613:C619" ca="1" si="71">IF(F613="specific_quest_clear",SUBSTITUTE(G613,"x",J613),IF(F613="specific_unit_aquired_count",SUBSTITUTE(J613,"y",K613),SUBSTITUTE(G613,"x",I613)))</f>
        <v>クエストを通算 5 回クリアしよう！</v>
      </c>
      <c r="D613" s="26" t="str">
        <f ca="1">IFERROR(VLOOKUP($A613,OFFSET(achievement_criterion_id,0,0,COUNTA($A:$A),MATCH(D$1,missions!$2:$2,0)-MATCH($A$1,missions!$2:$2,0)+1),MATCH(D$1,missions!$2:$2,0)-MATCH($A$1,missions!$2:$2,0)+1,FALSE),IFERROR(VLOOKUP($A613,OFFSET(weekly_achievement_criterion_id,0,0,COUNTA($A:$A),MATCH(D$1,weekly_missions!$2:$2,0)-MATCH($A$1,weekly_missions!$2:$2,0)+1),MATCH(D$1,weekly_missions!$2:$2,0)-MATCH($A$1,weekly_missions!$2:$2,0)+1,FALSE),"＊missions 未設定＊"))</f>
        <v>水のメタルダック x 1</v>
      </c>
      <c r="E613" s="27" t="s">
        <v>864</v>
      </c>
      <c r="F613" s="17" t="s">
        <v>36</v>
      </c>
      <c r="G613" s="26" t="str">
        <f ca="1">VLOOKUP($F613,OFFSET(達成条件!$A$1,0,0,COUNTA($A:$A),MATCH(G$1,達成条件!$1:$1,0)-MATCH($F$1,達成条件!$1:$1,0)+1),MATCH(G$1,達成条件!$1:$1,0)-MATCH($F$1,達成条件!$1:$1,0)+1,FALSE)</f>
        <v>クエストを通算 x 回クリアしよう！</v>
      </c>
      <c r="H613" s="26" t="str">
        <f ca="1">VLOOKUP($F613,OFFSET(達成条件!$A$1,0,0,COUNTA($A:$A),MATCH(H$1,達成条件!$1:$1,0)-MATCH($F$1,達成条件!$1:$1,0)+1),MATCH(H$1,達成条件!$1:$1,0)-MATCH($F$1,達成条件!$1:$1,0)+1,FALSE)</f>
        <v>通算クリア回数</v>
      </c>
      <c r="I613" s="60" t="s">
        <v>1164</v>
      </c>
      <c r="J613" s="54" t="str">
        <f ca="1">IF(F613="specific_unit_aquired_count",SUBSTITUTE(G613,"x",VLOOKUP(INT($I613),OFFSET([3]characters!$A$2,0,0,COUNTA([3]characters!$A:$A),MATCH(J$1,[3]characters!$2:$2,0)-MATCH("character_id",[3]characters!$2:$2,0)+1),MATCH(J$1,[3]characters!$2:$2,0)-MATCH("character_id",[3]characters!$2:$2,0)+1,FALSE)),IF(F613="specific_quest_clear",VLOOKUP(SUBSTITUTE(I613,"-","_"),OFFSET([2]stages!$A$2,0,0,COUNTA([2]stages!$A:$A),MATCH("name",[2]stages!$2:$2,0)-MATCH("temp_stage",[2]stages!$2:$2,0)+1),MATCH("name",[2]stages!$2:$2,0)-MATCH("temp_stage",[2]stages!$2:$2,0)+1,FALSE),""))</f>
        <v/>
      </c>
      <c r="K613" s="15">
        <v>1</v>
      </c>
      <c r="L613" s="15" t="s">
        <v>542</v>
      </c>
      <c r="M613" s="26" t="str">
        <f ca="1">IFERROR(VLOOKUP($L673,OFFSET(missions!$A$2,0,0,COUNTA($A:$A),MATCH(M$1,missions!$2:$2,0)-MATCH("mission_id",missions!$2:$2,0)+1),MATCH(M$1,missions!$2:$2,0)-MATCH("mission_id",missions!$2:$2,0)+1,FALSE),"")</f>
        <v/>
      </c>
      <c r="N613" s="26" t="str">
        <f ca="1">IFERROR(VLOOKUP($L673,OFFSET(missions!$A$2,0,0,COUNTA($A:$A),MATCH(N$1,missions!$2:$2,0)-MATCH("mission_id",missions!$2:$2,0)+1),MATCH(N$1,missions!$2:$2,0)-MATCH("mission_id",missions!$2:$2,0)+1,FALSE),"")</f>
        <v/>
      </c>
    </row>
    <row r="614" spans="1:14" ht="21" customHeight="1" x14ac:dyDescent="0.15">
      <c r="A614" s="2" t="s">
        <v>1173</v>
      </c>
      <c r="B614" s="21" t="s">
        <v>792</v>
      </c>
      <c r="C614" s="26" t="str">
        <f t="shared" ref="C614:C615" ca="1" si="72">IF(F614="specific_quest_clear",SUBSTITUTE(G614,"x",J614),IF(F614="specific_unit_aquired_count",SUBSTITUTE(J614,"y",K614),SUBSTITUTE(G614,"x",I614)))</f>
        <v>クエストを通算 5 回クリアしよう！</v>
      </c>
      <c r="D614" s="26" t="str">
        <f ca="1">IFERROR(VLOOKUP($A614,OFFSET(achievement_criterion_id,0,0,COUNTA($A:$A),MATCH(D$1,missions!$2:$2,0)-MATCH($A$1,missions!$2:$2,0)+1),MATCH(D$1,missions!$2:$2,0)-MATCH($A$1,missions!$2:$2,0)+1,FALSE),IFERROR(VLOOKUP($A614,OFFSET(weekly_achievement_criterion_id,0,0,COUNTA($A:$A),MATCH(D$1,weekly_missions!$2:$2,0)-MATCH($A$1,weekly_missions!$2:$2,0)+1),MATCH(D$1,weekly_missions!$2:$2,0)-MATCH($A$1,weekly_missions!$2:$2,0)+1,FALSE),"＊missions 未設定＊"))</f>
        <v>雷のメタルダック x 1</v>
      </c>
      <c r="E614" s="27" t="s">
        <v>864</v>
      </c>
      <c r="F614" s="17" t="s">
        <v>36</v>
      </c>
      <c r="G614" s="26" t="str">
        <f ca="1">VLOOKUP($F614,OFFSET(達成条件!$A$1,0,0,COUNTA($A:$A),MATCH(G$1,達成条件!$1:$1,0)-MATCH($F$1,達成条件!$1:$1,0)+1),MATCH(G$1,達成条件!$1:$1,0)-MATCH($F$1,達成条件!$1:$1,0)+1,FALSE)</f>
        <v>クエストを通算 x 回クリアしよう！</v>
      </c>
      <c r="H614" s="26" t="str">
        <f ca="1">VLOOKUP($F614,OFFSET(達成条件!$A$1,0,0,COUNTA($A:$A),MATCH(H$1,達成条件!$1:$1,0)-MATCH($F$1,達成条件!$1:$1,0)+1),MATCH(H$1,達成条件!$1:$1,0)-MATCH($F$1,達成条件!$1:$1,0)+1,FALSE)</f>
        <v>通算クリア回数</v>
      </c>
      <c r="I614" s="60" t="s">
        <v>1186</v>
      </c>
      <c r="J614" s="54" t="str">
        <f ca="1">IF(F614="specific_unit_aquired_count",SUBSTITUTE(G614,"x",VLOOKUP(INT($I614),OFFSET([3]characters!$A$2,0,0,COUNTA([3]characters!$A:$A),MATCH(J$1,[3]characters!$2:$2,0)-MATCH("character_id",[3]characters!$2:$2,0)+1),MATCH(J$1,[3]characters!$2:$2,0)-MATCH("character_id",[3]characters!$2:$2,0)+1,FALSE)),IF(F614="specific_quest_clear",VLOOKUP(SUBSTITUTE(I614,"-","_"),OFFSET([2]stages!$A$2,0,0,COUNTA([2]stages!$A:$A),MATCH("name",[2]stages!$2:$2,0)-MATCH("temp_stage",[2]stages!$2:$2,0)+1),MATCH("name",[2]stages!$2:$2,0)-MATCH("temp_stage",[2]stages!$2:$2,0)+1,FALSE),""))</f>
        <v/>
      </c>
      <c r="K614" s="15">
        <v>1</v>
      </c>
      <c r="L614" s="15" t="s">
        <v>542</v>
      </c>
      <c r="M614" s="26" t="str">
        <f ca="1">IFERROR(VLOOKUP($L674,OFFSET(missions!$A$2,0,0,COUNTA($A:$A),MATCH(M$1,missions!$2:$2,0)-MATCH("mission_id",missions!$2:$2,0)+1),MATCH(M$1,missions!$2:$2,0)-MATCH("mission_id",missions!$2:$2,0)+1,FALSE),"")</f>
        <v/>
      </c>
      <c r="N614" s="26" t="str">
        <f ca="1">IFERROR(VLOOKUP($L674,OFFSET(missions!$A$2,0,0,COUNTA($A:$A),MATCH(N$1,missions!$2:$2,0)-MATCH("mission_id",missions!$2:$2,0)+1),MATCH(N$1,missions!$2:$2,0)-MATCH("mission_id",missions!$2:$2,0)+1,FALSE),"")</f>
        <v/>
      </c>
    </row>
    <row r="615" spans="1:14" ht="21" customHeight="1" x14ac:dyDescent="0.15">
      <c r="A615" s="2" t="s">
        <v>1490</v>
      </c>
      <c r="B615" s="21" t="s">
        <v>792</v>
      </c>
      <c r="C615" s="26" t="str">
        <f t="shared" ca="1" si="72"/>
        <v>クエストを通算 5 回クリアしよう！</v>
      </c>
      <c r="D615" s="26" t="str">
        <f ca="1">IFERROR(VLOOKUP($A615,OFFSET(achievement_criterion_id,0,0,COUNTA($A:$A),MATCH(D$1,missions!$2:$2,0)-MATCH($A$1,missions!$2:$2,0)+1),MATCH(D$1,missions!$2:$2,0)-MATCH($A$1,missions!$2:$2,0)+1,FALSE),IFERROR(VLOOKUP($A615,OFFSET(weekly_achievement_criterion_id,0,0,COUNTA($A:$A),MATCH(D$1,weekly_missions!$2:$2,0)-MATCH($A$1,weekly_missions!$2:$2,0)+1),MATCH(D$1,weekly_missions!$2:$2,0)-MATCH($A$1,weekly_missions!$2:$2,0)+1,FALSE),"＊missions 未設定＊"))</f>
        <v>森のメタルジェントル x 1</v>
      </c>
      <c r="E615" s="27" t="s">
        <v>864</v>
      </c>
      <c r="F615" s="17" t="s">
        <v>36</v>
      </c>
      <c r="G615" s="26" t="str">
        <f ca="1">VLOOKUP($F615,OFFSET(達成条件!$A$1,0,0,COUNTA($A:$A),MATCH(G$1,達成条件!$1:$1,0)-MATCH($F$1,達成条件!$1:$1,0)+1),MATCH(G$1,達成条件!$1:$1,0)-MATCH($F$1,達成条件!$1:$1,0)+1,FALSE)</f>
        <v>クエストを通算 x 回クリアしよう！</v>
      </c>
      <c r="H615" s="26" t="str">
        <f ca="1">VLOOKUP($F615,OFFSET(達成条件!$A$1,0,0,COUNTA($A:$A),MATCH(H$1,達成条件!$1:$1,0)-MATCH($F$1,達成条件!$1:$1,0)+1),MATCH(H$1,達成条件!$1:$1,0)-MATCH($F$1,達成条件!$1:$1,0)+1,FALSE)</f>
        <v>通算クリア回数</v>
      </c>
      <c r="I615" s="60" t="s">
        <v>692</v>
      </c>
      <c r="J615" s="54" t="str">
        <f ca="1">IF(F615="specific_unit_aquired_count",SUBSTITUTE(G615,"x",VLOOKUP(INT($I615),OFFSET([3]characters!$A$2,0,0,COUNTA([3]characters!$A:$A),MATCH(J$1,[3]characters!$2:$2,0)-MATCH("character_id",[3]characters!$2:$2,0)+1),MATCH(J$1,[3]characters!$2:$2,0)-MATCH("character_id",[3]characters!$2:$2,0)+1,FALSE)),IF(F615="specific_quest_clear",VLOOKUP(SUBSTITUTE(I615,"-","_"),OFFSET([2]stages!$A$2,0,0,COUNTA([2]stages!$A:$A),MATCH("name",[2]stages!$2:$2,0)-MATCH("temp_stage",[2]stages!$2:$2,0)+1),MATCH("name",[2]stages!$2:$2,0)-MATCH("temp_stage",[2]stages!$2:$2,0)+1,FALSE),""))</f>
        <v/>
      </c>
      <c r="K615" s="15">
        <v>1</v>
      </c>
      <c r="L615" s="15" t="s">
        <v>542</v>
      </c>
      <c r="M615" s="26"/>
      <c r="N615" s="26"/>
    </row>
    <row r="616" spans="1:14" ht="21" customHeight="1" x14ac:dyDescent="0.15">
      <c r="A616" s="116" t="s">
        <v>1832</v>
      </c>
      <c r="B616" s="21" t="s">
        <v>792</v>
      </c>
      <c r="C616" s="26" t="str">
        <f t="shared" ref="C616" ca="1" si="73">IF(F616="specific_quest_clear",SUBSTITUTE(G616,"x",J616),IF(F616="specific_unit_aquired_count",SUBSTITUTE(J616,"y",K616),SUBSTITUTE(G616,"x",I616)))</f>
        <v>クエストを通算 7 回クリアしよう！</v>
      </c>
      <c r="D616" s="26" t="str">
        <f ca="1">IFERROR(VLOOKUP($A616,OFFSET(achievement_criterion_id,0,0,COUNTA($A:$A),MATCH(D$1,missions!$2:$2,0)-MATCH($A$1,missions!$2:$2,0)+1),MATCH(D$1,missions!$2:$2,0)-MATCH($A$1,missions!$2:$2,0)+1,FALSE),IFERROR(VLOOKUP($A616,OFFSET(weekly_achievement_criterion_id,0,0,COUNTA($A:$A),MATCH(D$1,weekly_missions!$2:$2,0)-MATCH($A$1,weekly_missions!$2:$2,0)+1),MATCH(D$1,weekly_missions!$2:$2,0)-MATCH($A$1,weekly_missions!$2:$2,0)+1,FALSE),"＊missions 未設定＊"))</f>
        <v>炎のメタルジェントル x 1</v>
      </c>
      <c r="E616" s="27" t="s">
        <v>864</v>
      </c>
      <c r="F616" s="17" t="s">
        <v>36</v>
      </c>
      <c r="G616" s="26" t="str">
        <f ca="1">VLOOKUP($F616,OFFSET(達成条件!$A$1,0,0,COUNTA($A:$A),MATCH(G$1,達成条件!$1:$1,0)-MATCH($F$1,達成条件!$1:$1,0)+1),MATCH(G$1,達成条件!$1:$1,0)-MATCH($F$1,達成条件!$1:$1,0)+1,FALSE)</f>
        <v>クエストを通算 x 回クリアしよう！</v>
      </c>
      <c r="H616" s="26" t="str">
        <f ca="1">VLOOKUP($F616,OFFSET(達成条件!$A$1,0,0,COUNTA($A:$A),MATCH(H$1,達成条件!$1:$1,0)-MATCH($F$1,達成条件!$1:$1,0)+1),MATCH(H$1,達成条件!$1:$1,0)-MATCH($F$1,達成条件!$1:$1,0)+1,FALSE)</f>
        <v>通算クリア回数</v>
      </c>
      <c r="I616" s="60" t="s">
        <v>1829</v>
      </c>
      <c r="J616" s="54" t="str">
        <f ca="1">IF(F616="specific_unit_aquired_count",SUBSTITUTE(G616,"x",VLOOKUP(INT($I616),OFFSET([3]characters!$A$2,0,0,COUNTA([3]characters!$A:$A),MATCH(J$1,[3]characters!$2:$2,0)-MATCH("character_id",[3]characters!$2:$2,0)+1),MATCH(J$1,[3]characters!$2:$2,0)-MATCH("character_id",[3]characters!$2:$2,0)+1,FALSE)),IF(F616="specific_quest_clear",VLOOKUP(SUBSTITUTE(I616,"-","_"),OFFSET([2]stages!$A$2,0,0,COUNTA([2]stages!$A:$A),MATCH("name",[2]stages!$2:$2,0)-MATCH("temp_stage",[2]stages!$2:$2,0)+1),MATCH("name",[2]stages!$2:$2,0)-MATCH("temp_stage",[2]stages!$2:$2,0)+1,FALSE),""))</f>
        <v/>
      </c>
      <c r="K616" s="15">
        <v>1</v>
      </c>
      <c r="L616" s="15" t="s">
        <v>542</v>
      </c>
      <c r="M616" s="26"/>
      <c r="N616" s="26"/>
    </row>
    <row r="617" spans="1:14" ht="21" customHeight="1" x14ac:dyDescent="0.15">
      <c r="A617" s="116" t="s">
        <v>1833</v>
      </c>
      <c r="B617" s="21" t="s">
        <v>792</v>
      </c>
      <c r="C617" s="26" t="str">
        <f t="shared" ref="C617" ca="1" si="74">IF(F617="specific_quest_clear",SUBSTITUTE(G617,"x",J617),IF(F617="specific_unit_aquired_count",SUBSTITUTE(J617,"y",K617),SUBSTITUTE(G617,"x",I617)))</f>
        <v>クエストを通算 9 回クリアしよう！</v>
      </c>
      <c r="D617" s="26" t="str">
        <f ca="1">IFERROR(VLOOKUP($A617,OFFSET(achievement_criterion_id,0,0,COUNTA($A:$A),MATCH(D$1,missions!$2:$2,0)-MATCH($A$1,missions!$2:$2,0)+1),MATCH(D$1,missions!$2:$2,0)-MATCH($A$1,missions!$2:$2,0)+1,FALSE),IFERROR(VLOOKUP($A617,OFFSET(weekly_achievement_criterion_id,0,0,COUNTA($A:$A),MATCH(D$1,weekly_missions!$2:$2,0)-MATCH($A$1,weekly_missions!$2:$2,0)+1),MATCH(D$1,weekly_missions!$2:$2,0)-MATCH($A$1,weekly_missions!$2:$2,0)+1,FALSE),"＊missions 未設定＊"))</f>
        <v>水のメタルジェントル x 1</v>
      </c>
      <c r="E617" s="27" t="s">
        <v>864</v>
      </c>
      <c r="F617" s="17" t="s">
        <v>36</v>
      </c>
      <c r="G617" s="26" t="str">
        <f ca="1">VLOOKUP($F617,OFFSET(達成条件!$A$1,0,0,COUNTA($A:$A),MATCH(G$1,達成条件!$1:$1,0)-MATCH($F$1,達成条件!$1:$1,0)+1),MATCH(G$1,達成条件!$1:$1,0)-MATCH($F$1,達成条件!$1:$1,0)+1,FALSE)</f>
        <v>クエストを通算 x 回クリアしよう！</v>
      </c>
      <c r="H617" s="26" t="str">
        <f ca="1">VLOOKUP($F617,OFFSET(達成条件!$A$1,0,0,COUNTA($A:$A),MATCH(H$1,達成条件!$1:$1,0)-MATCH($F$1,達成条件!$1:$1,0)+1),MATCH(H$1,達成条件!$1:$1,0)-MATCH($F$1,達成条件!$1:$1,0)+1,FALSE)</f>
        <v>通算クリア回数</v>
      </c>
      <c r="I617" s="60" t="s">
        <v>1834</v>
      </c>
      <c r="J617" s="54" t="str">
        <f ca="1">IF(F617="specific_unit_aquired_count",SUBSTITUTE(G617,"x",VLOOKUP(INT($I617),OFFSET([3]characters!$A$2,0,0,COUNTA([3]characters!$A:$A),MATCH(J$1,[3]characters!$2:$2,0)-MATCH("character_id",[3]characters!$2:$2,0)+1),MATCH(J$1,[3]characters!$2:$2,0)-MATCH("character_id",[3]characters!$2:$2,0)+1,FALSE)),IF(F617="specific_quest_clear",VLOOKUP(SUBSTITUTE(I617,"-","_"),OFFSET([2]stages!$A$2,0,0,COUNTA([2]stages!$A:$A),MATCH("name",[2]stages!$2:$2,0)-MATCH("temp_stage",[2]stages!$2:$2,0)+1),MATCH("name",[2]stages!$2:$2,0)-MATCH("temp_stage",[2]stages!$2:$2,0)+1,FALSE),""))</f>
        <v/>
      </c>
      <c r="K617" s="15">
        <v>1</v>
      </c>
      <c r="L617" s="15" t="s">
        <v>542</v>
      </c>
      <c r="M617" s="26"/>
      <c r="N617" s="26"/>
    </row>
    <row r="618" spans="1:14" ht="21" customHeight="1" x14ac:dyDescent="0.15">
      <c r="A618" s="2" t="s">
        <v>1174</v>
      </c>
      <c r="B618" s="21" t="s">
        <v>792</v>
      </c>
      <c r="C618" s="26" t="str">
        <f t="shared" ca="1" si="71"/>
        <v>クエストを通算 10 回クリアしよう！</v>
      </c>
      <c r="D618" s="26" t="str">
        <f ca="1">IFERROR(VLOOKUP($A618,OFFSET(achievement_criterion_id,0,0,COUNTA($A:$A),MATCH(D$1,missions!$2:$2,0)-MATCH($A$1,missions!$2:$2,0)+1),MATCH(D$1,missions!$2:$2,0)-MATCH($A$1,missions!$2:$2,0)+1,FALSE),IFERROR(VLOOKUP($A618,OFFSET(weekly_achievement_criterion_id,0,0,COUNTA($A:$A),MATCH(D$1,weekly_missions!$2:$2,0)-MATCH($A$1,weekly_missions!$2:$2,0)+1),MATCH(D$1,weekly_missions!$2:$2,0)-MATCH($A$1,weekly_missions!$2:$2,0)+1,FALSE),"＊missions 未設定＊"))</f>
        <v>メガ攻めの果実 x 1</v>
      </c>
      <c r="E618" s="27" t="s">
        <v>864</v>
      </c>
      <c r="F618" s="17" t="s">
        <v>36</v>
      </c>
      <c r="G618" s="26" t="str">
        <f ca="1">VLOOKUP($F618,OFFSET(達成条件!$A$1,0,0,COUNTA($A:$A),MATCH(G$1,達成条件!$1:$1,0)-MATCH($F$1,達成条件!$1:$1,0)+1),MATCH(G$1,達成条件!$1:$1,0)-MATCH($F$1,達成条件!$1:$1,0)+1,FALSE)</f>
        <v>クエストを通算 x 回クリアしよう！</v>
      </c>
      <c r="H618" s="26" t="str">
        <f ca="1">VLOOKUP($F618,OFFSET(達成条件!$A$1,0,0,COUNTA($A:$A),MATCH(H$1,達成条件!$1:$1,0)-MATCH($F$1,達成条件!$1:$1,0)+1),MATCH(H$1,達成条件!$1:$1,0)-MATCH($F$1,達成条件!$1:$1,0)+1,FALSE)</f>
        <v>通算クリア回数</v>
      </c>
      <c r="I618" s="60" t="s">
        <v>1187</v>
      </c>
      <c r="J618" s="54" t="str">
        <f ca="1">IF(F618="specific_unit_aquired_count",SUBSTITUTE(G618,"x",VLOOKUP(INT($I618),OFFSET([3]characters!$A$2,0,0,COUNTA([3]characters!$A:$A),MATCH(J$1,[3]characters!$2:$2,0)-MATCH("character_id",[3]characters!$2:$2,0)+1),MATCH(J$1,[3]characters!$2:$2,0)-MATCH("character_id",[3]characters!$2:$2,0)+1,FALSE)),IF(F618="specific_quest_clear",VLOOKUP(SUBSTITUTE(I618,"-","_"),OFFSET([2]stages!$A$2,0,0,COUNTA([2]stages!$A:$A),MATCH("name",[2]stages!$2:$2,0)-MATCH("temp_stage",[2]stages!$2:$2,0)+1),MATCH("name",[2]stages!$2:$2,0)-MATCH("temp_stage",[2]stages!$2:$2,0)+1,FALSE),""))</f>
        <v/>
      </c>
      <c r="K618" s="15">
        <v>1</v>
      </c>
      <c r="L618" s="15" t="s">
        <v>542</v>
      </c>
      <c r="M618" s="26" t="str">
        <f ca="1">IFERROR(VLOOKUP($L674,OFFSET(missions!$A$2,0,0,COUNTA($A:$A),MATCH(M$1,missions!$2:$2,0)-MATCH("mission_id",missions!$2:$2,0)+1),MATCH(M$1,missions!$2:$2,0)-MATCH("mission_id",missions!$2:$2,0)+1,FALSE),"")</f>
        <v/>
      </c>
      <c r="N618" s="26" t="str">
        <f ca="1">IFERROR(VLOOKUP($L674,OFFSET(missions!$A$2,0,0,COUNTA($A:$A),MATCH(N$1,missions!$2:$2,0)-MATCH("mission_id",missions!$2:$2,0)+1),MATCH(N$1,missions!$2:$2,0)-MATCH("mission_id",missions!$2:$2,0)+1,FALSE),"")</f>
        <v/>
      </c>
    </row>
    <row r="619" spans="1:14" ht="21" customHeight="1" x14ac:dyDescent="0.15">
      <c r="A619" s="2" t="s">
        <v>1175</v>
      </c>
      <c r="B619" s="21" t="s">
        <v>792</v>
      </c>
      <c r="C619" s="26" t="str">
        <f t="shared" ca="1" si="71"/>
        <v>クエストを通算 10 回クリアしよう！</v>
      </c>
      <c r="D619" s="26" t="str">
        <f ca="1">IFERROR(VLOOKUP($A619,OFFSET(achievement_criterion_id,0,0,COUNTA($A:$A),MATCH(D$1,missions!$2:$2,0)-MATCH($A$1,missions!$2:$2,0)+1),MATCH(D$1,missions!$2:$2,0)-MATCH($A$1,missions!$2:$2,0)+1,FALSE),IFERROR(VLOOKUP($A619,OFFSET(weekly_achievement_criterion_id,0,0,COUNTA($A:$A),MATCH(D$1,weekly_missions!$2:$2,0)-MATCH($A$1,weekly_missions!$2:$2,0)+1),MATCH(D$1,weekly_missions!$2:$2,0)-MATCH($A$1,weekly_missions!$2:$2,0)+1,FALSE),"＊missions 未設定＊"))</f>
        <v>メガ生命の果実 x 1</v>
      </c>
      <c r="E619" s="27" t="s">
        <v>864</v>
      </c>
      <c r="F619" s="17" t="s">
        <v>36</v>
      </c>
      <c r="G619" s="26" t="str">
        <f ca="1">VLOOKUP($F619,OFFSET(達成条件!$A$1,0,0,COUNTA($A:$A),MATCH(G$1,達成条件!$1:$1,0)-MATCH($F$1,達成条件!$1:$1,0)+1),MATCH(G$1,達成条件!$1:$1,0)-MATCH($F$1,達成条件!$1:$1,0)+1,FALSE)</f>
        <v>クエストを通算 x 回クリアしよう！</v>
      </c>
      <c r="H619" s="26" t="str">
        <f ca="1">VLOOKUP($F619,OFFSET(達成条件!$A$1,0,0,COUNTA($A:$A),MATCH(H$1,達成条件!$1:$1,0)-MATCH($F$1,達成条件!$1:$1,0)+1),MATCH(H$1,達成条件!$1:$1,0)-MATCH($F$1,達成条件!$1:$1,0)+1,FALSE)</f>
        <v>通算クリア回数</v>
      </c>
      <c r="I619" s="60" t="s">
        <v>1188</v>
      </c>
      <c r="J619" s="54" t="str">
        <f ca="1">IF(F619="specific_unit_aquired_count",SUBSTITUTE(G619,"x",VLOOKUP(INT($I619),OFFSET([3]characters!$A$2,0,0,COUNTA([3]characters!$A:$A),MATCH(J$1,[3]characters!$2:$2,0)-MATCH("character_id",[3]characters!$2:$2,0)+1),MATCH(J$1,[3]characters!$2:$2,0)-MATCH("character_id",[3]characters!$2:$2,0)+1,FALSE)),IF(F619="specific_quest_clear",VLOOKUP(SUBSTITUTE(I619,"-","_"),OFFSET([2]stages!$A$2,0,0,COUNTA([2]stages!$A:$A),MATCH("name",[2]stages!$2:$2,0)-MATCH("temp_stage",[2]stages!$2:$2,0)+1),MATCH("name",[2]stages!$2:$2,0)-MATCH("temp_stage",[2]stages!$2:$2,0)+1,FALSE),""))</f>
        <v/>
      </c>
      <c r="K619" s="15">
        <v>1</v>
      </c>
      <c r="L619" s="15" t="s">
        <v>542</v>
      </c>
      <c r="M619" s="26" t="str">
        <f ca="1">IFERROR(VLOOKUP($L675,OFFSET(missions!$A$2,0,0,COUNTA($A:$A),MATCH(M$1,missions!$2:$2,0)-MATCH("mission_id",missions!$2:$2,0)+1),MATCH(M$1,missions!$2:$2,0)-MATCH("mission_id",missions!$2:$2,0)+1,FALSE),"")</f>
        <v/>
      </c>
      <c r="N619" s="26" t="str">
        <f ca="1">IFERROR(VLOOKUP($L675,OFFSET(missions!$A$2,0,0,COUNTA($A:$A),MATCH(N$1,missions!$2:$2,0)-MATCH("mission_id",missions!$2:$2,0)+1),MATCH(N$1,missions!$2:$2,0)-MATCH("mission_id",missions!$2:$2,0)+1,FALSE),"")</f>
        <v/>
      </c>
    </row>
    <row r="620" spans="1:14" ht="21" customHeight="1" x14ac:dyDescent="0.15">
      <c r="A620" s="2" t="s">
        <v>1176</v>
      </c>
      <c r="B620" s="21" t="s">
        <v>792</v>
      </c>
      <c r="C620" s="26" t="str">
        <f t="shared" ref="C620:C631" ca="1" si="75">IF(F620="specific_quest_clear",SUBSTITUTE(G620,"x",J620),IF(F620="specific_unit_aquired_count",SUBSTITUTE(J620,"y",K620),SUBSTITUTE(G620,"x",I620)))</f>
        <v>クエストを通算 10 回クリアしよう！</v>
      </c>
      <c r="D620" s="26" t="str">
        <f ca="1">IFERROR(VLOOKUP($A620,OFFSET(achievement_criterion_id,0,0,COUNTA($A:$A),MATCH(D$1,missions!$2:$2,0)-MATCH($A$1,missions!$2:$2,0)+1),MATCH(D$1,missions!$2:$2,0)-MATCH($A$1,missions!$2:$2,0)+1,FALSE),IFERROR(VLOOKUP($A620,OFFSET(weekly_achievement_criterion_id,0,0,COUNTA($A:$A),MATCH(D$1,weekly_missions!$2:$2,0)-MATCH($A$1,weekly_missions!$2:$2,0)+1),MATCH(D$1,weekly_missions!$2:$2,0)-MATCH($A$1,weekly_missions!$2:$2,0)+1,FALSE),"＊missions 未設定＊"))</f>
        <v>メガ癒しの果実 x 1</v>
      </c>
      <c r="E620" s="27" t="s">
        <v>864</v>
      </c>
      <c r="F620" s="17" t="s">
        <v>36</v>
      </c>
      <c r="G620" s="26" t="str">
        <f ca="1">VLOOKUP($F620,OFFSET(達成条件!$A$1,0,0,COUNTA($A:$A),MATCH(G$1,達成条件!$1:$1,0)-MATCH($F$1,達成条件!$1:$1,0)+1),MATCH(G$1,達成条件!$1:$1,0)-MATCH($F$1,達成条件!$1:$1,0)+1,FALSE)</f>
        <v>クエストを通算 x 回クリアしよう！</v>
      </c>
      <c r="H620" s="26" t="str">
        <f ca="1">VLOOKUP($F620,OFFSET(達成条件!$A$1,0,0,COUNTA($A:$A),MATCH(H$1,達成条件!$1:$1,0)-MATCH($F$1,達成条件!$1:$1,0)+1),MATCH(H$1,達成条件!$1:$1,0)-MATCH($F$1,達成条件!$1:$1,0)+1,FALSE)</f>
        <v>通算クリア回数</v>
      </c>
      <c r="I620" s="60" t="s">
        <v>1189</v>
      </c>
      <c r="J620" s="54" t="str">
        <f ca="1">IF(F620="specific_unit_aquired_count",SUBSTITUTE(G620,"x",VLOOKUP(INT($I620),OFFSET([3]characters!$A$2,0,0,COUNTA([3]characters!$A:$A),MATCH(J$1,[3]characters!$2:$2,0)-MATCH("character_id",[3]characters!$2:$2,0)+1),MATCH(J$1,[3]characters!$2:$2,0)-MATCH("character_id",[3]characters!$2:$2,0)+1,FALSE)),IF(F620="specific_quest_clear",VLOOKUP(SUBSTITUTE(I620,"-","_"),OFFSET([2]stages!$A$2,0,0,COUNTA([2]stages!$A:$A),MATCH("name",[2]stages!$2:$2,0)-MATCH("temp_stage",[2]stages!$2:$2,0)+1),MATCH("name",[2]stages!$2:$2,0)-MATCH("temp_stage",[2]stages!$2:$2,0)+1,FALSE),""))</f>
        <v/>
      </c>
      <c r="K620" s="15">
        <v>1</v>
      </c>
      <c r="L620" s="15" t="s">
        <v>542</v>
      </c>
      <c r="M620" s="26" t="str">
        <f ca="1">IFERROR(VLOOKUP($L676,OFFSET(missions!$A$2,0,0,COUNTA($A:$A),MATCH(M$1,missions!$2:$2,0)-MATCH("mission_id",missions!$2:$2,0)+1),MATCH(M$1,missions!$2:$2,0)-MATCH("mission_id",missions!$2:$2,0)+1,FALSE),"")</f>
        <v/>
      </c>
      <c r="N620" s="26" t="str">
        <f ca="1">IFERROR(VLOOKUP($L676,OFFSET(missions!$A$2,0,0,COUNTA($A:$A),MATCH(N$1,missions!$2:$2,0)-MATCH("mission_id",missions!$2:$2,0)+1),MATCH(N$1,missions!$2:$2,0)-MATCH("mission_id",missions!$2:$2,0)+1,FALSE),"")</f>
        <v/>
      </c>
    </row>
    <row r="621" spans="1:14" ht="21" customHeight="1" x14ac:dyDescent="0.15">
      <c r="A621" s="2" t="s">
        <v>1491</v>
      </c>
      <c r="B621" s="21" t="s">
        <v>792</v>
      </c>
      <c r="C621" s="26" t="str">
        <f t="shared" ca="1" si="75"/>
        <v>クエストを通算 10 回クリアしよう！</v>
      </c>
      <c r="D621" s="26" t="str">
        <f ca="1">IFERROR(VLOOKUP($A621,OFFSET(achievement_criterion_id,0,0,COUNTA($A:$A),MATCH(D$1,missions!$2:$2,0)-MATCH($A$1,missions!$2:$2,0)+1),MATCH(D$1,missions!$2:$2,0)-MATCH($A$1,missions!$2:$2,0)+1,FALSE),IFERROR(VLOOKUP($A621,OFFSET(weekly_achievement_criterion_id,0,0,COUNTA($A:$A),MATCH(D$1,weekly_missions!$2:$2,0)-MATCH($A$1,weekly_missions!$2:$2,0)+1),MATCH(D$1,weekly_missions!$2:$2,0)-MATCH($A$1,weekly_missions!$2:$2,0)+1,FALSE),"＊missions 未設定＊"))</f>
        <v>ギガ生命の果実 x 1</v>
      </c>
      <c r="E621" s="27" t="s">
        <v>864</v>
      </c>
      <c r="F621" s="17" t="s">
        <v>36</v>
      </c>
      <c r="G621" s="26" t="str">
        <f ca="1">VLOOKUP($F621,OFFSET(達成条件!$A$1,0,0,COUNTA($A:$A),MATCH(G$1,達成条件!$1:$1,0)-MATCH($F$1,達成条件!$1:$1,0)+1),MATCH(G$1,達成条件!$1:$1,0)-MATCH($F$1,達成条件!$1:$1,0)+1,FALSE)</f>
        <v>クエストを通算 x 回クリアしよう！</v>
      </c>
      <c r="H621" s="26" t="str">
        <f ca="1">VLOOKUP($F621,OFFSET(達成条件!$A$1,0,0,COUNTA($A:$A),MATCH(H$1,達成条件!$1:$1,0)-MATCH($F$1,達成条件!$1:$1,0)+1),MATCH(H$1,達成条件!$1:$1,0)-MATCH($F$1,達成条件!$1:$1,0)+1,FALSE)</f>
        <v>通算クリア回数</v>
      </c>
      <c r="I621" s="60" t="s">
        <v>1487</v>
      </c>
      <c r="J621" s="54" t="str">
        <f ca="1">IF(F621="specific_unit_aquired_count",SUBSTITUTE(G621,"x",VLOOKUP(INT($I621),OFFSET([3]characters!$A$2,0,0,COUNTA([3]characters!$A:$A),MATCH(J$1,[3]characters!$2:$2,0)-MATCH("character_id",[3]characters!$2:$2,0)+1),MATCH(J$1,[3]characters!$2:$2,0)-MATCH("character_id",[3]characters!$2:$2,0)+1,FALSE)),IF(F621="specific_quest_clear",VLOOKUP(SUBSTITUTE(I621,"-","_"),OFFSET([2]stages!$A$2,0,0,COUNTA([2]stages!$A:$A),MATCH("name",[2]stages!$2:$2,0)-MATCH("temp_stage",[2]stages!$2:$2,0)+1),MATCH("name",[2]stages!$2:$2,0)-MATCH("temp_stage",[2]stages!$2:$2,0)+1,FALSE),""))</f>
        <v/>
      </c>
      <c r="K621" s="15">
        <v>1</v>
      </c>
      <c r="L621" s="15" t="s">
        <v>542</v>
      </c>
      <c r="M621" s="26"/>
      <c r="N621" s="26"/>
    </row>
    <row r="622" spans="1:14" ht="21" customHeight="1" x14ac:dyDescent="0.15">
      <c r="A622" s="116" t="s">
        <v>1837</v>
      </c>
      <c r="B622" s="21" t="s">
        <v>792</v>
      </c>
      <c r="C622" s="26" t="str">
        <f t="shared" ref="C622" ca="1" si="76">IF(F622="specific_quest_clear",SUBSTITUTE(G622,"x",J622),IF(F622="specific_unit_aquired_count",SUBSTITUTE(J622,"y",K622),SUBSTITUTE(G622,"x",I622)))</f>
        <v>クエストを通算 11 回クリアしよう！</v>
      </c>
      <c r="D622" s="26" t="str">
        <f ca="1">IFERROR(VLOOKUP($A622,OFFSET(achievement_criterion_id,0,0,COUNTA($A:$A),MATCH(D$1,missions!$2:$2,0)-MATCH($A$1,missions!$2:$2,0)+1),MATCH(D$1,missions!$2:$2,0)-MATCH($A$1,missions!$2:$2,0)+1,FALSE),IFERROR(VLOOKUP($A622,OFFSET(weekly_achievement_criterion_id,0,0,COUNTA($A:$A),MATCH(D$1,weekly_missions!$2:$2,0)-MATCH($A$1,weekly_missions!$2:$2,0)+1),MATCH(D$1,weekly_missions!$2:$2,0)-MATCH($A$1,weekly_missions!$2:$2,0)+1,FALSE),"＊missions 未設定＊"))</f>
        <v>ギガ生命の果実 x 1</v>
      </c>
      <c r="E622" s="27" t="s">
        <v>864</v>
      </c>
      <c r="F622" s="17" t="s">
        <v>36</v>
      </c>
      <c r="G622" s="26" t="str">
        <f ca="1">VLOOKUP($F622,OFFSET(達成条件!$A$1,0,0,COUNTA($A:$A),MATCH(G$1,達成条件!$1:$1,0)-MATCH($F$1,達成条件!$1:$1,0)+1),MATCH(G$1,達成条件!$1:$1,0)-MATCH($F$1,達成条件!$1:$1,0)+1,FALSE)</f>
        <v>クエストを通算 x 回クリアしよう！</v>
      </c>
      <c r="H622" s="26" t="str">
        <f ca="1">VLOOKUP($F622,OFFSET(達成条件!$A$1,0,0,COUNTA($A:$A),MATCH(H$1,達成条件!$1:$1,0)-MATCH($F$1,達成条件!$1:$1,0)+1),MATCH(H$1,達成条件!$1:$1,0)-MATCH($F$1,達成条件!$1:$1,0)+1,FALSE)</f>
        <v>通算クリア回数</v>
      </c>
      <c r="I622" s="60" t="s">
        <v>1838</v>
      </c>
      <c r="J622" s="54" t="str">
        <f ca="1">IF(F622="specific_unit_aquired_count",SUBSTITUTE(G622,"x",VLOOKUP(INT($I622),OFFSET([3]characters!$A$2,0,0,COUNTA([3]characters!$A:$A),MATCH(J$1,[3]characters!$2:$2,0)-MATCH("character_id",[3]characters!$2:$2,0)+1),MATCH(J$1,[3]characters!$2:$2,0)-MATCH("character_id",[3]characters!$2:$2,0)+1,FALSE)),IF(F622="specific_quest_clear",VLOOKUP(SUBSTITUTE(I622,"-","_"),OFFSET([2]stages!$A$2,0,0,COUNTA([2]stages!$A:$A),MATCH("name",[2]stages!$2:$2,0)-MATCH("temp_stage",[2]stages!$2:$2,0)+1),MATCH("name",[2]stages!$2:$2,0)-MATCH("temp_stage",[2]stages!$2:$2,0)+1,FALSE),""))</f>
        <v/>
      </c>
      <c r="K622" s="15">
        <v>1</v>
      </c>
      <c r="L622" s="15" t="s">
        <v>542</v>
      </c>
      <c r="M622" s="26"/>
      <c r="N622" s="26"/>
    </row>
    <row r="623" spans="1:14" ht="21" customHeight="1" x14ac:dyDescent="0.15">
      <c r="A623" s="116" t="s">
        <v>1841</v>
      </c>
      <c r="B623" s="21" t="s">
        <v>792</v>
      </c>
      <c r="C623" s="26" t="str">
        <f t="shared" ref="C623" ca="1" si="77">IF(F623="specific_quest_clear",SUBSTITUTE(G623,"x",J623),IF(F623="specific_unit_aquired_count",SUBSTITUTE(J623,"y",K623),SUBSTITUTE(G623,"x",I623)))</f>
        <v>クエストを通算 13 回クリアしよう！</v>
      </c>
      <c r="D623" s="26" t="str">
        <f ca="1">IFERROR(VLOOKUP($A623,OFFSET(achievement_criterion_id,0,0,COUNTA($A:$A),MATCH(D$1,missions!$2:$2,0)-MATCH($A$1,missions!$2:$2,0)+1),MATCH(D$1,missions!$2:$2,0)-MATCH($A$1,missions!$2:$2,0)+1,FALSE),IFERROR(VLOOKUP($A623,OFFSET(weekly_achievement_criterion_id,0,0,COUNTA($A:$A),MATCH(D$1,weekly_missions!$2:$2,0)-MATCH($A$1,weekly_missions!$2:$2,0)+1),MATCH(D$1,weekly_missions!$2:$2,0)-MATCH($A$1,weekly_missions!$2:$2,0)+1,FALSE),"＊missions 未設定＊"))</f>
        <v>ギガ癒しの果実 x 1</v>
      </c>
      <c r="E623" s="27" t="s">
        <v>864</v>
      </c>
      <c r="F623" s="17" t="s">
        <v>36</v>
      </c>
      <c r="G623" s="26" t="str">
        <f ca="1">VLOOKUP($F623,OFFSET(達成条件!$A$1,0,0,COUNTA($A:$A),MATCH(G$1,達成条件!$1:$1,0)-MATCH($F$1,達成条件!$1:$1,0)+1),MATCH(G$1,達成条件!$1:$1,0)-MATCH($F$1,達成条件!$1:$1,0)+1,FALSE)</f>
        <v>クエストを通算 x 回クリアしよう！</v>
      </c>
      <c r="H623" s="26" t="str">
        <f ca="1">VLOOKUP($F623,OFFSET(達成条件!$A$1,0,0,COUNTA($A:$A),MATCH(H$1,達成条件!$1:$1,0)-MATCH($F$1,達成条件!$1:$1,0)+1),MATCH(H$1,達成条件!$1:$1,0)-MATCH($F$1,達成条件!$1:$1,0)+1,FALSE)</f>
        <v>通算クリア回数</v>
      </c>
      <c r="I623" s="60" t="s">
        <v>1842</v>
      </c>
      <c r="J623" s="54" t="str">
        <f ca="1">IF(F623="specific_unit_aquired_count",SUBSTITUTE(G623,"x",VLOOKUP(INT($I623),OFFSET([3]characters!$A$2,0,0,COUNTA([3]characters!$A:$A),MATCH(J$1,[3]characters!$2:$2,0)-MATCH("character_id",[3]characters!$2:$2,0)+1),MATCH(J$1,[3]characters!$2:$2,0)-MATCH("character_id",[3]characters!$2:$2,0)+1,FALSE)),IF(F623="specific_quest_clear",VLOOKUP(SUBSTITUTE(I623,"-","_"),OFFSET([2]stages!$A$2,0,0,COUNTA([2]stages!$A:$A),MATCH("name",[2]stages!$2:$2,0)-MATCH("temp_stage",[2]stages!$2:$2,0)+1),MATCH("name",[2]stages!$2:$2,0)-MATCH("temp_stage",[2]stages!$2:$2,0)+1,FALSE),""))</f>
        <v/>
      </c>
      <c r="K623" s="15">
        <v>1</v>
      </c>
      <c r="L623" s="15" t="s">
        <v>542</v>
      </c>
      <c r="M623" s="26"/>
      <c r="N623" s="26"/>
    </row>
    <row r="624" spans="1:14" ht="21" customHeight="1" x14ac:dyDescent="0.15">
      <c r="A624" s="2" t="s">
        <v>1177</v>
      </c>
      <c r="B624" s="21" t="s">
        <v>792</v>
      </c>
      <c r="C624" s="26" t="str">
        <f t="shared" ca="1" si="75"/>
        <v>クエストを通算 15 回クリアしよう！</v>
      </c>
      <c r="D624" s="26" t="str">
        <f ca="1">IFERROR(VLOOKUP($A624,OFFSET(achievement_criterion_id,0,0,COUNTA($A:$A),MATCH(D$1,missions!$2:$2,0)-MATCH($A$1,missions!$2:$2,0)+1),MATCH(D$1,missions!$2:$2,0)-MATCH($A$1,missions!$2:$2,0)+1,FALSE),IFERROR(VLOOKUP($A624,OFFSET(weekly_achievement_criterion_id,0,0,COUNTA($A:$A),MATCH(D$1,weekly_missions!$2:$2,0)-MATCH($A$1,weekly_missions!$2:$2,0)+1),MATCH(D$1,weekly_missions!$2:$2,0)-MATCH($A$1,weekly_missions!$2:$2,0)+1,FALSE),"＊missions 未設定＊"))</f>
        <v>炎のメタルダック x 1</v>
      </c>
      <c r="E624" s="27" t="s">
        <v>864</v>
      </c>
      <c r="F624" s="17" t="s">
        <v>36</v>
      </c>
      <c r="G624" s="26" t="str">
        <f ca="1">VLOOKUP($F624,OFFSET(達成条件!$A$1,0,0,COUNTA($A:$A),MATCH(G$1,達成条件!$1:$1,0)-MATCH($F$1,達成条件!$1:$1,0)+1),MATCH(G$1,達成条件!$1:$1,0)-MATCH($F$1,達成条件!$1:$1,0)+1,FALSE)</f>
        <v>クエストを通算 x 回クリアしよう！</v>
      </c>
      <c r="H624" s="26" t="str">
        <f ca="1">VLOOKUP($F624,OFFSET(達成条件!$A$1,0,0,COUNTA($A:$A),MATCH(H$1,達成条件!$1:$1,0)-MATCH($F$1,達成条件!$1:$1,0)+1),MATCH(H$1,達成条件!$1:$1,0)-MATCH($F$1,達成条件!$1:$1,0)+1,FALSE)</f>
        <v>通算クリア回数</v>
      </c>
      <c r="I624" s="60" t="s">
        <v>1190</v>
      </c>
      <c r="J624" s="54" t="str">
        <f ca="1">IF(F624="specific_unit_aquired_count",SUBSTITUTE(G624,"x",VLOOKUP(INT($I624),OFFSET([3]characters!$A$2,0,0,COUNTA([3]characters!$A:$A),MATCH(J$1,[3]characters!$2:$2,0)-MATCH("character_id",[3]characters!$2:$2,0)+1),MATCH(J$1,[3]characters!$2:$2,0)-MATCH("character_id",[3]characters!$2:$2,0)+1,FALSE)),IF(F624="specific_quest_clear",VLOOKUP(SUBSTITUTE(I624,"-","_"),OFFSET([2]stages!$A$2,0,0,COUNTA([2]stages!$A:$A),MATCH("name",[2]stages!$2:$2,0)-MATCH("temp_stage",[2]stages!$2:$2,0)+1),MATCH("name",[2]stages!$2:$2,0)-MATCH("temp_stage",[2]stages!$2:$2,0)+1,FALSE),""))</f>
        <v/>
      </c>
      <c r="K624" s="15">
        <v>1</v>
      </c>
      <c r="L624" s="15" t="s">
        <v>542</v>
      </c>
      <c r="M624" s="26" t="str">
        <f ca="1">IFERROR(VLOOKUP($L691,OFFSET(missions!$A$2,0,0,COUNTA($A:$A),MATCH(M$1,missions!$2:$2,0)-MATCH("mission_id",missions!$2:$2,0)+1),MATCH(M$1,missions!$2:$2,0)-MATCH("mission_id",missions!$2:$2,0)+1,FALSE),"")</f>
        <v/>
      </c>
      <c r="N624" s="26" t="str">
        <f ca="1">IFERROR(VLOOKUP($L691,OFFSET(missions!$A$2,0,0,COUNTA($A:$A),MATCH(N$1,missions!$2:$2,0)-MATCH("mission_id",missions!$2:$2,0)+1),MATCH(N$1,missions!$2:$2,0)-MATCH("mission_id",missions!$2:$2,0)+1,FALSE),"")</f>
        <v/>
      </c>
    </row>
    <row r="625" spans="1:14" ht="21" customHeight="1" x14ac:dyDescent="0.15">
      <c r="A625" s="2" t="s">
        <v>1178</v>
      </c>
      <c r="B625" s="21" t="s">
        <v>792</v>
      </c>
      <c r="C625" s="26" t="str">
        <f t="shared" ca="1" si="75"/>
        <v>クエストを通算 15 回クリアしよう！</v>
      </c>
      <c r="D625" s="26" t="str">
        <f ca="1">IFERROR(VLOOKUP($A625,OFFSET(achievement_criterion_id,0,0,COUNTA($A:$A),MATCH(D$1,missions!$2:$2,0)-MATCH($A$1,missions!$2:$2,0)+1),MATCH(D$1,missions!$2:$2,0)-MATCH($A$1,missions!$2:$2,0)+1,FALSE),IFERROR(VLOOKUP($A625,OFFSET(weekly_achievement_criterion_id,0,0,COUNTA($A:$A),MATCH(D$1,weekly_missions!$2:$2,0)-MATCH($A$1,weekly_missions!$2:$2,0)+1),MATCH(D$1,weekly_missions!$2:$2,0)-MATCH($A$1,weekly_missions!$2:$2,0)+1,FALSE),"＊missions 未設定＊"))</f>
        <v>森のメタルダック x 1</v>
      </c>
      <c r="E625" s="27" t="s">
        <v>864</v>
      </c>
      <c r="F625" s="17" t="s">
        <v>36</v>
      </c>
      <c r="G625" s="26" t="str">
        <f ca="1">VLOOKUP($F625,OFFSET(達成条件!$A$1,0,0,COUNTA($A:$A),MATCH(G$1,達成条件!$1:$1,0)-MATCH($F$1,達成条件!$1:$1,0)+1),MATCH(G$1,達成条件!$1:$1,0)-MATCH($F$1,達成条件!$1:$1,0)+1,FALSE)</f>
        <v>クエストを通算 x 回クリアしよう！</v>
      </c>
      <c r="H625" s="26" t="str">
        <f ca="1">VLOOKUP($F625,OFFSET(達成条件!$A$1,0,0,COUNTA($A:$A),MATCH(H$1,達成条件!$1:$1,0)-MATCH($F$1,達成条件!$1:$1,0)+1),MATCH(H$1,達成条件!$1:$1,0)-MATCH($F$1,達成条件!$1:$1,0)+1,FALSE)</f>
        <v>通算クリア回数</v>
      </c>
      <c r="I625" s="60" t="s">
        <v>1191</v>
      </c>
      <c r="J625" s="54" t="str">
        <f ca="1">IF(F625="specific_unit_aquired_count",SUBSTITUTE(G625,"x",VLOOKUP(INT($I625),OFFSET([3]characters!$A$2,0,0,COUNTA([3]characters!$A:$A),MATCH(J$1,[3]characters!$2:$2,0)-MATCH("character_id",[3]characters!$2:$2,0)+1),MATCH(J$1,[3]characters!$2:$2,0)-MATCH("character_id",[3]characters!$2:$2,0)+1,FALSE)),IF(F625="specific_quest_clear",VLOOKUP(SUBSTITUTE(I625,"-","_"),OFFSET([2]stages!$A$2,0,0,COUNTA([2]stages!$A:$A),MATCH("name",[2]stages!$2:$2,0)-MATCH("temp_stage",[2]stages!$2:$2,0)+1),MATCH("name",[2]stages!$2:$2,0)-MATCH("temp_stage",[2]stages!$2:$2,0)+1,FALSE),""))</f>
        <v/>
      </c>
      <c r="K625" s="15">
        <v>1</v>
      </c>
      <c r="L625" s="15" t="s">
        <v>542</v>
      </c>
      <c r="M625" s="26" t="str">
        <f ca="1">IFERROR(VLOOKUP($L682,OFFSET(missions!$A$2,0,0,COUNTA($A:$A),MATCH(M$1,missions!$2:$2,0)-MATCH("mission_id",missions!$2:$2,0)+1),MATCH(M$1,missions!$2:$2,0)-MATCH("mission_id",missions!$2:$2,0)+1,FALSE),"")</f>
        <v/>
      </c>
      <c r="N625" s="26" t="str">
        <f ca="1">IFERROR(VLOOKUP($L682,OFFSET(missions!$A$2,0,0,COUNTA($A:$A),MATCH(N$1,missions!$2:$2,0)-MATCH("mission_id",missions!$2:$2,0)+1),MATCH(N$1,missions!$2:$2,0)-MATCH("mission_id",missions!$2:$2,0)+1,FALSE),"")</f>
        <v/>
      </c>
    </row>
    <row r="626" spans="1:14" ht="21" customHeight="1" x14ac:dyDescent="0.15">
      <c r="A626" s="2" t="s">
        <v>1179</v>
      </c>
      <c r="B626" s="21" t="s">
        <v>792</v>
      </c>
      <c r="C626" s="26" t="str">
        <f t="shared" ca="1" si="75"/>
        <v>クエストを通算 15 回クリアしよう！</v>
      </c>
      <c r="D626" s="26" t="str">
        <f ca="1">IFERROR(VLOOKUP($A626,OFFSET(achievement_criterion_id,0,0,COUNTA($A:$A),MATCH(D$1,missions!$2:$2,0)-MATCH($A$1,missions!$2:$2,0)+1),MATCH(D$1,missions!$2:$2,0)-MATCH($A$1,missions!$2:$2,0)+1,FALSE),IFERROR(VLOOKUP($A626,OFFSET(weekly_achievement_criterion_id,0,0,COUNTA($A:$A),MATCH(D$1,weekly_missions!$2:$2,0)-MATCH($A$1,weekly_missions!$2:$2,0)+1),MATCH(D$1,weekly_missions!$2:$2,0)-MATCH($A$1,weekly_missions!$2:$2,0)+1,FALSE),"＊missions 未設定＊"))</f>
        <v>水のメタルダック x 1</v>
      </c>
      <c r="E626" s="27" t="s">
        <v>864</v>
      </c>
      <c r="F626" s="17" t="s">
        <v>36</v>
      </c>
      <c r="G626" s="26" t="str">
        <f ca="1">VLOOKUP($F626,OFFSET(達成条件!$A$1,0,0,COUNTA($A:$A),MATCH(G$1,達成条件!$1:$1,0)-MATCH($F$1,達成条件!$1:$1,0)+1),MATCH(G$1,達成条件!$1:$1,0)-MATCH($F$1,達成条件!$1:$1,0)+1,FALSE)</f>
        <v>クエストを通算 x 回クリアしよう！</v>
      </c>
      <c r="H626" s="26" t="str">
        <f ca="1">VLOOKUP($F626,OFFSET(達成条件!$A$1,0,0,COUNTA($A:$A),MATCH(H$1,達成条件!$1:$1,0)-MATCH($F$1,達成条件!$1:$1,0)+1),MATCH(H$1,達成条件!$1:$1,0)-MATCH($F$1,達成条件!$1:$1,0)+1,FALSE)</f>
        <v>通算クリア回数</v>
      </c>
      <c r="I626" s="60" t="s">
        <v>1192</v>
      </c>
      <c r="J626" s="54" t="str">
        <f ca="1">IF(F626="specific_unit_aquired_count",SUBSTITUTE(G626,"x",VLOOKUP(INT($I626),OFFSET([3]characters!$A$2,0,0,COUNTA([3]characters!$A:$A),MATCH(J$1,[3]characters!$2:$2,0)-MATCH("character_id",[3]characters!$2:$2,0)+1),MATCH(J$1,[3]characters!$2:$2,0)-MATCH("character_id",[3]characters!$2:$2,0)+1,FALSE)),IF(F626="specific_quest_clear",VLOOKUP(SUBSTITUTE(I626,"-","_"),OFFSET([2]stages!$A$2,0,0,COUNTA([2]stages!$A:$A),MATCH("name",[2]stages!$2:$2,0)-MATCH("temp_stage",[2]stages!$2:$2,0)+1),MATCH("name",[2]stages!$2:$2,0)-MATCH("temp_stage",[2]stages!$2:$2,0)+1,FALSE),""))</f>
        <v/>
      </c>
      <c r="K626" s="15">
        <v>1</v>
      </c>
      <c r="L626" s="15" t="s">
        <v>542</v>
      </c>
      <c r="M626" s="26" t="str">
        <f ca="1">IFERROR(VLOOKUP($L683,OFFSET(missions!$A$2,0,0,COUNTA($A:$A),MATCH(M$1,missions!$2:$2,0)-MATCH("mission_id",missions!$2:$2,0)+1),MATCH(M$1,missions!$2:$2,0)-MATCH("mission_id",missions!$2:$2,0)+1,FALSE),"")</f>
        <v/>
      </c>
      <c r="N626" s="26" t="str">
        <f ca="1">IFERROR(VLOOKUP($L683,OFFSET(missions!$A$2,0,0,COUNTA($A:$A),MATCH(N$1,missions!$2:$2,0)-MATCH("mission_id",missions!$2:$2,0)+1),MATCH(N$1,missions!$2:$2,0)-MATCH("mission_id",missions!$2:$2,0)+1,FALSE),"")</f>
        <v/>
      </c>
    </row>
    <row r="627" spans="1:14" ht="21" customHeight="1" x14ac:dyDescent="0.15">
      <c r="A627" s="2" t="s">
        <v>1180</v>
      </c>
      <c r="B627" s="21" t="s">
        <v>792</v>
      </c>
      <c r="C627" s="26" t="str">
        <f t="shared" ca="1" si="75"/>
        <v>クエストを通算 15 回クリアしよう！</v>
      </c>
      <c r="D627" s="26" t="str">
        <f ca="1">IFERROR(VLOOKUP($A627,OFFSET(achievement_criterion_id,0,0,COUNTA($A:$A),MATCH(D$1,missions!$2:$2,0)-MATCH($A$1,missions!$2:$2,0)+1),MATCH(D$1,missions!$2:$2,0)-MATCH($A$1,missions!$2:$2,0)+1,FALSE),IFERROR(VLOOKUP($A627,OFFSET(weekly_achievement_criterion_id,0,0,COUNTA($A:$A),MATCH(D$1,weekly_missions!$2:$2,0)-MATCH($A$1,weekly_missions!$2:$2,0)+1),MATCH(D$1,weekly_missions!$2:$2,0)-MATCH($A$1,weekly_missions!$2:$2,0)+1,FALSE),"＊missions 未設定＊"))</f>
        <v>雷のメタルダック x 1</v>
      </c>
      <c r="E627" s="27" t="s">
        <v>864</v>
      </c>
      <c r="F627" s="17" t="s">
        <v>36</v>
      </c>
      <c r="G627" s="26" t="str">
        <f ca="1">VLOOKUP($F627,OFFSET(達成条件!$A$1,0,0,COUNTA($A:$A),MATCH(G$1,達成条件!$1:$1,0)-MATCH($F$1,達成条件!$1:$1,0)+1),MATCH(G$1,達成条件!$1:$1,0)-MATCH($F$1,達成条件!$1:$1,0)+1,FALSE)</f>
        <v>クエストを通算 x 回クリアしよう！</v>
      </c>
      <c r="H627" s="26" t="str">
        <f ca="1">VLOOKUP($F627,OFFSET(達成条件!$A$1,0,0,COUNTA($A:$A),MATCH(H$1,達成条件!$1:$1,0)-MATCH($F$1,達成条件!$1:$1,0)+1),MATCH(H$1,達成条件!$1:$1,0)-MATCH($F$1,達成条件!$1:$1,0)+1,FALSE)</f>
        <v>通算クリア回数</v>
      </c>
      <c r="I627" s="60" t="s">
        <v>1191</v>
      </c>
      <c r="J627" s="54" t="str">
        <f ca="1">IF(F627="specific_unit_aquired_count",SUBSTITUTE(G627,"x",VLOOKUP(INT($I627),OFFSET([3]characters!$A$2,0,0,COUNTA([3]characters!$A:$A),MATCH(J$1,[3]characters!$2:$2,0)-MATCH("character_id",[3]characters!$2:$2,0)+1),MATCH(J$1,[3]characters!$2:$2,0)-MATCH("character_id",[3]characters!$2:$2,0)+1,FALSE)),IF(F627="specific_quest_clear",VLOOKUP(SUBSTITUTE(I627,"-","_"),OFFSET([2]stages!$A$2,0,0,COUNTA([2]stages!$A:$A),MATCH("name",[2]stages!$2:$2,0)-MATCH("temp_stage",[2]stages!$2:$2,0)+1),MATCH("name",[2]stages!$2:$2,0)-MATCH("temp_stage",[2]stages!$2:$2,0)+1,FALSE),""))</f>
        <v/>
      </c>
      <c r="K627" s="15">
        <v>1</v>
      </c>
      <c r="L627" s="15" t="s">
        <v>542</v>
      </c>
      <c r="M627" s="26" t="str">
        <f ca="1">IFERROR(VLOOKUP($L684,OFFSET(missions!$A$2,0,0,COUNTA($A:$A),MATCH(M$1,missions!$2:$2,0)-MATCH("mission_id",missions!$2:$2,0)+1),MATCH(M$1,missions!$2:$2,0)-MATCH("mission_id",missions!$2:$2,0)+1,FALSE),"")</f>
        <v/>
      </c>
      <c r="N627" s="26" t="str">
        <f ca="1">IFERROR(VLOOKUP($L684,OFFSET(missions!$A$2,0,0,COUNTA($A:$A),MATCH(N$1,missions!$2:$2,0)-MATCH("mission_id",missions!$2:$2,0)+1),MATCH(N$1,missions!$2:$2,0)-MATCH("mission_id",missions!$2:$2,0)+1,FALSE),"")</f>
        <v/>
      </c>
    </row>
    <row r="628" spans="1:14" ht="21" customHeight="1" x14ac:dyDescent="0.15">
      <c r="A628" s="2" t="s">
        <v>1492</v>
      </c>
      <c r="B628" s="21" t="s">
        <v>792</v>
      </c>
      <c r="C628" s="26" t="str">
        <f t="shared" ca="1" si="75"/>
        <v>クエストを通算 15 回クリアしよう！</v>
      </c>
      <c r="D628" s="26" t="str">
        <f ca="1">IFERROR(VLOOKUP($A628,OFFSET(achievement_criterion_id,0,0,COUNTA($A:$A),MATCH(D$1,missions!$2:$2,0)-MATCH($A$1,missions!$2:$2,0)+1),MATCH(D$1,missions!$2:$2,0)-MATCH($A$1,missions!$2:$2,0)+1,FALSE),IFERROR(VLOOKUP($A628,OFFSET(weekly_achievement_criterion_id,0,0,COUNTA($A:$A),MATCH(D$1,weekly_missions!$2:$2,0)-MATCH($A$1,weekly_missions!$2:$2,0)+1),MATCH(D$1,weekly_missions!$2:$2,0)-MATCH($A$1,weekly_missions!$2:$2,0)+1,FALSE),"＊missions 未設定＊"))</f>
        <v>ギガ癒しの果実 x 1</v>
      </c>
      <c r="E628" s="27" t="s">
        <v>864</v>
      </c>
      <c r="F628" s="17" t="s">
        <v>36</v>
      </c>
      <c r="G628" s="26" t="str">
        <f ca="1">VLOOKUP($F628,OFFSET(達成条件!$A$1,0,0,COUNTA($A:$A),MATCH(G$1,達成条件!$1:$1,0)-MATCH($F$1,達成条件!$1:$1,0)+1),MATCH(G$1,達成条件!$1:$1,0)-MATCH($F$1,達成条件!$1:$1,0)+1,FALSE)</f>
        <v>クエストを通算 x 回クリアしよう！</v>
      </c>
      <c r="H628" s="26" t="str">
        <f ca="1">VLOOKUP($F628,OFFSET(達成条件!$A$1,0,0,COUNTA($A:$A),MATCH(H$1,達成条件!$1:$1,0)-MATCH($F$1,達成条件!$1:$1,0)+1),MATCH(H$1,達成条件!$1:$1,0)-MATCH($F$1,達成条件!$1:$1,0)+1,FALSE)</f>
        <v>通算クリア回数</v>
      </c>
      <c r="I628" s="60" t="s">
        <v>1497</v>
      </c>
      <c r="J628" s="54" t="str">
        <f ca="1">IF(F628="specific_unit_aquired_count",SUBSTITUTE(G628,"x",VLOOKUP(INT($I628),OFFSET([3]characters!$A$2,0,0,COUNTA([3]characters!$A:$A),MATCH(J$1,[3]characters!$2:$2,0)-MATCH("character_id",[3]characters!$2:$2,0)+1),MATCH(J$1,[3]characters!$2:$2,0)-MATCH("character_id",[3]characters!$2:$2,0)+1,FALSE)),IF(F628="specific_quest_clear",VLOOKUP(SUBSTITUTE(I628,"-","_"),OFFSET([2]stages!$A$2,0,0,COUNTA([2]stages!$A:$A),MATCH("name",[2]stages!$2:$2,0)-MATCH("temp_stage",[2]stages!$2:$2,0)+1),MATCH("name",[2]stages!$2:$2,0)-MATCH("temp_stage",[2]stages!$2:$2,0)+1,FALSE),""))</f>
        <v/>
      </c>
      <c r="K628" s="15">
        <v>1</v>
      </c>
      <c r="L628" s="15" t="s">
        <v>542</v>
      </c>
      <c r="M628" s="26"/>
      <c r="N628" s="26"/>
    </row>
    <row r="629" spans="1:14" ht="21" customHeight="1" x14ac:dyDescent="0.15">
      <c r="A629" s="2" t="s">
        <v>1845</v>
      </c>
      <c r="B629" s="21" t="s">
        <v>792</v>
      </c>
      <c r="C629" s="26" t="str">
        <f t="shared" ref="C629" ca="1" si="78">IF(F629="specific_quest_clear",SUBSTITUTE(G629,"x",J629),IF(F629="specific_unit_aquired_count",SUBSTITUTE(J629,"y",K629),SUBSTITUTE(G629,"x",I629)))</f>
        <v>クエストを通算 15 回クリアしよう！</v>
      </c>
      <c r="D629" s="26" t="str">
        <f ca="1">IFERROR(VLOOKUP($A629,OFFSET(achievement_criterion_id,0,0,COUNTA($A:$A),MATCH(D$1,missions!$2:$2,0)-MATCH($A$1,missions!$2:$2,0)+1),MATCH(D$1,missions!$2:$2,0)-MATCH($A$1,missions!$2:$2,0)+1,FALSE),IFERROR(VLOOKUP($A629,OFFSET(weekly_achievement_criterion_id,0,0,COUNTA($A:$A),MATCH(D$1,weekly_missions!$2:$2,0)-MATCH($A$1,weekly_missions!$2:$2,0)+1),MATCH(D$1,weekly_missions!$2:$2,0)-MATCH($A$1,weekly_missions!$2:$2,0)+1,FALSE),"＊missions 未設定＊"))</f>
        <v>ギガ攻めの果実 x 1</v>
      </c>
      <c r="E629" s="27" t="s">
        <v>864</v>
      </c>
      <c r="F629" s="17" t="s">
        <v>36</v>
      </c>
      <c r="G629" s="26" t="str">
        <f ca="1">VLOOKUP($F629,OFFSET(達成条件!$A$1,0,0,COUNTA($A:$A),MATCH(G$1,達成条件!$1:$1,0)-MATCH($F$1,達成条件!$1:$1,0)+1),MATCH(G$1,達成条件!$1:$1,0)-MATCH($F$1,達成条件!$1:$1,0)+1,FALSE)</f>
        <v>クエストを通算 x 回クリアしよう！</v>
      </c>
      <c r="H629" s="26" t="str">
        <f ca="1">VLOOKUP($F629,OFFSET(達成条件!$A$1,0,0,COUNTA($A:$A),MATCH(H$1,達成条件!$1:$1,0)-MATCH($F$1,達成条件!$1:$1,0)+1),MATCH(H$1,達成条件!$1:$1,0)-MATCH($F$1,達成条件!$1:$1,0)+1,FALSE)</f>
        <v>通算クリア回数</v>
      </c>
      <c r="I629" s="60" t="s">
        <v>1497</v>
      </c>
      <c r="J629" s="54" t="str">
        <f ca="1">IF(F629="specific_unit_aquired_count",SUBSTITUTE(G629,"x",VLOOKUP(INT($I629),OFFSET([3]characters!$A$2,0,0,COUNTA([3]characters!$A:$A),MATCH(J$1,[3]characters!$2:$2,0)-MATCH("character_id",[3]characters!$2:$2,0)+1),MATCH(J$1,[3]characters!$2:$2,0)-MATCH("character_id",[3]characters!$2:$2,0)+1,FALSE)),IF(F629="specific_quest_clear",VLOOKUP(SUBSTITUTE(I629,"-","_"),OFFSET([2]stages!$A$2,0,0,COUNTA([2]stages!$A:$A),MATCH("name",[2]stages!$2:$2,0)-MATCH("temp_stage",[2]stages!$2:$2,0)+1),MATCH("name",[2]stages!$2:$2,0)-MATCH("temp_stage",[2]stages!$2:$2,0)+1,FALSE),""))</f>
        <v/>
      </c>
      <c r="K629" s="15">
        <v>1</v>
      </c>
      <c r="L629" s="15" t="s">
        <v>542</v>
      </c>
      <c r="M629" s="26"/>
      <c r="N629" s="26"/>
    </row>
    <row r="630" spans="1:14" ht="21" customHeight="1" x14ac:dyDescent="0.15">
      <c r="A630" s="2" t="s">
        <v>1181</v>
      </c>
      <c r="B630" s="21" t="s">
        <v>792</v>
      </c>
      <c r="C630" s="26" t="str">
        <f t="shared" ca="1" si="75"/>
        <v>クエストを通算 20 回クリアしよう！</v>
      </c>
      <c r="D630" s="26" t="str">
        <f ca="1">IFERROR(VLOOKUP($A630,OFFSET(achievement_criterion_id,0,0,COUNTA($A:$A),MATCH(D$1,missions!$2:$2,0)-MATCH($A$1,missions!$2:$2,0)+1),MATCH(D$1,missions!$2:$2,0)-MATCH($A$1,missions!$2:$2,0)+1,FALSE),IFERROR(VLOOKUP($A630,OFFSET(weekly_achievement_criterion_id,0,0,COUNTA($A:$A),MATCH(D$1,weekly_missions!$2:$2,0)-MATCH($A$1,weekly_missions!$2:$2,0)+1),MATCH(D$1,weekly_missions!$2:$2,0)-MATCH($A$1,weekly_missions!$2:$2,0)+1,FALSE),"＊missions 未設定＊"))</f>
        <v>メガ攻めの果実 x 1</v>
      </c>
      <c r="E630" s="27" t="s">
        <v>864</v>
      </c>
      <c r="F630" s="17" t="s">
        <v>36</v>
      </c>
      <c r="G630" s="26" t="str">
        <f ca="1">VLOOKUP($F630,OFFSET(達成条件!$A$1,0,0,COUNTA($A:$A),MATCH(G$1,達成条件!$1:$1,0)-MATCH($F$1,達成条件!$1:$1,0)+1),MATCH(G$1,達成条件!$1:$1,0)-MATCH($F$1,達成条件!$1:$1,0)+1,FALSE)</f>
        <v>クエストを通算 x 回クリアしよう！</v>
      </c>
      <c r="H630" s="26" t="str">
        <f ca="1">VLOOKUP($F630,OFFSET(達成条件!$A$1,0,0,COUNTA($A:$A),MATCH(H$1,達成条件!$1:$1,0)-MATCH($F$1,達成条件!$1:$1,0)+1),MATCH(H$1,達成条件!$1:$1,0)-MATCH($F$1,達成条件!$1:$1,0)+1,FALSE)</f>
        <v>通算クリア回数</v>
      </c>
      <c r="I630" s="60" t="s">
        <v>645</v>
      </c>
      <c r="J630" s="54" t="str">
        <f ca="1">IF(F630="specific_unit_aquired_count",SUBSTITUTE(G630,"x",VLOOKUP(INT($I630),OFFSET([3]characters!$A$2,0,0,COUNTA([3]characters!$A:$A),MATCH(J$1,[3]characters!$2:$2,0)-MATCH("character_id",[3]characters!$2:$2,0)+1),MATCH(J$1,[3]characters!$2:$2,0)-MATCH("character_id",[3]characters!$2:$2,0)+1,FALSE)),IF(F630="specific_quest_clear",VLOOKUP(SUBSTITUTE(I630,"-","_"),OFFSET([2]stages!$A$2,0,0,COUNTA([2]stages!$A:$A),MATCH("name",[2]stages!$2:$2,0)-MATCH("temp_stage",[2]stages!$2:$2,0)+1),MATCH("name",[2]stages!$2:$2,0)-MATCH("temp_stage",[2]stages!$2:$2,0)+1,FALSE),""))</f>
        <v/>
      </c>
      <c r="K630" s="15">
        <v>1</v>
      </c>
      <c r="L630" s="15" t="s">
        <v>542</v>
      </c>
      <c r="M630" s="26" t="str">
        <f ca="1">IFERROR(VLOOKUP($L684,OFFSET(missions!$A$2,0,0,COUNTA($A:$A),MATCH(M$1,missions!$2:$2,0)-MATCH("mission_id",missions!$2:$2,0)+1),MATCH(M$1,missions!$2:$2,0)-MATCH("mission_id",missions!$2:$2,0)+1,FALSE),"")</f>
        <v/>
      </c>
      <c r="N630" s="26" t="str">
        <f ca="1">IFERROR(VLOOKUP($L684,OFFSET(missions!$A$2,0,0,COUNTA($A:$A),MATCH(N$1,missions!$2:$2,0)-MATCH("mission_id",missions!$2:$2,0)+1),MATCH(N$1,missions!$2:$2,0)-MATCH("mission_id",missions!$2:$2,0)+1,FALSE),"")</f>
        <v/>
      </c>
    </row>
    <row r="631" spans="1:14" ht="21" customHeight="1" x14ac:dyDescent="0.15">
      <c r="A631" s="2" t="s">
        <v>1182</v>
      </c>
      <c r="B631" s="21" t="s">
        <v>792</v>
      </c>
      <c r="C631" s="26" t="str">
        <f t="shared" ca="1" si="75"/>
        <v>クエストを通算 20 回クリアしよう！</v>
      </c>
      <c r="D631" s="26" t="str">
        <f ca="1">IFERROR(VLOOKUP($A631,OFFSET(achievement_criterion_id,0,0,COUNTA($A:$A),MATCH(D$1,missions!$2:$2,0)-MATCH($A$1,missions!$2:$2,0)+1),MATCH(D$1,missions!$2:$2,0)-MATCH($A$1,missions!$2:$2,0)+1,FALSE),IFERROR(VLOOKUP($A631,OFFSET(weekly_achievement_criterion_id,0,0,COUNTA($A:$A),MATCH(D$1,weekly_missions!$2:$2,0)-MATCH($A$1,weekly_missions!$2:$2,0)+1),MATCH(D$1,weekly_missions!$2:$2,0)-MATCH($A$1,weekly_missions!$2:$2,0)+1,FALSE),"＊missions 未設定＊"))</f>
        <v>メガ生命の果実 x 1</v>
      </c>
      <c r="E631" s="27" t="s">
        <v>864</v>
      </c>
      <c r="F631" s="17" t="s">
        <v>36</v>
      </c>
      <c r="G631" s="26" t="str">
        <f ca="1">VLOOKUP($F631,OFFSET(達成条件!$A$1,0,0,COUNTA($A:$A),MATCH(G$1,達成条件!$1:$1,0)-MATCH($F$1,達成条件!$1:$1,0)+1),MATCH(G$1,達成条件!$1:$1,0)-MATCH($F$1,達成条件!$1:$1,0)+1,FALSE)</f>
        <v>クエストを通算 x 回クリアしよう！</v>
      </c>
      <c r="H631" s="26" t="str">
        <f ca="1">VLOOKUP($F631,OFFSET(達成条件!$A$1,0,0,COUNTA($A:$A),MATCH(H$1,達成条件!$1:$1,0)-MATCH($F$1,達成条件!$1:$1,0)+1),MATCH(H$1,達成条件!$1:$1,0)-MATCH($F$1,達成条件!$1:$1,0)+1,FALSE)</f>
        <v>通算クリア回数</v>
      </c>
      <c r="I631" s="60" t="s">
        <v>1193</v>
      </c>
      <c r="J631" s="54" t="str">
        <f ca="1">IF(F631="specific_unit_aquired_count",SUBSTITUTE(G631,"x",VLOOKUP(INT($I631),OFFSET([3]characters!$A$2,0,0,COUNTA([3]characters!$A:$A),MATCH(J$1,[3]characters!$2:$2,0)-MATCH("character_id",[3]characters!$2:$2,0)+1),MATCH(J$1,[3]characters!$2:$2,0)-MATCH("character_id",[3]characters!$2:$2,0)+1,FALSE)),IF(F631="specific_quest_clear",VLOOKUP(SUBSTITUTE(I631,"-","_"),OFFSET([2]stages!$A$2,0,0,COUNTA([2]stages!$A:$A),MATCH("name",[2]stages!$2:$2,0)-MATCH("temp_stage",[2]stages!$2:$2,0)+1),MATCH("name",[2]stages!$2:$2,0)-MATCH("temp_stage",[2]stages!$2:$2,0)+1,FALSE),""))</f>
        <v/>
      </c>
      <c r="K631" s="15">
        <v>1</v>
      </c>
      <c r="L631" s="15" t="s">
        <v>542</v>
      </c>
      <c r="M631" s="26" t="str">
        <f ca="1">IFERROR(VLOOKUP($L685,OFFSET(missions!$A$2,0,0,COUNTA($A:$A),MATCH(M$1,missions!$2:$2,0)-MATCH("mission_id",missions!$2:$2,0)+1),MATCH(M$1,missions!$2:$2,0)-MATCH("mission_id",missions!$2:$2,0)+1,FALSE),"")</f>
        <v/>
      </c>
      <c r="N631" s="26" t="str">
        <f ca="1">IFERROR(VLOOKUP($L685,OFFSET(missions!$A$2,0,0,COUNTA($A:$A),MATCH(N$1,missions!$2:$2,0)-MATCH("mission_id",missions!$2:$2,0)+1),MATCH(N$1,missions!$2:$2,0)-MATCH("mission_id",missions!$2:$2,0)+1,FALSE),"")</f>
        <v/>
      </c>
    </row>
    <row r="632" spans="1:14" ht="21" customHeight="1" x14ac:dyDescent="0.15">
      <c r="A632" s="2" t="s">
        <v>1183</v>
      </c>
      <c r="B632" s="21" t="s">
        <v>792</v>
      </c>
      <c r="C632" s="26" t="str">
        <f t="shared" ref="C632:C658" ca="1" si="79">IF(F632="specific_quest_clear",SUBSTITUTE(G632,"x",J632),IF(F632="specific_unit_aquired_count",SUBSTITUTE(J632,"y",K632),SUBSTITUTE(G632,"x",I632)))</f>
        <v>クエストを通算 20 回クリアしよう！</v>
      </c>
      <c r="D632" s="26" t="str">
        <f ca="1">IFERROR(VLOOKUP($A632,OFFSET(achievement_criterion_id,0,0,COUNTA($A:$A),MATCH(D$1,missions!$2:$2,0)-MATCH($A$1,missions!$2:$2,0)+1),MATCH(D$1,missions!$2:$2,0)-MATCH($A$1,missions!$2:$2,0)+1,FALSE),IFERROR(VLOOKUP($A632,OFFSET(weekly_achievement_criterion_id,0,0,COUNTA($A:$A),MATCH(D$1,weekly_missions!$2:$2,0)-MATCH($A$1,weekly_missions!$2:$2,0)+1),MATCH(D$1,weekly_missions!$2:$2,0)-MATCH($A$1,weekly_missions!$2:$2,0)+1,FALSE),"＊missions 未設定＊"))</f>
        <v>メガ癒しの果実 x 1</v>
      </c>
      <c r="E632" s="27" t="s">
        <v>864</v>
      </c>
      <c r="F632" s="17" t="s">
        <v>36</v>
      </c>
      <c r="G632" s="26" t="str">
        <f ca="1">VLOOKUP($F632,OFFSET(達成条件!$A$1,0,0,COUNTA($A:$A),MATCH(G$1,達成条件!$1:$1,0)-MATCH($F$1,達成条件!$1:$1,0)+1),MATCH(G$1,達成条件!$1:$1,0)-MATCH($F$1,達成条件!$1:$1,0)+1,FALSE)</f>
        <v>クエストを通算 x 回クリアしよう！</v>
      </c>
      <c r="H632" s="26" t="str">
        <f ca="1">VLOOKUP($F632,OFFSET(達成条件!$A$1,0,0,COUNTA($A:$A),MATCH(H$1,達成条件!$1:$1,0)-MATCH($F$1,達成条件!$1:$1,0)+1),MATCH(H$1,達成条件!$1:$1,0)-MATCH($F$1,達成条件!$1:$1,0)+1,FALSE)</f>
        <v>通算クリア回数</v>
      </c>
      <c r="I632" s="60" t="s">
        <v>645</v>
      </c>
      <c r="J632" s="54" t="str">
        <f ca="1">IF(F632="specific_unit_aquired_count",SUBSTITUTE(G632,"x",VLOOKUP(INT($I632),OFFSET([3]characters!$A$2,0,0,COUNTA([3]characters!$A:$A),MATCH(J$1,[3]characters!$2:$2,0)-MATCH("character_id",[3]characters!$2:$2,0)+1),MATCH(J$1,[3]characters!$2:$2,0)-MATCH("character_id",[3]characters!$2:$2,0)+1,FALSE)),IF(F632="specific_quest_clear",VLOOKUP(SUBSTITUTE(I632,"-","_"),OFFSET([2]stages!$A$2,0,0,COUNTA([2]stages!$A:$A),MATCH("name",[2]stages!$2:$2,0)-MATCH("temp_stage",[2]stages!$2:$2,0)+1),MATCH("name",[2]stages!$2:$2,0)-MATCH("temp_stage",[2]stages!$2:$2,0)+1,FALSE),""))</f>
        <v/>
      </c>
      <c r="K632" s="15">
        <v>1</v>
      </c>
      <c r="L632" s="15" t="s">
        <v>542</v>
      </c>
      <c r="M632" s="26" t="str">
        <f ca="1">IFERROR(VLOOKUP($L686,OFFSET(missions!$A$2,0,0,COUNTA($A:$A),MATCH(M$1,missions!$2:$2,0)-MATCH("mission_id",missions!$2:$2,0)+1),MATCH(M$1,missions!$2:$2,0)-MATCH("mission_id",missions!$2:$2,0)+1,FALSE),"")</f>
        <v/>
      </c>
      <c r="N632" s="26" t="str">
        <f ca="1">IFERROR(VLOOKUP($L686,OFFSET(missions!$A$2,0,0,COUNTA($A:$A),MATCH(N$1,missions!$2:$2,0)-MATCH("mission_id",missions!$2:$2,0)+1),MATCH(N$1,missions!$2:$2,0)-MATCH("mission_id",missions!$2:$2,0)+1,FALSE),"")</f>
        <v/>
      </c>
    </row>
    <row r="633" spans="1:14" ht="21" customHeight="1" x14ac:dyDescent="0.15">
      <c r="A633" s="2" t="s">
        <v>1848</v>
      </c>
      <c r="B633" s="21" t="s">
        <v>792</v>
      </c>
      <c r="C633" s="26" t="str">
        <f t="shared" ref="C633" ca="1" si="80">IF(F633="specific_quest_clear",SUBSTITUTE(G633,"x",J633),IF(F633="specific_unit_aquired_count",SUBSTITUTE(J633,"y",K633),SUBSTITUTE(G633,"x",I633)))</f>
        <v>クエストを通算 20 回クリアしよう！</v>
      </c>
      <c r="D633" s="26" t="str">
        <f ca="1">IFERROR(VLOOKUP($A633,OFFSET(achievement_criterion_id,0,0,COUNTA($A:$A),MATCH(D$1,missions!$2:$2,0)-MATCH($A$1,missions!$2:$2,0)+1),MATCH(D$1,missions!$2:$2,0)-MATCH($A$1,missions!$2:$2,0)+1,FALSE),IFERROR(VLOOKUP($A633,OFFSET(weekly_achievement_criterion_id,0,0,COUNTA($A:$A),MATCH(D$1,weekly_missions!$2:$2,0)-MATCH($A$1,weekly_missions!$2:$2,0)+1),MATCH(D$1,weekly_missions!$2:$2,0)-MATCH($A$1,weekly_missions!$2:$2,0)+1,FALSE),"＊missions 未設定＊"))</f>
        <v>ギガ攻めの果実 x 1</v>
      </c>
      <c r="E633" s="27" t="s">
        <v>864</v>
      </c>
      <c r="F633" s="17" t="s">
        <v>36</v>
      </c>
      <c r="G633" s="26" t="str">
        <f ca="1">VLOOKUP($F633,OFFSET(達成条件!$A$1,0,0,COUNTA($A:$A),MATCH(G$1,達成条件!$1:$1,0)-MATCH($F$1,達成条件!$1:$1,0)+1),MATCH(G$1,達成条件!$1:$1,0)-MATCH($F$1,達成条件!$1:$1,0)+1,FALSE)</f>
        <v>クエストを通算 x 回クリアしよう！</v>
      </c>
      <c r="H633" s="26" t="str">
        <f ca="1">VLOOKUP($F633,OFFSET(達成条件!$A$1,0,0,COUNTA($A:$A),MATCH(H$1,達成条件!$1:$1,0)-MATCH($F$1,達成条件!$1:$1,0)+1),MATCH(H$1,達成条件!$1:$1,0)-MATCH($F$1,達成条件!$1:$1,0)+1,FALSE)</f>
        <v>通算クリア回数</v>
      </c>
      <c r="I633" s="60" t="s">
        <v>1498</v>
      </c>
      <c r="J633" s="54" t="str">
        <f ca="1">IF(F633="specific_unit_aquired_count",SUBSTITUTE(G633,"x",VLOOKUP(INT($I633),OFFSET([3]characters!$A$2,0,0,COUNTA([3]characters!$A:$A),MATCH(J$1,[3]characters!$2:$2,0)-MATCH("character_id",[3]characters!$2:$2,0)+1),MATCH(J$1,[3]characters!$2:$2,0)-MATCH("character_id",[3]characters!$2:$2,0)+1,FALSE)),IF(F633="specific_quest_clear",VLOOKUP(SUBSTITUTE(I633,"-","_"),OFFSET([2]stages!$A$2,0,0,COUNTA([2]stages!$A:$A),MATCH("name",[2]stages!$2:$2,0)-MATCH("temp_stage",[2]stages!$2:$2,0)+1),MATCH("name",[2]stages!$2:$2,0)-MATCH("temp_stage",[2]stages!$2:$2,0)+1,FALSE),""))</f>
        <v/>
      </c>
      <c r="K633" s="15">
        <v>1</v>
      </c>
      <c r="L633" s="15" t="s">
        <v>542</v>
      </c>
      <c r="M633" s="26"/>
      <c r="N633" s="26"/>
    </row>
    <row r="634" spans="1:14" ht="21" customHeight="1" x14ac:dyDescent="0.15">
      <c r="A634" s="116" t="s">
        <v>1849</v>
      </c>
      <c r="B634" s="21" t="s">
        <v>792</v>
      </c>
      <c r="C634" s="26" t="str">
        <f t="shared" ref="C634" ca="1" si="81">IF(F634="specific_quest_clear",SUBSTITUTE(G634,"x",J634),IF(F634="specific_unit_aquired_count",SUBSTITUTE(J634,"y",K634),SUBSTITUTE(G634,"x",I634)))</f>
        <v>クエストを通算 20 回クリアしよう！</v>
      </c>
      <c r="D634" s="26" t="str">
        <f ca="1">IFERROR(VLOOKUP($A634,OFFSET(achievement_criterion_id,0,0,COUNTA($A:$A),MATCH(D$1,missions!$2:$2,0)-MATCH($A$1,missions!$2:$2,0)+1),MATCH(D$1,missions!$2:$2,0)-MATCH($A$1,missions!$2:$2,0)+1,FALSE),IFERROR(VLOOKUP($A634,OFFSET(weekly_achievement_criterion_id,0,0,COUNTA($A:$A),MATCH(D$1,weekly_missions!$2:$2,0)-MATCH($A$1,weekly_missions!$2:$2,0)+1),MATCH(D$1,weekly_missions!$2:$2,0)-MATCH($A$1,weekly_missions!$2:$2,0)+1,FALSE),"＊missions 未設定＊"))</f>
        <v>メガ秘術の果実 x 1</v>
      </c>
      <c r="E634" s="27" t="s">
        <v>864</v>
      </c>
      <c r="F634" s="17" t="s">
        <v>36</v>
      </c>
      <c r="G634" s="26" t="str">
        <f ca="1">VLOOKUP($F634,OFFSET(達成条件!$A$1,0,0,COUNTA($A:$A),MATCH(G$1,達成条件!$1:$1,0)-MATCH($F$1,達成条件!$1:$1,0)+1),MATCH(G$1,達成条件!$1:$1,0)-MATCH($F$1,達成条件!$1:$1,0)+1,FALSE)</f>
        <v>クエストを通算 x 回クリアしよう！</v>
      </c>
      <c r="H634" s="26" t="str">
        <f ca="1">VLOOKUP($F634,OFFSET(達成条件!$A$1,0,0,COUNTA($A:$A),MATCH(H$1,達成条件!$1:$1,0)-MATCH($F$1,達成条件!$1:$1,0)+1),MATCH(H$1,達成条件!$1:$1,0)-MATCH($F$1,達成条件!$1:$1,0)+1,FALSE)</f>
        <v>通算クリア回数</v>
      </c>
      <c r="I634" s="60" t="s">
        <v>1498</v>
      </c>
      <c r="J634" s="54" t="str">
        <f ca="1">IF(F634="specific_unit_aquired_count",SUBSTITUTE(G634,"x",VLOOKUP(INT($I634),OFFSET([3]characters!$A$2,0,0,COUNTA([3]characters!$A:$A),MATCH(J$1,[3]characters!$2:$2,0)-MATCH("character_id",[3]characters!$2:$2,0)+1),MATCH(J$1,[3]characters!$2:$2,0)-MATCH("character_id",[3]characters!$2:$2,0)+1,FALSE)),IF(F634="specific_quest_clear",VLOOKUP(SUBSTITUTE(I634,"-","_"),OFFSET([2]stages!$A$2,0,0,COUNTA([2]stages!$A:$A),MATCH("name",[2]stages!$2:$2,0)-MATCH("temp_stage",[2]stages!$2:$2,0)+1),MATCH("name",[2]stages!$2:$2,0)-MATCH("temp_stage",[2]stages!$2:$2,0)+1,FALSE),""))</f>
        <v/>
      </c>
      <c r="K634" s="15">
        <v>1</v>
      </c>
      <c r="L634" s="15" t="s">
        <v>542</v>
      </c>
      <c r="M634" s="26"/>
      <c r="N634" s="26"/>
    </row>
    <row r="635" spans="1:14" ht="21" customHeight="1" x14ac:dyDescent="0.15">
      <c r="A635" s="27" t="s">
        <v>1184</v>
      </c>
      <c r="B635" s="21" t="s">
        <v>792</v>
      </c>
      <c r="C635" s="26" t="str">
        <f t="shared" ca="1" si="79"/>
        <v>クエストを通算 30 回クリアしよう！</v>
      </c>
      <c r="D635" s="26" t="str">
        <f ca="1">IFERROR(VLOOKUP($A635,OFFSET(achievement_criterion_id,0,0,COUNTA($A:$A),MATCH(D$1,missions!$2:$2,0)-MATCH($A$1,missions!$2:$2,0)+1),MATCH(D$1,missions!$2:$2,0)-MATCH($A$1,missions!$2:$2,0)+1,FALSE),IFERROR(VLOOKUP($A635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635" s="27" t="s">
        <v>864</v>
      </c>
      <c r="F635" s="17" t="s">
        <v>36</v>
      </c>
      <c r="G635" s="26" t="str">
        <f ca="1">VLOOKUP($F635,OFFSET(達成条件!$A$1,0,0,COUNTA($A:$A),MATCH(G$1,達成条件!$1:$1,0)-MATCH($F$1,達成条件!$1:$1,0)+1),MATCH(G$1,達成条件!$1:$1,0)-MATCH($F$1,達成条件!$1:$1,0)+1,FALSE)</f>
        <v>クエストを通算 x 回クリアしよう！</v>
      </c>
      <c r="H635" s="26" t="str">
        <f ca="1">VLOOKUP($F635,OFFSET(達成条件!$A$1,0,0,COUNTA($A:$A),MATCH(H$1,達成条件!$1:$1,0)-MATCH($F$1,達成条件!$1:$1,0)+1),MATCH(H$1,達成条件!$1:$1,0)-MATCH($F$1,達成条件!$1:$1,0)+1,FALSE)</f>
        <v>通算クリア回数</v>
      </c>
      <c r="I635" s="60" t="s">
        <v>1194</v>
      </c>
      <c r="J635" s="54" t="str">
        <f ca="1">IF(F635="specific_unit_aquired_count",SUBSTITUTE(G635,"x",VLOOKUP(INT($I635),OFFSET([3]characters!$A$2,0,0,COUNTA([3]characters!$A:$A),MATCH(J$1,[3]characters!$2:$2,0)-MATCH("character_id",[3]characters!$2:$2,0)+1),MATCH(J$1,[3]characters!$2:$2,0)-MATCH("character_id",[3]characters!$2:$2,0)+1,FALSE)),IF(F635="specific_quest_clear",VLOOKUP(SUBSTITUTE(I635,"-","_"),OFFSET([2]stages!$A$2,0,0,COUNTA([2]stages!$A:$A),MATCH("name",[2]stages!$2:$2,0)-MATCH("temp_stage",[2]stages!$2:$2,0)+1),MATCH("name",[2]stages!$2:$2,0)-MATCH("temp_stage",[2]stages!$2:$2,0)+1,FALSE),""))</f>
        <v/>
      </c>
      <c r="K635" s="15">
        <v>1</v>
      </c>
      <c r="L635" s="15" t="s">
        <v>542</v>
      </c>
      <c r="M635" s="26" t="str">
        <f ca="1">IFERROR(VLOOKUP($L687,OFFSET(missions!$A$2,0,0,COUNTA($A:$A),MATCH(M$1,missions!$2:$2,0)-MATCH("mission_id",missions!$2:$2,0)+1),MATCH(M$1,missions!$2:$2,0)-MATCH("mission_id",missions!$2:$2,0)+1,FALSE),"")</f>
        <v/>
      </c>
      <c r="N635" s="26" t="str">
        <f ca="1">IFERROR(VLOOKUP($L687,OFFSET(missions!$A$2,0,0,COUNTA($A:$A),MATCH(N$1,missions!$2:$2,0)-MATCH("mission_id",missions!$2:$2,0)+1),MATCH(N$1,missions!$2:$2,0)-MATCH("mission_id",missions!$2:$2,0)+1,FALSE),"")</f>
        <v/>
      </c>
    </row>
    <row r="636" spans="1:14" ht="21" customHeight="1" x14ac:dyDescent="0.15">
      <c r="A636" s="2" t="s">
        <v>1494</v>
      </c>
      <c r="B636" s="21" t="s">
        <v>792</v>
      </c>
      <c r="C636" s="26" t="str">
        <f t="shared" ref="C636:C638" ca="1" si="82">IF(F636="specific_quest_clear",SUBSTITUTE(G636,"x",J636),IF(F636="specific_unit_aquired_count",SUBSTITUTE(J636,"y",K636),SUBSTITUTE(G636,"x",I636)))</f>
        <v>クエストを通算 30 回クリアしよう！</v>
      </c>
      <c r="D636" s="26" t="str">
        <f ca="1">IFERROR(VLOOKUP($A636,OFFSET(achievement_criterion_id,0,0,COUNTA($A:$A),MATCH(D$1,missions!$2:$2,0)-MATCH($A$1,missions!$2:$2,0)+1),MATCH(D$1,missions!$2:$2,0)-MATCH($A$1,missions!$2:$2,0)+1,FALSE),IFERROR(VLOOKUP($A636,OFFSET(weekly_achievement_criterion_id,0,0,COUNTA($A:$A),MATCH(D$1,weekly_missions!$2:$2,0)-MATCH($A$1,weekly_missions!$2:$2,0)+1),MATCH(D$1,weekly_missions!$2:$2,0)-MATCH($A$1,weekly_missions!$2:$2,0)+1,FALSE),"＊missions 未設定＊"))</f>
        <v>メガ秘術の果実 x 1</v>
      </c>
      <c r="E636" s="27" t="s">
        <v>864</v>
      </c>
      <c r="F636" s="17" t="s">
        <v>36</v>
      </c>
      <c r="G636" s="26" t="str">
        <f ca="1">VLOOKUP($F636,OFFSET(達成条件!$A$1,0,0,COUNTA($A:$A),MATCH(G$1,達成条件!$1:$1,0)-MATCH($F$1,達成条件!$1:$1,0)+1),MATCH(G$1,達成条件!$1:$1,0)-MATCH($F$1,達成条件!$1:$1,0)+1,FALSE)</f>
        <v>クエストを通算 x 回クリアしよう！</v>
      </c>
      <c r="H636" s="26" t="str">
        <f ca="1">VLOOKUP($F636,OFFSET(達成条件!$A$1,0,0,COUNTA($A:$A),MATCH(H$1,達成条件!$1:$1,0)-MATCH($F$1,達成条件!$1:$1,0)+1),MATCH(H$1,達成条件!$1:$1,0)-MATCH($F$1,達成条件!$1:$1,0)+1,FALSE)</f>
        <v>通算クリア回数</v>
      </c>
      <c r="I636" s="60" t="s">
        <v>859</v>
      </c>
      <c r="J636" s="54" t="str">
        <f ca="1">IF(F636="specific_unit_aquired_count",SUBSTITUTE(G636,"x",VLOOKUP(INT($I636),OFFSET([3]characters!$A$2,0,0,COUNTA([3]characters!$A:$A),MATCH(J$1,[3]characters!$2:$2,0)-MATCH("character_id",[3]characters!$2:$2,0)+1),MATCH(J$1,[3]characters!$2:$2,0)-MATCH("character_id",[3]characters!$2:$2,0)+1,FALSE)),IF(F636="specific_quest_clear",VLOOKUP(SUBSTITUTE(I636,"-","_"),OFFSET([2]stages!$A$2,0,0,COUNTA([2]stages!$A:$A),MATCH("name",[2]stages!$2:$2,0)-MATCH("temp_stage",[2]stages!$2:$2,0)+1),MATCH("name",[2]stages!$2:$2,0)-MATCH("temp_stage",[2]stages!$2:$2,0)+1,FALSE),""))</f>
        <v/>
      </c>
      <c r="K636" s="15">
        <v>1</v>
      </c>
      <c r="L636" s="15" t="s">
        <v>542</v>
      </c>
      <c r="M636" s="26"/>
      <c r="N636" s="26"/>
    </row>
    <row r="637" spans="1:14" ht="21" customHeight="1" x14ac:dyDescent="0.15">
      <c r="A637" s="116" t="s">
        <v>1852</v>
      </c>
      <c r="B637" s="21" t="s">
        <v>792</v>
      </c>
      <c r="C637" s="26" t="str">
        <f t="shared" ref="C637" ca="1" si="83">IF(F637="specific_quest_clear",SUBSTITUTE(G637,"x",J637),IF(F637="specific_unit_aquired_count",SUBSTITUTE(J637,"y",K637),SUBSTITUTE(G637,"x",I637)))</f>
        <v>クエストを通算 30 回クリアしよう！</v>
      </c>
      <c r="D637" s="26" t="str">
        <f ca="1">IFERROR(VLOOKUP($A637,OFFSET(achievement_criterion_id,0,0,COUNTA($A:$A),MATCH(D$1,missions!$2:$2,0)-MATCH($A$1,missions!$2:$2,0)+1),MATCH(D$1,missions!$2:$2,0)-MATCH($A$1,missions!$2:$2,0)+1,FALSE),IFERROR(VLOOKUP($A637,OFFSET(weekly_achievement_criterion_id,0,0,COUNTA($A:$A),MATCH(D$1,weekly_missions!$2:$2,0)-MATCH($A$1,weekly_missions!$2:$2,0)+1),MATCH(D$1,weekly_missions!$2:$2,0)-MATCH($A$1,weekly_missions!$2:$2,0)+1,FALSE),"＊missions 未設定＊"))</f>
        <v>ギガ秘術の果実 x 1</v>
      </c>
      <c r="E637" s="27" t="s">
        <v>864</v>
      </c>
      <c r="F637" s="17" t="s">
        <v>36</v>
      </c>
      <c r="G637" s="26" t="str">
        <f ca="1">VLOOKUP($F637,OFFSET(達成条件!$A$1,0,0,COUNTA($A:$A),MATCH(G$1,達成条件!$1:$1,0)-MATCH($F$1,達成条件!$1:$1,0)+1),MATCH(G$1,達成条件!$1:$1,0)-MATCH($F$1,達成条件!$1:$1,0)+1,FALSE)</f>
        <v>クエストを通算 x 回クリアしよう！</v>
      </c>
      <c r="H637" s="26" t="str">
        <f ca="1">VLOOKUP($F637,OFFSET(達成条件!$A$1,0,0,COUNTA($A:$A),MATCH(H$1,達成条件!$1:$1,0)-MATCH($F$1,達成条件!$1:$1,0)+1),MATCH(H$1,達成条件!$1:$1,0)-MATCH($F$1,達成条件!$1:$1,0)+1,FALSE)</f>
        <v>通算クリア回数</v>
      </c>
      <c r="I637" s="60" t="s">
        <v>859</v>
      </c>
      <c r="J637" s="54" t="str">
        <f ca="1">IF(F637="specific_unit_aquired_count",SUBSTITUTE(G637,"x",VLOOKUP(INT($I637),OFFSET([3]characters!$A$2,0,0,COUNTA([3]characters!$A:$A),MATCH(J$1,[3]characters!$2:$2,0)-MATCH("character_id",[3]characters!$2:$2,0)+1),MATCH(J$1,[3]characters!$2:$2,0)-MATCH("character_id",[3]characters!$2:$2,0)+1,FALSE)),IF(F637="specific_quest_clear",VLOOKUP(SUBSTITUTE(I637,"-","_"),OFFSET([2]stages!$A$2,0,0,COUNTA([2]stages!$A:$A),MATCH("name",[2]stages!$2:$2,0)-MATCH("temp_stage",[2]stages!$2:$2,0)+1),MATCH("name",[2]stages!$2:$2,0)-MATCH("temp_stage",[2]stages!$2:$2,0)+1,FALSE),""))</f>
        <v/>
      </c>
      <c r="K637" s="15">
        <v>1</v>
      </c>
      <c r="L637" s="15" t="s">
        <v>542</v>
      </c>
      <c r="M637" s="26"/>
      <c r="N637" s="26"/>
    </row>
    <row r="638" spans="1:14" ht="21" customHeight="1" x14ac:dyDescent="0.15">
      <c r="A638" s="2" t="s">
        <v>1495</v>
      </c>
      <c r="B638" s="21" t="s">
        <v>792</v>
      </c>
      <c r="C638" s="26" t="str">
        <f t="shared" ca="1" si="82"/>
        <v>クエストを通算 40 回クリアしよう！</v>
      </c>
      <c r="D638" s="26" t="str">
        <f ca="1">IFERROR(VLOOKUP($A638,OFFSET(achievement_criterion_id,0,0,COUNTA($A:$A),MATCH(D$1,missions!$2:$2,0)-MATCH($A$1,missions!$2:$2,0)+1),MATCH(D$1,missions!$2:$2,0)-MATCH($A$1,missions!$2:$2,0)+1,FALSE),IFERROR(VLOOKUP($A638,OFFSET(weekly_achievement_criterion_id,0,0,COUNTA($A:$A),MATCH(D$1,weekly_missions!$2:$2,0)-MATCH($A$1,weekly_missions!$2:$2,0)+1),MATCH(D$1,weekly_missions!$2:$2,0)-MATCH($A$1,weekly_missions!$2:$2,0)+1,FALSE),"＊missions 未設定＊"))</f>
        <v>ギガ秘術の果実 x 1</v>
      </c>
      <c r="E638" s="27" t="s">
        <v>864</v>
      </c>
      <c r="F638" s="17" t="s">
        <v>36</v>
      </c>
      <c r="G638" s="26" t="str">
        <f ca="1">VLOOKUP($F638,OFFSET(達成条件!$A$1,0,0,COUNTA($A:$A),MATCH(G$1,達成条件!$1:$1,0)-MATCH($F$1,達成条件!$1:$1,0)+1),MATCH(G$1,達成条件!$1:$1,0)-MATCH($F$1,達成条件!$1:$1,0)+1,FALSE)</f>
        <v>クエストを通算 x 回クリアしよう！</v>
      </c>
      <c r="H638" s="26" t="str">
        <f ca="1">VLOOKUP($F638,OFFSET(達成条件!$A$1,0,0,COUNTA($A:$A),MATCH(H$1,達成条件!$1:$1,0)-MATCH($F$1,達成条件!$1:$1,0)+1),MATCH(H$1,達成条件!$1:$1,0)-MATCH($F$1,達成条件!$1:$1,0)+1,FALSE)</f>
        <v>通算クリア回数</v>
      </c>
      <c r="I638" s="60" t="s">
        <v>1499</v>
      </c>
      <c r="J638" s="54" t="str">
        <f ca="1">IF(F638="specific_unit_aquired_count",SUBSTITUTE(G638,"x",VLOOKUP(INT($I638),OFFSET([3]characters!$A$2,0,0,COUNTA([3]characters!$A:$A),MATCH(J$1,[3]characters!$2:$2,0)-MATCH("character_id",[3]characters!$2:$2,0)+1),MATCH(J$1,[3]characters!$2:$2,0)-MATCH("character_id",[3]characters!$2:$2,0)+1,FALSE)),IF(F638="specific_quest_clear",VLOOKUP(SUBSTITUTE(I638,"-","_"),OFFSET([2]stages!$A$2,0,0,COUNTA([2]stages!$A:$A),MATCH("name",[2]stages!$2:$2,0)-MATCH("temp_stage",[2]stages!$2:$2,0)+1),MATCH("name",[2]stages!$2:$2,0)-MATCH("temp_stage",[2]stages!$2:$2,0)+1,FALSE),""))</f>
        <v/>
      </c>
      <c r="K638" s="15">
        <v>1</v>
      </c>
      <c r="L638" s="15" t="s">
        <v>542</v>
      </c>
      <c r="M638" s="26"/>
      <c r="N638" s="26"/>
    </row>
    <row r="639" spans="1:14" ht="21" customHeight="1" x14ac:dyDescent="0.15">
      <c r="A639" s="2" t="s">
        <v>1195</v>
      </c>
      <c r="B639" s="21" t="s">
        <v>792</v>
      </c>
      <c r="C639" s="26" t="str">
        <f t="shared" ca="1" si="79"/>
        <v>マルチプレイを 3 回プレイしよう！</v>
      </c>
      <c r="D639" s="26" t="str">
        <f ca="1">IFERROR(VLOOKUP($A639,OFFSET(achievement_criterion_id,0,0,COUNTA($A:$A),MATCH(D$1,missions!$2:$2,0)-MATCH($A$1,missions!$2:$2,0)+1),MATCH(D$1,missions!$2:$2,0)-MATCH($A$1,missions!$2:$2,0)+1,FALSE),IFERROR(VLOOKUP($A639,OFFSET(weekly_achievement_criterion_id,0,0,COUNTA($A:$A),MATCH(D$1,weekly_missions!$2:$2,0)-MATCH($A$1,weekly_missions!$2:$2,0)+1),MATCH(D$1,weekly_missions!$2:$2,0)-MATCH($A$1,weekly_missions!$2:$2,0)+1,FALSE),"＊missions 未設定＊"))</f>
        <v>メガ攻めの果実 x 1</v>
      </c>
      <c r="E639" s="27" t="s">
        <v>864</v>
      </c>
      <c r="F639" s="17" t="s">
        <v>22</v>
      </c>
      <c r="G639" s="26" t="str">
        <f ca="1">VLOOKUP($F639,OFFSET(達成条件!$A$1,0,0,COUNTA($A:$A),MATCH(G$1,達成条件!$1:$1,0)-MATCH($F$1,達成条件!$1:$1,0)+1),MATCH(G$1,達成条件!$1:$1,0)-MATCH($F$1,達成条件!$1:$1,0)+1,FALSE)</f>
        <v>マルチプレイを x 回プレイしよう！</v>
      </c>
      <c r="H639" s="26" t="str">
        <f ca="1">VLOOKUP($F639,OFFSET(達成条件!$A$1,0,0,COUNTA($A:$A),MATCH(H$1,達成条件!$1:$1,0)-MATCH($F$1,達成条件!$1:$1,0)+1),MATCH(H$1,達成条件!$1:$1,0)-MATCH($F$1,達成条件!$1:$1,0)+1,FALSE)</f>
        <v>マルチプレイプレイ回数</v>
      </c>
      <c r="I639" s="60" t="s">
        <v>1212</v>
      </c>
      <c r="J639" s="54" t="str">
        <f ca="1">IF(F639="specific_unit_aquired_count",SUBSTITUTE(G639,"x",VLOOKUP(INT($I639),OFFSET([3]characters!$A$2,0,0,COUNTA([3]characters!$A:$A),MATCH(J$1,[3]characters!$2:$2,0)-MATCH("character_id",[3]characters!$2:$2,0)+1),MATCH(J$1,[3]characters!$2:$2,0)-MATCH("character_id",[3]characters!$2:$2,0)+1,FALSE)),IF(F639="specific_quest_clear",VLOOKUP(SUBSTITUTE(I639,"-","_"),OFFSET([2]stages!$A$2,0,0,COUNTA([2]stages!$A:$A),MATCH("name",[2]stages!$2:$2,0)-MATCH("temp_stage",[2]stages!$2:$2,0)+1),MATCH("name",[2]stages!$2:$2,0)-MATCH("temp_stage",[2]stages!$2:$2,0)+1,FALSE),""))</f>
        <v/>
      </c>
      <c r="K639" s="15">
        <v>1</v>
      </c>
      <c r="L639" s="15" t="s">
        <v>542</v>
      </c>
      <c r="M639" s="26" t="str">
        <f ca="1">IFERROR(VLOOKUP($L693,OFFSET(missions!$A$2,0,0,COUNTA($A:$A),MATCH(M$1,missions!$2:$2,0)-MATCH("mission_id",missions!$2:$2,0)+1),MATCH(M$1,missions!$2:$2,0)-MATCH("mission_id",missions!$2:$2,0)+1,FALSE),"")</f>
        <v/>
      </c>
      <c r="N639" s="26" t="str">
        <f ca="1">IFERROR(VLOOKUP($L693,OFFSET(missions!$A$2,0,0,COUNTA($A:$A),MATCH(N$1,missions!$2:$2,0)-MATCH("mission_id",missions!$2:$2,0)+1),MATCH(N$1,missions!$2:$2,0)-MATCH("mission_id",missions!$2:$2,0)+1,FALSE),"")</f>
        <v/>
      </c>
    </row>
    <row r="640" spans="1:14" ht="21" customHeight="1" x14ac:dyDescent="0.15">
      <c r="A640" s="2" t="s">
        <v>1196</v>
      </c>
      <c r="B640" s="21" t="s">
        <v>792</v>
      </c>
      <c r="C640" s="26" t="str">
        <f t="shared" ca="1" si="79"/>
        <v>マルチプレイを 3 回プレイしよう！</v>
      </c>
      <c r="D640" s="26" t="str">
        <f ca="1">IFERROR(VLOOKUP($A640,OFFSET(achievement_criterion_id,0,0,COUNTA($A:$A),MATCH(D$1,missions!$2:$2,0)-MATCH($A$1,missions!$2:$2,0)+1),MATCH(D$1,missions!$2:$2,0)-MATCH($A$1,missions!$2:$2,0)+1,FALSE),IFERROR(VLOOKUP($A640,OFFSET(weekly_achievement_criterion_id,0,0,COUNTA($A:$A),MATCH(D$1,weekly_missions!$2:$2,0)-MATCH($A$1,weekly_missions!$2:$2,0)+1),MATCH(D$1,weekly_missions!$2:$2,0)-MATCH($A$1,weekly_missions!$2:$2,0)+1,FALSE),"＊missions 未設定＊"))</f>
        <v>メガ生命の果実 x 1</v>
      </c>
      <c r="E640" s="27" t="s">
        <v>864</v>
      </c>
      <c r="F640" s="17" t="s">
        <v>22</v>
      </c>
      <c r="G640" s="26" t="str">
        <f ca="1">VLOOKUP($F640,OFFSET(達成条件!$A$1,0,0,COUNTA($A:$A),MATCH(G$1,達成条件!$1:$1,0)-MATCH($F$1,達成条件!$1:$1,0)+1),MATCH(G$1,達成条件!$1:$1,0)-MATCH($F$1,達成条件!$1:$1,0)+1,FALSE)</f>
        <v>マルチプレイを x 回プレイしよう！</v>
      </c>
      <c r="H640" s="26" t="str">
        <f ca="1">VLOOKUP($F640,OFFSET(達成条件!$A$1,0,0,COUNTA($A:$A),MATCH(H$1,達成条件!$1:$1,0)-MATCH($F$1,達成条件!$1:$1,0)+1),MATCH(H$1,達成条件!$1:$1,0)-MATCH($F$1,達成条件!$1:$1,0)+1,FALSE)</f>
        <v>マルチプレイプレイ回数</v>
      </c>
      <c r="I640" s="60" t="s">
        <v>655</v>
      </c>
      <c r="J640" s="54" t="str">
        <f ca="1">IF(F640="specific_unit_aquired_count",SUBSTITUTE(G640,"x",VLOOKUP(INT($I640),OFFSET([3]characters!$A$2,0,0,COUNTA([3]characters!$A:$A),MATCH(J$1,[3]characters!$2:$2,0)-MATCH("character_id",[3]characters!$2:$2,0)+1),MATCH(J$1,[3]characters!$2:$2,0)-MATCH("character_id",[3]characters!$2:$2,0)+1,FALSE)),IF(F640="specific_quest_clear",VLOOKUP(SUBSTITUTE(I640,"-","_"),OFFSET([2]stages!$A$2,0,0,COUNTA([2]stages!$A:$A),MATCH("name",[2]stages!$2:$2,0)-MATCH("temp_stage",[2]stages!$2:$2,0)+1),MATCH("name",[2]stages!$2:$2,0)-MATCH("temp_stage",[2]stages!$2:$2,0)+1,FALSE),""))</f>
        <v/>
      </c>
      <c r="K640" s="15">
        <v>1</v>
      </c>
      <c r="L640" s="15" t="s">
        <v>542</v>
      </c>
      <c r="M640" s="26" t="str">
        <f ca="1">IFERROR(VLOOKUP($L694,OFFSET(missions!$A$2,0,0,COUNTA($A:$A),MATCH(M$1,missions!$2:$2,0)-MATCH("mission_id",missions!$2:$2,0)+1),MATCH(M$1,missions!$2:$2,0)-MATCH("mission_id",missions!$2:$2,0)+1,FALSE),"")</f>
        <v/>
      </c>
      <c r="N640" s="26" t="str">
        <f ca="1">IFERROR(VLOOKUP($L694,OFFSET(missions!$A$2,0,0,COUNTA($A:$A),MATCH(N$1,missions!$2:$2,0)-MATCH("mission_id",missions!$2:$2,0)+1),MATCH(N$1,missions!$2:$2,0)-MATCH("mission_id",missions!$2:$2,0)+1,FALSE),"")</f>
        <v/>
      </c>
    </row>
    <row r="641" spans="1:14" ht="21" customHeight="1" x14ac:dyDescent="0.15">
      <c r="A641" s="2" t="s">
        <v>1473</v>
      </c>
      <c r="B641" s="21" t="s">
        <v>792</v>
      </c>
      <c r="C641" s="26" t="str">
        <f t="shared" ca="1" si="79"/>
        <v>マルチプレイを 3 回プレイしよう！</v>
      </c>
      <c r="D641" s="26" t="str">
        <f ca="1">IFERROR(VLOOKUP($A641,OFFSET(achievement_criterion_id,0,0,COUNTA($A:$A),MATCH(D$1,missions!$2:$2,0)-MATCH($A$1,missions!$2:$2,0)+1),MATCH(D$1,missions!$2:$2,0)-MATCH($A$1,missions!$2:$2,0)+1,FALSE),IFERROR(VLOOKUP($A641,OFFSET(weekly_achievement_criterion_id,0,0,COUNTA($A:$A),MATCH(D$1,weekly_missions!$2:$2,0)-MATCH($A$1,weekly_missions!$2:$2,0)+1),MATCH(D$1,weekly_missions!$2:$2,0)-MATCH($A$1,weekly_missions!$2:$2,0)+1,FALSE),"＊missions 未設定＊"))</f>
        <v>メガ癒しの果実 x 1</v>
      </c>
      <c r="E641" s="27" t="s">
        <v>864</v>
      </c>
      <c r="F641" s="17" t="s">
        <v>22</v>
      </c>
      <c r="G641" s="26" t="str">
        <f ca="1">VLOOKUP($F641,OFFSET(達成条件!$A$1,0,0,COUNTA($A:$A),MATCH(G$1,達成条件!$1:$1,0)-MATCH($F$1,達成条件!$1:$1,0)+1),MATCH(G$1,達成条件!$1:$1,0)-MATCH($F$1,達成条件!$1:$1,0)+1,FALSE)</f>
        <v>マルチプレイを x 回プレイしよう！</v>
      </c>
      <c r="H641" s="26" t="str">
        <f ca="1">VLOOKUP($F641,OFFSET(達成条件!$A$1,0,0,COUNTA($A:$A),MATCH(H$1,達成条件!$1:$1,0)-MATCH($F$1,達成条件!$1:$1,0)+1),MATCH(H$1,達成条件!$1:$1,0)-MATCH($F$1,達成条件!$1:$1,0)+1,FALSE)</f>
        <v>マルチプレイプレイ回数</v>
      </c>
      <c r="I641" s="60" t="s">
        <v>655</v>
      </c>
      <c r="J641" s="54" t="str">
        <f ca="1">IF(F641="specific_unit_aquired_count",SUBSTITUTE(G641,"x",VLOOKUP(INT($I641),OFFSET([3]characters!$A$2,0,0,COUNTA([3]characters!$A:$A),MATCH(J$1,[3]characters!$2:$2,0)-MATCH("character_id",[3]characters!$2:$2,0)+1),MATCH(J$1,[3]characters!$2:$2,0)-MATCH("character_id",[3]characters!$2:$2,0)+1,FALSE)),IF(F641="specific_quest_clear",VLOOKUP(SUBSTITUTE(I641,"-","_"),OFFSET([2]stages!$A$2,0,0,COUNTA([2]stages!$A:$A),MATCH("name",[2]stages!$2:$2,0)-MATCH("temp_stage",[2]stages!$2:$2,0)+1),MATCH("name",[2]stages!$2:$2,0)-MATCH("temp_stage",[2]stages!$2:$2,0)+1,FALSE),""))</f>
        <v/>
      </c>
      <c r="K641" s="15">
        <v>1</v>
      </c>
      <c r="L641" s="15" t="s">
        <v>542</v>
      </c>
      <c r="M641" s="26" t="str">
        <f ca="1">IFERROR(VLOOKUP($L695,OFFSET(missions!$A$2,0,0,COUNTA($A:$A),MATCH(M$1,missions!$2:$2,0)-MATCH("mission_id",missions!$2:$2,0)+1),MATCH(M$1,missions!$2:$2,0)-MATCH("mission_id",missions!$2:$2,0)+1,FALSE),"")</f>
        <v/>
      </c>
      <c r="N641" s="26" t="str">
        <f ca="1">IFERROR(VLOOKUP($L695,OFFSET(missions!$A$2,0,0,COUNTA($A:$A),MATCH(N$1,missions!$2:$2,0)-MATCH("mission_id",missions!$2:$2,0)+1),MATCH(N$1,missions!$2:$2,0)-MATCH("mission_id",missions!$2:$2,0)+1,FALSE),"")</f>
        <v/>
      </c>
    </row>
    <row r="642" spans="1:14" ht="21" customHeight="1" x14ac:dyDescent="0.15">
      <c r="A642" s="2" t="s">
        <v>1474</v>
      </c>
      <c r="B642" s="21" t="s">
        <v>792</v>
      </c>
      <c r="C642" s="26" t="str">
        <f t="shared" ref="C642" ca="1" si="84">IF(F642="specific_quest_clear",SUBSTITUTE(G642,"x",J642),IF(F642="specific_unit_aquired_count",SUBSTITUTE(J642,"y",K642),SUBSTITUTE(G642,"x",I642)))</f>
        <v>マルチプレイを 3 回プレイしよう！</v>
      </c>
      <c r="D642" s="26" t="str">
        <f ca="1">IFERROR(VLOOKUP($A642,OFFSET(achievement_criterion_id,0,0,COUNTA($A:$A),MATCH(D$1,missions!$2:$2,0)-MATCH($A$1,missions!$2:$2,0)+1),MATCH(D$1,missions!$2:$2,0)-MATCH($A$1,missions!$2:$2,0)+1,FALSE),IFERROR(VLOOKUP($A642,OFFSET(weekly_achievement_criterion_id,0,0,COUNTA($A:$A),MATCH(D$1,weekly_missions!$2:$2,0)-MATCH($A$1,weekly_missions!$2:$2,0)+1),MATCH(D$1,weekly_missions!$2:$2,0)-MATCH($A$1,weekly_missions!$2:$2,0)+1,FALSE),"＊missions 未設定＊"))</f>
        <v>水のメタルジェントル x 1</v>
      </c>
      <c r="E642" s="27" t="s">
        <v>864</v>
      </c>
      <c r="F642" s="17" t="s">
        <v>22</v>
      </c>
      <c r="G642" s="26" t="str">
        <f ca="1">VLOOKUP($F642,OFFSET(達成条件!$A$1,0,0,COUNTA($A:$A),MATCH(G$1,達成条件!$1:$1,0)-MATCH($F$1,達成条件!$1:$1,0)+1),MATCH(G$1,達成条件!$1:$1,0)-MATCH($F$1,達成条件!$1:$1,0)+1,FALSE)</f>
        <v>マルチプレイを x 回プレイしよう！</v>
      </c>
      <c r="H642" s="26" t="str">
        <f ca="1">VLOOKUP($F642,OFFSET(達成条件!$A$1,0,0,COUNTA($A:$A),MATCH(H$1,達成条件!$1:$1,0)-MATCH($F$1,達成条件!$1:$1,0)+1),MATCH(H$1,達成条件!$1:$1,0)-MATCH($F$1,達成条件!$1:$1,0)+1,FALSE)</f>
        <v>マルチプレイプレイ回数</v>
      </c>
      <c r="I642" s="60" t="s">
        <v>1212</v>
      </c>
      <c r="J642" s="54" t="str">
        <f ca="1">IF(F642="specific_unit_aquired_count",SUBSTITUTE(G642,"x",VLOOKUP(INT($I642),OFFSET([3]characters!$A$2,0,0,COUNTA([3]characters!$A:$A),MATCH(J$1,[3]characters!$2:$2,0)-MATCH("character_id",[3]characters!$2:$2,0)+1),MATCH(J$1,[3]characters!$2:$2,0)-MATCH("character_id",[3]characters!$2:$2,0)+1,FALSE)),IF(F642="specific_quest_clear",VLOOKUP(SUBSTITUTE(I642,"-","_"),OFFSET([2]stages!$A$2,0,0,COUNTA([2]stages!$A:$A),MATCH("name",[2]stages!$2:$2,0)-MATCH("temp_stage",[2]stages!$2:$2,0)+1),MATCH("name",[2]stages!$2:$2,0)-MATCH("temp_stage",[2]stages!$2:$2,0)+1,FALSE),""))</f>
        <v/>
      </c>
      <c r="K642" s="15">
        <v>1</v>
      </c>
      <c r="L642" s="15" t="s">
        <v>542</v>
      </c>
      <c r="M642" s="26"/>
      <c r="N642" s="26"/>
    </row>
    <row r="643" spans="1:14" ht="21" customHeight="1" x14ac:dyDescent="0.15">
      <c r="A643" s="2" t="s">
        <v>1198</v>
      </c>
      <c r="B643" s="21" t="s">
        <v>792</v>
      </c>
      <c r="C643" s="26" t="str">
        <f t="shared" ca="1" si="79"/>
        <v>マルチプレイを 5 回プレイしよう！</v>
      </c>
      <c r="D643" s="26" t="str">
        <f ca="1">IFERROR(VLOOKUP($A643,OFFSET(achievement_criterion_id,0,0,COUNTA($A:$A),MATCH(D$1,missions!$2:$2,0)-MATCH($A$1,missions!$2:$2,0)+1),MATCH(D$1,missions!$2:$2,0)-MATCH($A$1,missions!$2:$2,0)+1,FALSE),IFERROR(VLOOKUP($A643,OFFSET(weekly_achievement_criterion_id,0,0,COUNTA($A:$A),MATCH(D$1,weekly_missions!$2:$2,0)-MATCH($A$1,weekly_missions!$2:$2,0)+1),MATCH(D$1,weekly_missions!$2:$2,0)-MATCH($A$1,weekly_missions!$2:$2,0)+1,FALSE),"＊missions 未設定＊"))</f>
        <v>炎のメタルダック x 1</v>
      </c>
      <c r="E643" s="27" t="s">
        <v>864</v>
      </c>
      <c r="F643" s="17" t="s">
        <v>22</v>
      </c>
      <c r="G643" s="26" t="str">
        <f ca="1">VLOOKUP($F643,OFFSET(達成条件!$A$1,0,0,COUNTA($A:$A),MATCH(G$1,達成条件!$1:$1,0)-MATCH($F$1,達成条件!$1:$1,0)+1),MATCH(G$1,達成条件!$1:$1,0)-MATCH($F$1,達成条件!$1:$1,0)+1,FALSE)</f>
        <v>マルチプレイを x 回プレイしよう！</v>
      </c>
      <c r="H643" s="26" t="str">
        <f ca="1">VLOOKUP($F643,OFFSET(達成条件!$A$1,0,0,COUNTA($A:$A),MATCH(H$1,達成条件!$1:$1,0)-MATCH($F$1,達成条件!$1:$1,0)+1),MATCH(H$1,達成条件!$1:$1,0)-MATCH($F$1,達成条件!$1:$1,0)+1,FALSE)</f>
        <v>マルチプレイプレイ回数</v>
      </c>
      <c r="I643" s="60" t="s">
        <v>1164</v>
      </c>
      <c r="J643" s="54" t="str">
        <f ca="1">IF(F643="specific_unit_aquired_count",SUBSTITUTE(G643,"x",VLOOKUP(INT($I643),OFFSET([3]characters!$A$2,0,0,COUNTA([3]characters!$A:$A),MATCH(J$1,[3]characters!$2:$2,0)-MATCH("character_id",[3]characters!$2:$2,0)+1),MATCH(J$1,[3]characters!$2:$2,0)-MATCH("character_id",[3]characters!$2:$2,0)+1,FALSE)),IF(F643="specific_quest_clear",VLOOKUP(SUBSTITUTE(I643,"-","_"),OFFSET([2]stages!$A$2,0,0,COUNTA([2]stages!$A:$A),MATCH("name",[2]stages!$2:$2,0)-MATCH("temp_stage",[2]stages!$2:$2,0)+1),MATCH("name",[2]stages!$2:$2,0)-MATCH("temp_stage",[2]stages!$2:$2,0)+1,FALSE),""))</f>
        <v/>
      </c>
      <c r="K643" s="15">
        <v>1</v>
      </c>
      <c r="L643" s="15" t="s">
        <v>542</v>
      </c>
      <c r="M643" s="26" t="str">
        <f ca="1">IFERROR(VLOOKUP($L696,OFFSET(missions!$A$2,0,0,COUNTA($A:$A),MATCH(M$1,missions!$2:$2,0)-MATCH("mission_id",missions!$2:$2,0)+1),MATCH(M$1,missions!$2:$2,0)-MATCH("mission_id",missions!$2:$2,0)+1,FALSE),"")</f>
        <v/>
      </c>
      <c r="N643" s="26" t="str">
        <f ca="1">IFERROR(VLOOKUP($L696,OFFSET(missions!$A$2,0,0,COUNTA($A:$A),MATCH(N$1,missions!$2:$2,0)-MATCH("mission_id",missions!$2:$2,0)+1),MATCH(N$1,missions!$2:$2,0)-MATCH("mission_id",missions!$2:$2,0)+1,FALSE),"")</f>
        <v/>
      </c>
    </row>
    <row r="644" spans="1:14" ht="21" customHeight="1" x14ac:dyDescent="0.15">
      <c r="A644" s="2" t="s">
        <v>1199</v>
      </c>
      <c r="B644" s="21" t="s">
        <v>792</v>
      </c>
      <c r="C644" s="26" t="str">
        <f t="shared" ca="1" si="79"/>
        <v>マルチプレイを 5 回プレイしよう！</v>
      </c>
      <c r="D644" s="26" t="str">
        <f ca="1">IFERROR(VLOOKUP($A644,OFFSET(achievement_criterion_id,0,0,COUNTA($A:$A),MATCH(D$1,missions!$2:$2,0)-MATCH($A$1,missions!$2:$2,0)+1),MATCH(D$1,missions!$2:$2,0)-MATCH($A$1,missions!$2:$2,0)+1,FALSE),IFERROR(VLOOKUP($A644,OFFSET(weekly_achievement_criterion_id,0,0,COUNTA($A:$A),MATCH(D$1,weekly_missions!$2:$2,0)-MATCH($A$1,weekly_missions!$2:$2,0)+1),MATCH(D$1,weekly_missions!$2:$2,0)-MATCH($A$1,weekly_missions!$2:$2,0)+1,FALSE),"＊missions 未設定＊"))</f>
        <v>森のメタルダック x 1</v>
      </c>
      <c r="E644" s="27" t="s">
        <v>864</v>
      </c>
      <c r="F644" s="17" t="s">
        <v>22</v>
      </c>
      <c r="G644" s="26" t="str">
        <f ca="1">VLOOKUP($F644,OFFSET(達成条件!$A$1,0,0,COUNTA($A:$A),MATCH(G$1,達成条件!$1:$1,0)-MATCH($F$1,達成条件!$1:$1,0)+1),MATCH(G$1,達成条件!$1:$1,0)-MATCH($F$1,達成条件!$1:$1,0)+1,FALSE)</f>
        <v>マルチプレイを x 回プレイしよう！</v>
      </c>
      <c r="H644" s="26" t="str">
        <f ca="1">VLOOKUP($F644,OFFSET(達成条件!$A$1,0,0,COUNTA($A:$A),MATCH(H$1,達成条件!$1:$1,0)-MATCH($F$1,達成条件!$1:$1,0)+1),MATCH(H$1,達成条件!$1:$1,0)-MATCH($F$1,達成条件!$1:$1,0)+1,FALSE)</f>
        <v>マルチプレイプレイ回数</v>
      </c>
      <c r="I644" s="60" t="s">
        <v>1185</v>
      </c>
      <c r="J644" s="54" t="str">
        <f ca="1">IF(F644="specific_unit_aquired_count",SUBSTITUTE(G644,"x",VLOOKUP(INT($I644),OFFSET([3]characters!$A$2,0,0,COUNTA([3]characters!$A:$A),MATCH(J$1,[3]characters!$2:$2,0)-MATCH("character_id",[3]characters!$2:$2,0)+1),MATCH(J$1,[3]characters!$2:$2,0)-MATCH("character_id",[3]characters!$2:$2,0)+1,FALSE)),IF(F644="specific_quest_clear",VLOOKUP(SUBSTITUTE(I644,"-","_"),OFFSET([2]stages!$A$2,0,0,COUNTA([2]stages!$A:$A),MATCH("name",[2]stages!$2:$2,0)-MATCH("temp_stage",[2]stages!$2:$2,0)+1),MATCH("name",[2]stages!$2:$2,0)-MATCH("temp_stage",[2]stages!$2:$2,0)+1,FALSE),""))</f>
        <v/>
      </c>
      <c r="K644" s="15">
        <v>1</v>
      </c>
      <c r="L644" s="15" t="s">
        <v>542</v>
      </c>
      <c r="M644" s="26" t="str">
        <f ca="1">IFERROR(VLOOKUP($L697,OFFSET(missions!$A$2,0,0,COUNTA($A:$A),MATCH(M$1,missions!$2:$2,0)-MATCH("mission_id",missions!$2:$2,0)+1),MATCH(M$1,missions!$2:$2,0)-MATCH("mission_id",missions!$2:$2,0)+1,FALSE),"")</f>
        <v/>
      </c>
      <c r="N644" s="26" t="str">
        <f ca="1">IFERROR(VLOOKUP($L697,OFFSET(missions!$A$2,0,0,COUNTA($A:$A),MATCH(N$1,missions!$2:$2,0)-MATCH("mission_id",missions!$2:$2,0)+1),MATCH(N$1,missions!$2:$2,0)-MATCH("mission_id",missions!$2:$2,0)+1,FALSE),"")</f>
        <v/>
      </c>
    </row>
    <row r="645" spans="1:14" ht="21" customHeight="1" x14ac:dyDescent="0.15">
      <c r="A645" s="2" t="s">
        <v>1200</v>
      </c>
      <c r="B645" s="21" t="s">
        <v>792</v>
      </c>
      <c r="C645" s="26" t="str">
        <f t="shared" ca="1" si="79"/>
        <v>マルチプレイを 5 回プレイしよう！</v>
      </c>
      <c r="D645" s="26" t="str">
        <f ca="1">IFERROR(VLOOKUP($A645,OFFSET(achievement_criterion_id,0,0,COUNTA($A:$A),MATCH(D$1,missions!$2:$2,0)-MATCH($A$1,missions!$2:$2,0)+1),MATCH(D$1,missions!$2:$2,0)-MATCH($A$1,missions!$2:$2,0)+1,FALSE),IFERROR(VLOOKUP($A645,OFFSET(weekly_achievement_criterion_id,0,0,COUNTA($A:$A),MATCH(D$1,weekly_missions!$2:$2,0)-MATCH($A$1,weekly_missions!$2:$2,0)+1),MATCH(D$1,weekly_missions!$2:$2,0)-MATCH($A$1,weekly_missions!$2:$2,0)+1,FALSE),"＊missions 未設定＊"))</f>
        <v>水のメタルダック x 1</v>
      </c>
      <c r="E645" s="27" t="s">
        <v>864</v>
      </c>
      <c r="F645" s="17" t="s">
        <v>22</v>
      </c>
      <c r="G645" s="26" t="str">
        <f ca="1">VLOOKUP($F645,OFFSET(達成条件!$A$1,0,0,COUNTA($A:$A),MATCH(G$1,達成条件!$1:$1,0)-MATCH($F$1,達成条件!$1:$1,0)+1),MATCH(G$1,達成条件!$1:$1,0)-MATCH($F$1,達成条件!$1:$1,0)+1,FALSE)</f>
        <v>マルチプレイを x 回プレイしよう！</v>
      </c>
      <c r="H645" s="26" t="str">
        <f ca="1">VLOOKUP($F645,OFFSET(達成条件!$A$1,0,0,COUNTA($A:$A),MATCH(H$1,達成条件!$1:$1,0)-MATCH($F$1,達成条件!$1:$1,0)+1),MATCH(H$1,達成条件!$1:$1,0)-MATCH($F$1,達成条件!$1:$1,0)+1,FALSE)</f>
        <v>マルチプレイプレイ回数</v>
      </c>
      <c r="I645" s="60" t="s">
        <v>1164</v>
      </c>
      <c r="J645" s="54" t="str">
        <f ca="1">IF(F645="specific_unit_aquired_count",SUBSTITUTE(G645,"x",VLOOKUP(INT($I645),OFFSET([3]characters!$A$2,0,0,COUNTA([3]characters!$A:$A),MATCH(J$1,[3]characters!$2:$2,0)-MATCH("character_id",[3]characters!$2:$2,0)+1),MATCH(J$1,[3]characters!$2:$2,0)-MATCH("character_id",[3]characters!$2:$2,0)+1,FALSE)),IF(F645="specific_quest_clear",VLOOKUP(SUBSTITUTE(I645,"-","_"),OFFSET([2]stages!$A$2,0,0,COUNTA([2]stages!$A:$A),MATCH("name",[2]stages!$2:$2,0)-MATCH("temp_stage",[2]stages!$2:$2,0)+1),MATCH("name",[2]stages!$2:$2,0)-MATCH("temp_stage",[2]stages!$2:$2,0)+1,FALSE),""))</f>
        <v/>
      </c>
      <c r="K645" s="15">
        <v>1</v>
      </c>
      <c r="L645" s="15" t="s">
        <v>542</v>
      </c>
      <c r="M645" s="26" t="str">
        <f ca="1">IFERROR(VLOOKUP($L698,OFFSET(missions!$A$2,0,0,COUNTA($A:$A),MATCH(M$1,missions!$2:$2,0)-MATCH("mission_id",missions!$2:$2,0)+1),MATCH(M$1,missions!$2:$2,0)-MATCH("mission_id",missions!$2:$2,0)+1,FALSE),"")</f>
        <v/>
      </c>
      <c r="N645" s="26" t="str">
        <f ca="1">IFERROR(VLOOKUP($L698,OFFSET(missions!$A$2,0,0,COUNTA($A:$A),MATCH(N$1,missions!$2:$2,0)-MATCH("mission_id",missions!$2:$2,0)+1),MATCH(N$1,missions!$2:$2,0)-MATCH("mission_id",missions!$2:$2,0)+1,FALSE),"")</f>
        <v/>
      </c>
    </row>
    <row r="646" spans="1:14" ht="21" customHeight="1" x14ac:dyDescent="0.15">
      <c r="A646" s="2" t="s">
        <v>1475</v>
      </c>
      <c r="B646" s="21" t="s">
        <v>792</v>
      </c>
      <c r="C646" s="26" t="str">
        <f t="shared" ca="1" si="79"/>
        <v>マルチプレイを 5 回プレイしよう！</v>
      </c>
      <c r="D646" s="26" t="str">
        <f ca="1">IFERROR(VLOOKUP($A646,OFFSET(achievement_criterion_id,0,0,COUNTA($A:$A),MATCH(D$1,missions!$2:$2,0)-MATCH($A$1,missions!$2:$2,0)+1),MATCH(D$1,missions!$2:$2,0)-MATCH($A$1,missions!$2:$2,0)+1,FALSE),IFERROR(VLOOKUP($A646,OFFSET(weekly_achievement_criterion_id,0,0,COUNTA($A:$A),MATCH(D$1,weekly_missions!$2:$2,0)-MATCH($A$1,weekly_missions!$2:$2,0)+1),MATCH(D$1,weekly_missions!$2:$2,0)-MATCH($A$1,weekly_missions!$2:$2,0)+1,FALSE),"＊missions 未設定＊"))</f>
        <v>雷のメタルダック x 1</v>
      </c>
      <c r="E646" s="27" t="s">
        <v>864</v>
      </c>
      <c r="F646" s="17" t="s">
        <v>22</v>
      </c>
      <c r="G646" s="26" t="str">
        <f ca="1">VLOOKUP($F646,OFFSET(達成条件!$A$1,0,0,COUNTA($A:$A),MATCH(G$1,達成条件!$1:$1,0)-MATCH($F$1,達成条件!$1:$1,0)+1),MATCH(G$1,達成条件!$1:$1,0)-MATCH($F$1,達成条件!$1:$1,0)+1,FALSE)</f>
        <v>マルチプレイを x 回プレイしよう！</v>
      </c>
      <c r="H646" s="26" t="str">
        <f ca="1">VLOOKUP($F646,OFFSET(達成条件!$A$1,0,0,COUNTA($A:$A),MATCH(H$1,達成条件!$1:$1,0)-MATCH($F$1,達成条件!$1:$1,0)+1),MATCH(H$1,達成条件!$1:$1,0)-MATCH($F$1,達成条件!$1:$1,0)+1,FALSE)</f>
        <v>マルチプレイプレイ回数</v>
      </c>
      <c r="I646" s="60" t="s">
        <v>1186</v>
      </c>
      <c r="J646" s="54" t="str">
        <f ca="1">IF(F646="specific_unit_aquired_count",SUBSTITUTE(G646,"x",VLOOKUP(INT($I646),OFFSET([3]characters!$A$2,0,0,COUNTA([3]characters!$A:$A),MATCH(J$1,[3]characters!$2:$2,0)-MATCH("character_id",[3]characters!$2:$2,0)+1),MATCH(J$1,[3]characters!$2:$2,0)-MATCH("character_id",[3]characters!$2:$2,0)+1,FALSE)),IF(F646="specific_quest_clear",VLOOKUP(SUBSTITUTE(I646,"-","_"),OFFSET([2]stages!$A$2,0,0,COUNTA([2]stages!$A:$A),MATCH("name",[2]stages!$2:$2,0)-MATCH("temp_stage",[2]stages!$2:$2,0)+1),MATCH("name",[2]stages!$2:$2,0)-MATCH("temp_stage",[2]stages!$2:$2,0)+1,FALSE),""))</f>
        <v/>
      </c>
      <c r="K646" s="15">
        <v>1</v>
      </c>
      <c r="L646" s="15" t="s">
        <v>542</v>
      </c>
      <c r="M646" s="26" t="str">
        <f ca="1">IFERROR(VLOOKUP($L699,OFFSET(missions!$A$2,0,0,COUNTA($A:$A),MATCH(M$1,missions!$2:$2,0)-MATCH("mission_id",missions!$2:$2,0)+1),MATCH(M$1,missions!$2:$2,0)-MATCH("mission_id",missions!$2:$2,0)+1,FALSE),"")</f>
        <v/>
      </c>
      <c r="N646" s="26" t="str">
        <f ca="1">IFERROR(VLOOKUP($L699,OFFSET(missions!$A$2,0,0,COUNTA($A:$A),MATCH(N$1,missions!$2:$2,0)-MATCH("mission_id",missions!$2:$2,0)+1),MATCH(N$1,missions!$2:$2,0)-MATCH("mission_id",missions!$2:$2,0)+1,FALSE),"")</f>
        <v/>
      </c>
    </row>
    <row r="647" spans="1:14" ht="21" customHeight="1" x14ac:dyDescent="0.15">
      <c r="A647" s="2" t="s">
        <v>1477</v>
      </c>
      <c r="B647" s="21" t="s">
        <v>792</v>
      </c>
      <c r="C647" s="26" t="str">
        <f t="shared" ca="1" si="79"/>
        <v>マルチプレイを 5 回プレイしよう！</v>
      </c>
      <c r="D647" s="26" t="str">
        <f ca="1">IFERROR(VLOOKUP($A647,OFFSET(achievement_criterion_id,0,0,COUNTA($A:$A),MATCH(D$1,missions!$2:$2,0)-MATCH($A$1,missions!$2:$2,0)+1),MATCH(D$1,missions!$2:$2,0)-MATCH($A$1,missions!$2:$2,0)+1,FALSE),IFERROR(VLOOKUP($A647,OFFSET(weekly_achievement_criterion_id,0,0,COUNTA($A:$A),MATCH(D$1,weekly_missions!$2:$2,0)-MATCH($A$1,weekly_missions!$2:$2,0)+1),MATCH(D$1,weekly_missions!$2:$2,0)-MATCH($A$1,weekly_missions!$2:$2,0)+1,FALSE),"＊missions 未設定＊"))</f>
        <v>炎のメタルジェントル x 1</v>
      </c>
      <c r="E647" s="27" t="s">
        <v>864</v>
      </c>
      <c r="F647" s="17" t="s">
        <v>22</v>
      </c>
      <c r="G647" s="26" t="str">
        <f ca="1">VLOOKUP($F647,OFFSET(達成条件!$A$1,0,0,COUNTA($A:$A),MATCH(G$1,達成条件!$1:$1,0)-MATCH($F$1,達成条件!$1:$1,0)+1),MATCH(G$1,達成条件!$1:$1,0)-MATCH($F$1,達成条件!$1:$1,0)+1,FALSE)</f>
        <v>マルチプレイを x 回プレイしよう！</v>
      </c>
      <c r="H647" s="26" t="str">
        <f ca="1">VLOOKUP($F647,OFFSET(達成条件!$A$1,0,0,COUNTA($A:$A),MATCH(H$1,達成条件!$1:$1,0)-MATCH($F$1,達成条件!$1:$1,0)+1),MATCH(H$1,達成条件!$1:$1,0)-MATCH($F$1,達成条件!$1:$1,0)+1,FALSE)</f>
        <v>マルチプレイプレイ回数</v>
      </c>
      <c r="I647" s="60" t="s">
        <v>1488</v>
      </c>
      <c r="J647" s="54" t="str">
        <f ca="1">IF(F647="specific_unit_aquired_count",SUBSTITUTE(G647,"x",VLOOKUP(INT($I647),OFFSET([3]characters!$A$2,0,0,COUNTA([3]characters!$A:$A),MATCH(J$1,[3]characters!$2:$2,0)-MATCH("character_id",[3]characters!$2:$2,0)+1),MATCH(J$1,[3]characters!$2:$2,0)-MATCH("character_id",[3]characters!$2:$2,0)+1,FALSE)),IF(F647="specific_quest_clear",VLOOKUP(SUBSTITUTE(I647,"-","_"),OFFSET([2]stages!$A$2,0,0,COUNTA([2]stages!$A:$A),MATCH("name",[2]stages!$2:$2,0)-MATCH("temp_stage",[2]stages!$2:$2,0)+1),MATCH("name",[2]stages!$2:$2,0)-MATCH("temp_stage",[2]stages!$2:$2,0)+1,FALSE),""))</f>
        <v/>
      </c>
      <c r="K647" s="15">
        <v>1</v>
      </c>
      <c r="L647" s="15" t="s">
        <v>542</v>
      </c>
      <c r="M647" s="26"/>
      <c r="N647" s="26"/>
    </row>
    <row r="648" spans="1:14" ht="21" customHeight="1" x14ac:dyDescent="0.15">
      <c r="A648" s="2" t="s">
        <v>1202</v>
      </c>
      <c r="B648" s="21" t="s">
        <v>792</v>
      </c>
      <c r="C648" s="26" t="str">
        <f t="shared" ca="1" si="79"/>
        <v>マルチプレイを 10 回プレイしよう！</v>
      </c>
      <c r="D648" s="26" t="str">
        <f ca="1">IFERROR(VLOOKUP($A648,OFFSET(achievement_criterion_id,0,0,COUNTA($A:$A),MATCH(D$1,missions!$2:$2,0)-MATCH($A$1,missions!$2:$2,0)+1),MATCH(D$1,missions!$2:$2,0)-MATCH($A$1,missions!$2:$2,0)+1,FALSE),IFERROR(VLOOKUP($A648,OFFSET(weekly_achievement_criterion_id,0,0,COUNTA($A:$A),MATCH(D$1,weekly_missions!$2:$2,0)-MATCH($A$1,weekly_missions!$2:$2,0)+1),MATCH(D$1,weekly_missions!$2:$2,0)-MATCH($A$1,weekly_missions!$2:$2,0)+1,FALSE),"＊missions 未設定＊"))</f>
        <v>メガ攻めの果実 x 1</v>
      </c>
      <c r="E648" s="27" t="s">
        <v>864</v>
      </c>
      <c r="F648" s="17" t="s">
        <v>22</v>
      </c>
      <c r="G648" s="26" t="str">
        <f ca="1">VLOOKUP($F648,OFFSET(達成条件!$A$1,0,0,COUNTA($A:$A),MATCH(G$1,達成条件!$1:$1,0)-MATCH($F$1,達成条件!$1:$1,0)+1),MATCH(G$1,達成条件!$1:$1,0)-MATCH($F$1,達成条件!$1:$1,0)+1,FALSE)</f>
        <v>マルチプレイを x 回プレイしよう！</v>
      </c>
      <c r="H648" s="26" t="str">
        <f ca="1">VLOOKUP($F648,OFFSET(達成条件!$A$1,0,0,COUNTA($A:$A),MATCH(H$1,達成条件!$1:$1,0)-MATCH($F$1,達成条件!$1:$1,0)+1),MATCH(H$1,達成条件!$1:$1,0)-MATCH($F$1,達成条件!$1:$1,0)+1,FALSE)</f>
        <v>マルチプレイプレイ回数</v>
      </c>
      <c r="I648" s="60" t="s">
        <v>1187</v>
      </c>
      <c r="J648" s="54" t="str">
        <f ca="1">IF(F648="specific_unit_aquired_count",SUBSTITUTE(G648,"x",VLOOKUP(INT($I648),OFFSET([3]characters!$A$2,0,0,COUNTA([3]characters!$A:$A),MATCH(J$1,[3]characters!$2:$2,0)-MATCH("character_id",[3]characters!$2:$2,0)+1),MATCH(J$1,[3]characters!$2:$2,0)-MATCH("character_id",[3]characters!$2:$2,0)+1,FALSE)),IF(F648="specific_quest_clear",VLOOKUP(SUBSTITUTE(I648,"-","_"),OFFSET([2]stages!$A$2,0,0,COUNTA([2]stages!$A:$A),MATCH("name",[2]stages!$2:$2,0)-MATCH("temp_stage",[2]stages!$2:$2,0)+1),MATCH("name",[2]stages!$2:$2,0)-MATCH("temp_stage",[2]stages!$2:$2,0)+1,FALSE),""))</f>
        <v/>
      </c>
      <c r="K648" s="15">
        <v>1</v>
      </c>
      <c r="L648" s="15" t="s">
        <v>542</v>
      </c>
      <c r="M648" s="26" t="str">
        <f ca="1">IFERROR(VLOOKUP($L699,OFFSET(missions!$A$2,0,0,COUNTA($A:$A),MATCH(M$1,missions!$2:$2,0)-MATCH("mission_id",missions!$2:$2,0)+1),MATCH(M$1,missions!$2:$2,0)-MATCH("mission_id",missions!$2:$2,0)+1,FALSE),"")</f>
        <v/>
      </c>
      <c r="N648" s="26" t="str">
        <f ca="1">IFERROR(VLOOKUP($L699,OFFSET(missions!$A$2,0,0,COUNTA($A:$A),MATCH(N$1,missions!$2:$2,0)-MATCH("mission_id",missions!$2:$2,0)+1),MATCH(N$1,missions!$2:$2,0)-MATCH("mission_id",missions!$2:$2,0)+1,FALSE),"")</f>
        <v/>
      </c>
    </row>
    <row r="649" spans="1:14" ht="21" customHeight="1" x14ac:dyDescent="0.15">
      <c r="A649" s="2" t="s">
        <v>1203</v>
      </c>
      <c r="B649" s="21" t="s">
        <v>792</v>
      </c>
      <c r="C649" s="26" t="str">
        <f t="shared" ca="1" si="79"/>
        <v>マルチプレイを 10 回プレイしよう！</v>
      </c>
      <c r="D649" s="26" t="str">
        <f ca="1">IFERROR(VLOOKUP($A649,OFFSET(achievement_criterion_id,0,0,COUNTA($A:$A),MATCH(D$1,missions!$2:$2,0)-MATCH($A$1,missions!$2:$2,0)+1),MATCH(D$1,missions!$2:$2,0)-MATCH($A$1,missions!$2:$2,0)+1,FALSE),IFERROR(VLOOKUP($A649,OFFSET(weekly_achievement_criterion_id,0,0,COUNTA($A:$A),MATCH(D$1,weekly_missions!$2:$2,0)-MATCH($A$1,weekly_missions!$2:$2,0)+1),MATCH(D$1,weekly_missions!$2:$2,0)-MATCH($A$1,weekly_missions!$2:$2,0)+1,FALSE),"＊missions 未設定＊"))</f>
        <v>メガ生命の果実 x 1</v>
      </c>
      <c r="E649" s="27" t="s">
        <v>864</v>
      </c>
      <c r="F649" s="17" t="s">
        <v>22</v>
      </c>
      <c r="G649" s="26" t="str">
        <f ca="1">VLOOKUP($F649,OFFSET(達成条件!$A$1,0,0,COUNTA($A:$A),MATCH(G$1,達成条件!$1:$1,0)-MATCH($F$1,達成条件!$1:$1,0)+1),MATCH(G$1,達成条件!$1:$1,0)-MATCH($F$1,達成条件!$1:$1,0)+1,FALSE)</f>
        <v>マルチプレイを x 回プレイしよう！</v>
      </c>
      <c r="H649" s="26" t="str">
        <f ca="1">VLOOKUP($F649,OFFSET(達成条件!$A$1,0,0,COUNTA($A:$A),MATCH(H$1,達成条件!$1:$1,0)-MATCH($F$1,達成条件!$1:$1,0)+1),MATCH(H$1,達成条件!$1:$1,0)-MATCH($F$1,達成条件!$1:$1,0)+1,FALSE)</f>
        <v>マルチプレイプレイ回数</v>
      </c>
      <c r="I649" s="60" t="s">
        <v>1188</v>
      </c>
      <c r="J649" s="54" t="str">
        <f ca="1">IF(F649="specific_unit_aquired_count",SUBSTITUTE(G649,"x",VLOOKUP(INT($I649),OFFSET([3]characters!$A$2,0,0,COUNTA([3]characters!$A:$A),MATCH(J$1,[3]characters!$2:$2,0)-MATCH("character_id",[3]characters!$2:$2,0)+1),MATCH(J$1,[3]characters!$2:$2,0)-MATCH("character_id",[3]characters!$2:$2,0)+1,FALSE)),IF(F649="specific_quest_clear",VLOOKUP(SUBSTITUTE(I649,"-","_"),OFFSET([2]stages!$A$2,0,0,COUNTA([2]stages!$A:$A),MATCH("name",[2]stages!$2:$2,0)-MATCH("temp_stage",[2]stages!$2:$2,0)+1),MATCH("name",[2]stages!$2:$2,0)-MATCH("temp_stage",[2]stages!$2:$2,0)+1,FALSE),""))</f>
        <v/>
      </c>
      <c r="K649" s="15">
        <v>1</v>
      </c>
      <c r="L649" s="15" t="s">
        <v>542</v>
      </c>
      <c r="M649" s="26" t="str">
        <f ca="1">IFERROR(VLOOKUP($L700,OFFSET(missions!$A$2,0,0,COUNTA($A:$A),MATCH(M$1,missions!$2:$2,0)-MATCH("mission_id",missions!$2:$2,0)+1),MATCH(M$1,missions!$2:$2,0)-MATCH("mission_id",missions!$2:$2,0)+1,FALSE),"")</f>
        <v/>
      </c>
      <c r="N649" s="26" t="str">
        <f ca="1">IFERROR(VLOOKUP($L700,OFFSET(missions!$A$2,0,0,COUNTA($A:$A),MATCH(N$1,missions!$2:$2,0)-MATCH("mission_id",missions!$2:$2,0)+1),MATCH(N$1,missions!$2:$2,0)-MATCH("mission_id",missions!$2:$2,0)+1,FALSE),"")</f>
        <v/>
      </c>
    </row>
    <row r="650" spans="1:14" ht="21" customHeight="1" x14ac:dyDescent="0.15">
      <c r="A650" s="2" t="s">
        <v>1204</v>
      </c>
      <c r="B650" s="21" t="s">
        <v>792</v>
      </c>
      <c r="C650" s="26" t="str">
        <f t="shared" ca="1" si="79"/>
        <v>マルチプレイを 10 回プレイしよう！</v>
      </c>
      <c r="D650" s="26" t="str">
        <f ca="1">IFERROR(VLOOKUP($A650,OFFSET(achievement_criterion_id,0,0,COUNTA($A:$A),MATCH(D$1,missions!$2:$2,0)-MATCH($A$1,missions!$2:$2,0)+1),MATCH(D$1,missions!$2:$2,0)-MATCH($A$1,missions!$2:$2,0)+1,FALSE),IFERROR(VLOOKUP($A650,OFFSET(weekly_achievement_criterion_id,0,0,COUNTA($A:$A),MATCH(D$1,weekly_missions!$2:$2,0)-MATCH($A$1,weekly_missions!$2:$2,0)+1),MATCH(D$1,weekly_missions!$2:$2,0)-MATCH($A$1,weekly_missions!$2:$2,0)+1,FALSE),"＊missions 未設定＊"))</f>
        <v>メガ癒しの果実 x 1</v>
      </c>
      <c r="E650" s="27" t="s">
        <v>864</v>
      </c>
      <c r="F650" s="17" t="s">
        <v>22</v>
      </c>
      <c r="G650" s="26" t="str">
        <f ca="1">VLOOKUP($F650,OFFSET(達成条件!$A$1,0,0,COUNTA($A:$A),MATCH(G$1,達成条件!$1:$1,0)-MATCH($F$1,達成条件!$1:$1,0)+1),MATCH(G$1,達成条件!$1:$1,0)-MATCH($F$1,達成条件!$1:$1,0)+1,FALSE)</f>
        <v>マルチプレイを x 回プレイしよう！</v>
      </c>
      <c r="H650" s="26" t="str">
        <f ca="1">VLOOKUP($F650,OFFSET(達成条件!$A$1,0,0,COUNTA($A:$A),MATCH(H$1,達成条件!$1:$1,0)-MATCH($F$1,達成条件!$1:$1,0)+1),MATCH(H$1,達成条件!$1:$1,0)-MATCH($F$1,達成条件!$1:$1,0)+1,FALSE)</f>
        <v>マルチプレイプレイ回数</v>
      </c>
      <c r="I650" s="60" t="s">
        <v>1189</v>
      </c>
      <c r="J650" s="54" t="str">
        <f ca="1">IF(F650="specific_unit_aquired_count",SUBSTITUTE(G650,"x",VLOOKUP(INT($I650),OFFSET([3]characters!$A$2,0,0,COUNTA([3]characters!$A:$A),MATCH(J$1,[3]characters!$2:$2,0)-MATCH("character_id",[3]characters!$2:$2,0)+1),MATCH(J$1,[3]characters!$2:$2,0)-MATCH("character_id",[3]characters!$2:$2,0)+1,FALSE)),IF(F650="specific_quest_clear",VLOOKUP(SUBSTITUTE(I650,"-","_"),OFFSET([2]stages!$A$2,0,0,COUNTA([2]stages!$A:$A),MATCH("name",[2]stages!$2:$2,0)-MATCH("temp_stage",[2]stages!$2:$2,0)+1),MATCH("name",[2]stages!$2:$2,0)-MATCH("temp_stage",[2]stages!$2:$2,0)+1,FALSE),""))</f>
        <v/>
      </c>
      <c r="K650" s="15">
        <v>1</v>
      </c>
      <c r="L650" s="15" t="s">
        <v>542</v>
      </c>
      <c r="M650" s="26" t="str">
        <f ca="1">IFERROR(VLOOKUP($L701,OFFSET(missions!$A$2,0,0,COUNTA($A:$A),MATCH(M$1,missions!$2:$2,0)-MATCH("mission_id",missions!$2:$2,0)+1),MATCH(M$1,missions!$2:$2,0)-MATCH("mission_id",missions!$2:$2,0)+1,FALSE),"")</f>
        <v/>
      </c>
      <c r="N650" s="26" t="str">
        <f ca="1">IFERROR(VLOOKUP($L701,OFFSET(missions!$A$2,0,0,COUNTA($A:$A),MATCH(N$1,missions!$2:$2,0)-MATCH("mission_id",missions!$2:$2,0)+1),MATCH(N$1,missions!$2:$2,0)-MATCH("mission_id",missions!$2:$2,0)+1,FALSE),"")</f>
        <v/>
      </c>
    </row>
    <row r="651" spans="1:14" ht="21" customHeight="1" x14ac:dyDescent="0.15">
      <c r="A651" s="2" t="s">
        <v>1478</v>
      </c>
      <c r="B651" s="21" t="s">
        <v>792</v>
      </c>
      <c r="C651" s="26" t="str">
        <f t="shared" ca="1" si="79"/>
        <v>マルチプレイを 10 回プレイしよう！</v>
      </c>
      <c r="D651" s="26" t="str">
        <f ca="1">IFERROR(VLOOKUP($A651,OFFSET(achievement_criterion_id,0,0,COUNTA($A:$A),MATCH(D$1,missions!$2:$2,0)-MATCH($A$1,missions!$2:$2,0)+1),MATCH(D$1,missions!$2:$2,0)-MATCH($A$1,missions!$2:$2,0)+1,FALSE),IFERROR(VLOOKUP($A651,OFFSET(weekly_achievement_criterion_id,0,0,COUNTA($A:$A),MATCH(D$1,weekly_missions!$2:$2,0)-MATCH($A$1,weekly_missions!$2:$2,0)+1),MATCH(D$1,weekly_missions!$2:$2,0)-MATCH($A$1,weekly_missions!$2:$2,0)+1,FALSE),"＊missions 未設定＊"))</f>
        <v>ギガ生命の果実 x 1</v>
      </c>
      <c r="E651" s="27" t="s">
        <v>864</v>
      </c>
      <c r="F651" s="17" t="s">
        <v>22</v>
      </c>
      <c r="G651" s="26" t="str">
        <f ca="1">VLOOKUP($F651,OFFSET(達成条件!$A$1,0,0,COUNTA($A:$A),MATCH(G$1,達成条件!$1:$1,0)-MATCH($F$1,達成条件!$1:$1,0)+1),MATCH(G$1,達成条件!$1:$1,0)-MATCH($F$1,達成条件!$1:$1,0)+1,FALSE)</f>
        <v>マルチプレイを x 回プレイしよう！</v>
      </c>
      <c r="H651" s="26" t="str">
        <f ca="1">VLOOKUP($F651,OFFSET(達成条件!$A$1,0,0,COUNTA($A:$A),MATCH(H$1,達成条件!$1:$1,0)-MATCH($F$1,達成条件!$1:$1,0)+1),MATCH(H$1,達成条件!$1:$1,0)-MATCH($F$1,達成条件!$1:$1,0)+1,FALSE)</f>
        <v>マルチプレイプレイ回数</v>
      </c>
      <c r="I651" s="60" t="s">
        <v>1487</v>
      </c>
      <c r="J651" s="54" t="str">
        <f ca="1">IF(F651="specific_unit_aquired_count",SUBSTITUTE(G651,"x",VLOOKUP(INT($I651),OFFSET([3]characters!$A$2,0,0,COUNTA([3]characters!$A:$A),MATCH(J$1,[3]characters!$2:$2,0)-MATCH("character_id",[3]characters!$2:$2,0)+1),MATCH(J$1,[3]characters!$2:$2,0)-MATCH("character_id",[3]characters!$2:$2,0)+1,FALSE)),IF(F651="specific_quest_clear",VLOOKUP(SUBSTITUTE(I651,"-","_"),OFFSET([2]stages!$A$2,0,0,COUNTA([2]stages!$A:$A),MATCH("name",[2]stages!$2:$2,0)-MATCH("temp_stage",[2]stages!$2:$2,0)+1),MATCH("name",[2]stages!$2:$2,0)-MATCH("temp_stage",[2]stages!$2:$2,0)+1,FALSE),""))</f>
        <v/>
      </c>
      <c r="K651" s="15">
        <v>1</v>
      </c>
      <c r="L651" s="15" t="s">
        <v>542</v>
      </c>
      <c r="M651" s="26"/>
      <c r="N651" s="26"/>
    </row>
    <row r="652" spans="1:14" ht="21" customHeight="1" x14ac:dyDescent="0.15">
      <c r="A652" s="2" t="s">
        <v>1205</v>
      </c>
      <c r="B652" s="21" t="s">
        <v>792</v>
      </c>
      <c r="C652" s="26" t="str">
        <f t="shared" ca="1" si="79"/>
        <v>マルチプレイを 15 回プレイしよう！</v>
      </c>
      <c r="D652" s="26" t="str">
        <f ca="1">IFERROR(VLOOKUP($A652,OFFSET(achievement_criterion_id,0,0,COUNTA($A:$A),MATCH(D$1,missions!$2:$2,0)-MATCH($A$1,missions!$2:$2,0)+1),MATCH(D$1,missions!$2:$2,0)-MATCH($A$1,missions!$2:$2,0)+1,FALSE),IFERROR(VLOOKUP($A652,OFFSET(weekly_achievement_criterion_id,0,0,COUNTA($A:$A),MATCH(D$1,weekly_missions!$2:$2,0)-MATCH($A$1,weekly_missions!$2:$2,0)+1),MATCH(D$1,weekly_missions!$2:$2,0)-MATCH($A$1,weekly_missions!$2:$2,0)+1,FALSE),"＊missions 未設定＊"))</f>
        <v>炎のメタルダック x 1</v>
      </c>
      <c r="E652" s="27" t="s">
        <v>864</v>
      </c>
      <c r="F652" s="17" t="s">
        <v>22</v>
      </c>
      <c r="G652" s="26" t="str">
        <f ca="1">VLOOKUP($F652,OFFSET(達成条件!$A$1,0,0,COUNTA($A:$A),MATCH(G$1,達成条件!$1:$1,0)-MATCH($F$1,達成条件!$1:$1,0)+1),MATCH(G$1,達成条件!$1:$1,0)-MATCH($F$1,達成条件!$1:$1,0)+1,FALSE)</f>
        <v>マルチプレイを x 回プレイしよう！</v>
      </c>
      <c r="H652" s="26" t="str">
        <f ca="1">VLOOKUP($F652,OFFSET(達成条件!$A$1,0,0,COUNTA($A:$A),MATCH(H$1,達成条件!$1:$1,0)-MATCH($F$1,達成条件!$1:$1,0)+1),MATCH(H$1,達成条件!$1:$1,0)-MATCH($F$1,達成条件!$1:$1,0)+1,FALSE)</f>
        <v>マルチプレイプレイ回数</v>
      </c>
      <c r="I652" s="60" t="s">
        <v>1190</v>
      </c>
      <c r="J652" s="54" t="str">
        <f ca="1">IF(F652="specific_unit_aquired_count",SUBSTITUTE(G652,"x",VLOOKUP(INT($I652),OFFSET([3]characters!$A$2,0,0,COUNTA([3]characters!$A:$A),MATCH(J$1,[3]characters!$2:$2,0)-MATCH("character_id",[3]characters!$2:$2,0)+1),MATCH(J$1,[3]characters!$2:$2,0)-MATCH("character_id",[3]characters!$2:$2,0)+1,FALSE)),IF(F652="specific_quest_clear",VLOOKUP(SUBSTITUTE(I652,"-","_"),OFFSET([2]stages!$A$2,0,0,COUNTA([2]stages!$A:$A),MATCH("name",[2]stages!$2:$2,0)-MATCH("temp_stage",[2]stages!$2:$2,0)+1),MATCH("name",[2]stages!$2:$2,0)-MATCH("temp_stage",[2]stages!$2:$2,0)+1,FALSE),""))</f>
        <v/>
      </c>
      <c r="K652" s="15">
        <v>1</v>
      </c>
      <c r="L652" s="15" t="s">
        <v>542</v>
      </c>
      <c r="M652" s="26" t="str">
        <f ca="1">IFERROR(VLOOKUP($L716,OFFSET(missions!$A$2,0,0,COUNTA($A:$A),MATCH(M$1,missions!$2:$2,0)-MATCH("mission_id",missions!$2:$2,0)+1),MATCH(M$1,missions!$2:$2,0)-MATCH("mission_id",missions!$2:$2,0)+1,FALSE),"")</f>
        <v/>
      </c>
      <c r="N652" s="26" t="str">
        <f ca="1">IFERROR(VLOOKUP($L716,OFFSET(missions!$A$2,0,0,COUNTA($A:$A),MATCH(N$1,missions!$2:$2,0)-MATCH("mission_id",missions!$2:$2,0)+1),MATCH(N$1,missions!$2:$2,0)-MATCH("mission_id",missions!$2:$2,0)+1,FALSE),"")</f>
        <v/>
      </c>
    </row>
    <row r="653" spans="1:14" ht="21" customHeight="1" x14ac:dyDescent="0.15">
      <c r="A653" s="2" t="s">
        <v>1206</v>
      </c>
      <c r="B653" s="21" t="s">
        <v>792</v>
      </c>
      <c r="C653" s="26" t="str">
        <f t="shared" ca="1" si="79"/>
        <v>マルチプレイを 15 回プレイしよう！</v>
      </c>
      <c r="D653" s="26" t="str">
        <f ca="1">IFERROR(VLOOKUP($A653,OFFSET(achievement_criterion_id,0,0,COUNTA($A:$A),MATCH(D$1,missions!$2:$2,0)-MATCH($A$1,missions!$2:$2,0)+1),MATCH(D$1,missions!$2:$2,0)-MATCH($A$1,missions!$2:$2,0)+1,FALSE),IFERROR(VLOOKUP($A653,OFFSET(weekly_achievement_criterion_id,0,0,COUNTA($A:$A),MATCH(D$1,weekly_missions!$2:$2,0)-MATCH($A$1,weekly_missions!$2:$2,0)+1),MATCH(D$1,weekly_missions!$2:$2,0)-MATCH($A$1,weekly_missions!$2:$2,0)+1,FALSE),"＊missions 未設定＊"))</f>
        <v>森のメタルダック x 1</v>
      </c>
      <c r="E653" s="27" t="s">
        <v>864</v>
      </c>
      <c r="F653" s="17" t="s">
        <v>22</v>
      </c>
      <c r="G653" s="26" t="str">
        <f ca="1">VLOOKUP($F653,OFFSET(達成条件!$A$1,0,0,COUNTA($A:$A),MATCH(G$1,達成条件!$1:$1,0)-MATCH($F$1,達成条件!$1:$1,0)+1),MATCH(G$1,達成条件!$1:$1,0)-MATCH($F$1,達成条件!$1:$1,0)+1,FALSE)</f>
        <v>マルチプレイを x 回プレイしよう！</v>
      </c>
      <c r="H653" s="26" t="str">
        <f ca="1">VLOOKUP($F653,OFFSET(達成条件!$A$1,0,0,COUNTA($A:$A),MATCH(H$1,達成条件!$1:$1,0)-MATCH($F$1,達成条件!$1:$1,0)+1),MATCH(H$1,達成条件!$1:$1,0)-MATCH($F$1,達成条件!$1:$1,0)+1,FALSE)</f>
        <v>マルチプレイプレイ回数</v>
      </c>
      <c r="I653" s="60" t="s">
        <v>1191</v>
      </c>
      <c r="J653" s="54" t="str">
        <f ca="1">IF(F653="specific_unit_aquired_count",SUBSTITUTE(G653,"x",VLOOKUP(INT($I653),OFFSET([3]characters!$A$2,0,0,COUNTA([3]characters!$A:$A),MATCH(J$1,[3]characters!$2:$2,0)-MATCH("character_id",[3]characters!$2:$2,0)+1),MATCH(J$1,[3]characters!$2:$2,0)-MATCH("character_id",[3]characters!$2:$2,0)+1,FALSE)),IF(F653="specific_quest_clear",VLOOKUP(SUBSTITUTE(I653,"-","_"),OFFSET([2]stages!$A$2,0,0,COUNTA([2]stages!$A:$A),MATCH("name",[2]stages!$2:$2,0)-MATCH("temp_stage",[2]stages!$2:$2,0)+1),MATCH("name",[2]stages!$2:$2,0)-MATCH("temp_stage",[2]stages!$2:$2,0)+1,FALSE),""))</f>
        <v/>
      </c>
      <c r="K653" s="15">
        <v>1</v>
      </c>
      <c r="L653" s="15" t="s">
        <v>542</v>
      </c>
      <c r="M653" s="26" t="str">
        <f ca="1">IFERROR(VLOOKUP($L717,OFFSET(missions!$A$2,0,0,COUNTA($A:$A),MATCH(M$1,missions!$2:$2,0)-MATCH("mission_id",missions!$2:$2,0)+1),MATCH(M$1,missions!$2:$2,0)-MATCH("mission_id",missions!$2:$2,0)+1,FALSE),"")</f>
        <v/>
      </c>
      <c r="N653" s="26" t="str">
        <f ca="1">IFERROR(VLOOKUP($L717,OFFSET(missions!$A$2,0,0,COUNTA($A:$A),MATCH(N$1,missions!$2:$2,0)-MATCH("mission_id",missions!$2:$2,0)+1),MATCH(N$1,missions!$2:$2,0)-MATCH("mission_id",missions!$2:$2,0)+1,FALSE),"")</f>
        <v/>
      </c>
    </row>
    <row r="654" spans="1:14" ht="21" customHeight="1" x14ac:dyDescent="0.15">
      <c r="A654" s="2" t="s">
        <v>1207</v>
      </c>
      <c r="B654" s="21" t="s">
        <v>792</v>
      </c>
      <c r="C654" s="26" t="str">
        <f t="shared" ca="1" si="79"/>
        <v>マルチプレイを 15 回プレイしよう！</v>
      </c>
      <c r="D654" s="26" t="str">
        <f ca="1">IFERROR(VLOOKUP($A654,OFFSET(achievement_criterion_id,0,0,COUNTA($A:$A),MATCH(D$1,missions!$2:$2,0)-MATCH($A$1,missions!$2:$2,0)+1),MATCH(D$1,missions!$2:$2,0)-MATCH($A$1,missions!$2:$2,0)+1,FALSE),IFERROR(VLOOKUP($A654,OFFSET(weekly_achievement_criterion_id,0,0,COUNTA($A:$A),MATCH(D$1,weekly_missions!$2:$2,0)-MATCH($A$1,weekly_missions!$2:$2,0)+1),MATCH(D$1,weekly_missions!$2:$2,0)-MATCH($A$1,weekly_missions!$2:$2,0)+1,FALSE),"＊missions 未設定＊"))</f>
        <v>水のメタルダック x 1</v>
      </c>
      <c r="E654" s="27" t="s">
        <v>864</v>
      </c>
      <c r="F654" s="17" t="s">
        <v>22</v>
      </c>
      <c r="G654" s="26" t="str">
        <f ca="1">VLOOKUP($F654,OFFSET(達成条件!$A$1,0,0,COUNTA($A:$A),MATCH(G$1,達成条件!$1:$1,0)-MATCH($F$1,達成条件!$1:$1,0)+1),MATCH(G$1,達成条件!$1:$1,0)-MATCH($F$1,達成条件!$1:$1,0)+1,FALSE)</f>
        <v>マルチプレイを x 回プレイしよう！</v>
      </c>
      <c r="H654" s="26" t="str">
        <f ca="1">VLOOKUP($F654,OFFSET(達成条件!$A$1,0,0,COUNTA($A:$A),MATCH(H$1,達成条件!$1:$1,0)-MATCH($F$1,達成条件!$1:$1,0)+1),MATCH(H$1,達成条件!$1:$1,0)-MATCH($F$1,達成条件!$1:$1,0)+1,FALSE)</f>
        <v>マルチプレイプレイ回数</v>
      </c>
      <c r="I654" s="60" t="s">
        <v>1192</v>
      </c>
      <c r="J654" s="54" t="str">
        <f ca="1">IF(F654="specific_unit_aquired_count",SUBSTITUTE(G654,"x",VLOOKUP(INT($I654),OFFSET([3]characters!$A$2,0,0,COUNTA([3]characters!$A:$A),MATCH(J$1,[3]characters!$2:$2,0)-MATCH("character_id",[3]characters!$2:$2,0)+1),MATCH(J$1,[3]characters!$2:$2,0)-MATCH("character_id",[3]characters!$2:$2,0)+1,FALSE)),IF(F654="specific_quest_clear",VLOOKUP(SUBSTITUTE(I654,"-","_"),OFFSET([2]stages!$A$2,0,0,COUNTA([2]stages!$A:$A),MATCH("name",[2]stages!$2:$2,0)-MATCH("temp_stage",[2]stages!$2:$2,0)+1),MATCH("name",[2]stages!$2:$2,0)-MATCH("temp_stage",[2]stages!$2:$2,0)+1,FALSE),""))</f>
        <v/>
      </c>
      <c r="K654" s="15">
        <v>1</v>
      </c>
      <c r="L654" s="15" t="s">
        <v>542</v>
      </c>
      <c r="M654" s="26" t="str">
        <f ca="1">IFERROR(VLOOKUP($L718,OFFSET(missions!$A$2,0,0,COUNTA($A:$A),MATCH(M$1,missions!$2:$2,0)-MATCH("mission_id",missions!$2:$2,0)+1),MATCH(M$1,missions!$2:$2,0)-MATCH("mission_id",missions!$2:$2,0)+1,FALSE),"")</f>
        <v/>
      </c>
      <c r="N654" s="26" t="str">
        <f ca="1">IFERROR(VLOOKUP($L718,OFFSET(missions!$A$2,0,0,COUNTA($A:$A),MATCH(N$1,missions!$2:$2,0)-MATCH("mission_id",missions!$2:$2,0)+1),MATCH(N$1,missions!$2:$2,0)-MATCH("mission_id",missions!$2:$2,0)+1,FALSE),"")</f>
        <v/>
      </c>
    </row>
    <row r="655" spans="1:14" ht="21" customHeight="1" x14ac:dyDescent="0.15">
      <c r="A655" s="2" t="s">
        <v>1208</v>
      </c>
      <c r="B655" s="21" t="s">
        <v>792</v>
      </c>
      <c r="C655" s="26" t="str">
        <f t="shared" ca="1" si="79"/>
        <v>マルチプレイを 15 回プレイしよう！</v>
      </c>
      <c r="D655" s="26" t="str">
        <f ca="1">IFERROR(VLOOKUP($A655,OFFSET(achievement_criterion_id,0,0,COUNTA($A:$A),MATCH(D$1,missions!$2:$2,0)-MATCH($A$1,missions!$2:$2,0)+1),MATCH(D$1,missions!$2:$2,0)-MATCH($A$1,missions!$2:$2,0)+1,FALSE),IFERROR(VLOOKUP($A655,OFFSET(weekly_achievement_criterion_id,0,0,COUNTA($A:$A),MATCH(D$1,weekly_missions!$2:$2,0)-MATCH($A$1,weekly_missions!$2:$2,0)+1),MATCH(D$1,weekly_missions!$2:$2,0)-MATCH($A$1,weekly_missions!$2:$2,0)+1,FALSE),"＊missions 未設定＊"))</f>
        <v>雷のメタルダック x 1</v>
      </c>
      <c r="E655" s="27" t="s">
        <v>864</v>
      </c>
      <c r="F655" s="17" t="s">
        <v>22</v>
      </c>
      <c r="G655" s="26" t="str">
        <f ca="1">VLOOKUP($F655,OFFSET(達成条件!$A$1,0,0,COUNTA($A:$A),MATCH(G$1,達成条件!$1:$1,0)-MATCH($F$1,達成条件!$1:$1,0)+1),MATCH(G$1,達成条件!$1:$1,0)-MATCH($F$1,達成条件!$1:$1,0)+1,FALSE)</f>
        <v>マルチプレイを x 回プレイしよう！</v>
      </c>
      <c r="H655" s="26" t="str">
        <f ca="1">VLOOKUP($F655,OFFSET(達成条件!$A$1,0,0,COUNTA($A:$A),MATCH(H$1,達成条件!$1:$1,0)-MATCH($F$1,達成条件!$1:$1,0)+1),MATCH(H$1,達成条件!$1:$1,0)-MATCH($F$1,達成条件!$1:$1,0)+1,FALSE)</f>
        <v>マルチプレイプレイ回数</v>
      </c>
      <c r="I655" s="60" t="s">
        <v>1191</v>
      </c>
      <c r="J655" s="54" t="str">
        <f ca="1">IF(F655="specific_unit_aquired_count",SUBSTITUTE(G655,"x",VLOOKUP(INT($I655),OFFSET([3]characters!$A$2,0,0,COUNTA([3]characters!$A:$A),MATCH(J$1,[3]characters!$2:$2,0)-MATCH("character_id",[3]characters!$2:$2,0)+1),MATCH(J$1,[3]characters!$2:$2,0)-MATCH("character_id",[3]characters!$2:$2,0)+1,FALSE)),IF(F655="specific_quest_clear",VLOOKUP(SUBSTITUTE(I655,"-","_"),OFFSET([2]stages!$A$2,0,0,COUNTA([2]stages!$A:$A),MATCH("name",[2]stages!$2:$2,0)-MATCH("temp_stage",[2]stages!$2:$2,0)+1),MATCH("name",[2]stages!$2:$2,0)-MATCH("temp_stage",[2]stages!$2:$2,0)+1,FALSE),""))</f>
        <v/>
      </c>
      <c r="K655" s="15">
        <v>1</v>
      </c>
      <c r="L655" s="15" t="s">
        <v>542</v>
      </c>
      <c r="M655" s="26" t="str">
        <f ca="1">IFERROR(VLOOKUP($L719,OFFSET(missions!$A$2,0,0,COUNTA($A:$A),MATCH(M$1,missions!$2:$2,0)-MATCH("mission_id",missions!$2:$2,0)+1),MATCH(M$1,missions!$2:$2,0)-MATCH("mission_id",missions!$2:$2,0)+1,FALSE),"")</f>
        <v/>
      </c>
      <c r="N655" s="26" t="str">
        <f ca="1">IFERROR(VLOOKUP($L719,OFFSET(missions!$A$2,0,0,COUNTA($A:$A),MATCH(N$1,missions!$2:$2,0)-MATCH("mission_id",missions!$2:$2,0)+1),MATCH(N$1,missions!$2:$2,0)-MATCH("mission_id",missions!$2:$2,0)+1,FALSE),"")</f>
        <v/>
      </c>
    </row>
    <row r="656" spans="1:14" ht="21" customHeight="1" x14ac:dyDescent="0.15">
      <c r="A656" s="2" t="s">
        <v>1479</v>
      </c>
      <c r="B656" s="21" t="s">
        <v>792</v>
      </c>
      <c r="C656" s="26" t="str">
        <f t="shared" ca="1" si="79"/>
        <v>マルチプレイを 15 回プレイしよう！</v>
      </c>
      <c r="D656" s="26" t="str">
        <f ca="1">IFERROR(VLOOKUP($A656,OFFSET(achievement_criterion_id,0,0,COUNTA($A:$A),MATCH(D$1,missions!$2:$2,0)-MATCH($A$1,missions!$2:$2,0)+1),MATCH(D$1,missions!$2:$2,0)-MATCH($A$1,missions!$2:$2,0)+1,FALSE),IFERROR(VLOOKUP($A656,OFFSET(weekly_achievement_criterion_id,0,0,COUNTA($A:$A),MATCH(D$1,weekly_missions!$2:$2,0)-MATCH($A$1,weekly_missions!$2:$2,0)+1),MATCH(D$1,weekly_missions!$2:$2,0)-MATCH($A$1,weekly_missions!$2:$2,0)+1,FALSE),"＊missions 未設定＊"))</f>
        <v>ギガ癒しの果実 x 1</v>
      </c>
      <c r="E656" s="27" t="s">
        <v>864</v>
      </c>
      <c r="F656" s="17" t="s">
        <v>22</v>
      </c>
      <c r="G656" s="26" t="str">
        <f ca="1">VLOOKUP($F656,OFFSET(達成条件!$A$1,0,0,COUNTA($A:$A),MATCH(G$1,達成条件!$1:$1,0)-MATCH($F$1,達成条件!$1:$1,0)+1),MATCH(G$1,達成条件!$1:$1,0)-MATCH($F$1,達成条件!$1:$1,0)+1,FALSE)</f>
        <v>マルチプレイを x 回プレイしよう！</v>
      </c>
      <c r="H656" s="26" t="str">
        <f ca="1">VLOOKUP($F656,OFFSET(達成条件!$A$1,0,0,COUNTA($A:$A),MATCH(H$1,達成条件!$1:$1,0)-MATCH($F$1,達成条件!$1:$1,0)+1),MATCH(H$1,達成条件!$1:$1,0)-MATCH($F$1,達成条件!$1:$1,0)+1,FALSE)</f>
        <v>マルチプレイプレイ回数</v>
      </c>
      <c r="I656" s="60" t="s">
        <v>1486</v>
      </c>
      <c r="J656" s="54" t="str">
        <f ca="1">IF(F656="specific_unit_aquired_count",SUBSTITUTE(G656,"x",VLOOKUP(INT($I656),OFFSET([3]characters!$A$2,0,0,COUNTA([3]characters!$A:$A),MATCH(J$1,[3]characters!$2:$2,0)-MATCH("character_id",[3]characters!$2:$2,0)+1),MATCH(J$1,[3]characters!$2:$2,0)-MATCH("character_id",[3]characters!$2:$2,0)+1,FALSE)),IF(F656="specific_quest_clear",VLOOKUP(SUBSTITUTE(I656,"-","_"),OFFSET([2]stages!$A$2,0,0,COUNTA([2]stages!$A:$A),MATCH("name",[2]stages!$2:$2,0)-MATCH("temp_stage",[2]stages!$2:$2,0)+1),MATCH("name",[2]stages!$2:$2,0)-MATCH("temp_stage",[2]stages!$2:$2,0)+1,FALSE),""))</f>
        <v/>
      </c>
      <c r="K656" s="15">
        <v>1</v>
      </c>
      <c r="L656" s="15" t="s">
        <v>542</v>
      </c>
      <c r="M656" s="26"/>
      <c r="N656" s="26"/>
    </row>
    <row r="657" spans="1:14" ht="21" customHeight="1" x14ac:dyDescent="0.15">
      <c r="A657" s="2" t="s">
        <v>1209</v>
      </c>
      <c r="B657" s="21" t="s">
        <v>792</v>
      </c>
      <c r="C657" s="26" t="str">
        <f t="shared" ca="1" si="79"/>
        <v>マルチプレイを 20 回プレイしよう！</v>
      </c>
      <c r="D657" s="26" t="str">
        <f ca="1">IFERROR(VLOOKUP($A657,OFFSET(achievement_criterion_id,0,0,COUNTA($A:$A),MATCH(D$1,missions!$2:$2,0)-MATCH($A$1,missions!$2:$2,0)+1),MATCH(D$1,missions!$2:$2,0)-MATCH($A$1,missions!$2:$2,0)+1,FALSE),IFERROR(VLOOKUP($A657,OFFSET(weekly_achievement_criterion_id,0,0,COUNTA($A:$A),MATCH(D$1,weekly_missions!$2:$2,0)-MATCH($A$1,weekly_missions!$2:$2,0)+1),MATCH(D$1,weekly_missions!$2:$2,0)-MATCH($A$1,weekly_missions!$2:$2,0)+1,FALSE),"＊missions 未設定＊"))</f>
        <v>メガ攻めの果実 x 1</v>
      </c>
      <c r="E657" s="27" t="s">
        <v>864</v>
      </c>
      <c r="F657" s="17" t="s">
        <v>22</v>
      </c>
      <c r="G657" s="26" t="str">
        <f ca="1">VLOOKUP($F657,OFFSET(達成条件!$A$1,0,0,COUNTA($A:$A),MATCH(G$1,達成条件!$1:$1,0)-MATCH($F$1,達成条件!$1:$1,0)+1),MATCH(G$1,達成条件!$1:$1,0)-MATCH($F$1,達成条件!$1:$1,0)+1,FALSE)</f>
        <v>マルチプレイを x 回プレイしよう！</v>
      </c>
      <c r="H657" s="26" t="str">
        <f ca="1">VLOOKUP($F657,OFFSET(達成条件!$A$1,0,0,COUNTA($A:$A),MATCH(H$1,達成条件!$1:$1,0)-MATCH($F$1,達成条件!$1:$1,0)+1),MATCH(H$1,達成条件!$1:$1,0)-MATCH($F$1,達成条件!$1:$1,0)+1,FALSE)</f>
        <v>マルチプレイプレイ回数</v>
      </c>
      <c r="I657" s="60" t="s">
        <v>645</v>
      </c>
      <c r="J657" s="54" t="str">
        <f ca="1">IF(F657="specific_unit_aquired_count",SUBSTITUTE(G657,"x",VLOOKUP(INT($I657),OFFSET([3]characters!$A$2,0,0,COUNTA([3]characters!$A:$A),MATCH(J$1,[3]characters!$2:$2,0)-MATCH("character_id",[3]characters!$2:$2,0)+1),MATCH(J$1,[3]characters!$2:$2,0)-MATCH("character_id",[3]characters!$2:$2,0)+1,FALSE)),IF(F657="specific_quest_clear",VLOOKUP(SUBSTITUTE(I657,"-","_"),OFFSET([2]stages!$A$2,0,0,COUNTA([2]stages!$A:$A),MATCH("name",[2]stages!$2:$2,0)-MATCH("temp_stage",[2]stages!$2:$2,0)+1),MATCH("name",[2]stages!$2:$2,0)-MATCH("temp_stage",[2]stages!$2:$2,0)+1,FALSE),""))</f>
        <v/>
      </c>
      <c r="K657" s="15">
        <v>1</v>
      </c>
      <c r="L657" s="15" t="s">
        <v>542</v>
      </c>
      <c r="M657" s="26" t="str">
        <f ca="1">IFERROR(VLOOKUP($L719,OFFSET(missions!$A$2,0,0,COUNTA($A:$A),MATCH(M$1,missions!$2:$2,0)-MATCH("mission_id",missions!$2:$2,0)+1),MATCH(M$1,missions!$2:$2,0)-MATCH("mission_id",missions!$2:$2,0)+1,FALSE),"")</f>
        <v/>
      </c>
      <c r="N657" s="26" t="str">
        <f ca="1">IFERROR(VLOOKUP($L719,OFFSET(missions!$A$2,0,0,COUNTA($A:$A),MATCH(N$1,missions!$2:$2,0)-MATCH("mission_id",missions!$2:$2,0)+1),MATCH(N$1,missions!$2:$2,0)-MATCH("mission_id",missions!$2:$2,0)+1,FALSE),"")</f>
        <v/>
      </c>
    </row>
    <row r="658" spans="1:14" ht="21" customHeight="1" x14ac:dyDescent="0.15">
      <c r="A658" s="2" t="s">
        <v>1210</v>
      </c>
      <c r="B658" s="21" t="s">
        <v>792</v>
      </c>
      <c r="C658" s="26" t="str">
        <f t="shared" ca="1" si="79"/>
        <v>マルチプレイを 20 回プレイしよう！</v>
      </c>
      <c r="D658" s="26" t="str">
        <f ca="1">IFERROR(VLOOKUP($A658,OFFSET(achievement_criterion_id,0,0,COUNTA($A:$A),MATCH(D$1,missions!$2:$2,0)-MATCH($A$1,missions!$2:$2,0)+1),MATCH(D$1,missions!$2:$2,0)-MATCH($A$1,missions!$2:$2,0)+1,FALSE),IFERROR(VLOOKUP($A658,OFFSET(weekly_achievement_criterion_id,0,0,COUNTA($A:$A),MATCH(D$1,weekly_missions!$2:$2,0)-MATCH($A$1,weekly_missions!$2:$2,0)+1),MATCH(D$1,weekly_missions!$2:$2,0)-MATCH($A$1,weekly_missions!$2:$2,0)+1,FALSE),"＊missions 未設定＊"))</f>
        <v>メガ生命の果実 x 1</v>
      </c>
      <c r="E658" s="27" t="s">
        <v>864</v>
      </c>
      <c r="F658" s="17" t="s">
        <v>22</v>
      </c>
      <c r="G658" s="26" t="str">
        <f ca="1">VLOOKUP($F658,OFFSET(達成条件!$A$1,0,0,COUNTA($A:$A),MATCH(G$1,達成条件!$1:$1,0)-MATCH($F$1,達成条件!$1:$1,0)+1),MATCH(G$1,達成条件!$1:$1,0)-MATCH($F$1,達成条件!$1:$1,0)+1,FALSE)</f>
        <v>マルチプレイを x 回プレイしよう！</v>
      </c>
      <c r="H658" s="26" t="str">
        <f ca="1">VLOOKUP($F658,OFFSET(達成条件!$A$1,0,0,COUNTA($A:$A),MATCH(H$1,達成条件!$1:$1,0)-MATCH($F$1,達成条件!$1:$1,0)+1),MATCH(H$1,達成条件!$1:$1,0)-MATCH($F$1,達成条件!$1:$1,0)+1,FALSE)</f>
        <v>マルチプレイプレイ回数</v>
      </c>
      <c r="I658" s="60" t="s">
        <v>1193</v>
      </c>
      <c r="J658" s="54" t="str">
        <f ca="1">IF(F658="specific_unit_aquired_count",SUBSTITUTE(G658,"x",VLOOKUP(INT($I658),OFFSET([3]characters!$A$2,0,0,COUNTA([3]characters!$A:$A),MATCH(J$1,[3]characters!$2:$2,0)-MATCH("character_id",[3]characters!$2:$2,0)+1),MATCH(J$1,[3]characters!$2:$2,0)-MATCH("character_id",[3]characters!$2:$2,0)+1,FALSE)),IF(F658="specific_quest_clear",VLOOKUP(SUBSTITUTE(I658,"-","_"),OFFSET([2]stages!$A$2,0,0,COUNTA([2]stages!$A:$A),MATCH("name",[2]stages!$2:$2,0)-MATCH("temp_stage",[2]stages!$2:$2,0)+1),MATCH("name",[2]stages!$2:$2,0)-MATCH("temp_stage",[2]stages!$2:$2,0)+1,FALSE),""))</f>
        <v/>
      </c>
      <c r="K658" s="15">
        <v>1</v>
      </c>
      <c r="L658" s="15" t="s">
        <v>542</v>
      </c>
      <c r="M658" s="26" t="str">
        <f ca="1">IFERROR(VLOOKUP($L720,OFFSET(missions!$A$2,0,0,COUNTA($A:$A),MATCH(M$1,missions!$2:$2,0)-MATCH("mission_id",missions!$2:$2,0)+1),MATCH(M$1,missions!$2:$2,0)-MATCH("mission_id",missions!$2:$2,0)+1,FALSE),"")</f>
        <v/>
      </c>
      <c r="N658" s="26" t="str">
        <f ca="1">IFERROR(VLOOKUP($L720,OFFSET(missions!$A$2,0,0,COUNTA($A:$A),MATCH(N$1,missions!$2:$2,0)-MATCH("mission_id",missions!$2:$2,0)+1),MATCH(N$1,missions!$2:$2,0)-MATCH("mission_id",missions!$2:$2,0)+1,FALSE),"")</f>
        <v/>
      </c>
    </row>
    <row r="659" spans="1:14" ht="21" customHeight="1" x14ac:dyDescent="0.15">
      <c r="A659" s="2" t="s">
        <v>1211</v>
      </c>
      <c r="B659" s="21" t="s">
        <v>792</v>
      </c>
      <c r="C659" s="26" t="str">
        <f t="shared" ref="C659:C661" ca="1" si="85">IF(F659="specific_quest_clear",SUBSTITUTE(G659,"x",J659),IF(F659="specific_unit_aquired_count",SUBSTITUTE(J659,"y",K659),SUBSTITUTE(G659,"x",I659)))</f>
        <v>マルチプレイを 20 回プレイしよう！</v>
      </c>
      <c r="D659" s="26" t="str">
        <f ca="1">IFERROR(VLOOKUP($A659,OFFSET(achievement_criterion_id,0,0,COUNTA($A:$A),MATCH(D$1,missions!$2:$2,0)-MATCH($A$1,missions!$2:$2,0)+1),MATCH(D$1,missions!$2:$2,0)-MATCH($A$1,missions!$2:$2,0)+1,FALSE),IFERROR(VLOOKUP($A659,OFFSET(weekly_achievement_criterion_id,0,0,COUNTA($A:$A),MATCH(D$1,weekly_missions!$2:$2,0)-MATCH($A$1,weekly_missions!$2:$2,0)+1),MATCH(D$1,weekly_missions!$2:$2,0)-MATCH($A$1,weekly_missions!$2:$2,0)+1,FALSE),"＊missions 未設定＊"))</f>
        <v>メガ癒しの果実 x 1</v>
      </c>
      <c r="E659" s="27" t="s">
        <v>864</v>
      </c>
      <c r="F659" s="17" t="s">
        <v>22</v>
      </c>
      <c r="G659" s="26" t="str">
        <f ca="1">VLOOKUP($F659,OFFSET(達成条件!$A$1,0,0,COUNTA($A:$A),MATCH(G$1,達成条件!$1:$1,0)-MATCH($F$1,達成条件!$1:$1,0)+1),MATCH(G$1,達成条件!$1:$1,0)-MATCH($F$1,達成条件!$1:$1,0)+1,FALSE)</f>
        <v>マルチプレイを x 回プレイしよう！</v>
      </c>
      <c r="H659" s="26" t="str">
        <f ca="1">VLOOKUP($F659,OFFSET(達成条件!$A$1,0,0,COUNTA($A:$A),MATCH(H$1,達成条件!$1:$1,0)-MATCH($F$1,達成条件!$1:$1,0)+1),MATCH(H$1,達成条件!$1:$1,0)-MATCH($F$1,達成条件!$1:$1,0)+1,FALSE)</f>
        <v>マルチプレイプレイ回数</v>
      </c>
      <c r="I659" s="60" t="s">
        <v>645</v>
      </c>
      <c r="J659" s="54" t="str">
        <f ca="1">IF(F659="specific_unit_aquired_count",SUBSTITUTE(G659,"x",VLOOKUP(INT($I659),OFFSET([3]characters!$A$2,0,0,COUNTA([3]characters!$A:$A),MATCH(J$1,[3]characters!$2:$2,0)-MATCH("character_id",[3]characters!$2:$2,0)+1),MATCH(J$1,[3]characters!$2:$2,0)-MATCH("character_id",[3]characters!$2:$2,0)+1,FALSE)),IF(F659="specific_quest_clear",VLOOKUP(SUBSTITUTE(I659,"-","_"),OFFSET([2]stages!$A$2,0,0,COUNTA([2]stages!$A:$A),MATCH("name",[2]stages!$2:$2,0)-MATCH("temp_stage",[2]stages!$2:$2,0)+1),MATCH("name",[2]stages!$2:$2,0)-MATCH("temp_stage",[2]stages!$2:$2,0)+1,FALSE),""))</f>
        <v/>
      </c>
      <c r="K659" s="15">
        <v>1</v>
      </c>
      <c r="L659" s="15" t="s">
        <v>542</v>
      </c>
      <c r="M659" s="26" t="str">
        <f ca="1">IFERROR(VLOOKUP($L721,OFFSET(missions!$A$2,0,0,COUNTA($A:$A),MATCH(M$1,missions!$2:$2,0)-MATCH("mission_id",missions!$2:$2,0)+1),MATCH(M$1,missions!$2:$2,0)-MATCH("mission_id",missions!$2:$2,0)+1,FALSE),"")</f>
        <v/>
      </c>
      <c r="N659" s="26" t="str">
        <f ca="1">IFERROR(VLOOKUP($L721,OFFSET(missions!$A$2,0,0,COUNTA($A:$A),MATCH(N$1,missions!$2:$2,0)-MATCH("mission_id",missions!$2:$2,0)+1),MATCH(N$1,missions!$2:$2,0)-MATCH("mission_id",missions!$2:$2,0)+1,FALSE),"")</f>
        <v/>
      </c>
    </row>
    <row r="660" spans="1:14" ht="21" customHeight="1" x14ac:dyDescent="0.15">
      <c r="A660" s="2" t="s">
        <v>1480</v>
      </c>
      <c r="B660" s="21" t="s">
        <v>792</v>
      </c>
      <c r="C660" s="26" t="str">
        <f t="shared" ref="C660" ca="1" si="86">IF(F660="specific_quest_clear",SUBSTITUTE(G660,"x",J660),IF(F660="specific_unit_aquired_count",SUBSTITUTE(J660,"y",K660),SUBSTITUTE(G660,"x",I660)))</f>
        <v>マルチプレイを 20 回プレイしよう！</v>
      </c>
      <c r="D660" s="26" t="str">
        <f ca="1">IFERROR(VLOOKUP($A660,OFFSET(achievement_criterion_id,0,0,COUNTA($A:$A),MATCH(D$1,missions!$2:$2,0)-MATCH($A$1,missions!$2:$2,0)+1),MATCH(D$1,missions!$2:$2,0)-MATCH($A$1,missions!$2:$2,0)+1,FALSE),IFERROR(VLOOKUP($A660,OFFSET(weekly_achievement_criterion_id,0,0,COUNTA($A:$A),MATCH(D$1,weekly_missions!$2:$2,0)-MATCH($A$1,weekly_missions!$2:$2,0)+1),MATCH(D$1,weekly_missions!$2:$2,0)-MATCH($A$1,weekly_missions!$2:$2,0)+1,FALSE),"＊missions 未設定＊"))</f>
        <v>ギガ攻めの果実 x 1</v>
      </c>
      <c r="E660" s="27" t="s">
        <v>864</v>
      </c>
      <c r="F660" s="17" t="s">
        <v>22</v>
      </c>
      <c r="G660" s="26" t="str">
        <f ca="1">VLOOKUP($F660,OFFSET(達成条件!$A$1,0,0,COUNTA($A:$A),MATCH(G$1,達成条件!$1:$1,0)-MATCH($F$1,達成条件!$1:$1,0)+1),MATCH(G$1,達成条件!$1:$1,0)-MATCH($F$1,達成条件!$1:$1,0)+1,FALSE)</f>
        <v>マルチプレイを x 回プレイしよう！</v>
      </c>
      <c r="H660" s="26" t="str">
        <f ca="1">VLOOKUP($F660,OFFSET(達成条件!$A$1,0,0,COUNTA($A:$A),MATCH(H$1,達成条件!$1:$1,0)-MATCH($F$1,達成条件!$1:$1,0)+1),MATCH(H$1,達成条件!$1:$1,0)-MATCH($F$1,達成条件!$1:$1,0)+1,FALSE)</f>
        <v>マルチプレイプレイ回数</v>
      </c>
      <c r="I660" s="60" t="s">
        <v>1485</v>
      </c>
      <c r="J660" s="54" t="str">
        <f ca="1">IF(F660="specific_unit_aquired_count",SUBSTITUTE(G660,"x",VLOOKUP(INT($I660),OFFSET([3]characters!$A$2,0,0,COUNTA([3]characters!$A:$A),MATCH(J$1,[3]characters!$2:$2,0)-MATCH("character_id",[3]characters!$2:$2,0)+1),MATCH(J$1,[3]characters!$2:$2,0)-MATCH("character_id",[3]characters!$2:$2,0)+1,FALSE)),IF(F660="specific_quest_clear",VLOOKUP(SUBSTITUTE(I660,"-","_"),OFFSET([2]stages!$A$2,0,0,COUNTA([2]stages!$A:$A),MATCH("name",[2]stages!$2:$2,0)-MATCH("temp_stage",[2]stages!$2:$2,0)+1),MATCH("name",[2]stages!$2:$2,0)-MATCH("temp_stage",[2]stages!$2:$2,0)+1,FALSE),""))</f>
        <v/>
      </c>
      <c r="K660" s="15">
        <v>1</v>
      </c>
      <c r="L660" s="15" t="s">
        <v>542</v>
      </c>
      <c r="M660" s="26"/>
      <c r="N660" s="26"/>
    </row>
    <row r="661" spans="1:14" ht="21" customHeight="1" x14ac:dyDescent="0.15">
      <c r="A661" s="2" t="s">
        <v>1481</v>
      </c>
      <c r="B661" s="21" t="s">
        <v>792</v>
      </c>
      <c r="C661" s="26" t="str">
        <f t="shared" ca="1" si="85"/>
        <v>マルチプレイを 30 回プレイしよう！</v>
      </c>
      <c r="D661" s="26" t="str">
        <f ca="1">IFERROR(VLOOKUP($A661,OFFSET(achievement_criterion_id,0,0,COUNTA($A:$A),MATCH(D$1,missions!$2:$2,0)-MATCH($A$1,missions!$2:$2,0)+1),MATCH(D$1,missions!$2:$2,0)-MATCH($A$1,missions!$2:$2,0)+1,FALSE),IFERROR(VLOOKUP($A661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661" s="27" t="s">
        <v>864</v>
      </c>
      <c r="F661" s="17" t="s">
        <v>22</v>
      </c>
      <c r="G661" s="26" t="str">
        <f ca="1">VLOOKUP($F661,OFFSET(達成条件!$A$1,0,0,COUNTA($A:$A),MATCH(G$1,達成条件!$1:$1,0)-MATCH($F$1,達成条件!$1:$1,0)+1),MATCH(G$1,達成条件!$1:$1,0)-MATCH($F$1,達成条件!$1:$1,0)+1,FALSE)</f>
        <v>マルチプレイを x 回プレイしよう！</v>
      </c>
      <c r="H661" s="26" t="str">
        <f ca="1">VLOOKUP($F661,OFFSET(達成条件!$A$1,0,0,COUNTA($A:$A),MATCH(H$1,達成条件!$1:$1,0)-MATCH($F$1,達成条件!$1:$1,0)+1),MATCH(H$1,達成条件!$1:$1,0)-MATCH($F$1,達成条件!$1:$1,0)+1,FALSE)</f>
        <v>マルチプレイプレイ回数</v>
      </c>
      <c r="I661" s="60" t="s">
        <v>1194</v>
      </c>
      <c r="J661" s="54" t="str">
        <f ca="1">IF(F661="specific_unit_aquired_count",SUBSTITUTE(G661,"x",VLOOKUP(INT($I661),OFFSET([3]characters!$A$2,0,0,COUNTA([3]characters!$A:$A),MATCH(J$1,[3]characters!$2:$2,0)-MATCH("character_id",[3]characters!$2:$2,0)+1),MATCH(J$1,[3]characters!$2:$2,0)-MATCH("character_id",[3]characters!$2:$2,0)+1,FALSE)),IF(F661="specific_quest_clear",VLOOKUP(SUBSTITUTE(I661,"-","_"),OFFSET([2]stages!$A$2,0,0,COUNTA([2]stages!$A:$A),MATCH("name",[2]stages!$2:$2,0)-MATCH("temp_stage",[2]stages!$2:$2,0)+1),MATCH("name",[2]stages!$2:$2,0)-MATCH("temp_stage",[2]stages!$2:$2,0)+1,FALSE),""))</f>
        <v/>
      </c>
      <c r="K661" s="15">
        <v>1</v>
      </c>
      <c r="L661" s="15" t="s">
        <v>542</v>
      </c>
      <c r="M661" s="26" t="str">
        <f ca="1">IFERROR(VLOOKUP(#REF!,OFFSET(missions!$A$2,0,0,COUNTA($A:$A),MATCH(M$1,missions!$2:$2,0)-MATCH("mission_id",missions!$2:$2,0)+1),MATCH(M$1,missions!$2:$2,0)-MATCH("mission_id",missions!$2:$2,0)+1,FALSE),"")</f>
        <v/>
      </c>
      <c r="N661" s="26" t="str">
        <f ca="1">IFERROR(VLOOKUP(#REF!,OFFSET(missions!$A$2,0,0,COUNTA($A:$A),MATCH(N$1,missions!$2:$2,0)-MATCH("mission_id",missions!$2:$2,0)+1),MATCH(N$1,missions!$2:$2,0)-MATCH("mission_id",missions!$2:$2,0)+1,FALSE),"")</f>
        <v/>
      </c>
    </row>
    <row r="662" spans="1:14" ht="21" customHeight="1" x14ac:dyDescent="0.15">
      <c r="A662" s="2" t="s">
        <v>1482</v>
      </c>
      <c r="B662" s="21" t="s">
        <v>792</v>
      </c>
      <c r="C662" s="26" t="str">
        <f t="shared" ref="C662" ca="1" si="87">IF(F662="specific_quest_clear",SUBSTITUTE(G662,"x",J662),IF(F662="specific_unit_aquired_count",SUBSTITUTE(J662,"y",K662),SUBSTITUTE(G662,"x",I662)))</f>
        <v>マルチプレイを 30 回プレイしよう！</v>
      </c>
      <c r="D662" s="26" t="str">
        <f ca="1">IFERROR(VLOOKUP($A662,OFFSET(achievement_criterion_id,0,0,COUNTA($A:$A),MATCH(D$1,missions!$2:$2,0)-MATCH($A$1,missions!$2:$2,0)+1),MATCH(D$1,missions!$2:$2,0)-MATCH($A$1,missions!$2:$2,0)+1,FALSE),IFERROR(VLOOKUP($A662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662" s="27" t="s">
        <v>864</v>
      </c>
      <c r="F662" s="17" t="s">
        <v>22</v>
      </c>
      <c r="G662" s="26" t="str">
        <f ca="1">VLOOKUP($F662,OFFSET(達成条件!$A$1,0,0,COUNTA($A:$A),MATCH(G$1,達成条件!$1:$1,0)-MATCH($F$1,達成条件!$1:$1,0)+1),MATCH(G$1,達成条件!$1:$1,0)-MATCH($F$1,達成条件!$1:$1,0)+1,FALSE)</f>
        <v>マルチプレイを x 回プレイしよう！</v>
      </c>
      <c r="H662" s="26" t="str">
        <f ca="1">VLOOKUP($F662,OFFSET(達成条件!$A$1,0,0,COUNTA($A:$A),MATCH(H$1,達成条件!$1:$1,0)-MATCH($F$1,達成条件!$1:$1,0)+1),MATCH(H$1,達成条件!$1:$1,0)-MATCH($F$1,達成条件!$1:$1,0)+1,FALSE)</f>
        <v>マルチプレイプレイ回数</v>
      </c>
      <c r="I662" s="60" t="s">
        <v>859</v>
      </c>
      <c r="J662" s="54" t="str">
        <f ca="1">IF(F662="specific_unit_aquired_count",SUBSTITUTE(G662,"x",VLOOKUP(INT($I662),OFFSET([3]characters!$A$2,0,0,COUNTA([3]characters!$A:$A),MATCH(J$1,[3]characters!$2:$2,0)-MATCH("character_id",[3]characters!$2:$2,0)+1),MATCH(J$1,[3]characters!$2:$2,0)-MATCH("character_id",[3]characters!$2:$2,0)+1,FALSE)),IF(F662="specific_quest_clear",VLOOKUP(SUBSTITUTE(I662,"-","_"),OFFSET([2]stages!$A$2,0,0,COUNTA([2]stages!$A:$A),MATCH("name",[2]stages!$2:$2,0)-MATCH("temp_stage",[2]stages!$2:$2,0)+1),MATCH("name",[2]stages!$2:$2,0)-MATCH("temp_stage",[2]stages!$2:$2,0)+1,FALSE),""))</f>
        <v/>
      </c>
      <c r="K662" s="15">
        <v>1</v>
      </c>
      <c r="L662" s="15" t="s">
        <v>542</v>
      </c>
      <c r="M662" s="26"/>
      <c r="N662" s="26"/>
    </row>
    <row r="663" spans="1:14" ht="21" customHeight="1" x14ac:dyDescent="0.15">
      <c r="A663" s="2" t="s">
        <v>1483</v>
      </c>
      <c r="B663" s="21" t="s">
        <v>792</v>
      </c>
      <c r="C663" s="26" t="str">
        <f t="shared" ref="C663" ca="1" si="88">IF(F663="specific_quest_clear",SUBSTITUTE(G663,"x",J663),IF(F663="specific_unit_aquired_count",SUBSTITUTE(J663,"y",K663),SUBSTITUTE(G663,"x",I663)))</f>
        <v>マルチプレイを 40 回プレイしよう！</v>
      </c>
      <c r="D663" s="26" t="str">
        <f ca="1">IFERROR(VLOOKUP($A663,OFFSET(achievement_criterion_id,0,0,COUNTA($A:$A),MATCH(D$1,missions!$2:$2,0)-MATCH($A$1,missions!$2:$2,0)+1),MATCH(D$1,missions!$2:$2,0)-MATCH($A$1,missions!$2:$2,0)+1,FALSE),IFERROR(VLOOKUP($A663,OFFSET(weekly_achievement_criterion_id,0,0,COUNTA($A:$A),MATCH(D$1,weekly_missions!$2:$2,0)-MATCH($A$1,weekly_missions!$2:$2,0)+1),MATCH(D$1,weekly_missions!$2:$2,0)-MATCH($A$1,weekly_missions!$2:$2,0)+1,FALSE),"＊missions 未設定＊"))</f>
        <v>ポリゴン x 4</v>
      </c>
      <c r="E663" s="27" t="s">
        <v>864</v>
      </c>
      <c r="F663" s="17" t="s">
        <v>22</v>
      </c>
      <c r="G663" s="26" t="str">
        <f ca="1">VLOOKUP($F663,OFFSET(達成条件!$A$1,0,0,COUNTA($A:$A),MATCH(G$1,達成条件!$1:$1,0)-MATCH($F$1,達成条件!$1:$1,0)+1),MATCH(G$1,達成条件!$1:$1,0)-MATCH($F$1,達成条件!$1:$1,0)+1,FALSE)</f>
        <v>マルチプレイを x 回プレイしよう！</v>
      </c>
      <c r="H663" s="26" t="str">
        <f ca="1">VLOOKUP($F663,OFFSET(達成条件!$A$1,0,0,COUNTA($A:$A),MATCH(H$1,達成条件!$1:$1,0)-MATCH($F$1,達成条件!$1:$1,0)+1),MATCH(H$1,達成条件!$1:$1,0)-MATCH($F$1,達成条件!$1:$1,0)+1,FALSE)</f>
        <v>マルチプレイプレイ回数</v>
      </c>
      <c r="I663" s="60" t="s">
        <v>1484</v>
      </c>
      <c r="J663" s="54" t="str">
        <f ca="1">IF(F663="specific_unit_aquired_count",SUBSTITUTE(G663,"x",VLOOKUP(INT($I663),OFFSET([3]characters!$A$2,0,0,COUNTA([3]characters!$A:$A),MATCH(J$1,[3]characters!$2:$2,0)-MATCH("character_id",[3]characters!$2:$2,0)+1),MATCH(J$1,[3]characters!$2:$2,0)-MATCH("character_id",[3]characters!$2:$2,0)+1,FALSE)),IF(F663="specific_quest_clear",VLOOKUP(SUBSTITUTE(I663,"-","_"),OFFSET([2]stages!$A$2,0,0,COUNTA([2]stages!$A:$A),MATCH("name",[2]stages!$2:$2,0)-MATCH("temp_stage",[2]stages!$2:$2,0)+1),MATCH("name",[2]stages!$2:$2,0)-MATCH("temp_stage",[2]stages!$2:$2,0)+1,FALSE),""))</f>
        <v/>
      </c>
      <c r="K663" s="15">
        <v>1</v>
      </c>
      <c r="L663" s="15" t="s">
        <v>542</v>
      </c>
      <c r="M663" s="26"/>
      <c r="N663" s="26"/>
    </row>
    <row r="664" spans="1:14" ht="21" customHeight="1" x14ac:dyDescent="0.15">
      <c r="A664" s="2" t="s">
        <v>698</v>
      </c>
      <c r="B664" s="21" t="s">
        <v>792</v>
      </c>
      <c r="C664" s="26" t="str">
        <f t="shared" ca="1" si="67"/>
        <v>通算 1 日ログインしよう！</v>
      </c>
      <c r="D664" s="26" t="str">
        <f ca="1">IFERROR(VLOOKUP($A664,OFFSET(achievement_criterion_id,0,0,COUNTA($A:$A),MATCH(D$1,missions!$2:$2,0)-MATCH($A$1,missions!$2:$2,0)+1),MATCH(D$1,missions!$2:$2,0)-MATCH($A$1,missions!$2:$2,0)+1,FALSE),IFERROR(VLOOKUP($A664,OFFSET(weekly_achievement_criterion_id,0,0,COUNTA($A:$A),MATCH(D$1,weekly_missions!$2:$2,0)-MATCH($A$1,weekly_missions!$2:$2,0)+1),MATCH(D$1,weekly_missions!$2:$2,0)-MATCH($A$1,weekly_missions!$2:$2,0)+1,FALSE),"＊missions 未設定＊"))</f>
        <v>攻めの果実 x 3</v>
      </c>
      <c r="E664" s="27" t="s">
        <v>864</v>
      </c>
      <c r="F664" s="17" t="s">
        <v>18</v>
      </c>
      <c r="G664" s="26" t="str">
        <f ca="1">VLOOKUP($F664,OFFSET(達成条件!$A$1,0,0,COUNTA($A:$A),MATCH(G$1,達成条件!$1:$1,0)-MATCH($F$1,達成条件!$1:$1,0)+1),MATCH(G$1,達成条件!$1:$1,0)-MATCH($F$1,達成条件!$1:$1,0)+1,FALSE)</f>
        <v>通算 x 日ログインしよう！</v>
      </c>
      <c r="H664" s="26" t="str">
        <f ca="1">VLOOKUP($F664,OFFSET(達成条件!$A$1,0,0,COUNTA($A:$A),MATCH(H$1,達成条件!$1:$1,0)-MATCH($F$1,達成条件!$1:$1,0)+1),MATCH(H$1,達成条件!$1:$1,0)-MATCH($F$1,達成条件!$1:$1,0)+1,FALSE)</f>
        <v>ログイン回数</v>
      </c>
      <c r="I664" s="60" t="s">
        <v>696</v>
      </c>
      <c r="J664" s="54" t="str">
        <f ca="1">IF(F664="specific_unit_aquired_count",SUBSTITUTE(G664,"x",VLOOKUP(INT($I664),OFFSET([3]characters!$A$2,0,0,COUNTA([3]characters!$A:$A),MATCH(J$1,[3]characters!$2:$2,0)-MATCH("character_id",[3]characters!$2:$2,0)+1),MATCH(J$1,[3]characters!$2:$2,0)-MATCH("character_id",[3]characters!$2:$2,0)+1,FALSE)),IF(F664="specific_quest_clear",VLOOKUP(SUBSTITUTE(I664,"-","_"),OFFSET([2]stages!$A$2,0,0,COUNTA([2]stages!$A:$A),MATCH("name",[2]stages!$2:$2,0)-MATCH("temp_stage",[2]stages!$2:$2,0)+1),MATCH("name",[2]stages!$2:$2,0)-MATCH("temp_stage",[2]stages!$2:$2,0)+1,FALSE),""))</f>
        <v/>
      </c>
      <c r="K664" s="15">
        <v>1</v>
      </c>
      <c r="L664" s="15" t="s">
        <v>542</v>
      </c>
      <c r="M664" s="26" t="str">
        <f ca="1">IFERROR(VLOOKUP($L666,OFFSET(missions!$A$2,0,0,COUNTA($A:$A),MATCH(M$1,missions!$2:$2,0)-MATCH("mission_id",missions!$2:$2,0)+1),MATCH(M$1,missions!$2:$2,0)-MATCH("mission_id",missions!$2:$2,0)+1,FALSE),"")</f>
        <v/>
      </c>
      <c r="N664" s="26" t="str">
        <f ca="1">IFERROR(VLOOKUP($L666,OFFSET(missions!$A$2,0,0,COUNTA($A:$A),MATCH(N$1,missions!$2:$2,0)-MATCH("mission_id",missions!$2:$2,0)+1),MATCH(N$1,missions!$2:$2,0)-MATCH("mission_id",missions!$2:$2,0)+1,FALSE),"")</f>
        <v/>
      </c>
    </row>
    <row r="665" spans="1:14" ht="21" customHeight="1" x14ac:dyDescent="0.15">
      <c r="A665" s="2" t="s">
        <v>699</v>
      </c>
      <c r="B665" s="21" t="s">
        <v>792</v>
      </c>
      <c r="C665" s="26" t="str">
        <f t="shared" ca="1" si="67"/>
        <v>通算 1 日ログインしよう！</v>
      </c>
      <c r="D665" s="26" t="str">
        <f ca="1">IFERROR(VLOOKUP($A665,OFFSET(achievement_criterion_id,0,0,COUNTA($A:$A),MATCH(D$1,missions!$2:$2,0)-MATCH($A$1,missions!$2:$2,0)+1),MATCH(D$1,missions!$2:$2,0)-MATCH($A$1,missions!$2:$2,0)+1,FALSE),IFERROR(VLOOKUP($A665,OFFSET(weekly_achievement_criterion_id,0,0,COUNTA($A:$A),MATCH(D$1,weekly_missions!$2:$2,0)-MATCH($A$1,weekly_missions!$2:$2,0)+1),MATCH(D$1,weekly_missions!$2:$2,0)-MATCH($A$1,weekly_missions!$2:$2,0)+1,FALSE),"＊missions 未設定＊"))</f>
        <v>生命の果実 x 3</v>
      </c>
      <c r="E665" s="27" t="s">
        <v>864</v>
      </c>
      <c r="F665" s="17" t="s">
        <v>18</v>
      </c>
      <c r="G665" s="26" t="str">
        <f ca="1">VLOOKUP($F665,OFFSET(達成条件!$A$1,0,0,COUNTA($A:$A),MATCH(G$1,達成条件!$1:$1,0)-MATCH($F$1,達成条件!$1:$1,0)+1),MATCH(G$1,達成条件!$1:$1,0)-MATCH($F$1,達成条件!$1:$1,0)+1,FALSE)</f>
        <v>通算 x 日ログインしよう！</v>
      </c>
      <c r="H665" s="26" t="str">
        <f ca="1">VLOOKUP($F665,OFFSET(達成条件!$A$1,0,0,COUNTA($A:$A),MATCH(H$1,達成条件!$1:$1,0)-MATCH($F$1,達成条件!$1:$1,0)+1),MATCH(H$1,達成条件!$1:$1,0)-MATCH($F$1,達成条件!$1:$1,0)+1,FALSE)</f>
        <v>ログイン回数</v>
      </c>
      <c r="I665" s="60" t="s">
        <v>697</v>
      </c>
      <c r="J665" s="54" t="str">
        <f ca="1">IF(F665="specific_unit_aquired_count",SUBSTITUTE(G665,"x",VLOOKUP(INT($I665),OFFSET([3]characters!$A$2,0,0,COUNTA([3]characters!$A:$A),MATCH(J$1,[3]characters!$2:$2,0)-MATCH("character_id",[3]characters!$2:$2,0)+1),MATCH(J$1,[3]characters!$2:$2,0)-MATCH("character_id",[3]characters!$2:$2,0)+1,FALSE)),IF(F665="specific_quest_clear",VLOOKUP(SUBSTITUTE(I665,"-","_"),OFFSET([2]stages!$A$2,0,0,COUNTA([2]stages!$A:$A),MATCH("name",[2]stages!$2:$2,0)-MATCH("temp_stage",[2]stages!$2:$2,0)+1),MATCH("name",[2]stages!$2:$2,0)-MATCH("temp_stage",[2]stages!$2:$2,0)+1,FALSE),""))</f>
        <v/>
      </c>
      <c r="K665" s="15">
        <v>1</v>
      </c>
      <c r="L665" s="15" t="s">
        <v>542</v>
      </c>
      <c r="M665" s="26" t="str">
        <f ca="1">IFERROR(VLOOKUP($L671,OFFSET(missions!$A$2,0,0,COUNTA($A:$A),MATCH(M$1,missions!$2:$2,0)-MATCH("mission_id",missions!$2:$2,0)+1),MATCH(M$1,missions!$2:$2,0)-MATCH("mission_id",missions!$2:$2,0)+1,FALSE),"")</f>
        <v/>
      </c>
      <c r="N665" s="26" t="str">
        <f ca="1">IFERROR(VLOOKUP($L671,OFFSET(missions!$A$2,0,0,COUNTA($A:$A),MATCH(N$1,missions!$2:$2,0)-MATCH("mission_id",missions!$2:$2,0)+1),MATCH(N$1,missions!$2:$2,0)-MATCH("mission_id",missions!$2:$2,0)+1,FALSE),"")</f>
        <v/>
      </c>
    </row>
    <row r="666" spans="1:14" ht="21" customHeight="1" x14ac:dyDescent="0.15">
      <c r="A666" s="2" t="s">
        <v>700</v>
      </c>
      <c r="B666" s="21" t="s">
        <v>792</v>
      </c>
      <c r="C666" s="26" t="str">
        <f t="shared" ca="1" si="67"/>
        <v>通算 1 日ログインしよう！</v>
      </c>
      <c r="D666" s="26" t="str">
        <f ca="1">IFERROR(VLOOKUP($A666,OFFSET(achievement_criterion_id,0,0,COUNTA($A:$A),MATCH(D$1,missions!$2:$2,0)-MATCH($A$1,missions!$2:$2,0)+1),MATCH(D$1,missions!$2:$2,0)-MATCH($A$1,missions!$2:$2,0)+1,FALSE),IFERROR(VLOOKUP($A666,OFFSET(weekly_achievement_criterion_id,0,0,COUNTA($A:$A),MATCH(D$1,weekly_missions!$2:$2,0)-MATCH($A$1,weekly_missions!$2:$2,0)+1),MATCH(D$1,weekly_missions!$2:$2,0)-MATCH($A$1,weekly_missions!$2:$2,0)+1,FALSE),"＊missions 未設定＊"))</f>
        <v>癒しの果実 x 3</v>
      </c>
      <c r="E666" s="27" t="s">
        <v>864</v>
      </c>
      <c r="F666" s="17" t="s">
        <v>18</v>
      </c>
      <c r="G666" s="26" t="str">
        <f ca="1">VLOOKUP($F666,OFFSET(達成条件!$A$1,0,0,COUNTA($A:$A),MATCH(G$1,達成条件!$1:$1,0)-MATCH($F$1,達成条件!$1:$1,0)+1),MATCH(G$1,達成条件!$1:$1,0)-MATCH($F$1,達成条件!$1:$1,0)+1,FALSE)</f>
        <v>通算 x 日ログインしよう！</v>
      </c>
      <c r="H666" s="26" t="str">
        <f ca="1">VLOOKUP($F666,OFFSET(達成条件!$A$1,0,0,COUNTA($A:$A),MATCH(H$1,達成条件!$1:$1,0)-MATCH($F$1,達成条件!$1:$1,0)+1),MATCH(H$1,達成条件!$1:$1,0)-MATCH($F$1,達成条件!$1:$1,0)+1,FALSE)</f>
        <v>ログイン回数</v>
      </c>
      <c r="I666" s="60" t="s">
        <v>696</v>
      </c>
      <c r="J666" s="54" t="str">
        <f ca="1">IF(F666="specific_unit_aquired_count",SUBSTITUTE(G666,"x",VLOOKUP(INT($I666),OFFSET([3]characters!$A$2,0,0,COUNTA([3]characters!$A:$A),MATCH(J$1,[3]characters!$2:$2,0)-MATCH("character_id",[3]characters!$2:$2,0)+1),MATCH(J$1,[3]characters!$2:$2,0)-MATCH("character_id",[3]characters!$2:$2,0)+1,FALSE)),IF(F666="specific_quest_clear",VLOOKUP(SUBSTITUTE(I666,"-","_"),OFFSET([2]stages!$A$2,0,0,COUNTA([2]stages!$A:$A),MATCH("name",[2]stages!$2:$2,0)-MATCH("temp_stage",[2]stages!$2:$2,0)+1),MATCH("name",[2]stages!$2:$2,0)-MATCH("temp_stage",[2]stages!$2:$2,0)+1,FALSE),""))</f>
        <v/>
      </c>
      <c r="K666" s="15">
        <v>1</v>
      </c>
      <c r="L666" s="15" t="s">
        <v>542</v>
      </c>
      <c r="M666" s="26" t="str">
        <f ca="1">IFERROR(VLOOKUP($L672,OFFSET(missions!$A$2,0,0,COUNTA($A:$A),MATCH(M$1,missions!$2:$2,0)-MATCH("mission_id",missions!$2:$2,0)+1),MATCH(M$1,missions!$2:$2,0)-MATCH("mission_id",missions!$2:$2,0)+1,FALSE),"")</f>
        <v/>
      </c>
      <c r="N666" s="26" t="str">
        <f ca="1">IFERROR(VLOOKUP($L672,OFFSET(missions!$A$2,0,0,COUNTA($A:$A),MATCH(N$1,missions!$2:$2,0)-MATCH("mission_id",missions!$2:$2,0)+1),MATCH(N$1,missions!$2:$2,0)-MATCH("mission_id",missions!$2:$2,0)+1,FALSE),"")</f>
        <v/>
      </c>
    </row>
    <row r="667" spans="1:14" ht="21" customHeight="1" x14ac:dyDescent="0.15">
      <c r="A667" s="2" t="s">
        <v>1466</v>
      </c>
      <c r="B667" s="21" t="s">
        <v>792</v>
      </c>
      <c r="C667" s="26" t="str">
        <f t="shared" ref="C667:C668" ca="1" si="89">IF(F667="specific_quest_clear",SUBSTITUTE(G667,"x",J667),IF(F667="specific_unit_aquired_count",SUBSTITUTE(J667,"y",K667),SUBSTITUTE(G667,"x",I667)))</f>
        <v>通算 1 日ログインしよう！</v>
      </c>
      <c r="D667" s="26" t="str">
        <f ca="1">IFERROR(VLOOKUP($A667,OFFSET(achievement_criterion_id,0,0,COUNTA($A:$A),MATCH(D$1,missions!$2:$2,0)-MATCH($A$1,missions!$2:$2,0)+1),MATCH(D$1,missions!$2:$2,0)-MATCH($A$1,missions!$2:$2,0)+1,FALSE),IFERROR(VLOOKUP($A667,OFFSET(weekly_achievement_criterion_id,0,0,COUNTA($A:$A),MATCH(D$1,weekly_missions!$2:$2,0)-MATCH($A$1,weekly_missions!$2:$2,0)+1),MATCH(D$1,weekly_missions!$2:$2,0)-MATCH($A$1,weekly_missions!$2:$2,0)+1,FALSE),"＊missions 未設定＊"))</f>
        <v>ビット x 100000</v>
      </c>
      <c r="E667" s="27" t="s">
        <v>864</v>
      </c>
      <c r="F667" s="17" t="s">
        <v>18</v>
      </c>
      <c r="G667" s="26" t="str">
        <f ca="1">VLOOKUP($F667,OFFSET(達成条件!$A$1,0,0,COUNTA($A:$A),MATCH(G$1,達成条件!$1:$1,0)-MATCH($F$1,達成条件!$1:$1,0)+1),MATCH(G$1,達成条件!$1:$1,0)-MATCH($F$1,達成条件!$1:$1,0)+1,FALSE)</f>
        <v>通算 x 日ログインしよう！</v>
      </c>
      <c r="H667" s="26" t="str">
        <f ca="1">VLOOKUP($F667,OFFSET(達成条件!$A$1,0,0,COUNTA($A:$A),MATCH(H$1,達成条件!$1:$1,0)-MATCH($F$1,達成条件!$1:$1,0)+1),MATCH(H$1,達成条件!$1:$1,0)-MATCH($F$1,達成条件!$1:$1,0)+1,FALSE)</f>
        <v>ログイン回数</v>
      </c>
      <c r="I667" s="60" t="s">
        <v>696</v>
      </c>
      <c r="J667" s="54" t="str">
        <f ca="1">IF(F667="specific_unit_aquired_count",SUBSTITUTE(G667,"x",VLOOKUP(INT($I667),OFFSET([3]characters!$A$2,0,0,COUNTA([3]characters!$A:$A),MATCH(J$1,[3]characters!$2:$2,0)-MATCH("character_id",[3]characters!$2:$2,0)+1),MATCH(J$1,[3]characters!$2:$2,0)-MATCH("character_id",[3]characters!$2:$2,0)+1,FALSE)),IF(F667="specific_quest_clear",VLOOKUP(SUBSTITUTE(I667,"-","_"),OFFSET([2]stages!$A$2,0,0,COUNTA([2]stages!$A:$A),MATCH("name",[2]stages!$2:$2,0)-MATCH("temp_stage",[2]stages!$2:$2,0)+1),MATCH("name",[2]stages!$2:$2,0)-MATCH("temp_stage",[2]stages!$2:$2,0)+1,FALSE),""))</f>
        <v/>
      </c>
      <c r="K667" s="15">
        <v>1</v>
      </c>
      <c r="L667" s="15" t="s">
        <v>542</v>
      </c>
      <c r="M667" s="26"/>
      <c r="N667" s="26"/>
    </row>
    <row r="668" spans="1:14" ht="21" customHeight="1" x14ac:dyDescent="0.15">
      <c r="A668" s="2" t="s">
        <v>1467</v>
      </c>
      <c r="B668" s="21" t="s">
        <v>792</v>
      </c>
      <c r="C668" s="26" t="str">
        <f t="shared" ca="1" si="89"/>
        <v>通算 2 日ログインしよう！</v>
      </c>
      <c r="D668" s="26" t="str">
        <f ca="1">IFERROR(VLOOKUP($A668,OFFSET(achievement_criterion_id,0,0,COUNTA($A:$A),MATCH(D$1,missions!$2:$2,0)-MATCH($A$1,missions!$2:$2,0)+1),MATCH(D$1,missions!$2:$2,0)-MATCH($A$1,missions!$2:$2,0)+1,FALSE),IFERROR(VLOOKUP($A668,OFFSET(weekly_achievement_criterion_id,0,0,COUNTA($A:$A),MATCH(D$1,weekly_missions!$2:$2,0)-MATCH($A$1,weekly_missions!$2:$2,0)+1),MATCH(D$1,weekly_missions!$2:$2,0)-MATCH($A$1,weekly_missions!$2:$2,0)+1,FALSE),"＊missions 未設定＊"))</f>
        <v>ビット x 200000</v>
      </c>
      <c r="E668" s="27" t="s">
        <v>864</v>
      </c>
      <c r="F668" s="17" t="s">
        <v>18</v>
      </c>
      <c r="G668" s="26" t="str">
        <f ca="1">VLOOKUP($F668,OFFSET(達成条件!$A$1,0,0,COUNTA($A:$A),MATCH(G$1,達成条件!$1:$1,0)-MATCH($F$1,達成条件!$1:$1,0)+1),MATCH(G$1,達成条件!$1:$1,0)-MATCH($F$1,達成条件!$1:$1,0)+1,FALSE)</f>
        <v>通算 x 日ログインしよう！</v>
      </c>
      <c r="H668" s="26" t="str">
        <f ca="1">VLOOKUP($F668,OFFSET(達成条件!$A$1,0,0,COUNTA($A:$A),MATCH(H$1,達成条件!$1:$1,0)-MATCH($F$1,達成条件!$1:$1,0)+1),MATCH(H$1,達成条件!$1:$1,0)-MATCH($F$1,達成条件!$1:$1,0)+1,FALSE)</f>
        <v>ログイン回数</v>
      </c>
      <c r="I668" s="60" t="s">
        <v>1459</v>
      </c>
      <c r="J668" s="54" t="str">
        <f ca="1">IF(F668="specific_unit_aquired_count",SUBSTITUTE(G668,"x",VLOOKUP(INT($I668),OFFSET([3]characters!$A$2,0,0,COUNTA([3]characters!$A:$A),MATCH(J$1,[3]characters!$2:$2,0)-MATCH("character_id",[3]characters!$2:$2,0)+1),MATCH(J$1,[3]characters!$2:$2,0)-MATCH("character_id",[3]characters!$2:$2,0)+1,FALSE)),IF(F668="specific_quest_clear",VLOOKUP(SUBSTITUTE(I668,"-","_"),OFFSET([2]stages!$A$2,0,0,COUNTA([2]stages!$A:$A),MATCH("name",[2]stages!$2:$2,0)-MATCH("temp_stage",[2]stages!$2:$2,0)+1),MATCH("name",[2]stages!$2:$2,0)-MATCH("temp_stage",[2]stages!$2:$2,0)+1,FALSE),""))</f>
        <v/>
      </c>
      <c r="K668" s="15">
        <v>1</v>
      </c>
      <c r="L668" s="15" t="s">
        <v>542</v>
      </c>
      <c r="M668" s="26"/>
      <c r="N668" s="26"/>
    </row>
    <row r="669" spans="1:14" ht="21" customHeight="1" x14ac:dyDescent="0.15">
      <c r="A669" s="116" t="s">
        <v>1818</v>
      </c>
      <c r="B669" s="21" t="s">
        <v>792</v>
      </c>
      <c r="C669" s="26" t="str">
        <f t="shared" ref="C669" ca="1" si="90">IF(F669="specific_quest_clear",SUBSTITUTE(G669,"x",J669),IF(F669="specific_unit_aquired_count",SUBSTITUTE(J669,"y",K669),SUBSTITUTE(G669,"x",I669)))</f>
        <v>通算 1 日ログインしよう！</v>
      </c>
      <c r="D669" s="26" t="str">
        <f ca="1">IFERROR(VLOOKUP($A669,OFFSET(achievement_criterion_id,0,0,COUNTA($A:$A),MATCH(D$1,missions!$2:$2,0)-MATCH($A$1,missions!$2:$2,0)+1),MATCH(D$1,missions!$2:$2,0)-MATCH($A$1,missions!$2:$2,0)+1,FALSE),IFERROR(VLOOKUP($A669,OFFSET(weekly_achievement_criterion_id,0,0,COUNTA($A:$A),MATCH(D$1,weekly_missions!$2:$2,0)-MATCH($A$1,weekly_missions!$2:$2,0)+1),MATCH(D$1,weekly_missions!$2:$2,0)-MATCH($A$1,weekly_missions!$2:$2,0)+1,FALSE),"＊missions 未設定＊"))</f>
        <v>メガ生命の果実 x 1</v>
      </c>
      <c r="E669" s="27" t="s">
        <v>864</v>
      </c>
      <c r="F669" s="17" t="s">
        <v>18</v>
      </c>
      <c r="G669" s="26" t="str">
        <f ca="1">VLOOKUP($F669,OFFSET(達成条件!$A$1,0,0,COUNTA($A:$A),MATCH(G$1,達成条件!$1:$1,0)-MATCH($F$1,達成条件!$1:$1,0)+1),MATCH(G$1,達成条件!$1:$1,0)-MATCH($F$1,達成条件!$1:$1,0)+1,FALSE)</f>
        <v>通算 x 日ログインしよう！</v>
      </c>
      <c r="H669" s="26" t="str">
        <f ca="1">VLOOKUP($F669,OFFSET(達成条件!$A$1,0,0,COUNTA($A:$A),MATCH(H$1,達成条件!$1:$1,0)-MATCH($F$1,達成条件!$1:$1,0)+1),MATCH(H$1,達成条件!$1:$1,0)-MATCH($F$1,達成条件!$1:$1,0)+1,FALSE)</f>
        <v>ログイン回数</v>
      </c>
      <c r="I669" s="60" t="s">
        <v>1819</v>
      </c>
      <c r="J669" s="54" t="str">
        <f ca="1">IF(F669="specific_unit_aquired_count",SUBSTITUTE(G669,"x",VLOOKUP(INT($I669),OFFSET([3]characters!$A$2,0,0,COUNTA([3]characters!$A:$A),MATCH(J$1,[3]characters!$2:$2,0)-MATCH("character_id",[3]characters!$2:$2,0)+1),MATCH(J$1,[3]characters!$2:$2,0)-MATCH("character_id",[3]characters!$2:$2,0)+1,FALSE)),IF(F669="specific_quest_clear",VLOOKUP(SUBSTITUTE(I669,"-","_"),OFFSET([2]stages!$A$2,0,0,COUNTA([2]stages!$A:$A),MATCH("name",[2]stages!$2:$2,0)-MATCH("temp_stage",[2]stages!$2:$2,0)+1),MATCH("name",[2]stages!$2:$2,0)-MATCH("temp_stage",[2]stages!$2:$2,0)+1,FALSE),""))</f>
        <v/>
      </c>
      <c r="K669" s="15">
        <v>1</v>
      </c>
      <c r="L669" s="15" t="s">
        <v>542</v>
      </c>
      <c r="M669" s="26"/>
      <c r="N669" s="26"/>
    </row>
    <row r="670" spans="1:14" ht="21" customHeight="1" x14ac:dyDescent="0.15">
      <c r="A670" s="116" t="s">
        <v>1822</v>
      </c>
      <c r="B670" s="21" t="s">
        <v>792</v>
      </c>
      <c r="C670" s="26" t="str">
        <f ca="1">IF(F670="specific_quest_clear",SUBSTITUTE(G670,"x",J670),IF(F670="specific_unit_aquired_count",SUBSTITUTE(J670,"y",K670),SUBSTITUTE(G670,"x",I670)))</f>
        <v>通算 2 日ログインしよう！</v>
      </c>
      <c r="D670" s="26" t="str">
        <f ca="1">IFERROR(VLOOKUP($A670,OFFSET(achievement_criterion_id,0,0,COUNTA($A:$A),MATCH(D$1,missions!$2:$2,0)-MATCH($A$1,missions!$2:$2,0)+1),MATCH(D$1,missions!$2:$2,0)-MATCH($A$1,missions!$2:$2,0)+1,FALSE),IFERROR(VLOOKUP($A670,OFFSET(weekly_achievement_criterion_id,0,0,COUNTA($A:$A),MATCH(D$1,weekly_missions!$2:$2,0)-MATCH($A$1,weekly_missions!$2:$2,0)+1),MATCH(D$1,weekly_missions!$2:$2,0)-MATCH($A$1,weekly_missions!$2:$2,0)+1,FALSE),"＊missions 未設定＊"))</f>
        <v>メガ癒しの果実 x 1</v>
      </c>
      <c r="E670" s="27" t="s">
        <v>864</v>
      </c>
      <c r="F670" s="17" t="s">
        <v>18</v>
      </c>
      <c r="G670" s="26" t="str">
        <f ca="1">VLOOKUP($F670,OFFSET(達成条件!$A$1,0,0,COUNTA($A:$A),MATCH(G$1,達成条件!$1:$1,0)-MATCH($F$1,達成条件!$1:$1,0)+1),MATCH(G$1,達成条件!$1:$1,0)-MATCH($F$1,達成条件!$1:$1,0)+1,FALSE)</f>
        <v>通算 x 日ログインしよう！</v>
      </c>
      <c r="H670" s="26" t="str">
        <f ca="1">VLOOKUP($F670,OFFSET(達成条件!$A$1,0,0,COUNTA($A:$A),MATCH(H$1,達成条件!$1:$1,0)-MATCH($F$1,達成条件!$1:$1,0)+1),MATCH(H$1,達成条件!$1:$1,0)-MATCH($F$1,達成条件!$1:$1,0)+1,FALSE)</f>
        <v>ログイン回数</v>
      </c>
      <c r="I670" s="60" t="s">
        <v>1823</v>
      </c>
      <c r="J670" s="54" t="str">
        <f ca="1">IF(F670="specific_unit_aquired_count",SUBSTITUTE(G670,"x",VLOOKUP(INT($I670),OFFSET([3]characters!$A$2,0,0,COUNTA([3]characters!$A:$A),MATCH(J$1,[3]characters!$2:$2,0)-MATCH("character_id",[3]characters!$2:$2,0)+1),MATCH(J$1,[3]characters!$2:$2,0)-MATCH("character_id",[3]characters!$2:$2,0)+1,FALSE)),IF(F670="specific_quest_clear",VLOOKUP(SUBSTITUTE(I670,"-","_"),OFFSET([2]stages!$A$2,0,0,COUNTA([2]stages!$A:$A),MATCH("name",[2]stages!$2:$2,0)-MATCH("temp_stage",[2]stages!$2:$2,0)+1),MATCH("name",[2]stages!$2:$2,0)-MATCH("temp_stage",[2]stages!$2:$2,0)+1,FALSE),""))</f>
        <v/>
      </c>
      <c r="K670" s="15">
        <v>1</v>
      </c>
      <c r="L670" s="15" t="s">
        <v>542</v>
      </c>
      <c r="M670" s="26"/>
      <c r="N670" s="26"/>
    </row>
    <row r="671" spans="1:14" ht="21" customHeight="1" x14ac:dyDescent="0.15">
      <c r="A671" s="2" t="s">
        <v>652</v>
      </c>
      <c r="B671" s="21" t="s">
        <v>792</v>
      </c>
      <c r="C671" s="26" t="str">
        <f t="shared" ca="1" si="64"/>
        <v>通算 3 日ログインしよう！</v>
      </c>
      <c r="D671" s="26" t="str">
        <f ca="1">IFERROR(VLOOKUP($A671,OFFSET(achievement_criterion_id,0,0,COUNTA($A:$A),MATCH(D$1,missions!$2:$2,0)-MATCH($A$1,missions!$2:$2,0)+1),MATCH(D$1,missions!$2:$2,0)-MATCH($A$1,missions!$2:$2,0)+1,FALSE),IFERROR(VLOOKUP($A671,OFFSET(weekly_achievement_criterion_id,0,0,COUNTA($A:$A),MATCH(D$1,weekly_missions!$2:$2,0)-MATCH($A$1,weekly_missions!$2:$2,0)+1),MATCH(D$1,weekly_missions!$2:$2,0)-MATCH($A$1,weekly_missions!$2:$2,0)+1,FALSE),"＊missions 未設定＊"))</f>
        <v>生命の果実 x 1</v>
      </c>
      <c r="E671" s="27" t="s">
        <v>864</v>
      </c>
      <c r="F671" s="17" t="s">
        <v>18</v>
      </c>
      <c r="G671" s="26" t="str">
        <f ca="1">VLOOKUP($F671,OFFSET(達成条件!$A$1,0,0,COUNTA($A:$A),MATCH(G$1,達成条件!$1:$1,0)-MATCH($F$1,達成条件!$1:$1,0)+1),MATCH(G$1,達成条件!$1:$1,0)-MATCH($F$1,達成条件!$1:$1,0)+1,FALSE)</f>
        <v>通算 x 日ログインしよう！</v>
      </c>
      <c r="H671" s="26" t="str">
        <f ca="1">VLOOKUP($F671,OFFSET(達成条件!$A$1,0,0,COUNTA($A:$A),MATCH(H$1,達成条件!$1:$1,0)-MATCH($F$1,達成条件!$1:$1,0)+1),MATCH(H$1,達成条件!$1:$1,0)-MATCH($F$1,達成条件!$1:$1,0)+1,FALSE)</f>
        <v>ログイン回数</v>
      </c>
      <c r="I671" s="60" t="s">
        <v>624</v>
      </c>
      <c r="J671" s="54" t="str">
        <f ca="1">IF(F671="specific_unit_aquired_count",SUBSTITUTE(G671,"x",VLOOKUP(INT($I671),OFFSET([3]characters!$A$2,0,0,COUNTA([3]characters!$A:$A),MATCH(J$1,[3]characters!$2:$2,0)-MATCH("character_id",[3]characters!$2:$2,0)+1),MATCH(J$1,[3]characters!$2:$2,0)-MATCH("character_id",[3]characters!$2:$2,0)+1,FALSE)),IF(F671="specific_quest_clear",VLOOKUP(SUBSTITUTE(I671,"-","_"),OFFSET([2]stages!$A$2,0,0,COUNTA([2]stages!$A:$A),MATCH("name",[2]stages!$2:$2,0)-MATCH("temp_stage",[2]stages!$2:$2,0)+1),MATCH("name",[2]stages!$2:$2,0)-MATCH("temp_stage",[2]stages!$2:$2,0)+1,FALSE),""))</f>
        <v/>
      </c>
      <c r="K671" s="15">
        <v>1</v>
      </c>
      <c r="L671" s="15" t="s">
        <v>542</v>
      </c>
      <c r="M671" s="26" t="str">
        <f ca="1">IFERROR(VLOOKUP($L673,OFFSET(missions!$A$2,0,0,COUNTA($A:$A),MATCH(M$1,missions!$2:$2,0)-MATCH("mission_id",missions!$2:$2,0)+1),MATCH(M$1,missions!$2:$2,0)-MATCH("mission_id",missions!$2:$2,0)+1,FALSE),"")</f>
        <v/>
      </c>
      <c r="N671" s="26" t="str">
        <f ca="1">IFERROR(VLOOKUP($L673,OFFSET(missions!$A$2,0,0,COUNTA($A:$A),MATCH(N$1,missions!$2:$2,0)-MATCH("mission_id",missions!$2:$2,0)+1),MATCH(N$1,missions!$2:$2,0)-MATCH("mission_id",missions!$2:$2,0)+1,FALSE),"")</f>
        <v/>
      </c>
    </row>
    <row r="672" spans="1:14" ht="21" customHeight="1" x14ac:dyDescent="0.15">
      <c r="A672" s="2" t="s">
        <v>653</v>
      </c>
      <c r="B672" s="21" t="s">
        <v>792</v>
      </c>
      <c r="C672" s="26" t="str">
        <f t="shared" ca="1" si="64"/>
        <v>通算 3 日ログインしよう！</v>
      </c>
      <c r="D672" s="26" t="str">
        <f ca="1">IFERROR(VLOOKUP($A672,OFFSET(achievement_criterion_id,0,0,COUNTA($A:$A),MATCH(D$1,missions!$2:$2,0)-MATCH($A$1,missions!$2:$2,0)+1),MATCH(D$1,missions!$2:$2,0)-MATCH($A$1,missions!$2:$2,0)+1,FALSE),IFERROR(VLOOKUP($A672,OFFSET(weekly_achievement_criterion_id,0,0,COUNTA($A:$A),MATCH(D$1,weekly_missions!$2:$2,0)-MATCH($A$1,weekly_missions!$2:$2,0)+1),MATCH(D$1,weekly_missions!$2:$2,0)-MATCH($A$1,weekly_missions!$2:$2,0)+1,FALSE),"＊missions 未設定＊"))</f>
        <v>癒しの果実 x 1</v>
      </c>
      <c r="E672" s="27" t="s">
        <v>864</v>
      </c>
      <c r="F672" s="17" t="s">
        <v>18</v>
      </c>
      <c r="G672" s="26" t="str">
        <f ca="1">VLOOKUP($F672,OFFSET(達成条件!$A$1,0,0,COUNTA($A:$A),MATCH(G$1,達成条件!$1:$1,0)-MATCH($F$1,達成条件!$1:$1,0)+1),MATCH(G$1,達成条件!$1:$1,0)-MATCH($F$1,達成条件!$1:$1,0)+1,FALSE)</f>
        <v>通算 x 日ログインしよう！</v>
      </c>
      <c r="H672" s="26" t="str">
        <f ca="1">VLOOKUP($F672,OFFSET(達成条件!$A$1,0,0,COUNTA($A:$A),MATCH(H$1,達成条件!$1:$1,0)-MATCH($F$1,達成条件!$1:$1,0)+1),MATCH(H$1,達成条件!$1:$1,0)-MATCH($F$1,達成条件!$1:$1,0)+1,FALSE)</f>
        <v>ログイン回数</v>
      </c>
      <c r="I672" s="60" t="s">
        <v>624</v>
      </c>
      <c r="J672" s="54" t="str">
        <f ca="1">IF(F672="specific_unit_aquired_count",SUBSTITUTE(G672,"x",VLOOKUP(INT($I672),OFFSET([3]characters!$A$2,0,0,COUNTA([3]characters!$A:$A),MATCH(J$1,[3]characters!$2:$2,0)-MATCH("character_id",[3]characters!$2:$2,0)+1),MATCH(J$1,[3]characters!$2:$2,0)-MATCH("character_id",[3]characters!$2:$2,0)+1,FALSE)),IF(F672="specific_quest_clear",VLOOKUP(SUBSTITUTE(I672,"-","_"),OFFSET([2]stages!$A$2,0,0,COUNTA([2]stages!$A:$A),MATCH("name",[2]stages!$2:$2,0)-MATCH("temp_stage",[2]stages!$2:$2,0)+1),MATCH("name",[2]stages!$2:$2,0)-MATCH("temp_stage",[2]stages!$2:$2,0)+1,FALSE),""))</f>
        <v/>
      </c>
      <c r="K672" s="15">
        <v>1</v>
      </c>
      <c r="L672" s="15" t="s">
        <v>542</v>
      </c>
      <c r="M672" s="26" t="str">
        <f ca="1">IFERROR(VLOOKUP($L674,OFFSET(missions!$A$2,0,0,COUNTA($A:$A),MATCH(M$1,missions!$2:$2,0)-MATCH("mission_id",missions!$2:$2,0)+1),MATCH(M$1,missions!$2:$2,0)-MATCH("mission_id",missions!$2:$2,0)+1,FALSE),"")</f>
        <v/>
      </c>
      <c r="N672" s="26" t="str">
        <f ca="1">IFERROR(VLOOKUP($L674,OFFSET(missions!$A$2,0,0,COUNTA($A:$A),MATCH(N$1,missions!$2:$2,0)-MATCH("mission_id",missions!$2:$2,0)+1),MATCH(N$1,missions!$2:$2,0)-MATCH("mission_id",missions!$2:$2,0)+1,FALSE),"")</f>
        <v/>
      </c>
    </row>
    <row r="673" spans="1:14" ht="21" customHeight="1" x14ac:dyDescent="0.15">
      <c r="A673" s="2" t="s">
        <v>654</v>
      </c>
      <c r="B673" s="21" t="s">
        <v>792</v>
      </c>
      <c r="C673" s="26" t="str">
        <f t="shared" ca="1" si="64"/>
        <v>通算 3 日ログインしよう！</v>
      </c>
      <c r="D673" s="26" t="str">
        <f ca="1">IFERROR(VLOOKUP($A673,OFFSET(achievement_criterion_id,0,0,COUNTA($A:$A),MATCH(D$1,missions!$2:$2,0)-MATCH($A$1,missions!$2:$2,0)+1),MATCH(D$1,missions!$2:$2,0)-MATCH($A$1,missions!$2:$2,0)+1,FALSE),IFERROR(VLOOKUP($A673,OFFSET(weekly_achievement_criterion_id,0,0,COUNTA($A:$A),MATCH(D$1,weekly_missions!$2:$2,0)-MATCH($A$1,weekly_missions!$2:$2,0)+1),MATCH(D$1,weekly_missions!$2:$2,0)-MATCH($A$1,weekly_missions!$2:$2,0)+1,FALSE),"＊missions 未設定＊"))</f>
        <v>攻めの果実 x 1</v>
      </c>
      <c r="E673" s="27" t="s">
        <v>864</v>
      </c>
      <c r="F673" s="17" t="s">
        <v>18</v>
      </c>
      <c r="G673" s="26" t="str">
        <f ca="1">VLOOKUP($F673,OFFSET(達成条件!$A$1,0,0,COUNTA($A:$A),MATCH(G$1,達成条件!$1:$1,0)-MATCH($F$1,達成条件!$1:$1,0)+1),MATCH(G$1,達成条件!$1:$1,0)-MATCH($F$1,達成条件!$1:$1,0)+1,FALSE)</f>
        <v>通算 x 日ログインしよう！</v>
      </c>
      <c r="H673" s="26" t="str">
        <f ca="1">VLOOKUP($F673,OFFSET(達成条件!$A$1,0,0,COUNTA($A:$A),MATCH(H$1,達成条件!$1:$1,0)-MATCH($F$1,達成条件!$1:$1,0)+1),MATCH(H$1,達成条件!$1:$1,0)-MATCH($F$1,達成条件!$1:$1,0)+1,FALSE)</f>
        <v>ログイン回数</v>
      </c>
      <c r="I673" s="60" t="s">
        <v>655</v>
      </c>
      <c r="J673" s="54" t="str">
        <f ca="1">IF(F673="specific_unit_aquired_count",SUBSTITUTE(G673,"x",VLOOKUP(INT($I673),OFFSET([3]characters!$A$2,0,0,COUNTA([3]characters!$A:$A),MATCH(J$1,[3]characters!$2:$2,0)-MATCH("character_id",[3]characters!$2:$2,0)+1),MATCH(J$1,[3]characters!$2:$2,0)-MATCH("character_id",[3]characters!$2:$2,0)+1,FALSE)),IF(F673="specific_quest_clear",VLOOKUP(SUBSTITUTE(I673,"-","_"),OFFSET([2]stages!$A$2,0,0,COUNTA([2]stages!$A:$A),MATCH("name",[2]stages!$2:$2,0)-MATCH("temp_stage",[2]stages!$2:$2,0)+1),MATCH("name",[2]stages!$2:$2,0)-MATCH("temp_stage",[2]stages!$2:$2,0)+1,FALSE),""))</f>
        <v/>
      </c>
      <c r="K673" s="15">
        <v>1</v>
      </c>
      <c r="L673" s="15" t="s">
        <v>542</v>
      </c>
      <c r="M673" s="26" t="str">
        <f ca="1">IFERROR(VLOOKUP($L675,OFFSET(missions!$A$2,0,0,COUNTA($A:$A),MATCH(M$1,missions!$2:$2,0)-MATCH("mission_id",missions!$2:$2,0)+1),MATCH(M$1,missions!$2:$2,0)-MATCH("mission_id",missions!$2:$2,0)+1,FALSE),"")</f>
        <v/>
      </c>
      <c r="N673" s="26" t="str">
        <f ca="1">IFERROR(VLOOKUP($L675,OFFSET(missions!$A$2,0,0,COUNTA($A:$A),MATCH(N$1,missions!$2:$2,0)-MATCH("mission_id",missions!$2:$2,0)+1),MATCH(N$1,missions!$2:$2,0)-MATCH("mission_id",missions!$2:$2,0)+1,FALSE),"")</f>
        <v/>
      </c>
    </row>
    <row r="674" spans="1:14" ht="21" customHeight="1" x14ac:dyDescent="0.15">
      <c r="A674" s="2" t="s">
        <v>704</v>
      </c>
      <c r="B674" s="21" t="s">
        <v>792</v>
      </c>
      <c r="C674" s="26" t="str">
        <f t="shared" ref="C674:C681" ca="1" si="91">IF(F674="specific_quest_clear",SUBSTITUTE(G674,"x",J674),IF(F674="specific_unit_aquired_count",SUBSTITUTE(J674,"y",K674),SUBSTITUTE(G674,"x",I674)))</f>
        <v>通算 3 日ログインしよう！</v>
      </c>
      <c r="D674" s="26" t="str">
        <f ca="1">IFERROR(VLOOKUP($A674,OFFSET(achievement_criterion_id,0,0,COUNTA($A:$A),MATCH(D$1,missions!$2:$2,0)-MATCH($A$1,missions!$2:$2,0)+1),MATCH(D$1,missions!$2:$2,0)-MATCH($A$1,missions!$2:$2,0)+1,FALSE),IFERROR(VLOOKUP($A674,OFFSET(weekly_achievement_criterion_id,0,0,COUNTA($A:$A),MATCH(D$1,weekly_missions!$2:$2,0)-MATCH($A$1,weekly_missions!$2:$2,0)+1),MATCH(D$1,weekly_missions!$2:$2,0)-MATCH($A$1,weekly_missions!$2:$2,0)+1,FALSE),"＊missions 未設定＊"))</f>
        <v>生命の果実 x 3</v>
      </c>
      <c r="E674" s="27" t="s">
        <v>864</v>
      </c>
      <c r="F674" s="17" t="s">
        <v>18</v>
      </c>
      <c r="G674" s="26" t="str">
        <f ca="1">VLOOKUP($F674,OFFSET(達成条件!$A$1,0,0,COUNTA($A:$A),MATCH(G$1,達成条件!$1:$1,0)-MATCH($F$1,達成条件!$1:$1,0)+1),MATCH(G$1,達成条件!$1:$1,0)-MATCH($F$1,達成条件!$1:$1,0)+1,FALSE)</f>
        <v>通算 x 日ログインしよう！</v>
      </c>
      <c r="H674" s="26" t="str">
        <f ca="1">VLOOKUP($F674,OFFSET(達成条件!$A$1,0,0,COUNTA($A:$A),MATCH(H$1,達成条件!$1:$1,0)-MATCH($F$1,達成条件!$1:$1,0)+1),MATCH(H$1,達成条件!$1:$1,0)-MATCH($F$1,達成条件!$1:$1,0)+1,FALSE)</f>
        <v>ログイン回数</v>
      </c>
      <c r="I674" s="60" t="s">
        <v>624</v>
      </c>
      <c r="J674" s="54" t="str">
        <f ca="1">IF(F674="specific_unit_aquired_count",SUBSTITUTE(G674,"x",VLOOKUP(INT($I674),OFFSET([3]characters!$A$2,0,0,COUNTA([3]characters!$A:$A),MATCH(J$1,[3]characters!$2:$2,0)-MATCH("character_id",[3]characters!$2:$2,0)+1),MATCH(J$1,[3]characters!$2:$2,0)-MATCH("character_id",[3]characters!$2:$2,0)+1,FALSE)),IF(F674="specific_quest_clear",VLOOKUP(SUBSTITUTE(I674,"-","_"),OFFSET([2]stages!$A$2,0,0,COUNTA([2]stages!$A:$A),MATCH("name",[2]stages!$2:$2,0)-MATCH("temp_stage",[2]stages!$2:$2,0)+1),MATCH("name",[2]stages!$2:$2,0)-MATCH("temp_stage",[2]stages!$2:$2,0)+1,FALSE),""))</f>
        <v/>
      </c>
      <c r="K674" s="15">
        <v>1</v>
      </c>
      <c r="L674" s="15" t="s">
        <v>542</v>
      </c>
      <c r="M674" s="26" t="str">
        <f ca="1">IFERROR(VLOOKUP($L676,OFFSET(missions!$A$2,0,0,COUNTA($A:$A),MATCH(M$1,missions!$2:$2,0)-MATCH("mission_id",missions!$2:$2,0)+1),MATCH(M$1,missions!$2:$2,0)-MATCH("mission_id",missions!$2:$2,0)+1,FALSE),"")</f>
        <v/>
      </c>
      <c r="N674" s="26" t="str">
        <f ca="1">IFERROR(VLOOKUP($L676,OFFSET(missions!$A$2,0,0,COUNTA($A:$A),MATCH(N$1,missions!$2:$2,0)-MATCH("mission_id",missions!$2:$2,0)+1),MATCH(N$1,missions!$2:$2,0)-MATCH("mission_id",missions!$2:$2,0)+1,FALSE),"")</f>
        <v/>
      </c>
    </row>
    <row r="675" spans="1:14" ht="21" customHeight="1" x14ac:dyDescent="0.15">
      <c r="A675" s="2" t="s">
        <v>705</v>
      </c>
      <c r="B675" s="21" t="s">
        <v>792</v>
      </c>
      <c r="C675" s="26" t="str">
        <f t="shared" ca="1" si="91"/>
        <v>通算 3 日ログインしよう！</v>
      </c>
      <c r="D675" s="26" t="str">
        <f ca="1">IFERROR(VLOOKUP($A675,OFFSET(achievement_criterion_id,0,0,COUNTA($A:$A),MATCH(D$1,missions!$2:$2,0)-MATCH($A$1,missions!$2:$2,0)+1),MATCH(D$1,missions!$2:$2,0)-MATCH($A$1,missions!$2:$2,0)+1,FALSE),IFERROR(VLOOKUP($A675,OFFSET(weekly_achievement_criterion_id,0,0,COUNTA($A:$A),MATCH(D$1,weekly_missions!$2:$2,0)-MATCH($A$1,weekly_missions!$2:$2,0)+1),MATCH(D$1,weekly_missions!$2:$2,0)-MATCH($A$1,weekly_missions!$2:$2,0)+1,FALSE),"＊missions 未設定＊"))</f>
        <v>癒しの果実 x 3</v>
      </c>
      <c r="E675" s="27" t="s">
        <v>864</v>
      </c>
      <c r="F675" s="17" t="s">
        <v>18</v>
      </c>
      <c r="G675" s="26" t="str">
        <f ca="1">VLOOKUP($F675,OFFSET(達成条件!$A$1,0,0,COUNTA($A:$A),MATCH(G$1,達成条件!$1:$1,0)-MATCH($F$1,達成条件!$1:$1,0)+1),MATCH(G$1,達成条件!$1:$1,0)-MATCH($F$1,達成条件!$1:$1,0)+1,FALSE)</f>
        <v>通算 x 日ログインしよう！</v>
      </c>
      <c r="H675" s="26" t="str">
        <f ca="1">VLOOKUP($F675,OFFSET(達成条件!$A$1,0,0,COUNTA($A:$A),MATCH(H$1,達成条件!$1:$1,0)-MATCH($F$1,達成条件!$1:$1,0)+1),MATCH(H$1,達成条件!$1:$1,0)-MATCH($F$1,達成条件!$1:$1,0)+1,FALSE)</f>
        <v>ログイン回数</v>
      </c>
      <c r="I675" s="60" t="s">
        <v>624</v>
      </c>
      <c r="J675" s="54" t="str">
        <f ca="1">IF(F675="specific_unit_aquired_count",SUBSTITUTE(G675,"x",VLOOKUP(INT($I675),OFFSET([3]characters!$A$2,0,0,COUNTA([3]characters!$A:$A),MATCH(J$1,[3]characters!$2:$2,0)-MATCH("character_id",[3]characters!$2:$2,0)+1),MATCH(J$1,[3]characters!$2:$2,0)-MATCH("character_id",[3]characters!$2:$2,0)+1,FALSE)),IF(F675="specific_quest_clear",VLOOKUP(SUBSTITUTE(I675,"-","_"),OFFSET([2]stages!$A$2,0,0,COUNTA([2]stages!$A:$A),MATCH("name",[2]stages!$2:$2,0)-MATCH("temp_stage",[2]stages!$2:$2,0)+1),MATCH("name",[2]stages!$2:$2,0)-MATCH("temp_stage",[2]stages!$2:$2,0)+1,FALSE),""))</f>
        <v/>
      </c>
      <c r="K675" s="15">
        <v>1</v>
      </c>
      <c r="L675" s="15" t="s">
        <v>542</v>
      </c>
      <c r="M675" s="26" t="str">
        <f ca="1">IFERROR(VLOOKUP($L682,OFFSET(missions!$A$2,0,0,COUNTA($A:$A),MATCH(M$1,missions!$2:$2,0)-MATCH("mission_id",missions!$2:$2,0)+1),MATCH(M$1,missions!$2:$2,0)-MATCH("mission_id",missions!$2:$2,0)+1,FALSE),"")</f>
        <v/>
      </c>
      <c r="N675" s="26" t="str">
        <f ca="1">IFERROR(VLOOKUP($L682,OFFSET(missions!$A$2,0,0,COUNTA($A:$A),MATCH(N$1,missions!$2:$2,0)-MATCH("mission_id",missions!$2:$2,0)+1),MATCH(N$1,missions!$2:$2,0)-MATCH("mission_id",missions!$2:$2,0)+1,FALSE),"")</f>
        <v/>
      </c>
    </row>
    <row r="676" spans="1:14" ht="21" customHeight="1" x14ac:dyDescent="0.15">
      <c r="A676" s="2" t="s">
        <v>1468</v>
      </c>
      <c r="B676" s="21" t="s">
        <v>792</v>
      </c>
      <c r="C676" s="26" t="str">
        <f t="shared" ca="1" si="91"/>
        <v>通算 3 日ログインしよう！</v>
      </c>
      <c r="D676" s="26" t="str">
        <f ca="1">IFERROR(VLOOKUP($A676,OFFSET(achievement_criterion_id,0,0,COUNTA($A:$A),MATCH(D$1,missions!$2:$2,0)-MATCH($A$1,missions!$2:$2,0)+1),MATCH(D$1,missions!$2:$2,0)-MATCH($A$1,missions!$2:$2,0)+1,FALSE),IFERROR(VLOOKUP($A676,OFFSET(weekly_achievement_criterion_id,0,0,COUNTA($A:$A),MATCH(D$1,weekly_missions!$2:$2,0)-MATCH($A$1,weekly_missions!$2:$2,0)+1),MATCH(D$1,weekly_missions!$2:$2,0)-MATCH($A$1,weekly_missions!$2:$2,0)+1,FALSE),"＊missions 未設定＊"))</f>
        <v>攻めの果実 x 3</v>
      </c>
      <c r="E676" s="27" t="s">
        <v>864</v>
      </c>
      <c r="F676" s="17" t="s">
        <v>18</v>
      </c>
      <c r="G676" s="26" t="str">
        <f ca="1">VLOOKUP($F676,OFFSET(達成条件!$A$1,0,0,COUNTA($A:$A),MATCH(G$1,達成条件!$1:$1,0)-MATCH($F$1,達成条件!$1:$1,0)+1),MATCH(G$1,達成条件!$1:$1,0)-MATCH($F$1,達成条件!$1:$1,0)+1,FALSE)</f>
        <v>通算 x 日ログインしよう！</v>
      </c>
      <c r="H676" s="26" t="str">
        <f ca="1">VLOOKUP($F676,OFFSET(達成条件!$A$1,0,0,COUNTA($A:$A),MATCH(H$1,達成条件!$1:$1,0)-MATCH($F$1,達成条件!$1:$1,0)+1),MATCH(H$1,達成条件!$1:$1,0)-MATCH($F$1,達成条件!$1:$1,0)+1,FALSE)</f>
        <v>ログイン回数</v>
      </c>
      <c r="I676" s="60" t="s">
        <v>624</v>
      </c>
      <c r="J676" s="54" t="str">
        <f ca="1">IF(F676="specific_unit_aquired_count",SUBSTITUTE(G676,"x",VLOOKUP(INT($I676),OFFSET([3]characters!$A$2,0,0,COUNTA([3]characters!$A:$A),MATCH(J$1,[3]characters!$2:$2,0)-MATCH("character_id",[3]characters!$2:$2,0)+1),MATCH(J$1,[3]characters!$2:$2,0)-MATCH("character_id",[3]characters!$2:$2,0)+1,FALSE)),IF(F676="specific_quest_clear",VLOOKUP(SUBSTITUTE(I676,"-","_"),OFFSET([2]stages!$A$2,0,0,COUNTA([2]stages!$A:$A),MATCH("name",[2]stages!$2:$2,0)-MATCH("temp_stage",[2]stages!$2:$2,0)+1),MATCH("name",[2]stages!$2:$2,0)-MATCH("temp_stage",[2]stages!$2:$2,0)+1,FALSE),""))</f>
        <v/>
      </c>
      <c r="K676" s="15">
        <v>1</v>
      </c>
      <c r="L676" s="15" t="s">
        <v>542</v>
      </c>
      <c r="M676" s="26" t="str">
        <f ca="1">IFERROR(VLOOKUP($L683,OFFSET(missions!$A$2,0,0,COUNTA($A:$A),MATCH(M$1,missions!$2:$2,0)-MATCH("mission_id",missions!$2:$2,0)+1),MATCH(M$1,missions!$2:$2,0)-MATCH("mission_id",missions!$2:$2,0)+1,FALSE),"")</f>
        <v/>
      </c>
      <c r="N676" s="26" t="str">
        <f ca="1">IFERROR(VLOOKUP($L683,OFFSET(missions!$A$2,0,0,COUNTA($A:$A),MATCH(N$1,missions!$2:$2,0)-MATCH("mission_id",missions!$2:$2,0)+1),MATCH(N$1,missions!$2:$2,0)-MATCH("mission_id",missions!$2:$2,0)+1,FALSE),"")</f>
        <v/>
      </c>
    </row>
    <row r="677" spans="1:14" ht="21" customHeight="1" x14ac:dyDescent="0.15">
      <c r="A677" s="2" t="s">
        <v>1826</v>
      </c>
      <c r="B677" s="21" t="s">
        <v>792</v>
      </c>
      <c r="C677" s="26" t="str">
        <f t="shared" ca="1" si="91"/>
        <v>通算 3 日ログインしよう！</v>
      </c>
      <c r="D677" s="26" t="str">
        <f ca="1">IFERROR(VLOOKUP($A677,OFFSET(achievement_criterion_id,0,0,COUNTA($A:$A),MATCH(D$1,missions!$2:$2,0)-MATCH($A$1,missions!$2:$2,0)+1),MATCH(D$1,missions!$2:$2,0)-MATCH($A$1,missions!$2:$2,0)+1,FALSE),IFERROR(VLOOKUP($A677,OFFSET(weekly_achievement_criterion_id,0,0,COUNTA($A:$A),MATCH(D$1,weekly_missions!$2:$2,0)-MATCH($A$1,weekly_missions!$2:$2,0)+1),MATCH(D$1,weekly_missions!$2:$2,0)-MATCH($A$1,weekly_missions!$2:$2,0)+1,FALSE),"＊missions 未設定＊"))</f>
        <v>ビット x 300000</v>
      </c>
      <c r="E677" s="27" t="s">
        <v>864</v>
      </c>
      <c r="F677" s="17" t="s">
        <v>18</v>
      </c>
      <c r="G677" s="26" t="str">
        <f ca="1">VLOOKUP($F677,OFFSET(達成条件!$A$1,0,0,COUNTA($A:$A),MATCH(G$1,達成条件!$1:$1,0)-MATCH($F$1,達成条件!$1:$1,0)+1),MATCH(G$1,達成条件!$1:$1,0)-MATCH($F$1,達成条件!$1:$1,0)+1,FALSE)</f>
        <v>通算 x 日ログインしよう！</v>
      </c>
      <c r="H677" s="26" t="str">
        <f ca="1">VLOOKUP($F677,OFFSET(達成条件!$A$1,0,0,COUNTA($A:$A),MATCH(H$1,達成条件!$1:$1,0)-MATCH($F$1,達成条件!$1:$1,0)+1),MATCH(H$1,達成条件!$1:$1,0)-MATCH($F$1,達成条件!$1:$1,0)+1,FALSE)</f>
        <v>ログイン回数</v>
      </c>
      <c r="I677" s="60" t="s">
        <v>1460</v>
      </c>
      <c r="J677" s="54" t="str">
        <f ca="1">IF(F677="specific_unit_aquired_count",SUBSTITUTE(G677,"x",VLOOKUP(INT($I677),OFFSET([3]characters!$A$2,0,0,COUNTA([3]characters!$A:$A),MATCH(J$1,[3]characters!$2:$2,0)-MATCH("character_id",[3]characters!$2:$2,0)+1),MATCH(J$1,[3]characters!$2:$2,0)-MATCH("character_id",[3]characters!$2:$2,0)+1,FALSE)),IF(F677="specific_quest_clear",VLOOKUP(SUBSTITUTE(I677,"-","_"),OFFSET([2]stages!$A$2,0,0,COUNTA([2]stages!$A:$A),MATCH("name",[2]stages!$2:$2,0)-MATCH("temp_stage",[2]stages!$2:$2,0)+1),MATCH("name",[2]stages!$2:$2,0)-MATCH("temp_stage",[2]stages!$2:$2,0)+1,FALSE),""))</f>
        <v/>
      </c>
      <c r="K677" s="15">
        <v>1</v>
      </c>
      <c r="L677" s="15" t="s">
        <v>542</v>
      </c>
      <c r="M677" s="26"/>
      <c r="N677" s="26"/>
    </row>
    <row r="678" spans="1:14" ht="21" customHeight="1" x14ac:dyDescent="0.15">
      <c r="A678" s="116" t="s">
        <v>1827</v>
      </c>
      <c r="B678" s="21" t="s">
        <v>792</v>
      </c>
      <c r="C678" s="26" t="str">
        <f t="shared" ref="C678" ca="1" si="92">IF(F678="specific_quest_clear",SUBSTITUTE(G678,"x",J678),IF(F678="specific_unit_aquired_count",SUBSTITUTE(J678,"y",K678),SUBSTITUTE(G678,"x",I678)))</f>
        <v>通算 3 日ログインしよう！</v>
      </c>
      <c r="D678" s="26" t="str">
        <f ca="1">IFERROR(VLOOKUP($A678,OFFSET(achievement_criterion_id,0,0,COUNTA($A:$A),MATCH(D$1,missions!$2:$2,0)-MATCH($A$1,missions!$2:$2,0)+1),MATCH(D$1,missions!$2:$2,0)-MATCH($A$1,missions!$2:$2,0)+1,FALSE),IFERROR(VLOOKUP($A678,OFFSET(weekly_achievement_criterion_id,0,0,COUNTA($A:$A),MATCH(D$1,weekly_missions!$2:$2,0)-MATCH($A$1,weekly_missions!$2:$2,0)+1),MATCH(D$1,weekly_missions!$2:$2,0)-MATCH($A$1,weekly_missions!$2:$2,0)+1,FALSE),"＊missions 未設定＊"))</f>
        <v>メガ攻めの果実 x 1</v>
      </c>
      <c r="E678" s="27" t="s">
        <v>864</v>
      </c>
      <c r="F678" s="17" t="s">
        <v>18</v>
      </c>
      <c r="G678" s="26" t="str">
        <f ca="1">VLOOKUP($F678,OFFSET(達成条件!$A$1,0,0,COUNTA($A:$A),MATCH(G$1,達成条件!$1:$1,0)-MATCH($F$1,達成条件!$1:$1,0)+1),MATCH(G$1,達成条件!$1:$1,0)-MATCH($F$1,達成条件!$1:$1,0)+1,FALSE)</f>
        <v>通算 x 日ログインしよう！</v>
      </c>
      <c r="H678" s="26" t="str">
        <f ca="1">VLOOKUP($F678,OFFSET(達成条件!$A$1,0,0,COUNTA($A:$A),MATCH(H$1,達成条件!$1:$1,0)-MATCH($F$1,達成条件!$1:$1,0)+1),MATCH(H$1,達成条件!$1:$1,0)-MATCH($F$1,達成条件!$1:$1,0)+1,FALSE)</f>
        <v>ログイン回数</v>
      </c>
      <c r="I678" s="60" t="s">
        <v>1212</v>
      </c>
      <c r="J678" s="54" t="str">
        <f ca="1">IF(F678="specific_unit_aquired_count",SUBSTITUTE(G678,"x",VLOOKUP(INT($I678),OFFSET([3]characters!$A$2,0,0,COUNTA([3]characters!$A:$A),MATCH(J$1,[3]characters!$2:$2,0)-MATCH("character_id",[3]characters!$2:$2,0)+1),MATCH(J$1,[3]characters!$2:$2,0)-MATCH("character_id",[3]characters!$2:$2,0)+1,FALSE)),IF(F678="specific_quest_clear",VLOOKUP(SUBSTITUTE(I678,"-","_"),OFFSET([2]stages!$A$2,0,0,COUNTA([2]stages!$A:$A),MATCH("name",[2]stages!$2:$2,0)-MATCH("temp_stage",[2]stages!$2:$2,0)+1),MATCH("name",[2]stages!$2:$2,0)-MATCH("temp_stage",[2]stages!$2:$2,0)+1,FALSE),""))</f>
        <v/>
      </c>
      <c r="K678" s="15">
        <v>1</v>
      </c>
      <c r="L678" s="15" t="s">
        <v>542</v>
      </c>
      <c r="M678" s="26"/>
      <c r="N678" s="26"/>
    </row>
    <row r="679" spans="1:14" ht="21" customHeight="1" x14ac:dyDescent="0.15">
      <c r="A679" s="2" t="s">
        <v>1470</v>
      </c>
      <c r="B679" s="21" t="s">
        <v>792</v>
      </c>
      <c r="C679" s="26" t="str">
        <f t="shared" ca="1" si="91"/>
        <v>通算 4 日ログインしよう！</v>
      </c>
      <c r="D679" s="26" t="str">
        <f ca="1">IFERROR(VLOOKUP($A679,OFFSET(achievement_criterion_id,0,0,COUNTA($A:$A),MATCH(D$1,missions!$2:$2,0)-MATCH($A$1,missions!$2:$2,0)+1),MATCH(D$1,missions!$2:$2,0)-MATCH($A$1,missions!$2:$2,0)+1,FALSE),IFERROR(VLOOKUP($A679,OFFSET(weekly_achievement_criterion_id,0,0,COUNTA($A:$A),MATCH(D$1,weekly_missions!$2:$2,0)-MATCH($A$1,weekly_missions!$2:$2,0)+1),MATCH(D$1,weekly_missions!$2:$2,0)-MATCH($A$1,weekly_missions!$2:$2,0)+1,FALSE),"＊missions 未設定＊"))</f>
        <v>ビット x 400000</v>
      </c>
      <c r="E679" s="27" t="s">
        <v>864</v>
      </c>
      <c r="F679" s="17" t="s">
        <v>18</v>
      </c>
      <c r="G679" s="26" t="str">
        <f ca="1">VLOOKUP($F679,OFFSET(達成条件!$A$1,0,0,COUNTA($A:$A),MATCH(G$1,達成条件!$1:$1,0)-MATCH($F$1,達成条件!$1:$1,0)+1),MATCH(G$1,達成条件!$1:$1,0)-MATCH($F$1,達成条件!$1:$1,0)+1,FALSE)</f>
        <v>通算 x 日ログインしよう！</v>
      </c>
      <c r="H679" s="26" t="str">
        <f ca="1">VLOOKUP($F679,OFFSET(達成条件!$A$1,0,0,COUNTA($A:$A),MATCH(H$1,達成条件!$1:$1,0)-MATCH($F$1,達成条件!$1:$1,0)+1),MATCH(H$1,達成条件!$1:$1,0)-MATCH($F$1,達成条件!$1:$1,0)+1,FALSE)</f>
        <v>ログイン回数</v>
      </c>
      <c r="I679" s="60" t="s">
        <v>1461</v>
      </c>
      <c r="J679" s="54" t="str">
        <f ca="1">IF(F679="specific_unit_aquired_count",SUBSTITUTE(G679,"x",VLOOKUP(INT($I679),OFFSET([3]characters!$A$2,0,0,COUNTA([3]characters!$A:$A),MATCH(J$1,[3]characters!$2:$2,0)-MATCH("character_id",[3]characters!$2:$2,0)+1),MATCH(J$1,[3]characters!$2:$2,0)-MATCH("character_id",[3]characters!$2:$2,0)+1,FALSE)),IF(F679="specific_quest_clear",VLOOKUP(SUBSTITUTE(I679,"-","_"),OFFSET([2]stages!$A$2,0,0,COUNTA([2]stages!$A:$A),MATCH("name",[2]stages!$2:$2,0)-MATCH("temp_stage",[2]stages!$2:$2,0)+1),MATCH("name",[2]stages!$2:$2,0)-MATCH("temp_stage",[2]stages!$2:$2,0)+1,FALSE),""))</f>
        <v/>
      </c>
      <c r="K679" s="15">
        <v>1</v>
      </c>
      <c r="L679" s="15" t="s">
        <v>542</v>
      </c>
      <c r="M679" s="26"/>
      <c r="N679" s="26"/>
    </row>
    <row r="680" spans="1:14" ht="21" customHeight="1" x14ac:dyDescent="0.15">
      <c r="A680" s="2" t="s">
        <v>1471</v>
      </c>
      <c r="B680" s="21" t="s">
        <v>792</v>
      </c>
      <c r="C680" s="26" t="str">
        <f t="shared" ca="1" si="91"/>
        <v>通算 5 日ログインしよう！</v>
      </c>
      <c r="D680" s="26" t="str">
        <f ca="1">IFERROR(VLOOKUP($A680,OFFSET(achievement_criterion_id,0,0,COUNTA($A:$A),MATCH(D$1,missions!$2:$2,0)-MATCH($A$1,missions!$2:$2,0)+1),MATCH(D$1,missions!$2:$2,0)-MATCH($A$1,missions!$2:$2,0)+1,FALSE),IFERROR(VLOOKUP($A680,OFFSET(weekly_achievement_criterion_id,0,0,COUNTA($A:$A),MATCH(D$1,weekly_missions!$2:$2,0)-MATCH($A$1,weekly_missions!$2:$2,0)+1),MATCH(D$1,weekly_missions!$2:$2,0)-MATCH($A$1,weekly_missions!$2:$2,0)+1,FALSE),"＊missions 未設定＊"))</f>
        <v>リトルハンプティ x 1</v>
      </c>
      <c r="E680" s="27" t="s">
        <v>864</v>
      </c>
      <c r="F680" s="17" t="s">
        <v>18</v>
      </c>
      <c r="G680" s="26" t="str">
        <f ca="1">VLOOKUP($F680,OFFSET(達成条件!$A$1,0,0,COUNTA($A:$A),MATCH(G$1,達成条件!$1:$1,0)-MATCH($F$1,達成条件!$1:$1,0)+1),MATCH(G$1,達成条件!$1:$1,0)-MATCH($F$1,達成条件!$1:$1,0)+1,FALSE)</f>
        <v>通算 x 日ログインしよう！</v>
      </c>
      <c r="H680" s="26" t="str">
        <f ca="1">VLOOKUP($F680,OFFSET(達成条件!$A$1,0,0,COUNTA($A:$A),MATCH(H$1,達成条件!$1:$1,0)-MATCH($F$1,達成条件!$1:$1,0)+1),MATCH(H$1,達成条件!$1:$1,0)-MATCH($F$1,達成条件!$1:$1,0)+1,FALSE)</f>
        <v>ログイン回数</v>
      </c>
      <c r="I680" s="60" t="s">
        <v>1462</v>
      </c>
      <c r="J680" s="54" t="str">
        <f ca="1">IF(F680="specific_unit_aquired_count",SUBSTITUTE(G680,"x",VLOOKUP(INT($I680),OFFSET([3]characters!$A$2,0,0,COUNTA([3]characters!$A:$A),MATCH(J$1,[3]characters!$2:$2,0)-MATCH("character_id",[3]characters!$2:$2,0)+1),MATCH(J$1,[3]characters!$2:$2,0)-MATCH("character_id",[3]characters!$2:$2,0)+1,FALSE)),IF(F680="specific_quest_clear",VLOOKUP(SUBSTITUTE(I680,"-","_"),OFFSET([2]stages!$A$2,0,0,COUNTA([2]stages!$A:$A),MATCH("name",[2]stages!$2:$2,0)-MATCH("temp_stage",[2]stages!$2:$2,0)+1),MATCH("name",[2]stages!$2:$2,0)-MATCH("temp_stage",[2]stages!$2:$2,0)+1,FALSE),""))</f>
        <v/>
      </c>
      <c r="K680" s="15">
        <v>1</v>
      </c>
      <c r="L680" s="15" t="s">
        <v>542</v>
      </c>
      <c r="M680" s="26"/>
      <c r="N680" s="26"/>
    </row>
    <row r="681" spans="1:14" ht="21" customHeight="1" x14ac:dyDescent="0.15">
      <c r="A681" s="2" t="s">
        <v>1472</v>
      </c>
      <c r="B681" s="21" t="s">
        <v>792</v>
      </c>
      <c r="C681" s="26" t="str">
        <f t="shared" ca="1" si="91"/>
        <v>通算 6 日ログインしよう！</v>
      </c>
      <c r="D681" s="26" t="str">
        <f ca="1">IFERROR(VLOOKUP($A681,OFFSET(achievement_criterion_id,0,0,COUNTA($A:$A),MATCH(D$1,missions!$2:$2,0)-MATCH($A$1,missions!$2:$2,0)+1),MATCH(D$1,missions!$2:$2,0)-MATCH($A$1,missions!$2:$2,0)+1,FALSE),IFERROR(VLOOKUP($A681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681" s="27" t="s">
        <v>864</v>
      </c>
      <c r="F681" s="17" t="s">
        <v>18</v>
      </c>
      <c r="G681" s="26" t="str">
        <f ca="1">VLOOKUP($F681,OFFSET(達成条件!$A$1,0,0,COUNTA($A:$A),MATCH(G$1,達成条件!$1:$1,0)-MATCH($F$1,達成条件!$1:$1,0)+1),MATCH(G$1,達成条件!$1:$1,0)-MATCH($F$1,達成条件!$1:$1,0)+1,FALSE)</f>
        <v>通算 x 日ログインしよう！</v>
      </c>
      <c r="H681" s="26" t="str">
        <f ca="1">VLOOKUP($F681,OFFSET(達成条件!$A$1,0,0,COUNTA($A:$A),MATCH(H$1,達成条件!$1:$1,0)-MATCH($F$1,達成条件!$1:$1,0)+1),MATCH(H$1,達成条件!$1:$1,0)-MATCH($F$1,達成条件!$1:$1,0)+1,FALSE)</f>
        <v>ログイン回数</v>
      </c>
      <c r="I681" s="60" t="s">
        <v>1463</v>
      </c>
      <c r="J681" s="54" t="str">
        <f ca="1">IF(F681="specific_unit_aquired_count",SUBSTITUTE(G681,"x",VLOOKUP(INT($I681),OFFSET([3]characters!$A$2,0,0,COUNTA([3]characters!$A:$A),MATCH(J$1,[3]characters!$2:$2,0)-MATCH("character_id",[3]characters!$2:$2,0)+1),MATCH(J$1,[3]characters!$2:$2,0)-MATCH("character_id",[3]characters!$2:$2,0)+1,FALSE)),IF(F681="specific_quest_clear",VLOOKUP(SUBSTITUTE(I681,"-","_"),OFFSET([2]stages!$A$2,0,0,COUNTA([2]stages!$A:$A),MATCH("name",[2]stages!$2:$2,0)-MATCH("temp_stage",[2]stages!$2:$2,0)+1),MATCH("name",[2]stages!$2:$2,0)-MATCH("temp_stage",[2]stages!$2:$2,0)+1,FALSE),""))</f>
        <v/>
      </c>
      <c r="K681" s="15">
        <v>1</v>
      </c>
      <c r="L681" s="15" t="s">
        <v>542</v>
      </c>
      <c r="M681" s="26"/>
      <c r="N681" s="26"/>
    </row>
    <row r="682" spans="1:14" ht="21" customHeight="1" x14ac:dyDescent="0.15">
      <c r="A682" s="2" t="s">
        <v>638</v>
      </c>
      <c r="B682" s="21" t="s">
        <v>792</v>
      </c>
      <c r="C682" s="26" t="str">
        <f t="shared" ca="1" si="64"/>
        <v>通算 7 日ログインしよう！</v>
      </c>
      <c r="D682" s="26" t="str">
        <f ca="1">IFERROR(VLOOKUP($A682,OFFSET(achievement_criterion_id,0,0,COUNTA($A:$A),MATCH(D$1,missions!$2:$2,0)-MATCH($A$1,missions!$2:$2,0)+1),MATCH(D$1,missions!$2:$2,0)-MATCH($A$1,missions!$2:$2,0)+1,FALSE),IFERROR(VLOOKUP($A682,OFFSET(weekly_achievement_criterion_id,0,0,COUNTA($A:$A),MATCH(D$1,weekly_missions!$2:$2,0)-MATCH($A$1,weekly_missions!$2:$2,0)+1),MATCH(D$1,weekly_missions!$2:$2,0)-MATCH($A$1,weekly_missions!$2:$2,0)+1,FALSE),"＊missions 未設定＊"))</f>
        <v>攻めの果実 x 1</v>
      </c>
      <c r="E682" s="27" t="s">
        <v>864</v>
      </c>
      <c r="F682" s="17" t="s">
        <v>18</v>
      </c>
      <c r="G682" s="26" t="str">
        <f ca="1">VLOOKUP($F682,OFFSET(達成条件!$A$1,0,0,COUNTA($A:$A),MATCH(G$1,達成条件!$1:$1,0)-MATCH($F$1,達成条件!$1:$1,0)+1),MATCH(G$1,達成条件!$1:$1,0)-MATCH($F$1,達成条件!$1:$1,0)+1,FALSE)</f>
        <v>通算 x 日ログインしよう！</v>
      </c>
      <c r="H682" s="26" t="str">
        <f ca="1">VLOOKUP($F682,OFFSET(達成条件!$A$1,0,0,COUNTA($A:$A),MATCH(H$1,達成条件!$1:$1,0)-MATCH($F$1,達成条件!$1:$1,0)+1),MATCH(H$1,達成条件!$1:$1,0)-MATCH($F$1,達成条件!$1:$1,0)+1,FALSE)</f>
        <v>ログイン回数</v>
      </c>
      <c r="I682" s="60" t="s">
        <v>457</v>
      </c>
      <c r="J682" s="54" t="str">
        <f ca="1">IF(F682="specific_unit_aquired_count",SUBSTITUTE(G682,"x",VLOOKUP(INT($I682),OFFSET([3]characters!$A$2,0,0,COUNTA([3]characters!$A:$A),MATCH(J$1,[3]characters!$2:$2,0)-MATCH("character_id",[3]characters!$2:$2,0)+1),MATCH(J$1,[3]characters!$2:$2,0)-MATCH("character_id",[3]characters!$2:$2,0)+1,FALSE)),IF(F682="specific_quest_clear",VLOOKUP(SUBSTITUTE(I682,"-","_"),OFFSET([2]stages!$A$2,0,0,COUNTA([2]stages!$A:$A),MATCH("name",[2]stages!$2:$2,0)-MATCH("temp_stage",[2]stages!$2:$2,0)+1),MATCH("name",[2]stages!$2:$2,0)-MATCH("temp_stage",[2]stages!$2:$2,0)+1,FALSE),""))</f>
        <v/>
      </c>
      <c r="K682" s="15">
        <v>1</v>
      </c>
      <c r="L682" s="15" t="s">
        <v>542</v>
      </c>
      <c r="M682" s="26" t="str">
        <f ca="1">IFERROR(VLOOKUP($L684,OFFSET(missions!$A$2,0,0,COUNTA($A:$A),MATCH(M$1,missions!$2:$2,0)-MATCH("mission_id",missions!$2:$2,0)+1),MATCH(M$1,missions!$2:$2,0)-MATCH("mission_id",missions!$2:$2,0)+1,FALSE),"")</f>
        <v/>
      </c>
      <c r="N682" s="26" t="str">
        <f ca="1">IFERROR(VLOOKUP($L684,OFFSET(missions!$A$2,0,0,COUNTA($A:$A),MATCH(N$1,missions!$2:$2,0)-MATCH("mission_id",missions!$2:$2,0)+1),MATCH(N$1,missions!$2:$2,0)-MATCH("mission_id",missions!$2:$2,0)+1,FALSE),"")</f>
        <v/>
      </c>
    </row>
    <row r="683" spans="1:14" ht="21" customHeight="1" x14ac:dyDescent="0.15">
      <c r="A683" s="2" t="s">
        <v>639</v>
      </c>
      <c r="B683" s="21" t="s">
        <v>792</v>
      </c>
      <c r="C683" s="26" t="str">
        <f t="shared" ca="1" si="64"/>
        <v>通算 7 日ログインしよう！</v>
      </c>
      <c r="D683" s="26" t="str">
        <f ca="1">IFERROR(VLOOKUP($A683,OFFSET(achievement_criterion_id,0,0,COUNTA($A:$A),MATCH(D$1,missions!$2:$2,0)-MATCH($A$1,missions!$2:$2,0)+1),MATCH(D$1,missions!$2:$2,0)-MATCH($A$1,missions!$2:$2,0)+1,FALSE),IFERROR(VLOOKUP($A683,OFFSET(weekly_achievement_criterion_id,0,0,COUNTA($A:$A),MATCH(D$1,weekly_missions!$2:$2,0)-MATCH($A$1,weekly_missions!$2:$2,0)+1),MATCH(D$1,weekly_missions!$2:$2,0)-MATCH($A$1,weekly_missions!$2:$2,0)+1,FALSE),"＊missions 未設定＊"))</f>
        <v>生命の果実 x 1</v>
      </c>
      <c r="E683" s="27" t="s">
        <v>864</v>
      </c>
      <c r="F683" s="17" t="s">
        <v>18</v>
      </c>
      <c r="G683" s="26" t="str">
        <f ca="1">VLOOKUP($F683,OFFSET(達成条件!$A$1,0,0,COUNTA($A:$A),MATCH(G$1,達成条件!$1:$1,0)-MATCH($F$1,達成条件!$1:$1,0)+1),MATCH(G$1,達成条件!$1:$1,0)-MATCH($F$1,達成条件!$1:$1,0)+1,FALSE)</f>
        <v>通算 x 日ログインしよう！</v>
      </c>
      <c r="H683" s="26" t="str">
        <f ca="1">VLOOKUP($F683,OFFSET(達成条件!$A$1,0,0,COUNTA($A:$A),MATCH(H$1,達成条件!$1:$1,0)-MATCH($F$1,達成条件!$1:$1,0)+1),MATCH(H$1,達成条件!$1:$1,0)-MATCH($F$1,達成条件!$1:$1,0)+1,FALSE)</f>
        <v>ログイン回数</v>
      </c>
      <c r="I683" s="60" t="s">
        <v>457</v>
      </c>
      <c r="J683" s="54" t="str">
        <f ca="1">IF(F683="specific_unit_aquired_count",SUBSTITUTE(G683,"x",VLOOKUP(INT($I683),OFFSET([3]characters!$A$2,0,0,COUNTA([3]characters!$A:$A),MATCH(J$1,[3]characters!$2:$2,0)-MATCH("character_id",[3]characters!$2:$2,0)+1),MATCH(J$1,[3]characters!$2:$2,0)-MATCH("character_id",[3]characters!$2:$2,0)+1,FALSE)),IF(F683="specific_quest_clear",VLOOKUP(SUBSTITUTE(I683,"-","_"),OFFSET([2]stages!$A$2,0,0,COUNTA([2]stages!$A:$A),MATCH("name",[2]stages!$2:$2,0)-MATCH("temp_stage",[2]stages!$2:$2,0)+1),MATCH("name",[2]stages!$2:$2,0)-MATCH("temp_stage",[2]stages!$2:$2,0)+1,FALSE),""))</f>
        <v/>
      </c>
      <c r="K683" s="15">
        <v>1</v>
      </c>
      <c r="L683" s="15" t="s">
        <v>542</v>
      </c>
      <c r="M683" s="26" t="str">
        <f ca="1">IFERROR(VLOOKUP($L685,OFFSET(missions!$A$2,0,0,COUNTA($A:$A),MATCH(M$1,missions!$2:$2,0)-MATCH("mission_id",missions!$2:$2,0)+1),MATCH(M$1,missions!$2:$2,0)-MATCH("mission_id",missions!$2:$2,0)+1,FALSE),"")</f>
        <v/>
      </c>
      <c r="N683" s="26" t="str">
        <f ca="1">IFERROR(VLOOKUP($L685,OFFSET(missions!$A$2,0,0,COUNTA($A:$A),MATCH(N$1,missions!$2:$2,0)-MATCH("mission_id",missions!$2:$2,0)+1),MATCH(N$1,missions!$2:$2,0)-MATCH("mission_id",missions!$2:$2,0)+1,FALSE),"")</f>
        <v/>
      </c>
    </row>
    <row r="684" spans="1:14" ht="21" customHeight="1" x14ac:dyDescent="0.15">
      <c r="A684" s="2" t="s">
        <v>640</v>
      </c>
      <c r="B684" s="21" t="s">
        <v>792</v>
      </c>
      <c r="C684" s="26" t="str">
        <f t="shared" ca="1" si="64"/>
        <v>通算 7 日ログインしよう！</v>
      </c>
      <c r="D684" s="26" t="str">
        <f ca="1">IFERROR(VLOOKUP($A684,OFFSET(achievement_criterion_id,0,0,COUNTA($A:$A),MATCH(D$1,missions!$2:$2,0)-MATCH($A$1,missions!$2:$2,0)+1),MATCH(D$1,missions!$2:$2,0)-MATCH($A$1,missions!$2:$2,0)+1,FALSE),IFERROR(VLOOKUP($A684,OFFSET(weekly_achievement_criterion_id,0,0,COUNTA($A:$A),MATCH(D$1,weekly_missions!$2:$2,0)-MATCH($A$1,weekly_missions!$2:$2,0)+1),MATCH(D$1,weekly_missions!$2:$2,0)-MATCH($A$1,weekly_missions!$2:$2,0)+1,FALSE),"＊missions 未設定＊"))</f>
        <v>癒しの果実 x 1</v>
      </c>
      <c r="E684" s="27" t="s">
        <v>864</v>
      </c>
      <c r="F684" s="17" t="s">
        <v>18</v>
      </c>
      <c r="G684" s="26" t="str">
        <f ca="1">VLOOKUP($F684,OFFSET(達成条件!$A$1,0,0,COUNTA($A:$A),MATCH(G$1,達成条件!$1:$1,0)-MATCH($F$1,達成条件!$1:$1,0)+1),MATCH(G$1,達成条件!$1:$1,0)-MATCH($F$1,達成条件!$1:$1,0)+1,FALSE)</f>
        <v>通算 x 日ログインしよう！</v>
      </c>
      <c r="H684" s="26" t="str">
        <f ca="1">VLOOKUP($F684,OFFSET(達成条件!$A$1,0,0,COUNTA($A:$A),MATCH(H$1,達成条件!$1:$1,0)-MATCH($F$1,達成条件!$1:$1,0)+1),MATCH(H$1,達成条件!$1:$1,0)-MATCH($F$1,達成条件!$1:$1,0)+1,FALSE)</f>
        <v>ログイン回数</v>
      </c>
      <c r="I684" s="60" t="s">
        <v>457</v>
      </c>
      <c r="J684" s="54" t="str">
        <f ca="1">IF(F684="specific_unit_aquired_count",SUBSTITUTE(G684,"x",VLOOKUP(INT($I684),OFFSET([3]characters!$A$2,0,0,COUNTA([3]characters!$A:$A),MATCH(J$1,[3]characters!$2:$2,0)-MATCH("character_id",[3]characters!$2:$2,0)+1),MATCH(J$1,[3]characters!$2:$2,0)-MATCH("character_id",[3]characters!$2:$2,0)+1,FALSE)),IF(F684="specific_quest_clear",VLOOKUP(SUBSTITUTE(I684,"-","_"),OFFSET([2]stages!$A$2,0,0,COUNTA([2]stages!$A:$A),MATCH("name",[2]stages!$2:$2,0)-MATCH("temp_stage",[2]stages!$2:$2,0)+1),MATCH("name",[2]stages!$2:$2,0)-MATCH("temp_stage",[2]stages!$2:$2,0)+1,FALSE),""))</f>
        <v/>
      </c>
      <c r="K684" s="15">
        <v>1</v>
      </c>
      <c r="L684" s="15" t="s">
        <v>542</v>
      </c>
      <c r="M684" s="26" t="str">
        <f ca="1">IFERROR(VLOOKUP($L686,OFFSET(missions!$A$2,0,0,COUNTA($A:$A),MATCH(M$1,missions!$2:$2,0)-MATCH("mission_id",missions!$2:$2,0)+1),MATCH(M$1,missions!$2:$2,0)-MATCH("mission_id",missions!$2:$2,0)+1,FALSE),"")</f>
        <v/>
      </c>
      <c r="N684" s="26" t="str">
        <f ca="1">IFERROR(VLOOKUP($L686,OFFSET(missions!$A$2,0,0,COUNTA($A:$A),MATCH(N$1,missions!$2:$2,0)-MATCH("mission_id",missions!$2:$2,0)+1),MATCH(N$1,missions!$2:$2,0)-MATCH("mission_id",missions!$2:$2,0)+1,FALSE),"")</f>
        <v/>
      </c>
    </row>
    <row r="685" spans="1:14" ht="21" customHeight="1" x14ac:dyDescent="0.15">
      <c r="A685" s="2" t="s">
        <v>706</v>
      </c>
      <c r="B685" s="21" t="s">
        <v>792</v>
      </c>
      <c r="C685" s="26" t="str">
        <f t="shared" ref="C685:C687" ca="1" si="93">IF(F685="specific_quest_clear",SUBSTITUTE(G685,"x",J685),IF(F685="specific_unit_aquired_count",SUBSTITUTE(J685,"y",K685),SUBSTITUTE(G685,"x",I685)))</f>
        <v>通算 7 日ログインしよう！</v>
      </c>
      <c r="D685" s="26" t="str">
        <f ca="1">IFERROR(VLOOKUP($A685,OFFSET(achievement_criterion_id,0,0,COUNTA($A:$A),MATCH(D$1,missions!$2:$2,0)-MATCH($A$1,missions!$2:$2,0)+1),MATCH(D$1,missions!$2:$2,0)-MATCH($A$1,missions!$2:$2,0)+1,FALSE),IFERROR(VLOOKUP($A685,OFFSET(weekly_achievement_criterion_id,0,0,COUNTA($A:$A),MATCH(D$1,weekly_missions!$2:$2,0)-MATCH($A$1,weekly_missions!$2:$2,0)+1),MATCH(D$1,weekly_missions!$2:$2,0)-MATCH($A$1,weekly_missions!$2:$2,0)+1,FALSE),"＊missions 未設定＊"))</f>
        <v>癒しの果実 x 3</v>
      </c>
      <c r="E685" s="27" t="s">
        <v>864</v>
      </c>
      <c r="F685" s="17" t="s">
        <v>18</v>
      </c>
      <c r="G685" s="26" t="str">
        <f ca="1">VLOOKUP($F685,OFFSET(達成条件!$A$1,0,0,COUNTA($A:$A),MATCH(G$1,達成条件!$1:$1,0)-MATCH($F$1,達成条件!$1:$1,0)+1),MATCH(G$1,達成条件!$1:$1,0)-MATCH($F$1,達成条件!$1:$1,0)+1,FALSE)</f>
        <v>通算 x 日ログインしよう！</v>
      </c>
      <c r="H685" s="26" t="str">
        <f ca="1">VLOOKUP($F685,OFFSET(達成条件!$A$1,0,0,COUNTA($A:$A),MATCH(H$1,達成条件!$1:$1,0)-MATCH($F$1,達成条件!$1:$1,0)+1),MATCH(H$1,達成条件!$1:$1,0)-MATCH($F$1,達成条件!$1:$1,0)+1,FALSE)</f>
        <v>ログイン回数</v>
      </c>
      <c r="I685" s="60" t="s">
        <v>457</v>
      </c>
      <c r="J685" s="54" t="str">
        <f ca="1">IF(F685="specific_unit_aquired_count",SUBSTITUTE(G685,"x",VLOOKUP(INT($I685),OFFSET([3]characters!$A$2,0,0,COUNTA([3]characters!$A:$A),MATCH(J$1,[3]characters!$2:$2,0)-MATCH("character_id",[3]characters!$2:$2,0)+1),MATCH(J$1,[3]characters!$2:$2,0)-MATCH("character_id",[3]characters!$2:$2,0)+1,FALSE)),IF(F685="specific_quest_clear",VLOOKUP(SUBSTITUTE(I685,"-","_"),OFFSET([2]stages!$A$2,0,0,COUNTA([2]stages!$A:$A),MATCH("name",[2]stages!$2:$2,0)-MATCH("temp_stage",[2]stages!$2:$2,0)+1),MATCH("name",[2]stages!$2:$2,0)-MATCH("temp_stage",[2]stages!$2:$2,0)+1,FALSE),""))</f>
        <v/>
      </c>
      <c r="K685" s="15">
        <v>1</v>
      </c>
      <c r="L685" s="15" t="s">
        <v>542</v>
      </c>
      <c r="M685" s="26" t="str">
        <f ca="1">IFERROR(VLOOKUP($L687,OFFSET(missions!$A$2,0,0,COUNTA($A:$A),MATCH(M$1,missions!$2:$2,0)-MATCH("mission_id",missions!$2:$2,0)+1),MATCH(M$1,missions!$2:$2,0)-MATCH("mission_id",missions!$2:$2,0)+1,FALSE),"")</f>
        <v/>
      </c>
      <c r="N685" s="26" t="str">
        <f ca="1">IFERROR(VLOOKUP($L687,OFFSET(missions!$A$2,0,0,COUNTA($A:$A),MATCH(N$1,missions!$2:$2,0)-MATCH("mission_id",missions!$2:$2,0)+1),MATCH(N$1,missions!$2:$2,0)-MATCH("mission_id",missions!$2:$2,0)+1,FALSE),"")</f>
        <v/>
      </c>
    </row>
    <row r="686" spans="1:14" ht="21" customHeight="1" x14ac:dyDescent="0.15">
      <c r="A686" s="2" t="s">
        <v>707</v>
      </c>
      <c r="B686" s="21" t="s">
        <v>792</v>
      </c>
      <c r="C686" s="26" t="str">
        <f t="shared" ca="1" si="93"/>
        <v>通算 7 日ログインしよう！</v>
      </c>
      <c r="D686" s="26" t="str">
        <f ca="1">IFERROR(VLOOKUP($A686,OFFSET(achievement_criterion_id,0,0,COUNTA($A:$A),MATCH(D$1,missions!$2:$2,0)-MATCH($A$1,missions!$2:$2,0)+1),MATCH(D$1,missions!$2:$2,0)-MATCH($A$1,missions!$2:$2,0)+1,FALSE),IFERROR(VLOOKUP($A686,OFFSET(weekly_achievement_criterion_id,0,0,COUNTA($A:$A),MATCH(D$1,weekly_missions!$2:$2,0)-MATCH($A$1,weekly_missions!$2:$2,0)+1),MATCH(D$1,weekly_missions!$2:$2,0)-MATCH($A$1,weekly_missions!$2:$2,0)+1,FALSE),"＊missions 未設定＊"))</f>
        <v>攻めの果実 x 3</v>
      </c>
      <c r="E686" s="27" t="s">
        <v>864</v>
      </c>
      <c r="F686" s="17" t="s">
        <v>18</v>
      </c>
      <c r="G686" s="26" t="str">
        <f ca="1">VLOOKUP($F686,OFFSET(達成条件!$A$1,0,0,COUNTA($A:$A),MATCH(G$1,達成条件!$1:$1,0)-MATCH($F$1,達成条件!$1:$1,0)+1),MATCH(G$1,達成条件!$1:$1,0)-MATCH($F$1,達成条件!$1:$1,0)+1,FALSE)</f>
        <v>通算 x 日ログインしよう！</v>
      </c>
      <c r="H686" s="26" t="str">
        <f ca="1">VLOOKUP($F686,OFFSET(達成条件!$A$1,0,0,COUNTA($A:$A),MATCH(H$1,達成条件!$1:$1,0)-MATCH($F$1,達成条件!$1:$1,0)+1),MATCH(H$1,達成条件!$1:$1,0)-MATCH($F$1,達成条件!$1:$1,0)+1,FALSE)</f>
        <v>ログイン回数</v>
      </c>
      <c r="I686" s="60" t="s">
        <v>457</v>
      </c>
      <c r="J686" s="54" t="str">
        <f ca="1">IF(F686="specific_unit_aquired_count",SUBSTITUTE(G686,"x",VLOOKUP(INT($I686),OFFSET([3]characters!$A$2,0,0,COUNTA([3]characters!$A:$A),MATCH(J$1,[3]characters!$2:$2,0)-MATCH("character_id",[3]characters!$2:$2,0)+1),MATCH(J$1,[3]characters!$2:$2,0)-MATCH("character_id",[3]characters!$2:$2,0)+1,FALSE)),IF(F686="specific_quest_clear",VLOOKUP(SUBSTITUTE(I686,"-","_"),OFFSET([2]stages!$A$2,0,0,COUNTA([2]stages!$A:$A),MATCH("name",[2]stages!$2:$2,0)-MATCH("temp_stage",[2]stages!$2:$2,0)+1),MATCH("name",[2]stages!$2:$2,0)-MATCH("temp_stage",[2]stages!$2:$2,0)+1,FALSE),""))</f>
        <v/>
      </c>
      <c r="K686" s="15">
        <v>1</v>
      </c>
      <c r="L686" s="15" t="s">
        <v>542</v>
      </c>
      <c r="M686" s="26" t="str">
        <f ca="1">IFERROR(VLOOKUP($L692,OFFSET(missions!$A$2,0,0,COUNTA($A:$A),MATCH(M$1,missions!$2:$2,0)-MATCH("mission_id",missions!$2:$2,0)+1),MATCH(M$1,missions!$2:$2,0)-MATCH("mission_id",missions!$2:$2,0)+1,FALSE),"")</f>
        <v/>
      </c>
      <c r="N686" s="26" t="str">
        <f ca="1">IFERROR(VLOOKUP($L692,OFFSET(missions!$A$2,0,0,COUNTA($A:$A),MATCH(N$1,missions!$2:$2,0)-MATCH("mission_id",missions!$2:$2,0)+1),MATCH(N$1,missions!$2:$2,0)-MATCH("mission_id",missions!$2:$2,0)+1,FALSE),"")</f>
        <v/>
      </c>
    </row>
    <row r="687" spans="1:14" ht="21" customHeight="1" x14ac:dyDescent="0.15">
      <c r="A687" s="2" t="s">
        <v>723</v>
      </c>
      <c r="B687" s="21" t="s">
        <v>792</v>
      </c>
      <c r="C687" s="26" t="str">
        <f t="shared" ca="1" si="93"/>
        <v>通算 7 日ログインしよう！</v>
      </c>
      <c r="D687" s="26" t="str">
        <f ca="1">IFERROR(VLOOKUP($A687,OFFSET(achievement_criterion_id,0,0,COUNTA($A:$A),MATCH(D$1,missions!$2:$2,0)-MATCH($A$1,missions!$2:$2,0)+1),MATCH(D$1,missions!$2:$2,0)-MATCH($A$1,missions!$2:$2,0)+1,FALSE),IFERROR(VLOOKUP($A687,OFFSET(weekly_achievement_criterion_id,0,0,COUNTA($A:$A),MATCH(D$1,weekly_missions!$2:$2,0)-MATCH($A$1,weekly_missions!$2:$2,0)+1),MATCH(D$1,weekly_missions!$2:$2,0)-MATCH($A$1,weekly_missions!$2:$2,0)+1,FALSE),"＊missions 未設定＊"))</f>
        <v>生命の果実 x 3</v>
      </c>
      <c r="E687" s="27" t="s">
        <v>864</v>
      </c>
      <c r="F687" s="17" t="s">
        <v>18</v>
      </c>
      <c r="G687" s="26" t="str">
        <f ca="1">VLOOKUP($F687,OFFSET(達成条件!$A$1,0,0,COUNTA($A:$A),MATCH(G$1,達成条件!$1:$1,0)-MATCH($F$1,達成条件!$1:$1,0)+1),MATCH(G$1,達成条件!$1:$1,0)-MATCH($F$1,達成条件!$1:$1,0)+1,FALSE)</f>
        <v>通算 x 日ログインしよう！</v>
      </c>
      <c r="H687" s="26" t="str">
        <f ca="1">VLOOKUP($F687,OFFSET(達成条件!$A$1,0,0,COUNTA($A:$A),MATCH(H$1,達成条件!$1:$1,0)-MATCH($F$1,達成条件!$1:$1,0)+1),MATCH(H$1,達成条件!$1:$1,0)-MATCH($F$1,達成条件!$1:$1,0)+1,FALSE)</f>
        <v>ログイン回数</v>
      </c>
      <c r="I687" s="60" t="s">
        <v>457</v>
      </c>
      <c r="J687" s="54" t="str">
        <f ca="1">IF(F687="specific_unit_aquired_count",SUBSTITUTE(G687,"x",VLOOKUP(INT($I687),OFFSET([3]characters!$A$2,0,0,COUNTA([3]characters!$A:$A),MATCH(J$1,[3]characters!$2:$2,0)-MATCH("character_id",[3]characters!$2:$2,0)+1),MATCH(J$1,[3]characters!$2:$2,0)-MATCH("character_id",[3]characters!$2:$2,0)+1,FALSE)),IF(F687="specific_quest_clear",VLOOKUP(SUBSTITUTE(I687,"-","_"),OFFSET([2]stages!$A$2,0,0,COUNTA([2]stages!$A:$A),MATCH("name",[2]stages!$2:$2,0)-MATCH("temp_stage",[2]stages!$2:$2,0)+1),MATCH("name",[2]stages!$2:$2,0)-MATCH("temp_stage",[2]stages!$2:$2,0)+1,FALSE),""))</f>
        <v/>
      </c>
      <c r="K687" s="15">
        <v>1</v>
      </c>
      <c r="L687" s="15" t="s">
        <v>542</v>
      </c>
      <c r="M687" s="26" t="str">
        <f ca="1">IFERROR(VLOOKUP($L693,OFFSET(missions!$A$2,0,0,COUNTA($A:$A),MATCH(M$1,missions!$2:$2,0)-MATCH("mission_id",missions!$2:$2,0)+1),MATCH(M$1,missions!$2:$2,0)-MATCH("mission_id",missions!$2:$2,0)+1,FALSE),"")</f>
        <v/>
      </c>
      <c r="N687" s="26" t="str">
        <f ca="1">IFERROR(VLOOKUP($L693,OFFSET(missions!$A$2,0,0,COUNTA($A:$A),MATCH(N$1,missions!$2:$2,0)-MATCH("mission_id",missions!$2:$2,0)+1),MATCH(N$1,missions!$2:$2,0)-MATCH("mission_id",missions!$2:$2,0)+1,FALSE),"")</f>
        <v/>
      </c>
    </row>
    <row r="688" spans="1:14" ht="21" customHeight="1" x14ac:dyDescent="0.15">
      <c r="A688" s="2" t="s">
        <v>1465</v>
      </c>
      <c r="B688" s="21" t="s">
        <v>792</v>
      </c>
      <c r="C688" s="26" t="str">
        <f t="shared" ref="C688" ca="1" si="94">IF(F688="specific_quest_clear",SUBSTITUTE(G688,"x",J688),IF(F688="specific_unit_aquired_count",SUBSTITUTE(J688,"y",K688),SUBSTITUTE(G688,"x",I688)))</f>
        <v>通算 7 日ログインしよう！</v>
      </c>
      <c r="D688" s="26" t="str">
        <f ca="1">IFERROR(VLOOKUP($A688,OFFSET(achievement_criterion_id,0,0,COUNTA($A:$A),MATCH(D$1,missions!$2:$2,0)-MATCH($A$1,missions!$2:$2,0)+1),MATCH(D$1,missions!$2:$2,0)-MATCH($A$1,missions!$2:$2,0)+1,FALSE),IFERROR(VLOOKUP($A688,OFFSET(weekly_achievement_criterion_id,0,0,COUNTA($A:$A),MATCH(D$1,weekly_missions!$2:$2,0)-MATCH($A$1,weekly_missions!$2:$2,0)+1),MATCH(D$1,weekly_missions!$2:$2,0)-MATCH($A$1,weekly_missions!$2:$2,0)+1,FALSE),"＊missions 未設定＊"))</f>
        <v>ポリゴン x 4</v>
      </c>
      <c r="E688" s="27" t="s">
        <v>864</v>
      </c>
      <c r="F688" s="17" t="s">
        <v>18</v>
      </c>
      <c r="G688" s="26" t="str">
        <f ca="1">VLOOKUP($F688,OFFSET(達成条件!$A$1,0,0,COUNTA($A:$A),MATCH(G$1,達成条件!$1:$1,0)-MATCH($F$1,達成条件!$1:$1,0)+1),MATCH(G$1,達成条件!$1:$1,0)-MATCH($F$1,達成条件!$1:$1,0)+1,FALSE)</f>
        <v>通算 x 日ログインしよう！</v>
      </c>
      <c r="H688" s="26" t="str">
        <f ca="1">VLOOKUP($F688,OFFSET(達成条件!$A$1,0,0,COUNTA($A:$A),MATCH(H$1,達成条件!$1:$1,0)-MATCH($F$1,達成条件!$1:$1,0)+1),MATCH(H$1,達成条件!$1:$1,0)-MATCH($F$1,達成条件!$1:$1,0)+1,FALSE)</f>
        <v>ログイン回数</v>
      </c>
      <c r="I688" s="60" t="s">
        <v>457</v>
      </c>
      <c r="J688" s="54" t="str">
        <f ca="1">IF(F688="specific_unit_aquired_count",SUBSTITUTE(G688,"x",VLOOKUP(INT($I688),OFFSET([3]characters!$A$2,0,0,COUNTA([3]characters!$A:$A),MATCH(J$1,[3]characters!$2:$2,0)-MATCH("character_id",[3]characters!$2:$2,0)+1),MATCH(J$1,[3]characters!$2:$2,0)-MATCH("character_id",[3]characters!$2:$2,0)+1,FALSE)),IF(F688="specific_quest_clear",VLOOKUP(SUBSTITUTE(I688,"-","_"),OFFSET([2]stages!$A$2,0,0,COUNTA([2]stages!$A:$A),MATCH("name",[2]stages!$2:$2,0)-MATCH("temp_stage",[2]stages!$2:$2,0)+1),MATCH("name",[2]stages!$2:$2,0)-MATCH("temp_stage",[2]stages!$2:$2,0)+1,FALSE),""))</f>
        <v/>
      </c>
      <c r="K688" s="15">
        <v>1</v>
      </c>
      <c r="L688" s="15" t="s">
        <v>542</v>
      </c>
      <c r="M688" s="26"/>
      <c r="N688" s="26"/>
    </row>
    <row r="689" spans="1:14" ht="21" customHeight="1" x14ac:dyDescent="0.15">
      <c r="A689" s="2" t="s">
        <v>1216</v>
      </c>
      <c r="B689" s="21" t="s">
        <v>792</v>
      </c>
      <c r="C689" s="26" t="str">
        <f ca="1">IF(F689="specific_quest_clear",SUBSTITUTE(G689,"x",J689),IF(F689="specific_unit_aquired_count",SUBSTITUTE(J689,"y",K689),SUBSTITUTE(G689,"x",I689)))</f>
        <v>通算 3 日ログインしよう！</v>
      </c>
      <c r="D689" s="26" t="str">
        <f ca="1">IFERROR(VLOOKUP($A689,OFFSET(achievement_criterion_id,0,0,COUNTA($A:$A),MATCH(D$1,missions!$2:$2,0)-MATCH($A$1,missions!$2:$2,0)+1),MATCH(D$1,missions!$2:$2,0)-MATCH($A$1,missions!$2:$2,0)+1,FALSE),IFERROR(VLOOKUP($A689,OFFSET(weekly_achievement_criterion_id,0,0,COUNTA($A:$A),MATCH(D$1,weekly_missions!$2:$2,0)-MATCH($A$1,weekly_missions!$2:$2,0)+1),MATCH(D$1,weekly_missions!$2:$2,0)-MATCH($A$1,weekly_missions!$2:$2,0)+1,FALSE),"＊missions 未設定＊"))</f>
        <v>ビット x 30000</v>
      </c>
      <c r="E689" s="27" t="s">
        <v>864</v>
      </c>
      <c r="F689" s="17" t="s">
        <v>18</v>
      </c>
      <c r="G689" s="26" t="str">
        <f ca="1">VLOOKUP($F689,OFFSET(達成条件!$A$1,0,0,COUNTA($A:$A),MATCH(G$1,達成条件!$1:$1,0)-MATCH($F$1,達成条件!$1:$1,0)+1),MATCH(G$1,達成条件!$1:$1,0)-MATCH($F$1,達成条件!$1:$1,0)+1,FALSE)</f>
        <v>通算 x 日ログインしよう！</v>
      </c>
      <c r="H689" s="26" t="str">
        <f ca="1">VLOOKUP($F689,OFFSET(達成条件!$A$1,0,0,COUNTA($A:$A),MATCH(H$1,達成条件!$1:$1,0)-MATCH($F$1,達成条件!$1:$1,0)+1),MATCH(H$1,達成条件!$1:$1,0)-MATCH($F$1,達成条件!$1:$1,0)+1,FALSE)</f>
        <v>ログイン回数</v>
      </c>
      <c r="I689" s="60" t="s">
        <v>624</v>
      </c>
      <c r="J689" s="54" t="str">
        <f ca="1">IF(F689="specific_unit_aquired_count",SUBSTITUTE(G689,"x",VLOOKUP(INT($I689),OFFSET([3]characters!$A$2,0,0,COUNTA([3]characters!$A:$A),MATCH(J$1,[3]characters!$2:$2,0)-MATCH("character_id",[3]characters!$2:$2,0)+1),MATCH(J$1,[3]characters!$2:$2,0)-MATCH("character_id",[3]characters!$2:$2,0)+1,FALSE)),IF(F689="specific_quest_clear",VLOOKUP(SUBSTITUTE(I689,"-","_"),OFFSET([2]stages!$A$2,0,0,COUNTA([2]stages!$A:$A),MATCH("name",[2]stages!$2:$2,0)-MATCH("temp_stage",[2]stages!$2:$2,0)+1),MATCH("name",[2]stages!$2:$2,0)-MATCH("temp_stage",[2]stages!$2:$2,0)+1,FALSE),""))</f>
        <v/>
      </c>
      <c r="K689" s="15">
        <v>1</v>
      </c>
      <c r="L689" s="15" t="s">
        <v>542</v>
      </c>
      <c r="M689" s="26" t="str">
        <f ca="1">IFERROR(VLOOKUP($L672,OFFSET(missions!$A$2,0,0,COUNTA($A:$A),MATCH(M$1,missions!$2:$2,0)-MATCH("mission_id",missions!$2:$2,0)+1),MATCH(M$1,missions!$2:$2,0)-MATCH("mission_id",missions!$2:$2,0)+1,FALSE),"")</f>
        <v/>
      </c>
      <c r="N689" s="26" t="str">
        <f ca="1">IFERROR(VLOOKUP($L672,OFFSET(missions!$A$2,0,0,COUNTA($A:$A),MATCH(N$1,missions!$2:$2,0)-MATCH("mission_id",missions!$2:$2,0)+1),MATCH(N$1,missions!$2:$2,0)-MATCH("mission_id",missions!$2:$2,0)+1,FALSE),"")</f>
        <v/>
      </c>
    </row>
    <row r="690" spans="1:14" ht="21" customHeight="1" x14ac:dyDescent="0.15">
      <c r="A690" s="2" t="s">
        <v>1214</v>
      </c>
      <c r="B690" s="21" t="s">
        <v>792</v>
      </c>
      <c r="C690" s="26" t="str">
        <f ca="1">IF(F690="specific_quest_clear",SUBSTITUTE(G690,"x",J690),IF(F690="specific_unit_aquired_count",SUBSTITUTE(J690,"y",K690),SUBSTITUTE(G690,"x",I690)))</f>
        <v>通算 5 日ログインしよう！</v>
      </c>
      <c r="D690" s="26" t="str">
        <f ca="1">IFERROR(VLOOKUP($A690,OFFSET(achievement_criterion_id,0,0,COUNTA($A:$A),MATCH(D$1,missions!$2:$2,0)-MATCH($A$1,missions!$2:$2,0)+1),MATCH(D$1,missions!$2:$2,0)-MATCH($A$1,missions!$2:$2,0)+1,FALSE),IFERROR(VLOOKUP($A690,OFFSET(weekly_achievement_criterion_id,0,0,COUNTA($A:$A),MATCH(D$1,weekly_missions!$2:$2,0)-MATCH($A$1,weekly_missions!$2:$2,0)+1),MATCH(D$1,weekly_missions!$2:$2,0)-MATCH($A$1,weekly_missions!$2:$2,0)+1,FALSE),"＊missions 未設定＊"))</f>
        <v>リンク x 500</v>
      </c>
      <c r="E690" s="27" t="s">
        <v>864</v>
      </c>
      <c r="F690" s="17" t="s">
        <v>18</v>
      </c>
      <c r="G690" s="26" t="str">
        <f ca="1">VLOOKUP($F690,OFFSET(達成条件!$A$1,0,0,COUNTA($A:$A),MATCH(G$1,達成条件!$1:$1,0)-MATCH($F$1,達成条件!$1:$1,0)+1),MATCH(G$1,達成条件!$1:$1,0)-MATCH($F$1,達成条件!$1:$1,0)+1,FALSE)</f>
        <v>通算 x 日ログインしよう！</v>
      </c>
      <c r="H690" s="26" t="str">
        <f ca="1">VLOOKUP($F690,OFFSET(達成条件!$A$1,0,0,COUNTA($A:$A),MATCH(H$1,達成条件!$1:$1,0)-MATCH($F$1,達成条件!$1:$1,0)+1),MATCH(H$1,達成条件!$1:$1,0)-MATCH($F$1,達成条件!$1:$1,0)+1,FALSE)</f>
        <v>ログイン回数</v>
      </c>
      <c r="I690" s="60" t="s">
        <v>1164</v>
      </c>
      <c r="J690" s="54" t="str">
        <f ca="1">IF(F690="specific_unit_aquired_count",SUBSTITUTE(G690,"x",VLOOKUP(INT($I690),OFFSET([3]characters!$A$2,0,0,COUNTA([3]characters!$A:$A),MATCH(J$1,[3]characters!$2:$2,0)-MATCH("character_id",[3]characters!$2:$2,0)+1),MATCH(J$1,[3]characters!$2:$2,0)-MATCH("character_id",[3]characters!$2:$2,0)+1,FALSE)),IF(F690="specific_quest_clear",VLOOKUP(SUBSTITUTE(I690,"-","_"),OFFSET([2]stages!$A$2,0,0,COUNTA([2]stages!$A:$A),MATCH("name",[2]stages!$2:$2,0)-MATCH("temp_stage",[2]stages!$2:$2,0)+1),MATCH("name",[2]stages!$2:$2,0)-MATCH("temp_stage",[2]stages!$2:$2,0)+1,FALSE),""))</f>
        <v/>
      </c>
      <c r="K690" s="15">
        <v>1</v>
      </c>
      <c r="L690" s="15" t="s">
        <v>542</v>
      </c>
      <c r="M690" s="26" t="str">
        <f ca="1">IFERROR(VLOOKUP($L683,OFFSET(missions!$A$2,0,0,COUNTA($A:$A),MATCH(M$1,missions!$2:$2,0)-MATCH("mission_id",missions!$2:$2,0)+1),MATCH(M$1,missions!$2:$2,0)-MATCH("mission_id",missions!$2:$2,0)+1,FALSE),"")</f>
        <v/>
      </c>
      <c r="N690" s="26" t="str">
        <f ca="1">IFERROR(VLOOKUP($L683,OFFSET(missions!$A$2,0,0,COUNTA($A:$A),MATCH(N$1,missions!$2:$2,0)-MATCH("mission_id",missions!$2:$2,0)+1),MATCH(N$1,missions!$2:$2,0)-MATCH("mission_id",missions!$2:$2,0)+1,FALSE),"")</f>
        <v/>
      </c>
    </row>
    <row r="691" spans="1:14" ht="21" customHeight="1" x14ac:dyDescent="0.15">
      <c r="A691" s="2" t="s">
        <v>1215</v>
      </c>
      <c r="B691" s="21" t="s">
        <v>792</v>
      </c>
      <c r="C691" s="26" t="str">
        <f ca="1">IF(F691="specific_quest_clear",SUBSTITUTE(G691,"x",J691),IF(F691="specific_unit_aquired_count",SUBSTITUTE(J691,"y",K691),SUBSTITUTE(G691,"x",I691)))</f>
        <v>通算 7 日ログインしよう！</v>
      </c>
      <c r="D691" s="26" t="str">
        <f ca="1">IFERROR(VLOOKUP($A691,OFFSET(achievement_criterion_id,0,0,COUNTA($A:$A),MATCH(D$1,missions!$2:$2,0)-MATCH($A$1,missions!$2:$2,0)+1),MATCH(D$1,missions!$2:$2,0)-MATCH($A$1,missions!$2:$2,0)+1,FALSE),IFERROR(VLOOKUP($A691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691" s="27" t="s">
        <v>864</v>
      </c>
      <c r="F691" s="17" t="s">
        <v>18</v>
      </c>
      <c r="G691" s="26" t="str">
        <f ca="1">VLOOKUP($F691,OFFSET(達成条件!$A$1,0,0,COUNTA($A:$A),MATCH(G$1,達成条件!$1:$1,0)-MATCH($F$1,達成条件!$1:$1,0)+1),MATCH(G$1,達成条件!$1:$1,0)-MATCH($F$1,達成条件!$1:$1,0)+1,FALSE)</f>
        <v>通算 x 日ログインしよう！</v>
      </c>
      <c r="H691" s="26" t="str">
        <f ca="1">VLOOKUP($F691,OFFSET(達成条件!$A$1,0,0,COUNTA($A:$A),MATCH(H$1,達成条件!$1:$1,0)-MATCH($F$1,達成条件!$1:$1,0)+1),MATCH(H$1,達成条件!$1:$1,0)-MATCH($F$1,達成条件!$1:$1,0)+1,FALSE)</f>
        <v>ログイン回数</v>
      </c>
      <c r="I691" s="60" t="s">
        <v>457</v>
      </c>
      <c r="J691" s="54" t="str">
        <f ca="1">IF(F691="specific_unit_aquired_count",SUBSTITUTE(G691,"x",VLOOKUP(INT($I691),OFFSET([3]characters!$A$2,0,0,COUNTA([3]characters!$A:$A),MATCH(J$1,[3]characters!$2:$2,0)-MATCH("character_id",[3]characters!$2:$2,0)+1),MATCH(J$1,[3]characters!$2:$2,0)-MATCH("character_id",[3]characters!$2:$2,0)+1,FALSE)),IF(F691="specific_quest_clear",VLOOKUP(SUBSTITUTE(I691,"-","_"),OFFSET([2]stages!$A$2,0,0,COUNTA([2]stages!$A:$A),MATCH("name",[2]stages!$2:$2,0)-MATCH("temp_stage",[2]stages!$2:$2,0)+1),MATCH("name",[2]stages!$2:$2,0)-MATCH("temp_stage",[2]stages!$2:$2,0)+1,FALSE),""))</f>
        <v/>
      </c>
      <c r="K691" s="15">
        <v>1</v>
      </c>
      <c r="L691" s="15" t="s">
        <v>542</v>
      </c>
      <c r="M691" s="26" t="str">
        <f ca="1">IFERROR(VLOOKUP($L683,OFFSET(missions!$A$2,0,0,COUNTA($A:$A),MATCH(M$1,missions!$2:$2,0)-MATCH("mission_id",missions!$2:$2,0)+1),MATCH(M$1,missions!$2:$2,0)-MATCH("mission_id",missions!$2:$2,0)+1,FALSE),"")</f>
        <v/>
      </c>
      <c r="N691" s="26" t="str">
        <f ca="1">IFERROR(VLOOKUP($L683,OFFSET(missions!$A$2,0,0,COUNTA($A:$A),MATCH(N$1,missions!$2:$2,0)-MATCH("mission_id",missions!$2:$2,0)+1),MATCH(N$1,missions!$2:$2,0)-MATCH("mission_id",missions!$2:$2,0)+1,FALSE),"")</f>
        <v/>
      </c>
    </row>
    <row r="692" spans="1:14" ht="21" customHeight="1" x14ac:dyDescent="0.15">
      <c r="A692" s="2" t="s">
        <v>657</v>
      </c>
      <c r="B692" s="21" t="s">
        <v>792</v>
      </c>
      <c r="C692" s="26" t="str">
        <f ca="1">IF(F692="specific_quest_clear",SUBSTITUTE(G692,"x",J692),IF(F692="specific_unit_aquired_count",SUBSTITUTE(J692,"y",K692),SUBSTITUTE(G692,"x",I692)))</f>
        <v>ユニット 【ゴクウ】 を 3 体ゲットしよう！</v>
      </c>
      <c r="D692" s="26" t="str">
        <f ca="1">IFERROR(VLOOKUP($A692,OFFSET(achievement_criterion_id,0,0,COUNTA($A:$A),MATCH(D$1,missions!$2:$2,0)-MATCH($A$1,missions!$2:$2,0)+1),MATCH(D$1,missions!$2:$2,0)-MATCH($A$1,missions!$2:$2,0)+1,FALSE),IFERROR(VLOOKUP($A692,OFFSET(weekly_achievement_criterion_id,0,0,COUNTA($A:$A),MATCH(D$1,weekly_missions!$2:$2,0)-MATCH($A$1,weekly_missions!$2:$2,0)+1),MATCH(D$1,weekly_missions!$2:$2,0)-MATCH($A$1,weekly_missions!$2:$2,0)+1,FALSE),"＊missions 未設定＊"))</f>
        <v>攻めの果実 x 1</v>
      </c>
      <c r="E692" s="27" t="s">
        <v>864</v>
      </c>
      <c r="F692" s="2" t="s">
        <v>31</v>
      </c>
      <c r="G692" s="26" t="str">
        <f ca="1">VLOOKUP($F692,OFFSET(達成条件!$A$1,0,0,COUNTA($A:$A),MATCH(G$1,達成条件!$1:$1,0)-MATCH($F$1,達成条件!$1:$1,0)+1),MATCH(G$1,達成条件!$1:$1,0)-MATCH($F$1,達成条件!$1:$1,0)+1,FALSE)</f>
        <v>ユニット 【x】 を y 体ゲットしよう！</v>
      </c>
      <c r="H692" s="26" t="str">
        <f ca="1">VLOOKUP($F692,OFFSET(達成条件!$A$1,0,0,COUNTA($A:$A),MATCH(H$1,達成条件!$1:$1,0)-MATCH($F$1,達成条件!$1:$1,0)+1),MATCH(H$1,達成条件!$1:$1,0)-MATCH($F$1,達成条件!$1:$1,0)+1,FALSE)</f>
        <v>ユニットID</v>
      </c>
      <c r="I692" s="60">
        <v>33</v>
      </c>
      <c r="J692" s="54" t="str">
        <f ca="1">IF(F692="specific_unit_aquired_count",SUBSTITUTE(G692,"x",VLOOKUP(INT($I692),OFFSET([3]characters!$A$1,0,0,COUNTA([3]characters!$A:$A),MATCH(J$1,[3]characters!$1:$1,0)-MATCH("character_id",[3]characters!$1:$1,0)+1),MATCH(J$1,[3]characters!$1:$1,0)-MATCH("character_id",[3]characters!$1:$1,0)+1,FALSE)),IF(F692="specific_quest_clear",VLOOKUP(SUBSTITUTE(I692,"-","_"),OFFSET([2]stages!$A$1,0,0,COUNTA([2]stages!$A:$A),MATCH("name",[2]stages!$1:$1,0)-MATCH("temp_stage",[2]stages!$1:$1,0)+1),MATCH("name",[2]stages!$1:$1,0)-MATCH("temp_stage",[2]stages!$1:$1,0)+1,FALSE),""))</f>
        <v>ユニット 【ゴクウ】 を y 体ゲットしよう！</v>
      </c>
      <c r="K692" s="41" t="s">
        <v>624</v>
      </c>
      <c r="L692" s="15" t="s">
        <v>542</v>
      </c>
      <c r="M692" s="26" t="str">
        <f ca="1">IFERROR(VLOOKUP($L694,OFFSET(missions!$A$2,0,0,COUNTA($A:$A),MATCH(M$1,missions!$2:$2,0)-MATCH("mission_id",missions!$2:$2,0)+1),MATCH(M$1,missions!$2:$2,0)-MATCH("mission_id",missions!$2:$2,0)+1,FALSE),"")</f>
        <v/>
      </c>
      <c r="N692" s="26" t="str">
        <f ca="1">IFERROR(VLOOKUP($L694,OFFSET(missions!$A$2,0,0,COUNTA($A:$A),MATCH(N$1,missions!$2:$2,0)-MATCH("mission_id",missions!$2:$2,0)+1),MATCH(N$1,missions!$2:$2,0)-MATCH("mission_id",missions!$2:$2,0)+1,FALSE),"")</f>
        <v/>
      </c>
    </row>
    <row r="693" spans="1:14" ht="21" customHeight="1" x14ac:dyDescent="0.15">
      <c r="A693" s="2" t="s">
        <v>658</v>
      </c>
      <c r="B693" s="21" t="s">
        <v>792</v>
      </c>
      <c r="C693" s="26" t="str">
        <f t="shared" ca="1" si="64"/>
        <v>ユニット 【F2】 を 3 体ゲットしよう！</v>
      </c>
      <c r="D693" s="26" t="str">
        <f ca="1">IFERROR(VLOOKUP($A693,OFFSET(achievement_criterion_id,0,0,COUNTA($A:$A),MATCH(D$1,missions!$2:$2,0)-MATCH($A$1,missions!$2:$2,0)+1),MATCH(D$1,missions!$2:$2,0)-MATCH($A$1,missions!$2:$2,0)+1,FALSE),IFERROR(VLOOKUP($A693,OFFSET(weekly_achievement_criterion_id,0,0,COUNTA($A:$A),MATCH(D$1,weekly_missions!$2:$2,0)-MATCH($A$1,weekly_missions!$2:$2,0)+1),MATCH(D$1,weekly_missions!$2:$2,0)-MATCH($A$1,weekly_missions!$2:$2,0)+1,FALSE),"＊missions 未設定＊"))</f>
        <v>生命の果実 x 1</v>
      </c>
      <c r="E693" s="27" t="s">
        <v>864</v>
      </c>
      <c r="F693" s="2" t="s">
        <v>31</v>
      </c>
      <c r="G693" s="26" t="str">
        <f ca="1">VLOOKUP($F693,OFFSET(達成条件!$A$1,0,0,COUNTA($A:$A),MATCH(G$1,達成条件!$1:$1,0)-MATCH($F$1,達成条件!$1:$1,0)+1),MATCH(G$1,達成条件!$1:$1,0)-MATCH($F$1,達成条件!$1:$1,0)+1,FALSE)</f>
        <v>ユニット 【x】 を y 体ゲットしよう！</v>
      </c>
      <c r="H693" s="26" t="str">
        <f ca="1">VLOOKUP($F693,OFFSET(達成条件!$A$1,0,0,COUNTA($A:$A),MATCH(H$1,達成条件!$1:$1,0)-MATCH($F$1,達成条件!$1:$1,0)+1),MATCH(H$1,達成条件!$1:$1,0)-MATCH($F$1,達成条件!$1:$1,0)+1,FALSE)</f>
        <v>ユニットID</v>
      </c>
      <c r="I693" s="60">
        <v>35</v>
      </c>
      <c r="J693" s="54" t="str">
        <f ca="1">IF(F693="specific_unit_aquired_count",SUBSTITUTE(G693,"x",VLOOKUP(INT($I693),OFFSET([3]characters!$A$1,0,0,COUNTA([3]characters!$A:$A),MATCH(J$1,[3]characters!$1:$1,0)-MATCH("character_id",[3]characters!$1:$1,0)+1),MATCH(J$1,[3]characters!$1:$1,0)-MATCH("character_id",[3]characters!$1:$1,0)+1,FALSE)),IF(F693="specific_quest_clear",VLOOKUP(SUBSTITUTE(I693,"-","_"),OFFSET([2]stages!$A$1,0,0,COUNTA([2]stages!$A:$A),MATCH("name",[2]stages!$1:$1,0)-MATCH("temp_stage",[2]stages!$1:$1,0)+1),MATCH("name",[2]stages!$1:$1,0)-MATCH("temp_stage",[2]stages!$1:$1,0)+1,FALSE),""))</f>
        <v>ユニット 【F2】 を y 体ゲットしよう！</v>
      </c>
      <c r="K693" s="41" t="s">
        <v>624</v>
      </c>
      <c r="L693" s="15" t="s">
        <v>542</v>
      </c>
      <c r="M693" s="26" t="str">
        <f ca="1">IFERROR(VLOOKUP($L695,OFFSET(missions!$A$2,0,0,COUNTA($A:$A),MATCH(M$1,missions!$2:$2,0)-MATCH("mission_id",missions!$2:$2,0)+1),MATCH(M$1,missions!$2:$2,0)-MATCH("mission_id",missions!$2:$2,0)+1,FALSE),"")</f>
        <v/>
      </c>
      <c r="N693" s="26" t="str">
        <f ca="1">IFERROR(VLOOKUP($L695,OFFSET(missions!$A$2,0,0,COUNTA($A:$A),MATCH(N$1,missions!$2:$2,0)-MATCH("mission_id",missions!$2:$2,0)+1),MATCH(N$1,missions!$2:$2,0)-MATCH("mission_id",missions!$2:$2,0)+1,FALSE),"")</f>
        <v/>
      </c>
    </row>
    <row r="694" spans="1:14" ht="21" customHeight="1" x14ac:dyDescent="0.15">
      <c r="A694" s="2" t="s">
        <v>659</v>
      </c>
      <c r="B694" s="21" t="s">
        <v>792</v>
      </c>
      <c r="C694" s="26" t="str">
        <f t="shared" ca="1" si="64"/>
        <v>ユニット 【ガイル】 を 3 体ゲットしよう！</v>
      </c>
      <c r="D694" s="26" t="str">
        <f ca="1">IFERROR(VLOOKUP($A694,OFFSET(achievement_criterion_id,0,0,COUNTA($A:$A),MATCH(D$1,missions!$2:$2,0)-MATCH($A$1,missions!$2:$2,0)+1),MATCH(D$1,missions!$2:$2,0)-MATCH($A$1,missions!$2:$2,0)+1,FALSE),IFERROR(VLOOKUP($A694,OFFSET(weekly_achievement_criterion_id,0,0,COUNTA($A:$A),MATCH(D$1,weekly_missions!$2:$2,0)-MATCH($A$1,weekly_missions!$2:$2,0)+1),MATCH(D$1,weekly_missions!$2:$2,0)-MATCH($A$1,weekly_missions!$2:$2,0)+1,FALSE),"＊missions 未設定＊"))</f>
        <v>癒しの果実 x 1</v>
      </c>
      <c r="E694" s="27" t="s">
        <v>864</v>
      </c>
      <c r="F694" s="2" t="s">
        <v>31</v>
      </c>
      <c r="G694" s="26" t="str">
        <f ca="1">VLOOKUP($F694,OFFSET(達成条件!$A$1,0,0,COUNTA($A:$A),MATCH(G$1,達成条件!$1:$1,0)-MATCH($F$1,達成条件!$1:$1,0)+1),MATCH(G$1,達成条件!$1:$1,0)-MATCH($F$1,達成条件!$1:$1,0)+1,FALSE)</f>
        <v>ユニット 【x】 を y 体ゲットしよう！</v>
      </c>
      <c r="H694" s="26" t="str">
        <f ca="1">VLOOKUP($F694,OFFSET(達成条件!$A$1,0,0,COUNTA($A:$A),MATCH(H$1,達成条件!$1:$1,0)-MATCH($F$1,達成条件!$1:$1,0)+1),MATCH(H$1,達成条件!$1:$1,0)-MATCH($F$1,達成条件!$1:$1,0)+1,FALSE)</f>
        <v>ユニットID</v>
      </c>
      <c r="I694" s="60">
        <v>37</v>
      </c>
      <c r="J694" s="54" t="str">
        <f ca="1">IF(F694="specific_unit_aquired_count",SUBSTITUTE(G694,"x",VLOOKUP(INT($I694),OFFSET([3]characters!$A$1,0,0,COUNTA([3]characters!$A:$A),MATCH(J$1,[3]characters!$1:$1,0)-MATCH("character_id",[3]characters!$1:$1,0)+1),MATCH(J$1,[3]characters!$1:$1,0)-MATCH("character_id",[3]characters!$1:$1,0)+1,FALSE)),IF(F694="specific_quest_clear",VLOOKUP(SUBSTITUTE(I694,"-","_"),OFFSET([2]stages!$A$1,0,0,COUNTA([2]stages!$A:$A),MATCH("name",[2]stages!$1:$1,0)-MATCH("temp_stage",[2]stages!$1:$1,0)+1),MATCH("name",[2]stages!$1:$1,0)-MATCH("temp_stage",[2]stages!$1:$1,0)+1,FALSE),""))</f>
        <v>ユニット 【ガイル】 を y 体ゲットしよう！</v>
      </c>
      <c r="K694" s="41" t="s">
        <v>624</v>
      </c>
      <c r="L694" s="15" t="s">
        <v>542</v>
      </c>
      <c r="M694" s="26" t="str">
        <f ca="1">IFERROR(VLOOKUP($L696,OFFSET(missions!$A$2,0,0,COUNTA($A:$A),MATCH(M$1,missions!$2:$2,0)-MATCH("mission_id",missions!$2:$2,0)+1),MATCH(M$1,missions!$2:$2,0)-MATCH("mission_id",missions!$2:$2,0)+1,FALSE),"")</f>
        <v/>
      </c>
      <c r="N694" s="26" t="str">
        <f ca="1">IFERROR(VLOOKUP($L696,OFFSET(missions!$A$2,0,0,COUNTA($A:$A),MATCH(N$1,missions!$2:$2,0)-MATCH("mission_id",missions!$2:$2,0)+1),MATCH(N$1,missions!$2:$2,0)-MATCH("mission_id",missions!$2:$2,0)+1,FALSE),"")</f>
        <v/>
      </c>
    </row>
    <row r="695" spans="1:14" ht="21" customHeight="1" x14ac:dyDescent="0.15">
      <c r="A695" s="2" t="s">
        <v>660</v>
      </c>
      <c r="B695" s="21" t="s">
        <v>792</v>
      </c>
      <c r="C695" s="26" t="str">
        <f t="shared" ca="1" si="64"/>
        <v>ユニット 【ファイアフォックス】 を 3 体ゲットしよう！</v>
      </c>
      <c r="D695" s="26" t="str">
        <f ca="1">IFERROR(VLOOKUP($A695,OFFSET(achievement_criterion_id,0,0,COUNTA($A:$A),MATCH(D$1,missions!$2:$2,0)-MATCH($A$1,missions!$2:$2,0)+1),MATCH(D$1,missions!$2:$2,0)-MATCH($A$1,missions!$2:$2,0)+1,FALSE),IFERROR(VLOOKUP($A695,OFFSET(weekly_achievement_criterion_id,0,0,COUNTA($A:$A),MATCH(D$1,weekly_missions!$2:$2,0)-MATCH($A$1,weekly_missions!$2:$2,0)+1),MATCH(D$1,weekly_missions!$2:$2,0)-MATCH($A$1,weekly_missions!$2:$2,0)+1,FALSE),"＊missions 未設定＊"))</f>
        <v>攻めの果実 x 1</v>
      </c>
      <c r="E695" s="27" t="s">
        <v>864</v>
      </c>
      <c r="F695" s="2" t="s">
        <v>31</v>
      </c>
      <c r="G695" s="26" t="str">
        <f ca="1">VLOOKUP($F695,OFFSET(達成条件!$A$1,0,0,COUNTA($A:$A),MATCH(G$1,達成条件!$1:$1,0)-MATCH($F$1,達成条件!$1:$1,0)+1),MATCH(G$1,達成条件!$1:$1,0)-MATCH($F$1,達成条件!$1:$1,0)+1,FALSE)</f>
        <v>ユニット 【x】 を y 体ゲットしよう！</v>
      </c>
      <c r="H695" s="26" t="str">
        <f ca="1">VLOOKUP($F695,OFFSET(達成条件!$A$1,0,0,COUNTA($A:$A),MATCH(H$1,達成条件!$1:$1,0)-MATCH($F$1,達成条件!$1:$1,0)+1),MATCH(H$1,達成条件!$1:$1,0)-MATCH($F$1,達成条件!$1:$1,0)+1,FALSE)</f>
        <v>ユニットID</v>
      </c>
      <c r="I695" s="60">
        <v>65</v>
      </c>
      <c r="J695" s="54" t="str">
        <f ca="1">IF(F695="specific_unit_aquired_count",SUBSTITUTE(G695,"x",VLOOKUP(INT($I695),OFFSET([3]characters!$A$1,0,0,COUNTA([3]characters!$A:$A),MATCH(J$1,[3]characters!$1:$1,0)-MATCH("character_id",[3]characters!$1:$1,0)+1),MATCH(J$1,[3]characters!$1:$1,0)-MATCH("character_id",[3]characters!$1:$1,0)+1,FALSE)),IF(F695="specific_quest_clear",VLOOKUP(SUBSTITUTE(I695,"-","_"),OFFSET([2]stages!$A$1,0,0,COUNTA([2]stages!$A:$A),MATCH("name",[2]stages!$1:$1,0)-MATCH("temp_stage",[2]stages!$1:$1,0)+1),MATCH("name",[2]stages!$1:$1,0)-MATCH("temp_stage",[2]stages!$1:$1,0)+1,FALSE),""))</f>
        <v>ユニット 【ファイアフォックス】 を y 体ゲットしよう！</v>
      </c>
      <c r="K695" s="41" t="s">
        <v>625</v>
      </c>
      <c r="L695" s="15" t="s">
        <v>542</v>
      </c>
      <c r="M695" s="26" t="str">
        <f ca="1">IFERROR(VLOOKUP($L697,OFFSET(missions!$A$2,0,0,COUNTA($A:$A),MATCH(M$1,missions!$2:$2,0)-MATCH("mission_id",missions!$2:$2,0)+1),MATCH(M$1,missions!$2:$2,0)-MATCH("mission_id",missions!$2:$2,0)+1,FALSE),"")</f>
        <v/>
      </c>
      <c r="N695" s="26" t="str">
        <f ca="1">IFERROR(VLOOKUP($L697,OFFSET(missions!$A$2,0,0,COUNTA($A:$A),MATCH(N$1,missions!$2:$2,0)-MATCH("mission_id",missions!$2:$2,0)+1),MATCH(N$1,missions!$2:$2,0)-MATCH("mission_id",missions!$2:$2,0)+1,FALSE),"")</f>
        <v/>
      </c>
    </row>
    <row r="696" spans="1:14" ht="21" customHeight="1" x14ac:dyDescent="0.15">
      <c r="A696" s="2" t="s">
        <v>661</v>
      </c>
      <c r="B696" s="21" t="s">
        <v>792</v>
      </c>
      <c r="C696" s="26" t="str">
        <f t="shared" ca="1" si="64"/>
        <v>ユニット 【ストール】 を 3 体ゲットしよう！</v>
      </c>
      <c r="D696" s="26" t="str">
        <f ca="1">IFERROR(VLOOKUP($A696,OFFSET(achievement_criterion_id,0,0,COUNTA($A:$A),MATCH(D$1,missions!$2:$2,0)-MATCH($A$1,missions!$2:$2,0)+1),MATCH(D$1,missions!$2:$2,0)-MATCH($A$1,missions!$2:$2,0)+1,FALSE),IFERROR(VLOOKUP($A696,OFFSET(weekly_achievement_criterion_id,0,0,COUNTA($A:$A),MATCH(D$1,weekly_missions!$2:$2,0)-MATCH($A$1,weekly_missions!$2:$2,0)+1),MATCH(D$1,weekly_missions!$2:$2,0)-MATCH($A$1,weekly_missions!$2:$2,0)+1,FALSE),"＊missions 未設定＊"))</f>
        <v>生命の果実 x 1</v>
      </c>
      <c r="E696" s="27" t="s">
        <v>864</v>
      </c>
      <c r="F696" s="2" t="s">
        <v>31</v>
      </c>
      <c r="G696" s="26" t="str">
        <f ca="1">VLOOKUP($F696,OFFSET(達成条件!$A$1,0,0,COUNTA($A:$A),MATCH(G$1,達成条件!$1:$1,0)-MATCH($F$1,達成条件!$1:$1,0)+1),MATCH(G$1,達成条件!$1:$1,0)-MATCH($F$1,達成条件!$1:$1,0)+1,FALSE)</f>
        <v>ユニット 【x】 を y 体ゲットしよう！</v>
      </c>
      <c r="H696" s="26" t="str">
        <f ca="1">VLOOKUP($F696,OFFSET(達成条件!$A$1,0,0,COUNTA($A:$A),MATCH(H$1,達成条件!$1:$1,0)-MATCH($F$1,達成条件!$1:$1,0)+1),MATCH(H$1,達成条件!$1:$1,0)-MATCH($F$1,達成条件!$1:$1,0)+1,FALSE)</f>
        <v>ユニットID</v>
      </c>
      <c r="I696" s="60">
        <v>68</v>
      </c>
      <c r="J696" s="54" t="str">
        <f ca="1">IF(F696="specific_unit_aquired_count",SUBSTITUTE(G696,"x",VLOOKUP(INT($I696),OFFSET([3]characters!$A$1,0,0,COUNTA([3]characters!$A:$A),MATCH(J$1,[3]characters!$1:$1,0)-MATCH("character_id",[3]characters!$1:$1,0)+1),MATCH(J$1,[3]characters!$1:$1,0)-MATCH("character_id",[3]characters!$1:$1,0)+1,FALSE)),IF(F696="specific_quest_clear",VLOOKUP(SUBSTITUTE(I696,"-","_"),OFFSET([2]stages!$A$1,0,0,COUNTA([2]stages!$A:$A),MATCH("name",[2]stages!$1:$1,0)-MATCH("temp_stage",[2]stages!$1:$1,0)+1),MATCH("name",[2]stages!$1:$1,0)-MATCH("temp_stage",[2]stages!$1:$1,0)+1,FALSE),""))</f>
        <v>ユニット 【ストール】 を y 体ゲットしよう！</v>
      </c>
      <c r="K696" s="41" t="s">
        <v>625</v>
      </c>
      <c r="L696" s="15" t="s">
        <v>542</v>
      </c>
      <c r="M696" s="26" t="str">
        <f ca="1">IFERROR(VLOOKUP($L698,OFFSET(missions!$A$2,0,0,COUNTA($A:$A),MATCH(M$1,missions!$2:$2,0)-MATCH("mission_id",missions!$2:$2,0)+1),MATCH(M$1,missions!$2:$2,0)-MATCH("mission_id",missions!$2:$2,0)+1,FALSE),"")</f>
        <v/>
      </c>
      <c r="N696" s="26" t="str">
        <f ca="1">IFERROR(VLOOKUP($L698,OFFSET(missions!$A$2,0,0,COUNTA($A:$A),MATCH(N$1,missions!$2:$2,0)-MATCH("mission_id",missions!$2:$2,0)+1),MATCH(N$1,missions!$2:$2,0)-MATCH("mission_id",missions!$2:$2,0)+1,FALSE),"")</f>
        <v/>
      </c>
    </row>
    <row r="697" spans="1:14" ht="21" customHeight="1" x14ac:dyDescent="0.15">
      <c r="A697" s="2" t="s">
        <v>662</v>
      </c>
      <c r="B697" s="21" t="s">
        <v>792</v>
      </c>
      <c r="C697" s="26" t="str">
        <f t="shared" ca="1" si="64"/>
        <v>ユニット 【ダックス】 を 3 体ゲットしよう！</v>
      </c>
      <c r="D697" s="26" t="str">
        <f ca="1">IFERROR(VLOOKUP($A697,OFFSET(achievement_criterion_id,0,0,COUNTA($A:$A),MATCH(D$1,missions!$2:$2,0)-MATCH($A$1,missions!$2:$2,0)+1),MATCH(D$1,missions!$2:$2,0)-MATCH($A$1,missions!$2:$2,0)+1,FALSE),IFERROR(VLOOKUP($A697,OFFSET(weekly_achievement_criterion_id,0,0,COUNTA($A:$A),MATCH(D$1,weekly_missions!$2:$2,0)-MATCH($A$1,weekly_missions!$2:$2,0)+1),MATCH(D$1,weekly_missions!$2:$2,0)-MATCH($A$1,weekly_missions!$2:$2,0)+1,FALSE),"＊missions 未設定＊"))</f>
        <v>癒しの果実 x 1</v>
      </c>
      <c r="E697" s="27" t="s">
        <v>864</v>
      </c>
      <c r="F697" s="2" t="s">
        <v>31</v>
      </c>
      <c r="G697" s="26" t="str">
        <f ca="1">VLOOKUP($F697,OFFSET(達成条件!$A$1,0,0,COUNTA($A:$A),MATCH(G$1,達成条件!$1:$1,0)-MATCH($F$1,達成条件!$1:$1,0)+1),MATCH(G$1,達成条件!$1:$1,0)-MATCH($F$1,達成条件!$1:$1,0)+1,FALSE)</f>
        <v>ユニット 【x】 を y 体ゲットしよう！</v>
      </c>
      <c r="H697" s="26" t="str">
        <f ca="1">VLOOKUP($F697,OFFSET(達成条件!$A$1,0,0,COUNTA($A:$A),MATCH(H$1,達成条件!$1:$1,0)-MATCH($F$1,達成条件!$1:$1,0)+1),MATCH(H$1,達成条件!$1:$1,0)-MATCH($F$1,達成条件!$1:$1,0)+1,FALSE)</f>
        <v>ユニットID</v>
      </c>
      <c r="I697" s="60">
        <v>71</v>
      </c>
      <c r="J697" s="54" t="str">
        <f ca="1">IF(F697="specific_unit_aquired_count",SUBSTITUTE(G697,"x",VLOOKUP(INT($I697),OFFSET([3]characters!$A$1,0,0,COUNTA([3]characters!$A:$A),MATCH(J$1,[3]characters!$1:$1,0)-MATCH("character_id",[3]characters!$1:$1,0)+1),MATCH(J$1,[3]characters!$1:$1,0)-MATCH("character_id",[3]characters!$1:$1,0)+1,FALSE)),IF(F697="specific_quest_clear",VLOOKUP(SUBSTITUTE(I697,"-","_"),OFFSET([2]stages!$A$1,0,0,COUNTA([2]stages!$A:$A),MATCH("name",[2]stages!$1:$1,0)-MATCH("temp_stage",[2]stages!$1:$1,0)+1),MATCH("name",[2]stages!$1:$1,0)-MATCH("temp_stage",[2]stages!$1:$1,0)+1,FALSE),""))</f>
        <v>ユニット 【ダックス】 を y 体ゲットしよう！</v>
      </c>
      <c r="K697" s="41" t="s">
        <v>625</v>
      </c>
      <c r="L697" s="15" t="s">
        <v>542</v>
      </c>
      <c r="M697" s="26" t="str">
        <f ca="1">IFERROR(VLOOKUP($L699,OFFSET(missions!$A$2,0,0,COUNTA($A:$A),MATCH(M$1,missions!$2:$2,0)-MATCH("mission_id",missions!$2:$2,0)+1),MATCH(M$1,missions!$2:$2,0)-MATCH("mission_id",missions!$2:$2,0)+1,FALSE),"")</f>
        <v/>
      </c>
      <c r="N697" s="26" t="str">
        <f ca="1">IFERROR(VLOOKUP($L699,OFFSET(missions!$A$2,0,0,COUNTA($A:$A),MATCH(N$1,missions!$2:$2,0)-MATCH("mission_id",missions!$2:$2,0)+1),MATCH(N$1,missions!$2:$2,0)-MATCH("mission_id",missions!$2:$2,0)+1,FALSE),"")</f>
        <v/>
      </c>
    </row>
    <row r="698" spans="1:14" ht="21" customHeight="1" x14ac:dyDescent="0.15">
      <c r="A698" s="2" t="s">
        <v>736</v>
      </c>
      <c r="B698" s="21" t="s">
        <v>792</v>
      </c>
      <c r="C698" s="27" t="s">
        <v>713</v>
      </c>
      <c r="D698" s="26" t="str">
        <f ca="1">IFERROR(VLOOKUP($A698,OFFSET(achievement_criterion_id,0,0,COUNTA($A:$A),MATCH(D$1,missions!$2:$2,0)-MATCH($A$1,missions!$2:$2,0)+1),MATCH(D$1,missions!$2:$2,0)-MATCH($A$1,missions!$2:$2,0)+1,FALSE),IFERROR(VLOOKUP($A698,OFFSET(weekly_achievement_criterion_id,0,0,COUNTA($A:$A),MATCH(D$1,weekly_missions!$2:$2,0)-MATCH($A$1,weekly_missions!$2:$2,0)+1),MATCH(D$1,weekly_missions!$2:$2,0)-MATCH($A$1,weekly_missions!$2:$2,0)+1,FALSE),"＊missions 未設定＊"))</f>
        <v>ゴールドダック x 3</v>
      </c>
      <c r="E698" s="27" t="s">
        <v>864</v>
      </c>
      <c r="F698" s="2" t="s">
        <v>708</v>
      </c>
      <c r="G698" s="26" t="str">
        <f ca="1">VLOOKUP($F698,OFFSET(達成条件!$A$1,0,0,COUNTA($A:$A),MATCH(G$1,達成条件!$1:$1,0)-MATCH($F$1,達成条件!$1:$1,0)+1),MATCH(G$1,達成条件!$1:$1,0)-MATCH($F$1,達成条件!$1:$1,0)+1,FALSE)</f>
        <v>クエスト 【x】 をクリアしよう！</v>
      </c>
      <c r="H698" s="26" t="str">
        <f ca="1">VLOOKUP($F698,OFFSET(達成条件!$A$1,0,0,COUNTA($A:$A),MATCH(H$1,達成条件!$1:$1,0)-MATCH($F$1,達成条件!$1:$1,0)+1),MATCH(H$1,達成条件!$1:$1,0)-MATCH($F$1,達成条件!$1:$1,0)+1,FALSE)</f>
        <v>該当のクエスト(99-9)</v>
      </c>
      <c r="I698" s="60" t="s">
        <v>711</v>
      </c>
      <c r="J698" s="54" t="str">
        <f ca="1">IF(F698="specific_unit_aquired_count",SUBSTITUTE(G698,"x",VLOOKUP(INT($I698),OFFSET([3]characters!$A$2,0,0,COUNTA([3]characters!$A:$A),MATCH(J$1,[3]characters!$2:$2,0)-MATCH("character_id",[3]characters!$2:$2,0)+1),MATCH(J$1,[3]characters!$2:$2,0)-MATCH("character_id",[3]characters!$2:$2,0)+1,FALSE)),IF(F698="specific_quest_clear",VLOOKUP(SUBSTITUTE(I698,"-","_"),OFFSET([2]stages!$A$2,0,0,COUNTA([2]stages!$A:$A),MATCH("name",[2]stages!$2:$2,0)-MATCH("temp_stage",[2]stages!$2:$2,0)+1),MATCH("name",[2]stages!$2:$2,0)-MATCH("temp_stage",[2]stages!$2:$2,0)+1,FALSE),""))</f>
        <v xml:space="preserve">【上級】メタルダックを捕獲せよ！ </v>
      </c>
      <c r="K698" s="41" t="s">
        <v>696</v>
      </c>
      <c r="L698" s="15" t="s">
        <v>542</v>
      </c>
      <c r="M698" s="26" t="str">
        <f ca="1">IFERROR(VLOOKUP($L700,OFFSET(missions!$A$2,0,0,COUNTA($A:$A),MATCH(M$1,missions!$2:$2,0)-MATCH("mission_id",missions!$2:$2,0)+1),MATCH(M$1,missions!$2:$2,0)-MATCH("mission_id",missions!$2:$2,0)+1,FALSE),"")</f>
        <v/>
      </c>
      <c r="N698" s="26" t="str">
        <f ca="1">IFERROR(VLOOKUP($L700,OFFSET(missions!$A$2,0,0,COUNTA($A:$A),MATCH(N$1,missions!$2:$2,0)-MATCH("mission_id",missions!$2:$2,0)+1),MATCH(N$1,missions!$2:$2,0)-MATCH("mission_id",missions!$2:$2,0)+1,FALSE),"")</f>
        <v/>
      </c>
    </row>
    <row r="699" spans="1:14" ht="21" customHeight="1" x14ac:dyDescent="0.15">
      <c r="A699" s="2" t="s">
        <v>710</v>
      </c>
      <c r="B699" s="21" t="s">
        <v>792</v>
      </c>
      <c r="C699" s="27" t="s">
        <v>712</v>
      </c>
      <c r="D699" s="26" t="str">
        <f ca="1">IFERROR(VLOOKUP($A699,OFFSET(achievement_criterion_id,0,0,COUNTA($A:$A),MATCH(D$1,missions!$2:$2,0)-MATCH($A$1,missions!$2:$2,0)+1),MATCH(D$1,missions!$2:$2,0)-MATCH($A$1,missions!$2:$2,0)+1,FALSE),IFERROR(VLOOKUP($A699,OFFSET(weekly_achievement_criterion_id,0,0,COUNTA($A:$A),MATCH(D$1,weekly_missions!$2:$2,0)-MATCH($A$1,weekly_missions!$2:$2,0)+1),MATCH(D$1,weekly_missions!$2:$2,0)-MATCH($A$1,weekly_missions!$2:$2,0)+1,FALSE),"＊missions 未設定＊"))</f>
        <v>癒しの果実 x 3</v>
      </c>
      <c r="E699" s="27" t="s">
        <v>864</v>
      </c>
      <c r="F699" s="2" t="s">
        <v>708</v>
      </c>
      <c r="G699" s="26" t="str">
        <f ca="1">VLOOKUP($F699,OFFSET(達成条件!$A$1,0,0,COUNTA($A:$A),MATCH(G$1,達成条件!$1:$1,0)-MATCH($F$1,達成条件!$1:$1,0)+1),MATCH(G$1,達成条件!$1:$1,0)-MATCH($F$1,達成条件!$1:$1,0)+1,FALSE)</f>
        <v>クエスト 【x】 をクリアしよう！</v>
      </c>
      <c r="H699" s="26" t="str">
        <f ca="1">VLOOKUP($F699,OFFSET(達成条件!$A$1,0,0,COUNTA($A:$A),MATCH(H$1,達成条件!$1:$1,0)-MATCH($F$1,達成条件!$1:$1,0)+1),MATCH(H$1,達成条件!$1:$1,0)-MATCH($F$1,達成条件!$1:$1,0)+1,FALSE)</f>
        <v>該当のクエスト(99-9)</v>
      </c>
      <c r="I699" s="60" t="s">
        <v>709</v>
      </c>
      <c r="J699" s="54" t="str">
        <f ca="1">IF(F699="specific_unit_aquired_count",SUBSTITUTE(G699,"x",VLOOKUP(INT($I699),OFFSET([3]characters!$A$2,0,0,COUNTA([3]characters!$A:$A),MATCH(J$1,[3]characters!$2:$2,0)-MATCH("character_id",[3]characters!$2:$2,0)+1),MATCH(J$1,[3]characters!$2:$2,0)-MATCH("character_id",[3]characters!$2:$2,0)+1,FALSE)),IF(F699="specific_quest_clear",VLOOKUP(SUBSTITUTE(I699,"-","_"),OFFSET([2]stages!$A$2,0,0,COUNTA([2]stages!$A:$A),MATCH("name",[2]stages!$2:$2,0)-MATCH("temp_stage",[2]stages!$2:$2,0)+1),MATCH("name",[2]stages!$2:$2,0)-MATCH("temp_stage",[2]stages!$2:$2,0)+1,FALSE),""))</f>
        <v xml:space="preserve">【上級】ゴールドカジノ </v>
      </c>
      <c r="K699" s="41" t="s">
        <v>696</v>
      </c>
      <c r="L699" s="15" t="s">
        <v>542</v>
      </c>
      <c r="M699" s="26" t="str">
        <f ca="1">IFERROR(VLOOKUP($L701,OFFSET(missions!$A$2,0,0,COUNTA($A:$A),MATCH(M$1,missions!$2:$2,0)-MATCH("mission_id",missions!$2:$2,0)+1),MATCH(M$1,missions!$2:$2,0)-MATCH("mission_id",missions!$2:$2,0)+1,FALSE),"")</f>
        <v/>
      </c>
      <c r="N699" s="26" t="str">
        <f ca="1">IFERROR(VLOOKUP($L701,OFFSET(missions!$A$2,0,0,COUNTA($A:$A),MATCH(N$1,missions!$2:$2,0)-MATCH("mission_id",missions!$2:$2,0)+1),MATCH(N$1,missions!$2:$2,0)-MATCH("mission_id",missions!$2:$2,0)+1,FALSE),"")</f>
        <v/>
      </c>
    </row>
    <row r="700" spans="1:14" ht="21" customHeight="1" x14ac:dyDescent="0.15">
      <c r="A700" s="2" t="s">
        <v>714</v>
      </c>
      <c r="B700" s="21" t="s">
        <v>792</v>
      </c>
      <c r="C700" s="27" t="s">
        <v>712</v>
      </c>
      <c r="D700" s="26" t="str">
        <f ca="1">IFERROR(VLOOKUP($A700,OFFSET(achievement_criterion_id,0,0,COUNTA($A:$A),MATCH(D$1,missions!$2:$2,0)-MATCH($A$1,missions!$2:$2,0)+1),MATCH(D$1,missions!$2:$2,0)-MATCH($A$1,missions!$2:$2,0)+1,FALSE),IFERROR(VLOOKUP($A700,OFFSET(weekly_achievement_criterion_id,0,0,COUNTA($A:$A),MATCH(D$1,weekly_missions!$2:$2,0)-MATCH($A$1,weekly_missions!$2:$2,0)+1),MATCH(D$1,weekly_missions!$2:$2,0)-MATCH($A$1,weekly_missions!$2:$2,0)+1,FALSE),"＊missions 未設定＊"))</f>
        <v>攻めの果実 x 3</v>
      </c>
      <c r="E700" s="27" t="s">
        <v>864</v>
      </c>
      <c r="F700" s="2" t="s">
        <v>708</v>
      </c>
      <c r="G700" s="26" t="str">
        <f ca="1">VLOOKUP($F700,OFFSET(達成条件!$A$1,0,0,COUNTA($A:$A),MATCH(G$1,達成条件!$1:$1,0)-MATCH($F$1,達成条件!$1:$1,0)+1),MATCH(G$1,達成条件!$1:$1,0)-MATCH($F$1,達成条件!$1:$1,0)+1,FALSE)</f>
        <v>クエスト 【x】 をクリアしよう！</v>
      </c>
      <c r="H700" s="26" t="str">
        <f ca="1">VLOOKUP($F700,OFFSET(達成条件!$A$1,0,0,COUNTA($A:$A),MATCH(H$1,達成条件!$1:$1,0)-MATCH($F$1,達成条件!$1:$1,0)+1),MATCH(H$1,達成条件!$1:$1,0)-MATCH($F$1,達成条件!$1:$1,0)+1,FALSE)</f>
        <v>該当のクエスト(99-9)</v>
      </c>
      <c r="I700" s="60" t="s">
        <v>709</v>
      </c>
      <c r="J700" s="54" t="str">
        <f ca="1">IF(F700="specific_unit_aquired_count",SUBSTITUTE(G700,"x",VLOOKUP(INT($I700),OFFSET([3]characters!$A$2,0,0,COUNTA([3]characters!$A:$A),MATCH(J$1,[3]characters!$2:$2,0)-MATCH("character_id",[3]characters!$2:$2,0)+1),MATCH(J$1,[3]characters!$2:$2,0)-MATCH("character_id",[3]characters!$2:$2,0)+1,FALSE)),IF(F700="specific_quest_clear",VLOOKUP(SUBSTITUTE(I700,"-","_"),OFFSET([2]stages!$A$2,0,0,COUNTA([2]stages!$A:$A),MATCH("name",[2]stages!$2:$2,0)-MATCH("temp_stage",[2]stages!$2:$2,0)+1),MATCH("name",[2]stages!$2:$2,0)-MATCH("temp_stage",[2]stages!$2:$2,0)+1,FALSE),""))</f>
        <v xml:space="preserve">【上級】ゴールドカジノ </v>
      </c>
      <c r="K700" s="41" t="s">
        <v>696</v>
      </c>
      <c r="L700" s="15" t="s">
        <v>542</v>
      </c>
    </row>
    <row r="701" spans="1:14" ht="21" customHeight="1" x14ac:dyDescent="0.15">
      <c r="A701" s="2" t="s">
        <v>715</v>
      </c>
      <c r="B701" s="21" t="s">
        <v>792</v>
      </c>
      <c r="C701" s="27" t="s">
        <v>712</v>
      </c>
      <c r="D701" s="26" t="str">
        <f ca="1">IFERROR(VLOOKUP($A701,OFFSET(achievement_criterion_id,0,0,COUNTA($A:$A),MATCH(D$1,missions!$2:$2,0)-MATCH($A$1,missions!$2:$2,0)+1),MATCH(D$1,missions!$2:$2,0)-MATCH($A$1,missions!$2:$2,0)+1,FALSE),IFERROR(VLOOKUP($A701,OFFSET(weekly_achievement_criterion_id,0,0,COUNTA($A:$A),MATCH(D$1,weekly_missions!$2:$2,0)-MATCH($A$1,weekly_missions!$2:$2,0)+1),MATCH(D$1,weekly_missions!$2:$2,0)-MATCH($A$1,weekly_missions!$2:$2,0)+1,FALSE),"＊missions 未設定＊"))</f>
        <v>生命の果実 x 3</v>
      </c>
      <c r="E701" s="27" t="s">
        <v>864</v>
      </c>
      <c r="F701" s="2" t="s">
        <v>708</v>
      </c>
      <c r="G701" s="26" t="str">
        <f ca="1">VLOOKUP($F701,OFFSET(達成条件!$A$1,0,0,COUNTA($A:$A),MATCH(G$1,達成条件!$1:$1,0)-MATCH($F$1,達成条件!$1:$1,0)+1),MATCH(G$1,達成条件!$1:$1,0)-MATCH($F$1,達成条件!$1:$1,0)+1,FALSE)</f>
        <v>クエスト 【x】 をクリアしよう！</v>
      </c>
      <c r="H701" s="26" t="str">
        <f ca="1">VLOOKUP($F701,OFFSET(達成条件!$A$1,0,0,COUNTA($A:$A),MATCH(H$1,達成条件!$1:$1,0)-MATCH($F$1,達成条件!$1:$1,0)+1),MATCH(H$1,達成条件!$1:$1,0)-MATCH($F$1,達成条件!$1:$1,0)+1,FALSE)</f>
        <v>該当のクエスト(99-9)</v>
      </c>
      <c r="I701" s="60" t="s">
        <v>709</v>
      </c>
      <c r="J701" s="54" t="str">
        <f ca="1">IF(F701="specific_unit_aquired_count",SUBSTITUTE(G701,"x",VLOOKUP(INT($I701),OFFSET([3]characters!$A$2,0,0,COUNTA([3]characters!$A:$A),MATCH(J$1,[3]characters!$2:$2,0)-MATCH("character_id",[3]characters!$2:$2,0)+1),MATCH(J$1,[3]characters!$2:$2,0)-MATCH("character_id",[3]characters!$2:$2,0)+1,FALSE)),IF(F701="specific_quest_clear",VLOOKUP(SUBSTITUTE(I701,"-","_"),OFFSET([2]stages!$A$2,0,0,COUNTA([2]stages!$A:$A),MATCH("name",[2]stages!$2:$2,0)-MATCH("temp_stage",[2]stages!$2:$2,0)+1),MATCH("name",[2]stages!$2:$2,0)-MATCH("temp_stage",[2]stages!$2:$2,0)+1,FALSE),""))</f>
        <v xml:space="preserve">【上級】ゴールドカジノ </v>
      </c>
      <c r="K701" s="41" t="s">
        <v>696</v>
      </c>
      <c r="L701" s="15" t="s">
        <v>542</v>
      </c>
    </row>
    <row r="702" spans="1:14" ht="21" customHeight="1" x14ac:dyDescent="0.15">
      <c r="A702" s="2" t="s">
        <v>1243</v>
      </c>
      <c r="B702" s="21" t="s">
        <v>792</v>
      </c>
      <c r="C702" s="27" t="s">
        <v>713</v>
      </c>
      <c r="D702" s="26" t="str">
        <f ca="1">IFERROR(VLOOKUP($A702,OFFSET(achievement_criterion_id,0,0,COUNTA($A:$A),MATCH(D$1,missions!$2:$2,0)-MATCH($A$1,missions!$2:$2,0)+1),MATCH(D$1,missions!$2:$2,0)-MATCH($A$1,missions!$2:$2,0)+1,FALSE),IFERROR(VLOOKUP($A702,OFFSET(weekly_achievement_criterion_id,0,0,COUNTA($A:$A),MATCH(D$1,weekly_missions!$2:$2,0)-MATCH($A$1,weekly_missions!$2:$2,0)+1),MATCH(D$1,weekly_missions!$2:$2,0)-MATCH($A$1,weekly_missions!$2:$2,0)+1,FALSE),"＊missions 未設定＊"))</f>
        <v>ビット x 60000</v>
      </c>
      <c r="E702" s="27" t="s">
        <v>864</v>
      </c>
      <c r="F702" s="2" t="s">
        <v>708</v>
      </c>
      <c r="G702" s="26" t="str">
        <f ca="1">VLOOKUP($F702,OFFSET(達成条件!$A$1,0,0,COUNTA($A:$A),MATCH(G$1,達成条件!$1:$1,0)-MATCH($F$1,達成条件!$1:$1,0)+1),MATCH(G$1,達成条件!$1:$1,0)-MATCH($F$1,達成条件!$1:$1,0)+1,FALSE)</f>
        <v>クエスト 【x】 をクリアしよう！</v>
      </c>
      <c r="H702" s="26" t="str">
        <f ca="1">VLOOKUP($F702,OFFSET(達成条件!$A$1,0,0,COUNTA($A:$A),MATCH(H$1,達成条件!$1:$1,0)-MATCH($F$1,達成条件!$1:$1,0)+1),MATCH(H$1,達成条件!$1:$1,0)-MATCH($F$1,達成条件!$1:$1,0)+1,FALSE)</f>
        <v>該当のクエスト(99-9)</v>
      </c>
      <c r="I702" s="60" t="s">
        <v>711</v>
      </c>
      <c r="J702" s="54" t="str">
        <f ca="1">IF(F702="specific_unit_aquired_count",SUBSTITUTE(G702,"x",VLOOKUP(INT($I702),OFFSET([3]characters!$A$2,0,0,COUNTA([3]characters!$A:$A),MATCH(J$1,[3]characters!$2:$2,0)-MATCH("character_id",[3]characters!$2:$2,0)+1),MATCH(J$1,[3]characters!$2:$2,0)-MATCH("character_id",[3]characters!$2:$2,0)+1,FALSE)),IF(F702="specific_quest_clear",VLOOKUP(SUBSTITUTE(I702,"-","_"),OFFSET([2]stages!$A$2,0,0,COUNTA([2]stages!$A:$A),MATCH("name",[2]stages!$2:$2,0)-MATCH("temp_stage",[2]stages!$2:$2,0)+1),MATCH("name",[2]stages!$2:$2,0)-MATCH("temp_stage",[2]stages!$2:$2,0)+1,FALSE),""))</f>
        <v xml:space="preserve">【上級】メタルダックを捕獲せよ！ </v>
      </c>
      <c r="K702" s="41" t="s">
        <v>696</v>
      </c>
      <c r="L702" s="15" t="s">
        <v>542</v>
      </c>
      <c r="M702" s="26" t="str">
        <f ca="1">IFERROR(VLOOKUP($L715,OFFSET(missions!$A$2,0,0,COUNTA($A:$A),MATCH(M$1,missions!$2:$2,0)-MATCH("mission_id",missions!$2:$2,0)+1),MATCH(M$1,missions!$2:$2,0)-MATCH("mission_id",missions!$2:$2,0)+1,FALSE),"")</f>
        <v/>
      </c>
      <c r="N702" s="26" t="str">
        <f ca="1">IFERROR(VLOOKUP($L715,OFFSET(missions!$A$2,0,0,COUNTA($A:$A),MATCH(N$1,missions!$2:$2,0)-MATCH("mission_id",missions!$2:$2,0)+1),MATCH(N$1,missions!$2:$2,0)-MATCH("mission_id",missions!$2:$2,0)+1,FALSE),"")</f>
        <v/>
      </c>
    </row>
    <row r="703" spans="1:14" ht="21" customHeight="1" x14ac:dyDescent="0.15">
      <c r="A703" s="2" t="s">
        <v>1244</v>
      </c>
      <c r="B703" s="21" t="s">
        <v>792</v>
      </c>
      <c r="C703" s="27" t="s">
        <v>1606</v>
      </c>
      <c r="D703" s="26" t="str">
        <f ca="1">IFERROR(VLOOKUP($A703,OFFSET(achievement_criterion_id,0,0,COUNTA($A:$A),MATCH(D$1,missions!$2:$2,0)-MATCH($A$1,missions!$2:$2,0)+1),MATCH(D$1,missions!$2:$2,0)-MATCH($A$1,missions!$2:$2,0)+1,FALSE),IFERROR(VLOOKUP($A703,OFFSET(weekly_achievement_criterion_id,0,0,COUNTA($A:$A),MATCH(D$1,weekly_missions!$2:$2,0)-MATCH($A$1,weekly_missions!$2:$2,0)+1),MATCH(D$1,weekly_missions!$2:$2,0)-MATCH($A$1,weekly_missions!$2:$2,0)+1,FALSE),"＊missions 未設定＊"))</f>
        <v>リンク x 300</v>
      </c>
      <c r="E703" s="27" t="s">
        <v>864</v>
      </c>
      <c r="F703" s="2" t="s">
        <v>708</v>
      </c>
      <c r="G703" s="26" t="str">
        <f ca="1">VLOOKUP($F703,OFFSET(達成条件!$A$1,0,0,COUNTA($A:$A),MATCH(G$1,達成条件!$1:$1,0)-MATCH($F$1,達成条件!$1:$1,0)+1),MATCH(G$1,達成条件!$1:$1,0)-MATCH($F$1,達成条件!$1:$1,0)+1,FALSE)</f>
        <v>クエスト 【x】 をクリアしよう！</v>
      </c>
      <c r="H703" s="26" t="str">
        <f ca="1">VLOOKUP($F703,OFFSET(達成条件!$A$1,0,0,COUNTA($A:$A),MATCH(H$1,達成条件!$1:$1,0)-MATCH($F$1,達成条件!$1:$1,0)+1),MATCH(H$1,達成条件!$1:$1,0)-MATCH($F$1,達成条件!$1:$1,0)+1,FALSE)</f>
        <v>該当のクエスト(99-9)</v>
      </c>
      <c r="I703" s="60" t="s">
        <v>709</v>
      </c>
      <c r="J703" s="54" t="str">
        <f ca="1">IF(F703="specific_unit_aquired_count",SUBSTITUTE(G703,"x",VLOOKUP(INT($I703),OFFSET([3]characters!$A$2,0,0,COUNTA([3]characters!$A:$A),MATCH(J$1,[3]characters!$2:$2,0)-MATCH("character_id",[3]characters!$2:$2,0)+1),MATCH(J$1,[3]characters!$2:$2,0)-MATCH("character_id",[3]characters!$2:$2,0)+1,FALSE)),IF(F703="specific_quest_clear",VLOOKUP(SUBSTITUTE(I703,"-","_"),OFFSET([2]stages!$A$2,0,0,COUNTA([2]stages!$A:$A),MATCH("name",[2]stages!$2:$2,0)-MATCH("temp_stage",[2]stages!$2:$2,0)+1),MATCH("name",[2]stages!$2:$2,0)-MATCH("temp_stage",[2]stages!$2:$2,0)+1,FALSE),""))</f>
        <v xml:space="preserve">【上級】ゴールドカジノ </v>
      </c>
      <c r="K703" s="41" t="s">
        <v>696</v>
      </c>
      <c r="L703" s="15" t="s">
        <v>542</v>
      </c>
      <c r="M703" s="26" t="str">
        <f ca="1">IFERROR(VLOOKUP($L716,OFFSET(missions!$A$2,0,0,COUNTA($A:$A),MATCH(M$1,missions!$2:$2,0)-MATCH("mission_id",missions!$2:$2,0)+1),MATCH(M$1,missions!$2:$2,0)-MATCH("mission_id",missions!$2:$2,0)+1,FALSE),"")</f>
        <v/>
      </c>
      <c r="N703" s="26" t="str">
        <f ca="1">IFERROR(VLOOKUP($L716,OFFSET(missions!$A$2,0,0,COUNTA($A:$A),MATCH(N$1,missions!$2:$2,0)-MATCH("mission_id",missions!$2:$2,0)+1),MATCH(N$1,missions!$2:$2,0)-MATCH("mission_id",missions!$2:$2,0)+1,FALSE),"")</f>
        <v/>
      </c>
    </row>
    <row r="704" spans="1:14" ht="21" customHeight="1" x14ac:dyDescent="0.15">
      <c r="A704" s="2" t="s">
        <v>1603</v>
      </c>
      <c r="B704" s="21" t="s">
        <v>792</v>
      </c>
      <c r="C704" s="27" t="s">
        <v>1605</v>
      </c>
      <c r="D704" s="26" t="str">
        <f ca="1">IFERROR(VLOOKUP($A704,OFFSET(achievement_criterion_id,0,0,COUNTA($A:$A),MATCH(D$1,missions!$2:$2,0)-MATCH($A$1,missions!$2:$2,0)+1),MATCH(D$1,missions!$2:$2,0)-MATCH($A$1,missions!$2:$2,0)+1,FALSE),IFERROR(VLOOKUP($A704,OFFSET(weekly_achievement_criterion_id,0,0,COUNTA($A:$A),MATCH(D$1,weekly_missions!$2:$2,0)-MATCH($A$1,weekly_missions!$2:$2,0)+1),MATCH(D$1,weekly_missions!$2:$2,0)-MATCH($A$1,weekly_missions!$2:$2,0)+1,FALSE),"＊missions 未設定＊"))</f>
        <v>ビット x 100000</v>
      </c>
      <c r="E704" s="27" t="s">
        <v>864</v>
      </c>
      <c r="F704" s="2" t="s">
        <v>708</v>
      </c>
      <c r="G704" s="26" t="str">
        <f ca="1">VLOOKUP($F704,OFFSET(達成条件!$A$1,0,0,COUNTA($A:$A),MATCH(G$1,達成条件!$1:$1,0)-MATCH($F$1,達成条件!$1:$1,0)+1),MATCH(G$1,達成条件!$1:$1,0)-MATCH($F$1,達成条件!$1:$1,0)+1,FALSE)</f>
        <v>クエスト 【x】 をクリアしよう！</v>
      </c>
      <c r="H704" s="26" t="str">
        <f ca="1">VLOOKUP($F704,OFFSET(達成条件!$A$1,0,0,COUNTA($A:$A),MATCH(H$1,達成条件!$1:$1,0)-MATCH($F$1,達成条件!$1:$1,0)+1),MATCH(H$1,達成条件!$1:$1,0)-MATCH($F$1,達成条件!$1:$1,0)+1,FALSE)</f>
        <v>該当のクエスト(99-9)</v>
      </c>
      <c r="I704" s="60" t="s">
        <v>1604</v>
      </c>
      <c r="J704" s="54" t="str">
        <f ca="1">IF(F704="specific_unit_aquired_count",SUBSTITUTE(G704,"x",VLOOKUP(INT($I704),OFFSET([3]characters!$A$2,0,0,COUNTA([3]characters!$A:$A),MATCH(J$1,[3]characters!$2:$2,0)-MATCH("character_id",[3]characters!$2:$2,0)+1),MATCH(J$1,[3]characters!$2:$2,0)-MATCH("character_id",[3]characters!$2:$2,0)+1,FALSE)),IF(F704="specific_quest_clear",VLOOKUP(SUBSTITUTE(I704,"-","_"),OFFSET([2]stages!$A$2,0,0,COUNTA([2]stages!$A:$A),MATCH("name",[2]stages!$2:$2,0)-MATCH("temp_stage",[2]stages!$2:$2,0)+1),MATCH("name",[2]stages!$2:$2,0)-MATCH("temp_stage",[2]stages!$2:$2,0)+1,FALSE),""))</f>
        <v xml:space="preserve">【超級】メタルダックを捕獲せよ！ </v>
      </c>
      <c r="K704" s="41" t="s">
        <v>696</v>
      </c>
      <c r="L704" s="15" t="s">
        <v>542</v>
      </c>
      <c r="M704" s="26" t="str">
        <f ca="1">IFERROR(VLOOKUP($L717,OFFSET(missions!$A$2,0,0,COUNTA($A:$A),MATCH(M$1,missions!$2:$2,0)-MATCH("mission_id",missions!$2:$2,0)+1),MATCH(M$1,missions!$2:$2,0)-MATCH("mission_id",missions!$2:$2,0)+1,FALSE),"")</f>
        <v/>
      </c>
      <c r="N704" s="26" t="str">
        <f ca="1">IFERROR(VLOOKUP($L717,OFFSET(missions!$A$2,0,0,COUNTA($A:$A),MATCH(N$1,missions!$2:$2,0)-MATCH("mission_id",missions!$2:$2,0)+1),MATCH(N$1,missions!$2:$2,0)-MATCH("mission_id",missions!$2:$2,0)+1,FALSE),"")</f>
        <v/>
      </c>
    </row>
    <row r="705" spans="1:14" ht="21" customHeight="1" x14ac:dyDescent="0.15">
      <c r="A705" s="2" t="s">
        <v>2221</v>
      </c>
      <c r="B705" s="21" t="s">
        <v>792</v>
      </c>
      <c r="C705" s="27" t="s">
        <v>2223</v>
      </c>
      <c r="D705" s="26" t="str">
        <f ca="1">IFERROR(VLOOKUP($A705,OFFSET(achievement_criterion_id,0,0,COUNTA($A:$A),MATCH(D$1,missions!$2:$2,0)-MATCH($A$1,missions!$2:$2,0)+1),MATCH(D$1,missions!$2:$2,0)-MATCH($A$1,missions!$2:$2,0)+1,FALSE),IFERROR(VLOOKUP($A705,OFFSET(weekly_achievement_criterion_id,0,0,COUNTA($A:$A),MATCH(D$1,weekly_missions!$2:$2,0)-MATCH($A$1,weekly_missions!$2:$2,0)+1),MATCH(D$1,weekly_missions!$2:$2,0)-MATCH($A$1,weekly_missions!$2:$2,0)+1,FALSE),"＊missions 未設定＊"))</f>
        <v>リンク x 500</v>
      </c>
      <c r="E705" s="27" t="s">
        <v>352</v>
      </c>
      <c r="F705" s="2" t="s">
        <v>708</v>
      </c>
      <c r="G705" s="26" t="str">
        <f ca="1">VLOOKUP($F705,OFFSET(達成条件!$A$1,0,0,COUNTA($A:$A),MATCH(G$1,達成条件!$1:$1,0)-MATCH($F$1,達成条件!$1:$1,0)+1),MATCH(G$1,達成条件!$1:$1,0)-MATCH($F$1,達成条件!$1:$1,0)+1,FALSE)</f>
        <v>クエスト 【x】 をクリアしよう！</v>
      </c>
      <c r="H705" s="26" t="str">
        <f ca="1">VLOOKUP($F705,OFFSET(達成条件!$A$1,0,0,COUNTA($A:$A),MATCH(H$1,達成条件!$1:$1,0)-MATCH($F$1,達成条件!$1:$1,0)+1),MATCH(H$1,達成条件!$1:$1,0)-MATCH($F$1,達成条件!$1:$1,0)+1,FALSE)</f>
        <v>該当のクエスト(99-9)</v>
      </c>
      <c r="I705" s="60" t="s">
        <v>2222</v>
      </c>
      <c r="J705" s="54" t="str">
        <f ca="1">IF(F705="specific_unit_aquired_count",SUBSTITUTE(G705,"x",VLOOKUP(INT($I705),OFFSET([3]characters!$A$2,0,0,COUNTA([3]characters!$A:$A),MATCH(J$1,[3]characters!$2:$2,0)-MATCH("character_id",[3]characters!$2:$2,0)+1),MATCH(J$1,[3]characters!$2:$2,0)-MATCH("character_id",[3]characters!$2:$2,0)+1,FALSE)),IF(F705="specific_quest_clear",VLOOKUP(SUBSTITUTE(I705,"-","_"),OFFSET([2]stages!$A$2,0,0,COUNTA([2]stages!$A:$A),MATCH("name",[2]stages!$2:$2,0)-MATCH("temp_stage",[2]stages!$2:$2,0)+1),MATCH("name",[2]stages!$2:$2,0)-MATCH("temp_stage",[2]stages!$2:$2,0)+1,FALSE),""))</f>
        <v xml:space="preserve">【超級】ゴールドカジノ </v>
      </c>
      <c r="K705" s="41" t="s">
        <v>696</v>
      </c>
      <c r="L705" s="15" t="s">
        <v>542</v>
      </c>
      <c r="M705" s="26" t="str">
        <f ca="1">IFERROR(VLOOKUP($L718,OFFSET(missions!$A$2,0,0,COUNTA($A:$A),MATCH(M$1,missions!$2:$2,0)-MATCH("mission_id",missions!$2:$2,0)+1),MATCH(M$1,missions!$2:$2,0)-MATCH("mission_id",missions!$2:$2,0)+1,FALSE),"")</f>
        <v/>
      </c>
      <c r="N705" s="26" t="str">
        <f ca="1">IFERROR(VLOOKUP($L718,OFFSET(missions!$A$2,0,0,COUNTA($A:$A),MATCH(N$1,missions!$2:$2,0)-MATCH("mission_id",missions!$2:$2,0)+1),MATCH(N$1,missions!$2:$2,0)-MATCH("mission_id",missions!$2:$2,0)+1,FALSE),"")</f>
        <v/>
      </c>
    </row>
    <row r="706" spans="1:14" ht="21" customHeight="1" x14ac:dyDescent="0.15">
      <c r="A706" s="2" t="s">
        <v>1247</v>
      </c>
      <c r="B706" s="21" t="s">
        <v>792</v>
      </c>
      <c r="C706" s="26" t="str">
        <f t="shared" ref="C706:C707" ca="1" si="95">IF(F706="specific_quest_clear",SUBSTITUTE(G706,"x",J706),IF(F706="specific_unit_aquired_count",SUBSTITUTE(J706,"y",K706),SUBSTITUTE(G706,"x",I706)))</f>
        <v>バグ 2 のユニットをつくろう！</v>
      </c>
      <c r="D706" s="26" t="str">
        <f ca="1">IFERROR(VLOOKUP($A706,OFFSET(achievement_criterion_id,0,0,COUNTA($A:$A),MATCH(D$1,missions!$2:$2,0)-MATCH($A$1,missions!$2:$2,0)+1),MATCH(D$1,missions!$2:$2,0)-MATCH($A$1,missions!$2:$2,0)+1,FALSE),IFERROR(VLOOKUP($A706,OFFSET(weekly_achievement_criterion_id,0,0,COUNTA($A:$A),MATCH(D$1,weekly_missions!$2:$2,0)-MATCH($A$1,weekly_missions!$2:$2,0)+1),MATCH(D$1,weekly_missions!$2:$2,0)-MATCH($A$1,weekly_missions!$2:$2,0)+1,FALSE),"＊missions 未設定＊"))</f>
        <v>ゴールドキング x 1</v>
      </c>
      <c r="E706" s="27" t="s">
        <v>864</v>
      </c>
      <c r="F706" s="2" t="s">
        <v>1248</v>
      </c>
      <c r="G706" s="26" t="str">
        <f ca="1">VLOOKUP($F706,OFFSET(達成条件!$A$1,0,0,COUNTA($A:$A),MATCH(G$1,達成条件!$1:$1,0)-MATCH($F$1,達成条件!$1:$1,0)+1),MATCH(G$1,達成条件!$1:$1,0)-MATCH($F$1,達成条件!$1:$1,0)+1,FALSE)</f>
        <v>バグ x のユニットをつくろう！</v>
      </c>
      <c r="H706" s="26" t="str">
        <f ca="1">VLOOKUP($F706,OFFSET(達成条件!$A$1,0,0,COUNTA($A:$A),MATCH(H$1,達成条件!$1:$1,0)-MATCH($F$1,達成条件!$1:$1,0)+1),MATCH(H$1,達成条件!$1:$1,0)-MATCH($F$1,達成条件!$1:$1,0)+1,FALSE)</f>
        <v>バグレベル</v>
      </c>
      <c r="I706" s="60" t="s">
        <v>1249</v>
      </c>
      <c r="J706" s="54" t="str">
        <f ca="1">IF(F706="specific_unit_aquired_count",SUBSTITUTE(G706,"x",VLOOKUP(INT($I706),OFFSET([3]characters!$A$2,0,0,COUNTA([3]characters!$A:$A),MATCH(J$1,[3]characters!$2:$2,0)-MATCH("character_id",[3]characters!$2:$2,0)+1),MATCH(J$1,[3]characters!$2:$2,0)-MATCH("character_id",[3]characters!$2:$2,0)+1,FALSE)),IF(F706="specific_quest_clear",VLOOKUP(SUBSTITUTE(I706,"-","_"),OFFSET([2]stages!$A$2,0,0,COUNTA([2]stages!$A:$A),MATCH("name",[2]stages!$2:$2,0)-MATCH("temp_stage",[2]stages!$2:$2,0)+1),MATCH("name",[2]stages!$2:$2,0)-MATCH("temp_stage",[2]stages!$2:$2,0)+1,FALSE),""))</f>
        <v/>
      </c>
      <c r="K706" s="41" t="s">
        <v>696</v>
      </c>
      <c r="L706" s="15" t="s">
        <v>542</v>
      </c>
      <c r="M706" s="26" t="str">
        <f ca="1">IFERROR(VLOOKUP($L709,OFFSET(missions!$A$2,0,0,COUNTA($A:$A),MATCH(M$1,missions!$2:$2,0)-MATCH("mission_id",missions!$2:$2,0)+1),MATCH(M$1,missions!$2:$2,0)-MATCH("mission_id",missions!$2:$2,0)+1,FALSE),"")</f>
        <v/>
      </c>
      <c r="N706" s="26" t="str">
        <f ca="1">IFERROR(VLOOKUP($L709,OFFSET(missions!$A$2,0,0,COUNTA($A:$A),MATCH(N$1,missions!$2:$2,0)-MATCH("mission_id",missions!$2:$2,0)+1),MATCH(N$1,missions!$2:$2,0)-MATCH("mission_id",missions!$2:$2,0)+1,FALSE),"")</f>
        <v/>
      </c>
    </row>
    <row r="707" spans="1:14" ht="21" customHeight="1" x14ac:dyDescent="0.15">
      <c r="A707" s="2" t="s">
        <v>1259</v>
      </c>
      <c r="B707" s="21" t="s">
        <v>792</v>
      </c>
      <c r="C707" s="26" t="str">
        <f t="shared" ca="1" si="95"/>
        <v>バグ 5 のユニットをつくろう！</v>
      </c>
      <c r="D707" s="26" t="str">
        <f ca="1">IFERROR(VLOOKUP($A707,OFFSET(achievement_criterion_id,0,0,COUNTA($A:$A),MATCH(D$1,missions!$2:$2,0)-MATCH($A$1,missions!$2:$2,0)+1),MATCH(D$1,missions!$2:$2,0)-MATCH($A$1,missions!$2:$2,0)+1,FALSE),IFERROR(VLOOKUP($A707,OFFSET(weekly_achievement_criterion_id,0,0,COUNTA($A:$A),MATCH(D$1,weekly_missions!$2:$2,0)-MATCH($A$1,weekly_missions!$2:$2,0)+1),MATCH(D$1,weekly_missions!$2:$2,0)-MATCH($A$1,weekly_missions!$2:$2,0)+1,FALSE),"＊missions 未設定＊"))</f>
        <v>リンク x 500</v>
      </c>
      <c r="E707" s="27" t="s">
        <v>864</v>
      </c>
      <c r="F707" s="2" t="s">
        <v>1248</v>
      </c>
      <c r="G707" s="26" t="str">
        <f ca="1">VLOOKUP($F707,OFFSET(達成条件!$A$1,0,0,COUNTA($A:$A),MATCH(G$1,達成条件!$1:$1,0)-MATCH($F$1,達成条件!$1:$1,0)+1),MATCH(G$1,達成条件!$1:$1,0)-MATCH($F$1,達成条件!$1:$1,0)+1,FALSE)</f>
        <v>バグ x のユニットをつくろう！</v>
      </c>
      <c r="H707" s="26" t="str">
        <f ca="1">VLOOKUP($F707,OFFSET(達成条件!$A$1,0,0,COUNTA($A:$A),MATCH(H$1,達成条件!$1:$1,0)-MATCH($F$1,達成条件!$1:$1,0)+1),MATCH(H$1,達成条件!$1:$1,0)-MATCH($F$1,達成条件!$1:$1,0)+1,FALSE)</f>
        <v>バグレベル</v>
      </c>
      <c r="I707" s="60" t="s">
        <v>1251</v>
      </c>
      <c r="J707" s="54" t="str">
        <f ca="1">IF(F707="specific_unit_aquired_count",SUBSTITUTE(G707,"x",VLOOKUP(INT($I707),OFFSET([3]characters!$A$2,0,0,COUNTA([3]characters!$A:$A),MATCH(J$1,[3]characters!$2:$2,0)-MATCH("character_id",[3]characters!$2:$2,0)+1),MATCH(J$1,[3]characters!$2:$2,0)-MATCH("character_id",[3]characters!$2:$2,0)+1,FALSE)),IF(F707="specific_quest_clear",VLOOKUP(SUBSTITUTE(I707,"-","_"),OFFSET([2]stages!$A$2,0,0,COUNTA([2]stages!$A:$A),MATCH("name",[2]stages!$2:$2,0)-MATCH("temp_stage",[2]stages!$2:$2,0)+1),MATCH("name",[2]stages!$2:$2,0)-MATCH("temp_stage",[2]stages!$2:$2,0)+1,FALSE),""))</f>
        <v/>
      </c>
      <c r="K707" s="41" t="s">
        <v>696</v>
      </c>
      <c r="L707" s="15" t="s">
        <v>542</v>
      </c>
      <c r="M707" s="26" t="str">
        <f ca="1">IFERROR(VLOOKUP($L715,OFFSET(missions!$A$2,0,0,COUNTA($A:$A),MATCH(M$1,missions!$2:$2,0)-MATCH("mission_id",missions!$2:$2,0)+1),MATCH(M$1,missions!$2:$2,0)-MATCH("mission_id",missions!$2:$2,0)+1,FALSE),"")</f>
        <v/>
      </c>
      <c r="N707" s="26" t="str">
        <f ca="1">IFERROR(VLOOKUP($L715,OFFSET(missions!$A$2,0,0,COUNTA($A:$A),MATCH(N$1,missions!$2:$2,0)-MATCH("mission_id",missions!$2:$2,0)+1),MATCH(N$1,missions!$2:$2,0)-MATCH("mission_id",missions!$2:$2,0)+1,FALSE),"")</f>
        <v/>
      </c>
    </row>
    <row r="708" spans="1:14" ht="21" customHeight="1" x14ac:dyDescent="0.15">
      <c r="A708" s="2" t="s">
        <v>1260</v>
      </c>
      <c r="B708" s="21" t="s">
        <v>792</v>
      </c>
      <c r="C708" s="26" t="str">
        <f t="shared" ref="C708" ca="1" si="96">IF(F708="specific_quest_clear",SUBSTITUTE(G708,"x",J708),IF(F708="specific_unit_aquired_count",SUBSTITUTE(J708,"y",K708),SUBSTITUTE(G708,"x",I708)))</f>
        <v>バグ 15 のユニットをつくろう！</v>
      </c>
      <c r="D708" s="26" t="str">
        <f ca="1">IFERROR(VLOOKUP($A708,OFFSET(achievement_criterion_id,0,0,COUNTA($A:$A),MATCH(D$1,missions!$2:$2,0)-MATCH($A$1,missions!$2:$2,0)+1),MATCH(D$1,missions!$2:$2,0)-MATCH($A$1,missions!$2:$2,0)+1,FALSE),IFERROR(VLOOKUP($A708,OFFSET(weekly_achievement_criterion_id,0,0,COUNTA($A:$A),MATCH(D$1,weekly_missions!$2:$2,0)-MATCH($A$1,weekly_missions!$2:$2,0)+1),MATCH(D$1,weekly_missions!$2:$2,0)-MATCH($A$1,weekly_missions!$2:$2,0)+1,FALSE),"＊missions 未設定＊"))</f>
        <v>秘術の果実 x 1</v>
      </c>
      <c r="E708" s="27" t="s">
        <v>864</v>
      </c>
      <c r="F708" s="2" t="s">
        <v>1248</v>
      </c>
      <c r="G708" s="26" t="str">
        <f ca="1">VLOOKUP($F708,OFFSET(達成条件!$A$1,0,0,COUNTA($A:$A),MATCH(G$1,達成条件!$1:$1,0)-MATCH($F$1,達成条件!$1:$1,0)+1),MATCH(G$1,達成条件!$1:$1,0)-MATCH($F$1,達成条件!$1:$1,0)+1,FALSE)</f>
        <v>バグ x のユニットをつくろう！</v>
      </c>
      <c r="H708" s="26" t="str">
        <f ca="1">VLOOKUP($F708,OFFSET(達成条件!$A$1,0,0,COUNTA($A:$A),MATCH(H$1,達成条件!$1:$1,0)-MATCH($F$1,達成条件!$1:$1,0)+1),MATCH(H$1,達成条件!$1:$1,0)-MATCH($F$1,達成条件!$1:$1,0)+1,FALSE)</f>
        <v>バグレベル</v>
      </c>
      <c r="I708" s="60" t="s">
        <v>1252</v>
      </c>
      <c r="J708" s="54" t="str">
        <f ca="1">IF(F708="specific_unit_aquired_count",SUBSTITUTE(G708,"x",VLOOKUP(INT($I708),OFFSET([3]characters!$A$2,0,0,COUNTA([3]characters!$A:$A),MATCH(J$1,[3]characters!$2:$2,0)-MATCH("character_id",[3]characters!$2:$2,0)+1),MATCH(J$1,[3]characters!$2:$2,0)-MATCH("character_id",[3]characters!$2:$2,0)+1,FALSE)),IF(F708="specific_quest_clear",VLOOKUP(SUBSTITUTE(I708,"-","_"),OFFSET([2]stages!$A$2,0,0,COUNTA([2]stages!$A:$A),MATCH("name",[2]stages!$2:$2,0)-MATCH("temp_stage",[2]stages!$2:$2,0)+1),MATCH("name",[2]stages!$2:$2,0)-MATCH("temp_stage",[2]stages!$2:$2,0)+1,FALSE),""))</f>
        <v/>
      </c>
      <c r="K708" s="41" t="s">
        <v>696</v>
      </c>
      <c r="L708" s="15" t="s">
        <v>542</v>
      </c>
      <c r="M708" s="26" t="str">
        <f ca="1">IFERROR(VLOOKUP($L716,OFFSET(missions!$A$2,0,0,COUNTA($A:$A),MATCH(M$1,missions!$2:$2,0)-MATCH("mission_id",missions!$2:$2,0)+1),MATCH(M$1,missions!$2:$2,0)-MATCH("mission_id",missions!$2:$2,0)+1,FALSE),"")</f>
        <v/>
      </c>
      <c r="N708" s="26" t="str">
        <f ca="1">IFERROR(VLOOKUP($L716,OFFSET(missions!$A$2,0,0,COUNTA($A:$A),MATCH(N$1,missions!$2:$2,0)-MATCH("mission_id",missions!$2:$2,0)+1),MATCH(N$1,missions!$2:$2,0)-MATCH("mission_id",missions!$2:$2,0)+1,FALSE),"")</f>
        <v/>
      </c>
    </row>
    <row r="709" spans="1:14" ht="21" customHeight="1" x14ac:dyDescent="0.15">
      <c r="A709" s="2" t="s">
        <v>1261</v>
      </c>
      <c r="B709" s="21" t="s">
        <v>792</v>
      </c>
      <c r="C709" s="26" t="str">
        <f t="shared" ref="C709:C712" ca="1" si="97">IF(F709="specific_quest_clear",SUBSTITUTE(G709,"x",J709),IF(F709="specific_unit_aquired_count",SUBSTITUTE(J709,"y",K709),SUBSTITUTE(G709,"x",I709)))</f>
        <v>バグ 30 のユニットをつくろう！</v>
      </c>
      <c r="D709" s="26" t="str">
        <f ca="1">IFERROR(VLOOKUP($A709,OFFSET(achievement_criterion_id,0,0,COUNTA($A:$A),MATCH(D$1,missions!$2:$2,0)-MATCH($A$1,missions!$2:$2,0)+1),MATCH(D$1,missions!$2:$2,0)-MATCH($A$1,missions!$2:$2,0)+1,FALSE),IFERROR(VLOOKUP($A709,OFFSET(weekly_achievement_criterion_id,0,0,COUNTA($A:$A),MATCH(D$1,weekly_missions!$2:$2,0)-MATCH($A$1,weekly_missions!$2:$2,0)+1),MATCH(D$1,weekly_missions!$2:$2,0)-MATCH($A$1,weekly_missions!$2:$2,0)+1,FALSE),"＊missions 未設定＊"))</f>
        <v>ポリゴン x 2</v>
      </c>
      <c r="E709" s="27" t="s">
        <v>864</v>
      </c>
      <c r="F709" s="2" t="s">
        <v>1248</v>
      </c>
      <c r="G709" s="26" t="str">
        <f ca="1">VLOOKUP($F709,OFFSET(達成条件!$A$1,0,0,COUNTA($A:$A),MATCH(G$1,達成条件!$1:$1,0)-MATCH($F$1,達成条件!$1:$1,0)+1),MATCH(G$1,達成条件!$1:$1,0)-MATCH($F$1,達成条件!$1:$1,0)+1,FALSE)</f>
        <v>バグ x のユニットをつくろう！</v>
      </c>
      <c r="H709" s="26" t="str">
        <f ca="1">VLOOKUP($F709,OFFSET(達成条件!$A$1,0,0,COUNTA($A:$A),MATCH(H$1,達成条件!$1:$1,0)-MATCH($F$1,達成条件!$1:$1,0)+1),MATCH(H$1,達成条件!$1:$1,0)-MATCH($F$1,達成条件!$1:$1,0)+1,FALSE)</f>
        <v>バグレベル</v>
      </c>
      <c r="I709" s="60" t="s">
        <v>1253</v>
      </c>
      <c r="J709" s="54" t="str">
        <f ca="1">IF(F709="specific_unit_aquired_count",SUBSTITUTE(G709,"x",VLOOKUP(INT($I709),OFFSET([3]characters!$A$2,0,0,COUNTA([3]characters!$A:$A),MATCH(J$1,[3]characters!$2:$2,0)-MATCH("character_id",[3]characters!$2:$2,0)+1),MATCH(J$1,[3]characters!$2:$2,0)-MATCH("character_id",[3]characters!$2:$2,0)+1,FALSE)),IF(F709="specific_quest_clear",VLOOKUP(SUBSTITUTE(I709,"-","_"),OFFSET([2]stages!$A$2,0,0,COUNTA([2]stages!$A:$A),MATCH("name",[2]stages!$2:$2,0)-MATCH("temp_stage",[2]stages!$2:$2,0)+1),MATCH("name",[2]stages!$2:$2,0)-MATCH("temp_stage",[2]stages!$2:$2,0)+1,FALSE),""))</f>
        <v/>
      </c>
      <c r="K709" s="41" t="s">
        <v>696</v>
      </c>
      <c r="L709" s="15" t="s">
        <v>542</v>
      </c>
      <c r="M709" s="26" t="str">
        <f ca="1">IFERROR(VLOOKUP($L717,OFFSET(missions!$A$2,0,0,COUNTA($A:$A),MATCH(M$1,missions!$2:$2,0)-MATCH("mission_id",missions!$2:$2,0)+1),MATCH(M$1,missions!$2:$2,0)-MATCH("mission_id",missions!$2:$2,0)+1,FALSE),"")</f>
        <v/>
      </c>
      <c r="N709" s="26" t="str">
        <f ca="1">IFERROR(VLOOKUP($L717,OFFSET(missions!$A$2,0,0,COUNTA($A:$A),MATCH(N$1,missions!$2:$2,0)-MATCH("mission_id",missions!$2:$2,0)+1),MATCH(N$1,missions!$2:$2,0)-MATCH("mission_id",missions!$2:$2,0)+1,FALSE),"")</f>
        <v/>
      </c>
    </row>
    <row r="710" spans="1:14" ht="21" customHeight="1" x14ac:dyDescent="0.15">
      <c r="A710" s="2" t="s">
        <v>1262</v>
      </c>
      <c r="B710" s="21" t="s">
        <v>792</v>
      </c>
      <c r="C710" s="26" t="str">
        <f t="shared" ca="1" si="97"/>
        <v>バグ 45 のユニットをつくろう！</v>
      </c>
      <c r="D710" s="26" t="str">
        <f ca="1">IFERROR(VLOOKUP($A710,OFFSET(achievement_criterion_id,0,0,COUNTA($A:$A),MATCH(D$1,missions!$2:$2,0)-MATCH($A$1,missions!$2:$2,0)+1),MATCH(D$1,missions!$2:$2,0)-MATCH($A$1,missions!$2:$2,0)+1,FALSE),IFERROR(VLOOKUP($A710,OFFSET(weekly_achievement_criterion_id,0,0,COUNTA($A:$A),MATCH(D$1,weekly_missions!$2:$2,0)-MATCH($A$1,weekly_missions!$2:$2,0)+1),MATCH(D$1,weekly_missions!$2:$2,0)-MATCH($A$1,weekly_missions!$2:$2,0)+1,FALSE),"＊missions 未設定＊"))</f>
        <v>メガ秘術の果実 x 1</v>
      </c>
      <c r="E710" s="27" t="s">
        <v>864</v>
      </c>
      <c r="F710" s="2" t="s">
        <v>1248</v>
      </c>
      <c r="G710" s="26" t="str">
        <f ca="1">VLOOKUP($F710,OFFSET(達成条件!$A$1,0,0,COUNTA($A:$A),MATCH(G$1,達成条件!$1:$1,0)-MATCH($F$1,達成条件!$1:$1,0)+1),MATCH(G$1,達成条件!$1:$1,0)-MATCH($F$1,達成条件!$1:$1,0)+1,FALSE)</f>
        <v>バグ x のユニットをつくろう！</v>
      </c>
      <c r="H710" s="26" t="str">
        <f ca="1">VLOOKUP($F710,OFFSET(達成条件!$A$1,0,0,COUNTA($A:$A),MATCH(H$1,達成条件!$1:$1,0)-MATCH($F$1,達成条件!$1:$1,0)+1),MATCH(H$1,達成条件!$1:$1,0)-MATCH($F$1,達成条件!$1:$1,0)+1,FALSE)</f>
        <v>バグレベル</v>
      </c>
      <c r="I710" s="60" t="s">
        <v>1254</v>
      </c>
      <c r="J710" s="54" t="str">
        <f ca="1">IF(F710="specific_unit_aquired_count",SUBSTITUTE(G710,"x",VLOOKUP(INT($I710),OFFSET([3]characters!$A$2,0,0,COUNTA([3]characters!$A:$A),MATCH(J$1,[3]characters!$2:$2,0)-MATCH("character_id",[3]characters!$2:$2,0)+1),MATCH(J$1,[3]characters!$2:$2,0)-MATCH("character_id",[3]characters!$2:$2,0)+1,FALSE)),IF(F710="specific_quest_clear",VLOOKUP(SUBSTITUTE(I710,"-","_"),OFFSET([2]stages!$A$2,0,0,COUNTA([2]stages!$A:$A),MATCH("name",[2]stages!$2:$2,0)-MATCH("temp_stage",[2]stages!$2:$2,0)+1),MATCH("name",[2]stages!$2:$2,0)-MATCH("temp_stage",[2]stages!$2:$2,0)+1,FALSE),""))</f>
        <v/>
      </c>
      <c r="K710" s="41" t="s">
        <v>696</v>
      </c>
      <c r="L710" s="15" t="s">
        <v>542</v>
      </c>
      <c r="M710" s="26" t="str">
        <f ca="1">IFERROR(VLOOKUP($L713,OFFSET(missions!$A$2,0,0,COUNTA($A:$A),MATCH(M$1,missions!$2:$2,0)-MATCH("mission_id",missions!$2:$2,0)+1),MATCH(M$1,missions!$2:$2,0)-MATCH("mission_id",missions!$2:$2,0)+1,FALSE),"")</f>
        <v/>
      </c>
      <c r="N710" s="26" t="str">
        <f ca="1">IFERROR(VLOOKUP($L713,OFFSET(missions!$A$2,0,0,COUNTA($A:$A),MATCH(N$1,missions!$2:$2,0)-MATCH("mission_id",missions!$2:$2,0)+1),MATCH(N$1,missions!$2:$2,0)-MATCH("mission_id",missions!$2:$2,0)+1,FALSE),"")</f>
        <v/>
      </c>
    </row>
    <row r="711" spans="1:14" ht="21" customHeight="1" x14ac:dyDescent="0.15">
      <c r="A711" s="2" t="s">
        <v>1263</v>
      </c>
      <c r="B711" s="21" t="s">
        <v>792</v>
      </c>
      <c r="C711" s="26" t="str">
        <f t="shared" ca="1" si="97"/>
        <v>バグ 60 のユニットをつくろう！</v>
      </c>
      <c r="D711" s="26" t="str">
        <f ca="1">IFERROR(VLOOKUP($A711,OFFSET(achievement_criterion_id,0,0,COUNTA($A:$A),MATCH(D$1,missions!$2:$2,0)-MATCH($A$1,missions!$2:$2,0)+1),MATCH(D$1,missions!$2:$2,0)-MATCH($A$1,missions!$2:$2,0)+1,FALSE),IFERROR(VLOOKUP($A711,OFFSET(weekly_achievement_criterion_id,0,0,COUNTA($A:$A),MATCH(D$1,weekly_missions!$2:$2,0)-MATCH($A$1,weekly_missions!$2:$2,0)+1),MATCH(D$1,weekly_missions!$2:$2,0)-MATCH($A$1,weekly_missions!$2:$2,0)+1,FALSE),"＊missions 未設定＊"))</f>
        <v>リトルハンプティ x 1</v>
      </c>
      <c r="E711" s="27" t="s">
        <v>864</v>
      </c>
      <c r="F711" s="2" t="s">
        <v>1248</v>
      </c>
      <c r="G711" s="26" t="str">
        <f ca="1">VLOOKUP($F711,OFFSET(達成条件!$A$1,0,0,COUNTA($A:$A),MATCH(G$1,達成条件!$1:$1,0)-MATCH($F$1,達成条件!$1:$1,0)+1),MATCH(G$1,達成条件!$1:$1,0)-MATCH($F$1,達成条件!$1:$1,0)+1,FALSE)</f>
        <v>バグ x のユニットをつくろう！</v>
      </c>
      <c r="H711" s="26" t="str">
        <f ca="1">VLOOKUP($F711,OFFSET(達成条件!$A$1,0,0,COUNTA($A:$A),MATCH(H$1,達成条件!$1:$1,0)-MATCH($F$1,達成条件!$1:$1,0)+1),MATCH(H$1,達成条件!$1:$1,0)-MATCH($F$1,達成条件!$1:$1,0)+1,FALSE)</f>
        <v>バグレベル</v>
      </c>
      <c r="I711" s="60" t="s">
        <v>1255</v>
      </c>
      <c r="J711" s="54" t="str">
        <f ca="1">IF(F711="specific_unit_aquired_count",SUBSTITUTE(G711,"x",VLOOKUP(INT($I711),OFFSET([3]characters!$A$2,0,0,COUNTA([3]characters!$A:$A),MATCH(J$1,[3]characters!$2:$2,0)-MATCH("character_id",[3]characters!$2:$2,0)+1),MATCH(J$1,[3]characters!$2:$2,0)-MATCH("character_id",[3]characters!$2:$2,0)+1,FALSE)),IF(F711="specific_quest_clear",VLOOKUP(SUBSTITUTE(I711,"-","_"),OFFSET([2]stages!$A$2,0,0,COUNTA([2]stages!$A:$A),MATCH("name",[2]stages!$2:$2,0)-MATCH("temp_stage",[2]stages!$2:$2,0)+1),MATCH("name",[2]stages!$2:$2,0)-MATCH("temp_stage",[2]stages!$2:$2,0)+1,FALSE),""))</f>
        <v/>
      </c>
      <c r="K711" s="41" t="s">
        <v>696</v>
      </c>
      <c r="L711" s="15" t="s">
        <v>542</v>
      </c>
      <c r="M711" s="26" t="str">
        <f ca="1">IFERROR(VLOOKUP($L719,OFFSET(missions!$A$2,0,0,COUNTA($A:$A),MATCH(M$1,missions!$2:$2,0)-MATCH("mission_id",missions!$2:$2,0)+1),MATCH(M$1,missions!$2:$2,0)-MATCH("mission_id",missions!$2:$2,0)+1,FALSE),"")</f>
        <v/>
      </c>
      <c r="N711" s="26" t="str">
        <f ca="1">IFERROR(VLOOKUP($L719,OFFSET(missions!$A$2,0,0,COUNTA($A:$A),MATCH(N$1,missions!$2:$2,0)-MATCH("mission_id",missions!$2:$2,0)+1),MATCH(N$1,missions!$2:$2,0)-MATCH("mission_id",missions!$2:$2,0)+1,FALSE),"")</f>
        <v/>
      </c>
    </row>
    <row r="712" spans="1:14" ht="21" customHeight="1" x14ac:dyDescent="0.15">
      <c r="A712" s="2" t="s">
        <v>1264</v>
      </c>
      <c r="B712" s="21" t="s">
        <v>792</v>
      </c>
      <c r="C712" s="26" t="str">
        <f t="shared" ca="1" si="97"/>
        <v>バグ 75 のユニットをつくろう！</v>
      </c>
      <c r="D712" s="26" t="str">
        <f ca="1">IFERROR(VLOOKUP($A712,OFFSET(achievement_criterion_id,0,0,COUNTA($A:$A),MATCH(D$1,missions!$2:$2,0)-MATCH($A$1,missions!$2:$2,0)+1),MATCH(D$1,missions!$2:$2,0)-MATCH($A$1,missions!$2:$2,0)+1,FALSE),IFERROR(VLOOKUP($A712,OFFSET(weekly_achievement_criterion_id,0,0,COUNTA($A:$A),MATCH(D$1,weekly_missions!$2:$2,0)-MATCH($A$1,weekly_missions!$2:$2,0)+1),MATCH(D$1,weekly_missions!$2:$2,0)-MATCH($A$1,weekly_missions!$2:$2,0)+1,FALSE),"＊missions 未設定＊"))</f>
        <v>ポリゴン x 3</v>
      </c>
      <c r="E712" s="27" t="s">
        <v>864</v>
      </c>
      <c r="F712" s="2" t="s">
        <v>1248</v>
      </c>
      <c r="G712" s="26" t="str">
        <f ca="1">VLOOKUP($F712,OFFSET(達成条件!$A$1,0,0,COUNTA($A:$A),MATCH(G$1,達成条件!$1:$1,0)-MATCH($F$1,達成条件!$1:$1,0)+1),MATCH(G$1,達成条件!$1:$1,0)-MATCH($F$1,達成条件!$1:$1,0)+1,FALSE)</f>
        <v>バグ x のユニットをつくろう！</v>
      </c>
      <c r="H712" s="26" t="str">
        <f ca="1">VLOOKUP($F712,OFFSET(達成条件!$A$1,0,0,COUNTA($A:$A),MATCH(H$1,達成条件!$1:$1,0)-MATCH($F$1,達成条件!$1:$1,0)+1),MATCH(H$1,達成条件!$1:$1,0)-MATCH($F$1,達成条件!$1:$1,0)+1,FALSE)</f>
        <v>バグレベル</v>
      </c>
      <c r="I712" s="60" t="s">
        <v>1256</v>
      </c>
      <c r="J712" s="54" t="str">
        <f ca="1">IF(F712="specific_unit_aquired_count",SUBSTITUTE(G712,"x",VLOOKUP(INT($I712),OFFSET([3]characters!$A$2,0,0,COUNTA([3]characters!$A:$A),MATCH(J$1,[3]characters!$2:$2,0)-MATCH("character_id",[3]characters!$2:$2,0)+1),MATCH(J$1,[3]characters!$2:$2,0)-MATCH("character_id",[3]characters!$2:$2,0)+1,FALSE)),IF(F712="specific_quest_clear",VLOOKUP(SUBSTITUTE(I712,"-","_"),OFFSET([2]stages!$A$2,0,0,COUNTA([2]stages!$A:$A),MATCH("name",[2]stages!$2:$2,0)-MATCH("temp_stage",[2]stages!$2:$2,0)+1),MATCH("name",[2]stages!$2:$2,0)-MATCH("temp_stage",[2]stages!$2:$2,0)+1,FALSE),""))</f>
        <v/>
      </c>
      <c r="K712" s="41" t="s">
        <v>696</v>
      </c>
      <c r="L712" s="15" t="s">
        <v>542</v>
      </c>
      <c r="M712" s="26" t="str">
        <f ca="1">IFERROR(VLOOKUP($L720,OFFSET(missions!$A$2,0,0,COUNTA($A:$A),MATCH(M$1,missions!$2:$2,0)-MATCH("mission_id",missions!$2:$2,0)+1),MATCH(M$1,missions!$2:$2,0)-MATCH("mission_id",missions!$2:$2,0)+1,FALSE),"")</f>
        <v/>
      </c>
      <c r="N712" s="26" t="str">
        <f ca="1">IFERROR(VLOOKUP($L720,OFFSET(missions!$A$2,0,0,COUNTA($A:$A),MATCH(N$1,missions!$2:$2,0)-MATCH("mission_id",missions!$2:$2,0)+1),MATCH(N$1,missions!$2:$2,0)-MATCH("mission_id",missions!$2:$2,0)+1,FALSE),"")</f>
        <v/>
      </c>
    </row>
    <row r="713" spans="1:14" ht="21" customHeight="1" x14ac:dyDescent="0.15">
      <c r="A713" s="2" t="s">
        <v>1265</v>
      </c>
      <c r="B713" s="21" t="s">
        <v>792</v>
      </c>
      <c r="C713" s="26" t="str">
        <f t="shared" ref="C713" ca="1" si="98">IF(F713="specific_quest_clear",SUBSTITUTE(G713,"x",J713),IF(F713="specific_unit_aquired_count",SUBSTITUTE(J713,"y",K713),SUBSTITUTE(G713,"x",I713)))</f>
        <v>バグ 90 のユニットをつくろう！</v>
      </c>
      <c r="D713" s="26" t="str">
        <f ca="1">IFERROR(VLOOKUP($A713,OFFSET(achievement_criterion_id,0,0,COUNTA($A:$A),MATCH(D$1,missions!$2:$2,0)-MATCH($A$1,missions!$2:$2,0)+1),MATCH(D$1,missions!$2:$2,0)-MATCH($A$1,missions!$2:$2,0)+1,FALSE),IFERROR(VLOOKUP($A713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713" s="27" t="s">
        <v>864</v>
      </c>
      <c r="F713" s="2" t="s">
        <v>1248</v>
      </c>
      <c r="G713" s="26" t="str">
        <f ca="1">VLOOKUP($F713,OFFSET(達成条件!$A$1,0,0,COUNTA($A:$A),MATCH(G$1,達成条件!$1:$1,0)-MATCH($F$1,達成条件!$1:$1,0)+1),MATCH(G$1,達成条件!$1:$1,0)-MATCH($F$1,達成条件!$1:$1,0)+1,FALSE)</f>
        <v>バグ x のユニットをつくろう！</v>
      </c>
      <c r="H713" s="26" t="str">
        <f ca="1">VLOOKUP($F713,OFFSET(達成条件!$A$1,0,0,COUNTA($A:$A),MATCH(H$1,達成条件!$1:$1,0)-MATCH($F$1,達成条件!$1:$1,0)+1),MATCH(H$1,達成条件!$1:$1,0)-MATCH($F$1,達成条件!$1:$1,0)+1,FALSE)</f>
        <v>バグレベル</v>
      </c>
      <c r="I713" s="60" t="s">
        <v>1257</v>
      </c>
      <c r="J713" s="54" t="str">
        <f ca="1">IF(F713="specific_unit_aquired_count",SUBSTITUTE(G713,"x",VLOOKUP(INT($I713),OFFSET([3]characters!$A$2,0,0,COUNTA([3]characters!$A:$A),MATCH(J$1,[3]characters!$2:$2,0)-MATCH("character_id",[3]characters!$2:$2,0)+1),MATCH(J$1,[3]characters!$2:$2,0)-MATCH("character_id",[3]characters!$2:$2,0)+1,FALSE)),IF(F713="specific_quest_clear",VLOOKUP(SUBSTITUTE(I713,"-","_"),OFFSET([2]stages!$A$2,0,0,COUNTA([2]stages!$A:$A),MATCH("name",[2]stages!$2:$2,0)-MATCH("temp_stage",[2]stages!$2:$2,0)+1),MATCH("name",[2]stages!$2:$2,0)-MATCH("temp_stage",[2]stages!$2:$2,0)+1,FALSE),""))</f>
        <v/>
      </c>
      <c r="K713" s="41" t="s">
        <v>696</v>
      </c>
      <c r="L713" s="15" t="s">
        <v>542</v>
      </c>
      <c r="M713" s="26" t="str">
        <f ca="1">IFERROR(VLOOKUP($L721,OFFSET(missions!$A$2,0,0,COUNTA($A:$A),MATCH(M$1,missions!$2:$2,0)-MATCH("mission_id",missions!$2:$2,0)+1),MATCH(M$1,missions!$2:$2,0)-MATCH("mission_id",missions!$2:$2,0)+1,FALSE),"")</f>
        <v/>
      </c>
      <c r="N713" s="26" t="str">
        <f ca="1">IFERROR(VLOOKUP($L721,OFFSET(missions!$A$2,0,0,COUNTA($A:$A),MATCH(N$1,missions!$2:$2,0)-MATCH("mission_id",missions!$2:$2,0)+1),MATCH(N$1,missions!$2:$2,0)-MATCH("mission_id",missions!$2:$2,0)+1,FALSE),"")</f>
        <v/>
      </c>
    </row>
    <row r="714" spans="1:14" ht="21" customHeight="1" x14ac:dyDescent="0.15">
      <c r="A714" s="102" t="s">
        <v>1266</v>
      </c>
      <c r="B714" s="21" t="s">
        <v>792</v>
      </c>
      <c r="C714" s="26" t="str">
        <f t="shared" ref="C714" ca="1" si="99">IF(F714="specific_quest_clear",SUBSTITUTE(G714,"x",J714),IF(F714="specific_unit_aquired_count",SUBSTITUTE(J714,"y",K714),SUBSTITUTE(G714,"x",I714)))</f>
        <v>バグ 99 のユニットをつくろう！</v>
      </c>
      <c r="D714" s="26" t="str">
        <f ca="1">IFERROR(VLOOKUP($A714,OFFSET(achievement_criterion_id,0,0,COUNTA($A:$A),MATCH(D$1,missions!$2:$2,0)-MATCH($A$1,missions!$2:$2,0)+1),MATCH(D$1,missions!$2:$2,0)-MATCH($A$1,missions!$2:$2,0)+1,FALSE),IFERROR(VLOOKUP($A714,OFFSET(weekly_achievement_criterion_id,0,0,COUNTA($A:$A),MATCH(D$1,weekly_missions!$2:$2,0)-MATCH($A$1,weekly_missions!$2:$2,0)+1),MATCH(D$1,weekly_missions!$2:$2,0)-MATCH($A$1,weekly_missions!$2:$2,0)+1,FALSE),"＊missions 未設定＊"))</f>
        <v>ポリゴン x 10</v>
      </c>
      <c r="E714" s="27" t="s">
        <v>864</v>
      </c>
      <c r="F714" s="2" t="s">
        <v>1248</v>
      </c>
      <c r="G714" s="26" t="str">
        <f ca="1">VLOOKUP($F714,OFFSET(達成条件!$A$1,0,0,COUNTA($A:$A),MATCH(G$1,達成条件!$1:$1,0)-MATCH($F$1,達成条件!$1:$1,0)+1),MATCH(G$1,達成条件!$1:$1,0)-MATCH($F$1,達成条件!$1:$1,0)+1,FALSE)</f>
        <v>バグ x のユニットをつくろう！</v>
      </c>
      <c r="H714" s="26" t="str">
        <f ca="1">VLOOKUP($F714,OFFSET(達成条件!$A$1,0,0,COUNTA($A:$A),MATCH(H$1,達成条件!$1:$1,0)-MATCH($F$1,達成条件!$1:$1,0)+1),MATCH(H$1,達成条件!$1:$1,0)-MATCH($F$1,達成条件!$1:$1,0)+1,FALSE)</f>
        <v>バグレベル</v>
      </c>
      <c r="I714" s="60" t="s">
        <v>1258</v>
      </c>
      <c r="J714" s="54" t="str">
        <f ca="1">IF(F714="specific_unit_aquired_count",SUBSTITUTE(G714,"x",VLOOKUP(INT($I714),OFFSET([3]characters!$A$2,0,0,COUNTA([3]characters!$A:$A),MATCH(J$1,[3]characters!$2:$2,0)-MATCH("character_id",[3]characters!$2:$2,0)+1),MATCH(J$1,[3]characters!$2:$2,0)-MATCH("character_id",[3]characters!$2:$2,0)+1,FALSE)),IF(F714="specific_quest_clear",VLOOKUP(SUBSTITUTE(I714,"-","_"),OFFSET([2]stages!$A$2,0,0,COUNTA([2]stages!$A:$A),MATCH("name",[2]stages!$2:$2,0)-MATCH("temp_stage",[2]stages!$2:$2,0)+1),MATCH("name",[2]stages!$2:$2,0)-MATCH("temp_stage",[2]stages!$2:$2,0)+1,FALSE),""))</f>
        <v/>
      </c>
      <c r="K714" s="41" t="s">
        <v>696</v>
      </c>
      <c r="L714" s="15" t="s">
        <v>542</v>
      </c>
      <c r="M714" s="26" t="str">
        <f ca="1">IFERROR(VLOOKUP(#REF!,OFFSET(missions!$A$2,0,0,COUNTA($A:$A),MATCH(M$1,missions!$2:$2,0)-MATCH("mission_id",missions!$2:$2,0)+1),MATCH(M$1,missions!$2:$2,0)-MATCH("mission_id",missions!$2:$2,0)+1,FALSE),"")</f>
        <v/>
      </c>
      <c r="N714" s="26" t="str">
        <f ca="1">IFERROR(VLOOKUP(#REF!,OFFSET(missions!$A$2,0,0,COUNTA($A:$A),MATCH(N$1,missions!$2:$2,0)-MATCH("mission_id",missions!$2:$2,0)+1),MATCH(N$1,missions!$2:$2,0)-MATCH("mission_id",missions!$2:$2,0)+1,FALSE),"")</f>
        <v/>
      </c>
    </row>
    <row r="715" spans="1:14" ht="21" customHeight="1" x14ac:dyDescent="0.15">
      <c r="A715" s="102" t="s">
        <v>1931</v>
      </c>
      <c r="B715" s="21" t="s">
        <v>792</v>
      </c>
      <c r="C715" s="26" t="str">
        <f ca="1">IF(F715="specific_quest_clear",SUBSTITUTE(G715,"x",J715),IF(F715="specific_unit_aquired_count",SUBSTITUTE(J715,"y",K715),SUBSTITUTE(G715,"x",I715)))</f>
        <v>通算 1 日ログインしよう！</v>
      </c>
      <c r="D715" s="26" t="str">
        <f ca="1">IFERROR(VLOOKUP($A715,OFFSET(achievement_criterion_id,0,0,COUNTA($A:$A),MATCH(D$1,missions!$2:$2,0)-MATCH($A$1,missions!$2:$2,0)+1),MATCH(D$1,missions!$2:$2,0)-MATCH($A$1,missions!$2:$2,0)+1,FALSE),IFERROR(VLOOKUP($A715,OFFSET(weekly_achievement_criterion_id,0,0,COUNTA($A:$A),MATCH(D$1,weekly_missions!$2:$2,0)-MATCH($A$1,weekly_missions!$2:$2,0)+1),MATCH(D$1,weekly_missions!$2:$2,0)-MATCH($A$1,weekly_missions!$2:$2,0)+1,FALSE),"＊missions 未設定＊"))</f>
        <v>ポリゴン x 1</v>
      </c>
      <c r="E715" s="27" t="s">
        <v>864</v>
      </c>
      <c r="F715" s="17" t="s">
        <v>18</v>
      </c>
      <c r="G715" s="26" t="str">
        <f ca="1">VLOOKUP($F715,OFFSET(達成条件!$A$1,0,0,COUNTA($A:$A),MATCH(G$1,達成条件!$1:$1,0)-MATCH($F$1,達成条件!$1:$1,0)+1),MATCH(G$1,達成条件!$1:$1,0)-MATCH($F$1,達成条件!$1:$1,0)+1,FALSE)</f>
        <v>通算 x 日ログインしよう！</v>
      </c>
      <c r="H715" s="26" t="str">
        <f ca="1">VLOOKUP($F715,OFFSET(達成条件!$A$1,0,0,COUNTA($A:$A),MATCH(H$1,達成条件!$1:$1,0)-MATCH($F$1,達成条件!$1:$1,0)+1),MATCH(H$1,達成条件!$1:$1,0)-MATCH($F$1,達成条件!$1:$1,0)+1,FALSE)</f>
        <v>ログイン回数</v>
      </c>
      <c r="I715" s="60" t="s">
        <v>1933</v>
      </c>
      <c r="J715" s="54" t="str">
        <f ca="1">IF(F715="specific_unit_aquired_count",SUBSTITUTE(G715,"x",VLOOKUP(INT($I715),OFFSET([3]characters!$A$2,0,0,COUNTA([3]characters!$A:$A),MATCH(J$1,[3]characters!$2:$2,0)-MATCH("character_id",[3]characters!$2:$2,0)+1),MATCH(J$1,[3]characters!$2:$2,0)-MATCH("character_id",[3]characters!$2:$2,0)+1,FALSE)),IF(F715="specific_quest_clear",VLOOKUP(SUBSTITUTE(I715,"-","_"),OFFSET([2]stages!$A$2,0,0,COUNTA([2]stages!$A:$A),MATCH("name",[2]stages!$2:$2,0)-MATCH("temp_stage",[2]stages!$2:$2,0)+1),MATCH("name",[2]stages!$2:$2,0)-MATCH("temp_stage",[2]stages!$2:$2,0)+1,FALSE),""))</f>
        <v/>
      </c>
      <c r="K715" s="41" t="s">
        <v>696</v>
      </c>
      <c r="L715" s="15" t="s">
        <v>542</v>
      </c>
      <c r="M715" s="26" t="str">
        <f ca="1">IFERROR(VLOOKUP($L722,OFFSET(missions!$A$2,0,0,COUNTA($A:$A),MATCH(M$1,missions!$2:$2,0)-MATCH("mission_id",missions!$2:$2,0)+1),MATCH(M$1,missions!$2:$2,0)-MATCH("mission_id",missions!$2:$2,0)+1,FALSE),"")</f>
        <v/>
      </c>
      <c r="N715" s="26" t="str">
        <f ca="1">IFERROR(VLOOKUP($L722,OFFSET(missions!$A$2,0,0,COUNTA($A:$A),MATCH(N$1,missions!$2:$2,0)-MATCH("mission_id",missions!$2:$2,0)+1),MATCH(N$1,missions!$2:$2,0)-MATCH("mission_id",missions!$2:$2,0)+1,FALSE),"")</f>
        <v/>
      </c>
    </row>
    <row r="716" spans="1:14" ht="21" customHeight="1" x14ac:dyDescent="0.15">
      <c r="A716" s="102" t="s">
        <v>1935</v>
      </c>
      <c r="B716" s="21" t="s">
        <v>792</v>
      </c>
      <c r="C716" s="26" t="str">
        <f ca="1">IF(F716="specific_quest_clear",SUBSTITUTE(G716,"x",J716),IF(F716="specific_unit_aquired_count",SUBSTITUTE(J716,"y",K716),SUBSTITUTE(G716,"x",I716)))</f>
        <v>通算 2 日ログインしよう！</v>
      </c>
      <c r="D716" s="26" t="str">
        <f ca="1">IFERROR(VLOOKUP($A716,OFFSET(achievement_criterion_id,0,0,COUNTA($A:$A),MATCH(D$1,missions!$2:$2,0)-MATCH($A$1,missions!$2:$2,0)+1),MATCH(D$1,missions!$2:$2,0)-MATCH($A$1,missions!$2:$2,0)+1,FALSE),IFERROR(VLOOKUP($A716,OFFSET(weekly_achievement_criterion_id,0,0,COUNTA($A:$A),MATCH(D$1,weekly_missions!$2:$2,0)-MATCH($A$1,weekly_missions!$2:$2,0)+1),MATCH(D$1,weekly_missions!$2:$2,0)-MATCH($A$1,weekly_missions!$2:$2,0)+1,FALSE),"＊missions 未設定＊"))</f>
        <v>ポリゴン x 2</v>
      </c>
      <c r="E716" s="27" t="s">
        <v>864</v>
      </c>
      <c r="F716" s="17" t="s">
        <v>18</v>
      </c>
      <c r="G716" s="26" t="str">
        <f ca="1">VLOOKUP($F716,OFFSET(達成条件!$A$1,0,0,COUNTA($A:$A),MATCH(G$1,達成条件!$1:$1,0)-MATCH($F$1,達成条件!$1:$1,0)+1),MATCH(G$1,達成条件!$1:$1,0)-MATCH($F$1,達成条件!$1:$1,0)+1,FALSE)</f>
        <v>通算 x 日ログインしよう！</v>
      </c>
      <c r="H716" s="26" t="str">
        <f ca="1">VLOOKUP($F716,OFFSET(達成条件!$A$1,0,0,COUNTA($A:$A),MATCH(H$1,達成条件!$1:$1,0)-MATCH($F$1,達成条件!$1:$1,0)+1),MATCH(H$1,達成条件!$1:$1,0)-MATCH($F$1,達成条件!$1:$1,0)+1,FALSE)</f>
        <v>ログイン回数</v>
      </c>
      <c r="I716" s="60" t="s">
        <v>1936</v>
      </c>
      <c r="J716" s="54" t="str">
        <f ca="1">IF(F716="specific_unit_aquired_count",SUBSTITUTE(G716,"x",VLOOKUP(INT($I716),OFFSET([3]characters!$A$2,0,0,COUNTA([3]characters!$A:$A),MATCH(J$1,[3]characters!$2:$2,0)-MATCH("character_id",[3]characters!$2:$2,0)+1),MATCH(J$1,[3]characters!$2:$2,0)-MATCH("character_id",[3]characters!$2:$2,0)+1,FALSE)),IF(F716="specific_quest_clear",VLOOKUP(SUBSTITUTE(I716,"-","_"),OFFSET([2]stages!$A$2,0,0,COUNTA([2]stages!$A:$A),MATCH("name",[2]stages!$2:$2,0)-MATCH("temp_stage",[2]stages!$2:$2,0)+1),MATCH("name",[2]stages!$2:$2,0)-MATCH("temp_stage",[2]stages!$2:$2,0)+1,FALSE),""))</f>
        <v/>
      </c>
      <c r="K716" s="41" t="s">
        <v>696</v>
      </c>
      <c r="L716" s="15" t="s">
        <v>542</v>
      </c>
      <c r="M716" s="26" t="str">
        <f ca="1">IFERROR(VLOOKUP($L723,OFFSET(missions!$A$2,0,0,COUNTA($A:$A),MATCH(M$1,missions!$2:$2,0)-MATCH("mission_id",missions!$2:$2,0)+1),MATCH(M$1,missions!$2:$2,0)-MATCH("mission_id",missions!$2:$2,0)+1,FALSE),"")</f>
        <v/>
      </c>
      <c r="N716" s="26" t="str">
        <f ca="1">IFERROR(VLOOKUP($L723,OFFSET(missions!$A$2,0,0,COUNTA($A:$A),MATCH(N$1,missions!$2:$2,0)-MATCH("mission_id",missions!$2:$2,0)+1),MATCH(N$1,missions!$2:$2,0)-MATCH("mission_id",missions!$2:$2,0)+1,FALSE),"")</f>
        <v/>
      </c>
    </row>
    <row r="717" spans="1:14" ht="21" customHeight="1" x14ac:dyDescent="0.15">
      <c r="A717" s="102" t="s">
        <v>1937</v>
      </c>
      <c r="B717" s="21" t="s">
        <v>792</v>
      </c>
      <c r="C717" s="26" t="str">
        <f t="shared" ref="C717:C721" ca="1" si="100">IF(F717="specific_quest_clear",SUBSTITUTE(G717,"x",J717),IF(F717="specific_unit_aquired_count",SUBSTITUTE(J717,"y",K717),SUBSTITUTE(G717,"x",I717)))</f>
        <v>通算 3 日ログインしよう！</v>
      </c>
      <c r="D717" s="26" t="str">
        <f ca="1">IFERROR(VLOOKUP($A717,OFFSET(achievement_criterion_id,0,0,COUNTA($A:$A),MATCH(D$1,missions!$2:$2,0)-MATCH($A$1,missions!$2:$2,0)+1),MATCH(D$1,missions!$2:$2,0)-MATCH($A$1,missions!$2:$2,0)+1,FALSE),IFERROR(VLOOKUP($A717,OFFSET(weekly_achievement_criterion_id,0,0,COUNTA($A:$A),MATCH(D$1,weekly_missions!$2:$2,0)-MATCH($A$1,weekly_missions!$2:$2,0)+1),MATCH(D$1,weekly_missions!$2:$2,0)-MATCH($A$1,weekly_missions!$2:$2,0)+1,FALSE),"＊missions 未設定＊"))</f>
        <v>ポリゴン x 3</v>
      </c>
      <c r="E717" s="27" t="s">
        <v>864</v>
      </c>
      <c r="F717" s="17" t="s">
        <v>18</v>
      </c>
      <c r="G717" s="26" t="str">
        <f ca="1">VLOOKUP($F717,OFFSET(達成条件!$A$1,0,0,COUNTA($A:$A),MATCH(G$1,達成条件!$1:$1,0)-MATCH($F$1,達成条件!$1:$1,0)+1),MATCH(G$1,達成条件!$1:$1,0)-MATCH($F$1,達成条件!$1:$1,0)+1,FALSE)</f>
        <v>通算 x 日ログインしよう！</v>
      </c>
      <c r="H717" s="26" t="str">
        <f ca="1">VLOOKUP($F717,OFFSET(達成条件!$A$1,0,0,COUNTA($A:$A),MATCH(H$1,達成条件!$1:$1,0)-MATCH($F$1,達成条件!$1:$1,0)+1),MATCH(H$1,達成条件!$1:$1,0)-MATCH($F$1,達成条件!$1:$1,0)+1,FALSE)</f>
        <v>ログイン回数</v>
      </c>
      <c r="I717" s="60" t="s">
        <v>1938</v>
      </c>
      <c r="J717" s="54" t="str">
        <f ca="1">IF(F717="specific_unit_aquired_count",SUBSTITUTE(G717,"x",VLOOKUP(INT($I717),OFFSET([3]characters!$A$2,0,0,COUNTA([3]characters!$A:$A),MATCH(J$1,[3]characters!$2:$2,0)-MATCH("character_id",[3]characters!$2:$2,0)+1),MATCH(J$1,[3]characters!$2:$2,0)-MATCH("character_id",[3]characters!$2:$2,0)+1,FALSE)),IF(F717="specific_quest_clear",VLOOKUP(SUBSTITUTE(I717,"-","_"),OFFSET([2]stages!$A$2,0,0,COUNTA([2]stages!$A:$A),MATCH("name",[2]stages!$2:$2,0)-MATCH("temp_stage",[2]stages!$2:$2,0)+1),MATCH("name",[2]stages!$2:$2,0)-MATCH("temp_stage",[2]stages!$2:$2,0)+1,FALSE),""))</f>
        <v/>
      </c>
      <c r="K717" s="41" t="s">
        <v>1932</v>
      </c>
      <c r="L717" s="15" t="s">
        <v>542</v>
      </c>
      <c r="M717" s="26" t="str">
        <f ca="1">IFERROR(VLOOKUP($L724,OFFSET(missions!$A$2,0,0,COUNTA($A:$A),MATCH(M$1,missions!$2:$2,0)-MATCH("mission_id",missions!$2:$2,0)+1),MATCH(M$1,missions!$2:$2,0)-MATCH("mission_id",missions!$2:$2,0)+1,FALSE),"")</f>
        <v/>
      </c>
      <c r="N717" s="26" t="str">
        <f ca="1">IFERROR(VLOOKUP($L724,OFFSET(missions!$A$2,0,0,COUNTA($A:$A),MATCH(N$1,missions!$2:$2,0)-MATCH("mission_id",missions!$2:$2,0)+1),MATCH(N$1,missions!$2:$2,0)-MATCH("mission_id",missions!$2:$2,0)+1,FALSE),"")</f>
        <v/>
      </c>
    </row>
    <row r="718" spans="1:14" ht="21" customHeight="1" x14ac:dyDescent="0.15">
      <c r="A718" s="102" t="s">
        <v>1939</v>
      </c>
      <c r="B718" s="21" t="s">
        <v>792</v>
      </c>
      <c r="C718" s="26" t="str">
        <f t="shared" ca="1" si="100"/>
        <v>通算 4 日ログインしよう！</v>
      </c>
      <c r="D718" s="26" t="str">
        <f ca="1">IFERROR(VLOOKUP($A718,OFFSET(achievement_criterion_id,0,0,COUNTA($A:$A),MATCH(D$1,missions!$2:$2,0)-MATCH($A$1,missions!$2:$2,0)+1),MATCH(D$1,missions!$2:$2,0)-MATCH($A$1,missions!$2:$2,0)+1,FALSE),IFERROR(VLOOKUP($A718,OFFSET(weekly_achievement_criterion_id,0,0,COUNTA($A:$A),MATCH(D$1,weekly_missions!$2:$2,0)-MATCH($A$1,weekly_missions!$2:$2,0)+1),MATCH(D$1,weekly_missions!$2:$2,0)-MATCH($A$1,weekly_missions!$2:$2,0)+1,FALSE),"＊missions 未設定＊"))</f>
        <v>ポリゴン x 4</v>
      </c>
      <c r="E718" s="27" t="s">
        <v>864</v>
      </c>
      <c r="F718" s="17" t="s">
        <v>18</v>
      </c>
      <c r="G718" s="26" t="str">
        <f ca="1">VLOOKUP($F718,OFFSET(達成条件!$A$1,0,0,COUNTA($A:$A),MATCH(G$1,達成条件!$1:$1,0)-MATCH($F$1,達成条件!$1:$1,0)+1),MATCH(G$1,達成条件!$1:$1,0)-MATCH($F$1,達成条件!$1:$1,0)+1,FALSE)</f>
        <v>通算 x 日ログインしよう！</v>
      </c>
      <c r="H718" s="26" t="str">
        <f ca="1">VLOOKUP($F718,OFFSET(達成条件!$A$1,0,0,COUNTA($A:$A),MATCH(H$1,達成条件!$1:$1,0)-MATCH($F$1,達成条件!$1:$1,0)+1),MATCH(H$1,達成条件!$1:$1,0)-MATCH($F$1,達成条件!$1:$1,0)+1,FALSE)</f>
        <v>ログイン回数</v>
      </c>
      <c r="I718" s="60" t="s">
        <v>1940</v>
      </c>
      <c r="J718" s="54" t="str">
        <f ca="1">IF(F718="specific_unit_aquired_count",SUBSTITUTE(G718,"x",VLOOKUP(INT($I718),OFFSET([3]characters!$A$2,0,0,COUNTA([3]characters!$A:$A),MATCH(J$1,[3]characters!$2:$2,0)-MATCH("character_id",[3]characters!$2:$2,0)+1),MATCH(J$1,[3]characters!$2:$2,0)-MATCH("character_id",[3]characters!$2:$2,0)+1,FALSE)),IF(F718="specific_quest_clear",VLOOKUP(SUBSTITUTE(I718,"-","_"),OFFSET([2]stages!$A$2,0,0,COUNTA([2]stages!$A:$A),MATCH("name",[2]stages!$2:$2,0)-MATCH("temp_stage",[2]stages!$2:$2,0)+1),MATCH("name",[2]stages!$2:$2,0)-MATCH("temp_stage",[2]stages!$2:$2,0)+1,FALSE),""))</f>
        <v/>
      </c>
      <c r="K718" s="41" t="s">
        <v>1932</v>
      </c>
      <c r="L718" s="15" t="s">
        <v>542</v>
      </c>
      <c r="M718" s="26" t="str">
        <f ca="1">IFERROR(VLOOKUP($L725,OFFSET(missions!$A$2,0,0,COUNTA($A:$A),MATCH(M$1,missions!$2:$2,0)-MATCH("mission_id",missions!$2:$2,0)+1),MATCH(M$1,missions!$2:$2,0)-MATCH("mission_id",missions!$2:$2,0)+1,FALSE),"")</f>
        <v/>
      </c>
      <c r="N718" s="26" t="str">
        <f ca="1">IFERROR(VLOOKUP($L725,OFFSET(missions!$A$2,0,0,COUNTA($A:$A),MATCH(N$1,missions!$2:$2,0)-MATCH("mission_id",missions!$2:$2,0)+1),MATCH(N$1,missions!$2:$2,0)-MATCH("mission_id",missions!$2:$2,0)+1,FALSE),"")</f>
        <v/>
      </c>
    </row>
    <row r="719" spans="1:14" ht="21" customHeight="1" x14ac:dyDescent="0.15">
      <c r="A719" s="102" t="s">
        <v>1941</v>
      </c>
      <c r="B719" s="21" t="s">
        <v>792</v>
      </c>
      <c r="C719" s="26" t="str">
        <f t="shared" ca="1" si="100"/>
        <v>通算 5 日ログインしよう！</v>
      </c>
      <c r="D719" s="26" t="str">
        <f ca="1">IFERROR(VLOOKUP($A719,OFFSET(achievement_criterion_id,0,0,COUNTA($A:$A),MATCH(D$1,missions!$2:$2,0)-MATCH($A$1,missions!$2:$2,0)+1),MATCH(D$1,missions!$2:$2,0)-MATCH($A$1,missions!$2:$2,0)+1,FALSE),IFERROR(VLOOKUP($A719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719" s="27" t="s">
        <v>864</v>
      </c>
      <c r="F719" s="17" t="s">
        <v>18</v>
      </c>
      <c r="G719" s="26" t="str">
        <f ca="1">VLOOKUP($F719,OFFSET(達成条件!$A$1,0,0,COUNTA($A:$A),MATCH(G$1,達成条件!$1:$1,0)-MATCH($F$1,達成条件!$1:$1,0)+1),MATCH(G$1,達成条件!$1:$1,0)-MATCH($F$1,達成条件!$1:$1,0)+1,FALSE)</f>
        <v>通算 x 日ログインしよう！</v>
      </c>
      <c r="H719" s="26" t="str">
        <f ca="1">VLOOKUP($F719,OFFSET(達成条件!$A$1,0,0,COUNTA($A:$A),MATCH(H$1,達成条件!$1:$1,0)-MATCH($F$1,達成条件!$1:$1,0)+1),MATCH(H$1,達成条件!$1:$1,0)-MATCH($F$1,達成条件!$1:$1,0)+1,FALSE)</f>
        <v>ログイン回数</v>
      </c>
      <c r="I719" s="60" t="s">
        <v>1462</v>
      </c>
      <c r="J719" s="54" t="str">
        <f ca="1">IF(F719="specific_unit_aquired_count",SUBSTITUTE(G719,"x",VLOOKUP(INT($I719),OFFSET([3]characters!$A$2,0,0,COUNTA([3]characters!$A:$A),MATCH(J$1,[3]characters!$2:$2,0)-MATCH("character_id",[3]characters!$2:$2,0)+1),MATCH(J$1,[3]characters!$2:$2,0)-MATCH("character_id",[3]characters!$2:$2,0)+1,FALSE)),IF(F719="specific_quest_clear",VLOOKUP(SUBSTITUTE(I719,"-","_"),OFFSET([2]stages!$A$2,0,0,COUNTA([2]stages!$A:$A),MATCH("name",[2]stages!$2:$2,0)-MATCH("temp_stage",[2]stages!$2:$2,0)+1),MATCH("name",[2]stages!$2:$2,0)-MATCH("temp_stage",[2]stages!$2:$2,0)+1,FALSE),""))</f>
        <v/>
      </c>
      <c r="K719" s="41" t="s">
        <v>1932</v>
      </c>
      <c r="L719" s="15" t="s">
        <v>542</v>
      </c>
      <c r="M719" s="26" t="str">
        <f ca="1">IFERROR(VLOOKUP($L726,OFFSET(missions!$A$2,0,0,COUNTA($A:$A),MATCH(M$1,missions!$2:$2,0)-MATCH("mission_id",missions!$2:$2,0)+1),MATCH(M$1,missions!$2:$2,0)-MATCH("mission_id",missions!$2:$2,0)+1,FALSE),"")</f>
        <v/>
      </c>
      <c r="N719" s="26" t="str">
        <f ca="1">IFERROR(VLOOKUP($L726,OFFSET(missions!$A$2,0,0,COUNTA($A:$A),MATCH(N$1,missions!$2:$2,0)-MATCH("mission_id",missions!$2:$2,0)+1),MATCH(N$1,missions!$2:$2,0)-MATCH("mission_id",missions!$2:$2,0)+1,FALSE),"")</f>
        <v/>
      </c>
    </row>
    <row r="720" spans="1:14" ht="21" customHeight="1" x14ac:dyDescent="0.15">
      <c r="A720" s="102" t="s">
        <v>1942</v>
      </c>
      <c r="B720" s="21" t="s">
        <v>792</v>
      </c>
      <c r="C720" s="26" t="str">
        <f t="shared" ca="1" si="100"/>
        <v>通算 6 日ログインしよう！</v>
      </c>
      <c r="D720" s="26" t="str">
        <f ca="1">IFERROR(VLOOKUP($A720,OFFSET(achievement_criterion_id,0,0,COUNTA($A:$A),MATCH(D$1,missions!$2:$2,0)-MATCH($A$1,missions!$2:$2,0)+1),MATCH(D$1,missions!$2:$2,0)-MATCH($A$1,missions!$2:$2,0)+1,FALSE),IFERROR(VLOOKUP($A720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720" s="27" t="s">
        <v>864</v>
      </c>
      <c r="F720" s="17" t="s">
        <v>18</v>
      </c>
      <c r="G720" s="26" t="str">
        <f ca="1">VLOOKUP($F720,OFFSET(達成条件!$A$1,0,0,COUNTA($A:$A),MATCH(G$1,達成条件!$1:$1,0)-MATCH($F$1,達成条件!$1:$1,0)+1),MATCH(G$1,達成条件!$1:$1,0)-MATCH($F$1,達成条件!$1:$1,0)+1,FALSE)</f>
        <v>通算 x 日ログインしよう！</v>
      </c>
      <c r="H720" s="26" t="str">
        <f ca="1">VLOOKUP($F720,OFFSET(達成条件!$A$1,0,0,COUNTA($A:$A),MATCH(H$1,達成条件!$1:$1,0)-MATCH($F$1,達成条件!$1:$1,0)+1),MATCH(H$1,達成条件!$1:$1,0)-MATCH($F$1,達成条件!$1:$1,0)+1,FALSE)</f>
        <v>ログイン回数</v>
      </c>
      <c r="I720" s="60" t="s">
        <v>1946</v>
      </c>
      <c r="J720" s="54" t="str">
        <f ca="1">IF(F720="specific_unit_aquired_count",SUBSTITUTE(G720,"x",VLOOKUP(INT($I720),OFFSET([3]characters!$A$2,0,0,COUNTA([3]characters!$A:$A),MATCH(J$1,[3]characters!$2:$2,0)-MATCH("character_id",[3]characters!$2:$2,0)+1),MATCH(J$1,[3]characters!$2:$2,0)-MATCH("character_id",[3]characters!$2:$2,0)+1,FALSE)),IF(F720="specific_quest_clear",VLOOKUP(SUBSTITUTE(I720,"-","_"),OFFSET([2]stages!$A$2,0,0,COUNTA([2]stages!$A:$A),MATCH("name",[2]stages!$2:$2,0)-MATCH("temp_stage",[2]stages!$2:$2,0)+1),MATCH("name",[2]stages!$2:$2,0)-MATCH("temp_stage",[2]stages!$2:$2,0)+1,FALSE),""))</f>
        <v/>
      </c>
      <c r="K720" s="41" t="s">
        <v>1932</v>
      </c>
      <c r="L720" s="15" t="s">
        <v>542</v>
      </c>
      <c r="M720" s="26" t="str">
        <f ca="1">IFERROR(VLOOKUP($L727,OFFSET(missions!$A$2,0,0,COUNTA($A:$A),MATCH(M$1,missions!$2:$2,0)-MATCH("mission_id",missions!$2:$2,0)+1),MATCH(M$1,missions!$2:$2,0)-MATCH("mission_id",missions!$2:$2,0)+1,FALSE),"")</f>
        <v/>
      </c>
      <c r="N720" s="26" t="str">
        <f ca="1">IFERROR(VLOOKUP($L727,OFFSET(missions!$A$2,0,0,COUNTA($A:$A),MATCH(N$1,missions!$2:$2,0)-MATCH("mission_id",missions!$2:$2,0)+1),MATCH(N$1,missions!$2:$2,0)-MATCH("mission_id",missions!$2:$2,0)+1,FALSE),"")</f>
        <v/>
      </c>
    </row>
    <row r="721" spans="1:14" ht="21" customHeight="1" x14ac:dyDescent="0.15">
      <c r="A721" s="102" t="s">
        <v>1943</v>
      </c>
      <c r="B721" s="21" t="s">
        <v>792</v>
      </c>
      <c r="C721" s="26" t="str">
        <f t="shared" ca="1" si="100"/>
        <v>通算 7 日ログインしよう！</v>
      </c>
      <c r="D721" s="26" t="str">
        <f ca="1">IFERROR(VLOOKUP($A721,OFFSET(achievement_criterion_id,0,0,COUNTA($A:$A),MATCH(D$1,missions!$2:$2,0)-MATCH($A$1,missions!$2:$2,0)+1),MATCH(D$1,missions!$2:$2,0)-MATCH($A$1,missions!$2:$2,0)+1,FALSE),IFERROR(VLOOKUP($A721,OFFSET(weekly_achievement_criterion_id,0,0,COUNTA($A:$A),MATCH(D$1,weekly_missions!$2:$2,0)-MATCH($A$1,weekly_missions!$2:$2,0)+1),MATCH(D$1,weekly_missions!$2:$2,0)-MATCH($A$1,weekly_missions!$2:$2,0)+1,FALSE),"＊missions 未設定＊"))</f>
        <v>ポリゴン x 5</v>
      </c>
      <c r="E721" s="27" t="s">
        <v>864</v>
      </c>
      <c r="F721" s="17" t="s">
        <v>18</v>
      </c>
      <c r="G721" s="26" t="str">
        <f ca="1">VLOOKUP($F721,OFFSET(達成条件!$A$1,0,0,COUNTA($A:$A),MATCH(G$1,達成条件!$1:$1,0)-MATCH($F$1,達成条件!$1:$1,0)+1),MATCH(G$1,達成条件!$1:$1,0)-MATCH($F$1,達成条件!$1:$1,0)+1,FALSE)</f>
        <v>通算 x 日ログインしよう！</v>
      </c>
      <c r="H721" s="26" t="str">
        <f ca="1">VLOOKUP($F721,OFFSET(達成条件!$A$1,0,0,COUNTA($A:$A),MATCH(H$1,達成条件!$1:$1,0)-MATCH($F$1,達成条件!$1:$1,0)+1),MATCH(H$1,達成条件!$1:$1,0)-MATCH($F$1,達成条件!$1:$1,0)+1,FALSE)</f>
        <v>ログイン回数</v>
      </c>
      <c r="I721" s="60" t="s">
        <v>1947</v>
      </c>
      <c r="J721" s="54" t="str">
        <f ca="1">IF(F721="specific_unit_aquired_count",SUBSTITUTE(G721,"x",VLOOKUP(INT($I721),OFFSET([3]characters!$A$2,0,0,COUNTA([3]characters!$A:$A),MATCH(J$1,[3]characters!$2:$2,0)-MATCH("character_id",[3]characters!$2:$2,0)+1),MATCH(J$1,[3]characters!$2:$2,0)-MATCH("character_id",[3]characters!$2:$2,0)+1,FALSE)),IF(F721="specific_quest_clear",VLOOKUP(SUBSTITUTE(I721,"-","_"),OFFSET([2]stages!$A$2,0,0,COUNTA([2]stages!$A:$A),MATCH("name",[2]stages!$2:$2,0)-MATCH("temp_stage",[2]stages!$2:$2,0)+1),MATCH("name",[2]stages!$2:$2,0)-MATCH("temp_stage",[2]stages!$2:$2,0)+1,FALSE),""))</f>
        <v/>
      </c>
      <c r="K721" s="41" t="s">
        <v>1932</v>
      </c>
      <c r="L721" s="15" t="s">
        <v>542</v>
      </c>
      <c r="M721" s="26" t="str">
        <f ca="1">IFERROR(VLOOKUP($L728,OFFSET(missions!$A$2,0,0,COUNTA($A:$A),MATCH(M$1,missions!$2:$2,0)-MATCH("mission_id",missions!$2:$2,0)+1),MATCH(M$1,missions!$2:$2,0)-MATCH("mission_id",missions!$2:$2,0)+1,FALSE),"")</f>
        <v/>
      </c>
      <c r="N721" s="26" t="str">
        <f ca="1">IFERROR(VLOOKUP($L728,OFFSET(missions!$A$2,0,0,COUNTA($A:$A),MATCH(N$1,missions!$2:$2,0)-MATCH("mission_id",missions!$2:$2,0)+1),MATCH(N$1,missions!$2:$2,0)-MATCH("mission_id",missions!$2:$2,0)+1,FALSE),"")</f>
        <v/>
      </c>
    </row>
    <row r="722" spans="1:14" ht="21" customHeight="1" x14ac:dyDescent="0.15">
      <c r="A722" s="27" t="s">
        <v>1959</v>
      </c>
      <c r="B722" s="21" t="s">
        <v>792</v>
      </c>
      <c r="C722" s="26" t="str">
        <f ca="1">IF(F722="specific_quest_clear",SUBSTITUTE(G722,"x",J722),IF(F722="specific_unit_aquired_count",SUBSTITUTE(J722,"y",K722),SUBSTITUTE(G722,"x",I722)))</f>
        <v>クエストを通算 1 回クリアしよう！</v>
      </c>
      <c r="D722" s="26" t="str">
        <f ca="1">IFERROR(VLOOKUP($A722,OFFSET(achievement_criterion_id,0,0,COUNTA($A:$A),MATCH(D$1,missions!$2:$2,0)-MATCH($A$1,missions!$2:$2,0)+1),MATCH(D$1,missions!$2:$2,0)-MATCH($A$1,missions!$2:$2,0)+1,FALSE),IFERROR(VLOOKUP($A722,OFFSET(weekly_achievement_criterion_id,0,0,COUNTA($A:$A),MATCH(D$1,weekly_missions!$2:$2,0)-MATCH($A$1,weekly_missions!$2:$2,0)+1),MATCH(D$1,weekly_missions!$2:$2,0)-MATCH($A$1,weekly_missions!$2:$2,0)+1,FALSE),"＊missions 未設定＊"))</f>
        <v>リトルハンプティ x 1</v>
      </c>
      <c r="E722" s="27" t="s">
        <v>864</v>
      </c>
      <c r="F722" s="17" t="s">
        <v>1949</v>
      </c>
      <c r="G722" s="26" t="str">
        <f ca="1">VLOOKUP($F722,OFFSET(達成条件!$A$1,0,0,COUNTA($A:$A),MATCH(G$1,達成条件!$1:$1,0)-MATCH($F$1,達成条件!$1:$1,0)+1),MATCH(G$1,達成条件!$1:$1,0)-MATCH($F$1,達成条件!$1:$1,0)+1,FALSE)</f>
        <v>クエストを通算 x 回クリアしよう！</v>
      </c>
      <c r="H722" s="26" t="str">
        <f ca="1">VLOOKUP($F722,OFFSET(達成条件!$A$1,0,0,COUNTA($A:$A),MATCH(H$1,達成条件!$1:$1,0)-MATCH($F$1,達成条件!$1:$1,0)+1),MATCH(H$1,達成条件!$1:$1,0)-MATCH($F$1,達成条件!$1:$1,0)+1,FALSE)</f>
        <v>通算クリア回数</v>
      </c>
      <c r="I722" s="60" t="s">
        <v>1950</v>
      </c>
      <c r="J722" s="54" t="str">
        <f ca="1">IF(F722="specific_unit_aquired_count",SUBSTITUTE(G722,"x",VLOOKUP(INT($I722),OFFSET([3]characters!$A$2,0,0,COUNTA([3]characters!$A:$A),MATCH(J$1,[3]characters!$2:$2,0)-MATCH("character_id",[3]characters!$2:$2,0)+1),MATCH(J$1,[3]characters!$2:$2,0)-MATCH("character_id",[3]characters!$2:$2,0)+1,FALSE)),IF(F722="specific_quest_clear",VLOOKUP(SUBSTITUTE(I722,"-","_"),OFFSET([2]stages!$A$2,0,0,COUNTA([2]stages!$A:$A),MATCH("name",[2]stages!$2:$2,0)-MATCH("temp_stage",[2]stages!$2:$2,0)+1),MATCH("name",[2]stages!$2:$2,0)-MATCH("temp_stage",[2]stages!$2:$2,0)+1,FALSE),""))</f>
        <v/>
      </c>
      <c r="K722" s="41" t="s">
        <v>1932</v>
      </c>
      <c r="L722" s="15" t="s">
        <v>542</v>
      </c>
      <c r="M722" s="26" t="str">
        <f ca="1">IFERROR(VLOOKUP($L729,OFFSET(missions!$A$2,0,0,COUNTA($A:$A),MATCH(M$1,missions!$2:$2,0)-MATCH("mission_id",missions!$2:$2,0)+1),MATCH(M$1,missions!$2:$2,0)-MATCH("mission_id",missions!$2:$2,0)+1,FALSE),"")</f>
        <v/>
      </c>
      <c r="N722" s="26" t="str">
        <f ca="1">IFERROR(VLOOKUP($L729,OFFSET(missions!$A$2,0,0,COUNTA($A:$A),MATCH(N$1,missions!$2:$2,0)-MATCH("mission_id",missions!$2:$2,0)+1),MATCH(N$1,missions!$2:$2,0)-MATCH("mission_id",missions!$2:$2,0)+1,FALSE),"")</f>
        <v/>
      </c>
    </row>
    <row r="723" spans="1:14" ht="21" customHeight="1" x14ac:dyDescent="0.15">
      <c r="A723" s="27" t="s">
        <v>1960</v>
      </c>
      <c r="B723" s="21" t="s">
        <v>792</v>
      </c>
      <c r="C723" s="26" t="str">
        <f t="shared" ref="C723:C729" ca="1" si="101">IF(F723="specific_quest_clear",SUBSTITUTE(G723,"x",J723),IF(F723="specific_unit_aquired_count",SUBSTITUTE(J723,"y",K723),SUBSTITUTE(G723,"x",I723)))</f>
        <v>クエストを通算 3 回クリアしよう！</v>
      </c>
      <c r="D723" s="26" t="str">
        <f ca="1">IFERROR(VLOOKUP($A723,OFFSET(achievement_criterion_id,0,0,COUNTA($A:$A),MATCH(D$1,missions!$2:$2,0)-MATCH($A$1,missions!$2:$2,0)+1),MATCH(D$1,missions!$2:$2,0)-MATCH($A$1,missions!$2:$2,0)+1,FALSE),IFERROR(VLOOKUP($A723,OFFSET(weekly_achievement_criterion_id,0,0,COUNTA($A:$A),MATCH(D$1,weekly_missions!$2:$2,0)-MATCH($A$1,weekly_missions!$2:$2,0)+1),MATCH(D$1,weekly_missions!$2:$2,0)-MATCH($A$1,weekly_missions!$2:$2,0)+1,FALSE),"＊missions 未設定＊"))</f>
        <v>マスターキー x 3</v>
      </c>
      <c r="E723" s="27" t="s">
        <v>864</v>
      </c>
      <c r="F723" s="17" t="s">
        <v>1949</v>
      </c>
      <c r="G723" s="26" t="str">
        <f ca="1">VLOOKUP($F723,OFFSET(達成条件!$A$1,0,0,COUNTA($A:$A),MATCH(G$1,達成条件!$1:$1,0)-MATCH($F$1,達成条件!$1:$1,0)+1),MATCH(G$1,達成条件!$1:$1,0)-MATCH($F$1,達成条件!$1:$1,0)+1,FALSE)</f>
        <v>クエストを通算 x 回クリアしよう！</v>
      </c>
      <c r="H723" s="26" t="str">
        <f ca="1">VLOOKUP($F723,OFFSET(達成条件!$A$1,0,0,COUNTA($A:$A),MATCH(H$1,達成条件!$1:$1,0)-MATCH($F$1,達成条件!$1:$1,0)+1),MATCH(H$1,達成条件!$1:$1,0)-MATCH($F$1,達成条件!$1:$1,0)+1,FALSE)</f>
        <v>通算クリア回数</v>
      </c>
      <c r="I723" s="60" t="s">
        <v>1969</v>
      </c>
      <c r="J723" s="54" t="str">
        <f ca="1">IF(F723="specific_unit_aquired_count",SUBSTITUTE(G723,"x",VLOOKUP(INT($I723),OFFSET([3]characters!$A$2,0,0,COUNTA([3]characters!$A:$A),MATCH(J$1,[3]characters!$2:$2,0)-MATCH("character_id",[3]characters!$2:$2,0)+1),MATCH(J$1,[3]characters!$2:$2,0)-MATCH("character_id",[3]characters!$2:$2,0)+1,FALSE)),IF(F723="specific_quest_clear",VLOOKUP(SUBSTITUTE(I723,"-","_"),OFFSET([2]stages!$A$2,0,0,COUNTA([2]stages!$A:$A),MATCH("name",[2]stages!$2:$2,0)-MATCH("temp_stage",[2]stages!$2:$2,0)+1),MATCH("name",[2]stages!$2:$2,0)-MATCH("temp_stage",[2]stages!$2:$2,0)+1,FALSE),""))</f>
        <v/>
      </c>
      <c r="K723" s="41" t="s">
        <v>1932</v>
      </c>
      <c r="L723" s="15" t="s">
        <v>542</v>
      </c>
      <c r="M723" s="26" t="str">
        <f ca="1">IFERROR(VLOOKUP($L730,OFFSET(missions!$A$2,0,0,COUNTA($A:$A),MATCH(M$1,missions!$2:$2,0)-MATCH("mission_id",missions!$2:$2,0)+1),MATCH(M$1,missions!$2:$2,0)-MATCH("mission_id",missions!$2:$2,0)+1,FALSE),"")</f>
        <v/>
      </c>
      <c r="N723" s="26" t="str">
        <f ca="1">IFERROR(VLOOKUP($L730,OFFSET(missions!$A$2,0,0,COUNTA($A:$A),MATCH(N$1,missions!$2:$2,0)-MATCH("mission_id",missions!$2:$2,0)+1),MATCH(N$1,missions!$2:$2,0)-MATCH("mission_id",missions!$2:$2,0)+1,FALSE),"")</f>
        <v/>
      </c>
    </row>
    <row r="724" spans="1:14" ht="21" customHeight="1" x14ac:dyDescent="0.15">
      <c r="A724" s="27" t="s">
        <v>1961</v>
      </c>
      <c r="B724" s="21" t="s">
        <v>792</v>
      </c>
      <c r="C724" s="26" t="str">
        <f t="shared" ca="1" si="101"/>
        <v>クエストを通算 5 回クリアしよう！</v>
      </c>
      <c r="D724" s="26" t="str">
        <f ca="1">IFERROR(VLOOKUP($A724,OFFSET(achievement_criterion_id,0,0,COUNTA($A:$A),MATCH(D$1,missions!$2:$2,0)-MATCH($A$1,missions!$2:$2,0)+1),MATCH(D$1,missions!$2:$2,0)-MATCH($A$1,missions!$2:$2,0)+1,FALSE),IFERROR(VLOOKUP($A724,OFFSET(weekly_achievement_criterion_id,0,0,COUNTA($A:$A),MATCH(D$1,weekly_missions!$2:$2,0)-MATCH($A$1,weekly_missions!$2:$2,0)+1),MATCH(D$1,weekly_missions!$2:$2,0)-MATCH($A$1,weekly_missions!$2:$2,0)+1,FALSE),"＊missions 未設定＊"))</f>
        <v>リンク x 2000</v>
      </c>
      <c r="E724" s="27" t="s">
        <v>864</v>
      </c>
      <c r="F724" s="17" t="s">
        <v>1949</v>
      </c>
      <c r="G724" s="26" t="str">
        <f ca="1">VLOOKUP($F724,OFFSET(達成条件!$A$1,0,0,COUNTA($A:$A),MATCH(G$1,達成条件!$1:$1,0)-MATCH($F$1,達成条件!$1:$1,0)+1),MATCH(G$1,達成条件!$1:$1,0)-MATCH($F$1,達成条件!$1:$1,0)+1,FALSE)</f>
        <v>クエストを通算 x 回クリアしよう！</v>
      </c>
      <c r="H724" s="26" t="str">
        <f ca="1">VLOOKUP($F724,OFFSET(達成条件!$A$1,0,0,COUNTA($A:$A),MATCH(H$1,達成条件!$1:$1,0)-MATCH($F$1,達成条件!$1:$1,0)+1),MATCH(H$1,達成条件!$1:$1,0)-MATCH($F$1,達成条件!$1:$1,0)+1,FALSE)</f>
        <v>通算クリア回数</v>
      </c>
      <c r="I724" s="60" t="s">
        <v>1970</v>
      </c>
      <c r="J724" s="54" t="str">
        <f ca="1">IF(F724="specific_unit_aquired_count",SUBSTITUTE(G724,"x",VLOOKUP(INT($I724),OFFSET([3]characters!$A$2,0,0,COUNTA([3]characters!$A:$A),MATCH(J$1,[3]characters!$2:$2,0)-MATCH("character_id",[3]characters!$2:$2,0)+1),MATCH(J$1,[3]characters!$2:$2,0)-MATCH("character_id",[3]characters!$2:$2,0)+1,FALSE)),IF(F724="specific_quest_clear",VLOOKUP(SUBSTITUTE(I724,"-","_"),OFFSET([2]stages!$A$2,0,0,COUNTA([2]stages!$A:$A),MATCH("name",[2]stages!$2:$2,0)-MATCH("temp_stage",[2]stages!$2:$2,0)+1),MATCH("name",[2]stages!$2:$2,0)-MATCH("temp_stage",[2]stages!$2:$2,0)+1,FALSE),""))</f>
        <v/>
      </c>
      <c r="K724" s="41" t="s">
        <v>1932</v>
      </c>
      <c r="L724" s="15" t="s">
        <v>542</v>
      </c>
      <c r="M724" s="26" t="str">
        <f ca="1">IFERROR(VLOOKUP($L731,OFFSET(missions!$A$2,0,0,COUNTA($A:$A),MATCH(M$1,missions!$2:$2,0)-MATCH("mission_id",missions!$2:$2,0)+1),MATCH(M$1,missions!$2:$2,0)-MATCH("mission_id",missions!$2:$2,0)+1,FALSE),"")</f>
        <v/>
      </c>
      <c r="N724" s="26" t="str">
        <f ca="1">IFERROR(VLOOKUP($L731,OFFSET(missions!$A$2,0,0,COUNTA($A:$A),MATCH(N$1,missions!$2:$2,0)-MATCH("mission_id",missions!$2:$2,0)+1),MATCH(N$1,missions!$2:$2,0)-MATCH("mission_id",missions!$2:$2,0)+1,FALSE),"")</f>
        <v/>
      </c>
    </row>
    <row r="725" spans="1:14" ht="21" customHeight="1" x14ac:dyDescent="0.15">
      <c r="A725" s="27" t="s">
        <v>1962</v>
      </c>
      <c r="B725" s="21" t="s">
        <v>792</v>
      </c>
      <c r="C725" s="26" t="str">
        <f t="shared" ca="1" si="101"/>
        <v>クエストを通算 7 回クリアしよう！</v>
      </c>
      <c r="D725" s="26" t="str">
        <f ca="1">IFERROR(VLOOKUP($A725,OFFSET(achievement_criterion_id,0,0,COUNTA($A:$A),MATCH(D$1,missions!$2:$2,0)-MATCH($A$1,missions!$2:$2,0)+1),MATCH(D$1,missions!$2:$2,0)-MATCH($A$1,missions!$2:$2,0)+1,FALSE),IFERROR(VLOOKUP($A725,OFFSET(weekly_achievement_criterion_id,0,0,COUNTA($A:$A),MATCH(D$1,weekly_missions!$2:$2,0)-MATCH($A$1,weekly_missions!$2:$2,0)+1),MATCH(D$1,weekly_missions!$2:$2,0)-MATCH($A$1,weekly_missions!$2:$2,0)+1,FALSE),"＊missions 未設定＊"))</f>
        <v>ギガ秘術の果実 x 2</v>
      </c>
      <c r="E725" s="27" t="s">
        <v>864</v>
      </c>
      <c r="F725" s="17" t="s">
        <v>1949</v>
      </c>
      <c r="G725" s="26" t="str">
        <f ca="1">VLOOKUP($F725,OFFSET(達成条件!$A$1,0,0,COUNTA($A:$A),MATCH(G$1,達成条件!$1:$1,0)-MATCH($F$1,達成条件!$1:$1,0)+1),MATCH(G$1,達成条件!$1:$1,0)-MATCH($F$1,達成条件!$1:$1,0)+1,FALSE)</f>
        <v>クエストを通算 x 回クリアしよう！</v>
      </c>
      <c r="H725" s="26" t="str">
        <f ca="1">VLOOKUP($F725,OFFSET(達成条件!$A$1,0,0,COUNTA($A:$A),MATCH(H$1,達成条件!$1:$1,0)-MATCH($F$1,達成条件!$1:$1,0)+1),MATCH(H$1,達成条件!$1:$1,0)-MATCH($F$1,達成条件!$1:$1,0)+1,FALSE)</f>
        <v>通算クリア回数</v>
      </c>
      <c r="I725" s="60" t="s">
        <v>1971</v>
      </c>
      <c r="J725" s="54" t="str">
        <f ca="1">IF(F725="specific_unit_aquired_count",SUBSTITUTE(G725,"x",VLOOKUP(INT($I725),OFFSET([3]characters!$A$2,0,0,COUNTA([3]characters!$A:$A),MATCH(J$1,[3]characters!$2:$2,0)-MATCH("character_id",[3]characters!$2:$2,0)+1),MATCH(J$1,[3]characters!$2:$2,0)-MATCH("character_id",[3]characters!$2:$2,0)+1,FALSE)),IF(F725="specific_quest_clear",VLOOKUP(SUBSTITUTE(I725,"-","_"),OFFSET([2]stages!$A$2,0,0,COUNTA([2]stages!$A:$A),MATCH("name",[2]stages!$2:$2,0)-MATCH("temp_stage",[2]stages!$2:$2,0)+1),MATCH("name",[2]stages!$2:$2,0)-MATCH("temp_stage",[2]stages!$2:$2,0)+1,FALSE),""))</f>
        <v/>
      </c>
      <c r="K725" s="41" t="s">
        <v>1932</v>
      </c>
      <c r="L725" s="15" t="s">
        <v>542</v>
      </c>
      <c r="M725" s="26" t="str">
        <f ca="1">IFERROR(VLOOKUP($L732,OFFSET(missions!$A$2,0,0,COUNTA($A:$A),MATCH(M$1,missions!$2:$2,0)-MATCH("mission_id",missions!$2:$2,0)+1),MATCH(M$1,missions!$2:$2,0)-MATCH("mission_id",missions!$2:$2,0)+1,FALSE),"")</f>
        <v/>
      </c>
      <c r="N725" s="26" t="str">
        <f ca="1">IFERROR(VLOOKUP($L732,OFFSET(missions!$A$2,0,0,COUNTA($A:$A),MATCH(N$1,missions!$2:$2,0)-MATCH("mission_id",missions!$2:$2,0)+1),MATCH(N$1,missions!$2:$2,0)-MATCH("mission_id",missions!$2:$2,0)+1,FALSE),"")</f>
        <v/>
      </c>
    </row>
    <row r="726" spans="1:14" ht="21" customHeight="1" x14ac:dyDescent="0.15">
      <c r="A726" s="27" t="s">
        <v>1963</v>
      </c>
      <c r="B726" s="21" t="s">
        <v>792</v>
      </c>
      <c r="C726" s="26" t="str">
        <f t="shared" ca="1" si="101"/>
        <v>クエストを通算 10 回クリアしよう！</v>
      </c>
      <c r="D726" s="26" t="str">
        <f ca="1">IFERROR(VLOOKUP($A726,OFFSET(achievement_criterion_id,0,0,COUNTA($A:$A),MATCH(D$1,missions!$2:$2,0)-MATCH($A$1,missions!$2:$2,0)+1),MATCH(D$1,missions!$2:$2,0)-MATCH($A$1,missions!$2:$2,0)+1,FALSE),IFERROR(VLOOKUP($A726,OFFSET(weekly_achievement_criterion_id,0,0,COUNTA($A:$A),MATCH(D$1,weekly_missions!$2:$2,0)-MATCH($A$1,weekly_missions!$2:$2,0)+1),MATCH(D$1,weekly_missions!$2:$2,0)-MATCH($A$1,weekly_missions!$2:$2,0)+1,FALSE),"＊missions 未設定＊"))</f>
        <v>ビット x 1000000</v>
      </c>
      <c r="E726" s="27" t="s">
        <v>864</v>
      </c>
      <c r="F726" s="17" t="s">
        <v>1949</v>
      </c>
      <c r="G726" s="26" t="str">
        <f ca="1">VLOOKUP($F726,OFFSET(達成条件!$A$1,0,0,COUNTA($A:$A),MATCH(G$1,達成条件!$1:$1,0)-MATCH($F$1,達成条件!$1:$1,0)+1),MATCH(G$1,達成条件!$1:$1,0)-MATCH($F$1,達成条件!$1:$1,0)+1,FALSE)</f>
        <v>クエストを通算 x 回クリアしよう！</v>
      </c>
      <c r="H726" s="26" t="str">
        <f ca="1">VLOOKUP($F726,OFFSET(達成条件!$A$1,0,0,COUNTA($A:$A),MATCH(H$1,達成条件!$1:$1,0)-MATCH($F$1,達成条件!$1:$1,0)+1),MATCH(H$1,達成条件!$1:$1,0)-MATCH($F$1,達成条件!$1:$1,0)+1,FALSE)</f>
        <v>通算クリア回数</v>
      </c>
      <c r="I726" s="60" t="s">
        <v>1972</v>
      </c>
      <c r="J726" s="54" t="str">
        <f ca="1">IF(F726="specific_unit_aquired_count",SUBSTITUTE(G726,"x",VLOOKUP(INT($I726),OFFSET([3]characters!$A$2,0,0,COUNTA([3]characters!$A:$A),MATCH(J$1,[3]characters!$2:$2,0)-MATCH("character_id",[3]characters!$2:$2,0)+1),MATCH(J$1,[3]characters!$2:$2,0)-MATCH("character_id",[3]characters!$2:$2,0)+1,FALSE)),IF(F726="specific_quest_clear",VLOOKUP(SUBSTITUTE(I726,"-","_"),OFFSET([2]stages!$A$2,0,0,COUNTA([2]stages!$A:$A),MATCH("name",[2]stages!$2:$2,0)-MATCH("temp_stage",[2]stages!$2:$2,0)+1),MATCH("name",[2]stages!$2:$2,0)-MATCH("temp_stage",[2]stages!$2:$2,0)+1,FALSE),""))</f>
        <v/>
      </c>
      <c r="K726" s="41" t="s">
        <v>1932</v>
      </c>
      <c r="L726" s="15" t="s">
        <v>542</v>
      </c>
      <c r="M726" s="26" t="str">
        <f ca="1">IFERROR(VLOOKUP($L733,OFFSET(missions!$A$2,0,0,COUNTA($A:$A),MATCH(M$1,missions!$2:$2,0)-MATCH("mission_id",missions!$2:$2,0)+1),MATCH(M$1,missions!$2:$2,0)-MATCH("mission_id",missions!$2:$2,0)+1,FALSE),"")</f>
        <v/>
      </c>
      <c r="N726" s="26" t="str">
        <f ca="1">IFERROR(VLOOKUP($L733,OFFSET(missions!$A$2,0,0,COUNTA($A:$A),MATCH(N$1,missions!$2:$2,0)-MATCH("mission_id",missions!$2:$2,0)+1),MATCH(N$1,missions!$2:$2,0)-MATCH("mission_id",missions!$2:$2,0)+1,FALSE),"")</f>
        <v/>
      </c>
    </row>
    <row r="727" spans="1:14" ht="21" customHeight="1" x14ac:dyDescent="0.15">
      <c r="A727" s="27" t="s">
        <v>1964</v>
      </c>
      <c r="B727" s="21" t="s">
        <v>792</v>
      </c>
      <c r="C727" s="26" t="str">
        <f t="shared" ca="1" si="101"/>
        <v>クエストを通算 13 回クリアしよう！</v>
      </c>
      <c r="D727" s="26" t="str">
        <f ca="1">IFERROR(VLOOKUP($A727,OFFSET(achievement_criterion_id,0,0,COUNTA($A:$A),MATCH(D$1,missions!$2:$2,0)-MATCH($A$1,missions!$2:$2,0)+1),MATCH(D$1,missions!$2:$2,0)-MATCH($A$1,missions!$2:$2,0)+1,FALSE),IFERROR(VLOOKUP($A727,OFFSET(weekly_achievement_criterion_id,0,0,COUNTA($A:$A),MATCH(D$1,weekly_missions!$2:$2,0)-MATCH($A$1,weekly_missions!$2:$2,0)+1),MATCH(D$1,weekly_missions!$2:$2,0)-MATCH($A$1,weekly_missions!$2:$2,0)+1,FALSE),"＊missions 未設定＊"))</f>
        <v>ギガ生命の果実 x 3</v>
      </c>
      <c r="E727" s="27" t="s">
        <v>864</v>
      </c>
      <c r="F727" s="17" t="s">
        <v>1949</v>
      </c>
      <c r="G727" s="26" t="str">
        <f ca="1">VLOOKUP($F727,OFFSET(達成条件!$A$1,0,0,COUNTA($A:$A),MATCH(G$1,達成条件!$1:$1,0)-MATCH($F$1,達成条件!$1:$1,0)+1),MATCH(G$1,達成条件!$1:$1,0)-MATCH($F$1,達成条件!$1:$1,0)+1,FALSE)</f>
        <v>クエストを通算 x 回クリアしよう！</v>
      </c>
      <c r="H727" s="26" t="str">
        <f ca="1">VLOOKUP($F727,OFFSET(達成条件!$A$1,0,0,COUNTA($A:$A),MATCH(H$1,達成条件!$1:$1,0)-MATCH($F$1,達成条件!$1:$1,0)+1),MATCH(H$1,達成条件!$1:$1,0)-MATCH($F$1,達成条件!$1:$1,0)+1,FALSE)</f>
        <v>通算クリア回数</v>
      </c>
      <c r="I727" s="60" t="s">
        <v>1973</v>
      </c>
      <c r="J727" s="54" t="str">
        <f ca="1">IF(F727="specific_unit_aquired_count",SUBSTITUTE(G727,"x",VLOOKUP(INT($I727),OFFSET([3]characters!$A$2,0,0,COUNTA([3]characters!$A:$A),MATCH(J$1,[3]characters!$2:$2,0)-MATCH("character_id",[3]characters!$2:$2,0)+1),MATCH(J$1,[3]characters!$2:$2,0)-MATCH("character_id",[3]characters!$2:$2,0)+1,FALSE)),IF(F727="specific_quest_clear",VLOOKUP(SUBSTITUTE(I727,"-","_"),OFFSET([2]stages!$A$2,0,0,COUNTA([2]stages!$A:$A),MATCH("name",[2]stages!$2:$2,0)-MATCH("temp_stage",[2]stages!$2:$2,0)+1),MATCH("name",[2]stages!$2:$2,0)-MATCH("temp_stage",[2]stages!$2:$2,0)+1,FALSE),""))</f>
        <v/>
      </c>
      <c r="K727" s="41" t="s">
        <v>1932</v>
      </c>
      <c r="L727" s="15" t="s">
        <v>542</v>
      </c>
      <c r="M727" s="26" t="str">
        <f ca="1">IFERROR(VLOOKUP($L734,OFFSET(missions!$A$2,0,0,COUNTA($A:$A),MATCH(M$1,missions!$2:$2,0)-MATCH("mission_id",missions!$2:$2,0)+1),MATCH(M$1,missions!$2:$2,0)-MATCH("mission_id",missions!$2:$2,0)+1,FALSE),"")</f>
        <v/>
      </c>
      <c r="N727" s="26" t="str">
        <f ca="1">IFERROR(VLOOKUP($L734,OFFSET(missions!$A$2,0,0,COUNTA($A:$A),MATCH(N$1,missions!$2:$2,0)-MATCH("mission_id",missions!$2:$2,0)+1),MATCH(N$1,missions!$2:$2,0)-MATCH("mission_id",missions!$2:$2,0)+1,FALSE),"")</f>
        <v/>
      </c>
    </row>
    <row r="728" spans="1:14" ht="21" customHeight="1" x14ac:dyDescent="0.15">
      <c r="A728" s="27" t="s">
        <v>1965</v>
      </c>
      <c r="B728" s="21" t="s">
        <v>792</v>
      </c>
      <c r="C728" s="26" t="str">
        <f t="shared" ca="1" si="101"/>
        <v>クエストを通算 16 回クリアしよう！</v>
      </c>
      <c r="D728" s="26" t="str">
        <f ca="1">IFERROR(VLOOKUP($A728,OFFSET(achievement_criterion_id,0,0,COUNTA($A:$A),MATCH(D$1,missions!$2:$2,0)-MATCH($A$1,missions!$2:$2,0)+1),MATCH(D$1,missions!$2:$2,0)-MATCH($A$1,missions!$2:$2,0)+1,FALSE),IFERROR(VLOOKUP($A728,OFFSET(weekly_achievement_criterion_id,0,0,COUNTA($A:$A),MATCH(D$1,weekly_missions!$2:$2,0)-MATCH($A$1,weekly_missions!$2:$2,0)+1),MATCH(D$1,weekly_missions!$2:$2,0)-MATCH($A$1,weekly_missions!$2:$2,0)+1,FALSE),"＊missions 未設定＊"))</f>
        <v>ギガ癒しの果実 x 3</v>
      </c>
      <c r="E728" s="27" t="s">
        <v>864</v>
      </c>
      <c r="F728" s="17" t="s">
        <v>1949</v>
      </c>
      <c r="G728" s="26" t="str">
        <f ca="1">VLOOKUP($F728,OFFSET(達成条件!$A$1,0,0,COUNTA($A:$A),MATCH(G$1,達成条件!$1:$1,0)-MATCH($F$1,達成条件!$1:$1,0)+1),MATCH(G$1,達成条件!$1:$1,0)-MATCH($F$1,達成条件!$1:$1,0)+1,FALSE)</f>
        <v>クエストを通算 x 回クリアしよう！</v>
      </c>
      <c r="H728" s="26" t="str">
        <f ca="1">VLOOKUP($F728,OFFSET(達成条件!$A$1,0,0,COUNTA($A:$A),MATCH(H$1,達成条件!$1:$1,0)-MATCH($F$1,達成条件!$1:$1,0)+1),MATCH(H$1,達成条件!$1:$1,0)-MATCH($F$1,達成条件!$1:$1,0)+1,FALSE)</f>
        <v>通算クリア回数</v>
      </c>
      <c r="I728" s="60" t="s">
        <v>1974</v>
      </c>
      <c r="J728" s="54" t="str">
        <f ca="1">IF(F728="specific_unit_aquired_count",SUBSTITUTE(G728,"x",VLOOKUP(INT($I728),OFFSET([3]characters!$A$2,0,0,COUNTA([3]characters!$A:$A),MATCH(J$1,[3]characters!$2:$2,0)-MATCH("character_id",[3]characters!$2:$2,0)+1),MATCH(J$1,[3]characters!$2:$2,0)-MATCH("character_id",[3]characters!$2:$2,0)+1,FALSE)),IF(F728="specific_quest_clear",VLOOKUP(SUBSTITUTE(I728,"-","_"),OFFSET([2]stages!$A$2,0,0,COUNTA([2]stages!$A:$A),MATCH("name",[2]stages!$2:$2,0)-MATCH("temp_stage",[2]stages!$2:$2,0)+1),MATCH("name",[2]stages!$2:$2,0)-MATCH("temp_stage",[2]stages!$2:$2,0)+1,FALSE),""))</f>
        <v/>
      </c>
      <c r="K728" s="41" t="s">
        <v>1932</v>
      </c>
      <c r="L728" s="15" t="s">
        <v>542</v>
      </c>
      <c r="M728" s="26" t="str">
        <f ca="1">IFERROR(VLOOKUP($L735,OFFSET(missions!$A$2,0,0,COUNTA($A:$A),MATCH(M$1,missions!$2:$2,0)-MATCH("mission_id",missions!$2:$2,0)+1),MATCH(M$1,missions!$2:$2,0)-MATCH("mission_id",missions!$2:$2,0)+1,FALSE),"")</f>
        <v/>
      </c>
      <c r="N728" s="26" t="str">
        <f ca="1">IFERROR(VLOOKUP($L735,OFFSET(missions!$A$2,0,0,COUNTA($A:$A),MATCH(N$1,missions!$2:$2,0)-MATCH("mission_id",missions!$2:$2,0)+1),MATCH(N$1,missions!$2:$2,0)-MATCH("mission_id",missions!$2:$2,0)+1,FALSE),"")</f>
        <v/>
      </c>
    </row>
    <row r="729" spans="1:14" ht="21" customHeight="1" x14ac:dyDescent="0.15">
      <c r="A729" s="27" t="s">
        <v>1966</v>
      </c>
      <c r="B729" s="21" t="s">
        <v>792</v>
      </c>
      <c r="C729" s="26" t="str">
        <f t="shared" ca="1" si="101"/>
        <v>クエストを通算 20 回クリアしよう！</v>
      </c>
      <c r="D729" s="26" t="str">
        <f ca="1">IFERROR(VLOOKUP($A729,OFFSET(achievement_criterion_id,0,0,COUNTA($A:$A),MATCH(D$1,missions!$2:$2,0)-MATCH($A$1,missions!$2:$2,0)+1),MATCH(D$1,missions!$2:$2,0)-MATCH($A$1,missions!$2:$2,0)+1,FALSE),IFERROR(VLOOKUP($A729,OFFSET(weekly_achievement_criterion_id,0,0,COUNTA($A:$A),MATCH(D$1,weekly_missions!$2:$2,0)-MATCH($A$1,weekly_missions!$2:$2,0)+1),MATCH(D$1,weekly_missions!$2:$2,0)-MATCH($A$1,weekly_missions!$2:$2,0)+1,FALSE),"＊missions 未設定＊"))</f>
        <v>ギガ攻めの果実 x 3</v>
      </c>
      <c r="E729" s="27" t="s">
        <v>864</v>
      </c>
      <c r="F729" s="17" t="s">
        <v>1949</v>
      </c>
      <c r="G729" s="26" t="str">
        <f ca="1">VLOOKUP($F729,OFFSET(達成条件!$A$1,0,0,COUNTA($A:$A),MATCH(G$1,達成条件!$1:$1,0)-MATCH($F$1,達成条件!$1:$1,0)+1),MATCH(G$1,達成条件!$1:$1,0)-MATCH($F$1,達成条件!$1:$1,0)+1,FALSE)</f>
        <v>クエストを通算 x 回クリアしよう！</v>
      </c>
      <c r="H729" s="26" t="str">
        <f ca="1">VLOOKUP($F729,OFFSET(達成条件!$A$1,0,0,COUNTA($A:$A),MATCH(H$1,達成条件!$1:$1,0)-MATCH($F$1,達成条件!$1:$1,0)+1),MATCH(H$1,達成条件!$1:$1,0)-MATCH($F$1,達成条件!$1:$1,0)+1,FALSE)</f>
        <v>通算クリア回数</v>
      </c>
      <c r="I729" s="60" t="s">
        <v>1975</v>
      </c>
      <c r="J729" s="54" t="str">
        <f ca="1">IF(F729="specific_unit_aquired_count",SUBSTITUTE(G729,"x",VLOOKUP(INT($I729),OFFSET([3]characters!$A$2,0,0,COUNTA([3]characters!$A:$A),MATCH(J$1,[3]characters!$2:$2,0)-MATCH("character_id",[3]characters!$2:$2,0)+1),MATCH(J$1,[3]characters!$2:$2,0)-MATCH("character_id",[3]characters!$2:$2,0)+1,FALSE)),IF(F729="specific_quest_clear",VLOOKUP(SUBSTITUTE(I729,"-","_"),OFFSET([2]stages!$A$2,0,0,COUNTA([2]stages!$A:$A),MATCH("name",[2]stages!$2:$2,0)-MATCH("temp_stage",[2]stages!$2:$2,0)+1),MATCH("name",[2]stages!$2:$2,0)-MATCH("temp_stage",[2]stages!$2:$2,0)+1,FALSE),""))</f>
        <v/>
      </c>
      <c r="K729" s="41" t="s">
        <v>1932</v>
      </c>
      <c r="L729" s="15" t="s">
        <v>542</v>
      </c>
      <c r="M729" s="26" t="str">
        <f ca="1">IFERROR(VLOOKUP($L736,OFFSET(missions!$A$2,0,0,COUNTA($A:$A),MATCH(M$1,missions!$2:$2,0)-MATCH("mission_id",missions!$2:$2,0)+1),MATCH(M$1,missions!$2:$2,0)-MATCH("mission_id",missions!$2:$2,0)+1,FALSE),"")</f>
        <v/>
      </c>
      <c r="N729" s="26" t="str">
        <f ca="1">IFERROR(VLOOKUP($L736,OFFSET(missions!$A$2,0,0,COUNTA($A:$A),MATCH(N$1,missions!$2:$2,0)-MATCH("mission_id",missions!$2:$2,0)+1),MATCH(N$1,missions!$2:$2,0)-MATCH("mission_id",missions!$2:$2,0)+1,FALSE),"")</f>
        <v/>
      </c>
    </row>
    <row r="730" spans="1:14" ht="21" customHeight="1" x14ac:dyDescent="0.15">
      <c r="A730" s="27" t="s">
        <v>1967</v>
      </c>
      <c r="B730" s="21" t="s">
        <v>792</v>
      </c>
      <c r="C730" s="26" t="str">
        <f t="shared" ref="C730:C731" ca="1" si="102">IF(F730="specific_quest_clear",SUBSTITUTE(G730,"x",J730),IF(F730="specific_unit_aquired_count",SUBSTITUTE(J730,"y",K730),SUBSTITUTE(G730,"x",I730)))</f>
        <v>クエストを通算 25 回クリアしよう！</v>
      </c>
      <c r="D730" s="26" t="str">
        <f ca="1">IFERROR(VLOOKUP($A730,OFFSET(achievement_criterion_id,0,0,COUNTA($A:$A),MATCH(D$1,missions!$2:$2,0)-MATCH($A$1,missions!$2:$2,0)+1),MATCH(D$1,missions!$2:$2,0)-MATCH($A$1,missions!$2:$2,0)+1,FALSE),IFERROR(VLOOKUP($A730,OFFSET(weekly_achievement_criterion_id,0,0,COUNTA($A:$A),MATCH(D$1,weekly_missions!$2:$2,0)-MATCH($A$1,weekly_missions!$2:$2,0)+1),MATCH(D$1,weekly_missions!$2:$2,0)-MATCH($A$1,weekly_missions!$2:$2,0)+1,FALSE),"＊missions 未設定＊"))</f>
        <v>ビット x 2000000</v>
      </c>
      <c r="E730" s="27" t="s">
        <v>864</v>
      </c>
      <c r="F730" s="17" t="s">
        <v>1949</v>
      </c>
      <c r="G730" s="26" t="str">
        <f ca="1">VLOOKUP($F730,OFFSET(達成条件!$A$1,0,0,COUNTA($A:$A),MATCH(G$1,達成条件!$1:$1,0)-MATCH($F$1,達成条件!$1:$1,0)+1),MATCH(G$1,達成条件!$1:$1,0)-MATCH($F$1,達成条件!$1:$1,0)+1,FALSE)</f>
        <v>クエストを通算 x 回クリアしよう！</v>
      </c>
      <c r="H730" s="26" t="str">
        <f ca="1">VLOOKUP($F730,OFFSET(達成条件!$A$1,0,0,COUNTA($A:$A),MATCH(H$1,達成条件!$1:$1,0)-MATCH($F$1,達成条件!$1:$1,0)+1),MATCH(H$1,達成条件!$1:$1,0)-MATCH($F$1,達成条件!$1:$1,0)+1,FALSE)</f>
        <v>通算クリア回数</v>
      </c>
      <c r="I730" s="60" t="s">
        <v>1976</v>
      </c>
      <c r="J730" s="54" t="str">
        <f ca="1">IF(F730="specific_unit_aquired_count",SUBSTITUTE(G730,"x",VLOOKUP(INT($I730),OFFSET([3]characters!$A$2,0,0,COUNTA([3]characters!$A:$A),MATCH(J$1,[3]characters!$2:$2,0)-MATCH("character_id",[3]characters!$2:$2,0)+1),MATCH(J$1,[3]characters!$2:$2,0)-MATCH("character_id",[3]characters!$2:$2,0)+1,FALSE)),IF(F730="specific_quest_clear",VLOOKUP(SUBSTITUTE(I730,"-","_"),OFFSET([2]stages!$A$2,0,0,COUNTA([2]stages!$A:$A),MATCH("name",[2]stages!$2:$2,0)-MATCH("temp_stage",[2]stages!$2:$2,0)+1),MATCH("name",[2]stages!$2:$2,0)-MATCH("temp_stage",[2]stages!$2:$2,0)+1,FALSE),""))</f>
        <v/>
      </c>
      <c r="K730" s="41" t="s">
        <v>1932</v>
      </c>
      <c r="L730" s="15" t="s">
        <v>542</v>
      </c>
      <c r="M730" s="26" t="str">
        <f ca="1">IFERROR(VLOOKUP($L737,OFFSET(missions!$A$2,0,0,COUNTA($A:$A),MATCH(M$1,missions!$2:$2,0)-MATCH("mission_id",missions!$2:$2,0)+1),MATCH(M$1,missions!$2:$2,0)-MATCH("mission_id",missions!$2:$2,0)+1,FALSE),"")</f>
        <v/>
      </c>
      <c r="N730" s="26" t="str">
        <f ca="1">IFERROR(VLOOKUP($L737,OFFSET(missions!$A$2,0,0,COUNTA($A:$A),MATCH(N$1,missions!$2:$2,0)-MATCH("mission_id",missions!$2:$2,0)+1),MATCH(N$1,missions!$2:$2,0)-MATCH("mission_id",missions!$2:$2,0)+1,FALSE),"")</f>
        <v/>
      </c>
    </row>
    <row r="731" spans="1:14" ht="21" customHeight="1" x14ac:dyDescent="0.15">
      <c r="A731" s="27" t="s">
        <v>1968</v>
      </c>
      <c r="B731" s="21" t="s">
        <v>792</v>
      </c>
      <c r="C731" s="26" t="str">
        <f t="shared" ca="1" si="102"/>
        <v>クエストを通算 30 回クリアしよう！</v>
      </c>
      <c r="D731" s="26" t="str">
        <f ca="1">IFERROR(VLOOKUP($A731,OFFSET(achievement_criterion_id,0,0,COUNTA($A:$A),MATCH(D$1,missions!$2:$2,0)-MATCH($A$1,missions!$2:$2,0)+1),MATCH(D$1,missions!$2:$2,0)-MATCH($A$1,missions!$2:$2,0)+1,FALSE),IFERROR(VLOOKUP($A731,OFFSET(weekly_achievement_criterion_id,0,0,COUNTA($A:$A),MATCH(D$1,weekly_missions!$2:$2,0)-MATCH($A$1,weekly_missions!$2:$2,0)+1),MATCH(D$1,weekly_missions!$2:$2,0)-MATCH($A$1,weekly_missions!$2:$2,0)+1,FALSE),"＊missions 未設定＊"))</f>
        <v>リトルハンプティ x 2</v>
      </c>
      <c r="E731" s="27" t="s">
        <v>864</v>
      </c>
      <c r="F731" s="17" t="s">
        <v>1949</v>
      </c>
      <c r="G731" s="26" t="str">
        <f ca="1">VLOOKUP($F731,OFFSET(達成条件!$A$1,0,0,COUNTA($A:$A),MATCH(G$1,達成条件!$1:$1,0)-MATCH($F$1,達成条件!$1:$1,0)+1),MATCH(G$1,達成条件!$1:$1,0)-MATCH($F$1,達成条件!$1:$1,0)+1,FALSE)</f>
        <v>クエストを通算 x 回クリアしよう！</v>
      </c>
      <c r="H731" s="26" t="str">
        <f ca="1">VLOOKUP($F731,OFFSET(達成条件!$A$1,0,0,COUNTA($A:$A),MATCH(H$1,達成条件!$1:$1,0)-MATCH($F$1,達成条件!$1:$1,0)+1),MATCH(H$1,達成条件!$1:$1,0)-MATCH($F$1,達成条件!$1:$1,0)+1,FALSE)</f>
        <v>通算クリア回数</v>
      </c>
      <c r="I731" s="60" t="s">
        <v>1977</v>
      </c>
      <c r="J731" s="54" t="str">
        <f ca="1">IF(F731="specific_unit_aquired_count",SUBSTITUTE(G731,"x",VLOOKUP(INT($I731),OFFSET([3]characters!$A$2,0,0,COUNTA([3]characters!$A:$A),MATCH(J$1,[3]characters!$2:$2,0)-MATCH("character_id",[3]characters!$2:$2,0)+1),MATCH(J$1,[3]characters!$2:$2,0)-MATCH("character_id",[3]characters!$2:$2,0)+1,FALSE)),IF(F731="specific_quest_clear",VLOOKUP(SUBSTITUTE(I731,"-","_"),OFFSET([2]stages!$A$2,0,0,COUNTA([2]stages!$A:$A),MATCH("name",[2]stages!$2:$2,0)-MATCH("temp_stage",[2]stages!$2:$2,0)+1),MATCH("name",[2]stages!$2:$2,0)-MATCH("temp_stage",[2]stages!$2:$2,0)+1,FALSE),""))</f>
        <v/>
      </c>
      <c r="K731" s="41" t="s">
        <v>1932</v>
      </c>
      <c r="L731" s="15" t="s">
        <v>542</v>
      </c>
      <c r="M731" s="26" t="str">
        <f ca="1">IFERROR(VLOOKUP($L738,OFFSET(missions!$A$2,0,0,COUNTA($A:$A),MATCH(M$1,missions!$2:$2,0)-MATCH("mission_id",missions!$2:$2,0)+1),MATCH(M$1,missions!$2:$2,0)-MATCH("mission_id",missions!$2:$2,0)+1,FALSE),"")</f>
        <v/>
      </c>
      <c r="N731" s="26" t="str">
        <f ca="1">IFERROR(VLOOKUP($L738,OFFSET(missions!$A$2,0,0,COUNTA($A:$A),MATCH(N$1,missions!$2:$2,0)-MATCH("mission_id",missions!$2:$2,0)+1),MATCH(N$1,missions!$2:$2,0)-MATCH("mission_id",missions!$2:$2,0)+1,FALSE),"")</f>
        <v/>
      </c>
    </row>
  </sheetData>
  <phoneticPr fontId="5"/>
  <hyperlinks>
    <hyperlink ref="I225" r:id="rId1"/>
    <hyperlink ref="I333" r:id="rId2" location="hl_5"/>
    <hyperlink ref="I233" r:id="rId3"/>
    <hyperlink ref="I336" r:id="rId4"/>
    <hyperlink ref="I252" r:id="rId5" location="hl_5"/>
    <hyperlink ref="I345" r:id="rId6"/>
    <hyperlink ref="I240" r:id="rId7"/>
    <hyperlink ref="I241" r:id="rId8"/>
    <hyperlink ref="I242" r:id="rId9"/>
    <hyperlink ref="I247" r:id="rId10"/>
    <hyperlink ref="I248" r:id="rId11"/>
    <hyperlink ref="I357" r:id="rId12"/>
    <hyperlink ref="I253" r:id="rId13"/>
    <hyperlink ref="I254" r:id="rId14"/>
    <hyperlink ref="I255" r:id="rId15"/>
    <hyperlink ref="I371" r:id="rId16"/>
  </hyperlinks>
  <pageMargins left="0.75" right="0.75" top="1" bottom="1" header="0.3" footer="0.3"/>
  <pageSetup paperSize="9" orientation="portrait" horizontalDpi="4294967292" verticalDpi="4294967292"/>
  <ignoredErrors>
    <ignoredError sqref="I471:I472" numberStoredAsText="1"/>
  </ignoredErrors>
  <legacyDrawing r:id="rId1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ER図</vt:lpstr>
      <vt:lpstr>開放条件</vt:lpstr>
      <vt:lpstr>達成条件</vt:lpstr>
      <vt:lpstr>missions</vt:lpstr>
      <vt:lpstr>weekly_mission_schedules</vt:lpstr>
      <vt:lpstr>weekly_mission_groups</vt:lpstr>
      <vt:lpstr>weekly_missions</vt:lpstr>
      <vt:lpstr>mission_unlock_criteria</vt:lpstr>
      <vt:lpstr>mission_ACH</vt:lpstr>
      <vt:lpstr>mission_ACH_criteria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modified xsi:type="dcterms:W3CDTF">2017-06-09T02:33:39Z</dcterms:modified>
</cp:coreProperties>
</file>