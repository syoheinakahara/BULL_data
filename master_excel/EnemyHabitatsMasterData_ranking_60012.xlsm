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24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ukutani/Documents/BULL_data/master_excel/"/>
    </mc:Choice>
  </mc:AlternateContent>
  <bookViews>
    <workbookView xWindow="0" yWindow="460" windowWidth="28800" windowHeight="15240" tabRatio="936" activeTab="6"/>
  </bookViews>
  <sheets>
    <sheet name="output" sheetId="16" r:id="rId1"/>
    <sheet name="floors" sheetId="2" r:id="rId2"/>
    <sheet name="ranking_stages" sheetId="24" r:id="rId3"/>
    <sheet name="clear_turn" sheetId="25" r:id="rId4"/>
    <sheet name="damege_give" sheetId="27" r:id="rId5"/>
    <sheet name="damage_receive" sheetId="26" r:id="rId6"/>
    <sheet name="ranking_eval" sheetId="28" r:id="rId7"/>
    <sheet name="ranking_ACH" sheetId="22" r:id="rId8"/>
    <sheet name="enemy_habitats" sheetId="1" r:id="rId9"/>
    <sheet name="enemy_habitat_S" sheetId="7" r:id="rId10"/>
    <sheet name="enemy_skill_sets" sheetId="9" r:id="rId11"/>
    <sheet name="enemy_skills" sheetId="10" r:id="rId12"/>
    <sheet name="enemy_skill_triggers" sheetId="11" r:id="rId13"/>
    <sheet name="bugbonuses" sheetId="18" r:id="rId14"/>
    <sheet name="stage_hints_complete" sheetId="19" r:id="rId15"/>
    <sheet name="stage_hints_failure" sheetId="21" r:id="rId16"/>
  </sheets>
  <externalReferences>
    <externalReference r:id="rId17"/>
    <externalReference r:id="rId18"/>
    <externalReference r:id="rId19"/>
    <externalReference r:id="rId20"/>
    <externalReference r:id="rId21"/>
    <externalReference r:id="rId22"/>
  </externalReferences>
  <definedNames>
    <definedName name="_xlnm._FilterDatabase" localSheetId="9" hidden="1">enemy_habitat_S!$B$1:$Y$2</definedName>
    <definedName name="_xlnm._FilterDatabase" localSheetId="8" hidden="1">enemy_habitats!$B$1:$AH$2</definedName>
    <definedName name="_xlnm._FilterDatabase" localSheetId="10" hidden="1">enemy_skill_sets!$A$1:$R$1</definedName>
    <definedName name="_xlnm._FilterDatabase" localSheetId="12" hidden="1">enemy_skill_triggers!$A$1:$G$1</definedName>
    <definedName name="_xlnm._FilterDatabase" localSheetId="11" hidden="1">enemy_skills!$A$1:$AB$1</definedName>
    <definedName name="_xlnm._FilterDatabase" localSheetId="14" hidden="1">stage_hints_complete!$B$1:$L$1</definedName>
    <definedName name="_xlnm._FilterDatabase" localSheetId="15" hidden="1">stage_hints_failure!$B$1:$M$2</definedName>
    <definedName name="Excel_BuiltIn__FilterDatabase_6_1" localSheetId="10">[1]unit_skills!#REF!</definedName>
    <definedName name="Excel_BuiltIn__FilterDatabase_6_1" localSheetId="12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5" i="27" l="1"/>
  <c r="C49" i="27"/>
  <c r="C48" i="27"/>
  <c r="C47" i="27"/>
  <c r="C46" i="27"/>
  <c r="C22" i="27"/>
  <c r="B46" i="27"/>
  <c r="D46" i="27"/>
  <c r="B45" i="27"/>
  <c r="B41" i="27"/>
  <c r="B35" i="27"/>
  <c r="B31" i="27"/>
  <c r="B27" i="27"/>
  <c r="C27" i="27"/>
  <c r="C29" i="27"/>
  <c r="C28" i="27"/>
  <c r="B29" i="27"/>
  <c r="B28" i="27"/>
  <c r="B33" i="27"/>
  <c r="B32" i="27"/>
  <c r="C38" i="25"/>
  <c r="C34" i="25"/>
  <c r="C26" i="25"/>
  <c r="C22" i="25"/>
  <c r="G3" i="24"/>
  <c r="E4" i="27"/>
  <c r="E3" i="27"/>
  <c r="C9" i="27"/>
  <c r="C5" i="27"/>
  <c r="D4" i="27"/>
  <c r="C8" i="27"/>
  <c r="C4" i="27"/>
  <c r="C3" i="27"/>
  <c r="D2" i="27"/>
  <c r="C7" i="27"/>
  <c r="C31" i="27"/>
  <c r="C33" i="27"/>
  <c r="C35" i="27"/>
  <c r="C39" i="27"/>
  <c r="C41" i="27"/>
  <c r="C43" i="27"/>
  <c r="C52" i="27"/>
  <c r="C32" i="27"/>
  <c r="E32" i="27"/>
  <c r="C21" i="27"/>
  <c r="C25" i="27"/>
  <c r="C11" i="27"/>
  <c r="C15" i="27"/>
  <c r="E31" i="27"/>
  <c r="C24" i="27"/>
  <c r="C14" i="27"/>
  <c r="E30" i="27"/>
  <c r="C23" i="27"/>
  <c r="C17" i="27"/>
  <c r="C19" i="27"/>
  <c r="C13" i="27"/>
  <c r="E29" i="27"/>
  <c r="C18" i="27"/>
  <c r="C12" i="27"/>
  <c r="E28" i="27"/>
  <c r="B9" i="27"/>
  <c r="B8" i="27"/>
  <c r="B5" i="27"/>
  <c r="B4" i="27"/>
  <c r="B22" i="27"/>
  <c r="B24" i="27"/>
  <c r="B23" i="27"/>
  <c r="D22" i="27"/>
  <c r="E22" i="27"/>
  <c r="AR56" i="27"/>
  <c r="AQ56" i="27"/>
  <c r="AP56" i="27"/>
  <c r="AF56" i="27"/>
  <c r="AE56" i="27"/>
  <c r="U56" i="27"/>
  <c r="V56" i="27"/>
  <c r="AR55" i="27"/>
  <c r="AQ55" i="27"/>
  <c r="AP55" i="27"/>
  <c r="AF55" i="27"/>
  <c r="AE55" i="27"/>
  <c r="U55" i="27"/>
  <c r="V55" i="27"/>
  <c r="AR54" i="27"/>
  <c r="AQ54" i="27"/>
  <c r="AP54" i="27"/>
  <c r="AF54" i="27"/>
  <c r="AE54" i="27"/>
  <c r="U54" i="27"/>
  <c r="V54" i="27"/>
  <c r="AR53" i="27"/>
  <c r="AQ53" i="27"/>
  <c r="AP53" i="27"/>
  <c r="AF53" i="27"/>
  <c r="AE53" i="27"/>
  <c r="U53" i="27"/>
  <c r="V53" i="27"/>
  <c r="AR52" i="27"/>
  <c r="AQ52" i="27"/>
  <c r="AP52" i="27"/>
  <c r="AF52" i="27"/>
  <c r="AE52" i="27"/>
  <c r="U52" i="27"/>
  <c r="V52" i="27"/>
  <c r="AR51" i="27"/>
  <c r="AQ51" i="27"/>
  <c r="AP51" i="27"/>
  <c r="AF51" i="27"/>
  <c r="AE51" i="27"/>
  <c r="U51" i="27"/>
  <c r="V51" i="27"/>
  <c r="A83" i="26"/>
  <c r="A84" i="26"/>
  <c r="A85" i="26"/>
  <c r="A86" i="26"/>
  <c r="A87" i="26"/>
  <c r="A88" i="26"/>
  <c r="A89" i="26"/>
  <c r="A90" i="26"/>
  <c r="A91" i="26"/>
  <c r="A92" i="26"/>
  <c r="A93" i="26"/>
  <c r="A94" i="26"/>
  <c r="A95" i="26"/>
  <c r="A96" i="26"/>
  <c r="A97" i="26"/>
  <c r="A98" i="26"/>
  <c r="A99" i="26"/>
  <c r="A100" i="26"/>
  <c r="A101" i="26"/>
  <c r="A102" i="26"/>
  <c r="A103" i="26"/>
  <c r="A104" i="26"/>
  <c r="A105" i="26"/>
  <c r="A106" i="26"/>
  <c r="A107" i="26"/>
  <c r="A108" i="26"/>
  <c r="A109" i="26"/>
  <c r="A110" i="26"/>
  <c r="A111" i="26"/>
  <c r="A112" i="26"/>
  <c r="A113" i="26"/>
  <c r="A114" i="26"/>
  <c r="A115" i="26"/>
  <c r="A116" i="26"/>
  <c r="A117" i="26"/>
  <c r="A118" i="26"/>
  <c r="A119" i="26"/>
  <c r="A120" i="26"/>
  <c r="A121" i="26"/>
  <c r="A122" i="26"/>
  <c r="A123" i="26"/>
  <c r="A124" i="26"/>
  <c r="A125" i="26"/>
  <c r="A126" i="26"/>
  <c r="A127" i="26"/>
  <c r="A128" i="26"/>
  <c r="A129" i="26"/>
  <c r="A130" i="26"/>
  <c r="A131" i="26"/>
  <c r="A132" i="26"/>
  <c r="A133" i="26"/>
  <c r="A134" i="26"/>
  <c r="A135" i="26"/>
  <c r="A136" i="26"/>
  <c r="A137" i="26"/>
  <c r="A138" i="26"/>
  <c r="A139" i="26"/>
  <c r="A140" i="26"/>
  <c r="A141" i="26"/>
  <c r="A142" i="26"/>
  <c r="A143" i="26"/>
  <c r="A144" i="26"/>
  <c r="A145" i="26"/>
  <c r="A146" i="26"/>
  <c r="A147" i="26"/>
  <c r="A148" i="26"/>
  <c r="A149" i="26"/>
  <c r="A150" i="26"/>
  <c r="A151" i="26"/>
  <c r="A152" i="26"/>
  <c r="A153" i="26"/>
  <c r="A154" i="26"/>
  <c r="A155" i="26"/>
  <c r="A156" i="26"/>
  <c r="A157" i="26"/>
  <c r="A158" i="26"/>
  <c r="A159" i="26"/>
  <c r="A160" i="26"/>
  <c r="A161" i="26"/>
  <c r="A82" i="26"/>
  <c r="D160" i="26"/>
  <c r="E160" i="26"/>
  <c r="D159" i="26"/>
  <c r="E159" i="26"/>
  <c r="D158" i="26"/>
  <c r="E158" i="26"/>
  <c r="D157" i="26"/>
  <c r="E157" i="26"/>
  <c r="D156" i="26"/>
  <c r="E156" i="26"/>
  <c r="D155" i="26"/>
  <c r="E155" i="26"/>
  <c r="D154" i="26"/>
  <c r="E154" i="26"/>
  <c r="D153" i="26"/>
  <c r="E153" i="26"/>
  <c r="D152" i="26"/>
  <c r="E152" i="26"/>
  <c r="D151" i="26"/>
  <c r="E151" i="26"/>
  <c r="D150" i="26"/>
  <c r="E150" i="26"/>
  <c r="D149" i="26"/>
  <c r="E149" i="26"/>
  <c r="D148" i="26"/>
  <c r="E148" i="26"/>
  <c r="D147" i="26"/>
  <c r="E147" i="26"/>
  <c r="D146" i="26"/>
  <c r="E146" i="26"/>
  <c r="D145" i="26"/>
  <c r="E145" i="26"/>
  <c r="D144" i="26"/>
  <c r="E144" i="26"/>
  <c r="D143" i="26"/>
  <c r="E143" i="26"/>
  <c r="D141" i="26"/>
  <c r="E141" i="26"/>
  <c r="D140" i="26"/>
  <c r="E140" i="26"/>
  <c r="D139" i="26"/>
  <c r="E139" i="26"/>
  <c r="D138" i="26"/>
  <c r="E138" i="26"/>
  <c r="D137" i="26"/>
  <c r="E137" i="26"/>
  <c r="D136" i="26"/>
  <c r="E136" i="26"/>
  <c r="D135" i="26"/>
  <c r="E135" i="26"/>
  <c r="D134" i="26"/>
  <c r="E134" i="26"/>
  <c r="D133" i="26"/>
  <c r="E133" i="26"/>
  <c r="D132" i="26"/>
  <c r="E132" i="26"/>
  <c r="D131" i="26"/>
  <c r="E131" i="26"/>
  <c r="D130" i="26"/>
  <c r="E130" i="26"/>
  <c r="D129" i="26"/>
  <c r="E129" i="26"/>
  <c r="D127" i="26"/>
  <c r="E127" i="26"/>
  <c r="D126" i="26"/>
  <c r="E126" i="26"/>
  <c r="D125" i="26"/>
  <c r="E125" i="26"/>
  <c r="D124" i="26"/>
  <c r="E124" i="26"/>
  <c r="D123" i="26"/>
  <c r="E123" i="26"/>
  <c r="D122" i="26"/>
  <c r="E122" i="26"/>
  <c r="D121" i="26"/>
  <c r="E121" i="26"/>
  <c r="D120" i="26"/>
  <c r="E120" i="26"/>
  <c r="D119" i="26"/>
  <c r="E119" i="26"/>
  <c r="D118" i="26"/>
  <c r="E118" i="26"/>
  <c r="D117" i="26"/>
  <c r="E117" i="26"/>
  <c r="D116" i="26"/>
  <c r="E116" i="26"/>
  <c r="D115" i="26"/>
  <c r="E115" i="26"/>
  <c r="D114" i="26"/>
  <c r="E114" i="26"/>
  <c r="D113" i="26"/>
  <c r="E113" i="26"/>
  <c r="D112" i="26"/>
  <c r="E112" i="26"/>
  <c r="D111" i="26"/>
  <c r="E111" i="26"/>
  <c r="D110" i="26"/>
  <c r="E110" i="26"/>
  <c r="D108" i="26"/>
  <c r="E108" i="26"/>
  <c r="D107" i="26"/>
  <c r="E107" i="26"/>
  <c r="D106" i="26"/>
  <c r="E106" i="26"/>
  <c r="D105" i="26"/>
  <c r="E105" i="26"/>
  <c r="D104" i="26"/>
  <c r="E104" i="26"/>
  <c r="D103" i="26"/>
  <c r="E103" i="26"/>
  <c r="D102" i="26"/>
  <c r="E102" i="26"/>
  <c r="D101" i="26"/>
  <c r="E101" i="26"/>
  <c r="D100" i="26"/>
  <c r="E100" i="26"/>
  <c r="D99" i="26"/>
  <c r="E99" i="26"/>
  <c r="D98" i="26"/>
  <c r="E98" i="26"/>
  <c r="D97" i="26"/>
  <c r="E97" i="26"/>
  <c r="D96" i="26"/>
  <c r="E96" i="26"/>
  <c r="D94" i="26"/>
  <c r="E94" i="26"/>
  <c r="D93" i="26"/>
  <c r="E93" i="26"/>
  <c r="D92" i="26"/>
  <c r="E92" i="26"/>
  <c r="D91" i="26"/>
  <c r="E91" i="26"/>
  <c r="D90" i="26"/>
  <c r="E90" i="26"/>
  <c r="D89" i="26"/>
  <c r="E89" i="26"/>
  <c r="D88" i="26"/>
  <c r="E88" i="26"/>
  <c r="D87" i="26"/>
  <c r="E87" i="26"/>
  <c r="D86" i="26"/>
  <c r="E86" i="26"/>
  <c r="D85" i="26"/>
  <c r="E85" i="26"/>
  <c r="D84" i="26"/>
  <c r="E84" i="26"/>
  <c r="D83" i="26"/>
  <c r="E83" i="26"/>
  <c r="D82" i="26"/>
  <c r="E82" i="26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26" i="27"/>
  <c r="D28" i="27"/>
  <c r="B49" i="27"/>
  <c r="E49" i="27"/>
  <c r="B48" i="27"/>
  <c r="D48" i="27"/>
  <c r="E48" i="27"/>
  <c r="B47" i="27"/>
  <c r="D47" i="27"/>
  <c r="E47" i="27"/>
  <c r="E46" i="27"/>
  <c r="D45" i="27"/>
  <c r="E45" i="27"/>
  <c r="D44" i="27"/>
  <c r="E44" i="27"/>
  <c r="B43" i="27"/>
  <c r="E43" i="27"/>
  <c r="C42" i="27"/>
  <c r="B42" i="27"/>
  <c r="D42" i="27"/>
  <c r="E42" i="27"/>
  <c r="D41" i="27"/>
  <c r="E41" i="27"/>
  <c r="D40" i="27"/>
  <c r="E40" i="27"/>
  <c r="B39" i="27"/>
  <c r="E39" i="27"/>
  <c r="C38" i="27"/>
  <c r="B38" i="27"/>
  <c r="D38" i="27"/>
  <c r="E38" i="27"/>
  <c r="C37" i="27"/>
  <c r="B37" i="27"/>
  <c r="D37" i="27"/>
  <c r="E37" i="27"/>
  <c r="C36" i="27"/>
  <c r="B36" i="27"/>
  <c r="D36" i="27"/>
  <c r="E36" i="27"/>
  <c r="D35" i="27"/>
  <c r="E35" i="27"/>
  <c r="D34" i="27"/>
  <c r="E34" i="27"/>
  <c r="E33" i="27"/>
  <c r="D32" i="27"/>
  <c r="D31" i="27"/>
  <c r="D30" i="27"/>
  <c r="D27" i="27"/>
  <c r="E27" i="27"/>
  <c r="D26" i="27"/>
  <c r="E26" i="27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22" i="25"/>
  <c r="D40" i="25"/>
  <c r="E40" i="25"/>
  <c r="D39" i="25"/>
  <c r="E39" i="25"/>
  <c r="D38" i="25"/>
  <c r="E38" i="25"/>
  <c r="D36" i="25"/>
  <c r="E36" i="25"/>
  <c r="D35" i="25"/>
  <c r="E35" i="25"/>
  <c r="D34" i="25"/>
  <c r="E34" i="25"/>
  <c r="D32" i="25"/>
  <c r="E32" i="25"/>
  <c r="D31" i="25"/>
  <c r="E31" i="25"/>
  <c r="D30" i="25"/>
  <c r="E30" i="25"/>
  <c r="D28" i="25"/>
  <c r="E28" i="25"/>
  <c r="D27" i="25"/>
  <c r="E27" i="25"/>
  <c r="D26" i="25"/>
  <c r="E26" i="25"/>
  <c r="D24" i="25"/>
  <c r="E24" i="25"/>
  <c r="D23" i="25"/>
  <c r="E23" i="25"/>
  <c r="D22" i="25"/>
  <c r="E22" i="25"/>
  <c r="E3" i="24"/>
  <c r="F3" i="24"/>
  <c r="C3" i="24"/>
  <c r="B3" i="24"/>
  <c r="N11" i="2"/>
  <c r="M11" i="2"/>
  <c r="L11" i="2"/>
  <c r="G11" i="2"/>
  <c r="H11" i="2"/>
  <c r="E11" i="2"/>
  <c r="D11" i="2"/>
  <c r="A11" i="2"/>
  <c r="H2" i="1"/>
  <c r="H3" i="1"/>
  <c r="H4" i="1"/>
  <c r="H5" i="1"/>
  <c r="H6" i="1"/>
  <c r="H7" i="1"/>
  <c r="H8" i="1"/>
  <c r="H9" i="1"/>
  <c r="H10" i="1"/>
  <c r="B11" i="2"/>
  <c r="N10" i="2"/>
  <c r="M10" i="2"/>
  <c r="L10" i="2"/>
  <c r="G10" i="2"/>
  <c r="H10" i="2"/>
  <c r="E10" i="2"/>
  <c r="D10" i="2"/>
  <c r="A10" i="2"/>
  <c r="B10" i="2"/>
  <c r="N9" i="2"/>
  <c r="M9" i="2"/>
  <c r="L9" i="2"/>
  <c r="G9" i="2"/>
  <c r="H9" i="2"/>
  <c r="E9" i="2"/>
  <c r="D9" i="2"/>
  <c r="A9" i="2"/>
  <c r="B9" i="2"/>
  <c r="N8" i="2"/>
  <c r="M8" i="2"/>
  <c r="L8" i="2"/>
  <c r="G8" i="2"/>
  <c r="H8" i="2"/>
  <c r="E8" i="2"/>
  <c r="D8" i="2"/>
  <c r="A8" i="2"/>
  <c r="B8" i="2"/>
  <c r="N7" i="2"/>
  <c r="M7" i="2"/>
  <c r="L7" i="2"/>
  <c r="G7" i="2"/>
  <c r="H7" i="2"/>
  <c r="E7" i="2"/>
  <c r="D7" i="2"/>
  <c r="A7" i="2"/>
  <c r="B7" i="2"/>
  <c r="E20" i="9"/>
  <c r="E16" i="9"/>
  <c r="E18" i="9"/>
  <c r="E12" i="9"/>
  <c r="E2" i="9"/>
  <c r="E29" i="9"/>
  <c r="E10" i="9"/>
  <c r="B25" i="27"/>
  <c r="B13" i="27"/>
  <c r="B14" i="27"/>
  <c r="G3" i="9"/>
  <c r="H3" i="9"/>
  <c r="I3" i="9"/>
  <c r="J3" i="9"/>
  <c r="K3" i="9"/>
  <c r="L3" i="9"/>
  <c r="M3" i="9"/>
  <c r="N3" i="9"/>
  <c r="O3" i="9"/>
  <c r="G4" i="9"/>
  <c r="H4" i="9"/>
  <c r="I4" i="9"/>
  <c r="J4" i="9"/>
  <c r="K4" i="9"/>
  <c r="L4" i="9"/>
  <c r="M4" i="9"/>
  <c r="N4" i="9"/>
  <c r="O4" i="9"/>
  <c r="G5" i="9"/>
  <c r="H5" i="9"/>
  <c r="I5" i="9"/>
  <c r="J5" i="9"/>
  <c r="K5" i="9"/>
  <c r="L5" i="9"/>
  <c r="M5" i="9"/>
  <c r="N5" i="9"/>
  <c r="O5" i="9"/>
  <c r="G6" i="9"/>
  <c r="H6" i="9"/>
  <c r="I6" i="9"/>
  <c r="J6" i="9"/>
  <c r="K6" i="9"/>
  <c r="L6" i="9"/>
  <c r="M6" i="9"/>
  <c r="N6" i="9"/>
  <c r="O6" i="9"/>
  <c r="G7" i="9"/>
  <c r="H7" i="9"/>
  <c r="I7" i="9"/>
  <c r="J7" i="9"/>
  <c r="K7" i="9"/>
  <c r="L7" i="9"/>
  <c r="M7" i="9"/>
  <c r="N7" i="9"/>
  <c r="O7" i="9"/>
  <c r="G8" i="9"/>
  <c r="H8" i="9"/>
  <c r="I8" i="9"/>
  <c r="J8" i="9"/>
  <c r="K8" i="9"/>
  <c r="L8" i="9"/>
  <c r="M8" i="9"/>
  <c r="N8" i="9"/>
  <c r="O8" i="9"/>
  <c r="G9" i="9"/>
  <c r="H9" i="9"/>
  <c r="I9" i="9"/>
  <c r="J9" i="9"/>
  <c r="K9" i="9"/>
  <c r="L9" i="9"/>
  <c r="M9" i="9"/>
  <c r="N9" i="9"/>
  <c r="O9" i="9"/>
  <c r="G10" i="9"/>
  <c r="H10" i="9"/>
  <c r="I10" i="9"/>
  <c r="J10" i="9"/>
  <c r="K10" i="9"/>
  <c r="L10" i="9"/>
  <c r="M10" i="9"/>
  <c r="N10" i="9"/>
  <c r="O10" i="9"/>
  <c r="G11" i="9"/>
  <c r="H11" i="9"/>
  <c r="I11" i="9"/>
  <c r="J11" i="9"/>
  <c r="K11" i="9"/>
  <c r="L11" i="9"/>
  <c r="M11" i="9"/>
  <c r="N11" i="9"/>
  <c r="O11" i="9"/>
  <c r="G12" i="9"/>
  <c r="H12" i="9"/>
  <c r="I12" i="9"/>
  <c r="J12" i="9"/>
  <c r="K12" i="9"/>
  <c r="L12" i="9"/>
  <c r="M12" i="9"/>
  <c r="N12" i="9"/>
  <c r="O12" i="9"/>
  <c r="G13" i="9"/>
  <c r="H13" i="9"/>
  <c r="I13" i="9"/>
  <c r="J13" i="9"/>
  <c r="K13" i="9"/>
  <c r="L13" i="9"/>
  <c r="M13" i="9"/>
  <c r="N13" i="9"/>
  <c r="O13" i="9"/>
  <c r="G14" i="9"/>
  <c r="H14" i="9"/>
  <c r="I14" i="9"/>
  <c r="J14" i="9"/>
  <c r="K14" i="9"/>
  <c r="L14" i="9"/>
  <c r="M14" i="9"/>
  <c r="N14" i="9"/>
  <c r="O14" i="9"/>
  <c r="G15" i="9"/>
  <c r="H15" i="9"/>
  <c r="I15" i="9"/>
  <c r="J15" i="9"/>
  <c r="K15" i="9"/>
  <c r="L15" i="9"/>
  <c r="M15" i="9"/>
  <c r="N15" i="9"/>
  <c r="O15" i="9"/>
  <c r="G16" i="9"/>
  <c r="H16" i="9"/>
  <c r="I16" i="9"/>
  <c r="J16" i="9"/>
  <c r="K16" i="9"/>
  <c r="L16" i="9"/>
  <c r="M16" i="9"/>
  <c r="N16" i="9"/>
  <c r="O16" i="9"/>
  <c r="G17" i="9"/>
  <c r="H17" i="9"/>
  <c r="I17" i="9"/>
  <c r="J17" i="9"/>
  <c r="K17" i="9"/>
  <c r="L17" i="9"/>
  <c r="M17" i="9"/>
  <c r="N17" i="9"/>
  <c r="O17" i="9"/>
  <c r="G18" i="9"/>
  <c r="H18" i="9"/>
  <c r="I18" i="9"/>
  <c r="J18" i="9"/>
  <c r="K18" i="9"/>
  <c r="L18" i="9"/>
  <c r="M18" i="9"/>
  <c r="N18" i="9"/>
  <c r="O18" i="9"/>
  <c r="G19" i="9"/>
  <c r="H19" i="9"/>
  <c r="I19" i="9"/>
  <c r="J19" i="9"/>
  <c r="K19" i="9"/>
  <c r="L19" i="9"/>
  <c r="M19" i="9"/>
  <c r="N19" i="9"/>
  <c r="O19" i="9"/>
  <c r="G20" i="9"/>
  <c r="H20" i="9"/>
  <c r="I20" i="9"/>
  <c r="J20" i="9"/>
  <c r="K20" i="9"/>
  <c r="L20" i="9"/>
  <c r="M20" i="9"/>
  <c r="N20" i="9"/>
  <c r="O20" i="9"/>
  <c r="G21" i="9"/>
  <c r="H21" i="9"/>
  <c r="I21" i="9"/>
  <c r="J21" i="9"/>
  <c r="K21" i="9"/>
  <c r="L21" i="9"/>
  <c r="M21" i="9"/>
  <c r="N21" i="9"/>
  <c r="O21" i="9"/>
  <c r="G22" i="9"/>
  <c r="H22" i="9"/>
  <c r="I22" i="9"/>
  <c r="J22" i="9"/>
  <c r="K22" i="9"/>
  <c r="L22" i="9"/>
  <c r="M22" i="9"/>
  <c r="N22" i="9"/>
  <c r="O22" i="9"/>
  <c r="G23" i="9"/>
  <c r="H23" i="9"/>
  <c r="I23" i="9"/>
  <c r="J23" i="9"/>
  <c r="K23" i="9"/>
  <c r="L23" i="9"/>
  <c r="M23" i="9"/>
  <c r="N23" i="9"/>
  <c r="O23" i="9"/>
  <c r="G24" i="9"/>
  <c r="H24" i="9"/>
  <c r="I24" i="9"/>
  <c r="J24" i="9"/>
  <c r="K24" i="9"/>
  <c r="L24" i="9"/>
  <c r="M24" i="9"/>
  <c r="N24" i="9"/>
  <c r="O24" i="9"/>
  <c r="G25" i="9"/>
  <c r="H25" i="9"/>
  <c r="I25" i="9"/>
  <c r="J25" i="9"/>
  <c r="K25" i="9"/>
  <c r="L25" i="9"/>
  <c r="M25" i="9"/>
  <c r="N25" i="9"/>
  <c r="O25" i="9"/>
  <c r="G26" i="9"/>
  <c r="H26" i="9"/>
  <c r="I26" i="9"/>
  <c r="J26" i="9"/>
  <c r="K26" i="9"/>
  <c r="L26" i="9"/>
  <c r="M26" i="9"/>
  <c r="N26" i="9"/>
  <c r="O26" i="9"/>
  <c r="G27" i="9"/>
  <c r="H27" i="9"/>
  <c r="I27" i="9"/>
  <c r="J27" i="9"/>
  <c r="K27" i="9"/>
  <c r="L27" i="9"/>
  <c r="M27" i="9"/>
  <c r="N27" i="9"/>
  <c r="O27" i="9"/>
  <c r="G28" i="9"/>
  <c r="H28" i="9"/>
  <c r="I28" i="9"/>
  <c r="J28" i="9"/>
  <c r="K28" i="9"/>
  <c r="L28" i="9"/>
  <c r="M28" i="9"/>
  <c r="N28" i="9"/>
  <c r="O28" i="9"/>
  <c r="G29" i="9"/>
  <c r="H29" i="9"/>
  <c r="I29" i="9"/>
  <c r="J29" i="9"/>
  <c r="K29" i="9"/>
  <c r="L29" i="9"/>
  <c r="M29" i="9"/>
  <c r="N29" i="9"/>
  <c r="O29" i="9"/>
  <c r="G30" i="9"/>
  <c r="H30" i="9"/>
  <c r="I30" i="9"/>
  <c r="J30" i="9"/>
  <c r="K30" i="9"/>
  <c r="L30" i="9"/>
  <c r="M30" i="9"/>
  <c r="N30" i="9"/>
  <c r="O30" i="9"/>
  <c r="E30" i="9"/>
  <c r="D30" i="9"/>
  <c r="A30" i="9"/>
  <c r="D29" i="9"/>
  <c r="A29" i="9"/>
  <c r="AB5" i="1"/>
  <c r="AD5" i="1"/>
  <c r="AG5" i="1"/>
  <c r="AE5" i="1"/>
  <c r="AC5" i="1"/>
  <c r="V5" i="1"/>
  <c r="Q5" i="1"/>
  <c r="P5" i="1"/>
  <c r="O5" i="1"/>
  <c r="N5" i="1"/>
  <c r="M5" i="1"/>
  <c r="G2" i="2"/>
  <c r="A2" i="2"/>
  <c r="G3" i="2"/>
  <c r="A3" i="2"/>
  <c r="G4" i="2"/>
  <c r="A4" i="2"/>
  <c r="G5" i="2"/>
  <c r="A5" i="2"/>
  <c r="G6" i="2"/>
  <c r="A6" i="2"/>
  <c r="J5" i="1"/>
  <c r="I5" i="1"/>
  <c r="D5" i="1"/>
  <c r="F5" i="1"/>
  <c r="E5" i="1"/>
  <c r="A5" i="1"/>
  <c r="V2" i="1"/>
  <c r="V3" i="1"/>
  <c r="F42" i="22"/>
  <c r="F2" i="22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G42" i="22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G37" i="22"/>
  <c r="C37" i="22"/>
  <c r="B37" i="22"/>
  <c r="G36" i="22"/>
  <c r="C36" i="22"/>
  <c r="B36" i="22"/>
  <c r="G35" i="22"/>
  <c r="C35" i="22"/>
  <c r="B35" i="22"/>
  <c r="G34" i="22"/>
  <c r="C34" i="22"/>
  <c r="B34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9" i="22"/>
  <c r="C19" i="22"/>
  <c r="B19" i="22"/>
  <c r="G18" i="22"/>
  <c r="C18" i="22"/>
  <c r="B18" i="22"/>
  <c r="G17" i="22"/>
  <c r="C17" i="22"/>
  <c r="B17" i="22"/>
  <c r="G16" i="22"/>
  <c r="C16" i="22"/>
  <c r="B16" i="22"/>
  <c r="G15" i="22"/>
  <c r="C15" i="22"/>
  <c r="B15" i="22"/>
  <c r="G14" i="22"/>
  <c r="C14" i="22"/>
  <c r="B14" i="22"/>
  <c r="G13" i="22"/>
  <c r="C13" i="22"/>
  <c r="B13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8" i="22"/>
  <c r="C8" i="22"/>
  <c r="B8" i="22"/>
  <c r="G7" i="22"/>
  <c r="C7" i="22"/>
  <c r="B7" i="22"/>
  <c r="G6" i="22"/>
  <c r="C6" i="22"/>
  <c r="B6" i="22"/>
  <c r="G5" i="22"/>
  <c r="C5" i="22"/>
  <c r="B5" i="22"/>
  <c r="G4" i="22"/>
  <c r="C4" i="22"/>
  <c r="B4" i="22"/>
  <c r="G3" i="22"/>
  <c r="C3" i="22"/>
  <c r="B3" i="22"/>
  <c r="G2" i="22"/>
  <c r="C2" i="22"/>
  <c r="B2" i="22"/>
  <c r="B15" i="27"/>
  <c r="B19" i="27"/>
  <c r="B18" i="27"/>
  <c r="B12" i="27"/>
  <c r="D21" i="27"/>
  <c r="E21" i="27"/>
  <c r="D13" i="27"/>
  <c r="D14" i="27"/>
  <c r="D23" i="27"/>
  <c r="D24" i="27"/>
  <c r="D20" i="27"/>
  <c r="E20" i="27"/>
  <c r="E23" i="27"/>
  <c r="E24" i="27"/>
  <c r="E25" i="27"/>
  <c r="AQ3" i="27"/>
  <c r="AR3" i="27"/>
  <c r="AP3" i="27"/>
  <c r="AQ4" i="27"/>
  <c r="AR4" i="27"/>
  <c r="AP4" i="27"/>
  <c r="AQ5" i="27"/>
  <c r="AR5" i="27"/>
  <c r="AP5" i="27"/>
  <c r="AQ6" i="27"/>
  <c r="AR6" i="27"/>
  <c r="AP6" i="27"/>
  <c r="AQ7" i="27"/>
  <c r="AR7" i="27"/>
  <c r="AP7" i="27"/>
  <c r="AQ8" i="27"/>
  <c r="AR8" i="27"/>
  <c r="AP8" i="27"/>
  <c r="AQ9" i="27"/>
  <c r="AR9" i="27"/>
  <c r="AP9" i="27"/>
  <c r="AQ10" i="27"/>
  <c r="AR10" i="27"/>
  <c r="AP10" i="27"/>
  <c r="AQ11" i="27"/>
  <c r="AR11" i="27"/>
  <c r="AP11" i="27"/>
  <c r="AQ12" i="27"/>
  <c r="AR12" i="27"/>
  <c r="AP12" i="27"/>
  <c r="AQ13" i="27"/>
  <c r="AR13" i="27"/>
  <c r="AP13" i="27"/>
  <c r="AQ14" i="27"/>
  <c r="AR14" i="27"/>
  <c r="AP14" i="27"/>
  <c r="AQ15" i="27"/>
  <c r="AR15" i="27"/>
  <c r="AP15" i="27"/>
  <c r="AQ16" i="27"/>
  <c r="AR16" i="27"/>
  <c r="AP16" i="27"/>
  <c r="AQ17" i="27"/>
  <c r="AR17" i="27"/>
  <c r="AP17" i="27"/>
  <c r="AQ18" i="27"/>
  <c r="AR18" i="27"/>
  <c r="AP18" i="27"/>
  <c r="AQ19" i="27"/>
  <c r="AR19" i="27"/>
  <c r="AP19" i="27"/>
  <c r="AQ20" i="27"/>
  <c r="AR20" i="27"/>
  <c r="AP20" i="27"/>
  <c r="AQ21" i="27"/>
  <c r="AR21" i="27"/>
  <c r="AP21" i="27"/>
  <c r="AQ22" i="27"/>
  <c r="AR22" i="27"/>
  <c r="AP22" i="27"/>
  <c r="AQ23" i="27"/>
  <c r="AR23" i="27"/>
  <c r="AP23" i="27"/>
  <c r="AQ24" i="27"/>
  <c r="AR24" i="27"/>
  <c r="AP24" i="27"/>
  <c r="AQ25" i="27"/>
  <c r="AR25" i="27"/>
  <c r="AP25" i="27"/>
  <c r="AQ26" i="27"/>
  <c r="AR26" i="27"/>
  <c r="AP26" i="27"/>
  <c r="AQ27" i="27"/>
  <c r="AR27" i="27"/>
  <c r="AP27" i="27"/>
  <c r="AQ28" i="27"/>
  <c r="AR28" i="27"/>
  <c r="AP28" i="27"/>
  <c r="AQ29" i="27"/>
  <c r="AR29" i="27"/>
  <c r="AP29" i="27"/>
  <c r="AQ30" i="27"/>
  <c r="AR30" i="27"/>
  <c r="AP30" i="27"/>
  <c r="AQ31" i="27"/>
  <c r="AR31" i="27"/>
  <c r="AP31" i="27"/>
  <c r="AQ32" i="27"/>
  <c r="AR32" i="27"/>
  <c r="AP32" i="27"/>
  <c r="AQ33" i="27"/>
  <c r="AR33" i="27"/>
  <c r="AP33" i="27"/>
  <c r="AQ34" i="27"/>
  <c r="AR34" i="27"/>
  <c r="AP34" i="27"/>
  <c r="AQ35" i="27"/>
  <c r="AR35" i="27"/>
  <c r="AP35" i="27"/>
  <c r="AQ36" i="27"/>
  <c r="AR36" i="27"/>
  <c r="AP36" i="27"/>
  <c r="AQ37" i="27"/>
  <c r="AR37" i="27"/>
  <c r="AP37" i="27"/>
  <c r="AQ38" i="27"/>
  <c r="AR38" i="27"/>
  <c r="AP38" i="27"/>
  <c r="AQ39" i="27"/>
  <c r="AR39" i="27"/>
  <c r="AP39" i="27"/>
  <c r="AQ40" i="27"/>
  <c r="AR40" i="27"/>
  <c r="AP40" i="27"/>
  <c r="AQ41" i="27"/>
  <c r="AR41" i="27"/>
  <c r="AP41" i="27"/>
  <c r="AQ42" i="27"/>
  <c r="AR42" i="27"/>
  <c r="AP42" i="27"/>
  <c r="AQ43" i="27"/>
  <c r="AR43" i="27"/>
  <c r="AP43" i="27"/>
  <c r="AQ44" i="27"/>
  <c r="AR44" i="27"/>
  <c r="AP44" i="27"/>
  <c r="AQ45" i="27"/>
  <c r="AR45" i="27"/>
  <c r="AP45" i="27"/>
  <c r="AQ46" i="27"/>
  <c r="AR46" i="27"/>
  <c r="AP46" i="27"/>
  <c r="AQ47" i="27"/>
  <c r="AR47" i="27"/>
  <c r="AP47" i="27"/>
  <c r="AQ48" i="27"/>
  <c r="AR48" i="27"/>
  <c r="AP48" i="27"/>
  <c r="AQ49" i="27"/>
  <c r="AR49" i="27"/>
  <c r="AP49" i="27"/>
  <c r="AQ50" i="27"/>
  <c r="AR50" i="27"/>
  <c r="AP50" i="27"/>
  <c r="AQ57" i="27"/>
  <c r="AR57" i="27"/>
  <c r="AP57" i="27"/>
  <c r="AQ58" i="27"/>
  <c r="AR58" i="27"/>
  <c r="AP58" i="27"/>
  <c r="AQ59" i="27"/>
  <c r="AR59" i="27"/>
  <c r="AP59" i="27"/>
  <c r="AQ60" i="27"/>
  <c r="AR60" i="27"/>
  <c r="AP60" i="27"/>
  <c r="AQ61" i="27"/>
  <c r="AR61" i="27"/>
  <c r="AP61" i="27"/>
  <c r="AQ62" i="27"/>
  <c r="AR62" i="27"/>
  <c r="AP62" i="27"/>
  <c r="AQ63" i="27"/>
  <c r="AR63" i="27"/>
  <c r="AP63" i="27"/>
  <c r="AQ64" i="27"/>
  <c r="AR64" i="27"/>
  <c r="AP64" i="27"/>
  <c r="AQ65" i="27"/>
  <c r="AR65" i="27"/>
  <c r="AP65" i="27"/>
  <c r="AQ66" i="27"/>
  <c r="AR66" i="27"/>
  <c r="AP66" i="27"/>
  <c r="AQ67" i="27"/>
  <c r="AR67" i="27"/>
  <c r="AP67" i="27"/>
  <c r="AQ68" i="27"/>
  <c r="AR68" i="27"/>
  <c r="AP68" i="27"/>
  <c r="AQ69" i="27"/>
  <c r="AR69" i="27"/>
  <c r="AP69" i="27"/>
  <c r="AQ70" i="27"/>
  <c r="AR70" i="27"/>
  <c r="AP70" i="27"/>
  <c r="AQ71" i="27"/>
  <c r="AR71" i="27"/>
  <c r="AP71" i="27"/>
  <c r="AQ72" i="27"/>
  <c r="AR72" i="27"/>
  <c r="AP72" i="27"/>
  <c r="AQ73" i="27"/>
  <c r="AR73" i="27"/>
  <c r="AP73" i="27"/>
  <c r="AQ74" i="27"/>
  <c r="AR74" i="27"/>
  <c r="AP74" i="27"/>
  <c r="AQ75" i="27"/>
  <c r="AR75" i="27"/>
  <c r="AP75" i="27"/>
  <c r="AQ76" i="27"/>
  <c r="AR76" i="27"/>
  <c r="AP76" i="27"/>
  <c r="AQ77" i="27"/>
  <c r="AR77" i="27"/>
  <c r="AP77" i="27"/>
  <c r="AQ78" i="27"/>
  <c r="AR78" i="27"/>
  <c r="AP78" i="27"/>
  <c r="AQ79" i="27"/>
  <c r="AR79" i="27"/>
  <c r="AP79" i="27"/>
  <c r="AQ80" i="27"/>
  <c r="AR80" i="27"/>
  <c r="AP80" i="27"/>
  <c r="AQ81" i="27"/>
  <c r="AR81" i="27"/>
  <c r="AP81" i="27"/>
  <c r="AQ82" i="27"/>
  <c r="AR82" i="27"/>
  <c r="AP82" i="27"/>
  <c r="AQ83" i="27"/>
  <c r="AR83" i="27"/>
  <c r="AP83" i="27"/>
  <c r="AQ84" i="27"/>
  <c r="AR84" i="27"/>
  <c r="AP84" i="27"/>
  <c r="AQ85" i="27"/>
  <c r="AR85" i="27"/>
  <c r="AP85" i="27"/>
  <c r="AQ86" i="27"/>
  <c r="AR86" i="27"/>
  <c r="AP86" i="27"/>
  <c r="AQ87" i="27"/>
  <c r="AR87" i="27"/>
  <c r="AP87" i="27"/>
  <c r="AQ88" i="27"/>
  <c r="AR88" i="27"/>
  <c r="AP88" i="27"/>
  <c r="AQ89" i="27"/>
  <c r="AR89" i="27"/>
  <c r="AP89" i="27"/>
  <c r="AQ90" i="27"/>
  <c r="AR90" i="27"/>
  <c r="AP90" i="27"/>
  <c r="AQ91" i="27"/>
  <c r="AR91" i="27"/>
  <c r="AP91" i="27"/>
  <c r="AQ92" i="27"/>
  <c r="AR92" i="27"/>
  <c r="AP92" i="27"/>
  <c r="AQ93" i="27"/>
  <c r="AR93" i="27"/>
  <c r="AP93" i="27"/>
  <c r="AQ94" i="27"/>
  <c r="AR94" i="27"/>
  <c r="AP94" i="27"/>
  <c r="AQ95" i="27"/>
  <c r="AR95" i="27"/>
  <c r="AP95" i="27"/>
  <c r="AQ96" i="27"/>
  <c r="AR96" i="27"/>
  <c r="AP96" i="27"/>
  <c r="AQ97" i="27"/>
  <c r="AR97" i="27"/>
  <c r="AP97" i="27"/>
  <c r="AQ98" i="27"/>
  <c r="AR98" i="27"/>
  <c r="AP98" i="27"/>
  <c r="AQ99" i="27"/>
  <c r="AR99" i="27"/>
  <c r="AP99" i="27"/>
  <c r="AQ100" i="27"/>
  <c r="AR100" i="27"/>
  <c r="AP100" i="27"/>
  <c r="AQ101" i="27"/>
  <c r="AR101" i="27"/>
  <c r="AP101" i="27"/>
  <c r="AQ102" i="27"/>
  <c r="AR102" i="27"/>
  <c r="AP102" i="27"/>
  <c r="AQ103" i="27"/>
  <c r="AR103" i="27"/>
  <c r="AP103" i="27"/>
  <c r="AQ104" i="27"/>
  <c r="AR104" i="27"/>
  <c r="AP104" i="27"/>
  <c r="AQ105" i="27"/>
  <c r="AR105" i="27"/>
  <c r="AP105" i="27"/>
  <c r="AQ106" i="27"/>
  <c r="AR106" i="27"/>
  <c r="AP106" i="27"/>
  <c r="AQ107" i="27"/>
  <c r="AR107" i="27"/>
  <c r="AP107" i="27"/>
  <c r="AQ108" i="27"/>
  <c r="AR108" i="27"/>
  <c r="AP108" i="27"/>
  <c r="AQ109" i="27"/>
  <c r="AR109" i="27"/>
  <c r="AP109" i="27"/>
  <c r="AQ110" i="27"/>
  <c r="AR110" i="27"/>
  <c r="AP110" i="27"/>
  <c r="J25" i="27"/>
  <c r="L25" i="27"/>
  <c r="J24" i="27"/>
  <c r="K24" i="27"/>
  <c r="L24" i="27"/>
  <c r="J23" i="27"/>
  <c r="K23" i="27"/>
  <c r="L23" i="27"/>
  <c r="J22" i="27"/>
  <c r="K22" i="27"/>
  <c r="L22" i="27"/>
  <c r="J21" i="27"/>
  <c r="K21" i="27"/>
  <c r="L21" i="27"/>
  <c r="K20" i="27"/>
  <c r="L20" i="27"/>
  <c r="J17" i="27"/>
  <c r="J19" i="27"/>
  <c r="L19" i="27"/>
  <c r="J18" i="27"/>
  <c r="K18" i="27"/>
  <c r="L18" i="27"/>
  <c r="K17" i="27"/>
  <c r="L17" i="27"/>
  <c r="K16" i="27"/>
  <c r="L16" i="27"/>
  <c r="J15" i="27"/>
  <c r="L15" i="27"/>
  <c r="J14" i="27"/>
  <c r="K14" i="27"/>
  <c r="L14" i="27"/>
  <c r="J13" i="27"/>
  <c r="K13" i="27"/>
  <c r="L13" i="27"/>
  <c r="J12" i="27"/>
  <c r="K12" i="27"/>
  <c r="L12" i="27"/>
  <c r="J11" i="27"/>
  <c r="K11" i="27"/>
  <c r="L11" i="27"/>
  <c r="K10" i="27"/>
  <c r="L10" i="27"/>
  <c r="J7" i="27"/>
  <c r="J9" i="27"/>
  <c r="L9" i="27"/>
  <c r="J8" i="27"/>
  <c r="K8" i="27"/>
  <c r="L8" i="27"/>
  <c r="K7" i="27"/>
  <c r="L7" i="27"/>
  <c r="K6" i="27"/>
  <c r="L6" i="27"/>
  <c r="J3" i="27"/>
  <c r="J5" i="27"/>
  <c r="L5" i="27"/>
  <c r="J4" i="27"/>
  <c r="K4" i="27"/>
  <c r="L4" i="27"/>
  <c r="K3" i="27"/>
  <c r="L3" i="27"/>
  <c r="K2" i="27"/>
  <c r="L2" i="27"/>
  <c r="D4" i="26"/>
  <c r="E4" i="26"/>
  <c r="F4" i="26"/>
  <c r="D14" i="25"/>
  <c r="E14" i="25"/>
  <c r="J26" i="25"/>
  <c r="I26" i="25"/>
  <c r="J25" i="25"/>
  <c r="I25" i="25"/>
  <c r="J24" i="25"/>
  <c r="I24" i="25"/>
  <c r="J23" i="25"/>
  <c r="I23" i="25"/>
  <c r="J22" i="25"/>
  <c r="I22" i="25"/>
  <c r="J21" i="25"/>
  <c r="I21" i="25"/>
  <c r="J20" i="25"/>
  <c r="I20" i="25"/>
  <c r="J19" i="25"/>
  <c r="I19" i="25"/>
  <c r="J18" i="25"/>
  <c r="I18" i="25"/>
  <c r="J17" i="25"/>
  <c r="I17" i="25"/>
  <c r="J16" i="25"/>
  <c r="I16" i="25"/>
  <c r="J15" i="25"/>
  <c r="I15" i="25"/>
  <c r="J14" i="25"/>
  <c r="I14" i="25"/>
  <c r="J13" i="25"/>
  <c r="I13" i="25"/>
  <c r="J12" i="25"/>
  <c r="I12" i="25"/>
  <c r="J11" i="25"/>
  <c r="I11" i="25"/>
  <c r="J10" i="25"/>
  <c r="I10" i="25"/>
  <c r="J9" i="25"/>
  <c r="I9" i="25"/>
  <c r="J8" i="25"/>
  <c r="I8" i="25"/>
  <c r="J7" i="25"/>
  <c r="I7" i="25"/>
  <c r="J6" i="25"/>
  <c r="I6" i="25"/>
  <c r="J5" i="25"/>
  <c r="I5" i="25"/>
  <c r="J4" i="25"/>
  <c r="I4" i="25"/>
  <c r="J3" i="25"/>
  <c r="I3" i="25"/>
  <c r="D2" i="25"/>
  <c r="E2" i="25"/>
  <c r="D10" i="25"/>
  <c r="E10" i="25"/>
  <c r="D18" i="25"/>
  <c r="E18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4" i="25"/>
  <c r="H5" i="25"/>
  <c r="H6" i="25"/>
  <c r="H7" i="25"/>
  <c r="H8" i="25"/>
  <c r="H9" i="25"/>
  <c r="H3" i="25"/>
  <c r="N80" i="26"/>
  <c r="O80" i="26"/>
  <c r="N79" i="26"/>
  <c r="O79" i="26"/>
  <c r="N78" i="26"/>
  <c r="O78" i="26"/>
  <c r="N77" i="26"/>
  <c r="O77" i="26"/>
  <c r="N76" i="26"/>
  <c r="O76" i="26"/>
  <c r="N75" i="26"/>
  <c r="O75" i="26"/>
  <c r="N74" i="26"/>
  <c r="O74" i="26"/>
  <c r="N73" i="26"/>
  <c r="O73" i="26"/>
  <c r="N72" i="26"/>
  <c r="O72" i="26"/>
  <c r="N71" i="26"/>
  <c r="O71" i="26"/>
  <c r="N70" i="26"/>
  <c r="O70" i="26"/>
  <c r="N69" i="26"/>
  <c r="O69" i="26"/>
  <c r="N68" i="26"/>
  <c r="O68" i="26"/>
  <c r="N67" i="26"/>
  <c r="O67" i="26"/>
  <c r="N66" i="26"/>
  <c r="O66" i="26"/>
  <c r="N65" i="26"/>
  <c r="O65" i="26"/>
  <c r="N64" i="26"/>
  <c r="O64" i="26"/>
  <c r="N63" i="26"/>
  <c r="O63" i="26"/>
  <c r="N61" i="26"/>
  <c r="O61" i="26"/>
  <c r="N60" i="26"/>
  <c r="O60" i="26"/>
  <c r="N59" i="26"/>
  <c r="O59" i="26"/>
  <c r="N58" i="26"/>
  <c r="O58" i="26"/>
  <c r="N57" i="26"/>
  <c r="O57" i="26"/>
  <c r="N56" i="26"/>
  <c r="O56" i="26"/>
  <c r="N55" i="26"/>
  <c r="O55" i="26"/>
  <c r="N54" i="26"/>
  <c r="O54" i="26"/>
  <c r="N53" i="26"/>
  <c r="O53" i="26"/>
  <c r="N52" i="26"/>
  <c r="O52" i="26"/>
  <c r="N51" i="26"/>
  <c r="O51" i="26"/>
  <c r="N50" i="26"/>
  <c r="O50" i="26"/>
  <c r="N49" i="26"/>
  <c r="O49" i="26"/>
  <c r="N47" i="26"/>
  <c r="O47" i="26"/>
  <c r="N46" i="26"/>
  <c r="O46" i="26"/>
  <c r="N45" i="26"/>
  <c r="O45" i="26"/>
  <c r="N44" i="26"/>
  <c r="O44" i="26"/>
  <c r="N43" i="26"/>
  <c r="O43" i="26"/>
  <c r="N42" i="26"/>
  <c r="O42" i="26"/>
  <c r="N41" i="26"/>
  <c r="O41" i="26"/>
  <c r="N40" i="26"/>
  <c r="O40" i="26"/>
  <c r="N39" i="26"/>
  <c r="O39" i="26"/>
  <c r="N38" i="26"/>
  <c r="O38" i="26"/>
  <c r="N37" i="26"/>
  <c r="O37" i="26"/>
  <c r="N36" i="26"/>
  <c r="O36" i="26"/>
  <c r="N35" i="26"/>
  <c r="O35" i="26"/>
  <c r="N34" i="26"/>
  <c r="O34" i="26"/>
  <c r="N33" i="26"/>
  <c r="O33" i="26"/>
  <c r="N32" i="26"/>
  <c r="O32" i="26"/>
  <c r="N31" i="26"/>
  <c r="O31" i="26"/>
  <c r="N30" i="26"/>
  <c r="O30" i="26"/>
  <c r="N28" i="26"/>
  <c r="O28" i="26"/>
  <c r="N27" i="26"/>
  <c r="O27" i="26"/>
  <c r="N26" i="26"/>
  <c r="O26" i="26"/>
  <c r="N25" i="26"/>
  <c r="O25" i="26"/>
  <c r="N24" i="26"/>
  <c r="O24" i="26"/>
  <c r="N23" i="26"/>
  <c r="O23" i="26"/>
  <c r="N22" i="26"/>
  <c r="O22" i="26"/>
  <c r="N21" i="26"/>
  <c r="O21" i="26"/>
  <c r="N20" i="26"/>
  <c r="O20" i="26"/>
  <c r="N19" i="26"/>
  <c r="O19" i="26"/>
  <c r="N18" i="26"/>
  <c r="O18" i="26"/>
  <c r="N17" i="26"/>
  <c r="O17" i="26"/>
  <c r="N16" i="26"/>
  <c r="O16" i="26"/>
  <c r="N14" i="26"/>
  <c r="O14" i="26"/>
  <c r="N13" i="26"/>
  <c r="O13" i="26"/>
  <c r="N12" i="26"/>
  <c r="O12" i="26"/>
  <c r="N11" i="26"/>
  <c r="O11" i="26"/>
  <c r="N10" i="26"/>
  <c r="O10" i="26"/>
  <c r="N9" i="26"/>
  <c r="O9" i="26"/>
  <c r="N8" i="26"/>
  <c r="O8" i="26"/>
  <c r="N7" i="26"/>
  <c r="O7" i="26"/>
  <c r="N6" i="26"/>
  <c r="O6" i="26"/>
  <c r="N5" i="26"/>
  <c r="O5" i="26"/>
  <c r="N4" i="26"/>
  <c r="O4" i="26"/>
  <c r="N3" i="26"/>
  <c r="O3" i="26"/>
  <c r="N2" i="26"/>
  <c r="O2" i="26"/>
  <c r="E14" i="27"/>
  <c r="E13" i="27"/>
  <c r="D16" i="27"/>
  <c r="E16" i="27"/>
  <c r="D10" i="27"/>
  <c r="E10" i="27"/>
  <c r="D6" i="27"/>
  <c r="E6" i="27"/>
  <c r="E2" i="27"/>
  <c r="V87" i="27"/>
  <c r="U86" i="27"/>
  <c r="V86" i="27"/>
  <c r="U85" i="27"/>
  <c r="V85" i="27"/>
  <c r="U84" i="27"/>
  <c r="V84" i="27"/>
  <c r="U83" i="27"/>
  <c r="V83" i="27"/>
  <c r="U82" i="27"/>
  <c r="V82" i="27"/>
  <c r="U81" i="27"/>
  <c r="V81" i="27"/>
  <c r="U80" i="27"/>
  <c r="V80" i="27"/>
  <c r="U79" i="27"/>
  <c r="V79" i="27"/>
  <c r="U78" i="27"/>
  <c r="V78" i="27"/>
  <c r="U77" i="27"/>
  <c r="V77" i="27"/>
  <c r="U76" i="27"/>
  <c r="V76" i="27"/>
  <c r="U75" i="27"/>
  <c r="V75" i="27"/>
  <c r="U74" i="27"/>
  <c r="V74" i="27"/>
  <c r="U73" i="27"/>
  <c r="V73" i="27"/>
  <c r="U72" i="27"/>
  <c r="V72" i="27"/>
  <c r="U71" i="27"/>
  <c r="V71" i="27"/>
  <c r="U70" i="27"/>
  <c r="V70" i="27"/>
  <c r="U69" i="27"/>
  <c r="V69" i="27"/>
  <c r="U68" i="27"/>
  <c r="V68" i="27"/>
  <c r="U67" i="27"/>
  <c r="V67" i="27"/>
  <c r="U66" i="27"/>
  <c r="V66" i="27"/>
  <c r="U65" i="27"/>
  <c r="V65" i="27"/>
  <c r="U64" i="27"/>
  <c r="V64" i="27"/>
  <c r="U63" i="27"/>
  <c r="V63" i="27"/>
  <c r="U62" i="27"/>
  <c r="V62" i="27"/>
  <c r="U61" i="27"/>
  <c r="V61" i="27"/>
  <c r="U60" i="27"/>
  <c r="V60" i="27"/>
  <c r="U59" i="27"/>
  <c r="V59" i="27"/>
  <c r="V58" i="27"/>
  <c r="U57" i="27"/>
  <c r="V57" i="27"/>
  <c r="U50" i="27"/>
  <c r="V50" i="27"/>
  <c r="U49" i="27"/>
  <c r="V49" i="27"/>
  <c r="U48" i="27"/>
  <c r="V48" i="27"/>
  <c r="U47" i="27"/>
  <c r="V47" i="27"/>
  <c r="U46" i="27"/>
  <c r="V46" i="27"/>
  <c r="U45" i="27"/>
  <c r="V45" i="27"/>
  <c r="U44" i="27"/>
  <c r="V44" i="27"/>
  <c r="U43" i="27"/>
  <c r="V43" i="27"/>
  <c r="U42" i="27"/>
  <c r="V42" i="27"/>
  <c r="U41" i="27"/>
  <c r="V41" i="27"/>
  <c r="V40" i="27"/>
  <c r="U39" i="27"/>
  <c r="V39" i="27"/>
  <c r="U38" i="27"/>
  <c r="V38" i="27"/>
  <c r="U37" i="27"/>
  <c r="V37" i="27"/>
  <c r="U36" i="27"/>
  <c r="V36" i="27"/>
  <c r="U35" i="27"/>
  <c r="V35" i="27"/>
  <c r="U34" i="27"/>
  <c r="V34" i="27"/>
  <c r="U33" i="27"/>
  <c r="V33" i="27"/>
  <c r="U32" i="27"/>
  <c r="V32" i="27"/>
  <c r="U31" i="27"/>
  <c r="V31" i="27"/>
  <c r="U30" i="27"/>
  <c r="V30" i="27"/>
  <c r="U29" i="27"/>
  <c r="V29" i="27"/>
  <c r="U28" i="27"/>
  <c r="V28" i="27"/>
  <c r="U27" i="27"/>
  <c r="V27" i="27"/>
  <c r="U26" i="27"/>
  <c r="V26" i="27"/>
  <c r="U25" i="27"/>
  <c r="V25" i="27"/>
  <c r="U24" i="27"/>
  <c r="V24" i="27"/>
  <c r="U23" i="27"/>
  <c r="V23" i="27"/>
  <c r="U22" i="27"/>
  <c r="V22" i="27"/>
  <c r="U21" i="27"/>
  <c r="V21" i="27"/>
  <c r="U20" i="27"/>
  <c r="V20" i="27"/>
  <c r="U19" i="27"/>
  <c r="V19" i="27"/>
  <c r="V18" i="27"/>
  <c r="U17" i="27"/>
  <c r="V17" i="27"/>
  <c r="U16" i="27"/>
  <c r="V16" i="27"/>
  <c r="U15" i="27"/>
  <c r="V15" i="27"/>
  <c r="U14" i="27"/>
  <c r="V14" i="27"/>
  <c r="U13" i="27"/>
  <c r="V13" i="27"/>
  <c r="U12" i="27"/>
  <c r="V12" i="27"/>
  <c r="U11" i="27"/>
  <c r="V11" i="27"/>
  <c r="U10" i="27"/>
  <c r="V10" i="27"/>
  <c r="U9" i="27"/>
  <c r="V9" i="27"/>
  <c r="U8" i="27"/>
  <c r="V8" i="27"/>
  <c r="V7" i="27"/>
  <c r="U6" i="27"/>
  <c r="V6" i="27"/>
  <c r="U5" i="27"/>
  <c r="V5" i="27"/>
  <c r="U4" i="27"/>
  <c r="V4" i="27"/>
  <c r="U3" i="27"/>
  <c r="V3" i="27"/>
  <c r="U2" i="27"/>
  <c r="V2" i="27"/>
  <c r="D20" i="25"/>
  <c r="E20" i="25"/>
  <c r="D19" i="25"/>
  <c r="E19" i="25"/>
  <c r="D16" i="25"/>
  <c r="E16" i="25"/>
  <c r="D15" i="25"/>
  <c r="E15" i="25"/>
  <c r="D12" i="25"/>
  <c r="E12" i="25"/>
  <c r="D11" i="25"/>
  <c r="E11" i="25"/>
  <c r="D8" i="25"/>
  <c r="E8" i="25"/>
  <c r="D7" i="25"/>
  <c r="E7" i="25"/>
  <c r="D6" i="25"/>
  <c r="E6" i="25"/>
  <c r="D4" i="25"/>
  <c r="E4" i="25"/>
  <c r="D3" i="25"/>
  <c r="E3" i="25"/>
  <c r="D63" i="26"/>
  <c r="E63" i="26"/>
  <c r="D64" i="26"/>
  <c r="E64" i="26"/>
  <c r="D65" i="26"/>
  <c r="E65" i="26"/>
  <c r="D66" i="26"/>
  <c r="E66" i="26"/>
  <c r="D67" i="26"/>
  <c r="E67" i="26"/>
  <c r="D68" i="26"/>
  <c r="E68" i="26"/>
  <c r="D69" i="26"/>
  <c r="E69" i="26"/>
  <c r="D70" i="26"/>
  <c r="E70" i="26"/>
  <c r="D71" i="26"/>
  <c r="E71" i="26"/>
  <c r="D72" i="26"/>
  <c r="E72" i="26"/>
  <c r="D73" i="26"/>
  <c r="E73" i="26"/>
  <c r="D74" i="26"/>
  <c r="E74" i="26"/>
  <c r="D75" i="26"/>
  <c r="E75" i="26"/>
  <c r="D76" i="26"/>
  <c r="E76" i="26"/>
  <c r="D77" i="26"/>
  <c r="E77" i="26"/>
  <c r="D78" i="26"/>
  <c r="E78" i="26"/>
  <c r="D79" i="26"/>
  <c r="E79" i="26"/>
  <c r="D80" i="26"/>
  <c r="E80" i="26"/>
  <c r="D49" i="26"/>
  <c r="E49" i="26"/>
  <c r="D50" i="26"/>
  <c r="E50" i="26"/>
  <c r="D51" i="26"/>
  <c r="E51" i="26"/>
  <c r="D52" i="26"/>
  <c r="E52" i="26"/>
  <c r="D53" i="26"/>
  <c r="E53" i="26"/>
  <c r="D54" i="26"/>
  <c r="E54" i="26"/>
  <c r="D55" i="26"/>
  <c r="E55" i="26"/>
  <c r="D56" i="26"/>
  <c r="E56" i="26"/>
  <c r="D57" i="26"/>
  <c r="E57" i="26"/>
  <c r="D58" i="26"/>
  <c r="E58" i="26"/>
  <c r="D59" i="26"/>
  <c r="E59" i="26"/>
  <c r="D60" i="26"/>
  <c r="E60" i="26"/>
  <c r="D61" i="26"/>
  <c r="E61" i="26"/>
  <c r="D30" i="26"/>
  <c r="E30" i="26"/>
  <c r="D31" i="26"/>
  <c r="E31" i="26"/>
  <c r="D32" i="26"/>
  <c r="E32" i="26"/>
  <c r="D33" i="26"/>
  <c r="E33" i="26"/>
  <c r="D34" i="26"/>
  <c r="E34" i="26"/>
  <c r="D35" i="26"/>
  <c r="E35" i="26"/>
  <c r="D36" i="26"/>
  <c r="E36" i="26"/>
  <c r="D37" i="26"/>
  <c r="E37" i="26"/>
  <c r="D38" i="26"/>
  <c r="E38" i="26"/>
  <c r="D39" i="26"/>
  <c r="E39" i="26"/>
  <c r="D40" i="26"/>
  <c r="E40" i="26"/>
  <c r="D41" i="26"/>
  <c r="E41" i="26"/>
  <c r="D42" i="26"/>
  <c r="E42" i="26"/>
  <c r="D43" i="26"/>
  <c r="E43" i="26"/>
  <c r="D44" i="26"/>
  <c r="E44" i="26"/>
  <c r="D45" i="26"/>
  <c r="E45" i="26"/>
  <c r="D46" i="26"/>
  <c r="E46" i="26"/>
  <c r="D47" i="26"/>
  <c r="E47" i="26"/>
  <c r="D16" i="26"/>
  <c r="E16" i="26"/>
  <c r="D17" i="26"/>
  <c r="E17" i="26"/>
  <c r="D18" i="26"/>
  <c r="E18" i="26"/>
  <c r="D19" i="26"/>
  <c r="E19" i="26"/>
  <c r="D20" i="26"/>
  <c r="E20" i="26"/>
  <c r="D21" i="26"/>
  <c r="E21" i="26"/>
  <c r="D22" i="26"/>
  <c r="E22" i="26"/>
  <c r="D23" i="26"/>
  <c r="E23" i="26"/>
  <c r="D24" i="26"/>
  <c r="E24" i="26"/>
  <c r="D25" i="26"/>
  <c r="E25" i="26"/>
  <c r="D26" i="26"/>
  <c r="E26" i="26"/>
  <c r="D27" i="26"/>
  <c r="E27" i="26"/>
  <c r="D28" i="26"/>
  <c r="E28" i="26"/>
  <c r="D2" i="26"/>
  <c r="E2" i="26"/>
  <c r="D3" i="26"/>
  <c r="E3" i="26"/>
  <c r="D5" i="26"/>
  <c r="E5" i="26"/>
  <c r="D6" i="26"/>
  <c r="E6" i="26"/>
  <c r="D7" i="26"/>
  <c r="E7" i="26"/>
  <c r="D8" i="26"/>
  <c r="E8" i="26"/>
  <c r="D9" i="26"/>
  <c r="E9" i="26"/>
  <c r="D10" i="26"/>
  <c r="E10" i="26"/>
  <c r="D11" i="26"/>
  <c r="E11" i="26"/>
  <c r="D12" i="26"/>
  <c r="E12" i="26"/>
  <c r="D13" i="26"/>
  <c r="E13" i="26"/>
  <c r="D14" i="26"/>
  <c r="E14" i="26"/>
  <c r="AF41" i="27"/>
  <c r="D8" i="27"/>
  <c r="E8" i="27"/>
  <c r="AE17" i="27"/>
  <c r="AE20" i="27"/>
  <c r="AF20" i="27"/>
  <c r="AE21" i="27"/>
  <c r="AF21" i="27"/>
  <c r="AE22" i="27"/>
  <c r="AF22" i="27"/>
  <c r="AE23" i="27"/>
  <c r="AF23" i="27"/>
  <c r="AE24" i="27"/>
  <c r="AF24" i="27"/>
  <c r="AE25" i="27"/>
  <c r="AF25" i="27"/>
  <c r="AE26" i="27"/>
  <c r="AF26" i="27"/>
  <c r="AE27" i="27"/>
  <c r="AF27" i="27"/>
  <c r="AE28" i="27"/>
  <c r="AF28" i="27"/>
  <c r="AE29" i="27"/>
  <c r="AF29" i="27"/>
  <c r="AE30" i="27"/>
  <c r="AF30" i="27"/>
  <c r="AE31" i="27"/>
  <c r="AF31" i="27"/>
  <c r="AE32" i="27"/>
  <c r="AF32" i="27"/>
  <c r="AE33" i="27"/>
  <c r="AF33" i="27"/>
  <c r="AE34" i="27"/>
  <c r="AF34" i="27"/>
  <c r="AE35" i="27"/>
  <c r="AF35" i="27"/>
  <c r="AE36" i="27"/>
  <c r="AF36" i="27"/>
  <c r="AE37" i="27"/>
  <c r="AF37" i="27"/>
  <c r="E15" i="27"/>
  <c r="AE40" i="27"/>
  <c r="AE41" i="27"/>
  <c r="AE42" i="27"/>
  <c r="AF42" i="27"/>
  <c r="AE43" i="27"/>
  <c r="AF43" i="27"/>
  <c r="AE44" i="27"/>
  <c r="AF44" i="27"/>
  <c r="AE45" i="27"/>
  <c r="AF45" i="27"/>
  <c r="AE46" i="27"/>
  <c r="AF46" i="27"/>
  <c r="AE47" i="27"/>
  <c r="AF47" i="27"/>
  <c r="AE48" i="27"/>
  <c r="AF48" i="27"/>
  <c r="AE49" i="27"/>
  <c r="AF49" i="27"/>
  <c r="AE50" i="27"/>
  <c r="AF50" i="27"/>
  <c r="D17" i="27"/>
  <c r="E17" i="27"/>
  <c r="D18" i="27"/>
  <c r="E18" i="27"/>
  <c r="AE57" i="27"/>
  <c r="AF57" i="27"/>
  <c r="E19" i="27"/>
  <c r="AE58" i="27"/>
  <c r="AE59" i="27"/>
  <c r="AF59" i="27"/>
  <c r="AE60" i="27"/>
  <c r="AF60" i="27"/>
  <c r="AE61" i="27"/>
  <c r="AF61" i="27"/>
  <c r="AE62" i="27"/>
  <c r="AF62" i="27"/>
  <c r="AE63" i="27"/>
  <c r="AF63" i="27"/>
  <c r="AE64" i="27"/>
  <c r="AF64" i="27"/>
  <c r="AE65" i="27"/>
  <c r="AF65" i="27"/>
  <c r="AE66" i="27"/>
  <c r="AF66" i="27"/>
  <c r="AE67" i="27"/>
  <c r="AF67" i="27"/>
  <c r="AE68" i="27"/>
  <c r="AF68" i="27"/>
  <c r="AE69" i="27"/>
  <c r="AF69" i="27"/>
  <c r="AE70" i="27"/>
  <c r="AF70" i="27"/>
  <c r="AE71" i="27"/>
  <c r="AF71" i="27"/>
  <c r="AE72" i="27"/>
  <c r="AF72" i="27"/>
  <c r="AE73" i="27"/>
  <c r="AF73" i="27"/>
  <c r="AE74" i="27"/>
  <c r="AF74" i="27"/>
  <c r="AE75" i="27"/>
  <c r="AF75" i="27"/>
  <c r="AE76" i="27"/>
  <c r="AF76" i="27"/>
  <c r="AE77" i="27"/>
  <c r="AF77" i="27"/>
  <c r="AE78" i="27"/>
  <c r="AF78" i="27"/>
  <c r="AE79" i="27"/>
  <c r="AF79" i="27"/>
  <c r="AE80" i="27"/>
  <c r="AF80" i="27"/>
  <c r="AE81" i="27"/>
  <c r="AF81" i="27"/>
  <c r="AE82" i="27"/>
  <c r="AF82" i="27"/>
  <c r="AE83" i="27"/>
  <c r="AF83" i="27"/>
  <c r="AE84" i="27"/>
  <c r="AF84" i="27"/>
  <c r="AE85" i="27"/>
  <c r="AF85" i="27"/>
  <c r="AE86" i="27"/>
  <c r="AF86" i="27"/>
  <c r="AE87" i="27"/>
  <c r="AF19" i="27"/>
  <c r="AE19" i="27"/>
  <c r="AQ2" i="27"/>
  <c r="AR2" i="27"/>
  <c r="AP2" i="27"/>
  <c r="AE9" i="27"/>
  <c r="AF9" i="27"/>
  <c r="AE10" i="27"/>
  <c r="AF10" i="27"/>
  <c r="AE11" i="27"/>
  <c r="AF11" i="27"/>
  <c r="AE12" i="27"/>
  <c r="AF12" i="27"/>
  <c r="AE13" i="27"/>
  <c r="AF13" i="27"/>
  <c r="AE14" i="27"/>
  <c r="AF14" i="27"/>
  <c r="AE15" i="27"/>
  <c r="AF15" i="27"/>
  <c r="D7" i="27"/>
  <c r="E7" i="27"/>
  <c r="AE16" i="27"/>
  <c r="AF16" i="27"/>
  <c r="AF17" i="27"/>
  <c r="E9" i="27"/>
  <c r="AE18" i="27"/>
  <c r="AF8" i="27"/>
  <c r="AE8" i="27"/>
  <c r="AE3" i="27"/>
  <c r="AF3" i="27"/>
  <c r="AE4" i="27"/>
  <c r="AF4" i="27"/>
  <c r="AE5" i="27"/>
  <c r="AF5" i="27"/>
  <c r="AF2" i="27"/>
  <c r="AE2" i="27"/>
  <c r="Y18" i="25"/>
  <c r="Z18" i="25"/>
  <c r="Y19" i="25"/>
  <c r="Z19" i="25"/>
  <c r="Y20" i="25"/>
  <c r="Z20" i="25"/>
  <c r="Y21" i="25"/>
  <c r="Z21" i="25"/>
  <c r="AE29" i="25"/>
  <c r="AE30" i="25"/>
  <c r="AE31" i="25"/>
  <c r="AE32" i="25"/>
  <c r="AE33" i="25"/>
  <c r="AE34" i="25"/>
  <c r="AE35" i="25"/>
  <c r="AE36" i="25"/>
  <c r="Y14" i="25"/>
  <c r="Z14" i="25"/>
  <c r="Y15" i="25"/>
  <c r="Z15" i="25"/>
  <c r="Y16" i="25"/>
  <c r="Z16" i="25"/>
  <c r="Y17" i="25"/>
  <c r="Z17" i="25"/>
  <c r="AE22" i="25"/>
  <c r="AE23" i="25"/>
  <c r="AE24" i="25"/>
  <c r="AE25" i="25"/>
  <c r="AE26" i="25"/>
  <c r="AE27" i="25"/>
  <c r="AE28" i="25"/>
  <c r="Y6" i="25"/>
  <c r="Z6" i="25"/>
  <c r="Y7" i="25"/>
  <c r="Z7" i="25"/>
  <c r="Y8" i="25"/>
  <c r="Z8" i="25"/>
  <c r="Y9" i="25"/>
  <c r="Z9" i="25"/>
  <c r="Y10" i="25"/>
  <c r="Z10" i="25"/>
  <c r="Y11" i="25"/>
  <c r="Z11" i="25"/>
  <c r="Y12" i="25"/>
  <c r="Z12" i="25"/>
  <c r="Y13" i="25"/>
  <c r="Z13" i="25"/>
  <c r="AE16" i="25"/>
  <c r="AE17" i="25"/>
  <c r="AE18" i="25"/>
  <c r="AE19" i="25"/>
  <c r="AE20" i="25"/>
  <c r="AE21" i="25"/>
  <c r="AE15" i="25"/>
  <c r="Y3" i="25"/>
  <c r="Z3" i="25"/>
  <c r="Y4" i="25"/>
  <c r="Z4" i="25"/>
  <c r="Y5" i="25"/>
  <c r="Z5" i="25"/>
  <c r="Z2" i="25"/>
  <c r="Y2" i="25"/>
  <c r="AN3" i="25"/>
  <c r="AM3" i="25"/>
  <c r="AP4" i="25"/>
  <c r="AP5" i="25"/>
  <c r="AP6" i="25"/>
  <c r="AP7" i="25"/>
  <c r="AP8" i="25"/>
  <c r="AP9" i="25"/>
  <c r="AP10" i="25"/>
  <c r="AM4" i="25"/>
  <c r="AN4" i="25"/>
  <c r="AM5" i="25"/>
  <c r="AN5" i="25"/>
  <c r="AM6" i="25"/>
  <c r="AN6" i="25"/>
  <c r="AM7" i="25"/>
  <c r="AN7" i="25"/>
  <c r="AM8" i="25"/>
  <c r="AN8" i="25"/>
  <c r="AM9" i="25"/>
  <c r="AN9" i="25"/>
  <c r="AM10" i="25"/>
  <c r="AN10" i="25"/>
  <c r="AM11" i="25"/>
  <c r="AN11" i="25"/>
  <c r="AM12" i="25"/>
  <c r="AN12" i="25"/>
  <c r="AM13" i="25"/>
  <c r="AN13" i="25"/>
  <c r="AM14" i="25"/>
  <c r="AN14" i="25"/>
  <c r="AM15" i="25"/>
  <c r="AN15" i="25"/>
  <c r="AM16" i="25"/>
  <c r="AN16" i="25"/>
  <c r="AM17" i="25"/>
  <c r="AN17" i="25"/>
  <c r="AM18" i="25"/>
  <c r="AN18" i="25"/>
  <c r="AM19" i="25"/>
  <c r="AN19" i="25"/>
  <c r="AM20" i="25"/>
  <c r="AN20" i="25"/>
  <c r="AM21" i="25"/>
  <c r="AN21" i="25"/>
  <c r="AM22" i="25"/>
  <c r="AN22" i="25"/>
  <c r="AM23" i="25"/>
  <c r="AN23" i="25"/>
  <c r="AM24" i="25"/>
  <c r="AN24" i="25"/>
  <c r="AM25" i="25"/>
  <c r="AN25" i="25"/>
  <c r="AM26" i="25"/>
  <c r="AN26" i="25"/>
  <c r="AM27" i="25"/>
  <c r="AN27" i="25"/>
  <c r="AL4" i="25"/>
  <c r="AL5" i="25"/>
  <c r="AL6" i="25"/>
  <c r="AL7" i="25"/>
  <c r="AL8" i="25"/>
  <c r="AL9" i="25"/>
  <c r="AL10" i="25"/>
  <c r="AL11" i="25"/>
  <c r="AL12" i="25"/>
  <c r="AL13" i="25"/>
  <c r="AL14" i="25"/>
  <c r="AL15" i="25"/>
  <c r="AL16" i="25"/>
  <c r="AL17" i="25"/>
  <c r="AL18" i="25"/>
  <c r="AL19" i="25"/>
  <c r="AL20" i="25"/>
  <c r="AL21" i="25"/>
  <c r="AL22" i="25"/>
  <c r="AL23" i="25"/>
  <c r="AL24" i="25"/>
  <c r="AL25" i="25"/>
  <c r="AL26" i="25"/>
  <c r="AL27" i="25"/>
  <c r="AL3" i="25"/>
  <c r="J36" i="11"/>
  <c r="F44" i="26"/>
  <c r="F45" i="26"/>
  <c r="F46" i="26"/>
  <c r="F47" i="26"/>
  <c r="F48" i="26"/>
  <c r="F78" i="26"/>
  <c r="F79" i="26"/>
  <c r="F80" i="26"/>
  <c r="F81" i="26"/>
  <c r="F49" i="26"/>
  <c r="F50" i="26"/>
  <c r="F51" i="26"/>
  <c r="F52" i="26"/>
  <c r="F53" i="26"/>
  <c r="F54" i="26"/>
  <c r="F55" i="26"/>
  <c r="F56" i="26"/>
  <c r="F57" i="26"/>
  <c r="F58" i="26"/>
  <c r="F59" i="26"/>
  <c r="F60" i="26"/>
  <c r="F61" i="26"/>
  <c r="F62" i="26"/>
  <c r="F63" i="26"/>
  <c r="F64" i="26"/>
  <c r="F65" i="26"/>
  <c r="F66" i="26"/>
  <c r="F67" i="26"/>
  <c r="F68" i="26"/>
  <c r="F69" i="26"/>
  <c r="F70" i="26"/>
  <c r="F71" i="26"/>
  <c r="F72" i="26"/>
  <c r="F73" i="26"/>
  <c r="F74" i="26"/>
  <c r="F75" i="26"/>
  <c r="F76" i="26"/>
  <c r="F77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3" i="26"/>
  <c r="F5" i="26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2" i="26"/>
  <c r="J35" i="11"/>
  <c r="J34" i="11"/>
  <c r="J33" i="11"/>
  <c r="J32" i="11"/>
  <c r="E28" i="9"/>
  <c r="D28" i="9"/>
  <c r="A28" i="9"/>
  <c r="J31" i="11"/>
  <c r="E27" i="9"/>
  <c r="D27" i="9"/>
  <c r="A27" i="9"/>
  <c r="J30" i="11"/>
  <c r="E26" i="9"/>
  <c r="D26" i="9"/>
  <c r="A26" i="9"/>
  <c r="J29" i="11"/>
  <c r="E25" i="9"/>
  <c r="D25" i="9"/>
  <c r="A25" i="9"/>
  <c r="J28" i="11"/>
  <c r="E24" i="9"/>
  <c r="D24" i="9"/>
  <c r="A24" i="9"/>
  <c r="J27" i="11"/>
  <c r="E23" i="9"/>
  <c r="D23" i="9"/>
  <c r="A23" i="9"/>
  <c r="J26" i="11"/>
  <c r="J25" i="11"/>
  <c r="J24" i="11"/>
  <c r="E22" i="9"/>
  <c r="D22" i="9"/>
  <c r="A22" i="9"/>
  <c r="J23" i="11"/>
  <c r="E21" i="9"/>
  <c r="D21" i="9"/>
  <c r="A21" i="9"/>
  <c r="J22" i="11"/>
  <c r="D20" i="9"/>
  <c r="A20" i="9"/>
  <c r="J21" i="11"/>
  <c r="J20" i="11"/>
  <c r="E19" i="9"/>
  <c r="D19" i="9"/>
  <c r="A19" i="9"/>
  <c r="J19" i="11"/>
  <c r="D18" i="9"/>
  <c r="A18" i="9"/>
  <c r="J18" i="11"/>
  <c r="E17" i="9"/>
  <c r="D17" i="9"/>
  <c r="A17" i="9"/>
  <c r="J17" i="11"/>
  <c r="D16" i="9"/>
  <c r="A16" i="9"/>
  <c r="J16" i="11"/>
  <c r="E15" i="9"/>
  <c r="D15" i="9"/>
  <c r="A15" i="9"/>
  <c r="J15" i="11"/>
  <c r="E14" i="9"/>
  <c r="D14" i="9"/>
  <c r="A14" i="9"/>
  <c r="J14" i="11"/>
  <c r="J13" i="11"/>
  <c r="E13" i="9"/>
  <c r="D13" i="9"/>
  <c r="A13" i="9"/>
  <c r="J12" i="11"/>
  <c r="D12" i="9"/>
  <c r="A12" i="9"/>
  <c r="J11" i="11"/>
  <c r="E11" i="9"/>
  <c r="D11" i="9"/>
  <c r="A11" i="9"/>
  <c r="J10" i="11"/>
  <c r="D10" i="9"/>
  <c r="A10" i="9"/>
  <c r="J9" i="11"/>
  <c r="E9" i="9"/>
  <c r="D9" i="9"/>
  <c r="A9" i="9"/>
  <c r="J8" i="11"/>
  <c r="E8" i="9"/>
  <c r="D8" i="9"/>
  <c r="A8" i="9"/>
  <c r="J7" i="11"/>
  <c r="E7" i="9"/>
  <c r="D7" i="9"/>
  <c r="A7" i="9"/>
  <c r="J6" i="11"/>
  <c r="E6" i="9"/>
  <c r="D6" i="9"/>
  <c r="A6" i="9"/>
  <c r="J5" i="11"/>
  <c r="E5" i="9"/>
  <c r="D5" i="9"/>
  <c r="A5" i="9"/>
  <c r="J4" i="11"/>
  <c r="E4" i="9"/>
  <c r="D4" i="9"/>
  <c r="A4" i="9"/>
  <c r="J3" i="11"/>
  <c r="E3" i="9"/>
  <c r="D3" i="9"/>
  <c r="A3" i="9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R4" i="7"/>
  <c r="Q4" i="7"/>
  <c r="P4" i="7"/>
  <c r="O4" i="7"/>
  <c r="N4" i="7"/>
  <c r="H4" i="7"/>
  <c r="J4" i="7"/>
  <c r="I4" i="7"/>
  <c r="D4" i="7"/>
  <c r="F4" i="7"/>
  <c r="E4" i="7"/>
  <c r="A4" i="7"/>
  <c r="R3" i="7"/>
  <c r="Q3" i="7"/>
  <c r="P3" i="7"/>
  <c r="O3" i="7"/>
  <c r="N3" i="7"/>
  <c r="H3" i="7"/>
  <c r="J3" i="7"/>
  <c r="I3" i="7"/>
  <c r="D3" i="7"/>
  <c r="F3" i="7"/>
  <c r="E3" i="7"/>
  <c r="A3" i="7"/>
  <c r="AB9" i="1"/>
  <c r="AD9" i="1"/>
  <c r="AG9" i="1"/>
  <c r="AE9" i="1"/>
  <c r="AC9" i="1"/>
  <c r="V9" i="1"/>
  <c r="Q9" i="1"/>
  <c r="P9" i="1"/>
  <c r="O9" i="1"/>
  <c r="N9" i="1"/>
  <c r="M9" i="1"/>
  <c r="J9" i="1"/>
  <c r="I9" i="1"/>
  <c r="D9" i="1"/>
  <c r="F9" i="1"/>
  <c r="E9" i="1"/>
  <c r="A9" i="1"/>
  <c r="AB6" i="1"/>
  <c r="AD6" i="1"/>
  <c r="AG6" i="1"/>
  <c r="AE6" i="1"/>
  <c r="AC6" i="1"/>
  <c r="V6" i="1"/>
  <c r="Q6" i="1"/>
  <c r="P6" i="1"/>
  <c r="O6" i="1"/>
  <c r="N6" i="1"/>
  <c r="M6" i="1"/>
  <c r="J6" i="1"/>
  <c r="I6" i="1"/>
  <c r="D6" i="1"/>
  <c r="F6" i="1"/>
  <c r="E6" i="1"/>
  <c r="A6" i="1"/>
  <c r="AB3" i="1"/>
  <c r="AD3" i="1"/>
  <c r="AG3" i="1"/>
  <c r="AE3" i="1"/>
  <c r="AC3" i="1"/>
  <c r="Q3" i="1"/>
  <c r="P3" i="1"/>
  <c r="O3" i="1"/>
  <c r="N3" i="1"/>
  <c r="M3" i="1"/>
  <c r="J3" i="1"/>
  <c r="I3" i="1"/>
  <c r="D3" i="1"/>
  <c r="F3" i="1"/>
  <c r="E3" i="1"/>
  <c r="A3" i="1"/>
  <c r="AB10" i="1"/>
  <c r="AD10" i="1"/>
  <c r="AG10" i="1"/>
  <c r="AE10" i="1"/>
  <c r="AC10" i="1"/>
  <c r="V10" i="1"/>
  <c r="Q10" i="1"/>
  <c r="P10" i="1"/>
  <c r="O10" i="1"/>
  <c r="N10" i="1"/>
  <c r="M10" i="1"/>
  <c r="J10" i="1"/>
  <c r="I10" i="1"/>
  <c r="D10" i="1"/>
  <c r="F10" i="1"/>
  <c r="E10" i="1"/>
  <c r="A10" i="1"/>
  <c r="AB8" i="1"/>
  <c r="AD8" i="1"/>
  <c r="AG8" i="1"/>
  <c r="AE8" i="1"/>
  <c r="AC8" i="1"/>
  <c r="V8" i="1"/>
  <c r="Q8" i="1"/>
  <c r="P8" i="1"/>
  <c r="O8" i="1"/>
  <c r="N8" i="1"/>
  <c r="M8" i="1"/>
  <c r="J8" i="1"/>
  <c r="I8" i="1"/>
  <c r="D8" i="1"/>
  <c r="F8" i="1"/>
  <c r="E8" i="1"/>
  <c r="A8" i="1"/>
  <c r="AB7" i="1"/>
  <c r="AD7" i="1"/>
  <c r="AG7" i="1"/>
  <c r="AE7" i="1"/>
  <c r="AC7" i="1"/>
  <c r="V7" i="1"/>
  <c r="Q7" i="1"/>
  <c r="P7" i="1"/>
  <c r="O7" i="1"/>
  <c r="N7" i="1"/>
  <c r="M7" i="1"/>
  <c r="J7" i="1"/>
  <c r="I7" i="1"/>
  <c r="D7" i="1"/>
  <c r="F7" i="1"/>
  <c r="E7" i="1"/>
  <c r="A7" i="1"/>
  <c r="N6" i="2"/>
  <c r="M6" i="2"/>
  <c r="L6" i="2"/>
  <c r="H6" i="2"/>
  <c r="E6" i="2"/>
  <c r="D6" i="2"/>
  <c r="B6" i="2"/>
  <c r="N5" i="2"/>
  <c r="M5" i="2"/>
  <c r="L5" i="2"/>
  <c r="H5" i="2"/>
  <c r="E5" i="2"/>
  <c r="D5" i="2"/>
  <c r="B5" i="2"/>
  <c r="N4" i="2"/>
  <c r="M4" i="2"/>
  <c r="L4" i="2"/>
  <c r="H4" i="2"/>
  <c r="E4" i="2"/>
  <c r="D4" i="2"/>
  <c r="B4" i="2"/>
  <c r="N3" i="2"/>
  <c r="M3" i="2"/>
  <c r="L3" i="2"/>
  <c r="H3" i="2"/>
  <c r="E3" i="2"/>
  <c r="D3" i="2"/>
  <c r="B3" i="2"/>
  <c r="E8" i="16"/>
  <c r="E9" i="16"/>
  <c r="E5" i="16"/>
  <c r="E6" i="16"/>
  <c r="E7" i="16"/>
  <c r="L2" i="2"/>
  <c r="E4" i="16"/>
  <c r="E2" i="24"/>
  <c r="B2" i="24"/>
  <c r="D2" i="2"/>
  <c r="F2" i="24"/>
  <c r="C2" i="24"/>
  <c r="E2" i="2"/>
  <c r="C22" i="16"/>
  <c r="C23" i="16"/>
  <c r="E23" i="16"/>
  <c r="E22" i="16"/>
  <c r="C20" i="16"/>
  <c r="E20" i="16"/>
  <c r="C21" i="16"/>
  <c r="E21" i="16"/>
  <c r="N2" i="2"/>
  <c r="M2" i="2"/>
  <c r="E3" i="16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C19" i="16"/>
  <c r="B2" i="21"/>
  <c r="I2" i="21"/>
  <c r="J2" i="21"/>
  <c r="G2" i="21"/>
  <c r="F2" i="21"/>
  <c r="D2" i="21"/>
  <c r="C2" i="21"/>
  <c r="E19" i="16"/>
  <c r="C17" i="16"/>
  <c r="C18" i="16"/>
  <c r="E18" i="16"/>
  <c r="E17" i="16"/>
  <c r="A2" i="18"/>
  <c r="C2" i="18"/>
  <c r="D2" i="18"/>
  <c r="J2" i="11"/>
  <c r="O2" i="9"/>
  <c r="N2" i="9"/>
  <c r="M2" i="9"/>
  <c r="L2" i="9"/>
  <c r="K2" i="9"/>
  <c r="J2" i="9"/>
  <c r="I2" i="9"/>
  <c r="H2" i="9"/>
  <c r="G2" i="9"/>
  <c r="D2" i="9"/>
  <c r="C11" i="16"/>
  <c r="C12" i="16"/>
  <c r="C13" i="16"/>
  <c r="C14" i="16"/>
  <c r="C15" i="16"/>
  <c r="C16" i="16"/>
  <c r="C10" i="16"/>
  <c r="E16" i="16"/>
  <c r="R2" i="7"/>
  <c r="Q2" i="7"/>
  <c r="P2" i="7"/>
  <c r="O2" i="7"/>
  <c r="N2" i="7"/>
  <c r="AB4" i="1"/>
  <c r="AE4" i="1"/>
  <c r="AD4" i="1"/>
  <c r="AC4" i="1"/>
  <c r="AB2" i="1"/>
  <c r="AE2" i="1"/>
  <c r="AD2" i="1"/>
  <c r="AC2" i="1"/>
  <c r="V4" i="1"/>
  <c r="Q4" i="1"/>
  <c r="P4" i="1"/>
  <c r="O4" i="1"/>
  <c r="N4" i="1"/>
  <c r="M4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15" i="16"/>
  <c r="E14" i="16"/>
  <c r="E13" i="16"/>
  <c r="E12" i="16"/>
  <c r="E11" i="16"/>
  <c r="E10" i="16"/>
  <c r="E2" i="16"/>
  <c r="A4" i="1"/>
  <c r="A2" i="1"/>
  <c r="AG4" i="1"/>
  <c r="A2" i="9"/>
  <c r="J4" i="1"/>
  <c r="I4" i="1"/>
  <c r="D4" i="1"/>
  <c r="F4" i="1"/>
  <c r="E4" i="1"/>
  <c r="A2" i="7"/>
  <c r="I2" i="7"/>
  <c r="D2" i="7"/>
  <c r="F2" i="7"/>
  <c r="E2" i="7"/>
  <c r="J2" i="1"/>
  <c r="I2" i="1"/>
  <c r="H2" i="2"/>
  <c r="D2" i="1"/>
  <c r="E2" i="1"/>
  <c r="F2" i="1"/>
  <c r="B2" i="2"/>
  <c r="D11" i="27"/>
  <c r="E11" i="27"/>
  <c r="AE38" i="27"/>
  <c r="AF38" i="27"/>
  <c r="D12" i="27"/>
  <c r="E12" i="27"/>
  <c r="AE39" i="27"/>
  <c r="AF39" i="27"/>
  <c r="E5" i="27"/>
  <c r="AE7" i="27"/>
  <c r="AF6" i="27"/>
  <c r="AE6" i="27"/>
  <c r="D3" i="27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2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  <comment ref="J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  <comment ref="T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3.xml><?xml version="1.0" encoding="utf-8"?>
<comments xmlns="http://schemas.openxmlformats.org/spreadsheetml/2006/main">
  <authors>
    <author>Microsoft Office ユーザー</author>
  </authors>
  <commentList>
    <comment ref="S8" authorId="0">
      <text>
        <r>
          <rPr>
            <b/>
            <sz val="11"/>
            <color indexed="81"/>
            <rFont val="ＭＳ Ｐゴシック"/>
            <family val="3"/>
            <charset val="128"/>
          </rPr>
          <t>Microsoft Office ユーザー:</t>
        </r>
        <r>
          <rPr>
            <sz val="11"/>
            <color indexed="81"/>
            <rFont val="ＭＳ Ｐゴシック"/>
            <family val="3"/>
            <charset val="128"/>
          </rPr>
          <t xml:space="preserve">
データは1だが見出しは2になっていた
excel上では修正</t>
        </r>
      </text>
    </comment>
  </commentList>
</comments>
</file>

<file path=xl/comments4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5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6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7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8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9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<sst xmlns="http://schemas.openxmlformats.org/spreadsheetml/2006/main" count="1071" uniqueCount="470">
  <si>
    <t>quest_id</t>
  </si>
  <si>
    <t>stage_id</t>
  </si>
  <si>
    <t>character_id</t>
  </si>
  <si>
    <t>level</t>
  </si>
  <si>
    <t>skill_set_id</t>
    <phoneticPr fontId="7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</si>
  <si>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</si>
  <si>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</si>
  <si>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</si>
  <si>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</si>
  <si>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</si>
  <si>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</si>
  <si>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</si>
  <si>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</si>
  <si>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</si>
  <si>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</si>
  <si>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</si>
  <si>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7"/>
  </si>
  <si>
    <t>rare</t>
    <phoneticPr fontId="7"/>
  </si>
  <si>
    <t>name</t>
    <phoneticPr fontId="7"/>
  </si>
  <si>
    <t>floor_id</t>
    <phoneticPr fontId="7"/>
  </si>
  <si>
    <t>name</t>
    <phoneticPr fontId="7"/>
  </si>
  <si>
    <t>name</t>
    <phoneticPr fontId="7"/>
  </si>
  <si>
    <t>skill_set_id</t>
  </si>
  <si>
    <t>drop_label</t>
    <phoneticPr fontId="7"/>
  </si>
  <si>
    <t>color</t>
    <phoneticPr fontId="7"/>
  </si>
  <si>
    <t>size</t>
    <phoneticPr fontId="7"/>
  </si>
  <si>
    <t>character_main_tribe_id</t>
    <phoneticPr fontId="7"/>
  </si>
  <si>
    <t>drop_label</t>
    <phoneticPr fontId="9"/>
  </si>
  <si>
    <t>temp_stage</t>
    <phoneticPr fontId="7"/>
  </si>
  <si>
    <t>temp_habitats</t>
    <phoneticPr fontId="7"/>
  </si>
  <si>
    <t>temp_floor</t>
    <phoneticPr fontId="7"/>
  </si>
  <si>
    <t>スキル</t>
    <phoneticPr fontId="7"/>
  </si>
  <si>
    <t>temp_stage</t>
    <phoneticPr fontId="7"/>
  </si>
  <si>
    <t>位置付け</t>
    <rPh sb="0" eb="3">
      <t>イチヅ</t>
    </rPh>
    <phoneticPr fontId="7"/>
  </si>
  <si>
    <t>name</t>
    <phoneticPr fontId="7"/>
  </si>
  <si>
    <t>temp_floor</t>
    <phoneticPr fontId="7"/>
  </si>
  <si>
    <t>status</t>
    <phoneticPr fontId="7"/>
  </si>
  <si>
    <t>hp_plus</t>
  </si>
  <si>
    <t>hp_plus</t>
    <phoneticPr fontId="7"/>
  </si>
  <si>
    <t>attack_plus</t>
  </si>
  <si>
    <t>attack_plus</t>
    <phoneticPr fontId="7"/>
  </si>
  <si>
    <t>defense_plus</t>
  </si>
  <si>
    <t>defense_plus</t>
    <phoneticPr fontId="7"/>
  </si>
  <si>
    <t>heal_plus</t>
  </si>
  <si>
    <t>heal_plus</t>
    <phoneticPr fontId="7"/>
  </si>
  <si>
    <t>bug</t>
  </si>
  <si>
    <t>bug</t>
    <phoneticPr fontId="7"/>
  </si>
  <si>
    <t>hp_coefficient</t>
  </si>
  <si>
    <t>hp_coefficient</t>
    <phoneticPr fontId="7"/>
  </si>
  <si>
    <t>attack_coefficient</t>
  </si>
  <si>
    <t>attack_coefficient</t>
    <phoneticPr fontId="7"/>
  </si>
  <si>
    <t>defense_correction</t>
  </si>
  <si>
    <t>defense_correction</t>
    <phoneticPr fontId="7"/>
  </si>
  <si>
    <t>null</t>
    <phoneticPr fontId="7"/>
  </si>
  <si>
    <t>seq_no</t>
    <phoneticPr fontId="7"/>
  </si>
  <si>
    <t>state_no</t>
    <phoneticPr fontId="7"/>
  </si>
  <si>
    <t>character_id</t>
    <phoneticPr fontId="7"/>
  </si>
  <si>
    <t>level</t>
    <phoneticPr fontId="7"/>
  </si>
  <si>
    <t>speed</t>
    <phoneticPr fontId="7"/>
  </si>
  <si>
    <t>skill_set_id</t>
    <phoneticPr fontId="7"/>
  </si>
  <si>
    <t>temp_id</t>
    <phoneticPr fontId="7"/>
  </si>
  <si>
    <t>skill_set_id</t>
    <phoneticPr fontId="9"/>
  </si>
  <si>
    <t>skill_id</t>
    <phoneticPr fontId="9"/>
  </si>
  <si>
    <t>name</t>
    <phoneticPr fontId="9"/>
  </si>
  <si>
    <t>comment</t>
    <phoneticPr fontId="9"/>
  </si>
  <si>
    <t>skill_trigger_id</t>
    <phoneticPr fontId="9"/>
  </si>
  <si>
    <t>first_time</t>
    <phoneticPr fontId="7"/>
  </si>
  <si>
    <t>priority</t>
    <phoneticPr fontId="7"/>
  </si>
  <si>
    <t>priority</t>
    <phoneticPr fontId="7"/>
  </si>
  <si>
    <t>invoke_rate</t>
    <phoneticPr fontId="7"/>
  </si>
  <si>
    <t>hp_threshold</t>
    <phoneticPr fontId="7"/>
  </si>
  <si>
    <t>hp_termination</t>
    <phoneticPr fontId="7"/>
  </si>
  <si>
    <t>invoke_times</t>
    <phoneticPr fontId="7"/>
  </si>
  <si>
    <t>every_time_count</t>
    <phoneticPr fontId="7"/>
  </si>
  <si>
    <t>neighbor_dead_id</t>
    <phoneticPr fontId="7"/>
  </si>
  <si>
    <t>invoke_weight</t>
    <phoneticPr fontId="7"/>
  </si>
  <si>
    <t>作成者</t>
    <rPh sb="0" eb="3">
      <t>サクセイシャ</t>
    </rPh>
    <phoneticPr fontId="7"/>
  </si>
  <si>
    <t>更新日</t>
    <rPh sb="0" eb="3">
      <t>コウシンニチジ</t>
    </rPh>
    <phoneticPr fontId="7"/>
  </si>
  <si>
    <t>備考（使用箇所）</t>
    <rPh sb="0" eb="2">
      <t>ビコウ</t>
    </rPh>
    <rPh sb="3" eb="7">
      <t>シヨウカショ</t>
    </rPh>
    <phoneticPr fontId="7"/>
  </si>
  <si>
    <t>enemy_skill_id</t>
  </si>
  <si>
    <t>effect_param</t>
    <phoneticPr fontId="7"/>
  </si>
  <si>
    <t>valid_flg</t>
  </si>
  <si>
    <t>name</t>
    <phoneticPr fontId="9"/>
  </si>
  <si>
    <t>comment</t>
    <phoneticPr fontId="9"/>
  </si>
  <si>
    <t>skill_trigger_id</t>
    <phoneticPr fontId="9"/>
  </si>
  <si>
    <t>first_time</t>
    <phoneticPr fontId="7"/>
  </si>
  <si>
    <t>priority</t>
    <phoneticPr fontId="7"/>
  </si>
  <si>
    <t>invoke_rate</t>
    <phoneticPr fontId="7"/>
  </si>
  <si>
    <t>重複チェック</t>
    <rPh sb="0" eb="2">
      <t>チョウフク</t>
    </rPh>
    <phoneticPr fontId="7"/>
  </si>
  <si>
    <t>null</t>
    <phoneticPr fontId="7"/>
  </si>
  <si>
    <t>enemy_skills</t>
    <phoneticPr fontId="7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</si>
  <si>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</si>
  <si>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</si>
  <si>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</si>
  <si>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</si>
  <si>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</si>
  <si>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</si>
  <si>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</si>
  <si>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</si>
  <si>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</si>
  <si>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7"/>
  </si>
  <si>
    <t>識別子</t>
    <rPh sb="0" eb="3">
      <t>シキベツシ</t>
    </rPh>
    <phoneticPr fontId="7"/>
  </si>
  <si>
    <t>形式</t>
    <rPh sb="0" eb="2">
      <t>ケイシキ</t>
    </rPh>
    <phoneticPr fontId="7"/>
  </si>
  <si>
    <t>出力ファイル名</t>
    <rPh sb="0" eb="2">
      <t>シュツリョク</t>
    </rPh>
    <rPh sb="6" eb="7">
      <t>メイ</t>
    </rPh>
    <phoneticPr fontId="7"/>
  </si>
  <si>
    <t>入力シート名</t>
    <rPh sb="0" eb="2">
      <t>ニュウリョク</t>
    </rPh>
    <rPh sb="5" eb="6">
      <t>メイ</t>
    </rPh>
    <phoneticPr fontId="7"/>
  </si>
  <si>
    <t>出力データ</t>
    <rPh sb="0" eb="2">
      <t>シュツリョク</t>
    </rPh>
    <phoneticPr fontId="7"/>
  </si>
  <si>
    <t>floors_</t>
    <phoneticPr fontId="7"/>
  </si>
  <si>
    <t>.tmp</t>
    <phoneticPr fontId="7"/>
  </si>
  <si>
    <t>floors</t>
    <phoneticPr fontId="7"/>
  </si>
  <si>
    <t>enemy_habitats_</t>
    <phoneticPr fontId="7"/>
  </si>
  <si>
    <t>enemy_habitats</t>
    <phoneticPr fontId="7"/>
  </si>
  <si>
    <t>enemy_habitat_S_</t>
    <phoneticPr fontId="7"/>
  </si>
  <si>
    <t>enemy_habitat_S</t>
    <phoneticPr fontId="7"/>
  </si>
  <si>
    <t>enemy_skill_sets_</t>
    <phoneticPr fontId="7"/>
  </si>
  <si>
    <t>enemy_skill_sets</t>
    <phoneticPr fontId="7"/>
  </si>
  <si>
    <t>enemy_skills_tmp_</t>
    <phoneticPr fontId="7"/>
  </si>
  <si>
    <t>.tmp</t>
    <phoneticPr fontId="7"/>
  </si>
  <si>
    <t>enemy_skills_i18n_</t>
    <phoneticPr fontId="7"/>
  </si>
  <si>
    <t>enemy_skills</t>
    <phoneticPr fontId="7"/>
  </si>
  <si>
    <t>enemy_skill_triggers_</t>
    <phoneticPr fontId="7"/>
  </si>
  <si>
    <t>.tmp</t>
    <phoneticPr fontId="7"/>
  </si>
  <si>
    <t>enemy_skill_triggers</t>
    <phoneticPr fontId="7"/>
  </si>
  <si>
    <t>hp_termination</t>
    <phoneticPr fontId="7"/>
  </si>
  <si>
    <t>invoke_weight</t>
    <phoneticPr fontId="7"/>
  </si>
  <si>
    <t>every_time_count</t>
    <phoneticPr fontId="7"/>
  </si>
  <si>
    <t>neighbor_dead_id</t>
    <phoneticPr fontId="7"/>
  </si>
  <si>
    <t>language</t>
    <phoneticPr fontId="7"/>
  </si>
  <si>
    <t>ja</t>
    <phoneticPr fontId="7"/>
  </si>
  <si>
    <t>skill_set_id</t>
    <phoneticPr fontId="7"/>
  </si>
  <si>
    <t>スキル</t>
    <phoneticPr fontId="7"/>
  </si>
  <si>
    <t>出力flg</t>
    <rPh sb="0" eb="2">
      <t>シュツリョク</t>
    </rPh>
    <phoneticPr fontId="7"/>
  </si>
  <si>
    <t>中間文字列１</t>
    <rPh sb="0" eb="2">
      <t>チュウカン</t>
    </rPh>
    <rPh sb="2" eb="5">
      <t>モジレツ</t>
    </rPh>
    <phoneticPr fontId="7"/>
  </si>
  <si>
    <t>効果１文字列</t>
    <rPh sb="0" eb="2">
      <t>コウカ</t>
    </rPh>
    <rPh sb="3" eb="6">
      <t>モジレツ</t>
    </rPh>
    <phoneticPr fontId="7"/>
  </si>
  <si>
    <t>効果１簡易デコード</t>
    <rPh sb="0" eb="2">
      <t>コウカ</t>
    </rPh>
    <rPh sb="3" eb="5">
      <t>カンイ</t>
    </rPh>
    <phoneticPr fontId="7"/>
  </si>
  <si>
    <t>効果２文字列</t>
    <rPh sb="0" eb="2">
      <t>コウカ</t>
    </rPh>
    <rPh sb="3" eb="6">
      <t>モジレツ</t>
    </rPh>
    <phoneticPr fontId="7"/>
  </si>
  <si>
    <t>効果２簡易デコード</t>
    <rPh sb="0" eb="2">
      <t>コウカ</t>
    </rPh>
    <rPh sb="3" eb="5">
      <t>カンイ</t>
    </rPh>
    <phoneticPr fontId="7"/>
  </si>
  <si>
    <t>効果３文字列</t>
    <rPh sb="0" eb="2">
      <t>コウカ</t>
    </rPh>
    <rPh sb="3" eb="6">
      <t>モジレツ</t>
    </rPh>
    <phoneticPr fontId="7"/>
  </si>
  <si>
    <t>効果３簡易デコード</t>
    <rPh sb="0" eb="2">
      <t>コウカ</t>
    </rPh>
    <rPh sb="3" eb="5">
      <t>カンイ</t>
    </rPh>
    <phoneticPr fontId="7"/>
  </si>
  <si>
    <t>効果１efect位置</t>
    <rPh sb="0" eb="2">
      <t>コウカ</t>
    </rPh>
    <rPh sb="8" eb="10">
      <t>イチ</t>
    </rPh>
    <phoneticPr fontId="7"/>
  </si>
  <si>
    <t>効果１target位置</t>
    <rPh sb="0" eb="2">
      <t>コウカ</t>
    </rPh>
    <rPh sb="9" eb="11">
      <t>イチ</t>
    </rPh>
    <phoneticPr fontId="7"/>
  </si>
  <si>
    <t>効果1終了位置</t>
    <rPh sb="0" eb="2">
      <t>コウカ</t>
    </rPh>
    <rPh sb="3" eb="5">
      <t>シュウリョウ</t>
    </rPh>
    <rPh sb="5" eb="7">
      <t>イチ</t>
    </rPh>
    <phoneticPr fontId="7"/>
  </si>
  <si>
    <t>効果1target終了位置</t>
    <rPh sb="0" eb="2">
      <t>コウカ</t>
    </rPh>
    <rPh sb="9" eb="11">
      <t>シュウリョウ</t>
    </rPh>
    <rPh sb="11" eb="13">
      <t>イチ</t>
    </rPh>
    <phoneticPr fontId="7"/>
  </si>
  <si>
    <t>効果2efect位置</t>
    <rPh sb="0" eb="2">
      <t>コウカ</t>
    </rPh>
    <rPh sb="8" eb="10">
      <t>イチ</t>
    </rPh>
    <phoneticPr fontId="7"/>
  </si>
  <si>
    <t>効果2終了位置</t>
    <rPh sb="0" eb="2">
      <t>コウカ</t>
    </rPh>
    <rPh sb="3" eb="5">
      <t>シュウリョウ</t>
    </rPh>
    <rPh sb="5" eb="7">
      <t>イチ</t>
    </rPh>
    <phoneticPr fontId="7"/>
  </si>
  <si>
    <t>効果2target位置</t>
    <rPh sb="0" eb="2">
      <t>コウカ</t>
    </rPh>
    <rPh sb="9" eb="11">
      <t>イチ</t>
    </rPh>
    <phoneticPr fontId="7"/>
  </si>
  <si>
    <t>効果2target終了位置</t>
    <rPh sb="0" eb="2">
      <t>コウカ</t>
    </rPh>
    <rPh sb="9" eb="11">
      <t>シュウリョウ</t>
    </rPh>
    <rPh sb="11" eb="13">
      <t>イチ</t>
    </rPh>
    <phoneticPr fontId="7"/>
  </si>
  <si>
    <t>効果3efect位置</t>
    <rPh sb="0" eb="2">
      <t>コウカ</t>
    </rPh>
    <rPh sb="8" eb="10">
      <t>イチ</t>
    </rPh>
    <phoneticPr fontId="7"/>
  </si>
  <si>
    <t>効果3終了位置</t>
    <rPh sb="0" eb="2">
      <t>コウカ</t>
    </rPh>
    <rPh sb="3" eb="5">
      <t>シュウリョウ</t>
    </rPh>
    <rPh sb="5" eb="7">
      <t>イチ</t>
    </rPh>
    <phoneticPr fontId="7"/>
  </si>
  <si>
    <t>効果3target位置</t>
    <rPh sb="0" eb="2">
      <t>コウカ</t>
    </rPh>
    <rPh sb="9" eb="11">
      <t>イチ</t>
    </rPh>
    <phoneticPr fontId="7"/>
  </si>
  <si>
    <t>効果3target終了位置</t>
    <rPh sb="0" eb="2">
      <t>コウカ</t>
    </rPh>
    <rPh sb="9" eb="11">
      <t>シュウリョウ</t>
    </rPh>
    <rPh sb="11" eb="13">
      <t>イチ</t>
    </rPh>
    <phoneticPr fontId="7"/>
  </si>
  <si>
    <t>quest_id</t>
    <phoneticPr fontId="7"/>
  </si>
  <si>
    <t>stage_id</t>
    <phoneticPr fontId="7"/>
  </si>
  <si>
    <t>temp_stage</t>
    <phoneticPr fontId="9"/>
  </si>
  <si>
    <t>stage_target</t>
    <phoneticPr fontId="7"/>
  </si>
  <si>
    <t>bonus_id</t>
    <phoneticPr fontId="7"/>
  </si>
  <si>
    <t>bonus_type</t>
    <phoneticPr fontId="7"/>
  </si>
  <si>
    <t>bonus_value</t>
    <phoneticPr fontId="7"/>
  </si>
  <si>
    <t>bonus_count</t>
    <phoneticPr fontId="7"/>
  </si>
  <si>
    <t>level</t>
    <phoneticPr fontId="7"/>
  </si>
  <si>
    <t>skill_level</t>
    <phoneticPr fontId="7"/>
  </si>
  <si>
    <t>hp_plus</t>
    <phoneticPr fontId="7"/>
  </si>
  <si>
    <t>attack_plus</t>
    <phoneticPr fontId="7"/>
  </si>
  <si>
    <t>defense_plus</t>
    <phoneticPr fontId="7"/>
  </si>
  <si>
    <t>heal_plus</t>
    <phoneticPr fontId="7"/>
  </si>
  <si>
    <t>bug</t>
    <phoneticPr fontId="7"/>
  </si>
  <si>
    <t>weight</t>
    <phoneticPr fontId="7"/>
  </si>
  <si>
    <t>definite_start_date</t>
    <phoneticPr fontId="7"/>
  </si>
  <si>
    <t>definite_end_date</t>
    <phoneticPr fontId="7"/>
  </si>
  <si>
    <t>bit</t>
  </si>
  <si>
    <t>null</t>
    <phoneticPr fontId="7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</si>
  <si>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</si>
  <si>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</si>
  <si>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7"/>
  </si>
  <si>
    <t>bugbonuses</t>
    <phoneticPr fontId="7"/>
  </si>
  <si>
    <t>stage_id</t>
    <phoneticPr fontId="7"/>
  </si>
  <si>
    <t>stage_target</t>
    <phoneticPr fontId="7"/>
  </si>
  <si>
    <t>bonus_id</t>
    <phoneticPr fontId="7"/>
  </si>
  <si>
    <t>bonus_type</t>
    <phoneticPr fontId="7"/>
  </si>
  <si>
    <t>stage_bug_bonuses_</t>
    <phoneticPr fontId="7"/>
  </si>
  <si>
    <t>skill_level</t>
    <phoneticPr fontId="7"/>
  </si>
  <si>
    <t>skill_level</t>
    <phoneticPr fontId="7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</si>
  <si>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7"/>
  </si>
  <si>
    <t>quest_id</t>
    <phoneticPr fontId="7"/>
  </si>
  <si>
    <t>hint_id</t>
    <phoneticPr fontId="7"/>
  </si>
  <si>
    <t>floor_id</t>
    <phoneticPr fontId="7"/>
  </si>
  <si>
    <t>hint_type</t>
    <phoneticPr fontId="7"/>
  </si>
  <si>
    <t>hint</t>
    <phoneticPr fontId="7"/>
  </si>
  <si>
    <t>title</t>
    <phoneticPr fontId="7"/>
  </si>
  <si>
    <t>hint_type</t>
    <phoneticPr fontId="7"/>
  </si>
  <si>
    <t>quest_id</t>
    <phoneticPr fontId="7"/>
  </si>
  <si>
    <t>name</t>
    <phoneticPr fontId="7"/>
  </si>
  <si>
    <t>stage_id</t>
    <phoneticPr fontId="7"/>
  </si>
  <si>
    <t>name</t>
    <phoneticPr fontId="7"/>
  </si>
  <si>
    <t>floor_id</t>
    <phoneticPr fontId="7"/>
  </si>
  <si>
    <t>tmp_hint_id</t>
    <phoneticPr fontId="7"/>
  </si>
  <si>
    <t>hint_id</t>
    <phoneticPr fontId="7"/>
  </si>
  <si>
    <t>filename</t>
    <phoneticPr fontId="7"/>
  </si>
  <si>
    <t>failure</t>
  </si>
  <si>
    <t>ja</t>
    <phoneticPr fontId="7"/>
  </si>
  <si>
    <t>攻略のヒント</t>
    <rPh sb="0" eb="2">
      <t>コウリャク</t>
    </rPh>
    <phoneticPr fontId="7"/>
  </si>
  <si>
    <t>NULL</t>
    <phoneticPr fontId="7"/>
  </si>
  <si>
    <t>complete</t>
  </si>
  <si>
    <t>敵が強すぎます</t>
    <rPh sb="0" eb="2">
      <t>テk</t>
    </rPh>
    <rPh sb="2" eb="7">
      <t>ツヨs</t>
    </rPh>
    <phoneticPr fontId="7"/>
  </si>
  <si>
    <t>stage_hints_data_c_</t>
    <phoneticPr fontId="7"/>
  </si>
  <si>
    <t>stage_hints_data_f_</t>
    <phoneticPr fontId="7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</si>
  <si>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7"/>
  </si>
  <si>
    <t>hint_id</t>
    <phoneticPr fontId="7"/>
  </si>
  <si>
    <t>language</t>
    <phoneticPr fontId="7"/>
  </si>
  <si>
    <t>hint</t>
    <phoneticPr fontId="7"/>
  </si>
  <si>
    <t>filename</t>
  </si>
  <si>
    <t>title</t>
    <phoneticPr fontId="7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</si>
  <si>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7"/>
  </si>
  <si>
    <t>NULL</t>
    <phoneticPr fontId="7"/>
  </si>
  <si>
    <t>stage_hints_failure</t>
    <phoneticPr fontId="7"/>
  </si>
  <si>
    <t>stage_hints_failure</t>
    <phoneticPr fontId="7"/>
  </si>
  <si>
    <t>param_code_damage_givn</t>
    <phoneticPr fontId="7"/>
  </si>
  <si>
    <t>param_code_damage_received</t>
    <phoneticPr fontId="7"/>
  </si>
  <si>
    <t>param_code_clear_turn</t>
    <phoneticPr fontId="7"/>
  </si>
  <si>
    <t>upper_ranking</t>
    <phoneticPr fontId="7"/>
  </si>
  <si>
    <t>lower_ranking</t>
    <phoneticPr fontId="7"/>
  </si>
  <si>
    <t>gift_id</t>
    <phoneticPr fontId="7"/>
  </si>
  <si>
    <t>gift_type</t>
    <phoneticPr fontId="9"/>
  </si>
  <si>
    <t>gift_value</t>
    <phoneticPr fontId="9"/>
  </si>
  <si>
    <t>gift_count</t>
    <phoneticPr fontId="9"/>
  </si>
  <si>
    <t>language</t>
    <phoneticPr fontId="9"/>
  </si>
  <si>
    <t>title</t>
    <phoneticPr fontId="9"/>
  </si>
  <si>
    <t>detail</t>
    <phoneticPr fontId="9"/>
  </si>
  <si>
    <t>message</t>
    <phoneticPr fontId="9"/>
  </si>
  <si>
    <t>temp_gift_id</t>
    <phoneticPr fontId="7"/>
  </si>
  <si>
    <t>unit</t>
    <phoneticPr fontId="9"/>
  </si>
  <si>
    <t>ja</t>
    <phoneticPr fontId="9"/>
  </si>
  <si>
    <t>ranking_ACH_</t>
    <phoneticPr fontId="7"/>
  </si>
  <si>
    <t>ranking_ACH</t>
    <phoneticPr fontId="7"/>
  </si>
  <si>
    <t>quest_id</t>
    <phoneticPr fontId="7"/>
  </si>
  <si>
    <t>upper_ranking</t>
    <phoneticPr fontId="7"/>
  </si>
  <si>
    <t>lower_ranking</t>
    <phoneticPr fontId="7"/>
  </si>
  <si>
    <t>gift_id</t>
    <phoneticPr fontId="7"/>
  </si>
  <si>
    <t>gifts_tmp_</t>
    <phoneticPr fontId="9"/>
  </si>
  <si>
    <t>gift_id</t>
    <phoneticPr fontId="9"/>
  </si>
  <si>
    <t>gifts_i18n_</t>
    <phoneticPr fontId="9"/>
  </si>
  <si>
    <t>title</t>
    <phoneticPr fontId="9"/>
  </si>
  <si>
    <t>detail</t>
    <phoneticPr fontId="9"/>
  </si>
  <si>
    <t>ranking_floors_</t>
    <phoneticPr fontId="7"/>
  </si>
  <si>
    <t>ranking_stages_</t>
    <phoneticPr fontId="7"/>
  </si>
  <si>
    <t>clear_bonus</t>
    <phoneticPr fontId="7"/>
  </si>
  <si>
    <t>ranking_stages</t>
    <phoneticPr fontId="7"/>
  </si>
  <si>
    <t>param_code</t>
    <phoneticPr fontId="7"/>
  </si>
  <si>
    <t>x</t>
    <phoneticPr fontId="7"/>
  </si>
  <si>
    <t>a</t>
    <phoneticPr fontId="7"/>
  </si>
  <si>
    <t>b</t>
    <phoneticPr fontId="7"/>
  </si>
  <si>
    <t>clear_turn_</t>
    <phoneticPr fontId="7"/>
  </si>
  <si>
    <t>damage_give_</t>
    <phoneticPr fontId="7"/>
  </si>
  <si>
    <t>damage_receive</t>
    <phoneticPr fontId="7"/>
  </si>
  <si>
    <t>damage_receive_</t>
    <phoneticPr fontId="7"/>
  </si>
  <si>
    <t>clear_turn</t>
    <phoneticPr fontId="7"/>
  </si>
  <si>
    <t>damege_give</t>
    <phoneticPr fontId="7"/>
  </si>
  <si>
    <t>evaluation_id</t>
    <phoneticPr fontId="7"/>
  </si>
  <si>
    <t>quest_id</t>
    <phoneticPr fontId="7"/>
  </si>
  <si>
    <t>stage_id</t>
    <phoneticPr fontId="7"/>
  </si>
  <si>
    <t>score</t>
    <phoneticPr fontId="7"/>
  </si>
  <si>
    <t>language</t>
    <phoneticPr fontId="7"/>
  </si>
  <si>
    <t>evaluation</t>
    <phoneticPr fontId="7"/>
  </si>
  <si>
    <t>animation_file_name</t>
    <phoneticPr fontId="7"/>
  </si>
  <si>
    <t>ranking_eval_data_</t>
    <phoneticPr fontId="7"/>
  </si>
  <si>
    <t>ranking_eval_i18n_</t>
    <phoneticPr fontId="7"/>
  </si>
  <si>
    <t>ranking_eval</t>
  </si>
  <si>
    <t>hp_plus</t>
    <phoneticPr fontId="7"/>
  </si>
  <si>
    <t>attack_plus</t>
    <phoneticPr fontId="7"/>
  </si>
  <si>
    <t>heal_plus</t>
    <phoneticPr fontId="7"/>
  </si>
  <si>
    <t>defense_plus</t>
    <phoneticPr fontId="7"/>
  </si>
  <si>
    <t>level</t>
    <phoneticPr fontId="7"/>
  </si>
  <si>
    <t>skill_level</t>
  </si>
  <si>
    <t>skill_level</t>
    <phoneticPr fontId="7"/>
  </si>
  <si>
    <t>bug</t>
    <phoneticPr fontId="7"/>
  </si>
  <si>
    <t>null</t>
    <phoneticPr fontId="7"/>
  </si>
  <si>
    <t>floor1</t>
    <phoneticPr fontId="7"/>
  </si>
  <si>
    <t>y</t>
  </si>
  <si>
    <t>y</t>
    <phoneticPr fontId="7"/>
  </si>
  <si>
    <t>b</t>
    <phoneticPr fontId="7"/>
  </si>
  <si>
    <t>fllor2</t>
    <phoneticPr fontId="7"/>
  </si>
  <si>
    <t>提出設定</t>
    <phoneticPr fontId="7"/>
  </si>
  <si>
    <t>y</t>
    <phoneticPr fontId="7"/>
  </si>
  <si>
    <t>検証start</t>
    <phoneticPr fontId="7"/>
  </si>
  <si>
    <t>検証end</t>
    <phoneticPr fontId="7"/>
  </si>
  <si>
    <t>提出目標値</t>
    <phoneticPr fontId="7"/>
  </si>
  <si>
    <t>提出x</t>
    <phoneticPr fontId="7"/>
  </si>
  <si>
    <t>新目標値</t>
    <phoneticPr fontId="7"/>
  </si>
  <si>
    <t>提出param_code</t>
    <phoneticPr fontId="7"/>
  </si>
  <si>
    <t>x</t>
    <phoneticPr fontId="7"/>
  </si>
  <si>
    <t>目標確認start</t>
    <phoneticPr fontId="7"/>
  </si>
  <si>
    <t>目標確認end</t>
    <phoneticPr fontId="7"/>
  </si>
  <si>
    <t>-</t>
    <phoneticPr fontId="7"/>
  </si>
  <si>
    <t>x</t>
    <phoneticPr fontId="7"/>
  </si>
  <si>
    <t>a</t>
    <phoneticPr fontId="7"/>
  </si>
  <si>
    <t>b</t>
    <phoneticPr fontId="7"/>
  </si>
  <si>
    <t>-</t>
    <phoneticPr fontId="7"/>
  </si>
  <si>
    <t>-</t>
    <phoneticPr fontId="7"/>
  </si>
  <si>
    <t>-</t>
    <phoneticPr fontId="7"/>
  </si>
  <si>
    <t>提出目標値</t>
    <phoneticPr fontId="7"/>
  </si>
  <si>
    <t>提出a</t>
    <phoneticPr fontId="7"/>
  </si>
  <si>
    <t>提出b</t>
    <phoneticPr fontId="7"/>
  </si>
  <si>
    <t>元param_code</t>
    <rPh sb="0" eb="1">
      <t>モｔ</t>
    </rPh>
    <phoneticPr fontId="7"/>
  </si>
  <si>
    <t>a</t>
    <phoneticPr fontId="7"/>
  </si>
  <si>
    <t>次条係数</t>
    <rPh sb="0" eb="2">
      <t>jijyou</t>
    </rPh>
    <rPh sb="2" eb="4">
      <t>ケイス</t>
    </rPh>
    <phoneticPr fontId="7"/>
  </si>
  <si>
    <t>ja</t>
    <phoneticPr fontId="9"/>
  </si>
  <si>
    <t>SSS</t>
    <phoneticPr fontId="9"/>
  </si>
  <si>
    <t>View/RankingBattle_Evelution_SSS.ccbi</t>
    <phoneticPr fontId="9"/>
  </si>
  <si>
    <t>SS</t>
    <phoneticPr fontId="9"/>
  </si>
  <si>
    <t>View/RankingBattle_Evelution_SS.ccbi</t>
    <phoneticPr fontId="9"/>
  </si>
  <si>
    <t>ja</t>
    <phoneticPr fontId="9"/>
  </si>
  <si>
    <t>S</t>
    <phoneticPr fontId="9"/>
  </si>
  <si>
    <t>View/RankingBattle_Evelution_S.ccbi</t>
    <phoneticPr fontId="9"/>
  </si>
  <si>
    <t>AAA</t>
    <phoneticPr fontId="9"/>
  </si>
  <si>
    <t>View/RankingBattle_Evelution_AAA.ccbi</t>
    <phoneticPr fontId="9"/>
  </si>
  <si>
    <t>AA</t>
    <phoneticPr fontId="9"/>
  </si>
  <si>
    <t>View/RankingBattle_Evelution_AA.ccbi</t>
    <phoneticPr fontId="9"/>
  </si>
  <si>
    <t>A</t>
    <phoneticPr fontId="9"/>
  </si>
  <si>
    <t>View/RankingBattle_Evelution_A.ccbi</t>
    <phoneticPr fontId="9"/>
  </si>
  <si>
    <t>B</t>
    <phoneticPr fontId="9"/>
  </si>
  <si>
    <t>View/RankingBattle_Evelution_B.ccbi</t>
    <phoneticPr fontId="9"/>
  </si>
  <si>
    <t>C</t>
    <phoneticPr fontId="9"/>
  </si>
  <si>
    <t>View/RankingBattle_Evelution_C.ccbi</t>
    <phoneticPr fontId="9"/>
  </si>
  <si>
    <t>item</t>
    <phoneticPr fontId="9"/>
  </si>
  <si>
    <t>ランキングクエスト報酬</t>
    <rPh sb="9" eb="11">
      <t>ホウシュウ</t>
    </rPh>
    <phoneticPr fontId="9"/>
  </si>
  <si>
    <t>polygon</t>
    <phoneticPr fontId="9"/>
  </si>
  <si>
    <t>ポリゴン×10</t>
    <phoneticPr fontId="9"/>
  </si>
  <si>
    <t>リトルハンプティ×1</t>
    <phoneticPr fontId="9"/>
  </si>
  <si>
    <t>ギガ秘術の果実×1</t>
    <rPh sb="2" eb="4">
      <t>ヒジュツ</t>
    </rPh>
    <rPh sb="5" eb="7">
      <t>カジツ</t>
    </rPh>
    <phoneticPr fontId="9"/>
  </si>
  <si>
    <t>ポリゴン×5</t>
    <phoneticPr fontId="9"/>
  </si>
  <si>
    <t>メガ秘術の果実 ×1</t>
    <rPh sb="2" eb="4">
      <t>ヒジュツ</t>
    </rPh>
    <rPh sb="5" eb="7">
      <t>カジツ</t>
    </rPh>
    <phoneticPr fontId="9"/>
  </si>
  <si>
    <t>マスターキー×3</t>
    <phoneticPr fontId="9"/>
  </si>
  <si>
    <t>炎のメタルジェントル ×1</t>
    <rPh sb="0" eb="1">
      <t>ホノオ</t>
    </rPh>
    <phoneticPr fontId="9"/>
  </si>
  <si>
    <t>森のメタルジェントル ×1</t>
    <rPh sb="0" eb="1">
      <t>モリノ</t>
    </rPh>
    <phoneticPr fontId="9"/>
  </si>
  <si>
    <t>水のメタルジェントル ×1</t>
    <rPh sb="0" eb="1">
      <t>ミズノ</t>
    </rPh>
    <phoneticPr fontId="9"/>
  </si>
  <si>
    <t>雷のメタルジェントル ×1</t>
    <rPh sb="0" eb="1">
      <t>カミナリ</t>
    </rPh>
    <phoneticPr fontId="9"/>
  </si>
  <si>
    <t>秘術の果実 ×1</t>
    <rPh sb="0" eb="2">
      <t>ヒジュツ</t>
    </rPh>
    <rPh sb="3" eb="5">
      <t>カジツ</t>
    </rPh>
    <phoneticPr fontId="9"/>
  </si>
  <si>
    <t>マスターキー×1</t>
    <phoneticPr fontId="9"/>
  </si>
  <si>
    <t>unit</t>
    <phoneticPr fontId="9"/>
  </si>
  <si>
    <t>ja</t>
    <phoneticPr fontId="9"/>
  </si>
  <si>
    <t>unit</t>
    <phoneticPr fontId="9"/>
  </si>
  <si>
    <t>ja</t>
    <phoneticPr fontId="9"/>
  </si>
  <si>
    <t>polygon</t>
    <phoneticPr fontId="9"/>
  </si>
  <si>
    <t>null</t>
    <phoneticPr fontId="7"/>
  </si>
  <si>
    <t>ja</t>
    <phoneticPr fontId="9"/>
  </si>
  <si>
    <t>ポリゴン×5</t>
    <phoneticPr fontId="9"/>
  </si>
  <si>
    <t>link</t>
    <phoneticPr fontId="9"/>
  </si>
  <si>
    <t>2000リンク</t>
    <phoneticPr fontId="9"/>
  </si>
  <si>
    <t>炎のメタルダック ×1</t>
    <rPh sb="0" eb="1">
      <t>ホノオ</t>
    </rPh>
    <phoneticPr fontId="9"/>
  </si>
  <si>
    <t>unit</t>
    <phoneticPr fontId="9"/>
  </si>
  <si>
    <t>ja</t>
    <phoneticPr fontId="9"/>
  </si>
  <si>
    <t>森のメタルダック ×1</t>
    <rPh sb="0" eb="1">
      <t>モリノ</t>
    </rPh>
    <phoneticPr fontId="9"/>
  </si>
  <si>
    <t>unit</t>
    <phoneticPr fontId="9"/>
  </si>
  <si>
    <t>水のメタルダック ×1</t>
    <rPh sb="0" eb="1">
      <t>ミズノ</t>
    </rPh>
    <phoneticPr fontId="9"/>
  </si>
  <si>
    <t>雷のメタルダック ×1</t>
    <rPh sb="0" eb="1">
      <t>カミナリ</t>
    </rPh>
    <phoneticPr fontId="9"/>
  </si>
  <si>
    <t>polygon</t>
    <phoneticPr fontId="9"/>
  </si>
  <si>
    <t>null</t>
    <phoneticPr fontId="7"/>
  </si>
  <si>
    <t>ja</t>
    <phoneticPr fontId="9"/>
  </si>
  <si>
    <t>ポリゴン×3</t>
    <phoneticPr fontId="9"/>
  </si>
  <si>
    <t>link</t>
    <phoneticPr fontId="9"/>
  </si>
  <si>
    <t>2000リンク</t>
    <phoneticPr fontId="9"/>
  </si>
  <si>
    <t>ポリゴン×3</t>
    <phoneticPr fontId="9"/>
  </si>
  <si>
    <t>bit</t>
    <phoneticPr fontId="9"/>
  </si>
  <si>
    <t>20万ビット</t>
    <rPh sb="2" eb="3">
      <t>マン</t>
    </rPh>
    <phoneticPr fontId="9"/>
  </si>
  <si>
    <t>ポリゴン×2</t>
    <phoneticPr fontId="9"/>
  </si>
  <si>
    <t>1000リンク</t>
    <phoneticPr fontId="9"/>
  </si>
  <si>
    <t>bit</t>
    <phoneticPr fontId="9"/>
  </si>
  <si>
    <t>15万ビット</t>
    <rPh sb="2" eb="3">
      <t>マン</t>
    </rPh>
    <phoneticPr fontId="9"/>
  </si>
  <si>
    <t>polygon</t>
    <phoneticPr fontId="9"/>
  </si>
  <si>
    <t>null</t>
    <phoneticPr fontId="7"/>
  </si>
  <si>
    <t>ja</t>
    <phoneticPr fontId="9"/>
  </si>
  <si>
    <t>ポリゴン×1</t>
    <phoneticPr fontId="9"/>
  </si>
  <si>
    <t>link</t>
    <phoneticPr fontId="9"/>
  </si>
  <si>
    <t>1000リンク</t>
    <phoneticPr fontId="9"/>
  </si>
  <si>
    <t>10万ビット</t>
    <rPh sb="2" eb="3">
      <t>マン</t>
    </rPh>
    <phoneticPr fontId="9"/>
  </si>
  <si>
    <t>[effect:rush, count:2, val:0.55]</t>
    <phoneticPr fontId="7"/>
  </si>
  <si>
    <t xml:space="preserve">[effect:freq_turn, target:myself, turn:-1, val:1, animation:enemy_freq_turn]    </t>
    <phoneticPr fontId="7"/>
  </si>
  <si>
    <t>[effect:critical, val:1.5]</t>
    <phoneticPr fontId="7"/>
  </si>
  <si>
    <t>[effect:nothing]</t>
    <phoneticPr fontId="7"/>
  </si>
  <si>
    <t>[effect:rush, count:2, val:0.8]</t>
    <phoneticPr fontId="7"/>
  </si>
  <si>
    <t xml:space="preserve">[effect:break_attack_fix, val:200, lowest_val:1500, count:-1, block:block_yellow, target:unit_all]    </t>
    <phoneticPr fontId="7"/>
  </si>
  <si>
    <t>old</t>
  </si>
  <si>
    <t>null</t>
  </si>
  <si>
    <t>null</t>
    <phoneticPr fontId="7"/>
  </si>
  <si>
    <t>null</t>
    <phoneticPr fontId="7"/>
  </si>
  <si>
    <t>null</t>
    <phoneticPr fontId="7"/>
  </si>
  <si>
    <t>null</t>
    <phoneticPr fontId="7"/>
  </si>
  <si>
    <t>null</t>
    <phoneticPr fontId="7"/>
  </si>
  <si>
    <t>null</t>
    <phoneticPr fontId="7"/>
  </si>
  <si>
    <t>null</t>
    <phoneticPr fontId="7"/>
  </si>
  <si>
    <t>ユークリッドチャレンジ
順位報酬</t>
    <rPh sb="12" eb="14">
      <t>ジュンイ</t>
    </rPh>
    <rPh sb="14" eb="16">
      <t>ホウシュウ</t>
    </rPh>
    <phoneticPr fontId="9"/>
  </si>
  <si>
    <t>[effect:spread, val:0.37]</t>
    <phoneticPr fontId="7"/>
  </si>
  <si>
    <t>銃弾装填</t>
    <phoneticPr fontId="7"/>
  </si>
  <si>
    <t>ほわぁ…ゆっくり行こ？</t>
    <phoneticPr fontId="7"/>
  </si>
  <si>
    <t>ネコぱんち！</t>
    <phoneticPr fontId="7"/>
  </si>
  <si>
    <t>スプレッドガン</t>
    <phoneticPr fontId="7"/>
  </si>
  <si>
    <t>めちゃくちゃにしてあげる！</t>
    <phoneticPr fontId="7"/>
  </si>
  <si>
    <t>5回連続攻撃</t>
    <phoneticPr fontId="7"/>
  </si>
  <si>
    <t>6回連続攻撃</t>
  </si>
  <si>
    <t>7回連続攻撃</t>
  </si>
  <si>
    <t>8回連続攻撃</t>
  </si>
  <si>
    <t>9回連続攻撃</t>
  </si>
  <si>
    <t>まだまだいくよー！</t>
    <phoneticPr fontId="7"/>
  </si>
  <si>
    <t>爪研ぎしたーい！</t>
    <phoneticPr fontId="7"/>
  </si>
  <si>
    <t xml:space="preserve">[effect:break_enchance_enemy, val:0.03, lowest_val:0.01, count :-1, status:attack, turn:1, block:block_yellow, target:myself, calc:mul, animation:enemy_enhance_attack]    </t>
    <phoneticPr fontId="7"/>
  </si>
  <si>
    <t>[effect:critical, val:2]</t>
    <phoneticPr fontId="7"/>
  </si>
  <si>
    <t>[effect:spread, val:0.1],[effect:spread, val:0.1],[effect:spread, val:0.1],[effect:spread, val:0.1],[effect:spread, val:0.1]</t>
    <phoneticPr fontId="7"/>
  </si>
  <si>
    <t>千羽の舞</t>
    <phoneticPr fontId="7"/>
  </si>
  <si>
    <t>砥ぎ砥ぎ攻撃！</t>
    <phoneticPr fontId="7"/>
  </si>
  <si>
    <t>さぁ、お相手お願いね</t>
    <phoneticPr fontId="7"/>
  </si>
  <si>
    <t>きまぐれダッシュ！</t>
    <phoneticPr fontId="7"/>
  </si>
  <si>
    <t>月光の旋律</t>
    <phoneticPr fontId="7"/>
  </si>
  <si>
    <t>強化の旋律</t>
    <phoneticPr fontId="7"/>
  </si>
  <si>
    <t>null</t>
    <phoneticPr fontId="7"/>
  </si>
  <si>
    <t>ご覧あれ！</t>
    <phoneticPr fontId="7"/>
  </si>
  <si>
    <t>鶴の羽織物</t>
    <phoneticPr fontId="7"/>
  </si>
  <si>
    <t>全体攻撃</t>
    <phoneticPr fontId="7"/>
  </si>
  <si>
    <t>null</t>
    <phoneticPr fontId="7"/>
  </si>
  <si>
    <t>粉砕拳</t>
    <phoneticPr fontId="7"/>
  </si>
  <si>
    <t>破壊拳</t>
    <phoneticPr fontId="7"/>
  </si>
  <si>
    <t xml:space="preserve">[effect:change_attribute, target:enemy_animal, color:yellow, turn:-1, animation:change_attribute_yellow]    </t>
    <phoneticPr fontId="7"/>
  </si>
  <si>
    <t>キミは[player_ranking_grade]の挑戦者だね！</t>
    <phoneticPr fontId="7"/>
  </si>
  <si>
    <t>さっそくいってみよー！</t>
    <phoneticPr fontId="7"/>
  </si>
  <si>
    <t>2回連続攻撃</t>
    <phoneticPr fontId="7"/>
  </si>
  <si>
    <t>レッスン！いくよ！</t>
    <phoneticPr fontId="7"/>
  </si>
  <si>
    <t xml:space="preserve">黄パネル吸収攻撃 </t>
    <phoneticPr fontId="7"/>
  </si>
  <si>
    <t>よーく考えてね！プラス6！</t>
    <phoneticPr fontId="7"/>
  </si>
  <si>
    <t>どんどんいくよ！プラス5！</t>
    <phoneticPr fontId="7"/>
  </si>
  <si>
    <t>クリティカル！</t>
    <phoneticPr fontId="7"/>
  </si>
  <si>
    <t>超クリティカル！</t>
    <phoneticPr fontId="7"/>
  </si>
  <si>
    <t>キミの解を示してよ！</t>
    <phoneticPr fontId="7"/>
  </si>
  <si>
    <t>[effect:damage_anti_color, target:unit_all, color:yellow, val1:0.25, val2:0.35]</t>
    <phoneticPr fontId="7"/>
  </si>
  <si>
    <t>どんな図形になるかな？</t>
    <phoneticPr fontId="7"/>
  </si>
  <si>
    <t>可能性は無限大！</t>
    <phoneticPr fontId="7"/>
  </si>
  <si>
    <t xml:space="preserve">2回連続攻撃  </t>
    <phoneticPr fontId="7"/>
  </si>
  <si>
    <t>黄パネルを吸収して攻撃力UP</t>
    <phoneticPr fontId="7"/>
  </si>
  <si>
    <t>黄属性以外に大ダメージの全体攻撃</t>
    <phoneticPr fontId="7"/>
  </si>
  <si>
    <t>黄パネル吸収攻撃</t>
    <phoneticPr fontId="7"/>
  </si>
  <si>
    <t>次のターンに黄パネル吸収攻撃</t>
    <phoneticPr fontId="7"/>
  </si>
  <si>
    <t>敵のローレンスの属性を黄色に変更</t>
    <phoneticPr fontId="7"/>
  </si>
  <si>
    <t>3ターン敵のローレンスの攻撃力と防御力UP</t>
    <phoneticPr fontId="7"/>
  </si>
  <si>
    <t>クリティカル！</t>
    <phoneticPr fontId="7"/>
  </si>
  <si>
    <t xml:space="preserve">次のターンに黄パネル吸収攻撃 </t>
    <phoneticPr fontId="7"/>
  </si>
  <si>
    <t>ボクの幾何学を教えるね！</t>
    <phoneticPr fontId="7"/>
  </si>
  <si>
    <t>[effect:rush, count:7, val:0.3]</t>
    <phoneticPr fontId="7"/>
  </si>
  <si>
    <t>[effect:rush, count:6, val:0.3]</t>
    <phoneticPr fontId="7"/>
  </si>
  <si>
    <t>[effect:rush, count:5, val:0.3]</t>
    <phoneticPr fontId="7"/>
  </si>
  <si>
    <t>[effect:rush, count:8, val:0.3]</t>
    <phoneticPr fontId="7"/>
  </si>
  <si>
    <t>プラス4、どうかな？</t>
    <phoneticPr fontId="7"/>
  </si>
  <si>
    <t>行動頻度が1にUP</t>
    <phoneticPr fontId="7"/>
  </si>
  <si>
    <t xml:space="preserve">[effect:enemy_message, val2:2.1],[effect:enhance_enemy, target:enemy_animal, turn:3, status:attack, val:0.2, calc:mul, animation:enemy_enhance_attack],[effect:enhance_enemy, target:enemy_animal, turn:3, status:defense, val:3000, calc:add, animation:enemy_enhance_defense],[effect:fix_speed, target:enemy_dragon, turn:1],[effect:fix_speed, target:enemy_animal, turn:2]    </t>
    <phoneticPr fontId="7"/>
  </si>
  <si>
    <t>skip</t>
  </si>
  <si>
    <t>槍のランキングチケット × 1</t>
    <phoneticPr fontId="9"/>
  </si>
  <si>
    <t>槍のチケットピース × 2</t>
    <phoneticPr fontId="9"/>
  </si>
  <si>
    <t>槍のランキングチケット × 1</t>
    <phoneticPr fontId="9"/>
  </si>
  <si>
    <t>槍のチケットピース × 1</t>
    <phoneticPr fontId="9"/>
  </si>
  <si>
    <t>槍のチケットピース × 3</t>
    <phoneticPr fontId="9"/>
  </si>
  <si>
    <t>[effect:rush, count:9, val:0.3]</t>
    <phoneticPr fontId="7"/>
  </si>
  <si>
    <t>5回全体攻撃</t>
    <rPh sb="1" eb="2">
      <t>カイ</t>
    </rPh>
    <rPh sb="2" eb="4">
      <t>ゼンタイ</t>
    </rPh>
    <phoneticPr fontId="7"/>
  </si>
  <si>
    <t>[effect:enemy_message, val2:2.1],[effect:crash_condition, target:unit_all, val:6, turn:3, animation:enemy_crash_extend],[effect:spread, val:0.37]</t>
    <phoneticPr fontId="7"/>
  </si>
  <si>
    <t xml:space="preserve">[effect:crash_condition, target:unit_all, val:2, turn:2, animation:enemy_crash_extend],[effect:fix_speed, target:enemy_yellow, turn:1]    </t>
    <phoneticPr fontId="7"/>
  </si>
  <si>
    <t>2ターンの間Cパネル生成延長（効果大）</t>
    <phoneticPr fontId="7"/>
  </si>
  <si>
    <t xml:space="preserve">[effect:crash_condition, target:unit_all, val:3, turn:2, animation:enemy_crash_extend]    </t>
    <phoneticPr fontId="7"/>
  </si>
  <si>
    <t>3ターンCパネル生成延長（効果特大） 
＋全体攻撃</t>
    <phoneticPr fontId="7"/>
  </si>
  <si>
    <t>3ターンCパネル生成延長(効果特大) 
＋全体攻撃</t>
    <phoneticPr fontId="7"/>
  </si>
  <si>
    <t>[effect:enemy_message, val2:2.1],[effect:crash_condition, target:unit_all, val:4, turn:3, animation:enemy_crash_extend],[effect:spread, val:0.37]</t>
    <phoneticPr fontId="7"/>
  </si>
  <si>
    <t xml:space="preserve">[effect:enemy_message, val2:2.1],[effect:crash_condition, target:unit_all, val:5, turn:3, animation:enemy_crash_extend],[effect:spread, val:0.37]  </t>
    <phoneticPr fontId="7"/>
  </si>
  <si>
    <t>3ターンCパネル生成延長（効果超大） 
＋全体攻撃</t>
    <phoneticPr fontId="7"/>
  </si>
  <si>
    <t>爪跡だらけになっちゃえ！</t>
    <phoneticPr fontId="7"/>
  </si>
  <si>
    <t>[effect:critical, val:1.5]</t>
    <phoneticPr fontId="7"/>
  </si>
  <si>
    <t xml:space="preserve">[effect:break_attack_fix, val:120, lowest_val:1000, count:-1, block:block_yellow, target:unit_all]    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</si>
</sst>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7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rgb="FFFF0000"/>
      <name val="ＭＳ Ｐゴシック"/>
      <family val="2"/>
      <charset val="128"/>
      <scheme val="minor"/>
    </font>
    <font>
      <b/>
      <sz val="11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</font>
    <font>
      <sz val="11"/>
      <color indexed="81"/>
      <name val="ＭＳ Ｐゴシック"/>
      <family val="3"/>
      <charset val="128"/>
    </font>
  </fonts>
  <fills count="4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D9D9D9"/>
        <bgColor rgb="FF000000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</borders>
  <cellStyleXfs count="777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5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20" fillId="0" borderId="0"/>
    <xf numFmtId="38" fontId="21" fillId="0" borderId="0" applyFill="0" applyBorder="0" applyAlignment="0" applyProtection="0"/>
    <xf numFmtId="0" fontId="22" fillId="8" borderId="0" applyNumberFormat="0" applyBorder="0" applyAlignment="0" applyProtection="0"/>
    <xf numFmtId="0" fontId="23" fillId="9" borderId="0" applyNumberFormat="0" applyBorder="0" applyAlignment="0" applyProtection="0"/>
    <xf numFmtId="0" fontId="24" fillId="0" borderId="0"/>
    <xf numFmtId="0" fontId="25" fillId="0" borderId="0">
      <alignment vertical="center"/>
    </xf>
    <xf numFmtId="0" fontId="26" fillId="0" borderId="0">
      <alignment vertical="center"/>
    </xf>
    <xf numFmtId="0" fontId="27" fillId="10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0" fontId="34" fillId="16" borderId="13" applyNumberFormat="0" applyAlignment="0" applyProtection="0"/>
    <xf numFmtId="0" fontId="35" fillId="17" borderId="0" applyNumberFormat="0" applyBorder="0" applyAlignment="0" applyProtection="0"/>
    <xf numFmtId="0" fontId="36" fillId="18" borderId="14" applyNumberFormat="0" applyAlignment="0" applyProtection="0"/>
    <xf numFmtId="0" fontId="37" fillId="0" borderId="0" applyNumberFormat="0" applyFill="0" applyBorder="0" applyAlignment="0" applyProtection="0"/>
    <xf numFmtId="0" fontId="38" fillId="19" borderId="0" applyNumberFormat="0" applyBorder="0" applyAlignment="0" applyProtection="0"/>
    <xf numFmtId="0" fontId="39" fillId="20" borderId="15" applyNumberFormat="0" applyAlignment="0" applyProtection="0"/>
    <xf numFmtId="0" fontId="40" fillId="0" borderId="0" applyNumberFormat="0" applyFill="0" applyBorder="0" applyAlignment="0" applyProtection="0"/>
    <xf numFmtId="0" fontId="41" fillId="0" borderId="16" applyNumberFormat="0" applyFill="0" applyAlignment="0" applyProtection="0"/>
    <xf numFmtId="0" fontId="42" fillId="0" borderId="17" applyNumberFormat="0" applyFill="0" applyAlignment="0" applyProtection="0"/>
    <xf numFmtId="0" fontId="43" fillId="0" borderId="18" applyNumberFormat="0" applyFill="0" applyAlignment="0" applyProtection="0"/>
    <xf numFmtId="0" fontId="43" fillId="0" borderId="0" applyNumberFormat="0" applyFill="0" applyBorder="0" applyAlignment="0" applyProtection="0"/>
    <xf numFmtId="0" fontId="44" fillId="18" borderId="0" applyNumberFormat="0" applyBorder="0" applyAlignment="0" applyProtection="0"/>
    <xf numFmtId="0" fontId="44" fillId="17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2" borderId="0" applyNumberFormat="0" applyBorder="0" applyAlignment="0" applyProtection="0"/>
    <xf numFmtId="0" fontId="44" fillId="16" borderId="0" applyNumberFormat="0" applyBorder="0" applyAlignment="0" applyProtection="0"/>
    <xf numFmtId="0" fontId="44" fillId="18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4" borderId="0" applyNumberFormat="0" applyBorder="0" applyAlignment="0" applyProtection="0"/>
    <xf numFmtId="0" fontId="44" fillId="17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5" fillId="21" borderId="0" applyNumberFormat="0" applyBorder="0" applyAlignment="0" applyProtection="0"/>
    <xf numFmtId="0" fontId="45" fillId="18" borderId="0" applyNumberFormat="0" applyBorder="0" applyAlignment="0" applyProtection="0"/>
    <xf numFmtId="0" fontId="45" fillId="25" borderId="0" applyNumberFormat="0" applyBorder="0" applyAlignment="0" applyProtection="0"/>
    <xf numFmtId="0" fontId="45" fillId="17" borderId="0" applyNumberFormat="0" applyBorder="0" applyAlignment="0" applyProtection="0"/>
    <xf numFmtId="0" fontId="37" fillId="0" borderId="0" applyNumberFormat="0" applyFill="0" applyBorder="0" applyAlignment="0" applyProtection="0"/>
    <xf numFmtId="0" fontId="45" fillId="25" borderId="0" applyNumberFormat="0" applyBorder="0" applyAlignment="0" applyProtection="0"/>
    <xf numFmtId="0" fontId="45" fillId="26" borderId="0" applyNumberFormat="0" applyBorder="0" applyAlignment="0" applyProtection="0"/>
    <xf numFmtId="0" fontId="45" fillId="21" borderId="0" applyNumberFormat="0" applyBorder="0" applyAlignment="0" applyProtection="0"/>
    <xf numFmtId="0" fontId="45" fillId="27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6" fillId="28" borderId="0" applyNumberFormat="0" applyBorder="0" applyAlignment="0" applyProtection="0"/>
    <xf numFmtId="0" fontId="35" fillId="17" borderId="0" applyNumberFormat="0" applyBorder="0" applyAlignment="0" applyProtection="0"/>
    <xf numFmtId="0" fontId="47" fillId="0" borderId="19" applyNumberFormat="0" applyFill="0" applyAlignment="0" applyProtection="0"/>
    <xf numFmtId="0" fontId="48" fillId="18" borderId="20" applyNumberFormat="0" applyAlignment="0" applyProtection="0"/>
    <xf numFmtId="0" fontId="48" fillId="29" borderId="20" applyNumberFormat="0" applyAlignment="0" applyProtection="0"/>
    <xf numFmtId="0" fontId="36" fillId="17" borderId="14" applyNumberFormat="0" applyAlignment="0" applyProtection="0"/>
    <xf numFmtId="0" fontId="49" fillId="0" borderId="21" applyNumberFormat="0" applyFill="0" applyAlignment="0" applyProtection="0"/>
    <xf numFmtId="0" fontId="50" fillId="29" borderId="14" applyNumberFormat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22" applyNumberFormat="0" applyFill="0" applyAlignment="0" applyProtection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38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172">
    <xf numFmtId="0" fontId="0" fillId="0" borderId="0" xfId="0"/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8" fillId="5" borderId="3" xfId="0" applyFont="1" applyFill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8" fillId="5" borderId="1" xfId="0" applyFont="1" applyFill="1" applyBorder="1" applyAlignment="1">
      <alignment vertical="center"/>
    </xf>
    <xf numFmtId="0" fontId="8" fillId="0" borderId="1" xfId="0" applyFont="1" applyFill="1" applyBorder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6" fillId="3" borderId="7" xfId="0" applyFont="1" applyFill="1" applyBorder="1" applyAlignment="1">
      <alignment horizontal="center" vertical="center"/>
    </xf>
    <xf numFmtId="0" fontId="14" fillId="7" borderId="0" xfId="0" applyFont="1" applyFill="1" applyAlignment="1">
      <alignment vertical="center"/>
    </xf>
    <xf numFmtId="0" fontId="8" fillId="5" borderId="9" xfId="0" applyFont="1" applyFill="1" applyBorder="1" applyAlignment="1">
      <alignment vertical="center"/>
    </xf>
    <xf numFmtId="0" fontId="8" fillId="5" borderId="7" xfId="0" applyFont="1" applyFill="1" applyBorder="1" applyAlignment="1">
      <alignment vertical="center"/>
    </xf>
    <xf numFmtId="0" fontId="14" fillId="0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 vertical="center"/>
    </xf>
    <xf numFmtId="176" fontId="6" fillId="0" borderId="3" xfId="0" applyNumberFormat="1" applyFont="1" applyFill="1" applyBorder="1" applyAlignment="1">
      <alignment horizontal="center" vertical="center"/>
    </xf>
    <xf numFmtId="0" fontId="8" fillId="3" borderId="7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177" fontId="10" fillId="0" borderId="4" xfId="0" applyNumberFormat="1" applyFont="1" applyBorder="1" applyAlignment="1">
      <alignment vertical="center"/>
    </xf>
    <xf numFmtId="0" fontId="6" fillId="2" borderId="7" xfId="0" applyFont="1" applyFill="1" applyBorder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6" fillId="3" borderId="10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8" fillId="4" borderId="7" xfId="0" applyFont="1" applyFill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6" borderId="7" xfId="0" applyFont="1" applyFill="1" applyBorder="1" applyAlignment="1">
      <alignment horizontal="left" vertical="center"/>
    </xf>
    <xf numFmtId="0" fontId="6" fillId="6" borderId="1" xfId="0" applyFont="1" applyFill="1" applyBorder="1" applyAlignment="1">
      <alignment horizontal="left" vertical="center"/>
    </xf>
    <xf numFmtId="0" fontId="8" fillId="0" borderId="7" xfId="0" applyFont="1" applyFill="1" applyBorder="1" applyAlignment="1">
      <alignment vertical="center"/>
    </xf>
    <xf numFmtId="0" fontId="16" fillId="7" borderId="0" xfId="0" applyFont="1" applyFill="1" applyAlignment="1">
      <alignment vertical="center"/>
    </xf>
    <xf numFmtId="0" fontId="18" fillId="6" borderId="7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3" borderId="7" xfId="0" applyFont="1" applyFill="1" applyBorder="1" applyAlignment="1">
      <alignment horizontal="left" vertical="center"/>
    </xf>
    <xf numFmtId="0" fontId="18" fillId="0" borderId="7" xfId="0" applyFont="1" applyFill="1" applyBorder="1" applyAlignment="1">
      <alignment vertical="center"/>
    </xf>
    <xf numFmtId="0" fontId="18" fillId="3" borderId="7" xfId="0" applyFont="1" applyFill="1" applyBorder="1" applyAlignment="1">
      <alignment vertical="center"/>
    </xf>
    <xf numFmtId="0" fontId="18" fillId="0" borderId="0" xfId="0" applyFont="1" applyFill="1" applyAlignment="1">
      <alignment vertical="center"/>
    </xf>
    <xf numFmtId="0" fontId="18" fillId="0" borderId="7" xfId="0" applyFont="1" applyFill="1" applyBorder="1" applyAlignment="1">
      <alignment horizontal="left" vertical="center"/>
    </xf>
    <xf numFmtId="0" fontId="18" fillId="0" borderId="7" xfId="0" applyFont="1" applyFill="1" applyBorder="1" applyAlignment="1">
      <alignment horizontal="left" vertical="center" wrapText="1"/>
    </xf>
    <xf numFmtId="14" fontId="18" fillId="0" borderId="7" xfId="0" applyNumberFormat="1" applyFont="1" applyFill="1" applyBorder="1" applyAlignment="1">
      <alignment horizontal="left" vertical="center"/>
    </xf>
    <xf numFmtId="0" fontId="13" fillId="6" borderId="2" xfId="0" applyFont="1" applyFill="1" applyBorder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5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8" fillId="12" borderId="7" xfId="0" applyFont="1" applyFill="1" applyBorder="1"/>
    <xf numFmtId="0" fontId="15" fillId="11" borderId="7" xfId="434" applyFont="1" applyFill="1" applyBorder="1" applyAlignment="1"/>
    <xf numFmtId="0" fontId="26" fillId="0" borderId="7" xfId="434" applyBorder="1" applyAlignment="1"/>
    <xf numFmtId="0" fontId="0" fillId="13" borderId="7" xfId="0" applyFill="1" applyBorder="1"/>
    <xf numFmtId="0" fontId="18" fillId="3" borderId="7" xfId="0" applyFont="1" applyFill="1" applyBorder="1" applyAlignment="1">
      <alignment horizontal="left" vertical="center" wrapText="1"/>
    </xf>
    <xf numFmtId="0" fontId="18" fillId="6" borderId="7" xfId="614" applyFont="1" applyFill="1" applyBorder="1" applyAlignment="1">
      <alignment horizontal="left"/>
    </xf>
    <xf numFmtId="0" fontId="16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4" fillId="11" borderId="7" xfId="615" applyFill="1" applyBorder="1"/>
    <xf numFmtId="0" fontId="6" fillId="0" borderId="7" xfId="0" applyFont="1" applyBorder="1" applyAlignment="1">
      <alignment vertical="center"/>
    </xf>
    <xf numFmtId="0" fontId="8" fillId="5" borderId="11" xfId="0" applyFont="1" applyFill="1" applyBorder="1" applyAlignment="1">
      <alignment vertical="center"/>
    </xf>
    <xf numFmtId="0" fontId="0" fillId="3" borderId="7" xfId="0" applyFill="1" applyBorder="1"/>
    <xf numFmtId="0" fontId="18" fillId="3" borderId="7" xfId="614" applyFont="1" applyFill="1" applyBorder="1" applyAlignment="1">
      <alignment horizontal="left"/>
    </xf>
    <xf numFmtId="0" fontId="18" fillId="6" borderId="7" xfId="0" applyFont="1" applyFill="1" applyBorder="1" applyAlignment="1">
      <alignment horizontal="center"/>
    </xf>
    <xf numFmtId="56" fontId="18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4" fillId="0" borderId="0" xfId="615"/>
    <xf numFmtId="0" fontId="29" fillId="6" borderId="7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14" borderId="7" xfId="0" applyFont="1" applyFill="1" applyBorder="1" applyAlignment="1">
      <alignment horizontal="center"/>
    </xf>
    <xf numFmtId="0" fontId="18" fillId="15" borderId="7" xfId="0" applyFont="1" applyFill="1" applyBorder="1" applyAlignment="1">
      <alignment horizontal="center"/>
    </xf>
    <xf numFmtId="0" fontId="0" fillId="15" borderId="7" xfId="0" applyFill="1" applyBorder="1"/>
    <xf numFmtId="0" fontId="29" fillId="0" borderId="7" xfId="0" applyFont="1" applyFill="1" applyBorder="1"/>
    <xf numFmtId="0" fontId="30" fillId="0" borderId="7" xfId="0" applyFont="1" applyFill="1" applyBorder="1"/>
    <xf numFmtId="0" fontId="31" fillId="3" borderId="12" xfId="0" applyFont="1" applyFill="1" applyBorder="1" applyAlignment="1">
      <alignment vertical="center"/>
    </xf>
    <xf numFmtId="0" fontId="32" fillId="0" borderId="7" xfId="0" applyFont="1" applyFill="1" applyBorder="1"/>
    <xf numFmtId="0" fontId="31" fillId="0" borderId="12" xfId="0" applyFont="1" applyFill="1" applyBorder="1" applyAlignment="1">
      <alignment vertical="center"/>
    </xf>
    <xf numFmtId="0" fontId="32" fillId="14" borderId="7" xfId="0" applyFont="1" applyFill="1" applyBorder="1"/>
    <xf numFmtId="0" fontId="33" fillId="0" borderId="7" xfId="0" applyFont="1" applyFill="1" applyBorder="1"/>
    <xf numFmtId="38" fontId="18" fillId="0" borderId="7" xfId="628" applyFont="1" applyFill="1" applyBorder="1" applyAlignment="1"/>
    <xf numFmtId="0" fontId="29" fillId="0" borderId="0" xfId="0" applyFont="1" applyFill="1"/>
    <xf numFmtId="0" fontId="18" fillId="30" borderId="7" xfId="0" applyFont="1" applyFill="1" applyBorder="1" applyAlignment="1">
      <alignment horizontal="center"/>
    </xf>
    <xf numFmtId="0" fontId="32" fillId="30" borderId="7" xfId="0" applyFont="1" applyFill="1" applyBorder="1"/>
    <xf numFmtId="0" fontId="18" fillId="13" borderId="7" xfId="0" applyFont="1" applyFill="1" applyBorder="1" applyAlignment="1">
      <alignment horizontal="center"/>
    </xf>
    <xf numFmtId="56" fontId="18" fillId="14" borderId="7" xfId="0" applyNumberFormat="1" applyFont="1" applyFill="1" applyBorder="1" applyAlignment="1">
      <alignment horizontal="center"/>
    </xf>
    <xf numFmtId="0" fontId="33" fillId="14" borderId="7" xfId="0" applyFont="1" applyFill="1" applyBorder="1"/>
    <xf numFmtId="38" fontId="18" fillId="14" borderId="7" xfId="628" applyFont="1" applyFill="1" applyBorder="1" applyAlignment="1"/>
    <xf numFmtId="0" fontId="18" fillId="6" borderId="7" xfId="11" applyFont="1" applyFill="1" applyBorder="1" applyAlignment="1">
      <alignment horizontal="left"/>
    </xf>
    <xf numFmtId="0" fontId="4" fillId="6" borderId="0" xfId="615" applyFill="1"/>
    <xf numFmtId="0" fontId="6" fillId="31" borderId="7" xfId="0" applyFont="1" applyFill="1" applyBorder="1" applyAlignment="1">
      <alignment vertical="center"/>
    </xf>
    <xf numFmtId="0" fontId="18" fillId="6" borderId="23" xfId="0" applyFont="1" applyFill="1" applyBorder="1" applyAlignment="1">
      <alignment horizontal="center"/>
    </xf>
    <xf numFmtId="0" fontId="10" fillId="33" borderId="7" xfId="0" applyFont="1" applyFill="1" applyBorder="1" applyAlignment="1">
      <alignment horizontal="left" vertical="center"/>
    </xf>
    <xf numFmtId="0" fontId="18" fillId="32" borderId="7" xfId="432" applyFont="1" applyFill="1" applyBorder="1" applyAlignment="1">
      <alignment horizontal="left" vertical="center"/>
    </xf>
    <xf numFmtId="0" fontId="18" fillId="14" borderId="23" xfId="0" applyFont="1" applyFill="1" applyBorder="1" applyAlignment="1">
      <alignment horizontal="center"/>
    </xf>
    <xf numFmtId="0" fontId="3" fillId="0" borderId="7" xfId="676" applyBorder="1"/>
    <xf numFmtId="0" fontId="3" fillId="11" borderId="7" xfId="676" applyFill="1" applyBorder="1"/>
    <xf numFmtId="0" fontId="2" fillId="6" borderId="7" xfId="434" applyFont="1" applyFill="1" applyBorder="1" applyAlignment="1"/>
    <xf numFmtId="0" fontId="0" fillId="0" borderId="0" xfId="0" applyFill="1" applyBorder="1"/>
    <xf numFmtId="0" fontId="0" fillId="32" borderId="7" xfId="0" applyFill="1" applyBorder="1"/>
    <xf numFmtId="0" fontId="0" fillId="34" borderId="7" xfId="0" applyFill="1" applyBorder="1"/>
    <xf numFmtId="0" fontId="0" fillId="34" borderId="7" xfId="615" applyFont="1" applyFill="1" applyBorder="1"/>
    <xf numFmtId="0" fontId="3" fillId="34" borderId="7" xfId="676" applyFill="1" applyBorder="1"/>
    <xf numFmtId="0" fontId="0" fillId="6" borderId="0" xfId="0" applyFill="1"/>
    <xf numFmtId="0" fontId="6" fillId="0" borderId="7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0" fillId="35" borderId="7" xfId="0" applyFill="1" applyBorder="1"/>
    <xf numFmtId="0" fontId="0" fillId="36" borderId="7" xfId="0" applyFill="1" applyBorder="1"/>
    <xf numFmtId="38" fontId="0" fillId="35" borderId="7" xfId="0" applyNumberFormat="1" applyFill="1" applyBorder="1"/>
    <xf numFmtId="38" fontId="0" fillId="36" borderId="7" xfId="0" applyNumberFormat="1" applyFill="1" applyBorder="1"/>
    <xf numFmtId="38" fontId="0" fillId="35" borderId="7" xfId="724" applyFont="1" applyFill="1" applyBorder="1"/>
    <xf numFmtId="38" fontId="0" fillId="36" borderId="7" xfId="724" applyFont="1" applyFill="1" applyBorder="1"/>
    <xf numFmtId="0" fontId="0" fillId="35" borderId="7" xfId="724" applyNumberFormat="1" applyFont="1" applyFill="1" applyBorder="1"/>
    <xf numFmtId="0" fontId="0" fillId="36" borderId="7" xfId="724" applyNumberFormat="1" applyFont="1" applyFill="1" applyBorder="1"/>
    <xf numFmtId="0" fontId="53" fillId="35" borderId="7" xfId="724" applyNumberFormat="1" applyFont="1" applyFill="1" applyBorder="1"/>
    <xf numFmtId="0" fontId="53" fillId="36" borderId="7" xfId="724" applyNumberFormat="1" applyFont="1" applyFill="1" applyBorder="1"/>
    <xf numFmtId="0" fontId="0" fillId="35" borderId="2" xfId="0" applyFill="1" applyBorder="1"/>
    <xf numFmtId="38" fontId="0" fillId="0" borderId="0" xfId="724" applyFont="1" applyFill="1" applyBorder="1"/>
    <xf numFmtId="0" fontId="0" fillId="6" borderId="23" xfId="0" applyFill="1" applyBorder="1"/>
    <xf numFmtId="0" fontId="0" fillId="13" borderId="0" xfId="0" applyFill="1"/>
    <xf numFmtId="38" fontId="0" fillId="3" borderId="7" xfId="724" applyFont="1" applyFill="1" applyBorder="1"/>
    <xf numFmtId="38" fontId="0" fillId="3" borderId="7" xfId="0" applyNumberFormat="1" applyFill="1" applyBorder="1"/>
    <xf numFmtId="0" fontId="0" fillId="6" borderId="0" xfId="0" applyFill="1" applyBorder="1"/>
    <xf numFmtId="0" fontId="0" fillId="0" borderId="24" xfId="0" applyFill="1" applyBorder="1"/>
    <xf numFmtId="38" fontId="0" fillId="0" borderId="24" xfId="724" applyFont="1" applyFill="1" applyBorder="1"/>
    <xf numFmtId="40" fontId="0" fillId="35" borderId="7" xfId="0" applyNumberFormat="1" applyFill="1" applyBorder="1"/>
    <xf numFmtId="2" fontId="0" fillId="0" borderId="0" xfId="0" applyNumberFormat="1"/>
    <xf numFmtId="0" fontId="0" fillId="13" borderId="2" xfId="0" applyFill="1" applyBorder="1"/>
    <xf numFmtId="40" fontId="0" fillId="37" borderId="7" xfId="724" applyNumberFormat="1" applyFont="1" applyFill="1" applyBorder="1"/>
    <xf numFmtId="38" fontId="0" fillId="37" borderId="7" xfId="0" applyNumberFormat="1" applyFill="1" applyBorder="1"/>
    <xf numFmtId="38" fontId="0" fillId="37" borderId="7" xfId="724" applyFont="1" applyFill="1" applyBorder="1"/>
    <xf numFmtId="38" fontId="0" fillId="0" borderId="0" xfId="0" applyNumberFormat="1"/>
    <xf numFmtId="9" fontId="0" fillId="0" borderId="0" xfId="0" applyNumberFormat="1"/>
    <xf numFmtId="0" fontId="0" fillId="6" borderId="2" xfId="0" applyFill="1" applyBorder="1"/>
    <xf numFmtId="0" fontId="0" fillId="32" borderId="2" xfId="0" applyFill="1" applyBorder="1"/>
    <xf numFmtId="0" fontId="55" fillId="38" borderId="7" xfId="0" applyFont="1" applyFill="1" applyBorder="1"/>
    <xf numFmtId="0" fontId="30" fillId="0" borderId="7" xfId="0" applyFont="1" applyFill="1" applyBorder="1" applyAlignment="1">
      <alignment horizontal="left" vertical="center"/>
    </xf>
    <xf numFmtId="0" fontId="31" fillId="3" borderId="12" xfId="0" applyFont="1" applyFill="1" applyBorder="1" applyAlignment="1">
      <alignment horizontal="left" vertical="center"/>
    </xf>
    <xf numFmtId="0" fontId="31" fillId="0" borderId="12" xfId="0" applyFont="1" applyFill="1" applyBorder="1" applyAlignment="1">
      <alignment horizontal="left" vertical="center"/>
    </xf>
    <xf numFmtId="0" fontId="31" fillId="0" borderId="0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0" xfId="432" applyFont="1" applyAlignment="1">
      <alignment horizontal="left" vertical="center"/>
    </xf>
    <xf numFmtId="0" fontId="18" fillId="0" borderId="0" xfId="432" applyFont="1" applyAlignment="1">
      <alignment horizontal="left" vertical="center" wrapText="1"/>
    </xf>
    <xf numFmtId="0" fontId="16" fillId="34" borderId="0" xfId="432" applyFont="1" applyFill="1" applyAlignment="1">
      <alignment horizontal="left" vertical="center"/>
    </xf>
    <xf numFmtId="0" fontId="0" fillId="0" borderId="7" xfId="0" applyFill="1" applyBorder="1" applyAlignment="1">
      <alignment vertical="center" wrapText="1"/>
    </xf>
    <xf numFmtId="0" fontId="13" fillId="39" borderId="7" xfId="0" applyFont="1" applyFill="1" applyBorder="1" applyAlignment="1">
      <alignment vertical="center"/>
    </xf>
    <xf numFmtId="0" fontId="13" fillId="39" borderId="10" xfId="0" applyFont="1" applyFill="1" applyBorder="1" applyAlignment="1">
      <alignment vertical="center"/>
    </xf>
    <xf numFmtId="0" fontId="18" fillId="0" borderId="12" xfId="0" applyFont="1" applyFill="1" applyBorder="1" applyAlignment="1">
      <alignment vertical="center"/>
    </xf>
    <xf numFmtId="0" fontId="18" fillId="3" borderId="12" xfId="0" applyFont="1" applyFill="1" applyBorder="1" applyAlignment="1">
      <alignment horizontal="left" vertical="center"/>
    </xf>
    <xf numFmtId="0" fontId="13" fillId="39" borderId="12" xfId="0" applyFont="1" applyFill="1" applyBorder="1" applyAlignment="1">
      <alignment vertical="center"/>
    </xf>
    <xf numFmtId="0" fontId="13" fillId="39" borderId="26" xfId="0" applyFont="1" applyFill="1" applyBorder="1" applyAlignment="1">
      <alignment vertical="center"/>
    </xf>
    <xf numFmtId="0" fontId="16" fillId="7" borderId="0" xfId="0" applyFont="1" applyFill="1" applyBorder="1" applyAlignment="1">
      <alignment vertical="center"/>
    </xf>
    <xf numFmtId="0" fontId="18" fillId="0" borderId="0" xfId="0" applyFont="1" applyBorder="1" applyAlignment="1">
      <alignment vertical="center"/>
    </xf>
    <xf numFmtId="0" fontId="16" fillId="7" borderId="25" xfId="0" applyFont="1" applyFill="1" applyBorder="1" applyAlignment="1">
      <alignment vertical="center"/>
    </xf>
    <xf numFmtId="0" fontId="18" fillId="0" borderId="27" xfId="0" applyFont="1" applyFill="1" applyBorder="1" applyAlignment="1">
      <alignment vertical="center"/>
    </xf>
    <xf numFmtId="0" fontId="18" fillId="3" borderId="27" xfId="0" applyFont="1" applyFill="1" applyBorder="1" applyAlignment="1">
      <alignment horizontal="left" vertical="center"/>
    </xf>
    <xf numFmtId="0" fontId="13" fillId="39" borderId="27" xfId="0" applyFont="1" applyFill="1" applyBorder="1" applyAlignment="1">
      <alignment vertical="center"/>
    </xf>
    <xf numFmtId="0" fontId="13" fillId="39" borderId="28" xfId="0" applyFont="1" applyFill="1" applyBorder="1" applyAlignment="1">
      <alignment vertical="center"/>
    </xf>
    <xf numFmtId="0" fontId="18" fillId="0" borderId="25" xfId="0" applyFont="1" applyBorder="1" applyAlignment="1">
      <alignment vertical="center"/>
    </xf>
    <xf numFmtId="0" fontId="0" fillId="6" borderId="7" xfId="0" applyNumberFormat="1" applyFill="1" applyBorder="1"/>
    <xf numFmtId="0" fontId="0" fillId="13" borderId="7" xfId="0" applyNumberFormat="1" applyFill="1" applyBorder="1"/>
    <xf numFmtId="0" fontId="0" fillId="0" borderId="0" xfId="0" applyNumberFormat="1"/>
    <xf numFmtId="0" fontId="0" fillId="0" borderId="24" xfId="724" applyNumberFormat="1" applyFont="1" applyFill="1" applyBorder="1"/>
    <xf numFmtId="0" fontId="0" fillId="0" borderId="0" xfId="724" applyNumberFormat="1" applyFont="1" applyFill="1" applyBorder="1"/>
  </cellXfs>
  <cellStyles count="777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桁区切り 2" xfId="429"/>
    <cellStyle name="桁区切り 2 2" xfId="628"/>
    <cellStyle name="桁区切り [0]" xfId="724" builtinId="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4.xml"/><Relationship Id="rId21" Type="http://schemas.openxmlformats.org/officeDocument/2006/relationships/externalLink" Target="externalLinks/externalLink5.xml"/><Relationship Id="rId22" Type="http://schemas.openxmlformats.org/officeDocument/2006/relationships/externalLink" Target="externalLinks/externalLink6.xml"/><Relationship Id="rId23" Type="http://schemas.openxmlformats.org/officeDocument/2006/relationships/theme" Target="theme/theme1.xml"/><Relationship Id="rId24" Type="http://schemas.openxmlformats.org/officeDocument/2006/relationships/styles" Target="styles.xml"/><Relationship Id="rId25" Type="http://schemas.openxmlformats.org/officeDocument/2006/relationships/sharedStrings" Target="sharedStrings.xml"/><Relationship Id="rId26" Type="http://schemas.openxmlformats.org/officeDocument/2006/relationships/calcChain" Target="calcChain.xml"/><Relationship Id="rId27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externalLink" Target="externalLinks/externalLink1.xml"/><Relationship Id="rId18" Type="http://schemas.openxmlformats.org/officeDocument/2006/relationships/externalLink" Target="externalLinks/externalLink2.xml"/><Relationship Id="rId1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提出された</a:t>
            </a:r>
            <a:r>
              <a:rPr lang="en-US" altLang="ja-JP"/>
              <a:t>y_floor1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damege_give!$AK$1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damege_give!$AJ$2:$AJ$92</c:f>
              <c:numCache>
                <c:formatCode>General</c:formatCode>
                <c:ptCount val="91"/>
                <c:pt idx="0">
                  <c:v>0.0</c:v>
                </c:pt>
                <c:pt idx="1">
                  <c:v>1000.0</c:v>
                </c:pt>
                <c:pt idx="2">
                  <c:v>2000.0</c:v>
                </c:pt>
                <c:pt idx="3">
                  <c:v>3000.0</c:v>
                </c:pt>
                <c:pt idx="4">
                  <c:v>4000.0</c:v>
                </c:pt>
                <c:pt idx="5">
                  <c:v>5000.0</c:v>
                </c:pt>
                <c:pt idx="6">
                  <c:v>6000.0</c:v>
                </c:pt>
                <c:pt idx="7">
                  <c:v>7000.0</c:v>
                </c:pt>
                <c:pt idx="8">
                  <c:v>8000.0</c:v>
                </c:pt>
                <c:pt idx="9">
                  <c:v>9000.0</c:v>
                </c:pt>
                <c:pt idx="10">
                  <c:v>10000.0</c:v>
                </c:pt>
                <c:pt idx="11">
                  <c:v>11000.0</c:v>
                </c:pt>
                <c:pt idx="12">
                  <c:v>12000.0</c:v>
                </c:pt>
                <c:pt idx="13">
                  <c:v>13000.0</c:v>
                </c:pt>
                <c:pt idx="14">
                  <c:v>14000.0</c:v>
                </c:pt>
                <c:pt idx="15">
                  <c:v>15000.0</c:v>
                </c:pt>
                <c:pt idx="16">
                  <c:v>16000.0</c:v>
                </c:pt>
                <c:pt idx="17">
                  <c:v>17000.0</c:v>
                </c:pt>
                <c:pt idx="18">
                  <c:v>18000.0</c:v>
                </c:pt>
                <c:pt idx="19">
                  <c:v>19000.0</c:v>
                </c:pt>
                <c:pt idx="20">
                  <c:v>20000.0</c:v>
                </c:pt>
                <c:pt idx="21">
                  <c:v>21000.0</c:v>
                </c:pt>
                <c:pt idx="22">
                  <c:v>22000.0</c:v>
                </c:pt>
                <c:pt idx="23">
                  <c:v>23000.0</c:v>
                </c:pt>
                <c:pt idx="24">
                  <c:v>24000.0</c:v>
                </c:pt>
                <c:pt idx="25">
                  <c:v>25000.0</c:v>
                </c:pt>
                <c:pt idx="26">
                  <c:v>26000.0</c:v>
                </c:pt>
                <c:pt idx="27">
                  <c:v>27000.0</c:v>
                </c:pt>
                <c:pt idx="28">
                  <c:v>28000.0</c:v>
                </c:pt>
                <c:pt idx="29">
                  <c:v>29000.0</c:v>
                </c:pt>
                <c:pt idx="30">
                  <c:v>30000.0</c:v>
                </c:pt>
                <c:pt idx="31">
                  <c:v>31000.0</c:v>
                </c:pt>
                <c:pt idx="32">
                  <c:v>32000.0</c:v>
                </c:pt>
                <c:pt idx="33">
                  <c:v>33000.0</c:v>
                </c:pt>
                <c:pt idx="34">
                  <c:v>34000.0</c:v>
                </c:pt>
                <c:pt idx="35">
                  <c:v>35000.0</c:v>
                </c:pt>
                <c:pt idx="36">
                  <c:v>36000.0</c:v>
                </c:pt>
                <c:pt idx="37">
                  <c:v>37000.0</c:v>
                </c:pt>
                <c:pt idx="38">
                  <c:v>38000.0</c:v>
                </c:pt>
                <c:pt idx="39">
                  <c:v>39000.0</c:v>
                </c:pt>
                <c:pt idx="40">
                  <c:v>40000.0</c:v>
                </c:pt>
                <c:pt idx="41">
                  <c:v>41000.0</c:v>
                </c:pt>
                <c:pt idx="42">
                  <c:v>42000.0</c:v>
                </c:pt>
                <c:pt idx="43">
                  <c:v>43000.0</c:v>
                </c:pt>
                <c:pt idx="44">
                  <c:v>44000.0</c:v>
                </c:pt>
                <c:pt idx="45">
                  <c:v>45000.0</c:v>
                </c:pt>
                <c:pt idx="46">
                  <c:v>46000.0</c:v>
                </c:pt>
                <c:pt idx="47">
                  <c:v>47000.0</c:v>
                </c:pt>
                <c:pt idx="48">
                  <c:v>48000.0</c:v>
                </c:pt>
                <c:pt idx="49">
                  <c:v>25000.0</c:v>
                </c:pt>
                <c:pt idx="50">
                  <c:v>26000.0</c:v>
                </c:pt>
                <c:pt idx="51">
                  <c:v>27000.0</c:v>
                </c:pt>
                <c:pt idx="52">
                  <c:v>28000.0</c:v>
                </c:pt>
                <c:pt idx="53">
                  <c:v>29000.0</c:v>
                </c:pt>
                <c:pt idx="54">
                  <c:v>30000.0</c:v>
                </c:pt>
                <c:pt idx="55">
                  <c:v>55000.0</c:v>
                </c:pt>
                <c:pt idx="56">
                  <c:v>56000.0</c:v>
                </c:pt>
                <c:pt idx="57">
                  <c:v>57000.0</c:v>
                </c:pt>
                <c:pt idx="58">
                  <c:v>58000.0</c:v>
                </c:pt>
                <c:pt idx="59">
                  <c:v>59000.0</c:v>
                </c:pt>
                <c:pt idx="60">
                  <c:v>60000.0</c:v>
                </c:pt>
                <c:pt idx="61">
                  <c:v>61000.0</c:v>
                </c:pt>
                <c:pt idx="62">
                  <c:v>62000.0</c:v>
                </c:pt>
                <c:pt idx="63">
                  <c:v>63000.0</c:v>
                </c:pt>
                <c:pt idx="64">
                  <c:v>64000.0</c:v>
                </c:pt>
                <c:pt idx="65">
                  <c:v>65000.0</c:v>
                </c:pt>
                <c:pt idx="66">
                  <c:v>66000.0</c:v>
                </c:pt>
                <c:pt idx="67">
                  <c:v>67000.0</c:v>
                </c:pt>
                <c:pt idx="68">
                  <c:v>68000.0</c:v>
                </c:pt>
                <c:pt idx="69">
                  <c:v>69000.0</c:v>
                </c:pt>
                <c:pt idx="70">
                  <c:v>70000.0</c:v>
                </c:pt>
                <c:pt idx="71">
                  <c:v>71000.0</c:v>
                </c:pt>
                <c:pt idx="72">
                  <c:v>72000.0</c:v>
                </c:pt>
                <c:pt idx="73">
                  <c:v>73000.0</c:v>
                </c:pt>
                <c:pt idx="74">
                  <c:v>74000.0</c:v>
                </c:pt>
                <c:pt idx="75">
                  <c:v>75000.0</c:v>
                </c:pt>
                <c:pt idx="76">
                  <c:v>76000.0</c:v>
                </c:pt>
                <c:pt idx="77">
                  <c:v>77000.0</c:v>
                </c:pt>
                <c:pt idx="78">
                  <c:v>78000.0</c:v>
                </c:pt>
                <c:pt idx="79">
                  <c:v>79000.0</c:v>
                </c:pt>
                <c:pt idx="80">
                  <c:v>80000.0</c:v>
                </c:pt>
                <c:pt idx="81">
                  <c:v>81000.0</c:v>
                </c:pt>
                <c:pt idx="82">
                  <c:v>82000.0</c:v>
                </c:pt>
                <c:pt idx="83">
                  <c:v>83000.0</c:v>
                </c:pt>
                <c:pt idx="84">
                  <c:v>84000.0</c:v>
                </c:pt>
                <c:pt idx="85">
                  <c:v>85000.0</c:v>
                </c:pt>
                <c:pt idx="86">
                  <c:v>86000.0</c:v>
                </c:pt>
                <c:pt idx="87">
                  <c:v>87000.0</c:v>
                </c:pt>
                <c:pt idx="88">
                  <c:v>88000.0</c:v>
                </c:pt>
                <c:pt idx="89">
                  <c:v>89000.0</c:v>
                </c:pt>
                <c:pt idx="90">
                  <c:v>90000.0</c:v>
                </c:pt>
              </c:numCache>
            </c:numRef>
          </c:xVal>
          <c:yVal>
            <c:numRef>
              <c:f>damege_give!$AK$2:$AK$92</c:f>
              <c:numCache>
                <c:formatCode>General</c:formatCode>
                <c:ptCount val="91"/>
                <c:pt idx="0">
                  <c:v>0.0</c:v>
                </c:pt>
                <c:pt idx="1">
                  <c:v>50.0</c:v>
                </c:pt>
                <c:pt idx="2">
                  <c:v>100.0</c:v>
                </c:pt>
                <c:pt idx="3">
                  <c:v>150.0</c:v>
                </c:pt>
                <c:pt idx="4">
                  <c:v>200.0</c:v>
                </c:pt>
                <c:pt idx="5">
                  <c:v>250.0</c:v>
                </c:pt>
                <c:pt idx="6">
                  <c:v>300.0</c:v>
                </c:pt>
                <c:pt idx="7">
                  <c:v>350.0</c:v>
                </c:pt>
                <c:pt idx="8">
                  <c:v>400.0</c:v>
                </c:pt>
                <c:pt idx="9">
                  <c:v>450.0</c:v>
                </c:pt>
                <c:pt idx="10">
                  <c:v>500.0</c:v>
                </c:pt>
                <c:pt idx="11">
                  <c:v>550.0</c:v>
                </c:pt>
                <c:pt idx="12">
                  <c:v>600.0</c:v>
                </c:pt>
                <c:pt idx="13">
                  <c:v>650.0</c:v>
                </c:pt>
                <c:pt idx="14">
                  <c:v>700.0</c:v>
                </c:pt>
                <c:pt idx="15">
                  <c:v>750.0</c:v>
                </c:pt>
                <c:pt idx="16">
                  <c:v>800.0</c:v>
                </c:pt>
                <c:pt idx="17">
                  <c:v>850.0</c:v>
                </c:pt>
                <c:pt idx="18">
                  <c:v>900.0</c:v>
                </c:pt>
                <c:pt idx="19">
                  <c:v>950.0</c:v>
                </c:pt>
                <c:pt idx="20">
                  <c:v>1000.0</c:v>
                </c:pt>
                <c:pt idx="21">
                  <c:v>1050.0</c:v>
                </c:pt>
                <c:pt idx="22">
                  <c:v>1100.0</c:v>
                </c:pt>
                <c:pt idx="23">
                  <c:v>1150.0</c:v>
                </c:pt>
                <c:pt idx="24">
                  <c:v>1200.0</c:v>
                </c:pt>
                <c:pt idx="25">
                  <c:v>1250.0</c:v>
                </c:pt>
                <c:pt idx="26">
                  <c:v>1300.0</c:v>
                </c:pt>
                <c:pt idx="27">
                  <c:v>1350.0</c:v>
                </c:pt>
                <c:pt idx="28">
                  <c:v>1400.0</c:v>
                </c:pt>
                <c:pt idx="29">
                  <c:v>1450.0</c:v>
                </c:pt>
                <c:pt idx="30">
                  <c:v>1500.0</c:v>
                </c:pt>
                <c:pt idx="31">
                  <c:v>1550.0</c:v>
                </c:pt>
                <c:pt idx="32">
                  <c:v>1600.0</c:v>
                </c:pt>
                <c:pt idx="33">
                  <c:v>1650.0</c:v>
                </c:pt>
                <c:pt idx="34">
                  <c:v>1700.0</c:v>
                </c:pt>
                <c:pt idx="35">
                  <c:v>1750.0</c:v>
                </c:pt>
                <c:pt idx="36">
                  <c:v>1800.0</c:v>
                </c:pt>
                <c:pt idx="37">
                  <c:v>1850.0</c:v>
                </c:pt>
                <c:pt idx="38">
                  <c:v>1900.0</c:v>
                </c:pt>
                <c:pt idx="39">
                  <c:v>1950.0</c:v>
                </c:pt>
                <c:pt idx="40">
                  <c:v>2000.0</c:v>
                </c:pt>
                <c:pt idx="41">
                  <c:v>2050.0</c:v>
                </c:pt>
                <c:pt idx="42">
                  <c:v>2100.0</c:v>
                </c:pt>
                <c:pt idx="43">
                  <c:v>2150.0</c:v>
                </c:pt>
                <c:pt idx="44">
                  <c:v>2200.0</c:v>
                </c:pt>
                <c:pt idx="45">
                  <c:v>2250.0</c:v>
                </c:pt>
                <c:pt idx="46">
                  <c:v>2300.0</c:v>
                </c:pt>
                <c:pt idx="47">
                  <c:v>2350.0</c:v>
                </c:pt>
                <c:pt idx="48">
                  <c:v>2400.0</c:v>
                </c:pt>
                <c:pt idx="49">
                  <c:v>1250.0</c:v>
                </c:pt>
                <c:pt idx="50">
                  <c:v>1300.0</c:v>
                </c:pt>
                <c:pt idx="51">
                  <c:v>1350.0</c:v>
                </c:pt>
                <c:pt idx="52">
                  <c:v>1400.0</c:v>
                </c:pt>
                <c:pt idx="53">
                  <c:v>1450.0</c:v>
                </c:pt>
                <c:pt idx="54">
                  <c:v>1500.0</c:v>
                </c:pt>
                <c:pt idx="55">
                  <c:v>2750.0</c:v>
                </c:pt>
                <c:pt idx="56">
                  <c:v>2800.0</c:v>
                </c:pt>
                <c:pt idx="57">
                  <c:v>2850.0</c:v>
                </c:pt>
                <c:pt idx="58">
                  <c:v>2900.0</c:v>
                </c:pt>
                <c:pt idx="59">
                  <c:v>2950.0</c:v>
                </c:pt>
                <c:pt idx="60">
                  <c:v>3000.0</c:v>
                </c:pt>
                <c:pt idx="61">
                  <c:v>3050.0</c:v>
                </c:pt>
                <c:pt idx="62">
                  <c:v>3100.0</c:v>
                </c:pt>
                <c:pt idx="63">
                  <c:v>3150.0</c:v>
                </c:pt>
                <c:pt idx="64">
                  <c:v>3200.0</c:v>
                </c:pt>
                <c:pt idx="65">
                  <c:v>203250.0</c:v>
                </c:pt>
                <c:pt idx="66">
                  <c:v>203300.0</c:v>
                </c:pt>
                <c:pt idx="67">
                  <c:v>203350.0</c:v>
                </c:pt>
                <c:pt idx="68">
                  <c:v>203400.0</c:v>
                </c:pt>
                <c:pt idx="69">
                  <c:v>203450.0</c:v>
                </c:pt>
                <c:pt idx="70">
                  <c:v>253500.0</c:v>
                </c:pt>
                <c:pt idx="71">
                  <c:v>253550.0</c:v>
                </c:pt>
                <c:pt idx="72">
                  <c:v>253600.0</c:v>
                </c:pt>
                <c:pt idx="73">
                  <c:v>253650.0</c:v>
                </c:pt>
                <c:pt idx="74">
                  <c:v>253700.0</c:v>
                </c:pt>
                <c:pt idx="75">
                  <c:v>303750.0</c:v>
                </c:pt>
                <c:pt idx="76">
                  <c:v>303800.0</c:v>
                </c:pt>
                <c:pt idx="77">
                  <c:v>303850.0</c:v>
                </c:pt>
                <c:pt idx="78">
                  <c:v>303900.0</c:v>
                </c:pt>
                <c:pt idx="79">
                  <c:v>303950.0</c:v>
                </c:pt>
                <c:pt idx="80">
                  <c:v>354000.0</c:v>
                </c:pt>
                <c:pt idx="81">
                  <c:v>354050.0</c:v>
                </c:pt>
                <c:pt idx="82">
                  <c:v>354100.0</c:v>
                </c:pt>
                <c:pt idx="83">
                  <c:v>354150.0</c:v>
                </c:pt>
                <c:pt idx="84">
                  <c:v>354200.0</c:v>
                </c:pt>
                <c:pt idx="85">
                  <c:v>404250.0</c:v>
                </c:pt>
                <c:pt idx="86">
                  <c:v>404300.0</c:v>
                </c:pt>
                <c:pt idx="87">
                  <c:v>404350.0</c:v>
                </c:pt>
                <c:pt idx="88">
                  <c:v>404400.0</c:v>
                </c:pt>
                <c:pt idx="89">
                  <c:v>404450.0</c:v>
                </c:pt>
                <c:pt idx="90">
                  <c:v>429500.0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845632"/>
        <c:axId val="1823674272"/>
      </c:scatterChart>
      <c:valAx>
        <c:axId val="1820845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3674272"/>
        <c:crosses val="autoZero"/>
        <c:crossBetween val="midCat"/>
      </c:valAx>
      <c:valAx>
        <c:axId val="182367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0845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加藤まさ修正</a:t>
            </a:r>
            <a:r>
              <a:rPr lang="en-US" altLang="ja-JP"/>
              <a:t>y_floor1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damege_give!$AP$1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damege_give!$AO$2:$AO$92</c:f>
              <c:numCache>
                <c:formatCode>General</c:formatCode>
                <c:ptCount val="91"/>
                <c:pt idx="0">
                  <c:v>0.0</c:v>
                </c:pt>
                <c:pt idx="1">
                  <c:v>2.1E6</c:v>
                </c:pt>
                <c:pt idx="2">
                  <c:v>2.11E6</c:v>
                </c:pt>
                <c:pt idx="3">
                  <c:v>2.12E6</c:v>
                </c:pt>
                <c:pt idx="4">
                  <c:v>2.13E6</c:v>
                </c:pt>
                <c:pt idx="5">
                  <c:v>2.14E6</c:v>
                </c:pt>
                <c:pt idx="6">
                  <c:v>2.15E6</c:v>
                </c:pt>
                <c:pt idx="7">
                  <c:v>2.16E6</c:v>
                </c:pt>
                <c:pt idx="8">
                  <c:v>2.17E6</c:v>
                </c:pt>
                <c:pt idx="9">
                  <c:v>2.18E6</c:v>
                </c:pt>
                <c:pt idx="10">
                  <c:v>2.19E6</c:v>
                </c:pt>
                <c:pt idx="11">
                  <c:v>2.2E6</c:v>
                </c:pt>
                <c:pt idx="12">
                  <c:v>2.21E6</c:v>
                </c:pt>
                <c:pt idx="13">
                  <c:v>2.22E6</c:v>
                </c:pt>
                <c:pt idx="14">
                  <c:v>2.23E6</c:v>
                </c:pt>
                <c:pt idx="15">
                  <c:v>2.24E6</c:v>
                </c:pt>
                <c:pt idx="16">
                  <c:v>2.25E6</c:v>
                </c:pt>
                <c:pt idx="17">
                  <c:v>2.26E6</c:v>
                </c:pt>
                <c:pt idx="18">
                  <c:v>2.27E6</c:v>
                </c:pt>
                <c:pt idx="19">
                  <c:v>2.28E6</c:v>
                </c:pt>
                <c:pt idx="20">
                  <c:v>2.29E6</c:v>
                </c:pt>
                <c:pt idx="21">
                  <c:v>2.3E6</c:v>
                </c:pt>
                <c:pt idx="22">
                  <c:v>2.31E6</c:v>
                </c:pt>
                <c:pt idx="23">
                  <c:v>2.32E6</c:v>
                </c:pt>
                <c:pt idx="24">
                  <c:v>2.33E6</c:v>
                </c:pt>
                <c:pt idx="25">
                  <c:v>2.34E6</c:v>
                </c:pt>
                <c:pt idx="26">
                  <c:v>2.35E6</c:v>
                </c:pt>
                <c:pt idx="27">
                  <c:v>2.36E6</c:v>
                </c:pt>
                <c:pt idx="28">
                  <c:v>2.37E6</c:v>
                </c:pt>
                <c:pt idx="29">
                  <c:v>2.38E6</c:v>
                </c:pt>
                <c:pt idx="30">
                  <c:v>2.39E6</c:v>
                </c:pt>
                <c:pt idx="31">
                  <c:v>2.4E6</c:v>
                </c:pt>
                <c:pt idx="32">
                  <c:v>2.41E6</c:v>
                </c:pt>
                <c:pt idx="33">
                  <c:v>2.42E6</c:v>
                </c:pt>
                <c:pt idx="34">
                  <c:v>2.43E6</c:v>
                </c:pt>
                <c:pt idx="35">
                  <c:v>2.44E6</c:v>
                </c:pt>
                <c:pt idx="36">
                  <c:v>2.45E6</c:v>
                </c:pt>
                <c:pt idx="37">
                  <c:v>2.46E6</c:v>
                </c:pt>
                <c:pt idx="38">
                  <c:v>2.47E6</c:v>
                </c:pt>
                <c:pt idx="39">
                  <c:v>2.48E6</c:v>
                </c:pt>
                <c:pt idx="40">
                  <c:v>2.49E6</c:v>
                </c:pt>
                <c:pt idx="41">
                  <c:v>2.5E6</c:v>
                </c:pt>
                <c:pt idx="42">
                  <c:v>2.51E6</c:v>
                </c:pt>
                <c:pt idx="43">
                  <c:v>2.52E6</c:v>
                </c:pt>
                <c:pt idx="44">
                  <c:v>2.53E6</c:v>
                </c:pt>
                <c:pt idx="45">
                  <c:v>2.54E6</c:v>
                </c:pt>
                <c:pt idx="46">
                  <c:v>2.55E6</c:v>
                </c:pt>
                <c:pt idx="47">
                  <c:v>2.56E6</c:v>
                </c:pt>
                <c:pt idx="48">
                  <c:v>2.57E6</c:v>
                </c:pt>
                <c:pt idx="49">
                  <c:v>2.34E6</c:v>
                </c:pt>
                <c:pt idx="50">
                  <c:v>2.35E6</c:v>
                </c:pt>
                <c:pt idx="51">
                  <c:v>2.36E6</c:v>
                </c:pt>
                <c:pt idx="52">
                  <c:v>2.37E6</c:v>
                </c:pt>
                <c:pt idx="53">
                  <c:v>2.38E6</c:v>
                </c:pt>
                <c:pt idx="54">
                  <c:v>2.39E6</c:v>
                </c:pt>
                <c:pt idx="55">
                  <c:v>2.64E6</c:v>
                </c:pt>
                <c:pt idx="56">
                  <c:v>2.65E6</c:v>
                </c:pt>
                <c:pt idx="57">
                  <c:v>2.66E6</c:v>
                </c:pt>
                <c:pt idx="58">
                  <c:v>2.67E6</c:v>
                </c:pt>
                <c:pt idx="59">
                  <c:v>2.68E6</c:v>
                </c:pt>
                <c:pt idx="60">
                  <c:v>2.69E6</c:v>
                </c:pt>
                <c:pt idx="61">
                  <c:v>2.7E6</c:v>
                </c:pt>
                <c:pt idx="62">
                  <c:v>2.71E6</c:v>
                </c:pt>
                <c:pt idx="63">
                  <c:v>2.72E6</c:v>
                </c:pt>
                <c:pt idx="64">
                  <c:v>2.73E6</c:v>
                </c:pt>
                <c:pt idx="65">
                  <c:v>2.74E6</c:v>
                </c:pt>
                <c:pt idx="66">
                  <c:v>2.75E6</c:v>
                </c:pt>
                <c:pt idx="67">
                  <c:v>2.76E6</c:v>
                </c:pt>
                <c:pt idx="68">
                  <c:v>2.77E6</c:v>
                </c:pt>
                <c:pt idx="69">
                  <c:v>2.78E6</c:v>
                </c:pt>
                <c:pt idx="70">
                  <c:v>2.79E6</c:v>
                </c:pt>
                <c:pt idx="71">
                  <c:v>2.8E6</c:v>
                </c:pt>
                <c:pt idx="72">
                  <c:v>2.81E6</c:v>
                </c:pt>
                <c:pt idx="73">
                  <c:v>2.82E6</c:v>
                </c:pt>
                <c:pt idx="74">
                  <c:v>2.83E6</c:v>
                </c:pt>
                <c:pt idx="75">
                  <c:v>2.84E6</c:v>
                </c:pt>
                <c:pt idx="76">
                  <c:v>2.85E6</c:v>
                </c:pt>
                <c:pt idx="77">
                  <c:v>2.86E6</c:v>
                </c:pt>
                <c:pt idx="78">
                  <c:v>2.87E6</c:v>
                </c:pt>
                <c:pt idx="79">
                  <c:v>2.88E6</c:v>
                </c:pt>
                <c:pt idx="80">
                  <c:v>2.89E6</c:v>
                </c:pt>
                <c:pt idx="81">
                  <c:v>2.9E6</c:v>
                </c:pt>
                <c:pt idx="82">
                  <c:v>2.91E6</c:v>
                </c:pt>
                <c:pt idx="83">
                  <c:v>2.92E6</c:v>
                </c:pt>
                <c:pt idx="84">
                  <c:v>2.93E6</c:v>
                </c:pt>
                <c:pt idx="85">
                  <c:v>2.94E6</c:v>
                </c:pt>
                <c:pt idx="86">
                  <c:v>2.95E6</c:v>
                </c:pt>
                <c:pt idx="87">
                  <c:v>2.96E6</c:v>
                </c:pt>
                <c:pt idx="88">
                  <c:v>2.97E6</c:v>
                </c:pt>
                <c:pt idx="89">
                  <c:v>2.98E6</c:v>
                </c:pt>
                <c:pt idx="90">
                  <c:v>2.99E6</c:v>
                </c:pt>
              </c:numCache>
            </c:numRef>
          </c:xVal>
          <c:yVal>
            <c:numRef>
              <c:f>damege_give!$AP$2:$AP$92</c:f>
              <c:numCache>
                <c:formatCode>General</c:formatCode>
                <c:ptCount val="91"/>
                <c:pt idx="0">
                  <c:v>0.0</c:v>
                </c:pt>
                <c:pt idx="1">
                  <c:v>2.21E6</c:v>
                </c:pt>
                <c:pt idx="2">
                  <c:v>2.231E6</c:v>
                </c:pt>
                <c:pt idx="3">
                  <c:v>2.252E6</c:v>
                </c:pt>
                <c:pt idx="4">
                  <c:v>2.273E6</c:v>
                </c:pt>
                <c:pt idx="5">
                  <c:v>2.294E6</c:v>
                </c:pt>
                <c:pt idx="6">
                  <c:v>2.315E6</c:v>
                </c:pt>
                <c:pt idx="7">
                  <c:v>2.336E6</c:v>
                </c:pt>
                <c:pt idx="8">
                  <c:v>2.357E6</c:v>
                </c:pt>
                <c:pt idx="9">
                  <c:v>2.378E6</c:v>
                </c:pt>
                <c:pt idx="10">
                  <c:v>2.399E6</c:v>
                </c:pt>
                <c:pt idx="11">
                  <c:v>2.42E6</c:v>
                </c:pt>
                <c:pt idx="12">
                  <c:v>2.451E6</c:v>
                </c:pt>
                <c:pt idx="13">
                  <c:v>2.482E6</c:v>
                </c:pt>
                <c:pt idx="14">
                  <c:v>2.513E6</c:v>
                </c:pt>
                <c:pt idx="15">
                  <c:v>2.544E6</c:v>
                </c:pt>
                <c:pt idx="16">
                  <c:v>2.575E6</c:v>
                </c:pt>
                <c:pt idx="17">
                  <c:v>2.606E6</c:v>
                </c:pt>
                <c:pt idx="18">
                  <c:v>2.637E6</c:v>
                </c:pt>
                <c:pt idx="19">
                  <c:v>2.668E6</c:v>
                </c:pt>
                <c:pt idx="20">
                  <c:v>2.699E6</c:v>
                </c:pt>
                <c:pt idx="21">
                  <c:v>2.73E6</c:v>
                </c:pt>
                <c:pt idx="22">
                  <c:v>2.761E6</c:v>
                </c:pt>
                <c:pt idx="23">
                  <c:v>2.792E6</c:v>
                </c:pt>
                <c:pt idx="24">
                  <c:v>2.823E6</c:v>
                </c:pt>
                <c:pt idx="25">
                  <c:v>2.854E6</c:v>
                </c:pt>
                <c:pt idx="26">
                  <c:v>2.885E6</c:v>
                </c:pt>
                <c:pt idx="27">
                  <c:v>2.916E6</c:v>
                </c:pt>
                <c:pt idx="28">
                  <c:v>2.947E6</c:v>
                </c:pt>
                <c:pt idx="29">
                  <c:v>2.978E6</c:v>
                </c:pt>
                <c:pt idx="30">
                  <c:v>3.009E6</c:v>
                </c:pt>
                <c:pt idx="31">
                  <c:v>3.04E6</c:v>
                </c:pt>
                <c:pt idx="32">
                  <c:v>3.0655E6</c:v>
                </c:pt>
                <c:pt idx="33">
                  <c:v>3.091E6</c:v>
                </c:pt>
                <c:pt idx="34">
                  <c:v>3.1165E6</c:v>
                </c:pt>
                <c:pt idx="35">
                  <c:v>3.142E6</c:v>
                </c:pt>
                <c:pt idx="36">
                  <c:v>3.1675E6</c:v>
                </c:pt>
                <c:pt idx="37">
                  <c:v>3.193E6</c:v>
                </c:pt>
                <c:pt idx="38">
                  <c:v>3.2185E6</c:v>
                </c:pt>
                <c:pt idx="39">
                  <c:v>3.244E6</c:v>
                </c:pt>
                <c:pt idx="40">
                  <c:v>3.2695E6</c:v>
                </c:pt>
                <c:pt idx="41">
                  <c:v>3.295E6</c:v>
                </c:pt>
                <c:pt idx="42">
                  <c:v>3.3205E6</c:v>
                </c:pt>
                <c:pt idx="43">
                  <c:v>3.346E6</c:v>
                </c:pt>
                <c:pt idx="44">
                  <c:v>3.3715E6</c:v>
                </c:pt>
                <c:pt idx="45">
                  <c:v>3.397E6</c:v>
                </c:pt>
                <c:pt idx="46">
                  <c:v>3.4225E6</c:v>
                </c:pt>
                <c:pt idx="47">
                  <c:v>3.448E6</c:v>
                </c:pt>
                <c:pt idx="48">
                  <c:v>3.4735E6</c:v>
                </c:pt>
                <c:pt idx="49">
                  <c:v>2.854E6</c:v>
                </c:pt>
                <c:pt idx="50">
                  <c:v>2.885E6</c:v>
                </c:pt>
                <c:pt idx="51">
                  <c:v>2.916E6</c:v>
                </c:pt>
                <c:pt idx="52">
                  <c:v>2.947E6</c:v>
                </c:pt>
                <c:pt idx="53">
                  <c:v>2.978E6</c:v>
                </c:pt>
                <c:pt idx="54">
                  <c:v>3.009E6</c:v>
                </c:pt>
                <c:pt idx="55">
                  <c:v>3.652E6</c:v>
                </c:pt>
                <c:pt idx="56">
                  <c:v>3.6775E6</c:v>
                </c:pt>
                <c:pt idx="57">
                  <c:v>3.703E6</c:v>
                </c:pt>
                <c:pt idx="58">
                  <c:v>3.7285E6</c:v>
                </c:pt>
                <c:pt idx="59">
                  <c:v>3.754E6</c:v>
                </c:pt>
                <c:pt idx="60">
                  <c:v>3.7795E6</c:v>
                </c:pt>
                <c:pt idx="61">
                  <c:v>3.805E6</c:v>
                </c:pt>
                <c:pt idx="62">
                  <c:v>3.8305E6</c:v>
                </c:pt>
                <c:pt idx="63">
                  <c:v>3.856E6</c:v>
                </c:pt>
                <c:pt idx="64">
                  <c:v>3.8815E6</c:v>
                </c:pt>
                <c:pt idx="65">
                  <c:v>3.907E6</c:v>
                </c:pt>
                <c:pt idx="66">
                  <c:v>3.9325E6</c:v>
                </c:pt>
                <c:pt idx="67">
                  <c:v>3.958E6</c:v>
                </c:pt>
                <c:pt idx="68">
                  <c:v>3.9835E6</c:v>
                </c:pt>
                <c:pt idx="69">
                  <c:v>4.009E6</c:v>
                </c:pt>
                <c:pt idx="70">
                  <c:v>4.0345E6</c:v>
                </c:pt>
                <c:pt idx="71">
                  <c:v>4.06E6</c:v>
                </c:pt>
                <c:pt idx="72">
                  <c:v>4.07428571428571E6</c:v>
                </c:pt>
                <c:pt idx="73">
                  <c:v>4.08857142857143E6</c:v>
                </c:pt>
                <c:pt idx="74">
                  <c:v>4.10285714285714E6</c:v>
                </c:pt>
                <c:pt idx="75">
                  <c:v>4.11714285714286E6</c:v>
                </c:pt>
                <c:pt idx="76">
                  <c:v>4.13142857142857E6</c:v>
                </c:pt>
                <c:pt idx="77">
                  <c:v>4.14571428571429E6</c:v>
                </c:pt>
                <c:pt idx="78">
                  <c:v>4.16E6</c:v>
                </c:pt>
                <c:pt idx="79">
                  <c:v>4.17428571428571E6</c:v>
                </c:pt>
                <c:pt idx="80">
                  <c:v>4.18857142857143E6</c:v>
                </c:pt>
                <c:pt idx="81">
                  <c:v>4.20285714285714E6</c:v>
                </c:pt>
                <c:pt idx="82">
                  <c:v>4.21714285714286E6</c:v>
                </c:pt>
                <c:pt idx="83">
                  <c:v>4.23142857142857E6</c:v>
                </c:pt>
                <c:pt idx="84">
                  <c:v>4.24571428571429E6</c:v>
                </c:pt>
                <c:pt idx="85">
                  <c:v>4.26E6</c:v>
                </c:pt>
                <c:pt idx="86">
                  <c:v>4.27428571428571E6</c:v>
                </c:pt>
                <c:pt idx="87">
                  <c:v>4.28857142857143E6</c:v>
                </c:pt>
                <c:pt idx="88">
                  <c:v>4.30285714285714E6</c:v>
                </c:pt>
                <c:pt idx="89">
                  <c:v>4.31714285714286E6</c:v>
                </c:pt>
                <c:pt idx="90">
                  <c:v>4.33142857142857E6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818560"/>
        <c:axId val="1818533552"/>
      </c:scatterChart>
      <c:valAx>
        <c:axId val="1819818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18533552"/>
        <c:crosses val="autoZero"/>
        <c:crossBetween val="midCat"/>
      </c:valAx>
      <c:valAx>
        <c:axId val="181853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19818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533400</xdr:colOff>
      <xdr:row>4</xdr:row>
      <xdr:rowOff>76200</xdr:rowOff>
    </xdr:from>
    <xdr:to>
      <xdr:col>39</xdr:col>
      <xdr:colOff>215900</xdr:colOff>
      <xdr:row>18</xdr:row>
      <xdr:rowOff>152400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44</xdr:col>
      <xdr:colOff>401053</xdr:colOff>
      <xdr:row>2</xdr:row>
      <xdr:rowOff>136581</xdr:rowOff>
    </xdr:from>
    <xdr:to>
      <xdr:col>49</xdr:col>
      <xdr:colOff>81101</xdr:colOff>
      <xdr:row>17</xdr:row>
      <xdr:rowOff>22281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11207</v>
          </cell>
        </row>
        <row r="66">
          <cell r="A66">
            <v>11208</v>
          </cell>
        </row>
        <row r="67">
          <cell r="A67">
            <v>11209</v>
          </cell>
        </row>
        <row r="68">
          <cell r="A68">
            <v>11210</v>
          </cell>
        </row>
        <row r="69">
          <cell r="A69">
            <v>11211</v>
          </cell>
        </row>
        <row r="70">
          <cell r="A70">
            <v>11212</v>
          </cell>
        </row>
        <row r="71">
          <cell r="A71">
            <v>11213</v>
          </cell>
        </row>
        <row r="72">
          <cell r="A72">
            <v>11214</v>
          </cell>
        </row>
        <row r="73">
          <cell r="A73">
            <v>11215</v>
          </cell>
        </row>
        <row r="74">
          <cell r="A74">
            <v>11216</v>
          </cell>
        </row>
        <row r="75">
          <cell r="A75">
            <v>11217</v>
          </cell>
        </row>
        <row r="76">
          <cell r="A76">
            <v>11218</v>
          </cell>
        </row>
        <row r="77">
          <cell r="A77">
            <v>11219</v>
          </cell>
        </row>
        <row r="78">
          <cell r="A78">
            <v>11220</v>
          </cell>
        </row>
        <row r="79">
          <cell r="A79">
            <v>11221</v>
          </cell>
        </row>
        <row r="80">
          <cell r="A80">
            <v>11224</v>
          </cell>
        </row>
        <row r="81">
          <cell r="A81">
            <v>11225</v>
          </cell>
        </row>
        <row r="82">
          <cell r="A82">
            <v>11226</v>
          </cell>
        </row>
        <row r="83">
          <cell r="A83">
            <v>12001</v>
          </cell>
        </row>
        <row r="84">
          <cell r="A84">
            <v>12002</v>
          </cell>
        </row>
        <row r="85">
          <cell r="A85">
            <v>12003</v>
          </cell>
        </row>
        <row r="86">
          <cell r="A86">
            <v>12004</v>
          </cell>
        </row>
        <row r="87">
          <cell r="A87">
            <v>13001</v>
          </cell>
        </row>
        <row r="88">
          <cell r="A88">
            <v>14001</v>
          </cell>
        </row>
        <row r="89">
          <cell r="A89">
            <v>14002</v>
          </cell>
        </row>
        <row r="90">
          <cell r="A90">
            <v>14003</v>
          </cell>
        </row>
        <row r="91">
          <cell r="A91">
            <v>14004</v>
          </cell>
        </row>
        <row r="92">
          <cell r="A92">
            <v>14005</v>
          </cell>
        </row>
        <row r="93">
          <cell r="A93">
            <v>14006</v>
          </cell>
        </row>
        <row r="94">
          <cell r="A94">
            <v>15027</v>
          </cell>
        </row>
        <row r="95">
          <cell r="A95">
            <v>15028</v>
          </cell>
        </row>
        <row r="96">
          <cell r="A96">
            <v>15029</v>
          </cell>
        </row>
        <row r="97">
          <cell r="A97">
            <v>15030</v>
          </cell>
        </row>
        <row r="98">
          <cell r="A98">
            <v>15031</v>
          </cell>
        </row>
        <row r="99">
          <cell r="A99">
            <v>20001</v>
          </cell>
        </row>
        <row r="100">
          <cell r="A100">
            <v>20002</v>
          </cell>
        </row>
        <row r="101">
          <cell r="A101">
            <v>20003</v>
          </cell>
        </row>
        <row r="102">
          <cell r="A102">
            <v>20004</v>
          </cell>
        </row>
        <row r="103">
          <cell r="A103">
            <v>20005</v>
          </cell>
        </row>
        <row r="104">
          <cell r="A104">
            <v>20006</v>
          </cell>
        </row>
        <row r="105">
          <cell r="A105">
            <v>20007</v>
          </cell>
        </row>
        <row r="106">
          <cell r="A106">
            <v>20008</v>
          </cell>
        </row>
        <row r="107">
          <cell r="A107">
            <v>20009</v>
          </cell>
        </row>
        <row r="108">
          <cell r="A108">
            <v>20010</v>
          </cell>
        </row>
        <row r="109">
          <cell r="A109">
            <v>20011</v>
          </cell>
        </row>
        <row r="110">
          <cell r="A110">
            <v>20012</v>
          </cell>
        </row>
        <row r="111">
          <cell r="A111">
            <v>20013</v>
          </cell>
        </row>
        <row r="112">
          <cell r="A112">
            <v>20014</v>
          </cell>
        </row>
        <row r="113">
          <cell r="A113">
            <v>20015</v>
          </cell>
        </row>
        <row r="114">
          <cell r="A114">
            <v>20016</v>
          </cell>
        </row>
        <row r="115">
          <cell r="A115">
            <v>20017</v>
          </cell>
        </row>
        <row r="116">
          <cell r="A116">
            <v>20018</v>
          </cell>
        </row>
        <row r="117">
          <cell r="A117">
            <v>30001</v>
          </cell>
        </row>
        <row r="118">
          <cell r="A118">
            <v>30002</v>
          </cell>
        </row>
        <row r="119">
          <cell r="A119">
            <v>30003</v>
          </cell>
        </row>
        <row r="120">
          <cell r="A120">
            <v>30004</v>
          </cell>
        </row>
        <row r="121">
          <cell r="A121">
            <v>30005</v>
          </cell>
        </row>
        <row r="122">
          <cell r="A122">
            <v>30006</v>
          </cell>
        </row>
        <row r="123">
          <cell r="A123">
            <v>30007</v>
          </cell>
        </row>
        <row r="124">
          <cell r="A124">
            <v>30008</v>
          </cell>
        </row>
        <row r="125">
          <cell r="A125">
            <v>30009</v>
          </cell>
        </row>
        <row r="126">
          <cell r="A126">
            <v>30010</v>
          </cell>
        </row>
        <row r="127">
          <cell r="A127">
            <v>30011</v>
          </cell>
        </row>
        <row r="128">
          <cell r="A128">
            <v>30012</v>
          </cell>
        </row>
        <row r="129">
          <cell r="A129">
            <v>30013</v>
          </cell>
        </row>
        <row r="130">
          <cell r="A130">
            <v>30014</v>
          </cell>
        </row>
        <row r="131">
          <cell r="A131">
            <v>30015</v>
          </cell>
        </row>
        <row r="132">
          <cell r="A132">
            <v>30016</v>
          </cell>
        </row>
        <row r="133">
          <cell r="A133">
            <v>30017</v>
          </cell>
        </row>
        <row r="134">
          <cell r="A134">
            <v>30018</v>
          </cell>
        </row>
        <row r="135">
          <cell r="A135">
            <v>30019</v>
          </cell>
        </row>
        <row r="136">
          <cell r="A136">
            <v>30020</v>
          </cell>
        </row>
        <row r="137">
          <cell r="A137">
            <v>30021</v>
          </cell>
        </row>
        <row r="138">
          <cell r="A138">
            <v>30022</v>
          </cell>
        </row>
        <row r="139">
          <cell r="A139">
            <v>30023</v>
          </cell>
        </row>
        <row r="140">
          <cell r="A140">
            <v>30024</v>
          </cell>
        </row>
        <row r="141">
          <cell r="A141">
            <v>30025</v>
          </cell>
        </row>
        <row r="142">
          <cell r="A142">
            <v>30026</v>
          </cell>
        </row>
        <row r="143">
          <cell r="A143">
            <v>30027</v>
          </cell>
        </row>
        <row r="144">
          <cell r="A144">
            <v>30028</v>
          </cell>
        </row>
        <row r="145">
          <cell r="A145">
            <v>30029</v>
          </cell>
        </row>
        <row r="146">
          <cell r="A146">
            <v>30030</v>
          </cell>
        </row>
        <row r="147">
          <cell r="A147">
            <v>30031</v>
          </cell>
        </row>
        <row r="148">
          <cell r="A148">
            <v>30032</v>
          </cell>
        </row>
        <row r="149">
          <cell r="A149">
            <v>30033</v>
          </cell>
        </row>
        <row r="150">
          <cell r="A150">
            <v>30034</v>
          </cell>
        </row>
        <row r="151">
          <cell r="A151">
            <v>30035</v>
          </cell>
        </row>
        <row r="152">
          <cell r="A152">
            <v>30036</v>
          </cell>
        </row>
        <row r="153">
          <cell r="A153">
            <v>30037</v>
          </cell>
        </row>
        <row r="154">
          <cell r="A154">
            <v>39001</v>
          </cell>
        </row>
        <row r="155">
          <cell r="A155">
            <v>39002</v>
          </cell>
        </row>
        <row r="156">
          <cell r="A156">
            <v>39003</v>
          </cell>
        </row>
        <row r="157">
          <cell r="A157">
            <v>39004</v>
          </cell>
        </row>
        <row r="158">
          <cell r="A158">
            <v>39005</v>
          </cell>
        </row>
        <row r="159">
          <cell r="A159">
            <v>39006</v>
          </cell>
        </row>
        <row r="160">
          <cell r="A160">
            <v>40001</v>
          </cell>
        </row>
        <row r="161">
          <cell r="A161">
            <v>40002</v>
          </cell>
        </row>
        <row r="162">
          <cell r="A162">
            <v>40003</v>
          </cell>
        </row>
        <row r="163">
          <cell r="A163">
            <v>40004</v>
          </cell>
        </row>
        <row r="164">
          <cell r="A164">
            <v>40005</v>
          </cell>
        </row>
        <row r="165">
          <cell r="A165">
            <v>40006</v>
          </cell>
        </row>
        <row r="166">
          <cell r="A166">
            <v>40007</v>
          </cell>
        </row>
        <row r="167">
          <cell r="A167">
            <v>40008</v>
          </cell>
        </row>
        <row r="168">
          <cell r="A168">
            <v>40009</v>
          </cell>
        </row>
        <row r="169">
          <cell r="A169">
            <v>40010</v>
          </cell>
        </row>
        <row r="170">
          <cell r="A170">
            <v>40011</v>
          </cell>
        </row>
        <row r="171">
          <cell r="A171">
            <v>40012</v>
          </cell>
        </row>
        <row r="172">
          <cell r="A172">
            <v>40013</v>
          </cell>
        </row>
        <row r="173">
          <cell r="A173">
            <v>40014</v>
          </cell>
        </row>
        <row r="174">
          <cell r="A174">
            <v>40015</v>
          </cell>
        </row>
        <row r="175">
          <cell r="A175">
            <v>40016</v>
          </cell>
        </row>
        <row r="176">
          <cell r="A176">
            <v>40017</v>
          </cell>
        </row>
        <row r="177">
          <cell r="A177">
            <v>40018</v>
          </cell>
        </row>
        <row r="178">
          <cell r="A178">
            <v>40019</v>
          </cell>
        </row>
        <row r="179">
          <cell r="A179">
            <v>40021</v>
          </cell>
        </row>
        <row r="180">
          <cell r="A180">
            <v>48001</v>
          </cell>
        </row>
        <row r="181">
          <cell r="A181">
            <v>48002</v>
          </cell>
        </row>
        <row r="182">
          <cell r="A182">
            <v>41001</v>
          </cell>
        </row>
        <row r="183">
          <cell r="A183">
            <v>41002</v>
          </cell>
        </row>
        <row r="184">
          <cell r="A184">
            <v>41003</v>
          </cell>
        </row>
        <row r="185">
          <cell r="A185">
            <v>41004</v>
          </cell>
        </row>
        <row r="186">
          <cell r="A186">
            <v>41005</v>
          </cell>
        </row>
        <row r="187">
          <cell r="A187">
            <v>41006</v>
          </cell>
        </row>
        <row r="188">
          <cell r="A188">
            <v>41007</v>
          </cell>
        </row>
        <row r="189">
          <cell r="A189">
            <v>41008</v>
          </cell>
        </row>
        <row r="190">
          <cell r="A190">
            <v>41009</v>
          </cell>
        </row>
        <row r="191">
          <cell r="A191">
            <v>41010</v>
          </cell>
        </row>
        <row r="192">
          <cell r="A192">
            <v>41011</v>
          </cell>
        </row>
        <row r="193">
          <cell r="A193">
            <v>41012</v>
          </cell>
        </row>
        <row r="194">
          <cell r="A194">
            <v>47001</v>
          </cell>
        </row>
        <row r="195">
          <cell r="A195">
            <v>47002</v>
          </cell>
        </row>
        <row r="196">
          <cell r="A196">
            <v>49001</v>
          </cell>
        </row>
        <row r="197">
          <cell r="A197">
            <v>49002</v>
          </cell>
        </row>
        <row r="198">
          <cell r="A198">
            <v>49003</v>
          </cell>
        </row>
        <row r="199">
          <cell r="A199">
            <v>49004</v>
          </cell>
        </row>
        <row r="200">
          <cell r="A200">
            <v>49005</v>
          </cell>
        </row>
        <row r="201">
          <cell r="A201">
            <v>49006</v>
          </cell>
        </row>
        <row r="202">
          <cell r="A202">
            <v>50001</v>
          </cell>
        </row>
        <row r="203">
          <cell r="A203">
            <v>50002</v>
          </cell>
        </row>
        <row r="204">
          <cell r="A204">
            <v>50003</v>
          </cell>
        </row>
        <row r="205">
          <cell r="A205">
            <v>50004</v>
          </cell>
        </row>
        <row r="206">
          <cell r="A206">
            <v>50005</v>
          </cell>
        </row>
        <row r="207">
          <cell r="A207">
            <v>51001</v>
          </cell>
        </row>
        <row r="208">
          <cell r="A208">
            <v>51002</v>
          </cell>
        </row>
        <row r="209">
          <cell r="A209">
            <v>60001</v>
          </cell>
        </row>
        <row r="210">
          <cell r="A210">
            <v>60002</v>
          </cell>
        </row>
        <row r="211">
          <cell r="A211">
            <v>60003</v>
          </cell>
        </row>
        <row r="212">
          <cell r="A212">
            <v>60004</v>
          </cell>
        </row>
        <row r="213">
          <cell r="A213">
            <v>60005</v>
          </cell>
        </row>
        <row r="214">
          <cell r="A214">
            <v>60006</v>
          </cell>
        </row>
        <row r="215">
          <cell r="A215">
            <v>60007</v>
          </cell>
        </row>
        <row r="216">
          <cell r="A216">
            <v>60010</v>
          </cell>
        </row>
        <row r="217">
          <cell r="A217">
            <v>60011</v>
          </cell>
        </row>
        <row r="218">
          <cell r="A218">
            <v>61011</v>
          </cell>
        </row>
        <row r="219">
          <cell r="A219">
            <v>60012</v>
          </cell>
        </row>
        <row r="220">
          <cell r="A220">
            <v>65534</v>
          </cell>
        </row>
        <row r="221">
          <cell r="A221">
            <v>65535</v>
          </cell>
        </row>
        <row r="222">
          <cell r="A222">
            <v>60021</v>
          </cell>
        </row>
        <row r="223">
          <cell r="A223">
            <v>60022</v>
          </cell>
        </row>
        <row r="224">
          <cell r="A224">
            <v>60023</v>
          </cell>
        </row>
        <row r="225">
          <cell r="A22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11207_1</v>
          </cell>
        </row>
        <row r="265">
          <cell r="A265" t="str">
            <v>11207_2</v>
          </cell>
        </row>
        <row r="266">
          <cell r="A266" t="str">
            <v>11208_1</v>
          </cell>
        </row>
        <row r="267">
          <cell r="A267" t="str">
            <v>11208_2</v>
          </cell>
        </row>
        <row r="268">
          <cell r="A268" t="str">
            <v>11209_1</v>
          </cell>
        </row>
        <row r="269">
          <cell r="A269" t="str">
            <v>11209_2</v>
          </cell>
        </row>
        <row r="270">
          <cell r="A270" t="str">
            <v>11212_1</v>
          </cell>
        </row>
        <row r="271">
          <cell r="A271" t="str">
            <v>11213_1</v>
          </cell>
        </row>
        <row r="272">
          <cell r="A272" t="str">
            <v>11214_1</v>
          </cell>
        </row>
        <row r="273">
          <cell r="A273" t="str">
            <v>11214_2</v>
          </cell>
        </row>
        <row r="274">
          <cell r="A274" t="str">
            <v>11214_3</v>
          </cell>
        </row>
        <row r="275">
          <cell r="A275" t="str">
            <v>11215_1</v>
          </cell>
        </row>
        <row r="276">
          <cell r="A276" t="str">
            <v>11216_1</v>
          </cell>
        </row>
        <row r="277">
          <cell r="A277" t="str">
            <v>11217_1</v>
          </cell>
        </row>
        <row r="278">
          <cell r="A278" t="str">
            <v>11218_1</v>
          </cell>
        </row>
        <row r="279">
          <cell r="A279" t="str">
            <v>11219_1</v>
          </cell>
        </row>
        <row r="280">
          <cell r="A280" t="str">
            <v>11220_1</v>
          </cell>
        </row>
        <row r="281">
          <cell r="A281" t="str">
            <v>11221_1</v>
          </cell>
        </row>
        <row r="282">
          <cell r="A282" t="str">
            <v>11224_1</v>
          </cell>
        </row>
        <row r="283">
          <cell r="A283" t="str">
            <v>11225_1</v>
          </cell>
        </row>
        <row r="284">
          <cell r="A284" t="str">
            <v>11226_1</v>
          </cell>
        </row>
        <row r="285">
          <cell r="A285" t="str">
            <v>11226_2</v>
          </cell>
        </row>
        <row r="286">
          <cell r="A286" t="str">
            <v>11226_3</v>
          </cell>
        </row>
        <row r="287">
          <cell r="A287" t="str">
            <v>11226_4</v>
          </cell>
        </row>
        <row r="288">
          <cell r="A288" t="str">
            <v>11226_5</v>
          </cell>
        </row>
        <row r="289">
          <cell r="A289" t="str">
            <v>11226_6</v>
          </cell>
        </row>
        <row r="290">
          <cell r="A290" t="str">
            <v>11226_7</v>
          </cell>
        </row>
        <row r="291">
          <cell r="A291" t="str">
            <v>11226_8</v>
          </cell>
        </row>
        <row r="292">
          <cell r="A292" t="str">
            <v>12001_1</v>
          </cell>
        </row>
        <row r="293">
          <cell r="A293" t="str">
            <v>12001_2</v>
          </cell>
        </row>
        <row r="294">
          <cell r="A294" t="str">
            <v>12001_3</v>
          </cell>
        </row>
        <row r="295">
          <cell r="A295" t="str">
            <v>12002_1</v>
          </cell>
        </row>
        <row r="296">
          <cell r="A296" t="str">
            <v>12002_2</v>
          </cell>
        </row>
        <row r="297">
          <cell r="A297" t="str">
            <v>12003_1</v>
          </cell>
        </row>
        <row r="298">
          <cell r="A298" t="str">
            <v>12003_2</v>
          </cell>
        </row>
        <row r="299">
          <cell r="A299" t="str">
            <v>12003_3</v>
          </cell>
        </row>
        <row r="300">
          <cell r="A300" t="str">
            <v>12003_4</v>
          </cell>
        </row>
        <row r="301">
          <cell r="A301" t="str">
            <v>12004_1</v>
          </cell>
        </row>
        <row r="302">
          <cell r="A302" t="str">
            <v>13001_1</v>
          </cell>
        </row>
        <row r="303">
          <cell r="A303" t="str">
            <v>13001_2</v>
          </cell>
        </row>
        <row r="304">
          <cell r="A304" t="str">
            <v>13001_3</v>
          </cell>
        </row>
        <row r="305">
          <cell r="A305" t="str">
            <v>13001_4</v>
          </cell>
        </row>
        <row r="306">
          <cell r="A306" t="str">
            <v>13001_5</v>
          </cell>
        </row>
        <row r="307">
          <cell r="A307" t="str">
            <v>13001_6</v>
          </cell>
        </row>
        <row r="308">
          <cell r="A308" t="str">
            <v>13001_7</v>
          </cell>
        </row>
        <row r="309">
          <cell r="A309" t="str">
            <v>13001_8</v>
          </cell>
        </row>
        <row r="310">
          <cell r="A310" t="str">
            <v>13001_9</v>
          </cell>
        </row>
        <row r="311">
          <cell r="A311" t="str">
            <v>13001_10</v>
          </cell>
        </row>
        <row r="312">
          <cell r="A312" t="str">
            <v>13001_11</v>
          </cell>
        </row>
        <row r="313">
          <cell r="A313" t="str">
            <v>13001_12</v>
          </cell>
        </row>
        <row r="314">
          <cell r="A314" t="str">
            <v>13001_13</v>
          </cell>
        </row>
        <row r="315">
          <cell r="A315" t="str">
            <v>13001_14</v>
          </cell>
        </row>
        <row r="316">
          <cell r="A316" t="str">
            <v>13001_15</v>
          </cell>
        </row>
        <row r="317">
          <cell r="A317" t="str">
            <v>13001_16</v>
          </cell>
        </row>
        <row r="318">
          <cell r="A318" t="str">
            <v>13001_17</v>
          </cell>
        </row>
        <row r="319">
          <cell r="A319" t="str">
            <v>13001_18</v>
          </cell>
        </row>
        <row r="320">
          <cell r="A320" t="str">
            <v>13001_19</v>
          </cell>
        </row>
        <row r="321">
          <cell r="A321" t="str">
            <v>13001_20</v>
          </cell>
        </row>
        <row r="322">
          <cell r="A322" t="str">
            <v>13001_21</v>
          </cell>
        </row>
        <row r="323">
          <cell r="A323" t="str">
            <v>13001_22</v>
          </cell>
        </row>
        <row r="324">
          <cell r="A324" t="str">
            <v>13001_23</v>
          </cell>
        </row>
        <row r="325">
          <cell r="A325" t="str">
            <v>13001_24</v>
          </cell>
        </row>
        <row r="326">
          <cell r="A326" t="str">
            <v>13001_25</v>
          </cell>
        </row>
        <row r="327">
          <cell r="A327" t="str">
            <v>14001_1</v>
          </cell>
        </row>
        <row r="328">
          <cell r="A328" t="str">
            <v>14001_2</v>
          </cell>
        </row>
        <row r="329">
          <cell r="A329" t="str">
            <v>14001_3</v>
          </cell>
        </row>
        <row r="330">
          <cell r="A330" t="str">
            <v>14001_4</v>
          </cell>
        </row>
        <row r="331">
          <cell r="A331" t="str">
            <v>14001_5</v>
          </cell>
        </row>
        <row r="332">
          <cell r="A332" t="str">
            <v>14001_6</v>
          </cell>
        </row>
        <row r="333">
          <cell r="A333" t="str">
            <v>14001_7</v>
          </cell>
        </row>
        <row r="334">
          <cell r="A334" t="str">
            <v>14001_8</v>
          </cell>
        </row>
        <row r="335">
          <cell r="A335" t="str">
            <v>14002_1</v>
          </cell>
        </row>
        <row r="336">
          <cell r="A336" t="str">
            <v>14002_2</v>
          </cell>
        </row>
        <row r="337">
          <cell r="A337" t="str">
            <v>14003_1</v>
          </cell>
        </row>
        <row r="338">
          <cell r="A338" t="str">
            <v>14003_2</v>
          </cell>
        </row>
        <row r="339">
          <cell r="A339" t="str">
            <v>14003_3</v>
          </cell>
        </row>
        <row r="340">
          <cell r="A340" t="str">
            <v>14003_4</v>
          </cell>
        </row>
        <row r="341">
          <cell r="A341" t="str">
            <v>14004_1</v>
          </cell>
        </row>
        <row r="342">
          <cell r="A342" t="str">
            <v>14004_2</v>
          </cell>
        </row>
        <row r="343">
          <cell r="A343" t="str">
            <v>14004_3</v>
          </cell>
        </row>
        <row r="344">
          <cell r="A344" t="str">
            <v>14004_4</v>
          </cell>
        </row>
        <row r="345">
          <cell r="A345" t="str">
            <v>14005_1</v>
          </cell>
        </row>
        <row r="346">
          <cell r="A346" t="str">
            <v>14006_1</v>
          </cell>
        </row>
        <row r="347">
          <cell r="A347" t="str">
            <v>15027_1</v>
          </cell>
        </row>
        <row r="348">
          <cell r="A348" t="str">
            <v>15027_2</v>
          </cell>
        </row>
        <row r="349">
          <cell r="A349" t="str">
            <v>15027_3</v>
          </cell>
        </row>
        <row r="350">
          <cell r="A350" t="str">
            <v>15027_4</v>
          </cell>
        </row>
        <row r="351">
          <cell r="A351" t="str">
            <v>15028_1</v>
          </cell>
        </row>
        <row r="352">
          <cell r="A352" t="str">
            <v>15028_2</v>
          </cell>
        </row>
        <row r="353">
          <cell r="A353" t="str">
            <v>15028_3</v>
          </cell>
        </row>
        <row r="354">
          <cell r="A354" t="str">
            <v>15028_4</v>
          </cell>
        </row>
        <row r="355">
          <cell r="A355" t="str">
            <v>15029_1</v>
          </cell>
        </row>
        <row r="356">
          <cell r="A356" t="str">
            <v>15029_2</v>
          </cell>
        </row>
        <row r="357">
          <cell r="A357" t="str">
            <v>15029_3</v>
          </cell>
        </row>
        <row r="358">
          <cell r="A358" t="str">
            <v>15029_4</v>
          </cell>
        </row>
        <row r="359">
          <cell r="A359" t="str">
            <v>15030_1</v>
          </cell>
        </row>
        <row r="360">
          <cell r="A360" t="str">
            <v>15030_2</v>
          </cell>
        </row>
        <row r="361">
          <cell r="A361" t="str">
            <v>15030_3</v>
          </cell>
        </row>
        <row r="362">
          <cell r="A362" t="str">
            <v>15030_4</v>
          </cell>
        </row>
        <row r="363">
          <cell r="A363" t="str">
            <v>15031_1</v>
          </cell>
        </row>
        <row r="364">
          <cell r="A364" t="str">
            <v>15031_2</v>
          </cell>
        </row>
        <row r="365">
          <cell r="A365" t="str">
            <v>15031_3</v>
          </cell>
        </row>
        <row r="366">
          <cell r="A366" t="str">
            <v>15031_4</v>
          </cell>
        </row>
        <row r="367">
          <cell r="A367" t="str">
            <v>20001_1</v>
          </cell>
        </row>
        <row r="368">
          <cell r="A368" t="str">
            <v>20001_2</v>
          </cell>
        </row>
        <row r="369">
          <cell r="A369" t="str">
            <v>20001_3</v>
          </cell>
        </row>
        <row r="370">
          <cell r="A370" t="str">
            <v>20002_1</v>
          </cell>
        </row>
        <row r="371">
          <cell r="A371" t="str">
            <v>20002_2</v>
          </cell>
        </row>
        <row r="372">
          <cell r="A372" t="str">
            <v>20002_3</v>
          </cell>
        </row>
        <row r="373">
          <cell r="A373" t="str">
            <v>20003_1</v>
          </cell>
        </row>
        <row r="374">
          <cell r="A374" t="str">
            <v>20003_2</v>
          </cell>
        </row>
        <row r="375">
          <cell r="A375" t="str">
            <v>20003_3</v>
          </cell>
        </row>
        <row r="376">
          <cell r="A376" t="str">
            <v>20004_1</v>
          </cell>
        </row>
        <row r="377">
          <cell r="A377" t="str">
            <v>20004_2</v>
          </cell>
        </row>
        <row r="378">
          <cell r="A378" t="str">
            <v>20004_3</v>
          </cell>
        </row>
        <row r="379">
          <cell r="A379" t="str">
            <v>20005_1</v>
          </cell>
        </row>
        <row r="380">
          <cell r="A380" t="str">
            <v>20005_2</v>
          </cell>
        </row>
        <row r="381">
          <cell r="A381" t="str">
            <v>20005_3</v>
          </cell>
        </row>
        <row r="382">
          <cell r="A382" t="str">
            <v>20006_1</v>
          </cell>
        </row>
        <row r="383">
          <cell r="A383" t="str">
            <v>20006_2</v>
          </cell>
        </row>
        <row r="384">
          <cell r="A384" t="str">
            <v>20006_3</v>
          </cell>
        </row>
        <row r="385">
          <cell r="A385" t="str">
            <v>20007_1</v>
          </cell>
        </row>
        <row r="386">
          <cell r="A386" t="str">
            <v>20007_2</v>
          </cell>
        </row>
        <row r="387">
          <cell r="A387" t="str">
            <v>20007_3</v>
          </cell>
        </row>
        <row r="388">
          <cell r="A388" t="str">
            <v>20008_1</v>
          </cell>
        </row>
        <row r="389">
          <cell r="A389" t="str">
            <v>20008_2</v>
          </cell>
        </row>
        <row r="390">
          <cell r="A390" t="str">
            <v>20008_3</v>
          </cell>
        </row>
        <row r="391">
          <cell r="A391" t="str">
            <v>20009_1</v>
          </cell>
        </row>
        <row r="392">
          <cell r="A392" t="str">
            <v>20009_2</v>
          </cell>
        </row>
        <row r="393">
          <cell r="A393" t="str">
            <v>20009_3</v>
          </cell>
        </row>
        <row r="394">
          <cell r="A394" t="str">
            <v>20010_1</v>
          </cell>
        </row>
        <row r="395">
          <cell r="A395" t="str">
            <v>20010_2</v>
          </cell>
        </row>
        <row r="396">
          <cell r="A396" t="str">
            <v>20010_3</v>
          </cell>
        </row>
        <row r="397">
          <cell r="A397" t="str">
            <v>20011_1</v>
          </cell>
        </row>
        <row r="398">
          <cell r="A398" t="str">
            <v>20011_2</v>
          </cell>
        </row>
        <row r="399">
          <cell r="A399" t="str">
            <v>20011_3</v>
          </cell>
        </row>
        <row r="400">
          <cell r="A400" t="str">
            <v>20012_1</v>
          </cell>
        </row>
        <row r="401">
          <cell r="A401" t="str">
            <v>20012_2</v>
          </cell>
        </row>
        <row r="402">
          <cell r="A402" t="str">
            <v>20012_3</v>
          </cell>
        </row>
        <row r="403">
          <cell r="A403" t="str">
            <v>20013_1</v>
          </cell>
        </row>
        <row r="404">
          <cell r="A404" t="str">
            <v>20013_2</v>
          </cell>
        </row>
        <row r="405">
          <cell r="A405" t="str">
            <v>20013_3</v>
          </cell>
        </row>
        <row r="406">
          <cell r="A406" t="str">
            <v>20014_1</v>
          </cell>
        </row>
        <row r="407">
          <cell r="A407" t="str">
            <v>20014_2</v>
          </cell>
        </row>
        <row r="408">
          <cell r="A408" t="str">
            <v>20014_3</v>
          </cell>
        </row>
        <row r="409">
          <cell r="A409" t="str">
            <v>20015_1</v>
          </cell>
        </row>
        <row r="410">
          <cell r="A410" t="str">
            <v>20015_2</v>
          </cell>
        </row>
        <row r="411">
          <cell r="A411" t="str">
            <v>20015_3</v>
          </cell>
        </row>
        <row r="412">
          <cell r="A412" t="str">
            <v>20016_1</v>
          </cell>
        </row>
        <row r="413">
          <cell r="A413" t="str">
            <v>20016_2</v>
          </cell>
        </row>
        <row r="414">
          <cell r="A414" t="str">
            <v>20016_3</v>
          </cell>
        </row>
        <row r="415">
          <cell r="A415" t="str">
            <v>20017_1</v>
          </cell>
        </row>
        <row r="416">
          <cell r="A416" t="str">
            <v>20017_2</v>
          </cell>
        </row>
        <row r="417">
          <cell r="A417" t="str">
            <v>20017_3</v>
          </cell>
        </row>
        <row r="418">
          <cell r="A418" t="str">
            <v>20018_1</v>
          </cell>
        </row>
        <row r="419">
          <cell r="A419" t="str">
            <v>20018_2</v>
          </cell>
        </row>
        <row r="420">
          <cell r="A420" t="str">
            <v>20018_3</v>
          </cell>
        </row>
        <row r="421">
          <cell r="A421" t="str">
            <v>30001_1</v>
          </cell>
        </row>
        <row r="422">
          <cell r="A422" t="str">
            <v>30001_2</v>
          </cell>
        </row>
        <row r="423">
          <cell r="A423" t="str">
            <v>30001_3</v>
          </cell>
        </row>
        <row r="424">
          <cell r="A424" t="str">
            <v>30002_1</v>
          </cell>
        </row>
        <row r="425">
          <cell r="A425" t="str">
            <v>30002_2</v>
          </cell>
        </row>
        <row r="426">
          <cell r="A426" t="str">
            <v>30002_3</v>
          </cell>
        </row>
        <row r="427">
          <cell r="A427" t="str">
            <v>30003_1</v>
          </cell>
        </row>
        <row r="428">
          <cell r="A428" t="str">
            <v>30003_2</v>
          </cell>
        </row>
        <row r="429">
          <cell r="A429" t="str">
            <v>30003_3</v>
          </cell>
        </row>
        <row r="430">
          <cell r="A430" t="str">
            <v>30004_1</v>
          </cell>
        </row>
        <row r="431">
          <cell r="A431" t="str">
            <v>30004_2</v>
          </cell>
        </row>
        <row r="432">
          <cell r="A432" t="str">
            <v>30004_3</v>
          </cell>
        </row>
        <row r="433">
          <cell r="A433" t="str">
            <v>30005_1</v>
          </cell>
        </row>
        <row r="434">
          <cell r="A434" t="str">
            <v>30005_2</v>
          </cell>
        </row>
        <row r="435">
          <cell r="A435" t="str">
            <v>30005_3</v>
          </cell>
        </row>
        <row r="436">
          <cell r="A436" t="str">
            <v>30006_1</v>
          </cell>
        </row>
        <row r="437">
          <cell r="A437" t="str">
            <v>30006_2</v>
          </cell>
        </row>
        <row r="438">
          <cell r="A438" t="str">
            <v>30006_3</v>
          </cell>
        </row>
        <row r="439">
          <cell r="A439" t="str">
            <v>30007_1</v>
          </cell>
        </row>
        <row r="440">
          <cell r="A440" t="str">
            <v>30007_2</v>
          </cell>
        </row>
        <row r="441">
          <cell r="A441" t="str">
            <v>30007_3</v>
          </cell>
        </row>
        <row r="442">
          <cell r="A442" t="str">
            <v>30008_1</v>
          </cell>
        </row>
        <row r="443">
          <cell r="A443" t="str">
            <v>30008_2</v>
          </cell>
        </row>
        <row r="444">
          <cell r="A444" t="str">
            <v>30008_3</v>
          </cell>
        </row>
        <row r="445">
          <cell r="A445" t="str">
            <v>30009_3</v>
          </cell>
        </row>
        <row r="446">
          <cell r="A446" t="str">
            <v>30009_1</v>
          </cell>
        </row>
        <row r="447">
          <cell r="A447" t="str">
            <v>30009_2</v>
          </cell>
        </row>
        <row r="448">
          <cell r="A448" t="str">
            <v>30010_1</v>
          </cell>
        </row>
        <row r="449">
          <cell r="A449" t="str">
            <v>30010_2</v>
          </cell>
        </row>
        <row r="450">
          <cell r="A450" t="str">
            <v>30010_3</v>
          </cell>
        </row>
        <row r="451">
          <cell r="A451" t="str">
            <v>30011_1</v>
          </cell>
        </row>
        <row r="452">
          <cell r="A452" t="str">
            <v>30011_2</v>
          </cell>
        </row>
        <row r="453">
          <cell r="A453" t="str">
            <v>30011_3</v>
          </cell>
        </row>
        <row r="454">
          <cell r="A454" t="str">
            <v>30012_1</v>
          </cell>
        </row>
        <row r="455">
          <cell r="A455" t="str">
            <v>30012_2</v>
          </cell>
        </row>
        <row r="456">
          <cell r="A456" t="str">
            <v>30012_3</v>
          </cell>
        </row>
        <row r="457">
          <cell r="A457" t="str">
            <v>30013_1</v>
          </cell>
        </row>
        <row r="458">
          <cell r="A458" t="str">
            <v>30013_2</v>
          </cell>
        </row>
        <row r="459">
          <cell r="A459" t="str">
            <v>30014_1</v>
          </cell>
        </row>
        <row r="460">
          <cell r="A460" t="str">
            <v>30014_2</v>
          </cell>
        </row>
        <row r="461">
          <cell r="A461" t="str">
            <v>30015_1</v>
          </cell>
        </row>
        <row r="462">
          <cell r="A462" t="str">
            <v>30015_2</v>
          </cell>
        </row>
        <row r="463">
          <cell r="A463" t="str">
            <v>30016_1</v>
          </cell>
        </row>
        <row r="464">
          <cell r="A464" t="str">
            <v>30016_2</v>
          </cell>
        </row>
        <row r="465">
          <cell r="A465" t="str">
            <v>30017_1</v>
          </cell>
        </row>
        <row r="466">
          <cell r="A466" t="str">
            <v>30017_2</v>
          </cell>
        </row>
        <row r="467">
          <cell r="A467" t="str">
            <v>30018_1</v>
          </cell>
        </row>
        <row r="468">
          <cell r="A468" t="str">
            <v>30018_2</v>
          </cell>
        </row>
        <row r="469">
          <cell r="A469" t="str">
            <v>30019_1</v>
          </cell>
        </row>
        <row r="470">
          <cell r="A470" t="str">
            <v>30019_2</v>
          </cell>
        </row>
        <row r="471">
          <cell r="A471" t="str">
            <v>30020_1</v>
          </cell>
        </row>
        <row r="472">
          <cell r="A472" t="str">
            <v>30020_2</v>
          </cell>
        </row>
        <row r="473">
          <cell r="A473" t="str">
            <v>30021_1</v>
          </cell>
        </row>
        <row r="474">
          <cell r="A474" t="str">
            <v>30021_2</v>
          </cell>
        </row>
        <row r="475">
          <cell r="A475" t="str">
            <v>30021_3</v>
          </cell>
        </row>
        <row r="476">
          <cell r="A476" t="str">
            <v>30022_1</v>
          </cell>
        </row>
        <row r="477">
          <cell r="A477" t="str">
            <v>30022_2</v>
          </cell>
        </row>
        <row r="478">
          <cell r="A478" t="str">
            <v>30023_1</v>
          </cell>
        </row>
        <row r="479">
          <cell r="A479" t="str">
            <v>30023_2</v>
          </cell>
        </row>
        <row r="480">
          <cell r="A480" t="str">
            <v>30023_3</v>
          </cell>
        </row>
        <row r="481">
          <cell r="A481" t="str">
            <v>30024_1</v>
          </cell>
        </row>
        <row r="482">
          <cell r="A482" t="str">
            <v>30024_2</v>
          </cell>
        </row>
        <row r="483">
          <cell r="A483" t="str">
            <v>30024_3</v>
          </cell>
        </row>
        <row r="484">
          <cell r="A484" t="str">
            <v>30025_1</v>
          </cell>
        </row>
        <row r="485">
          <cell r="A485" t="str">
            <v>30025_2</v>
          </cell>
        </row>
        <row r="486">
          <cell r="A486" t="str">
            <v>30025_3</v>
          </cell>
        </row>
        <row r="487">
          <cell r="A487" t="str">
            <v>30026_1</v>
          </cell>
        </row>
        <row r="488">
          <cell r="A488" t="str">
            <v>30026_2</v>
          </cell>
        </row>
        <row r="489">
          <cell r="A489" t="str">
            <v>30026_3</v>
          </cell>
        </row>
        <row r="490">
          <cell r="A490" t="str">
            <v>30027_1</v>
          </cell>
        </row>
        <row r="491">
          <cell r="A491" t="str">
            <v>30027_2</v>
          </cell>
        </row>
        <row r="492">
          <cell r="A492" t="str">
            <v>30027_3</v>
          </cell>
        </row>
        <row r="493">
          <cell r="A493" t="str">
            <v>30028_1</v>
          </cell>
        </row>
        <row r="494">
          <cell r="A494" t="str">
            <v>30028_2</v>
          </cell>
        </row>
        <row r="495">
          <cell r="A495" t="str">
            <v>30028_3</v>
          </cell>
        </row>
        <row r="496">
          <cell r="A496" t="str">
            <v>30029_1</v>
          </cell>
        </row>
        <row r="497">
          <cell r="A497" t="str">
            <v>30029_2</v>
          </cell>
        </row>
        <row r="498">
          <cell r="A498" t="str">
            <v>30029_3</v>
          </cell>
        </row>
        <row r="499">
          <cell r="A499" t="str">
            <v>30030_1</v>
          </cell>
        </row>
        <row r="500">
          <cell r="A500" t="str">
            <v>30030_2</v>
          </cell>
        </row>
        <row r="501">
          <cell r="A501" t="str">
            <v>30030_3</v>
          </cell>
        </row>
        <row r="502">
          <cell r="A502" t="str">
            <v>30031_1</v>
          </cell>
        </row>
        <row r="503">
          <cell r="A503" t="str">
            <v>30031_2</v>
          </cell>
        </row>
        <row r="504">
          <cell r="A504" t="str">
            <v>30031_3</v>
          </cell>
        </row>
        <row r="505">
          <cell r="A505" t="str">
            <v>30032_1</v>
          </cell>
        </row>
        <row r="506">
          <cell r="A506" t="str">
            <v>30032_2</v>
          </cell>
        </row>
        <row r="507">
          <cell r="A507" t="str">
            <v>30032_3</v>
          </cell>
        </row>
        <row r="508">
          <cell r="A508" t="str">
            <v>30033_1</v>
          </cell>
        </row>
        <row r="509">
          <cell r="A509" t="str">
            <v>30033_2</v>
          </cell>
        </row>
        <row r="510">
          <cell r="A510" t="str">
            <v>30033_3</v>
          </cell>
        </row>
        <row r="511">
          <cell r="A511" t="str">
            <v>30034_1</v>
          </cell>
        </row>
        <row r="512">
          <cell r="A512" t="str">
            <v>30034_2</v>
          </cell>
        </row>
        <row r="513">
          <cell r="A513" t="str">
            <v>30034_3</v>
          </cell>
        </row>
        <row r="514">
          <cell r="A514" t="str">
            <v>30035_1</v>
          </cell>
        </row>
        <row r="515">
          <cell r="A515" t="str">
            <v>30035_2</v>
          </cell>
        </row>
        <row r="516">
          <cell r="A516" t="str">
            <v>30035_3</v>
          </cell>
        </row>
        <row r="517">
          <cell r="A517" t="str">
            <v>30036_1</v>
          </cell>
        </row>
        <row r="518">
          <cell r="A518" t="str">
            <v>30036_2</v>
          </cell>
        </row>
        <row r="519">
          <cell r="A519" t="str">
            <v>30036_3</v>
          </cell>
        </row>
        <row r="520">
          <cell r="A520" t="str">
            <v>30037_1</v>
          </cell>
        </row>
        <row r="521">
          <cell r="A521" t="str">
            <v>30037_2</v>
          </cell>
        </row>
        <row r="522">
          <cell r="A522" t="str">
            <v>30037_3</v>
          </cell>
        </row>
        <row r="523">
          <cell r="A523" t="str">
            <v>39001_1</v>
          </cell>
        </row>
        <row r="524">
          <cell r="A524" t="str">
            <v>39001_2</v>
          </cell>
        </row>
        <row r="525">
          <cell r="A525" t="str">
            <v>39001_3</v>
          </cell>
        </row>
        <row r="526">
          <cell r="A526" t="str">
            <v>39001_4</v>
          </cell>
        </row>
        <row r="527">
          <cell r="A527" t="str">
            <v>39001_5</v>
          </cell>
        </row>
        <row r="528">
          <cell r="A528" t="str">
            <v>39002_1</v>
          </cell>
        </row>
        <row r="529">
          <cell r="A529" t="str">
            <v>39002_2</v>
          </cell>
        </row>
        <row r="530">
          <cell r="A530" t="str">
            <v>39002_3</v>
          </cell>
        </row>
        <row r="531">
          <cell r="A531" t="str">
            <v>39002_4</v>
          </cell>
        </row>
        <row r="532">
          <cell r="A532" t="str">
            <v>39003_1</v>
          </cell>
        </row>
        <row r="533">
          <cell r="A533" t="str">
            <v>39003_2</v>
          </cell>
        </row>
        <row r="534">
          <cell r="A534" t="str">
            <v>39003_3</v>
          </cell>
        </row>
        <row r="535">
          <cell r="A535" t="str">
            <v>39003_4</v>
          </cell>
        </row>
        <row r="536">
          <cell r="A536" t="str">
            <v>39004_1</v>
          </cell>
        </row>
        <row r="537">
          <cell r="A537" t="str">
            <v>39004_2</v>
          </cell>
        </row>
        <row r="538">
          <cell r="A538" t="str">
            <v>39004_3</v>
          </cell>
        </row>
        <row r="539">
          <cell r="A539" t="str">
            <v>39004_4</v>
          </cell>
        </row>
        <row r="540">
          <cell r="A540" t="str">
            <v>39005_1</v>
          </cell>
        </row>
        <row r="541">
          <cell r="A541" t="str">
            <v>39005_2</v>
          </cell>
        </row>
        <row r="542">
          <cell r="A542" t="str">
            <v>39005_3</v>
          </cell>
        </row>
        <row r="543">
          <cell r="A543" t="str">
            <v>39005_4</v>
          </cell>
        </row>
        <row r="544">
          <cell r="A544" t="str">
            <v>39005_5</v>
          </cell>
        </row>
        <row r="545">
          <cell r="A545" t="str">
            <v>39006_1</v>
          </cell>
        </row>
        <row r="546">
          <cell r="A546" t="str">
            <v>39006_2</v>
          </cell>
        </row>
        <row r="547">
          <cell r="A547" t="str">
            <v>39006_3</v>
          </cell>
        </row>
        <row r="548">
          <cell r="A548" t="str">
            <v>39006_4</v>
          </cell>
        </row>
        <row r="549">
          <cell r="A549" t="str">
            <v>40001_1</v>
          </cell>
        </row>
        <row r="550">
          <cell r="A550" t="str">
            <v>40002_1</v>
          </cell>
        </row>
        <row r="551">
          <cell r="A551" t="str">
            <v>40002_2</v>
          </cell>
        </row>
        <row r="552">
          <cell r="A552" t="str">
            <v>40002_3</v>
          </cell>
        </row>
        <row r="553">
          <cell r="A553" t="str">
            <v>40003_1</v>
          </cell>
        </row>
        <row r="554">
          <cell r="A554" t="str">
            <v>40004_1</v>
          </cell>
        </row>
        <row r="555">
          <cell r="A555" t="str">
            <v>40005_1</v>
          </cell>
        </row>
        <row r="556">
          <cell r="A556" t="str">
            <v>40006_1</v>
          </cell>
        </row>
        <row r="557">
          <cell r="A557" t="str">
            <v>40007_1</v>
          </cell>
        </row>
        <row r="558">
          <cell r="A558" t="str">
            <v>40008_1</v>
          </cell>
        </row>
        <row r="559">
          <cell r="A559" t="str">
            <v>40009_1</v>
          </cell>
        </row>
        <row r="560">
          <cell r="A560" t="str">
            <v>40010_1</v>
          </cell>
        </row>
        <row r="561">
          <cell r="A561" t="str">
            <v>40011_1</v>
          </cell>
        </row>
        <row r="562">
          <cell r="A562" t="str">
            <v>40012_1</v>
          </cell>
        </row>
        <row r="563">
          <cell r="A563" t="str">
            <v>40013_1</v>
          </cell>
        </row>
        <row r="564">
          <cell r="A564" t="str">
            <v>40014_1</v>
          </cell>
        </row>
        <row r="565">
          <cell r="A565" t="str">
            <v>40015_1</v>
          </cell>
        </row>
        <row r="566">
          <cell r="A566" t="str">
            <v>40016_1</v>
          </cell>
        </row>
        <row r="567">
          <cell r="A567" t="str">
            <v>40016_2</v>
          </cell>
        </row>
        <row r="568">
          <cell r="A568" t="str">
            <v>40017_1</v>
          </cell>
        </row>
        <row r="569">
          <cell r="A569" t="str">
            <v>40017_2</v>
          </cell>
        </row>
        <row r="570">
          <cell r="A570" t="str">
            <v>40017_3</v>
          </cell>
        </row>
        <row r="571">
          <cell r="A571" t="str">
            <v>40018_1</v>
          </cell>
        </row>
        <row r="572">
          <cell r="A572" t="str">
            <v>40018_2</v>
          </cell>
        </row>
        <row r="573">
          <cell r="A573" t="str">
            <v>40018_3</v>
          </cell>
        </row>
        <row r="574">
          <cell r="A574" t="str">
            <v>40019_1</v>
          </cell>
        </row>
        <row r="575">
          <cell r="A575" t="str">
            <v>40019_2</v>
          </cell>
        </row>
        <row r="576">
          <cell r="A576" t="str">
            <v>40019_3</v>
          </cell>
        </row>
        <row r="577">
          <cell r="A577" t="str">
            <v>40021_1</v>
          </cell>
        </row>
        <row r="578">
          <cell r="A578" t="str">
            <v>40021_2</v>
          </cell>
        </row>
        <row r="579">
          <cell r="A579" t="str">
            <v>48001_1</v>
          </cell>
        </row>
        <row r="580">
          <cell r="A580" t="str">
            <v>48002_1</v>
          </cell>
        </row>
        <row r="581">
          <cell r="A581" t="str">
            <v>48002_2</v>
          </cell>
        </row>
        <row r="582">
          <cell r="A582" t="str">
            <v>48002_3</v>
          </cell>
        </row>
        <row r="583">
          <cell r="A583" t="str">
            <v>41001_1</v>
          </cell>
        </row>
        <row r="584">
          <cell r="A584" t="str">
            <v>41001_2</v>
          </cell>
        </row>
        <row r="585">
          <cell r="A585" t="str">
            <v>41001_3</v>
          </cell>
        </row>
        <row r="586">
          <cell r="A586" t="str">
            <v>41002_1</v>
          </cell>
        </row>
        <row r="587">
          <cell r="A587" t="str">
            <v>41002_2</v>
          </cell>
        </row>
        <row r="588">
          <cell r="A588" t="str">
            <v>41002_3</v>
          </cell>
        </row>
        <row r="589">
          <cell r="A589" t="str">
            <v>41003_1</v>
          </cell>
        </row>
        <row r="590">
          <cell r="A590" t="str">
            <v>41003_2</v>
          </cell>
        </row>
        <row r="591">
          <cell r="A591" t="str">
            <v>41003_3</v>
          </cell>
        </row>
        <row r="592">
          <cell r="A592" t="str">
            <v>41004_1</v>
          </cell>
        </row>
        <row r="593">
          <cell r="A593" t="str">
            <v>41004_2</v>
          </cell>
        </row>
        <row r="594">
          <cell r="A594" t="str">
            <v>41004_3</v>
          </cell>
        </row>
        <row r="595">
          <cell r="A595" t="str">
            <v>41005_1</v>
          </cell>
        </row>
        <row r="596">
          <cell r="A596" t="str">
            <v>41005_2</v>
          </cell>
        </row>
        <row r="597">
          <cell r="A597" t="str">
            <v>41005_3</v>
          </cell>
        </row>
        <row r="598">
          <cell r="A598" t="str">
            <v>41006_1</v>
          </cell>
        </row>
        <row r="599">
          <cell r="A599" t="str">
            <v>41006_2</v>
          </cell>
        </row>
        <row r="600">
          <cell r="A600" t="str">
            <v>41006_3</v>
          </cell>
        </row>
        <row r="601">
          <cell r="A601" t="str">
            <v>41007_1</v>
          </cell>
        </row>
        <row r="602">
          <cell r="A602" t="str">
            <v>41007_2</v>
          </cell>
        </row>
        <row r="603">
          <cell r="A603" t="str">
            <v>41007_3</v>
          </cell>
        </row>
        <row r="604">
          <cell r="A604" t="str">
            <v>41008_1</v>
          </cell>
        </row>
        <row r="605">
          <cell r="A605" t="str">
            <v>41008_2</v>
          </cell>
        </row>
        <row r="606">
          <cell r="A606" t="str">
            <v>41008_3</v>
          </cell>
        </row>
        <row r="607">
          <cell r="A607" t="str">
            <v>41009_1</v>
          </cell>
        </row>
        <row r="608">
          <cell r="A608" t="str">
            <v>41009_2</v>
          </cell>
        </row>
        <row r="609">
          <cell r="A609" t="str">
            <v>41009_3</v>
          </cell>
        </row>
        <row r="610">
          <cell r="A610" t="str">
            <v>41010_1</v>
          </cell>
        </row>
        <row r="611">
          <cell r="A611" t="str">
            <v>41010_2</v>
          </cell>
        </row>
        <row r="612">
          <cell r="A612" t="str">
            <v>41010_3</v>
          </cell>
        </row>
        <row r="613">
          <cell r="A613" t="str">
            <v>41011_1</v>
          </cell>
        </row>
        <row r="614">
          <cell r="A614" t="str">
            <v>41011_2</v>
          </cell>
        </row>
        <row r="615">
          <cell r="A615" t="str">
            <v>41012_1</v>
          </cell>
        </row>
        <row r="616">
          <cell r="A616" t="str">
            <v>41012_2</v>
          </cell>
        </row>
        <row r="617">
          <cell r="A617" t="str">
            <v>47001_1</v>
          </cell>
        </row>
        <row r="618">
          <cell r="A618" t="str">
            <v>47001_2</v>
          </cell>
        </row>
        <row r="619">
          <cell r="A619" t="str">
            <v>47002_1</v>
          </cell>
        </row>
        <row r="620">
          <cell r="A620" t="str">
            <v>47002_2</v>
          </cell>
        </row>
        <row r="621">
          <cell r="A621" t="str">
            <v>49001_1</v>
          </cell>
        </row>
        <row r="622">
          <cell r="A622" t="str">
            <v>49002_1</v>
          </cell>
        </row>
        <row r="623">
          <cell r="A623" t="str">
            <v>49002_2</v>
          </cell>
        </row>
        <row r="624">
          <cell r="A624" t="str">
            <v>49003_1</v>
          </cell>
        </row>
        <row r="625">
          <cell r="A625" t="str">
            <v>49003_2</v>
          </cell>
        </row>
        <row r="626">
          <cell r="A626" t="str">
            <v>49004_1</v>
          </cell>
        </row>
        <row r="627">
          <cell r="A627" t="str">
            <v>49004_2</v>
          </cell>
        </row>
        <row r="628">
          <cell r="A628" t="str">
            <v>49004_3</v>
          </cell>
        </row>
        <row r="629">
          <cell r="A629" t="str">
            <v>49005_1</v>
          </cell>
        </row>
        <row r="630">
          <cell r="A630" t="str">
            <v>49006_1</v>
          </cell>
        </row>
        <row r="631">
          <cell r="A631" t="str">
            <v>49006_2</v>
          </cell>
        </row>
        <row r="632">
          <cell r="A632" t="str">
            <v>50001_1</v>
          </cell>
        </row>
        <row r="633">
          <cell r="A633" t="str">
            <v>50002_1</v>
          </cell>
        </row>
        <row r="634">
          <cell r="A634" t="str">
            <v>50003_1</v>
          </cell>
        </row>
        <row r="635">
          <cell r="A635" t="str">
            <v>50004_1</v>
          </cell>
        </row>
        <row r="636">
          <cell r="A636" t="str">
            <v>50005_1</v>
          </cell>
        </row>
        <row r="637">
          <cell r="A637" t="str">
            <v>51001_1</v>
          </cell>
        </row>
        <row r="638">
          <cell r="A638" t="str">
            <v>51002_1</v>
          </cell>
        </row>
        <row r="639">
          <cell r="A639" t="str">
            <v>60001_1</v>
          </cell>
        </row>
        <row r="640">
          <cell r="A640" t="str">
            <v>60002_1</v>
          </cell>
        </row>
        <row r="641">
          <cell r="A641" t="str">
            <v>60002_2</v>
          </cell>
        </row>
        <row r="642">
          <cell r="A642" t="str">
            <v>60003_1</v>
          </cell>
        </row>
        <row r="643">
          <cell r="A643" t="str">
            <v>60003_2</v>
          </cell>
        </row>
        <row r="644">
          <cell r="A644" t="str">
            <v>60003_3</v>
          </cell>
        </row>
        <row r="645">
          <cell r="A645" t="str">
            <v>60004_1</v>
          </cell>
        </row>
        <row r="646">
          <cell r="A646" t="str">
            <v>60005_1</v>
          </cell>
        </row>
        <row r="647">
          <cell r="A647" t="str">
            <v>60006_1</v>
          </cell>
        </row>
        <row r="648">
          <cell r="A648" t="str">
            <v>60006_2</v>
          </cell>
        </row>
        <row r="649">
          <cell r="A649" t="str">
            <v>60006_3</v>
          </cell>
        </row>
        <row r="650">
          <cell r="A650" t="str">
            <v>60007_1</v>
          </cell>
        </row>
        <row r="651">
          <cell r="A651" t="str">
            <v>60007_2</v>
          </cell>
        </row>
        <row r="652">
          <cell r="A652" t="str">
            <v>60007_3</v>
          </cell>
        </row>
        <row r="653">
          <cell r="A653" t="str">
            <v>60010_1</v>
          </cell>
        </row>
        <row r="654">
          <cell r="A654" t="str">
            <v>60011_1</v>
          </cell>
        </row>
        <row r="655">
          <cell r="A655" t="str">
            <v>60011_2</v>
          </cell>
        </row>
        <row r="656">
          <cell r="A656" t="str">
            <v>61011_1</v>
          </cell>
        </row>
        <row r="657">
          <cell r="A657" t="str">
            <v>60012_1</v>
          </cell>
        </row>
        <row r="658">
          <cell r="A658" t="str">
            <v>65535_1</v>
          </cell>
        </row>
        <row r="659">
          <cell r="A659" t="str">
            <v>65535_2</v>
          </cell>
        </row>
        <row r="660">
          <cell r="A660" t="str">
            <v>65535_3</v>
          </cell>
        </row>
        <row r="661">
          <cell r="A661" t="str">
            <v>65535_4</v>
          </cell>
        </row>
        <row r="662">
          <cell r="A662" t="str">
            <v>65535_5</v>
          </cell>
        </row>
        <row r="663">
          <cell r="A663" t="str">
            <v>65535_6</v>
          </cell>
        </row>
        <row r="664">
          <cell r="A664" t="str">
            <v>65535_7</v>
          </cell>
        </row>
        <row r="665">
          <cell r="A665" t="str">
            <v>65535_8</v>
          </cell>
        </row>
        <row r="666">
          <cell r="A666" t="str">
            <v>60021_3</v>
          </cell>
        </row>
        <row r="667">
          <cell r="A667" t="str">
            <v>60022_3</v>
          </cell>
        </row>
        <row r="668">
          <cell r="A668" t="str">
            <v>60023_3</v>
          </cell>
        </row>
        <row r="669">
          <cell r="A669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2.vml"/><Relationship Id="rId3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23"/>
  <sheetViews>
    <sheetView workbookViewId="0">
      <selection activeCell="G29" sqref="G29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130</v>
      </c>
      <c r="B1" s="54" t="s">
        <v>100</v>
      </c>
      <c r="C1" s="54" t="s">
        <v>101</v>
      </c>
      <c r="D1" s="54" t="s">
        <v>102</v>
      </c>
      <c r="E1" s="54" t="s">
        <v>103</v>
      </c>
      <c r="F1" s="54" t="s">
        <v>104</v>
      </c>
      <c r="G1" s="54" t="s">
        <v>105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</row>
    <row r="2" spans="1:30" x14ac:dyDescent="0.15">
      <c r="A2" s="60" t="s">
        <v>380</v>
      </c>
      <c r="B2" s="56" t="s">
        <v>106</v>
      </c>
      <c r="C2" s="61">
        <v>60012</v>
      </c>
      <c r="D2" s="56" t="s">
        <v>107</v>
      </c>
      <c r="E2" s="55" t="str">
        <f>B2&amp;C2&amp;D2</f>
        <v>floors_60012.tmp</v>
      </c>
      <c r="F2" s="56" t="s">
        <v>108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</row>
    <row r="3" spans="1:30" x14ac:dyDescent="0.15">
      <c r="A3" s="60" t="s">
        <v>380</v>
      </c>
      <c r="B3" s="108" t="s">
        <v>242</v>
      </c>
      <c r="C3" s="61">
        <v>60012</v>
      </c>
      <c r="D3" s="56" t="s">
        <v>107</v>
      </c>
      <c r="E3" s="55" t="str">
        <f>B3&amp;C3&amp;D3</f>
        <v>ranking_floors_60012.tmp</v>
      </c>
      <c r="F3" s="56" t="s">
        <v>108</v>
      </c>
      <c r="G3" s="57" t="s">
        <v>0</v>
      </c>
      <c r="H3" s="57" t="s">
        <v>1</v>
      </c>
      <c r="I3" s="57" t="s">
        <v>13</v>
      </c>
      <c r="J3" s="98" t="s">
        <v>215</v>
      </c>
      <c r="K3" s="98" t="s">
        <v>216</v>
      </c>
      <c r="L3" s="98" t="s">
        <v>217</v>
      </c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</row>
    <row r="4" spans="1:30" x14ac:dyDescent="0.15">
      <c r="A4" s="60" t="s">
        <v>380</v>
      </c>
      <c r="B4" s="108" t="s">
        <v>243</v>
      </c>
      <c r="C4" s="61">
        <v>60012</v>
      </c>
      <c r="D4" s="56" t="s">
        <v>107</v>
      </c>
      <c r="E4" s="55" t="str">
        <f>B4&amp;C4&amp;D4</f>
        <v>ranking_stages_60012.tmp</v>
      </c>
      <c r="F4" s="56" t="s">
        <v>245</v>
      </c>
      <c r="G4" s="57" t="s">
        <v>0</v>
      </c>
      <c r="H4" s="57" t="s">
        <v>1</v>
      </c>
      <c r="I4" s="36" t="s">
        <v>244</v>
      </c>
      <c r="J4" s="57"/>
      <c r="K4" s="57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</row>
    <row r="5" spans="1:30" x14ac:dyDescent="0.15">
      <c r="A5" s="60" t="s">
        <v>380</v>
      </c>
      <c r="B5" s="108" t="s">
        <v>250</v>
      </c>
      <c r="C5" s="61">
        <v>60012</v>
      </c>
      <c r="D5" s="56" t="s">
        <v>107</v>
      </c>
      <c r="E5" s="55" t="str">
        <f t="shared" ref="E5:E7" si="0">B5&amp;C5&amp;D5</f>
        <v>clear_turn_60012.tmp</v>
      </c>
      <c r="F5" s="56" t="s">
        <v>254</v>
      </c>
      <c r="G5" s="57" t="s">
        <v>246</v>
      </c>
      <c r="H5" s="57" t="s">
        <v>247</v>
      </c>
      <c r="I5" s="57" t="s">
        <v>248</v>
      </c>
      <c r="J5" s="57" t="s">
        <v>249</v>
      </c>
      <c r="K5" s="57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</row>
    <row r="6" spans="1:30" x14ac:dyDescent="0.15">
      <c r="A6" s="60" t="s">
        <v>380</v>
      </c>
      <c r="B6" s="108" t="s">
        <v>251</v>
      </c>
      <c r="C6" s="61">
        <v>60012</v>
      </c>
      <c r="D6" s="56" t="s">
        <v>107</v>
      </c>
      <c r="E6" s="55" t="str">
        <f t="shared" si="0"/>
        <v>damage_give_60012.tmp</v>
      </c>
      <c r="F6" s="56" t="s">
        <v>255</v>
      </c>
      <c r="G6" s="57" t="s">
        <v>246</v>
      </c>
      <c r="H6" s="57" t="s">
        <v>247</v>
      </c>
      <c r="I6" s="57" t="s">
        <v>248</v>
      </c>
      <c r="J6" s="57" t="s">
        <v>249</v>
      </c>
      <c r="K6" s="57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</row>
    <row r="7" spans="1:30" x14ac:dyDescent="0.15">
      <c r="A7" s="60" t="s">
        <v>380</v>
      </c>
      <c r="B7" s="108" t="s">
        <v>253</v>
      </c>
      <c r="C7" s="61">
        <v>60012</v>
      </c>
      <c r="D7" s="56" t="s">
        <v>107</v>
      </c>
      <c r="E7" s="55" t="str">
        <f t="shared" si="0"/>
        <v>damage_receive_60012.tmp</v>
      </c>
      <c r="F7" s="56" t="s">
        <v>252</v>
      </c>
      <c r="G7" s="57" t="s">
        <v>246</v>
      </c>
      <c r="H7" s="57" t="s">
        <v>247</v>
      </c>
      <c r="I7" s="57" t="s">
        <v>248</v>
      </c>
      <c r="J7" s="57" t="s">
        <v>249</v>
      </c>
      <c r="K7" s="57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</row>
    <row r="8" spans="1:30" x14ac:dyDescent="0.15">
      <c r="A8" s="60" t="s">
        <v>380</v>
      </c>
      <c r="B8" s="108" t="s">
        <v>263</v>
      </c>
      <c r="C8" s="61">
        <v>60012</v>
      </c>
      <c r="D8" s="56" t="s">
        <v>107</v>
      </c>
      <c r="E8" s="55" t="str">
        <f t="shared" ref="E8:E9" si="1">B8&amp;C8&amp;D8</f>
        <v>ranking_eval_data_60012.tmp</v>
      </c>
      <c r="F8" s="56" t="s">
        <v>265</v>
      </c>
      <c r="G8" s="57" t="s">
        <v>256</v>
      </c>
      <c r="H8" s="57" t="s">
        <v>257</v>
      </c>
      <c r="I8" s="57" t="s">
        <v>258</v>
      </c>
      <c r="J8" s="57" t="s">
        <v>259</v>
      </c>
      <c r="K8" s="57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</row>
    <row r="9" spans="1:30" x14ac:dyDescent="0.15">
      <c r="A9" s="60" t="s">
        <v>380</v>
      </c>
      <c r="B9" s="108" t="s">
        <v>264</v>
      </c>
      <c r="C9" s="61">
        <v>60012</v>
      </c>
      <c r="D9" s="56" t="s">
        <v>107</v>
      </c>
      <c r="E9" s="55" t="str">
        <f t="shared" si="1"/>
        <v>ranking_eval_i18n_60012.tmp</v>
      </c>
      <c r="F9" s="56" t="s">
        <v>265</v>
      </c>
      <c r="G9" s="57" t="s">
        <v>256</v>
      </c>
      <c r="H9" s="107" t="s">
        <v>260</v>
      </c>
      <c r="I9" s="107" t="s">
        <v>261</v>
      </c>
      <c r="J9" s="107" t="s">
        <v>262</v>
      </c>
      <c r="K9" s="57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</row>
    <row r="10" spans="1:30" x14ac:dyDescent="0.15">
      <c r="A10" s="60" t="s">
        <v>380</v>
      </c>
      <c r="B10" s="56" t="s">
        <v>109</v>
      </c>
      <c r="C10" s="61">
        <f>C$2</f>
        <v>60012</v>
      </c>
      <c r="D10" s="56" t="s">
        <v>107</v>
      </c>
      <c r="E10" s="55" t="str">
        <f>B10&amp;C10&amp;D10</f>
        <v>enemy_habitats_60012.tmp</v>
      </c>
      <c r="F10" s="56" t="s">
        <v>110</v>
      </c>
      <c r="G10" s="57" t="s">
        <v>0</v>
      </c>
      <c r="H10" s="57" t="s">
        <v>1</v>
      </c>
      <c r="I10" s="57" t="s">
        <v>13</v>
      </c>
      <c r="J10" s="57" t="s">
        <v>2</v>
      </c>
      <c r="K10" s="57" t="s">
        <v>3</v>
      </c>
      <c r="L10" s="57" t="s">
        <v>47</v>
      </c>
      <c r="M10" s="57" t="s">
        <v>49</v>
      </c>
      <c r="N10" s="57" t="s">
        <v>51</v>
      </c>
      <c r="O10" s="57" t="s">
        <v>22</v>
      </c>
      <c r="P10" s="57" t="s">
        <v>5</v>
      </c>
      <c r="Q10" s="57" t="s">
        <v>6</v>
      </c>
      <c r="R10" s="57" t="s">
        <v>7</v>
      </c>
      <c r="S10" s="57" t="s">
        <v>8</v>
      </c>
      <c r="T10" s="57" t="s">
        <v>9</v>
      </c>
      <c r="U10" s="57" t="s">
        <v>10</v>
      </c>
      <c r="V10" s="57" t="s">
        <v>11</v>
      </c>
      <c r="W10" s="57" t="s">
        <v>12</v>
      </c>
      <c r="X10" s="57" t="s">
        <v>37</v>
      </c>
      <c r="Y10" s="57" t="s">
        <v>39</v>
      </c>
      <c r="Z10" s="57" t="s">
        <v>41</v>
      </c>
      <c r="AA10" s="57" t="s">
        <v>43</v>
      </c>
      <c r="AB10" s="57" t="s">
        <v>45</v>
      </c>
      <c r="AC10" s="57" t="s">
        <v>54</v>
      </c>
      <c r="AD10" s="57" t="s">
        <v>179</v>
      </c>
    </row>
    <row r="11" spans="1:30" x14ac:dyDescent="0.15">
      <c r="A11" s="60" t="s">
        <v>380</v>
      </c>
      <c r="B11" s="56" t="s">
        <v>111</v>
      </c>
      <c r="C11" s="61">
        <f t="shared" ref="C11:C23" si="2">C$2</f>
        <v>60012</v>
      </c>
      <c r="D11" s="56" t="s">
        <v>107</v>
      </c>
      <c r="E11" s="55" t="str">
        <f>B11&amp;C11&amp;D11</f>
        <v>enemy_habitat_S_60012.tmp</v>
      </c>
      <c r="F11" s="56" t="s">
        <v>112</v>
      </c>
      <c r="G11" s="57" t="s">
        <v>0</v>
      </c>
      <c r="H11" s="57" t="s">
        <v>1</v>
      </c>
      <c r="I11" s="57" t="s">
        <v>13</v>
      </c>
      <c r="J11" s="57" t="s">
        <v>54</v>
      </c>
      <c r="K11" s="57" t="s">
        <v>55</v>
      </c>
      <c r="L11" s="57" t="s">
        <v>56</v>
      </c>
      <c r="M11" s="57" t="s">
        <v>57</v>
      </c>
      <c r="N11" s="57" t="s">
        <v>58</v>
      </c>
      <c r="O11" s="57" t="s">
        <v>59</v>
      </c>
      <c r="P11" s="57" t="s">
        <v>48</v>
      </c>
      <c r="Q11" s="57" t="s">
        <v>50</v>
      </c>
      <c r="R11" s="57" t="s">
        <v>52</v>
      </c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</row>
    <row r="12" spans="1:30" x14ac:dyDescent="0.15">
      <c r="A12" s="60" t="s">
        <v>380</v>
      </c>
      <c r="B12" s="56" t="s">
        <v>113</v>
      </c>
      <c r="C12" s="61">
        <f t="shared" si="2"/>
        <v>60012</v>
      </c>
      <c r="D12" s="56" t="s">
        <v>107</v>
      </c>
      <c r="E12" s="55" t="str">
        <f>B12&amp;C12&amp;D12</f>
        <v>enemy_skill_sets_60012.tmp</v>
      </c>
      <c r="F12" s="56" t="s">
        <v>114</v>
      </c>
      <c r="G12" s="58" t="s">
        <v>22</v>
      </c>
      <c r="H12" s="58" t="s">
        <v>99</v>
      </c>
      <c r="I12" s="58" t="s">
        <v>94</v>
      </c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</row>
    <row r="13" spans="1:30" x14ac:dyDescent="0.15">
      <c r="A13" s="60" t="s">
        <v>380</v>
      </c>
      <c r="B13" s="56" t="s">
        <v>115</v>
      </c>
      <c r="C13" s="61">
        <f t="shared" si="2"/>
        <v>60012</v>
      </c>
      <c r="D13" s="56" t="s">
        <v>116</v>
      </c>
      <c r="E13" s="55" t="str">
        <f t="shared" ref="E13:E17" si="3">B13&amp;C13&amp;D13</f>
        <v>enemy_skills_tmp_60012.tmp</v>
      </c>
      <c r="F13" s="56" t="s">
        <v>90</v>
      </c>
      <c r="G13" s="57" t="s">
        <v>79</v>
      </c>
      <c r="H13" s="57" t="s">
        <v>80</v>
      </c>
      <c r="I13" s="57" t="s">
        <v>81</v>
      </c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</row>
    <row r="14" spans="1:30" x14ac:dyDescent="0.15">
      <c r="A14" s="60" t="s">
        <v>380</v>
      </c>
      <c r="B14" s="56" t="s">
        <v>117</v>
      </c>
      <c r="C14" s="61">
        <f t="shared" si="2"/>
        <v>60012</v>
      </c>
      <c r="D14" s="56" t="s">
        <v>107</v>
      </c>
      <c r="E14" s="55" t="str">
        <f>B14&amp;C14&amp;D14</f>
        <v>enemy_skills_i18n_60012.tmp</v>
      </c>
      <c r="F14" s="56" t="s">
        <v>118</v>
      </c>
      <c r="G14" s="57" t="s">
        <v>79</v>
      </c>
      <c r="H14" s="57" t="s">
        <v>91</v>
      </c>
      <c r="I14" s="57" t="s">
        <v>92</v>
      </c>
      <c r="J14" s="57" t="s">
        <v>93</v>
      </c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</row>
    <row r="15" spans="1:30" x14ac:dyDescent="0.15">
      <c r="A15" s="60" t="s">
        <v>380</v>
      </c>
      <c r="B15" s="56" t="s">
        <v>119</v>
      </c>
      <c r="C15" s="61">
        <f t="shared" si="2"/>
        <v>60012</v>
      </c>
      <c r="D15" s="56" t="s">
        <v>120</v>
      </c>
      <c r="E15" s="55" t="str">
        <f t="shared" si="3"/>
        <v>enemy_skill_triggers_60012.tmp</v>
      </c>
      <c r="F15" s="56" t="s">
        <v>121</v>
      </c>
      <c r="G15" s="57" t="s">
        <v>94</v>
      </c>
      <c r="H15" s="57" t="s">
        <v>95</v>
      </c>
      <c r="I15" s="57" t="s">
        <v>96</v>
      </c>
      <c r="J15" s="57" t="s">
        <v>97</v>
      </c>
      <c r="K15" s="57" t="s">
        <v>122</v>
      </c>
      <c r="L15" s="57" t="s">
        <v>98</v>
      </c>
      <c r="M15" s="57" t="s">
        <v>123</v>
      </c>
      <c r="N15" s="57" t="s">
        <v>124</v>
      </c>
      <c r="O15" s="57" t="s">
        <v>125</v>
      </c>
      <c r="P15" s="57" t="s">
        <v>67</v>
      </c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</row>
    <row r="16" spans="1:30" x14ac:dyDescent="0.15">
      <c r="A16" s="60" t="s">
        <v>450</v>
      </c>
      <c r="B16" s="66" t="s">
        <v>178</v>
      </c>
      <c r="C16" s="61">
        <f t="shared" si="2"/>
        <v>60012</v>
      </c>
      <c r="D16" s="66" t="s">
        <v>172</v>
      </c>
      <c r="E16" s="67" t="str">
        <f t="shared" si="3"/>
        <v>stage_bug_bonuses_60012.tmp</v>
      </c>
      <c r="F16" s="66" t="s">
        <v>173</v>
      </c>
      <c r="G16" s="63" t="s">
        <v>150</v>
      </c>
      <c r="H16" s="63" t="s">
        <v>174</v>
      </c>
      <c r="I16" s="63" t="s">
        <v>175</v>
      </c>
      <c r="J16" s="65" t="s">
        <v>176</v>
      </c>
      <c r="K16" s="63" t="s">
        <v>177</v>
      </c>
      <c r="L16" s="63" t="s">
        <v>156</v>
      </c>
      <c r="M16" s="63" t="s">
        <v>157</v>
      </c>
      <c r="N16" s="63" t="s">
        <v>158</v>
      </c>
      <c r="O16" s="63" t="s">
        <v>159</v>
      </c>
      <c r="P16" s="63" t="s">
        <v>160</v>
      </c>
      <c r="Q16" s="63" t="s">
        <v>161</v>
      </c>
      <c r="R16" s="63" t="s">
        <v>162</v>
      </c>
      <c r="S16" s="63" t="s">
        <v>163</v>
      </c>
      <c r="T16" s="63" t="s">
        <v>164</v>
      </c>
      <c r="U16" s="63" t="s">
        <v>165</v>
      </c>
      <c r="V16" s="63" t="s">
        <v>166</v>
      </c>
      <c r="W16" s="63" t="s">
        <v>167</v>
      </c>
    </row>
    <row r="17" spans="1:21" s="75" customFormat="1" x14ac:dyDescent="0.15">
      <c r="A17" s="60" t="s">
        <v>450</v>
      </c>
      <c r="B17" s="66" t="s">
        <v>203</v>
      </c>
      <c r="C17" s="61">
        <f>C$2</f>
        <v>60012</v>
      </c>
      <c r="D17" s="66" t="s">
        <v>181</v>
      </c>
      <c r="E17" s="67" t="str">
        <f t="shared" si="3"/>
        <v>stage_hints_data_c_60012.tmp</v>
      </c>
      <c r="F17" s="66" t="s">
        <v>211</v>
      </c>
      <c r="G17" s="72" t="s">
        <v>182</v>
      </c>
      <c r="H17" s="72" t="s">
        <v>174</v>
      </c>
      <c r="I17" s="73" t="s">
        <v>183</v>
      </c>
      <c r="J17" s="65" t="s">
        <v>184</v>
      </c>
      <c r="K17" s="74" t="s">
        <v>185</v>
      </c>
    </row>
    <row r="18" spans="1:21" s="75" customFormat="1" x14ac:dyDescent="0.15">
      <c r="A18" s="60" t="s">
        <v>450</v>
      </c>
      <c r="B18" s="66" t="s">
        <v>204</v>
      </c>
      <c r="C18" s="61">
        <f t="shared" si="2"/>
        <v>60012</v>
      </c>
      <c r="D18" s="66" t="s">
        <v>172</v>
      </c>
      <c r="E18" s="67" t="str">
        <f t="shared" ref="E18:E19" si="4">B18&amp;C18&amp;D18</f>
        <v>stage_hints_data_f_60012.tmp</v>
      </c>
      <c r="F18" s="66" t="s">
        <v>213</v>
      </c>
      <c r="G18" s="72" t="s">
        <v>182</v>
      </c>
      <c r="H18" s="72" t="s">
        <v>174</v>
      </c>
      <c r="I18" s="73" t="s">
        <v>183</v>
      </c>
      <c r="J18" s="65" t="s">
        <v>184</v>
      </c>
      <c r="K18" s="74" t="s">
        <v>185</v>
      </c>
    </row>
    <row r="19" spans="1:21" s="75" customFormat="1" x14ac:dyDescent="0.15">
      <c r="A19" s="60" t="s">
        <v>450</v>
      </c>
      <c r="B19" s="66" t="s">
        <v>205</v>
      </c>
      <c r="C19" s="61">
        <f t="shared" si="2"/>
        <v>60012</v>
      </c>
      <c r="D19" s="66" t="s">
        <v>172</v>
      </c>
      <c r="E19" s="67" t="str">
        <f t="shared" si="4"/>
        <v>stage_hints_i18n_60012.tmp</v>
      </c>
      <c r="F19" s="66" t="s">
        <v>214</v>
      </c>
      <c r="G19" s="73" t="s">
        <v>206</v>
      </c>
      <c r="H19" s="96" t="s">
        <v>207</v>
      </c>
      <c r="I19" s="72" t="s">
        <v>208</v>
      </c>
      <c r="J19" s="97" t="s">
        <v>209</v>
      </c>
      <c r="K19" s="74" t="s">
        <v>210</v>
      </c>
    </row>
    <row r="20" spans="1:21" x14ac:dyDescent="0.15">
      <c r="A20" s="60" t="s">
        <v>450</v>
      </c>
      <c r="B20" s="66" t="s">
        <v>205</v>
      </c>
      <c r="C20" s="61">
        <f t="shared" si="2"/>
        <v>60012</v>
      </c>
      <c r="D20" s="66" t="s">
        <v>172</v>
      </c>
      <c r="E20" s="67" t="str">
        <f t="shared" ref="E20:E21" si="5">B20&amp;C20&amp;D20</f>
        <v>stage_hints_i18n_60012.tmp</v>
      </c>
      <c r="F20" s="66" t="s">
        <v>214</v>
      </c>
      <c r="G20" s="73" t="s">
        <v>206</v>
      </c>
      <c r="H20" s="96" t="s">
        <v>207</v>
      </c>
      <c r="I20" s="72" t="s">
        <v>208</v>
      </c>
      <c r="J20" s="97" t="s">
        <v>209</v>
      </c>
      <c r="K20" s="74" t="s">
        <v>210</v>
      </c>
    </row>
    <row r="21" spans="1:21" x14ac:dyDescent="0.15">
      <c r="A21" s="60" t="s">
        <v>380</v>
      </c>
      <c r="B21" s="109" t="s">
        <v>231</v>
      </c>
      <c r="C21" s="61">
        <f t="shared" si="2"/>
        <v>60012</v>
      </c>
      <c r="D21" s="66" t="s">
        <v>172</v>
      </c>
      <c r="E21" s="67" t="str">
        <f t="shared" si="5"/>
        <v>ranking_ACH_60012.tmp</v>
      </c>
      <c r="F21" s="66" t="s">
        <v>232</v>
      </c>
      <c r="G21" s="73" t="s">
        <v>233</v>
      </c>
      <c r="H21" s="96" t="s">
        <v>234</v>
      </c>
      <c r="I21" s="72" t="s">
        <v>235</v>
      </c>
      <c r="J21" s="74" t="s">
        <v>236</v>
      </c>
      <c r="K21" s="74"/>
    </row>
    <row r="22" spans="1:21" x14ac:dyDescent="0.15">
      <c r="A22" s="60" t="s">
        <v>380</v>
      </c>
      <c r="B22" s="110" t="s">
        <v>237</v>
      </c>
      <c r="C22" s="61">
        <f t="shared" si="2"/>
        <v>60012</v>
      </c>
      <c r="D22" s="103" t="s">
        <v>116</v>
      </c>
      <c r="E22" s="104" t="str">
        <f>B22&amp;C22&amp;D22</f>
        <v>gifts_tmp_60012.tmp</v>
      </c>
      <c r="F22" s="66" t="s">
        <v>232</v>
      </c>
      <c r="G22" s="105" t="s">
        <v>238</v>
      </c>
      <c r="H22" s="105" t="s">
        <v>221</v>
      </c>
      <c r="I22" s="105" t="s">
        <v>222</v>
      </c>
      <c r="J22" s="105" t="s">
        <v>222</v>
      </c>
      <c r="K22" s="105" t="s">
        <v>222</v>
      </c>
      <c r="L22" s="105" t="s">
        <v>223</v>
      </c>
      <c r="M22" s="105" t="s">
        <v>223</v>
      </c>
      <c r="N22" s="105" t="s">
        <v>223</v>
      </c>
      <c r="O22" s="111" t="s">
        <v>41</v>
      </c>
      <c r="P22" s="111" t="s">
        <v>45</v>
      </c>
      <c r="Q22" s="111" t="s">
        <v>39</v>
      </c>
      <c r="R22" s="111" t="s">
        <v>271</v>
      </c>
      <c r="S22" s="111" t="s">
        <v>43</v>
      </c>
      <c r="T22" s="111" t="s">
        <v>3</v>
      </c>
      <c r="U22" s="111" t="s">
        <v>37</v>
      </c>
    </row>
    <row r="23" spans="1:21" x14ac:dyDescent="0.15">
      <c r="A23" s="60" t="s">
        <v>380</v>
      </c>
      <c r="B23" s="110" t="s">
        <v>239</v>
      </c>
      <c r="C23" s="61">
        <f t="shared" si="2"/>
        <v>60012</v>
      </c>
      <c r="D23" s="103" t="s">
        <v>116</v>
      </c>
      <c r="E23" s="104" t="str">
        <f>B23&amp;C23&amp;D23</f>
        <v>gifts_i18n_60012.tmp</v>
      </c>
      <c r="F23" s="66" t="s">
        <v>232</v>
      </c>
      <c r="G23" s="105" t="s">
        <v>238</v>
      </c>
      <c r="H23" s="105" t="s">
        <v>224</v>
      </c>
      <c r="I23" s="105" t="s">
        <v>240</v>
      </c>
      <c r="J23" s="105" t="s">
        <v>241</v>
      </c>
      <c r="K23" s="105" t="s">
        <v>227</v>
      </c>
      <c r="L23" s="105"/>
      <c r="M23" s="105"/>
      <c r="N23" s="105"/>
      <c r="O23" s="103"/>
    </row>
  </sheetData>
  <phoneticPr fontId="7"/>
  <dataValidations count="1">
    <dataValidation type="list" allowBlank="1" showInputMessage="1" showErrorMessage="1" sqref="A2:A2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N11"/>
  <sheetViews>
    <sheetView showGridLines="0" workbookViewId="0">
      <pane ySplit="1" topLeftCell="A2" activePane="bottomLeft" state="frozen"/>
      <selection activeCell="V2" sqref="V2:X34"/>
      <selection pane="bottomLeft" activeCell="L16" sqref="L16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6384" width="13" style="3"/>
  </cols>
  <sheetData>
    <row r="1" spans="1:14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  <c r="L1" s="98" t="s">
        <v>215</v>
      </c>
      <c r="M1" s="98" t="s">
        <v>216</v>
      </c>
      <c r="N1" s="98" t="s">
        <v>217</v>
      </c>
    </row>
    <row r="2" spans="1:14" ht="21" customHeight="1" x14ac:dyDescent="0.15">
      <c r="A2" s="16" t="str">
        <f>G2&amp;"-"&amp;I2</f>
        <v>60012_1-1</v>
      </c>
      <c r="B2" s="16" t="str">
        <f>IF(COUNTIF(enemy_habitats!$H:$H,A2),"OK","NG")</f>
        <v>OK</v>
      </c>
      <c r="C2" s="7">
        <v>60012</v>
      </c>
      <c r="D2" s="11" t="e">
        <f ca="1">VLOOKUP($C2,OFFSET([2]quests!$A$1,0,0,COUNTA([2]quests!$A:$A),MATCH(D$1,[2]quests!$1:$1,0)-MATCH($C$1,[2]quests!$1:$1,0)+1),MATCH(D$1,[2]quests!$1:$1,0)-MATCH($C$1,[2]quests!$1:$1,0)+1,FALSE)</f>
        <v>#VALUE!</v>
      </c>
      <c r="E2" s="18" t="e">
        <f ca="1">VLOOKUP($C2,OFFSET([2]quests!$A$1,0,0,COUNTA([2]quests!$A:$A),MATCH(E$1,[2]quests!$1:$1,0)-MATCH($C$1,[2]quests!$1:$1,0)+1),MATCH(E$1,[2]quests!$1:$1,0)-MATCH($C$1,[2]quests!$1:$1,0)+1,FALSE)</f>
        <v>#VALUE!</v>
      </c>
      <c r="F2" s="20">
        <v>1</v>
      </c>
      <c r="G2" s="22" t="str">
        <f>C2&amp;"_"&amp;F2</f>
        <v>60012_1</v>
      </c>
      <c r="H2" s="15" t="e">
        <f ca="1">VLOOKUP($G2,OFFSET([2]stages!$A$1,0,0,COUNTA([2]stages!$A:$A),MATCH(H$1,[2]stages!$2:$2,0)-MATCH($G$1,[2]stages!$2:$2,0)+1),MATCH(H$1,[2]stages!$2:$2,0)-MATCH($G$1,[2]stages!$2:$2,0)+1,FALSE)</f>
        <v>#VALUE!</v>
      </c>
      <c r="I2" s="20">
        <v>1</v>
      </c>
      <c r="J2" s="12">
        <v>60</v>
      </c>
      <c r="K2" s="12">
        <v>60</v>
      </c>
      <c r="L2" s="68" t="str">
        <f>C2&amp;F2&amp;I2</f>
        <v>6001211</v>
      </c>
      <c r="M2" s="68" t="str">
        <f>C2&amp;F2&amp;I2</f>
        <v>6001211</v>
      </c>
      <c r="N2" s="68" t="str">
        <f>C2&amp;F2&amp;I2</f>
        <v>6001211</v>
      </c>
    </row>
    <row r="3" spans="1:14" ht="21" customHeight="1" x14ac:dyDescent="0.15">
      <c r="A3" s="16" t="str">
        <f t="shared" ref="A3:A6" si="0">G3&amp;"-"&amp;I3</f>
        <v>60012_1-2</v>
      </c>
      <c r="B3" s="16" t="str">
        <f>IF(COUNTIF(enemy_habitats!$H:$H,A3),"OK","NG")</f>
        <v>OK</v>
      </c>
      <c r="C3" s="7">
        <v>60012</v>
      </c>
      <c r="D3" s="11" t="e">
        <f ca="1">VLOOKUP($C3,OFFSET([2]quests!$A$1,0,0,COUNTA([2]quests!$A:$A),MATCH(D$1,[2]quests!$1:$1,0)-MATCH($C$1,[2]quests!$1:$1,0)+1),MATCH(D$1,[2]quests!$1:$1,0)-MATCH($C$1,[2]quests!$1:$1,0)+1,FALSE)</f>
        <v>#VALUE!</v>
      </c>
      <c r="E3" s="18" t="e">
        <f ca="1">VLOOKUP($C3,OFFSET([2]quests!$A$1,0,0,COUNTA([2]quests!$A:$A),MATCH(E$1,[2]quests!$1:$1,0)-MATCH($C$1,[2]quests!$1:$1,0)+1),MATCH(E$1,[2]quests!$1:$1,0)-MATCH($C$1,[2]quests!$1:$1,0)+1,FALSE)</f>
        <v>#VALUE!</v>
      </c>
      <c r="F3" s="20">
        <v>1</v>
      </c>
      <c r="G3" s="22" t="str">
        <f t="shared" ref="G3:G6" si="1">C3&amp;"_"&amp;F3</f>
        <v>60012_1</v>
      </c>
      <c r="H3" s="15" t="e">
        <f ca="1">VLOOKUP($G3,OFFSET([2]stages!$A$1,0,0,COUNTA([2]stages!$A:$A),MATCH(H$1,[2]stages!$2:$2,0)-MATCH($G$1,[2]stages!$2:$2,0)+1),MATCH(H$1,[2]stages!$2:$2,0)-MATCH($G$1,[2]stages!$2:$2,0)+1,FALSE)</f>
        <v>#VALUE!</v>
      </c>
      <c r="I3" s="20">
        <v>2</v>
      </c>
      <c r="J3" s="12">
        <v>60</v>
      </c>
      <c r="K3" s="12">
        <v>60</v>
      </c>
      <c r="L3" s="68" t="str">
        <f t="shared" ref="L3:L6" si="2">C3&amp;F3&amp;I3</f>
        <v>6001212</v>
      </c>
      <c r="M3" s="68" t="str">
        <f t="shared" ref="M3:M6" si="3">C3&amp;F3&amp;I3</f>
        <v>6001212</v>
      </c>
      <c r="N3" s="68" t="str">
        <f t="shared" ref="N3:N6" si="4">C3&amp;F3&amp;I3</f>
        <v>6001212</v>
      </c>
    </row>
    <row r="4" spans="1:14" ht="21" customHeight="1" x14ac:dyDescent="0.15">
      <c r="A4" s="16" t="str">
        <f t="shared" si="0"/>
        <v>60012_1-3</v>
      </c>
      <c r="B4" s="16" t="str">
        <f>IF(COUNTIF(enemy_habitats!$H:$H,A4),"OK","NG")</f>
        <v>OK</v>
      </c>
      <c r="C4" s="7">
        <v>60012</v>
      </c>
      <c r="D4" s="11" t="e">
        <f ca="1">VLOOKUP($C4,OFFSET([2]quests!$A$1,0,0,COUNTA([2]quests!$A:$A),MATCH(D$1,[2]quests!$1:$1,0)-MATCH($C$1,[2]quests!$1:$1,0)+1),MATCH(D$1,[2]quests!$1:$1,0)-MATCH($C$1,[2]quests!$1:$1,0)+1,FALSE)</f>
        <v>#VALUE!</v>
      </c>
      <c r="E4" s="18" t="e">
        <f ca="1">VLOOKUP($C4,OFFSET([2]quests!$A$1,0,0,COUNTA([2]quests!$A:$A),MATCH(E$1,[2]quests!$1:$1,0)-MATCH($C$1,[2]quests!$1:$1,0)+1),MATCH(E$1,[2]quests!$1:$1,0)-MATCH($C$1,[2]quests!$1:$1,0)+1,FALSE)</f>
        <v>#VALUE!</v>
      </c>
      <c r="F4" s="20">
        <v>1</v>
      </c>
      <c r="G4" s="22" t="str">
        <f t="shared" si="1"/>
        <v>60012_1</v>
      </c>
      <c r="H4" s="15" t="e">
        <f ca="1">VLOOKUP($G4,OFFSET([2]stages!$A$1,0,0,COUNTA([2]stages!$A:$A),MATCH(H$1,[2]stages!$2:$2,0)-MATCH($G$1,[2]stages!$2:$2,0)+1),MATCH(H$1,[2]stages!$2:$2,0)-MATCH($G$1,[2]stages!$2:$2,0)+1,FALSE)</f>
        <v>#VALUE!</v>
      </c>
      <c r="I4" s="20">
        <v>3</v>
      </c>
      <c r="J4" s="12">
        <v>60</v>
      </c>
      <c r="K4" s="12">
        <v>60</v>
      </c>
      <c r="L4" s="68" t="str">
        <f t="shared" si="2"/>
        <v>6001213</v>
      </c>
      <c r="M4" s="68" t="str">
        <f t="shared" si="3"/>
        <v>6001213</v>
      </c>
      <c r="N4" s="68" t="str">
        <f t="shared" si="4"/>
        <v>6001213</v>
      </c>
    </row>
    <row r="5" spans="1:14" ht="21" customHeight="1" x14ac:dyDescent="0.15">
      <c r="A5" s="16" t="str">
        <f t="shared" si="0"/>
        <v>60012_1-4</v>
      </c>
      <c r="B5" s="16" t="str">
        <f>IF(COUNTIF(enemy_habitats!$H:$H,A5),"OK","NG")</f>
        <v>OK</v>
      </c>
      <c r="C5" s="7">
        <v>60012</v>
      </c>
      <c r="D5" s="11" t="e">
        <f ca="1">VLOOKUP($C5,OFFSET([2]quests!$A$1,0,0,COUNTA([2]quests!$A:$A),MATCH(D$1,[2]quests!$1:$1,0)-MATCH($C$1,[2]quests!$1:$1,0)+1),MATCH(D$1,[2]quests!$1:$1,0)-MATCH($C$1,[2]quests!$1:$1,0)+1,FALSE)</f>
        <v>#VALUE!</v>
      </c>
      <c r="E5" s="18" t="e">
        <f ca="1">VLOOKUP($C5,OFFSET([2]quests!$A$1,0,0,COUNTA([2]quests!$A:$A),MATCH(E$1,[2]quests!$1:$1,0)-MATCH($C$1,[2]quests!$1:$1,0)+1),MATCH(E$1,[2]quests!$1:$1,0)-MATCH($C$1,[2]quests!$1:$1,0)+1,FALSE)</f>
        <v>#VALUE!</v>
      </c>
      <c r="F5" s="20">
        <v>1</v>
      </c>
      <c r="G5" s="22" t="str">
        <f t="shared" si="1"/>
        <v>60012_1</v>
      </c>
      <c r="H5" s="15" t="e">
        <f ca="1">VLOOKUP($G5,OFFSET([2]stages!$A$1,0,0,COUNTA([2]stages!$A:$A),MATCH(H$1,[2]stages!$2:$2,0)-MATCH($G$1,[2]stages!$2:$2,0)+1),MATCH(H$1,[2]stages!$2:$2,0)-MATCH($G$1,[2]stages!$2:$2,0)+1,FALSE)</f>
        <v>#VALUE!</v>
      </c>
      <c r="I5" s="20">
        <v>4</v>
      </c>
      <c r="J5" s="12">
        <v>60</v>
      </c>
      <c r="K5" s="12">
        <v>60</v>
      </c>
      <c r="L5" s="68" t="str">
        <f t="shared" si="2"/>
        <v>6001214</v>
      </c>
      <c r="M5" s="68" t="str">
        <f t="shared" si="3"/>
        <v>6001214</v>
      </c>
      <c r="N5" s="68" t="str">
        <f t="shared" si="4"/>
        <v>6001214</v>
      </c>
    </row>
    <row r="6" spans="1:14" ht="21" customHeight="1" x14ac:dyDescent="0.15">
      <c r="A6" s="16" t="str">
        <f t="shared" si="0"/>
        <v>60012_1-5</v>
      </c>
      <c r="B6" s="16" t="str">
        <f>IF(COUNTIF(enemy_habitats!$H:$H,A6),"OK","NG")</f>
        <v>OK</v>
      </c>
      <c r="C6" s="7">
        <v>60012</v>
      </c>
      <c r="D6" s="11" t="e">
        <f ca="1">VLOOKUP($C6,OFFSET([2]quests!$A$1,0,0,COUNTA([2]quests!$A:$A),MATCH(D$1,[2]quests!$1:$1,0)-MATCH($C$1,[2]quests!$1:$1,0)+1),MATCH(D$1,[2]quests!$1:$1,0)-MATCH($C$1,[2]quests!$1:$1,0)+1,FALSE)</f>
        <v>#VALUE!</v>
      </c>
      <c r="E6" s="18" t="e">
        <f ca="1">VLOOKUP($C6,OFFSET([2]quests!$A$1,0,0,COUNTA([2]quests!$A:$A),MATCH(E$1,[2]quests!$1:$1,0)-MATCH($C$1,[2]quests!$1:$1,0)+1),MATCH(E$1,[2]quests!$1:$1,0)-MATCH($C$1,[2]quests!$1:$1,0)+1,FALSE)</f>
        <v>#VALUE!</v>
      </c>
      <c r="F6" s="20">
        <v>1</v>
      </c>
      <c r="G6" s="22" t="str">
        <f t="shared" si="1"/>
        <v>60012_1</v>
      </c>
      <c r="H6" s="15" t="e">
        <f ca="1">VLOOKUP($G6,OFFSET([2]stages!$A$1,0,0,COUNTA([2]stages!$A:$A),MATCH(H$1,[2]stages!$2:$2,0)-MATCH($G$1,[2]stages!$2:$2,0)+1),MATCH(H$1,[2]stages!$2:$2,0)-MATCH($G$1,[2]stages!$2:$2,0)+1,FALSE)</f>
        <v>#VALUE!</v>
      </c>
      <c r="I6" s="20">
        <v>5</v>
      </c>
      <c r="J6" s="12">
        <v>60</v>
      </c>
      <c r="K6" s="12">
        <v>60</v>
      </c>
      <c r="L6" s="68" t="str">
        <f t="shared" si="2"/>
        <v>6001215</v>
      </c>
      <c r="M6" s="68" t="str">
        <f t="shared" si="3"/>
        <v>6001215</v>
      </c>
      <c r="N6" s="68" t="str">
        <f t="shared" si="4"/>
        <v>6001215</v>
      </c>
    </row>
    <row r="7" spans="1:14" ht="21" customHeight="1" x14ac:dyDescent="0.15">
      <c r="A7" s="16" t="str">
        <f>G7&amp;"-"&amp;I7</f>
        <v>60012_2-1</v>
      </c>
      <c r="B7" s="16" t="str">
        <f>IF(COUNTIF(enemy_habitats!$H:$H,A7),"OK","NG")</f>
        <v>NG</v>
      </c>
      <c r="C7" s="7">
        <v>60012</v>
      </c>
      <c r="D7" s="11" t="e">
        <f ca="1">VLOOKUP($C7,OFFSET([2]quests!$A$1,0,0,COUNTA([2]quests!$A:$A),MATCH(D$1,[2]quests!$1:$1,0)-MATCH($C$1,[2]quests!$1:$1,0)+1),MATCH(D$1,[2]quests!$1:$1,0)-MATCH($C$1,[2]quests!$1:$1,0)+1,FALSE)</f>
        <v>#VALUE!</v>
      </c>
      <c r="E7" s="18" t="e">
        <f ca="1">VLOOKUP($C7,OFFSET([2]quests!$A$1,0,0,COUNTA([2]quests!$A:$A),MATCH(E$1,[2]quests!$1:$1,0)-MATCH($C$1,[2]quests!$1:$1,0)+1),MATCH(E$1,[2]quests!$1:$1,0)-MATCH($C$1,[2]quests!$1:$1,0)+1,FALSE)</f>
        <v>#VALUE!</v>
      </c>
      <c r="F7" s="20">
        <v>2</v>
      </c>
      <c r="G7" s="22" t="str">
        <f>C7&amp;"_"&amp;F7</f>
        <v>60012_2</v>
      </c>
      <c r="H7" s="15" t="e">
        <f ca="1">VLOOKUP($G7,OFFSET([2]stages!$A$1,0,0,COUNTA([2]stages!$A:$A),MATCH(H$1,[2]stages!$2:$2,0)-MATCH($G$1,[2]stages!$2:$2,0)+1),MATCH(H$1,[2]stages!$2:$2,0)-MATCH($G$1,[2]stages!$2:$2,0)+1,FALSE)</f>
        <v>#VALUE!</v>
      </c>
      <c r="I7" s="20">
        <v>1</v>
      </c>
      <c r="J7" s="12">
        <v>60</v>
      </c>
      <c r="K7" s="12">
        <v>60</v>
      </c>
      <c r="L7" s="68" t="str">
        <f>C7&amp;F7&amp;I7</f>
        <v>6001221</v>
      </c>
      <c r="M7" s="68" t="str">
        <f>C7&amp;F7&amp;I7</f>
        <v>6001221</v>
      </c>
      <c r="N7" s="68" t="str">
        <f>C7&amp;F7&amp;I7</f>
        <v>6001221</v>
      </c>
    </row>
    <row r="8" spans="1:14" ht="21" customHeight="1" x14ac:dyDescent="0.15">
      <c r="A8" s="16" t="str">
        <f t="shared" ref="A8:A11" si="5">G8&amp;"-"&amp;I8</f>
        <v>60012_2-2</v>
      </c>
      <c r="B8" s="16" t="str">
        <f>IF(COUNTIF(enemy_habitats!$H:$H,A8),"OK","NG")</f>
        <v>NG</v>
      </c>
      <c r="C8" s="7">
        <v>60012</v>
      </c>
      <c r="D8" s="11" t="e">
        <f ca="1">VLOOKUP($C8,OFFSET([2]quests!$A$1,0,0,COUNTA([2]quests!$A:$A),MATCH(D$1,[2]quests!$1:$1,0)-MATCH($C$1,[2]quests!$1:$1,0)+1),MATCH(D$1,[2]quests!$1:$1,0)-MATCH($C$1,[2]quests!$1:$1,0)+1,FALSE)</f>
        <v>#VALUE!</v>
      </c>
      <c r="E8" s="18" t="e">
        <f ca="1">VLOOKUP($C8,OFFSET([2]quests!$A$1,0,0,COUNTA([2]quests!$A:$A),MATCH(E$1,[2]quests!$1:$1,0)-MATCH($C$1,[2]quests!$1:$1,0)+1),MATCH(E$1,[2]quests!$1:$1,0)-MATCH($C$1,[2]quests!$1:$1,0)+1,FALSE)</f>
        <v>#VALUE!</v>
      </c>
      <c r="F8" s="20">
        <v>2</v>
      </c>
      <c r="G8" s="22" t="str">
        <f t="shared" ref="G8:G11" si="6">C8&amp;"_"&amp;F8</f>
        <v>60012_2</v>
      </c>
      <c r="H8" s="15" t="e">
        <f ca="1">VLOOKUP($G8,OFFSET([2]stages!$A$1,0,0,COUNTA([2]stages!$A:$A),MATCH(H$1,[2]stages!$2:$2,0)-MATCH($G$1,[2]stages!$2:$2,0)+1),MATCH(H$1,[2]stages!$2:$2,0)-MATCH($G$1,[2]stages!$2:$2,0)+1,FALSE)</f>
        <v>#VALUE!</v>
      </c>
      <c r="I8" s="20">
        <v>2</v>
      </c>
      <c r="J8" s="12">
        <v>60</v>
      </c>
      <c r="K8" s="12">
        <v>60</v>
      </c>
      <c r="L8" s="68" t="str">
        <f t="shared" ref="L8:L11" si="7">C8&amp;F8&amp;I8</f>
        <v>6001222</v>
      </c>
      <c r="M8" s="68" t="str">
        <f t="shared" ref="M8:M11" si="8">C8&amp;F8&amp;I8</f>
        <v>6001222</v>
      </c>
      <c r="N8" s="68" t="str">
        <f t="shared" ref="N8:N11" si="9">C8&amp;F8&amp;I8</f>
        <v>6001222</v>
      </c>
    </row>
    <row r="9" spans="1:14" ht="21" customHeight="1" x14ac:dyDescent="0.15">
      <c r="A9" s="16" t="str">
        <f t="shared" si="5"/>
        <v>60012_2-3</v>
      </c>
      <c r="B9" s="16" t="str">
        <f>IF(COUNTIF(enemy_habitats!$H:$H,A9),"OK","NG")</f>
        <v>NG</v>
      </c>
      <c r="C9" s="7">
        <v>60012</v>
      </c>
      <c r="D9" s="11" t="e">
        <f ca="1">VLOOKUP($C9,OFFSET([2]quests!$A$1,0,0,COUNTA([2]quests!$A:$A),MATCH(D$1,[2]quests!$1:$1,0)-MATCH($C$1,[2]quests!$1:$1,0)+1),MATCH(D$1,[2]quests!$1:$1,0)-MATCH($C$1,[2]quests!$1:$1,0)+1,FALSE)</f>
        <v>#VALUE!</v>
      </c>
      <c r="E9" s="18" t="e">
        <f ca="1">VLOOKUP($C9,OFFSET([2]quests!$A$1,0,0,COUNTA([2]quests!$A:$A),MATCH(E$1,[2]quests!$1:$1,0)-MATCH($C$1,[2]quests!$1:$1,0)+1),MATCH(E$1,[2]quests!$1:$1,0)-MATCH($C$1,[2]quests!$1:$1,0)+1,FALSE)</f>
        <v>#VALUE!</v>
      </c>
      <c r="F9" s="20">
        <v>2</v>
      </c>
      <c r="G9" s="22" t="str">
        <f t="shared" si="6"/>
        <v>60012_2</v>
      </c>
      <c r="H9" s="15" t="e">
        <f ca="1">VLOOKUP($G9,OFFSET([2]stages!$A$1,0,0,COUNTA([2]stages!$A:$A),MATCH(H$1,[2]stages!$2:$2,0)-MATCH($G$1,[2]stages!$2:$2,0)+1),MATCH(H$1,[2]stages!$2:$2,0)-MATCH($G$1,[2]stages!$2:$2,0)+1,FALSE)</f>
        <v>#VALUE!</v>
      </c>
      <c r="I9" s="20">
        <v>3</v>
      </c>
      <c r="J9" s="12">
        <v>60</v>
      </c>
      <c r="K9" s="12">
        <v>60</v>
      </c>
      <c r="L9" s="68" t="str">
        <f t="shared" si="7"/>
        <v>6001223</v>
      </c>
      <c r="M9" s="68" t="str">
        <f t="shared" si="8"/>
        <v>6001223</v>
      </c>
      <c r="N9" s="68" t="str">
        <f t="shared" si="9"/>
        <v>6001223</v>
      </c>
    </row>
    <row r="10" spans="1:14" ht="21" customHeight="1" x14ac:dyDescent="0.15">
      <c r="A10" s="16" t="str">
        <f t="shared" si="5"/>
        <v>60012_2-4</v>
      </c>
      <c r="B10" s="16" t="str">
        <f>IF(COUNTIF(enemy_habitats!$H:$H,A10),"OK","NG")</f>
        <v>NG</v>
      </c>
      <c r="C10" s="7">
        <v>60012</v>
      </c>
      <c r="D10" s="11" t="e">
        <f ca="1">VLOOKUP($C10,OFFSET([2]quests!$A$1,0,0,COUNTA([2]quests!$A:$A),MATCH(D$1,[2]quests!$1:$1,0)-MATCH($C$1,[2]quests!$1:$1,0)+1),MATCH(D$1,[2]quests!$1:$1,0)-MATCH($C$1,[2]quests!$1:$1,0)+1,FALSE)</f>
        <v>#VALUE!</v>
      </c>
      <c r="E10" s="18" t="e">
        <f ca="1">VLOOKUP($C10,OFFSET([2]quests!$A$1,0,0,COUNTA([2]quests!$A:$A),MATCH(E$1,[2]quests!$1:$1,0)-MATCH($C$1,[2]quests!$1:$1,0)+1),MATCH(E$1,[2]quests!$1:$1,0)-MATCH($C$1,[2]quests!$1:$1,0)+1,FALSE)</f>
        <v>#VALUE!</v>
      </c>
      <c r="F10" s="20">
        <v>2</v>
      </c>
      <c r="G10" s="22" t="str">
        <f t="shared" si="6"/>
        <v>60012_2</v>
      </c>
      <c r="H10" s="15" t="e">
        <f ca="1">VLOOKUP($G10,OFFSET([2]stages!$A$1,0,0,COUNTA([2]stages!$A:$A),MATCH(H$1,[2]stages!$2:$2,0)-MATCH($G$1,[2]stages!$2:$2,0)+1),MATCH(H$1,[2]stages!$2:$2,0)-MATCH($G$1,[2]stages!$2:$2,0)+1,FALSE)</f>
        <v>#VALUE!</v>
      </c>
      <c r="I10" s="20">
        <v>4</v>
      </c>
      <c r="J10" s="12">
        <v>60</v>
      </c>
      <c r="K10" s="12">
        <v>60</v>
      </c>
      <c r="L10" s="68" t="str">
        <f t="shared" si="7"/>
        <v>6001224</v>
      </c>
      <c r="M10" s="68" t="str">
        <f t="shared" si="8"/>
        <v>6001224</v>
      </c>
      <c r="N10" s="68" t="str">
        <f t="shared" si="9"/>
        <v>6001224</v>
      </c>
    </row>
    <row r="11" spans="1:14" ht="21" customHeight="1" x14ac:dyDescent="0.15">
      <c r="A11" s="16" t="str">
        <f t="shared" si="5"/>
        <v>60012_2-5</v>
      </c>
      <c r="B11" s="16" t="str">
        <f>IF(COUNTIF(enemy_habitats!$H:$H,A11),"OK","NG")</f>
        <v>NG</v>
      </c>
      <c r="C11" s="7">
        <v>60012</v>
      </c>
      <c r="D11" s="11" t="e">
        <f ca="1">VLOOKUP($C11,OFFSET([2]quests!$A$1,0,0,COUNTA([2]quests!$A:$A),MATCH(D$1,[2]quests!$1:$1,0)-MATCH($C$1,[2]quests!$1:$1,0)+1),MATCH(D$1,[2]quests!$1:$1,0)-MATCH($C$1,[2]quests!$1:$1,0)+1,FALSE)</f>
        <v>#VALUE!</v>
      </c>
      <c r="E11" s="18" t="e">
        <f ca="1">VLOOKUP($C11,OFFSET([2]quests!$A$1,0,0,COUNTA([2]quests!$A:$A),MATCH(E$1,[2]quests!$1:$1,0)-MATCH($C$1,[2]quests!$1:$1,0)+1),MATCH(E$1,[2]quests!$1:$1,0)-MATCH($C$1,[2]quests!$1:$1,0)+1,FALSE)</f>
        <v>#VALUE!</v>
      </c>
      <c r="F11" s="20">
        <v>2</v>
      </c>
      <c r="G11" s="22" t="str">
        <f t="shared" si="6"/>
        <v>60012_2</v>
      </c>
      <c r="H11" s="15" t="e">
        <f ca="1">VLOOKUP($G11,OFFSET([2]stages!$A$1,0,0,COUNTA([2]stages!$A:$A),MATCH(H$1,[2]stages!$2:$2,0)-MATCH($G$1,[2]stages!$2:$2,0)+1),MATCH(H$1,[2]stages!$2:$2,0)-MATCH($G$1,[2]stages!$2:$2,0)+1,FALSE)</f>
        <v>#VALUE!</v>
      </c>
      <c r="I11" s="20">
        <v>5</v>
      </c>
      <c r="J11" s="12">
        <v>60</v>
      </c>
      <c r="K11" s="12">
        <v>60</v>
      </c>
      <c r="L11" s="68" t="str">
        <f t="shared" si="7"/>
        <v>6001225</v>
      </c>
      <c r="M11" s="68" t="str">
        <f t="shared" si="8"/>
        <v>6001225</v>
      </c>
      <c r="N11" s="68" t="str">
        <f t="shared" si="9"/>
        <v>6001225</v>
      </c>
    </row>
  </sheetData>
  <sheetProtection selectLockedCells="1" selectUnlockedCells="1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3"/>
  <sheetViews>
    <sheetView workbookViewId="0">
      <selection activeCell="G8" sqref="G8"/>
    </sheetView>
  </sheetViews>
  <sheetFormatPr baseColWidth="12" defaultRowHeight="15" outlineLevelCol="1" x14ac:dyDescent="0.15"/>
  <cols>
    <col min="1" max="1" width="7.1640625" style="3" bestFit="1" customWidth="1"/>
    <col min="2" max="3" width="10.33203125" style="3" customWidth="1" outlineLevel="1"/>
    <col min="4" max="4" width="7" style="3" bestFit="1" customWidth="1"/>
    <col min="5" max="5" width="8.83203125" style="19" customWidth="1" outlineLevel="1"/>
    <col min="6" max="6" width="16.1640625" style="3" customWidth="1" outlineLevel="1"/>
    <col min="7" max="7" width="9.6640625" style="3" bestFit="1" customWidth="1"/>
  </cols>
  <sheetData>
    <row r="1" spans="1:7" x14ac:dyDescent="0.15">
      <c r="A1" s="1" t="s">
        <v>0</v>
      </c>
      <c r="B1" s="2" t="s">
        <v>16</v>
      </c>
      <c r="C1" s="15" t="s">
        <v>33</v>
      </c>
      <c r="D1" s="1" t="s">
        <v>1</v>
      </c>
      <c r="E1" s="22" t="s">
        <v>28</v>
      </c>
      <c r="F1" s="15" t="s">
        <v>16</v>
      </c>
      <c r="G1" s="1" t="s">
        <v>244</v>
      </c>
    </row>
    <row r="2" spans="1:7" x14ac:dyDescent="0.15">
      <c r="A2" s="7">
        <v>60012</v>
      </c>
      <c r="B2" s="11" t="e">
        <f ca="1">VLOOKUP($A2,OFFSET([2]quests!$A$1,0,0,COUNTA([2]quests!$A:$A),MATCH(B$1,[2]quests!$1:$1,0)-MATCH($A$1,[2]quests!$1:$1,0)+1),MATCH(B$1,[2]quests!$1:$1,0)-MATCH($A$1,[2]quests!$1:$1,0)+1,FALSE)</f>
        <v>#VALUE!</v>
      </c>
      <c r="C2" s="18" t="e">
        <f ca="1">VLOOKUP($A2,OFFSET([2]quests!$A$1,0,0,COUNTA([2]quests!$A:$A),MATCH(C$1,[2]quests!$1:$1,0)-MATCH($C$1,[2]quests!$1:$1,0)+1),MATCH(C$1,[2]quests!$1:$1,0)-MATCH($C$1,[2]quests!$1:$1,0)+1,FALSE)</f>
        <v>#VALUE!</v>
      </c>
      <c r="D2" s="20">
        <v>1</v>
      </c>
      <c r="E2" s="22" t="str">
        <f>A2&amp;"_"&amp;D2</f>
        <v>60012_1</v>
      </c>
      <c r="F2" s="15" t="e">
        <f ca="1">VLOOKUP($E2,OFFSET([2]stages!$A$1,0,0,COUNTA([2]stages!$A:$A),MATCH(F$1,[2]stages!$2:$2,0)-MATCH($E$1,[2]stages!$2:$2,0)+1),MATCH(F$1,[2]stages!$2:$2,0)-MATCH($E$1,[2]stages!$2:$2,0)+1,FALSE)</f>
        <v>#VALUE!</v>
      </c>
      <c r="G2" s="112">
        <v>2000000</v>
      </c>
    </row>
    <row r="3" spans="1:7" x14ac:dyDescent="0.15">
      <c r="A3" s="7">
        <v>60012</v>
      </c>
      <c r="B3" s="11" t="e">
        <f ca="1">VLOOKUP($A3,OFFSET([2]quests!$A$1,0,0,COUNTA([2]quests!$A:$A),MATCH(B$1,[2]quests!$1:$1,0)-MATCH($A$1,[2]quests!$1:$1,0)+1),MATCH(B$1,[2]quests!$1:$1,0)-MATCH($A$1,[2]quests!$1:$1,0)+1,FALSE)</f>
        <v>#VALUE!</v>
      </c>
      <c r="C3" s="18" t="e">
        <f ca="1">VLOOKUP($A3,OFFSET([2]quests!$A$1,0,0,COUNTA([2]quests!$A:$A),MATCH(C$1,[2]quests!$1:$1,0)-MATCH($C$1,[2]quests!$1:$1,0)+1),MATCH(C$1,[2]quests!$1:$1,0)-MATCH($C$1,[2]quests!$1:$1,0)+1,FALSE)</f>
        <v>#VALUE!</v>
      </c>
      <c r="D3" s="20">
        <v>2</v>
      </c>
      <c r="E3" s="22" t="str">
        <f>A3&amp;"_"&amp;D3</f>
        <v>60012_2</v>
      </c>
      <c r="F3" s="15" t="e">
        <f ca="1">VLOOKUP($E3,OFFSET([2]stages!$A$1,0,0,COUNTA([2]stages!$A:$A),MATCH(F$1,[2]stages!$2:$2,0)-MATCH($E$1,[2]stages!$2:$2,0)+1),MATCH(F$1,[2]stages!$2:$2,0)-MATCH($E$1,[2]stages!$2:$2,0)+1,FALSE)</f>
        <v>#VALUE!</v>
      </c>
      <c r="G3" s="112">
        <f>G2/4</f>
        <v>500000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AP41"/>
  <sheetViews>
    <sheetView workbookViewId="0">
      <selection activeCell="F20" sqref="F20"/>
    </sheetView>
  </sheetViews>
  <sheetFormatPr baseColWidth="12" defaultRowHeight="15" x14ac:dyDescent="0.15"/>
  <sheetData>
    <row r="1" spans="1:42" x14ac:dyDescent="0.15">
      <c r="A1" s="57" t="s">
        <v>246</v>
      </c>
      <c r="B1" s="57" t="s">
        <v>247</v>
      </c>
      <c r="C1" s="126" t="s">
        <v>281</v>
      </c>
      <c r="D1" s="57" t="s">
        <v>248</v>
      </c>
      <c r="E1" s="57" t="s">
        <v>249</v>
      </c>
      <c r="F1" s="106"/>
      <c r="G1" t="s">
        <v>275</v>
      </c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30" t="s">
        <v>282</v>
      </c>
      <c r="Z1" s="130" t="s">
        <v>283</v>
      </c>
      <c r="AA1" s="106"/>
      <c r="AB1" t="s">
        <v>280</v>
      </c>
      <c r="AK1" t="s">
        <v>275</v>
      </c>
      <c r="AP1" t="s">
        <v>279</v>
      </c>
    </row>
    <row r="2" spans="1:42" x14ac:dyDescent="0.15">
      <c r="A2" s="114">
        <v>6001211</v>
      </c>
      <c r="B2" s="114">
        <v>1</v>
      </c>
      <c r="C2" s="127">
        <v>1000000</v>
      </c>
      <c r="D2" s="138">
        <f>(C3-C2)/(B3-B2)</f>
        <v>-200000</v>
      </c>
      <c r="E2" s="137">
        <f t="shared" ref="E2:E3" si="0">C2-D2*B2</f>
        <v>1200000</v>
      </c>
      <c r="G2" t="s">
        <v>247</v>
      </c>
      <c r="H2" t="s">
        <v>277</v>
      </c>
      <c r="I2" t="s">
        <v>302</v>
      </c>
      <c r="J2" t="s">
        <v>249</v>
      </c>
      <c r="Y2">
        <f>D2*B2+E2</f>
        <v>1000000</v>
      </c>
      <c r="Z2">
        <f>D2*B3+E2</f>
        <v>0</v>
      </c>
      <c r="AB2" s="114">
        <v>1</v>
      </c>
      <c r="AC2" s="114">
        <v>20000</v>
      </c>
      <c r="AD2" s="116">
        <v>480000</v>
      </c>
      <c r="AF2" s="114">
        <v>1</v>
      </c>
      <c r="AG2" s="114">
        <v>0</v>
      </c>
      <c r="AH2" s="116">
        <v>500000</v>
      </c>
      <c r="AK2" t="s">
        <v>247</v>
      </c>
      <c r="AL2" t="s">
        <v>277</v>
      </c>
      <c r="AM2" t="s">
        <v>248</v>
      </c>
      <c r="AN2" t="s">
        <v>278</v>
      </c>
      <c r="AO2" t="s">
        <v>276</v>
      </c>
    </row>
    <row r="3" spans="1:42" x14ac:dyDescent="0.15">
      <c r="A3" s="114">
        <v>6001211</v>
      </c>
      <c r="B3" s="114">
        <v>6</v>
      </c>
      <c r="C3" s="127">
        <v>0</v>
      </c>
      <c r="D3" s="138">
        <f>(C4-C3)/(B4-B3)</f>
        <v>-250000</v>
      </c>
      <c r="E3" s="137">
        <f t="shared" si="0"/>
        <v>1500000</v>
      </c>
      <c r="G3">
        <v>1</v>
      </c>
      <c r="H3">
        <f>I3*G3+J3</f>
        <v>1000000.0000000001</v>
      </c>
      <c r="I3" s="139">
        <f t="shared" ref="I3:I26" si="1">$D$14</f>
        <v>-142857.14285714287</v>
      </c>
      <c r="J3" s="139">
        <f t="shared" ref="J3:J26" si="2">$E$14</f>
        <v>1142857.142857143</v>
      </c>
      <c r="Y3">
        <f t="shared" ref="Y3:Y5" si="3">D3*B3+E3</f>
        <v>0</v>
      </c>
      <c r="Z3">
        <f t="shared" ref="Z3:Z4" si="4">D3*B4+E3</f>
        <v>-500000</v>
      </c>
      <c r="AB3" s="114">
        <v>2</v>
      </c>
      <c r="AC3" s="114">
        <v>20000</v>
      </c>
      <c r="AD3" s="116">
        <v>435000</v>
      </c>
      <c r="AF3" s="114">
        <v>2</v>
      </c>
      <c r="AG3" s="114">
        <v>0</v>
      </c>
      <c r="AH3" s="116">
        <v>475000</v>
      </c>
      <c r="AK3">
        <v>1</v>
      </c>
      <c r="AL3">
        <f>AM3*AK3+AN3</f>
        <v>857142.85714285716</v>
      </c>
      <c r="AM3">
        <f>VLOOKUP(AK3,B$14:E$20,2)</f>
        <v>1000000</v>
      </c>
      <c r="AN3">
        <f>VLOOKUP(AK3,B$14:E$20,3)</f>
        <v>-142857.14285714287</v>
      </c>
      <c r="AO3">
        <v>1110000</v>
      </c>
    </row>
    <row r="4" spans="1:42" x14ac:dyDescent="0.15">
      <c r="A4" s="114">
        <v>6001211</v>
      </c>
      <c r="B4" s="114">
        <v>8</v>
      </c>
      <c r="C4" s="127">
        <v>-500000</v>
      </c>
      <c r="D4" s="138">
        <f>(C5-C4)/(B5-B4)</f>
        <v>-4750000</v>
      </c>
      <c r="E4" s="137">
        <f>C4-D4*B4</f>
        <v>37500000</v>
      </c>
      <c r="G4">
        <v>2</v>
      </c>
      <c r="H4">
        <f t="shared" ref="H4:H9" si="5">I4*G4+J4</f>
        <v>857142.85714285728</v>
      </c>
      <c r="I4" s="139">
        <f t="shared" si="1"/>
        <v>-142857.14285714287</v>
      </c>
      <c r="J4" s="139">
        <f t="shared" si="2"/>
        <v>1142857.142857143</v>
      </c>
      <c r="Y4">
        <f t="shared" si="3"/>
        <v>-500000</v>
      </c>
      <c r="Z4">
        <f t="shared" si="4"/>
        <v>-10000000</v>
      </c>
      <c r="AB4" s="114">
        <v>3</v>
      </c>
      <c r="AC4" s="114">
        <v>20000</v>
      </c>
      <c r="AD4" s="116">
        <v>390000</v>
      </c>
      <c r="AF4" s="114">
        <v>3</v>
      </c>
      <c r="AG4" s="114">
        <v>0</v>
      </c>
      <c r="AH4" s="116">
        <v>450000</v>
      </c>
      <c r="AK4">
        <v>2</v>
      </c>
      <c r="AL4">
        <f t="shared" ref="AL4:AL27" si="6">AM4*AK4+AN4</f>
        <v>2812500</v>
      </c>
      <c r="AM4">
        <f t="shared" ref="AM4:AM27" si="7">VLOOKUP(AK4,B$10:E$15,2)</f>
        <v>1500000</v>
      </c>
      <c r="AN4">
        <f t="shared" ref="AN4:AN27" si="8">VLOOKUP(AK4,B$10:E$15,3)</f>
        <v>-187500</v>
      </c>
      <c r="AO4">
        <v>1130000</v>
      </c>
      <c r="AP4">
        <f>AO4-AO3</f>
        <v>20000</v>
      </c>
    </row>
    <row r="5" spans="1:42" x14ac:dyDescent="0.15">
      <c r="A5" s="114">
        <v>6001211</v>
      </c>
      <c r="B5" s="114">
        <v>10</v>
      </c>
      <c r="C5" s="127">
        <v>-10000000</v>
      </c>
      <c r="D5" s="118">
        <v>0</v>
      </c>
      <c r="E5" s="116">
        <v>-10000000</v>
      </c>
      <c r="G5">
        <v>3</v>
      </c>
      <c r="H5">
        <f t="shared" si="5"/>
        <v>714285.71428571432</v>
      </c>
      <c r="I5" s="139">
        <f t="shared" si="1"/>
        <v>-142857.14285714287</v>
      </c>
      <c r="J5" s="139">
        <f t="shared" si="2"/>
        <v>1142857.142857143</v>
      </c>
      <c r="Y5">
        <f t="shared" si="3"/>
        <v>-10000000</v>
      </c>
      <c r="Z5" t="e">
        <f>D5*#REF!+E5</f>
        <v>#REF!</v>
      </c>
      <c r="AB5" s="114">
        <v>4</v>
      </c>
      <c r="AC5" s="114">
        <v>20000</v>
      </c>
      <c r="AD5" s="116">
        <v>345000</v>
      </c>
      <c r="AF5" s="114">
        <v>4</v>
      </c>
      <c r="AG5" s="114">
        <v>0</v>
      </c>
      <c r="AH5" s="116">
        <v>425000</v>
      </c>
      <c r="AK5">
        <v>3</v>
      </c>
      <c r="AL5">
        <f t="shared" si="6"/>
        <v>4312500</v>
      </c>
      <c r="AM5">
        <f t="shared" si="7"/>
        <v>1500000</v>
      </c>
      <c r="AN5">
        <f t="shared" si="8"/>
        <v>-187500</v>
      </c>
      <c r="AO5">
        <v>1100000</v>
      </c>
      <c r="AP5">
        <f t="shared" ref="AP5:AP9" si="9">AO5-AO4</f>
        <v>-30000</v>
      </c>
    </row>
    <row r="6" spans="1:42" x14ac:dyDescent="0.15">
      <c r="A6" s="115">
        <v>6001212</v>
      </c>
      <c r="B6" s="115">
        <v>1</v>
      </c>
      <c r="C6" s="127">
        <v>1000000</v>
      </c>
      <c r="D6" s="138">
        <f>(C7-C6)/(B7-B6)</f>
        <v>-142857.14285714287</v>
      </c>
      <c r="E6" s="137">
        <f t="shared" ref="E6:E7" si="10">C6-D6*B6</f>
        <v>1142857.142857143</v>
      </c>
      <c r="G6">
        <v>4</v>
      </c>
      <c r="H6">
        <f t="shared" si="5"/>
        <v>571428.57142857148</v>
      </c>
      <c r="I6" s="139">
        <f t="shared" si="1"/>
        <v>-142857.14285714287</v>
      </c>
      <c r="J6" s="139">
        <f t="shared" si="2"/>
        <v>1142857.142857143</v>
      </c>
      <c r="Y6">
        <f t="shared" ref="Y6:Y9" si="11">D6*B6+E6</f>
        <v>1000000.0000000001</v>
      </c>
      <c r="Z6">
        <f t="shared" ref="Z6:Z8" si="12">D6*B7+E6</f>
        <v>0</v>
      </c>
      <c r="AB6" s="114">
        <v>8</v>
      </c>
      <c r="AC6" s="114">
        <v>20000</v>
      </c>
      <c r="AD6" s="116">
        <v>-310000</v>
      </c>
      <c r="AF6" s="114">
        <v>8</v>
      </c>
      <c r="AG6" s="114">
        <v>0</v>
      </c>
      <c r="AH6" s="116">
        <v>-150000</v>
      </c>
      <c r="AK6">
        <v>7</v>
      </c>
      <c r="AL6">
        <f t="shared" si="6"/>
        <v>10312500</v>
      </c>
      <c r="AM6">
        <f t="shared" si="7"/>
        <v>1500000</v>
      </c>
      <c r="AN6">
        <f t="shared" si="8"/>
        <v>-187500</v>
      </c>
      <c r="AO6">
        <v>950000</v>
      </c>
      <c r="AP6" t="e">
        <f>AO6-#REF!</f>
        <v>#REF!</v>
      </c>
    </row>
    <row r="7" spans="1:42" x14ac:dyDescent="0.15">
      <c r="A7" s="115">
        <v>6001212</v>
      </c>
      <c r="B7" s="115">
        <v>8</v>
      </c>
      <c r="C7" s="127">
        <v>0</v>
      </c>
      <c r="D7" s="138">
        <f>(C8-C7)/(B8-B7)</f>
        <v>-250000</v>
      </c>
      <c r="E7" s="137">
        <f t="shared" si="10"/>
        <v>2000000</v>
      </c>
      <c r="G7">
        <v>5</v>
      </c>
      <c r="H7">
        <f t="shared" si="5"/>
        <v>428571.42857142864</v>
      </c>
      <c r="I7" s="139">
        <f t="shared" si="1"/>
        <v>-142857.14285714287</v>
      </c>
      <c r="J7" s="139">
        <f t="shared" si="2"/>
        <v>1142857.142857143</v>
      </c>
      <c r="Y7">
        <f t="shared" si="11"/>
        <v>0</v>
      </c>
      <c r="Z7">
        <f t="shared" si="12"/>
        <v>-500000</v>
      </c>
      <c r="AB7" s="114">
        <v>9</v>
      </c>
      <c r="AC7" s="114">
        <v>20000</v>
      </c>
      <c r="AD7" s="116">
        <v>-630000</v>
      </c>
      <c r="AF7" s="114">
        <v>9</v>
      </c>
      <c r="AG7" s="114">
        <v>0</v>
      </c>
      <c r="AH7" s="116">
        <v>-450000</v>
      </c>
      <c r="AK7">
        <v>8</v>
      </c>
      <c r="AL7">
        <f t="shared" si="6"/>
        <v>11812500</v>
      </c>
      <c r="AM7">
        <f t="shared" si="7"/>
        <v>1500000</v>
      </c>
      <c r="AN7">
        <f t="shared" si="8"/>
        <v>-187500</v>
      </c>
      <c r="AO7">
        <v>700000</v>
      </c>
      <c r="AP7">
        <f t="shared" si="9"/>
        <v>-250000</v>
      </c>
    </row>
    <row r="8" spans="1:42" x14ac:dyDescent="0.15">
      <c r="A8" s="115">
        <v>6001212</v>
      </c>
      <c r="B8" s="115">
        <v>10</v>
      </c>
      <c r="C8" s="127">
        <v>-500000</v>
      </c>
      <c r="D8" s="138">
        <f>(C9-C8)/(B9-B8)</f>
        <v>-4750000</v>
      </c>
      <c r="E8" s="137">
        <f>C8-D8*B8</f>
        <v>47000000</v>
      </c>
      <c r="G8">
        <v>6</v>
      </c>
      <c r="H8">
        <f t="shared" si="5"/>
        <v>285714.28571428568</v>
      </c>
      <c r="I8" s="139">
        <f t="shared" si="1"/>
        <v>-142857.14285714287</v>
      </c>
      <c r="J8" s="139">
        <f t="shared" si="2"/>
        <v>1142857.142857143</v>
      </c>
      <c r="Y8">
        <f t="shared" si="11"/>
        <v>-500000</v>
      </c>
      <c r="Z8">
        <f t="shared" si="12"/>
        <v>-10000000</v>
      </c>
      <c r="AB8" s="114">
        <v>10</v>
      </c>
      <c r="AC8" s="114">
        <v>20000</v>
      </c>
      <c r="AD8" s="116">
        <v>-10000000</v>
      </c>
      <c r="AF8" s="114">
        <v>10</v>
      </c>
      <c r="AG8" s="114">
        <v>0</v>
      </c>
      <c r="AH8" s="116">
        <v>-9999999</v>
      </c>
      <c r="AK8">
        <v>9</v>
      </c>
      <c r="AL8">
        <f t="shared" si="6"/>
        <v>-250000</v>
      </c>
      <c r="AM8">
        <f t="shared" si="7"/>
        <v>0</v>
      </c>
      <c r="AN8">
        <f t="shared" si="8"/>
        <v>-250000</v>
      </c>
      <c r="AO8">
        <v>350000</v>
      </c>
      <c r="AP8">
        <f t="shared" si="9"/>
        <v>-350000</v>
      </c>
    </row>
    <row r="9" spans="1:42" x14ac:dyDescent="0.15">
      <c r="A9" s="115">
        <v>6001212</v>
      </c>
      <c r="B9" s="115">
        <v>12</v>
      </c>
      <c r="C9" s="127">
        <v>-10000000</v>
      </c>
      <c r="D9" s="119">
        <v>0</v>
      </c>
      <c r="E9" s="117">
        <v>-10000000</v>
      </c>
      <c r="G9">
        <v>7</v>
      </c>
      <c r="H9">
        <f t="shared" si="5"/>
        <v>142857.14285714284</v>
      </c>
      <c r="I9" s="139">
        <f t="shared" si="1"/>
        <v>-142857.14285714287</v>
      </c>
      <c r="J9" s="139">
        <f t="shared" si="2"/>
        <v>1142857.142857143</v>
      </c>
      <c r="Y9">
        <f t="shared" si="11"/>
        <v>-10000000</v>
      </c>
      <c r="Z9">
        <f>D9*B10+E9</f>
        <v>-10000000</v>
      </c>
      <c r="AB9" s="115">
        <v>1</v>
      </c>
      <c r="AC9" s="115">
        <v>20000</v>
      </c>
      <c r="AD9" s="117">
        <v>630000</v>
      </c>
      <c r="AF9" s="115">
        <v>1</v>
      </c>
      <c r="AG9" s="115">
        <v>0</v>
      </c>
      <c r="AH9" s="117">
        <v>650000</v>
      </c>
      <c r="AK9">
        <v>10</v>
      </c>
      <c r="AL9">
        <f t="shared" si="6"/>
        <v>-250000</v>
      </c>
      <c r="AM9">
        <f t="shared" si="7"/>
        <v>0</v>
      </c>
      <c r="AN9">
        <f t="shared" si="8"/>
        <v>-250000</v>
      </c>
      <c r="AO9">
        <v>0</v>
      </c>
      <c r="AP9">
        <f t="shared" si="9"/>
        <v>-350000</v>
      </c>
    </row>
    <row r="10" spans="1:42" x14ac:dyDescent="0.15">
      <c r="A10" s="114">
        <v>6001213</v>
      </c>
      <c r="B10" s="114">
        <v>1</v>
      </c>
      <c r="C10" s="127">
        <v>1500000</v>
      </c>
      <c r="D10" s="138">
        <f>(C11-C10)/(B11-B10)</f>
        <v>-187500</v>
      </c>
      <c r="E10" s="137">
        <f>C10-D10*B10</f>
        <v>1687500</v>
      </c>
      <c r="G10">
        <v>8</v>
      </c>
      <c r="H10">
        <f>I10*G10+J10</f>
        <v>0</v>
      </c>
      <c r="I10" s="139">
        <f t="shared" si="1"/>
        <v>-142857.14285714287</v>
      </c>
      <c r="J10" s="139">
        <f t="shared" si="2"/>
        <v>1142857.142857143</v>
      </c>
      <c r="Y10">
        <f>D10*B10+E10</f>
        <v>1500000</v>
      </c>
      <c r="Z10">
        <f>D10*B11+E10</f>
        <v>0</v>
      </c>
      <c r="AB10" s="115">
        <v>2</v>
      </c>
      <c r="AC10" s="115">
        <v>20000</v>
      </c>
      <c r="AD10" s="117">
        <v>585000</v>
      </c>
      <c r="AF10" s="115">
        <v>2</v>
      </c>
      <c r="AG10" s="115">
        <v>0</v>
      </c>
      <c r="AH10" s="117">
        <v>625000</v>
      </c>
      <c r="AK10">
        <v>11</v>
      </c>
      <c r="AL10">
        <f>AM10*AK10+AN10</f>
        <v>-10250000</v>
      </c>
      <c r="AM10">
        <f t="shared" si="7"/>
        <v>-500000</v>
      </c>
      <c r="AN10">
        <f t="shared" si="8"/>
        <v>-4750000</v>
      </c>
      <c r="AO10">
        <v>20000</v>
      </c>
      <c r="AP10">
        <f>AO10-AO9</f>
        <v>20000</v>
      </c>
    </row>
    <row r="11" spans="1:42" x14ac:dyDescent="0.15">
      <c r="A11" s="114">
        <v>6001213</v>
      </c>
      <c r="B11" s="114">
        <v>9</v>
      </c>
      <c r="C11" s="127">
        <v>0</v>
      </c>
      <c r="D11" s="138">
        <f>(C12-C11)/(B12-B11)</f>
        <v>-250000</v>
      </c>
      <c r="E11" s="137">
        <f>C11-D11*B11</f>
        <v>2250000</v>
      </c>
      <c r="G11">
        <v>9</v>
      </c>
      <c r="H11">
        <f>I11*G11+J11</f>
        <v>-142857.14285714296</v>
      </c>
      <c r="I11" s="139">
        <f t="shared" si="1"/>
        <v>-142857.14285714287</v>
      </c>
      <c r="J11" s="139">
        <f t="shared" si="2"/>
        <v>1142857.142857143</v>
      </c>
      <c r="Y11">
        <f>D11*B11+E11</f>
        <v>0</v>
      </c>
      <c r="Z11">
        <f>D11*B12+E11</f>
        <v>-500000</v>
      </c>
      <c r="AB11" s="115">
        <v>3</v>
      </c>
      <c r="AC11" s="115">
        <v>20000</v>
      </c>
      <c r="AD11" s="117">
        <v>540000</v>
      </c>
      <c r="AF11" s="115">
        <v>3</v>
      </c>
      <c r="AG11" s="115">
        <v>0</v>
      </c>
      <c r="AH11" s="117">
        <v>600000</v>
      </c>
      <c r="AK11">
        <v>12</v>
      </c>
      <c r="AL11">
        <f>AM11*AK11+AN11</f>
        <v>-250000</v>
      </c>
      <c r="AM11">
        <f t="shared" si="7"/>
        <v>0</v>
      </c>
      <c r="AN11">
        <f t="shared" si="8"/>
        <v>-250000</v>
      </c>
      <c r="AO11">
        <v>-9760000</v>
      </c>
    </row>
    <row r="12" spans="1:42" x14ac:dyDescent="0.15">
      <c r="A12" s="114">
        <v>6001213</v>
      </c>
      <c r="B12" s="114">
        <v>11</v>
      </c>
      <c r="C12" s="127">
        <v>-500000</v>
      </c>
      <c r="D12" s="138">
        <f>(C13-C12)/(B13-B12)</f>
        <v>-4750000</v>
      </c>
      <c r="E12" s="137">
        <f>C12-D12*B12</f>
        <v>51750000</v>
      </c>
      <c r="G12">
        <v>10</v>
      </c>
      <c r="H12">
        <f>I12*G12+J12</f>
        <v>-285714.28571428568</v>
      </c>
      <c r="I12" s="139">
        <f t="shared" si="1"/>
        <v>-142857.14285714287</v>
      </c>
      <c r="J12" s="139">
        <f t="shared" si="2"/>
        <v>1142857.142857143</v>
      </c>
      <c r="Y12">
        <f>D12*B12+E12</f>
        <v>-500000</v>
      </c>
      <c r="Z12">
        <f>D12*B13+E12</f>
        <v>-10000000</v>
      </c>
      <c r="AB12" s="115">
        <v>4</v>
      </c>
      <c r="AC12" s="115">
        <v>20000</v>
      </c>
      <c r="AD12" s="117">
        <v>495000</v>
      </c>
      <c r="AF12" s="115">
        <v>4</v>
      </c>
      <c r="AG12" s="115">
        <v>0</v>
      </c>
      <c r="AH12" s="117">
        <v>575000</v>
      </c>
      <c r="AK12">
        <v>13</v>
      </c>
      <c r="AL12">
        <f>AM12*AK12+AN12</f>
        <v>-250000</v>
      </c>
      <c r="AM12">
        <f t="shared" si="7"/>
        <v>0</v>
      </c>
      <c r="AN12">
        <f t="shared" si="8"/>
        <v>-250000</v>
      </c>
      <c r="AO12">
        <v>-9740000</v>
      </c>
    </row>
    <row r="13" spans="1:42" x14ac:dyDescent="0.15">
      <c r="A13" s="114">
        <v>6001213</v>
      </c>
      <c r="B13" s="114">
        <v>13</v>
      </c>
      <c r="C13" s="127">
        <v>-10000000</v>
      </c>
      <c r="D13" s="118">
        <v>0</v>
      </c>
      <c r="E13" s="116">
        <v>-10000000</v>
      </c>
      <c r="G13">
        <v>11</v>
      </c>
      <c r="H13">
        <f>I13*G13+J13</f>
        <v>-428571.42857142864</v>
      </c>
      <c r="I13" s="139">
        <f t="shared" si="1"/>
        <v>-142857.14285714287</v>
      </c>
      <c r="J13" s="139">
        <f t="shared" si="2"/>
        <v>1142857.142857143</v>
      </c>
      <c r="Y13">
        <f>D13*B13+E13</f>
        <v>-10000000</v>
      </c>
      <c r="Z13" t="e">
        <f>D13*#REF!+E13</f>
        <v>#REF!</v>
      </c>
      <c r="AB13" s="115">
        <v>5</v>
      </c>
      <c r="AC13" s="115">
        <v>20000</v>
      </c>
      <c r="AD13" s="117">
        <v>400000</v>
      </c>
      <c r="AF13" s="115">
        <v>5</v>
      </c>
      <c r="AG13" s="115">
        <v>0</v>
      </c>
      <c r="AH13" s="117">
        <v>500000</v>
      </c>
      <c r="AK13">
        <v>14</v>
      </c>
      <c r="AL13">
        <f>AM13*AK13+AN13</f>
        <v>-250000</v>
      </c>
      <c r="AM13">
        <f t="shared" si="7"/>
        <v>0</v>
      </c>
      <c r="AN13">
        <f t="shared" si="8"/>
        <v>-250000</v>
      </c>
      <c r="AO13">
        <v>-9720000</v>
      </c>
    </row>
    <row r="14" spans="1:42" x14ac:dyDescent="0.15">
      <c r="A14" s="115">
        <v>6001214</v>
      </c>
      <c r="B14" s="115">
        <v>1</v>
      </c>
      <c r="C14" s="127">
        <v>1000000</v>
      </c>
      <c r="D14" s="138">
        <f>(C15-C14)/(B15-B14)</f>
        <v>-142857.14285714287</v>
      </c>
      <c r="E14" s="137">
        <f t="shared" ref="E14:E15" si="13">C14-D14*B14</f>
        <v>1142857.142857143</v>
      </c>
      <c r="G14">
        <v>12</v>
      </c>
      <c r="H14">
        <f t="shared" ref="H14:H26" si="14">I14*G14+J14</f>
        <v>-571428.57142857159</v>
      </c>
      <c r="I14" s="139">
        <f t="shared" si="1"/>
        <v>-142857.14285714287</v>
      </c>
      <c r="J14" s="139">
        <f t="shared" si="2"/>
        <v>1142857.142857143</v>
      </c>
      <c r="Y14">
        <f t="shared" ref="Y14:Y17" si="15">D14*B14+E14</f>
        <v>1000000.0000000001</v>
      </c>
      <c r="Z14">
        <f t="shared" ref="Z14:Z16" si="16">D14*B15+E14</f>
        <v>0</v>
      </c>
      <c r="AB14" s="115">
        <v>10</v>
      </c>
      <c r="AC14" s="115">
        <v>20000</v>
      </c>
      <c r="AD14" s="117">
        <v>-10000000</v>
      </c>
      <c r="AF14" s="115">
        <v>10</v>
      </c>
      <c r="AG14" s="115">
        <v>0</v>
      </c>
      <c r="AH14" s="117">
        <v>-9999999</v>
      </c>
      <c r="AK14">
        <v>19</v>
      </c>
      <c r="AL14">
        <f t="shared" si="6"/>
        <v>-250000</v>
      </c>
      <c r="AM14">
        <f t="shared" si="7"/>
        <v>0</v>
      </c>
      <c r="AN14">
        <f t="shared" si="8"/>
        <v>-250000</v>
      </c>
      <c r="AO14">
        <v>-9620000</v>
      </c>
    </row>
    <row r="15" spans="1:42" x14ac:dyDescent="0.15">
      <c r="A15" s="115">
        <v>6001214</v>
      </c>
      <c r="B15" s="115">
        <v>8</v>
      </c>
      <c r="C15" s="127">
        <v>0</v>
      </c>
      <c r="D15" s="138">
        <f>(C16-C15)/(B16-B15)</f>
        <v>-250000</v>
      </c>
      <c r="E15" s="137">
        <f t="shared" si="13"/>
        <v>2000000</v>
      </c>
      <c r="G15">
        <v>13</v>
      </c>
      <c r="H15">
        <f t="shared" si="14"/>
        <v>-714285.71428571432</v>
      </c>
      <c r="I15" s="139">
        <f t="shared" si="1"/>
        <v>-142857.14285714287</v>
      </c>
      <c r="J15" s="139">
        <f t="shared" si="2"/>
        <v>1142857.142857143</v>
      </c>
      <c r="Y15">
        <f t="shared" si="15"/>
        <v>0</v>
      </c>
      <c r="Z15">
        <f t="shared" si="16"/>
        <v>-500000</v>
      </c>
      <c r="AB15" s="114">
        <v>1</v>
      </c>
      <c r="AC15" s="114">
        <v>20000</v>
      </c>
      <c r="AD15" s="116">
        <v>1090000</v>
      </c>
      <c r="AE15">
        <f>AC15*AB15+AD15</f>
        <v>1110000</v>
      </c>
      <c r="AF15" s="114">
        <v>1</v>
      </c>
      <c r="AG15" s="114">
        <v>0</v>
      </c>
      <c r="AH15" s="116">
        <v>1110000</v>
      </c>
      <c r="AK15">
        <v>20</v>
      </c>
      <c r="AL15">
        <f t="shared" si="6"/>
        <v>-250000</v>
      </c>
      <c r="AM15">
        <f t="shared" si="7"/>
        <v>0</v>
      </c>
      <c r="AN15">
        <f t="shared" si="8"/>
        <v>-250000</v>
      </c>
      <c r="AO15">
        <v>-9600000</v>
      </c>
    </row>
    <row r="16" spans="1:42" x14ac:dyDescent="0.15">
      <c r="A16" s="115">
        <v>6001214</v>
      </c>
      <c r="B16" s="115">
        <v>10</v>
      </c>
      <c r="C16" s="127">
        <v>-500000</v>
      </c>
      <c r="D16" s="138">
        <f>(C17-C16)/(B17-B16)</f>
        <v>-4750000</v>
      </c>
      <c r="E16" s="137">
        <f>C16-D16*B16</f>
        <v>47000000</v>
      </c>
      <c r="G16">
        <v>14</v>
      </c>
      <c r="H16">
        <f t="shared" si="14"/>
        <v>-857142.85714285728</v>
      </c>
      <c r="I16" s="139">
        <f t="shared" si="1"/>
        <v>-142857.14285714287</v>
      </c>
      <c r="J16" s="139">
        <f t="shared" si="2"/>
        <v>1142857.142857143</v>
      </c>
      <c r="Y16">
        <f t="shared" si="15"/>
        <v>-500000</v>
      </c>
      <c r="Z16">
        <f t="shared" si="16"/>
        <v>-10000000</v>
      </c>
      <c r="AB16" s="114">
        <v>3</v>
      </c>
      <c r="AC16" s="114">
        <v>20000</v>
      </c>
      <c r="AD16" s="116">
        <v>1040000</v>
      </c>
      <c r="AE16">
        <f t="shared" ref="AE16:AE36" si="17">AC16*AB16+AD16</f>
        <v>1100000</v>
      </c>
      <c r="AF16" s="114">
        <v>3</v>
      </c>
      <c r="AG16" s="114">
        <v>0</v>
      </c>
      <c r="AH16" s="116">
        <v>1100000</v>
      </c>
      <c r="AK16">
        <v>21</v>
      </c>
      <c r="AL16">
        <f t="shared" si="6"/>
        <v>-250000</v>
      </c>
      <c r="AM16">
        <f t="shared" si="7"/>
        <v>0</v>
      </c>
      <c r="AN16">
        <f t="shared" si="8"/>
        <v>-250000</v>
      </c>
      <c r="AO16">
        <v>-9580000</v>
      </c>
    </row>
    <row r="17" spans="1:41" x14ac:dyDescent="0.15">
      <c r="A17" s="115">
        <v>6001214</v>
      </c>
      <c r="B17" s="115">
        <v>12</v>
      </c>
      <c r="C17" s="127">
        <v>-10000000</v>
      </c>
      <c r="D17" s="119">
        <v>0</v>
      </c>
      <c r="E17" s="117">
        <v>-10000000</v>
      </c>
      <c r="G17">
        <v>15</v>
      </c>
      <c r="H17">
        <f t="shared" si="14"/>
        <v>-1000000.0000000002</v>
      </c>
      <c r="I17" s="139">
        <f t="shared" si="1"/>
        <v>-142857.14285714287</v>
      </c>
      <c r="J17" s="139">
        <f t="shared" si="2"/>
        <v>1142857.142857143</v>
      </c>
      <c r="Y17">
        <f t="shared" si="15"/>
        <v>-10000000</v>
      </c>
      <c r="Z17" t="e">
        <f>D17*#REF!+E17</f>
        <v>#REF!</v>
      </c>
      <c r="AB17" s="114">
        <v>4</v>
      </c>
      <c r="AC17" s="114">
        <v>20000</v>
      </c>
      <c r="AD17" s="116">
        <v>995000</v>
      </c>
      <c r="AE17">
        <f t="shared" si="17"/>
        <v>1075000</v>
      </c>
      <c r="AF17" s="114">
        <v>4</v>
      </c>
      <c r="AG17" s="114">
        <v>0</v>
      </c>
      <c r="AH17" s="116">
        <v>1075000</v>
      </c>
      <c r="AK17">
        <v>22</v>
      </c>
      <c r="AL17">
        <f t="shared" si="6"/>
        <v>-250000</v>
      </c>
      <c r="AM17">
        <f t="shared" si="7"/>
        <v>0</v>
      </c>
      <c r="AN17">
        <f t="shared" si="8"/>
        <v>-250000</v>
      </c>
      <c r="AO17">
        <v>-9560000</v>
      </c>
    </row>
    <row r="18" spans="1:41" x14ac:dyDescent="0.15">
      <c r="A18" s="114">
        <v>6001215</v>
      </c>
      <c r="B18" s="114">
        <v>1</v>
      </c>
      <c r="C18" s="127">
        <v>2000000</v>
      </c>
      <c r="D18" s="138">
        <f>(C19-C18)/(B19-B18)</f>
        <v>-153846.15384615384</v>
      </c>
      <c r="E18" s="137">
        <f t="shared" ref="E18:E19" si="18">C18-D18*B18</f>
        <v>2153846.153846154</v>
      </c>
      <c r="G18">
        <v>16</v>
      </c>
      <c r="H18">
        <f t="shared" si="14"/>
        <v>-1142857.142857143</v>
      </c>
      <c r="I18" s="139">
        <f t="shared" si="1"/>
        <v>-142857.14285714287</v>
      </c>
      <c r="J18" s="139">
        <f t="shared" si="2"/>
        <v>1142857.142857143</v>
      </c>
      <c r="Y18">
        <f t="shared" ref="Y18:Y21" si="19">D18*B18+E18</f>
        <v>2000000.0000000002</v>
      </c>
      <c r="Z18">
        <f t="shared" ref="Z18:Z20" si="20">D18*B19+E18</f>
        <v>0</v>
      </c>
      <c r="AB18" s="114">
        <v>8</v>
      </c>
      <c r="AC18" s="114">
        <v>20000</v>
      </c>
      <c r="AD18" s="116">
        <v>540000</v>
      </c>
      <c r="AE18">
        <f t="shared" si="17"/>
        <v>700000</v>
      </c>
      <c r="AF18" s="114">
        <v>8</v>
      </c>
      <c r="AG18" s="114">
        <v>0</v>
      </c>
      <c r="AH18" s="116">
        <v>700000</v>
      </c>
      <c r="AK18">
        <v>26</v>
      </c>
      <c r="AL18">
        <f t="shared" si="6"/>
        <v>-250000</v>
      </c>
      <c r="AM18">
        <f t="shared" si="7"/>
        <v>0</v>
      </c>
      <c r="AN18">
        <f t="shared" si="8"/>
        <v>-250000</v>
      </c>
      <c r="AO18">
        <v>-9480000</v>
      </c>
    </row>
    <row r="19" spans="1:41" x14ac:dyDescent="0.15">
      <c r="A19" s="114">
        <v>6001215</v>
      </c>
      <c r="B19" s="114">
        <v>14</v>
      </c>
      <c r="C19" s="127">
        <v>0</v>
      </c>
      <c r="D19" s="138">
        <f>(C20-C19)/(B20-B19)</f>
        <v>-166666.66666666666</v>
      </c>
      <c r="E19" s="137">
        <f t="shared" si="18"/>
        <v>2333333.333333333</v>
      </c>
      <c r="G19">
        <v>17</v>
      </c>
      <c r="H19">
        <f t="shared" si="14"/>
        <v>-1285714.2857142857</v>
      </c>
      <c r="I19" s="139">
        <f t="shared" si="1"/>
        <v>-142857.14285714287</v>
      </c>
      <c r="J19" s="139">
        <f t="shared" si="2"/>
        <v>1142857.142857143</v>
      </c>
      <c r="Y19">
        <f t="shared" si="19"/>
        <v>0</v>
      </c>
      <c r="Z19">
        <f t="shared" si="20"/>
        <v>-500000</v>
      </c>
      <c r="AB19" s="114">
        <v>9</v>
      </c>
      <c r="AC19" s="114">
        <v>20000</v>
      </c>
      <c r="AD19" s="116">
        <v>170000</v>
      </c>
      <c r="AE19">
        <f t="shared" si="17"/>
        <v>350000</v>
      </c>
      <c r="AF19" s="114">
        <v>9</v>
      </c>
      <c r="AG19" s="114">
        <v>0</v>
      </c>
      <c r="AH19" s="116">
        <v>350000</v>
      </c>
      <c r="AK19">
        <v>27</v>
      </c>
      <c r="AL19">
        <f t="shared" si="6"/>
        <v>-250000</v>
      </c>
      <c r="AM19">
        <f t="shared" si="7"/>
        <v>0</v>
      </c>
      <c r="AN19">
        <f t="shared" si="8"/>
        <v>-250000</v>
      </c>
      <c r="AO19">
        <v>-9460000</v>
      </c>
    </row>
    <row r="20" spans="1:41" x14ac:dyDescent="0.15">
      <c r="A20" s="114">
        <v>6001215</v>
      </c>
      <c r="B20" s="114">
        <v>17</v>
      </c>
      <c r="C20" s="127">
        <v>-500000</v>
      </c>
      <c r="D20" s="138">
        <f>(C21-C20)/(B21-B20)</f>
        <v>-4750000</v>
      </c>
      <c r="E20" s="137">
        <f>C20-D20*B20</f>
        <v>80250000</v>
      </c>
      <c r="G20">
        <v>18</v>
      </c>
      <c r="H20">
        <f t="shared" si="14"/>
        <v>-1428571.4285714289</v>
      </c>
      <c r="I20" s="139">
        <f t="shared" si="1"/>
        <v>-142857.14285714287</v>
      </c>
      <c r="J20" s="139">
        <f t="shared" si="2"/>
        <v>1142857.142857143</v>
      </c>
      <c r="Y20">
        <f t="shared" si="19"/>
        <v>-500000</v>
      </c>
      <c r="Z20">
        <f t="shared" si="20"/>
        <v>-10000000</v>
      </c>
      <c r="AB20" s="114">
        <v>10</v>
      </c>
      <c r="AC20" s="114">
        <v>20000</v>
      </c>
      <c r="AD20" s="116">
        <v>-200000</v>
      </c>
      <c r="AE20">
        <f t="shared" si="17"/>
        <v>0</v>
      </c>
      <c r="AF20" s="114">
        <v>10</v>
      </c>
      <c r="AG20" s="114">
        <v>0</v>
      </c>
      <c r="AH20" s="116">
        <v>0</v>
      </c>
      <c r="AK20">
        <v>28</v>
      </c>
      <c r="AL20">
        <f t="shared" si="6"/>
        <v>-250000</v>
      </c>
      <c r="AM20">
        <f t="shared" si="7"/>
        <v>0</v>
      </c>
      <c r="AN20">
        <f t="shared" si="8"/>
        <v>-250000</v>
      </c>
      <c r="AO20">
        <v>-9440000</v>
      </c>
    </row>
    <row r="21" spans="1:41" x14ac:dyDescent="0.15">
      <c r="A21" s="114">
        <v>6001215</v>
      </c>
      <c r="B21" s="114">
        <v>19</v>
      </c>
      <c r="C21" s="127">
        <v>-10000000</v>
      </c>
      <c r="D21" s="118">
        <v>0</v>
      </c>
      <c r="E21" s="116">
        <v>-10000000</v>
      </c>
      <c r="G21">
        <v>19</v>
      </c>
      <c r="H21">
        <f t="shared" si="14"/>
        <v>-1571428.5714285716</v>
      </c>
      <c r="I21" s="139">
        <f t="shared" si="1"/>
        <v>-142857.14285714287</v>
      </c>
      <c r="J21" s="139">
        <f t="shared" si="2"/>
        <v>1142857.142857143</v>
      </c>
      <c r="Y21">
        <f t="shared" si="19"/>
        <v>-10000000</v>
      </c>
      <c r="Z21" t="e">
        <f>D21*#REF!+E21</f>
        <v>#REF!</v>
      </c>
      <c r="AB21" s="114">
        <v>12</v>
      </c>
      <c r="AC21" s="114">
        <v>20000</v>
      </c>
      <c r="AD21" s="116">
        <v>-10000000</v>
      </c>
      <c r="AE21">
        <f t="shared" si="17"/>
        <v>-9760000</v>
      </c>
      <c r="AF21" s="114">
        <v>12</v>
      </c>
      <c r="AG21" s="114">
        <v>0</v>
      </c>
      <c r="AH21" s="116">
        <v>-9999999</v>
      </c>
      <c r="AK21">
        <v>29</v>
      </c>
      <c r="AL21">
        <f t="shared" si="6"/>
        <v>-250000</v>
      </c>
      <c r="AM21">
        <f t="shared" si="7"/>
        <v>0</v>
      </c>
      <c r="AN21">
        <f t="shared" si="8"/>
        <v>-250000</v>
      </c>
      <c r="AO21">
        <v>-9420000</v>
      </c>
    </row>
    <row r="22" spans="1:41" x14ac:dyDescent="0.15">
      <c r="A22" s="114">
        <f>A2+10</f>
        <v>6001221</v>
      </c>
      <c r="B22" s="114">
        <v>1</v>
      </c>
      <c r="C22" s="127">
        <f>C2-250000</f>
        <v>750000</v>
      </c>
      <c r="D22" s="138">
        <f>(C23-C22)/(B23-B22)</f>
        <v>-250000</v>
      </c>
      <c r="E22" s="137">
        <f t="shared" ref="E22:E23" si="21">C22-D22*B22</f>
        <v>1000000</v>
      </c>
      <c r="G22">
        <v>20</v>
      </c>
      <c r="H22">
        <f t="shared" si="14"/>
        <v>-1714285.7142857143</v>
      </c>
      <c r="I22" s="139">
        <f t="shared" si="1"/>
        <v>-142857.14285714287</v>
      </c>
      <c r="J22" s="139">
        <f t="shared" si="2"/>
        <v>1142857.142857143</v>
      </c>
      <c r="AB22" s="115">
        <v>6</v>
      </c>
      <c r="AC22" s="115">
        <v>20000</v>
      </c>
      <c r="AD22" s="117">
        <v>630000</v>
      </c>
      <c r="AE22">
        <f t="shared" si="17"/>
        <v>750000</v>
      </c>
      <c r="AF22" s="115">
        <v>6</v>
      </c>
      <c r="AG22" s="115">
        <v>0</v>
      </c>
      <c r="AH22" s="117">
        <v>750000</v>
      </c>
      <c r="AK22">
        <v>35</v>
      </c>
      <c r="AL22">
        <f t="shared" si="6"/>
        <v>-250000</v>
      </c>
      <c r="AM22">
        <f t="shared" si="7"/>
        <v>0</v>
      </c>
      <c r="AN22">
        <f t="shared" si="8"/>
        <v>-250000</v>
      </c>
      <c r="AO22">
        <v>-9300000</v>
      </c>
    </row>
    <row r="23" spans="1:41" x14ac:dyDescent="0.15">
      <c r="A23" s="114">
        <f t="shared" ref="A23:A41" si="22">A3+10</f>
        <v>6001221</v>
      </c>
      <c r="B23" s="114">
        <v>4</v>
      </c>
      <c r="C23" s="127">
        <v>0</v>
      </c>
      <c r="D23" s="138">
        <f>(C24-C23)/(B24-B23)</f>
        <v>-250000</v>
      </c>
      <c r="E23" s="137">
        <f t="shared" si="21"/>
        <v>1000000</v>
      </c>
      <c r="G23">
        <v>21</v>
      </c>
      <c r="H23">
        <f t="shared" si="14"/>
        <v>-1857142.8571428575</v>
      </c>
      <c r="I23" s="139">
        <f t="shared" si="1"/>
        <v>-142857.14285714287</v>
      </c>
      <c r="J23" s="139">
        <f t="shared" si="2"/>
        <v>1142857.142857143</v>
      </c>
      <c r="AB23" s="115">
        <v>7</v>
      </c>
      <c r="AC23" s="115">
        <v>20000</v>
      </c>
      <c r="AD23" s="117">
        <v>360000</v>
      </c>
      <c r="AE23">
        <f t="shared" si="17"/>
        <v>500000</v>
      </c>
      <c r="AF23" s="115">
        <v>7</v>
      </c>
      <c r="AG23" s="115">
        <v>0</v>
      </c>
      <c r="AH23" s="117">
        <v>500000</v>
      </c>
      <c r="AK23">
        <v>36</v>
      </c>
      <c r="AL23">
        <f t="shared" si="6"/>
        <v>-250000</v>
      </c>
      <c r="AM23">
        <f t="shared" si="7"/>
        <v>0</v>
      </c>
      <c r="AN23">
        <f t="shared" si="8"/>
        <v>-250000</v>
      </c>
      <c r="AO23">
        <v>-9280000</v>
      </c>
    </row>
    <row r="24" spans="1:41" x14ac:dyDescent="0.15">
      <c r="A24" s="114">
        <f t="shared" si="22"/>
        <v>6001221</v>
      </c>
      <c r="B24" s="114">
        <v>6</v>
      </c>
      <c r="C24" s="127">
        <v>-500000</v>
      </c>
      <c r="D24" s="138">
        <f>(C25-C24)/(B25-B24)</f>
        <v>-4750000</v>
      </c>
      <c r="E24" s="137">
        <f>C24-D24*B24</f>
        <v>28000000</v>
      </c>
      <c r="G24">
        <v>22</v>
      </c>
      <c r="H24">
        <f t="shared" si="14"/>
        <v>-2000000.0000000002</v>
      </c>
      <c r="I24" s="139">
        <f t="shared" si="1"/>
        <v>-142857.14285714287</v>
      </c>
      <c r="J24" s="139">
        <f t="shared" si="2"/>
        <v>1142857.142857143</v>
      </c>
      <c r="AB24" s="115">
        <v>8</v>
      </c>
      <c r="AC24" s="115">
        <v>20000</v>
      </c>
      <c r="AD24" s="117">
        <v>90000</v>
      </c>
      <c r="AE24">
        <f t="shared" si="17"/>
        <v>250000</v>
      </c>
      <c r="AF24" s="115">
        <v>8</v>
      </c>
      <c r="AG24" s="115">
        <v>0</v>
      </c>
      <c r="AH24" s="117">
        <v>250000</v>
      </c>
      <c r="AK24">
        <v>37</v>
      </c>
      <c r="AL24">
        <f t="shared" si="6"/>
        <v>-250000</v>
      </c>
      <c r="AM24">
        <f t="shared" si="7"/>
        <v>0</v>
      </c>
      <c r="AN24">
        <f t="shared" si="8"/>
        <v>-250000</v>
      </c>
      <c r="AO24">
        <v>-9260000</v>
      </c>
    </row>
    <row r="25" spans="1:41" x14ac:dyDescent="0.15">
      <c r="A25" s="114">
        <f t="shared" si="22"/>
        <v>6001221</v>
      </c>
      <c r="B25" s="114">
        <v>8</v>
      </c>
      <c r="C25" s="127">
        <v>-10000000</v>
      </c>
      <c r="D25" s="118">
        <v>0</v>
      </c>
      <c r="E25" s="116">
        <v>-10000000</v>
      </c>
      <c r="G25">
        <v>23</v>
      </c>
      <c r="H25">
        <f t="shared" si="14"/>
        <v>-2142857.1428571427</v>
      </c>
      <c r="I25" s="139">
        <f t="shared" si="1"/>
        <v>-142857.14285714287</v>
      </c>
      <c r="J25" s="139">
        <f t="shared" si="2"/>
        <v>1142857.142857143</v>
      </c>
      <c r="AB25" s="115">
        <v>9</v>
      </c>
      <c r="AC25" s="115">
        <v>20000</v>
      </c>
      <c r="AD25" s="117">
        <v>-180000</v>
      </c>
      <c r="AE25">
        <f t="shared" si="17"/>
        <v>0</v>
      </c>
      <c r="AF25" s="115">
        <v>9</v>
      </c>
      <c r="AG25" s="115">
        <v>0</v>
      </c>
      <c r="AH25" s="117">
        <v>0</v>
      </c>
      <c r="AK25">
        <v>38</v>
      </c>
      <c r="AL25">
        <f t="shared" si="6"/>
        <v>-250000</v>
      </c>
      <c r="AM25">
        <f t="shared" si="7"/>
        <v>0</v>
      </c>
      <c r="AN25">
        <f t="shared" si="8"/>
        <v>-250000</v>
      </c>
      <c r="AO25">
        <v>-9240000</v>
      </c>
    </row>
    <row r="26" spans="1:41" x14ac:dyDescent="0.15">
      <c r="A26" s="114">
        <f t="shared" si="22"/>
        <v>6001222</v>
      </c>
      <c r="B26" s="115">
        <v>1</v>
      </c>
      <c r="C26" s="127">
        <f>C6-250000</f>
        <v>750000</v>
      </c>
      <c r="D26" s="138">
        <f>(C27-C26)/(B27-B26)</f>
        <v>-107142.85714285714</v>
      </c>
      <c r="E26" s="137">
        <f t="shared" ref="E26:E27" si="23">C26-D26*B26</f>
        <v>857142.85714285716</v>
      </c>
      <c r="G26">
        <v>24</v>
      </c>
      <c r="H26">
        <f t="shared" si="14"/>
        <v>-2285714.2857142864</v>
      </c>
      <c r="I26" s="139">
        <f t="shared" si="1"/>
        <v>-142857.14285714287</v>
      </c>
      <c r="J26" s="139">
        <f t="shared" si="2"/>
        <v>1142857.142857143</v>
      </c>
      <c r="AB26" s="115">
        <v>10</v>
      </c>
      <c r="AC26" s="115">
        <v>20000</v>
      </c>
      <c r="AD26" s="117">
        <v>-450000</v>
      </c>
      <c r="AE26">
        <f t="shared" si="17"/>
        <v>-250000</v>
      </c>
      <c r="AF26" s="115">
        <v>10</v>
      </c>
      <c r="AG26" s="115">
        <v>0</v>
      </c>
      <c r="AH26" s="117">
        <v>-250000</v>
      </c>
      <c r="AK26">
        <v>39</v>
      </c>
      <c r="AL26">
        <f t="shared" si="6"/>
        <v>-250000</v>
      </c>
      <c r="AM26">
        <f t="shared" si="7"/>
        <v>0</v>
      </c>
      <c r="AN26">
        <f t="shared" si="8"/>
        <v>-250000</v>
      </c>
      <c r="AO26">
        <v>-9220000</v>
      </c>
    </row>
    <row r="27" spans="1:41" x14ac:dyDescent="0.15">
      <c r="A27" s="114">
        <f t="shared" si="22"/>
        <v>6001222</v>
      </c>
      <c r="B27" s="115">
        <v>8</v>
      </c>
      <c r="C27" s="127">
        <v>0</v>
      </c>
      <c r="D27" s="138">
        <f>(C28-C27)/(B28-B27)</f>
        <v>-250000</v>
      </c>
      <c r="E27" s="137">
        <f t="shared" si="23"/>
        <v>2000000</v>
      </c>
      <c r="AB27" s="115">
        <v>12</v>
      </c>
      <c r="AC27" s="115">
        <v>20000</v>
      </c>
      <c r="AD27" s="117">
        <v>-740000</v>
      </c>
      <c r="AE27">
        <f t="shared" si="17"/>
        <v>-500000</v>
      </c>
      <c r="AF27" s="115">
        <v>12</v>
      </c>
      <c r="AG27" s="115">
        <v>0</v>
      </c>
      <c r="AH27" s="117">
        <v>-500000</v>
      </c>
      <c r="AK27">
        <v>40</v>
      </c>
      <c r="AL27">
        <f t="shared" si="6"/>
        <v>-250000</v>
      </c>
      <c r="AM27">
        <f t="shared" si="7"/>
        <v>0</v>
      </c>
      <c r="AN27">
        <f t="shared" si="8"/>
        <v>-250000</v>
      </c>
      <c r="AO27">
        <v>-9200000</v>
      </c>
    </row>
    <row r="28" spans="1:41" x14ac:dyDescent="0.15">
      <c r="A28" s="114">
        <f t="shared" si="22"/>
        <v>6001222</v>
      </c>
      <c r="B28" s="115">
        <v>10</v>
      </c>
      <c r="C28" s="127">
        <v>-500000</v>
      </c>
      <c r="D28" s="138">
        <f>(C29-C28)/(B29-B28)</f>
        <v>-4750000</v>
      </c>
      <c r="E28" s="137">
        <f>C28-D28*B28</f>
        <v>47000000</v>
      </c>
      <c r="AB28" s="115">
        <v>15</v>
      </c>
      <c r="AC28" s="115">
        <v>20000</v>
      </c>
      <c r="AD28" s="117">
        <v>-10000000</v>
      </c>
      <c r="AE28">
        <f t="shared" si="17"/>
        <v>-9700000</v>
      </c>
      <c r="AF28" s="115">
        <v>15</v>
      </c>
      <c r="AG28" s="115">
        <v>0</v>
      </c>
      <c r="AH28" s="117">
        <v>-9999999</v>
      </c>
    </row>
    <row r="29" spans="1:41" x14ac:dyDescent="0.15">
      <c r="A29" s="114">
        <f t="shared" si="22"/>
        <v>6001222</v>
      </c>
      <c r="B29" s="115">
        <v>12</v>
      </c>
      <c r="C29" s="127">
        <v>-10000000</v>
      </c>
      <c r="D29" s="119">
        <v>0</v>
      </c>
      <c r="E29" s="117">
        <v>-10000000</v>
      </c>
      <c r="AB29" s="114">
        <v>1</v>
      </c>
      <c r="AC29" s="114">
        <v>20000</v>
      </c>
      <c r="AD29" s="116">
        <v>2080000</v>
      </c>
      <c r="AE29">
        <f t="shared" si="17"/>
        <v>2100000</v>
      </c>
      <c r="AF29" s="114">
        <v>1</v>
      </c>
      <c r="AG29" s="114">
        <v>0</v>
      </c>
      <c r="AH29" s="116">
        <v>2100000</v>
      </c>
    </row>
    <row r="30" spans="1:41" x14ac:dyDescent="0.15">
      <c r="A30" s="114">
        <f t="shared" si="22"/>
        <v>6001223</v>
      </c>
      <c r="B30" s="114">
        <v>1</v>
      </c>
      <c r="C30" s="127">
        <v>1250000</v>
      </c>
      <c r="D30" s="138">
        <f>(C31-C30)/(B31-B30)</f>
        <v>-156250</v>
      </c>
      <c r="E30" s="137">
        <f>C30-D30*B30</f>
        <v>1406250</v>
      </c>
      <c r="AB30" s="114">
        <v>9</v>
      </c>
      <c r="AC30" s="114">
        <v>20000</v>
      </c>
      <c r="AD30" s="116">
        <v>1820000</v>
      </c>
      <c r="AE30">
        <f t="shared" si="17"/>
        <v>2000000</v>
      </c>
      <c r="AF30" s="114">
        <v>9</v>
      </c>
      <c r="AG30" s="114">
        <v>0</v>
      </c>
      <c r="AH30" s="116">
        <v>2000000</v>
      </c>
    </row>
    <row r="31" spans="1:41" x14ac:dyDescent="0.15">
      <c r="A31" s="114">
        <f t="shared" si="22"/>
        <v>6001223</v>
      </c>
      <c r="B31" s="114">
        <v>9</v>
      </c>
      <c r="C31" s="127">
        <v>0</v>
      </c>
      <c r="D31" s="138">
        <f>(C32-C31)/(B32-B31)</f>
        <v>-250000</v>
      </c>
      <c r="E31" s="137">
        <f>C31-D31*B31</f>
        <v>2250000</v>
      </c>
      <c r="AB31" s="114">
        <v>10</v>
      </c>
      <c r="AC31" s="114">
        <v>20000</v>
      </c>
      <c r="AD31" s="116">
        <v>1600000</v>
      </c>
      <c r="AE31">
        <f t="shared" si="17"/>
        <v>1800000</v>
      </c>
      <c r="AF31" s="114">
        <v>10</v>
      </c>
      <c r="AG31" s="114">
        <v>0</v>
      </c>
      <c r="AH31" s="116">
        <v>1800000</v>
      </c>
    </row>
    <row r="32" spans="1:41" x14ac:dyDescent="0.15">
      <c r="A32" s="114">
        <f t="shared" si="22"/>
        <v>6001223</v>
      </c>
      <c r="B32" s="114">
        <v>11</v>
      </c>
      <c r="C32" s="127">
        <v>-500000</v>
      </c>
      <c r="D32" s="138">
        <f>(C33-C32)/(B33-B32)</f>
        <v>-4750000</v>
      </c>
      <c r="E32" s="137">
        <f>C32-D32*B32</f>
        <v>51750000</v>
      </c>
      <c r="AB32" s="114">
        <v>11</v>
      </c>
      <c r="AC32" s="114">
        <v>20000</v>
      </c>
      <c r="AD32" s="116">
        <v>1280000</v>
      </c>
      <c r="AE32">
        <f t="shared" si="17"/>
        <v>1500000</v>
      </c>
      <c r="AF32" s="114">
        <v>11</v>
      </c>
      <c r="AG32" s="114">
        <v>0</v>
      </c>
      <c r="AH32" s="116">
        <v>1500000</v>
      </c>
    </row>
    <row r="33" spans="1:34" x14ac:dyDescent="0.15">
      <c r="A33" s="114">
        <f t="shared" si="22"/>
        <v>6001223</v>
      </c>
      <c r="B33" s="114">
        <v>13</v>
      </c>
      <c r="C33" s="127">
        <v>-10000000</v>
      </c>
      <c r="D33" s="118">
        <v>0</v>
      </c>
      <c r="E33" s="116">
        <v>-10000000</v>
      </c>
      <c r="AB33" s="114">
        <v>12</v>
      </c>
      <c r="AC33" s="114">
        <v>20000</v>
      </c>
      <c r="AD33" s="116">
        <v>760000</v>
      </c>
      <c r="AE33">
        <f t="shared" si="17"/>
        <v>1000000</v>
      </c>
      <c r="AF33" s="114">
        <v>12</v>
      </c>
      <c r="AG33" s="114">
        <v>0</v>
      </c>
      <c r="AH33" s="116">
        <v>1000000</v>
      </c>
    </row>
    <row r="34" spans="1:34" x14ac:dyDescent="0.15">
      <c r="A34" s="114">
        <f t="shared" si="22"/>
        <v>6001224</v>
      </c>
      <c r="B34" s="115">
        <v>1</v>
      </c>
      <c r="C34" s="127">
        <f>1000000-250000</f>
        <v>750000</v>
      </c>
      <c r="D34" s="138">
        <f>(C35-C34)/(B35-B34)</f>
        <v>-107142.85714285714</v>
      </c>
      <c r="E34" s="137">
        <f t="shared" ref="E34:E35" si="24">C34-D34*B34</f>
        <v>857142.85714285716</v>
      </c>
      <c r="AB34" s="114">
        <v>14</v>
      </c>
      <c r="AC34" s="114">
        <v>20000</v>
      </c>
      <c r="AD34" s="116">
        <v>220000</v>
      </c>
      <c r="AE34">
        <f t="shared" si="17"/>
        <v>500000</v>
      </c>
      <c r="AF34" s="114">
        <v>14</v>
      </c>
      <c r="AG34" s="114">
        <v>0</v>
      </c>
      <c r="AH34" s="116">
        <v>500000</v>
      </c>
    </row>
    <row r="35" spans="1:34" x14ac:dyDescent="0.15">
      <c r="A35" s="114">
        <f t="shared" si="22"/>
        <v>6001224</v>
      </c>
      <c r="B35" s="115">
        <v>8</v>
      </c>
      <c r="C35" s="127">
        <v>0</v>
      </c>
      <c r="D35" s="138">
        <f>(C36-C35)/(B36-B35)</f>
        <v>-250000</v>
      </c>
      <c r="E35" s="137">
        <f t="shared" si="24"/>
        <v>2000000</v>
      </c>
      <c r="AB35" s="114">
        <v>16</v>
      </c>
      <c r="AC35" s="114">
        <v>20000</v>
      </c>
      <c r="AD35" s="116">
        <v>-320000</v>
      </c>
      <c r="AE35">
        <f t="shared" si="17"/>
        <v>0</v>
      </c>
      <c r="AF35" s="114">
        <v>16</v>
      </c>
      <c r="AG35" s="114">
        <v>0</v>
      </c>
      <c r="AH35" s="116">
        <v>0</v>
      </c>
    </row>
    <row r="36" spans="1:34" x14ac:dyDescent="0.15">
      <c r="A36" s="114">
        <f t="shared" si="22"/>
        <v>6001224</v>
      </c>
      <c r="B36" s="115">
        <v>10</v>
      </c>
      <c r="C36" s="127">
        <v>-500000</v>
      </c>
      <c r="D36" s="138">
        <f>(C37-C36)/(B37-B36)</f>
        <v>-4750000</v>
      </c>
      <c r="E36" s="137">
        <f>C36-D36*B36</f>
        <v>47000000</v>
      </c>
      <c r="AB36" s="114">
        <v>20</v>
      </c>
      <c r="AC36" s="114">
        <v>20000</v>
      </c>
      <c r="AD36" s="116">
        <v>-10000000</v>
      </c>
      <c r="AE36">
        <f t="shared" si="17"/>
        <v>-9600000</v>
      </c>
      <c r="AF36" s="114">
        <v>20</v>
      </c>
      <c r="AG36" s="114">
        <v>0</v>
      </c>
      <c r="AH36" s="116">
        <v>-9999999</v>
      </c>
    </row>
    <row r="37" spans="1:34" x14ac:dyDescent="0.15">
      <c r="A37" s="114">
        <f t="shared" si="22"/>
        <v>6001224</v>
      </c>
      <c r="B37" s="115">
        <v>12</v>
      </c>
      <c r="C37" s="127">
        <v>-10000000</v>
      </c>
      <c r="D37" s="119">
        <v>0</v>
      </c>
      <c r="E37" s="117">
        <v>-10000000</v>
      </c>
    </row>
    <row r="38" spans="1:34" x14ac:dyDescent="0.15">
      <c r="A38" s="114">
        <f t="shared" si="22"/>
        <v>6001225</v>
      </c>
      <c r="B38" s="114">
        <v>1</v>
      </c>
      <c r="C38" s="127">
        <f>2000000-250000</f>
        <v>1750000</v>
      </c>
      <c r="D38" s="138">
        <f>(C39-C38)/(B39-B38)</f>
        <v>-134615.38461538462</v>
      </c>
      <c r="E38" s="137">
        <f t="shared" ref="E38:E39" si="25">C38-D38*B38</f>
        <v>1884615.3846153845</v>
      </c>
    </row>
    <row r="39" spans="1:34" x14ac:dyDescent="0.15">
      <c r="A39" s="114">
        <f t="shared" si="22"/>
        <v>6001225</v>
      </c>
      <c r="B39" s="114">
        <v>14</v>
      </c>
      <c r="C39" s="127">
        <v>0</v>
      </c>
      <c r="D39" s="138">
        <f>(C40-C39)/(B40-B39)</f>
        <v>-166666.66666666666</v>
      </c>
      <c r="E39" s="137">
        <f t="shared" si="25"/>
        <v>2333333.333333333</v>
      </c>
    </row>
    <row r="40" spans="1:34" x14ac:dyDescent="0.15">
      <c r="A40" s="114">
        <f t="shared" si="22"/>
        <v>6001225</v>
      </c>
      <c r="B40" s="114">
        <v>17</v>
      </c>
      <c r="C40" s="127">
        <v>-500000</v>
      </c>
      <c r="D40" s="138">
        <f>(C41-C40)/(B41-B40)</f>
        <v>-4750000</v>
      </c>
      <c r="E40" s="137">
        <f>C40-D40*B40</f>
        <v>80250000</v>
      </c>
    </row>
    <row r="41" spans="1:34" x14ac:dyDescent="0.15">
      <c r="A41" s="114">
        <f t="shared" si="22"/>
        <v>6001225</v>
      </c>
      <c r="B41" s="114">
        <v>19</v>
      </c>
      <c r="C41" s="127">
        <v>-10000000</v>
      </c>
      <c r="D41" s="118">
        <v>0</v>
      </c>
      <c r="E41" s="116">
        <v>-10000000</v>
      </c>
    </row>
  </sheetData>
  <phoneticPr fontId="7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AR110"/>
  <sheetViews>
    <sheetView zoomScale="116" zoomScaleNormal="175" zoomScalePageLayoutView="175" workbookViewId="0">
      <selection activeCell="C48" sqref="C48"/>
    </sheetView>
  </sheetViews>
  <sheetFormatPr baseColWidth="12" defaultRowHeight="15" x14ac:dyDescent="0.15"/>
  <cols>
    <col min="3" max="3" width="12.83203125" style="169"/>
  </cols>
  <sheetData>
    <row r="1" spans="1:44" x14ac:dyDescent="0.15">
      <c r="A1" s="57" t="s">
        <v>246</v>
      </c>
      <c r="B1" s="57" t="s">
        <v>247</v>
      </c>
      <c r="C1" s="167" t="s">
        <v>277</v>
      </c>
      <c r="D1" s="57" t="s">
        <v>248</v>
      </c>
      <c r="E1" s="57" t="s">
        <v>249</v>
      </c>
      <c r="H1" s="57" t="s">
        <v>246</v>
      </c>
      <c r="I1" s="57" t="s">
        <v>247</v>
      </c>
      <c r="J1" s="57" t="s">
        <v>277</v>
      </c>
      <c r="K1" s="57" t="s">
        <v>248</v>
      </c>
      <c r="L1" s="57" t="s">
        <v>249</v>
      </c>
      <c r="R1" s="57" t="s">
        <v>301</v>
      </c>
      <c r="S1" s="57" t="s">
        <v>247</v>
      </c>
      <c r="T1" s="57" t="s">
        <v>277</v>
      </c>
      <c r="U1" s="57" t="s">
        <v>248</v>
      </c>
      <c r="V1" s="57" t="s">
        <v>249</v>
      </c>
      <c r="Z1" s="57" t="s">
        <v>287</v>
      </c>
      <c r="AA1" s="130" t="s">
        <v>285</v>
      </c>
      <c r="AB1" s="130" t="s">
        <v>284</v>
      </c>
      <c r="AC1" s="130" t="s">
        <v>286</v>
      </c>
      <c r="AE1" s="130" t="s">
        <v>289</v>
      </c>
      <c r="AF1" s="130" t="s">
        <v>290</v>
      </c>
      <c r="AJ1" s="130" t="s">
        <v>288</v>
      </c>
      <c r="AK1" s="130" t="s">
        <v>277</v>
      </c>
      <c r="AL1" s="130" t="s">
        <v>248</v>
      </c>
      <c r="AM1" s="130" t="s">
        <v>249</v>
      </c>
      <c r="AO1" s="130" t="s">
        <v>292</v>
      </c>
      <c r="AP1" s="130" t="s">
        <v>277</v>
      </c>
      <c r="AQ1" s="130" t="s">
        <v>293</v>
      </c>
      <c r="AR1" s="130" t="s">
        <v>294</v>
      </c>
    </row>
    <row r="2" spans="1:44" x14ac:dyDescent="0.15">
      <c r="A2" s="114">
        <v>6001211</v>
      </c>
      <c r="B2" s="114">
        <v>0</v>
      </c>
      <c r="C2" s="168">
        <v>0</v>
      </c>
      <c r="D2" s="136">
        <f>(C3-C2)/(B3-B2)</f>
        <v>4</v>
      </c>
      <c r="E2" s="137">
        <f t="shared" ref="E2" si="0">C2-D2*B2</f>
        <v>0</v>
      </c>
      <c r="H2" s="114">
        <v>6001211</v>
      </c>
      <c r="I2" s="114">
        <v>0</v>
      </c>
      <c r="J2" s="61">
        <v>0</v>
      </c>
      <c r="K2" s="136">
        <f t="shared" ref="K2:K3" si="1">(J3-J2)/(I3-I2)</f>
        <v>2.3529411764705883</v>
      </c>
      <c r="L2" s="137">
        <f t="shared" ref="L2:L3" si="2">J2-K2*I2</f>
        <v>0</v>
      </c>
      <c r="R2" s="114">
        <v>6001211</v>
      </c>
      <c r="S2" s="114">
        <v>0</v>
      </c>
      <c r="T2" s="127">
        <v>0</v>
      </c>
      <c r="U2" s="136">
        <f t="shared" ref="U2:U5" si="3">(T3-T2)/(S3-S2)</f>
        <v>3.0769230769230771</v>
      </c>
      <c r="V2" s="137">
        <f t="shared" ref="V2:V5" si="4">T2-U2*S2</f>
        <v>0</v>
      </c>
      <c r="Z2" s="114">
        <v>6001211</v>
      </c>
      <c r="AA2">
        <v>0</v>
      </c>
      <c r="AB2">
        <v>0</v>
      </c>
      <c r="AC2">
        <v>0</v>
      </c>
      <c r="AE2">
        <f>D2*B2+E2</f>
        <v>0</v>
      </c>
      <c r="AF2" t="e">
        <f>D2*#REF!+E2</f>
        <v>#REF!</v>
      </c>
      <c r="AJ2">
        <v>0</v>
      </c>
      <c r="AK2">
        <v>0</v>
      </c>
      <c r="AL2">
        <v>0.05</v>
      </c>
      <c r="AM2">
        <v>0</v>
      </c>
      <c r="AO2">
        <v>0</v>
      </c>
      <c r="AP2">
        <f>AQ2*AO2+AR2</f>
        <v>0</v>
      </c>
      <c r="AQ2" s="134">
        <f>VLOOKUP(AO2,B$2:E$5,3)</f>
        <v>4</v>
      </c>
      <c r="AR2">
        <f>VLOOKUP(AO2,B$2:E$5,4)</f>
        <v>0</v>
      </c>
    </row>
    <row r="3" spans="1:44" x14ac:dyDescent="0.15">
      <c r="A3" s="114">
        <v>6001211</v>
      </c>
      <c r="B3" s="114">
        <v>100000</v>
      </c>
      <c r="C3" s="168">
        <f>B3*SQRT(D52)*4</f>
        <v>400000</v>
      </c>
      <c r="D3" s="136">
        <f>(C4-C3)/(B4-B3)</f>
        <v>4.2000000000000028</v>
      </c>
      <c r="E3" s="137">
        <f>C3-D3*B3</f>
        <v>-20000.000000000291</v>
      </c>
      <c r="F3" s="140">
        <v>1</v>
      </c>
      <c r="H3" s="114">
        <v>6001211</v>
      </c>
      <c r="I3" s="114">
        <v>85000</v>
      </c>
      <c r="J3" s="61">
        <f>600000/3</f>
        <v>200000</v>
      </c>
      <c r="K3" s="136">
        <f t="shared" si="1"/>
        <v>4</v>
      </c>
      <c r="L3" s="137">
        <f t="shared" si="2"/>
        <v>-140000</v>
      </c>
      <c r="M3" s="140">
        <v>1</v>
      </c>
      <c r="R3" s="114">
        <v>6001211</v>
      </c>
      <c r="S3" s="114">
        <v>65000</v>
      </c>
      <c r="T3" s="127">
        <v>200000</v>
      </c>
      <c r="U3" s="136">
        <f t="shared" si="3"/>
        <v>10</v>
      </c>
      <c r="V3" s="137">
        <f t="shared" si="4"/>
        <v>-450000</v>
      </c>
      <c r="Z3" s="114">
        <v>6001211</v>
      </c>
      <c r="AA3">
        <v>65000</v>
      </c>
      <c r="AB3">
        <v>200000</v>
      </c>
      <c r="AC3">
        <v>200000</v>
      </c>
      <c r="AE3" t="e">
        <f>#REF!*#REF!+#REF!</f>
        <v>#REF!</v>
      </c>
      <c r="AF3" t="e">
        <f>#REF!*#REF!+#REF!</f>
        <v>#REF!</v>
      </c>
      <c r="AJ3">
        <v>1000</v>
      </c>
      <c r="AK3">
        <v>50</v>
      </c>
      <c r="AL3">
        <v>0.05</v>
      </c>
      <c r="AM3">
        <v>0</v>
      </c>
      <c r="AO3" s="114">
        <v>2100000</v>
      </c>
      <c r="AP3">
        <f>AQ3*AO3+AR3</f>
        <v>2210000</v>
      </c>
      <c r="AQ3" s="134">
        <f>VLOOKUP(AO3,B$20:E$25,3,TRUE)</f>
        <v>2.1000000000000023</v>
      </c>
      <c r="AR3">
        <f>VLOOKUP(AO3,B$20:E$25,4)</f>
        <v>-2200000.0000000047</v>
      </c>
    </row>
    <row r="4" spans="1:44" x14ac:dyDescent="0.15">
      <c r="A4" s="114">
        <v>6001211</v>
      </c>
      <c r="B4" s="114">
        <f>B3*1.2</f>
        <v>120000</v>
      </c>
      <c r="C4" s="168">
        <f>C3*SQRT(D53)^2</f>
        <v>484000.00000000006</v>
      </c>
      <c r="D4" s="136">
        <f>(C5-C4)/(B5-B4)</f>
        <v>4.1333333333333311</v>
      </c>
      <c r="E4" s="137">
        <f>C4-D4*B4</f>
        <v>-11999.999999999651</v>
      </c>
      <c r="F4" s="140">
        <v>1.2</v>
      </c>
      <c r="H4" s="114">
        <v>6001211</v>
      </c>
      <c r="I4" s="114">
        <v>95000</v>
      </c>
      <c r="J4" s="61">
        <f>J3+J3*0.2</f>
        <v>240000</v>
      </c>
      <c r="K4" s="136">
        <f>(J5-J4)/(I5-I4)</f>
        <v>12</v>
      </c>
      <c r="L4" s="137">
        <f>J4-K4*I4</f>
        <v>-900000</v>
      </c>
      <c r="M4" s="140">
        <v>1.2</v>
      </c>
      <c r="R4" s="114">
        <v>6001211</v>
      </c>
      <c r="S4" s="114">
        <v>80000</v>
      </c>
      <c r="T4" s="127">
        <v>350000</v>
      </c>
      <c r="U4" s="136">
        <f t="shared" si="3"/>
        <v>10</v>
      </c>
      <c r="V4" s="137">
        <f t="shared" si="4"/>
        <v>-450000</v>
      </c>
      <c r="Z4" s="114">
        <v>6001211</v>
      </c>
      <c r="AA4">
        <v>70000</v>
      </c>
      <c r="AB4">
        <v>250000</v>
      </c>
      <c r="AC4">
        <v>250000</v>
      </c>
      <c r="AE4" t="e">
        <f>#REF!*#REF!+#REF!</f>
        <v>#REF!</v>
      </c>
      <c r="AF4" t="e">
        <f>#REF!*B3+#REF!</f>
        <v>#REF!</v>
      </c>
      <c r="AJ4">
        <v>2000</v>
      </c>
      <c r="AK4">
        <v>100</v>
      </c>
      <c r="AL4">
        <v>0.05</v>
      </c>
      <c r="AM4">
        <v>0</v>
      </c>
      <c r="AO4" s="114">
        <v>2110000</v>
      </c>
      <c r="AP4">
        <f t="shared" ref="AP4:AP67" si="5">AQ4*AO4+AR4</f>
        <v>2231000</v>
      </c>
      <c r="AQ4" s="134">
        <f>VLOOKUP(AO4,B$20:E$25,3,TRUE)</f>
        <v>2.1000000000000023</v>
      </c>
      <c r="AR4">
        <f>VLOOKUP(AO4,B$20:E$25,4)</f>
        <v>-2200000.0000000047</v>
      </c>
    </row>
    <row r="5" spans="1:44" x14ac:dyDescent="0.15">
      <c r="A5" s="114">
        <v>6001211</v>
      </c>
      <c r="B5" s="114">
        <f>B3*1.5</f>
        <v>150000</v>
      </c>
      <c r="C5" s="168">
        <f>C3*SQRT(D54)^2</f>
        <v>608000</v>
      </c>
      <c r="D5" s="133">
        <v>0.01</v>
      </c>
      <c r="E5" s="138">
        <f>C5-D5*B5</f>
        <v>606500</v>
      </c>
      <c r="F5" s="140">
        <v>1.5</v>
      </c>
      <c r="H5" s="114">
        <v>6001211</v>
      </c>
      <c r="I5" s="114">
        <v>100000</v>
      </c>
      <c r="J5" s="61">
        <f>J3+J3*0.5</f>
        <v>300000</v>
      </c>
      <c r="K5" s="133">
        <v>0.05</v>
      </c>
      <c r="L5" s="138">
        <f>J5-K5*I5</f>
        <v>295000</v>
      </c>
      <c r="M5" s="140">
        <v>1.5</v>
      </c>
      <c r="R5" s="114">
        <v>6001211</v>
      </c>
      <c r="S5" s="114">
        <v>85000</v>
      </c>
      <c r="T5" s="127">
        <v>400000</v>
      </c>
      <c r="U5" s="136">
        <f t="shared" si="3"/>
        <v>5</v>
      </c>
      <c r="V5" s="137">
        <f t="shared" si="4"/>
        <v>-25000</v>
      </c>
      <c r="Z5" s="114">
        <v>6001211</v>
      </c>
      <c r="AA5">
        <v>75000</v>
      </c>
      <c r="AB5">
        <v>300000</v>
      </c>
      <c r="AC5">
        <v>300000</v>
      </c>
      <c r="AE5">
        <f>D3*B3+E3</f>
        <v>400000</v>
      </c>
      <c r="AF5">
        <f>D3*B4+E3</f>
        <v>528000</v>
      </c>
      <c r="AJ5">
        <v>3000</v>
      </c>
      <c r="AK5">
        <v>150</v>
      </c>
      <c r="AL5">
        <v>0.05</v>
      </c>
      <c r="AM5">
        <v>0</v>
      </c>
      <c r="AO5" s="114">
        <v>2120000</v>
      </c>
      <c r="AP5">
        <f t="shared" si="5"/>
        <v>2252000</v>
      </c>
      <c r="AQ5" s="134">
        <f t="shared" ref="AQ5:AQ68" si="6">VLOOKUP(AO5,B$20:E$25,3,TRUE)</f>
        <v>2.1000000000000023</v>
      </c>
      <c r="AR5">
        <f t="shared" ref="AR5:AR68" si="7">VLOOKUP(AO5,B$20:E$25,4)</f>
        <v>-2200000.0000000047</v>
      </c>
    </row>
    <row r="6" spans="1:44" x14ac:dyDescent="0.15">
      <c r="A6" s="115">
        <v>6001212</v>
      </c>
      <c r="B6" s="115">
        <v>0</v>
      </c>
      <c r="C6" s="168">
        <v>0</v>
      </c>
      <c r="D6" s="136">
        <f t="shared" ref="D6" si="8">(C7-C6)/(B7-B6)</f>
        <v>2.5</v>
      </c>
      <c r="E6" s="137">
        <f t="shared" ref="E6" si="9">C6-D6*B6</f>
        <v>0</v>
      </c>
      <c r="H6" s="115">
        <v>6001212</v>
      </c>
      <c r="I6" s="115">
        <v>0</v>
      </c>
      <c r="J6" s="61">
        <v>0</v>
      </c>
      <c r="K6" s="136">
        <f t="shared" ref="K6:K7" si="10">(J7-J6)/(I7-I6)</f>
        <v>1.1111111111111112</v>
      </c>
      <c r="L6" s="137">
        <f t="shared" ref="L6:L7" si="11">J6-K6*I6</f>
        <v>0</v>
      </c>
      <c r="R6" s="114">
        <v>6001211</v>
      </c>
      <c r="S6" s="114">
        <v>95000</v>
      </c>
      <c r="T6" s="127">
        <v>450000</v>
      </c>
      <c r="U6" s="136">
        <f>(T7-T6)/(S7-S6)</f>
        <v>5</v>
      </c>
      <c r="V6" s="137">
        <f>T6-U6*S6</f>
        <v>-25000</v>
      </c>
      <c r="Z6" s="114">
        <v>6001211</v>
      </c>
      <c r="AA6">
        <v>80000</v>
      </c>
      <c r="AB6">
        <v>350000</v>
      </c>
      <c r="AC6">
        <v>350000</v>
      </c>
      <c r="AE6">
        <f>D4*B4+E4</f>
        <v>484000.00000000006</v>
      </c>
      <c r="AF6">
        <f>D4*B5+E4</f>
        <v>735680</v>
      </c>
      <c r="AJ6">
        <v>4000</v>
      </c>
      <c r="AK6">
        <v>200</v>
      </c>
      <c r="AL6">
        <v>0.05</v>
      </c>
      <c r="AM6">
        <v>0</v>
      </c>
      <c r="AO6" s="114">
        <v>2130000</v>
      </c>
      <c r="AP6">
        <f t="shared" si="5"/>
        <v>2273000</v>
      </c>
      <c r="AQ6" s="134">
        <f t="shared" si="6"/>
        <v>2.1000000000000023</v>
      </c>
      <c r="AR6">
        <f t="shared" si="7"/>
        <v>-2200000.0000000047</v>
      </c>
    </row>
    <row r="7" spans="1:44" x14ac:dyDescent="0.15">
      <c r="A7" s="115">
        <v>6001212</v>
      </c>
      <c r="B7" s="115">
        <v>385000</v>
      </c>
      <c r="C7" s="168">
        <f>B7*SQRT(D52)*2.5</f>
        <v>962500</v>
      </c>
      <c r="D7" s="136">
        <f t="shared" ref="D7" si="12">(C8-C7)/(B8-B7)</f>
        <v>2.6250000000000031</v>
      </c>
      <c r="E7" s="137">
        <f t="shared" ref="E7" si="13">C7-D7*B7</f>
        <v>-48125.000000001164</v>
      </c>
      <c r="F7" s="140">
        <v>1</v>
      </c>
      <c r="H7" s="115">
        <v>6001212</v>
      </c>
      <c r="I7" s="115">
        <v>180000</v>
      </c>
      <c r="J7" s="61">
        <f>600000/3</f>
        <v>200000</v>
      </c>
      <c r="K7" s="136">
        <f t="shared" si="10"/>
        <v>2</v>
      </c>
      <c r="L7" s="137">
        <f t="shared" si="11"/>
        <v>-160000</v>
      </c>
      <c r="M7" s="140">
        <v>1</v>
      </c>
      <c r="R7" s="114">
        <v>6001211</v>
      </c>
      <c r="S7" s="114">
        <v>100000</v>
      </c>
      <c r="T7" s="127">
        <v>475000</v>
      </c>
      <c r="U7" s="133">
        <v>0.05</v>
      </c>
      <c r="V7" s="138">
        <f>T7-U7*S7</f>
        <v>470000</v>
      </c>
      <c r="Z7" s="114">
        <v>6001211</v>
      </c>
      <c r="AA7">
        <v>85000</v>
      </c>
      <c r="AB7">
        <v>400000</v>
      </c>
      <c r="AC7">
        <v>400000</v>
      </c>
      <c r="AE7">
        <f>D5*B5+E5</f>
        <v>608000</v>
      </c>
      <c r="AF7" t="s">
        <v>291</v>
      </c>
      <c r="AJ7">
        <v>5000</v>
      </c>
      <c r="AK7">
        <v>250</v>
      </c>
      <c r="AL7">
        <v>0.05</v>
      </c>
      <c r="AM7">
        <v>0</v>
      </c>
      <c r="AO7" s="114">
        <v>2140000</v>
      </c>
      <c r="AP7">
        <f t="shared" si="5"/>
        <v>2294000</v>
      </c>
      <c r="AQ7" s="134">
        <f t="shared" si="6"/>
        <v>2.1000000000000023</v>
      </c>
      <c r="AR7">
        <f t="shared" si="7"/>
        <v>-2200000.0000000047</v>
      </c>
    </row>
    <row r="8" spans="1:44" x14ac:dyDescent="0.15">
      <c r="A8" s="115">
        <v>6001212</v>
      </c>
      <c r="B8" s="115">
        <f>B7*1.2</f>
        <v>462000</v>
      </c>
      <c r="C8" s="168">
        <f>C7*SQRT(D53)^2</f>
        <v>1164625.0000000002</v>
      </c>
      <c r="D8" s="136">
        <f>(C9-C8)/(B9-B8)</f>
        <v>2.5833333333333313</v>
      </c>
      <c r="E8" s="137">
        <f>C8-D8*B8</f>
        <v>-28874.999999998836</v>
      </c>
      <c r="F8" s="140">
        <v>1.2</v>
      </c>
      <c r="H8" s="115">
        <v>6001212</v>
      </c>
      <c r="I8" s="115">
        <v>200000</v>
      </c>
      <c r="J8" s="61">
        <f>J7+J7*0.2</f>
        <v>240000</v>
      </c>
      <c r="K8" s="136">
        <f>(J9-J8)/(I9-I8)</f>
        <v>3</v>
      </c>
      <c r="L8" s="137">
        <f>J8-K8*I8</f>
        <v>-360000</v>
      </c>
      <c r="M8" s="140">
        <v>1.2</v>
      </c>
      <c r="R8" s="115">
        <v>6001212</v>
      </c>
      <c r="S8" s="115">
        <v>0</v>
      </c>
      <c r="T8" s="127">
        <v>0</v>
      </c>
      <c r="U8" s="136">
        <f t="shared" ref="U8:U16" si="14">(T9-T8)/(S9-S8)</f>
        <v>4.2857142857142856</v>
      </c>
      <c r="V8" s="137">
        <f t="shared" ref="V8:V16" si="15">T8-U8*S8</f>
        <v>0</v>
      </c>
      <c r="Z8" s="114">
        <v>6001211</v>
      </c>
      <c r="AA8">
        <v>90000</v>
      </c>
      <c r="AB8">
        <v>425000</v>
      </c>
      <c r="AC8">
        <v>425000</v>
      </c>
      <c r="AE8">
        <f>D6*B6+E6</f>
        <v>0</v>
      </c>
      <c r="AF8" t="e">
        <f>D6*#REF!+E6</f>
        <v>#REF!</v>
      </c>
      <c r="AJ8">
        <v>6000</v>
      </c>
      <c r="AK8">
        <v>300</v>
      </c>
      <c r="AL8">
        <v>0.05</v>
      </c>
      <c r="AM8">
        <v>0</v>
      </c>
      <c r="AO8" s="114">
        <v>2150000</v>
      </c>
      <c r="AP8">
        <f t="shared" si="5"/>
        <v>2315000</v>
      </c>
      <c r="AQ8" s="134">
        <f t="shared" si="6"/>
        <v>2.1000000000000023</v>
      </c>
      <c r="AR8">
        <f t="shared" si="7"/>
        <v>-2200000.0000000047</v>
      </c>
    </row>
    <row r="9" spans="1:44" x14ac:dyDescent="0.15">
      <c r="A9" s="115">
        <v>6001212</v>
      </c>
      <c r="B9" s="115">
        <f>B7*1.5</f>
        <v>577500</v>
      </c>
      <c r="C9" s="168">
        <f>C7*SQRT(D54)^2</f>
        <v>1463000</v>
      </c>
      <c r="D9" s="133">
        <v>0.01</v>
      </c>
      <c r="E9" s="138">
        <f>C9-D9*B9</f>
        <v>1457225</v>
      </c>
      <c r="F9" s="140">
        <v>1.5</v>
      </c>
      <c r="H9" s="115">
        <v>6001212</v>
      </c>
      <c r="I9" s="115">
        <v>220000</v>
      </c>
      <c r="J9" s="61">
        <f>J7+J7*0.5</f>
        <v>300000</v>
      </c>
      <c r="K9" s="133">
        <v>0.05</v>
      </c>
      <c r="L9" s="138">
        <f>J9-K9*I9</f>
        <v>289000</v>
      </c>
      <c r="M9" s="140">
        <v>1.5</v>
      </c>
      <c r="R9" s="115">
        <v>6001212</v>
      </c>
      <c r="S9" s="115">
        <v>70000</v>
      </c>
      <c r="T9" s="127">
        <v>300000</v>
      </c>
      <c r="U9" s="136">
        <f t="shared" si="14"/>
        <v>2.5</v>
      </c>
      <c r="V9" s="137">
        <f t="shared" si="15"/>
        <v>125000</v>
      </c>
      <c r="Z9" s="114">
        <v>6001211</v>
      </c>
      <c r="AA9">
        <v>95000</v>
      </c>
      <c r="AB9">
        <v>450000</v>
      </c>
      <c r="AC9">
        <v>450000</v>
      </c>
      <c r="AE9" t="e">
        <f>#REF!*#REF!+#REF!</f>
        <v>#REF!</v>
      </c>
      <c r="AF9" t="e">
        <f>#REF!*#REF!+#REF!</f>
        <v>#REF!</v>
      </c>
      <c r="AJ9">
        <v>7000</v>
      </c>
      <c r="AK9">
        <v>350</v>
      </c>
      <c r="AL9">
        <v>0.05</v>
      </c>
      <c r="AM9">
        <v>0</v>
      </c>
      <c r="AO9" s="114">
        <v>2160000</v>
      </c>
      <c r="AP9">
        <f t="shared" si="5"/>
        <v>2336000</v>
      </c>
      <c r="AQ9" s="134">
        <f t="shared" si="6"/>
        <v>2.1000000000000023</v>
      </c>
      <c r="AR9">
        <f t="shared" si="7"/>
        <v>-2200000.0000000047</v>
      </c>
    </row>
    <row r="10" spans="1:44" x14ac:dyDescent="0.15">
      <c r="A10" s="114">
        <v>6001213</v>
      </c>
      <c r="B10" s="114">
        <v>0</v>
      </c>
      <c r="C10" s="168">
        <v>0</v>
      </c>
      <c r="D10" s="136">
        <f t="shared" ref="D10" si="16">(C11-C10)/(B11-B10)</f>
        <v>1</v>
      </c>
      <c r="E10" s="137">
        <f t="shared" ref="E10" si="17">C10-D10*B10</f>
        <v>0</v>
      </c>
      <c r="H10" s="114">
        <v>6001213</v>
      </c>
      <c r="I10" s="114">
        <v>0</v>
      </c>
      <c r="J10" s="61">
        <v>0</v>
      </c>
      <c r="K10" s="136">
        <f t="shared" ref="K10:K11" si="18">(J11-J10)/(I11-I10)</f>
        <v>0.61538461538461542</v>
      </c>
      <c r="L10" s="137">
        <f t="shared" ref="L10:L11" si="19">J10-K10*I10</f>
        <v>0</v>
      </c>
      <c r="R10" s="115">
        <v>6001212</v>
      </c>
      <c r="S10" s="115">
        <v>80000</v>
      </c>
      <c r="T10" s="127">
        <v>325000</v>
      </c>
      <c r="U10" s="136">
        <f t="shared" si="14"/>
        <v>2.5</v>
      </c>
      <c r="V10" s="137">
        <f t="shared" si="15"/>
        <v>125000</v>
      </c>
      <c r="Z10" s="114">
        <v>6001211</v>
      </c>
      <c r="AA10">
        <v>100000</v>
      </c>
      <c r="AB10">
        <v>475000</v>
      </c>
      <c r="AC10">
        <v>475000</v>
      </c>
      <c r="AE10" t="e">
        <f>#REF!*#REF!+#REF!</f>
        <v>#REF!</v>
      </c>
      <c r="AF10" t="e">
        <f>#REF!*#REF!+#REF!</f>
        <v>#REF!</v>
      </c>
      <c r="AJ10">
        <v>8000</v>
      </c>
      <c r="AK10">
        <v>400</v>
      </c>
      <c r="AL10">
        <v>0.05</v>
      </c>
      <c r="AM10">
        <v>0</v>
      </c>
      <c r="AO10" s="114">
        <v>2170000</v>
      </c>
      <c r="AP10">
        <f t="shared" si="5"/>
        <v>2357000</v>
      </c>
      <c r="AQ10" s="134">
        <f t="shared" si="6"/>
        <v>2.1000000000000023</v>
      </c>
      <c r="AR10">
        <f t="shared" si="7"/>
        <v>-2200000.0000000047</v>
      </c>
    </row>
    <row r="11" spans="1:44" x14ac:dyDescent="0.15">
      <c r="A11" s="114">
        <v>6001213</v>
      </c>
      <c r="B11" s="114">
        <v>830300</v>
      </c>
      <c r="C11" s="168">
        <f>B11*SQRT(D52)*1</f>
        <v>830300</v>
      </c>
      <c r="D11" s="136">
        <f t="shared" ref="D11" si="20">(C12-C11)/(B12-B11)</f>
        <v>1.0500000000000007</v>
      </c>
      <c r="E11" s="137">
        <f t="shared" ref="E11" si="21">C11-D11*B11</f>
        <v>-41515.000000000582</v>
      </c>
      <c r="F11" s="140">
        <v>1</v>
      </c>
      <c r="H11" s="114">
        <v>6001213</v>
      </c>
      <c r="I11" s="114">
        <v>650000</v>
      </c>
      <c r="J11" s="61">
        <f>1200000/3</f>
        <v>400000</v>
      </c>
      <c r="K11" s="136">
        <f t="shared" si="18"/>
        <v>5.9635999999999996</v>
      </c>
      <c r="L11" s="137">
        <f t="shared" si="19"/>
        <v>-3476339.9999999995</v>
      </c>
      <c r="M11" s="140">
        <v>1</v>
      </c>
      <c r="R11" s="115">
        <v>6001212</v>
      </c>
      <c r="S11" s="115">
        <v>100000</v>
      </c>
      <c r="T11" s="127">
        <v>375000</v>
      </c>
      <c r="U11" s="136">
        <f t="shared" si="14"/>
        <v>2.5</v>
      </c>
      <c r="V11" s="137">
        <f t="shared" si="15"/>
        <v>125000</v>
      </c>
      <c r="Z11" s="115">
        <v>6001212</v>
      </c>
      <c r="AA11">
        <v>0</v>
      </c>
      <c r="AB11">
        <v>0</v>
      </c>
      <c r="AC11">
        <v>0</v>
      </c>
      <c r="AE11" t="e">
        <f>#REF!*#REF!+#REF!</f>
        <v>#REF!</v>
      </c>
      <c r="AF11" t="e">
        <f>#REF!*#REF!+#REF!</f>
        <v>#REF!</v>
      </c>
      <c r="AJ11">
        <v>9000</v>
      </c>
      <c r="AK11">
        <v>450</v>
      </c>
      <c r="AL11">
        <v>0.05</v>
      </c>
      <c r="AM11">
        <v>0</v>
      </c>
      <c r="AO11" s="114">
        <v>2180000</v>
      </c>
      <c r="AP11">
        <f t="shared" si="5"/>
        <v>2378000</v>
      </c>
      <c r="AQ11" s="134">
        <f t="shared" si="6"/>
        <v>2.1000000000000023</v>
      </c>
      <c r="AR11">
        <f t="shared" si="7"/>
        <v>-2200000.0000000047</v>
      </c>
    </row>
    <row r="12" spans="1:44" x14ac:dyDescent="0.15">
      <c r="A12" s="114">
        <v>6001213</v>
      </c>
      <c r="B12" s="114">
        <f>B11*1.2</f>
        <v>996360</v>
      </c>
      <c r="C12" s="168">
        <f>C11*SQRT(D53)^2</f>
        <v>1004663.0000000001</v>
      </c>
      <c r="D12" s="136">
        <f>(C13-C12)/(B13-B12)</f>
        <v>1.0333333333333328</v>
      </c>
      <c r="E12" s="137">
        <f>C12-D12*B12</f>
        <v>-24908.999999999302</v>
      </c>
      <c r="F12" s="140">
        <v>1.2</v>
      </c>
      <c r="H12" s="114">
        <v>6001213</v>
      </c>
      <c r="I12" s="114">
        <v>750000</v>
      </c>
      <c r="J12" s="61">
        <f>$C$11+$C$11*0.2</f>
        <v>996360</v>
      </c>
      <c r="K12" s="136">
        <f>(J15-J12)/(I15-I12)</f>
        <v>2.3986444444444444</v>
      </c>
      <c r="L12" s="137">
        <f>J12-K12*I12</f>
        <v>-802623.33333333326</v>
      </c>
      <c r="M12" s="140">
        <v>1.2</v>
      </c>
      <c r="R12" s="115">
        <v>6001212</v>
      </c>
      <c r="S12" s="115">
        <v>130000</v>
      </c>
      <c r="T12" s="127">
        <v>450000</v>
      </c>
      <c r="U12" s="136">
        <f t="shared" si="14"/>
        <v>1.6666666666666667</v>
      </c>
      <c r="V12" s="137">
        <f t="shared" si="15"/>
        <v>233333.33333333331</v>
      </c>
      <c r="Z12" s="115">
        <v>6001212</v>
      </c>
      <c r="AA12">
        <v>70000</v>
      </c>
      <c r="AB12">
        <v>303500</v>
      </c>
      <c r="AC12">
        <v>300000</v>
      </c>
      <c r="AE12" t="e">
        <f>#REF!*#REF!+#REF!</f>
        <v>#REF!</v>
      </c>
      <c r="AF12" t="e">
        <f>#REF!*#REF!+#REF!</f>
        <v>#REF!</v>
      </c>
      <c r="AJ12">
        <v>10000</v>
      </c>
      <c r="AK12">
        <v>500</v>
      </c>
      <c r="AL12">
        <v>0.05</v>
      </c>
      <c r="AM12">
        <v>0</v>
      </c>
      <c r="AO12" s="114">
        <v>2190000</v>
      </c>
      <c r="AP12">
        <f t="shared" si="5"/>
        <v>2399000</v>
      </c>
      <c r="AQ12" s="134">
        <f t="shared" si="6"/>
        <v>2.1000000000000023</v>
      </c>
      <c r="AR12">
        <f t="shared" si="7"/>
        <v>-2200000.0000000047</v>
      </c>
    </row>
    <row r="13" spans="1:44" x14ac:dyDescent="0.15">
      <c r="A13" s="114">
        <v>6001213</v>
      </c>
      <c r="B13" s="114">
        <f>B11*1.5</f>
        <v>1245450</v>
      </c>
      <c r="C13" s="168">
        <f>C11*SQRT(D54)^2</f>
        <v>1262056</v>
      </c>
      <c r="D13" s="136">
        <f>(C14-C13)/(B14-B13)</f>
        <v>1.0199999999999994</v>
      </c>
      <c r="E13" s="137">
        <f t="shared" ref="E13:E14" si="22">C13-D13*B13</f>
        <v>-8302.9999999993015</v>
      </c>
      <c r="F13" s="140">
        <v>1.5</v>
      </c>
      <c r="H13" s="114">
        <v>6001213</v>
      </c>
      <c r="I13" s="114">
        <v>850000</v>
      </c>
      <c r="J13" s="61">
        <f>$C$11+$C$11*0.5</f>
        <v>1245450</v>
      </c>
      <c r="K13" s="136">
        <f t="shared" ref="K13:K14" si="23">(J16-J13)/(I16-I13)</f>
        <v>1.465235294117647</v>
      </c>
      <c r="L13" s="137">
        <f t="shared" ref="L13:L14" si="24">J13-K13*I13</f>
        <v>0</v>
      </c>
      <c r="M13" s="140">
        <v>1.5</v>
      </c>
      <c r="R13" s="115">
        <v>6001212</v>
      </c>
      <c r="S13" s="115">
        <v>160000</v>
      </c>
      <c r="T13" s="127">
        <v>500000</v>
      </c>
      <c r="U13" s="136">
        <f t="shared" si="14"/>
        <v>1.6666666666666667</v>
      </c>
      <c r="V13" s="137">
        <f t="shared" si="15"/>
        <v>233333.33333333331</v>
      </c>
      <c r="Z13" s="115">
        <v>6001212</v>
      </c>
      <c r="AA13">
        <v>80000</v>
      </c>
      <c r="AB13">
        <v>324000</v>
      </c>
      <c r="AC13">
        <v>325000</v>
      </c>
      <c r="AE13" t="e">
        <f>#REF!*#REF!+#REF!</f>
        <v>#REF!</v>
      </c>
      <c r="AF13" t="e">
        <f>#REF!*#REF!+#REF!</f>
        <v>#REF!</v>
      </c>
      <c r="AJ13">
        <v>11000</v>
      </c>
      <c r="AK13">
        <v>550</v>
      </c>
      <c r="AL13">
        <v>0.05</v>
      </c>
      <c r="AM13">
        <v>0</v>
      </c>
      <c r="AO13" s="114">
        <v>2200000</v>
      </c>
      <c r="AP13">
        <f t="shared" si="5"/>
        <v>2420000.0000000009</v>
      </c>
      <c r="AQ13" s="134">
        <f t="shared" si="6"/>
        <v>3.0999999999999979</v>
      </c>
      <c r="AR13">
        <f t="shared" si="7"/>
        <v>-4399999.9999999944</v>
      </c>
    </row>
    <row r="14" spans="1:44" x14ac:dyDescent="0.15">
      <c r="A14" s="114">
        <v>6001213</v>
      </c>
      <c r="B14" s="114">
        <f>B11*2</f>
        <v>1660600</v>
      </c>
      <c r="C14" s="168">
        <f>C11*SQRT(D55)^2</f>
        <v>1685508.9999999998</v>
      </c>
      <c r="D14" s="136">
        <f>(C15-C14)/(B15-B14)</f>
        <v>1.0000000000000007</v>
      </c>
      <c r="E14" s="137">
        <f t="shared" si="22"/>
        <v>24908.999999998603</v>
      </c>
      <c r="F14" s="140">
        <v>2</v>
      </c>
      <c r="H14" s="114">
        <v>6001213</v>
      </c>
      <c r="I14" s="114">
        <v>1000000</v>
      </c>
      <c r="J14" s="61">
        <f>$C$11+$C$11*1</f>
        <v>1660600</v>
      </c>
      <c r="K14" s="136">
        <f t="shared" si="23"/>
        <v>5.6424000000000003</v>
      </c>
      <c r="L14" s="137">
        <f t="shared" si="24"/>
        <v>-3981800</v>
      </c>
      <c r="M14" s="140">
        <v>2</v>
      </c>
      <c r="R14" s="115">
        <v>6001212</v>
      </c>
      <c r="S14" s="115">
        <v>190000</v>
      </c>
      <c r="T14" s="127">
        <v>550000</v>
      </c>
      <c r="U14" s="136">
        <f t="shared" si="14"/>
        <v>0.83333333333333337</v>
      </c>
      <c r="V14" s="137">
        <f t="shared" si="15"/>
        <v>391666.66666666663</v>
      </c>
      <c r="Z14" s="115">
        <v>6001212</v>
      </c>
      <c r="AA14">
        <v>100000</v>
      </c>
      <c r="AB14">
        <v>385000</v>
      </c>
      <c r="AC14">
        <v>375000</v>
      </c>
      <c r="AE14" t="e">
        <f>#REF!*#REF!+#REF!</f>
        <v>#REF!</v>
      </c>
      <c r="AF14" t="e">
        <f>#REF!*#REF!+#REF!</f>
        <v>#REF!</v>
      </c>
      <c r="AJ14">
        <v>12000</v>
      </c>
      <c r="AK14">
        <v>600</v>
      </c>
      <c r="AL14">
        <v>0.05</v>
      </c>
      <c r="AM14">
        <v>0</v>
      </c>
      <c r="AO14" s="114">
        <v>2210000</v>
      </c>
      <c r="AP14">
        <f t="shared" si="5"/>
        <v>2451000.0000000009</v>
      </c>
      <c r="AQ14" s="134">
        <f t="shared" si="6"/>
        <v>3.0999999999999979</v>
      </c>
      <c r="AR14">
        <f t="shared" si="7"/>
        <v>-4399999.9999999944</v>
      </c>
    </row>
    <row r="15" spans="1:44" x14ac:dyDescent="0.15">
      <c r="A15" s="114">
        <v>6001213</v>
      </c>
      <c r="B15" s="114">
        <f>B11*2.5</f>
        <v>2075750</v>
      </c>
      <c r="C15" s="168">
        <f>C11*SQRT(D56)^2</f>
        <v>2100659</v>
      </c>
      <c r="D15" s="133">
        <v>0.01</v>
      </c>
      <c r="E15" s="138">
        <f>C15-D15*B15</f>
        <v>2079901.5</v>
      </c>
      <c r="F15" s="140">
        <v>2.5</v>
      </c>
      <c r="H15" s="114">
        <v>6001213</v>
      </c>
      <c r="I15" s="114">
        <v>1200000</v>
      </c>
      <c r="J15" s="61">
        <f>$C$11+$C$11*1.5</f>
        <v>2075750</v>
      </c>
      <c r="K15" s="133">
        <v>0.05</v>
      </c>
      <c r="L15" s="138">
        <f>J15-K15*I15</f>
        <v>2015750</v>
      </c>
      <c r="M15" s="140">
        <v>2.5</v>
      </c>
      <c r="R15" s="115">
        <v>6001212</v>
      </c>
      <c r="S15" s="115">
        <v>250000</v>
      </c>
      <c r="T15" s="127">
        <v>600000</v>
      </c>
      <c r="U15" s="136">
        <f t="shared" si="14"/>
        <v>0.66666666666666663</v>
      </c>
      <c r="V15" s="137">
        <f t="shared" si="15"/>
        <v>433333.33333333337</v>
      </c>
      <c r="Z15" s="115">
        <v>6001212</v>
      </c>
      <c r="AA15">
        <v>130000</v>
      </c>
      <c r="AB15">
        <v>446500</v>
      </c>
      <c r="AC15">
        <v>450000</v>
      </c>
      <c r="AE15" t="e">
        <f>#REF!*#REF!+#REF!</f>
        <v>#REF!</v>
      </c>
      <c r="AF15" t="e">
        <f>#REF!*B7+#REF!</f>
        <v>#REF!</v>
      </c>
      <c r="AJ15">
        <v>13000</v>
      </c>
      <c r="AK15">
        <v>650</v>
      </c>
      <c r="AL15">
        <v>0.05</v>
      </c>
      <c r="AM15">
        <v>0</v>
      </c>
      <c r="AO15" s="114">
        <v>2220000</v>
      </c>
      <c r="AP15">
        <f t="shared" si="5"/>
        <v>2482000.0000000009</v>
      </c>
      <c r="AQ15" s="134">
        <f t="shared" si="6"/>
        <v>3.0999999999999979</v>
      </c>
      <c r="AR15">
        <f t="shared" si="7"/>
        <v>-4399999.9999999944</v>
      </c>
    </row>
    <row r="16" spans="1:44" x14ac:dyDescent="0.15">
      <c r="A16" s="115">
        <v>6001214</v>
      </c>
      <c r="B16" s="115">
        <v>0</v>
      </c>
      <c r="C16" s="168">
        <v>0</v>
      </c>
      <c r="D16" s="136">
        <f t="shared" ref="D16" si="25">(C17-C16)/(B17-B16)</f>
        <v>1</v>
      </c>
      <c r="E16" s="137">
        <f t="shared" ref="E16" si="26">C16-D16*B16</f>
        <v>0</v>
      </c>
      <c r="H16" s="115">
        <v>6001214</v>
      </c>
      <c r="I16" s="115">
        <v>0</v>
      </c>
      <c r="J16" s="61">
        <v>0</v>
      </c>
      <c r="K16" s="136">
        <f t="shared" ref="K16:K17" si="27">(J17-J16)/(I17-I16)</f>
        <v>0.33333333333333331</v>
      </c>
      <c r="L16" s="137">
        <f t="shared" ref="L16:L17" si="28">J16-K16*I16</f>
        <v>0</v>
      </c>
      <c r="R16" s="115">
        <v>6001212</v>
      </c>
      <c r="S16" s="115">
        <v>280000</v>
      </c>
      <c r="T16" s="127">
        <v>620000</v>
      </c>
      <c r="U16" s="136">
        <f t="shared" si="14"/>
        <v>0.5</v>
      </c>
      <c r="V16" s="137">
        <f t="shared" si="15"/>
        <v>480000</v>
      </c>
      <c r="Z16" s="115">
        <v>6001212</v>
      </c>
      <c r="AA16">
        <v>160000</v>
      </c>
      <c r="AB16">
        <v>508000</v>
      </c>
      <c r="AC16">
        <v>500000</v>
      </c>
      <c r="AE16">
        <f>D7*B7+E7</f>
        <v>962500</v>
      </c>
      <c r="AF16">
        <f>D7*B8+E7</f>
        <v>1164625.0000000002</v>
      </c>
      <c r="AJ16">
        <v>14000</v>
      </c>
      <c r="AK16">
        <v>700</v>
      </c>
      <c r="AL16">
        <v>0.05</v>
      </c>
      <c r="AM16">
        <v>0</v>
      </c>
      <c r="AO16" s="114">
        <v>2230000</v>
      </c>
      <c r="AP16">
        <f t="shared" si="5"/>
        <v>2513000.0000000009</v>
      </c>
      <c r="AQ16" s="134">
        <f t="shared" si="6"/>
        <v>3.0999999999999979</v>
      </c>
      <c r="AR16">
        <f t="shared" si="7"/>
        <v>-4399999.9999999944</v>
      </c>
    </row>
    <row r="17" spans="1:44" x14ac:dyDescent="0.15">
      <c r="A17" s="115">
        <v>6001214</v>
      </c>
      <c r="B17" s="115">
        <v>765000</v>
      </c>
      <c r="C17" s="168">
        <f>B17*SQRT(D52)*1</f>
        <v>765000</v>
      </c>
      <c r="D17" s="136">
        <f t="shared" ref="D17" si="29">(C18-C17)/(B18-B17)</f>
        <v>1.0500000000000007</v>
      </c>
      <c r="E17" s="137">
        <f t="shared" ref="E17" si="30">C17-D17*B17</f>
        <v>-38250.000000000582</v>
      </c>
      <c r="F17" s="140">
        <v>1</v>
      </c>
      <c r="H17" s="115">
        <v>6001214</v>
      </c>
      <c r="I17" s="115">
        <v>750000</v>
      </c>
      <c r="J17" s="61">
        <f>1000000/4</f>
        <v>250000</v>
      </c>
      <c r="K17" s="136">
        <f t="shared" si="27"/>
        <v>0.5</v>
      </c>
      <c r="L17" s="137">
        <f t="shared" si="28"/>
        <v>-125000</v>
      </c>
      <c r="M17" s="140">
        <v>1</v>
      </c>
      <c r="R17" s="115">
        <v>6001212</v>
      </c>
      <c r="S17" s="115">
        <v>340000</v>
      </c>
      <c r="T17" s="127">
        <v>650000</v>
      </c>
      <c r="U17" s="136">
        <f>(T18-T17)/(S18-S17)</f>
        <v>0.66666666666666663</v>
      </c>
      <c r="V17" s="137">
        <f>T17-U17*S17</f>
        <v>423333.33333333337</v>
      </c>
      <c r="Z17" s="115">
        <v>6001212</v>
      </c>
      <c r="AA17">
        <v>190000</v>
      </c>
      <c r="AB17">
        <v>569500</v>
      </c>
      <c r="AC17">
        <v>550000</v>
      </c>
      <c r="AE17">
        <f>D8*B8+E8</f>
        <v>1164625.0000000002</v>
      </c>
      <c r="AF17">
        <f>D8*B9+E8</f>
        <v>1463000</v>
      </c>
      <c r="AJ17">
        <v>15000</v>
      </c>
      <c r="AK17">
        <v>750</v>
      </c>
      <c r="AL17">
        <v>0.05</v>
      </c>
      <c r="AM17">
        <v>0</v>
      </c>
      <c r="AO17" s="114">
        <v>2240000</v>
      </c>
      <c r="AP17">
        <f t="shared" si="5"/>
        <v>2544000.0000000009</v>
      </c>
      <c r="AQ17" s="134">
        <f t="shared" si="6"/>
        <v>3.0999999999999979</v>
      </c>
      <c r="AR17">
        <f t="shared" si="7"/>
        <v>-4399999.9999999944</v>
      </c>
    </row>
    <row r="18" spans="1:44" x14ac:dyDescent="0.15">
      <c r="A18" s="115">
        <v>6001214</v>
      </c>
      <c r="B18" s="115">
        <f>B17*1.2</f>
        <v>918000</v>
      </c>
      <c r="C18" s="168">
        <f>C17*SQRT(D53)^2</f>
        <v>925650.00000000012</v>
      </c>
      <c r="D18" s="136">
        <f>(C19-C18)/(B19-B18)</f>
        <v>1.0333333333333328</v>
      </c>
      <c r="E18" s="137">
        <f>C18-D18*B18</f>
        <v>-22949.999999999418</v>
      </c>
      <c r="F18" s="140">
        <v>1.2</v>
      </c>
      <c r="H18" s="115">
        <v>6001214</v>
      </c>
      <c r="I18" s="115">
        <v>850000</v>
      </c>
      <c r="J18" s="61">
        <f>J17+J17*0.2</f>
        <v>300000</v>
      </c>
      <c r="K18" s="136">
        <f>(J19-J18)/(I19-I18)</f>
        <v>0.75</v>
      </c>
      <c r="L18" s="137">
        <f>J18-K18*I18</f>
        <v>-337500</v>
      </c>
      <c r="M18" s="140">
        <v>1.2</v>
      </c>
      <c r="R18" s="115">
        <v>6001212</v>
      </c>
      <c r="S18" s="115">
        <v>370000</v>
      </c>
      <c r="T18" s="127">
        <v>670000</v>
      </c>
      <c r="U18" s="133">
        <v>0.05</v>
      </c>
      <c r="V18" s="138">
        <f>T18-U18*S18</f>
        <v>651500</v>
      </c>
      <c r="Z18" s="115">
        <v>6001212</v>
      </c>
      <c r="AA18">
        <v>220000</v>
      </c>
      <c r="AB18">
        <v>586000</v>
      </c>
      <c r="AE18">
        <f>D9*B9+E9</f>
        <v>1463000</v>
      </c>
      <c r="AF18" t="s">
        <v>291</v>
      </c>
      <c r="AJ18">
        <v>16000</v>
      </c>
      <c r="AK18">
        <v>800</v>
      </c>
      <c r="AL18">
        <v>0.05</v>
      </c>
      <c r="AM18">
        <v>0</v>
      </c>
      <c r="AO18" s="114">
        <v>2250000</v>
      </c>
      <c r="AP18">
        <f t="shared" si="5"/>
        <v>2575000.0000000009</v>
      </c>
      <c r="AQ18" s="134">
        <f t="shared" si="6"/>
        <v>3.0999999999999979</v>
      </c>
      <c r="AR18">
        <f t="shared" si="7"/>
        <v>-4399999.9999999944</v>
      </c>
    </row>
    <row r="19" spans="1:44" x14ac:dyDescent="0.15">
      <c r="A19" s="115">
        <v>6001214</v>
      </c>
      <c r="B19" s="115">
        <f>B17*1.5</f>
        <v>1147500</v>
      </c>
      <c r="C19" s="168">
        <f>C17*SQRT(D54)^2</f>
        <v>1162800</v>
      </c>
      <c r="D19" s="133">
        <v>0.01</v>
      </c>
      <c r="E19" s="138">
        <f>C19-D19*B19</f>
        <v>1151325</v>
      </c>
      <c r="F19" s="140">
        <v>1.5</v>
      </c>
      <c r="H19" s="115">
        <v>6001214</v>
      </c>
      <c r="I19" s="115">
        <v>950000</v>
      </c>
      <c r="J19" s="61">
        <f>J17+J17*0.5</f>
        <v>375000</v>
      </c>
      <c r="K19" s="133">
        <v>0.05</v>
      </c>
      <c r="L19" s="138">
        <f>J19-K19*I19</f>
        <v>327500</v>
      </c>
      <c r="M19" s="140">
        <v>1.5</v>
      </c>
      <c r="R19" s="114">
        <v>6001213</v>
      </c>
      <c r="S19" s="114">
        <v>0</v>
      </c>
      <c r="T19" s="61">
        <v>0</v>
      </c>
      <c r="U19" s="136">
        <f t="shared" ref="U19:U38" si="31">(T20-T19)/(S20-S19)</f>
        <v>1.25</v>
      </c>
      <c r="V19" s="137">
        <f t="shared" ref="V19:V38" si="32">T19-U19*S19</f>
        <v>0</v>
      </c>
      <c r="Z19" s="115">
        <v>6001212</v>
      </c>
      <c r="AA19">
        <v>250000</v>
      </c>
      <c r="AB19">
        <v>602500</v>
      </c>
      <c r="AC19">
        <v>600000</v>
      </c>
      <c r="AE19">
        <f>D10*B10+E10</f>
        <v>0</v>
      </c>
      <c r="AF19" t="e">
        <f>D10*#REF!+E10</f>
        <v>#REF!</v>
      </c>
      <c r="AJ19">
        <v>17000</v>
      </c>
      <c r="AK19">
        <v>850</v>
      </c>
      <c r="AL19">
        <v>0.05</v>
      </c>
      <c r="AM19">
        <v>0</v>
      </c>
      <c r="AO19" s="114">
        <v>2260000</v>
      </c>
      <c r="AP19">
        <f t="shared" si="5"/>
        <v>2606000.0000000009</v>
      </c>
      <c r="AQ19" s="134">
        <f t="shared" si="6"/>
        <v>3.0999999999999979</v>
      </c>
      <c r="AR19">
        <f t="shared" si="7"/>
        <v>-4399999.9999999944</v>
      </c>
    </row>
    <row r="20" spans="1:44" x14ac:dyDescent="0.15">
      <c r="A20" s="114">
        <v>6001215</v>
      </c>
      <c r="B20" s="114">
        <v>0</v>
      </c>
      <c r="C20" s="168">
        <v>0</v>
      </c>
      <c r="D20" s="136">
        <f>(C21-C20)/(B21-B20)</f>
        <v>1</v>
      </c>
      <c r="E20" s="137">
        <f t="shared" ref="E20" si="33">C20-D20*B20</f>
        <v>0</v>
      </c>
      <c r="H20" s="114">
        <v>6001215</v>
      </c>
      <c r="I20" s="114">
        <v>0</v>
      </c>
      <c r="J20" s="61">
        <v>0</v>
      </c>
      <c r="K20" s="136">
        <f t="shared" ref="K20" si="34">(J21-J20)/(I21-I20)</f>
        <v>0.47619047619047616</v>
      </c>
      <c r="L20" s="137">
        <f t="shared" ref="L20:L23" si="35">J20-K20*I20</f>
        <v>0</v>
      </c>
      <c r="R20" s="114">
        <v>6001213</v>
      </c>
      <c r="S20" s="114">
        <v>500000</v>
      </c>
      <c r="T20" s="61">
        <v>625000</v>
      </c>
      <c r="U20" s="136">
        <f t="shared" si="31"/>
        <v>1.25</v>
      </c>
      <c r="V20" s="137">
        <f t="shared" si="32"/>
        <v>0</v>
      </c>
      <c r="Z20" s="115">
        <v>6001212</v>
      </c>
      <c r="AA20">
        <v>280000</v>
      </c>
      <c r="AB20">
        <v>619000</v>
      </c>
      <c r="AC20">
        <v>620000</v>
      </c>
      <c r="AE20" t="e">
        <f>#REF!*#REF!+#REF!</f>
        <v>#REF!</v>
      </c>
      <c r="AF20" t="e">
        <f>#REF!*#REF!+#REF!</f>
        <v>#REF!</v>
      </c>
      <c r="AJ20">
        <v>18000</v>
      </c>
      <c r="AK20">
        <v>900</v>
      </c>
      <c r="AL20">
        <v>0.05</v>
      </c>
      <c r="AM20">
        <v>0</v>
      </c>
      <c r="AO20" s="114">
        <v>2270000</v>
      </c>
      <c r="AP20">
        <f t="shared" si="5"/>
        <v>2637000.0000000009</v>
      </c>
      <c r="AQ20" s="134">
        <f t="shared" si="6"/>
        <v>3.0999999999999979</v>
      </c>
      <c r="AR20">
        <f t="shared" si="7"/>
        <v>-4399999.9999999944</v>
      </c>
    </row>
    <row r="21" spans="1:44" ht="16" customHeight="1" x14ac:dyDescent="0.15">
      <c r="A21" s="114">
        <v>6001215</v>
      </c>
      <c r="B21" s="114">
        <v>2000000</v>
      </c>
      <c r="C21" s="168">
        <f>B21*SQRT(D52)*1</f>
        <v>2000000</v>
      </c>
      <c r="D21" s="136">
        <f>(C22-C21)/(B22-B21)</f>
        <v>2.1000000000000023</v>
      </c>
      <c r="E21" s="137">
        <f>C21-D21*B21</f>
        <v>-2200000.0000000047</v>
      </c>
      <c r="F21" s="140">
        <v>1</v>
      </c>
      <c r="H21" s="114">
        <v>6001215</v>
      </c>
      <c r="I21" s="114">
        <v>2100000</v>
      </c>
      <c r="J21" s="61">
        <f>2000000/2</f>
        <v>1000000</v>
      </c>
      <c r="K21" s="136">
        <f>(J24-J21)/(I24-I21)</f>
        <v>4.5454545454545459</v>
      </c>
      <c r="L21" s="137">
        <f t="shared" si="35"/>
        <v>-8545454.5454545468</v>
      </c>
      <c r="M21" s="140">
        <v>1</v>
      </c>
      <c r="R21" s="114">
        <v>6001213</v>
      </c>
      <c r="S21" s="114">
        <v>520000</v>
      </c>
      <c r="T21" s="61">
        <v>650000</v>
      </c>
      <c r="U21" s="136">
        <f t="shared" si="31"/>
        <v>2.5</v>
      </c>
      <c r="V21" s="137">
        <f t="shared" si="32"/>
        <v>-650000</v>
      </c>
      <c r="Z21" s="115">
        <v>6001212</v>
      </c>
      <c r="AA21">
        <v>310000</v>
      </c>
      <c r="AB21">
        <v>635500</v>
      </c>
      <c r="AE21" t="e">
        <f>#REF!*#REF!+#REF!</f>
        <v>#REF!</v>
      </c>
      <c r="AF21" t="e">
        <f>#REF!*#REF!+#REF!</f>
        <v>#REF!</v>
      </c>
      <c r="AJ21">
        <v>19000</v>
      </c>
      <c r="AK21">
        <v>950</v>
      </c>
      <c r="AL21">
        <v>0.05</v>
      </c>
      <c r="AM21">
        <v>0</v>
      </c>
      <c r="AO21" s="114">
        <v>2280000</v>
      </c>
      <c r="AP21">
        <f t="shared" si="5"/>
        <v>2668000.0000000009</v>
      </c>
      <c r="AQ21" s="134">
        <f t="shared" si="6"/>
        <v>3.0999999999999979</v>
      </c>
      <c r="AR21">
        <f t="shared" si="7"/>
        <v>-4399999.9999999944</v>
      </c>
    </row>
    <row r="22" spans="1:44" x14ac:dyDescent="0.15">
      <c r="A22" s="114">
        <v>6001215</v>
      </c>
      <c r="B22" s="114">
        <f>B21*1.1</f>
        <v>2200000</v>
      </c>
      <c r="C22" s="168">
        <f>$C$21*SQRT(D53)^2</f>
        <v>2420000.0000000005</v>
      </c>
      <c r="D22" s="136">
        <f>(C23-C22)/(B23-B22)</f>
        <v>3.0999999999999979</v>
      </c>
      <c r="E22" s="137">
        <f t="shared" ref="E22:E23" si="36">C22-D22*B22</f>
        <v>-4399999.9999999944</v>
      </c>
      <c r="F22" s="140">
        <v>1.2</v>
      </c>
      <c r="H22" s="114">
        <v>6001215</v>
      </c>
      <c r="I22" s="114">
        <v>2300000</v>
      </c>
      <c r="J22" s="61">
        <f>$C$21+$C$21*1.2</f>
        <v>4400000</v>
      </c>
      <c r="K22" s="136">
        <f t="shared" ref="K22:K23" si="37">(J25-J22)/(I25-I22)</f>
        <v>2</v>
      </c>
      <c r="L22" s="137">
        <f t="shared" si="35"/>
        <v>-200000</v>
      </c>
      <c r="M22" s="140">
        <v>1.2</v>
      </c>
      <c r="R22" s="114">
        <v>6001213</v>
      </c>
      <c r="S22" s="114">
        <v>540000</v>
      </c>
      <c r="T22" s="61">
        <v>700000</v>
      </c>
      <c r="U22" s="136">
        <f t="shared" si="31"/>
        <v>2.5</v>
      </c>
      <c r="V22" s="137">
        <f t="shared" si="32"/>
        <v>-650000</v>
      </c>
      <c r="Z22" s="115">
        <v>6001212</v>
      </c>
      <c r="AA22">
        <v>340000</v>
      </c>
      <c r="AB22">
        <v>652000</v>
      </c>
      <c r="AC22">
        <v>650000</v>
      </c>
      <c r="AE22" t="e">
        <f>#REF!*#REF!+#REF!</f>
        <v>#REF!</v>
      </c>
      <c r="AF22" t="e">
        <f>#REF!*#REF!+#REF!</f>
        <v>#REF!</v>
      </c>
      <c r="AJ22">
        <v>20000</v>
      </c>
      <c r="AK22">
        <v>1000</v>
      </c>
      <c r="AL22">
        <v>0.05</v>
      </c>
      <c r="AM22">
        <v>0</v>
      </c>
      <c r="AO22" s="114">
        <v>2290000</v>
      </c>
      <c r="AP22">
        <f t="shared" si="5"/>
        <v>2699000.0000000009</v>
      </c>
      <c r="AQ22" s="134">
        <f t="shared" si="6"/>
        <v>3.0999999999999979</v>
      </c>
      <c r="AR22">
        <f t="shared" si="7"/>
        <v>-4399999.9999999944</v>
      </c>
    </row>
    <row r="23" spans="1:44" x14ac:dyDescent="0.15">
      <c r="A23" s="114">
        <v>6001215</v>
      </c>
      <c r="B23" s="114">
        <f>B21*1.2</f>
        <v>2400000</v>
      </c>
      <c r="C23" s="168">
        <f>$C$21*SQRT(D54)^2</f>
        <v>3040000</v>
      </c>
      <c r="D23" s="136">
        <f>(C24-C23)/(B24-B23)</f>
        <v>2.5499999999999989</v>
      </c>
      <c r="E23" s="137">
        <f t="shared" si="36"/>
        <v>-3079999.9999999972</v>
      </c>
      <c r="F23" s="140">
        <v>1.5</v>
      </c>
      <c r="H23" s="114">
        <v>6001215</v>
      </c>
      <c r="I23" s="114">
        <v>2600000</v>
      </c>
      <c r="J23" s="61">
        <f>$C$21+$C$21*1.5</f>
        <v>5000000</v>
      </c>
      <c r="K23" s="136">
        <f t="shared" si="37"/>
        <v>1.9230769230769231</v>
      </c>
      <c r="L23" s="137">
        <f t="shared" si="35"/>
        <v>0</v>
      </c>
      <c r="M23" s="140">
        <v>1.5</v>
      </c>
      <c r="R23" s="114">
        <v>6001213</v>
      </c>
      <c r="S23" s="114">
        <v>560000</v>
      </c>
      <c r="T23" s="61">
        <v>750000</v>
      </c>
      <c r="U23" s="136">
        <f t="shared" si="31"/>
        <v>2</v>
      </c>
      <c r="V23" s="137">
        <f t="shared" si="32"/>
        <v>-370000</v>
      </c>
      <c r="Z23" s="115">
        <v>6001212</v>
      </c>
      <c r="AA23">
        <v>370000</v>
      </c>
      <c r="AB23">
        <v>668500</v>
      </c>
      <c r="AC23">
        <v>670000</v>
      </c>
      <c r="AE23" t="e">
        <f>#REF!*#REF!+#REF!</f>
        <v>#REF!</v>
      </c>
      <c r="AF23" t="e">
        <f>#REF!*#REF!+#REF!</f>
        <v>#REF!</v>
      </c>
      <c r="AJ23">
        <v>21000</v>
      </c>
      <c r="AK23">
        <v>1050</v>
      </c>
      <c r="AL23">
        <v>0.05</v>
      </c>
      <c r="AM23">
        <v>0</v>
      </c>
      <c r="AO23" s="114">
        <v>2300000</v>
      </c>
      <c r="AP23">
        <f t="shared" si="5"/>
        <v>2730000.0000000009</v>
      </c>
      <c r="AQ23" s="134">
        <f t="shared" si="6"/>
        <v>3.0999999999999979</v>
      </c>
      <c r="AR23">
        <f t="shared" si="7"/>
        <v>-4399999.9999999944</v>
      </c>
    </row>
    <row r="24" spans="1:44" x14ac:dyDescent="0.15">
      <c r="A24" s="114">
        <v>6001215</v>
      </c>
      <c r="B24" s="114">
        <f>B21*1.4</f>
        <v>2800000</v>
      </c>
      <c r="C24" s="168">
        <f>$C$21*SQRT(D55)^2</f>
        <v>4059999.9999999995</v>
      </c>
      <c r="D24" s="136">
        <f>(C25-C24)/(B25-B24)</f>
        <v>1.4285714285714293</v>
      </c>
      <c r="E24" s="137">
        <f>C24-D24*B24</f>
        <v>59999.999999997672</v>
      </c>
      <c r="F24" s="140">
        <v>2</v>
      </c>
      <c r="H24" s="114">
        <v>6001215</v>
      </c>
      <c r="I24" s="114">
        <v>3200000</v>
      </c>
      <c r="J24" s="61">
        <f>$C$21+$C$21*2</f>
        <v>6000000</v>
      </c>
      <c r="K24" s="136">
        <f>(J25-J24)/(I25-I24)</f>
        <v>2.5</v>
      </c>
      <c r="L24" s="137">
        <f>J24-K24*I24</f>
        <v>-2000000</v>
      </c>
      <c r="M24" s="140">
        <v>2</v>
      </c>
      <c r="R24" s="114">
        <v>6001213</v>
      </c>
      <c r="S24" s="114">
        <v>580000</v>
      </c>
      <c r="T24" s="61">
        <v>790000</v>
      </c>
      <c r="U24" s="136">
        <f t="shared" si="31"/>
        <v>2</v>
      </c>
      <c r="V24" s="137">
        <f t="shared" si="32"/>
        <v>-370000</v>
      </c>
      <c r="Z24" s="114">
        <v>6001213</v>
      </c>
      <c r="AA24">
        <v>0</v>
      </c>
      <c r="AB24">
        <v>0</v>
      </c>
      <c r="AC24">
        <v>0</v>
      </c>
      <c r="AE24" t="e">
        <f>#REF!*#REF!+#REF!</f>
        <v>#REF!</v>
      </c>
      <c r="AF24" t="e">
        <f>#REF!*#REF!+#REF!</f>
        <v>#REF!</v>
      </c>
      <c r="AJ24">
        <v>22000</v>
      </c>
      <c r="AK24">
        <v>1100</v>
      </c>
      <c r="AL24">
        <v>0.05</v>
      </c>
      <c r="AM24">
        <v>0</v>
      </c>
      <c r="AO24" s="114">
        <v>2310000</v>
      </c>
      <c r="AP24">
        <f t="shared" si="5"/>
        <v>2761000.0000000009</v>
      </c>
      <c r="AQ24" s="134">
        <f t="shared" si="6"/>
        <v>3.0999999999999979</v>
      </c>
      <c r="AR24">
        <f t="shared" si="7"/>
        <v>-4399999.9999999944</v>
      </c>
    </row>
    <row r="25" spans="1:44" x14ac:dyDescent="0.15">
      <c r="A25" s="114">
        <v>6001215</v>
      </c>
      <c r="B25" s="114">
        <f>B21*1.75</f>
        <v>3500000</v>
      </c>
      <c r="C25" s="168">
        <f>$C$21*SQRT(D56)^2</f>
        <v>5060000</v>
      </c>
      <c r="D25" s="133">
        <v>0.01</v>
      </c>
      <c r="E25" s="138">
        <f>C25-D25*B25</f>
        <v>5025000</v>
      </c>
      <c r="F25" s="140">
        <v>2.5</v>
      </c>
      <c r="H25" s="114">
        <v>6001215</v>
      </c>
      <c r="I25" s="114">
        <v>3600000</v>
      </c>
      <c r="J25" s="61">
        <f>$C$21+$C$21*2.5</f>
        <v>7000000</v>
      </c>
      <c r="K25" s="133">
        <v>0.05</v>
      </c>
      <c r="L25" s="138">
        <f>J25-K25*I25</f>
        <v>6820000</v>
      </c>
      <c r="M25" s="140">
        <v>2.5</v>
      </c>
      <c r="R25" s="114">
        <v>6001213</v>
      </c>
      <c r="S25" s="114">
        <v>600000</v>
      </c>
      <c r="T25" s="61">
        <v>830000</v>
      </c>
      <c r="U25" s="136">
        <f t="shared" si="31"/>
        <v>2</v>
      </c>
      <c r="V25" s="137">
        <f t="shared" si="32"/>
        <v>-370000</v>
      </c>
      <c r="Z25" s="114">
        <v>6001213</v>
      </c>
      <c r="AA25">
        <v>500000</v>
      </c>
      <c r="AB25">
        <v>625000</v>
      </c>
      <c r="AC25">
        <v>625000</v>
      </c>
      <c r="AE25" t="e">
        <f>#REF!*#REF!+#REF!</f>
        <v>#REF!</v>
      </c>
      <c r="AF25" t="e">
        <f>#REF!*#REF!+#REF!</f>
        <v>#REF!</v>
      </c>
      <c r="AJ25">
        <v>23000</v>
      </c>
      <c r="AK25">
        <v>1150</v>
      </c>
      <c r="AL25">
        <v>0.05</v>
      </c>
      <c r="AM25">
        <v>0</v>
      </c>
      <c r="AO25" s="114">
        <v>2320000</v>
      </c>
      <c r="AP25">
        <f t="shared" si="5"/>
        <v>2792000.0000000009</v>
      </c>
      <c r="AQ25" s="134">
        <f t="shared" si="6"/>
        <v>3.0999999999999979</v>
      </c>
      <c r="AR25">
        <f t="shared" si="7"/>
        <v>-4399999.9999999944</v>
      </c>
    </row>
    <row r="26" spans="1:44" x14ac:dyDescent="0.15">
      <c r="A26" s="114">
        <f>A2+10</f>
        <v>6001221</v>
      </c>
      <c r="B26" s="114">
        <v>0</v>
      </c>
      <c r="C26" s="168">
        <v>0</v>
      </c>
      <c r="D26" s="136">
        <f t="shared" ref="D26:D27" si="38">(C27-C26)/(B27-B26)</f>
        <v>4</v>
      </c>
      <c r="E26" s="137">
        <f t="shared" ref="E26:E27" si="39">C26-D26*B26</f>
        <v>0</v>
      </c>
      <c r="R26" s="114">
        <v>6001213</v>
      </c>
      <c r="S26" s="114">
        <v>620000</v>
      </c>
      <c r="T26" s="61">
        <v>870000</v>
      </c>
      <c r="U26" s="136">
        <f t="shared" si="31"/>
        <v>2</v>
      </c>
      <c r="V26" s="137">
        <f t="shared" si="32"/>
        <v>-370000</v>
      </c>
      <c r="Z26" s="114">
        <v>6001213</v>
      </c>
      <c r="AA26">
        <v>520000</v>
      </c>
      <c r="AB26">
        <v>666000</v>
      </c>
      <c r="AC26">
        <v>650000</v>
      </c>
      <c r="AE26" t="e">
        <f>#REF!*#REF!+#REF!</f>
        <v>#REF!</v>
      </c>
      <c r="AF26" t="e">
        <f>#REF!*#REF!+#REF!</f>
        <v>#REF!</v>
      </c>
      <c r="AJ26">
        <v>24000</v>
      </c>
      <c r="AK26">
        <v>1200</v>
      </c>
      <c r="AL26">
        <v>0.05</v>
      </c>
      <c r="AM26">
        <v>0</v>
      </c>
      <c r="AO26" s="114">
        <v>2330000</v>
      </c>
      <c r="AP26">
        <f t="shared" si="5"/>
        <v>2823000.0000000009</v>
      </c>
      <c r="AQ26" s="134">
        <f t="shared" si="6"/>
        <v>3.0999999999999979</v>
      </c>
      <c r="AR26">
        <f t="shared" si="7"/>
        <v>-4399999.9999999944</v>
      </c>
    </row>
    <row r="27" spans="1:44" x14ac:dyDescent="0.15">
      <c r="A27" s="114">
        <f t="shared" ref="A27:A49" si="40">A3+10</f>
        <v>6001221</v>
      </c>
      <c r="B27" s="114">
        <f>100000-25000</f>
        <v>75000</v>
      </c>
      <c r="C27" s="168">
        <f>B27*SQRT(D52)*4</f>
        <v>300000</v>
      </c>
      <c r="D27" s="136">
        <f t="shared" si="38"/>
        <v>4.2000000000000037</v>
      </c>
      <c r="E27" s="137">
        <f t="shared" si="39"/>
        <v>-15000.000000000291</v>
      </c>
      <c r="R27" s="114">
        <v>6001213</v>
      </c>
      <c r="S27" s="114">
        <v>640000</v>
      </c>
      <c r="T27" s="61">
        <v>910000</v>
      </c>
      <c r="U27" s="136">
        <f t="shared" si="31"/>
        <v>2</v>
      </c>
      <c r="V27" s="137">
        <f t="shared" si="32"/>
        <v>-370000</v>
      </c>
      <c r="Z27" s="114">
        <v>6001213</v>
      </c>
      <c r="AA27">
        <v>540000</v>
      </c>
      <c r="AB27">
        <v>707000</v>
      </c>
      <c r="AC27">
        <v>700000</v>
      </c>
      <c r="AE27" t="e">
        <f>#REF!*#REF!+#REF!</f>
        <v>#REF!</v>
      </c>
      <c r="AF27" t="e">
        <f>#REF!*#REF!+#REF!</f>
        <v>#REF!</v>
      </c>
      <c r="AJ27">
        <v>25000</v>
      </c>
      <c r="AK27">
        <v>1250</v>
      </c>
      <c r="AL27">
        <v>0.05</v>
      </c>
      <c r="AM27">
        <v>0</v>
      </c>
      <c r="AO27" s="114">
        <v>2340000</v>
      </c>
      <c r="AP27">
        <f t="shared" si="5"/>
        <v>2854000.0000000009</v>
      </c>
      <c r="AQ27" s="134">
        <f t="shared" si="6"/>
        <v>3.0999999999999979</v>
      </c>
      <c r="AR27">
        <f t="shared" si="7"/>
        <v>-4399999.9999999944</v>
      </c>
    </row>
    <row r="28" spans="1:44" x14ac:dyDescent="0.15">
      <c r="A28" s="114">
        <f t="shared" si="40"/>
        <v>6001221</v>
      </c>
      <c r="B28" s="114">
        <f>B27*1.2</f>
        <v>90000</v>
      </c>
      <c r="C28" s="168">
        <f>C27*SQRT(D53)^2</f>
        <v>363000.00000000006</v>
      </c>
      <c r="D28" s="136">
        <f>(C29-C28)/(B29-B28)</f>
        <v>4.1333333333333311</v>
      </c>
      <c r="E28" s="137">
        <f>C28-D52*B28</f>
        <v>273000.00000000006</v>
      </c>
      <c r="H28" s="131"/>
      <c r="I28" s="131"/>
      <c r="J28" s="131"/>
      <c r="K28" s="131"/>
      <c r="L28" s="132"/>
      <c r="R28" s="114">
        <v>6001213</v>
      </c>
      <c r="S28" s="114">
        <v>660000</v>
      </c>
      <c r="T28" s="61">
        <v>950000</v>
      </c>
      <c r="U28" s="136">
        <f t="shared" si="31"/>
        <v>1.25</v>
      </c>
      <c r="V28" s="137">
        <f t="shared" si="32"/>
        <v>125000</v>
      </c>
      <c r="Z28" s="114">
        <v>6001213</v>
      </c>
      <c r="AA28">
        <v>560000</v>
      </c>
      <c r="AB28">
        <v>748000</v>
      </c>
      <c r="AC28">
        <v>750000</v>
      </c>
      <c r="AE28" t="e">
        <f>#REF!*#REF!+#REF!</f>
        <v>#REF!</v>
      </c>
      <c r="AF28" t="e">
        <f>#REF!*#REF!+#REF!</f>
        <v>#REF!</v>
      </c>
      <c r="AJ28">
        <v>26000</v>
      </c>
      <c r="AK28">
        <v>1300</v>
      </c>
      <c r="AL28">
        <v>0.05</v>
      </c>
      <c r="AM28">
        <v>0</v>
      </c>
      <c r="AO28" s="114">
        <v>2350000</v>
      </c>
      <c r="AP28">
        <f t="shared" si="5"/>
        <v>2885000.0000000009</v>
      </c>
      <c r="AQ28" s="134">
        <f t="shared" si="6"/>
        <v>3.0999999999999979</v>
      </c>
      <c r="AR28">
        <f t="shared" si="7"/>
        <v>-4399999.9999999944</v>
      </c>
    </row>
    <row r="29" spans="1:44" x14ac:dyDescent="0.15">
      <c r="A29" s="114">
        <f t="shared" si="40"/>
        <v>6001221</v>
      </c>
      <c r="B29" s="114">
        <f>B27*1.5</f>
        <v>112500</v>
      </c>
      <c r="C29" s="168">
        <f>C27*SQRT(D54)^2</f>
        <v>456000</v>
      </c>
      <c r="D29" s="133">
        <v>0.01</v>
      </c>
      <c r="E29" s="138">
        <f>C29-D53*B29</f>
        <v>319875</v>
      </c>
      <c r="H29" s="106"/>
      <c r="I29" s="106">
        <v>0</v>
      </c>
      <c r="J29" s="106">
        <v>0</v>
      </c>
      <c r="K29" s="106"/>
      <c r="L29" s="125"/>
      <c r="R29" s="114">
        <v>6001213</v>
      </c>
      <c r="S29" s="114">
        <v>680000</v>
      </c>
      <c r="T29" s="61">
        <v>975000</v>
      </c>
      <c r="U29" s="136">
        <f t="shared" si="31"/>
        <v>1.25</v>
      </c>
      <c r="V29" s="137">
        <f t="shared" si="32"/>
        <v>125000</v>
      </c>
      <c r="Z29" s="114">
        <v>6001213</v>
      </c>
      <c r="AA29">
        <v>580000</v>
      </c>
      <c r="AB29">
        <v>789000</v>
      </c>
      <c r="AC29">
        <v>790000</v>
      </c>
      <c r="AE29" t="e">
        <f>#REF!*#REF!+#REF!</f>
        <v>#REF!</v>
      </c>
      <c r="AF29" t="e">
        <f>#REF!*#REF!+#REF!</f>
        <v>#REF!</v>
      </c>
      <c r="AJ29">
        <v>27000</v>
      </c>
      <c r="AK29">
        <v>1350</v>
      </c>
      <c r="AL29">
        <v>0.05</v>
      </c>
      <c r="AM29">
        <v>0</v>
      </c>
      <c r="AO29" s="114">
        <v>2360000</v>
      </c>
      <c r="AP29">
        <f t="shared" si="5"/>
        <v>2916000.0000000009</v>
      </c>
      <c r="AQ29" s="134">
        <f t="shared" si="6"/>
        <v>3.0999999999999979</v>
      </c>
      <c r="AR29">
        <f t="shared" si="7"/>
        <v>-4399999.9999999944</v>
      </c>
    </row>
    <row r="30" spans="1:44" x14ac:dyDescent="0.15">
      <c r="A30" s="114">
        <f t="shared" si="40"/>
        <v>6001222</v>
      </c>
      <c r="B30" s="115">
        <v>0</v>
      </c>
      <c r="C30" s="168">
        <v>0</v>
      </c>
      <c r="D30" s="136">
        <f t="shared" ref="D30:D31" si="41">(C31-C30)/(B31-B30)</f>
        <v>2.5</v>
      </c>
      <c r="E30" s="137">
        <f>C30-D54*B30</f>
        <v>0</v>
      </c>
      <c r="H30" s="106"/>
      <c r="I30" s="106">
        <v>2100000</v>
      </c>
      <c r="J30" s="106">
        <v>1250000</v>
      </c>
      <c r="K30" s="106"/>
      <c r="L30" s="125"/>
      <c r="R30" s="114">
        <v>6001213</v>
      </c>
      <c r="S30" s="114">
        <v>700000</v>
      </c>
      <c r="T30" s="61">
        <v>1000000</v>
      </c>
      <c r="U30" s="136">
        <f t="shared" si="31"/>
        <v>1</v>
      </c>
      <c r="V30" s="137">
        <f t="shared" si="32"/>
        <v>300000</v>
      </c>
      <c r="Z30" s="114">
        <v>6001213</v>
      </c>
      <c r="AA30">
        <v>600000</v>
      </c>
      <c r="AB30">
        <v>830000</v>
      </c>
      <c r="AC30">
        <v>830000</v>
      </c>
      <c r="AE30" t="e">
        <f>#REF!*#REF!+#REF!</f>
        <v>#REF!</v>
      </c>
      <c r="AF30" t="e">
        <f>#REF!*#REF!+#REF!</f>
        <v>#REF!</v>
      </c>
      <c r="AJ30">
        <v>28000</v>
      </c>
      <c r="AK30">
        <v>1400</v>
      </c>
      <c r="AL30">
        <v>0.05</v>
      </c>
      <c r="AM30">
        <v>0</v>
      </c>
      <c r="AO30" s="114">
        <v>2370000</v>
      </c>
      <c r="AP30">
        <f t="shared" si="5"/>
        <v>2947000.0000000009</v>
      </c>
      <c r="AQ30" s="134">
        <f t="shared" si="6"/>
        <v>3.0999999999999979</v>
      </c>
      <c r="AR30">
        <f t="shared" si="7"/>
        <v>-4399999.9999999944</v>
      </c>
    </row>
    <row r="31" spans="1:44" x14ac:dyDescent="0.15">
      <c r="A31" s="114">
        <f t="shared" si="40"/>
        <v>6001222</v>
      </c>
      <c r="B31" s="115">
        <f>385000*0.75</f>
        <v>288750</v>
      </c>
      <c r="C31" s="168">
        <f>B31*SQRT(D52)*2.5</f>
        <v>721875</v>
      </c>
      <c r="D31" s="136">
        <f t="shared" si="41"/>
        <v>2.6250000000000022</v>
      </c>
      <c r="E31" s="137">
        <f>C31-D55*B31</f>
        <v>135712.5</v>
      </c>
      <c r="I31">
        <v>2300000</v>
      </c>
      <c r="J31">
        <v>2750000</v>
      </c>
      <c r="R31" s="114">
        <v>6001213</v>
      </c>
      <c r="S31" s="114">
        <v>720000</v>
      </c>
      <c r="T31" s="61">
        <v>1020000</v>
      </c>
      <c r="U31" s="136">
        <f t="shared" si="31"/>
        <v>0.5</v>
      </c>
      <c r="V31" s="137">
        <f t="shared" si="32"/>
        <v>660000</v>
      </c>
      <c r="Z31" s="114">
        <v>6001213</v>
      </c>
      <c r="AA31">
        <v>620000</v>
      </c>
      <c r="AB31">
        <v>871000</v>
      </c>
      <c r="AC31">
        <v>870000</v>
      </c>
      <c r="AE31" t="e">
        <f>#REF!*#REF!+#REF!</f>
        <v>#REF!</v>
      </c>
      <c r="AF31" t="e">
        <f>#REF!*#REF!+#REF!</f>
        <v>#REF!</v>
      </c>
      <c r="AJ31">
        <v>29000</v>
      </c>
      <c r="AK31">
        <v>1450</v>
      </c>
      <c r="AL31">
        <v>0.05</v>
      </c>
      <c r="AM31">
        <v>0</v>
      </c>
      <c r="AO31" s="114">
        <v>2380000</v>
      </c>
      <c r="AP31">
        <f t="shared" si="5"/>
        <v>2978000.0000000009</v>
      </c>
      <c r="AQ31" s="134">
        <f t="shared" si="6"/>
        <v>3.0999999999999979</v>
      </c>
      <c r="AR31">
        <f t="shared" si="7"/>
        <v>-4399999.9999999944</v>
      </c>
    </row>
    <row r="32" spans="1:44" x14ac:dyDescent="0.15">
      <c r="A32" s="114">
        <f t="shared" si="40"/>
        <v>6001222</v>
      </c>
      <c r="B32" s="115">
        <f>B31*1.2</f>
        <v>346500</v>
      </c>
      <c r="C32" s="168">
        <f>C31*SQRT(D53)^2</f>
        <v>873468.75000000012</v>
      </c>
      <c r="D32" s="136">
        <f>(C33-C32)/(B33-B32)</f>
        <v>2.5833333333333321</v>
      </c>
      <c r="E32" s="137">
        <f>C32-D56*B32</f>
        <v>-3176.2499999997672</v>
      </c>
      <c r="I32">
        <v>2600000</v>
      </c>
      <c r="J32">
        <v>3125000</v>
      </c>
      <c r="R32" s="114">
        <v>6001213</v>
      </c>
      <c r="S32" s="114">
        <v>740000</v>
      </c>
      <c r="T32" s="61">
        <v>1030000</v>
      </c>
      <c r="U32" s="136">
        <f t="shared" si="31"/>
        <v>1</v>
      </c>
      <c r="V32" s="137">
        <f t="shared" si="32"/>
        <v>290000</v>
      </c>
      <c r="Z32" s="114">
        <v>6001213</v>
      </c>
      <c r="AA32">
        <v>640000</v>
      </c>
      <c r="AB32">
        <v>912000</v>
      </c>
      <c r="AC32">
        <v>910000</v>
      </c>
      <c r="AE32" t="e">
        <f>#REF!*#REF!+#REF!</f>
        <v>#REF!</v>
      </c>
      <c r="AF32" t="e">
        <f>#REF!*#REF!+#REF!</f>
        <v>#REF!</v>
      </c>
      <c r="AJ32">
        <v>30000</v>
      </c>
      <c r="AK32">
        <v>1500</v>
      </c>
      <c r="AL32">
        <v>0.05</v>
      </c>
      <c r="AM32">
        <v>0</v>
      </c>
      <c r="AO32" s="114">
        <v>2390000</v>
      </c>
      <c r="AP32">
        <f t="shared" si="5"/>
        <v>3009000.0000000009</v>
      </c>
      <c r="AQ32" s="134">
        <f t="shared" si="6"/>
        <v>3.0999999999999979</v>
      </c>
      <c r="AR32">
        <f t="shared" si="7"/>
        <v>-4399999.9999999944</v>
      </c>
    </row>
    <row r="33" spans="1:44" x14ac:dyDescent="0.15">
      <c r="A33" s="114">
        <f t="shared" si="40"/>
        <v>6001222</v>
      </c>
      <c r="B33" s="115">
        <f>B31*1.5</f>
        <v>433125</v>
      </c>
      <c r="C33" s="168">
        <f>C31*SQRT(D54)^2</f>
        <v>1097250</v>
      </c>
      <c r="D33" s="133">
        <v>0.01</v>
      </c>
      <c r="E33" s="138">
        <f>C33-D33*B33</f>
        <v>1092918.75</v>
      </c>
      <c r="I33">
        <v>3200000</v>
      </c>
      <c r="J33">
        <v>3750000</v>
      </c>
      <c r="R33" s="114">
        <v>6001213</v>
      </c>
      <c r="S33" s="114">
        <v>760000</v>
      </c>
      <c r="T33" s="61">
        <v>1050000</v>
      </c>
      <c r="U33" s="136">
        <f t="shared" si="31"/>
        <v>1</v>
      </c>
      <c r="V33" s="137">
        <f t="shared" si="32"/>
        <v>290000</v>
      </c>
      <c r="Z33" s="114">
        <v>6001213</v>
      </c>
      <c r="AA33">
        <v>660000</v>
      </c>
      <c r="AB33">
        <v>953000</v>
      </c>
      <c r="AC33">
        <v>950000</v>
      </c>
      <c r="AE33" t="e">
        <f>#REF!*#REF!+#REF!</f>
        <v>#REF!</v>
      </c>
      <c r="AF33" t="e">
        <f>#REF!*#REF!+#REF!</f>
        <v>#REF!</v>
      </c>
      <c r="AJ33">
        <v>31000</v>
      </c>
      <c r="AK33">
        <v>1550</v>
      </c>
      <c r="AL33">
        <v>0.05</v>
      </c>
      <c r="AM33">
        <v>0</v>
      </c>
      <c r="AO33" s="114">
        <v>2400000</v>
      </c>
      <c r="AP33">
        <f t="shared" si="5"/>
        <v>3040000</v>
      </c>
      <c r="AQ33" s="134">
        <f t="shared" si="6"/>
        <v>2.5499999999999989</v>
      </c>
      <c r="AR33">
        <f t="shared" si="7"/>
        <v>-3079999.9999999972</v>
      </c>
    </row>
    <row r="34" spans="1:44" x14ac:dyDescent="0.15">
      <c r="A34" s="114">
        <f t="shared" si="40"/>
        <v>6001223</v>
      </c>
      <c r="B34" s="114">
        <v>0</v>
      </c>
      <c r="C34" s="168">
        <v>0</v>
      </c>
      <c r="D34" s="136">
        <f t="shared" ref="D34:D35" si="42">(C35-C34)/(B35-B34)</f>
        <v>1</v>
      </c>
      <c r="E34" s="137">
        <f t="shared" ref="E34:E35" si="43">C34-D34*B34</f>
        <v>0</v>
      </c>
      <c r="I34">
        <v>3600000</v>
      </c>
      <c r="J34">
        <v>4375000</v>
      </c>
      <c r="R34" s="114">
        <v>6001213</v>
      </c>
      <c r="S34" s="114">
        <v>780000</v>
      </c>
      <c r="T34" s="61">
        <v>1070000</v>
      </c>
      <c r="U34" s="136">
        <f t="shared" si="31"/>
        <v>1</v>
      </c>
      <c r="V34" s="137">
        <f t="shared" si="32"/>
        <v>290000</v>
      </c>
      <c r="Z34" s="114">
        <v>6001213</v>
      </c>
      <c r="AA34">
        <v>680000</v>
      </c>
      <c r="AB34">
        <v>974000</v>
      </c>
      <c r="AC34">
        <v>975000</v>
      </c>
      <c r="AE34" t="e">
        <f>#REF!*#REF!+#REF!</f>
        <v>#REF!</v>
      </c>
      <c r="AF34" t="e">
        <f>#REF!*#REF!+#REF!</f>
        <v>#REF!</v>
      </c>
      <c r="AJ34">
        <v>32000</v>
      </c>
      <c r="AK34">
        <v>1600</v>
      </c>
      <c r="AL34">
        <v>0.05</v>
      </c>
      <c r="AM34">
        <v>0</v>
      </c>
      <c r="AO34" s="114">
        <v>2410000</v>
      </c>
      <c r="AP34">
        <f t="shared" si="5"/>
        <v>3065500</v>
      </c>
      <c r="AQ34" s="134">
        <f t="shared" si="6"/>
        <v>2.5499999999999989</v>
      </c>
      <c r="AR34">
        <f t="shared" si="7"/>
        <v>-3079999.9999999972</v>
      </c>
    </row>
    <row r="35" spans="1:44" x14ac:dyDescent="0.15">
      <c r="A35" s="114">
        <f t="shared" si="40"/>
        <v>6001223</v>
      </c>
      <c r="B35" s="114">
        <f>830300*0.75</f>
        <v>622725</v>
      </c>
      <c r="C35" s="168">
        <f>B35*SQRT(D52)*1</f>
        <v>622725</v>
      </c>
      <c r="D35" s="136">
        <f t="shared" si="42"/>
        <v>1.0500000000000009</v>
      </c>
      <c r="E35" s="137">
        <f t="shared" si="43"/>
        <v>-31136.250000000582</v>
      </c>
      <c r="R35" s="114">
        <v>6001213</v>
      </c>
      <c r="S35" s="114">
        <v>800000</v>
      </c>
      <c r="T35" s="61">
        <v>1090000</v>
      </c>
      <c r="U35" s="136">
        <f t="shared" si="31"/>
        <v>0.5</v>
      </c>
      <c r="V35" s="137">
        <f t="shared" si="32"/>
        <v>690000</v>
      </c>
      <c r="Z35" s="114">
        <v>6001213</v>
      </c>
      <c r="AA35">
        <v>700000</v>
      </c>
      <c r="AB35">
        <v>995000</v>
      </c>
      <c r="AC35">
        <v>1000000</v>
      </c>
      <c r="AE35" t="e">
        <f>#REF!*#REF!+#REF!</f>
        <v>#REF!</v>
      </c>
      <c r="AF35" t="e">
        <f>#REF!*#REF!+#REF!</f>
        <v>#REF!</v>
      </c>
      <c r="AJ35">
        <v>33000</v>
      </c>
      <c r="AK35">
        <v>1650</v>
      </c>
      <c r="AL35">
        <v>0.05</v>
      </c>
      <c r="AM35">
        <v>0</v>
      </c>
      <c r="AO35" s="114">
        <v>2420000</v>
      </c>
      <c r="AP35">
        <f t="shared" si="5"/>
        <v>3091000</v>
      </c>
      <c r="AQ35" s="134">
        <f t="shared" si="6"/>
        <v>2.5499999999999989</v>
      </c>
      <c r="AR35">
        <f t="shared" si="7"/>
        <v>-3079999.9999999972</v>
      </c>
    </row>
    <row r="36" spans="1:44" x14ac:dyDescent="0.15">
      <c r="A36" s="114">
        <f t="shared" si="40"/>
        <v>6001223</v>
      </c>
      <c r="B36" s="114">
        <f>B35*1.2</f>
        <v>747270</v>
      </c>
      <c r="C36" s="168">
        <f>C35*SQRT(D53)^2</f>
        <v>753497.25000000012</v>
      </c>
      <c r="D36" s="136">
        <f>(C37-C36)/(B37-B36)</f>
        <v>1.0333333333333328</v>
      </c>
      <c r="E36" s="137">
        <f>C36-D36*B36</f>
        <v>-18681.749999999418</v>
      </c>
      <c r="R36" s="114">
        <v>6001213</v>
      </c>
      <c r="S36" s="114">
        <v>820000</v>
      </c>
      <c r="T36" s="61">
        <v>1100000</v>
      </c>
      <c r="U36" s="136">
        <f t="shared" si="31"/>
        <v>0.5</v>
      </c>
      <c r="V36" s="137">
        <f t="shared" si="32"/>
        <v>690000</v>
      </c>
      <c r="Z36" s="114">
        <v>6001213</v>
      </c>
      <c r="AA36">
        <v>720000</v>
      </c>
      <c r="AB36">
        <v>1016000</v>
      </c>
      <c r="AC36">
        <v>1010000</v>
      </c>
      <c r="AE36" t="e">
        <f>#REF!*#REF!+#REF!</f>
        <v>#REF!</v>
      </c>
      <c r="AF36" t="e">
        <f>#REF!*#REF!+#REF!</f>
        <v>#REF!</v>
      </c>
      <c r="AJ36">
        <v>34000</v>
      </c>
      <c r="AK36">
        <v>1700</v>
      </c>
      <c r="AL36">
        <v>0.05</v>
      </c>
      <c r="AM36">
        <v>0</v>
      </c>
      <c r="AO36" s="114">
        <v>2430000</v>
      </c>
      <c r="AP36">
        <f t="shared" si="5"/>
        <v>3116500</v>
      </c>
      <c r="AQ36" s="134">
        <f t="shared" si="6"/>
        <v>2.5499999999999989</v>
      </c>
      <c r="AR36">
        <f t="shared" si="7"/>
        <v>-3079999.9999999972</v>
      </c>
    </row>
    <row r="37" spans="1:44" x14ac:dyDescent="0.15">
      <c r="A37" s="114">
        <f t="shared" si="40"/>
        <v>6001223</v>
      </c>
      <c r="B37" s="114">
        <f>B35*1.5</f>
        <v>934087.5</v>
      </c>
      <c r="C37" s="168">
        <f>C35*SQRT(D54)^2</f>
        <v>946542</v>
      </c>
      <c r="D37" s="136">
        <f>(C38-C37)/(B38-B37)</f>
        <v>1.0199999999999994</v>
      </c>
      <c r="E37" s="137">
        <f t="shared" ref="E37:E38" si="44">C37-D37*B37</f>
        <v>-6227.2499999994179</v>
      </c>
      <c r="R37" s="114">
        <v>6001213</v>
      </c>
      <c r="S37" s="114">
        <v>840000</v>
      </c>
      <c r="T37" s="61">
        <v>1110000</v>
      </c>
      <c r="U37" s="136">
        <f t="shared" si="31"/>
        <v>0.5</v>
      </c>
      <c r="V37" s="137">
        <f t="shared" si="32"/>
        <v>690000</v>
      </c>
      <c r="Z37" s="114">
        <v>6001213</v>
      </c>
      <c r="AA37">
        <v>740000</v>
      </c>
      <c r="AB37">
        <v>1037000</v>
      </c>
      <c r="AC37">
        <v>1030000</v>
      </c>
      <c r="AE37" t="e">
        <f>#REF!*#REF!+#REF!</f>
        <v>#REF!</v>
      </c>
      <c r="AF37" t="e">
        <f>#REF!*B11+#REF!</f>
        <v>#REF!</v>
      </c>
      <c r="AJ37">
        <v>35000</v>
      </c>
      <c r="AK37">
        <v>1750</v>
      </c>
      <c r="AL37">
        <v>0.05</v>
      </c>
      <c r="AM37">
        <v>0</v>
      </c>
      <c r="AO37" s="114">
        <v>2440000</v>
      </c>
      <c r="AP37">
        <f t="shared" si="5"/>
        <v>3142000</v>
      </c>
      <c r="AQ37" s="134">
        <f t="shared" si="6"/>
        <v>2.5499999999999989</v>
      </c>
      <c r="AR37">
        <f t="shared" si="7"/>
        <v>-3079999.9999999972</v>
      </c>
    </row>
    <row r="38" spans="1:44" x14ac:dyDescent="0.15">
      <c r="A38" s="114">
        <f t="shared" si="40"/>
        <v>6001223</v>
      </c>
      <c r="B38" s="114">
        <f>B35*2</f>
        <v>1245450</v>
      </c>
      <c r="C38" s="168">
        <f>C35*SQRT(D55)^2</f>
        <v>1264131.7499999998</v>
      </c>
      <c r="D38" s="136">
        <f>(C39-C38)/(B39-B38)</f>
        <v>1</v>
      </c>
      <c r="E38" s="137">
        <f t="shared" si="44"/>
        <v>18681.749999999767</v>
      </c>
      <c r="R38" s="114">
        <v>6001213</v>
      </c>
      <c r="S38" s="114">
        <v>860000</v>
      </c>
      <c r="T38" s="61">
        <v>1120000</v>
      </c>
      <c r="U38" s="136">
        <f t="shared" si="31"/>
        <v>0.5</v>
      </c>
      <c r="V38" s="137">
        <f t="shared" si="32"/>
        <v>690000</v>
      </c>
      <c r="Z38" s="114">
        <v>6001213</v>
      </c>
      <c r="AA38">
        <v>760000</v>
      </c>
      <c r="AB38">
        <v>1058000</v>
      </c>
      <c r="AC38">
        <v>1050000</v>
      </c>
      <c r="AE38">
        <f>D11*B11+E11</f>
        <v>830300</v>
      </c>
      <c r="AF38">
        <f>D11*B12+E11</f>
        <v>1004663.0000000001</v>
      </c>
      <c r="AJ38">
        <v>36000</v>
      </c>
      <c r="AK38">
        <v>1800</v>
      </c>
      <c r="AL38">
        <v>0.05</v>
      </c>
      <c r="AM38">
        <v>0</v>
      </c>
      <c r="AO38" s="114">
        <v>2450000</v>
      </c>
      <c r="AP38">
        <f t="shared" si="5"/>
        <v>3167500</v>
      </c>
      <c r="AQ38" s="134">
        <f t="shared" si="6"/>
        <v>2.5499999999999989</v>
      </c>
      <c r="AR38">
        <f t="shared" si="7"/>
        <v>-3079999.9999999972</v>
      </c>
    </row>
    <row r="39" spans="1:44" x14ac:dyDescent="0.15">
      <c r="A39" s="114">
        <f t="shared" si="40"/>
        <v>6001223</v>
      </c>
      <c r="B39" s="114">
        <f>B35*2.5</f>
        <v>1556812.5</v>
      </c>
      <c r="C39" s="168">
        <f>C35*SQRT(D56)^2</f>
        <v>1575494.2499999998</v>
      </c>
      <c r="D39" s="133">
        <v>0.01</v>
      </c>
      <c r="E39" s="138">
        <f>C39-D39*B39</f>
        <v>1559926.1249999998</v>
      </c>
      <c r="R39" s="114">
        <v>6001213</v>
      </c>
      <c r="S39" s="114">
        <v>880000</v>
      </c>
      <c r="T39" s="61">
        <v>1130000</v>
      </c>
      <c r="U39" s="136">
        <f>(T40-T39)/(S40-S39)</f>
        <v>0.5</v>
      </c>
      <c r="V39" s="137">
        <f>T39-U39*S39</f>
        <v>690000</v>
      </c>
      <c r="Z39" s="114">
        <v>6001213</v>
      </c>
      <c r="AA39">
        <v>780000</v>
      </c>
      <c r="AB39">
        <v>1079000</v>
      </c>
      <c r="AC39">
        <v>1070000</v>
      </c>
      <c r="AE39">
        <f>D12*B12+E12</f>
        <v>1004663.0000000001</v>
      </c>
      <c r="AF39">
        <f>D12*B15+E12</f>
        <v>2120032.666666666</v>
      </c>
      <c r="AJ39">
        <v>37000</v>
      </c>
      <c r="AK39">
        <v>1850</v>
      </c>
      <c r="AL39">
        <v>0.05</v>
      </c>
      <c r="AM39">
        <v>0</v>
      </c>
      <c r="AO39" s="114">
        <v>2460000</v>
      </c>
      <c r="AP39">
        <f t="shared" si="5"/>
        <v>3193000</v>
      </c>
      <c r="AQ39" s="134">
        <f t="shared" si="6"/>
        <v>2.5499999999999989</v>
      </c>
      <c r="AR39">
        <f t="shared" si="7"/>
        <v>-3079999.9999999972</v>
      </c>
    </row>
    <row r="40" spans="1:44" x14ac:dyDescent="0.15">
      <c r="A40" s="114">
        <f t="shared" si="40"/>
        <v>6001224</v>
      </c>
      <c r="B40" s="115">
        <v>0</v>
      </c>
      <c r="C40" s="168">
        <v>0</v>
      </c>
      <c r="D40" s="136">
        <f t="shared" ref="D40:D41" si="45">(C41-C40)/(B41-B40)</f>
        <v>1</v>
      </c>
      <c r="E40" s="137">
        <f t="shared" ref="E40:E41" si="46">C40-D40*B40</f>
        <v>0</v>
      </c>
      <c r="R40" s="114">
        <v>6001213</v>
      </c>
      <c r="S40" s="114">
        <v>900000</v>
      </c>
      <c r="T40" s="61">
        <v>1140000</v>
      </c>
      <c r="U40" s="133">
        <v>0.05</v>
      </c>
      <c r="V40" s="138">
        <f>T40-U40*S40</f>
        <v>1095000</v>
      </c>
      <c r="Z40" s="114">
        <v>6001213</v>
      </c>
      <c r="AA40">
        <v>800000</v>
      </c>
      <c r="AB40">
        <v>1090000</v>
      </c>
      <c r="AC40">
        <v>1090000</v>
      </c>
      <c r="AE40">
        <f>D15*B15+E15</f>
        <v>2100659</v>
      </c>
      <c r="AF40" t="s">
        <v>295</v>
      </c>
      <c r="AJ40">
        <v>38000</v>
      </c>
      <c r="AK40">
        <v>1900</v>
      </c>
      <c r="AL40">
        <v>0.05</v>
      </c>
      <c r="AM40">
        <v>0</v>
      </c>
      <c r="AO40" s="114">
        <v>2470000</v>
      </c>
      <c r="AP40">
        <f t="shared" si="5"/>
        <v>3218500</v>
      </c>
      <c r="AQ40" s="134">
        <f t="shared" si="6"/>
        <v>2.5499999999999989</v>
      </c>
      <c r="AR40">
        <f t="shared" si="7"/>
        <v>-3079999.9999999972</v>
      </c>
    </row>
    <row r="41" spans="1:44" x14ac:dyDescent="0.15">
      <c r="A41" s="114">
        <f t="shared" si="40"/>
        <v>6001224</v>
      </c>
      <c r="B41" s="115">
        <f>765000*0.75</f>
        <v>573750</v>
      </c>
      <c r="C41" s="168">
        <f>B41*SQRT(D52)*1</f>
        <v>573750</v>
      </c>
      <c r="D41" s="136">
        <f t="shared" si="45"/>
        <v>1.0500000000000009</v>
      </c>
      <c r="E41" s="137">
        <f t="shared" si="46"/>
        <v>-28687.500000000582</v>
      </c>
      <c r="R41" s="115">
        <v>6001214</v>
      </c>
      <c r="S41" s="115">
        <v>0</v>
      </c>
      <c r="T41" s="61">
        <v>0</v>
      </c>
      <c r="U41" s="136">
        <f t="shared" ref="U41:U56" si="47">(T42-T41)/(S42-S41)</f>
        <v>1.3611111111111112</v>
      </c>
      <c r="V41" s="137">
        <f t="shared" ref="V41:V56" si="48">T41-U41*S41</f>
        <v>0</v>
      </c>
      <c r="Z41" s="114">
        <v>6001213</v>
      </c>
      <c r="AA41">
        <v>820000</v>
      </c>
      <c r="AB41">
        <v>1101000</v>
      </c>
      <c r="AC41">
        <v>1100000</v>
      </c>
      <c r="AE41">
        <f>D16*B16+E16</f>
        <v>0</v>
      </c>
      <c r="AF41" t="e">
        <f>D16*#REF!+E16</f>
        <v>#REF!</v>
      </c>
      <c r="AJ41">
        <v>39000</v>
      </c>
      <c r="AK41">
        <v>1950</v>
      </c>
      <c r="AL41">
        <v>0.05</v>
      </c>
      <c r="AM41">
        <v>0</v>
      </c>
      <c r="AO41" s="114">
        <v>2480000</v>
      </c>
      <c r="AP41">
        <f t="shared" si="5"/>
        <v>3244000</v>
      </c>
      <c r="AQ41" s="134">
        <f t="shared" si="6"/>
        <v>2.5499999999999989</v>
      </c>
      <c r="AR41">
        <f t="shared" si="7"/>
        <v>-3079999.9999999972</v>
      </c>
    </row>
    <row r="42" spans="1:44" x14ac:dyDescent="0.15">
      <c r="A42" s="114">
        <f t="shared" si="40"/>
        <v>6001224</v>
      </c>
      <c r="B42" s="115">
        <f>B41*1.2</f>
        <v>688500</v>
      </c>
      <c r="C42" s="168">
        <f>C41*SQRT(D53)^2</f>
        <v>694237.50000000012</v>
      </c>
      <c r="D42" s="136">
        <f>(C43-C42)/(B43-B42)</f>
        <v>1.0333333333333325</v>
      </c>
      <c r="E42" s="137">
        <f>C42-D42*B42</f>
        <v>-17212.499999999302</v>
      </c>
      <c r="R42" s="115">
        <v>6001214</v>
      </c>
      <c r="S42" s="115">
        <v>360000</v>
      </c>
      <c r="T42" s="61">
        <v>490000</v>
      </c>
      <c r="U42" s="136">
        <f t="shared" si="47"/>
        <v>1.5</v>
      </c>
      <c r="V42" s="137">
        <f t="shared" si="48"/>
        <v>-50000</v>
      </c>
      <c r="Z42" s="114">
        <v>6001213</v>
      </c>
      <c r="AA42">
        <v>840000</v>
      </c>
      <c r="AB42">
        <v>1112000</v>
      </c>
      <c r="AC42">
        <v>1110000</v>
      </c>
      <c r="AE42" t="e">
        <f>#REF!*#REF!+#REF!</f>
        <v>#REF!</v>
      </c>
      <c r="AF42" t="e">
        <f>#REF!*#REF!+#REF!</f>
        <v>#REF!</v>
      </c>
      <c r="AJ42">
        <v>40000</v>
      </c>
      <c r="AK42">
        <v>2000</v>
      </c>
      <c r="AL42">
        <v>0.05</v>
      </c>
      <c r="AM42">
        <v>0</v>
      </c>
      <c r="AO42" s="114">
        <v>2490000</v>
      </c>
      <c r="AP42">
        <f t="shared" si="5"/>
        <v>3269500</v>
      </c>
      <c r="AQ42" s="134">
        <f t="shared" si="6"/>
        <v>2.5499999999999989</v>
      </c>
      <c r="AR42">
        <f t="shared" si="7"/>
        <v>-3079999.9999999972</v>
      </c>
    </row>
    <row r="43" spans="1:44" x14ac:dyDescent="0.15">
      <c r="A43" s="114">
        <f t="shared" si="40"/>
        <v>6001224</v>
      </c>
      <c r="B43" s="115">
        <f>B41*1.5</f>
        <v>860625</v>
      </c>
      <c r="C43" s="168">
        <f>C41*SQRT(D54)^2</f>
        <v>872100</v>
      </c>
      <c r="D43" s="133">
        <v>0.01</v>
      </c>
      <c r="E43" s="138">
        <f>C43-D43*B43</f>
        <v>863493.75</v>
      </c>
      <c r="R43" s="115">
        <v>6001214</v>
      </c>
      <c r="S43" s="115">
        <v>380000</v>
      </c>
      <c r="T43" s="61">
        <v>520000</v>
      </c>
      <c r="U43" s="136">
        <f t="shared" si="47"/>
        <v>1</v>
      </c>
      <c r="V43" s="137">
        <f t="shared" si="48"/>
        <v>140000</v>
      </c>
      <c r="Z43" s="114">
        <v>6001213</v>
      </c>
      <c r="AA43">
        <v>860000</v>
      </c>
      <c r="AB43">
        <v>1123000</v>
      </c>
      <c r="AC43">
        <v>1120000</v>
      </c>
      <c r="AE43" t="e">
        <f>#REF!*#REF!+#REF!</f>
        <v>#REF!</v>
      </c>
      <c r="AF43" t="e">
        <f>#REF!*#REF!+#REF!</f>
        <v>#REF!</v>
      </c>
      <c r="AJ43">
        <v>41000</v>
      </c>
      <c r="AK43">
        <v>2050</v>
      </c>
      <c r="AL43">
        <v>0.05</v>
      </c>
      <c r="AM43">
        <v>0</v>
      </c>
      <c r="AO43" s="114">
        <v>2500000</v>
      </c>
      <c r="AP43">
        <f t="shared" si="5"/>
        <v>3295000</v>
      </c>
      <c r="AQ43" s="134">
        <f t="shared" si="6"/>
        <v>2.5499999999999989</v>
      </c>
      <c r="AR43">
        <f t="shared" si="7"/>
        <v>-3079999.9999999972</v>
      </c>
    </row>
    <row r="44" spans="1:44" x14ac:dyDescent="0.15">
      <c r="A44" s="114">
        <f t="shared" si="40"/>
        <v>6001225</v>
      </c>
      <c r="B44" s="114">
        <v>0</v>
      </c>
      <c r="C44" s="168">
        <v>0</v>
      </c>
      <c r="D44" s="136">
        <f>(C45-C44)/(B45-B44)</f>
        <v>1</v>
      </c>
      <c r="E44" s="137">
        <f t="shared" ref="E44" si="49">C44-D44*B44</f>
        <v>0</v>
      </c>
      <c r="R44" s="115">
        <v>6001214</v>
      </c>
      <c r="S44" s="115">
        <v>400000</v>
      </c>
      <c r="T44" s="61">
        <v>540000</v>
      </c>
      <c r="U44" s="136">
        <f t="shared" si="47"/>
        <v>1.5</v>
      </c>
      <c r="V44" s="137">
        <f t="shared" si="48"/>
        <v>-60000</v>
      </c>
      <c r="Z44" s="114">
        <v>6001213</v>
      </c>
      <c r="AA44">
        <v>880000</v>
      </c>
      <c r="AB44">
        <v>1134000</v>
      </c>
      <c r="AC44">
        <v>1130000</v>
      </c>
      <c r="AE44" t="e">
        <f>#REF!*#REF!+#REF!</f>
        <v>#REF!</v>
      </c>
      <c r="AF44" t="e">
        <f>#REF!*#REF!+#REF!</f>
        <v>#REF!</v>
      </c>
      <c r="AJ44">
        <v>42000</v>
      </c>
      <c r="AK44">
        <v>2100</v>
      </c>
      <c r="AL44">
        <v>0.05</v>
      </c>
      <c r="AM44">
        <v>0</v>
      </c>
      <c r="AO44" s="114">
        <v>2510000</v>
      </c>
      <c r="AP44">
        <f t="shared" si="5"/>
        <v>3320500</v>
      </c>
      <c r="AQ44" s="134">
        <f t="shared" si="6"/>
        <v>2.5499999999999989</v>
      </c>
      <c r="AR44">
        <f t="shared" si="7"/>
        <v>-3079999.9999999972</v>
      </c>
    </row>
    <row r="45" spans="1:44" x14ac:dyDescent="0.15">
      <c r="A45" s="114">
        <f t="shared" si="40"/>
        <v>6001225</v>
      </c>
      <c r="B45" s="114">
        <f>2000000*0.75</f>
        <v>1500000</v>
      </c>
      <c r="C45" s="168">
        <f>B45*SQRT(D52)*1</f>
        <v>1500000</v>
      </c>
      <c r="D45" s="136">
        <f>(C46-C45)/(B46-B45)</f>
        <v>2.0999999999999983</v>
      </c>
      <c r="E45" s="137">
        <f>C45-D45*B45</f>
        <v>-1649999.9999999977</v>
      </c>
      <c r="R45" s="115">
        <v>6001214</v>
      </c>
      <c r="S45" s="115">
        <v>420000</v>
      </c>
      <c r="T45" s="61">
        <v>570000</v>
      </c>
      <c r="U45" s="136">
        <f t="shared" si="47"/>
        <v>1.5</v>
      </c>
      <c r="V45" s="137">
        <f t="shared" si="48"/>
        <v>-60000</v>
      </c>
      <c r="Z45" s="114">
        <v>6001213</v>
      </c>
      <c r="AA45">
        <v>900000</v>
      </c>
      <c r="AB45">
        <v>1145000</v>
      </c>
      <c r="AC45">
        <v>1140000</v>
      </c>
      <c r="AE45" t="e">
        <f>#REF!*#REF!+#REF!</f>
        <v>#REF!</v>
      </c>
      <c r="AF45" t="e">
        <f>#REF!*#REF!+#REF!</f>
        <v>#REF!</v>
      </c>
      <c r="AJ45">
        <v>43000</v>
      </c>
      <c r="AK45">
        <v>2150</v>
      </c>
      <c r="AL45">
        <v>0.05</v>
      </c>
      <c r="AM45">
        <v>0</v>
      </c>
      <c r="AO45" s="114">
        <v>2520000</v>
      </c>
      <c r="AP45">
        <f t="shared" si="5"/>
        <v>3346000</v>
      </c>
      <c r="AQ45" s="134">
        <f t="shared" si="6"/>
        <v>2.5499999999999989</v>
      </c>
      <c r="AR45">
        <f t="shared" si="7"/>
        <v>-3079999.9999999972</v>
      </c>
    </row>
    <row r="46" spans="1:44" x14ac:dyDescent="0.15">
      <c r="A46" s="114">
        <f t="shared" si="40"/>
        <v>6001225</v>
      </c>
      <c r="B46" s="114">
        <f>B45*1.1</f>
        <v>1650000.0000000002</v>
      </c>
      <c r="C46" s="168">
        <f>$C$45*SQRT(D53)^2</f>
        <v>1815000.0000000002</v>
      </c>
      <c r="D46" s="136">
        <f>(C47-C46)/(B47-B46)</f>
        <v>3.1000000000000032</v>
      </c>
      <c r="E46" s="137">
        <f t="shared" ref="E46:E47" si="50">C46-D46*B46</f>
        <v>-3300000.0000000056</v>
      </c>
      <c r="R46" s="115">
        <v>6001214</v>
      </c>
      <c r="S46" s="115">
        <v>440000</v>
      </c>
      <c r="T46" s="61">
        <v>600000</v>
      </c>
      <c r="U46" s="136">
        <f>(T47-T46)/(S47-S46)</f>
        <v>1.5</v>
      </c>
      <c r="V46" s="137">
        <f t="shared" si="48"/>
        <v>-60000</v>
      </c>
      <c r="Z46" s="115">
        <v>6001214</v>
      </c>
      <c r="AA46">
        <v>0</v>
      </c>
      <c r="AB46">
        <v>0</v>
      </c>
      <c r="AC46">
        <v>0</v>
      </c>
      <c r="AE46" t="e">
        <f>#REF!*#REF!+#REF!</f>
        <v>#REF!</v>
      </c>
      <c r="AF46" t="e">
        <f>#REF!*#REF!+#REF!</f>
        <v>#REF!</v>
      </c>
      <c r="AJ46">
        <v>44000</v>
      </c>
      <c r="AK46">
        <v>2200</v>
      </c>
      <c r="AL46">
        <v>0.05</v>
      </c>
      <c r="AM46">
        <v>0</v>
      </c>
      <c r="AO46" s="114">
        <v>2530000</v>
      </c>
      <c r="AP46">
        <f t="shared" si="5"/>
        <v>3371500</v>
      </c>
      <c r="AQ46" s="134">
        <f t="shared" si="6"/>
        <v>2.5499999999999989</v>
      </c>
      <c r="AR46">
        <f t="shared" si="7"/>
        <v>-3079999.9999999972</v>
      </c>
    </row>
    <row r="47" spans="1:44" x14ac:dyDescent="0.15">
      <c r="A47" s="114">
        <f t="shared" si="40"/>
        <v>6001225</v>
      </c>
      <c r="B47" s="114">
        <f>B45*1.2</f>
        <v>1800000</v>
      </c>
      <c r="C47" s="168">
        <f>$C$45*SQRT(D54)^2</f>
        <v>2280000</v>
      </c>
      <c r="D47" s="136">
        <f>(C48-C47)/(B48-B47)</f>
        <v>2.5499999999999985</v>
      </c>
      <c r="E47" s="137">
        <f t="shared" si="50"/>
        <v>-2309999.9999999972</v>
      </c>
      <c r="R47" s="115">
        <v>6001214</v>
      </c>
      <c r="S47" s="115">
        <v>460000</v>
      </c>
      <c r="T47" s="61">
        <v>630000</v>
      </c>
      <c r="U47" s="136">
        <f t="shared" si="47"/>
        <v>1.5</v>
      </c>
      <c r="V47" s="137">
        <f t="shared" si="48"/>
        <v>-60000</v>
      </c>
      <c r="Z47" s="115">
        <v>6001214</v>
      </c>
      <c r="AA47">
        <v>360000</v>
      </c>
      <c r="AB47">
        <v>488000</v>
      </c>
      <c r="AC47">
        <v>490000</v>
      </c>
      <c r="AE47" t="e">
        <f>#REF!*#REF!+#REF!</f>
        <v>#REF!</v>
      </c>
      <c r="AF47" t="e">
        <f>#REF!*#REF!+#REF!</f>
        <v>#REF!</v>
      </c>
      <c r="AJ47">
        <v>45000</v>
      </c>
      <c r="AK47">
        <v>2250</v>
      </c>
      <c r="AL47">
        <v>0.05</v>
      </c>
      <c r="AM47">
        <v>0</v>
      </c>
      <c r="AO47" s="114">
        <v>2540000</v>
      </c>
      <c r="AP47">
        <f t="shared" si="5"/>
        <v>3397000</v>
      </c>
      <c r="AQ47" s="134">
        <f t="shared" ref="AQ47:AQ60" si="51">VLOOKUP(AO47,B$20:E$25,3,TRUE)</f>
        <v>2.5499999999999989</v>
      </c>
      <c r="AR47">
        <f t="shared" ref="AR47:AR60" si="52">VLOOKUP(AO47,B$20:E$25,4)</f>
        <v>-3079999.9999999972</v>
      </c>
    </row>
    <row r="48" spans="1:44" x14ac:dyDescent="0.15">
      <c r="A48" s="114">
        <f t="shared" si="40"/>
        <v>6001225</v>
      </c>
      <c r="B48" s="114">
        <f>B45*1.4</f>
        <v>2100000</v>
      </c>
      <c r="C48" s="168">
        <f>$C$45*SQRT(D55)^2</f>
        <v>3044999.9999999995</v>
      </c>
      <c r="D48" s="136">
        <f>(C49-C48)/(B49-B48)</f>
        <v>1.4285714285714286</v>
      </c>
      <c r="E48" s="137">
        <f>C48-D48*B48</f>
        <v>44999.999999999534</v>
      </c>
      <c r="R48" s="115">
        <v>6001214</v>
      </c>
      <c r="S48" s="115">
        <v>480000</v>
      </c>
      <c r="T48" s="61">
        <v>660000</v>
      </c>
      <c r="U48" s="136">
        <f t="shared" si="47"/>
        <v>1.5</v>
      </c>
      <c r="V48" s="137">
        <f t="shared" si="48"/>
        <v>-60000</v>
      </c>
      <c r="Z48" s="115">
        <v>6001214</v>
      </c>
      <c r="AA48">
        <v>380000</v>
      </c>
      <c r="AB48">
        <v>516000</v>
      </c>
      <c r="AC48">
        <v>520000</v>
      </c>
      <c r="AE48" t="e">
        <f>#REF!*#REF!+#REF!</f>
        <v>#REF!</v>
      </c>
      <c r="AF48" t="e">
        <f>#REF!*#REF!+#REF!</f>
        <v>#REF!</v>
      </c>
      <c r="AJ48">
        <v>46000</v>
      </c>
      <c r="AK48">
        <v>2300</v>
      </c>
      <c r="AL48">
        <v>0.05</v>
      </c>
      <c r="AM48">
        <v>0</v>
      </c>
      <c r="AO48" s="114">
        <v>2550000</v>
      </c>
      <c r="AP48">
        <f t="shared" si="5"/>
        <v>3422500</v>
      </c>
      <c r="AQ48" s="134">
        <f t="shared" si="51"/>
        <v>2.5499999999999989</v>
      </c>
      <c r="AR48">
        <f t="shared" si="52"/>
        <v>-3079999.9999999972</v>
      </c>
    </row>
    <row r="49" spans="1:44" x14ac:dyDescent="0.15">
      <c r="A49" s="114">
        <f t="shared" si="40"/>
        <v>6001225</v>
      </c>
      <c r="B49" s="114">
        <f>B45*1.75</f>
        <v>2625000</v>
      </c>
      <c r="C49" s="168">
        <f>$C$45*SQRT(D56)^2</f>
        <v>3794999.9999999995</v>
      </c>
      <c r="D49" s="133">
        <v>0.01</v>
      </c>
      <c r="E49" s="138">
        <f>C49-D49*B49</f>
        <v>3768749.9999999995</v>
      </c>
      <c r="R49" s="115">
        <v>6001214</v>
      </c>
      <c r="S49" s="115">
        <v>500000</v>
      </c>
      <c r="T49" s="61">
        <v>690000</v>
      </c>
      <c r="U49" s="136">
        <f t="shared" si="47"/>
        <v>1.5</v>
      </c>
      <c r="V49" s="137">
        <f t="shared" si="48"/>
        <v>-60000</v>
      </c>
      <c r="Z49" s="115">
        <v>6001214</v>
      </c>
      <c r="AA49">
        <v>400000</v>
      </c>
      <c r="AB49">
        <v>544000</v>
      </c>
      <c r="AC49">
        <v>540000</v>
      </c>
      <c r="AE49" t="e">
        <f>#REF!*#REF!+#REF!</f>
        <v>#REF!</v>
      </c>
      <c r="AF49" t="e">
        <f>#REF!*#REF!+#REF!</f>
        <v>#REF!</v>
      </c>
      <c r="AJ49">
        <v>47000</v>
      </c>
      <c r="AK49">
        <v>2350</v>
      </c>
      <c r="AL49">
        <v>0.05</v>
      </c>
      <c r="AM49">
        <v>0</v>
      </c>
      <c r="AO49" s="114">
        <v>2560000</v>
      </c>
      <c r="AP49">
        <f t="shared" si="5"/>
        <v>3448000</v>
      </c>
      <c r="AQ49" s="134">
        <f t="shared" si="51"/>
        <v>2.5499999999999989</v>
      </c>
      <c r="AR49">
        <f t="shared" si="52"/>
        <v>-3079999.9999999972</v>
      </c>
    </row>
    <row r="50" spans="1:44" x14ac:dyDescent="0.15">
      <c r="R50" s="115">
        <v>6001214</v>
      </c>
      <c r="S50" s="115">
        <v>520000</v>
      </c>
      <c r="T50" s="61">
        <v>720000</v>
      </c>
      <c r="U50" s="136">
        <f t="shared" si="47"/>
        <v>1.5833333333333333</v>
      </c>
      <c r="V50" s="137">
        <f t="shared" si="48"/>
        <v>-103333.33333333326</v>
      </c>
      <c r="Z50" s="115">
        <v>6001214</v>
      </c>
      <c r="AA50">
        <v>420000</v>
      </c>
      <c r="AB50">
        <v>572000</v>
      </c>
      <c r="AC50">
        <v>570000</v>
      </c>
      <c r="AE50" t="e">
        <f>#REF!*#REF!+#REF!</f>
        <v>#REF!</v>
      </c>
      <c r="AF50" t="e">
        <f>#REF!*#REF!+#REF!</f>
        <v>#REF!</v>
      </c>
      <c r="AJ50">
        <v>48000</v>
      </c>
      <c r="AK50">
        <v>2400</v>
      </c>
      <c r="AL50">
        <v>0.05</v>
      </c>
      <c r="AM50">
        <v>0</v>
      </c>
      <c r="AO50" s="114">
        <v>2570000</v>
      </c>
      <c r="AP50">
        <f t="shared" si="5"/>
        <v>3473500</v>
      </c>
      <c r="AQ50" s="134">
        <f t="shared" si="51"/>
        <v>2.5499999999999989</v>
      </c>
      <c r="AR50">
        <f t="shared" si="52"/>
        <v>-3079999.9999999972</v>
      </c>
    </row>
    <row r="51" spans="1:44" x14ac:dyDescent="0.15">
      <c r="D51" t="s">
        <v>303</v>
      </c>
      <c r="R51" s="114">
        <v>6001213</v>
      </c>
      <c r="S51" s="114">
        <v>640000</v>
      </c>
      <c r="T51" s="61">
        <v>910000</v>
      </c>
      <c r="U51" s="136">
        <f t="shared" si="47"/>
        <v>2</v>
      </c>
      <c r="V51" s="137">
        <f t="shared" si="48"/>
        <v>-370000</v>
      </c>
      <c r="Z51" s="114">
        <v>6001213</v>
      </c>
      <c r="AA51">
        <v>540000</v>
      </c>
      <c r="AB51">
        <v>707000</v>
      </c>
      <c r="AC51">
        <v>700000</v>
      </c>
      <c r="AE51" t="e">
        <f>#REF!*#REF!+#REF!</f>
        <v>#REF!</v>
      </c>
      <c r="AF51" t="e">
        <f>#REF!*#REF!+#REF!</f>
        <v>#REF!</v>
      </c>
      <c r="AJ51">
        <v>25000</v>
      </c>
      <c r="AK51">
        <v>1250</v>
      </c>
      <c r="AL51">
        <v>0.05</v>
      </c>
      <c r="AM51">
        <v>0</v>
      </c>
      <c r="AO51" s="114">
        <v>2340000</v>
      </c>
      <c r="AP51">
        <f t="shared" si="5"/>
        <v>2854000.0000000009</v>
      </c>
      <c r="AQ51" s="134">
        <f t="shared" si="51"/>
        <v>3.0999999999999979</v>
      </c>
      <c r="AR51">
        <f t="shared" si="52"/>
        <v>-4399999.9999999944</v>
      </c>
    </row>
    <row r="52" spans="1:44" x14ac:dyDescent="0.15">
      <c r="A52" s="131"/>
      <c r="B52" s="131"/>
      <c r="C52" s="170">
        <f>SUM(C29,C33,C39,C43,C49)</f>
        <v>7795844.25</v>
      </c>
      <c r="D52">
        <v>1</v>
      </c>
      <c r="R52" s="114">
        <v>6001213</v>
      </c>
      <c r="S52" s="114">
        <v>660000</v>
      </c>
      <c r="T52" s="61">
        <v>950000</v>
      </c>
      <c r="U52" s="136">
        <f t="shared" si="47"/>
        <v>1.25</v>
      </c>
      <c r="V52" s="137">
        <f t="shared" si="48"/>
        <v>125000</v>
      </c>
      <c r="Z52" s="114">
        <v>6001213</v>
      </c>
      <c r="AA52">
        <v>560000</v>
      </c>
      <c r="AB52">
        <v>748000</v>
      </c>
      <c r="AC52">
        <v>750000</v>
      </c>
      <c r="AE52" t="e">
        <f>#REF!*#REF!+#REF!</f>
        <v>#REF!</v>
      </c>
      <c r="AF52" t="e">
        <f>#REF!*#REF!+#REF!</f>
        <v>#REF!</v>
      </c>
      <c r="AJ52">
        <v>26000</v>
      </c>
      <c r="AK52">
        <v>1300</v>
      </c>
      <c r="AL52">
        <v>0.05</v>
      </c>
      <c r="AM52">
        <v>0</v>
      </c>
      <c r="AO52" s="114">
        <v>2350000</v>
      </c>
      <c r="AP52">
        <f t="shared" si="5"/>
        <v>2885000.0000000009</v>
      </c>
      <c r="AQ52" s="134">
        <f t="shared" si="51"/>
        <v>3.0999999999999979</v>
      </c>
      <c r="AR52">
        <f t="shared" si="52"/>
        <v>-4399999.9999999944</v>
      </c>
    </row>
    <row r="53" spans="1:44" x14ac:dyDescent="0.15">
      <c r="A53" s="106"/>
      <c r="B53" s="106"/>
      <c r="C53" s="171"/>
      <c r="D53">
        <v>1.21</v>
      </c>
      <c r="R53" s="114">
        <v>6001213</v>
      </c>
      <c r="S53" s="114">
        <v>680000</v>
      </c>
      <c r="T53" s="61">
        <v>975000</v>
      </c>
      <c r="U53" s="136">
        <f t="shared" si="47"/>
        <v>1.25</v>
      </c>
      <c r="V53" s="137">
        <f t="shared" si="48"/>
        <v>125000</v>
      </c>
      <c r="Z53" s="114">
        <v>6001213</v>
      </c>
      <c r="AA53">
        <v>580000</v>
      </c>
      <c r="AB53">
        <v>789000</v>
      </c>
      <c r="AC53">
        <v>790000</v>
      </c>
      <c r="AE53" t="e">
        <f>#REF!*#REF!+#REF!</f>
        <v>#REF!</v>
      </c>
      <c r="AF53" t="e">
        <f>#REF!*#REF!+#REF!</f>
        <v>#REF!</v>
      </c>
      <c r="AJ53">
        <v>27000</v>
      </c>
      <c r="AK53">
        <v>1350</v>
      </c>
      <c r="AL53">
        <v>0.05</v>
      </c>
      <c r="AM53">
        <v>0</v>
      </c>
      <c r="AO53" s="114">
        <v>2360000</v>
      </c>
      <c r="AP53">
        <f t="shared" si="5"/>
        <v>2916000.0000000009</v>
      </c>
      <c r="AQ53" s="134">
        <f t="shared" si="51"/>
        <v>3.0999999999999979</v>
      </c>
      <c r="AR53">
        <f t="shared" si="52"/>
        <v>-4399999.9999999944</v>
      </c>
    </row>
    <row r="54" spans="1:44" x14ac:dyDescent="0.15">
      <c r="A54" s="106"/>
      <c r="B54" s="106"/>
      <c r="C54" s="171"/>
      <c r="D54">
        <v>1.52</v>
      </c>
      <c r="R54" s="114">
        <v>6001213</v>
      </c>
      <c r="S54" s="114">
        <v>700000</v>
      </c>
      <c r="T54" s="61">
        <v>1000000</v>
      </c>
      <c r="U54" s="136">
        <f t="shared" si="47"/>
        <v>1</v>
      </c>
      <c r="V54" s="137">
        <f t="shared" si="48"/>
        <v>300000</v>
      </c>
      <c r="Z54" s="114">
        <v>6001213</v>
      </c>
      <c r="AA54">
        <v>600000</v>
      </c>
      <c r="AB54">
        <v>830000</v>
      </c>
      <c r="AC54">
        <v>830000</v>
      </c>
      <c r="AE54" t="e">
        <f>#REF!*#REF!+#REF!</f>
        <v>#REF!</v>
      </c>
      <c r="AF54" t="e">
        <f>#REF!*#REF!+#REF!</f>
        <v>#REF!</v>
      </c>
      <c r="AJ54">
        <v>28000</v>
      </c>
      <c r="AK54">
        <v>1400</v>
      </c>
      <c r="AL54">
        <v>0.05</v>
      </c>
      <c r="AM54">
        <v>0</v>
      </c>
      <c r="AO54" s="114">
        <v>2370000</v>
      </c>
      <c r="AP54">
        <f t="shared" si="5"/>
        <v>2947000.0000000009</v>
      </c>
      <c r="AQ54" s="134">
        <f t="shared" si="51"/>
        <v>3.0999999999999979</v>
      </c>
      <c r="AR54">
        <f t="shared" si="52"/>
        <v>-4399999.9999999944</v>
      </c>
    </row>
    <row r="55" spans="1:44" x14ac:dyDescent="0.15">
      <c r="D55">
        <v>2.0299999999999998</v>
      </c>
      <c r="R55" s="114">
        <v>6001213</v>
      </c>
      <c r="S55" s="114">
        <v>720000</v>
      </c>
      <c r="T55" s="61">
        <v>1020000</v>
      </c>
      <c r="U55" s="136">
        <f t="shared" si="47"/>
        <v>0.5</v>
      </c>
      <c r="V55" s="137">
        <f t="shared" si="48"/>
        <v>660000</v>
      </c>
      <c r="Z55" s="114">
        <v>6001213</v>
      </c>
      <c r="AA55">
        <v>620000</v>
      </c>
      <c r="AB55">
        <v>871000</v>
      </c>
      <c r="AC55">
        <v>870000</v>
      </c>
      <c r="AE55" t="e">
        <f>#REF!*#REF!+#REF!</f>
        <v>#REF!</v>
      </c>
      <c r="AF55" t="e">
        <f>#REF!*#REF!+#REF!</f>
        <v>#REF!</v>
      </c>
      <c r="AJ55">
        <v>29000</v>
      </c>
      <c r="AK55">
        <v>1450</v>
      </c>
      <c r="AL55">
        <v>0.05</v>
      </c>
      <c r="AM55">
        <v>0</v>
      </c>
      <c r="AO55" s="114">
        <v>2380000</v>
      </c>
      <c r="AP55">
        <f t="shared" si="5"/>
        <v>2978000.0000000009</v>
      </c>
      <c r="AQ55" s="134">
        <f t="shared" si="51"/>
        <v>3.0999999999999979</v>
      </c>
      <c r="AR55">
        <f t="shared" si="52"/>
        <v>-4399999.9999999944</v>
      </c>
    </row>
    <row r="56" spans="1:44" x14ac:dyDescent="0.15">
      <c r="D56">
        <v>2.5299999999999998</v>
      </c>
      <c r="R56" s="114">
        <v>6001213</v>
      </c>
      <c r="S56" s="114">
        <v>740000</v>
      </c>
      <c r="T56" s="61">
        <v>1030000</v>
      </c>
      <c r="U56" s="136">
        <f t="shared" si="47"/>
        <v>2.375</v>
      </c>
      <c r="V56" s="137">
        <f t="shared" si="48"/>
        <v>-727500</v>
      </c>
      <c r="Z56" s="114">
        <v>6001213</v>
      </c>
      <c r="AA56">
        <v>640000</v>
      </c>
      <c r="AB56">
        <v>912000</v>
      </c>
      <c r="AC56">
        <v>910000</v>
      </c>
      <c r="AE56" t="e">
        <f>#REF!*#REF!+#REF!</f>
        <v>#REF!</v>
      </c>
      <c r="AF56" t="e">
        <f>#REF!*#REF!+#REF!</f>
        <v>#REF!</v>
      </c>
      <c r="AJ56">
        <v>30000</v>
      </c>
      <c r="AK56">
        <v>1500</v>
      </c>
      <c r="AL56">
        <v>0.05</v>
      </c>
      <c r="AM56">
        <v>0</v>
      </c>
      <c r="AO56" s="114">
        <v>2390000</v>
      </c>
      <c r="AP56">
        <f t="shared" si="5"/>
        <v>3009000.0000000009</v>
      </c>
      <c r="AQ56" s="134">
        <f t="shared" si="51"/>
        <v>3.0999999999999979</v>
      </c>
      <c r="AR56">
        <f t="shared" si="52"/>
        <v>-4399999.9999999944</v>
      </c>
    </row>
    <row r="57" spans="1:44" x14ac:dyDescent="0.15">
      <c r="R57" s="115">
        <v>6001214</v>
      </c>
      <c r="S57" s="115">
        <v>660000</v>
      </c>
      <c r="T57" s="61">
        <v>840000</v>
      </c>
      <c r="U57" s="136">
        <f>(T58-T57)/(S58-S57)</f>
        <v>1</v>
      </c>
      <c r="V57" s="137">
        <f>T57-U57*S57</f>
        <v>180000</v>
      </c>
      <c r="Z57" s="115">
        <v>6001214</v>
      </c>
      <c r="AA57">
        <v>560000</v>
      </c>
      <c r="AB57">
        <v>768000</v>
      </c>
      <c r="AC57">
        <v>760000</v>
      </c>
      <c r="AE57">
        <f>D18*B18+E18</f>
        <v>925650.00000000012</v>
      </c>
      <c r="AF57">
        <f>D18*B19+E18</f>
        <v>1162800</v>
      </c>
      <c r="AJ57">
        <v>55000</v>
      </c>
      <c r="AK57">
        <v>2750</v>
      </c>
      <c r="AL57">
        <v>0.05</v>
      </c>
      <c r="AM57">
        <v>0</v>
      </c>
      <c r="AO57" s="114">
        <v>2640000</v>
      </c>
      <c r="AP57">
        <f t="shared" si="5"/>
        <v>3652000</v>
      </c>
      <c r="AQ57" s="134">
        <f t="shared" si="51"/>
        <v>2.5499999999999989</v>
      </c>
      <c r="AR57">
        <f t="shared" si="52"/>
        <v>-3079999.9999999972</v>
      </c>
    </row>
    <row r="58" spans="1:44" x14ac:dyDescent="0.15">
      <c r="R58" s="115">
        <v>6001214</v>
      </c>
      <c r="S58" s="115">
        <v>680000</v>
      </c>
      <c r="T58" s="61">
        <v>860000</v>
      </c>
      <c r="U58" s="133">
        <v>0.05</v>
      </c>
      <c r="V58" s="138">
        <f>T58-U58*S58</f>
        <v>826000</v>
      </c>
      <c r="Z58" s="115">
        <v>6001214</v>
      </c>
      <c r="AA58">
        <v>580000</v>
      </c>
      <c r="AB58">
        <v>796000</v>
      </c>
      <c r="AC58">
        <v>800000</v>
      </c>
      <c r="AE58">
        <f>D19*B19+E19</f>
        <v>1162800</v>
      </c>
      <c r="AF58" t="s">
        <v>296</v>
      </c>
      <c r="AJ58">
        <v>56000</v>
      </c>
      <c r="AK58">
        <v>2800</v>
      </c>
      <c r="AL58">
        <v>0.05</v>
      </c>
      <c r="AM58">
        <v>0</v>
      </c>
      <c r="AO58" s="114">
        <v>2650000</v>
      </c>
      <c r="AP58">
        <f t="shared" si="5"/>
        <v>3677500</v>
      </c>
      <c r="AQ58" s="134">
        <f t="shared" si="51"/>
        <v>2.5499999999999989</v>
      </c>
      <c r="AR58">
        <f t="shared" si="52"/>
        <v>-3079999.9999999972</v>
      </c>
    </row>
    <row r="59" spans="1:44" x14ac:dyDescent="0.15">
      <c r="R59" s="114">
        <v>6001215</v>
      </c>
      <c r="S59" s="114">
        <v>0</v>
      </c>
      <c r="T59" s="61">
        <v>0</v>
      </c>
      <c r="U59" s="136">
        <f t="shared" ref="U59:U85" si="53">(T60-T59)/(S60-S59)</f>
        <v>1.2076923076923076</v>
      </c>
      <c r="V59" s="137">
        <f t="shared" ref="V59:V85" si="54">T59-U59*S59</f>
        <v>0</v>
      </c>
      <c r="Z59" s="115">
        <v>6001214</v>
      </c>
      <c r="AA59">
        <v>600000</v>
      </c>
      <c r="AB59">
        <v>809000</v>
      </c>
      <c r="AC59">
        <v>810000</v>
      </c>
      <c r="AE59">
        <f>D20*B20+E20</f>
        <v>0</v>
      </c>
      <c r="AF59" t="e">
        <f>D20*#REF!+E20</f>
        <v>#REF!</v>
      </c>
      <c r="AJ59">
        <v>57000</v>
      </c>
      <c r="AK59">
        <v>2850</v>
      </c>
      <c r="AL59">
        <v>0.05</v>
      </c>
      <c r="AM59">
        <v>0</v>
      </c>
      <c r="AO59" s="114">
        <v>2660000</v>
      </c>
      <c r="AP59">
        <f t="shared" si="5"/>
        <v>3703000</v>
      </c>
      <c r="AQ59" s="134">
        <f t="shared" si="51"/>
        <v>2.5499999999999989</v>
      </c>
      <c r="AR59">
        <f t="shared" si="52"/>
        <v>-3079999.9999999972</v>
      </c>
    </row>
    <row r="60" spans="1:44" x14ac:dyDescent="0.15">
      <c r="R60" s="114">
        <v>6001215</v>
      </c>
      <c r="S60" s="114">
        <v>1300000</v>
      </c>
      <c r="T60" s="61">
        <v>1570000</v>
      </c>
      <c r="U60" s="136">
        <f>(T61-T60)/(S61-S60)</f>
        <v>0.33333333333333331</v>
      </c>
      <c r="V60" s="137">
        <f t="shared" si="54"/>
        <v>1136666.6666666667</v>
      </c>
      <c r="Z60" s="115">
        <v>6001214</v>
      </c>
      <c r="AA60">
        <v>620000</v>
      </c>
      <c r="AB60">
        <v>822000</v>
      </c>
      <c r="AC60">
        <v>820000</v>
      </c>
      <c r="AE60" t="e">
        <f>#REF!*#REF!+#REF!</f>
        <v>#REF!</v>
      </c>
      <c r="AF60" t="e">
        <f>#REF!*#REF!+#REF!</f>
        <v>#REF!</v>
      </c>
      <c r="AJ60">
        <v>58000</v>
      </c>
      <c r="AK60">
        <v>2900</v>
      </c>
      <c r="AL60">
        <v>0.05</v>
      </c>
      <c r="AM60">
        <v>0</v>
      </c>
      <c r="AO60" s="114">
        <v>2670000</v>
      </c>
      <c r="AP60">
        <f t="shared" si="5"/>
        <v>3728500</v>
      </c>
      <c r="AQ60" s="134">
        <f t="shared" si="51"/>
        <v>2.5499999999999989</v>
      </c>
      <c r="AR60">
        <f t="shared" si="52"/>
        <v>-3079999.9999999972</v>
      </c>
    </row>
    <row r="61" spans="1:44" x14ac:dyDescent="0.15">
      <c r="R61" s="114">
        <v>6001215</v>
      </c>
      <c r="S61" s="114">
        <v>1360000</v>
      </c>
      <c r="T61" s="61">
        <v>1590000</v>
      </c>
      <c r="U61" s="136">
        <f t="shared" si="53"/>
        <v>0.5</v>
      </c>
      <c r="V61" s="137">
        <f t="shared" si="54"/>
        <v>910000</v>
      </c>
      <c r="Z61" s="115">
        <v>6001214</v>
      </c>
      <c r="AA61">
        <v>640000</v>
      </c>
      <c r="AB61">
        <v>835000</v>
      </c>
      <c r="AC61">
        <v>830000</v>
      </c>
      <c r="AE61" t="e">
        <f>#REF!*#REF!+#REF!</f>
        <v>#REF!</v>
      </c>
      <c r="AF61" t="e">
        <f>#REF!*#REF!+#REF!</f>
        <v>#REF!</v>
      </c>
      <c r="AJ61">
        <v>59000</v>
      </c>
      <c r="AK61">
        <v>2950</v>
      </c>
      <c r="AL61">
        <v>0.05</v>
      </c>
      <c r="AM61">
        <v>0</v>
      </c>
      <c r="AO61" s="114">
        <v>2680000</v>
      </c>
      <c r="AP61">
        <f t="shared" si="5"/>
        <v>3754000</v>
      </c>
      <c r="AQ61" s="134">
        <f t="shared" si="6"/>
        <v>2.5499999999999989</v>
      </c>
      <c r="AR61">
        <f t="shared" si="7"/>
        <v>-3079999.9999999972</v>
      </c>
    </row>
    <row r="62" spans="1:44" x14ac:dyDescent="0.15">
      <c r="R62" s="114">
        <v>6001215</v>
      </c>
      <c r="S62" s="114">
        <v>1420000</v>
      </c>
      <c r="T62" s="61">
        <v>1620000</v>
      </c>
      <c r="U62" s="136">
        <f t="shared" si="53"/>
        <v>0.5</v>
      </c>
      <c r="V62" s="137">
        <f t="shared" si="54"/>
        <v>910000</v>
      </c>
      <c r="Z62" s="115">
        <v>6001214</v>
      </c>
      <c r="AA62">
        <v>660000</v>
      </c>
      <c r="AB62">
        <v>848000</v>
      </c>
      <c r="AC62">
        <v>840000</v>
      </c>
      <c r="AE62" t="e">
        <f>#REF!*#REF!+#REF!</f>
        <v>#REF!</v>
      </c>
      <c r="AF62" t="e">
        <f>#REF!*#REF!+#REF!</f>
        <v>#REF!</v>
      </c>
      <c r="AJ62">
        <v>60000</v>
      </c>
      <c r="AK62">
        <v>3000</v>
      </c>
      <c r="AL62">
        <v>0.05</v>
      </c>
      <c r="AM62">
        <v>0</v>
      </c>
      <c r="AO62" s="114">
        <v>2690000</v>
      </c>
      <c r="AP62">
        <f t="shared" si="5"/>
        <v>3779500</v>
      </c>
      <c r="AQ62" s="134">
        <f t="shared" si="6"/>
        <v>2.5499999999999989</v>
      </c>
      <c r="AR62">
        <f t="shared" si="7"/>
        <v>-3079999.9999999972</v>
      </c>
    </row>
    <row r="63" spans="1:44" x14ac:dyDescent="0.15">
      <c r="R63" s="114">
        <v>6001215</v>
      </c>
      <c r="S63" s="114">
        <v>1480000</v>
      </c>
      <c r="T63" s="61">
        <v>1650000</v>
      </c>
      <c r="U63" s="136">
        <f t="shared" si="53"/>
        <v>0.33333333333333331</v>
      </c>
      <c r="V63" s="137">
        <f t="shared" si="54"/>
        <v>1156666.6666666667</v>
      </c>
      <c r="Z63" s="115">
        <v>6001214</v>
      </c>
      <c r="AA63">
        <v>680000</v>
      </c>
      <c r="AB63">
        <v>861000</v>
      </c>
      <c r="AC63">
        <v>860000</v>
      </c>
      <c r="AE63" t="e">
        <f>#REF!*#REF!+#REF!</f>
        <v>#REF!</v>
      </c>
      <c r="AF63" t="e">
        <f>#REF!*#REF!+#REF!</f>
        <v>#REF!</v>
      </c>
      <c r="AJ63">
        <v>61000</v>
      </c>
      <c r="AK63">
        <v>3050</v>
      </c>
      <c r="AL63">
        <v>0.05</v>
      </c>
      <c r="AM63">
        <v>0</v>
      </c>
      <c r="AO63" s="114">
        <v>2700000</v>
      </c>
      <c r="AP63">
        <f t="shared" si="5"/>
        <v>3805000</v>
      </c>
      <c r="AQ63" s="134">
        <f t="shared" si="6"/>
        <v>2.5499999999999989</v>
      </c>
      <c r="AR63">
        <f t="shared" si="7"/>
        <v>-3079999.9999999972</v>
      </c>
    </row>
    <row r="64" spans="1:44" x14ac:dyDescent="0.15">
      <c r="R64" s="114">
        <v>6001215</v>
      </c>
      <c r="S64" s="114">
        <v>1540000</v>
      </c>
      <c r="T64" s="61">
        <v>1670000</v>
      </c>
      <c r="U64" s="136">
        <f t="shared" si="53"/>
        <v>0.5</v>
      </c>
      <c r="V64" s="137">
        <f t="shared" si="54"/>
        <v>900000</v>
      </c>
      <c r="Z64" s="114">
        <v>6001215</v>
      </c>
      <c r="AA64">
        <v>0</v>
      </c>
      <c r="AB64">
        <v>0</v>
      </c>
      <c r="AC64">
        <v>0</v>
      </c>
      <c r="AE64" t="e">
        <f>#REF!*#REF!+#REF!</f>
        <v>#REF!</v>
      </c>
      <c r="AF64" t="e">
        <f>#REF!*#REF!+#REF!</f>
        <v>#REF!</v>
      </c>
      <c r="AJ64">
        <v>62000</v>
      </c>
      <c r="AK64">
        <v>3100</v>
      </c>
      <c r="AL64">
        <v>0.05</v>
      </c>
      <c r="AM64">
        <v>0</v>
      </c>
      <c r="AO64" s="114">
        <v>2710000</v>
      </c>
      <c r="AP64">
        <f t="shared" si="5"/>
        <v>3830500</v>
      </c>
      <c r="AQ64" s="134">
        <f t="shared" si="6"/>
        <v>2.5499999999999989</v>
      </c>
      <c r="AR64">
        <f t="shared" si="7"/>
        <v>-3079999.9999999972</v>
      </c>
    </row>
    <row r="65" spans="18:44" x14ac:dyDescent="0.15">
      <c r="R65" s="114">
        <v>6001215</v>
      </c>
      <c r="S65" s="114">
        <v>1600000</v>
      </c>
      <c r="T65" s="61">
        <v>1700000</v>
      </c>
      <c r="U65" s="136">
        <f t="shared" si="53"/>
        <v>0.5</v>
      </c>
      <c r="V65" s="137">
        <f t="shared" si="54"/>
        <v>900000</v>
      </c>
      <c r="Z65" s="114">
        <v>6001215</v>
      </c>
      <c r="AA65">
        <v>1300000</v>
      </c>
      <c r="AB65">
        <v>1565000</v>
      </c>
      <c r="AC65">
        <v>1570000</v>
      </c>
      <c r="AE65" t="e">
        <f>#REF!*#REF!+#REF!</f>
        <v>#REF!</v>
      </c>
      <c r="AF65" t="e">
        <f>#REF!*#REF!+#REF!</f>
        <v>#REF!</v>
      </c>
      <c r="AJ65">
        <v>63000</v>
      </c>
      <c r="AK65">
        <v>3150</v>
      </c>
      <c r="AL65">
        <v>0.05</v>
      </c>
      <c r="AM65">
        <v>0</v>
      </c>
      <c r="AO65" s="114">
        <v>2720000</v>
      </c>
      <c r="AP65">
        <f t="shared" si="5"/>
        <v>3856000</v>
      </c>
      <c r="AQ65" s="134">
        <f t="shared" si="6"/>
        <v>2.5499999999999989</v>
      </c>
      <c r="AR65">
        <f t="shared" si="7"/>
        <v>-3079999.9999999972</v>
      </c>
    </row>
    <row r="66" spans="18:44" x14ac:dyDescent="0.15">
      <c r="R66" s="114">
        <v>6001215</v>
      </c>
      <c r="S66" s="114">
        <v>1660000</v>
      </c>
      <c r="T66" s="61">
        <v>1730000</v>
      </c>
      <c r="U66" s="136">
        <f t="shared" si="53"/>
        <v>0.33333333333333331</v>
      </c>
      <c r="V66" s="137">
        <f t="shared" si="54"/>
        <v>1176666.6666666667</v>
      </c>
      <c r="Z66" s="114">
        <v>6001215</v>
      </c>
      <c r="AA66">
        <v>1360000</v>
      </c>
      <c r="AB66">
        <v>1592000</v>
      </c>
      <c r="AC66">
        <v>1590000</v>
      </c>
      <c r="AE66" t="e">
        <f>#REF!*#REF!+#REF!</f>
        <v>#REF!</v>
      </c>
      <c r="AF66" t="e">
        <f>#REF!*#REF!+#REF!</f>
        <v>#REF!</v>
      </c>
      <c r="AJ66">
        <v>64000</v>
      </c>
      <c r="AK66">
        <v>3200</v>
      </c>
      <c r="AL66">
        <v>0.05</v>
      </c>
      <c r="AM66">
        <v>0</v>
      </c>
      <c r="AO66" s="114">
        <v>2730000</v>
      </c>
      <c r="AP66">
        <f t="shared" si="5"/>
        <v>3881500</v>
      </c>
      <c r="AQ66" s="134">
        <f t="shared" si="6"/>
        <v>2.5499999999999989</v>
      </c>
      <c r="AR66">
        <f t="shared" si="7"/>
        <v>-3079999.9999999972</v>
      </c>
    </row>
    <row r="67" spans="18:44" x14ac:dyDescent="0.15">
      <c r="R67" s="114">
        <v>6001215</v>
      </c>
      <c r="S67" s="114">
        <v>1720000</v>
      </c>
      <c r="T67" s="61">
        <v>1750000</v>
      </c>
      <c r="U67" s="136">
        <f t="shared" si="53"/>
        <v>0.5</v>
      </c>
      <c r="V67" s="137">
        <f t="shared" si="54"/>
        <v>890000</v>
      </c>
      <c r="Z67" s="114">
        <v>6001215</v>
      </c>
      <c r="AA67">
        <v>1420000</v>
      </c>
      <c r="AB67">
        <v>1619000</v>
      </c>
      <c r="AC67">
        <v>1620000</v>
      </c>
      <c r="AE67" t="e">
        <f>#REF!*#REF!+#REF!</f>
        <v>#REF!</v>
      </c>
      <c r="AF67" t="e">
        <f>#REF!*#REF!+#REF!</f>
        <v>#REF!</v>
      </c>
      <c r="AJ67">
        <v>65000</v>
      </c>
      <c r="AK67">
        <v>203250</v>
      </c>
      <c r="AL67">
        <v>0.05</v>
      </c>
      <c r="AM67">
        <v>200000</v>
      </c>
      <c r="AO67" s="114">
        <v>2740000</v>
      </c>
      <c r="AP67">
        <f t="shared" si="5"/>
        <v>3907000</v>
      </c>
      <c r="AQ67" s="134">
        <f t="shared" si="6"/>
        <v>2.5499999999999989</v>
      </c>
      <c r="AR67">
        <f t="shared" si="7"/>
        <v>-3079999.9999999972</v>
      </c>
    </row>
    <row r="68" spans="18:44" x14ac:dyDescent="0.15">
      <c r="R68" s="114">
        <v>6001215</v>
      </c>
      <c r="S68" s="114">
        <v>1780000</v>
      </c>
      <c r="T68" s="61">
        <v>1780000</v>
      </c>
      <c r="U68" s="136">
        <f t="shared" si="53"/>
        <v>0.33333333333333331</v>
      </c>
      <c r="V68" s="137">
        <f t="shared" si="54"/>
        <v>1186666.6666666667</v>
      </c>
      <c r="Z68" s="114">
        <v>6001215</v>
      </c>
      <c r="AA68">
        <v>1480000</v>
      </c>
      <c r="AB68">
        <v>1646000</v>
      </c>
      <c r="AC68">
        <v>1650000</v>
      </c>
      <c r="AE68" t="e">
        <f>#REF!*#REF!+#REF!</f>
        <v>#REF!</v>
      </c>
      <c r="AF68" t="e">
        <f>#REF!*#REF!+#REF!</f>
        <v>#REF!</v>
      </c>
      <c r="AJ68">
        <v>66000</v>
      </c>
      <c r="AK68">
        <v>203300</v>
      </c>
      <c r="AL68">
        <v>0.05</v>
      </c>
      <c r="AM68">
        <v>200000</v>
      </c>
      <c r="AO68" s="114">
        <v>2750000</v>
      </c>
      <c r="AP68">
        <f t="shared" ref="AP68:AP110" si="55">AQ68*AO68+AR68</f>
        <v>3932500</v>
      </c>
      <c r="AQ68" s="134">
        <f t="shared" si="6"/>
        <v>2.5499999999999989</v>
      </c>
      <c r="AR68">
        <f t="shared" si="7"/>
        <v>-3079999.9999999972</v>
      </c>
    </row>
    <row r="69" spans="18:44" x14ac:dyDescent="0.15">
      <c r="R69" s="114">
        <v>6001215</v>
      </c>
      <c r="S69" s="114">
        <v>1840000</v>
      </c>
      <c r="T69" s="61">
        <v>1800000</v>
      </c>
      <c r="U69" s="136">
        <f t="shared" si="53"/>
        <v>0.5</v>
      </c>
      <c r="V69" s="137">
        <f t="shared" si="54"/>
        <v>880000</v>
      </c>
      <c r="Z69" s="114">
        <v>6001215</v>
      </c>
      <c r="AA69">
        <v>1540000</v>
      </c>
      <c r="AB69">
        <v>1673000</v>
      </c>
      <c r="AC69">
        <v>1670000</v>
      </c>
      <c r="AE69" t="e">
        <f>#REF!*#REF!+#REF!</f>
        <v>#REF!</v>
      </c>
      <c r="AF69" t="e">
        <f>#REF!*#REF!+#REF!</f>
        <v>#REF!</v>
      </c>
      <c r="AJ69">
        <v>67000</v>
      </c>
      <c r="AK69">
        <v>203350</v>
      </c>
      <c r="AL69">
        <v>0.05</v>
      </c>
      <c r="AM69">
        <v>200000</v>
      </c>
      <c r="AO69" s="114">
        <v>2760000</v>
      </c>
      <c r="AP69">
        <f t="shared" si="55"/>
        <v>3958000</v>
      </c>
      <c r="AQ69" s="134">
        <f t="shared" ref="AQ69:AQ110" si="56">VLOOKUP(AO69,B$20:E$25,3,TRUE)</f>
        <v>2.5499999999999989</v>
      </c>
      <c r="AR69">
        <f t="shared" ref="AR69:AR110" si="57">VLOOKUP(AO69,B$20:E$25,4)</f>
        <v>-3079999.9999999972</v>
      </c>
    </row>
    <row r="70" spans="18:44" x14ac:dyDescent="0.15">
      <c r="R70" s="114">
        <v>6001215</v>
      </c>
      <c r="S70" s="114">
        <v>1900000</v>
      </c>
      <c r="T70" s="61">
        <v>1830000</v>
      </c>
      <c r="U70" s="136">
        <f t="shared" si="53"/>
        <v>0.75</v>
      </c>
      <c r="V70" s="137">
        <f t="shared" si="54"/>
        <v>405000</v>
      </c>
      <c r="Z70" s="114">
        <v>6001215</v>
      </c>
      <c r="AA70">
        <v>1600000</v>
      </c>
      <c r="AB70">
        <v>1700000</v>
      </c>
      <c r="AC70">
        <v>1700000</v>
      </c>
      <c r="AE70" t="e">
        <f>#REF!*#REF!+#REF!</f>
        <v>#REF!</v>
      </c>
      <c r="AF70" t="e">
        <f>#REF!*#REF!+#REF!</f>
        <v>#REF!</v>
      </c>
      <c r="AJ70">
        <v>68000</v>
      </c>
      <c r="AK70">
        <v>203400</v>
      </c>
      <c r="AL70">
        <v>0.05</v>
      </c>
      <c r="AM70">
        <v>200000</v>
      </c>
      <c r="AO70" s="114">
        <v>2770000</v>
      </c>
      <c r="AP70">
        <f t="shared" si="55"/>
        <v>3983500</v>
      </c>
      <c r="AQ70" s="134">
        <f t="shared" si="56"/>
        <v>2.5499999999999989</v>
      </c>
      <c r="AR70">
        <f t="shared" si="57"/>
        <v>-3079999.9999999972</v>
      </c>
    </row>
    <row r="71" spans="18:44" x14ac:dyDescent="0.15">
      <c r="R71" s="114">
        <v>6001215</v>
      </c>
      <c r="S71" s="114">
        <v>1940000</v>
      </c>
      <c r="T71" s="61">
        <v>1860000</v>
      </c>
      <c r="U71" s="136">
        <f t="shared" si="53"/>
        <v>0.75</v>
      </c>
      <c r="V71" s="137">
        <f t="shared" si="54"/>
        <v>405000</v>
      </c>
      <c r="Z71" s="114">
        <v>6001215</v>
      </c>
      <c r="AA71">
        <v>1660000</v>
      </c>
      <c r="AB71">
        <v>1727000</v>
      </c>
      <c r="AC71">
        <v>1730000</v>
      </c>
      <c r="AE71" t="e">
        <f>#REF!*#REF!+#REF!</f>
        <v>#REF!</v>
      </c>
      <c r="AF71" t="e">
        <f>#REF!*#REF!+#REF!</f>
        <v>#REF!</v>
      </c>
      <c r="AJ71">
        <v>69000</v>
      </c>
      <c r="AK71">
        <v>203450</v>
      </c>
      <c r="AL71">
        <v>0.05</v>
      </c>
      <c r="AM71">
        <v>200000</v>
      </c>
      <c r="AO71" s="114">
        <v>2780000</v>
      </c>
      <c r="AP71">
        <f t="shared" si="55"/>
        <v>4009000</v>
      </c>
      <c r="AQ71" s="134">
        <f t="shared" si="56"/>
        <v>2.5499999999999989</v>
      </c>
      <c r="AR71">
        <f t="shared" si="57"/>
        <v>-3079999.9999999972</v>
      </c>
    </row>
    <row r="72" spans="18:44" x14ac:dyDescent="0.15">
      <c r="R72" s="114">
        <v>6001215</v>
      </c>
      <c r="S72" s="114">
        <v>1980000</v>
      </c>
      <c r="T72" s="61">
        <v>1890000</v>
      </c>
      <c r="U72" s="136">
        <f t="shared" si="53"/>
        <v>0.75</v>
      </c>
      <c r="V72" s="137">
        <f t="shared" si="54"/>
        <v>405000</v>
      </c>
      <c r="Z72" s="114">
        <v>6001215</v>
      </c>
      <c r="AA72">
        <v>1720000</v>
      </c>
      <c r="AB72">
        <v>1754000</v>
      </c>
      <c r="AC72">
        <v>1750000</v>
      </c>
      <c r="AE72" t="e">
        <f>#REF!*#REF!+#REF!</f>
        <v>#REF!</v>
      </c>
      <c r="AF72" t="e">
        <f>#REF!*#REF!+#REF!</f>
        <v>#REF!</v>
      </c>
      <c r="AJ72">
        <v>70000</v>
      </c>
      <c r="AK72">
        <v>253500</v>
      </c>
      <c r="AL72">
        <v>0.05</v>
      </c>
      <c r="AM72">
        <v>250000</v>
      </c>
      <c r="AO72" s="114">
        <v>2790000</v>
      </c>
      <c r="AP72">
        <f t="shared" si="55"/>
        <v>4034500</v>
      </c>
      <c r="AQ72" s="134">
        <f t="shared" si="56"/>
        <v>2.5499999999999989</v>
      </c>
      <c r="AR72">
        <f t="shared" si="57"/>
        <v>-3079999.9999999972</v>
      </c>
    </row>
    <row r="73" spans="18:44" x14ac:dyDescent="0.15">
      <c r="R73" s="114">
        <v>6001215</v>
      </c>
      <c r="S73" s="114">
        <v>2020000</v>
      </c>
      <c r="T73" s="61">
        <v>1920000</v>
      </c>
      <c r="U73" s="136">
        <f t="shared" si="53"/>
        <v>0.5</v>
      </c>
      <c r="V73" s="137">
        <f t="shared" si="54"/>
        <v>910000</v>
      </c>
      <c r="Z73" s="114">
        <v>6001215</v>
      </c>
      <c r="AA73">
        <v>1780000</v>
      </c>
      <c r="AB73">
        <v>1781000</v>
      </c>
      <c r="AC73">
        <v>1780000</v>
      </c>
      <c r="AE73" t="e">
        <f>#REF!*#REF!+#REF!</f>
        <v>#REF!</v>
      </c>
      <c r="AF73" t="e">
        <f>#REF!*#REF!+#REF!</f>
        <v>#REF!</v>
      </c>
      <c r="AJ73">
        <v>71000</v>
      </c>
      <c r="AK73">
        <v>253550</v>
      </c>
      <c r="AL73">
        <v>0.05</v>
      </c>
      <c r="AM73">
        <v>250000</v>
      </c>
      <c r="AO73" s="114">
        <v>2800000</v>
      </c>
      <c r="AP73">
        <f t="shared" si="55"/>
        <v>4059999.9999999995</v>
      </c>
      <c r="AQ73" s="134">
        <f t="shared" si="56"/>
        <v>1.4285714285714293</v>
      </c>
      <c r="AR73">
        <f t="shared" si="57"/>
        <v>59999.999999997672</v>
      </c>
    </row>
    <row r="74" spans="18:44" x14ac:dyDescent="0.15">
      <c r="R74" s="114">
        <v>6001215</v>
      </c>
      <c r="S74" s="114">
        <v>2060000</v>
      </c>
      <c r="T74" s="61">
        <v>1940000</v>
      </c>
      <c r="U74" s="136">
        <f t="shared" si="53"/>
        <v>0.5</v>
      </c>
      <c r="V74" s="137">
        <f t="shared" si="54"/>
        <v>910000</v>
      </c>
      <c r="Z74" s="114">
        <v>6001215</v>
      </c>
      <c r="AA74">
        <v>1840000</v>
      </c>
      <c r="AB74">
        <v>1808000</v>
      </c>
      <c r="AC74">
        <v>1800000</v>
      </c>
      <c r="AE74" t="e">
        <f>#REF!*#REF!+#REF!</f>
        <v>#REF!</v>
      </c>
      <c r="AF74" t="e">
        <f>#REF!*#REF!+#REF!</f>
        <v>#REF!</v>
      </c>
      <c r="AJ74">
        <v>72000</v>
      </c>
      <c r="AK74">
        <v>253600</v>
      </c>
      <c r="AL74">
        <v>0.05</v>
      </c>
      <c r="AM74">
        <v>250000</v>
      </c>
      <c r="AO74" s="114">
        <v>2810000</v>
      </c>
      <c r="AP74">
        <f t="shared" si="55"/>
        <v>4074285.7142857141</v>
      </c>
      <c r="AQ74" s="134">
        <f t="shared" si="56"/>
        <v>1.4285714285714293</v>
      </c>
      <c r="AR74">
        <f t="shared" si="57"/>
        <v>59999.999999997672</v>
      </c>
    </row>
    <row r="75" spans="18:44" x14ac:dyDescent="0.15">
      <c r="R75" s="114">
        <v>6001215</v>
      </c>
      <c r="S75" s="114">
        <v>2100000</v>
      </c>
      <c r="T75" s="61">
        <v>1960000</v>
      </c>
      <c r="U75" s="136">
        <f t="shared" si="53"/>
        <v>0.5</v>
      </c>
      <c r="V75" s="137">
        <f t="shared" si="54"/>
        <v>910000</v>
      </c>
      <c r="Z75" s="114">
        <v>6001215</v>
      </c>
      <c r="AA75">
        <v>1900000</v>
      </c>
      <c r="AB75">
        <v>1835000</v>
      </c>
      <c r="AC75">
        <v>1830000</v>
      </c>
      <c r="AE75" t="e">
        <f>#REF!*#REF!+#REF!</f>
        <v>#REF!</v>
      </c>
      <c r="AF75" t="e">
        <f>#REF!*#REF!+#REF!</f>
        <v>#REF!</v>
      </c>
      <c r="AJ75">
        <v>73000</v>
      </c>
      <c r="AK75">
        <v>253650</v>
      </c>
      <c r="AL75">
        <v>0.05</v>
      </c>
      <c r="AM75">
        <v>250000</v>
      </c>
      <c r="AO75" s="114">
        <v>2820000</v>
      </c>
      <c r="AP75">
        <f t="shared" si="55"/>
        <v>4088571.4285714282</v>
      </c>
      <c r="AQ75" s="134">
        <f t="shared" si="56"/>
        <v>1.4285714285714293</v>
      </c>
      <c r="AR75">
        <f t="shared" si="57"/>
        <v>59999.999999997672</v>
      </c>
    </row>
    <row r="76" spans="18:44" x14ac:dyDescent="0.15">
      <c r="R76" s="114">
        <v>6001215</v>
      </c>
      <c r="S76" s="114">
        <v>2140000</v>
      </c>
      <c r="T76" s="61">
        <v>1980000</v>
      </c>
      <c r="U76" s="136">
        <f t="shared" si="53"/>
        <v>0.5</v>
      </c>
      <c r="V76" s="137">
        <f t="shared" si="54"/>
        <v>910000</v>
      </c>
      <c r="Z76" s="114">
        <v>6001215</v>
      </c>
      <c r="AA76">
        <v>1940000</v>
      </c>
      <c r="AB76">
        <v>1861000</v>
      </c>
      <c r="AC76">
        <v>1860000</v>
      </c>
      <c r="AE76" t="e">
        <f>#REF!*#REF!+#REF!</f>
        <v>#REF!</v>
      </c>
      <c r="AF76" t="e">
        <f>#REF!*#REF!+#REF!</f>
        <v>#REF!</v>
      </c>
      <c r="AJ76">
        <v>74000</v>
      </c>
      <c r="AK76">
        <v>253700</v>
      </c>
      <c r="AL76">
        <v>0.05</v>
      </c>
      <c r="AM76">
        <v>250000</v>
      </c>
      <c r="AO76" s="114">
        <v>2830000</v>
      </c>
      <c r="AP76">
        <f t="shared" si="55"/>
        <v>4102857.1428571427</v>
      </c>
      <c r="AQ76" s="134">
        <f t="shared" si="56"/>
        <v>1.4285714285714293</v>
      </c>
      <c r="AR76">
        <f t="shared" si="57"/>
        <v>59999.999999997672</v>
      </c>
    </row>
    <row r="77" spans="18:44" x14ac:dyDescent="0.15">
      <c r="R77" s="114">
        <v>6001215</v>
      </c>
      <c r="S77" s="114">
        <v>2180000</v>
      </c>
      <c r="T77" s="61">
        <v>2000000</v>
      </c>
      <c r="U77" s="136">
        <f t="shared" si="53"/>
        <v>0.25</v>
      </c>
      <c r="V77" s="137">
        <f t="shared" si="54"/>
        <v>1455000</v>
      </c>
      <c r="Z77" s="114">
        <v>6001215</v>
      </c>
      <c r="AA77">
        <v>1980000</v>
      </c>
      <c r="AB77">
        <v>1887000</v>
      </c>
      <c r="AC77">
        <v>1890000</v>
      </c>
      <c r="AE77" t="e">
        <f>#REF!*#REF!+#REF!</f>
        <v>#REF!</v>
      </c>
      <c r="AF77" t="e">
        <f>#REF!*#REF!+#REF!</f>
        <v>#REF!</v>
      </c>
      <c r="AJ77">
        <v>75000</v>
      </c>
      <c r="AK77">
        <v>303750</v>
      </c>
      <c r="AL77">
        <v>0.05</v>
      </c>
      <c r="AM77">
        <v>300000</v>
      </c>
      <c r="AO77" s="114">
        <v>2840000</v>
      </c>
      <c r="AP77">
        <f t="shared" si="55"/>
        <v>4117142.8571428568</v>
      </c>
      <c r="AQ77" s="134">
        <f t="shared" si="56"/>
        <v>1.4285714285714293</v>
      </c>
      <c r="AR77">
        <f t="shared" si="57"/>
        <v>59999.999999997672</v>
      </c>
    </row>
    <row r="78" spans="18:44" x14ac:dyDescent="0.15">
      <c r="R78" s="114">
        <v>6001215</v>
      </c>
      <c r="S78" s="114">
        <v>2220000</v>
      </c>
      <c r="T78" s="61">
        <v>2010000</v>
      </c>
      <c r="U78" s="136">
        <f t="shared" si="53"/>
        <v>0.5</v>
      </c>
      <c r="V78" s="137">
        <f t="shared" si="54"/>
        <v>900000</v>
      </c>
      <c r="Z78" s="114">
        <v>6001215</v>
      </c>
      <c r="AA78">
        <v>2020000</v>
      </c>
      <c r="AB78">
        <v>1913000</v>
      </c>
      <c r="AC78">
        <v>1920000</v>
      </c>
      <c r="AE78" t="e">
        <f>#REF!*#REF!+#REF!</f>
        <v>#REF!</v>
      </c>
      <c r="AF78" t="e">
        <f>#REF!*#REF!+#REF!</f>
        <v>#REF!</v>
      </c>
      <c r="AJ78">
        <v>76000</v>
      </c>
      <c r="AK78">
        <v>303800</v>
      </c>
      <c r="AL78">
        <v>0.05</v>
      </c>
      <c r="AM78">
        <v>300000</v>
      </c>
      <c r="AO78" s="114">
        <v>2850000</v>
      </c>
      <c r="AP78">
        <f t="shared" si="55"/>
        <v>4131428.5714285709</v>
      </c>
      <c r="AQ78" s="134">
        <f t="shared" si="56"/>
        <v>1.4285714285714293</v>
      </c>
      <c r="AR78">
        <f t="shared" si="57"/>
        <v>59999.999999997672</v>
      </c>
    </row>
    <row r="79" spans="18:44" x14ac:dyDescent="0.15">
      <c r="R79" s="114">
        <v>6001215</v>
      </c>
      <c r="S79" s="114">
        <v>2260000</v>
      </c>
      <c r="T79" s="61">
        <v>2030000</v>
      </c>
      <c r="U79" s="136">
        <f t="shared" si="53"/>
        <v>0.5</v>
      </c>
      <c r="V79" s="137">
        <f t="shared" si="54"/>
        <v>900000</v>
      </c>
      <c r="Z79" s="114">
        <v>6001215</v>
      </c>
      <c r="AA79">
        <v>2060000</v>
      </c>
      <c r="AB79">
        <v>1933000</v>
      </c>
      <c r="AC79">
        <v>1940000</v>
      </c>
      <c r="AE79" t="e">
        <f>#REF!*#REF!+#REF!</f>
        <v>#REF!</v>
      </c>
      <c r="AF79" t="e">
        <f>#REF!*#REF!+#REF!</f>
        <v>#REF!</v>
      </c>
      <c r="AJ79">
        <v>77000</v>
      </c>
      <c r="AK79">
        <v>303850</v>
      </c>
      <c r="AL79">
        <v>0.05</v>
      </c>
      <c r="AM79">
        <v>300000</v>
      </c>
      <c r="AO79" s="114">
        <v>2860000</v>
      </c>
      <c r="AP79">
        <f t="shared" si="55"/>
        <v>4145714.2857142854</v>
      </c>
      <c r="AQ79" s="134">
        <f t="shared" si="56"/>
        <v>1.4285714285714293</v>
      </c>
      <c r="AR79">
        <f t="shared" si="57"/>
        <v>59999.999999997672</v>
      </c>
    </row>
    <row r="80" spans="18:44" x14ac:dyDescent="0.15">
      <c r="R80" s="114">
        <v>6001215</v>
      </c>
      <c r="S80" s="114">
        <v>2300000</v>
      </c>
      <c r="T80" s="61">
        <v>2050000</v>
      </c>
      <c r="U80" s="136">
        <f t="shared" si="53"/>
        <v>0.5</v>
      </c>
      <c r="V80" s="137">
        <f t="shared" si="54"/>
        <v>900000</v>
      </c>
      <c r="Z80" s="114">
        <v>6001215</v>
      </c>
      <c r="AA80">
        <v>2100000</v>
      </c>
      <c r="AB80">
        <v>1953000</v>
      </c>
      <c r="AC80">
        <v>1960000</v>
      </c>
      <c r="AE80" t="e">
        <f>#REF!*#REF!+#REF!</f>
        <v>#REF!</v>
      </c>
      <c r="AF80" t="e">
        <f>#REF!*#REF!+#REF!</f>
        <v>#REF!</v>
      </c>
      <c r="AJ80">
        <v>78000</v>
      </c>
      <c r="AK80">
        <v>303900</v>
      </c>
      <c r="AL80">
        <v>0.05</v>
      </c>
      <c r="AM80">
        <v>300000</v>
      </c>
      <c r="AO80" s="114">
        <v>2870000</v>
      </c>
      <c r="AP80">
        <f t="shared" si="55"/>
        <v>4159999.9999999995</v>
      </c>
      <c r="AQ80" s="134">
        <f t="shared" si="56"/>
        <v>1.4285714285714293</v>
      </c>
      <c r="AR80">
        <f t="shared" si="57"/>
        <v>59999.999999997672</v>
      </c>
    </row>
    <row r="81" spans="18:44" x14ac:dyDescent="0.15">
      <c r="R81" s="114">
        <v>6001215</v>
      </c>
      <c r="S81" s="114">
        <v>2340000</v>
      </c>
      <c r="T81" s="61">
        <v>2070000</v>
      </c>
      <c r="U81" s="136">
        <f t="shared" si="53"/>
        <v>0.5</v>
      </c>
      <c r="V81" s="137">
        <f t="shared" si="54"/>
        <v>900000</v>
      </c>
      <c r="Z81" s="114">
        <v>6001215</v>
      </c>
      <c r="AA81">
        <v>2140000</v>
      </c>
      <c r="AB81">
        <v>1973000</v>
      </c>
      <c r="AC81">
        <v>1980000</v>
      </c>
      <c r="AE81" t="e">
        <f>#REF!*#REF!+#REF!</f>
        <v>#REF!</v>
      </c>
      <c r="AF81" t="e">
        <f>#REF!*#REF!+#REF!</f>
        <v>#REF!</v>
      </c>
      <c r="AJ81">
        <v>79000</v>
      </c>
      <c r="AK81">
        <v>303950</v>
      </c>
      <c r="AL81">
        <v>0.05</v>
      </c>
      <c r="AM81">
        <v>300000</v>
      </c>
      <c r="AO81" s="114">
        <v>2880000</v>
      </c>
      <c r="AP81">
        <f t="shared" si="55"/>
        <v>4174285.7142857141</v>
      </c>
      <c r="AQ81" s="134">
        <f t="shared" si="56"/>
        <v>1.4285714285714293</v>
      </c>
      <c r="AR81">
        <f t="shared" si="57"/>
        <v>59999.999999997672</v>
      </c>
    </row>
    <row r="82" spans="18:44" x14ac:dyDescent="0.15">
      <c r="R82" s="114">
        <v>6001215</v>
      </c>
      <c r="S82" s="114">
        <v>2380000</v>
      </c>
      <c r="T82" s="61">
        <v>2090000</v>
      </c>
      <c r="U82" s="136">
        <f t="shared" si="53"/>
        <v>0.5</v>
      </c>
      <c r="V82" s="137">
        <f t="shared" si="54"/>
        <v>900000</v>
      </c>
      <c r="Z82" s="114">
        <v>6001215</v>
      </c>
      <c r="AA82">
        <v>2180000</v>
      </c>
      <c r="AB82">
        <v>1993000</v>
      </c>
      <c r="AC82">
        <v>2000000</v>
      </c>
      <c r="AE82" t="e">
        <f>#REF!*#REF!+#REF!</f>
        <v>#REF!</v>
      </c>
      <c r="AF82" t="e">
        <f>#REF!*#REF!+#REF!</f>
        <v>#REF!</v>
      </c>
      <c r="AJ82">
        <v>80000</v>
      </c>
      <c r="AK82">
        <v>354000</v>
      </c>
      <c r="AL82">
        <v>0.05</v>
      </c>
      <c r="AM82">
        <v>350000</v>
      </c>
      <c r="AO82" s="114">
        <v>2890000</v>
      </c>
      <c r="AP82">
        <f t="shared" si="55"/>
        <v>4188571.4285714282</v>
      </c>
      <c r="AQ82" s="134">
        <f t="shared" si="56"/>
        <v>1.4285714285714293</v>
      </c>
      <c r="AR82">
        <f t="shared" si="57"/>
        <v>59999.999999997672</v>
      </c>
    </row>
    <row r="83" spans="18:44" x14ac:dyDescent="0.15">
      <c r="R83" s="114">
        <v>6001215</v>
      </c>
      <c r="S83" s="114">
        <v>2420000</v>
      </c>
      <c r="T83" s="61">
        <v>2110000</v>
      </c>
      <c r="U83" s="136">
        <f t="shared" si="53"/>
        <v>1</v>
      </c>
      <c r="V83" s="137">
        <f t="shared" si="54"/>
        <v>-310000</v>
      </c>
      <c r="Z83" s="114">
        <v>6001215</v>
      </c>
      <c r="AA83">
        <v>2220000</v>
      </c>
      <c r="AB83">
        <v>2013000</v>
      </c>
      <c r="AC83">
        <v>2010000</v>
      </c>
      <c r="AE83" t="e">
        <f>#REF!*#REF!+#REF!</f>
        <v>#REF!</v>
      </c>
      <c r="AF83" t="e">
        <f>#REF!*#REF!+#REF!</f>
        <v>#REF!</v>
      </c>
      <c r="AJ83">
        <v>81000</v>
      </c>
      <c r="AK83">
        <v>354050</v>
      </c>
      <c r="AL83">
        <v>0.05</v>
      </c>
      <c r="AM83">
        <v>350000</v>
      </c>
      <c r="AO83" s="114">
        <v>2900000</v>
      </c>
      <c r="AP83">
        <f t="shared" si="55"/>
        <v>4202857.1428571427</v>
      </c>
      <c r="AQ83" s="134">
        <f t="shared" si="56"/>
        <v>1.4285714285714293</v>
      </c>
      <c r="AR83">
        <f t="shared" si="57"/>
        <v>59999.999999997672</v>
      </c>
    </row>
    <row r="84" spans="18:44" x14ac:dyDescent="0.15">
      <c r="R84" s="114">
        <v>6001215</v>
      </c>
      <c r="S84" s="114">
        <v>2440000</v>
      </c>
      <c r="T84" s="61">
        <v>2130000</v>
      </c>
      <c r="U84" s="136">
        <f t="shared" si="53"/>
        <v>1</v>
      </c>
      <c r="V84" s="137">
        <f t="shared" si="54"/>
        <v>-310000</v>
      </c>
      <c r="Z84" s="114">
        <v>6001215</v>
      </c>
      <c r="AA84">
        <v>2260000</v>
      </c>
      <c r="AB84">
        <v>2033000</v>
      </c>
      <c r="AC84">
        <v>2030000</v>
      </c>
      <c r="AE84" t="e">
        <f>#REF!*#REF!+#REF!</f>
        <v>#REF!</v>
      </c>
      <c r="AF84" t="e">
        <f>#REF!*B21+#REF!</f>
        <v>#REF!</v>
      </c>
      <c r="AJ84">
        <v>82000</v>
      </c>
      <c r="AK84">
        <v>354100</v>
      </c>
      <c r="AL84">
        <v>0.05</v>
      </c>
      <c r="AM84">
        <v>350000</v>
      </c>
      <c r="AO84" s="114">
        <v>2910000</v>
      </c>
      <c r="AP84">
        <f t="shared" si="55"/>
        <v>4217142.8571428563</v>
      </c>
      <c r="AQ84" s="134">
        <f t="shared" si="56"/>
        <v>1.4285714285714293</v>
      </c>
      <c r="AR84">
        <f t="shared" si="57"/>
        <v>59999.999999997672</v>
      </c>
    </row>
    <row r="85" spans="18:44" x14ac:dyDescent="0.15">
      <c r="R85" s="114">
        <v>6001215</v>
      </c>
      <c r="S85" s="114">
        <v>2460000</v>
      </c>
      <c r="T85" s="61">
        <v>2150000</v>
      </c>
      <c r="U85" s="136">
        <f t="shared" si="53"/>
        <v>1</v>
      </c>
      <c r="V85" s="137">
        <f t="shared" si="54"/>
        <v>-310000</v>
      </c>
      <c r="Z85" s="114">
        <v>6001215</v>
      </c>
      <c r="AA85">
        <v>2300000</v>
      </c>
      <c r="AB85">
        <v>2053000</v>
      </c>
      <c r="AC85">
        <v>2050000</v>
      </c>
      <c r="AE85">
        <f>D21*B21+E21</f>
        <v>2000000</v>
      </c>
      <c r="AF85">
        <f>D21*B24+E21</f>
        <v>3680000.0000000019</v>
      </c>
      <c r="AJ85">
        <v>83000</v>
      </c>
      <c r="AK85">
        <v>354150</v>
      </c>
      <c r="AL85">
        <v>0.05</v>
      </c>
      <c r="AM85">
        <v>350000</v>
      </c>
      <c r="AO85" s="114">
        <v>2920000</v>
      </c>
      <c r="AP85">
        <f t="shared" si="55"/>
        <v>4231428.5714285709</v>
      </c>
      <c r="AQ85" s="134">
        <f t="shared" si="56"/>
        <v>1.4285714285714293</v>
      </c>
      <c r="AR85">
        <f t="shared" si="57"/>
        <v>59999.999999997672</v>
      </c>
    </row>
    <row r="86" spans="18:44" x14ac:dyDescent="0.15">
      <c r="R86" s="114">
        <v>6001215</v>
      </c>
      <c r="S86" s="114">
        <v>2480000</v>
      </c>
      <c r="T86" s="61">
        <v>2170000</v>
      </c>
      <c r="U86" s="136">
        <f>(T87-T86)/(S87-S86)</f>
        <v>0.25</v>
      </c>
      <c r="V86" s="137">
        <f>T86-U86*S86</f>
        <v>1550000</v>
      </c>
      <c r="Z86" s="114">
        <v>6001215</v>
      </c>
      <c r="AA86">
        <v>2340000</v>
      </c>
      <c r="AB86">
        <v>2073000</v>
      </c>
      <c r="AC86">
        <v>2070000</v>
      </c>
      <c r="AE86">
        <f>D24*B24+E24</f>
        <v>4059999.9999999995</v>
      </c>
      <c r="AF86">
        <f>D24*B25+E24</f>
        <v>5060000</v>
      </c>
      <c r="AJ86">
        <v>84000</v>
      </c>
      <c r="AK86">
        <v>354200</v>
      </c>
      <c r="AL86">
        <v>0.05</v>
      </c>
      <c r="AM86">
        <v>350000</v>
      </c>
      <c r="AO86" s="114">
        <v>2930000</v>
      </c>
      <c r="AP86">
        <f t="shared" si="55"/>
        <v>4245714.2857142854</v>
      </c>
      <c r="AQ86" s="134">
        <f t="shared" si="56"/>
        <v>1.4285714285714293</v>
      </c>
      <c r="AR86">
        <f t="shared" si="57"/>
        <v>59999.999999997672</v>
      </c>
    </row>
    <row r="87" spans="18:44" x14ac:dyDescent="0.15">
      <c r="R87" s="124">
        <v>6001215</v>
      </c>
      <c r="S87" s="124">
        <v>2500000</v>
      </c>
      <c r="T87" s="135">
        <v>2175000</v>
      </c>
      <c r="U87" s="133">
        <v>0.05</v>
      </c>
      <c r="V87" s="138">
        <f>T87-U87*S87</f>
        <v>2050000</v>
      </c>
      <c r="Z87" s="114">
        <v>6001215</v>
      </c>
      <c r="AA87">
        <v>2380000</v>
      </c>
      <c r="AB87">
        <v>2093000</v>
      </c>
      <c r="AC87">
        <v>2090000</v>
      </c>
      <c r="AE87">
        <f>D25*B25+E25</f>
        <v>5060000</v>
      </c>
      <c r="AF87" t="s">
        <v>297</v>
      </c>
      <c r="AJ87">
        <v>85000</v>
      </c>
      <c r="AK87">
        <v>404250</v>
      </c>
      <c r="AL87">
        <v>0.05</v>
      </c>
      <c r="AM87">
        <v>400000</v>
      </c>
      <c r="AO87" s="114">
        <v>2940000</v>
      </c>
      <c r="AP87">
        <f t="shared" si="55"/>
        <v>4260000</v>
      </c>
      <c r="AQ87" s="134">
        <f t="shared" si="56"/>
        <v>1.4285714285714293</v>
      </c>
      <c r="AR87">
        <f t="shared" si="57"/>
        <v>59999.999999997672</v>
      </c>
    </row>
    <row r="88" spans="18:44" x14ac:dyDescent="0.15">
      <c r="Z88" s="114">
        <v>6001215</v>
      </c>
      <c r="AA88">
        <v>2420000</v>
      </c>
      <c r="AB88">
        <v>2113000</v>
      </c>
      <c r="AC88">
        <v>2110000</v>
      </c>
      <c r="AJ88">
        <v>86000</v>
      </c>
      <c r="AK88">
        <v>404300</v>
      </c>
      <c r="AL88">
        <v>0.05</v>
      </c>
      <c r="AM88">
        <v>400000</v>
      </c>
      <c r="AO88" s="114">
        <v>2950000</v>
      </c>
      <c r="AP88">
        <f t="shared" si="55"/>
        <v>4274285.7142857146</v>
      </c>
      <c r="AQ88" s="134">
        <f t="shared" si="56"/>
        <v>1.4285714285714293</v>
      </c>
      <c r="AR88">
        <f t="shared" si="57"/>
        <v>59999.999999997672</v>
      </c>
    </row>
    <row r="89" spans="18:44" x14ac:dyDescent="0.15">
      <c r="Z89" s="114">
        <v>6001215</v>
      </c>
      <c r="AA89">
        <v>2440000</v>
      </c>
      <c r="AB89">
        <v>2132000</v>
      </c>
      <c r="AC89">
        <v>2130000</v>
      </c>
      <c r="AJ89">
        <v>87000</v>
      </c>
      <c r="AK89">
        <v>404350</v>
      </c>
      <c r="AL89">
        <v>0.05</v>
      </c>
      <c r="AM89">
        <v>400000</v>
      </c>
      <c r="AO89" s="114">
        <v>2960000</v>
      </c>
      <c r="AP89">
        <f t="shared" si="55"/>
        <v>4288571.4285714291</v>
      </c>
      <c r="AQ89" s="134">
        <f t="shared" si="56"/>
        <v>1.4285714285714293</v>
      </c>
      <c r="AR89">
        <f t="shared" si="57"/>
        <v>59999.999999997672</v>
      </c>
    </row>
    <row r="90" spans="18:44" x14ac:dyDescent="0.15">
      <c r="R90" s="131"/>
      <c r="S90" s="131"/>
      <c r="T90" s="131"/>
      <c r="U90" s="131"/>
      <c r="V90" s="132"/>
      <c r="Z90" s="114">
        <v>6001215</v>
      </c>
      <c r="AA90">
        <v>2460000</v>
      </c>
      <c r="AB90">
        <v>2151000</v>
      </c>
      <c r="AC90">
        <v>2150000</v>
      </c>
      <c r="AJ90">
        <v>88000</v>
      </c>
      <c r="AK90">
        <v>404400</v>
      </c>
      <c r="AL90">
        <v>0.05</v>
      </c>
      <c r="AM90">
        <v>400000</v>
      </c>
      <c r="AO90" s="114">
        <v>2970000</v>
      </c>
      <c r="AP90">
        <f t="shared" si="55"/>
        <v>4302857.1428571418</v>
      </c>
      <c r="AQ90" s="134">
        <f t="shared" si="56"/>
        <v>1.4285714285714293</v>
      </c>
      <c r="AR90">
        <f t="shared" si="57"/>
        <v>59999.999999997672</v>
      </c>
    </row>
    <row r="91" spans="18:44" x14ac:dyDescent="0.15">
      <c r="R91" s="106"/>
      <c r="S91" s="106"/>
      <c r="T91" s="106"/>
      <c r="U91" s="106"/>
      <c r="V91" s="125"/>
      <c r="Z91" s="114">
        <v>6001215</v>
      </c>
      <c r="AA91">
        <v>2480000</v>
      </c>
      <c r="AB91">
        <v>2170000</v>
      </c>
      <c r="AC91">
        <v>2170000</v>
      </c>
      <c r="AJ91">
        <v>89000</v>
      </c>
      <c r="AK91">
        <v>404450</v>
      </c>
      <c r="AL91">
        <v>0.05</v>
      </c>
      <c r="AM91">
        <v>400000</v>
      </c>
      <c r="AO91" s="114">
        <v>2980000</v>
      </c>
      <c r="AP91">
        <f t="shared" si="55"/>
        <v>4317142.8571428563</v>
      </c>
      <c r="AQ91" s="134">
        <f t="shared" si="56"/>
        <v>1.4285714285714293</v>
      </c>
      <c r="AR91">
        <f t="shared" si="57"/>
        <v>59999.999999997672</v>
      </c>
    </row>
    <row r="92" spans="18:44" x14ac:dyDescent="0.15">
      <c r="R92" s="106"/>
      <c r="S92" s="106"/>
      <c r="T92" s="106"/>
      <c r="U92" s="106"/>
      <c r="V92" s="125"/>
      <c r="Z92" s="114">
        <v>6001215</v>
      </c>
      <c r="AA92">
        <v>2500000</v>
      </c>
      <c r="AB92">
        <v>2175000</v>
      </c>
      <c r="AC92">
        <v>2175000</v>
      </c>
      <c r="AJ92">
        <v>90000</v>
      </c>
      <c r="AK92">
        <v>429500</v>
      </c>
      <c r="AL92">
        <v>0.05</v>
      </c>
      <c r="AM92">
        <v>425000</v>
      </c>
      <c r="AO92" s="114">
        <v>2990000</v>
      </c>
      <c r="AP92">
        <f t="shared" si="55"/>
        <v>4331428.5714285709</v>
      </c>
      <c r="AQ92" s="134">
        <f t="shared" si="56"/>
        <v>1.4285714285714293</v>
      </c>
      <c r="AR92">
        <f t="shared" si="57"/>
        <v>59999.999999997672</v>
      </c>
    </row>
    <row r="93" spans="18:44" x14ac:dyDescent="0.15">
      <c r="AO93" s="114">
        <v>3000000</v>
      </c>
      <c r="AP93">
        <f t="shared" si="55"/>
        <v>4345714.2857142854</v>
      </c>
      <c r="AQ93" s="134">
        <f t="shared" si="56"/>
        <v>1.4285714285714293</v>
      </c>
      <c r="AR93">
        <f t="shared" si="57"/>
        <v>59999.999999997672</v>
      </c>
    </row>
    <row r="94" spans="18:44" x14ac:dyDescent="0.15">
      <c r="AO94" s="114">
        <v>3010000</v>
      </c>
      <c r="AP94">
        <f t="shared" si="55"/>
        <v>4360000</v>
      </c>
      <c r="AQ94" s="134">
        <f t="shared" si="56"/>
        <v>1.4285714285714293</v>
      </c>
      <c r="AR94">
        <f t="shared" si="57"/>
        <v>59999.999999997672</v>
      </c>
    </row>
    <row r="95" spans="18:44" x14ac:dyDescent="0.15">
      <c r="AO95" s="114">
        <v>3020000</v>
      </c>
      <c r="AP95">
        <f t="shared" si="55"/>
        <v>4374285.7142857146</v>
      </c>
      <c r="AQ95" s="134">
        <f t="shared" si="56"/>
        <v>1.4285714285714293</v>
      </c>
      <c r="AR95">
        <f t="shared" si="57"/>
        <v>59999.999999997672</v>
      </c>
    </row>
    <row r="96" spans="18:44" x14ac:dyDescent="0.15">
      <c r="AO96" s="114">
        <v>3030000</v>
      </c>
      <c r="AP96">
        <f t="shared" si="55"/>
        <v>4388571.4285714291</v>
      </c>
      <c r="AQ96" s="134">
        <f t="shared" si="56"/>
        <v>1.4285714285714293</v>
      </c>
      <c r="AR96">
        <f t="shared" si="57"/>
        <v>59999.999999997672</v>
      </c>
    </row>
    <row r="97" spans="41:44" x14ac:dyDescent="0.15">
      <c r="AO97" s="114">
        <v>3040000</v>
      </c>
      <c r="AP97">
        <f t="shared" si="55"/>
        <v>4402857.1428571418</v>
      </c>
      <c r="AQ97" s="134">
        <f t="shared" si="56"/>
        <v>1.4285714285714293</v>
      </c>
      <c r="AR97">
        <f t="shared" si="57"/>
        <v>59999.999999997672</v>
      </c>
    </row>
    <row r="98" spans="41:44" x14ac:dyDescent="0.15">
      <c r="AO98" s="114">
        <v>3050000</v>
      </c>
      <c r="AP98">
        <f t="shared" si="55"/>
        <v>4417142.8571428563</v>
      </c>
      <c r="AQ98" s="134">
        <f t="shared" si="56"/>
        <v>1.4285714285714293</v>
      </c>
      <c r="AR98">
        <f t="shared" si="57"/>
        <v>59999.999999997672</v>
      </c>
    </row>
    <row r="99" spans="41:44" x14ac:dyDescent="0.15">
      <c r="AO99" s="114">
        <v>3060000</v>
      </c>
      <c r="AP99">
        <f t="shared" si="55"/>
        <v>4431428.5714285709</v>
      </c>
      <c r="AQ99" s="134">
        <f t="shared" si="56"/>
        <v>1.4285714285714293</v>
      </c>
      <c r="AR99">
        <f t="shared" si="57"/>
        <v>59999.999999997672</v>
      </c>
    </row>
    <row r="100" spans="41:44" x14ac:dyDescent="0.15">
      <c r="AO100" s="114">
        <v>3070000</v>
      </c>
      <c r="AP100">
        <f t="shared" si="55"/>
        <v>4445714.2857142854</v>
      </c>
      <c r="AQ100" s="134">
        <f t="shared" si="56"/>
        <v>1.4285714285714293</v>
      </c>
      <c r="AR100">
        <f t="shared" si="57"/>
        <v>59999.999999997672</v>
      </c>
    </row>
    <row r="101" spans="41:44" x14ac:dyDescent="0.15">
      <c r="AO101" s="114">
        <v>3080000</v>
      </c>
      <c r="AP101">
        <f t="shared" si="55"/>
        <v>4460000</v>
      </c>
      <c r="AQ101" s="134">
        <f t="shared" si="56"/>
        <v>1.4285714285714293</v>
      </c>
      <c r="AR101">
        <f t="shared" si="57"/>
        <v>59999.999999997672</v>
      </c>
    </row>
    <row r="102" spans="41:44" x14ac:dyDescent="0.15">
      <c r="AO102" s="114">
        <v>3090000</v>
      </c>
      <c r="AP102">
        <f t="shared" si="55"/>
        <v>4474285.7142857146</v>
      </c>
      <c r="AQ102" s="134">
        <f t="shared" si="56"/>
        <v>1.4285714285714293</v>
      </c>
      <c r="AR102">
        <f t="shared" si="57"/>
        <v>59999.999999997672</v>
      </c>
    </row>
    <row r="103" spans="41:44" x14ac:dyDescent="0.15">
      <c r="AO103" s="114">
        <v>3100000</v>
      </c>
      <c r="AP103">
        <f t="shared" si="55"/>
        <v>4488571.4285714291</v>
      </c>
      <c r="AQ103" s="134">
        <f t="shared" si="56"/>
        <v>1.4285714285714293</v>
      </c>
      <c r="AR103">
        <f t="shared" si="57"/>
        <v>59999.999999997672</v>
      </c>
    </row>
    <row r="104" spans="41:44" x14ac:dyDescent="0.15">
      <c r="AO104" s="114">
        <v>3110000</v>
      </c>
      <c r="AP104">
        <f t="shared" si="55"/>
        <v>4502857.1428571418</v>
      </c>
      <c r="AQ104" s="134">
        <f t="shared" si="56"/>
        <v>1.4285714285714293</v>
      </c>
      <c r="AR104">
        <f t="shared" si="57"/>
        <v>59999.999999997672</v>
      </c>
    </row>
    <row r="105" spans="41:44" x14ac:dyDescent="0.15">
      <c r="AO105" s="114">
        <v>3120000</v>
      </c>
      <c r="AP105">
        <f t="shared" si="55"/>
        <v>4517142.8571428563</v>
      </c>
      <c r="AQ105" s="134">
        <f t="shared" si="56"/>
        <v>1.4285714285714293</v>
      </c>
      <c r="AR105">
        <f t="shared" si="57"/>
        <v>59999.999999997672</v>
      </c>
    </row>
    <row r="106" spans="41:44" x14ac:dyDescent="0.15">
      <c r="AO106" s="114">
        <v>3130000</v>
      </c>
      <c r="AP106">
        <f t="shared" si="55"/>
        <v>4531428.5714285709</v>
      </c>
      <c r="AQ106" s="134">
        <f t="shared" si="56"/>
        <v>1.4285714285714293</v>
      </c>
      <c r="AR106">
        <f t="shared" si="57"/>
        <v>59999.999999997672</v>
      </c>
    </row>
    <row r="107" spans="41:44" x14ac:dyDescent="0.15">
      <c r="AO107" s="114">
        <v>3140000</v>
      </c>
      <c r="AP107">
        <f t="shared" si="55"/>
        <v>4545714.2857142854</v>
      </c>
      <c r="AQ107" s="134">
        <f t="shared" si="56"/>
        <v>1.4285714285714293</v>
      </c>
      <c r="AR107">
        <f t="shared" si="57"/>
        <v>59999.999999997672</v>
      </c>
    </row>
    <row r="108" spans="41:44" x14ac:dyDescent="0.15">
      <c r="AO108" s="114">
        <v>3150000</v>
      </c>
      <c r="AP108">
        <f t="shared" si="55"/>
        <v>4560000</v>
      </c>
      <c r="AQ108" s="134">
        <f t="shared" si="56"/>
        <v>1.4285714285714293</v>
      </c>
      <c r="AR108">
        <f t="shared" si="57"/>
        <v>59999.999999997672</v>
      </c>
    </row>
    <row r="109" spans="41:44" x14ac:dyDescent="0.15">
      <c r="AO109" s="114">
        <v>3160000</v>
      </c>
      <c r="AP109">
        <f t="shared" si="55"/>
        <v>4574285.7142857146</v>
      </c>
      <c r="AQ109" s="134">
        <f t="shared" si="56"/>
        <v>1.4285714285714293</v>
      </c>
      <c r="AR109">
        <f t="shared" si="57"/>
        <v>59999.999999997672</v>
      </c>
    </row>
    <row r="110" spans="41:44" x14ac:dyDescent="0.15">
      <c r="AO110" s="114">
        <v>3170000</v>
      </c>
      <c r="AP110">
        <f t="shared" si="55"/>
        <v>4588571.4285714291</v>
      </c>
      <c r="AQ110" s="134">
        <f t="shared" si="56"/>
        <v>1.4285714285714293</v>
      </c>
      <c r="AR110">
        <f t="shared" si="57"/>
        <v>59999.999999997672</v>
      </c>
    </row>
  </sheetData>
  <phoneticPr fontId="7"/>
  <pageMargins left="0.7" right="0.7" top="0.75" bottom="0.75" header="0.3" footer="0.3"/>
  <pageSetup paperSize="9" orientation="portrait" horizontalDpi="0" verticalDpi="0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FF0000"/>
  </sheetPr>
  <dimension ref="A1:O161"/>
  <sheetViews>
    <sheetView zoomScale="90" zoomScaleNormal="177" zoomScalePageLayoutView="177" workbookViewId="0">
      <selection activeCell="D57" sqref="D57"/>
    </sheetView>
  </sheetViews>
  <sheetFormatPr baseColWidth="12" defaultRowHeight="15" x14ac:dyDescent="0.15"/>
  <sheetData>
    <row r="1" spans="1:15" x14ac:dyDescent="0.15">
      <c r="A1" s="57" t="s">
        <v>246</v>
      </c>
      <c r="B1" s="57" t="s">
        <v>247</v>
      </c>
      <c r="C1" s="57" t="s">
        <v>277</v>
      </c>
      <c r="D1" s="57" t="s">
        <v>248</v>
      </c>
      <c r="E1" s="57" t="s">
        <v>249</v>
      </c>
      <c r="H1" s="130" t="s">
        <v>298</v>
      </c>
      <c r="I1" s="130" t="s">
        <v>299</v>
      </c>
      <c r="J1" s="130" t="s">
        <v>300</v>
      </c>
      <c r="L1" s="57" t="s">
        <v>247</v>
      </c>
      <c r="M1" s="57" t="s">
        <v>277</v>
      </c>
      <c r="N1" s="57" t="s">
        <v>248</v>
      </c>
      <c r="O1" s="57" t="s">
        <v>249</v>
      </c>
    </row>
    <row r="2" spans="1:15" x14ac:dyDescent="0.15">
      <c r="A2" s="120">
        <v>6001211</v>
      </c>
      <c r="B2" s="120">
        <v>0</v>
      </c>
      <c r="C2" s="127">
        <v>0</v>
      </c>
      <c r="D2" s="128">
        <f t="shared" ref="D2:D13" si="0">(C3-C2)/(B3-B2)</f>
        <v>-300000</v>
      </c>
      <c r="E2" s="129">
        <f t="shared" ref="E2:E13" si="1">C2-D2*B2</f>
        <v>0</v>
      </c>
      <c r="F2">
        <f>B2*D2+E2</f>
        <v>0</v>
      </c>
      <c r="H2">
        <v>0</v>
      </c>
      <c r="I2" s="120">
        <v>0</v>
      </c>
      <c r="J2" s="120">
        <v>0</v>
      </c>
      <c r="L2" s="120">
        <v>0</v>
      </c>
      <c r="M2" s="127">
        <v>0</v>
      </c>
      <c r="N2" s="128">
        <f t="shared" ref="N2:N13" si="2">(M3-M2)/(L3-L2)</f>
        <v>-300000</v>
      </c>
      <c r="O2" s="129">
        <f t="shared" ref="O2:O13" si="3">M2-N2*L2</f>
        <v>0</v>
      </c>
    </row>
    <row r="3" spans="1:15" x14ac:dyDescent="0.15">
      <c r="A3" s="120">
        <v>6001211</v>
      </c>
      <c r="B3" s="120">
        <v>0.01</v>
      </c>
      <c r="C3" s="127">
        <v>-3000</v>
      </c>
      <c r="D3" s="128">
        <f>(C4-C3)/(B4-B3)</f>
        <v>-300000</v>
      </c>
      <c r="E3" s="129">
        <f t="shared" si="1"/>
        <v>0</v>
      </c>
      <c r="F3">
        <f t="shared" ref="F3:F71" si="4">B3*D3+E3</f>
        <v>-3000</v>
      </c>
      <c r="H3">
        <v>-3000</v>
      </c>
      <c r="I3" s="120">
        <v>-200000</v>
      </c>
      <c r="J3" s="122">
        <v>-1000</v>
      </c>
      <c r="L3" s="120">
        <v>0.01</v>
      </c>
      <c r="M3" s="127">
        <v>-3000</v>
      </c>
      <c r="N3" s="128">
        <f t="shared" si="2"/>
        <v>-300000</v>
      </c>
      <c r="O3" s="129">
        <f t="shared" si="3"/>
        <v>0</v>
      </c>
    </row>
    <row r="4" spans="1:15" x14ac:dyDescent="0.15">
      <c r="A4" s="120">
        <v>6001211</v>
      </c>
      <c r="B4" s="120">
        <v>0.05</v>
      </c>
      <c r="C4" s="127">
        <v>-15000</v>
      </c>
      <c r="D4" s="128">
        <f t="shared" si="0"/>
        <v>-300000</v>
      </c>
      <c r="E4" s="129">
        <f t="shared" si="1"/>
        <v>0</v>
      </c>
      <c r="F4">
        <f t="shared" si="4"/>
        <v>-15000</v>
      </c>
      <c r="H4">
        <v>-15000</v>
      </c>
      <c r="I4" s="120">
        <v>-200000</v>
      </c>
      <c r="J4" s="122">
        <v>-5000</v>
      </c>
      <c r="L4" s="120">
        <v>0.05</v>
      </c>
      <c r="M4" s="127">
        <v>-15000</v>
      </c>
      <c r="N4" s="128">
        <f t="shared" si="2"/>
        <v>-300000</v>
      </c>
      <c r="O4" s="129">
        <f t="shared" si="3"/>
        <v>0</v>
      </c>
    </row>
    <row r="5" spans="1:15" x14ac:dyDescent="0.15">
      <c r="A5" s="120">
        <v>6001211</v>
      </c>
      <c r="B5" s="120">
        <v>0.1</v>
      </c>
      <c r="C5" s="127">
        <v>-30000</v>
      </c>
      <c r="D5" s="128">
        <f t="shared" si="0"/>
        <v>-300000</v>
      </c>
      <c r="E5" s="129">
        <f t="shared" si="1"/>
        <v>0</v>
      </c>
      <c r="F5">
        <f t="shared" si="4"/>
        <v>-30000</v>
      </c>
      <c r="H5">
        <v>-30000</v>
      </c>
      <c r="I5" s="120">
        <v>-200000</v>
      </c>
      <c r="J5" s="122">
        <v>-10000</v>
      </c>
      <c r="L5" s="120">
        <v>0.1</v>
      </c>
      <c r="M5" s="127">
        <v>-30000</v>
      </c>
      <c r="N5" s="128">
        <f t="shared" si="2"/>
        <v>-300000</v>
      </c>
      <c r="O5" s="129">
        <f t="shared" si="3"/>
        <v>0</v>
      </c>
    </row>
    <row r="6" spans="1:15" x14ac:dyDescent="0.15">
      <c r="A6" s="120">
        <v>6001211</v>
      </c>
      <c r="B6" s="120">
        <v>0.2</v>
      </c>
      <c r="C6" s="127">
        <v>-60000</v>
      </c>
      <c r="D6" s="128">
        <f t="shared" si="0"/>
        <v>-300000</v>
      </c>
      <c r="E6" s="129">
        <f t="shared" si="1"/>
        <v>0</v>
      </c>
      <c r="F6">
        <f t="shared" si="4"/>
        <v>-60000</v>
      </c>
      <c r="H6">
        <v>-60000</v>
      </c>
      <c r="I6" s="120">
        <v>-200000</v>
      </c>
      <c r="J6" s="118">
        <v>-20000</v>
      </c>
      <c r="L6" s="120">
        <v>0.2</v>
      </c>
      <c r="M6" s="127">
        <v>-60000</v>
      </c>
      <c r="N6" s="128">
        <f t="shared" si="2"/>
        <v>-300000</v>
      </c>
      <c r="O6" s="129">
        <f t="shared" si="3"/>
        <v>0</v>
      </c>
    </row>
    <row r="7" spans="1:15" x14ac:dyDescent="0.15">
      <c r="A7" s="120">
        <v>6001211</v>
      </c>
      <c r="B7" s="120">
        <v>0.4</v>
      </c>
      <c r="C7" s="127">
        <v>-120000</v>
      </c>
      <c r="D7" s="128">
        <f t="shared" si="0"/>
        <v>-300000.00000000006</v>
      </c>
      <c r="E7" s="129">
        <f t="shared" si="1"/>
        <v>0</v>
      </c>
      <c r="F7">
        <f t="shared" si="4"/>
        <v>-120000.00000000003</v>
      </c>
      <c r="H7">
        <v>-120000</v>
      </c>
      <c r="I7" s="120">
        <v>-200000</v>
      </c>
      <c r="J7" s="118">
        <v>-40000</v>
      </c>
      <c r="L7" s="120">
        <v>0.4</v>
      </c>
      <c r="M7" s="127">
        <v>-120000</v>
      </c>
      <c r="N7" s="128">
        <f t="shared" si="2"/>
        <v>-300000.00000000006</v>
      </c>
      <c r="O7" s="129">
        <f t="shared" si="3"/>
        <v>0</v>
      </c>
    </row>
    <row r="8" spans="1:15" x14ac:dyDescent="0.15">
      <c r="A8" s="120">
        <v>6001211</v>
      </c>
      <c r="B8" s="120">
        <v>0.6</v>
      </c>
      <c r="C8" s="127">
        <v>-180000</v>
      </c>
      <c r="D8" s="128">
        <f t="shared" si="0"/>
        <v>-299999.99999999988</v>
      </c>
      <c r="E8" s="129">
        <f t="shared" si="1"/>
        <v>0</v>
      </c>
      <c r="F8">
        <f t="shared" si="4"/>
        <v>-179999.99999999991</v>
      </c>
      <c r="H8">
        <v>-180000</v>
      </c>
      <c r="I8" s="120">
        <v>-200000</v>
      </c>
      <c r="J8" s="118">
        <v>-60000</v>
      </c>
      <c r="L8" s="120">
        <v>0.6</v>
      </c>
      <c r="M8" s="127">
        <v>-180000</v>
      </c>
      <c r="N8" s="128">
        <f t="shared" si="2"/>
        <v>-299999.99999999988</v>
      </c>
      <c r="O8" s="129">
        <f t="shared" si="3"/>
        <v>0</v>
      </c>
    </row>
    <row r="9" spans="1:15" x14ac:dyDescent="0.15">
      <c r="A9" s="120">
        <v>6001211</v>
      </c>
      <c r="B9" s="120">
        <v>0.8</v>
      </c>
      <c r="C9" s="127">
        <v>-240000</v>
      </c>
      <c r="D9" s="128">
        <f t="shared" si="0"/>
        <v>-300000.00000000006</v>
      </c>
      <c r="E9" s="129">
        <f t="shared" si="1"/>
        <v>0</v>
      </c>
      <c r="F9">
        <f t="shared" si="4"/>
        <v>-240000.00000000006</v>
      </c>
      <c r="H9">
        <v>-240000</v>
      </c>
      <c r="I9" s="120">
        <v>-200000</v>
      </c>
      <c r="J9" s="118">
        <v>-80000</v>
      </c>
      <c r="L9" s="120">
        <v>0.8</v>
      </c>
      <c r="M9" s="127">
        <v>-240000</v>
      </c>
      <c r="N9" s="128">
        <f t="shared" si="2"/>
        <v>-300000.00000000006</v>
      </c>
      <c r="O9" s="129">
        <f t="shared" si="3"/>
        <v>0</v>
      </c>
    </row>
    <row r="10" spans="1:15" x14ac:dyDescent="0.15">
      <c r="A10" s="120">
        <v>6001211</v>
      </c>
      <c r="B10" s="120">
        <v>1</v>
      </c>
      <c r="C10" s="127">
        <v>-300000</v>
      </c>
      <c r="D10" s="128">
        <f t="shared" si="0"/>
        <v>-300000.00000000006</v>
      </c>
      <c r="E10" s="129">
        <f t="shared" si="1"/>
        <v>0</v>
      </c>
      <c r="F10">
        <f t="shared" si="4"/>
        <v>-300000.00000000006</v>
      </c>
      <c r="H10">
        <v>-300000</v>
      </c>
      <c r="I10" s="120">
        <v>-200000</v>
      </c>
      <c r="J10" s="118">
        <v>-100000</v>
      </c>
      <c r="L10" s="120">
        <v>1</v>
      </c>
      <c r="M10" s="127">
        <v>-300000</v>
      </c>
      <c r="N10" s="128">
        <f t="shared" si="2"/>
        <v>-300000.00000000006</v>
      </c>
      <c r="O10" s="129">
        <f t="shared" si="3"/>
        <v>0</v>
      </c>
    </row>
    <row r="11" spans="1:15" x14ac:dyDescent="0.15">
      <c r="A11" s="120">
        <v>6001211</v>
      </c>
      <c r="B11" s="120">
        <v>1.2</v>
      </c>
      <c r="C11" s="127">
        <v>-360000</v>
      </c>
      <c r="D11" s="128">
        <f t="shared" si="0"/>
        <v>-300000.00000000006</v>
      </c>
      <c r="E11" s="129">
        <f t="shared" si="1"/>
        <v>0</v>
      </c>
      <c r="F11">
        <f t="shared" si="4"/>
        <v>-360000.00000000006</v>
      </c>
      <c r="H11">
        <v>-360000</v>
      </c>
      <c r="I11" s="120">
        <v>-200000</v>
      </c>
      <c r="J11" s="118">
        <v>-120000</v>
      </c>
      <c r="L11" s="120">
        <v>1.2</v>
      </c>
      <c r="M11" s="127">
        <v>-360000</v>
      </c>
      <c r="N11" s="128">
        <f t="shared" si="2"/>
        <v>-300000.00000000006</v>
      </c>
      <c r="O11" s="129">
        <f t="shared" si="3"/>
        <v>0</v>
      </c>
    </row>
    <row r="12" spans="1:15" x14ac:dyDescent="0.15">
      <c r="A12" s="120">
        <v>6001211</v>
      </c>
      <c r="B12" s="120">
        <v>1.4</v>
      </c>
      <c r="C12" s="127">
        <v>-420000</v>
      </c>
      <c r="D12" s="128">
        <f t="shared" si="0"/>
        <v>-299999.99999999971</v>
      </c>
      <c r="E12" s="129">
        <f t="shared" si="1"/>
        <v>0</v>
      </c>
      <c r="F12">
        <f t="shared" si="4"/>
        <v>-419999.99999999959</v>
      </c>
      <c r="H12">
        <v>-420000</v>
      </c>
      <c r="I12" s="120">
        <v>-200000</v>
      </c>
      <c r="J12" s="118">
        <v>-140000</v>
      </c>
      <c r="L12" s="120">
        <v>1.4</v>
      </c>
      <c r="M12" s="127">
        <v>-420000</v>
      </c>
      <c r="N12" s="128">
        <f t="shared" si="2"/>
        <v>-299999.99999999971</v>
      </c>
      <c r="O12" s="129">
        <f t="shared" si="3"/>
        <v>0</v>
      </c>
    </row>
    <row r="13" spans="1:15" x14ac:dyDescent="0.15">
      <c r="A13" s="120">
        <v>6001211</v>
      </c>
      <c r="B13" s="120">
        <v>1.6</v>
      </c>
      <c r="C13" s="127">
        <v>-480000</v>
      </c>
      <c r="D13" s="128">
        <f t="shared" si="0"/>
        <v>-300000.00000000006</v>
      </c>
      <c r="E13" s="129">
        <f t="shared" si="1"/>
        <v>0</v>
      </c>
      <c r="F13">
        <f t="shared" si="4"/>
        <v>-480000.00000000012</v>
      </c>
      <c r="H13">
        <v>-480000</v>
      </c>
      <c r="I13" s="120">
        <v>-200000</v>
      </c>
      <c r="J13" s="118">
        <v>-160000</v>
      </c>
      <c r="L13" s="120">
        <v>1.6</v>
      </c>
      <c r="M13" s="127">
        <v>-480000</v>
      </c>
      <c r="N13" s="128">
        <f t="shared" si="2"/>
        <v>-300000.00000000006</v>
      </c>
      <c r="O13" s="129">
        <f t="shared" si="3"/>
        <v>0</v>
      </c>
    </row>
    <row r="14" spans="1:15" x14ac:dyDescent="0.15">
      <c r="A14" s="120">
        <v>6001211</v>
      </c>
      <c r="B14" s="120">
        <v>1.8</v>
      </c>
      <c r="C14" s="127">
        <v>-540000</v>
      </c>
      <c r="D14" s="128">
        <f>(C15-C14)/(B15-B14)</f>
        <v>-2300000.0000000005</v>
      </c>
      <c r="E14" s="129">
        <f>C14-D14*B14</f>
        <v>3600000.0000000009</v>
      </c>
      <c r="F14">
        <f t="shared" si="4"/>
        <v>-540000</v>
      </c>
      <c r="H14">
        <v>-540000</v>
      </c>
      <c r="I14" s="120">
        <v>-200000</v>
      </c>
      <c r="J14" s="118">
        <v>-180000</v>
      </c>
      <c r="L14" s="120">
        <v>1.8</v>
      </c>
      <c r="M14" s="127">
        <v>-540000</v>
      </c>
      <c r="N14" s="128">
        <f>(M15-M14)/(L15-L14)</f>
        <v>-2300000.0000000005</v>
      </c>
      <c r="O14" s="129">
        <f>M14-N14*L14</f>
        <v>3600000.0000000009</v>
      </c>
    </row>
    <row r="15" spans="1:15" x14ac:dyDescent="0.15">
      <c r="A15" s="120">
        <v>6001211</v>
      </c>
      <c r="B15" s="120">
        <v>2</v>
      </c>
      <c r="C15" s="127">
        <v>-1000000</v>
      </c>
      <c r="D15" s="118">
        <v>0</v>
      </c>
      <c r="E15" s="116">
        <v>-10000000</v>
      </c>
      <c r="F15">
        <f t="shared" si="4"/>
        <v>-10000000</v>
      </c>
      <c r="H15">
        <v>-1000000</v>
      </c>
      <c r="I15" s="120">
        <v>0</v>
      </c>
      <c r="J15" s="118">
        <v>-1000000</v>
      </c>
      <c r="L15" s="120">
        <v>2</v>
      </c>
      <c r="M15" s="127">
        <v>-1000000</v>
      </c>
      <c r="N15" s="118">
        <v>0</v>
      </c>
      <c r="O15" s="116">
        <v>-10000000</v>
      </c>
    </row>
    <row r="16" spans="1:15" x14ac:dyDescent="0.15">
      <c r="A16" s="121">
        <v>6001212</v>
      </c>
      <c r="B16" s="121">
        <v>0</v>
      </c>
      <c r="C16" s="127">
        <v>0</v>
      </c>
      <c r="D16" s="128">
        <f t="shared" ref="D16:D27" si="5">(C17-C16)/(B17-B16)</f>
        <v>-300000</v>
      </c>
      <c r="E16" s="129">
        <f t="shared" ref="E16:E27" si="6">C16-D16*B16</f>
        <v>0</v>
      </c>
      <c r="F16">
        <f t="shared" si="4"/>
        <v>0</v>
      </c>
      <c r="H16">
        <v>0</v>
      </c>
      <c r="I16" s="121">
        <v>0</v>
      </c>
      <c r="J16" s="121">
        <v>0</v>
      </c>
      <c r="L16" s="121">
        <v>0</v>
      </c>
      <c r="M16" s="127">
        <v>0</v>
      </c>
      <c r="N16" s="128">
        <f t="shared" ref="N16:N27" si="7">(M17-M16)/(L17-L16)</f>
        <v>-300000</v>
      </c>
      <c r="O16" s="129">
        <f t="shared" ref="O16:O27" si="8">M16-N16*L16</f>
        <v>0</v>
      </c>
    </row>
    <row r="17" spans="1:15" x14ac:dyDescent="0.15">
      <c r="A17" s="121">
        <v>6001212</v>
      </c>
      <c r="B17" s="121">
        <v>0.01</v>
      </c>
      <c r="C17" s="127">
        <v>-3000</v>
      </c>
      <c r="D17" s="128">
        <f t="shared" si="5"/>
        <v>-300000</v>
      </c>
      <c r="E17" s="129">
        <f t="shared" si="6"/>
        <v>0</v>
      </c>
      <c r="F17">
        <f t="shared" si="4"/>
        <v>-3000</v>
      </c>
      <c r="H17">
        <v>-3000</v>
      </c>
      <c r="I17" s="121">
        <v>-200000</v>
      </c>
      <c r="J17" s="123">
        <v>-1000</v>
      </c>
      <c r="L17" s="121">
        <v>0.01</v>
      </c>
      <c r="M17" s="127">
        <v>-3000</v>
      </c>
      <c r="N17" s="128">
        <f t="shared" si="7"/>
        <v>-300000</v>
      </c>
      <c r="O17" s="129">
        <f t="shared" si="8"/>
        <v>0</v>
      </c>
    </row>
    <row r="18" spans="1:15" x14ac:dyDescent="0.15">
      <c r="A18" s="121">
        <v>6001212</v>
      </c>
      <c r="B18" s="121">
        <v>0.05</v>
      </c>
      <c r="C18" s="127">
        <v>-15000</v>
      </c>
      <c r="D18" s="128">
        <f t="shared" si="5"/>
        <v>-300000</v>
      </c>
      <c r="E18" s="129">
        <f t="shared" si="6"/>
        <v>0</v>
      </c>
      <c r="F18">
        <f t="shared" si="4"/>
        <v>-15000</v>
      </c>
      <c r="H18">
        <v>-15000</v>
      </c>
      <c r="I18" s="121">
        <v>-200000</v>
      </c>
      <c r="J18" s="123">
        <v>-5000</v>
      </c>
      <c r="L18" s="121">
        <v>0.05</v>
      </c>
      <c r="M18" s="127">
        <v>-15000</v>
      </c>
      <c r="N18" s="128">
        <f t="shared" si="7"/>
        <v>-300000</v>
      </c>
      <c r="O18" s="129">
        <f t="shared" si="8"/>
        <v>0</v>
      </c>
    </row>
    <row r="19" spans="1:15" x14ac:dyDescent="0.15">
      <c r="A19" s="121">
        <v>6001212</v>
      </c>
      <c r="B19" s="121">
        <v>0.1</v>
      </c>
      <c r="C19" s="127">
        <v>-30000</v>
      </c>
      <c r="D19" s="128">
        <f t="shared" si="5"/>
        <v>-300000</v>
      </c>
      <c r="E19" s="129">
        <f t="shared" si="6"/>
        <v>0</v>
      </c>
      <c r="F19">
        <f t="shared" si="4"/>
        <v>-30000</v>
      </c>
      <c r="H19">
        <v>-30000</v>
      </c>
      <c r="I19" s="121">
        <v>-200000</v>
      </c>
      <c r="J19" s="123">
        <v>-10000</v>
      </c>
      <c r="L19" s="121">
        <v>0.1</v>
      </c>
      <c r="M19" s="127">
        <v>-30000</v>
      </c>
      <c r="N19" s="128">
        <f t="shared" si="7"/>
        <v>-300000</v>
      </c>
      <c r="O19" s="129">
        <f t="shared" si="8"/>
        <v>0</v>
      </c>
    </row>
    <row r="20" spans="1:15" x14ac:dyDescent="0.15">
      <c r="A20" s="121">
        <v>6001212</v>
      </c>
      <c r="B20" s="121">
        <v>0.2</v>
      </c>
      <c r="C20" s="127">
        <v>-60000</v>
      </c>
      <c r="D20" s="128">
        <f t="shared" si="5"/>
        <v>-300000</v>
      </c>
      <c r="E20" s="129">
        <f t="shared" si="6"/>
        <v>0</v>
      </c>
      <c r="F20">
        <f t="shared" si="4"/>
        <v>-60000</v>
      </c>
      <c r="H20">
        <v>-60000</v>
      </c>
      <c r="I20" s="121">
        <v>-200000</v>
      </c>
      <c r="J20" s="119">
        <v>-20000</v>
      </c>
      <c r="L20" s="121">
        <v>0.2</v>
      </c>
      <c r="M20" s="127">
        <v>-60000</v>
      </c>
      <c r="N20" s="128">
        <f t="shared" si="7"/>
        <v>-300000</v>
      </c>
      <c r="O20" s="129">
        <f t="shared" si="8"/>
        <v>0</v>
      </c>
    </row>
    <row r="21" spans="1:15" x14ac:dyDescent="0.15">
      <c r="A21" s="121">
        <v>6001212</v>
      </c>
      <c r="B21" s="121">
        <v>0.4</v>
      </c>
      <c r="C21" s="127">
        <v>-120000</v>
      </c>
      <c r="D21" s="128">
        <f t="shared" si="5"/>
        <v>-300000.00000000006</v>
      </c>
      <c r="E21" s="129">
        <f t="shared" si="6"/>
        <v>0</v>
      </c>
      <c r="F21">
        <f t="shared" si="4"/>
        <v>-120000.00000000003</v>
      </c>
      <c r="H21">
        <v>-120000</v>
      </c>
      <c r="I21" s="121">
        <v>-200000</v>
      </c>
      <c r="J21" s="119">
        <v>-40000</v>
      </c>
      <c r="L21" s="121">
        <v>0.4</v>
      </c>
      <c r="M21" s="127">
        <v>-120000</v>
      </c>
      <c r="N21" s="128">
        <f t="shared" si="7"/>
        <v>-300000.00000000006</v>
      </c>
      <c r="O21" s="129">
        <f t="shared" si="8"/>
        <v>0</v>
      </c>
    </row>
    <row r="22" spans="1:15" x14ac:dyDescent="0.15">
      <c r="A22" s="121">
        <v>6001212</v>
      </c>
      <c r="B22" s="121">
        <v>0.6</v>
      </c>
      <c r="C22" s="127">
        <v>-180000</v>
      </c>
      <c r="D22" s="128">
        <f t="shared" si="5"/>
        <v>-299999.99999999988</v>
      </c>
      <c r="E22" s="129">
        <f t="shared" si="6"/>
        <v>0</v>
      </c>
      <c r="F22">
        <f t="shared" si="4"/>
        <v>-179999.99999999991</v>
      </c>
      <c r="H22">
        <v>-180000</v>
      </c>
      <c r="I22" s="121">
        <v>-200000</v>
      </c>
      <c r="J22" s="119">
        <v>-60000</v>
      </c>
      <c r="L22" s="121">
        <v>0.6</v>
      </c>
      <c r="M22" s="127">
        <v>-180000</v>
      </c>
      <c r="N22" s="128">
        <f t="shared" si="7"/>
        <v>-299999.99999999988</v>
      </c>
      <c r="O22" s="129">
        <f t="shared" si="8"/>
        <v>0</v>
      </c>
    </row>
    <row r="23" spans="1:15" x14ac:dyDescent="0.15">
      <c r="A23" s="121">
        <v>6001212</v>
      </c>
      <c r="B23" s="121">
        <v>0.8</v>
      </c>
      <c r="C23" s="127">
        <v>-240000</v>
      </c>
      <c r="D23" s="128">
        <f t="shared" si="5"/>
        <v>-300000.00000000006</v>
      </c>
      <c r="E23" s="129">
        <f t="shared" si="6"/>
        <v>0</v>
      </c>
      <c r="F23">
        <f t="shared" si="4"/>
        <v>-240000.00000000006</v>
      </c>
      <c r="H23">
        <v>-240000</v>
      </c>
      <c r="I23" s="121">
        <v>-200000</v>
      </c>
      <c r="J23" s="119">
        <v>-80000</v>
      </c>
      <c r="L23" s="121">
        <v>0.8</v>
      </c>
      <c r="M23" s="127">
        <v>-240000</v>
      </c>
      <c r="N23" s="128">
        <f t="shared" si="7"/>
        <v>-300000.00000000006</v>
      </c>
      <c r="O23" s="129">
        <f t="shared" si="8"/>
        <v>0</v>
      </c>
    </row>
    <row r="24" spans="1:15" x14ac:dyDescent="0.15">
      <c r="A24" s="121">
        <v>6001212</v>
      </c>
      <c r="B24" s="121">
        <v>1</v>
      </c>
      <c r="C24" s="127">
        <v>-300000</v>
      </c>
      <c r="D24" s="128">
        <f t="shared" si="5"/>
        <v>-300000.00000000006</v>
      </c>
      <c r="E24" s="129">
        <f t="shared" si="6"/>
        <v>0</v>
      </c>
      <c r="F24">
        <f t="shared" si="4"/>
        <v>-300000.00000000006</v>
      </c>
      <c r="H24">
        <v>-300000</v>
      </c>
      <c r="I24" s="121">
        <v>-200000</v>
      </c>
      <c r="J24" s="119">
        <v>-100000</v>
      </c>
      <c r="L24" s="121">
        <v>1</v>
      </c>
      <c r="M24" s="127">
        <v>-300000</v>
      </c>
      <c r="N24" s="128">
        <f t="shared" si="7"/>
        <v>-300000.00000000006</v>
      </c>
      <c r="O24" s="129">
        <f t="shared" si="8"/>
        <v>0</v>
      </c>
    </row>
    <row r="25" spans="1:15" x14ac:dyDescent="0.15">
      <c r="A25" s="121">
        <v>6001212</v>
      </c>
      <c r="B25" s="121">
        <v>1.2</v>
      </c>
      <c r="C25" s="127">
        <v>-360000</v>
      </c>
      <c r="D25" s="128">
        <f t="shared" si="5"/>
        <v>-300000.00000000006</v>
      </c>
      <c r="E25" s="129">
        <f t="shared" si="6"/>
        <v>0</v>
      </c>
      <c r="F25">
        <f t="shared" si="4"/>
        <v>-360000.00000000006</v>
      </c>
      <c r="H25">
        <v>-360000</v>
      </c>
      <c r="I25" s="121">
        <v>-200000</v>
      </c>
      <c r="J25" s="119">
        <v>-120000</v>
      </c>
      <c r="L25" s="121">
        <v>1.2</v>
      </c>
      <c r="M25" s="127">
        <v>-360000</v>
      </c>
      <c r="N25" s="128">
        <f t="shared" si="7"/>
        <v>-300000.00000000006</v>
      </c>
      <c r="O25" s="129">
        <f t="shared" si="8"/>
        <v>0</v>
      </c>
    </row>
    <row r="26" spans="1:15" x14ac:dyDescent="0.15">
      <c r="A26" s="121">
        <v>6001212</v>
      </c>
      <c r="B26" s="121">
        <v>1.4</v>
      </c>
      <c r="C26" s="127">
        <v>-420000</v>
      </c>
      <c r="D26" s="128">
        <f t="shared" si="5"/>
        <v>-299999.99999999971</v>
      </c>
      <c r="E26" s="129">
        <f t="shared" si="6"/>
        <v>0</v>
      </c>
      <c r="F26">
        <f t="shared" si="4"/>
        <v>-419999.99999999959</v>
      </c>
      <c r="H26">
        <v>-420000</v>
      </c>
      <c r="I26" s="121">
        <v>-200000</v>
      </c>
      <c r="J26" s="119">
        <v>-140000</v>
      </c>
      <c r="L26" s="121">
        <v>1.4</v>
      </c>
      <c r="M26" s="127">
        <v>-420000</v>
      </c>
      <c r="N26" s="128">
        <f t="shared" si="7"/>
        <v>-299999.99999999971</v>
      </c>
      <c r="O26" s="129">
        <f t="shared" si="8"/>
        <v>0</v>
      </c>
    </row>
    <row r="27" spans="1:15" x14ac:dyDescent="0.15">
      <c r="A27" s="121">
        <v>6001212</v>
      </c>
      <c r="B27" s="121">
        <v>1.6</v>
      </c>
      <c r="C27" s="127">
        <v>-480000</v>
      </c>
      <c r="D27" s="128">
        <f t="shared" si="5"/>
        <v>-300000.00000000006</v>
      </c>
      <c r="E27" s="129">
        <f t="shared" si="6"/>
        <v>0</v>
      </c>
      <c r="F27">
        <f t="shared" si="4"/>
        <v>-480000.00000000012</v>
      </c>
      <c r="H27">
        <v>-480000</v>
      </c>
      <c r="I27" s="121">
        <v>-200000</v>
      </c>
      <c r="J27" s="119">
        <v>-160000</v>
      </c>
      <c r="L27" s="121">
        <v>1.6</v>
      </c>
      <c r="M27" s="127">
        <v>-480000</v>
      </c>
      <c r="N27" s="128">
        <f t="shared" si="7"/>
        <v>-300000.00000000006</v>
      </c>
      <c r="O27" s="129">
        <f t="shared" si="8"/>
        <v>0</v>
      </c>
    </row>
    <row r="28" spans="1:15" x14ac:dyDescent="0.15">
      <c r="A28" s="121">
        <v>6001212</v>
      </c>
      <c r="B28" s="121">
        <v>1.8</v>
      </c>
      <c r="C28" s="127">
        <v>-540000</v>
      </c>
      <c r="D28" s="128">
        <f>(C29-C28)/(B29-B28)</f>
        <v>-2300000.0000000005</v>
      </c>
      <c r="E28" s="129">
        <f>C28-D28*B28</f>
        <v>3600000.0000000009</v>
      </c>
      <c r="F28">
        <f t="shared" si="4"/>
        <v>-540000</v>
      </c>
      <c r="H28">
        <v>-540000</v>
      </c>
      <c r="I28" s="121">
        <v>-200000</v>
      </c>
      <c r="J28" s="119">
        <v>-180000</v>
      </c>
      <c r="L28" s="121">
        <v>1.8</v>
      </c>
      <c r="M28" s="127">
        <v>-540000</v>
      </c>
      <c r="N28" s="128">
        <f>(M29-M28)/(L29-L28)</f>
        <v>-2300000.0000000005</v>
      </c>
      <c r="O28" s="129">
        <f>M28-N28*L28</f>
        <v>3600000.0000000009</v>
      </c>
    </row>
    <row r="29" spans="1:15" x14ac:dyDescent="0.15">
      <c r="A29" s="121">
        <v>6001212</v>
      </c>
      <c r="B29" s="121">
        <v>2</v>
      </c>
      <c r="C29" s="127">
        <v>-1000000</v>
      </c>
      <c r="D29" s="119">
        <v>0</v>
      </c>
      <c r="E29" s="117">
        <v>-10000000</v>
      </c>
      <c r="F29">
        <f t="shared" si="4"/>
        <v>-10000000</v>
      </c>
      <c r="H29">
        <v>-1000000</v>
      </c>
      <c r="I29" s="121">
        <v>0</v>
      </c>
      <c r="J29" s="119">
        <v>-1000000</v>
      </c>
      <c r="L29" s="121">
        <v>2</v>
      </c>
      <c r="M29" s="127">
        <v>-1000000</v>
      </c>
      <c r="N29" s="119">
        <v>0</v>
      </c>
      <c r="O29" s="117">
        <v>-10000000</v>
      </c>
    </row>
    <row r="30" spans="1:15" x14ac:dyDescent="0.15">
      <c r="A30" s="120">
        <v>6001213</v>
      </c>
      <c r="B30" s="120">
        <v>0</v>
      </c>
      <c r="C30" s="127">
        <v>0</v>
      </c>
      <c r="D30" s="128">
        <f t="shared" ref="D30:D46" si="9">(C31-C30)/(B31-B30)</f>
        <v>-1200000</v>
      </c>
      <c r="E30" s="129">
        <f t="shared" ref="E30:E46" si="10">C30-D30*B30</f>
        <v>0</v>
      </c>
      <c r="F30">
        <f>B30*D30+E30</f>
        <v>0</v>
      </c>
      <c r="H30">
        <v>0</v>
      </c>
      <c r="I30" s="120">
        <v>0</v>
      </c>
      <c r="J30" s="120">
        <v>0</v>
      </c>
      <c r="L30" s="120">
        <v>0</v>
      </c>
      <c r="M30" s="127">
        <v>0</v>
      </c>
      <c r="N30" s="128">
        <f t="shared" ref="N30:N46" si="11">(M31-M30)/(L31-L30)</f>
        <v>-1200000</v>
      </c>
      <c r="O30" s="129">
        <f t="shared" ref="O30:O46" si="12">M30-N30*L30</f>
        <v>0</v>
      </c>
    </row>
    <row r="31" spans="1:15" x14ac:dyDescent="0.15">
      <c r="A31" s="120">
        <v>6001213</v>
      </c>
      <c r="B31" s="120">
        <v>0.01</v>
      </c>
      <c r="C31" s="127">
        <v>-12000</v>
      </c>
      <c r="D31" s="128">
        <f t="shared" si="9"/>
        <v>-1200000</v>
      </c>
      <c r="E31" s="129">
        <f t="shared" si="10"/>
        <v>0</v>
      </c>
      <c r="F31">
        <f t="shared" si="4"/>
        <v>-12000</v>
      </c>
      <c r="H31">
        <v>-12000</v>
      </c>
      <c r="I31" s="120">
        <v>-200000</v>
      </c>
      <c r="J31" s="122">
        <v>-10000</v>
      </c>
      <c r="L31" s="120">
        <v>0.01</v>
      </c>
      <c r="M31" s="127">
        <v>-12000</v>
      </c>
      <c r="N31" s="128">
        <f t="shared" si="11"/>
        <v>-1200000</v>
      </c>
      <c r="O31" s="129">
        <f t="shared" si="12"/>
        <v>0</v>
      </c>
    </row>
    <row r="32" spans="1:15" x14ac:dyDescent="0.15">
      <c r="A32" s="120">
        <v>6001213</v>
      </c>
      <c r="B32" s="120">
        <v>0.05</v>
      </c>
      <c r="C32" s="127">
        <v>-60000</v>
      </c>
      <c r="D32" s="128">
        <f t="shared" si="9"/>
        <v>-1200000</v>
      </c>
      <c r="E32" s="129">
        <f t="shared" si="10"/>
        <v>0</v>
      </c>
      <c r="F32">
        <f t="shared" si="4"/>
        <v>-60000</v>
      </c>
      <c r="H32">
        <v>-60000</v>
      </c>
      <c r="I32" s="120">
        <v>-200000</v>
      </c>
      <c r="J32" s="122">
        <v>-50000</v>
      </c>
      <c r="L32" s="120">
        <v>0.05</v>
      </c>
      <c r="M32" s="127">
        <v>-60000</v>
      </c>
      <c r="N32" s="128">
        <f t="shared" si="11"/>
        <v>-1200000</v>
      </c>
      <c r="O32" s="129">
        <f t="shared" si="12"/>
        <v>0</v>
      </c>
    </row>
    <row r="33" spans="1:15" x14ac:dyDescent="0.15">
      <c r="A33" s="120">
        <v>6001213</v>
      </c>
      <c r="B33" s="120">
        <v>0.1</v>
      </c>
      <c r="C33" s="127">
        <v>-120000</v>
      </c>
      <c r="D33" s="128">
        <f t="shared" si="9"/>
        <v>-1200000</v>
      </c>
      <c r="E33" s="129">
        <f t="shared" si="10"/>
        <v>0</v>
      </c>
      <c r="F33">
        <f t="shared" si="4"/>
        <v>-120000</v>
      </c>
      <c r="H33">
        <v>-120000</v>
      </c>
      <c r="I33" s="120">
        <v>-200000</v>
      </c>
      <c r="J33" s="122">
        <v>-100000</v>
      </c>
      <c r="L33" s="120">
        <v>0.1</v>
      </c>
      <c r="M33" s="127">
        <v>-120000</v>
      </c>
      <c r="N33" s="128">
        <f t="shared" si="11"/>
        <v>-1200000</v>
      </c>
      <c r="O33" s="129">
        <f t="shared" si="12"/>
        <v>0</v>
      </c>
    </row>
    <row r="34" spans="1:15" x14ac:dyDescent="0.15">
      <c r="A34" s="120">
        <v>6001213</v>
      </c>
      <c r="B34" s="120">
        <v>0.2</v>
      </c>
      <c r="C34" s="127">
        <v>-240000</v>
      </c>
      <c r="D34" s="128">
        <f t="shared" si="9"/>
        <v>-1200000</v>
      </c>
      <c r="E34" s="129">
        <f t="shared" si="10"/>
        <v>0</v>
      </c>
      <c r="F34">
        <f t="shared" si="4"/>
        <v>-240000</v>
      </c>
      <c r="H34">
        <v>-240000</v>
      </c>
      <c r="I34" s="120">
        <v>-200000</v>
      </c>
      <c r="J34" s="118">
        <v>-200000</v>
      </c>
      <c r="L34" s="120">
        <v>0.2</v>
      </c>
      <c r="M34" s="127">
        <v>-240000</v>
      </c>
      <c r="N34" s="128">
        <f t="shared" si="11"/>
        <v>-1200000</v>
      </c>
      <c r="O34" s="129">
        <f t="shared" si="12"/>
        <v>0</v>
      </c>
    </row>
    <row r="35" spans="1:15" x14ac:dyDescent="0.15">
      <c r="A35" s="120">
        <v>6001213</v>
      </c>
      <c r="B35" s="120">
        <v>0.4</v>
      </c>
      <c r="C35" s="127">
        <v>-480000</v>
      </c>
      <c r="D35" s="128">
        <f t="shared" si="9"/>
        <v>-1200000.0000000002</v>
      </c>
      <c r="E35" s="129">
        <f t="shared" si="10"/>
        <v>0</v>
      </c>
      <c r="F35">
        <f t="shared" si="4"/>
        <v>-480000.00000000012</v>
      </c>
      <c r="H35">
        <v>-480000</v>
      </c>
      <c r="I35" s="120">
        <v>-200000</v>
      </c>
      <c r="J35" s="118">
        <v>-400000</v>
      </c>
      <c r="L35" s="120">
        <v>0.4</v>
      </c>
      <c r="M35" s="127">
        <v>-480000</v>
      </c>
      <c r="N35" s="128">
        <f t="shared" si="11"/>
        <v>-1200000.0000000002</v>
      </c>
      <c r="O35" s="129">
        <f t="shared" si="12"/>
        <v>0</v>
      </c>
    </row>
    <row r="36" spans="1:15" x14ac:dyDescent="0.15">
      <c r="A36" s="120">
        <v>6001213</v>
      </c>
      <c r="B36" s="120">
        <v>0.6</v>
      </c>
      <c r="C36" s="127">
        <v>-720000</v>
      </c>
      <c r="D36" s="128">
        <f t="shared" si="9"/>
        <v>-1199999.9999999995</v>
      </c>
      <c r="E36" s="129">
        <f t="shared" si="10"/>
        <v>0</v>
      </c>
      <c r="F36">
        <f t="shared" si="4"/>
        <v>-719999.99999999965</v>
      </c>
      <c r="H36">
        <v>-720000</v>
      </c>
      <c r="I36" s="120">
        <v>-200000</v>
      </c>
      <c r="J36" s="118">
        <v>-600000</v>
      </c>
      <c r="L36" s="120">
        <v>0.6</v>
      </c>
      <c r="M36" s="127">
        <v>-720000</v>
      </c>
      <c r="N36" s="128">
        <f t="shared" si="11"/>
        <v>-1199999.9999999995</v>
      </c>
      <c r="O36" s="129">
        <f t="shared" si="12"/>
        <v>0</v>
      </c>
    </row>
    <row r="37" spans="1:15" x14ac:dyDescent="0.15">
      <c r="A37" s="120">
        <v>6001213</v>
      </c>
      <c r="B37" s="120">
        <v>0.8</v>
      </c>
      <c r="C37" s="127">
        <v>-960000</v>
      </c>
      <c r="D37" s="128">
        <f t="shared" si="9"/>
        <v>-1200000.0000000002</v>
      </c>
      <c r="E37" s="129">
        <f t="shared" si="10"/>
        <v>0</v>
      </c>
      <c r="F37">
        <f t="shared" si="4"/>
        <v>-960000.00000000023</v>
      </c>
      <c r="H37">
        <v>-960000</v>
      </c>
      <c r="I37" s="120">
        <v>-200000</v>
      </c>
      <c r="J37" s="118">
        <v>-800000</v>
      </c>
      <c r="L37" s="120">
        <v>0.8</v>
      </c>
      <c r="M37" s="127">
        <v>-960000</v>
      </c>
      <c r="N37" s="128">
        <f t="shared" si="11"/>
        <v>-1200000.0000000002</v>
      </c>
      <c r="O37" s="129">
        <f t="shared" si="12"/>
        <v>0</v>
      </c>
    </row>
    <row r="38" spans="1:15" x14ac:dyDescent="0.15">
      <c r="A38" s="120">
        <v>6001213</v>
      </c>
      <c r="B38" s="120">
        <v>1</v>
      </c>
      <c r="C38" s="127">
        <v>-1200000</v>
      </c>
      <c r="D38" s="128">
        <f t="shared" si="9"/>
        <v>-1200000.0000000002</v>
      </c>
      <c r="E38" s="129">
        <f t="shared" si="10"/>
        <v>0</v>
      </c>
      <c r="F38">
        <f t="shared" si="4"/>
        <v>-1200000.0000000002</v>
      </c>
      <c r="H38">
        <v>-1200000</v>
      </c>
      <c r="I38" s="120">
        <v>-200000</v>
      </c>
      <c r="J38" s="118">
        <v>-1000000</v>
      </c>
      <c r="L38" s="120">
        <v>1</v>
      </c>
      <c r="M38" s="127">
        <v>-1200000</v>
      </c>
      <c r="N38" s="128">
        <f t="shared" si="11"/>
        <v>-1200000.0000000002</v>
      </c>
      <c r="O38" s="129">
        <f t="shared" si="12"/>
        <v>0</v>
      </c>
    </row>
    <row r="39" spans="1:15" x14ac:dyDescent="0.15">
      <c r="A39" s="120">
        <v>6001213</v>
      </c>
      <c r="B39" s="120">
        <v>1.2</v>
      </c>
      <c r="C39" s="127">
        <v>-1440000</v>
      </c>
      <c r="D39" s="128">
        <f t="shared" si="9"/>
        <v>-1200000.0000000002</v>
      </c>
      <c r="E39" s="129">
        <f t="shared" si="10"/>
        <v>0</v>
      </c>
      <c r="F39">
        <f t="shared" si="4"/>
        <v>-1440000.0000000002</v>
      </c>
      <c r="H39">
        <v>-1440000</v>
      </c>
      <c r="I39" s="120">
        <v>-200000</v>
      </c>
      <c r="J39" s="118">
        <v>-1200000</v>
      </c>
      <c r="L39" s="120">
        <v>1.2</v>
      </c>
      <c r="M39" s="127">
        <v>-1440000</v>
      </c>
      <c r="N39" s="128">
        <f t="shared" si="11"/>
        <v>-1200000.0000000002</v>
      </c>
      <c r="O39" s="129">
        <f t="shared" si="12"/>
        <v>0</v>
      </c>
    </row>
    <row r="40" spans="1:15" x14ac:dyDescent="0.15">
      <c r="A40" s="120">
        <v>6001213</v>
      </c>
      <c r="B40" s="120">
        <v>1.4</v>
      </c>
      <c r="C40" s="127">
        <v>-1680000</v>
      </c>
      <c r="D40" s="128">
        <f t="shared" si="9"/>
        <v>-1199999.9999999988</v>
      </c>
      <c r="E40" s="129">
        <f t="shared" si="10"/>
        <v>0</v>
      </c>
      <c r="F40">
        <f t="shared" si="4"/>
        <v>-1679999.9999999984</v>
      </c>
      <c r="H40">
        <v>-1680000</v>
      </c>
      <c r="I40" s="120">
        <v>-200000</v>
      </c>
      <c r="J40" s="118">
        <v>-1400000</v>
      </c>
      <c r="L40" s="120">
        <v>1.4</v>
      </c>
      <c r="M40" s="127">
        <v>-1680000</v>
      </c>
      <c r="N40" s="128">
        <f t="shared" si="11"/>
        <v>-1199999.9999999988</v>
      </c>
      <c r="O40" s="129">
        <f t="shared" si="12"/>
        <v>0</v>
      </c>
    </row>
    <row r="41" spans="1:15" x14ac:dyDescent="0.15">
      <c r="A41" s="120">
        <v>6001213</v>
      </c>
      <c r="B41" s="120">
        <v>1.6</v>
      </c>
      <c r="C41" s="127">
        <v>-1920000</v>
      </c>
      <c r="D41" s="128">
        <f t="shared" si="9"/>
        <v>-1200000.0000000002</v>
      </c>
      <c r="E41" s="129">
        <f t="shared" si="10"/>
        <v>0</v>
      </c>
      <c r="F41">
        <f t="shared" si="4"/>
        <v>-1920000.0000000005</v>
      </c>
      <c r="H41">
        <v>-1920000</v>
      </c>
      <c r="I41" s="120">
        <v>-200000</v>
      </c>
      <c r="J41" s="118">
        <v>-1600000</v>
      </c>
      <c r="L41" s="120">
        <v>1.6</v>
      </c>
      <c r="M41" s="127">
        <v>-1920000</v>
      </c>
      <c r="N41" s="128">
        <f t="shared" si="11"/>
        <v>-1200000.0000000002</v>
      </c>
      <c r="O41" s="129">
        <f t="shared" si="12"/>
        <v>0</v>
      </c>
    </row>
    <row r="42" spans="1:15" x14ac:dyDescent="0.15">
      <c r="A42" s="120">
        <v>6001213</v>
      </c>
      <c r="B42" s="120">
        <v>1.8</v>
      </c>
      <c r="C42" s="127">
        <v>-2160000</v>
      </c>
      <c r="D42" s="128">
        <f t="shared" si="9"/>
        <v>-1200000.0000000002</v>
      </c>
      <c r="E42" s="129">
        <f t="shared" si="10"/>
        <v>0</v>
      </c>
      <c r="F42">
        <f t="shared" si="4"/>
        <v>-2160000.0000000005</v>
      </c>
      <c r="H42">
        <v>-2160000</v>
      </c>
      <c r="I42" s="120">
        <v>-200000</v>
      </c>
      <c r="J42" s="118">
        <v>-1800000</v>
      </c>
      <c r="L42" s="120">
        <v>1.8</v>
      </c>
      <c r="M42" s="127">
        <v>-2160000</v>
      </c>
      <c r="N42" s="128">
        <f t="shared" si="11"/>
        <v>-1200000.0000000002</v>
      </c>
      <c r="O42" s="129">
        <f t="shared" si="12"/>
        <v>0</v>
      </c>
    </row>
    <row r="43" spans="1:15" x14ac:dyDescent="0.15">
      <c r="A43" s="120">
        <v>6001213</v>
      </c>
      <c r="B43" s="120">
        <v>2</v>
      </c>
      <c r="C43" s="127">
        <v>-2400000</v>
      </c>
      <c r="D43" s="128">
        <f t="shared" si="9"/>
        <v>-1199999.9999999988</v>
      </c>
      <c r="E43" s="129">
        <f t="shared" si="10"/>
        <v>0</v>
      </c>
      <c r="F43">
        <f t="shared" si="4"/>
        <v>-2399999.9999999977</v>
      </c>
      <c r="H43">
        <v>-2400000</v>
      </c>
      <c r="I43" s="120">
        <v>-200000</v>
      </c>
      <c r="J43" s="118">
        <v>-2000000</v>
      </c>
      <c r="L43" s="120">
        <v>2</v>
      </c>
      <c r="M43" s="127">
        <v>-2400000</v>
      </c>
      <c r="N43" s="128">
        <f t="shared" si="11"/>
        <v>-1199999.9999999988</v>
      </c>
      <c r="O43" s="129">
        <f t="shared" si="12"/>
        <v>0</v>
      </c>
    </row>
    <row r="44" spans="1:15" x14ac:dyDescent="0.15">
      <c r="A44" s="120">
        <v>6001213</v>
      </c>
      <c r="B44" s="120">
        <v>2.2000000000000002</v>
      </c>
      <c r="C44" s="127">
        <v>-2640000</v>
      </c>
      <c r="D44" s="128">
        <f t="shared" si="9"/>
        <v>-1200000.0000000016</v>
      </c>
      <c r="E44" s="129">
        <f t="shared" si="10"/>
        <v>3.7252902984619141E-9</v>
      </c>
      <c r="F44">
        <f t="shared" si="4"/>
        <v>-2640000</v>
      </c>
      <c r="H44">
        <v>-2640000</v>
      </c>
      <c r="I44" s="120">
        <v>-200000</v>
      </c>
      <c r="J44" s="118">
        <v>-2200000</v>
      </c>
      <c r="L44" s="120">
        <v>2.2000000000000002</v>
      </c>
      <c r="M44" s="127">
        <v>-2640000</v>
      </c>
      <c r="N44" s="128">
        <f t="shared" si="11"/>
        <v>-1200000.0000000016</v>
      </c>
      <c r="O44" s="129">
        <f t="shared" si="12"/>
        <v>3.7252902984619141E-9</v>
      </c>
    </row>
    <row r="45" spans="1:15" x14ac:dyDescent="0.15">
      <c r="A45" s="120">
        <v>6001213</v>
      </c>
      <c r="B45" s="120">
        <v>2.4</v>
      </c>
      <c r="C45" s="127">
        <v>-2880000</v>
      </c>
      <c r="D45" s="128">
        <f t="shared" si="9"/>
        <v>-1199999.9999999988</v>
      </c>
      <c r="E45" s="129">
        <f t="shared" si="10"/>
        <v>0</v>
      </c>
      <c r="F45">
        <f t="shared" si="4"/>
        <v>-2879999.9999999972</v>
      </c>
      <c r="H45">
        <v>-2880000</v>
      </c>
      <c r="I45" s="120">
        <v>-200000</v>
      </c>
      <c r="J45" s="118">
        <v>-2400000</v>
      </c>
      <c r="L45" s="120">
        <v>2.4</v>
      </c>
      <c r="M45" s="127">
        <v>-2880000</v>
      </c>
      <c r="N45" s="128">
        <f t="shared" si="11"/>
        <v>-1199999.9999999988</v>
      </c>
      <c r="O45" s="129">
        <f t="shared" si="12"/>
        <v>0</v>
      </c>
    </row>
    <row r="46" spans="1:15" x14ac:dyDescent="0.15">
      <c r="A46" s="120">
        <v>6001213</v>
      </c>
      <c r="B46" s="120">
        <v>2.6</v>
      </c>
      <c r="C46" s="127">
        <v>-3120000</v>
      </c>
      <c r="D46" s="128">
        <f t="shared" si="9"/>
        <v>-1200000.0000000016</v>
      </c>
      <c r="E46" s="129">
        <f t="shared" si="10"/>
        <v>4.1909515857696533E-9</v>
      </c>
      <c r="F46">
        <f t="shared" si="4"/>
        <v>-3120000</v>
      </c>
      <c r="H46">
        <v>-3120000</v>
      </c>
      <c r="I46" s="120">
        <v>-200000</v>
      </c>
      <c r="J46" s="118">
        <v>-2600000</v>
      </c>
      <c r="L46" s="120">
        <v>2.6</v>
      </c>
      <c r="M46" s="127">
        <v>-3120000</v>
      </c>
      <c r="N46" s="128">
        <f t="shared" si="11"/>
        <v>-1200000.0000000016</v>
      </c>
      <c r="O46" s="129">
        <f t="shared" si="12"/>
        <v>4.1909515857696533E-9</v>
      </c>
    </row>
    <row r="47" spans="1:15" x14ac:dyDescent="0.15">
      <c r="A47" s="120">
        <v>6001213</v>
      </c>
      <c r="B47" s="120">
        <v>2.8</v>
      </c>
      <c r="C47" s="127">
        <v>-3360000</v>
      </c>
      <c r="D47" s="128">
        <f>(C48-C47)/(B48-B47)</f>
        <v>-33199999.99999997</v>
      </c>
      <c r="E47" s="129">
        <f>C47-D47*B47</f>
        <v>89599999.999999911</v>
      </c>
      <c r="F47">
        <f t="shared" si="4"/>
        <v>-3360000</v>
      </c>
      <c r="H47">
        <v>-3360000</v>
      </c>
      <c r="I47" s="120">
        <v>-200000</v>
      </c>
      <c r="J47" s="118">
        <v>-2800000</v>
      </c>
      <c r="L47" s="120">
        <v>2.8</v>
      </c>
      <c r="M47" s="127">
        <v>-3360000</v>
      </c>
      <c r="N47" s="128">
        <f>(M48-M47)/(L48-L47)</f>
        <v>-33199999.99999997</v>
      </c>
      <c r="O47" s="129">
        <f>M47-N47*L47</f>
        <v>89599999.999999911</v>
      </c>
    </row>
    <row r="48" spans="1:15" x14ac:dyDescent="0.15">
      <c r="A48" s="120">
        <v>6001213</v>
      </c>
      <c r="B48" s="120">
        <v>3</v>
      </c>
      <c r="C48" s="127">
        <v>-10000000</v>
      </c>
      <c r="D48" s="118">
        <v>0</v>
      </c>
      <c r="E48" s="116">
        <v>-10000000</v>
      </c>
      <c r="F48">
        <f t="shared" si="4"/>
        <v>-10000000</v>
      </c>
      <c r="H48">
        <v>-10000000</v>
      </c>
      <c r="I48" s="120">
        <v>0</v>
      </c>
      <c r="J48" s="118">
        <v>-10000000</v>
      </c>
      <c r="L48" s="120">
        <v>3</v>
      </c>
      <c r="M48" s="127">
        <v>-10000000</v>
      </c>
      <c r="N48" s="118">
        <v>0</v>
      </c>
      <c r="O48" s="116">
        <v>-10000000</v>
      </c>
    </row>
    <row r="49" spans="1:15" x14ac:dyDescent="0.15">
      <c r="A49" s="121">
        <v>6001214</v>
      </c>
      <c r="B49" s="121">
        <v>0</v>
      </c>
      <c r="C49" s="127">
        <v>0</v>
      </c>
      <c r="D49" s="128">
        <f t="shared" ref="D49:D60" si="13">(C50-C49)/(B50-B49)</f>
        <v>-1200000</v>
      </c>
      <c r="E49" s="129">
        <f t="shared" ref="E49:E60" si="14">C49-D49*B49</f>
        <v>0</v>
      </c>
      <c r="F49">
        <f>B49*D49+E49</f>
        <v>0</v>
      </c>
      <c r="H49">
        <v>0</v>
      </c>
      <c r="I49" s="121">
        <v>0</v>
      </c>
      <c r="J49" s="121">
        <v>0</v>
      </c>
      <c r="L49" s="121">
        <v>0</v>
      </c>
      <c r="M49" s="127">
        <v>0</v>
      </c>
      <c r="N49" s="128">
        <f t="shared" ref="N49:N60" si="15">(M50-M49)/(L50-L49)</f>
        <v>-1200000</v>
      </c>
      <c r="O49" s="129">
        <f t="shared" ref="O49:O60" si="16">M49-N49*L49</f>
        <v>0</v>
      </c>
    </row>
    <row r="50" spans="1:15" x14ac:dyDescent="0.15">
      <c r="A50" s="121">
        <v>6001214</v>
      </c>
      <c r="B50" s="121">
        <v>0.01</v>
      </c>
      <c r="C50" s="127">
        <v>-12000</v>
      </c>
      <c r="D50" s="128">
        <f t="shared" si="13"/>
        <v>-1200000</v>
      </c>
      <c r="E50" s="129">
        <f t="shared" si="14"/>
        <v>0</v>
      </c>
      <c r="F50">
        <f t="shared" si="4"/>
        <v>-12000</v>
      </c>
      <c r="H50">
        <v>-12000</v>
      </c>
      <c r="I50" s="121">
        <v>-200000</v>
      </c>
      <c r="J50" s="123">
        <v>-10000</v>
      </c>
      <c r="L50" s="121">
        <v>0.01</v>
      </c>
      <c r="M50" s="127">
        <v>-12000</v>
      </c>
      <c r="N50" s="128">
        <f t="shared" si="15"/>
        <v>-1200000</v>
      </c>
      <c r="O50" s="129">
        <f t="shared" si="16"/>
        <v>0</v>
      </c>
    </row>
    <row r="51" spans="1:15" x14ac:dyDescent="0.15">
      <c r="A51" s="121">
        <v>6001214</v>
      </c>
      <c r="B51" s="121">
        <v>0.05</v>
      </c>
      <c r="C51" s="127">
        <v>-60000</v>
      </c>
      <c r="D51" s="128">
        <f t="shared" si="13"/>
        <v>-1200000</v>
      </c>
      <c r="E51" s="129">
        <f t="shared" si="14"/>
        <v>0</v>
      </c>
      <c r="F51">
        <f t="shared" si="4"/>
        <v>-60000</v>
      </c>
      <c r="H51">
        <v>-60000</v>
      </c>
      <c r="I51" s="121">
        <v>-200000</v>
      </c>
      <c r="J51" s="123">
        <v>-50000</v>
      </c>
      <c r="L51" s="121">
        <v>0.05</v>
      </c>
      <c r="M51" s="127">
        <v>-60000</v>
      </c>
      <c r="N51" s="128">
        <f t="shared" si="15"/>
        <v>-1200000</v>
      </c>
      <c r="O51" s="129">
        <f t="shared" si="16"/>
        <v>0</v>
      </c>
    </row>
    <row r="52" spans="1:15" x14ac:dyDescent="0.15">
      <c r="A52" s="121">
        <v>6001214</v>
      </c>
      <c r="B52" s="121">
        <v>0.1</v>
      </c>
      <c r="C52" s="127">
        <v>-120000</v>
      </c>
      <c r="D52" s="128">
        <f t="shared" si="13"/>
        <v>-1200000</v>
      </c>
      <c r="E52" s="129">
        <f t="shared" si="14"/>
        <v>0</v>
      </c>
      <c r="F52">
        <f t="shared" si="4"/>
        <v>-120000</v>
      </c>
      <c r="H52">
        <v>-120000</v>
      </c>
      <c r="I52" s="121">
        <v>-200000</v>
      </c>
      <c r="J52" s="123">
        <v>-100000</v>
      </c>
      <c r="L52" s="121">
        <v>0.1</v>
      </c>
      <c r="M52" s="127">
        <v>-120000</v>
      </c>
      <c r="N52" s="128">
        <f t="shared" si="15"/>
        <v>-1200000</v>
      </c>
      <c r="O52" s="129">
        <f t="shared" si="16"/>
        <v>0</v>
      </c>
    </row>
    <row r="53" spans="1:15" x14ac:dyDescent="0.15">
      <c r="A53" s="121">
        <v>6001214</v>
      </c>
      <c r="B53" s="121">
        <v>0.2</v>
      </c>
      <c r="C53" s="127">
        <v>-240000</v>
      </c>
      <c r="D53" s="128">
        <f t="shared" si="13"/>
        <v>-1200000</v>
      </c>
      <c r="E53" s="129">
        <f t="shared" si="14"/>
        <v>0</v>
      </c>
      <c r="F53">
        <f t="shared" si="4"/>
        <v>-240000</v>
      </c>
      <c r="H53">
        <v>-240000</v>
      </c>
      <c r="I53" s="121">
        <v>-200000</v>
      </c>
      <c r="J53" s="119">
        <v>-200000</v>
      </c>
      <c r="L53" s="121">
        <v>0.2</v>
      </c>
      <c r="M53" s="127">
        <v>-240000</v>
      </c>
      <c r="N53" s="128">
        <f t="shared" si="15"/>
        <v>-1200000</v>
      </c>
      <c r="O53" s="129">
        <f t="shared" si="16"/>
        <v>0</v>
      </c>
    </row>
    <row r="54" spans="1:15" x14ac:dyDescent="0.15">
      <c r="A54" s="121">
        <v>6001214</v>
      </c>
      <c r="B54" s="121">
        <v>0.4</v>
      </c>
      <c r="C54" s="127">
        <v>-480000</v>
      </c>
      <c r="D54" s="128">
        <f t="shared" si="13"/>
        <v>-1200000.0000000002</v>
      </c>
      <c r="E54" s="129">
        <f t="shared" si="14"/>
        <v>0</v>
      </c>
      <c r="F54">
        <f t="shared" si="4"/>
        <v>-480000.00000000012</v>
      </c>
      <c r="H54">
        <v>-480000</v>
      </c>
      <c r="I54" s="121">
        <v>-200000</v>
      </c>
      <c r="J54" s="119">
        <v>-400000</v>
      </c>
      <c r="L54" s="121">
        <v>0.4</v>
      </c>
      <c r="M54" s="127">
        <v>-480000</v>
      </c>
      <c r="N54" s="128">
        <f t="shared" si="15"/>
        <v>-1200000.0000000002</v>
      </c>
      <c r="O54" s="129">
        <f t="shared" si="16"/>
        <v>0</v>
      </c>
    </row>
    <row r="55" spans="1:15" x14ac:dyDescent="0.15">
      <c r="A55" s="121">
        <v>6001214</v>
      </c>
      <c r="B55" s="121">
        <v>0.6</v>
      </c>
      <c r="C55" s="127">
        <v>-720000</v>
      </c>
      <c r="D55" s="128">
        <f t="shared" si="13"/>
        <v>-1199999.9999999995</v>
      </c>
      <c r="E55" s="129">
        <f t="shared" si="14"/>
        <v>0</v>
      </c>
      <c r="F55">
        <f t="shared" si="4"/>
        <v>-719999.99999999965</v>
      </c>
      <c r="H55">
        <v>-720000</v>
      </c>
      <c r="I55" s="121">
        <v>-200000</v>
      </c>
      <c r="J55" s="119">
        <v>-600000</v>
      </c>
      <c r="L55" s="121">
        <v>0.6</v>
      </c>
      <c r="M55" s="127">
        <v>-720000</v>
      </c>
      <c r="N55" s="128">
        <f t="shared" si="15"/>
        <v>-1199999.9999999995</v>
      </c>
      <c r="O55" s="129">
        <f t="shared" si="16"/>
        <v>0</v>
      </c>
    </row>
    <row r="56" spans="1:15" x14ac:dyDescent="0.15">
      <c r="A56" s="121">
        <v>6001214</v>
      </c>
      <c r="B56" s="121">
        <v>0.8</v>
      </c>
      <c r="C56" s="127">
        <v>-960000</v>
      </c>
      <c r="D56" s="128">
        <f t="shared" si="13"/>
        <v>-1200000.0000000002</v>
      </c>
      <c r="E56" s="129">
        <f t="shared" si="14"/>
        <v>0</v>
      </c>
      <c r="F56">
        <f t="shared" si="4"/>
        <v>-960000.00000000023</v>
      </c>
      <c r="H56">
        <v>-960000</v>
      </c>
      <c r="I56" s="121">
        <v>-200000</v>
      </c>
      <c r="J56" s="119">
        <v>-800000</v>
      </c>
      <c r="L56" s="121">
        <v>0.8</v>
      </c>
      <c r="M56" s="127">
        <v>-960000</v>
      </c>
      <c r="N56" s="128">
        <f t="shared" si="15"/>
        <v>-1200000.0000000002</v>
      </c>
      <c r="O56" s="129">
        <f t="shared" si="16"/>
        <v>0</v>
      </c>
    </row>
    <row r="57" spans="1:15" x14ac:dyDescent="0.15">
      <c r="A57" s="121">
        <v>6001214</v>
      </c>
      <c r="B57" s="121">
        <v>1</v>
      </c>
      <c r="C57" s="127">
        <v>-1200000</v>
      </c>
      <c r="D57" s="128">
        <f t="shared" si="13"/>
        <v>-1200000.0000000002</v>
      </c>
      <c r="E57" s="129">
        <f t="shared" si="14"/>
        <v>0</v>
      </c>
      <c r="F57">
        <f t="shared" si="4"/>
        <v>-1200000.0000000002</v>
      </c>
      <c r="H57">
        <v>-1200000</v>
      </c>
      <c r="I57" s="121">
        <v>-200000</v>
      </c>
      <c r="J57" s="119">
        <v>-1000000</v>
      </c>
      <c r="L57" s="121">
        <v>1</v>
      </c>
      <c r="M57" s="127">
        <v>-1200000</v>
      </c>
      <c r="N57" s="128">
        <f t="shared" si="15"/>
        <v>-1200000.0000000002</v>
      </c>
      <c r="O57" s="129">
        <f t="shared" si="16"/>
        <v>0</v>
      </c>
    </row>
    <row r="58" spans="1:15" x14ac:dyDescent="0.15">
      <c r="A58" s="121">
        <v>6001214</v>
      </c>
      <c r="B58" s="121">
        <v>1.2</v>
      </c>
      <c r="C58" s="127">
        <v>-1440000</v>
      </c>
      <c r="D58" s="128">
        <f t="shared" si="13"/>
        <v>-1200000.0000000002</v>
      </c>
      <c r="E58" s="129">
        <f t="shared" si="14"/>
        <v>0</v>
      </c>
      <c r="F58">
        <f t="shared" si="4"/>
        <v>-1440000.0000000002</v>
      </c>
      <c r="H58">
        <v>-1440000</v>
      </c>
      <c r="I58" s="121">
        <v>-200000</v>
      </c>
      <c r="J58" s="119">
        <v>-1200000</v>
      </c>
      <c r="L58" s="121">
        <v>1.2</v>
      </c>
      <c r="M58" s="127">
        <v>-1440000</v>
      </c>
      <c r="N58" s="128">
        <f t="shared" si="15"/>
        <v>-1200000.0000000002</v>
      </c>
      <c r="O58" s="129">
        <f t="shared" si="16"/>
        <v>0</v>
      </c>
    </row>
    <row r="59" spans="1:15" x14ac:dyDescent="0.15">
      <c r="A59" s="121">
        <v>6001214</v>
      </c>
      <c r="B59" s="121">
        <v>1.4</v>
      </c>
      <c r="C59" s="127">
        <v>-1680000</v>
      </c>
      <c r="D59" s="128">
        <f t="shared" si="13"/>
        <v>-1199999.9999999988</v>
      </c>
      <c r="E59" s="129">
        <f t="shared" si="14"/>
        <v>0</v>
      </c>
      <c r="F59">
        <f t="shared" si="4"/>
        <v>-1679999.9999999984</v>
      </c>
      <c r="H59">
        <v>-1680000</v>
      </c>
      <c r="I59" s="121">
        <v>-200000</v>
      </c>
      <c r="J59" s="119">
        <v>-1400000</v>
      </c>
      <c r="L59" s="121">
        <v>1.4</v>
      </c>
      <c r="M59" s="127">
        <v>-1680000</v>
      </c>
      <c r="N59" s="128">
        <f t="shared" si="15"/>
        <v>-1199999.9999999988</v>
      </c>
      <c r="O59" s="129">
        <f t="shared" si="16"/>
        <v>0</v>
      </c>
    </row>
    <row r="60" spans="1:15" x14ac:dyDescent="0.15">
      <c r="A60" s="121">
        <v>6001214</v>
      </c>
      <c r="B60" s="121">
        <v>1.6</v>
      </c>
      <c r="C60" s="127">
        <v>-1920000</v>
      </c>
      <c r="D60" s="128">
        <f t="shared" si="13"/>
        <v>-1200000.0000000002</v>
      </c>
      <c r="E60" s="129">
        <f t="shared" si="14"/>
        <v>0</v>
      </c>
      <c r="F60">
        <f t="shared" si="4"/>
        <v>-1920000.0000000005</v>
      </c>
      <c r="H60">
        <v>-1920000</v>
      </c>
      <c r="I60" s="121">
        <v>-200000</v>
      </c>
      <c r="J60" s="119">
        <v>-1600000</v>
      </c>
      <c r="L60" s="121">
        <v>1.6</v>
      </c>
      <c r="M60" s="127">
        <v>-1920000</v>
      </c>
      <c r="N60" s="128">
        <f t="shared" si="15"/>
        <v>-1200000.0000000002</v>
      </c>
      <c r="O60" s="129">
        <f t="shared" si="16"/>
        <v>0</v>
      </c>
    </row>
    <row r="61" spans="1:15" x14ac:dyDescent="0.15">
      <c r="A61" s="121">
        <v>6001214</v>
      </c>
      <c r="B61" s="121">
        <v>1.8</v>
      </c>
      <c r="C61" s="127">
        <v>-2160000</v>
      </c>
      <c r="D61" s="128">
        <f>(C62-C61)/(B62-B61)</f>
        <v>-39200000.000000007</v>
      </c>
      <c r="E61" s="129">
        <f>C61-D61*B61</f>
        <v>68400000.000000015</v>
      </c>
      <c r="F61">
        <f t="shared" si="4"/>
        <v>-2160000</v>
      </c>
      <c r="H61">
        <v>-2160000</v>
      </c>
      <c r="I61" s="121">
        <v>-200000</v>
      </c>
      <c r="J61" s="119">
        <v>-1800000</v>
      </c>
      <c r="L61" s="121">
        <v>1.8</v>
      </c>
      <c r="M61" s="127">
        <v>-2160000</v>
      </c>
      <c r="N61" s="128">
        <f>(M62-M61)/(L62-L61)</f>
        <v>-39200000.000000007</v>
      </c>
      <c r="O61" s="129">
        <f>M61-N61*L61</f>
        <v>68400000.000000015</v>
      </c>
    </row>
    <row r="62" spans="1:15" x14ac:dyDescent="0.15">
      <c r="A62" s="121">
        <v>6001214</v>
      </c>
      <c r="B62" s="121">
        <v>2</v>
      </c>
      <c r="C62" s="127">
        <v>-10000000</v>
      </c>
      <c r="D62" s="119">
        <v>0</v>
      </c>
      <c r="E62" s="117">
        <v>-10000000</v>
      </c>
      <c r="F62">
        <f t="shared" si="4"/>
        <v>-10000000</v>
      </c>
      <c r="H62">
        <v>-10000000</v>
      </c>
      <c r="I62" s="121">
        <v>0</v>
      </c>
      <c r="J62" s="119">
        <v>-10000000</v>
      </c>
      <c r="L62" s="121">
        <v>2</v>
      </c>
      <c r="M62" s="127">
        <v>-10000000</v>
      </c>
      <c r="N62" s="119">
        <v>0</v>
      </c>
      <c r="O62" s="117">
        <v>-10000000</v>
      </c>
    </row>
    <row r="63" spans="1:15" x14ac:dyDescent="0.15">
      <c r="A63" s="120">
        <v>6001215</v>
      </c>
      <c r="B63" s="120">
        <v>0</v>
      </c>
      <c r="C63" s="127">
        <v>0</v>
      </c>
      <c r="D63" s="128">
        <f t="shared" ref="D63:D79" si="17">(C64-C63)/(B64-B63)</f>
        <v>-1200000</v>
      </c>
      <c r="E63" s="129">
        <f t="shared" ref="E63:E79" si="18">C63-D63*B63</f>
        <v>0</v>
      </c>
      <c r="F63">
        <f t="shared" si="4"/>
        <v>0</v>
      </c>
      <c r="H63">
        <v>0</v>
      </c>
      <c r="I63" s="120">
        <v>0</v>
      </c>
      <c r="J63" s="120">
        <v>0</v>
      </c>
      <c r="L63" s="120">
        <v>0</v>
      </c>
      <c r="M63" s="127">
        <v>0</v>
      </c>
      <c r="N63" s="128">
        <f t="shared" ref="N63:N79" si="19">(M64-M63)/(L64-L63)</f>
        <v>-1200000</v>
      </c>
      <c r="O63" s="129">
        <f t="shared" ref="O63:O79" si="20">M63-N63*L63</f>
        <v>0</v>
      </c>
    </row>
    <row r="64" spans="1:15" x14ac:dyDescent="0.15">
      <c r="A64" s="120">
        <v>6001215</v>
      </c>
      <c r="B64" s="120">
        <v>0.01</v>
      </c>
      <c r="C64" s="127">
        <v>-12000</v>
      </c>
      <c r="D64" s="128">
        <f t="shared" si="17"/>
        <v>-1200000</v>
      </c>
      <c r="E64" s="129">
        <f t="shared" si="18"/>
        <v>0</v>
      </c>
      <c r="F64">
        <f t="shared" si="4"/>
        <v>-12000</v>
      </c>
      <c r="H64">
        <v>-12000</v>
      </c>
      <c r="I64" s="120">
        <v>-200000</v>
      </c>
      <c r="J64" s="122">
        <v>-10000</v>
      </c>
      <c r="L64" s="120">
        <v>0.01</v>
      </c>
      <c r="M64" s="127">
        <v>-12000</v>
      </c>
      <c r="N64" s="128">
        <f t="shared" si="19"/>
        <v>-1200000</v>
      </c>
      <c r="O64" s="129">
        <f t="shared" si="20"/>
        <v>0</v>
      </c>
    </row>
    <row r="65" spans="1:15" x14ac:dyDescent="0.15">
      <c r="A65" s="120">
        <v>6001215</v>
      </c>
      <c r="B65" s="120">
        <v>0.05</v>
      </c>
      <c r="C65" s="127">
        <v>-60000</v>
      </c>
      <c r="D65" s="128">
        <f t="shared" si="17"/>
        <v>-1200000</v>
      </c>
      <c r="E65" s="129">
        <f t="shared" si="18"/>
        <v>0</v>
      </c>
      <c r="F65">
        <f t="shared" si="4"/>
        <v>-60000</v>
      </c>
      <c r="H65">
        <v>-60000</v>
      </c>
      <c r="I65" s="120">
        <v>-200000</v>
      </c>
      <c r="J65" s="122">
        <v>-50000</v>
      </c>
      <c r="L65" s="120">
        <v>0.05</v>
      </c>
      <c r="M65" s="127">
        <v>-60000</v>
      </c>
      <c r="N65" s="128">
        <f t="shared" si="19"/>
        <v>-1200000</v>
      </c>
      <c r="O65" s="129">
        <f t="shared" si="20"/>
        <v>0</v>
      </c>
    </row>
    <row r="66" spans="1:15" x14ac:dyDescent="0.15">
      <c r="A66" s="120">
        <v>6001215</v>
      </c>
      <c r="B66" s="120">
        <v>0.1</v>
      </c>
      <c r="C66" s="127">
        <v>-120000</v>
      </c>
      <c r="D66" s="128">
        <f t="shared" si="17"/>
        <v>-1200000</v>
      </c>
      <c r="E66" s="129">
        <f t="shared" si="18"/>
        <v>0</v>
      </c>
      <c r="F66">
        <f t="shared" si="4"/>
        <v>-120000</v>
      </c>
      <c r="H66">
        <v>-120000</v>
      </c>
      <c r="I66" s="120">
        <v>-200000</v>
      </c>
      <c r="J66" s="122">
        <v>-100000</v>
      </c>
      <c r="L66" s="120">
        <v>0.1</v>
      </c>
      <c r="M66" s="127">
        <v>-120000</v>
      </c>
      <c r="N66" s="128">
        <f t="shared" si="19"/>
        <v>-1200000</v>
      </c>
      <c r="O66" s="129">
        <f t="shared" si="20"/>
        <v>0</v>
      </c>
    </row>
    <row r="67" spans="1:15" x14ac:dyDescent="0.15">
      <c r="A67" s="120">
        <v>6001215</v>
      </c>
      <c r="B67" s="120">
        <v>0.2</v>
      </c>
      <c r="C67" s="127">
        <v>-240000</v>
      </c>
      <c r="D67" s="128">
        <f t="shared" si="17"/>
        <v>-1200000</v>
      </c>
      <c r="E67" s="129">
        <f t="shared" si="18"/>
        <v>0</v>
      </c>
      <c r="F67">
        <f t="shared" si="4"/>
        <v>-240000</v>
      </c>
      <c r="H67">
        <v>-240000</v>
      </c>
      <c r="I67" s="120">
        <v>-200000</v>
      </c>
      <c r="J67" s="118">
        <v>-200000</v>
      </c>
      <c r="L67" s="120">
        <v>0.2</v>
      </c>
      <c r="M67" s="127">
        <v>-240000</v>
      </c>
      <c r="N67" s="128">
        <f t="shared" si="19"/>
        <v>-1200000</v>
      </c>
      <c r="O67" s="129">
        <f t="shared" si="20"/>
        <v>0</v>
      </c>
    </row>
    <row r="68" spans="1:15" x14ac:dyDescent="0.15">
      <c r="A68" s="120">
        <v>6001215</v>
      </c>
      <c r="B68" s="120">
        <v>0.4</v>
      </c>
      <c r="C68" s="127">
        <v>-480000</v>
      </c>
      <c r="D68" s="128">
        <f t="shared" si="17"/>
        <v>-1200000.0000000002</v>
      </c>
      <c r="E68" s="129">
        <f t="shared" si="18"/>
        <v>0</v>
      </c>
      <c r="F68">
        <f t="shared" si="4"/>
        <v>-480000.00000000012</v>
      </c>
      <c r="H68">
        <v>-480000</v>
      </c>
      <c r="I68" s="120">
        <v>-200000</v>
      </c>
      <c r="J68" s="118">
        <v>-400000</v>
      </c>
      <c r="L68" s="120">
        <v>0.4</v>
      </c>
      <c r="M68" s="127">
        <v>-480000</v>
      </c>
      <c r="N68" s="128">
        <f t="shared" si="19"/>
        <v>-1200000.0000000002</v>
      </c>
      <c r="O68" s="129">
        <f t="shared" si="20"/>
        <v>0</v>
      </c>
    </row>
    <row r="69" spans="1:15" x14ac:dyDescent="0.15">
      <c r="A69" s="120">
        <v>6001215</v>
      </c>
      <c r="B69" s="120">
        <v>0.6</v>
      </c>
      <c r="C69" s="127">
        <v>-720000</v>
      </c>
      <c r="D69" s="128">
        <f t="shared" si="17"/>
        <v>-1199999.9999999995</v>
      </c>
      <c r="E69" s="129">
        <f t="shared" si="18"/>
        <v>0</v>
      </c>
      <c r="F69">
        <f t="shared" si="4"/>
        <v>-719999.99999999965</v>
      </c>
      <c r="H69">
        <v>-720000</v>
      </c>
      <c r="I69" s="120">
        <v>-200000</v>
      </c>
      <c r="J69" s="118">
        <v>-600000</v>
      </c>
      <c r="L69" s="120">
        <v>0.6</v>
      </c>
      <c r="M69" s="127">
        <v>-720000</v>
      </c>
      <c r="N69" s="128">
        <f t="shared" si="19"/>
        <v>-1199999.9999999995</v>
      </c>
      <c r="O69" s="129">
        <f t="shared" si="20"/>
        <v>0</v>
      </c>
    </row>
    <row r="70" spans="1:15" x14ac:dyDescent="0.15">
      <c r="A70" s="120">
        <v>6001215</v>
      </c>
      <c r="B70" s="120">
        <v>0.8</v>
      </c>
      <c r="C70" s="127">
        <v>-960000</v>
      </c>
      <c r="D70" s="128">
        <f t="shared" si="17"/>
        <v>-1200000.0000000002</v>
      </c>
      <c r="E70" s="129">
        <f t="shared" si="18"/>
        <v>0</v>
      </c>
      <c r="F70">
        <f t="shared" si="4"/>
        <v>-960000.00000000023</v>
      </c>
      <c r="H70">
        <v>-960000</v>
      </c>
      <c r="I70" s="120">
        <v>-200000</v>
      </c>
      <c r="J70" s="118">
        <v>-800000</v>
      </c>
      <c r="L70" s="120">
        <v>0.8</v>
      </c>
      <c r="M70" s="127">
        <v>-960000</v>
      </c>
      <c r="N70" s="128">
        <f t="shared" si="19"/>
        <v>-1200000.0000000002</v>
      </c>
      <c r="O70" s="129">
        <f t="shared" si="20"/>
        <v>0</v>
      </c>
    </row>
    <row r="71" spans="1:15" x14ac:dyDescent="0.15">
      <c r="A71" s="120">
        <v>6001215</v>
      </c>
      <c r="B71" s="120">
        <v>1</v>
      </c>
      <c r="C71" s="127">
        <v>-1200000</v>
      </c>
      <c r="D71" s="128">
        <f t="shared" si="17"/>
        <v>-1200000.0000000002</v>
      </c>
      <c r="E71" s="129">
        <f t="shared" si="18"/>
        <v>0</v>
      </c>
      <c r="F71">
        <f t="shared" si="4"/>
        <v>-1200000.0000000002</v>
      </c>
      <c r="H71">
        <v>-1200000</v>
      </c>
      <c r="I71" s="120">
        <v>-200000</v>
      </c>
      <c r="J71" s="118">
        <v>-1000000</v>
      </c>
      <c r="L71" s="120">
        <v>1</v>
      </c>
      <c r="M71" s="127">
        <v>-1200000</v>
      </c>
      <c r="N71" s="128">
        <f t="shared" si="19"/>
        <v>-1200000.0000000002</v>
      </c>
      <c r="O71" s="129">
        <f t="shared" si="20"/>
        <v>0</v>
      </c>
    </row>
    <row r="72" spans="1:15" x14ac:dyDescent="0.15">
      <c r="A72" s="120">
        <v>6001215</v>
      </c>
      <c r="B72" s="120">
        <v>1.2</v>
      </c>
      <c r="C72" s="127">
        <v>-1440000</v>
      </c>
      <c r="D72" s="128">
        <f t="shared" si="17"/>
        <v>-1200000.0000000002</v>
      </c>
      <c r="E72" s="129">
        <f t="shared" si="18"/>
        <v>0</v>
      </c>
      <c r="F72">
        <f t="shared" ref="F72:F76" si="21">B72*D72+E72</f>
        <v>-1440000.0000000002</v>
      </c>
      <c r="H72">
        <v>-1440000</v>
      </c>
      <c r="I72" s="120">
        <v>-200000</v>
      </c>
      <c r="J72" s="118">
        <v>-1200000</v>
      </c>
      <c r="L72" s="120">
        <v>1.2</v>
      </c>
      <c r="M72" s="127">
        <v>-1440000</v>
      </c>
      <c r="N72" s="128">
        <f t="shared" si="19"/>
        <v>-1200000.0000000002</v>
      </c>
      <c r="O72" s="129">
        <f t="shared" si="20"/>
        <v>0</v>
      </c>
    </row>
    <row r="73" spans="1:15" x14ac:dyDescent="0.15">
      <c r="A73" s="120">
        <v>6001215</v>
      </c>
      <c r="B73" s="120">
        <v>1.4</v>
      </c>
      <c r="C73" s="127">
        <v>-1680000</v>
      </c>
      <c r="D73" s="128">
        <f t="shared" si="17"/>
        <v>-1199999.9999999988</v>
      </c>
      <c r="E73" s="129">
        <f t="shared" si="18"/>
        <v>0</v>
      </c>
      <c r="F73">
        <f t="shared" si="21"/>
        <v>-1679999.9999999984</v>
      </c>
      <c r="H73">
        <v>-1680000</v>
      </c>
      <c r="I73" s="120">
        <v>-200000</v>
      </c>
      <c r="J73" s="118">
        <v>-1400000</v>
      </c>
      <c r="L73" s="120">
        <v>1.4</v>
      </c>
      <c r="M73" s="127">
        <v>-1680000</v>
      </c>
      <c r="N73" s="128">
        <f t="shared" si="19"/>
        <v>-1199999.9999999988</v>
      </c>
      <c r="O73" s="129">
        <f t="shared" si="20"/>
        <v>0</v>
      </c>
    </row>
    <row r="74" spans="1:15" x14ac:dyDescent="0.15">
      <c r="A74" s="120">
        <v>6001215</v>
      </c>
      <c r="B74" s="120">
        <v>1.6</v>
      </c>
      <c r="C74" s="127">
        <v>-1920000</v>
      </c>
      <c r="D74" s="128">
        <f t="shared" si="17"/>
        <v>-1200000.0000000002</v>
      </c>
      <c r="E74" s="129">
        <f t="shared" si="18"/>
        <v>0</v>
      </c>
      <c r="F74">
        <f t="shared" si="21"/>
        <v>-1920000.0000000005</v>
      </c>
      <c r="H74">
        <v>-1920000</v>
      </c>
      <c r="I74" s="120">
        <v>-200000</v>
      </c>
      <c r="J74" s="118">
        <v>-1600000</v>
      </c>
      <c r="L74" s="120">
        <v>1.6</v>
      </c>
      <c r="M74" s="127">
        <v>-1920000</v>
      </c>
      <c r="N74" s="128">
        <f t="shared" si="19"/>
        <v>-1200000.0000000002</v>
      </c>
      <c r="O74" s="129">
        <f t="shared" si="20"/>
        <v>0</v>
      </c>
    </row>
    <row r="75" spans="1:15" x14ac:dyDescent="0.15">
      <c r="A75" s="120">
        <v>6001215</v>
      </c>
      <c r="B75" s="120">
        <v>1.8</v>
      </c>
      <c r="C75" s="127">
        <v>-2160000</v>
      </c>
      <c r="D75" s="128">
        <f t="shared" si="17"/>
        <v>-1200000.0000000002</v>
      </c>
      <c r="E75" s="129">
        <f t="shared" si="18"/>
        <v>0</v>
      </c>
      <c r="F75">
        <f t="shared" si="21"/>
        <v>-2160000.0000000005</v>
      </c>
      <c r="H75">
        <v>-2160000</v>
      </c>
      <c r="I75" s="120">
        <v>-200000</v>
      </c>
      <c r="J75" s="118">
        <v>-1800000</v>
      </c>
      <c r="L75" s="120">
        <v>1.8</v>
      </c>
      <c r="M75" s="127">
        <v>-2160000</v>
      </c>
      <c r="N75" s="128">
        <f t="shared" si="19"/>
        <v>-1200000.0000000002</v>
      </c>
      <c r="O75" s="129">
        <f t="shared" si="20"/>
        <v>0</v>
      </c>
    </row>
    <row r="76" spans="1:15" x14ac:dyDescent="0.15">
      <c r="A76" s="120">
        <v>6001215</v>
      </c>
      <c r="B76" s="120">
        <v>2</v>
      </c>
      <c r="C76" s="127">
        <v>-2400000</v>
      </c>
      <c r="D76" s="128">
        <f t="shared" si="17"/>
        <v>-1199999.9999999988</v>
      </c>
      <c r="E76" s="129">
        <f t="shared" si="18"/>
        <v>0</v>
      </c>
      <c r="F76">
        <f t="shared" si="21"/>
        <v>-2399999.9999999977</v>
      </c>
      <c r="H76">
        <v>-2400000</v>
      </c>
      <c r="I76" s="120">
        <v>-200000</v>
      </c>
      <c r="J76" s="118">
        <v>-2000000</v>
      </c>
      <c r="L76" s="120">
        <v>2</v>
      </c>
      <c r="M76" s="127">
        <v>-2400000</v>
      </c>
      <c r="N76" s="128">
        <f t="shared" si="19"/>
        <v>-1199999.9999999988</v>
      </c>
      <c r="O76" s="129">
        <f t="shared" si="20"/>
        <v>0</v>
      </c>
    </row>
    <row r="77" spans="1:15" x14ac:dyDescent="0.15">
      <c r="A77" s="120">
        <v>6001215</v>
      </c>
      <c r="B77" s="120">
        <v>2.2000000000000002</v>
      </c>
      <c r="C77" s="127">
        <v>-2640000</v>
      </c>
      <c r="D77" s="128">
        <f t="shared" si="17"/>
        <v>-1200000.0000000016</v>
      </c>
      <c r="E77" s="129">
        <f t="shared" si="18"/>
        <v>3.7252902984619141E-9</v>
      </c>
      <c r="F77">
        <f>B77*D77+E77</f>
        <v>-2640000</v>
      </c>
      <c r="H77">
        <v>-2640000</v>
      </c>
      <c r="I77" s="120">
        <v>-200000</v>
      </c>
      <c r="J77" s="118">
        <v>-2200000</v>
      </c>
      <c r="L77" s="120">
        <v>2.2000000000000002</v>
      </c>
      <c r="M77" s="127">
        <v>-2640000</v>
      </c>
      <c r="N77" s="128">
        <f t="shared" si="19"/>
        <v>-1200000.0000000016</v>
      </c>
      <c r="O77" s="129">
        <f t="shared" si="20"/>
        <v>3.7252902984619141E-9</v>
      </c>
    </row>
    <row r="78" spans="1:15" x14ac:dyDescent="0.15">
      <c r="A78" s="120">
        <v>6001215</v>
      </c>
      <c r="B78" s="120">
        <v>2.4</v>
      </c>
      <c r="C78" s="127">
        <v>-2880000</v>
      </c>
      <c r="D78" s="128">
        <f t="shared" si="17"/>
        <v>-1199999.9999999988</v>
      </c>
      <c r="E78" s="129">
        <f t="shared" si="18"/>
        <v>0</v>
      </c>
      <c r="F78">
        <f>B78*D78+E78</f>
        <v>-2879999.9999999972</v>
      </c>
      <c r="H78">
        <v>-2880000</v>
      </c>
      <c r="I78" s="120">
        <v>-200000</v>
      </c>
      <c r="J78" s="118">
        <v>-2400000</v>
      </c>
      <c r="L78" s="120">
        <v>2.4</v>
      </c>
      <c r="M78" s="127">
        <v>-2880000</v>
      </c>
      <c r="N78" s="128">
        <f t="shared" si="19"/>
        <v>-1199999.9999999988</v>
      </c>
      <c r="O78" s="129">
        <f t="shared" si="20"/>
        <v>0</v>
      </c>
    </row>
    <row r="79" spans="1:15" x14ac:dyDescent="0.15">
      <c r="A79" s="120">
        <v>6001215</v>
      </c>
      <c r="B79" s="120">
        <v>2.6</v>
      </c>
      <c r="C79" s="127">
        <v>-3120000</v>
      </c>
      <c r="D79" s="128">
        <f t="shared" si="17"/>
        <v>-1200000.0000000016</v>
      </c>
      <c r="E79" s="129">
        <f t="shared" si="18"/>
        <v>4.1909515857696533E-9</v>
      </c>
      <c r="F79">
        <f t="shared" ref="F79:F81" si="22">B79*D79+E79</f>
        <v>-3120000</v>
      </c>
      <c r="H79">
        <v>-3120000</v>
      </c>
      <c r="I79" s="120">
        <v>-200000</v>
      </c>
      <c r="J79" s="118">
        <v>-2600000</v>
      </c>
      <c r="L79" s="120">
        <v>2.6</v>
      </c>
      <c r="M79" s="127">
        <v>-3120000</v>
      </c>
      <c r="N79" s="128">
        <f t="shared" si="19"/>
        <v>-1200000.0000000016</v>
      </c>
      <c r="O79" s="129">
        <f t="shared" si="20"/>
        <v>4.1909515857696533E-9</v>
      </c>
    </row>
    <row r="80" spans="1:15" x14ac:dyDescent="0.15">
      <c r="A80" s="120">
        <v>6001215</v>
      </c>
      <c r="B80" s="120">
        <v>2.8</v>
      </c>
      <c r="C80" s="127">
        <v>-3360000</v>
      </c>
      <c r="D80" s="128">
        <f>(C81-C80)/(B81-B80)</f>
        <v>-33199999.99999997</v>
      </c>
      <c r="E80" s="129">
        <f>C80-D80*B80</f>
        <v>89599999.999999911</v>
      </c>
      <c r="F80">
        <f t="shared" si="22"/>
        <v>-3360000</v>
      </c>
      <c r="H80">
        <v>-3360000</v>
      </c>
      <c r="I80" s="120">
        <v>-200000</v>
      </c>
      <c r="J80" s="118">
        <v>-2800000</v>
      </c>
      <c r="L80" s="120">
        <v>2.8</v>
      </c>
      <c r="M80" s="127">
        <v>-3360000</v>
      </c>
      <c r="N80" s="128">
        <f>(M81-M80)/(L81-L80)</f>
        <v>-33199999.99999997</v>
      </c>
      <c r="O80" s="129">
        <f>M80-N80*L80</f>
        <v>89599999.999999911</v>
      </c>
    </row>
    <row r="81" spans="1:15" x14ac:dyDescent="0.15">
      <c r="A81" s="120">
        <v>6001215</v>
      </c>
      <c r="B81" s="120">
        <v>3</v>
      </c>
      <c r="C81" s="127">
        <v>-10000000</v>
      </c>
      <c r="D81" s="118">
        <v>0</v>
      </c>
      <c r="E81" s="116">
        <v>-10000000</v>
      </c>
      <c r="F81">
        <f t="shared" si="22"/>
        <v>-10000000</v>
      </c>
      <c r="H81">
        <v>-10000000</v>
      </c>
      <c r="I81" s="120">
        <v>0</v>
      </c>
      <c r="J81" s="118">
        <v>-10000000</v>
      </c>
      <c r="L81" s="120">
        <v>3</v>
      </c>
      <c r="M81" s="127">
        <v>-10000000</v>
      </c>
      <c r="N81" s="118">
        <v>0</v>
      </c>
      <c r="O81" s="116">
        <v>-10000000</v>
      </c>
    </row>
    <row r="82" spans="1:15" x14ac:dyDescent="0.15">
      <c r="A82" s="120">
        <f>A2+10</f>
        <v>6001221</v>
      </c>
      <c r="B82" s="120">
        <v>0</v>
      </c>
      <c r="C82" s="127">
        <v>0</v>
      </c>
      <c r="D82" s="128">
        <f t="shared" ref="D82" si="23">(C83-C82)/(B83-B82)</f>
        <v>-300000</v>
      </c>
      <c r="E82" s="129">
        <f t="shared" ref="E82:E93" si="24">C82-D82*B82</f>
        <v>0</v>
      </c>
    </row>
    <row r="83" spans="1:15" x14ac:dyDescent="0.15">
      <c r="A83" s="120">
        <f t="shared" ref="A83:A146" si="25">A3+10</f>
        <v>6001221</v>
      </c>
      <c r="B83" s="120">
        <v>0.01</v>
      </c>
      <c r="C83" s="127">
        <v>-3000</v>
      </c>
      <c r="D83" s="128">
        <f>(C84-C83)/(B84-B83)</f>
        <v>-300000</v>
      </c>
      <c r="E83" s="129">
        <f t="shared" si="24"/>
        <v>0</v>
      </c>
    </row>
    <row r="84" spans="1:15" x14ac:dyDescent="0.15">
      <c r="A84" s="120">
        <f t="shared" si="25"/>
        <v>6001221</v>
      </c>
      <c r="B84" s="120">
        <v>0.05</v>
      </c>
      <c r="C84" s="127">
        <v>-15000</v>
      </c>
      <c r="D84" s="128">
        <f t="shared" ref="D84:D93" si="26">(C85-C84)/(B85-B84)</f>
        <v>-300000</v>
      </c>
      <c r="E84" s="129">
        <f t="shared" si="24"/>
        <v>0</v>
      </c>
    </row>
    <row r="85" spans="1:15" x14ac:dyDescent="0.15">
      <c r="A85" s="120">
        <f t="shared" si="25"/>
        <v>6001221</v>
      </c>
      <c r="B85" s="120">
        <v>0.1</v>
      </c>
      <c r="C85" s="127">
        <v>-30000</v>
      </c>
      <c r="D85" s="128">
        <f t="shared" si="26"/>
        <v>-300000</v>
      </c>
      <c r="E85" s="129">
        <f t="shared" si="24"/>
        <v>0</v>
      </c>
    </row>
    <row r="86" spans="1:15" x14ac:dyDescent="0.15">
      <c r="A86" s="120">
        <f t="shared" si="25"/>
        <v>6001221</v>
      </c>
      <c r="B86" s="120">
        <v>0.2</v>
      </c>
      <c r="C86" s="127">
        <v>-60000</v>
      </c>
      <c r="D86" s="128">
        <f t="shared" si="26"/>
        <v>-300000</v>
      </c>
      <c r="E86" s="129">
        <f t="shared" si="24"/>
        <v>0</v>
      </c>
    </row>
    <row r="87" spans="1:15" x14ac:dyDescent="0.15">
      <c r="A87" s="120">
        <f t="shared" si="25"/>
        <v>6001221</v>
      </c>
      <c r="B87" s="120">
        <v>0.4</v>
      </c>
      <c r="C87" s="127">
        <v>-120000</v>
      </c>
      <c r="D87" s="128">
        <f t="shared" si="26"/>
        <v>-300000.00000000006</v>
      </c>
      <c r="E87" s="129">
        <f t="shared" si="24"/>
        <v>0</v>
      </c>
    </row>
    <row r="88" spans="1:15" x14ac:dyDescent="0.15">
      <c r="A88" s="120">
        <f t="shared" si="25"/>
        <v>6001221</v>
      </c>
      <c r="B88" s="120">
        <v>0.6</v>
      </c>
      <c r="C88" s="127">
        <v>-180000</v>
      </c>
      <c r="D88" s="128">
        <f t="shared" si="26"/>
        <v>-299999.99999999988</v>
      </c>
      <c r="E88" s="129">
        <f t="shared" si="24"/>
        <v>0</v>
      </c>
    </row>
    <row r="89" spans="1:15" x14ac:dyDescent="0.15">
      <c r="A89" s="120">
        <f t="shared" si="25"/>
        <v>6001221</v>
      </c>
      <c r="B89" s="120">
        <v>0.8</v>
      </c>
      <c r="C89" s="127">
        <v>-240000</v>
      </c>
      <c r="D89" s="128">
        <f t="shared" si="26"/>
        <v>-300000.00000000006</v>
      </c>
      <c r="E89" s="129">
        <f t="shared" si="24"/>
        <v>0</v>
      </c>
    </row>
    <row r="90" spans="1:15" x14ac:dyDescent="0.15">
      <c r="A90" s="120">
        <f t="shared" si="25"/>
        <v>6001221</v>
      </c>
      <c r="B90" s="120">
        <v>1</v>
      </c>
      <c r="C90" s="127">
        <v>-300000</v>
      </c>
      <c r="D90" s="128">
        <f t="shared" si="26"/>
        <v>-300000.00000000006</v>
      </c>
      <c r="E90" s="129">
        <f t="shared" si="24"/>
        <v>0</v>
      </c>
    </row>
    <row r="91" spans="1:15" x14ac:dyDescent="0.15">
      <c r="A91" s="120">
        <f t="shared" si="25"/>
        <v>6001221</v>
      </c>
      <c r="B91" s="120">
        <v>1.2</v>
      </c>
      <c r="C91" s="127">
        <v>-360000</v>
      </c>
      <c r="D91" s="128">
        <f t="shared" si="26"/>
        <v>-300000.00000000006</v>
      </c>
      <c r="E91" s="129">
        <f t="shared" si="24"/>
        <v>0</v>
      </c>
    </row>
    <row r="92" spans="1:15" x14ac:dyDescent="0.15">
      <c r="A92" s="120">
        <f t="shared" si="25"/>
        <v>6001221</v>
      </c>
      <c r="B92" s="120">
        <v>1.4</v>
      </c>
      <c r="C92" s="127">
        <v>-420000</v>
      </c>
      <c r="D92" s="128">
        <f t="shared" si="26"/>
        <v>-299999.99999999971</v>
      </c>
      <c r="E92" s="129">
        <f t="shared" si="24"/>
        <v>0</v>
      </c>
    </row>
    <row r="93" spans="1:15" x14ac:dyDescent="0.15">
      <c r="A93" s="120">
        <f t="shared" si="25"/>
        <v>6001221</v>
      </c>
      <c r="B93" s="120">
        <v>1.6</v>
      </c>
      <c r="C93" s="127">
        <v>-480000</v>
      </c>
      <c r="D93" s="128">
        <f t="shared" si="26"/>
        <v>-300000.00000000006</v>
      </c>
      <c r="E93" s="129">
        <f t="shared" si="24"/>
        <v>0</v>
      </c>
    </row>
    <row r="94" spans="1:15" x14ac:dyDescent="0.15">
      <c r="A94" s="120">
        <f t="shared" si="25"/>
        <v>6001221</v>
      </c>
      <c r="B94" s="120">
        <v>1.8</v>
      </c>
      <c r="C94" s="127">
        <v>-540000</v>
      </c>
      <c r="D94" s="128">
        <f>(C95-C94)/(B95-B94)</f>
        <v>-2300000.0000000005</v>
      </c>
      <c r="E94" s="129">
        <f>C94-D94*B94</f>
        <v>3600000.0000000009</v>
      </c>
    </row>
    <row r="95" spans="1:15" x14ac:dyDescent="0.15">
      <c r="A95" s="120">
        <f t="shared" si="25"/>
        <v>6001221</v>
      </c>
      <c r="B95" s="120">
        <v>2</v>
      </c>
      <c r="C95" s="127">
        <v>-1000000</v>
      </c>
      <c r="D95" s="118">
        <v>0</v>
      </c>
      <c r="E95" s="116">
        <v>-10000000</v>
      </c>
    </row>
    <row r="96" spans="1:15" x14ac:dyDescent="0.15">
      <c r="A96" s="120">
        <f t="shared" si="25"/>
        <v>6001222</v>
      </c>
      <c r="B96" s="121">
        <v>0</v>
      </c>
      <c r="C96" s="127">
        <v>0</v>
      </c>
      <c r="D96" s="128">
        <f t="shared" ref="D96:D107" si="27">(C97-C96)/(B97-B96)</f>
        <v>-300000</v>
      </c>
      <c r="E96" s="129">
        <f t="shared" ref="E96:E107" si="28">C96-D96*B96</f>
        <v>0</v>
      </c>
    </row>
    <row r="97" spans="1:5" x14ac:dyDescent="0.15">
      <c r="A97" s="120">
        <f t="shared" si="25"/>
        <v>6001222</v>
      </c>
      <c r="B97" s="121">
        <v>0.01</v>
      </c>
      <c r="C97" s="127">
        <v>-3000</v>
      </c>
      <c r="D97" s="128">
        <f t="shared" si="27"/>
        <v>-300000</v>
      </c>
      <c r="E97" s="129">
        <f t="shared" si="28"/>
        <v>0</v>
      </c>
    </row>
    <row r="98" spans="1:5" x14ac:dyDescent="0.15">
      <c r="A98" s="120">
        <f t="shared" si="25"/>
        <v>6001222</v>
      </c>
      <c r="B98" s="121">
        <v>0.05</v>
      </c>
      <c r="C98" s="127">
        <v>-15000</v>
      </c>
      <c r="D98" s="128">
        <f t="shared" si="27"/>
        <v>-300000</v>
      </c>
      <c r="E98" s="129">
        <f t="shared" si="28"/>
        <v>0</v>
      </c>
    </row>
    <row r="99" spans="1:5" x14ac:dyDescent="0.15">
      <c r="A99" s="120">
        <f t="shared" si="25"/>
        <v>6001222</v>
      </c>
      <c r="B99" s="121">
        <v>0.1</v>
      </c>
      <c r="C99" s="127">
        <v>-30000</v>
      </c>
      <c r="D99" s="128">
        <f t="shared" si="27"/>
        <v>-300000</v>
      </c>
      <c r="E99" s="129">
        <f t="shared" si="28"/>
        <v>0</v>
      </c>
    </row>
    <row r="100" spans="1:5" x14ac:dyDescent="0.15">
      <c r="A100" s="120">
        <f t="shared" si="25"/>
        <v>6001222</v>
      </c>
      <c r="B100" s="121">
        <v>0.2</v>
      </c>
      <c r="C100" s="127">
        <v>-60000</v>
      </c>
      <c r="D100" s="128">
        <f t="shared" si="27"/>
        <v>-300000</v>
      </c>
      <c r="E100" s="129">
        <f t="shared" si="28"/>
        <v>0</v>
      </c>
    </row>
    <row r="101" spans="1:5" x14ac:dyDescent="0.15">
      <c r="A101" s="120">
        <f t="shared" si="25"/>
        <v>6001222</v>
      </c>
      <c r="B101" s="121">
        <v>0.4</v>
      </c>
      <c r="C101" s="127">
        <v>-120000</v>
      </c>
      <c r="D101" s="128">
        <f t="shared" si="27"/>
        <v>-300000.00000000006</v>
      </c>
      <c r="E101" s="129">
        <f t="shared" si="28"/>
        <v>0</v>
      </c>
    </row>
    <row r="102" spans="1:5" x14ac:dyDescent="0.15">
      <c r="A102" s="120">
        <f t="shared" si="25"/>
        <v>6001222</v>
      </c>
      <c r="B102" s="121">
        <v>0.6</v>
      </c>
      <c r="C102" s="127">
        <v>-180000</v>
      </c>
      <c r="D102" s="128">
        <f t="shared" si="27"/>
        <v>-299999.99999999988</v>
      </c>
      <c r="E102" s="129">
        <f t="shared" si="28"/>
        <v>0</v>
      </c>
    </row>
    <row r="103" spans="1:5" x14ac:dyDescent="0.15">
      <c r="A103" s="120">
        <f t="shared" si="25"/>
        <v>6001222</v>
      </c>
      <c r="B103" s="121">
        <v>0.8</v>
      </c>
      <c r="C103" s="127">
        <v>-240000</v>
      </c>
      <c r="D103" s="128">
        <f t="shared" si="27"/>
        <v>-300000.00000000006</v>
      </c>
      <c r="E103" s="129">
        <f t="shared" si="28"/>
        <v>0</v>
      </c>
    </row>
    <row r="104" spans="1:5" x14ac:dyDescent="0.15">
      <c r="A104" s="120">
        <f t="shared" si="25"/>
        <v>6001222</v>
      </c>
      <c r="B104" s="121">
        <v>1</v>
      </c>
      <c r="C104" s="127">
        <v>-300000</v>
      </c>
      <c r="D104" s="128">
        <f t="shared" si="27"/>
        <v>-300000.00000000006</v>
      </c>
      <c r="E104" s="129">
        <f t="shared" si="28"/>
        <v>0</v>
      </c>
    </row>
    <row r="105" spans="1:5" x14ac:dyDescent="0.15">
      <c r="A105" s="120">
        <f t="shared" si="25"/>
        <v>6001222</v>
      </c>
      <c r="B105" s="121">
        <v>1.2</v>
      </c>
      <c r="C105" s="127">
        <v>-360000</v>
      </c>
      <c r="D105" s="128">
        <f t="shared" si="27"/>
        <v>-300000.00000000006</v>
      </c>
      <c r="E105" s="129">
        <f t="shared" si="28"/>
        <v>0</v>
      </c>
    </row>
    <row r="106" spans="1:5" x14ac:dyDescent="0.15">
      <c r="A106" s="120">
        <f t="shared" si="25"/>
        <v>6001222</v>
      </c>
      <c r="B106" s="121">
        <v>1.4</v>
      </c>
      <c r="C106" s="127">
        <v>-420000</v>
      </c>
      <c r="D106" s="128">
        <f t="shared" si="27"/>
        <v>-299999.99999999971</v>
      </c>
      <c r="E106" s="129">
        <f t="shared" si="28"/>
        <v>0</v>
      </c>
    </row>
    <row r="107" spans="1:5" x14ac:dyDescent="0.15">
      <c r="A107" s="120">
        <f t="shared" si="25"/>
        <v>6001222</v>
      </c>
      <c r="B107" s="121">
        <v>1.6</v>
      </c>
      <c r="C107" s="127">
        <v>-480000</v>
      </c>
      <c r="D107" s="128">
        <f t="shared" si="27"/>
        <v>-300000.00000000006</v>
      </c>
      <c r="E107" s="129">
        <f t="shared" si="28"/>
        <v>0</v>
      </c>
    </row>
    <row r="108" spans="1:5" x14ac:dyDescent="0.15">
      <c r="A108" s="120">
        <f t="shared" si="25"/>
        <v>6001222</v>
      </c>
      <c r="B108" s="121">
        <v>1.8</v>
      </c>
      <c r="C108" s="127">
        <v>-540000</v>
      </c>
      <c r="D108" s="128">
        <f>(C109-C108)/(B109-B108)</f>
        <v>-2300000.0000000005</v>
      </c>
      <c r="E108" s="129">
        <f>C108-D108*B108</f>
        <v>3600000.0000000009</v>
      </c>
    </row>
    <row r="109" spans="1:5" x14ac:dyDescent="0.15">
      <c r="A109" s="120">
        <f t="shared" si="25"/>
        <v>6001222</v>
      </c>
      <c r="B109" s="121">
        <v>2</v>
      </c>
      <c r="C109" s="127">
        <v>-1000000</v>
      </c>
      <c r="D109" s="119">
        <v>0</v>
      </c>
      <c r="E109" s="117">
        <v>-10000000</v>
      </c>
    </row>
    <row r="110" spans="1:5" x14ac:dyDescent="0.15">
      <c r="A110" s="120">
        <f t="shared" si="25"/>
        <v>6001223</v>
      </c>
      <c r="B110" s="120">
        <v>0</v>
      </c>
      <c r="C110" s="127">
        <v>0</v>
      </c>
      <c r="D110" s="128">
        <f t="shared" ref="D110:D126" si="29">(C111-C110)/(B111-B110)</f>
        <v>-1200000</v>
      </c>
      <c r="E110" s="129">
        <f t="shared" ref="E110:E126" si="30">C110-D110*B110</f>
        <v>0</v>
      </c>
    </row>
    <row r="111" spans="1:5" x14ac:dyDescent="0.15">
      <c r="A111" s="120">
        <f t="shared" si="25"/>
        <v>6001223</v>
      </c>
      <c r="B111" s="120">
        <v>0.01</v>
      </c>
      <c r="C111" s="127">
        <v>-12000</v>
      </c>
      <c r="D111" s="128">
        <f t="shared" si="29"/>
        <v>-1200000</v>
      </c>
      <c r="E111" s="129">
        <f t="shared" si="30"/>
        <v>0</v>
      </c>
    </row>
    <row r="112" spans="1:5" x14ac:dyDescent="0.15">
      <c r="A112" s="120">
        <f t="shared" si="25"/>
        <v>6001223</v>
      </c>
      <c r="B112" s="120">
        <v>0.05</v>
      </c>
      <c r="C112" s="127">
        <v>-60000</v>
      </c>
      <c r="D112" s="128">
        <f t="shared" si="29"/>
        <v>-1200000</v>
      </c>
      <c r="E112" s="129">
        <f t="shared" si="30"/>
        <v>0</v>
      </c>
    </row>
    <row r="113" spans="1:5" x14ac:dyDescent="0.15">
      <c r="A113" s="120">
        <f t="shared" si="25"/>
        <v>6001223</v>
      </c>
      <c r="B113" s="120">
        <v>0.1</v>
      </c>
      <c r="C113" s="127">
        <v>-120000</v>
      </c>
      <c r="D113" s="128">
        <f t="shared" si="29"/>
        <v>-1200000</v>
      </c>
      <c r="E113" s="129">
        <f t="shared" si="30"/>
        <v>0</v>
      </c>
    </row>
    <row r="114" spans="1:5" x14ac:dyDescent="0.15">
      <c r="A114" s="120">
        <f t="shared" si="25"/>
        <v>6001223</v>
      </c>
      <c r="B114" s="120">
        <v>0.2</v>
      </c>
      <c r="C114" s="127">
        <v>-240000</v>
      </c>
      <c r="D114" s="128">
        <f t="shared" si="29"/>
        <v>-1200000</v>
      </c>
      <c r="E114" s="129">
        <f t="shared" si="30"/>
        <v>0</v>
      </c>
    </row>
    <row r="115" spans="1:5" x14ac:dyDescent="0.15">
      <c r="A115" s="120">
        <f t="shared" si="25"/>
        <v>6001223</v>
      </c>
      <c r="B115" s="120">
        <v>0.4</v>
      </c>
      <c r="C115" s="127">
        <v>-480000</v>
      </c>
      <c r="D115" s="128">
        <f t="shared" si="29"/>
        <v>-1200000.0000000002</v>
      </c>
      <c r="E115" s="129">
        <f t="shared" si="30"/>
        <v>0</v>
      </c>
    </row>
    <row r="116" spans="1:5" x14ac:dyDescent="0.15">
      <c r="A116" s="120">
        <f t="shared" si="25"/>
        <v>6001223</v>
      </c>
      <c r="B116" s="120">
        <v>0.6</v>
      </c>
      <c r="C116" s="127">
        <v>-720000</v>
      </c>
      <c r="D116" s="128">
        <f t="shared" si="29"/>
        <v>-1199999.9999999995</v>
      </c>
      <c r="E116" s="129">
        <f t="shared" si="30"/>
        <v>0</v>
      </c>
    </row>
    <row r="117" spans="1:5" x14ac:dyDescent="0.15">
      <c r="A117" s="120">
        <f t="shared" si="25"/>
        <v>6001223</v>
      </c>
      <c r="B117" s="120">
        <v>0.8</v>
      </c>
      <c r="C117" s="127">
        <v>-960000</v>
      </c>
      <c r="D117" s="128">
        <f t="shared" si="29"/>
        <v>-1200000.0000000002</v>
      </c>
      <c r="E117" s="129">
        <f t="shared" si="30"/>
        <v>0</v>
      </c>
    </row>
    <row r="118" spans="1:5" x14ac:dyDescent="0.15">
      <c r="A118" s="120">
        <f t="shared" si="25"/>
        <v>6001223</v>
      </c>
      <c r="B118" s="120">
        <v>1</v>
      </c>
      <c r="C118" s="127">
        <v>-1200000</v>
      </c>
      <c r="D118" s="128">
        <f t="shared" si="29"/>
        <v>-1200000.0000000002</v>
      </c>
      <c r="E118" s="129">
        <f t="shared" si="30"/>
        <v>0</v>
      </c>
    </row>
    <row r="119" spans="1:5" x14ac:dyDescent="0.15">
      <c r="A119" s="120">
        <f t="shared" si="25"/>
        <v>6001223</v>
      </c>
      <c r="B119" s="120">
        <v>1.2</v>
      </c>
      <c r="C119" s="127">
        <v>-1440000</v>
      </c>
      <c r="D119" s="128">
        <f t="shared" si="29"/>
        <v>-1200000.0000000002</v>
      </c>
      <c r="E119" s="129">
        <f t="shared" si="30"/>
        <v>0</v>
      </c>
    </row>
    <row r="120" spans="1:5" x14ac:dyDescent="0.15">
      <c r="A120" s="120">
        <f t="shared" si="25"/>
        <v>6001223</v>
      </c>
      <c r="B120" s="120">
        <v>1.4</v>
      </c>
      <c r="C120" s="127">
        <v>-1680000</v>
      </c>
      <c r="D120" s="128">
        <f t="shared" si="29"/>
        <v>-1199999.9999999988</v>
      </c>
      <c r="E120" s="129">
        <f t="shared" si="30"/>
        <v>0</v>
      </c>
    </row>
    <row r="121" spans="1:5" x14ac:dyDescent="0.15">
      <c r="A121" s="120">
        <f t="shared" si="25"/>
        <v>6001223</v>
      </c>
      <c r="B121" s="120">
        <v>1.6</v>
      </c>
      <c r="C121" s="127">
        <v>-1920000</v>
      </c>
      <c r="D121" s="128">
        <f t="shared" si="29"/>
        <v>-1200000.0000000002</v>
      </c>
      <c r="E121" s="129">
        <f t="shared" si="30"/>
        <v>0</v>
      </c>
    </row>
    <row r="122" spans="1:5" x14ac:dyDescent="0.15">
      <c r="A122" s="120">
        <f t="shared" si="25"/>
        <v>6001223</v>
      </c>
      <c r="B122" s="120">
        <v>1.8</v>
      </c>
      <c r="C122" s="127">
        <v>-2160000</v>
      </c>
      <c r="D122" s="128">
        <f t="shared" si="29"/>
        <v>-1200000.0000000002</v>
      </c>
      <c r="E122" s="129">
        <f t="shared" si="30"/>
        <v>0</v>
      </c>
    </row>
    <row r="123" spans="1:5" x14ac:dyDescent="0.15">
      <c r="A123" s="120">
        <f t="shared" si="25"/>
        <v>6001223</v>
      </c>
      <c r="B123" s="120">
        <v>2</v>
      </c>
      <c r="C123" s="127">
        <v>-2400000</v>
      </c>
      <c r="D123" s="128">
        <f t="shared" si="29"/>
        <v>-1199999.9999999988</v>
      </c>
      <c r="E123" s="129">
        <f t="shared" si="30"/>
        <v>0</v>
      </c>
    </row>
    <row r="124" spans="1:5" x14ac:dyDescent="0.15">
      <c r="A124" s="120">
        <f t="shared" si="25"/>
        <v>6001223</v>
      </c>
      <c r="B124" s="120">
        <v>2.2000000000000002</v>
      </c>
      <c r="C124" s="127">
        <v>-2640000</v>
      </c>
      <c r="D124" s="128">
        <f t="shared" si="29"/>
        <v>-1200000.0000000016</v>
      </c>
      <c r="E124" s="129">
        <f t="shared" si="30"/>
        <v>3.7252902984619141E-9</v>
      </c>
    </row>
    <row r="125" spans="1:5" x14ac:dyDescent="0.15">
      <c r="A125" s="120">
        <f t="shared" si="25"/>
        <v>6001223</v>
      </c>
      <c r="B125" s="120">
        <v>2.4</v>
      </c>
      <c r="C125" s="127">
        <v>-2880000</v>
      </c>
      <c r="D125" s="128">
        <f t="shared" si="29"/>
        <v>-1199999.9999999988</v>
      </c>
      <c r="E125" s="129">
        <f t="shared" si="30"/>
        <v>0</v>
      </c>
    </row>
    <row r="126" spans="1:5" x14ac:dyDescent="0.15">
      <c r="A126" s="120">
        <f t="shared" si="25"/>
        <v>6001223</v>
      </c>
      <c r="B126" s="120">
        <v>2.6</v>
      </c>
      <c r="C126" s="127">
        <v>-3120000</v>
      </c>
      <c r="D126" s="128">
        <f t="shared" si="29"/>
        <v>-1200000.0000000016</v>
      </c>
      <c r="E126" s="129">
        <f t="shared" si="30"/>
        <v>4.1909515857696533E-9</v>
      </c>
    </row>
    <row r="127" spans="1:5" x14ac:dyDescent="0.15">
      <c r="A127" s="120">
        <f t="shared" si="25"/>
        <v>6001223</v>
      </c>
      <c r="B127" s="120">
        <v>2.8</v>
      </c>
      <c r="C127" s="127">
        <v>-3360000</v>
      </c>
      <c r="D127" s="128">
        <f>(C128-C127)/(B128-B127)</f>
        <v>-33199999.99999997</v>
      </c>
      <c r="E127" s="129">
        <f>C127-D127*B127</f>
        <v>89599999.999999911</v>
      </c>
    </row>
    <row r="128" spans="1:5" x14ac:dyDescent="0.15">
      <c r="A128" s="120">
        <f t="shared" si="25"/>
        <v>6001223</v>
      </c>
      <c r="B128" s="120">
        <v>3</v>
      </c>
      <c r="C128" s="127">
        <v>-10000000</v>
      </c>
      <c r="D128" s="118">
        <v>0</v>
      </c>
      <c r="E128" s="116">
        <v>-10000000</v>
      </c>
    </row>
    <row r="129" spans="1:5" x14ac:dyDescent="0.15">
      <c r="A129" s="120">
        <f t="shared" si="25"/>
        <v>6001224</v>
      </c>
      <c r="B129" s="121">
        <v>0</v>
      </c>
      <c r="C129" s="127">
        <v>0</v>
      </c>
      <c r="D129" s="128">
        <f t="shared" ref="D129:D140" si="31">(C130-C129)/(B130-B129)</f>
        <v>-1200000</v>
      </c>
      <c r="E129" s="129">
        <f t="shared" ref="E129:E140" si="32">C129-D129*B129</f>
        <v>0</v>
      </c>
    </row>
    <row r="130" spans="1:5" x14ac:dyDescent="0.15">
      <c r="A130" s="120">
        <f t="shared" si="25"/>
        <v>6001224</v>
      </c>
      <c r="B130" s="121">
        <v>0.01</v>
      </c>
      <c r="C130" s="127">
        <v>-12000</v>
      </c>
      <c r="D130" s="128">
        <f t="shared" si="31"/>
        <v>-1200000</v>
      </c>
      <c r="E130" s="129">
        <f t="shared" si="32"/>
        <v>0</v>
      </c>
    </row>
    <row r="131" spans="1:5" x14ac:dyDescent="0.15">
      <c r="A131" s="120">
        <f t="shared" si="25"/>
        <v>6001224</v>
      </c>
      <c r="B131" s="121">
        <v>0.05</v>
      </c>
      <c r="C131" s="127">
        <v>-60000</v>
      </c>
      <c r="D131" s="128">
        <f t="shared" si="31"/>
        <v>-1200000</v>
      </c>
      <c r="E131" s="129">
        <f t="shared" si="32"/>
        <v>0</v>
      </c>
    </row>
    <row r="132" spans="1:5" x14ac:dyDescent="0.15">
      <c r="A132" s="120">
        <f t="shared" si="25"/>
        <v>6001224</v>
      </c>
      <c r="B132" s="121">
        <v>0.1</v>
      </c>
      <c r="C132" s="127">
        <v>-120000</v>
      </c>
      <c r="D132" s="128">
        <f t="shared" si="31"/>
        <v>-1200000</v>
      </c>
      <c r="E132" s="129">
        <f t="shared" si="32"/>
        <v>0</v>
      </c>
    </row>
    <row r="133" spans="1:5" x14ac:dyDescent="0.15">
      <c r="A133" s="120">
        <f t="shared" si="25"/>
        <v>6001224</v>
      </c>
      <c r="B133" s="121">
        <v>0.2</v>
      </c>
      <c r="C133" s="127">
        <v>-240000</v>
      </c>
      <c r="D133" s="128">
        <f t="shared" si="31"/>
        <v>-1200000</v>
      </c>
      <c r="E133" s="129">
        <f t="shared" si="32"/>
        <v>0</v>
      </c>
    </row>
    <row r="134" spans="1:5" x14ac:dyDescent="0.15">
      <c r="A134" s="120">
        <f t="shared" si="25"/>
        <v>6001224</v>
      </c>
      <c r="B134" s="121">
        <v>0.4</v>
      </c>
      <c r="C134" s="127">
        <v>-480000</v>
      </c>
      <c r="D134" s="128">
        <f t="shared" si="31"/>
        <v>-1200000.0000000002</v>
      </c>
      <c r="E134" s="129">
        <f t="shared" si="32"/>
        <v>0</v>
      </c>
    </row>
    <row r="135" spans="1:5" x14ac:dyDescent="0.15">
      <c r="A135" s="120">
        <f t="shared" si="25"/>
        <v>6001224</v>
      </c>
      <c r="B135" s="121">
        <v>0.6</v>
      </c>
      <c r="C135" s="127">
        <v>-720000</v>
      </c>
      <c r="D135" s="128">
        <f t="shared" si="31"/>
        <v>-1199999.9999999995</v>
      </c>
      <c r="E135" s="129">
        <f t="shared" si="32"/>
        <v>0</v>
      </c>
    </row>
    <row r="136" spans="1:5" x14ac:dyDescent="0.15">
      <c r="A136" s="120">
        <f t="shared" si="25"/>
        <v>6001224</v>
      </c>
      <c r="B136" s="121">
        <v>0.8</v>
      </c>
      <c r="C136" s="127">
        <v>-960000</v>
      </c>
      <c r="D136" s="128">
        <f t="shared" si="31"/>
        <v>-1200000.0000000002</v>
      </c>
      <c r="E136" s="129">
        <f t="shared" si="32"/>
        <v>0</v>
      </c>
    </row>
    <row r="137" spans="1:5" x14ac:dyDescent="0.15">
      <c r="A137" s="120">
        <f t="shared" si="25"/>
        <v>6001224</v>
      </c>
      <c r="B137" s="121">
        <v>1</v>
      </c>
      <c r="C137" s="127">
        <v>-1200000</v>
      </c>
      <c r="D137" s="128">
        <f t="shared" si="31"/>
        <v>-1200000.0000000002</v>
      </c>
      <c r="E137" s="129">
        <f t="shared" si="32"/>
        <v>0</v>
      </c>
    </row>
    <row r="138" spans="1:5" x14ac:dyDescent="0.15">
      <c r="A138" s="120">
        <f t="shared" si="25"/>
        <v>6001224</v>
      </c>
      <c r="B138" s="121">
        <v>1.2</v>
      </c>
      <c r="C138" s="127">
        <v>-1440000</v>
      </c>
      <c r="D138" s="128">
        <f t="shared" si="31"/>
        <v>-1200000.0000000002</v>
      </c>
      <c r="E138" s="129">
        <f t="shared" si="32"/>
        <v>0</v>
      </c>
    </row>
    <row r="139" spans="1:5" x14ac:dyDescent="0.15">
      <c r="A139" s="120">
        <f t="shared" si="25"/>
        <v>6001224</v>
      </c>
      <c r="B139" s="121">
        <v>1.4</v>
      </c>
      <c r="C139" s="127">
        <v>-1680000</v>
      </c>
      <c r="D139" s="128">
        <f t="shared" si="31"/>
        <v>-1199999.9999999988</v>
      </c>
      <c r="E139" s="129">
        <f t="shared" si="32"/>
        <v>0</v>
      </c>
    </row>
    <row r="140" spans="1:5" x14ac:dyDescent="0.15">
      <c r="A140" s="120">
        <f t="shared" si="25"/>
        <v>6001224</v>
      </c>
      <c r="B140" s="121">
        <v>1.6</v>
      </c>
      <c r="C140" s="127">
        <v>-1920000</v>
      </c>
      <c r="D140" s="128">
        <f t="shared" si="31"/>
        <v>-1200000.0000000002</v>
      </c>
      <c r="E140" s="129">
        <f t="shared" si="32"/>
        <v>0</v>
      </c>
    </row>
    <row r="141" spans="1:5" x14ac:dyDescent="0.15">
      <c r="A141" s="120">
        <f t="shared" si="25"/>
        <v>6001224</v>
      </c>
      <c r="B141" s="121">
        <v>1.8</v>
      </c>
      <c r="C141" s="127">
        <v>-2160000</v>
      </c>
      <c r="D141" s="128">
        <f>(C142-C141)/(B142-B141)</f>
        <v>-39200000.000000007</v>
      </c>
      <c r="E141" s="129">
        <f>C141-D141*B141</f>
        <v>68400000.000000015</v>
      </c>
    </row>
    <row r="142" spans="1:5" x14ac:dyDescent="0.15">
      <c r="A142" s="120">
        <f t="shared" si="25"/>
        <v>6001224</v>
      </c>
      <c r="B142" s="121">
        <v>2</v>
      </c>
      <c r="C142" s="127">
        <v>-10000000</v>
      </c>
      <c r="D142" s="119">
        <v>0</v>
      </c>
      <c r="E142" s="117">
        <v>-10000000</v>
      </c>
    </row>
    <row r="143" spans="1:5" x14ac:dyDescent="0.15">
      <c r="A143" s="120">
        <f t="shared" si="25"/>
        <v>6001225</v>
      </c>
      <c r="B143" s="120">
        <v>0</v>
      </c>
      <c r="C143" s="127">
        <v>0</v>
      </c>
      <c r="D143" s="128">
        <f t="shared" ref="D143:D159" si="33">(C144-C143)/(B144-B143)</f>
        <v>-1200000</v>
      </c>
      <c r="E143" s="129">
        <f t="shared" ref="E143:E159" si="34">C143-D143*B143</f>
        <v>0</v>
      </c>
    </row>
    <row r="144" spans="1:5" x14ac:dyDescent="0.15">
      <c r="A144" s="120">
        <f t="shared" si="25"/>
        <v>6001225</v>
      </c>
      <c r="B144" s="120">
        <v>0.01</v>
      </c>
      <c r="C144" s="127">
        <v>-12000</v>
      </c>
      <c r="D144" s="128">
        <f t="shared" si="33"/>
        <v>-1200000</v>
      </c>
      <c r="E144" s="129">
        <f t="shared" si="34"/>
        <v>0</v>
      </c>
    </row>
    <row r="145" spans="1:5" x14ac:dyDescent="0.15">
      <c r="A145" s="120">
        <f t="shared" si="25"/>
        <v>6001225</v>
      </c>
      <c r="B145" s="120">
        <v>0.05</v>
      </c>
      <c r="C145" s="127">
        <v>-60000</v>
      </c>
      <c r="D145" s="128">
        <f t="shared" si="33"/>
        <v>-1200000</v>
      </c>
      <c r="E145" s="129">
        <f t="shared" si="34"/>
        <v>0</v>
      </c>
    </row>
    <row r="146" spans="1:5" x14ac:dyDescent="0.15">
      <c r="A146" s="120">
        <f t="shared" si="25"/>
        <v>6001225</v>
      </c>
      <c r="B146" s="120">
        <v>0.1</v>
      </c>
      <c r="C146" s="127">
        <v>-120000</v>
      </c>
      <c r="D146" s="128">
        <f t="shared" si="33"/>
        <v>-1200000</v>
      </c>
      <c r="E146" s="129">
        <f t="shared" si="34"/>
        <v>0</v>
      </c>
    </row>
    <row r="147" spans="1:5" x14ac:dyDescent="0.15">
      <c r="A147" s="120">
        <f t="shared" ref="A147:A161" si="35">A67+10</f>
        <v>6001225</v>
      </c>
      <c r="B147" s="120">
        <v>0.2</v>
      </c>
      <c r="C147" s="127">
        <v>-240000</v>
      </c>
      <c r="D147" s="128">
        <f t="shared" si="33"/>
        <v>-1200000</v>
      </c>
      <c r="E147" s="129">
        <f t="shared" si="34"/>
        <v>0</v>
      </c>
    </row>
    <row r="148" spans="1:5" x14ac:dyDescent="0.15">
      <c r="A148" s="120">
        <f t="shared" si="35"/>
        <v>6001225</v>
      </c>
      <c r="B148" s="120">
        <v>0.4</v>
      </c>
      <c r="C148" s="127">
        <v>-480000</v>
      </c>
      <c r="D148" s="128">
        <f t="shared" si="33"/>
        <v>-1200000.0000000002</v>
      </c>
      <c r="E148" s="129">
        <f t="shared" si="34"/>
        <v>0</v>
      </c>
    </row>
    <row r="149" spans="1:5" x14ac:dyDescent="0.15">
      <c r="A149" s="120">
        <f t="shared" si="35"/>
        <v>6001225</v>
      </c>
      <c r="B149" s="120">
        <v>0.6</v>
      </c>
      <c r="C149" s="127">
        <v>-720000</v>
      </c>
      <c r="D149" s="128">
        <f t="shared" si="33"/>
        <v>-1199999.9999999995</v>
      </c>
      <c r="E149" s="129">
        <f t="shared" si="34"/>
        <v>0</v>
      </c>
    </row>
    <row r="150" spans="1:5" x14ac:dyDescent="0.15">
      <c r="A150" s="120">
        <f t="shared" si="35"/>
        <v>6001225</v>
      </c>
      <c r="B150" s="120">
        <v>0.8</v>
      </c>
      <c r="C150" s="127">
        <v>-960000</v>
      </c>
      <c r="D150" s="128">
        <f t="shared" si="33"/>
        <v>-1200000.0000000002</v>
      </c>
      <c r="E150" s="129">
        <f t="shared" si="34"/>
        <v>0</v>
      </c>
    </row>
    <row r="151" spans="1:5" x14ac:dyDescent="0.15">
      <c r="A151" s="120">
        <f t="shared" si="35"/>
        <v>6001225</v>
      </c>
      <c r="B151" s="120">
        <v>1</v>
      </c>
      <c r="C151" s="127">
        <v>-1200000</v>
      </c>
      <c r="D151" s="128">
        <f t="shared" si="33"/>
        <v>-1200000.0000000002</v>
      </c>
      <c r="E151" s="129">
        <f t="shared" si="34"/>
        <v>0</v>
      </c>
    </row>
    <row r="152" spans="1:5" x14ac:dyDescent="0.15">
      <c r="A152" s="120">
        <f t="shared" si="35"/>
        <v>6001225</v>
      </c>
      <c r="B152" s="120">
        <v>1.2</v>
      </c>
      <c r="C152" s="127">
        <v>-1440000</v>
      </c>
      <c r="D152" s="128">
        <f t="shared" si="33"/>
        <v>-1200000.0000000002</v>
      </c>
      <c r="E152" s="129">
        <f t="shared" si="34"/>
        <v>0</v>
      </c>
    </row>
    <row r="153" spans="1:5" x14ac:dyDescent="0.15">
      <c r="A153" s="120">
        <f t="shared" si="35"/>
        <v>6001225</v>
      </c>
      <c r="B153" s="120">
        <v>1.4</v>
      </c>
      <c r="C153" s="127">
        <v>-1680000</v>
      </c>
      <c r="D153" s="128">
        <f t="shared" si="33"/>
        <v>-1199999.9999999988</v>
      </c>
      <c r="E153" s="129">
        <f t="shared" si="34"/>
        <v>0</v>
      </c>
    </row>
    <row r="154" spans="1:5" x14ac:dyDescent="0.15">
      <c r="A154" s="120">
        <f t="shared" si="35"/>
        <v>6001225</v>
      </c>
      <c r="B154" s="120">
        <v>1.6</v>
      </c>
      <c r="C154" s="127">
        <v>-1920000</v>
      </c>
      <c r="D154" s="128">
        <f t="shared" si="33"/>
        <v>-1200000.0000000002</v>
      </c>
      <c r="E154" s="129">
        <f t="shared" si="34"/>
        <v>0</v>
      </c>
    </row>
    <row r="155" spans="1:5" x14ac:dyDescent="0.15">
      <c r="A155" s="120">
        <f t="shared" si="35"/>
        <v>6001225</v>
      </c>
      <c r="B155" s="120">
        <v>1.8</v>
      </c>
      <c r="C155" s="127">
        <v>-2160000</v>
      </c>
      <c r="D155" s="128">
        <f t="shared" si="33"/>
        <v>-1200000.0000000002</v>
      </c>
      <c r="E155" s="129">
        <f t="shared" si="34"/>
        <v>0</v>
      </c>
    </row>
    <row r="156" spans="1:5" x14ac:dyDescent="0.15">
      <c r="A156" s="120">
        <f t="shared" si="35"/>
        <v>6001225</v>
      </c>
      <c r="B156" s="120">
        <v>2</v>
      </c>
      <c r="C156" s="127">
        <v>-2400000</v>
      </c>
      <c r="D156" s="128">
        <f t="shared" si="33"/>
        <v>-1199999.9999999988</v>
      </c>
      <c r="E156" s="129">
        <f t="shared" si="34"/>
        <v>0</v>
      </c>
    </row>
    <row r="157" spans="1:5" x14ac:dyDescent="0.15">
      <c r="A157" s="120">
        <f t="shared" si="35"/>
        <v>6001225</v>
      </c>
      <c r="B157" s="120">
        <v>2.2000000000000002</v>
      </c>
      <c r="C157" s="127">
        <v>-2640000</v>
      </c>
      <c r="D157" s="128">
        <f t="shared" si="33"/>
        <v>-1200000.0000000016</v>
      </c>
      <c r="E157" s="129">
        <f t="shared" si="34"/>
        <v>3.7252902984619141E-9</v>
      </c>
    </row>
    <row r="158" spans="1:5" x14ac:dyDescent="0.15">
      <c r="A158" s="120">
        <f t="shared" si="35"/>
        <v>6001225</v>
      </c>
      <c r="B158" s="120">
        <v>2.4</v>
      </c>
      <c r="C158" s="127">
        <v>-2880000</v>
      </c>
      <c r="D158" s="128">
        <f t="shared" si="33"/>
        <v>-1199999.9999999988</v>
      </c>
      <c r="E158" s="129">
        <f t="shared" si="34"/>
        <v>0</v>
      </c>
    </row>
    <row r="159" spans="1:5" x14ac:dyDescent="0.15">
      <c r="A159" s="120">
        <f t="shared" si="35"/>
        <v>6001225</v>
      </c>
      <c r="B159" s="120">
        <v>2.6</v>
      </c>
      <c r="C159" s="127">
        <v>-3120000</v>
      </c>
      <c r="D159" s="128">
        <f t="shared" si="33"/>
        <v>-1200000.0000000016</v>
      </c>
      <c r="E159" s="129">
        <f t="shared" si="34"/>
        <v>4.1909515857696533E-9</v>
      </c>
    </row>
    <row r="160" spans="1:5" x14ac:dyDescent="0.15">
      <c r="A160" s="120">
        <f t="shared" si="35"/>
        <v>6001225</v>
      </c>
      <c r="B160" s="120">
        <v>2.8</v>
      </c>
      <c r="C160" s="127">
        <v>-3360000</v>
      </c>
      <c r="D160" s="128">
        <f>(C161-C160)/(B161-B160)</f>
        <v>-33199999.99999997</v>
      </c>
      <c r="E160" s="129">
        <f>C160-D160*B160</f>
        <v>89599999.999999911</v>
      </c>
    </row>
    <row r="161" spans="1:5" x14ac:dyDescent="0.15">
      <c r="A161" s="120">
        <f t="shared" si="35"/>
        <v>6001225</v>
      </c>
      <c r="B161" s="120">
        <v>3</v>
      </c>
      <c r="C161" s="127">
        <v>-10000000</v>
      </c>
      <c r="D161" s="118">
        <v>0</v>
      </c>
      <c r="E161" s="116">
        <v>-10000000</v>
      </c>
    </row>
  </sheetData>
  <phoneticPr fontId="7"/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G17"/>
  <sheetViews>
    <sheetView tabSelected="1" workbookViewId="0">
      <selection activeCell="G21" sqref="G21"/>
    </sheetView>
  </sheetViews>
  <sheetFormatPr baseColWidth="12" defaultRowHeight="15" x14ac:dyDescent="0.15"/>
  <cols>
    <col min="7" max="7" width="34.5" bestFit="1" customWidth="1"/>
  </cols>
  <sheetData>
    <row r="1" spans="1:7" x14ac:dyDescent="0.15">
      <c r="A1" s="141" t="s">
        <v>256</v>
      </c>
      <c r="B1" s="141" t="s">
        <v>257</v>
      </c>
      <c r="C1" s="141" t="s">
        <v>258</v>
      </c>
      <c r="D1" s="141" t="s">
        <v>259</v>
      </c>
      <c r="E1" s="142" t="s">
        <v>260</v>
      </c>
      <c r="F1" s="142" t="s">
        <v>261</v>
      </c>
      <c r="G1" s="142" t="s">
        <v>262</v>
      </c>
    </row>
    <row r="2" spans="1:7" x14ac:dyDescent="0.15">
      <c r="A2" s="143">
        <v>1201</v>
      </c>
      <c r="B2" s="143">
        <v>60012</v>
      </c>
      <c r="C2" s="143">
        <v>1</v>
      </c>
      <c r="D2" s="143">
        <v>10000000</v>
      </c>
      <c r="E2" s="143" t="s">
        <v>304</v>
      </c>
      <c r="F2" s="143" t="s">
        <v>305</v>
      </c>
      <c r="G2" s="143" t="s">
        <v>306</v>
      </c>
    </row>
    <row r="3" spans="1:7" x14ac:dyDescent="0.15">
      <c r="A3" s="143">
        <v>1202</v>
      </c>
      <c r="B3" s="143">
        <v>60012</v>
      </c>
      <c r="C3" s="143">
        <v>1</v>
      </c>
      <c r="D3" s="143">
        <v>7500000</v>
      </c>
      <c r="E3" s="143" t="s">
        <v>230</v>
      </c>
      <c r="F3" s="143" t="s">
        <v>307</v>
      </c>
      <c r="G3" s="143" t="s">
        <v>308</v>
      </c>
    </row>
    <row r="4" spans="1:7" x14ac:dyDescent="0.15">
      <c r="A4" s="143">
        <v>1203</v>
      </c>
      <c r="B4" s="143">
        <v>60012</v>
      </c>
      <c r="C4" s="143">
        <v>1</v>
      </c>
      <c r="D4" s="143">
        <v>5000000</v>
      </c>
      <c r="E4" s="143" t="s">
        <v>309</v>
      </c>
      <c r="F4" s="143" t="s">
        <v>310</v>
      </c>
      <c r="G4" s="143" t="s">
        <v>311</v>
      </c>
    </row>
    <row r="5" spans="1:7" x14ac:dyDescent="0.15">
      <c r="A5" s="143">
        <v>1204</v>
      </c>
      <c r="B5" s="143">
        <v>60012</v>
      </c>
      <c r="C5" s="143">
        <v>1</v>
      </c>
      <c r="D5" s="143">
        <v>2500000</v>
      </c>
      <c r="E5" s="143" t="s">
        <v>309</v>
      </c>
      <c r="F5" s="143" t="s">
        <v>312</v>
      </c>
      <c r="G5" s="143" t="s">
        <v>313</v>
      </c>
    </row>
    <row r="6" spans="1:7" x14ac:dyDescent="0.15">
      <c r="A6" s="143">
        <v>1205</v>
      </c>
      <c r="B6" s="143">
        <v>60012</v>
      </c>
      <c r="C6" s="143">
        <v>1</v>
      </c>
      <c r="D6" s="143">
        <v>1000000</v>
      </c>
      <c r="E6" s="143" t="s">
        <v>309</v>
      </c>
      <c r="F6" s="143" t="s">
        <v>314</v>
      </c>
      <c r="G6" s="143" t="s">
        <v>315</v>
      </c>
    </row>
    <row r="7" spans="1:7" x14ac:dyDescent="0.15">
      <c r="A7" s="143">
        <v>1206</v>
      </c>
      <c r="B7" s="143">
        <v>60012</v>
      </c>
      <c r="C7" s="143">
        <v>1</v>
      </c>
      <c r="D7" s="143">
        <v>500000</v>
      </c>
      <c r="E7" s="143" t="s">
        <v>309</v>
      </c>
      <c r="F7" s="143" t="s">
        <v>316</v>
      </c>
      <c r="G7" s="143" t="s">
        <v>317</v>
      </c>
    </row>
    <row r="8" spans="1:7" x14ac:dyDescent="0.15">
      <c r="A8" s="143">
        <v>1207</v>
      </c>
      <c r="B8" s="143">
        <v>60012</v>
      </c>
      <c r="C8" s="143">
        <v>1</v>
      </c>
      <c r="D8" s="143">
        <v>250000</v>
      </c>
      <c r="E8" s="143" t="s">
        <v>309</v>
      </c>
      <c r="F8" s="143" t="s">
        <v>318</v>
      </c>
      <c r="G8" s="143" t="s">
        <v>319</v>
      </c>
    </row>
    <row r="9" spans="1:7" x14ac:dyDescent="0.15">
      <c r="A9" s="143">
        <v>1208</v>
      </c>
      <c r="B9" s="143">
        <v>60012</v>
      </c>
      <c r="C9" s="143">
        <v>1</v>
      </c>
      <c r="D9" s="143">
        <v>0</v>
      </c>
      <c r="E9" s="143" t="s">
        <v>230</v>
      </c>
      <c r="F9" s="143" t="s">
        <v>320</v>
      </c>
      <c r="G9" s="143" t="s">
        <v>321</v>
      </c>
    </row>
    <row r="10" spans="1:7" x14ac:dyDescent="0.15">
      <c r="A10" s="143">
        <v>1209</v>
      </c>
      <c r="B10" s="143">
        <v>60012</v>
      </c>
      <c r="C10" s="143">
        <v>2</v>
      </c>
      <c r="D10" s="143">
        <v>10000000</v>
      </c>
      <c r="E10" s="143" t="s">
        <v>230</v>
      </c>
      <c r="F10" s="143" t="s">
        <v>305</v>
      </c>
      <c r="G10" s="143" t="s">
        <v>306</v>
      </c>
    </row>
    <row r="11" spans="1:7" x14ac:dyDescent="0.15">
      <c r="A11" s="143">
        <v>1210</v>
      </c>
      <c r="B11" s="143">
        <v>60012</v>
      </c>
      <c r="C11" s="143">
        <v>2</v>
      </c>
      <c r="D11" s="143">
        <v>7500000</v>
      </c>
      <c r="E11" s="143" t="s">
        <v>230</v>
      </c>
      <c r="F11" s="143" t="s">
        <v>307</v>
      </c>
      <c r="G11" s="143" t="s">
        <v>308</v>
      </c>
    </row>
    <row r="12" spans="1:7" x14ac:dyDescent="0.15">
      <c r="A12" s="143">
        <v>1211</v>
      </c>
      <c r="B12" s="143">
        <v>60012</v>
      </c>
      <c r="C12" s="143">
        <v>2</v>
      </c>
      <c r="D12" s="143">
        <v>5000000</v>
      </c>
      <c r="E12" s="143" t="s">
        <v>230</v>
      </c>
      <c r="F12" s="143" t="s">
        <v>310</v>
      </c>
      <c r="G12" s="143" t="s">
        <v>311</v>
      </c>
    </row>
    <row r="13" spans="1:7" x14ac:dyDescent="0.15">
      <c r="A13" s="143">
        <v>1212</v>
      </c>
      <c r="B13" s="143">
        <v>60012</v>
      </c>
      <c r="C13" s="143">
        <v>2</v>
      </c>
      <c r="D13" s="143">
        <v>2500000</v>
      </c>
      <c r="E13" s="143" t="s">
        <v>230</v>
      </c>
      <c r="F13" s="143" t="s">
        <v>312</v>
      </c>
      <c r="G13" s="143" t="s">
        <v>313</v>
      </c>
    </row>
    <row r="14" spans="1:7" x14ac:dyDescent="0.15">
      <c r="A14" s="143">
        <v>1213</v>
      </c>
      <c r="B14" s="143">
        <v>60012</v>
      </c>
      <c r="C14" s="143">
        <v>2</v>
      </c>
      <c r="D14" s="143">
        <v>1000000</v>
      </c>
      <c r="E14" s="143" t="s">
        <v>230</v>
      </c>
      <c r="F14" s="143" t="s">
        <v>314</v>
      </c>
      <c r="G14" s="143" t="s">
        <v>315</v>
      </c>
    </row>
    <row r="15" spans="1:7" x14ac:dyDescent="0.15">
      <c r="A15" s="143">
        <v>1214</v>
      </c>
      <c r="B15" s="143">
        <v>60012</v>
      </c>
      <c r="C15" s="143">
        <v>2</v>
      </c>
      <c r="D15" s="143">
        <v>500000</v>
      </c>
      <c r="E15" s="143" t="s">
        <v>230</v>
      </c>
      <c r="F15" s="143" t="s">
        <v>316</v>
      </c>
      <c r="G15" s="143" t="s">
        <v>317</v>
      </c>
    </row>
    <row r="16" spans="1:7" x14ac:dyDescent="0.15">
      <c r="A16" s="143">
        <v>1215</v>
      </c>
      <c r="B16" s="143">
        <v>60012</v>
      </c>
      <c r="C16" s="143">
        <v>2</v>
      </c>
      <c r="D16" s="143">
        <v>250000</v>
      </c>
      <c r="E16" s="143" t="s">
        <v>230</v>
      </c>
      <c r="F16" s="143" t="s">
        <v>318</v>
      </c>
      <c r="G16" s="143" t="s">
        <v>319</v>
      </c>
    </row>
    <row r="17" spans="1:7" x14ac:dyDescent="0.15">
      <c r="A17" s="143">
        <v>1216</v>
      </c>
      <c r="B17" s="143">
        <v>60012</v>
      </c>
      <c r="C17" s="143">
        <v>2</v>
      </c>
      <c r="D17" s="143">
        <v>0</v>
      </c>
      <c r="E17" s="143" t="s">
        <v>230</v>
      </c>
      <c r="F17" s="143" t="s">
        <v>320</v>
      </c>
      <c r="G17" s="143" t="s">
        <v>321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42"/>
  <sheetViews>
    <sheetView topLeftCell="J1" workbookViewId="0">
      <selection activeCell="S9" sqref="S9"/>
    </sheetView>
  </sheetViews>
  <sheetFormatPr baseColWidth="12" defaultRowHeight="15" x14ac:dyDescent="0.15"/>
  <cols>
    <col min="21" max="21" width="41.5" customWidth="1"/>
  </cols>
  <sheetData>
    <row r="1" spans="1:21" x14ac:dyDescent="0.15">
      <c r="A1" s="72" t="s">
        <v>150</v>
      </c>
      <c r="B1" s="77" t="s">
        <v>16</v>
      </c>
      <c r="C1" s="77" t="s">
        <v>33</v>
      </c>
      <c r="D1" s="72" t="s">
        <v>218</v>
      </c>
      <c r="E1" s="72" t="s">
        <v>219</v>
      </c>
      <c r="F1" s="102" t="s">
        <v>228</v>
      </c>
      <c r="G1" s="99" t="s">
        <v>220</v>
      </c>
      <c r="H1" s="100" t="s">
        <v>221</v>
      </c>
      <c r="I1" s="100" t="s">
        <v>222</v>
      </c>
      <c r="J1" s="100" t="s">
        <v>223</v>
      </c>
      <c r="K1" s="100" t="s">
        <v>266</v>
      </c>
      <c r="L1" s="100" t="s">
        <v>267</v>
      </c>
      <c r="M1" s="101" t="s">
        <v>268</v>
      </c>
      <c r="N1" s="101" t="s">
        <v>269</v>
      </c>
      <c r="O1" s="101" t="s">
        <v>270</v>
      </c>
      <c r="P1" s="101" t="s">
        <v>272</v>
      </c>
      <c r="Q1" s="101" t="s">
        <v>273</v>
      </c>
      <c r="R1" s="101" t="s">
        <v>224</v>
      </c>
      <c r="S1" s="101" t="s">
        <v>225</v>
      </c>
      <c r="T1" s="101" t="s">
        <v>226</v>
      </c>
      <c r="U1" s="101" t="s">
        <v>227</v>
      </c>
    </row>
    <row r="2" spans="1:21" s="148" customFormat="1" ht="28" x14ac:dyDescent="0.15">
      <c r="A2" s="144">
        <v>60012</v>
      </c>
      <c r="B2" s="145" t="e">
        <f ca="1">VLOOKUP($A2,OFFSET([2]quests!$A$1,0,0,COUNTA([2]quests!$A:$A),MATCH(B$1,[2]quests!$1:$1,0)-MATCH($A$1,[2]quests!$1:$1,0)+1),MATCH(B$1,[2]quests!$1:$1,0)-MATCH($A$1,[2]quests!$1:$1,0)+1,FALSE)</f>
        <v>#VALUE!</v>
      </c>
      <c r="C2" s="145" t="e">
        <f ca="1">VLOOKUP($A2,OFFSET([2]quests!$A$1,0,0,COUNTA([2]quests!$A:$A),MATCH(C$1,[2]quests!$1:$1,0)-MATCH($A$1,[2]quests!$1:$1,0)+1),MATCH(C$1,[2]quests!$1:$1,0)-MATCH($A$1,[2]quests!$1:$1,0)+1,FALSE)</f>
        <v>#VALUE!</v>
      </c>
      <c r="D2" s="144">
        <v>1</v>
      </c>
      <c r="E2" s="146">
        <v>1</v>
      </c>
      <c r="F2" s="147" t="str">
        <f>A2&amp;TEXT(E2,"0000")</f>
        <v>600120001</v>
      </c>
      <c r="G2" s="148" t="str">
        <f>F2&amp;TEXT(COUNTIF(F$2:F2,F2),"00")</f>
        <v>60012000101</v>
      </c>
      <c r="H2" s="149" t="s">
        <v>322</v>
      </c>
      <c r="I2" s="149">
        <v>604</v>
      </c>
      <c r="J2" s="149">
        <v>1</v>
      </c>
      <c r="K2" s="149">
        <v>0</v>
      </c>
      <c r="L2" s="149">
        <v>0</v>
      </c>
      <c r="M2" s="149">
        <v>0</v>
      </c>
      <c r="N2" s="149">
        <v>0</v>
      </c>
      <c r="O2" s="149">
        <v>1</v>
      </c>
      <c r="P2" s="149">
        <v>1</v>
      </c>
      <c r="Q2" s="149">
        <v>1</v>
      </c>
      <c r="R2" s="149" t="s">
        <v>230</v>
      </c>
      <c r="S2" s="149" t="s">
        <v>451</v>
      </c>
      <c r="T2" s="149" t="s">
        <v>323</v>
      </c>
      <c r="U2" s="150" t="s">
        <v>389</v>
      </c>
    </row>
    <row r="3" spans="1:21" s="148" customFormat="1" ht="28" x14ac:dyDescent="0.15">
      <c r="A3" s="144">
        <v>60012</v>
      </c>
      <c r="B3" s="145" t="e">
        <f ca="1">VLOOKUP($A3,OFFSET([2]quests!$A$1,0,0,COUNTA([2]quests!$A:$A),MATCH(B$1,[2]quests!$1:$1,0)-MATCH($A$1,[2]quests!$1:$1,0)+1),MATCH(B$1,[2]quests!$1:$1,0)-MATCH($A$1,[2]quests!$1:$1,0)+1,FALSE)</f>
        <v>#VALUE!</v>
      </c>
      <c r="C3" s="145" t="e">
        <f ca="1">VLOOKUP($A3,OFFSET([2]quests!$A$1,0,0,COUNTA([2]quests!$A:$A),MATCH(C$1,[2]quests!$1:$1,0)-MATCH($A$1,[2]quests!$1:$1,0)+1),MATCH(C$1,[2]quests!$1:$1,0)-MATCH($A$1,[2]quests!$1:$1,0)+1,FALSE)</f>
        <v>#VALUE!</v>
      </c>
      <c r="D3" s="144">
        <v>1</v>
      </c>
      <c r="E3" s="146">
        <v>1</v>
      </c>
      <c r="F3" s="147" t="str">
        <f t="shared" ref="F3:F6" si="0">A3&amp;TEXT(E3,"0000")</f>
        <v>600120001</v>
      </c>
      <c r="G3" s="148" t="str">
        <f>F3&amp;TEXT(COUNTIF(F$2:F3,F3),"00")</f>
        <v>60012000102</v>
      </c>
      <c r="H3" s="149" t="s">
        <v>322</v>
      </c>
      <c r="I3" s="149">
        <v>603</v>
      </c>
      <c r="J3" s="149">
        <v>2</v>
      </c>
      <c r="K3" s="149">
        <v>0</v>
      </c>
      <c r="L3" s="149">
        <v>0</v>
      </c>
      <c r="M3" s="149">
        <v>0</v>
      </c>
      <c r="N3" s="149">
        <v>0</v>
      </c>
      <c r="O3" s="149">
        <v>1</v>
      </c>
      <c r="P3" s="149">
        <v>1</v>
      </c>
      <c r="Q3" s="149">
        <v>1</v>
      </c>
      <c r="R3" s="149" t="s">
        <v>230</v>
      </c>
      <c r="S3" s="149" t="s">
        <v>452</v>
      </c>
      <c r="T3" s="149" t="s">
        <v>323</v>
      </c>
      <c r="U3" s="150" t="s">
        <v>389</v>
      </c>
    </row>
    <row r="4" spans="1:21" s="148" customFormat="1" ht="28" x14ac:dyDescent="0.15">
      <c r="A4" s="144">
        <v>60012</v>
      </c>
      <c r="B4" s="145" t="e">
        <f ca="1">VLOOKUP($A4,OFFSET([2]quests!$A$1,0,0,COUNTA([2]quests!$A:$A),MATCH(B$1,[2]quests!$1:$1,0)-MATCH($A$1,[2]quests!$1:$1,0)+1),MATCH(B$1,[2]quests!$1:$1,0)-MATCH($A$1,[2]quests!$1:$1,0)+1,FALSE)</f>
        <v>#VALUE!</v>
      </c>
      <c r="C4" s="145" t="e">
        <f ca="1">VLOOKUP($A4,OFFSET([2]quests!$A$1,0,0,COUNTA([2]quests!$A:$A),MATCH(C$1,[2]quests!$1:$1,0)-MATCH($A$1,[2]quests!$1:$1,0)+1),MATCH(C$1,[2]quests!$1:$1,0)-MATCH($A$1,[2]quests!$1:$1,0)+1,FALSE)</f>
        <v>#VALUE!</v>
      </c>
      <c r="D4" s="144">
        <v>1</v>
      </c>
      <c r="E4" s="146">
        <v>1</v>
      </c>
      <c r="F4" s="147" t="str">
        <f t="shared" si="0"/>
        <v>600120001</v>
      </c>
      <c r="G4" s="148" t="str">
        <f>F4&amp;TEXT(COUNTIF(F$2:F4,F4),"00")</f>
        <v>60012000103</v>
      </c>
      <c r="H4" s="149" t="s">
        <v>324</v>
      </c>
      <c r="I4" s="149">
        <v>10</v>
      </c>
      <c r="J4" s="149" t="s">
        <v>89</v>
      </c>
      <c r="K4" s="149">
        <v>0</v>
      </c>
      <c r="L4" s="149">
        <v>0</v>
      </c>
      <c r="M4" s="149">
        <v>0</v>
      </c>
      <c r="N4" s="149">
        <v>0</v>
      </c>
      <c r="O4" s="149">
        <v>1</v>
      </c>
      <c r="P4" s="149">
        <v>1</v>
      </c>
      <c r="Q4" s="149">
        <v>1</v>
      </c>
      <c r="R4" s="149" t="s">
        <v>230</v>
      </c>
      <c r="S4" s="149" t="s">
        <v>325</v>
      </c>
      <c r="T4" s="149" t="s">
        <v>323</v>
      </c>
      <c r="U4" s="150" t="s">
        <v>389</v>
      </c>
    </row>
    <row r="5" spans="1:21" s="148" customFormat="1" ht="28" x14ac:dyDescent="0.15">
      <c r="A5" s="144">
        <v>60012</v>
      </c>
      <c r="B5" s="145" t="e">
        <f ca="1">VLOOKUP($A5,OFFSET([2]quests!$A$1,0,0,COUNTA([2]quests!$A:$A),MATCH(B$1,[2]quests!$1:$1,0)-MATCH($A$1,[2]quests!$1:$1,0)+1),MATCH(B$1,[2]quests!$1:$1,0)-MATCH($A$1,[2]quests!$1:$1,0)+1,FALSE)</f>
        <v>#VALUE!</v>
      </c>
      <c r="C5" s="145" t="e">
        <f ca="1">VLOOKUP($A5,OFFSET([2]quests!$A$1,0,0,COUNTA([2]quests!$A:$A),MATCH(C$1,[2]quests!$1:$1,0)-MATCH($A$1,[2]quests!$1:$1,0)+1),MATCH(C$1,[2]quests!$1:$1,0)-MATCH($A$1,[2]quests!$1:$1,0)+1,FALSE)</f>
        <v>#VALUE!</v>
      </c>
      <c r="D5" s="144">
        <v>1</v>
      </c>
      <c r="E5" s="146">
        <v>1</v>
      </c>
      <c r="F5" s="147" t="str">
        <f t="shared" si="0"/>
        <v>600120001</v>
      </c>
      <c r="G5" s="148" t="str">
        <f>F5&amp;TEXT(COUNTIF(F$2:F5,F5),"00")</f>
        <v>60012000104</v>
      </c>
      <c r="H5" s="149" t="s">
        <v>229</v>
      </c>
      <c r="I5" s="149">
        <v>837</v>
      </c>
      <c r="J5" s="149">
        <v>1</v>
      </c>
      <c r="K5" s="149">
        <v>0</v>
      </c>
      <c r="L5" s="149">
        <v>0</v>
      </c>
      <c r="M5" s="149">
        <v>0</v>
      </c>
      <c r="N5" s="149">
        <v>0</v>
      </c>
      <c r="O5" s="149">
        <v>1</v>
      </c>
      <c r="P5" s="149">
        <v>1</v>
      </c>
      <c r="Q5" s="149">
        <v>1</v>
      </c>
      <c r="R5" s="149" t="s">
        <v>230</v>
      </c>
      <c r="S5" s="149" t="s">
        <v>326</v>
      </c>
      <c r="T5" s="149" t="s">
        <v>323</v>
      </c>
      <c r="U5" s="150" t="s">
        <v>389</v>
      </c>
    </row>
    <row r="6" spans="1:21" s="148" customFormat="1" ht="28" x14ac:dyDescent="0.15">
      <c r="A6" s="144">
        <v>60012</v>
      </c>
      <c r="B6" s="145" t="e">
        <f ca="1">VLOOKUP($A6,OFFSET([2]quests!$A$1,0,0,COUNTA([2]quests!$A:$A),MATCH(B$1,[2]quests!$1:$1,0)-MATCH($A$1,[2]quests!$1:$1,0)+1),MATCH(B$1,[2]quests!$1:$1,0)-MATCH($A$1,[2]quests!$1:$1,0)+1,FALSE)</f>
        <v>#VALUE!</v>
      </c>
      <c r="C6" s="145" t="e">
        <f ca="1">VLOOKUP($A6,OFFSET([2]quests!$A$1,0,0,COUNTA([2]quests!$A:$A),MATCH(C$1,[2]quests!$1:$1,0)-MATCH($A$1,[2]quests!$1:$1,0)+1),MATCH(C$1,[2]quests!$1:$1,0)-MATCH($A$1,[2]quests!$1:$1,0)+1,FALSE)</f>
        <v>#VALUE!</v>
      </c>
      <c r="D6" s="144">
        <v>1</v>
      </c>
      <c r="E6" s="146">
        <v>1</v>
      </c>
      <c r="F6" s="147" t="str">
        <f t="shared" si="0"/>
        <v>600120001</v>
      </c>
      <c r="G6" s="148" t="str">
        <f>F6&amp;TEXT(COUNTIF(F$2:F6,F6),"00")</f>
        <v>60012000105</v>
      </c>
      <c r="H6" s="149" t="s">
        <v>229</v>
      </c>
      <c r="I6" s="149">
        <v>614</v>
      </c>
      <c r="J6" s="149">
        <v>1</v>
      </c>
      <c r="K6" s="149">
        <v>0</v>
      </c>
      <c r="L6" s="149">
        <v>0</v>
      </c>
      <c r="M6" s="149">
        <v>0</v>
      </c>
      <c r="N6" s="149">
        <v>0</v>
      </c>
      <c r="O6" s="149">
        <v>1</v>
      </c>
      <c r="P6" s="149">
        <v>1</v>
      </c>
      <c r="Q6" s="149">
        <v>1</v>
      </c>
      <c r="R6" s="149" t="s">
        <v>230</v>
      </c>
      <c r="S6" s="149" t="s">
        <v>327</v>
      </c>
      <c r="T6" s="149" t="s">
        <v>323</v>
      </c>
      <c r="U6" s="150" t="s">
        <v>389</v>
      </c>
    </row>
    <row r="7" spans="1:21" s="148" customFormat="1" ht="28" x14ac:dyDescent="0.15">
      <c r="A7" s="144">
        <v>60012</v>
      </c>
      <c r="B7" s="145" t="e">
        <f ca="1">VLOOKUP($A7,OFFSET([2]quests!$A$1,0,0,COUNTA([2]quests!$A:$A),MATCH(B$1,[2]quests!$1:$1,0)-MATCH($A$1,[2]quests!$1:$1,0)+1),MATCH(B$1,[2]quests!$1:$1,0)-MATCH($A$1,[2]quests!$1:$1,0)+1,FALSE)</f>
        <v>#VALUE!</v>
      </c>
      <c r="C7" s="145" t="e">
        <f ca="1">VLOOKUP($A7,OFFSET([2]quests!$A$1,0,0,COUNTA([2]quests!$A:$A),MATCH(C$1,[2]quests!$1:$1,0)-MATCH($A$1,[2]quests!$1:$1,0)+1),MATCH(C$1,[2]quests!$1:$1,0)-MATCH($A$1,[2]quests!$1:$1,0)+1,FALSE)</f>
        <v>#VALUE!</v>
      </c>
      <c r="D7" s="144">
        <v>2</v>
      </c>
      <c r="E7" s="146">
        <v>2</v>
      </c>
      <c r="F7" s="147" t="str">
        <f>A7&amp;TEXT(E7,"0000")</f>
        <v>600120002</v>
      </c>
      <c r="G7" s="148" t="str">
        <f>F7&amp;TEXT(COUNTIF(F$2:F7,F7),"00")</f>
        <v>60012000201</v>
      </c>
      <c r="H7" s="149" t="s">
        <v>322</v>
      </c>
      <c r="I7" s="149">
        <v>604</v>
      </c>
      <c r="J7" s="149">
        <v>1</v>
      </c>
      <c r="K7" s="149">
        <v>0</v>
      </c>
      <c r="L7" s="149">
        <v>0</v>
      </c>
      <c r="M7" s="149">
        <v>0</v>
      </c>
      <c r="N7" s="149">
        <v>0</v>
      </c>
      <c r="O7" s="149">
        <v>1</v>
      </c>
      <c r="P7" s="149">
        <v>1</v>
      </c>
      <c r="Q7" s="149">
        <v>1</v>
      </c>
      <c r="R7" s="149" t="s">
        <v>230</v>
      </c>
      <c r="S7" s="149" t="s">
        <v>453</v>
      </c>
      <c r="T7" s="149" t="s">
        <v>323</v>
      </c>
      <c r="U7" s="150" t="s">
        <v>389</v>
      </c>
    </row>
    <row r="8" spans="1:21" s="148" customFormat="1" ht="28" x14ac:dyDescent="0.15">
      <c r="A8" s="144">
        <v>60012</v>
      </c>
      <c r="B8" s="145" t="e">
        <f ca="1">VLOOKUP($A8,OFFSET([2]quests!$A$1,0,0,COUNTA([2]quests!$A:$A),MATCH(B$1,[2]quests!$1:$1,0)-MATCH($A$1,[2]quests!$1:$1,0)+1),MATCH(B$1,[2]quests!$1:$1,0)-MATCH($A$1,[2]quests!$1:$1,0)+1,FALSE)</f>
        <v>#VALUE!</v>
      </c>
      <c r="C8" s="145" t="e">
        <f ca="1">VLOOKUP($A8,OFFSET([2]quests!$A$1,0,0,COUNTA([2]quests!$A:$A),MATCH(C$1,[2]quests!$1:$1,0)-MATCH($A$1,[2]quests!$1:$1,0)+1),MATCH(C$1,[2]quests!$1:$1,0)-MATCH($A$1,[2]quests!$1:$1,0)+1,FALSE)</f>
        <v>#VALUE!</v>
      </c>
      <c r="D8" s="144">
        <v>2</v>
      </c>
      <c r="E8" s="146">
        <v>2</v>
      </c>
      <c r="F8" s="147" t="str">
        <f t="shared" ref="F8:F26" si="1">A8&amp;TEXT(E8,"0000")</f>
        <v>600120002</v>
      </c>
      <c r="G8" s="148" t="str">
        <f>F8&amp;TEXT(COUNTIF(F$2:F8,F8),"00")</f>
        <v>60012000202</v>
      </c>
      <c r="H8" s="149" t="s">
        <v>322</v>
      </c>
      <c r="I8" s="149">
        <v>603</v>
      </c>
      <c r="J8" s="149">
        <v>1</v>
      </c>
      <c r="K8" s="149">
        <v>0</v>
      </c>
      <c r="L8" s="149">
        <v>0</v>
      </c>
      <c r="M8" s="149">
        <v>0</v>
      </c>
      <c r="N8" s="149">
        <v>0</v>
      </c>
      <c r="O8" s="149">
        <v>1</v>
      </c>
      <c r="P8" s="149">
        <v>1</v>
      </c>
      <c r="Q8" s="149">
        <v>1</v>
      </c>
      <c r="R8" s="149" t="s">
        <v>230</v>
      </c>
      <c r="S8" s="151" t="s">
        <v>454</v>
      </c>
      <c r="T8" s="149" t="s">
        <v>323</v>
      </c>
      <c r="U8" s="150" t="s">
        <v>389</v>
      </c>
    </row>
    <row r="9" spans="1:21" s="148" customFormat="1" ht="28" x14ac:dyDescent="0.15">
      <c r="A9" s="144">
        <v>60012</v>
      </c>
      <c r="B9" s="145" t="e">
        <f ca="1">VLOOKUP($A9,OFFSET([2]quests!$A$1,0,0,COUNTA([2]quests!$A:$A),MATCH(B$1,[2]quests!$1:$1,0)-MATCH($A$1,[2]quests!$1:$1,0)+1),MATCH(B$1,[2]quests!$1:$1,0)-MATCH($A$1,[2]quests!$1:$1,0)+1,FALSE)</f>
        <v>#VALUE!</v>
      </c>
      <c r="C9" s="145" t="e">
        <f ca="1">VLOOKUP($A9,OFFSET([2]quests!$A$1,0,0,COUNTA([2]quests!$A:$A),MATCH(C$1,[2]quests!$1:$1,0)-MATCH($A$1,[2]quests!$1:$1,0)+1),MATCH(C$1,[2]quests!$1:$1,0)-MATCH($A$1,[2]quests!$1:$1,0)+1,FALSE)</f>
        <v>#VALUE!</v>
      </c>
      <c r="D9" s="144">
        <v>2</v>
      </c>
      <c r="E9" s="146">
        <v>2</v>
      </c>
      <c r="F9" s="147" t="str">
        <f t="shared" si="1"/>
        <v>600120002</v>
      </c>
      <c r="G9" s="148" t="str">
        <f>F9&amp;TEXT(COUNTIF(F$2:F9,F9),"00")</f>
        <v>60012000203</v>
      </c>
      <c r="H9" s="149" t="s">
        <v>324</v>
      </c>
      <c r="I9" s="149">
        <v>5</v>
      </c>
      <c r="J9" s="149" t="s">
        <v>89</v>
      </c>
      <c r="K9" s="149">
        <v>0</v>
      </c>
      <c r="L9" s="149">
        <v>0</v>
      </c>
      <c r="M9" s="149">
        <v>0</v>
      </c>
      <c r="N9" s="149">
        <v>0</v>
      </c>
      <c r="O9" s="149">
        <v>1</v>
      </c>
      <c r="P9" s="149">
        <v>1</v>
      </c>
      <c r="Q9" s="149">
        <v>1</v>
      </c>
      <c r="R9" s="149" t="s">
        <v>230</v>
      </c>
      <c r="S9" s="149" t="s">
        <v>328</v>
      </c>
      <c r="T9" s="149" t="s">
        <v>323</v>
      </c>
      <c r="U9" s="150" t="s">
        <v>389</v>
      </c>
    </row>
    <row r="10" spans="1:21" s="148" customFormat="1" ht="28" x14ac:dyDescent="0.15">
      <c r="A10" s="144">
        <v>60012</v>
      </c>
      <c r="B10" s="145" t="e">
        <f ca="1">VLOOKUP($A10,OFFSET([2]quests!$A$1,0,0,COUNTA([2]quests!$A:$A),MATCH(B$1,[2]quests!$1:$1,0)-MATCH($A$1,[2]quests!$1:$1,0)+1),MATCH(B$1,[2]quests!$1:$1,0)-MATCH($A$1,[2]quests!$1:$1,0)+1,FALSE)</f>
        <v>#VALUE!</v>
      </c>
      <c r="C10" s="145" t="e">
        <f ca="1">VLOOKUP($A10,OFFSET([2]quests!$A$1,0,0,COUNTA([2]quests!$A:$A),MATCH(C$1,[2]quests!$1:$1,0)-MATCH($A$1,[2]quests!$1:$1,0)+1),MATCH(C$1,[2]quests!$1:$1,0)-MATCH($A$1,[2]quests!$1:$1,0)+1,FALSE)</f>
        <v>#VALUE!</v>
      </c>
      <c r="D10" s="144">
        <v>2</v>
      </c>
      <c r="E10" s="146">
        <v>2</v>
      </c>
      <c r="F10" s="147" t="str">
        <f t="shared" si="1"/>
        <v>600120002</v>
      </c>
      <c r="G10" s="148" t="str">
        <f>F10&amp;TEXT(COUNTIF(F$2:F10,F10),"00")</f>
        <v>60012000204</v>
      </c>
      <c r="H10" s="149" t="s">
        <v>229</v>
      </c>
      <c r="I10" s="149">
        <v>610</v>
      </c>
      <c r="J10" s="149">
        <v>1</v>
      </c>
      <c r="K10" s="149">
        <v>0</v>
      </c>
      <c r="L10" s="149">
        <v>0</v>
      </c>
      <c r="M10" s="149">
        <v>0</v>
      </c>
      <c r="N10" s="149">
        <v>0</v>
      </c>
      <c r="O10" s="149">
        <v>1</v>
      </c>
      <c r="P10" s="149">
        <v>1</v>
      </c>
      <c r="Q10" s="149">
        <v>1</v>
      </c>
      <c r="R10" s="149" t="s">
        <v>230</v>
      </c>
      <c r="S10" s="149" t="s">
        <v>329</v>
      </c>
      <c r="T10" s="149" t="s">
        <v>323</v>
      </c>
      <c r="U10" s="150" t="s">
        <v>389</v>
      </c>
    </row>
    <row r="11" spans="1:21" s="148" customFormat="1" ht="28" x14ac:dyDescent="0.15">
      <c r="A11" s="144">
        <v>60012</v>
      </c>
      <c r="B11" s="145" t="e">
        <f ca="1">VLOOKUP($A11,OFFSET([2]quests!$A$1,0,0,COUNTA([2]quests!$A:$A),MATCH(B$1,[2]quests!$1:$1,0)-MATCH($A$1,[2]quests!$1:$1,0)+1),MATCH(B$1,[2]quests!$1:$1,0)-MATCH($A$1,[2]quests!$1:$1,0)+1,FALSE)</f>
        <v>#VALUE!</v>
      </c>
      <c r="C11" s="145" t="e">
        <f ca="1">VLOOKUP($A11,OFFSET([2]quests!$A$1,0,0,COUNTA([2]quests!$A:$A),MATCH(C$1,[2]quests!$1:$1,0)-MATCH($A$1,[2]quests!$1:$1,0)+1),MATCH(C$1,[2]quests!$1:$1,0)-MATCH($A$1,[2]quests!$1:$1,0)+1,FALSE)</f>
        <v>#VALUE!</v>
      </c>
      <c r="D11" s="144">
        <v>2</v>
      </c>
      <c r="E11" s="146">
        <v>2</v>
      </c>
      <c r="F11" s="147" t="str">
        <f t="shared" si="1"/>
        <v>600120002</v>
      </c>
      <c r="G11" s="148" t="str">
        <f>F11&amp;TEXT(COUNTIF(F$2:F11,F11),"00")</f>
        <v>60012000205</v>
      </c>
      <c r="H11" s="149" t="s">
        <v>322</v>
      </c>
      <c r="I11" s="149">
        <v>1</v>
      </c>
      <c r="J11" s="149">
        <v>3</v>
      </c>
      <c r="K11" s="149">
        <v>0</v>
      </c>
      <c r="L11" s="149">
        <v>0</v>
      </c>
      <c r="M11" s="149">
        <v>0</v>
      </c>
      <c r="N11" s="149">
        <v>0</v>
      </c>
      <c r="O11" s="149">
        <v>1</v>
      </c>
      <c r="P11" s="149">
        <v>1</v>
      </c>
      <c r="Q11" s="149">
        <v>1</v>
      </c>
      <c r="R11" s="149" t="s">
        <v>230</v>
      </c>
      <c r="S11" s="149" t="s">
        <v>330</v>
      </c>
      <c r="T11" s="149" t="s">
        <v>323</v>
      </c>
      <c r="U11" s="150" t="s">
        <v>389</v>
      </c>
    </row>
    <row r="12" spans="1:21" s="148" customFormat="1" ht="28" x14ac:dyDescent="0.15">
      <c r="A12" s="144">
        <v>60012</v>
      </c>
      <c r="B12" s="145" t="e">
        <f ca="1">VLOOKUP($A12,OFFSET([2]quests!$A$1,0,0,COUNTA([2]quests!$A:$A),MATCH(B$1,[2]quests!$1:$1,0)-MATCH($A$1,[2]quests!$1:$1,0)+1),MATCH(B$1,[2]quests!$1:$1,0)-MATCH($A$1,[2]quests!$1:$1,0)+1,FALSE)</f>
        <v>#VALUE!</v>
      </c>
      <c r="C12" s="145" t="e">
        <f ca="1">VLOOKUP($A12,OFFSET([2]quests!$A$1,0,0,COUNTA([2]quests!$A:$A),MATCH(C$1,[2]quests!$1:$1,0)-MATCH($A$1,[2]quests!$1:$1,0)+1),MATCH(C$1,[2]quests!$1:$1,0)-MATCH($A$1,[2]quests!$1:$1,0)+1,FALSE)</f>
        <v>#VALUE!</v>
      </c>
      <c r="D12" s="144">
        <v>3</v>
      </c>
      <c r="E12" s="146">
        <v>3</v>
      </c>
      <c r="F12" s="147" t="str">
        <f t="shared" si="1"/>
        <v>600120003</v>
      </c>
      <c r="G12" s="148" t="str">
        <f>F12&amp;TEXT(COUNTIF(F$2:F12,F12),"00")</f>
        <v>60012000301</v>
      </c>
      <c r="H12" s="149" t="s">
        <v>322</v>
      </c>
      <c r="I12" s="149">
        <v>603</v>
      </c>
      <c r="J12" s="149">
        <v>3</v>
      </c>
      <c r="K12" s="149">
        <v>0</v>
      </c>
      <c r="L12" s="149">
        <v>0</v>
      </c>
      <c r="M12" s="149">
        <v>0</v>
      </c>
      <c r="N12" s="149">
        <v>0</v>
      </c>
      <c r="O12" s="149">
        <v>1</v>
      </c>
      <c r="P12" s="149">
        <v>1</v>
      </c>
      <c r="Q12" s="149">
        <v>1</v>
      </c>
      <c r="R12" s="149" t="s">
        <v>230</v>
      </c>
      <c r="S12" s="149" t="s">
        <v>455</v>
      </c>
      <c r="T12" s="149" t="s">
        <v>323</v>
      </c>
      <c r="U12" s="150" t="s">
        <v>389</v>
      </c>
    </row>
    <row r="13" spans="1:21" s="148" customFormat="1" ht="28" x14ac:dyDescent="0.15">
      <c r="A13" s="144">
        <v>60012</v>
      </c>
      <c r="B13" s="145" t="e">
        <f ca="1">VLOOKUP($A13,OFFSET([2]quests!$A$1,0,0,COUNTA([2]quests!$A:$A),MATCH(B$1,[2]quests!$1:$1,0)-MATCH($A$1,[2]quests!$1:$1,0)+1),MATCH(B$1,[2]quests!$1:$1,0)-MATCH($A$1,[2]quests!$1:$1,0)+1,FALSE)</f>
        <v>#VALUE!</v>
      </c>
      <c r="C13" s="145" t="e">
        <f ca="1">VLOOKUP($A13,OFFSET([2]quests!$A$1,0,0,COUNTA([2]quests!$A:$A),MATCH(C$1,[2]quests!$1:$1,0)-MATCH($A$1,[2]quests!$1:$1,0)+1),MATCH(C$1,[2]quests!$1:$1,0)-MATCH($A$1,[2]quests!$1:$1,0)+1,FALSE)</f>
        <v>#VALUE!</v>
      </c>
      <c r="D13" s="144">
        <v>3</v>
      </c>
      <c r="E13" s="146">
        <v>3</v>
      </c>
      <c r="F13" s="147" t="str">
        <f t="shared" si="1"/>
        <v>600120003</v>
      </c>
      <c r="G13" s="148" t="str">
        <f>F13&amp;TEXT(COUNTIF(F$2:F13,F13),"00")</f>
        <v>60012000302</v>
      </c>
      <c r="H13" s="149" t="s">
        <v>229</v>
      </c>
      <c r="I13" s="149">
        <v>335</v>
      </c>
      <c r="J13" s="149">
        <v>1</v>
      </c>
      <c r="K13" s="149">
        <v>0</v>
      </c>
      <c r="L13" s="149">
        <v>0</v>
      </c>
      <c r="M13" s="149">
        <v>0</v>
      </c>
      <c r="N13" s="149">
        <v>0</v>
      </c>
      <c r="O13" s="149">
        <v>1</v>
      </c>
      <c r="P13" s="149">
        <v>1</v>
      </c>
      <c r="Q13" s="149">
        <v>1</v>
      </c>
      <c r="R13" s="149" t="s">
        <v>230</v>
      </c>
      <c r="S13" s="149" t="s">
        <v>331</v>
      </c>
      <c r="T13" s="149" t="s">
        <v>323</v>
      </c>
      <c r="U13" s="150" t="s">
        <v>389</v>
      </c>
    </row>
    <row r="14" spans="1:21" s="148" customFormat="1" ht="28" x14ac:dyDescent="0.15">
      <c r="A14" s="144">
        <v>60012</v>
      </c>
      <c r="B14" s="145" t="e">
        <f ca="1">VLOOKUP($A14,OFFSET([2]quests!$A$1,0,0,COUNTA([2]quests!$A:$A),MATCH(B$1,[2]quests!$1:$1,0)-MATCH($A$1,[2]quests!$1:$1,0)+1),MATCH(B$1,[2]quests!$1:$1,0)-MATCH($A$1,[2]quests!$1:$1,0)+1,FALSE)</f>
        <v>#VALUE!</v>
      </c>
      <c r="C14" s="145" t="e">
        <f ca="1">VLOOKUP($A14,OFFSET([2]quests!$A$1,0,0,COUNTA([2]quests!$A:$A),MATCH(C$1,[2]quests!$1:$1,0)-MATCH($A$1,[2]quests!$1:$1,0)+1),MATCH(C$1,[2]quests!$1:$1,0)-MATCH($A$1,[2]quests!$1:$1,0)+1,FALSE)</f>
        <v>#VALUE!</v>
      </c>
      <c r="D14" s="144">
        <v>3</v>
      </c>
      <c r="E14" s="146">
        <v>3</v>
      </c>
      <c r="F14" s="147" t="str">
        <f t="shared" si="1"/>
        <v>600120003</v>
      </c>
      <c r="G14" s="148" t="str">
        <f>F14&amp;TEXT(COUNTIF(F$2:F14,F14),"00")</f>
        <v>60012000303</v>
      </c>
      <c r="H14" s="149" t="s">
        <v>229</v>
      </c>
      <c r="I14" s="149">
        <v>339</v>
      </c>
      <c r="J14" s="149">
        <v>1</v>
      </c>
      <c r="K14" s="149">
        <v>0</v>
      </c>
      <c r="L14" s="149">
        <v>0</v>
      </c>
      <c r="M14" s="149">
        <v>0</v>
      </c>
      <c r="N14" s="149">
        <v>0</v>
      </c>
      <c r="O14" s="149">
        <v>1</v>
      </c>
      <c r="P14" s="149">
        <v>1</v>
      </c>
      <c r="Q14" s="149">
        <v>1</v>
      </c>
      <c r="R14" s="149" t="s">
        <v>230</v>
      </c>
      <c r="S14" s="149" t="s">
        <v>332</v>
      </c>
      <c r="T14" s="149" t="s">
        <v>323</v>
      </c>
      <c r="U14" s="150" t="s">
        <v>389</v>
      </c>
    </row>
    <row r="15" spans="1:21" s="148" customFormat="1" ht="28" x14ac:dyDescent="0.15">
      <c r="A15" s="144">
        <v>60012</v>
      </c>
      <c r="B15" s="145" t="e">
        <f ca="1">VLOOKUP($A15,OFFSET([2]quests!$A$1,0,0,COUNTA([2]quests!$A:$A),MATCH(B$1,[2]quests!$1:$1,0)-MATCH($A$1,[2]quests!$1:$1,0)+1),MATCH(B$1,[2]quests!$1:$1,0)-MATCH($A$1,[2]quests!$1:$1,0)+1,FALSE)</f>
        <v>#VALUE!</v>
      </c>
      <c r="C15" s="145" t="e">
        <f ca="1">VLOOKUP($A15,OFFSET([2]quests!$A$1,0,0,COUNTA([2]quests!$A:$A),MATCH(C$1,[2]quests!$1:$1,0)-MATCH($A$1,[2]quests!$1:$1,0)+1),MATCH(C$1,[2]quests!$1:$1,0)-MATCH($A$1,[2]quests!$1:$1,0)+1,FALSE)</f>
        <v>#VALUE!</v>
      </c>
      <c r="D15" s="144">
        <v>3</v>
      </c>
      <c r="E15" s="146">
        <v>3</v>
      </c>
      <c r="F15" s="147" t="str">
        <f t="shared" si="1"/>
        <v>600120003</v>
      </c>
      <c r="G15" s="148" t="str">
        <f>F15&amp;TEXT(COUNTIF(F$2:F15,F15),"00")</f>
        <v>60012000304</v>
      </c>
      <c r="H15" s="149" t="s">
        <v>229</v>
      </c>
      <c r="I15" s="149">
        <v>343</v>
      </c>
      <c r="J15" s="149">
        <v>1</v>
      </c>
      <c r="K15" s="149">
        <v>0</v>
      </c>
      <c r="L15" s="149">
        <v>0</v>
      </c>
      <c r="M15" s="149">
        <v>0</v>
      </c>
      <c r="N15" s="149">
        <v>0</v>
      </c>
      <c r="O15" s="149">
        <v>1</v>
      </c>
      <c r="P15" s="149">
        <v>1</v>
      </c>
      <c r="Q15" s="149">
        <v>1</v>
      </c>
      <c r="R15" s="149" t="s">
        <v>230</v>
      </c>
      <c r="S15" s="149" t="s">
        <v>333</v>
      </c>
      <c r="T15" s="149" t="s">
        <v>323</v>
      </c>
      <c r="U15" s="150" t="s">
        <v>389</v>
      </c>
    </row>
    <row r="16" spans="1:21" s="148" customFormat="1" ht="28" x14ac:dyDescent="0.15">
      <c r="A16" s="144">
        <v>60012</v>
      </c>
      <c r="B16" s="145" t="e">
        <f ca="1">VLOOKUP($A16,OFFSET([2]quests!$A$1,0,0,COUNTA([2]quests!$A:$A),MATCH(B$1,[2]quests!$1:$1,0)-MATCH($A$1,[2]quests!$1:$1,0)+1),MATCH(B$1,[2]quests!$1:$1,0)-MATCH($A$1,[2]quests!$1:$1,0)+1,FALSE)</f>
        <v>#VALUE!</v>
      </c>
      <c r="C16" s="145" t="e">
        <f ca="1">VLOOKUP($A16,OFFSET([2]quests!$A$1,0,0,COUNTA([2]quests!$A:$A),MATCH(C$1,[2]quests!$1:$1,0)-MATCH($A$1,[2]quests!$1:$1,0)+1),MATCH(C$1,[2]quests!$1:$1,0)-MATCH($A$1,[2]quests!$1:$1,0)+1,FALSE)</f>
        <v>#VALUE!</v>
      </c>
      <c r="D16" s="144">
        <v>3</v>
      </c>
      <c r="E16" s="146">
        <v>3</v>
      </c>
      <c r="F16" s="147" t="str">
        <f t="shared" si="1"/>
        <v>600120003</v>
      </c>
      <c r="G16" s="148" t="str">
        <f>F16&amp;TEXT(COUNTIF(F$2:F16,F16),"00")</f>
        <v>60012000305</v>
      </c>
      <c r="H16" s="149" t="s">
        <v>229</v>
      </c>
      <c r="I16" s="149">
        <v>347</v>
      </c>
      <c r="J16" s="149">
        <v>1</v>
      </c>
      <c r="K16" s="149">
        <v>0</v>
      </c>
      <c r="L16" s="149">
        <v>0</v>
      </c>
      <c r="M16" s="149">
        <v>0</v>
      </c>
      <c r="N16" s="149">
        <v>0</v>
      </c>
      <c r="O16" s="149">
        <v>1</v>
      </c>
      <c r="P16" s="149">
        <v>1</v>
      </c>
      <c r="Q16" s="149">
        <v>1</v>
      </c>
      <c r="R16" s="149" t="s">
        <v>230</v>
      </c>
      <c r="S16" s="149" t="s">
        <v>334</v>
      </c>
      <c r="T16" s="149" t="s">
        <v>323</v>
      </c>
      <c r="U16" s="150" t="s">
        <v>389</v>
      </c>
    </row>
    <row r="17" spans="1:21" s="148" customFormat="1" ht="28" x14ac:dyDescent="0.15">
      <c r="A17" s="144">
        <v>60012</v>
      </c>
      <c r="B17" s="145" t="e">
        <f ca="1">VLOOKUP($A17,OFFSET([2]quests!$A$1,0,0,COUNTA([2]quests!$A:$A),MATCH(B$1,[2]quests!$1:$1,0)-MATCH($A$1,[2]quests!$1:$1,0)+1),MATCH(B$1,[2]quests!$1:$1,0)-MATCH($A$1,[2]quests!$1:$1,0)+1,FALSE)</f>
        <v>#VALUE!</v>
      </c>
      <c r="C17" s="145" t="e">
        <f ca="1">VLOOKUP($A17,OFFSET([2]quests!$A$1,0,0,COUNTA([2]quests!$A:$A),MATCH(C$1,[2]quests!$1:$1,0)-MATCH($A$1,[2]quests!$1:$1,0)+1),MATCH(C$1,[2]quests!$1:$1,0)-MATCH($A$1,[2]quests!$1:$1,0)+1,FALSE)</f>
        <v>#VALUE!</v>
      </c>
      <c r="D17" s="144">
        <v>3</v>
      </c>
      <c r="E17" s="146">
        <v>3</v>
      </c>
      <c r="F17" s="147" t="str">
        <f t="shared" si="1"/>
        <v>600120003</v>
      </c>
      <c r="G17" s="148" t="str">
        <f>F17&amp;TEXT(COUNTIF(F$2:F17,F17),"00")</f>
        <v>60012000306</v>
      </c>
      <c r="H17" s="149" t="s">
        <v>324</v>
      </c>
      <c r="I17" s="149">
        <v>5</v>
      </c>
      <c r="J17" s="149" t="s">
        <v>89</v>
      </c>
      <c r="K17" s="149">
        <v>0</v>
      </c>
      <c r="L17" s="149">
        <v>0</v>
      </c>
      <c r="M17" s="149">
        <v>0</v>
      </c>
      <c r="N17" s="149">
        <v>0</v>
      </c>
      <c r="O17" s="149">
        <v>1</v>
      </c>
      <c r="P17" s="149">
        <v>1</v>
      </c>
      <c r="Q17" s="149">
        <v>1</v>
      </c>
      <c r="R17" s="149" t="s">
        <v>230</v>
      </c>
      <c r="S17" s="149" t="s">
        <v>328</v>
      </c>
      <c r="T17" s="149" t="s">
        <v>323</v>
      </c>
      <c r="U17" s="150" t="s">
        <v>389</v>
      </c>
    </row>
    <row r="18" spans="1:21" s="148" customFormat="1" ht="28" x14ac:dyDescent="0.15">
      <c r="A18" s="144">
        <v>60012</v>
      </c>
      <c r="B18" s="145" t="e">
        <f ca="1">VLOOKUP($A18,OFFSET([2]quests!$A$1,0,0,COUNTA([2]quests!$A:$A),MATCH(B$1,[2]quests!$1:$1,0)-MATCH($A$1,[2]quests!$1:$1,0)+1),MATCH(B$1,[2]quests!$1:$1,0)-MATCH($A$1,[2]quests!$1:$1,0)+1,FALSE)</f>
        <v>#VALUE!</v>
      </c>
      <c r="C18" s="145" t="e">
        <f ca="1">VLOOKUP($A18,OFFSET([2]quests!$A$1,0,0,COUNTA([2]quests!$A:$A),MATCH(C$1,[2]quests!$1:$1,0)-MATCH($A$1,[2]quests!$1:$1,0)+1),MATCH(C$1,[2]quests!$1:$1,0)-MATCH($A$1,[2]quests!$1:$1,0)+1,FALSE)</f>
        <v>#VALUE!</v>
      </c>
      <c r="D18" s="144">
        <v>3</v>
      </c>
      <c r="E18" s="146">
        <v>3</v>
      </c>
      <c r="F18" s="147" t="str">
        <f t="shared" si="1"/>
        <v>600120003</v>
      </c>
      <c r="G18" s="148" t="str">
        <f>F18&amp;TEXT(COUNTIF(F$2:F18,F18),"00")</f>
        <v>60012000307</v>
      </c>
      <c r="H18" s="149" t="s">
        <v>229</v>
      </c>
      <c r="I18" s="149">
        <v>125</v>
      </c>
      <c r="J18" s="149">
        <v>1</v>
      </c>
      <c r="K18" s="149">
        <v>0</v>
      </c>
      <c r="L18" s="149">
        <v>0</v>
      </c>
      <c r="M18" s="149">
        <v>0</v>
      </c>
      <c r="N18" s="149">
        <v>0</v>
      </c>
      <c r="O18" s="149">
        <v>1</v>
      </c>
      <c r="P18" s="149">
        <v>1</v>
      </c>
      <c r="Q18" s="149">
        <v>1</v>
      </c>
      <c r="R18" s="149" t="s">
        <v>230</v>
      </c>
      <c r="S18" s="149" t="s">
        <v>335</v>
      </c>
      <c r="T18" s="149" t="s">
        <v>323</v>
      </c>
      <c r="U18" s="150" t="s">
        <v>389</v>
      </c>
    </row>
    <row r="19" spans="1:21" s="148" customFormat="1" ht="28" x14ac:dyDescent="0.15">
      <c r="A19" s="144">
        <v>60012</v>
      </c>
      <c r="B19" s="145" t="e">
        <f ca="1">VLOOKUP($A19,OFFSET([2]quests!$A$1,0,0,COUNTA([2]quests!$A:$A),MATCH(B$1,[2]quests!$1:$1,0)-MATCH($A$1,[2]quests!$1:$1,0)+1),MATCH(B$1,[2]quests!$1:$1,0)-MATCH($A$1,[2]quests!$1:$1,0)+1,FALSE)</f>
        <v>#VALUE!</v>
      </c>
      <c r="C19" s="145" t="e">
        <f ca="1">VLOOKUP($A19,OFFSET([2]quests!$A$1,0,0,COUNTA([2]quests!$A:$A),MATCH(C$1,[2]quests!$1:$1,0)-MATCH($A$1,[2]quests!$1:$1,0)+1),MATCH(C$1,[2]quests!$1:$1,0)-MATCH($A$1,[2]quests!$1:$1,0)+1,FALSE)</f>
        <v>#VALUE!</v>
      </c>
      <c r="D19" s="144">
        <v>3</v>
      </c>
      <c r="E19" s="146">
        <v>3</v>
      </c>
      <c r="F19" s="147" t="str">
        <f t="shared" si="1"/>
        <v>600120003</v>
      </c>
      <c r="G19" s="148" t="str">
        <f>F19&amp;TEXT(COUNTIF(F$2:F19,F19),"00")</f>
        <v>60012000308</v>
      </c>
      <c r="H19" s="149" t="s">
        <v>322</v>
      </c>
      <c r="I19" s="149">
        <v>1</v>
      </c>
      <c r="J19" s="149">
        <v>1</v>
      </c>
      <c r="K19" s="149">
        <v>0</v>
      </c>
      <c r="L19" s="149">
        <v>0</v>
      </c>
      <c r="M19" s="149">
        <v>0</v>
      </c>
      <c r="N19" s="149">
        <v>0</v>
      </c>
      <c r="O19" s="149">
        <v>1</v>
      </c>
      <c r="P19" s="149">
        <v>1</v>
      </c>
      <c r="Q19" s="149">
        <v>1</v>
      </c>
      <c r="R19" s="149" t="s">
        <v>230</v>
      </c>
      <c r="S19" s="149" t="s">
        <v>336</v>
      </c>
      <c r="T19" s="149" t="s">
        <v>323</v>
      </c>
      <c r="U19" s="150" t="s">
        <v>389</v>
      </c>
    </row>
    <row r="20" spans="1:21" s="148" customFormat="1" ht="28" x14ac:dyDescent="0.15">
      <c r="A20" s="144">
        <v>60012</v>
      </c>
      <c r="B20" s="145" t="e">
        <f ca="1">VLOOKUP($A20,OFFSET([2]quests!$A$1,0,0,COUNTA([2]quests!$A:$A),MATCH(B$1,[2]quests!$1:$1,0)-MATCH($A$1,[2]quests!$1:$1,0)+1),MATCH(B$1,[2]quests!$1:$1,0)-MATCH($A$1,[2]quests!$1:$1,0)+1,FALSE)</f>
        <v>#VALUE!</v>
      </c>
      <c r="C20" s="145" t="e">
        <f ca="1">VLOOKUP($A20,OFFSET([2]quests!$A$1,0,0,COUNTA([2]quests!$A:$A),MATCH(C$1,[2]quests!$1:$1,0)-MATCH($A$1,[2]quests!$1:$1,0)+1),MATCH(C$1,[2]quests!$1:$1,0)-MATCH($A$1,[2]quests!$1:$1,0)+1,FALSE)</f>
        <v>#VALUE!</v>
      </c>
      <c r="D20" s="144">
        <v>4</v>
      </c>
      <c r="E20" s="146">
        <v>5</v>
      </c>
      <c r="F20" s="147" t="str">
        <f t="shared" si="1"/>
        <v>600120005</v>
      </c>
      <c r="G20" s="148" t="str">
        <f>F20&amp;TEXT(COUNTIF(F$2:F20,F20),"00")</f>
        <v>60012000501</v>
      </c>
      <c r="H20" s="149" t="s">
        <v>322</v>
      </c>
      <c r="I20" s="149">
        <v>603</v>
      </c>
      <c r="J20" s="149">
        <v>2</v>
      </c>
      <c r="K20" s="149">
        <v>0</v>
      </c>
      <c r="L20" s="149">
        <v>0</v>
      </c>
      <c r="M20" s="149">
        <v>0</v>
      </c>
      <c r="N20" s="149">
        <v>0</v>
      </c>
      <c r="O20" s="149">
        <v>1</v>
      </c>
      <c r="P20" s="149">
        <v>1</v>
      </c>
      <c r="Q20" s="149">
        <v>1</v>
      </c>
      <c r="R20" s="149" t="s">
        <v>230</v>
      </c>
      <c r="S20" s="149" t="s">
        <v>452</v>
      </c>
      <c r="T20" s="149" t="s">
        <v>323</v>
      </c>
      <c r="U20" s="150" t="s">
        <v>389</v>
      </c>
    </row>
    <row r="21" spans="1:21" s="148" customFormat="1" ht="28" x14ac:dyDescent="0.15">
      <c r="A21" s="144">
        <v>60012</v>
      </c>
      <c r="B21" s="145" t="e">
        <f ca="1">VLOOKUP($A21,OFFSET([2]quests!$A$1,0,0,COUNTA([2]quests!$A:$A),MATCH(B$1,[2]quests!$1:$1,0)-MATCH($A$1,[2]quests!$1:$1,0)+1),MATCH(B$1,[2]quests!$1:$1,0)-MATCH($A$1,[2]quests!$1:$1,0)+1,FALSE)</f>
        <v>#VALUE!</v>
      </c>
      <c r="C21" s="145" t="e">
        <f ca="1">VLOOKUP($A21,OFFSET([2]quests!$A$1,0,0,COUNTA([2]quests!$A:$A),MATCH(C$1,[2]quests!$1:$1,0)-MATCH($A$1,[2]quests!$1:$1,0)+1),MATCH(C$1,[2]quests!$1:$1,0)-MATCH($A$1,[2]quests!$1:$1,0)+1,FALSE)</f>
        <v>#VALUE!</v>
      </c>
      <c r="D21" s="144">
        <v>4</v>
      </c>
      <c r="E21" s="146">
        <v>5</v>
      </c>
      <c r="F21" s="147" t="str">
        <f t="shared" si="1"/>
        <v>600120005</v>
      </c>
      <c r="G21" s="148" t="str">
        <f>F21&amp;TEXT(COUNTIF(F$2:F21,F21),"00")</f>
        <v>60012000502</v>
      </c>
      <c r="H21" s="149" t="s">
        <v>229</v>
      </c>
      <c r="I21" s="149">
        <v>335</v>
      </c>
      <c r="J21" s="149">
        <v>1</v>
      </c>
      <c r="K21" s="149">
        <v>0</v>
      </c>
      <c r="L21" s="149">
        <v>0</v>
      </c>
      <c r="M21" s="149">
        <v>0</v>
      </c>
      <c r="N21" s="149">
        <v>0</v>
      </c>
      <c r="O21" s="149">
        <v>1</v>
      </c>
      <c r="P21" s="149">
        <v>1</v>
      </c>
      <c r="Q21" s="149">
        <v>1</v>
      </c>
      <c r="R21" s="149" t="s">
        <v>230</v>
      </c>
      <c r="S21" s="149" t="s">
        <v>331</v>
      </c>
      <c r="T21" s="149" t="s">
        <v>323</v>
      </c>
      <c r="U21" s="150" t="s">
        <v>389</v>
      </c>
    </row>
    <row r="22" spans="1:21" s="148" customFormat="1" ht="28" x14ac:dyDescent="0.15">
      <c r="A22" s="144">
        <v>60012</v>
      </c>
      <c r="B22" s="145" t="e">
        <f ca="1">VLOOKUP($A22,OFFSET([2]quests!$A$1,0,0,COUNTA([2]quests!$A:$A),MATCH(B$1,[2]quests!$1:$1,0)-MATCH($A$1,[2]quests!$1:$1,0)+1),MATCH(B$1,[2]quests!$1:$1,0)-MATCH($A$1,[2]quests!$1:$1,0)+1,FALSE)</f>
        <v>#VALUE!</v>
      </c>
      <c r="C22" s="145" t="e">
        <f ca="1">VLOOKUP($A22,OFFSET([2]quests!$A$1,0,0,COUNTA([2]quests!$A:$A),MATCH(C$1,[2]quests!$1:$1,0)-MATCH($A$1,[2]quests!$1:$1,0)+1),MATCH(C$1,[2]quests!$1:$1,0)-MATCH($A$1,[2]quests!$1:$1,0)+1,FALSE)</f>
        <v>#VALUE!</v>
      </c>
      <c r="D22" s="144">
        <v>4</v>
      </c>
      <c r="E22" s="146">
        <v>5</v>
      </c>
      <c r="F22" s="147" t="str">
        <f t="shared" si="1"/>
        <v>600120005</v>
      </c>
      <c r="G22" s="148" t="str">
        <f>F22&amp;TEXT(COUNTIF(F$2:F22,F22),"00")</f>
        <v>60012000503</v>
      </c>
      <c r="H22" s="149" t="s">
        <v>229</v>
      </c>
      <c r="I22" s="149">
        <v>339</v>
      </c>
      <c r="J22" s="149">
        <v>1</v>
      </c>
      <c r="K22" s="149">
        <v>0</v>
      </c>
      <c r="L22" s="149">
        <v>0</v>
      </c>
      <c r="M22" s="149">
        <v>0</v>
      </c>
      <c r="N22" s="149">
        <v>0</v>
      </c>
      <c r="O22" s="149">
        <v>1</v>
      </c>
      <c r="P22" s="149">
        <v>1</v>
      </c>
      <c r="Q22" s="149">
        <v>1</v>
      </c>
      <c r="R22" s="149" t="s">
        <v>230</v>
      </c>
      <c r="S22" s="149" t="s">
        <v>332</v>
      </c>
      <c r="T22" s="149" t="s">
        <v>323</v>
      </c>
      <c r="U22" s="150" t="s">
        <v>389</v>
      </c>
    </row>
    <row r="23" spans="1:21" s="148" customFormat="1" ht="28" x14ac:dyDescent="0.15">
      <c r="A23" s="144">
        <v>60012</v>
      </c>
      <c r="B23" s="145" t="e">
        <f ca="1">VLOOKUP($A23,OFFSET([2]quests!$A$1,0,0,COUNTA([2]quests!$A:$A),MATCH(B$1,[2]quests!$1:$1,0)-MATCH($A$1,[2]quests!$1:$1,0)+1),MATCH(B$1,[2]quests!$1:$1,0)-MATCH($A$1,[2]quests!$1:$1,0)+1,FALSE)</f>
        <v>#VALUE!</v>
      </c>
      <c r="C23" s="145" t="e">
        <f ca="1">VLOOKUP($A23,OFFSET([2]quests!$A$1,0,0,COUNTA([2]quests!$A:$A),MATCH(C$1,[2]quests!$1:$1,0)-MATCH($A$1,[2]quests!$1:$1,0)+1),MATCH(C$1,[2]quests!$1:$1,0)-MATCH($A$1,[2]quests!$1:$1,0)+1,FALSE)</f>
        <v>#VALUE!</v>
      </c>
      <c r="D23" s="144">
        <v>4</v>
      </c>
      <c r="E23" s="146">
        <v>5</v>
      </c>
      <c r="F23" s="147" t="str">
        <f t="shared" si="1"/>
        <v>600120005</v>
      </c>
      <c r="G23" s="148" t="str">
        <f>F23&amp;TEXT(COUNTIF(F$2:F23,F23),"00")</f>
        <v>60012000504</v>
      </c>
      <c r="H23" s="149" t="s">
        <v>337</v>
      </c>
      <c r="I23" s="149">
        <v>343</v>
      </c>
      <c r="J23" s="149">
        <v>1</v>
      </c>
      <c r="K23" s="149">
        <v>0</v>
      </c>
      <c r="L23" s="149">
        <v>0</v>
      </c>
      <c r="M23" s="149">
        <v>0</v>
      </c>
      <c r="N23" s="149">
        <v>0</v>
      </c>
      <c r="O23" s="149">
        <v>1</v>
      </c>
      <c r="P23" s="149">
        <v>1</v>
      </c>
      <c r="Q23" s="149">
        <v>1</v>
      </c>
      <c r="R23" s="149" t="s">
        <v>338</v>
      </c>
      <c r="S23" s="149" t="s">
        <v>333</v>
      </c>
      <c r="T23" s="149" t="s">
        <v>323</v>
      </c>
      <c r="U23" s="150" t="s">
        <v>389</v>
      </c>
    </row>
    <row r="24" spans="1:21" s="148" customFormat="1" ht="28" x14ac:dyDescent="0.15">
      <c r="A24" s="144">
        <v>60012</v>
      </c>
      <c r="B24" s="145" t="e">
        <f ca="1">VLOOKUP($A24,OFFSET([2]quests!$A$1,0,0,COUNTA([2]quests!$A:$A),MATCH(B$1,[2]quests!$1:$1,0)-MATCH($A$1,[2]quests!$1:$1,0)+1),MATCH(B$1,[2]quests!$1:$1,0)-MATCH($A$1,[2]quests!$1:$1,0)+1,FALSE)</f>
        <v>#VALUE!</v>
      </c>
      <c r="C24" s="145" t="e">
        <f ca="1">VLOOKUP($A24,OFFSET([2]quests!$A$1,0,0,COUNTA([2]quests!$A:$A),MATCH(C$1,[2]quests!$1:$1,0)-MATCH($A$1,[2]quests!$1:$1,0)+1),MATCH(C$1,[2]quests!$1:$1,0)-MATCH($A$1,[2]quests!$1:$1,0)+1,FALSE)</f>
        <v>#VALUE!</v>
      </c>
      <c r="D24" s="144">
        <v>4</v>
      </c>
      <c r="E24" s="146">
        <v>5</v>
      </c>
      <c r="F24" s="147" t="str">
        <f t="shared" si="1"/>
        <v>600120005</v>
      </c>
      <c r="G24" s="148" t="str">
        <f>F24&amp;TEXT(COUNTIF(F$2:F24,F24),"00")</f>
        <v>60012000505</v>
      </c>
      <c r="H24" s="149" t="s">
        <v>339</v>
      </c>
      <c r="I24" s="149">
        <v>347</v>
      </c>
      <c r="J24" s="149">
        <v>1</v>
      </c>
      <c r="K24" s="149">
        <v>0</v>
      </c>
      <c r="L24" s="149">
        <v>0</v>
      </c>
      <c r="M24" s="149">
        <v>0</v>
      </c>
      <c r="N24" s="149">
        <v>0</v>
      </c>
      <c r="O24" s="149">
        <v>1</v>
      </c>
      <c r="P24" s="149">
        <v>1</v>
      </c>
      <c r="Q24" s="149">
        <v>1</v>
      </c>
      <c r="R24" s="149" t="s">
        <v>340</v>
      </c>
      <c r="S24" s="149" t="s">
        <v>334</v>
      </c>
      <c r="T24" s="149" t="s">
        <v>323</v>
      </c>
      <c r="U24" s="150" t="s">
        <v>389</v>
      </c>
    </row>
    <row r="25" spans="1:21" s="148" customFormat="1" ht="28" x14ac:dyDescent="0.15">
      <c r="A25" s="144">
        <v>60012</v>
      </c>
      <c r="B25" s="145" t="e">
        <f ca="1">VLOOKUP($A25,OFFSET([2]quests!$A$1,0,0,COUNTA([2]quests!$A:$A),MATCH(B$1,[2]quests!$1:$1,0)-MATCH($A$1,[2]quests!$1:$1,0)+1),MATCH(B$1,[2]quests!$1:$1,0)-MATCH($A$1,[2]quests!$1:$1,0)+1,FALSE)</f>
        <v>#VALUE!</v>
      </c>
      <c r="C25" s="145" t="e">
        <f ca="1">VLOOKUP($A25,OFFSET([2]quests!$A$1,0,0,COUNTA([2]quests!$A:$A),MATCH(C$1,[2]quests!$1:$1,0)-MATCH($A$1,[2]quests!$1:$1,0)+1),MATCH(C$1,[2]quests!$1:$1,0)-MATCH($A$1,[2]quests!$1:$1,0)+1,FALSE)</f>
        <v>#VALUE!</v>
      </c>
      <c r="D25" s="144">
        <v>4</v>
      </c>
      <c r="E25" s="146">
        <v>5</v>
      </c>
      <c r="F25" s="147" t="str">
        <f t="shared" si="1"/>
        <v>600120005</v>
      </c>
      <c r="G25" s="148" t="str">
        <f>F25&amp;TEXT(COUNTIF(F$2:F25,F25),"00")</f>
        <v>60012000506</v>
      </c>
      <c r="H25" s="149" t="s">
        <v>341</v>
      </c>
      <c r="I25" s="149">
        <v>5</v>
      </c>
      <c r="J25" s="149" t="s">
        <v>342</v>
      </c>
      <c r="K25" s="149">
        <v>0</v>
      </c>
      <c r="L25" s="149">
        <v>0</v>
      </c>
      <c r="M25" s="149">
        <v>0</v>
      </c>
      <c r="N25" s="149">
        <v>0</v>
      </c>
      <c r="O25" s="149">
        <v>1</v>
      </c>
      <c r="P25" s="149">
        <v>1</v>
      </c>
      <c r="Q25" s="149">
        <v>1</v>
      </c>
      <c r="R25" s="149" t="s">
        <v>343</v>
      </c>
      <c r="S25" s="149" t="s">
        <v>344</v>
      </c>
      <c r="T25" s="149" t="s">
        <v>323</v>
      </c>
      <c r="U25" s="150" t="s">
        <v>389</v>
      </c>
    </row>
    <row r="26" spans="1:21" s="148" customFormat="1" ht="28" x14ac:dyDescent="0.15">
      <c r="A26" s="144">
        <v>60012</v>
      </c>
      <c r="B26" s="145" t="e">
        <f ca="1">VLOOKUP($A26,OFFSET([2]quests!$A$1,0,0,COUNTA([2]quests!$A:$A),MATCH(B$1,[2]quests!$1:$1,0)-MATCH($A$1,[2]quests!$1:$1,0)+1),MATCH(B$1,[2]quests!$1:$1,0)-MATCH($A$1,[2]quests!$1:$1,0)+1,FALSE)</f>
        <v>#VALUE!</v>
      </c>
      <c r="C26" s="145" t="e">
        <f ca="1">VLOOKUP($A26,OFFSET([2]quests!$A$1,0,0,COUNTA([2]quests!$A:$A),MATCH(C$1,[2]quests!$1:$1,0)-MATCH($A$1,[2]quests!$1:$1,0)+1),MATCH(C$1,[2]quests!$1:$1,0)-MATCH($A$1,[2]quests!$1:$1,0)+1,FALSE)</f>
        <v>#VALUE!</v>
      </c>
      <c r="D26" s="144">
        <v>4</v>
      </c>
      <c r="E26" s="146">
        <v>5</v>
      </c>
      <c r="F26" s="147" t="str">
        <f t="shared" si="1"/>
        <v>600120005</v>
      </c>
      <c r="G26" s="148" t="str">
        <f>F26&amp;TEXT(COUNTIF(F$2:F26,F26),"00")</f>
        <v>60012000507</v>
      </c>
      <c r="H26" s="149" t="s">
        <v>345</v>
      </c>
      <c r="I26" s="149">
        <v>2000</v>
      </c>
      <c r="J26" s="149" t="s">
        <v>89</v>
      </c>
      <c r="K26" s="149">
        <v>0</v>
      </c>
      <c r="L26" s="149">
        <v>0</v>
      </c>
      <c r="M26" s="149">
        <v>0</v>
      </c>
      <c r="N26" s="149">
        <v>0</v>
      </c>
      <c r="O26" s="149">
        <v>1</v>
      </c>
      <c r="P26" s="149">
        <v>1</v>
      </c>
      <c r="Q26" s="149">
        <v>1</v>
      </c>
      <c r="R26" s="149" t="s">
        <v>230</v>
      </c>
      <c r="S26" s="149" t="s">
        <v>346</v>
      </c>
      <c r="T26" s="149" t="s">
        <v>323</v>
      </c>
      <c r="U26" s="150" t="s">
        <v>389</v>
      </c>
    </row>
    <row r="27" spans="1:21" s="148" customFormat="1" ht="28" x14ac:dyDescent="0.15">
      <c r="A27" s="144">
        <v>60012</v>
      </c>
      <c r="B27" s="145" t="e">
        <f ca="1">VLOOKUP($A27,OFFSET([2]quests!$A$1,0,0,COUNTA([2]quests!$A:$A),MATCH(B$1,[2]quests!$1:$1,0)-MATCH($A$1,[2]quests!$1:$1,0)+1),MATCH(B$1,[2]quests!$1:$1,0)-MATCH($A$1,[2]quests!$1:$1,0)+1,FALSE)</f>
        <v>#VALUE!</v>
      </c>
      <c r="C27" s="145" t="e">
        <f ca="1">VLOOKUP($A27,OFFSET([2]quests!$A$1,0,0,COUNTA([2]quests!$A:$A),MATCH(C$1,[2]quests!$1:$1,0)-MATCH($A$1,[2]quests!$1:$1,0)+1),MATCH(C$1,[2]quests!$1:$1,0)-MATCH($A$1,[2]quests!$1:$1,0)+1,FALSE)</f>
        <v>#VALUE!</v>
      </c>
      <c r="D27" s="144">
        <v>6</v>
      </c>
      <c r="E27" s="146">
        <v>10</v>
      </c>
      <c r="F27" s="147" t="str">
        <f>A27&amp;TEXT(E27,"0000")</f>
        <v>600120010</v>
      </c>
      <c r="G27" s="148" t="str">
        <f>F27&amp;TEXT(COUNTIF(F$2:F27,F27),"00")</f>
        <v>60012001001</v>
      </c>
      <c r="H27" s="149" t="s">
        <v>322</v>
      </c>
      <c r="I27" s="149">
        <v>603</v>
      </c>
      <c r="J27" s="149">
        <v>1</v>
      </c>
      <c r="K27" s="149">
        <v>0</v>
      </c>
      <c r="L27" s="149">
        <v>0</v>
      </c>
      <c r="M27" s="149">
        <v>0</v>
      </c>
      <c r="N27" s="149">
        <v>0</v>
      </c>
      <c r="O27" s="149">
        <v>1</v>
      </c>
      <c r="P27" s="149">
        <v>1</v>
      </c>
      <c r="Q27" s="149">
        <v>1</v>
      </c>
      <c r="R27" s="149" t="s">
        <v>230</v>
      </c>
      <c r="S27" s="149" t="s">
        <v>454</v>
      </c>
      <c r="T27" s="149" t="s">
        <v>323</v>
      </c>
      <c r="U27" s="150" t="s">
        <v>389</v>
      </c>
    </row>
    <row r="28" spans="1:21" s="148" customFormat="1" ht="28" x14ac:dyDescent="0.15">
      <c r="A28" s="144">
        <v>60012</v>
      </c>
      <c r="B28" s="145" t="e">
        <f ca="1">VLOOKUP($A28,OFFSET([2]quests!$A$1,0,0,COUNTA([2]quests!$A:$A),MATCH(B$1,[2]quests!$1:$1,0)-MATCH($A$1,[2]quests!$1:$1,0)+1),MATCH(B$1,[2]quests!$1:$1,0)-MATCH($A$1,[2]quests!$1:$1,0)+1,FALSE)</f>
        <v>#VALUE!</v>
      </c>
      <c r="C28" s="145" t="e">
        <f ca="1">VLOOKUP($A28,OFFSET([2]quests!$A$1,0,0,COUNTA([2]quests!$A:$A),MATCH(C$1,[2]quests!$1:$1,0)-MATCH($A$1,[2]quests!$1:$1,0)+1),MATCH(C$1,[2]quests!$1:$1,0)-MATCH($A$1,[2]quests!$1:$1,0)+1,FALSE)</f>
        <v>#VALUE!</v>
      </c>
      <c r="D28" s="144">
        <v>6</v>
      </c>
      <c r="E28" s="146">
        <v>10</v>
      </c>
      <c r="F28" s="147" t="str">
        <f t="shared" ref="F28:F42" si="2">A28&amp;TEXT(E28,"0000")</f>
        <v>600120010</v>
      </c>
      <c r="G28" s="148" t="str">
        <f>F28&amp;TEXT(COUNTIF(F$2:F28,F28),"00")</f>
        <v>60012001002</v>
      </c>
      <c r="H28" s="149" t="s">
        <v>229</v>
      </c>
      <c r="I28" s="149">
        <v>334</v>
      </c>
      <c r="J28" s="149">
        <v>1</v>
      </c>
      <c r="K28" s="149">
        <v>0</v>
      </c>
      <c r="L28" s="149">
        <v>0</v>
      </c>
      <c r="M28" s="149">
        <v>0</v>
      </c>
      <c r="N28" s="149">
        <v>0</v>
      </c>
      <c r="O28" s="149">
        <v>1</v>
      </c>
      <c r="P28" s="149">
        <v>1</v>
      </c>
      <c r="Q28" s="149">
        <v>1</v>
      </c>
      <c r="R28" s="149" t="s">
        <v>230</v>
      </c>
      <c r="S28" s="149" t="s">
        <v>347</v>
      </c>
      <c r="T28" s="149" t="s">
        <v>323</v>
      </c>
      <c r="U28" s="150" t="s">
        <v>389</v>
      </c>
    </row>
    <row r="29" spans="1:21" s="148" customFormat="1" ht="28" x14ac:dyDescent="0.15">
      <c r="A29" s="144">
        <v>60012</v>
      </c>
      <c r="B29" s="145" t="e">
        <f ca="1">VLOOKUP($A29,OFFSET([2]quests!$A$1,0,0,COUNTA([2]quests!$A:$A),MATCH(B$1,[2]quests!$1:$1,0)-MATCH($A$1,[2]quests!$1:$1,0)+1),MATCH(B$1,[2]quests!$1:$1,0)-MATCH($A$1,[2]quests!$1:$1,0)+1,FALSE)</f>
        <v>#VALUE!</v>
      </c>
      <c r="C29" s="145" t="e">
        <f ca="1">VLOOKUP($A29,OFFSET([2]quests!$A$1,0,0,COUNTA([2]quests!$A:$A),MATCH(C$1,[2]quests!$1:$1,0)-MATCH($A$1,[2]quests!$1:$1,0)+1),MATCH(C$1,[2]quests!$1:$1,0)-MATCH($A$1,[2]quests!$1:$1,0)+1,FALSE)</f>
        <v>#VALUE!</v>
      </c>
      <c r="D29" s="144">
        <v>6</v>
      </c>
      <c r="E29" s="146">
        <v>10</v>
      </c>
      <c r="F29" s="147" t="str">
        <f t="shared" si="2"/>
        <v>600120010</v>
      </c>
      <c r="G29" s="148" t="str">
        <f>F29&amp;TEXT(COUNTIF(F$2:F29,F29),"00")</f>
        <v>60012001003</v>
      </c>
      <c r="H29" s="149" t="s">
        <v>348</v>
      </c>
      <c r="I29" s="149">
        <v>338</v>
      </c>
      <c r="J29" s="149">
        <v>1</v>
      </c>
      <c r="K29" s="149">
        <v>0</v>
      </c>
      <c r="L29" s="149">
        <v>0</v>
      </c>
      <c r="M29" s="149">
        <v>0</v>
      </c>
      <c r="N29" s="149">
        <v>0</v>
      </c>
      <c r="O29" s="149">
        <v>1</v>
      </c>
      <c r="P29" s="149">
        <v>1</v>
      </c>
      <c r="Q29" s="149">
        <v>1</v>
      </c>
      <c r="R29" s="149" t="s">
        <v>349</v>
      </c>
      <c r="S29" s="149" t="s">
        <v>350</v>
      </c>
      <c r="T29" s="149" t="s">
        <v>323</v>
      </c>
      <c r="U29" s="150" t="s">
        <v>389</v>
      </c>
    </row>
    <row r="30" spans="1:21" s="148" customFormat="1" ht="28" x14ac:dyDescent="0.15">
      <c r="A30" s="144">
        <v>60012</v>
      </c>
      <c r="B30" s="145" t="e">
        <f ca="1">VLOOKUP($A30,OFFSET([2]quests!$A$1,0,0,COUNTA([2]quests!$A:$A),MATCH(B$1,[2]quests!$1:$1,0)-MATCH($A$1,[2]quests!$1:$1,0)+1),MATCH(B$1,[2]quests!$1:$1,0)-MATCH($A$1,[2]quests!$1:$1,0)+1,FALSE)</f>
        <v>#VALUE!</v>
      </c>
      <c r="C30" s="145" t="e">
        <f ca="1">VLOOKUP($A30,OFFSET([2]quests!$A$1,0,0,COUNTA([2]quests!$A:$A),MATCH(C$1,[2]quests!$1:$1,0)-MATCH($A$1,[2]quests!$1:$1,0)+1),MATCH(C$1,[2]quests!$1:$1,0)-MATCH($A$1,[2]quests!$1:$1,0)+1,FALSE)</f>
        <v>#VALUE!</v>
      </c>
      <c r="D30" s="144">
        <v>6</v>
      </c>
      <c r="E30" s="146">
        <v>10</v>
      </c>
      <c r="F30" s="147" t="str">
        <f t="shared" si="2"/>
        <v>600120010</v>
      </c>
      <c r="G30" s="148" t="str">
        <f>F30&amp;TEXT(COUNTIF(F$2:F30,F30),"00")</f>
        <v>60012001004</v>
      </c>
      <c r="H30" s="149" t="s">
        <v>351</v>
      </c>
      <c r="I30" s="149">
        <v>342</v>
      </c>
      <c r="J30" s="149">
        <v>1</v>
      </c>
      <c r="K30" s="149">
        <v>0</v>
      </c>
      <c r="L30" s="149">
        <v>0</v>
      </c>
      <c r="M30" s="149">
        <v>0</v>
      </c>
      <c r="N30" s="149">
        <v>0</v>
      </c>
      <c r="O30" s="149">
        <v>1</v>
      </c>
      <c r="P30" s="149">
        <v>1</v>
      </c>
      <c r="Q30" s="149">
        <v>1</v>
      </c>
      <c r="R30" s="149" t="s">
        <v>343</v>
      </c>
      <c r="S30" s="149" t="s">
        <v>352</v>
      </c>
      <c r="T30" s="149" t="s">
        <v>323</v>
      </c>
      <c r="U30" s="150" t="s">
        <v>389</v>
      </c>
    </row>
    <row r="31" spans="1:21" s="148" customFormat="1" ht="28" x14ac:dyDescent="0.15">
      <c r="A31" s="144">
        <v>60012</v>
      </c>
      <c r="B31" s="145" t="e">
        <f ca="1">VLOOKUP($A31,OFFSET([2]quests!$A$1,0,0,COUNTA([2]quests!$A:$A),MATCH(B$1,[2]quests!$1:$1,0)-MATCH($A$1,[2]quests!$1:$1,0)+1),MATCH(B$1,[2]quests!$1:$1,0)-MATCH($A$1,[2]quests!$1:$1,0)+1,FALSE)</f>
        <v>#VALUE!</v>
      </c>
      <c r="C31" s="145" t="e">
        <f ca="1">VLOOKUP($A31,OFFSET([2]quests!$A$1,0,0,COUNTA([2]quests!$A:$A),MATCH(C$1,[2]quests!$1:$1,0)-MATCH($A$1,[2]quests!$1:$1,0)+1),MATCH(C$1,[2]quests!$1:$1,0)-MATCH($A$1,[2]quests!$1:$1,0)+1,FALSE)</f>
        <v>#VALUE!</v>
      </c>
      <c r="D31" s="144">
        <v>6</v>
      </c>
      <c r="E31" s="146">
        <v>10</v>
      </c>
      <c r="F31" s="147" t="str">
        <f t="shared" si="2"/>
        <v>600120010</v>
      </c>
      <c r="G31" s="148" t="str">
        <f>F31&amp;TEXT(COUNTIF(F$2:F31,F31),"00")</f>
        <v>60012001005</v>
      </c>
      <c r="H31" s="149" t="s">
        <v>229</v>
      </c>
      <c r="I31" s="149">
        <v>346</v>
      </c>
      <c r="J31" s="149">
        <v>1</v>
      </c>
      <c r="K31" s="149">
        <v>0</v>
      </c>
      <c r="L31" s="149">
        <v>0</v>
      </c>
      <c r="M31" s="149">
        <v>0</v>
      </c>
      <c r="N31" s="149">
        <v>0</v>
      </c>
      <c r="O31" s="149">
        <v>1</v>
      </c>
      <c r="P31" s="149">
        <v>1</v>
      </c>
      <c r="Q31" s="149">
        <v>1</v>
      </c>
      <c r="R31" s="149" t="s">
        <v>230</v>
      </c>
      <c r="S31" s="149" t="s">
        <v>353</v>
      </c>
      <c r="T31" s="149" t="s">
        <v>323</v>
      </c>
      <c r="U31" s="150" t="s">
        <v>389</v>
      </c>
    </row>
    <row r="32" spans="1:21" s="148" customFormat="1" ht="28" x14ac:dyDescent="0.15">
      <c r="A32" s="144">
        <v>60012</v>
      </c>
      <c r="B32" s="145" t="e">
        <f ca="1">VLOOKUP($A32,OFFSET([2]quests!$A$1,0,0,COUNTA([2]quests!$A:$A),MATCH(B$1,[2]quests!$1:$1,0)-MATCH($A$1,[2]quests!$1:$1,0)+1),MATCH(B$1,[2]quests!$1:$1,0)-MATCH($A$1,[2]quests!$1:$1,0)+1,FALSE)</f>
        <v>#VALUE!</v>
      </c>
      <c r="C32" s="145" t="e">
        <f ca="1">VLOOKUP($A32,OFFSET([2]quests!$A$1,0,0,COUNTA([2]quests!$A:$A),MATCH(C$1,[2]quests!$1:$1,0)-MATCH($A$1,[2]quests!$1:$1,0)+1),MATCH(C$1,[2]quests!$1:$1,0)-MATCH($A$1,[2]quests!$1:$1,0)+1,FALSE)</f>
        <v>#VALUE!</v>
      </c>
      <c r="D32" s="144">
        <v>6</v>
      </c>
      <c r="E32" s="146">
        <v>10</v>
      </c>
      <c r="F32" s="147" t="str">
        <f t="shared" si="2"/>
        <v>600120010</v>
      </c>
      <c r="G32" s="148" t="str">
        <f>F32&amp;TEXT(COUNTIF(F$2:F32,F32),"00")</f>
        <v>60012001006</v>
      </c>
      <c r="H32" s="149" t="s">
        <v>354</v>
      </c>
      <c r="I32" s="149">
        <v>3</v>
      </c>
      <c r="J32" s="149" t="s">
        <v>355</v>
      </c>
      <c r="K32" s="149">
        <v>0</v>
      </c>
      <c r="L32" s="149">
        <v>0</v>
      </c>
      <c r="M32" s="149">
        <v>0</v>
      </c>
      <c r="N32" s="149">
        <v>0</v>
      </c>
      <c r="O32" s="149">
        <v>1</v>
      </c>
      <c r="P32" s="149">
        <v>1</v>
      </c>
      <c r="Q32" s="149">
        <v>1</v>
      </c>
      <c r="R32" s="149" t="s">
        <v>356</v>
      </c>
      <c r="S32" s="149" t="s">
        <v>357</v>
      </c>
      <c r="T32" s="149" t="s">
        <v>323</v>
      </c>
      <c r="U32" s="150" t="s">
        <v>389</v>
      </c>
    </row>
    <row r="33" spans="1:21" s="148" customFormat="1" ht="28" x14ac:dyDescent="0.15">
      <c r="A33" s="144">
        <v>60012</v>
      </c>
      <c r="B33" s="145" t="e">
        <f ca="1">VLOOKUP($A33,OFFSET([2]quests!$A$1,0,0,COUNTA([2]quests!$A:$A),MATCH(B$1,[2]quests!$1:$1,0)-MATCH($A$1,[2]quests!$1:$1,0)+1),MATCH(B$1,[2]quests!$1:$1,0)-MATCH($A$1,[2]quests!$1:$1,0)+1,FALSE)</f>
        <v>#VALUE!</v>
      </c>
      <c r="C33" s="145" t="e">
        <f ca="1">VLOOKUP($A33,OFFSET([2]quests!$A$1,0,0,COUNTA([2]quests!$A:$A),MATCH(C$1,[2]quests!$1:$1,0)-MATCH($A$1,[2]quests!$1:$1,0)+1),MATCH(C$1,[2]quests!$1:$1,0)-MATCH($A$1,[2]quests!$1:$1,0)+1,FALSE)</f>
        <v>#VALUE!</v>
      </c>
      <c r="D33" s="144">
        <v>6</v>
      </c>
      <c r="E33" s="146">
        <v>10</v>
      </c>
      <c r="F33" s="147" t="str">
        <f t="shared" si="2"/>
        <v>600120010</v>
      </c>
      <c r="G33" s="148" t="str">
        <f>F33&amp;TEXT(COUNTIF(F$2:F33,F33),"00")</f>
        <v>60012001007</v>
      </c>
      <c r="H33" s="149" t="s">
        <v>358</v>
      </c>
      <c r="I33" s="149">
        <v>2000</v>
      </c>
      <c r="J33" s="149" t="s">
        <v>342</v>
      </c>
      <c r="K33" s="149">
        <v>0</v>
      </c>
      <c r="L33" s="149">
        <v>0</v>
      </c>
      <c r="M33" s="149">
        <v>0</v>
      </c>
      <c r="N33" s="149">
        <v>0</v>
      </c>
      <c r="O33" s="149">
        <v>1</v>
      </c>
      <c r="P33" s="149">
        <v>1</v>
      </c>
      <c r="Q33" s="149">
        <v>1</v>
      </c>
      <c r="R33" s="149" t="s">
        <v>343</v>
      </c>
      <c r="S33" s="149" t="s">
        <v>359</v>
      </c>
      <c r="T33" s="149" t="s">
        <v>323</v>
      </c>
      <c r="U33" s="150" t="s">
        <v>389</v>
      </c>
    </row>
    <row r="34" spans="1:21" s="148" customFormat="1" ht="28" x14ac:dyDescent="0.15">
      <c r="A34" s="144">
        <v>60012</v>
      </c>
      <c r="B34" s="145" t="e">
        <f ca="1">VLOOKUP($A34,OFFSET([2]quests!$A$1,0,0,COUNTA([2]quests!$A:$A),MATCH(B$1,[2]quests!$1:$1,0)-MATCH($A$1,[2]quests!$1:$1,0)+1),MATCH(B$1,[2]quests!$1:$1,0)-MATCH($A$1,[2]quests!$1:$1,0)+1,FALSE)</f>
        <v>#VALUE!</v>
      </c>
      <c r="C34" s="145" t="e">
        <f ca="1">VLOOKUP($A34,OFFSET([2]quests!$A$1,0,0,COUNTA([2]quests!$A:$A),MATCH(C$1,[2]quests!$1:$1,0)-MATCH($A$1,[2]quests!$1:$1,0)+1),MATCH(C$1,[2]quests!$1:$1,0)-MATCH($A$1,[2]quests!$1:$1,0)+1,FALSE)</f>
        <v>#VALUE!</v>
      </c>
      <c r="D34" s="144">
        <v>11</v>
      </c>
      <c r="E34" s="146">
        <v>25</v>
      </c>
      <c r="F34" s="147" t="str">
        <f t="shared" si="2"/>
        <v>600120025</v>
      </c>
      <c r="G34" s="148" t="str">
        <f>F34&amp;TEXT(COUNTIF(F$2:F34,F34),"00")</f>
        <v>60012002501</v>
      </c>
      <c r="H34" s="149" t="s">
        <v>324</v>
      </c>
      <c r="I34" s="149">
        <v>3</v>
      </c>
      <c r="J34" s="149" t="s">
        <v>89</v>
      </c>
      <c r="K34" s="149">
        <v>0</v>
      </c>
      <c r="L34" s="149">
        <v>0</v>
      </c>
      <c r="M34" s="149">
        <v>0</v>
      </c>
      <c r="N34" s="149">
        <v>0</v>
      </c>
      <c r="O34" s="149">
        <v>1</v>
      </c>
      <c r="P34" s="149">
        <v>1</v>
      </c>
      <c r="Q34" s="149">
        <v>1</v>
      </c>
      <c r="R34" s="149" t="s">
        <v>230</v>
      </c>
      <c r="S34" s="149" t="s">
        <v>360</v>
      </c>
      <c r="T34" s="149" t="s">
        <v>323</v>
      </c>
      <c r="U34" s="150" t="s">
        <v>389</v>
      </c>
    </row>
    <row r="35" spans="1:21" s="148" customFormat="1" ht="28" x14ac:dyDescent="0.15">
      <c r="A35" s="144">
        <v>60012</v>
      </c>
      <c r="B35" s="145" t="e">
        <f ca="1">VLOOKUP($A35,OFFSET([2]quests!$A$1,0,0,COUNTA([2]quests!$A:$A),MATCH(B$1,[2]quests!$1:$1,0)-MATCH($A$1,[2]quests!$1:$1,0)+1),MATCH(B$1,[2]quests!$1:$1,0)-MATCH($A$1,[2]quests!$1:$1,0)+1,FALSE)</f>
        <v>#VALUE!</v>
      </c>
      <c r="C35" s="145" t="e">
        <f ca="1">VLOOKUP($A35,OFFSET([2]quests!$A$1,0,0,COUNTA([2]quests!$A:$A),MATCH(C$1,[2]quests!$1:$1,0)-MATCH($A$1,[2]quests!$1:$1,0)+1),MATCH(C$1,[2]quests!$1:$1,0)-MATCH($A$1,[2]quests!$1:$1,0)+1,FALSE)</f>
        <v>#VALUE!</v>
      </c>
      <c r="D35" s="144">
        <v>11</v>
      </c>
      <c r="E35" s="146">
        <v>25</v>
      </c>
      <c r="F35" s="147" t="str">
        <f t="shared" si="2"/>
        <v>600120025</v>
      </c>
      <c r="G35" s="148" t="str">
        <f>F35&amp;TEXT(COUNTIF(F$2:F35,F35),"00")</f>
        <v>60012002502</v>
      </c>
      <c r="H35" s="149" t="s">
        <v>358</v>
      </c>
      <c r="I35" s="149">
        <v>2000</v>
      </c>
      <c r="J35" s="149" t="s">
        <v>342</v>
      </c>
      <c r="K35" s="149">
        <v>0</v>
      </c>
      <c r="L35" s="149">
        <v>0</v>
      </c>
      <c r="M35" s="149">
        <v>0</v>
      </c>
      <c r="N35" s="149">
        <v>0</v>
      </c>
      <c r="O35" s="149">
        <v>1</v>
      </c>
      <c r="P35" s="149">
        <v>1</v>
      </c>
      <c r="Q35" s="149">
        <v>1</v>
      </c>
      <c r="R35" s="149" t="s">
        <v>343</v>
      </c>
      <c r="S35" s="149" t="s">
        <v>359</v>
      </c>
      <c r="T35" s="149" t="s">
        <v>323</v>
      </c>
      <c r="U35" s="150" t="s">
        <v>389</v>
      </c>
    </row>
    <row r="36" spans="1:21" s="148" customFormat="1" ht="28" x14ac:dyDescent="0.15">
      <c r="A36" s="144">
        <v>60012</v>
      </c>
      <c r="B36" s="145" t="e">
        <f ca="1">VLOOKUP($A36,OFFSET([2]quests!$A$1,0,0,COUNTA([2]quests!$A:$A),MATCH(B$1,[2]quests!$1:$1,0)-MATCH($A$1,[2]quests!$1:$1,0)+1),MATCH(B$1,[2]quests!$1:$1,0)-MATCH($A$1,[2]quests!$1:$1,0)+1,FALSE)</f>
        <v>#VALUE!</v>
      </c>
      <c r="C36" s="145" t="e">
        <f ca="1">VLOOKUP($A36,OFFSET([2]quests!$A$1,0,0,COUNTA([2]quests!$A:$A),MATCH(C$1,[2]quests!$1:$1,0)-MATCH($A$1,[2]quests!$1:$1,0)+1),MATCH(C$1,[2]quests!$1:$1,0)-MATCH($A$1,[2]quests!$1:$1,0)+1,FALSE)</f>
        <v>#VALUE!</v>
      </c>
      <c r="D36" s="144">
        <v>11</v>
      </c>
      <c r="E36" s="146">
        <v>25</v>
      </c>
      <c r="F36" s="147" t="str">
        <f t="shared" si="2"/>
        <v>600120025</v>
      </c>
      <c r="G36" s="148" t="str">
        <f>F36&amp;TEXT(COUNTIF(F$2:F36,F36),"00")</f>
        <v>60012002503</v>
      </c>
      <c r="H36" s="149" t="s">
        <v>361</v>
      </c>
      <c r="I36" s="149">
        <v>200000</v>
      </c>
      <c r="J36" s="149" t="s">
        <v>89</v>
      </c>
      <c r="K36" s="149">
        <v>0</v>
      </c>
      <c r="L36" s="149">
        <v>0</v>
      </c>
      <c r="M36" s="149">
        <v>0</v>
      </c>
      <c r="N36" s="149">
        <v>0</v>
      </c>
      <c r="O36" s="149">
        <v>1</v>
      </c>
      <c r="P36" s="149">
        <v>1</v>
      </c>
      <c r="Q36" s="149">
        <v>1</v>
      </c>
      <c r="R36" s="149" t="s">
        <v>230</v>
      </c>
      <c r="S36" s="149" t="s">
        <v>362</v>
      </c>
      <c r="T36" s="149" t="s">
        <v>323</v>
      </c>
      <c r="U36" s="150" t="s">
        <v>389</v>
      </c>
    </row>
    <row r="37" spans="1:21" s="148" customFormat="1" ht="28" x14ac:dyDescent="0.15">
      <c r="A37" s="144">
        <v>60012</v>
      </c>
      <c r="B37" s="145" t="e">
        <f ca="1">VLOOKUP($A37,OFFSET([2]quests!$A$1,0,0,COUNTA([2]quests!$A:$A),MATCH(B$1,[2]quests!$1:$1,0)-MATCH($A$1,[2]quests!$1:$1,0)+1),MATCH(B$1,[2]quests!$1:$1,0)-MATCH($A$1,[2]quests!$1:$1,0)+1,FALSE)</f>
        <v>#VALUE!</v>
      </c>
      <c r="C37" s="145" t="e">
        <f ca="1">VLOOKUP($A37,OFFSET([2]quests!$A$1,0,0,COUNTA([2]quests!$A:$A),MATCH(C$1,[2]quests!$1:$1,0)-MATCH($A$1,[2]quests!$1:$1,0)+1),MATCH(C$1,[2]quests!$1:$1,0)-MATCH($A$1,[2]quests!$1:$1,0)+1,FALSE)</f>
        <v>#VALUE!</v>
      </c>
      <c r="D37" s="144">
        <v>26</v>
      </c>
      <c r="E37" s="146">
        <v>35</v>
      </c>
      <c r="F37" s="147" t="str">
        <f t="shared" si="2"/>
        <v>600120035</v>
      </c>
      <c r="G37" s="148" t="str">
        <f>F37&amp;TEXT(COUNTIF(F$2:F37,F37),"00")</f>
        <v>60012003501</v>
      </c>
      <c r="H37" s="149" t="s">
        <v>324</v>
      </c>
      <c r="I37" s="149">
        <v>2</v>
      </c>
      <c r="J37" s="149" t="s">
        <v>89</v>
      </c>
      <c r="K37" s="149">
        <v>0</v>
      </c>
      <c r="L37" s="149">
        <v>0</v>
      </c>
      <c r="M37" s="149">
        <v>0</v>
      </c>
      <c r="N37" s="149">
        <v>0</v>
      </c>
      <c r="O37" s="149">
        <v>1</v>
      </c>
      <c r="P37" s="149">
        <v>1</v>
      </c>
      <c r="Q37" s="149">
        <v>1</v>
      </c>
      <c r="R37" s="149" t="s">
        <v>230</v>
      </c>
      <c r="S37" s="149" t="s">
        <v>363</v>
      </c>
      <c r="T37" s="149" t="s">
        <v>323</v>
      </c>
      <c r="U37" s="150" t="s">
        <v>389</v>
      </c>
    </row>
    <row r="38" spans="1:21" s="148" customFormat="1" ht="28" x14ac:dyDescent="0.15">
      <c r="A38" s="144">
        <v>60012</v>
      </c>
      <c r="B38" s="145" t="e">
        <f ca="1">VLOOKUP($A38,OFFSET([2]quests!$A$1,0,0,COUNTA([2]quests!$A:$A),MATCH(B$1,[2]quests!$1:$1,0)-MATCH($A$1,[2]quests!$1:$1,0)+1),MATCH(B$1,[2]quests!$1:$1,0)-MATCH($A$1,[2]quests!$1:$1,0)+1,FALSE)</f>
        <v>#VALUE!</v>
      </c>
      <c r="C38" s="145" t="e">
        <f ca="1">VLOOKUP($A38,OFFSET([2]quests!$A$1,0,0,COUNTA([2]quests!$A:$A),MATCH(C$1,[2]quests!$1:$1,0)-MATCH($A$1,[2]quests!$1:$1,0)+1),MATCH(C$1,[2]quests!$1:$1,0)-MATCH($A$1,[2]quests!$1:$1,0)+1,FALSE)</f>
        <v>#VALUE!</v>
      </c>
      <c r="D38" s="144">
        <v>26</v>
      </c>
      <c r="E38" s="146">
        <v>35</v>
      </c>
      <c r="F38" s="147" t="str">
        <f t="shared" si="2"/>
        <v>600120035</v>
      </c>
      <c r="G38" s="148" t="str">
        <f>F38&amp;TEXT(COUNTIF(F$2:F38,F38),"00")</f>
        <v>60012003502</v>
      </c>
      <c r="H38" s="149" t="s">
        <v>345</v>
      </c>
      <c r="I38" s="149">
        <v>1000</v>
      </c>
      <c r="J38" s="149" t="s">
        <v>89</v>
      </c>
      <c r="K38" s="149">
        <v>0</v>
      </c>
      <c r="L38" s="149">
        <v>0</v>
      </c>
      <c r="M38" s="149">
        <v>0</v>
      </c>
      <c r="N38" s="149">
        <v>0</v>
      </c>
      <c r="O38" s="149">
        <v>1</v>
      </c>
      <c r="P38" s="149">
        <v>1</v>
      </c>
      <c r="Q38" s="149">
        <v>1</v>
      </c>
      <c r="R38" s="149" t="s">
        <v>230</v>
      </c>
      <c r="S38" s="149" t="s">
        <v>364</v>
      </c>
      <c r="T38" s="149" t="s">
        <v>323</v>
      </c>
      <c r="U38" s="150" t="s">
        <v>389</v>
      </c>
    </row>
    <row r="39" spans="1:21" s="148" customFormat="1" ht="28" x14ac:dyDescent="0.15">
      <c r="A39" s="144">
        <v>60012</v>
      </c>
      <c r="B39" s="145" t="e">
        <f ca="1">VLOOKUP($A39,OFFSET([2]quests!$A$1,0,0,COUNTA([2]quests!$A:$A),MATCH(B$1,[2]quests!$1:$1,0)-MATCH($A$1,[2]quests!$1:$1,0)+1),MATCH(B$1,[2]quests!$1:$1,0)-MATCH($A$1,[2]quests!$1:$1,0)+1,FALSE)</f>
        <v>#VALUE!</v>
      </c>
      <c r="C39" s="145" t="e">
        <f ca="1">VLOOKUP($A39,OFFSET([2]quests!$A$1,0,0,COUNTA([2]quests!$A:$A),MATCH(C$1,[2]quests!$1:$1,0)-MATCH($A$1,[2]quests!$1:$1,0)+1),MATCH(C$1,[2]quests!$1:$1,0)-MATCH($A$1,[2]quests!$1:$1,0)+1,FALSE)</f>
        <v>#VALUE!</v>
      </c>
      <c r="D39" s="144">
        <v>26</v>
      </c>
      <c r="E39" s="146">
        <v>35</v>
      </c>
      <c r="F39" s="147" t="str">
        <f t="shared" si="2"/>
        <v>600120035</v>
      </c>
      <c r="G39" s="148" t="str">
        <f>F39&amp;TEXT(COUNTIF(F$2:F39,F39),"00")</f>
        <v>60012003503</v>
      </c>
      <c r="H39" s="149" t="s">
        <v>365</v>
      </c>
      <c r="I39" s="149">
        <v>150000</v>
      </c>
      <c r="J39" s="149" t="s">
        <v>342</v>
      </c>
      <c r="K39" s="149">
        <v>0</v>
      </c>
      <c r="L39" s="149">
        <v>0</v>
      </c>
      <c r="M39" s="149">
        <v>0</v>
      </c>
      <c r="N39" s="149">
        <v>0</v>
      </c>
      <c r="O39" s="149">
        <v>1</v>
      </c>
      <c r="P39" s="149">
        <v>1</v>
      </c>
      <c r="Q39" s="149">
        <v>1</v>
      </c>
      <c r="R39" s="149" t="s">
        <v>343</v>
      </c>
      <c r="S39" s="149" t="s">
        <v>366</v>
      </c>
      <c r="T39" s="149" t="s">
        <v>323</v>
      </c>
      <c r="U39" s="150" t="s">
        <v>389</v>
      </c>
    </row>
    <row r="40" spans="1:21" s="148" customFormat="1" ht="28" x14ac:dyDescent="0.15">
      <c r="A40" s="144">
        <v>60012</v>
      </c>
      <c r="B40" s="145" t="e">
        <f ca="1">VLOOKUP($A40,OFFSET([2]quests!$A$1,0,0,COUNTA([2]quests!$A:$A),MATCH(B$1,[2]quests!$1:$1,0)-MATCH($A$1,[2]quests!$1:$1,0)+1),MATCH(B$1,[2]quests!$1:$1,0)-MATCH($A$1,[2]quests!$1:$1,0)+1,FALSE)</f>
        <v>#VALUE!</v>
      </c>
      <c r="C40" s="145" t="e">
        <f ca="1">VLOOKUP($A40,OFFSET([2]quests!$A$1,0,0,COUNTA([2]quests!$A:$A),MATCH(C$1,[2]quests!$1:$1,0)-MATCH($A$1,[2]quests!$1:$1,0)+1),MATCH(C$1,[2]quests!$1:$1,0)-MATCH($A$1,[2]quests!$1:$1,0)+1,FALSE)</f>
        <v>#VALUE!</v>
      </c>
      <c r="D40" s="144">
        <v>36</v>
      </c>
      <c r="E40" s="146">
        <v>1000</v>
      </c>
      <c r="F40" s="147" t="str">
        <f t="shared" si="2"/>
        <v>600121000</v>
      </c>
      <c r="G40" s="148" t="str">
        <f>F40&amp;TEXT(COUNTIF(F$2:F40,F40),"00")</f>
        <v>60012100001</v>
      </c>
      <c r="H40" s="149" t="s">
        <v>367</v>
      </c>
      <c r="I40" s="149">
        <v>1</v>
      </c>
      <c r="J40" s="149" t="s">
        <v>368</v>
      </c>
      <c r="K40" s="149">
        <v>0</v>
      </c>
      <c r="L40" s="149">
        <v>0</v>
      </c>
      <c r="M40" s="149">
        <v>0</v>
      </c>
      <c r="N40" s="149">
        <v>0</v>
      </c>
      <c r="O40" s="149">
        <v>1</v>
      </c>
      <c r="P40" s="149">
        <v>1</v>
      </c>
      <c r="Q40" s="149">
        <v>1</v>
      </c>
      <c r="R40" s="149" t="s">
        <v>369</v>
      </c>
      <c r="S40" s="149" t="s">
        <v>370</v>
      </c>
      <c r="T40" s="149" t="s">
        <v>323</v>
      </c>
      <c r="U40" s="150" t="s">
        <v>389</v>
      </c>
    </row>
    <row r="41" spans="1:21" s="148" customFormat="1" ht="28" x14ac:dyDescent="0.15">
      <c r="A41" s="144">
        <v>60012</v>
      </c>
      <c r="B41" s="145" t="e">
        <f ca="1">VLOOKUP($A41,OFFSET([2]quests!$A$1,0,0,COUNTA([2]quests!$A:$A),MATCH(B$1,[2]quests!$1:$1,0)-MATCH($A$1,[2]quests!$1:$1,0)+1),MATCH(B$1,[2]quests!$1:$1,0)-MATCH($A$1,[2]quests!$1:$1,0)+1,FALSE)</f>
        <v>#VALUE!</v>
      </c>
      <c r="C41" s="145" t="e">
        <f ca="1">VLOOKUP($A41,OFFSET([2]quests!$A$1,0,0,COUNTA([2]quests!$A:$A),MATCH(C$1,[2]quests!$1:$1,0)-MATCH($A$1,[2]quests!$1:$1,0)+1),MATCH(C$1,[2]quests!$1:$1,0)-MATCH($A$1,[2]quests!$1:$1,0)+1,FALSE)</f>
        <v>#VALUE!</v>
      </c>
      <c r="D41" s="144">
        <v>36</v>
      </c>
      <c r="E41" s="146">
        <v>1000</v>
      </c>
      <c r="F41" s="147" t="str">
        <f t="shared" si="2"/>
        <v>600121000</v>
      </c>
      <c r="G41" s="148" t="str">
        <f>F41&amp;TEXT(COUNTIF(F$2:F41,F41),"00")</f>
        <v>60012100002</v>
      </c>
      <c r="H41" s="149" t="s">
        <v>371</v>
      </c>
      <c r="I41" s="149">
        <v>1000</v>
      </c>
      <c r="J41" s="149" t="s">
        <v>355</v>
      </c>
      <c r="K41" s="149">
        <v>0</v>
      </c>
      <c r="L41" s="149">
        <v>0</v>
      </c>
      <c r="M41" s="149">
        <v>0</v>
      </c>
      <c r="N41" s="149">
        <v>0</v>
      </c>
      <c r="O41" s="149">
        <v>1</v>
      </c>
      <c r="P41" s="149">
        <v>1</v>
      </c>
      <c r="Q41" s="149">
        <v>1</v>
      </c>
      <c r="R41" s="149" t="s">
        <v>356</v>
      </c>
      <c r="S41" s="149" t="s">
        <v>372</v>
      </c>
      <c r="T41" s="149" t="s">
        <v>323</v>
      </c>
      <c r="U41" s="150" t="s">
        <v>389</v>
      </c>
    </row>
    <row r="42" spans="1:21" s="148" customFormat="1" ht="28" x14ac:dyDescent="0.15">
      <c r="A42" s="144">
        <v>60012</v>
      </c>
      <c r="B42" s="145" t="e">
        <f ca="1">VLOOKUP($A42,OFFSET([2]quests!$A$1,0,0,COUNTA([2]quests!$A:$A),MATCH(B$1,[2]quests!$1:$1,0)-MATCH($A$1,[2]quests!$1:$1,0)+1),MATCH(B$1,[2]quests!$1:$1,0)-MATCH($A$1,[2]quests!$1:$1,0)+1,FALSE)</f>
        <v>#VALUE!</v>
      </c>
      <c r="C42" s="145" t="e">
        <f ca="1">VLOOKUP($A42,OFFSET([2]quests!$A$1,0,0,COUNTA([2]quests!$A:$A),MATCH(C$1,[2]quests!$1:$1,0)-MATCH($A$1,[2]quests!$1:$1,0)+1),MATCH(C$1,[2]quests!$1:$1,0)-MATCH($A$1,[2]quests!$1:$1,0)+1,FALSE)</f>
        <v>#VALUE!</v>
      </c>
      <c r="D42" s="144">
        <v>36</v>
      </c>
      <c r="E42" s="146">
        <v>1000</v>
      </c>
      <c r="F42" s="147" t="str">
        <f t="shared" si="2"/>
        <v>600121000</v>
      </c>
      <c r="G42" s="148" t="str">
        <f>F42&amp;TEXT(COUNTIF(F$2:F42,F42),"00")</f>
        <v>60012100003</v>
      </c>
      <c r="H42" s="149" t="s">
        <v>365</v>
      </c>
      <c r="I42" s="149">
        <v>100000</v>
      </c>
      <c r="J42" s="149" t="s">
        <v>342</v>
      </c>
      <c r="K42" s="149">
        <v>0</v>
      </c>
      <c r="L42" s="149">
        <v>0</v>
      </c>
      <c r="M42" s="149">
        <v>0</v>
      </c>
      <c r="N42" s="149">
        <v>0</v>
      </c>
      <c r="O42" s="149">
        <v>1</v>
      </c>
      <c r="P42" s="149">
        <v>1</v>
      </c>
      <c r="Q42" s="149">
        <v>1</v>
      </c>
      <c r="R42" s="149" t="s">
        <v>343</v>
      </c>
      <c r="S42" s="149" t="s">
        <v>373</v>
      </c>
      <c r="T42" s="149" t="s">
        <v>323</v>
      </c>
      <c r="U42" s="150" t="s">
        <v>389</v>
      </c>
    </row>
  </sheetData>
  <phoneticPr fontId="7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0"/>
  <sheetViews>
    <sheetView showGridLines="0" zoomScale="106" zoomScaleNormal="106" zoomScalePageLayoutView="106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D20" sqref="D20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23" style="3" customWidth="1" outlineLevel="1"/>
    <col min="6" max="6" width="16.1640625" style="3" bestFit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8.33203125" style="9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3.83203125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25" t="s">
        <v>50</v>
      </c>
      <c r="U1" s="25" t="s">
        <v>52</v>
      </c>
      <c r="V1" s="28" t="s">
        <v>31</v>
      </c>
      <c r="W1" s="27" t="s">
        <v>4</v>
      </c>
      <c r="X1" s="27" t="s">
        <v>5</v>
      </c>
      <c r="Y1" s="27" t="s">
        <v>6</v>
      </c>
      <c r="Z1" s="27" t="s">
        <v>7</v>
      </c>
      <c r="AA1" s="27" t="s">
        <v>8</v>
      </c>
      <c r="AB1" s="32" t="s">
        <v>9</v>
      </c>
      <c r="AC1" s="33" t="s">
        <v>16</v>
      </c>
      <c r="AD1" s="33" t="s">
        <v>17</v>
      </c>
      <c r="AE1" s="33" t="s">
        <v>27</v>
      </c>
      <c r="AF1" s="32" t="s">
        <v>10</v>
      </c>
      <c r="AG1" s="27" t="s">
        <v>11</v>
      </c>
      <c r="AH1" s="27" t="s">
        <v>12</v>
      </c>
      <c r="AI1" s="27" t="s">
        <v>38</v>
      </c>
      <c r="AJ1" s="27" t="s">
        <v>40</v>
      </c>
      <c r="AK1" s="27" t="s">
        <v>42</v>
      </c>
      <c r="AL1" s="27" t="s">
        <v>44</v>
      </c>
      <c r="AM1" s="27" t="s">
        <v>46</v>
      </c>
      <c r="AN1" s="35" t="s">
        <v>180</v>
      </c>
    </row>
    <row r="2" spans="1:40" ht="21" customHeight="1" x14ac:dyDescent="0.15">
      <c r="A2" s="16" t="str">
        <f>B2&amp;"_"&amp;C2&amp;"-"&amp;G2&amp;"/"&amp;L2&amp;"&lt;lv"&amp;R2&amp;"&gt;s"&amp;AA2</f>
        <v>60012_1-1/6011&lt;lv55&gt;s2</v>
      </c>
      <c r="B2" s="21">
        <v>60012</v>
      </c>
      <c r="C2" s="20">
        <v>1</v>
      </c>
      <c r="D2" s="2" t="str">
        <f>B2&amp;"_"&amp;C2</f>
        <v>60012_1</v>
      </c>
      <c r="E2" s="4" t="e">
        <f ca="1">VLOOKUP($B2,OFFSET([2]quests!$A$1,0,0,COUNTA([2]quests!$A:$A),MATCH(E$1,[2]quests!$1:$1,0)-MATCH($B$1,[2]quests!$1:$1,0)+1),MATCH(E$1,[2]quests!$1:$1,0)-MATCH($B$1,[2]quests!$1:$1,0)+1,FALSE)</f>
        <v>#VALUE!</v>
      </c>
      <c r="F2" s="4" t="e">
        <f ca="1">VLOOKUP($D2,OFFSET([2]stages!$A$1,0,0,COUNTA([2]stages!$A:$A),MATCH(F$1,[2]stages!$2:$2,0)-MATCH($D$1,[2]stages!$2:$2,0)+1),MATCH(F$1,[2]stages!$2:$2,0)-MATCH($D$1,[2]stages!$2:$2,0)+1,FALSE)</f>
        <v>#VALUE!</v>
      </c>
      <c r="G2" s="20">
        <v>1</v>
      </c>
      <c r="H2" s="15" t="str">
        <f>B2&amp;"_"&amp;C2&amp;"-"&amp;G2</f>
        <v>60012_1-1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 t="s">
        <v>53</v>
      </c>
      <c r="L2" s="113">
        <v>6011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パトドッグリーダー ポチ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55</v>
      </c>
      <c r="S2" s="24">
        <v>0.3</v>
      </c>
      <c r="T2" s="24">
        <v>0.8</v>
      </c>
      <c r="U2" s="5">
        <v>0</v>
      </c>
      <c r="V2" s="4" t="e">
        <f ca="1">VLOOKUP($W2,OFFSET(enemy_skill_sets!$B$1,0,0,COUNTA(enemy_skill_sets!$B:$B),MATCH(M$1,enemy_skill_sets!$1:$1,0)-MATCH($W$1,enemy_skill_sets!$1:$1,0)+2),MATCH(M$1,enemy_skill_sets!$1:$1,0)-MATCH($W$1,enemy_skill_sets!$1:$1,0)+2,FALSE)</f>
        <v>#N/A</v>
      </c>
      <c r="W2" s="4">
        <v>0</v>
      </c>
      <c r="X2" s="6">
        <v>2</v>
      </c>
      <c r="Y2" s="6">
        <v>100</v>
      </c>
      <c r="Z2" s="6">
        <v>0</v>
      </c>
      <c r="AA2" s="17">
        <v>2</v>
      </c>
      <c r="AB2" s="23">
        <f>L2</f>
        <v>6011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パトドッグリーダー ポチ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2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Drop1T</v>
      </c>
      <c r="AF2" s="7">
        <v>1</v>
      </c>
      <c r="AG2" s="23">
        <f ca="1">AD2</f>
        <v>2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8">
        <v>1</v>
      </c>
    </row>
    <row r="3" spans="1:40" ht="21" customHeight="1" x14ac:dyDescent="0.15">
      <c r="A3" s="16" t="str">
        <f>B3&amp;"_"&amp;C3&amp;"-"&amp;G3&amp;"/"&amp;L3&amp;"&lt;lv"&amp;R3&amp;"&gt;s"&amp;AA3</f>
        <v>60012_1-1/6013&lt;lv55&gt;s2</v>
      </c>
      <c r="B3" s="21">
        <v>60012</v>
      </c>
      <c r="C3" s="20">
        <v>1</v>
      </c>
      <c r="D3" s="2" t="str">
        <f>B3&amp;"_"&amp;C3</f>
        <v>60012_1</v>
      </c>
      <c r="E3" s="4" t="e">
        <f ca="1">VLOOKUP($B3,OFFSET([2]quests!$A$1,0,0,COUNTA([2]quests!$A:$A),MATCH(E$1,[2]quests!$1:$1,0)-MATCH($B$1,[2]quests!$1:$1,0)+1),MATCH(E$1,[2]quests!$1:$1,0)-MATCH($B$1,[2]quests!$1:$1,0)+1,FALSE)</f>
        <v>#VALUE!</v>
      </c>
      <c r="F3" s="4" t="e">
        <f ca="1">VLOOKUP($D3,OFFSET([2]stages!$A$1,0,0,COUNTA([2]stages!$A:$A),MATCH(F$1,[2]stages!$2:$2,0)-MATCH($D$1,[2]stages!$2:$2,0)+1),MATCH(F$1,[2]stages!$2:$2,0)-MATCH($D$1,[2]stages!$2:$2,0)+1,FALSE)</f>
        <v>#VALUE!</v>
      </c>
      <c r="G3" s="20">
        <v>1</v>
      </c>
      <c r="H3" s="15" t="str">
        <f>B3&amp;"_"&amp;C3&amp;"-"&amp;G3</f>
        <v>60012_1-1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 t="s">
        <v>53</v>
      </c>
      <c r="L3" s="113">
        <v>6013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護衛機人 スケアクロウ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machine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55</v>
      </c>
      <c r="S3" s="24">
        <v>0.3</v>
      </c>
      <c r="T3" s="24">
        <v>0.8</v>
      </c>
      <c r="U3" s="5">
        <v>0</v>
      </c>
      <c r="V3" s="4" t="e">
        <f ca="1">VLOOKUP($W3,OFFSET(enemy_skill_sets!$B$1,0,0,COUNTA(enemy_skill_sets!$B:$B),MATCH(M$1,enemy_skill_sets!$1:$1,0)-MATCH($W$1,enemy_skill_sets!$1:$1,0)+2),MATCH(M$1,enemy_skill_sets!$1:$1,0)-MATCH($W$1,enemy_skill_sets!$1:$1,0)+2,FALSE)</f>
        <v>#N/A</v>
      </c>
      <c r="W3" s="4">
        <v>0</v>
      </c>
      <c r="X3" s="6">
        <v>2</v>
      </c>
      <c r="Y3" s="6">
        <v>100</v>
      </c>
      <c r="Z3" s="6">
        <v>0</v>
      </c>
      <c r="AA3" s="17">
        <v>2</v>
      </c>
      <c r="AB3" s="23">
        <f>L3</f>
        <v>6013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護衛機人 スケアクロウ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7">
        <v>1</v>
      </c>
      <c r="AG3" s="23">
        <f ca="1">AD3</f>
        <v>2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8">
        <v>1</v>
      </c>
    </row>
    <row r="4" spans="1:40" ht="21" customHeight="1" x14ac:dyDescent="0.15">
      <c r="A4" s="16" t="str">
        <f>B4&amp;"_"&amp;C4&amp;"-"&amp;G4&amp;"/"&amp;L4&amp;"&lt;lv"&amp;R4&amp;"&gt;s"&amp;AA4</f>
        <v>60012_1-2/6012&lt;lv60&gt;s1</v>
      </c>
      <c r="B4" s="21">
        <v>60012</v>
      </c>
      <c r="C4" s="20">
        <v>1</v>
      </c>
      <c r="D4" s="2" t="str">
        <f>B4&amp;"_"&amp;C4</f>
        <v>60012_1</v>
      </c>
      <c r="E4" s="4" t="e">
        <f ca="1">VLOOKUP($B4,OFFSET([2]quests!$A$1,0,0,COUNTA([2]quests!$A:$A),MATCH(E$1,[2]quests!$1:$1,0)-MATCH($B$1,[2]quests!$1:$1,0)+1),MATCH(E$1,[2]quests!$1:$1,0)-MATCH($B$1,[2]quests!$1:$1,0)+1,FALSE)</f>
        <v>#VALUE!</v>
      </c>
      <c r="F4" s="4" t="e">
        <f ca="1">VLOOKUP($D4,OFFSET([2]stages!$A$1,0,0,COUNTA([2]stages!$A:$A),MATCH(F$1,[2]stages!$2:$2,0)-MATCH($D$1,[2]stages!$2:$2,0)+1),MATCH(F$1,[2]stages!$2:$2,0)-MATCH($D$1,[2]stages!$2:$2,0)+1,FALSE)</f>
        <v>#VALUE!</v>
      </c>
      <c r="G4" s="20">
        <v>2</v>
      </c>
      <c r="H4" s="15" t="str">
        <f>B4&amp;"_"&amp;C4&amp;"-"&amp;G4</f>
        <v>60012_1-2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 t="s">
        <v>53</v>
      </c>
      <c r="L4" s="113">
        <v>6012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ミミ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60</v>
      </c>
      <c r="S4" s="24">
        <v>0.6</v>
      </c>
      <c r="T4" s="24">
        <v>0.8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黄パネルを吸収して攻撃力UP</v>
      </c>
      <c r="W4" s="4">
        <v>6001202</v>
      </c>
      <c r="X4" s="6">
        <v>1</v>
      </c>
      <c r="Y4" s="6">
        <v>100</v>
      </c>
      <c r="Z4" s="6">
        <v>2</v>
      </c>
      <c r="AA4" s="17">
        <v>1</v>
      </c>
      <c r="AB4" s="23">
        <f>L4</f>
        <v>6012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ミミ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1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Drop1W</v>
      </c>
      <c r="AF4" s="7">
        <v>1</v>
      </c>
      <c r="AG4" s="23">
        <f ca="1">AD4</f>
        <v>1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8">
        <v>1</v>
      </c>
    </row>
    <row r="5" spans="1:40" ht="21" customHeight="1" x14ac:dyDescent="0.15">
      <c r="A5" s="16" t="str">
        <f>B5&amp;"_"&amp;C5&amp;"-"&amp;G5&amp;"/"&amp;L5&amp;"&lt;lv"&amp;R5&amp;"&gt;s"&amp;AA5</f>
        <v>60012_1-2/6012&lt;lv61&gt;s1</v>
      </c>
      <c r="B5" s="21">
        <v>60012</v>
      </c>
      <c r="C5" s="20">
        <v>1</v>
      </c>
      <c r="D5" s="2" t="str">
        <f>B5&amp;"_"&amp;C5</f>
        <v>60012_1</v>
      </c>
      <c r="E5" s="4" t="e">
        <f ca="1">VLOOKUP($B5,OFFSET([2]quests!$A$1,0,0,COUNTA([2]quests!$A:$A),MATCH(E$1,[2]quests!$1:$1,0)-MATCH($B$1,[2]quests!$1:$1,0)+1),MATCH(E$1,[2]quests!$1:$1,0)-MATCH($B$1,[2]quests!$1:$1,0)+1,FALSE)</f>
        <v>#VALUE!</v>
      </c>
      <c r="F5" s="4" t="e">
        <f ca="1">VLOOKUP($D5,OFFSET([2]stages!$A$1,0,0,COUNTA([2]stages!$A:$A),MATCH(F$1,[2]stages!$2:$2,0)-MATCH($D$1,[2]stages!$2:$2,0)+1),MATCH(F$1,[2]stages!$2:$2,0)-MATCH($D$1,[2]stages!$2:$2,0)+1,FALSE)</f>
        <v>#VALUE!</v>
      </c>
      <c r="G5" s="20">
        <v>2</v>
      </c>
      <c r="H5" s="15" t="str">
        <f>B5&amp;"_"&amp;C5&amp;"-"&amp;G5</f>
        <v>60012_1-2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 t="s">
        <v>53</v>
      </c>
      <c r="L5" s="113">
        <v>6012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ミミ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61</v>
      </c>
      <c r="S5" s="24">
        <v>0.6</v>
      </c>
      <c r="T5" s="24">
        <v>0.8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黄パネルを吸収して攻撃力UP</v>
      </c>
      <c r="W5" s="46">
        <v>6001212</v>
      </c>
      <c r="X5" s="6">
        <v>1</v>
      </c>
      <c r="Y5" s="6">
        <v>100</v>
      </c>
      <c r="Z5" s="6">
        <v>2</v>
      </c>
      <c r="AA5" s="17">
        <v>1</v>
      </c>
      <c r="AB5" s="23">
        <f>L5</f>
        <v>6012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ミミ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1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Drop1W</v>
      </c>
      <c r="AF5" s="7">
        <v>1</v>
      </c>
      <c r="AG5" s="23">
        <f ca="1">AD5</f>
        <v>1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8">
        <v>1</v>
      </c>
    </row>
    <row r="6" spans="1:40" ht="21" customHeight="1" x14ac:dyDescent="0.15">
      <c r="A6" s="16" t="str">
        <f t="shared" ref="A6" si="0">B6&amp;"_"&amp;C6&amp;"-"&amp;G6&amp;"/"&amp;L6&amp;"&lt;lv"&amp;R6&amp;"&gt;s"&amp;AA6</f>
        <v>60012_1-2/6015&lt;lv60&gt;s2</v>
      </c>
      <c r="B6" s="21">
        <v>60012</v>
      </c>
      <c r="C6" s="20">
        <v>1</v>
      </c>
      <c r="D6" s="2" t="str">
        <f t="shared" ref="D6" si="1">B6&amp;"_"&amp;C6</f>
        <v>60012_1</v>
      </c>
      <c r="E6" s="4" t="e">
        <f ca="1">VLOOKUP($B6,OFFSET([2]quests!$A$1,0,0,COUNTA([2]quests!$A:$A),MATCH(E$1,[2]quests!$1:$1,0)-MATCH($B$1,[2]quests!$1:$1,0)+1),MATCH(E$1,[2]quests!$1:$1,0)-MATCH($B$1,[2]quests!$1:$1,0)+1,FALSE)</f>
        <v>#VALUE!</v>
      </c>
      <c r="F6" s="4" t="e">
        <f ca="1">VLOOKUP($D6,OFFSET([2]stages!$A$1,0,0,COUNTA([2]stages!$A:$A),MATCH(F$1,[2]stages!$2:$2,0)-MATCH($D$1,[2]stages!$2:$2,0)+1),MATCH(F$1,[2]stages!$2:$2,0)-MATCH($D$1,[2]stages!$2:$2,0)+1,FALSE)</f>
        <v>#VALUE!</v>
      </c>
      <c r="G6" s="20">
        <v>2</v>
      </c>
      <c r="H6" s="15" t="str">
        <f t="shared" ref="H6" si="2">B6&amp;"_"&amp;C6&amp;"-"&amp;G6</f>
        <v>60012_1-2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 t="s">
        <v>53</v>
      </c>
      <c r="L6" s="113">
        <v>6015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フレイヤ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60</v>
      </c>
      <c r="S6" s="24">
        <v>2.2000000000000002</v>
      </c>
      <c r="T6" s="24">
        <v>0.7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2ターンの間Cパネル生成延長（効果大）</v>
      </c>
      <c r="W6" s="4">
        <v>6001201</v>
      </c>
      <c r="X6" s="6">
        <v>1</v>
      </c>
      <c r="Y6" s="6">
        <v>100</v>
      </c>
      <c r="Z6" s="6">
        <v>1</v>
      </c>
      <c r="AA6" s="17">
        <v>2</v>
      </c>
      <c r="AB6" s="23">
        <f t="shared" ref="AB6" si="3">L6</f>
        <v>6015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フレイヤ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6" s="7">
        <v>1</v>
      </c>
      <c r="AG6" s="23">
        <f t="shared" ref="AG6" ca="1" si="4">AD6</f>
        <v>4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8">
        <v>1</v>
      </c>
    </row>
    <row r="7" spans="1:40" ht="21" customHeight="1" x14ac:dyDescent="0.15">
      <c r="A7" s="16" t="str">
        <f t="shared" ref="A7:A10" si="5">B7&amp;"_"&amp;C7&amp;"-"&amp;G7&amp;"/"&amp;L7&amp;"&lt;lv"&amp;R7&amp;"&gt;s"&amp;AA7</f>
        <v>60012_1-3/6018&lt;lv60&gt;s1</v>
      </c>
      <c r="B7" s="21">
        <v>60012</v>
      </c>
      <c r="C7" s="20">
        <v>1</v>
      </c>
      <c r="D7" s="2" t="str">
        <f t="shared" ref="D7:D10" si="6">B7&amp;"_"&amp;C7</f>
        <v>60012_1</v>
      </c>
      <c r="E7" s="4" t="e">
        <f ca="1">VLOOKUP($B7,OFFSET([2]quests!$A$1,0,0,COUNTA([2]quests!$A:$A),MATCH(E$1,[2]quests!$1:$1,0)-MATCH($B$1,[2]quests!$1:$1,0)+1),MATCH(E$1,[2]quests!$1:$1,0)-MATCH($B$1,[2]quests!$1:$1,0)+1,FALSE)</f>
        <v>#VALUE!</v>
      </c>
      <c r="F7" s="4" t="e">
        <f ca="1">VLOOKUP($D7,OFFSET([2]stages!$A$1,0,0,COUNTA([2]stages!$A:$A),MATCH(F$1,[2]stages!$2:$2,0)-MATCH($D$1,[2]stages!$2:$2,0)+1),MATCH(F$1,[2]stages!$2:$2,0)-MATCH($D$1,[2]stages!$2:$2,0)+1,FALSE)</f>
        <v>#VALUE!</v>
      </c>
      <c r="G7" s="20">
        <v>3</v>
      </c>
      <c r="H7" s="15" t="str">
        <f t="shared" ref="H7:H10" si="7">B7&amp;"_"&amp;C7&amp;"-"&amp;G7</f>
        <v>60012_1-3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>
        <v>1</v>
      </c>
      <c r="L7" s="113">
        <v>6018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ハヅル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60</v>
      </c>
      <c r="S7" s="24">
        <v>2.2999999999999998</v>
      </c>
      <c r="T7" s="24">
        <v>0.6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2ターンの間Cパネル生成延長（効果大）</v>
      </c>
      <c r="W7" s="4">
        <v>6001203</v>
      </c>
      <c r="X7" s="6">
        <v>1</v>
      </c>
      <c r="Y7" s="6">
        <v>100</v>
      </c>
      <c r="Z7" s="6">
        <v>1</v>
      </c>
      <c r="AA7" s="17">
        <v>1</v>
      </c>
      <c r="AB7" s="23">
        <f t="shared" ref="AB7:AB10" si="8">L7</f>
        <v>6018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ハヅル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7" s="7">
        <v>1</v>
      </c>
      <c r="AG7" s="23">
        <f t="shared" ref="AG7:AG10" ca="1" si="9">AD7</f>
        <v>4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8">
        <v>1</v>
      </c>
    </row>
    <row r="8" spans="1:40" ht="21" customHeight="1" x14ac:dyDescent="0.15">
      <c r="A8" s="16" t="str">
        <f t="shared" si="5"/>
        <v>60012_1-4/6014&lt;lv60&gt;s2</v>
      </c>
      <c r="B8" s="21">
        <v>60012</v>
      </c>
      <c r="C8" s="20">
        <v>1</v>
      </c>
      <c r="D8" s="2" t="str">
        <f t="shared" si="6"/>
        <v>60012_1</v>
      </c>
      <c r="E8" s="4" t="e">
        <f ca="1">VLOOKUP($B8,OFFSET([2]quests!$A$1,0,0,COUNTA([2]quests!$A:$A),MATCH(E$1,[2]quests!$1:$1,0)-MATCH($B$1,[2]quests!$1:$1,0)+1),MATCH(E$1,[2]quests!$1:$1,0)-MATCH($B$1,[2]quests!$1:$1,0)+1,FALSE)</f>
        <v>#VALUE!</v>
      </c>
      <c r="F8" s="4" t="e">
        <f ca="1">VLOOKUP($D8,OFFSET([2]stages!$A$1,0,0,COUNTA([2]stages!$A:$A),MATCH(F$1,[2]stages!$2:$2,0)-MATCH($D$1,[2]stages!$2:$2,0)+1),MATCH(F$1,[2]stages!$2:$2,0)-MATCH($D$1,[2]stages!$2:$2,0)+1,FALSE)</f>
        <v>#VALUE!</v>
      </c>
      <c r="G8" s="20">
        <v>4</v>
      </c>
      <c r="H8" s="15" t="str">
        <f t="shared" si="7"/>
        <v>60012_1-4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7" t="s">
        <v>53</v>
      </c>
      <c r="L8" s="113">
        <v>6014</v>
      </c>
      <c r="M8" s="17" t="str">
        <f ca="1">VLOOKUP($L8,OFFSET([3]enemies!$A$1,0,0,COUNTA([3]enemies!$A:$A),MATCH(M$1,[3]enemies!$1:$1,0)-MATCH($L$1,[3]enemies!$1:$1,0)+1),MATCH(M$1,[3]enemies!$1:$1,0)-MATCH($L$1,[3]enemies!$1:$1,0)+1,FALSE)</f>
        <v>月下の人狼 ローレンス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PremiumW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60</v>
      </c>
      <c r="S8" s="24">
        <v>2.2999999999999998</v>
      </c>
      <c r="T8" s="24">
        <v>0.5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8" s="4">
        <v>6001206</v>
      </c>
      <c r="X8" s="6">
        <v>1</v>
      </c>
      <c r="Y8" s="6">
        <v>100</v>
      </c>
      <c r="Z8" s="6">
        <v>0</v>
      </c>
      <c r="AA8" s="17">
        <v>2</v>
      </c>
      <c r="AB8" s="23">
        <f t="shared" si="8"/>
        <v>6014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月下の人狼 ローレンス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8" s="7">
        <v>1</v>
      </c>
      <c r="AG8" s="23">
        <f t="shared" ca="1" si="9"/>
        <v>4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8">
        <v>1</v>
      </c>
    </row>
    <row r="9" spans="1:40" ht="21" customHeight="1" x14ac:dyDescent="0.15">
      <c r="A9" s="16" t="str">
        <f t="shared" ref="A9" si="10">B9&amp;"_"&amp;C9&amp;"-"&amp;G9&amp;"/"&amp;L9&amp;"&lt;lv"&amp;R9&amp;"&gt;s"&amp;AA9</f>
        <v>60012_1-4/6020&lt;lv60&gt;s1</v>
      </c>
      <c r="B9" s="21">
        <v>60012</v>
      </c>
      <c r="C9" s="20">
        <v>1</v>
      </c>
      <c r="D9" s="2" t="str">
        <f t="shared" ref="D9" si="11">B9&amp;"_"&amp;C9</f>
        <v>60012_1</v>
      </c>
      <c r="E9" s="4" t="e">
        <f ca="1">VLOOKUP($B9,OFFSET([2]quests!$A$1,0,0,COUNTA([2]quests!$A:$A),MATCH(E$1,[2]quests!$1:$1,0)-MATCH($B$1,[2]quests!$1:$1,0)+1),MATCH(E$1,[2]quests!$1:$1,0)-MATCH($B$1,[2]quests!$1:$1,0)+1,FALSE)</f>
        <v>#VALUE!</v>
      </c>
      <c r="F9" s="4" t="e">
        <f ca="1">VLOOKUP($D9,OFFSET([2]stages!$A$1,0,0,COUNTA([2]stages!$A:$A),MATCH(F$1,[2]stages!$2:$2,0)-MATCH($D$1,[2]stages!$2:$2,0)+1),MATCH(F$1,[2]stages!$2:$2,0)-MATCH($D$1,[2]stages!$2:$2,0)+1,FALSE)</f>
        <v>#VALUE!</v>
      </c>
      <c r="G9" s="20">
        <v>4</v>
      </c>
      <c r="H9" s="15" t="str">
        <f t="shared" ref="H9" si="12">B9&amp;"_"&amp;C9&amp;"-"&amp;G9</f>
        <v>60012_1-4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7" t="s">
        <v>53</v>
      </c>
      <c r="L9" s="113">
        <v>6020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ミズチ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dragon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60</v>
      </c>
      <c r="S9" s="24">
        <v>2.2999999999999998</v>
      </c>
      <c r="T9" s="24">
        <v>0.6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敵のローレンスの属性を黄色に変更</v>
      </c>
      <c r="W9" s="4">
        <v>6001205</v>
      </c>
      <c r="X9" s="6">
        <v>1</v>
      </c>
      <c r="Y9" s="6">
        <v>100</v>
      </c>
      <c r="Z9" s="6">
        <v>1</v>
      </c>
      <c r="AA9" s="17">
        <v>1</v>
      </c>
      <c r="AB9" s="23">
        <f t="shared" ref="AB9" si="13">L9</f>
        <v>6020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ミズチ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9" s="7">
        <v>1</v>
      </c>
      <c r="AG9" s="23">
        <f t="shared" ref="AG9" ca="1" si="14">AD9</f>
        <v>4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8">
        <v>1</v>
      </c>
    </row>
    <row r="10" spans="1:40" ht="21" customHeight="1" x14ac:dyDescent="0.15">
      <c r="A10" s="16" t="str">
        <f t="shared" si="5"/>
        <v>60012_1-5/6016&lt;lv60&gt;s2</v>
      </c>
      <c r="B10" s="21">
        <v>60012</v>
      </c>
      <c r="C10" s="20">
        <v>1</v>
      </c>
      <c r="D10" s="2" t="str">
        <f t="shared" si="6"/>
        <v>60012_1</v>
      </c>
      <c r="E10" s="4" t="e">
        <f ca="1">VLOOKUP($B10,OFFSET([2]quests!$A$1,0,0,COUNTA([2]quests!$A:$A),MATCH(E$1,[2]quests!$1:$1,0)-MATCH($B$1,[2]quests!$1:$1,0)+1),MATCH(E$1,[2]quests!$1:$1,0)-MATCH($B$1,[2]quests!$1:$1,0)+1,FALSE)</f>
        <v>#VALUE!</v>
      </c>
      <c r="F10" s="4" t="e">
        <f ca="1">VLOOKUP($D10,OFFSET([2]stages!$A$1,0,0,COUNTA([2]stages!$A:$A),MATCH(F$1,[2]stages!$2:$2,0)-MATCH($D$1,[2]stages!$2:$2,0)+1),MATCH(F$1,[2]stages!$2:$2,0)-MATCH($D$1,[2]stages!$2:$2,0)+1,FALSE)</f>
        <v>#VALUE!</v>
      </c>
      <c r="G10" s="20">
        <v>5</v>
      </c>
      <c r="H10" s="15" t="str">
        <f t="shared" si="7"/>
        <v>60012_1-5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7">
        <v>2</v>
      </c>
      <c r="L10" s="113">
        <v>6016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根原論理 ユークリッド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PremiumSSS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60</v>
      </c>
      <c r="S10" s="24">
        <v>4</v>
      </c>
      <c r="T10" s="24">
        <v>1.2</v>
      </c>
      <c r="U10" s="5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さっそくいってみよー！</v>
      </c>
      <c r="W10" s="4">
        <v>6001207</v>
      </c>
      <c r="X10" s="6">
        <v>1</v>
      </c>
      <c r="Y10" s="6">
        <v>100</v>
      </c>
      <c r="Z10" s="6">
        <v>1</v>
      </c>
      <c r="AA10" s="17">
        <v>2</v>
      </c>
      <c r="AB10" s="23">
        <f t="shared" si="8"/>
        <v>6016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根原論理 ユークリッド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5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10" s="7">
        <v>1</v>
      </c>
      <c r="AG10" s="23">
        <f t="shared" ca="1" si="9"/>
        <v>5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8">
        <v>1</v>
      </c>
    </row>
  </sheetData>
  <sheetProtection selectLockedCells="1" selectUnlockedCells="1"/>
  <autoFilter ref="B1:AH2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5" sqref="T5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25" t="s">
        <v>50</v>
      </c>
      <c r="V1" s="25" t="s">
        <v>52</v>
      </c>
      <c r="W1" s="27" t="s">
        <v>129</v>
      </c>
      <c r="X1" s="28" t="s">
        <v>128</v>
      </c>
      <c r="Y1" s="27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60012_1-3/6019&lt;lv60&gt;sq1st2</v>
      </c>
      <c r="B2" s="21">
        <v>60012</v>
      </c>
      <c r="C2" s="20">
        <v>1</v>
      </c>
      <c r="D2" s="2" t="str">
        <f>B2&amp;"_"&amp;C2</f>
        <v>60012_1</v>
      </c>
      <c r="E2" s="4" t="e">
        <f ca="1">VLOOKUP($B2,OFFSET([2]quests!$A$1,0,0,COUNTA([2]quests!$A:$A),MATCH(E$1,[2]quests!$1:$1,0)-MATCH($B$1,[2]quests!$1:$1,0)+1),MATCH(E$1,[2]quests!$1:$1,0)-MATCH($B$1,[2]quests!$1:$1,0)+1,FALSE)</f>
        <v>#VALUE!</v>
      </c>
      <c r="F2" s="4" t="e">
        <f ca="1">VLOOKUP($D2,OFFSET([2]stages!$A$1,0,0,COUNTA([2]stages!$A:$A),MATCH(F$1,[2]stages!$2:$2,0)-MATCH($D$1,[2]stages!$2:$2,0)+1),MATCH(F$1,[2]stages!$2:$2,0)-MATCH($D$1,[2]stages!$2:$2,0)+1,FALSE)</f>
        <v>#VALUE!</v>
      </c>
      <c r="G2" s="20">
        <v>3</v>
      </c>
      <c r="H2" s="15" t="str">
        <f>B2&amp;"_"&amp;C2&amp;"-"&amp;G2</f>
        <v>60012_1-3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113">
        <v>6019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天織羽鶴 ハヅル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60</v>
      </c>
      <c r="T2" s="24">
        <v>2.2999999999999998</v>
      </c>
      <c r="U2" s="24">
        <v>0.6</v>
      </c>
      <c r="V2" s="5">
        <v>0</v>
      </c>
      <c r="W2" s="4"/>
      <c r="X2" s="4">
        <v>6001204</v>
      </c>
      <c r="Y2" s="69">
        <v>1</v>
      </c>
    </row>
    <row r="3" spans="1:25" ht="21" customHeight="1" x14ac:dyDescent="0.15">
      <c r="A3" s="16" t="str">
        <f t="shared" ref="A3:A4" si="0">B3&amp;"_"&amp;C3&amp;"-"&amp;G3&amp;"/"&amp;M3&amp;"&lt;lv"&amp;S3&amp;"&gt;sq"&amp;K3&amp;"st"&amp;L3</f>
        <v>60012_1-5/6016&lt;lv60&gt;sq2st2</v>
      </c>
      <c r="B3" s="21">
        <v>60012</v>
      </c>
      <c r="C3" s="20">
        <v>1</v>
      </c>
      <c r="D3" s="2" t="str">
        <f t="shared" ref="D3:D4" si="1">B3&amp;"_"&amp;C3</f>
        <v>60012_1</v>
      </c>
      <c r="E3" s="4" t="e">
        <f ca="1">VLOOKUP($B3,OFFSET([2]quests!$A$1,0,0,COUNTA([2]quests!$A:$A),MATCH(E$1,[2]quests!$1:$1,0)-MATCH($B$1,[2]quests!$1:$1,0)+1),MATCH(E$1,[2]quests!$1:$1,0)-MATCH($B$1,[2]quests!$1:$1,0)+1,FALSE)</f>
        <v>#VALUE!</v>
      </c>
      <c r="F3" s="4" t="e">
        <f ca="1">VLOOKUP($D3,OFFSET([2]stages!$A$1,0,0,COUNTA([2]stages!$A:$A),MATCH(F$1,[2]stages!$2:$2,0)-MATCH($D$1,[2]stages!$2:$2,0)+1),MATCH(F$1,[2]stages!$2:$2,0)-MATCH($D$1,[2]stages!$2:$2,0)+1,FALSE)</f>
        <v>#VALUE!</v>
      </c>
      <c r="G3" s="20">
        <v>5</v>
      </c>
      <c r="H3" s="15" t="str">
        <f t="shared" ref="H3:H4" si="2">B3&amp;"_"&amp;C3&amp;"-"&amp;G3</f>
        <v>60012_1-5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2</v>
      </c>
      <c r="L3" s="37">
        <v>2</v>
      </c>
      <c r="M3" s="113">
        <v>6016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根原論理 ユークリッド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60</v>
      </c>
      <c r="T3" s="24">
        <v>4.5</v>
      </c>
      <c r="U3" s="24">
        <v>1.2</v>
      </c>
      <c r="V3" s="5">
        <v>0</v>
      </c>
      <c r="W3" s="4"/>
      <c r="X3" s="4">
        <v>6001208</v>
      </c>
      <c r="Y3" s="69">
        <v>2</v>
      </c>
    </row>
    <row r="4" spans="1:25" ht="21" customHeight="1" x14ac:dyDescent="0.15">
      <c r="A4" s="16" t="str">
        <f t="shared" si="0"/>
        <v>60012_1-5/6017&lt;lv60&gt;sq2st3</v>
      </c>
      <c r="B4" s="21">
        <v>60012</v>
      </c>
      <c r="C4" s="20">
        <v>1</v>
      </c>
      <c r="D4" s="2" t="str">
        <f t="shared" si="1"/>
        <v>60012_1</v>
      </c>
      <c r="E4" s="4" t="e">
        <f ca="1">VLOOKUP($B4,OFFSET([2]quests!$A$1,0,0,COUNTA([2]quests!$A:$A),MATCH(E$1,[2]quests!$1:$1,0)-MATCH($B$1,[2]quests!$1:$1,0)+1),MATCH(E$1,[2]quests!$1:$1,0)-MATCH($B$1,[2]quests!$1:$1,0)+1,FALSE)</f>
        <v>#VALUE!</v>
      </c>
      <c r="F4" s="4" t="e">
        <f ca="1">VLOOKUP($D4,OFFSET([2]stages!$A$1,0,0,COUNTA([2]stages!$A:$A),MATCH(F$1,[2]stages!$2:$2,0)-MATCH($D$1,[2]stages!$2:$2,0)+1),MATCH(F$1,[2]stages!$2:$2,0)-MATCH($D$1,[2]stages!$2:$2,0)+1,FALSE)</f>
        <v>#VALUE!</v>
      </c>
      <c r="G4" s="20">
        <v>5</v>
      </c>
      <c r="H4" s="15" t="str">
        <f t="shared" si="2"/>
        <v>60012_1-5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2</v>
      </c>
      <c r="L4" s="37">
        <v>3</v>
      </c>
      <c r="M4" s="113">
        <v>6017</v>
      </c>
      <c r="N4" s="17" t="str">
        <f ca="1">VLOOKUP($M4,OFFSET([3]enemies!$A$1,0,0,COUNTA([3]enemies!$A:$A),MATCH(N$1,[3]enemies!$1:$1,0)-MATCH($M$1,[3]enemies!$1:$1,0)+1),MATCH(N$1,[3]enemies!$1:$1,0)-MATCH($M$1,[3]enemies!$1:$1,0)+1,FALSE)</f>
        <v>不朽の極論 ユークリッド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60</v>
      </c>
      <c r="T4" s="24">
        <v>4.5</v>
      </c>
      <c r="U4" s="24">
        <v>1.2</v>
      </c>
      <c r="V4" s="5">
        <v>0</v>
      </c>
      <c r="W4" s="4"/>
      <c r="X4" s="4">
        <v>6001209</v>
      </c>
      <c r="Y4" s="69">
        <v>2</v>
      </c>
    </row>
  </sheetData>
  <sheetProtection selectLockedCells="1" selectUnlockedCells="1"/>
  <autoFilter ref="B1:Y2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0"/>
  <sheetViews>
    <sheetView showGridLines="0" workbookViewId="0">
      <pane xSplit="5" ySplit="1" topLeftCell="F9" activePane="bottomRight" state="frozen"/>
      <selection pane="topRight"/>
      <selection pane="bottomLeft"/>
      <selection pane="bottomRight" activeCell="J27" sqref="J27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32.83203125" style="48" bestFit="1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6001201_6001201</v>
      </c>
      <c r="B2" s="46">
        <v>6001201</v>
      </c>
      <c r="C2" s="46">
        <v>6001201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ほわぁ…ゆっくり行こ？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2ターンの間Cパネル生成延長（効果大）</v>
      </c>
      <c r="F2" s="46">
        <v>6001201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6"/>
      <c r="Q2" s="46"/>
      <c r="R2" s="46"/>
    </row>
    <row r="3" spans="1:18" ht="21" customHeight="1" x14ac:dyDescent="0.15">
      <c r="A3" s="38" t="str">
        <f t="shared" ref="A3:A28" si="1">B3&amp;"_"&amp;C3</f>
        <v>6001201_6001202</v>
      </c>
      <c r="B3" s="46">
        <v>6001201</v>
      </c>
      <c r="C3" s="46">
        <v>6001202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ネコぱんち！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 xml:space="preserve">2回連続攻撃  </v>
      </c>
      <c r="F3" s="46">
        <v>6001202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" s="46"/>
      <c r="Q3" s="46"/>
      <c r="R3" s="46"/>
    </row>
    <row r="4" spans="1:18" ht="21" customHeight="1" x14ac:dyDescent="0.15">
      <c r="A4" s="38" t="str">
        <f t="shared" si="1"/>
        <v>6001201_6001203</v>
      </c>
      <c r="B4" s="46">
        <v>6001201</v>
      </c>
      <c r="C4" s="46">
        <v>6001203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きまぐれダッシュ！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行動頻度が1にUP</v>
      </c>
      <c r="F4" s="46">
        <v>6001203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7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6"/>
      <c r="Q4" s="46"/>
      <c r="R4" s="46"/>
    </row>
    <row r="5" spans="1:18" ht="21" customHeight="1" x14ac:dyDescent="0.15">
      <c r="A5" s="38" t="str">
        <f t="shared" si="1"/>
        <v>6001201_6001204</v>
      </c>
      <c r="B5" s="46">
        <v>6001201</v>
      </c>
      <c r="C5" s="46">
        <v>6001204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爪研ぎしたーい！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5" s="46">
        <v>6001204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7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ht="21" customHeight="1" x14ac:dyDescent="0.15">
      <c r="A6" s="38" t="str">
        <f t="shared" si="1"/>
        <v>6001201_6001205</v>
      </c>
      <c r="B6" s="46">
        <v>6001201</v>
      </c>
      <c r="C6" s="46">
        <v>6001205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砥ぎ砥ぎ攻撃！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6" s="46">
        <v>6001205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7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/>
      <c r="Q6" s="46"/>
      <c r="R6" s="46"/>
    </row>
    <row r="7" spans="1:18" ht="21" customHeight="1" x14ac:dyDescent="0.15">
      <c r="A7" s="38" t="str">
        <f t="shared" si="1"/>
        <v>6001201_6001206</v>
      </c>
      <c r="B7" s="46">
        <v>6001201</v>
      </c>
      <c r="C7" s="46">
        <v>6001206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爪跡だらけになっちゃえ！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7回連続攻撃</v>
      </c>
      <c r="F7" s="46">
        <v>6001206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7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/>
      <c r="Q7" s="46"/>
      <c r="R7" s="46"/>
    </row>
    <row r="8" spans="1:18" ht="21" customHeight="1" x14ac:dyDescent="0.15">
      <c r="A8" s="38" t="str">
        <f t="shared" si="1"/>
        <v>6001201_6001207</v>
      </c>
      <c r="B8" s="46">
        <v>6001201</v>
      </c>
      <c r="C8" s="46">
        <v>6001207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まだまだいくよー！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8" s="46">
        <v>6001207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7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/>
      <c r="Q8" s="46"/>
      <c r="R8" s="46"/>
    </row>
    <row r="9" spans="1:18" ht="21" customHeight="1" x14ac:dyDescent="0.15">
      <c r="A9" s="38" t="str">
        <f t="shared" si="1"/>
        <v>6001201_6001208</v>
      </c>
      <c r="B9" s="46">
        <v>6001201</v>
      </c>
      <c r="C9" s="46">
        <v>6001208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めちゃくちゃにしてあげる！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9回連続攻撃</v>
      </c>
      <c r="F9" s="46">
        <v>6001208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7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6"/>
      <c r="Q9" s="46"/>
      <c r="R9" s="46"/>
    </row>
    <row r="10" spans="1:18" ht="21" customHeight="1" x14ac:dyDescent="0.15">
      <c r="A10" s="38" t="str">
        <f t="shared" si="1"/>
        <v>6001202_6001209</v>
      </c>
      <c r="B10" s="46">
        <v>6001202</v>
      </c>
      <c r="C10" s="46">
        <v>6001209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銃弾装填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黄パネルを吸収して攻撃力UP</v>
      </c>
      <c r="F10" s="46">
        <v>6001209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7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6"/>
      <c r="Q10" s="46"/>
      <c r="R10" s="46"/>
    </row>
    <row r="11" spans="1:18" ht="21" customHeight="1" x14ac:dyDescent="0.15">
      <c r="A11" s="38" t="str">
        <f t="shared" si="1"/>
        <v>6001202_6001210</v>
      </c>
      <c r="B11" s="46">
        <v>6001202</v>
      </c>
      <c r="C11" s="46">
        <v>6001210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スプレッドガン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黄属性以外に大ダメージの全体攻撃</v>
      </c>
      <c r="F11" s="46">
        <v>6001210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7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/>
      <c r="Q11" s="46"/>
      <c r="R11" s="46"/>
    </row>
    <row r="12" spans="1:18" ht="21" customHeight="1" x14ac:dyDescent="0.15">
      <c r="A12" s="38" t="str">
        <f t="shared" si="1"/>
        <v>6001203_6001211</v>
      </c>
      <c r="B12" s="46">
        <v>6001203</v>
      </c>
      <c r="C12" s="46">
        <v>6001211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さぁ、お相手お願いね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2ターンの間Cパネル生成延長（効果大）</v>
      </c>
      <c r="F12" s="46">
        <v>6001211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ht="21" customHeight="1" x14ac:dyDescent="0.15">
      <c r="A13" s="38" t="str">
        <f t="shared" si="1"/>
        <v>6001203_6001212</v>
      </c>
      <c r="B13" s="46">
        <v>6001203</v>
      </c>
      <c r="C13" s="46">
        <v>6001212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千羽の舞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5回全体攻撃</v>
      </c>
      <c r="F13" s="46">
        <v>6001212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6"/>
      <c r="Q13" s="46"/>
      <c r="R13" s="46"/>
    </row>
    <row r="14" spans="1:18" ht="21" customHeight="1" x14ac:dyDescent="0.15">
      <c r="A14" s="38" t="str">
        <f t="shared" si="1"/>
        <v>6001204_6001214</v>
      </c>
      <c r="B14" s="46">
        <v>6001204</v>
      </c>
      <c r="C14" s="46">
        <v>6001214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鶴の羽織物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次のターンに黄パネル吸収攻撃</v>
      </c>
      <c r="F14" s="46">
        <v>6001214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/>
      <c r="Q14" s="46"/>
      <c r="R14" s="46"/>
    </row>
    <row r="15" spans="1:18" ht="21" customHeight="1" x14ac:dyDescent="0.15">
      <c r="A15" s="38" t="str">
        <f t="shared" si="1"/>
        <v>6001204_6001218</v>
      </c>
      <c r="B15" s="46">
        <v>6001204</v>
      </c>
      <c r="C15" s="46">
        <v>6001218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ご覧あれ！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黄パネル吸収攻撃</v>
      </c>
      <c r="F15" s="46">
        <v>6001218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46"/>
    </row>
    <row r="16" spans="1:18" ht="22" customHeight="1" x14ac:dyDescent="0.15">
      <c r="A16" s="38" t="str">
        <f t="shared" si="1"/>
        <v>6001205_6001219</v>
      </c>
      <c r="B16" s="46">
        <v>6001205</v>
      </c>
      <c r="C16" s="46">
        <v>6001219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月光の旋律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敵のローレンスの属性を黄色に変更</v>
      </c>
      <c r="F16" s="46">
        <v>6001219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7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/>
      <c r="Q16" s="46"/>
      <c r="R16" s="46"/>
    </row>
    <row r="17" spans="1:18" ht="21" customHeight="1" x14ac:dyDescent="0.15">
      <c r="A17" s="38" t="str">
        <f t="shared" si="1"/>
        <v>6001205_6001223</v>
      </c>
      <c r="B17" s="46">
        <v>6001205</v>
      </c>
      <c r="C17" s="46">
        <v>6001223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強化の旋律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3ターン敵のローレンスの攻撃力と防御力UP</v>
      </c>
      <c r="F17" s="46">
        <v>6001223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38" t="str">
        <f t="shared" si="1"/>
        <v>6001206_6001224</v>
      </c>
      <c r="B18" s="46">
        <v>6001206</v>
      </c>
      <c r="C18" s="46">
        <v>6001224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粉砕拳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8" s="46">
        <v>6001224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7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/>
      <c r="Q18" s="46"/>
      <c r="R18" s="46"/>
    </row>
    <row r="19" spans="1:18" ht="21" customHeight="1" x14ac:dyDescent="0.15">
      <c r="A19" s="38" t="str">
        <f t="shared" si="1"/>
        <v>6001206_6001225</v>
      </c>
      <c r="B19" s="46">
        <v>6001206</v>
      </c>
      <c r="C19" s="46">
        <v>6001225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破壊拳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9" s="46">
        <v>6001225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7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6"/>
      <c r="R19" s="46"/>
    </row>
    <row r="20" spans="1:18" s="160" customFormat="1" ht="21" customHeight="1" x14ac:dyDescent="0.15">
      <c r="A20" s="159" t="str">
        <f t="shared" si="1"/>
        <v>6001207_6001234</v>
      </c>
      <c r="B20" s="46">
        <v>6001207</v>
      </c>
      <c r="C20" s="46">
        <v>6001234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キミは[player_ranking_grade]の挑戦者だね！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さっそくいってみよー！</v>
      </c>
      <c r="F20" s="46">
        <v>6001234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6"/>
      <c r="R20" s="46"/>
    </row>
    <row r="21" spans="1:18" s="160" customFormat="1" ht="21" customHeight="1" x14ac:dyDescent="0.15">
      <c r="A21" s="159" t="str">
        <f t="shared" si="1"/>
        <v>6001207_6001235</v>
      </c>
      <c r="B21" s="46">
        <v>6001207</v>
      </c>
      <c r="C21" s="46">
        <v>6001235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プラス4、どうかな？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3ターンCパネル生成延長（効果特大） _x000D_＋全体攻撃</v>
      </c>
      <c r="F21" s="46">
        <v>6001235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s="160" customFormat="1" ht="21" customHeight="1" x14ac:dyDescent="0.15">
      <c r="A22" s="159" t="str">
        <f t="shared" si="1"/>
        <v>6001207_6001243</v>
      </c>
      <c r="B22" s="46">
        <v>6001207</v>
      </c>
      <c r="C22" s="46">
        <v>6001243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レッスン！いくよ！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22" s="46">
        <v>6001243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22" s="47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22" s="46"/>
      <c r="Q22" s="46"/>
      <c r="R22" s="46"/>
    </row>
    <row r="23" spans="1:18" s="160" customFormat="1" ht="22" customHeight="1" x14ac:dyDescent="0.15">
      <c r="A23" s="159" t="str">
        <f t="shared" si="1"/>
        <v>6001208_6001253</v>
      </c>
      <c r="B23" s="155">
        <v>6001208</v>
      </c>
      <c r="C23" s="46">
        <v>6001253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どんどんいくよ！プラス5！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3ターンCパネル生成延長(効果特大) _x000D_＋全体攻撃</v>
      </c>
      <c r="F23" s="46">
        <v>6001253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6"/>
      <c r="Q23" s="46"/>
      <c r="R23" s="46"/>
    </row>
    <row r="24" spans="1:18" s="160" customFormat="1" ht="22" customHeight="1" x14ac:dyDescent="0.15">
      <c r="A24" s="159" t="str">
        <f t="shared" si="1"/>
        <v>6001208_6001254</v>
      </c>
      <c r="B24" s="155">
        <v>6001208</v>
      </c>
      <c r="C24" s="46">
        <v>6001254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どんな図形になるかな？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 xml:space="preserve">次のターンに黄パネル吸収攻撃 </v>
      </c>
      <c r="F24" s="46">
        <v>6001254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s="166" customFormat="1" ht="22" customHeight="1" thickBot="1" x14ac:dyDescent="0.2">
      <c r="A25" s="161" t="str">
        <f t="shared" si="1"/>
        <v>6001208_6001255</v>
      </c>
      <c r="B25" s="155">
        <v>6001208</v>
      </c>
      <c r="C25" s="162">
        <v>6001255</v>
      </c>
      <c r="D25" s="163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可能性は無限大！</v>
      </c>
      <c r="E25" s="163" t="str">
        <f ca="1">VLOOKUP($C25,OFFSET(enemy_skills!$A$1,0,0,COUNTA(enemy_skills!$A:$A),MATCH(E$1,enemy_skills!$1:$1,0)-MATCH("enemy_skill_id",enemy_skills!$1:$1,0)+1),MATCH(E$1,enemy_skills!$1:$1,0)-MATCH("enemy_skill_id",enemy_skills!$1:$1,0)+1,FALSE)</f>
        <v xml:space="preserve">黄パネル吸収攻撃 </v>
      </c>
      <c r="F25" s="162">
        <v>6001255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7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162"/>
      <c r="Q25" s="162"/>
      <c r="R25" s="162"/>
    </row>
    <row r="26" spans="1:18" ht="22" customHeight="1" thickTop="1" x14ac:dyDescent="0.15">
      <c r="A26" s="38" t="str">
        <f t="shared" si="1"/>
        <v>6001209_6001256</v>
      </c>
      <c r="B26" s="155">
        <v>6001209</v>
      </c>
      <c r="C26" s="155">
        <v>6001256</v>
      </c>
      <c r="D26" s="15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よーく考えてね！プラス6！</v>
      </c>
      <c r="E26" s="15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3ターンCパネル生成延長（効果超大） _x000D_＋全体攻撃</v>
      </c>
      <c r="F26" s="155">
        <v>6001256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155"/>
      <c r="Q26" s="155"/>
      <c r="R26" s="155"/>
    </row>
    <row r="27" spans="1:18" ht="22" customHeight="1" x14ac:dyDescent="0.15">
      <c r="A27" s="38" t="str">
        <f t="shared" si="1"/>
        <v>6001209_6001257</v>
      </c>
      <c r="B27" s="155">
        <v>6001209</v>
      </c>
      <c r="C27" s="46">
        <v>6001257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キミの解を示してよ！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7" s="46">
        <v>6001257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7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  <row r="28" spans="1:18" ht="21" customHeight="1" x14ac:dyDescent="0.15">
      <c r="A28" s="38" t="str">
        <f t="shared" si="1"/>
        <v>6001209_6001263</v>
      </c>
      <c r="B28" s="155">
        <v>6001209</v>
      </c>
      <c r="C28" s="46">
        <v>6001263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ボクの幾何学を教えるね！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超クリティカル！</v>
      </c>
      <c r="F28" s="46">
        <v>6001263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/>
      <c r="Q28" s="46"/>
      <c r="R28" s="46"/>
    </row>
    <row r="29" spans="1:18" ht="21" customHeight="1" x14ac:dyDescent="0.15">
      <c r="A29" s="38" t="str">
        <f t="shared" ref="A29:A30" si="2">B29&amp;"_"&amp;C29</f>
        <v>6001212_6001209</v>
      </c>
      <c r="B29" s="46">
        <v>6001212</v>
      </c>
      <c r="C29" s="46">
        <v>6001209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銃弾装填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黄パネルを吸収して攻撃力UP</v>
      </c>
      <c r="F29" s="46">
        <v>6001210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7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/>
      <c r="Q29" s="46"/>
      <c r="R29" s="46"/>
    </row>
    <row r="30" spans="1:18" ht="21" customHeight="1" x14ac:dyDescent="0.15">
      <c r="A30" s="38" t="str">
        <f t="shared" si="2"/>
        <v>6001212_6001210</v>
      </c>
      <c r="B30" s="46">
        <v>6001212</v>
      </c>
      <c r="C30" s="46">
        <v>6001210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スプレッドガン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黄属性以外に大ダメージの全体攻撃</v>
      </c>
      <c r="F30" s="46">
        <v>6001209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7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6"/>
      <c r="Q30" s="46"/>
      <c r="R30" s="46"/>
    </row>
  </sheetData>
  <autoFilter ref="A1:R1"/>
  <phoneticPr fontId="7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8"/>
  <sheetViews>
    <sheetView showGridLines="0" topLeftCell="B1" zoomScaleNormal="110" zoomScalePageLayoutView="110" workbookViewId="0">
      <pane ySplit="1" topLeftCell="A9" activePane="bottomLeft" state="frozenSplit"/>
      <selection pane="bottomLeft" activeCell="C18" sqref="C18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67.1640625" style="48" customWidth="1"/>
    <col min="3" max="4" width="12.83203125" style="48"/>
    <col min="5" max="5" width="23.6640625" style="48" bestFit="1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39" t="s">
        <v>79</v>
      </c>
      <c r="B1" s="39" t="s">
        <v>80</v>
      </c>
      <c r="C1" s="39" t="s">
        <v>81</v>
      </c>
      <c r="D1" s="39" t="s">
        <v>126</v>
      </c>
      <c r="E1" s="39" t="s">
        <v>82</v>
      </c>
      <c r="F1" s="39" t="s">
        <v>83</v>
      </c>
      <c r="G1" s="40" t="s">
        <v>132</v>
      </c>
      <c r="H1" s="40" t="s">
        <v>138</v>
      </c>
      <c r="I1" s="40" t="s">
        <v>140</v>
      </c>
      <c r="J1" s="40" t="s">
        <v>139</v>
      </c>
      <c r="K1" s="40" t="s">
        <v>141</v>
      </c>
      <c r="L1" s="40" t="s">
        <v>133</v>
      </c>
      <c r="M1" s="40" t="s">
        <v>131</v>
      </c>
      <c r="N1" s="40" t="s">
        <v>134</v>
      </c>
      <c r="O1" s="40" t="s">
        <v>142</v>
      </c>
      <c r="P1" s="40" t="s">
        <v>143</v>
      </c>
      <c r="Q1" s="40" t="s">
        <v>144</v>
      </c>
      <c r="R1" s="40" t="s">
        <v>145</v>
      </c>
      <c r="S1" s="40" t="s">
        <v>135</v>
      </c>
      <c r="T1" s="40" t="s">
        <v>136</v>
      </c>
      <c r="U1" s="40" t="s">
        <v>146</v>
      </c>
      <c r="V1" s="40" t="s">
        <v>147</v>
      </c>
      <c r="W1" s="40" t="s">
        <v>148</v>
      </c>
      <c r="X1" s="40" t="s">
        <v>149</v>
      </c>
      <c r="Y1" s="40" t="s">
        <v>137</v>
      </c>
      <c r="Z1" s="40" t="s">
        <v>76</v>
      </c>
      <c r="AA1" s="40" t="s">
        <v>77</v>
      </c>
      <c r="AB1" s="40" t="s">
        <v>78</v>
      </c>
    </row>
    <row r="2" spans="1:28" ht="21" customHeight="1" x14ac:dyDescent="0.15">
      <c r="A2" s="46">
        <v>6001201</v>
      </c>
      <c r="B2" s="46" t="s">
        <v>459</v>
      </c>
      <c r="C2" s="49">
        <v>3</v>
      </c>
      <c r="D2" s="49" t="s">
        <v>127</v>
      </c>
      <c r="E2" s="50" t="s">
        <v>392</v>
      </c>
      <c r="F2" s="50" t="s">
        <v>460</v>
      </c>
      <c r="G2" s="62" t="str">
        <f>IFERROR(LEFT(B2,FIND("],",B2)),B2)</f>
        <v>[effect:crash_condition, target:unit_all, val:2, turn:2, animation:enemy_crash_extend]</v>
      </c>
      <c r="H2" s="62">
        <f>FIND("effect:",G2)+7</f>
        <v>9</v>
      </c>
      <c r="I2" s="62">
        <f>IFERROR(FIND(",",G2),LEN(G2))</f>
        <v>24</v>
      </c>
      <c r="J2" s="62">
        <f>FIND("target:",G2)+7</f>
        <v>33</v>
      </c>
      <c r="K2" s="62">
        <f>FIND(",",G2,I2+1)</f>
        <v>41</v>
      </c>
      <c r="L2" s="62" t="str">
        <f>IFERROR(VLOOKUP(MID(G2,J2,K2-J2),[5]skilldef!$C:$D,2,FALSE),"-") &amp; " / " &amp; IFERROR(VLOOKUP(MID(G2,H2,I2-H2),[5]skilldef!$A:$B,2,FALSE),"-")</f>
        <v>味方全体に / -</v>
      </c>
      <c r="M2" s="62" t="str">
        <f>IFERROR(RIGHT(B2,LEN(B2)-FIND("],",B2)-1),"none")</f>
        <v xml:space="preserve">[effect:fix_speed, target:enemy_yellow, turn:1]    </v>
      </c>
      <c r="N2" s="47" t="str">
        <f>IFERROR(LEFT(M2,FIND("],",M2)+S12),M2)</f>
        <v xml:space="preserve">[effect:fix_speed, target:enemy_yellow, turn:1]    </v>
      </c>
      <c r="O2" s="62">
        <f>FIND("effect:",N2)+7</f>
        <v>9</v>
      </c>
      <c r="P2" s="62">
        <f>IFERROR(FIND(",",N2),LEN(N2))</f>
        <v>18</v>
      </c>
      <c r="Q2" s="62">
        <f>FIND("target:",N2)+7</f>
        <v>27</v>
      </c>
      <c r="R2" s="62">
        <f>FIND(",",N2,P2+1)</f>
        <v>39</v>
      </c>
      <c r="S2" s="62" t="str">
        <f>IFERROR(VLOOKUP(MID(N2,Q2,R2-Q2),[5]skilldef!$C:$D,2,FALSE),"-") &amp; " / " &amp; IFERROR(VLOOKUP(MID(N2,O2,P2-O2),[5]skilldef!$A:$B,2,FALSE),"-")</f>
        <v>黄の敵に / 行動値設定</v>
      </c>
      <c r="T2" s="47" t="str">
        <f>IFERROR(RIGHT(M2,LEN(M2)-FIND("],",M2)-1),"none")</f>
        <v>none</v>
      </c>
      <c r="U2" s="62" t="e">
        <f>FIND("effect:",T2)+7</f>
        <v>#VALUE!</v>
      </c>
      <c r="V2" s="62">
        <f>IFERROR(FIND(",",T2),LEN(T2))</f>
        <v>4</v>
      </c>
      <c r="W2" s="62" t="e">
        <f>FIND("target:",T2)+7</f>
        <v>#VALUE!</v>
      </c>
      <c r="X2" s="62" t="e">
        <f>FIND(",",T2,V2+1)</f>
        <v>#VALUE!</v>
      </c>
      <c r="Y2" s="62" t="str">
        <f>IFERROR(VLOOKUP(MID(T2,W2,X2-W2),[5]skilldef!$C:$D,2,FALSE),"-") &amp; " / " &amp; IFERROR(VLOOKUP(MID(T2,U2,V2-U2),[5]skilldef!$A:$B,2,FALSE),"-")</f>
        <v>- / -</v>
      </c>
      <c r="Z2" s="49"/>
      <c r="AA2" s="51"/>
      <c r="AB2" s="49"/>
    </row>
    <row r="3" spans="1:28" ht="21" customHeight="1" x14ac:dyDescent="0.15">
      <c r="A3" s="46">
        <v>6001202</v>
      </c>
      <c r="B3" s="46" t="s">
        <v>374</v>
      </c>
      <c r="C3" s="49">
        <v>3</v>
      </c>
      <c r="D3" s="49" t="s">
        <v>127</v>
      </c>
      <c r="E3" s="50" t="s">
        <v>393</v>
      </c>
      <c r="F3" s="50" t="s">
        <v>433</v>
      </c>
      <c r="G3" s="62" t="str">
        <f t="shared" ref="G3:G16" si="0">IFERROR(LEFT(B3,FIND("],",B3)),B3)</f>
        <v>[effect:rush, count:2, val:0.55]</v>
      </c>
      <c r="H3" s="62">
        <f t="shared" ref="H3:H28" si="1">FIND("effect:",G3)+7</f>
        <v>9</v>
      </c>
      <c r="I3" s="62">
        <f t="shared" ref="I3:I16" si="2">IFERROR(FIND(",",G3),LEN(G3))</f>
        <v>13</v>
      </c>
      <c r="J3" s="62" t="e">
        <f t="shared" ref="J3:J16" si="3">FIND("target:",G3)+7</f>
        <v>#VALUE!</v>
      </c>
      <c r="K3" s="62">
        <f t="shared" ref="K3:K16" si="4">FIND(",",G3,I3+1)</f>
        <v>22</v>
      </c>
      <c r="L3" s="62" t="str">
        <f>IFERROR(VLOOKUP(MID(G3,J3,K3-J3),[5]skilldef!$C:$D,2,FALSE),"-") &amp; " / " &amp; IFERROR(VLOOKUP(MID(G3,H3,I3-H3),[5]skilldef!$A:$B,2,FALSE),"-")</f>
        <v>- / 連続攻撃</v>
      </c>
      <c r="M3" s="62" t="str">
        <f t="shared" ref="M3:M16" si="5">IFERROR(RIGHT(B3,LEN(B3)-FIND("],",B3)-1),"none")</f>
        <v>none</v>
      </c>
      <c r="N3" s="47" t="str">
        <f t="shared" ref="N3" si="6">IFERROR(LEFT(M3,FIND("],",M3)+S13),M3)</f>
        <v>none</v>
      </c>
      <c r="O3" s="62" t="e">
        <f t="shared" ref="O3:O28" si="7">FIND("effect:",N3)+7</f>
        <v>#VALUE!</v>
      </c>
      <c r="P3" s="62">
        <f t="shared" ref="P3:P16" si="8">IFERROR(FIND(",",N3),LEN(N3))</f>
        <v>4</v>
      </c>
      <c r="Q3" s="62" t="e">
        <f t="shared" ref="Q3:Q16" si="9">FIND("target:",N3)+7</f>
        <v>#VALUE!</v>
      </c>
      <c r="R3" s="62" t="e">
        <f t="shared" ref="R3:R16" si="10">FIND(",",N3,P3+1)</f>
        <v>#VALUE!</v>
      </c>
      <c r="S3" s="62" t="str">
        <f>IFERROR(VLOOKUP(MID(N3,Q3,R3-Q3),[5]skilldef!$C:$D,2,FALSE),"-") &amp; " / " &amp; IFERROR(VLOOKUP(MID(N3,O3,P3-O3),[5]skilldef!$A:$B,2,FALSE),"-")</f>
        <v>- / -</v>
      </c>
      <c r="T3" s="47" t="str">
        <f t="shared" ref="T3:T16" si="11">IFERROR(RIGHT(M3,LEN(M3)-FIND("],",M3)-1),"none")</f>
        <v>none</v>
      </c>
      <c r="U3" s="62" t="e">
        <f t="shared" ref="U3:U28" si="12">FIND("effect:",T3)+7</f>
        <v>#VALUE!</v>
      </c>
      <c r="V3" s="62">
        <f t="shared" ref="V3:V16" si="13">IFERROR(FIND(",",T3),LEN(T3))</f>
        <v>4</v>
      </c>
      <c r="W3" s="62" t="e">
        <f t="shared" ref="W3:W16" si="14">FIND("target:",T3)+7</f>
        <v>#VALUE!</v>
      </c>
      <c r="X3" s="62" t="e">
        <f t="shared" ref="X3:X16" si="15">FIND(",",T3,V3+1)</f>
        <v>#VALUE!</v>
      </c>
      <c r="Y3" s="62" t="str">
        <f>IFERROR(VLOOKUP(MID(T3,W3,X3-W3),[5]skilldef!$C:$D,2,FALSE),"-") &amp; " / " &amp; IFERROR(VLOOKUP(MID(T3,U3,V3-U3),[5]skilldef!$A:$B,2,FALSE),"-")</f>
        <v>- / -</v>
      </c>
      <c r="Z3" s="49"/>
      <c r="AA3" s="51"/>
      <c r="AB3" s="49"/>
    </row>
    <row r="4" spans="1:28" ht="21" customHeight="1" x14ac:dyDescent="0.15">
      <c r="A4" s="46">
        <v>6001203</v>
      </c>
      <c r="B4" s="46" t="s">
        <v>375</v>
      </c>
      <c r="C4" s="49">
        <v>3</v>
      </c>
      <c r="D4" s="49" t="s">
        <v>127</v>
      </c>
      <c r="E4" s="50" t="s">
        <v>409</v>
      </c>
      <c r="F4" s="50" t="s">
        <v>448</v>
      </c>
      <c r="G4" s="62" t="str">
        <f t="shared" si="0"/>
        <v xml:space="preserve">[effect:freq_turn, target:myself, turn:-1, val:1, animation:enemy_freq_turn]    </v>
      </c>
      <c r="H4" s="62">
        <f t="shared" si="1"/>
        <v>9</v>
      </c>
      <c r="I4" s="62">
        <f t="shared" si="2"/>
        <v>18</v>
      </c>
      <c r="J4" s="62">
        <f t="shared" si="3"/>
        <v>27</v>
      </c>
      <c r="K4" s="62">
        <f t="shared" si="4"/>
        <v>33</v>
      </c>
      <c r="L4" s="62" t="str">
        <f>IFERROR(VLOOKUP(MID(G4,J4,K4-J4),[5]skilldef!$C:$D,2,FALSE),"-") &amp; " / " &amp; IFERROR(VLOOKUP(MID(G4,H4,I4-H4),[5]skilldef!$A:$B,2,FALSE),"-")</f>
        <v>自分自身に / 攻撃頻度がUP</v>
      </c>
      <c r="M4" s="62" t="str">
        <f t="shared" si="5"/>
        <v>none</v>
      </c>
      <c r="N4" s="47" t="str">
        <f>IFERROR(LEFT(M4,FIND("],",M4)+#REF!),M4)</f>
        <v>none</v>
      </c>
      <c r="O4" s="62" t="e">
        <f t="shared" si="7"/>
        <v>#VALUE!</v>
      </c>
      <c r="P4" s="62">
        <f t="shared" si="8"/>
        <v>4</v>
      </c>
      <c r="Q4" s="62" t="e">
        <f t="shared" si="9"/>
        <v>#VALUE!</v>
      </c>
      <c r="R4" s="62" t="e">
        <f t="shared" si="10"/>
        <v>#VALUE!</v>
      </c>
      <c r="S4" s="62" t="str">
        <f>IFERROR(VLOOKUP(MID(N4,Q4,R4-Q4),[5]skilldef!$C:$D,2,FALSE),"-") &amp; " / " &amp; IFERROR(VLOOKUP(MID(N4,O4,P4-O4),[5]skilldef!$A:$B,2,FALSE),"-")</f>
        <v>- / -</v>
      </c>
      <c r="T4" s="47" t="str">
        <f t="shared" si="11"/>
        <v>none</v>
      </c>
      <c r="U4" s="62" t="e">
        <f t="shared" si="12"/>
        <v>#VALUE!</v>
      </c>
      <c r="V4" s="62">
        <f t="shared" si="13"/>
        <v>4</v>
      </c>
      <c r="W4" s="62" t="e">
        <f t="shared" si="14"/>
        <v>#VALUE!</v>
      </c>
      <c r="X4" s="62" t="e">
        <f t="shared" si="15"/>
        <v>#VALUE!</v>
      </c>
      <c r="Y4" s="62" t="str">
        <f>IFERROR(VLOOKUP(MID(T4,W4,X4-W4),[5]skilldef!$C:$D,2,FALSE),"-") &amp; " / " &amp; IFERROR(VLOOKUP(MID(T4,U4,V4-U4),[5]skilldef!$A:$B,2,FALSE),"-")</f>
        <v>- / -</v>
      </c>
      <c r="Z4" s="49"/>
      <c r="AA4" s="51"/>
      <c r="AB4" s="49"/>
    </row>
    <row r="5" spans="1:28" ht="21" customHeight="1" x14ac:dyDescent="0.15">
      <c r="A5" s="46">
        <v>6001204</v>
      </c>
      <c r="B5" s="46" t="s">
        <v>445</v>
      </c>
      <c r="C5" s="49">
        <v>3</v>
      </c>
      <c r="D5" s="49" t="s">
        <v>127</v>
      </c>
      <c r="E5" s="50" t="s">
        <v>402</v>
      </c>
      <c r="F5" s="50" t="s">
        <v>396</v>
      </c>
      <c r="G5" s="62" t="str">
        <f t="shared" si="0"/>
        <v>[effect:rush, count:5, val:0.3]</v>
      </c>
      <c r="H5" s="62">
        <f t="shared" si="1"/>
        <v>9</v>
      </c>
      <c r="I5" s="62">
        <f t="shared" si="2"/>
        <v>13</v>
      </c>
      <c r="J5" s="62" t="e">
        <f t="shared" si="3"/>
        <v>#VALUE!</v>
      </c>
      <c r="K5" s="62">
        <f t="shared" si="4"/>
        <v>22</v>
      </c>
      <c r="L5" s="62" t="str">
        <f>IFERROR(VLOOKUP(MID(G5,J5,K5-J5),[5]skilldef!$C:$D,2,FALSE),"-") &amp; " / " &amp; IFERROR(VLOOKUP(MID(G5,H5,I5-H5),[5]skilldef!$A:$B,2,FALSE),"-")</f>
        <v>- / 連続攻撃</v>
      </c>
      <c r="M5" s="62" t="str">
        <f t="shared" si="5"/>
        <v>none</v>
      </c>
      <c r="N5" s="47" t="str">
        <f>IFERROR(LEFT(M5,FIND("],",M5)+S14),M5)</f>
        <v>none</v>
      </c>
      <c r="O5" s="62" t="e">
        <f t="shared" si="7"/>
        <v>#VALUE!</v>
      </c>
      <c r="P5" s="62">
        <f t="shared" si="8"/>
        <v>4</v>
      </c>
      <c r="Q5" s="62" t="e">
        <f t="shared" si="9"/>
        <v>#VALUE!</v>
      </c>
      <c r="R5" s="62" t="e">
        <f t="shared" si="10"/>
        <v>#VALUE!</v>
      </c>
      <c r="S5" s="62" t="str">
        <f>IFERROR(VLOOKUP(MID(N5,Q5,R5-Q5),[5]skilldef!$C:$D,2,FALSE),"-") &amp; " / " &amp; IFERROR(VLOOKUP(MID(N5,O5,P5-O5),[5]skilldef!$A:$B,2,FALSE),"-")</f>
        <v>- / -</v>
      </c>
      <c r="T5" s="47" t="str">
        <f t="shared" si="11"/>
        <v>none</v>
      </c>
      <c r="U5" s="62" t="e">
        <f t="shared" si="12"/>
        <v>#VALUE!</v>
      </c>
      <c r="V5" s="62">
        <f t="shared" si="13"/>
        <v>4</v>
      </c>
      <c r="W5" s="62" t="e">
        <f t="shared" si="14"/>
        <v>#VALUE!</v>
      </c>
      <c r="X5" s="62" t="e">
        <f t="shared" si="15"/>
        <v>#VALUE!</v>
      </c>
      <c r="Y5" s="62" t="str">
        <f>IFERROR(VLOOKUP(MID(T5,W5,X5-W5),[5]skilldef!$C:$D,2,FALSE),"-") &amp; " / " &amp; IFERROR(VLOOKUP(MID(T5,U5,V5-U5),[5]skilldef!$A:$B,2,FALSE),"-")</f>
        <v>- / -</v>
      </c>
      <c r="Z5" s="49"/>
      <c r="AA5" s="51"/>
      <c r="AB5" s="49"/>
    </row>
    <row r="6" spans="1:28" ht="21" customHeight="1" x14ac:dyDescent="0.15">
      <c r="A6" s="46">
        <v>6001205</v>
      </c>
      <c r="B6" s="46" t="s">
        <v>444</v>
      </c>
      <c r="C6" s="49">
        <v>3</v>
      </c>
      <c r="D6" s="49" t="s">
        <v>127</v>
      </c>
      <c r="E6" s="50" t="s">
        <v>407</v>
      </c>
      <c r="F6" s="50" t="s">
        <v>397</v>
      </c>
      <c r="G6" s="62" t="str">
        <f t="shared" si="0"/>
        <v>[effect:rush, count:6, val:0.3]</v>
      </c>
      <c r="H6" s="62">
        <f t="shared" si="1"/>
        <v>9</v>
      </c>
      <c r="I6" s="62">
        <f t="shared" si="2"/>
        <v>13</v>
      </c>
      <c r="J6" s="62" t="e">
        <f t="shared" si="3"/>
        <v>#VALUE!</v>
      </c>
      <c r="K6" s="62">
        <f t="shared" si="4"/>
        <v>22</v>
      </c>
      <c r="L6" s="62" t="str">
        <f>IFERROR(VLOOKUP(MID(G6,J6,K6-J6),[5]skilldef!$C:$D,2,FALSE),"-") &amp; " / " &amp; IFERROR(VLOOKUP(MID(G6,H6,I6-H6),[5]skilldef!$A:$B,2,FALSE),"-")</f>
        <v>- / 連続攻撃</v>
      </c>
      <c r="M6" s="62" t="str">
        <f t="shared" si="5"/>
        <v>none</v>
      </c>
      <c r="N6" s="47" t="str">
        <f>IFERROR(LEFT(M6,FIND("],",M6)+#REF!),M6)</f>
        <v>none</v>
      </c>
      <c r="O6" s="62" t="e">
        <f t="shared" si="7"/>
        <v>#VALUE!</v>
      </c>
      <c r="P6" s="62">
        <f t="shared" si="8"/>
        <v>4</v>
      </c>
      <c r="Q6" s="62" t="e">
        <f t="shared" si="9"/>
        <v>#VALUE!</v>
      </c>
      <c r="R6" s="62" t="e">
        <f t="shared" si="10"/>
        <v>#VALUE!</v>
      </c>
      <c r="S6" s="62" t="str">
        <f>IFERROR(VLOOKUP(MID(N6,Q6,R6-Q6),[5]skilldef!$C:$D,2,FALSE),"-") &amp; " / " &amp; IFERROR(VLOOKUP(MID(N6,O6,P6-O6),[5]skilldef!$A:$B,2,FALSE),"-")</f>
        <v>- / -</v>
      </c>
      <c r="T6" s="47" t="str">
        <f t="shared" si="11"/>
        <v>none</v>
      </c>
      <c r="U6" s="62" t="e">
        <f t="shared" si="12"/>
        <v>#VALUE!</v>
      </c>
      <c r="V6" s="62">
        <f t="shared" si="13"/>
        <v>4</v>
      </c>
      <c r="W6" s="62" t="e">
        <f t="shared" si="14"/>
        <v>#VALUE!</v>
      </c>
      <c r="X6" s="62" t="e">
        <f t="shared" si="15"/>
        <v>#VALUE!</v>
      </c>
      <c r="Y6" s="62" t="str">
        <f>IFERROR(VLOOKUP(MID(T6,W6,X6-W6),[5]skilldef!$C:$D,2,FALSE),"-") &amp; " / " &amp; IFERROR(VLOOKUP(MID(T6,U6,V6-U6),[5]skilldef!$A:$B,2,FALSE),"-")</f>
        <v>- / -</v>
      </c>
      <c r="Z6" s="49"/>
      <c r="AA6" s="51"/>
      <c r="AB6" s="49"/>
    </row>
    <row r="7" spans="1:28" ht="21" customHeight="1" x14ac:dyDescent="0.15">
      <c r="A7" s="46">
        <v>6001206</v>
      </c>
      <c r="B7" s="46" t="s">
        <v>443</v>
      </c>
      <c r="C7" s="49">
        <v>3</v>
      </c>
      <c r="D7" s="49" t="s">
        <v>127</v>
      </c>
      <c r="E7" s="50" t="s">
        <v>467</v>
      </c>
      <c r="F7" s="50" t="s">
        <v>398</v>
      </c>
      <c r="G7" s="62" t="str">
        <f t="shared" si="0"/>
        <v>[effect:rush, count:7, val:0.3]</v>
      </c>
      <c r="H7" s="62">
        <f t="shared" si="1"/>
        <v>9</v>
      </c>
      <c r="I7" s="62">
        <f t="shared" si="2"/>
        <v>13</v>
      </c>
      <c r="J7" s="62" t="e">
        <f t="shared" si="3"/>
        <v>#VALUE!</v>
      </c>
      <c r="K7" s="62">
        <f t="shared" si="4"/>
        <v>22</v>
      </c>
      <c r="L7" s="62" t="str">
        <f>IFERROR(VLOOKUP(MID(G7,J7,K7-J7),[5]skilldef!$C:$D,2,FALSE),"-") &amp; " / " &amp; IFERROR(VLOOKUP(MID(G7,H7,I7-H7),[5]skilldef!$A:$B,2,FALSE),"-")</f>
        <v>- / 連続攻撃</v>
      </c>
      <c r="M7" s="62" t="str">
        <f t="shared" si="5"/>
        <v>none</v>
      </c>
      <c r="N7" s="47" t="str">
        <f>IFERROR(LEFT(M7,FIND("],",M7)+#REF!),M7)</f>
        <v>none</v>
      </c>
      <c r="O7" s="62" t="e">
        <f t="shared" si="7"/>
        <v>#VALUE!</v>
      </c>
      <c r="P7" s="62">
        <f t="shared" si="8"/>
        <v>4</v>
      </c>
      <c r="Q7" s="62" t="e">
        <f t="shared" si="9"/>
        <v>#VALUE!</v>
      </c>
      <c r="R7" s="62" t="e">
        <f t="shared" si="10"/>
        <v>#VALUE!</v>
      </c>
      <c r="S7" s="62" t="str">
        <f>IFERROR(VLOOKUP(MID(N7,Q7,R7-Q7),[5]skilldef!$C:$D,2,FALSE),"-") &amp; " / " &amp; IFERROR(VLOOKUP(MID(N7,O7,P7-O7),[5]skilldef!$A:$B,2,FALSE),"-")</f>
        <v>- / -</v>
      </c>
      <c r="T7" s="47" t="str">
        <f t="shared" si="11"/>
        <v>none</v>
      </c>
      <c r="U7" s="62" t="e">
        <f t="shared" si="12"/>
        <v>#VALUE!</v>
      </c>
      <c r="V7" s="62">
        <f t="shared" si="13"/>
        <v>4</v>
      </c>
      <c r="W7" s="62" t="e">
        <f t="shared" si="14"/>
        <v>#VALUE!</v>
      </c>
      <c r="X7" s="62" t="e">
        <f t="shared" si="15"/>
        <v>#VALUE!</v>
      </c>
      <c r="Y7" s="62" t="str">
        <f>IFERROR(VLOOKUP(MID(T7,W7,X7-W7),[5]skilldef!$C:$D,2,FALSE),"-") &amp; " / " &amp; IFERROR(VLOOKUP(MID(T7,U7,V7-U7),[5]skilldef!$A:$B,2,FALSE),"-")</f>
        <v>- / -</v>
      </c>
      <c r="Z7" s="49"/>
      <c r="AA7" s="51"/>
      <c r="AB7" s="49"/>
    </row>
    <row r="8" spans="1:28" ht="21" customHeight="1" x14ac:dyDescent="0.15">
      <c r="A8" s="46">
        <v>6001207</v>
      </c>
      <c r="B8" s="46" t="s">
        <v>446</v>
      </c>
      <c r="C8" s="49">
        <v>3</v>
      </c>
      <c r="D8" s="49" t="s">
        <v>127</v>
      </c>
      <c r="E8" s="50" t="s">
        <v>401</v>
      </c>
      <c r="F8" s="50" t="s">
        <v>399</v>
      </c>
      <c r="G8" s="62" t="str">
        <f t="shared" si="0"/>
        <v>[effect:rush, count:8, val:0.3]</v>
      </c>
      <c r="H8" s="62">
        <f t="shared" si="1"/>
        <v>9</v>
      </c>
      <c r="I8" s="62">
        <f t="shared" si="2"/>
        <v>13</v>
      </c>
      <c r="J8" s="62" t="e">
        <f t="shared" si="3"/>
        <v>#VALUE!</v>
      </c>
      <c r="K8" s="62">
        <f t="shared" si="4"/>
        <v>22</v>
      </c>
      <c r="L8" s="62" t="str">
        <f>IFERROR(VLOOKUP(MID(G8,J8,K8-J8),[5]skilldef!$C:$D,2,FALSE),"-") &amp; " / " &amp; IFERROR(VLOOKUP(MID(G8,H8,I8-H8),[5]skilldef!$A:$B,2,FALSE),"-")</f>
        <v>- / 連続攻撃</v>
      </c>
      <c r="M8" s="62" t="str">
        <f t="shared" si="5"/>
        <v>none</v>
      </c>
      <c r="N8" s="47" t="str">
        <f>IFERROR(LEFT(M8,FIND("],",M8)+#REF!),M8)</f>
        <v>none</v>
      </c>
      <c r="O8" s="62" t="e">
        <f t="shared" si="7"/>
        <v>#VALUE!</v>
      </c>
      <c r="P8" s="62">
        <f t="shared" si="8"/>
        <v>4</v>
      </c>
      <c r="Q8" s="62" t="e">
        <f t="shared" si="9"/>
        <v>#VALUE!</v>
      </c>
      <c r="R8" s="62" t="e">
        <f t="shared" si="10"/>
        <v>#VALUE!</v>
      </c>
      <c r="S8" s="62" t="str">
        <f>IFERROR(VLOOKUP(MID(N8,Q8,R8-Q8),[5]skilldef!$C:$D,2,FALSE),"-") &amp; " / " &amp; IFERROR(VLOOKUP(MID(N8,O8,P8-O8),[5]skilldef!$A:$B,2,FALSE),"-")</f>
        <v>- / -</v>
      </c>
      <c r="T8" s="47" t="str">
        <f t="shared" si="11"/>
        <v>none</v>
      </c>
      <c r="U8" s="62" t="e">
        <f t="shared" si="12"/>
        <v>#VALUE!</v>
      </c>
      <c r="V8" s="62">
        <f t="shared" si="13"/>
        <v>4</v>
      </c>
      <c r="W8" s="62" t="e">
        <f t="shared" si="14"/>
        <v>#VALUE!</v>
      </c>
      <c r="X8" s="62" t="e">
        <f t="shared" si="15"/>
        <v>#VALUE!</v>
      </c>
      <c r="Y8" s="62" t="str">
        <f>IFERROR(VLOOKUP(MID(T8,W8,X8-W8),[5]skilldef!$C:$D,2,FALSE),"-") &amp; " / " &amp; IFERROR(VLOOKUP(MID(T8,U8,V8-U8),[5]skilldef!$A:$B,2,FALSE),"-")</f>
        <v>- / -</v>
      </c>
      <c r="Z8" s="49"/>
      <c r="AA8" s="51"/>
      <c r="AB8" s="49"/>
    </row>
    <row r="9" spans="1:28" ht="21" customHeight="1" x14ac:dyDescent="0.15">
      <c r="A9" s="46">
        <v>6001208</v>
      </c>
      <c r="B9" s="46" t="s">
        <v>456</v>
      </c>
      <c r="C9" s="49">
        <v>3</v>
      </c>
      <c r="D9" s="49" t="s">
        <v>127</v>
      </c>
      <c r="E9" s="50" t="s">
        <v>395</v>
      </c>
      <c r="F9" s="50" t="s">
        <v>400</v>
      </c>
      <c r="G9" s="62" t="str">
        <f t="shared" si="0"/>
        <v>[effect:rush, count:9, val:0.3]</v>
      </c>
      <c r="H9" s="62">
        <f t="shared" si="1"/>
        <v>9</v>
      </c>
      <c r="I9" s="62">
        <f t="shared" si="2"/>
        <v>13</v>
      </c>
      <c r="J9" s="62" t="e">
        <f t="shared" si="3"/>
        <v>#VALUE!</v>
      </c>
      <c r="K9" s="62">
        <f t="shared" si="4"/>
        <v>22</v>
      </c>
      <c r="L9" s="62" t="str">
        <f>IFERROR(VLOOKUP(MID(G9,J9,K9-J9),[5]skilldef!$C:$D,2,FALSE),"-") &amp; " / " &amp; IFERROR(VLOOKUP(MID(G9,H9,I9-H9),[5]skilldef!$A:$B,2,FALSE),"-")</f>
        <v>- / 連続攻撃</v>
      </c>
      <c r="M9" s="62" t="str">
        <f t="shared" si="5"/>
        <v>none</v>
      </c>
      <c r="N9" s="47" t="str">
        <f>IFERROR(LEFT(M9,FIND("],",M9)+S15),M9)</f>
        <v>none</v>
      </c>
      <c r="O9" s="62" t="e">
        <f t="shared" si="7"/>
        <v>#VALUE!</v>
      </c>
      <c r="P9" s="62">
        <f t="shared" si="8"/>
        <v>4</v>
      </c>
      <c r="Q9" s="62" t="e">
        <f t="shared" si="9"/>
        <v>#VALUE!</v>
      </c>
      <c r="R9" s="62" t="e">
        <f t="shared" si="10"/>
        <v>#VALUE!</v>
      </c>
      <c r="S9" s="62" t="str">
        <f>IFERROR(VLOOKUP(MID(N9,Q9,R9-Q9),[5]skilldef!$C:$D,2,FALSE),"-") &amp; " / " &amp; IFERROR(VLOOKUP(MID(N9,O9,P9-O9),[5]skilldef!$A:$B,2,FALSE),"-")</f>
        <v>- / -</v>
      </c>
      <c r="T9" s="47" t="str">
        <f t="shared" si="11"/>
        <v>none</v>
      </c>
      <c r="U9" s="62" t="e">
        <f t="shared" si="12"/>
        <v>#VALUE!</v>
      </c>
      <c r="V9" s="62">
        <f t="shared" si="13"/>
        <v>4</v>
      </c>
      <c r="W9" s="62" t="e">
        <f t="shared" si="14"/>
        <v>#VALUE!</v>
      </c>
      <c r="X9" s="62" t="e">
        <f t="shared" si="15"/>
        <v>#VALUE!</v>
      </c>
      <c r="Y9" s="62" t="str">
        <f>IFERROR(VLOOKUP(MID(T9,W9,X9-W9),[5]skilldef!$C:$D,2,FALSE),"-") &amp; " / " &amp; IFERROR(VLOOKUP(MID(T9,U9,V9-U9),[5]skilldef!$A:$B,2,FALSE),"-")</f>
        <v>- / -</v>
      </c>
      <c r="Z9" s="49"/>
      <c r="AA9" s="51"/>
      <c r="AB9" s="49"/>
    </row>
    <row r="10" spans="1:28" ht="21" customHeight="1" x14ac:dyDescent="0.15">
      <c r="A10" s="46">
        <v>6001209</v>
      </c>
      <c r="B10" s="46" t="s">
        <v>403</v>
      </c>
      <c r="C10" s="49">
        <v>3</v>
      </c>
      <c r="D10" s="49" t="s">
        <v>127</v>
      </c>
      <c r="E10" s="50" t="s">
        <v>391</v>
      </c>
      <c r="F10" s="152" t="s">
        <v>434</v>
      </c>
      <c r="G10" s="62" t="str">
        <f t="shared" si="0"/>
        <v xml:space="preserve">[effect:break_enchance_enemy, val:0.03, lowest_val:0.01, count :-1, status:attack, turn:1, block:block_yellow, target:myself, calc:mul, animation:enemy_enhance_attack]    </v>
      </c>
      <c r="H10" s="62">
        <f t="shared" si="1"/>
        <v>9</v>
      </c>
      <c r="I10" s="62">
        <f t="shared" si="2"/>
        <v>29</v>
      </c>
      <c r="J10" s="62">
        <f t="shared" si="3"/>
        <v>119</v>
      </c>
      <c r="K10" s="62">
        <f t="shared" si="4"/>
        <v>39</v>
      </c>
      <c r="L10" s="62" t="str">
        <f>IFERROR(VLOOKUP(MID(G10,J10,K10-J10),[5]skilldef!$C:$D,2,FALSE),"-") &amp; " / " &amp; IFERROR(VLOOKUP(MID(G10,H10,I10-H10),[5]skilldef!$A:$B,2,FALSE),"-")</f>
        <v>- / -</v>
      </c>
      <c r="M10" s="62" t="str">
        <f t="shared" si="5"/>
        <v>none</v>
      </c>
      <c r="N10" s="47" t="str">
        <f>IFERROR(LEFT(M10,FIND("],",M10)+S16),M10)</f>
        <v>none</v>
      </c>
      <c r="O10" s="62" t="e">
        <f t="shared" si="7"/>
        <v>#VALUE!</v>
      </c>
      <c r="P10" s="62">
        <f t="shared" si="8"/>
        <v>4</v>
      </c>
      <c r="Q10" s="62" t="e">
        <f t="shared" si="9"/>
        <v>#VALUE!</v>
      </c>
      <c r="R10" s="62" t="e">
        <f t="shared" si="10"/>
        <v>#VALUE!</v>
      </c>
      <c r="S10" s="62" t="str">
        <f>IFERROR(VLOOKUP(MID(N10,Q10,R10-Q10),[5]skilldef!$C:$D,2,FALSE),"-") &amp; " / " &amp; IFERROR(VLOOKUP(MID(N10,O10,P10-O10),[5]skilldef!$A:$B,2,FALSE),"-")</f>
        <v>- / -</v>
      </c>
      <c r="T10" s="47" t="str">
        <f t="shared" si="11"/>
        <v>none</v>
      </c>
      <c r="U10" s="62" t="e">
        <f t="shared" si="12"/>
        <v>#VALUE!</v>
      </c>
      <c r="V10" s="62">
        <f t="shared" si="13"/>
        <v>4</v>
      </c>
      <c r="W10" s="62" t="e">
        <f t="shared" si="14"/>
        <v>#VALUE!</v>
      </c>
      <c r="X10" s="62" t="e">
        <f t="shared" si="15"/>
        <v>#VALUE!</v>
      </c>
      <c r="Y10" s="62" t="str">
        <f>IFERROR(VLOOKUP(MID(T10,W10,X10-W10),[5]skilldef!$C:$D,2,FALSE),"-") &amp; " / " &amp; IFERROR(VLOOKUP(MID(T10,U10,V10-U10),[5]skilldef!$A:$B,2,FALSE),"-")</f>
        <v>- / -</v>
      </c>
      <c r="Z10" s="49"/>
      <c r="AA10" s="51"/>
      <c r="AB10" s="49"/>
    </row>
    <row r="11" spans="1:28" ht="21" customHeight="1" x14ac:dyDescent="0.15">
      <c r="A11" s="46">
        <v>6001210</v>
      </c>
      <c r="B11" s="46" t="s">
        <v>430</v>
      </c>
      <c r="C11" s="49">
        <v>3</v>
      </c>
      <c r="D11" s="49" t="s">
        <v>127</v>
      </c>
      <c r="E11" s="50" t="s">
        <v>394</v>
      </c>
      <c r="F11" s="152" t="s">
        <v>435</v>
      </c>
      <c r="G11" s="62" t="str">
        <f t="shared" si="0"/>
        <v>[effect:damage_anti_color, target:unit_all, color:yellow, val1:0.25, val2:0.35]</v>
      </c>
      <c r="H11" s="62">
        <f t="shared" si="1"/>
        <v>9</v>
      </c>
      <c r="I11" s="62">
        <f t="shared" si="2"/>
        <v>26</v>
      </c>
      <c r="J11" s="62">
        <f t="shared" si="3"/>
        <v>35</v>
      </c>
      <c r="K11" s="62">
        <f t="shared" si="4"/>
        <v>43</v>
      </c>
      <c r="L11" s="62" t="str">
        <f>IFERROR(VLOOKUP(MID(G11,J11,K11-J11),[5]skilldef!$C:$D,2,FALSE),"-") &amp; " / " &amp; IFERROR(VLOOKUP(MID(G11,H11,I11-H11),[5]skilldef!$A:$B,2,FALSE),"-")</f>
        <v>味方全体に / 属性キラー</v>
      </c>
      <c r="M11" s="62" t="str">
        <f t="shared" si="5"/>
        <v>none</v>
      </c>
      <c r="N11" s="47" t="str">
        <f>IFERROR(LEFT(M11,FIND("],",M11)+#REF!),M11)</f>
        <v>none</v>
      </c>
      <c r="O11" s="62" t="e">
        <f t="shared" si="7"/>
        <v>#VALUE!</v>
      </c>
      <c r="P11" s="62">
        <f t="shared" si="8"/>
        <v>4</v>
      </c>
      <c r="Q11" s="62" t="e">
        <f t="shared" si="9"/>
        <v>#VALUE!</v>
      </c>
      <c r="R11" s="62" t="e">
        <f t="shared" si="10"/>
        <v>#VALUE!</v>
      </c>
      <c r="S11" s="62" t="str">
        <f>IFERROR(VLOOKUP(MID(N11,Q11,R11-Q11),[5]skilldef!$C:$D,2,FALSE),"-") &amp; " / " &amp; IFERROR(VLOOKUP(MID(N11,O11,P11-O11),[5]skilldef!$A:$B,2,FALSE),"-")</f>
        <v>- / -</v>
      </c>
      <c r="T11" s="47" t="str">
        <f t="shared" si="11"/>
        <v>none</v>
      </c>
      <c r="U11" s="62" t="e">
        <f t="shared" si="12"/>
        <v>#VALUE!</v>
      </c>
      <c r="V11" s="62">
        <f t="shared" si="13"/>
        <v>4</v>
      </c>
      <c r="W11" s="62" t="e">
        <f t="shared" si="14"/>
        <v>#VALUE!</v>
      </c>
      <c r="X11" s="62" t="e">
        <f t="shared" si="15"/>
        <v>#VALUE!</v>
      </c>
      <c r="Y11" s="62" t="str">
        <f>IFERROR(VLOOKUP(MID(T11,W11,X11-W11),[5]skilldef!$C:$D,2,FALSE),"-") &amp; " / " &amp; IFERROR(VLOOKUP(MID(T11,U11,V11-U11),[5]skilldef!$A:$B,2,FALSE),"-")</f>
        <v>- / -</v>
      </c>
      <c r="Z11" s="49"/>
      <c r="AA11" s="51"/>
      <c r="AB11" s="49"/>
    </row>
    <row r="12" spans="1:28" ht="21" customHeight="1" x14ac:dyDescent="0.15">
      <c r="A12" s="46">
        <v>6001211</v>
      </c>
      <c r="B12" s="46" t="s">
        <v>461</v>
      </c>
      <c r="C12" s="49">
        <v>3</v>
      </c>
      <c r="D12" s="49" t="s">
        <v>127</v>
      </c>
      <c r="E12" s="50" t="s">
        <v>408</v>
      </c>
      <c r="F12" s="50" t="s">
        <v>460</v>
      </c>
      <c r="G12" s="62" t="str">
        <f t="shared" si="0"/>
        <v xml:space="preserve">[effect:crash_condition, target:unit_all, val:3, turn:2, animation:enemy_crash_extend]    </v>
      </c>
      <c r="H12" s="62">
        <f t="shared" si="1"/>
        <v>9</v>
      </c>
      <c r="I12" s="62">
        <f t="shared" si="2"/>
        <v>24</v>
      </c>
      <c r="J12" s="62">
        <f t="shared" si="3"/>
        <v>33</v>
      </c>
      <c r="K12" s="62">
        <f t="shared" si="4"/>
        <v>41</v>
      </c>
      <c r="L12" s="62" t="str">
        <f>IFERROR(VLOOKUP(MID(G12,J12,K12-J12),[5]skilldef!$C:$D,2,FALSE),"-") &amp; " / " &amp; IFERROR(VLOOKUP(MID(G12,H12,I12-H12),[5]skilldef!$A:$B,2,FALSE),"-")</f>
        <v>味方全体に / -</v>
      </c>
      <c r="M12" s="62" t="str">
        <f t="shared" si="5"/>
        <v>none</v>
      </c>
      <c r="N12" s="47" t="str">
        <f>IFERROR(LEFT(M12,FIND("],",M12)+#REF!),M12)</f>
        <v>none</v>
      </c>
      <c r="O12" s="62" t="e">
        <f t="shared" si="7"/>
        <v>#VALUE!</v>
      </c>
      <c r="P12" s="62">
        <f t="shared" si="8"/>
        <v>4</v>
      </c>
      <c r="Q12" s="62" t="e">
        <f t="shared" si="9"/>
        <v>#VALUE!</v>
      </c>
      <c r="R12" s="62" t="e">
        <f t="shared" si="10"/>
        <v>#VALUE!</v>
      </c>
      <c r="S12" s="62" t="str">
        <f>IFERROR(VLOOKUP(MID(N12,Q12,R12-Q12),[5]skilldef!$C:$D,2,FALSE),"-") &amp; " / " &amp; IFERROR(VLOOKUP(MID(N12,O12,P12-O12),[5]skilldef!$A:$B,2,FALSE),"-")</f>
        <v>- / -</v>
      </c>
      <c r="T12" s="47" t="str">
        <f t="shared" si="11"/>
        <v>none</v>
      </c>
      <c r="U12" s="62" t="e">
        <f t="shared" si="12"/>
        <v>#VALUE!</v>
      </c>
      <c r="V12" s="62">
        <f t="shared" si="13"/>
        <v>4</v>
      </c>
      <c r="W12" s="62" t="e">
        <f t="shared" si="14"/>
        <v>#VALUE!</v>
      </c>
      <c r="X12" s="62" t="e">
        <f t="shared" si="15"/>
        <v>#VALUE!</v>
      </c>
      <c r="Y12" s="62" t="str">
        <f>IFERROR(VLOOKUP(MID(T12,W12,X12-W12),[5]skilldef!$C:$D,2,FALSE),"-") &amp; " / " &amp; IFERROR(VLOOKUP(MID(T12,U12,V12-U12),[5]skilldef!$A:$B,2,FALSE),"-")</f>
        <v>- / -</v>
      </c>
      <c r="Z12" s="49"/>
      <c r="AA12" s="51"/>
      <c r="AB12" s="49"/>
    </row>
    <row r="13" spans="1:28" ht="21" customHeight="1" x14ac:dyDescent="0.15">
      <c r="A13" s="46">
        <v>6001212</v>
      </c>
      <c r="B13" s="46" t="s">
        <v>405</v>
      </c>
      <c r="C13" s="49">
        <v>3</v>
      </c>
      <c r="D13" s="49" t="s">
        <v>127</v>
      </c>
      <c r="E13" s="50" t="s">
        <v>406</v>
      </c>
      <c r="F13" s="50" t="s">
        <v>457</v>
      </c>
      <c r="G13" s="62" t="str">
        <f t="shared" si="0"/>
        <v>[effect:spread, val:0.1]</v>
      </c>
      <c r="H13" s="62">
        <f t="shared" si="1"/>
        <v>9</v>
      </c>
      <c r="I13" s="62">
        <f t="shared" si="2"/>
        <v>15</v>
      </c>
      <c r="J13" s="62" t="e">
        <f t="shared" si="3"/>
        <v>#VALUE!</v>
      </c>
      <c r="K13" s="62" t="e">
        <f t="shared" si="4"/>
        <v>#VALUE!</v>
      </c>
      <c r="L13" s="62" t="str">
        <f>IFERROR(VLOOKUP(MID(G13,J13,K13-J13),[5]skilldef!$C:$D,2,FALSE),"-") &amp; " / " &amp; IFERROR(VLOOKUP(MID(G13,H13,I13-H13),[5]skilldef!$A:$B,2,FALSE),"-")</f>
        <v>- / 全体攻撃</v>
      </c>
      <c r="M13" s="62" t="str">
        <f t="shared" si="5"/>
        <v>[effect:spread, val:0.1],[effect:spread, val:0.1],[effect:spread, val:0.1],[effect:spread, val:0.1]</v>
      </c>
      <c r="N13" s="47" t="str">
        <f>IFERROR(LEFT(M13,FIND("],",M13)+#REF!),M13)</f>
        <v>[effect:spread, val:0.1],[effect:spread, val:0.1],[effect:spread, val:0.1],[effect:spread, val:0.1]</v>
      </c>
      <c r="O13" s="62">
        <f t="shared" si="7"/>
        <v>9</v>
      </c>
      <c r="P13" s="62">
        <f t="shared" si="8"/>
        <v>15</v>
      </c>
      <c r="Q13" s="62" t="e">
        <f t="shared" si="9"/>
        <v>#VALUE!</v>
      </c>
      <c r="R13" s="62">
        <f t="shared" si="10"/>
        <v>25</v>
      </c>
      <c r="S13" s="62" t="str">
        <f>IFERROR(VLOOKUP(MID(N13,Q13,R13-Q13),[5]skilldef!$C:$D,2,FALSE),"-") &amp; " / " &amp; IFERROR(VLOOKUP(MID(N13,O13,P13-O13),[5]skilldef!$A:$B,2,FALSE),"-")</f>
        <v>- / 全体攻撃</v>
      </c>
      <c r="T13" s="47" t="str">
        <f t="shared" si="11"/>
        <v>[effect:spread, val:0.1],[effect:spread, val:0.1],[effect:spread, val:0.1]</v>
      </c>
      <c r="U13" s="62">
        <f t="shared" si="12"/>
        <v>9</v>
      </c>
      <c r="V13" s="62">
        <f t="shared" si="13"/>
        <v>15</v>
      </c>
      <c r="W13" s="62" t="e">
        <f t="shared" si="14"/>
        <v>#VALUE!</v>
      </c>
      <c r="X13" s="62">
        <f t="shared" si="15"/>
        <v>25</v>
      </c>
      <c r="Y13" s="62" t="str">
        <f>IFERROR(VLOOKUP(MID(T13,W13,X13-W13),[5]skilldef!$C:$D,2,FALSE),"-") &amp; " / " &amp; IFERROR(VLOOKUP(MID(T13,U13,V13-U13),[5]skilldef!$A:$B,2,FALSE),"-")</f>
        <v>- / 全体攻撃</v>
      </c>
      <c r="Z13" s="49"/>
      <c r="AA13" s="51"/>
      <c r="AB13" s="49"/>
    </row>
    <row r="14" spans="1:28" ht="21" customHeight="1" x14ac:dyDescent="0.15">
      <c r="A14" s="46">
        <v>6001214</v>
      </c>
      <c r="B14" s="46" t="s">
        <v>377</v>
      </c>
      <c r="C14" s="49">
        <v>3</v>
      </c>
      <c r="D14" s="49" t="s">
        <v>127</v>
      </c>
      <c r="E14" s="50" t="s">
        <v>414</v>
      </c>
      <c r="F14" s="50" t="s">
        <v>437</v>
      </c>
      <c r="G14" s="62" t="str">
        <f t="shared" si="0"/>
        <v>[effect:nothing]</v>
      </c>
      <c r="H14" s="62">
        <f t="shared" si="1"/>
        <v>9</v>
      </c>
      <c r="I14" s="62">
        <f t="shared" si="2"/>
        <v>16</v>
      </c>
      <c r="J14" s="62" t="e">
        <f t="shared" si="3"/>
        <v>#VALUE!</v>
      </c>
      <c r="K14" s="62" t="e">
        <f t="shared" si="4"/>
        <v>#VALUE!</v>
      </c>
      <c r="L14" s="62" t="str">
        <f>IFERROR(VLOOKUP(MID(G14,J14,K14-J14),[5]skilldef!$C:$D,2,FALSE),"-") &amp; " / " &amp; IFERROR(VLOOKUP(MID(G14,H14,I14-H14),[5]skilldef!$A:$B,2,FALSE),"-")</f>
        <v>- / 何もしない</v>
      </c>
      <c r="M14" s="62" t="str">
        <f t="shared" si="5"/>
        <v>none</v>
      </c>
      <c r="N14" s="47" t="str">
        <f>IFERROR(LEFT(M14,FIND("],",M14)+S18),M14)</f>
        <v>none</v>
      </c>
      <c r="O14" s="62" t="e">
        <f t="shared" si="7"/>
        <v>#VALUE!</v>
      </c>
      <c r="P14" s="62">
        <f t="shared" si="8"/>
        <v>4</v>
      </c>
      <c r="Q14" s="62" t="e">
        <f t="shared" si="9"/>
        <v>#VALUE!</v>
      </c>
      <c r="R14" s="62" t="e">
        <f t="shared" si="10"/>
        <v>#VALUE!</v>
      </c>
      <c r="S14" s="62" t="str">
        <f>IFERROR(VLOOKUP(MID(N14,Q14,R14-Q14),[5]skilldef!$C:$D,2,FALSE),"-") &amp; " / " &amp; IFERROR(VLOOKUP(MID(N14,O14,P14-O14),[5]skilldef!$A:$B,2,FALSE),"-")</f>
        <v>- / -</v>
      </c>
      <c r="T14" s="47" t="str">
        <f t="shared" si="11"/>
        <v>none</v>
      </c>
      <c r="U14" s="62" t="e">
        <f t="shared" si="12"/>
        <v>#VALUE!</v>
      </c>
      <c r="V14" s="62">
        <f t="shared" si="13"/>
        <v>4</v>
      </c>
      <c r="W14" s="62" t="e">
        <f t="shared" si="14"/>
        <v>#VALUE!</v>
      </c>
      <c r="X14" s="62" t="e">
        <f t="shared" si="15"/>
        <v>#VALUE!</v>
      </c>
      <c r="Y14" s="62" t="str">
        <f>IFERROR(VLOOKUP(MID(T14,W14,X14-W14),[5]skilldef!$C:$D,2,FALSE),"-") &amp; " / " &amp; IFERROR(VLOOKUP(MID(T14,U14,V14-U14),[5]skilldef!$A:$B,2,FALSE),"-")</f>
        <v>- / -</v>
      </c>
      <c r="Z14" s="49"/>
      <c r="AA14" s="51"/>
      <c r="AB14" s="49"/>
    </row>
    <row r="15" spans="1:28" ht="21" customHeight="1" x14ac:dyDescent="0.15">
      <c r="A15" s="46">
        <v>6001218</v>
      </c>
      <c r="B15" s="46" t="s">
        <v>469</v>
      </c>
      <c r="C15" s="49">
        <v>3</v>
      </c>
      <c r="D15" s="49" t="s">
        <v>127</v>
      </c>
      <c r="E15" s="50" t="s">
        <v>413</v>
      </c>
      <c r="F15" s="50" t="s">
        <v>436</v>
      </c>
      <c r="G15" s="62" t="str">
        <f t="shared" si="0"/>
        <v xml:space="preserve">[effect:break_attack_fix, val:120, lowest_val:1000, count:-1, block:block_yellow, target:unit_all]    </v>
      </c>
      <c r="H15" s="62">
        <f t="shared" si="1"/>
        <v>9</v>
      </c>
      <c r="I15" s="62">
        <f t="shared" si="2"/>
        <v>25</v>
      </c>
      <c r="J15" s="62">
        <f t="shared" si="3"/>
        <v>90</v>
      </c>
      <c r="K15" s="62">
        <f t="shared" si="4"/>
        <v>34</v>
      </c>
      <c r="L15" s="62" t="str">
        <f>IFERROR(VLOOKUP(MID(G15,J15,K15-J15),[5]skilldef!$C:$D,2,FALSE),"-") &amp; " / " &amp; IFERROR(VLOOKUP(MID(G15,H15,I15-H15),[5]skilldef!$A:$B,2,FALSE),"-")</f>
        <v>- / -</v>
      </c>
      <c r="M15" s="62" t="str">
        <f t="shared" si="5"/>
        <v>none</v>
      </c>
      <c r="N15" s="47" t="str">
        <f>IFERROR(LEFT(M15,FIND("],",M15)+#REF!),M15)</f>
        <v>none</v>
      </c>
      <c r="O15" s="62" t="e">
        <f t="shared" si="7"/>
        <v>#VALUE!</v>
      </c>
      <c r="P15" s="62">
        <f t="shared" si="8"/>
        <v>4</v>
      </c>
      <c r="Q15" s="62" t="e">
        <f t="shared" si="9"/>
        <v>#VALUE!</v>
      </c>
      <c r="R15" s="62" t="e">
        <f t="shared" si="10"/>
        <v>#VALUE!</v>
      </c>
      <c r="S15" s="62" t="str">
        <f>IFERROR(VLOOKUP(MID(N15,Q15,R15-Q15),[5]skilldef!$C:$D,2,FALSE),"-") &amp; " / " &amp; IFERROR(VLOOKUP(MID(N15,O15,P15-O15),[5]skilldef!$A:$B,2,FALSE),"-")</f>
        <v>- / -</v>
      </c>
      <c r="T15" s="47" t="str">
        <f t="shared" si="11"/>
        <v>none</v>
      </c>
      <c r="U15" s="62" t="e">
        <f t="shared" si="12"/>
        <v>#VALUE!</v>
      </c>
      <c r="V15" s="62">
        <f t="shared" si="13"/>
        <v>4</v>
      </c>
      <c r="W15" s="62" t="e">
        <f t="shared" si="14"/>
        <v>#VALUE!</v>
      </c>
      <c r="X15" s="62" t="e">
        <f t="shared" si="15"/>
        <v>#VALUE!</v>
      </c>
      <c r="Y15" s="62" t="str">
        <f>IFERROR(VLOOKUP(MID(T15,W15,X15-W15),[5]skilldef!$C:$D,2,FALSE),"-") &amp; " / " &amp; IFERROR(VLOOKUP(MID(T15,U15,V15-U15),[5]skilldef!$A:$B,2,FALSE),"-")</f>
        <v>- / -</v>
      </c>
      <c r="Z15" s="49"/>
      <c r="AA15" s="51"/>
      <c r="AB15" s="49"/>
    </row>
    <row r="16" spans="1:28" ht="21" customHeight="1" x14ac:dyDescent="0.15">
      <c r="A16" s="46">
        <v>6001219</v>
      </c>
      <c r="B16" s="46" t="s">
        <v>419</v>
      </c>
      <c r="C16" s="49">
        <v>3</v>
      </c>
      <c r="D16" s="49" t="s">
        <v>127</v>
      </c>
      <c r="E16" s="50" t="s">
        <v>410</v>
      </c>
      <c r="F16" s="50" t="s">
        <v>438</v>
      </c>
      <c r="G16" s="62" t="str">
        <f t="shared" si="0"/>
        <v xml:space="preserve">[effect:change_attribute, target:enemy_animal, color:yellow, turn:-1, animation:change_attribute_yellow]    </v>
      </c>
      <c r="H16" s="62">
        <f t="shared" si="1"/>
        <v>9</v>
      </c>
      <c r="I16" s="62">
        <f t="shared" si="2"/>
        <v>25</v>
      </c>
      <c r="J16" s="62">
        <f t="shared" si="3"/>
        <v>34</v>
      </c>
      <c r="K16" s="62">
        <f t="shared" si="4"/>
        <v>46</v>
      </c>
      <c r="L16" s="62" t="str">
        <f>IFERROR(VLOOKUP(MID(G16,J16,K16-J16),[5]skilldef!$C:$D,2,FALSE),"-") &amp; " / " &amp; IFERROR(VLOOKUP(MID(G16,H16,I16-H16),[5]skilldef!$A:$B,2,FALSE),"-")</f>
        <v>- / -</v>
      </c>
      <c r="M16" s="62" t="str">
        <f t="shared" si="5"/>
        <v>none</v>
      </c>
      <c r="N16" s="47" t="str">
        <f>IFERROR(LEFT(M16,FIND("],",M16)+#REF!),M16)</f>
        <v>none</v>
      </c>
      <c r="O16" s="62" t="e">
        <f t="shared" si="7"/>
        <v>#VALUE!</v>
      </c>
      <c r="P16" s="62">
        <f t="shared" si="8"/>
        <v>4</v>
      </c>
      <c r="Q16" s="62" t="e">
        <f t="shared" si="9"/>
        <v>#VALUE!</v>
      </c>
      <c r="R16" s="62" t="e">
        <f t="shared" si="10"/>
        <v>#VALUE!</v>
      </c>
      <c r="S16" s="62" t="str">
        <f>IFERROR(VLOOKUP(MID(N16,Q16,R16-Q16),[5]skilldef!$C:$D,2,FALSE),"-") &amp; " / " &amp; IFERROR(VLOOKUP(MID(N16,O16,P16-O16),[5]skilldef!$A:$B,2,FALSE),"-")</f>
        <v>- / -</v>
      </c>
      <c r="T16" s="47" t="str">
        <f t="shared" si="11"/>
        <v>none</v>
      </c>
      <c r="U16" s="62" t="e">
        <f t="shared" si="12"/>
        <v>#VALUE!</v>
      </c>
      <c r="V16" s="62">
        <f t="shared" si="13"/>
        <v>4</v>
      </c>
      <c r="W16" s="62" t="e">
        <f t="shared" si="14"/>
        <v>#VALUE!</v>
      </c>
      <c r="X16" s="62" t="e">
        <f t="shared" si="15"/>
        <v>#VALUE!</v>
      </c>
      <c r="Y16" s="62" t="str">
        <f>IFERROR(VLOOKUP(MID(T16,W16,X16-W16),[5]skilldef!$C:$D,2,FALSE),"-") &amp; " / " &amp; IFERROR(VLOOKUP(MID(T16,U16,V16-U16),[5]skilldef!$A:$B,2,FALSE),"-")</f>
        <v>- / -</v>
      </c>
      <c r="Z16" s="49"/>
      <c r="AA16" s="51"/>
      <c r="AB16" s="49"/>
    </row>
    <row r="17" spans="1:28" ht="21" customHeight="1" x14ac:dyDescent="0.15">
      <c r="A17" s="46">
        <v>6001223</v>
      </c>
      <c r="B17" s="46" t="s">
        <v>449</v>
      </c>
      <c r="C17" s="49">
        <v>3</v>
      </c>
      <c r="D17" s="49" t="s">
        <v>127</v>
      </c>
      <c r="E17" s="50" t="s">
        <v>411</v>
      </c>
      <c r="F17" s="50" t="s">
        <v>439</v>
      </c>
      <c r="G17" s="62" t="str">
        <f t="shared" ref="G17:G19" si="16">IFERROR(LEFT(B17,FIND("],",B17)),B17)</f>
        <v>[effect:enemy_message, val2:2.1]</v>
      </c>
      <c r="H17" s="62">
        <f t="shared" si="1"/>
        <v>9</v>
      </c>
      <c r="I17" s="62">
        <f t="shared" ref="I17:I19" si="17">IFERROR(FIND(",",G17),LEN(G17))</f>
        <v>22</v>
      </c>
      <c r="J17" s="62" t="e">
        <f t="shared" ref="J17:J19" si="18">FIND("target:",G17)+7</f>
        <v>#VALUE!</v>
      </c>
      <c r="K17" s="62" t="e">
        <f t="shared" ref="K17:K19" si="19">FIND(",",G17,I17+1)</f>
        <v>#VALUE!</v>
      </c>
      <c r="L17" s="62" t="str">
        <f>IFERROR(VLOOKUP(MID(G17,J17,K17-J17),[5]skilldef!$C:$D,2,FALSE),"-") &amp; " / " &amp; IFERROR(VLOOKUP(MID(G17,H17,I17-H17),[5]skilldef!$A:$B,2,FALSE),"-")</f>
        <v>- / -</v>
      </c>
      <c r="M17" s="62" t="str">
        <f t="shared" ref="M17:M19" si="20">IFERROR(RIGHT(B17,LEN(B17)-FIND("],",B17)-1),"none")</f>
        <v xml:space="preserve">[effect:enhance_enemy, target:enemy_animal, turn:3, status:attack, val:0.2, calc:mul, animation:enemy_enhance_attack],[effect:enhance_enemy, target:enemy_animal, turn:3, status:defense, val:3000, calc:add, animation:enemy_enhance_defense],[effect:fix_speed, target:enemy_dragon, turn:1],[effect:fix_speed, target:enemy_animal, turn:2]    </v>
      </c>
      <c r="N17" s="47" t="str">
        <f>IFERROR(LEFT(M17,FIND("],",M17)+#REF!),M17)</f>
        <v xml:space="preserve">[effect:enhance_enemy, target:enemy_animal, turn:3, status:attack, val:0.2, calc:mul, animation:enemy_enhance_attack],[effect:enhance_enemy, target:enemy_animal, turn:3, status:defense, val:3000, calc:add, animation:enemy_enhance_defense],[effect:fix_speed, target:enemy_dragon, turn:1],[effect:fix_speed, target:enemy_animal, turn:2]    </v>
      </c>
      <c r="O17" s="62">
        <f t="shared" si="7"/>
        <v>9</v>
      </c>
      <c r="P17" s="62">
        <f t="shared" ref="P17:P19" si="21">IFERROR(FIND(",",N17),LEN(N17))</f>
        <v>22</v>
      </c>
      <c r="Q17" s="62">
        <f t="shared" ref="Q17:Q19" si="22">FIND("target:",N17)+7</f>
        <v>31</v>
      </c>
      <c r="R17" s="62">
        <f t="shared" ref="R17:R19" si="23">FIND(",",N17,P17+1)</f>
        <v>43</v>
      </c>
      <c r="S17" s="62" t="str">
        <f>IFERROR(VLOOKUP(MID(N17,Q17,R17-Q17),[5]skilldef!$C:$D,2,FALSE),"-") &amp; " / " &amp; IFERROR(VLOOKUP(MID(N17,O17,P17-O17),[5]skilldef!$A:$B,2,FALSE),"-")</f>
        <v>- / ステータス強化</v>
      </c>
      <c r="T17" s="47" t="str">
        <f t="shared" ref="T17:T19" si="24">IFERROR(RIGHT(M17,LEN(M17)-FIND("],",M17)-1),"none")</f>
        <v xml:space="preserve">[effect:enhance_enemy, target:enemy_animal, turn:3, status:defense, val:3000, calc:add, animation:enemy_enhance_defense],[effect:fix_speed, target:enemy_dragon, turn:1],[effect:fix_speed, target:enemy_animal, turn:2]    </v>
      </c>
      <c r="U17" s="62">
        <f t="shared" si="12"/>
        <v>9</v>
      </c>
      <c r="V17" s="62">
        <f t="shared" ref="V17:V19" si="25">IFERROR(FIND(",",T17),LEN(T17))</f>
        <v>22</v>
      </c>
      <c r="W17" s="62">
        <f t="shared" ref="W17:W19" si="26">FIND("target:",T17)+7</f>
        <v>31</v>
      </c>
      <c r="X17" s="62">
        <f t="shared" ref="X17:X19" si="27">FIND(",",T17,V17+1)</f>
        <v>43</v>
      </c>
      <c r="Y17" s="62" t="str">
        <f>IFERROR(VLOOKUP(MID(T17,W17,X17-W17),[5]skilldef!$C:$D,2,FALSE),"-") &amp; " / " &amp; IFERROR(VLOOKUP(MID(T17,U17,V17-U17),[5]skilldef!$A:$B,2,FALSE),"-")</f>
        <v>- / ステータス強化</v>
      </c>
      <c r="Z17" s="49"/>
      <c r="AA17" s="51"/>
      <c r="AB17" s="49"/>
    </row>
    <row r="18" spans="1:28" ht="21" customHeight="1" x14ac:dyDescent="0.15">
      <c r="A18" s="46">
        <v>6001224</v>
      </c>
      <c r="B18" s="46" t="s">
        <v>376</v>
      </c>
      <c r="C18" s="49">
        <v>3</v>
      </c>
      <c r="D18" s="49" t="s">
        <v>127</v>
      </c>
      <c r="E18" s="50" t="s">
        <v>417</v>
      </c>
      <c r="F18" s="50" t="s">
        <v>440</v>
      </c>
      <c r="G18" s="62" t="str">
        <f t="shared" si="16"/>
        <v>[effect:critical, val:1.5]</v>
      </c>
      <c r="H18" s="62">
        <f t="shared" si="1"/>
        <v>9</v>
      </c>
      <c r="I18" s="62">
        <f t="shared" si="17"/>
        <v>17</v>
      </c>
      <c r="J18" s="62" t="e">
        <f t="shared" si="18"/>
        <v>#VALUE!</v>
      </c>
      <c r="K18" s="62" t="e">
        <f t="shared" si="19"/>
        <v>#VALUE!</v>
      </c>
      <c r="L18" s="62" t="str">
        <f>IFERROR(VLOOKUP(MID(G18,J18,K18-J18),[5]skilldef!$C:$D,2,FALSE),"-") &amp; " / " &amp; IFERROR(VLOOKUP(MID(G18,H18,I18-H18),[5]skilldef!$A:$B,2,FALSE),"-")</f>
        <v>- / 大攻撃</v>
      </c>
      <c r="M18" s="62" t="str">
        <f t="shared" si="20"/>
        <v>none</v>
      </c>
      <c r="N18" s="47" t="str">
        <f>IFERROR(LEFT(M18,FIND("],",M18)+S20),M18)</f>
        <v>none</v>
      </c>
      <c r="O18" s="62" t="e">
        <f t="shared" si="7"/>
        <v>#VALUE!</v>
      </c>
      <c r="P18" s="62">
        <f t="shared" si="21"/>
        <v>4</v>
      </c>
      <c r="Q18" s="62" t="e">
        <f t="shared" si="22"/>
        <v>#VALUE!</v>
      </c>
      <c r="R18" s="62" t="e">
        <f t="shared" si="23"/>
        <v>#VALUE!</v>
      </c>
      <c r="S18" s="62" t="str">
        <f>IFERROR(VLOOKUP(MID(N18,Q18,R18-Q18),[5]skilldef!$C:$D,2,FALSE),"-") &amp; " / " &amp; IFERROR(VLOOKUP(MID(N18,O18,P18-O18),[5]skilldef!$A:$B,2,FALSE),"-")</f>
        <v>- / -</v>
      </c>
      <c r="T18" s="47" t="str">
        <f t="shared" si="24"/>
        <v>none</v>
      </c>
      <c r="U18" s="62" t="e">
        <f t="shared" si="12"/>
        <v>#VALUE!</v>
      </c>
      <c r="V18" s="62">
        <f t="shared" si="25"/>
        <v>4</v>
      </c>
      <c r="W18" s="62" t="e">
        <f t="shared" si="26"/>
        <v>#VALUE!</v>
      </c>
      <c r="X18" s="62" t="e">
        <f t="shared" si="27"/>
        <v>#VALUE!</v>
      </c>
      <c r="Y18" s="62" t="str">
        <f>IFERROR(VLOOKUP(MID(T18,W18,X18-W18),[5]skilldef!$C:$D,2,FALSE),"-") &amp; " / " &amp; IFERROR(VLOOKUP(MID(T18,U18,V18-U18),[5]skilldef!$A:$B,2,FALSE),"-")</f>
        <v>- / -</v>
      </c>
      <c r="Z18" s="49"/>
      <c r="AA18" s="51"/>
      <c r="AB18" s="49"/>
    </row>
    <row r="19" spans="1:28" ht="21" customHeight="1" x14ac:dyDescent="0.15">
      <c r="A19" s="46">
        <v>6001225</v>
      </c>
      <c r="B19" s="46" t="s">
        <v>390</v>
      </c>
      <c r="C19" s="49">
        <v>3</v>
      </c>
      <c r="D19" s="49" t="s">
        <v>127</v>
      </c>
      <c r="E19" s="50" t="s">
        <v>418</v>
      </c>
      <c r="F19" s="50" t="s">
        <v>415</v>
      </c>
      <c r="G19" s="62" t="str">
        <f t="shared" si="16"/>
        <v>[effect:spread, val:0.37]</v>
      </c>
      <c r="H19" s="62">
        <f t="shared" si="1"/>
        <v>9</v>
      </c>
      <c r="I19" s="62">
        <f t="shared" si="17"/>
        <v>15</v>
      </c>
      <c r="J19" s="62" t="e">
        <f t="shared" si="18"/>
        <v>#VALUE!</v>
      </c>
      <c r="K19" s="62" t="e">
        <f t="shared" si="19"/>
        <v>#VALUE!</v>
      </c>
      <c r="L19" s="62" t="str">
        <f>IFERROR(VLOOKUP(MID(G19,J19,K19-J19),[5]skilldef!$C:$D,2,FALSE),"-") &amp; " / " &amp; IFERROR(VLOOKUP(MID(G19,H19,I19-H19),[5]skilldef!$A:$B,2,FALSE),"-")</f>
        <v>- / 全体攻撃</v>
      </c>
      <c r="M19" s="62" t="str">
        <f t="shared" si="20"/>
        <v>none</v>
      </c>
      <c r="N19" s="47" t="str">
        <f>IFERROR(LEFT(M19,FIND("],",M19)+S21),M19)</f>
        <v>none</v>
      </c>
      <c r="O19" s="62" t="e">
        <f t="shared" si="7"/>
        <v>#VALUE!</v>
      </c>
      <c r="P19" s="62">
        <f t="shared" si="21"/>
        <v>4</v>
      </c>
      <c r="Q19" s="62" t="e">
        <f t="shared" si="22"/>
        <v>#VALUE!</v>
      </c>
      <c r="R19" s="62" t="e">
        <f t="shared" si="23"/>
        <v>#VALUE!</v>
      </c>
      <c r="S19" s="62" t="str">
        <f>IFERROR(VLOOKUP(MID(N19,Q19,R19-Q19),[5]skilldef!$C:$D,2,FALSE),"-") &amp; " / " &amp; IFERROR(VLOOKUP(MID(N19,O19,P19-O19),[5]skilldef!$A:$B,2,FALSE),"-")</f>
        <v>- / -</v>
      </c>
      <c r="T19" s="47" t="str">
        <f t="shared" si="24"/>
        <v>none</v>
      </c>
      <c r="U19" s="62" t="e">
        <f t="shared" si="12"/>
        <v>#VALUE!</v>
      </c>
      <c r="V19" s="62">
        <f t="shared" si="25"/>
        <v>4</v>
      </c>
      <c r="W19" s="62" t="e">
        <f t="shared" si="26"/>
        <v>#VALUE!</v>
      </c>
      <c r="X19" s="62" t="e">
        <f t="shared" si="27"/>
        <v>#VALUE!</v>
      </c>
      <c r="Y19" s="62" t="str">
        <f>IFERROR(VLOOKUP(MID(T19,W19,X19-W19),[5]skilldef!$C:$D,2,FALSE),"-") &amp; " / " &amp; IFERROR(VLOOKUP(MID(T19,U19,V19-U19),[5]skilldef!$A:$B,2,FALSE),"-")</f>
        <v>- / -</v>
      </c>
      <c r="Z19" s="49"/>
      <c r="AA19" s="51"/>
      <c r="AB19" s="49"/>
    </row>
    <row r="20" spans="1:28" ht="21" customHeight="1" x14ac:dyDescent="0.15">
      <c r="A20" s="46">
        <v>6001234</v>
      </c>
      <c r="B20" s="46" t="s">
        <v>377</v>
      </c>
      <c r="C20" s="49">
        <v>3</v>
      </c>
      <c r="D20" s="49" t="s">
        <v>127</v>
      </c>
      <c r="E20" s="50" t="s">
        <v>420</v>
      </c>
      <c r="F20" s="50" t="s">
        <v>421</v>
      </c>
      <c r="G20" s="62" t="str">
        <f t="shared" ref="G20:G22" si="28">IFERROR(LEFT(B20,FIND("],",B20)),B20)</f>
        <v>[effect:nothing]</v>
      </c>
      <c r="H20" s="62">
        <f t="shared" si="1"/>
        <v>9</v>
      </c>
      <c r="I20" s="62">
        <f t="shared" ref="I20:I22" si="29">IFERROR(FIND(",",G20),LEN(G20))</f>
        <v>16</v>
      </c>
      <c r="J20" s="62" t="e">
        <f t="shared" ref="J20:J22" si="30">FIND("target:",G20)+7</f>
        <v>#VALUE!</v>
      </c>
      <c r="K20" s="62" t="e">
        <f t="shared" ref="K20:K22" si="31">FIND(",",G20,I20+1)</f>
        <v>#VALUE!</v>
      </c>
      <c r="L20" s="62" t="str">
        <f>IFERROR(VLOOKUP(MID(G20,J20,K20-J20),[5]skilldef!$C:$D,2,FALSE),"-") &amp; " / " &amp; IFERROR(VLOOKUP(MID(G20,H20,I20-H20),[5]skilldef!$A:$B,2,FALSE),"-")</f>
        <v>- / 何もしない</v>
      </c>
      <c r="M20" s="62" t="str">
        <f t="shared" ref="M20:M22" si="32">IFERROR(RIGHT(B20,LEN(B20)-FIND("],",B20)-1),"none")</f>
        <v>none</v>
      </c>
      <c r="N20" s="47" t="str">
        <f>IFERROR(LEFT(M20,FIND("],",M20)+#REF!),M20)</f>
        <v>none</v>
      </c>
      <c r="O20" s="62" t="e">
        <f t="shared" si="7"/>
        <v>#VALUE!</v>
      </c>
      <c r="P20" s="62">
        <f t="shared" ref="P20:P22" si="33">IFERROR(FIND(",",N20),LEN(N20))</f>
        <v>4</v>
      </c>
      <c r="Q20" s="62" t="e">
        <f t="shared" ref="Q20:Q22" si="34">FIND("target:",N20)+7</f>
        <v>#VALUE!</v>
      </c>
      <c r="R20" s="62" t="e">
        <f t="shared" ref="R20:R22" si="35">FIND(",",N20,P20+1)</f>
        <v>#VALUE!</v>
      </c>
      <c r="S20" s="62" t="str">
        <f>IFERROR(VLOOKUP(MID(N20,Q20,R20-Q20),[5]skilldef!$C:$D,2,FALSE),"-") &amp; " / " &amp; IFERROR(VLOOKUP(MID(N20,O20,P20-O20),[5]skilldef!$A:$B,2,FALSE),"-")</f>
        <v>- / -</v>
      </c>
      <c r="T20" s="47" t="str">
        <f t="shared" ref="T20:T22" si="36">IFERROR(RIGHT(M20,LEN(M20)-FIND("],",M20)-1),"none")</f>
        <v>none</v>
      </c>
      <c r="U20" s="62" t="e">
        <f t="shared" si="12"/>
        <v>#VALUE!</v>
      </c>
      <c r="V20" s="62">
        <f t="shared" ref="V20:V22" si="37">IFERROR(FIND(",",T20),LEN(T20))</f>
        <v>4</v>
      </c>
      <c r="W20" s="62" t="e">
        <f t="shared" ref="W20:W22" si="38">FIND("target:",T20)+7</f>
        <v>#VALUE!</v>
      </c>
      <c r="X20" s="62" t="e">
        <f t="shared" ref="X20:X22" si="39">FIND(",",T20,V20+1)</f>
        <v>#VALUE!</v>
      </c>
      <c r="Y20" s="62" t="str">
        <f>IFERROR(VLOOKUP(MID(T20,W20,X20-W20),[5]skilldef!$C:$D,2,FALSE),"-") &amp; " / " &amp; IFERROR(VLOOKUP(MID(T20,U20,V20-U20),[5]skilldef!$A:$B,2,FALSE),"-")</f>
        <v>- / -</v>
      </c>
      <c r="Z20" s="49"/>
      <c r="AA20" s="51"/>
      <c r="AB20" s="49"/>
    </row>
    <row r="21" spans="1:28" ht="21" customHeight="1" x14ac:dyDescent="0.15">
      <c r="A21" s="46">
        <v>6001235</v>
      </c>
      <c r="B21" s="46" t="s">
        <v>464</v>
      </c>
      <c r="C21" s="49">
        <v>3</v>
      </c>
      <c r="D21" s="49" t="s">
        <v>127</v>
      </c>
      <c r="E21" s="50" t="s">
        <v>447</v>
      </c>
      <c r="F21" s="50" t="s">
        <v>462</v>
      </c>
      <c r="G21" s="62" t="str">
        <f t="shared" si="28"/>
        <v>[effect:enemy_message, val2:2.1]</v>
      </c>
      <c r="H21" s="62">
        <f t="shared" si="1"/>
        <v>9</v>
      </c>
      <c r="I21" s="62">
        <f t="shared" si="29"/>
        <v>22</v>
      </c>
      <c r="J21" s="62" t="e">
        <f t="shared" si="30"/>
        <v>#VALUE!</v>
      </c>
      <c r="K21" s="62" t="e">
        <f t="shared" si="31"/>
        <v>#VALUE!</v>
      </c>
      <c r="L21" s="62" t="str">
        <f>IFERROR(VLOOKUP(MID(G21,J21,K21-J21),[5]skilldef!$C:$D,2,FALSE),"-") &amp; " / " &amp; IFERROR(VLOOKUP(MID(G21,H21,I21-H21),[5]skilldef!$A:$B,2,FALSE),"-")</f>
        <v>- / -</v>
      </c>
      <c r="M21" s="62" t="str">
        <f t="shared" si="32"/>
        <v>[effect:crash_condition, target:unit_all, val:4, turn:3, animation:enemy_crash_extend],[effect:spread, val:0.37]</v>
      </c>
      <c r="N21" s="47" t="str">
        <f>IFERROR(LEFT(M21,FIND("],",M21)+#REF!),M21)</f>
        <v>[effect:crash_condition, target:unit_all, val:4, turn:3, animation:enemy_crash_extend],[effect:spread, val:0.37]</v>
      </c>
      <c r="O21" s="62">
        <f t="shared" si="7"/>
        <v>9</v>
      </c>
      <c r="P21" s="62">
        <f t="shared" si="33"/>
        <v>24</v>
      </c>
      <c r="Q21" s="62">
        <f t="shared" si="34"/>
        <v>33</v>
      </c>
      <c r="R21" s="62">
        <f t="shared" si="35"/>
        <v>41</v>
      </c>
      <c r="S21" s="62" t="str">
        <f>IFERROR(VLOOKUP(MID(N21,Q21,R21-Q21),[5]skilldef!$C:$D,2,FALSE),"-") &amp; " / " &amp; IFERROR(VLOOKUP(MID(N21,O21,P21-O21),[5]skilldef!$A:$B,2,FALSE),"-")</f>
        <v>味方全体に / -</v>
      </c>
      <c r="T21" s="47" t="str">
        <f t="shared" si="36"/>
        <v>[effect:spread, val:0.37]</v>
      </c>
      <c r="U21" s="62">
        <f t="shared" si="12"/>
        <v>9</v>
      </c>
      <c r="V21" s="62">
        <f t="shared" si="37"/>
        <v>15</v>
      </c>
      <c r="W21" s="62" t="e">
        <f t="shared" si="38"/>
        <v>#VALUE!</v>
      </c>
      <c r="X21" s="62" t="e">
        <f t="shared" si="39"/>
        <v>#VALUE!</v>
      </c>
      <c r="Y21" s="62" t="str">
        <f>IFERROR(VLOOKUP(MID(T21,W21,X21-W21),[5]skilldef!$C:$D,2,FALSE),"-") &amp; " / " &amp; IFERROR(VLOOKUP(MID(T21,U21,V21-U21),[5]skilldef!$A:$B,2,FALSE),"-")</f>
        <v>- / 全体攻撃</v>
      </c>
      <c r="Z21" s="49"/>
      <c r="AA21" s="51"/>
      <c r="AB21" s="49"/>
    </row>
    <row r="22" spans="1:28" ht="21" customHeight="1" x14ac:dyDescent="0.15">
      <c r="A22" s="46">
        <v>6001243</v>
      </c>
      <c r="B22" s="46" t="s">
        <v>378</v>
      </c>
      <c r="C22" s="49">
        <v>3</v>
      </c>
      <c r="D22" s="49" t="s">
        <v>127</v>
      </c>
      <c r="E22" s="50" t="s">
        <v>423</v>
      </c>
      <c r="F22" s="50" t="s">
        <v>422</v>
      </c>
      <c r="G22" s="62" t="str">
        <f t="shared" si="28"/>
        <v>[effect:rush, count:2, val:0.8]</v>
      </c>
      <c r="H22" s="62">
        <f t="shared" si="1"/>
        <v>9</v>
      </c>
      <c r="I22" s="62">
        <f t="shared" si="29"/>
        <v>13</v>
      </c>
      <c r="J22" s="62" t="e">
        <f t="shared" si="30"/>
        <v>#VALUE!</v>
      </c>
      <c r="K22" s="62">
        <f t="shared" si="31"/>
        <v>22</v>
      </c>
      <c r="L22" s="62" t="str">
        <f>IFERROR(VLOOKUP(MID(G22,J22,K22-J22),[5]skilldef!$C:$D,2,FALSE),"-") &amp; " / " &amp; IFERROR(VLOOKUP(MID(G22,H22,I22-H22),[5]skilldef!$A:$B,2,FALSE),"-")</f>
        <v>- / 連続攻撃</v>
      </c>
      <c r="M22" s="62" t="str">
        <f t="shared" si="32"/>
        <v>none</v>
      </c>
      <c r="N22" s="47" t="str">
        <f>IFERROR(LEFT(M22,FIND("],",M22)+S23),M22)</f>
        <v>none</v>
      </c>
      <c r="O22" s="62" t="e">
        <f t="shared" si="7"/>
        <v>#VALUE!</v>
      </c>
      <c r="P22" s="62">
        <f t="shared" si="33"/>
        <v>4</v>
      </c>
      <c r="Q22" s="62" t="e">
        <f t="shared" si="34"/>
        <v>#VALUE!</v>
      </c>
      <c r="R22" s="62" t="e">
        <f t="shared" si="35"/>
        <v>#VALUE!</v>
      </c>
      <c r="S22" s="62" t="str">
        <f>IFERROR(VLOOKUP(MID(N22,Q22,R22-Q22),[5]skilldef!$C:$D,2,FALSE),"-") &amp; " / " &amp; IFERROR(VLOOKUP(MID(N22,O22,P22-O22),[5]skilldef!$A:$B,2,FALSE),"-")</f>
        <v>- / -</v>
      </c>
      <c r="T22" s="47" t="str">
        <f t="shared" si="36"/>
        <v>none</v>
      </c>
      <c r="U22" s="62" t="e">
        <f t="shared" si="12"/>
        <v>#VALUE!</v>
      </c>
      <c r="V22" s="62">
        <f t="shared" si="37"/>
        <v>4</v>
      </c>
      <c r="W22" s="62" t="e">
        <f t="shared" si="38"/>
        <v>#VALUE!</v>
      </c>
      <c r="X22" s="62" t="e">
        <f t="shared" si="39"/>
        <v>#VALUE!</v>
      </c>
      <c r="Y22" s="62" t="str">
        <f>IFERROR(VLOOKUP(MID(T22,W22,X22-W22),[5]skilldef!$C:$D,2,FALSE),"-") &amp; " / " &amp; IFERROR(VLOOKUP(MID(T22,U22,V22-U22),[5]skilldef!$A:$B,2,FALSE),"-")</f>
        <v>- / -</v>
      </c>
      <c r="Z22" s="49"/>
      <c r="AA22" s="51"/>
      <c r="AB22" s="49"/>
    </row>
    <row r="23" spans="1:28" ht="21" customHeight="1" x14ac:dyDescent="0.15">
      <c r="A23" s="46">
        <v>6001253</v>
      </c>
      <c r="B23" s="46" t="s">
        <v>465</v>
      </c>
      <c r="C23" s="49">
        <v>3</v>
      </c>
      <c r="D23" s="49" t="s">
        <v>127</v>
      </c>
      <c r="E23" s="50" t="s">
        <v>426</v>
      </c>
      <c r="F23" s="50" t="s">
        <v>463</v>
      </c>
      <c r="G23" s="62" t="str">
        <f t="shared" ref="G23:G27" si="40">IFERROR(LEFT(B23,FIND("],",B23)),B23)</f>
        <v>[effect:enemy_message, val2:2.1]</v>
      </c>
      <c r="H23" s="62">
        <f t="shared" si="1"/>
        <v>9</v>
      </c>
      <c r="I23" s="62">
        <f t="shared" ref="I23:I27" si="41">IFERROR(FIND(",",G23),LEN(G23))</f>
        <v>22</v>
      </c>
      <c r="J23" s="62" t="e">
        <f t="shared" ref="J23:J27" si="42">FIND("target:",G23)+7</f>
        <v>#VALUE!</v>
      </c>
      <c r="K23" s="62" t="e">
        <f t="shared" ref="K23:K27" si="43">FIND(",",G23,I23+1)</f>
        <v>#VALUE!</v>
      </c>
      <c r="L23" s="62" t="str">
        <f>IFERROR(VLOOKUP(MID(G23,J23,K23-J23),[5]skilldef!$C:$D,2,FALSE),"-") &amp; " / " &amp; IFERROR(VLOOKUP(MID(G23,H23,I23-H23),[5]skilldef!$A:$B,2,FALSE),"-")</f>
        <v>- / -</v>
      </c>
      <c r="M23" s="62" t="str">
        <f t="shared" ref="M23:M27" si="44">IFERROR(RIGHT(B23,LEN(B23)-FIND("],",B23)-1),"none")</f>
        <v xml:space="preserve">[effect:crash_condition, target:unit_all, val:5, turn:3, animation:enemy_crash_extend],[effect:spread, val:0.37]  </v>
      </c>
      <c r="N23" s="47" t="str">
        <f t="shared" ref="N23" si="45">IFERROR(LEFT(M23,FIND("],",M23)+S28),M23)</f>
        <v xml:space="preserve">[effect:crash_condition, target:unit_all, val:5, turn:3, animation:enemy_crash_extend],[effect:spread, val:0.37]  </v>
      </c>
      <c r="O23" s="62">
        <f t="shared" si="7"/>
        <v>9</v>
      </c>
      <c r="P23" s="62">
        <f t="shared" ref="P23:P27" si="46">IFERROR(FIND(",",N23),LEN(N23))</f>
        <v>24</v>
      </c>
      <c r="Q23" s="62">
        <f t="shared" ref="Q23:Q27" si="47">FIND("target:",N23)+7</f>
        <v>33</v>
      </c>
      <c r="R23" s="62">
        <f t="shared" ref="R23:R27" si="48">FIND(",",N23,P23+1)</f>
        <v>41</v>
      </c>
      <c r="S23" s="62" t="str">
        <f>IFERROR(VLOOKUP(MID(N23,Q23,R23-Q23),[5]skilldef!$C:$D,2,FALSE),"-") &amp; " / " &amp; IFERROR(VLOOKUP(MID(N23,O23,P23-O23),[5]skilldef!$A:$B,2,FALSE),"-")</f>
        <v>味方全体に / -</v>
      </c>
      <c r="T23" s="47" t="str">
        <f t="shared" ref="T23:T27" si="49">IFERROR(RIGHT(M23,LEN(M23)-FIND("],",M23)-1),"none")</f>
        <v xml:space="preserve">[effect:spread, val:0.37]  </v>
      </c>
      <c r="U23" s="62">
        <f t="shared" si="12"/>
        <v>9</v>
      </c>
      <c r="V23" s="62">
        <f t="shared" ref="V23:V27" si="50">IFERROR(FIND(",",T23),LEN(T23))</f>
        <v>15</v>
      </c>
      <c r="W23" s="62" t="e">
        <f t="shared" ref="W23:W27" si="51">FIND("target:",T23)+7</f>
        <v>#VALUE!</v>
      </c>
      <c r="X23" s="62" t="e">
        <f t="shared" ref="X23:X27" si="52">FIND(",",T23,V23+1)</f>
        <v>#VALUE!</v>
      </c>
      <c r="Y23" s="62" t="str">
        <f>IFERROR(VLOOKUP(MID(T23,W23,X23-W23),[5]skilldef!$C:$D,2,FALSE),"-") &amp; " / " &amp; IFERROR(VLOOKUP(MID(T23,U23,V23-U23),[5]skilldef!$A:$B,2,FALSE),"-")</f>
        <v>- / 全体攻撃</v>
      </c>
      <c r="Z23" s="49"/>
      <c r="AA23" s="51"/>
      <c r="AB23" s="49"/>
    </row>
    <row r="24" spans="1:28" ht="21" customHeight="1" x14ac:dyDescent="0.15">
      <c r="A24" s="46">
        <v>6001254</v>
      </c>
      <c r="B24" s="46" t="s">
        <v>377</v>
      </c>
      <c r="C24" s="49">
        <v>3</v>
      </c>
      <c r="D24" s="49" t="s">
        <v>127</v>
      </c>
      <c r="E24" s="50" t="s">
        <v>431</v>
      </c>
      <c r="F24" s="50" t="s">
        <v>441</v>
      </c>
      <c r="G24" s="62" t="str">
        <f t="shared" si="40"/>
        <v>[effect:nothing]</v>
      </c>
      <c r="H24" s="62">
        <f t="shared" si="1"/>
        <v>9</v>
      </c>
      <c r="I24" s="62">
        <f t="shared" si="41"/>
        <v>16</v>
      </c>
      <c r="J24" s="62" t="e">
        <f t="shared" si="42"/>
        <v>#VALUE!</v>
      </c>
      <c r="K24" s="62" t="e">
        <f t="shared" si="43"/>
        <v>#VALUE!</v>
      </c>
      <c r="L24" s="62" t="str">
        <f>IFERROR(VLOOKUP(MID(G24,J24,K24-J24),[5]skilldef!$C:$D,2,FALSE),"-") &amp; " / " &amp; IFERROR(VLOOKUP(MID(G24,H24,I24-H24),[5]skilldef!$A:$B,2,FALSE),"-")</f>
        <v>- / 何もしない</v>
      </c>
      <c r="M24" s="62" t="str">
        <f t="shared" si="44"/>
        <v>none</v>
      </c>
      <c r="N24" s="47" t="str">
        <f>IFERROR(LEFT(M24,FIND("],",M24)+#REF!),M24)</f>
        <v>none</v>
      </c>
      <c r="O24" s="62" t="e">
        <f t="shared" si="7"/>
        <v>#VALUE!</v>
      </c>
      <c r="P24" s="62">
        <f t="shared" si="46"/>
        <v>4</v>
      </c>
      <c r="Q24" s="62" t="e">
        <f t="shared" si="47"/>
        <v>#VALUE!</v>
      </c>
      <c r="R24" s="62" t="e">
        <f t="shared" si="48"/>
        <v>#VALUE!</v>
      </c>
      <c r="S24" s="62" t="str">
        <f>IFERROR(VLOOKUP(MID(N24,Q24,R24-Q24),[5]skilldef!$C:$D,2,FALSE),"-") &amp; " / " &amp; IFERROR(VLOOKUP(MID(N24,O24,P24-O24),[5]skilldef!$A:$B,2,FALSE),"-")</f>
        <v>- / -</v>
      </c>
      <c r="T24" s="47" t="str">
        <f t="shared" si="49"/>
        <v>none</v>
      </c>
      <c r="U24" s="62" t="e">
        <f t="shared" si="12"/>
        <v>#VALUE!</v>
      </c>
      <c r="V24" s="62">
        <f t="shared" si="50"/>
        <v>4</v>
      </c>
      <c r="W24" s="62" t="e">
        <f t="shared" si="51"/>
        <v>#VALUE!</v>
      </c>
      <c r="X24" s="62" t="e">
        <f t="shared" si="52"/>
        <v>#VALUE!</v>
      </c>
      <c r="Y24" s="62" t="str">
        <f>IFERROR(VLOOKUP(MID(T24,W24,X24-W24),[5]skilldef!$C:$D,2,FALSE),"-") &amp; " / " &amp; IFERROR(VLOOKUP(MID(T24,U24,V24-U24),[5]skilldef!$A:$B,2,FALSE),"-")</f>
        <v>- / -</v>
      </c>
      <c r="Z24" s="49"/>
      <c r="AA24" s="51"/>
      <c r="AB24" s="49"/>
    </row>
    <row r="25" spans="1:28" ht="21" customHeight="1" x14ac:dyDescent="0.15">
      <c r="A25" s="46">
        <v>6001255</v>
      </c>
      <c r="B25" s="46" t="s">
        <v>379</v>
      </c>
      <c r="C25" s="49">
        <v>3</v>
      </c>
      <c r="D25" s="49" t="s">
        <v>127</v>
      </c>
      <c r="E25" s="50" t="s">
        <v>432</v>
      </c>
      <c r="F25" s="50" t="s">
        <v>424</v>
      </c>
      <c r="G25" s="62" t="str">
        <f t="shared" si="40"/>
        <v xml:space="preserve">[effect:break_attack_fix, val:200, lowest_val:1500, count:-1, block:block_yellow, target:unit_all]    </v>
      </c>
      <c r="H25" s="62">
        <f t="shared" si="1"/>
        <v>9</v>
      </c>
      <c r="I25" s="62">
        <f t="shared" si="41"/>
        <v>25</v>
      </c>
      <c r="J25" s="62">
        <f t="shared" si="42"/>
        <v>90</v>
      </c>
      <c r="K25" s="62">
        <f t="shared" si="43"/>
        <v>34</v>
      </c>
      <c r="L25" s="62" t="str">
        <f>IFERROR(VLOOKUP(MID(G25,J25,K25-J25),[5]skilldef!$C:$D,2,FALSE),"-") &amp; " / " &amp; IFERROR(VLOOKUP(MID(G25,H25,I25-H25),[5]skilldef!$A:$B,2,FALSE),"-")</f>
        <v>- / -</v>
      </c>
      <c r="M25" s="62" t="str">
        <f t="shared" si="44"/>
        <v>none</v>
      </c>
      <c r="N25" s="47" t="str">
        <f>IFERROR(LEFT(M25,FIND("],",M25)+#REF!),M25)</f>
        <v>none</v>
      </c>
      <c r="O25" s="62" t="e">
        <f t="shared" si="7"/>
        <v>#VALUE!</v>
      </c>
      <c r="P25" s="62">
        <f t="shared" si="46"/>
        <v>4</v>
      </c>
      <c r="Q25" s="62" t="e">
        <f t="shared" si="47"/>
        <v>#VALUE!</v>
      </c>
      <c r="R25" s="62" t="e">
        <f t="shared" si="48"/>
        <v>#VALUE!</v>
      </c>
      <c r="S25" s="62" t="str">
        <f>IFERROR(VLOOKUP(MID(N25,Q25,R25-Q25),[5]skilldef!$C:$D,2,FALSE),"-") &amp; " / " &amp; IFERROR(VLOOKUP(MID(N25,O25,P25-O25),[5]skilldef!$A:$B,2,FALSE),"-")</f>
        <v>- / -</v>
      </c>
      <c r="T25" s="47" t="str">
        <f t="shared" si="49"/>
        <v>none</v>
      </c>
      <c r="U25" s="62" t="e">
        <f t="shared" si="12"/>
        <v>#VALUE!</v>
      </c>
      <c r="V25" s="62">
        <f t="shared" si="50"/>
        <v>4</v>
      </c>
      <c r="W25" s="62" t="e">
        <f t="shared" si="51"/>
        <v>#VALUE!</v>
      </c>
      <c r="X25" s="62" t="e">
        <f t="shared" si="52"/>
        <v>#VALUE!</v>
      </c>
      <c r="Y25" s="62" t="str">
        <f>IFERROR(VLOOKUP(MID(T25,W25,X25-W25),[5]skilldef!$C:$D,2,FALSE),"-") &amp; " / " &amp; IFERROR(VLOOKUP(MID(T25,U25,V25-U25),[5]skilldef!$A:$B,2,FALSE),"-")</f>
        <v>- / -</v>
      </c>
      <c r="Z25" s="49"/>
      <c r="AA25" s="51"/>
      <c r="AB25" s="49"/>
    </row>
    <row r="26" spans="1:28" ht="21" customHeight="1" x14ac:dyDescent="0.15">
      <c r="A26" s="46">
        <v>6001256</v>
      </c>
      <c r="B26" s="46" t="s">
        <v>458</v>
      </c>
      <c r="C26" s="49">
        <v>3</v>
      </c>
      <c r="D26" s="49" t="s">
        <v>127</v>
      </c>
      <c r="E26" s="50" t="s">
        <v>425</v>
      </c>
      <c r="F26" s="50" t="s">
        <v>466</v>
      </c>
      <c r="G26" s="62" t="str">
        <f t="shared" si="40"/>
        <v>[effect:enemy_message, val2:2.1]</v>
      </c>
      <c r="H26" s="62">
        <f t="shared" si="1"/>
        <v>9</v>
      </c>
      <c r="I26" s="62">
        <f t="shared" si="41"/>
        <v>22</v>
      </c>
      <c r="J26" s="62" t="e">
        <f t="shared" si="42"/>
        <v>#VALUE!</v>
      </c>
      <c r="K26" s="62" t="e">
        <f t="shared" si="43"/>
        <v>#VALUE!</v>
      </c>
      <c r="L26" s="62" t="str">
        <f>IFERROR(VLOOKUP(MID(G26,J26,K26-J26),[5]skilldef!$C:$D,2,FALSE),"-") &amp; " / " &amp; IFERROR(VLOOKUP(MID(G26,H26,I26-H26),[5]skilldef!$A:$B,2,FALSE),"-")</f>
        <v>- / -</v>
      </c>
      <c r="M26" s="62" t="str">
        <f t="shared" si="44"/>
        <v>[effect:crash_condition, target:unit_all, val:6, turn:3, animation:enemy_crash_extend],[effect:spread, val:0.37]</v>
      </c>
      <c r="N26" s="47" t="str">
        <f>IFERROR(LEFT(M26,FIND("],",M26)+#REF!),M26)</f>
        <v>[effect:crash_condition, target:unit_all, val:6, turn:3, animation:enemy_crash_extend],[effect:spread, val:0.37]</v>
      </c>
      <c r="O26" s="62">
        <f t="shared" si="7"/>
        <v>9</v>
      </c>
      <c r="P26" s="62">
        <f t="shared" si="46"/>
        <v>24</v>
      </c>
      <c r="Q26" s="62">
        <f t="shared" si="47"/>
        <v>33</v>
      </c>
      <c r="R26" s="62">
        <f t="shared" si="48"/>
        <v>41</v>
      </c>
      <c r="S26" s="62" t="str">
        <f>IFERROR(VLOOKUP(MID(N26,Q26,R26-Q26),[5]skilldef!$C:$D,2,FALSE),"-") &amp; " / " &amp; IFERROR(VLOOKUP(MID(N26,O26,P26-O26),[5]skilldef!$A:$B,2,FALSE),"-")</f>
        <v>味方全体に / -</v>
      </c>
      <c r="T26" s="47" t="str">
        <f t="shared" si="49"/>
        <v>[effect:spread, val:0.37]</v>
      </c>
      <c r="U26" s="62">
        <f t="shared" si="12"/>
        <v>9</v>
      </c>
      <c r="V26" s="62">
        <f t="shared" si="50"/>
        <v>15</v>
      </c>
      <c r="W26" s="62" t="e">
        <f t="shared" si="51"/>
        <v>#VALUE!</v>
      </c>
      <c r="X26" s="62" t="e">
        <f t="shared" si="52"/>
        <v>#VALUE!</v>
      </c>
      <c r="Y26" s="62" t="str">
        <f>IFERROR(VLOOKUP(MID(T26,W26,X26-W26),[5]skilldef!$C:$D,2,FALSE),"-") &amp; " / " &amp; IFERROR(VLOOKUP(MID(T26,U26,V26-U26),[5]skilldef!$A:$B,2,FALSE),"-")</f>
        <v>- / 全体攻撃</v>
      </c>
      <c r="Z26" s="49"/>
      <c r="AA26" s="51"/>
      <c r="AB26" s="49"/>
    </row>
    <row r="27" spans="1:28" ht="21" customHeight="1" x14ac:dyDescent="0.15">
      <c r="A27" s="46">
        <v>6001257</v>
      </c>
      <c r="B27" s="46" t="s">
        <v>468</v>
      </c>
      <c r="C27" s="49">
        <v>3</v>
      </c>
      <c r="D27" s="49" t="s">
        <v>127</v>
      </c>
      <c r="E27" s="50" t="s">
        <v>429</v>
      </c>
      <c r="F27" s="50" t="s">
        <v>427</v>
      </c>
      <c r="G27" s="62" t="str">
        <f t="shared" si="40"/>
        <v>[effect:critical, val:1.5]</v>
      </c>
      <c r="H27" s="62">
        <f t="shared" si="1"/>
        <v>9</v>
      </c>
      <c r="I27" s="62">
        <f t="shared" si="41"/>
        <v>17</v>
      </c>
      <c r="J27" s="62" t="e">
        <f t="shared" si="42"/>
        <v>#VALUE!</v>
      </c>
      <c r="K27" s="62" t="e">
        <f t="shared" si="43"/>
        <v>#VALUE!</v>
      </c>
      <c r="L27" s="62" t="str">
        <f>IFERROR(VLOOKUP(MID(G27,J27,K27-J27),[5]skilldef!$C:$D,2,FALSE),"-") &amp; " / " &amp; IFERROR(VLOOKUP(MID(G27,H27,I27-H27),[5]skilldef!$A:$B,2,FALSE),"-")</f>
        <v>- / 大攻撃</v>
      </c>
      <c r="M27" s="62" t="str">
        <f t="shared" si="44"/>
        <v>none</v>
      </c>
      <c r="N27" s="47" t="str">
        <f>IFERROR(LEFT(M27,FIND("],",M27)+#REF!),M27)</f>
        <v>none</v>
      </c>
      <c r="O27" s="62" t="e">
        <f t="shared" si="7"/>
        <v>#VALUE!</v>
      </c>
      <c r="P27" s="62">
        <f t="shared" si="46"/>
        <v>4</v>
      </c>
      <c r="Q27" s="62" t="e">
        <f t="shared" si="47"/>
        <v>#VALUE!</v>
      </c>
      <c r="R27" s="62" t="e">
        <f t="shared" si="48"/>
        <v>#VALUE!</v>
      </c>
      <c r="S27" s="62" t="str">
        <f>IFERROR(VLOOKUP(MID(N27,Q27,R27-Q27),[5]skilldef!$C:$D,2,FALSE),"-") &amp; " / " &amp; IFERROR(VLOOKUP(MID(N27,O27,P27-O27),[5]skilldef!$A:$B,2,FALSE),"-")</f>
        <v>- / -</v>
      </c>
      <c r="T27" s="47" t="str">
        <f t="shared" si="49"/>
        <v>none</v>
      </c>
      <c r="U27" s="62" t="e">
        <f t="shared" si="12"/>
        <v>#VALUE!</v>
      </c>
      <c r="V27" s="62">
        <f t="shared" si="50"/>
        <v>4</v>
      </c>
      <c r="W27" s="62" t="e">
        <f t="shared" si="51"/>
        <v>#VALUE!</v>
      </c>
      <c r="X27" s="62" t="e">
        <f t="shared" si="52"/>
        <v>#VALUE!</v>
      </c>
      <c r="Y27" s="62" t="str">
        <f>IFERROR(VLOOKUP(MID(T27,W27,X27-W27),[5]skilldef!$C:$D,2,FALSE),"-") &amp; " / " &amp; IFERROR(VLOOKUP(MID(T27,U27,V27-U27),[5]skilldef!$A:$B,2,FALSE),"-")</f>
        <v>- / -</v>
      </c>
      <c r="Z27" s="49"/>
      <c r="AA27" s="51"/>
      <c r="AB27" s="49"/>
    </row>
    <row r="28" spans="1:28" ht="21" customHeight="1" x14ac:dyDescent="0.15">
      <c r="A28" s="46">
        <v>6001263</v>
      </c>
      <c r="B28" s="46" t="s">
        <v>404</v>
      </c>
      <c r="C28" s="49">
        <v>3</v>
      </c>
      <c r="D28" s="49" t="s">
        <v>127</v>
      </c>
      <c r="E28" s="50" t="s">
        <v>442</v>
      </c>
      <c r="F28" s="50" t="s">
        <v>428</v>
      </c>
      <c r="G28" s="62" t="str">
        <f t="shared" ref="G28" si="53">IFERROR(LEFT(B28,FIND("],",B28)),B28)</f>
        <v>[effect:critical, val:2]</v>
      </c>
      <c r="H28" s="62">
        <f t="shared" si="1"/>
        <v>9</v>
      </c>
      <c r="I28" s="62">
        <f t="shared" ref="I28" si="54">IFERROR(FIND(",",G28),LEN(G28))</f>
        <v>17</v>
      </c>
      <c r="J28" s="62" t="e">
        <f t="shared" ref="J28" si="55">FIND("target:",G28)+7</f>
        <v>#VALUE!</v>
      </c>
      <c r="K28" s="62" t="e">
        <f t="shared" ref="K28" si="56">FIND(",",G28,I28+1)</f>
        <v>#VALUE!</v>
      </c>
      <c r="L28" s="62" t="str">
        <f>IFERROR(VLOOKUP(MID(G28,J28,K28-J28),[5]skilldef!$C:$D,2,FALSE),"-") &amp; " / " &amp; IFERROR(VLOOKUP(MID(G28,H28,I28-H28),[5]skilldef!$A:$B,2,FALSE),"-")</f>
        <v>- / 大攻撃</v>
      </c>
      <c r="M28" s="62" t="str">
        <f t="shared" ref="M28" si="57">IFERROR(RIGHT(B28,LEN(B28)-FIND("],",B28)-1),"none")</f>
        <v>none</v>
      </c>
      <c r="N28" s="47" t="str">
        <f>IFERROR(LEFT(M28,FIND("],",M28)+#REF!),M28)</f>
        <v>none</v>
      </c>
      <c r="O28" s="62" t="e">
        <f t="shared" si="7"/>
        <v>#VALUE!</v>
      </c>
      <c r="P28" s="62">
        <f t="shared" ref="P28" si="58">IFERROR(FIND(",",N28),LEN(N28))</f>
        <v>4</v>
      </c>
      <c r="Q28" s="62" t="e">
        <f t="shared" ref="Q28" si="59">FIND("target:",N28)+7</f>
        <v>#VALUE!</v>
      </c>
      <c r="R28" s="62" t="e">
        <f t="shared" ref="R28" si="60">FIND(",",N28,P28+1)</f>
        <v>#VALUE!</v>
      </c>
      <c r="S28" s="62" t="str">
        <f>IFERROR(VLOOKUP(MID(N28,Q28,R28-Q28),[5]skilldef!$C:$D,2,FALSE),"-") &amp; " / " &amp; IFERROR(VLOOKUP(MID(N28,O28,P28-O28),[5]skilldef!$A:$B,2,FALSE),"-")</f>
        <v>- / -</v>
      </c>
      <c r="T28" s="47" t="str">
        <f t="shared" ref="T28" si="61">IFERROR(RIGHT(M28,LEN(M28)-FIND("],",M28)-1),"none")</f>
        <v>none</v>
      </c>
      <c r="U28" s="62" t="e">
        <f t="shared" si="12"/>
        <v>#VALUE!</v>
      </c>
      <c r="V28" s="62">
        <f t="shared" ref="V28" si="62">IFERROR(FIND(",",T28),LEN(T28))</f>
        <v>4</v>
      </c>
      <c r="W28" s="62" t="e">
        <f t="shared" ref="W28" si="63">FIND("target:",T28)+7</f>
        <v>#VALUE!</v>
      </c>
      <c r="X28" s="62" t="e">
        <f t="shared" ref="X28" si="64">FIND(",",T28,V28+1)</f>
        <v>#VALUE!</v>
      </c>
      <c r="Y28" s="62" t="str">
        <f>IFERROR(VLOOKUP(MID(T28,W28,X28-W28),[5]skilldef!$C:$D,2,FALSE),"-") &amp; " / " &amp; IFERROR(VLOOKUP(MID(T28,U28,V28-U28),[5]skilldef!$A:$B,2,FALSE),"-")</f>
        <v>- / -</v>
      </c>
      <c r="Z28" s="49"/>
      <c r="AA28" s="51"/>
      <c r="AB28" s="49"/>
    </row>
  </sheetData>
  <autoFilter ref="A1:AB1"/>
  <phoneticPr fontId="7"/>
  <pageMargins left="0.75" right="0.75" top="1" bottom="1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6"/>
  <sheetViews>
    <sheetView showGridLines="0" zoomScale="133" zoomScaleNormal="133" zoomScalePageLayoutView="133" workbookViewId="0">
      <pane ySplit="1" topLeftCell="A5" activePane="bottomLeft" state="frozenSplit"/>
      <selection pane="bottomLeft" activeCell="A7" sqref="A7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1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2" t="s">
        <v>71</v>
      </c>
      <c r="G1" s="52" t="s">
        <v>72</v>
      </c>
      <c r="H1" s="41" t="s">
        <v>73</v>
      </c>
      <c r="I1" s="41" t="s">
        <v>74</v>
      </c>
      <c r="J1" s="41" t="s">
        <v>75</v>
      </c>
      <c r="K1" s="53" t="s">
        <v>88</v>
      </c>
    </row>
    <row r="2" spans="1:11" ht="21" customHeight="1" x14ac:dyDescent="0.15">
      <c r="A2" s="46">
        <v>6001201</v>
      </c>
      <c r="B2" s="46">
        <v>1</v>
      </c>
      <c r="C2" s="46">
        <v>100</v>
      </c>
      <c r="D2" s="46">
        <v>100</v>
      </c>
      <c r="E2" s="46" t="s">
        <v>274</v>
      </c>
      <c r="F2" s="46" t="s">
        <v>89</v>
      </c>
      <c r="G2" s="46">
        <v>1</v>
      </c>
      <c r="H2" s="46" t="s">
        <v>89</v>
      </c>
      <c r="I2" s="46" t="s">
        <v>89</v>
      </c>
      <c r="J2" s="47">
        <f t="shared" ref="J2" si="0">D2</f>
        <v>100</v>
      </c>
    </row>
    <row r="3" spans="1:11" ht="21" customHeight="1" x14ac:dyDescent="0.15">
      <c r="A3" s="46">
        <v>6001202</v>
      </c>
      <c r="B3" s="47">
        <v>0</v>
      </c>
      <c r="C3" s="47" t="s">
        <v>53</v>
      </c>
      <c r="D3" s="47">
        <v>60</v>
      </c>
      <c r="E3" s="47" t="s">
        <v>382</v>
      </c>
      <c r="F3" s="47" t="s">
        <v>383</v>
      </c>
      <c r="G3" s="47" t="s">
        <v>53</v>
      </c>
      <c r="H3" s="47" t="s">
        <v>382</v>
      </c>
      <c r="I3" s="47" t="s">
        <v>384</v>
      </c>
      <c r="J3" s="47">
        <f t="shared" ref="J3:J34" si="1">D3</f>
        <v>60</v>
      </c>
    </row>
    <row r="4" spans="1:11" ht="21" customHeight="1" x14ac:dyDescent="0.15">
      <c r="A4" s="46">
        <v>6001203</v>
      </c>
      <c r="B4" s="47">
        <v>0</v>
      </c>
      <c r="C4" s="47">
        <v>90</v>
      </c>
      <c r="D4" s="47">
        <v>100</v>
      </c>
      <c r="E4" s="47" t="s">
        <v>382</v>
      </c>
      <c r="F4" s="47" t="s">
        <v>383</v>
      </c>
      <c r="G4" s="47">
        <v>1</v>
      </c>
      <c r="H4" s="47">
        <v>2</v>
      </c>
      <c r="I4" s="47" t="s">
        <v>384</v>
      </c>
      <c r="J4" s="47">
        <f t="shared" si="1"/>
        <v>100</v>
      </c>
    </row>
    <row r="5" spans="1:11" ht="21" customHeight="1" x14ac:dyDescent="0.15">
      <c r="A5" s="46">
        <v>6001204</v>
      </c>
      <c r="B5" s="47">
        <v>0</v>
      </c>
      <c r="C5" s="47">
        <v>80</v>
      </c>
      <c r="D5" s="47">
        <v>100</v>
      </c>
      <c r="E5" s="47" t="s">
        <v>382</v>
      </c>
      <c r="F5" s="47" t="s">
        <v>383</v>
      </c>
      <c r="G5" s="47">
        <v>1</v>
      </c>
      <c r="H5" s="47">
        <v>3</v>
      </c>
      <c r="I5" s="47" t="s">
        <v>53</v>
      </c>
      <c r="J5" s="47">
        <f t="shared" si="1"/>
        <v>100</v>
      </c>
    </row>
    <row r="6" spans="1:11" ht="21" customHeight="1" x14ac:dyDescent="0.15">
      <c r="A6" s="46">
        <v>6001205</v>
      </c>
      <c r="B6" s="47">
        <v>0</v>
      </c>
      <c r="C6" s="47">
        <v>70</v>
      </c>
      <c r="D6" s="47">
        <v>100</v>
      </c>
      <c r="E6" s="47" t="s">
        <v>382</v>
      </c>
      <c r="F6" s="47" t="s">
        <v>383</v>
      </c>
      <c r="G6" s="47">
        <v>1</v>
      </c>
      <c r="H6" s="47">
        <v>4</v>
      </c>
      <c r="I6" s="47" t="s">
        <v>53</v>
      </c>
      <c r="J6" s="47">
        <f t="shared" si="1"/>
        <v>100</v>
      </c>
    </row>
    <row r="7" spans="1:11" ht="21" customHeight="1" x14ac:dyDescent="0.15">
      <c r="A7" s="46">
        <v>6001206</v>
      </c>
      <c r="B7" s="47">
        <v>0</v>
      </c>
      <c r="C7" s="47">
        <v>60</v>
      </c>
      <c r="D7" s="47">
        <v>100</v>
      </c>
      <c r="E7" s="47" t="s">
        <v>382</v>
      </c>
      <c r="F7" s="47" t="s">
        <v>383</v>
      </c>
      <c r="G7" s="47">
        <v>1</v>
      </c>
      <c r="H7" s="47">
        <v>5</v>
      </c>
      <c r="I7" s="47" t="s">
        <v>53</v>
      </c>
      <c r="J7" s="47">
        <f t="shared" si="1"/>
        <v>100</v>
      </c>
    </row>
    <row r="8" spans="1:11" ht="21" customHeight="1" x14ac:dyDescent="0.15">
      <c r="A8" s="46">
        <v>6001207</v>
      </c>
      <c r="B8" s="47">
        <v>0</v>
      </c>
      <c r="C8" s="47">
        <v>50</v>
      </c>
      <c r="D8" s="47">
        <v>100</v>
      </c>
      <c r="E8" s="47" t="s">
        <v>382</v>
      </c>
      <c r="F8" s="47" t="s">
        <v>383</v>
      </c>
      <c r="G8" s="47">
        <v>1</v>
      </c>
      <c r="H8" s="47">
        <v>6</v>
      </c>
      <c r="I8" s="47" t="s">
        <v>53</v>
      </c>
      <c r="J8" s="47">
        <f t="shared" si="1"/>
        <v>100</v>
      </c>
    </row>
    <row r="9" spans="1:11" ht="21" customHeight="1" x14ac:dyDescent="0.15">
      <c r="A9" s="46">
        <v>6001208</v>
      </c>
      <c r="B9" s="47">
        <v>0</v>
      </c>
      <c r="C9" s="47">
        <v>40</v>
      </c>
      <c r="D9" s="47">
        <v>100</v>
      </c>
      <c r="E9" s="47" t="s">
        <v>382</v>
      </c>
      <c r="F9" s="47" t="s">
        <v>383</v>
      </c>
      <c r="G9" s="47">
        <v>1</v>
      </c>
      <c r="H9" s="47">
        <v>7</v>
      </c>
      <c r="I9" s="47" t="s">
        <v>53</v>
      </c>
      <c r="J9" s="47">
        <f t="shared" si="1"/>
        <v>100</v>
      </c>
    </row>
    <row r="10" spans="1:11" ht="21" customHeight="1" x14ac:dyDescent="0.15">
      <c r="A10" s="46">
        <v>6001209</v>
      </c>
      <c r="B10" s="47">
        <v>0</v>
      </c>
      <c r="C10" s="47">
        <v>50</v>
      </c>
      <c r="D10" s="47">
        <v>100</v>
      </c>
      <c r="E10" s="47" t="s">
        <v>382</v>
      </c>
      <c r="F10" s="47" t="s">
        <v>383</v>
      </c>
      <c r="G10" s="47" t="s">
        <v>385</v>
      </c>
      <c r="H10" s="47">
        <v>1</v>
      </c>
      <c r="I10" s="47" t="s">
        <v>386</v>
      </c>
      <c r="J10" s="47">
        <f t="shared" si="1"/>
        <v>100</v>
      </c>
    </row>
    <row r="11" spans="1:11" ht="21" customHeight="1" x14ac:dyDescent="0.15">
      <c r="A11" s="46">
        <v>6001210</v>
      </c>
      <c r="B11" s="47">
        <v>0</v>
      </c>
      <c r="C11" s="47">
        <v>100</v>
      </c>
      <c r="D11" s="47">
        <v>100</v>
      </c>
      <c r="E11" s="47" t="s">
        <v>382</v>
      </c>
      <c r="F11" s="47" t="s">
        <v>383</v>
      </c>
      <c r="G11" s="47" t="s">
        <v>53</v>
      </c>
      <c r="H11" s="47">
        <v>2</v>
      </c>
      <c r="I11" s="47" t="s">
        <v>387</v>
      </c>
      <c r="J11" s="47">
        <f t="shared" si="1"/>
        <v>100</v>
      </c>
    </row>
    <row r="12" spans="1:11" ht="21" customHeight="1" x14ac:dyDescent="0.15">
      <c r="A12" s="46">
        <v>6001211</v>
      </c>
      <c r="B12" s="47">
        <v>1</v>
      </c>
      <c r="C12" s="47">
        <v>100</v>
      </c>
      <c r="D12" s="47">
        <v>100</v>
      </c>
      <c r="E12" s="47" t="s">
        <v>381</v>
      </c>
      <c r="F12" s="47" t="s">
        <v>381</v>
      </c>
      <c r="G12" s="47">
        <v>1</v>
      </c>
      <c r="H12" s="47" t="s">
        <v>381</v>
      </c>
      <c r="I12" s="47" t="s">
        <v>381</v>
      </c>
      <c r="J12" s="47">
        <f t="shared" si="1"/>
        <v>100</v>
      </c>
    </row>
    <row r="13" spans="1:11" ht="21" customHeight="1" x14ac:dyDescent="0.15">
      <c r="A13" s="46">
        <v>6001212</v>
      </c>
      <c r="B13" s="153">
        <v>0</v>
      </c>
      <c r="C13" s="154">
        <v>100</v>
      </c>
      <c r="D13" s="154">
        <v>100</v>
      </c>
      <c r="E13" s="154">
        <v>30</v>
      </c>
      <c r="F13" s="154" t="s">
        <v>381</v>
      </c>
      <c r="G13" s="154">
        <v>1</v>
      </c>
      <c r="H13" s="154" t="s">
        <v>381</v>
      </c>
      <c r="I13" s="154" t="s">
        <v>381</v>
      </c>
      <c r="J13" s="47">
        <f t="shared" si="1"/>
        <v>100</v>
      </c>
    </row>
    <row r="14" spans="1:11" ht="21" customHeight="1" x14ac:dyDescent="0.15">
      <c r="A14" s="46">
        <v>6001213</v>
      </c>
      <c r="B14" s="153">
        <v>0</v>
      </c>
      <c r="C14" s="154">
        <v>0</v>
      </c>
      <c r="D14" s="154">
        <v>0</v>
      </c>
      <c r="E14" s="154">
        <v>0</v>
      </c>
      <c r="F14" s="154">
        <v>0</v>
      </c>
      <c r="G14" s="154" t="s">
        <v>388</v>
      </c>
      <c r="H14" s="154">
        <v>0</v>
      </c>
      <c r="I14" s="154" t="s">
        <v>381</v>
      </c>
      <c r="J14" s="47">
        <f t="shared" si="1"/>
        <v>0</v>
      </c>
    </row>
    <row r="15" spans="1:11" ht="21" customHeight="1" x14ac:dyDescent="0.15">
      <c r="A15" s="46">
        <v>6001214</v>
      </c>
      <c r="B15" s="153">
        <v>0</v>
      </c>
      <c r="C15" s="154">
        <v>100</v>
      </c>
      <c r="D15" s="154">
        <v>100</v>
      </c>
      <c r="E15" s="154">
        <v>30</v>
      </c>
      <c r="F15" s="154" t="s">
        <v>381</v>
      </c>
      <c r="G15" s="154">
        <v>1</v>
      </c>
      <c r="H15" s="154" t="s">
        <v>381</v>
      </c>
      <c r="I15" s="154" t="s">
        <v>381</v>
      </c>
      <c r="J15" s="47">
        <f t="shared" si="1"/>
        <v>100</v>
      </c>
    </row>
    <row r="16" spans="1:11" ht="21" customHeight="1" x14ac:dyDescent="0.15">
      <c r="A16" s="46">
        <v>6001218</v>
      </c>
      <c r="B16" s="153">
        <v>0</v>
      </c>
      <c r="C16" s="154">
        <v>80</v>
      </c>
      <c r="D16" s="154">
        <v>100</v>
      </c>
      <c r="E16" s="154">
        <v>30</v>
      </c>
      <c r="F16" s="154" t="s">
        <v>381</v>
      </c>
      <c r="G16" s="154">
        <v>1</v>
      </c>
      <c r="H16" s="154" t="s">
        <v>381</v>
      </c>
      <c r="I16" s="154" t="s">
        <v>381</v>
      </c>
      <c r="J16" s="47">
        <f t="shared" si="1"/>
        <v>100</v>
      </c>
    </row>
    <row r="17" spans="1:10" ht="21" customHeight="1" x14ac:dyDescent="0.15">
      <c r="A17" s="46">
        <v>6001219</v>
      </c>
      <c r="B17" s="47">
        <v>0</v>
      </c>
      <c r="C17" s="47">
        <v>50</v>
      </c>
      <c r="D17" s="47">
        <v>100</v>
      </c>
      <c r="E17" s="47" t="s">
        <v>382</v>
      </c>
      <c r="F17" s="47" t="s">
        <v>383</v>
      </c>
      <c r="G17" s="47">
        <v>1</v>
      </c>
      <c r="H17" s="47">
        <v>2</v>
      </c>
      <c r="I17" s="47" t="s">
        <v>384</v>
      </c>
      <c r="J17" s="47">
        <f t="shared" si="1"/>
        <v>100</v>
      </c>
    </row>
    <row r="18" spans="1:10" ht="21" customHeight="1" x14ac:dyDescent="0.15">
      <c r="A18" s="46">
        <v>6001223</v>
      </c>
      <c r="B18" s="153">
        <v>1</v>
      </c>
      <c r="C18" s="154">
        <v>100</v>
      </c>
      <c r="D18" s="154">
        <v>100</v>
      </c>
      <c r="E18" s="154" t="s">
        <v>412</v>
      </c>
      <c r="F18" s="154" t="s">
        <v>381</v>
      </c>
      <c r="G18" s="154">
        <v>1</v>
      </c>
      <c r="H18" s="154" t="s">
        <v>416</v>
      </c>
      <c r="I18" s="154" t="s">
        <v>381</v>
      </c>
      <c r="J18" s="47">
        <f t="shared" si="1"/>
        <v>100</v>
      </c>
    </row>
    <row r="19" spans="1:10" ht="21" customHeight="1" x14ac:dyDescent="0.15">
      <c r="A19" s="46">
        <v>6001224</v>
      </c>
      <c r="B19" s="47">
        <v>0</v>
      </c>
      <c r="C19" s="47">
        <v>50</v>
      </c>
      <c r="D19" s="47">
        <v>100</v>
      </c>
      <c r="E19" s="47" t="s">
        <v>382</v>
      </c>
      <c r="F19" s="47" t="s">
        <v>383</v>
      </c>
      <c r="G19" s="47" t="s">
        <v>385</v>
      </c>
      <c r="H19" s="47">
        <v>1</v>
      </c>
      <c r="I19" s="47" t="s">
        <v>386</v>
      </c>
      <c r="J19" s="47">
        <f t="shared" si="1"/>
        <v>100</v>
      </c>
    </row>
    <row r="20" spans="1:10" ht="21" customHeight="1" x14ac:dyDescent="0.15">
      <c r="A20" s="46">
        <v>6001225</v>
      </c>
      <c r="B20" s="47">
        <v>0</v>
      </c>
      <c r="C20" s="47">
        <v>100</v>
      </c>
      <c r="D20" s="47">
        <v>100</v>
      </c>
      <c r="E20" s="47" t="s">
        <v>382</v>
      </c>
      <c r="F20" s="47" t="s">
        <v>383</v>
      </c>
      <c r="G20" s="47" t="s">
        <v>53</v>
      </c>
      <c r="H20" s="47">
        <v>2</v>
      </c>
      <c r="I20" s="47" t="s">
        <v>387</v>
      </c>
      <c r="J20" s="47">
        <f t="shared" si="1"/>
        <v>100</v>
      </c>
    </row>
    <row r="21" spans="1:10" ht="21" customHeight="1" x14ac:dyDescent="0.15">
      <c r="A21" s="46">
        <v>6001233</v>
      </c>
      <c r="B21" s="153">
        <v>0</v>
      </c>
      <c r="C21" s="154">
        <v>0</v>
      </c>
      <c r="D21" s="154">
        <v>0</v>
      </c>
      <c r="E21" s="154">
        <v>0</v>
      </c>
      <c r="F21" s="154">
        <v>0</v>
      </c>
      <c r="G21" s="154" t="s">
        <v>388</v>
      </c>
      <c r="H21" s="154">
        <v>0</v>
      </c>
      <c r="I21" s="154" t="s">
        <v>381</v>
      </c>
      <c r="J21" s="47">
        <f t="shared" si="1"/>
        <v>0</v>
      </c>
    </row>
    <row r="22" spans="1:10" ht="21" customHeight="1" x14ac:dyDescent="0.15">
      <c r="A22" s="46">
        <v>6001234</v>
      </c>
      <c r="B22" s="47">
        <v>1</v>
      </c>
      <c r="C22" s="47">
        <v>100</v>
      </c>
      <c r="D22" s="47">
        <v>100</v>
      </c>
      <c r="E22" s="47" t="s">
        <v>381</v>
      </c>
      <c r="F22" s="47" t="s">
        <v>381</v>
      </c>
      <c r="G22" s="47">
        <v>1</v>
      </c>
      <c r="H22" s="47" t="s">
        <v>381</v>
      </c>
      <c r="I22" s="47" t="s">
        <v>381</v>
      </c>
      <c r="J22" s="47">
        <f t="shared" si="1"/>
        <v>100</v>
      </c>
    </row>
    <row r="23" spans="1:10" ht="21" customHeight="1" x14ac:dyDescent="0.15">
      <c r="A23" s="46">
        <v>6001235</v>
      </c>
      <c r="B23" s="153">
        <v>0</v>
      </c>
      <c r="C23" s="154">
        <v>100</v>
      </c>
      <c r="D23" s="154">
        <v>100</v>
      </c>
      <c r="E23" s="154">
        <v>50</v>
      </c>
      <c r="F23" s="154" t="s">
        <v>381</v>
      </c>
      <c r="G23" s="154">
        <v>1</v>
      </c>
      <c r="H23" s="154" t="s">
        <v>381</v>
      </c>
      <c r="I23" s="154" t="s">
        <v>381</v>
      </c>
      <c r="J23" s="47">
        <f t="shared" si="1"/>
        <v>100</v>
      </c>
    </row>
    <row r="24" spans="1:10" ht="21" customHeight="1" x14ac:dyDescent="0.15">
      <c r="A24" s="46">
        <v>6001243</v>
      </c>
      <c r="B24" s="153">
        <v>0</v>
      </c>
      <c r="C24" s="154">
        <v>100</v>
      </c>
      <c r="D24" s="154">
        <v>65</v>
      </c>
      <c r="E24" s="154">
        <v>50</v>
      </c>
      <c r="F24" s="154" t="s">
        <v>412</v>
      </c>
      <c r="G24" s="154" t="s">
        <v>53</v>
      </c>
      <c r="H24" s="154" t="s">
        <v>381</v>
      </c>
      <c r="I24" s="154" t="s">
        <v>381</v>
      </c>
      <c r="J24" s="47">
        <f t="shared" si="1"/>
        <v>65</v>
      </c>
    </row>
    <row r="25" spans="1:10" ht="21" customHeight="1" thickBot="1" x14ac:dyDescent="0.2">
      <c r="A25" s="46">
        <v>6001245</v>
      </c>
      <c r="B25" s="164">
        <v>0</v>
      </c>
      <c r="C25" s="165">
        <v>0</v>
      </c>
      <c r="D25" s="165">
        <v>0</v>
      </c>
      <c r="E25" s="165">
        <v>0</v>
      </c>
      <c r="F25" s="165">
        <v>0</v>
      </c>
      <c r="G25" s="165" t="s">
        <v>388</v>
      </c>
      <c r="H25" s="165">
        <v>0</v>
      </c>
      <c r="I25" s="165" t="s">
        <v>381</v>
      </c>
      <c r="J25" s="47">
        <f t="shared" si="1"/>
        <v>0</v>
      </c>
    </row>
    <row r="26" spans="1:10" ht="21" customHeight="1" thickTop="1" x14ac:dyDescent="0.15">
      <c r="A26" s="46">
        <v>6001246</v>
      </c>
      <c r="B26" s="157">
        <v>0</v>
      </c>
      <c r="C26" s="158">
        <v>0</v>
      </c>
      <c r="D26" s="158">
        <v>0</v>
      </c>
      <c r="E26" s="158">
        <v>0</v>
      </c>
      <c r="F26" s="158">
        <v>0</v>
      </c>
      <c r="G26" s="158" t="s">
        <v>388</v>
      </c>
      <c r="H26" s="158">
        <v>0</v>
      </c>
      <c r="I26" s="158" t="s">
        <v>381</v>
      </c>
      <c r="J26" s="47">
        <f t="shared" si="1"/>
        <v>0</v>
      </c>
    </row>
    <row r="27" spans="1:10" ht="21" customHeight="1" x14ac:dyDescent="0.15">
      <c r="A27" s="46">
        <v>6001253</v>
      </c>
      <c r="B27" s="153">
        <v>0</v>
      </c>
      <c r="C27" s="154">
        <v>100</v>
      </c>
      <c r="D27" s="154">
        <v>100</v>
      </c>
      <c r="E27" s="154">
        <v>50</v>
      </c>
      <c r="F27" s="154" t="s">
        <v>381</v>
      </c>
      <c r="G27" s="154">
        <v>1</v>
      </c>
      <c r="H27" s="154" t="s">
        <v>381</v>
      </c>
      <c r="I27" s="154" t="s">
        <v>381</v>
      </c>
      <c r="J27" s="47">
        <f t="shared" si="1"/>
        <v>100</v>
      </c>
    </row>
    <row r="28" spans="1:10" ht="21" customHeight="1" x14ac:dyDescent="0.15">
      <c r="A28" s="46">
        <v>6001254</v>
      </c>
      <c r="B28" s="153">
        <v>0</v>
      </c>
      <c r="C28" s="154">
        <v>80</v>
      </c>
      <c r="D28" s="154">
        <v>100</v>
      </c>
      <c r="E28" s="154">
        <v>30</v>
      </c>
      <c r="F28" s="154" t="s">
        <v>381</v>
      </c>
      <c r="G28" s="154">
        <v>1</v>
      </c>
      <c r="H28" s="154" t="s">
        <v>381</v>
      </c>
      <c r="I28" s="154" t="s">
        <v>381</v>
      </c>
      <c r="J28" s="47">
        <f t="shared" si="1"/>
        <v>100</v>
      </c>
    </row>
    <row r="29" spans="1:10" ht="21" customHeight="1" thickBot="1" x14ac:dyDescent="0.2">
      <c r="A29" s="46">
        <v>6001255</v>
      </c>
      <c r="B29" s="164">
        <v>0</v>
      </c>
      <c r="C29" s="165">
        <v>60</v>
      </c>
      <c r="D29" s="165">
        <v>100</v>
      </c>
      <c r="E29" s="165">
        <v>30</v>
      </c>
      <c r="F29" s="165" t="s">
        <v>381</v>
      </c>
      <c r="G29" s="165">
        <v>1</v>
      </c>
      <c r="H29" s="165" t="s">
        <v>381</v>
      </c>
      <c r="I29" s="165" t="s">
        <v>381</v>
      </c>
      <c r="J29" s="47">
        <f t="shared" si="1"/>
        <v>100</v>
      </c>
    </row>
    <row r="30" spans="1:10" ht="21" customHeight="1" thickTop="1" x14ac:dyDescent="0.15">
      <c r="A30" s="46">
        <v>6001256</v>
      </c>
      <c r="B30" s="157">
        <v>0</v>
      </c>
      <c r="C30" s="158">
        <v>100</v>
      </c>
      <c r="D30" s="158">
        <v>100</v>
      </c>
      <c r="E30" s="158">
        <v>50</v>
      </c>
      <c r="F30" s="158" t="s">
        <v>381</v>
      </c>
      <c r="G30" s="158">
        <v>1</v>
      </c>
      <c r="H30" s="158" t="s">
        <v>381</v>
      </c>
      <c r="I30" s="158" t="s">
        <v>381</v>
      </c>
      <c r="J30" s="47">
        <f t="shared" si="1"/>
        <v>100</v>
      </c>
    </row>
    <row r="31" spans="1:10" ht="21" customHeight="1" x14ac:dyDescent="0.15">
      <c r="A31" s="46">
        <v>6001257</v>
      </c>
      <c r="B31" s="47">
        <v>0</v>
      </c>
      <c r="C31" s="47">
        <v>80</v>
      </c>
      <c r="D31" s="47">
        <v>100</v>
      </c>
      <c r="E31" s="47" t="s">
        <v>382</v>
      </c>
      <c r="F31" s="47" t="s">
        <v>383</v>
      </c>
      <c r="G31" s="47" t="s">
        <v>53</v>
      </c>
      <c r="H31" s="47">
        <v>2</v>
      </c>
      <c r="I31" s="47" t="s">
        <v>53</v>
      </c>
      <c r="J31" s="47">
        <f t="shared" si="1"/>
        <v>100</v>
      </c>
    </row>
    <row r="32" spans="1:10" ht="21" customHeight="1" x14ac:dyDescent="0.15">
      <c r="A32" s="46">
        <v>6001263</v>
      </c>
      <c r="B32" s="153">
        <v>0</v>
      </c>
      <c r="C32" s="154">
        <v>90</v>
      </c>
      <c r="D32" s="154">
        <v>100</v>
      </c>
      <c r="E32" s="154">
        <v>30</v>
      </c>
      <c r="F32" s="154" t="s">
        <v>381</v>
      </c>
      <c r="G32" s="154">
        <v>1</v>
      </c>
      <c r="H32" s="154" t="s">
        <v>381</v>
      </c>
      <c r="I32" s="154" t="s">
        <v>381</v>
      </c>
      <c r="J32" s="47">
        <f t="shared" si="1"/>
        <v>100</v>
      </c>
    </row>
    <row r="33" spans="1:10" ht="21" customHeight="1" x14ac:dyDescent="0.15">
      <c r="A33" s="46">
        <v>6001264</v>
      </c>
      <c r="B33" s="153">
        <v>0</v>
      </c>
      <c r="C33" s="154">
        <v>0</v>
      </c>
      <c r="D33" s="154">
        <v>0</v>
      </c>
      <c r="E33" s="154">
        <v>0</v>
      </c>
      <c r="F33" s="154">
        <v>0</v>
      </c>
      <c r="G33" s="154" t="s">
        <v>388</v>
      </c>
      <c r="H33" s="154">
        <v>0</v>
      </c>
      <c r="I33" s="154" t="s">
        <v>381</v>
      </c>
      <c r="J33" s="47">
        <f t="shared" si="1"/>
        <v>0</v>
      </c>
    </row>
    <row r="34" spans="1:10" ht="21" customHeight="1" x14ac:dyDescent="0.15">
      <c r="A34" s="46">
        <v>6001265</v>
      </c>
      <c r="B34" s="153">
        <v>0</v>
      </c>
      <c r="C34" s="154">
        <v>0</v>
      </c>
      <c r="D34" s="154">
        <v>0</v>
      </c>
      <c r="E34" s="154">
        <v>0</v>
      </c>
      <c r="F34" s="154">
        <v>0</v>
      </c>
      <c r="G34" s="154" t="s">
        <v>388</v>
      </c>
      <c r="H34" s="154">
        <v>0</v>
      </c>
      <c r="I34" s="154" t="s">
        <v>381</v>
      </c>
      <c r="J34" s="47">
        <f t="shared" si="1"/>
        <v>0</v>
      </c>
    </row>
    <row r="35" spans="1:10" ht="21" customHeight="1" x14ac:dyDescent="0.15">
      <c r="A35" s="46">
        <v>6001266</v>
      </c>
      <c r="B35" s="153">
        <v>0</v>
      </c>
      <c r="C35" s="154">
        <v>0</v>
      </c>
      <c r="D35" s="154">
        <v>0</v>
      </c>
      <c r="E35" s="154">
        <v>0</v>
      </c>
      <c r="F35" s="154">
        <v>0</v>
      </c>
      <c r="G35" s="154" t="s">
        <v>388</v>
      </c>
      <c r="H35" s="154">
        <v>0</v>
      </c>
      <c r="I35" s="154" t="s">
        <v>381</v>
      </c>
      <c r="J35" s="47">
        <f t="shared" ref="J35:J36" si="2">D35</f>
        <v>0</v>
      </c>
    </row>
    <row r="36" spans="1:10" ht="21" customHeight="1" x14ac:dyDescent="0.15">
      <c r="A36" s="46">
        <v>6001267</v>
      </c>
      <c r="B36" s="153">
        <v>0</v>
      </c>
      <c r="C36" s="154">
        <v>0</v>
      </c>
      <c r="D36" s="154">
        <v>0</v>
      </c>
      <c r="E36" s="154">
        <v>0</v>
      </c>
      <c r="F36" s="154">
        <v>0</v>
      </c>
      <c r="G36" s="154" t="s">
        <v>388</v>
      </c>
      <c r="H36" s="154">
        <v>0</v>
      </c>
      <c r="I36" s="154" t="s">
        <v>381</v>
      </c>
      <c r="J36" s="47">
        <f t="shared" si="2"/>
        <v>0</v>
      </c>
    </row>
  </sheetData>
  <autoFilter ref="A1:G1"/>
  <phoneticPr fontId="7"/>
  <conditionalFormatting sqref="K37:K1048576 K1:K2">
    <cfRule type="duplicateValues" dxfId="2" priority="3"/>
  </conditionalFormatting>
  <conditionalFormatting sqref="K35:K36">
    <cfRule type="duplicateValues" dxfId="1" priority="17"/>
  </conditionalFormatting>
  <conditionalFormatting sqref="K3:K34">
    <cfRule type="duplicateValues" dxfId="0" priority="19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3" sqref="A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150</v>
      </c>
      <c r="B1" s="63" t="s">
        <v>151</v>
      </c>
      <c r="C1" s="64" t="s">
        <v>152</v>
      </c>
      <c r="D1" s="71" t="s">
        <v>153</v>
      </c>
      <c r="E1" s="65" t="s">
        <v>154</v>
      </c>
      <c r="F1" s="63" t="s">
        <v>155</v>
      </c>
      <c r="G1" s="63" t="s">
        <v>156</v>
      </c>
      <c r="H1" s="63" t="s">
        <v>157</v>
      </c>
      <c r="I1" s="63" t="s">
        <v>158</v>
      </c>
      <c r="J1" s="63" t="s">
        <v>159</v>
      </c>
      <c r="K1" s="63" t="s">
        <v>160</v>
      </c>
      <c r="L1" s="63" t="s">
        <v>161</v>
      </c>
      <c r="M1" s="63" t="s">
        <v>162</v>
      </c>
      <c r="N1" s="63" t="s">
        <v>163</v>
      </c>
      <c r="O1" s="63" t="s">
        <v>164</v>
      </c>
      <c r="P1" s="63" t="s">
        <v>165</v>
      </c>
      <c r="Q1" s="63" t="s">
        <v>166</v>
      </c>
      <c r="R1" s="63" t="s">
        <v>167</v>
      </c>
    </row>
    <row r="2" spans="1:18" x14ac:dyDescent="0.15">
      <c r="A2" s="56">
        <f>floors!C2</f>
        <v>60012</v>
      </c>
      <c r="B2" s="56">
        <v>1</v>
      </c>
      <c r="C2" s="70" t="str">
        <f>A2&amp; "_"&amp;B2</f>
        <v>60012_1</v>
      </c>
      <c r="D2" s="11" t="e">
        <f ca="1">VLOOKUP($C2,OFFSET([2]stages!$A$1,0,0,COUNTA([2]stages!$A:$A),MATCH(D$1,[2]stages!$2:$2,0)-MATCH($C$1,[2]stages!$2:$2,0)+1),MATCH(D$1,[2]stages!$2:$2,0)-MATCH($C$1,[2]stages!$2:$2,0)+1,FALSE)</f>
        <v>#VALUE!</v>
      </c>
      <c r="E2" s="56">
        <v>1</v>
      </c>
      <c r="F2" s="56" t="s">
        <v>168</v>
      </c>
      <c r="G2" s="56">
        <v>1000</v>
      </c>
      <c r="H2" s="56" t="s">
        <v>169</v>
      </c>
      <c r="I2" s="56">
        <v>1</v>
      </c>
      <c r="J2" s="56">
        <v>1</v>
      </c>
      <c r="K2" s="56">
        <v>0</v>
      </c>
      <c r="L2" s="56">
        <v>0</v>
      </c>
      <c r="M2" s="56">
        <v>0</v>
      </c>
      <c r="N2" s="56">
        <v>0</v>
      </c>
      <c r="O2" s="56">
        <v>1</v>
      </c>
      <c r="P2" s="56">
        <v>100</v>
      </c>
      <c r="Q2" s="56" t="s">
        <v>170</v>
      </c>
      <c r="R2" s="56" t="s">
        <v>171</v>
      </c>
    </row>
    <row r="3" spans="1:18" x14ac:dyDescent="0.15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</row>
    <row r="4" spans="1:18" x14ac:dyDescent="0.1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</row>
    <row r="5" spans="1:18" x14ac:dyDescent="0.15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</row>
  </sheetData>
  <phoneticPr fontId="7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4"/>
  <sheetViews>
    <sheetView showGridLines="0" workbookViewId="0">
      <pane ySplit="1" topLeftCell="A2" activePane="bottomLeft" state="frozen"/>
      <selection pane="bottomLeft" activeCell="E29" sqref="E29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188</v>
      </c>
      <c r="B1" s="72" t="s">
        <v>189</v>
      </c>
      <c r="C1" s="77" t="s">
        <v>190</v>
      </c>
      <c r="D1" s="77" t="s">
        <v>33</v>
      </c>
      <c r="E1" s="72" t="s">
        <v>191</v>
      </c>
      <c r="F1" s="77" t="s">
        <v>192</v>
      </c>
      <c r="G1" s="77" t="s">
        <v>33</v>
      </c>
      <c r="H1" s="72" t="s">
        <v>193</v>
      </c>
      <c r="I1" s="92" t="s">
        <v>195</v>
      </c>
      <c r="J1" s="79" t="s">
        <v>126</v>
      </c>
      <c r="K1" s="78" t="s">
        <v>187</v>
      </c>
      <c r="L1" s="93" t="s">
        <v>186</v>
      </c>
      <c r="M1" s="80" t="s">
        <v>196</v>
      </c>
    </row>
    <row r="2" spans="1:13" x14ac:dyDescent="0.15">
      <c r="A2" s="81" t="s">
        <v>201</v>
      </c>
      <c r="B2" s="82">
        <f>floors!$C$2</f>
        <v>60012</v>
      </c>
      <c r="C2" s="83" t="e">
        <f ca="1">VLOOKUP($B2,OFFSET([2]quests!$A$1,0,0,COUNTA([2]quests!$A:$A),MATCH(C$1,[2]quests!$1:$1,0)-MATCH($B$1,[2]quests!$1:$1,0)+1),MATCH(C$1,[2]quests!$1:$1,0)-MATCH($B$1,[2]quests!$1:$1,0)+1,FALSE)</f>
        <v>#VALUE!</v>
      </c>
      <c r="D2" s="83" t="e">
        <f ca="1">VLOOKUP($B2,OFFSET([2]quests!$A$1,0,0,COUNTA([2]quests!$A:$A),MATCH(D$1,[2]quests!$1:$1,0)-MATCH($B$1,[2]quests!$1:$1,0)+1),MATCH(D$1,[2]quests!$1:$1,0)-MATCH($B$1,[2]quests!$1:$1,0)+1,FALSE)</f>
        <v>#VALUE!</v>
      </c>
      <c r="E2" s="87">
        <v>1</v>
      </c>
      <c r="F2" s="83" t="e">
        <f ca="1">VLOOKUP($B2&amp;"_"&amp;$E2,OFFSET([2]stages!$A$1,0,0,COUNTA([2]stages!$A:$A),MATCH(F$1,[2]stages!$2:$2,0)-MATCH("temp_stage",[2]stages!$2:$2,0)+1),MATCH(F$1,[2]stages!$2:$2,0)-MATCH("temp_stage",[2]stages!$2:$2,0)+1,FALSE)</f>
        <v>#VALUE!</v>
      </c>
      <c r="G2" s="83" t="e">
        <f ca="1">VLOOKUP($B2&amp;"_"&amp;$E2,OFFSET([2]stages!$A$1,0,0,COUNTA([2]stages!$A:$A),MATCH(G$1,[2]stages!$2:$2,0)-MATCH("temp_stage",[2]stages!$2:$2,0)+1),MATCH(G$1,[2]stages!$2:$2,0)-MATCH("temp_stage",[2]stages!$2:$2,0)+1,FALSE)</f>
        <v>#VALUE!</v>
      </c>
      <c r="H2" s="85">
        <v>0</v>
      </c>
      <c r="I2">
        <v>12</v>
      </c>
      <c r="J2" s="84" t="s">
        <v>198</v>
      </c>
      <c r="K2" s="94" t="str">
        <f>VLOOKUP(I2,[6]stage_hints!$A:$C,3,FALSE)</f>
        <v>ユニットのお気に入り登録</v>
      </c>
      <c r="L2" s="95" t="str">
        <f>VLOOKUP(I2,[6]stage_hints!$A:$D,4,FALSE)</f>
        <v>大事なユニットを誤って消さないように_x000D_フォルダから「お気に入り登録」しましょう</v>
      </c>
      <c r="M2" s="56" t="s">
        <v>212</v>
      </c>
    </row>
    <row r="3" spans="1:13" x14ac:dyDescent="0.15">
      <c r="A3" s="81" t="s">
        <v>201</v>
      </c>
      <c r="B3" s="82">
        <f>floors!$C$2</f>
        <v>60012</v>
      </c>
      <c r="C3" s="83" t="e">
        <f ca="1">VLOOKUP($B3,OFFSET([2]quests!$A$1,0,0,COUNTA([2]quests!$A:$A),MATCH(C$1,[2]quests!$1:$1,0)-MATCH($B$1,[2]quests!$1:$1,0)+1),MATCH(C$1,[2]quests!$1:$1,0)-MATCH($B$1,[2]quests!$1:$1,0)+1,FALSE)</f>
        <v>#VALUE!</v>
      </c>
      <c r="D3" s="83" t="e">
        <f ca="1">VLOOKUP($B3,OFFSET([2]quests!$A$1,0,0,COUNTA([2]quests!$A:$A),MATCH(D$1,[2]quests!$1:$1,0)-MATCH($B$1,[2]quests!$1:$1,0)+1),MATCH(D$1,[2]quests!$1:$1,0)-MATCH($B$1,[2]quests!$1:$1,0)+1,FALSE)</f>
        <v>#VALUE!</v>
      </c>
      <c r="E3" s="87">
        <v>1</v>
      </c>
      <c r="F3" s="83" t="e">
        <f ca="1">VLOOKUP($B3&amp;"_"&amp;$E3,OFFSET([2]stages!$A$1,0,0,COUNTA([2]stages!$A:$A),MATCH(F$1,[2]stages!$2:$2,0)-MATCH("temp_stage",[2]stages!$2:$2,0)+1),MATCH(F$1,[2]stages!$2:$2,0)-MATCH("temp_stage",[2]stages!$2:$2,0)+1,FALSE)</f>
        <v>#VALUE!</v>
      </c>
      <c r="G3" s="83" t="e">
        <f ca="1">VLOOKUP($B3&amp;"_"&amp;$E3,OFFSET([2]stages!$A$1,0,0,COUNTA([2]stages!$A:$A),MATCH(G$1,[2]stages!$2:$2,0)-MATCH("temp_stage",[2]stages!$2:$2,0)+1),MATCH(G$1,[2]stages!$2:$2,0)-MATCH("temp_stage",[2]stages!$2:$2,0)+1,FALSE)</f>
        <v>#VALUE!</v>
      </c>
      <c r="H3" s="85">
        <v>0</v>
      </c>
      <c r="I3">
        <v>17</v>
      </c>
      <c r="J3" s="84" t="s">
        <v>198</v>
      </c>
      <c r="K3" s="94" t="str">
        <f>VLOOKUP(I3,[6]stage_hints!$A:$C,3,FALSE)</f>
        <v>リンクガチャ</v>
      </c>
      <c r="L3" s="95" t="str">
        <f>VLOOKUP(I3,[6]stage_hints!$A:$D,4,FALSE)</f>
        <v>無料のリンクガチャを回して_x000D_経験値素材や売却素材を獲得しましょう</v>
      </c>
      <c r="M3" s="56" t="s">
        <v>212</v>
      </c>
    </row>
    <row r="4" spans="1:13" x14ac:dyDescent="0.15">
      <c r="A4" s="81" t="s">
        <v>201</v>
      </c>
      <c r="B4" s="82">
        <f>floors!$C$2</f>
        <v>60012</v>
      </c>
      <c r="C4" s="83" t="e">
        <f ca="1">VLOOKUP($B4,OFFSET([2]quests!$A$1,0,0,COUNTA([2]quests!$A:$A),MATCH(C$1,[2]quests!$1:$1,0)-MATCH($B$1,[2]quests!$1:$1,0)+1),MATCH(C$1,[2]quests!$1:$1,0)-MATCH($B$1,[2]quests!$1:$1,0)+1,FALSE)</f>
        <v>#VALUE!</v>
      </c>
      <c r="D4" s="83" t="e">
        <f ca="1">VLOOKUP($B4,OFFSET([2]quests!$A$1,0,0,COUNTA([2]quests!$A:$A),MATCH(D$1,[2]quests!$1:$1,0)-MATCH($B$1,[2]quests!$1:$1,0)+1),MATCH(D$1,[2]quests!$1:$1,0)-MATCH($B$1,[2]quests!$1:$1,0)+1,FALSE)</f>
        <v>#VALUE!</v>
      </c>
      <c r="E4" s="87">
        <v>1</v>
      </c>
      <c r="F4" s="83" t="e">
        <f ca="1">VLOOKUP($B4&amp;"_"&amp;$E4,OFFSET([2]stages!$A$1,0,0,COUNTA([2]stages!$A:$A),MATCH(F$1,[2]stages!$2:$2,0)-MATCH("temp_stage",[2]stages!$2:$2,0)+1),MATCH(F$1,[2]stages!$2:$2,0)-MATCH("temp_stage",[2]stages!$2:$2,0)+1,FALSE)</f>
        <v>#VALUE!</v>
      </c>
      <c r="G4" s="83" t="e">
        <f ca="1">VLOOKUP($B4&amp;"_"&amp;$E4,OFFSET([2]stages!$A$1,0,0,COUNTA([2]stages!$A:$A),MATCH(G$1,[2]stages!$2:$2,0)-MATCH("temp_stage",[2]stages!$2:$2,0)+1),MATCH(G$1,[2]stages!$2:$2,0)-MATCH("temp_stage",[2]stages!$2:$2,0)+1,FALSE)</f>
        <v>#VALUE!</v>
      </c>
      <c r="H4" s="85">
        <v>0</v>
      </c>
      <c r="I4">
        <v>19</v>
      </c>
      <c r="J4" s="84" t="s">
        <v>198</v>
      </c>
      <c r="K4" s="94" t="str">
        <f>VLOOKUP(I4,[6]stage_hints!$A:$C,3,FALSE)</f>
        <v>ソロ専用チャレンジタワー</v>
      </c>
      <c r="L4" s="95" t="str">
        <f>VLOOKUP(I4,[6]stage_hints!$A:$D,4,FALSE)</f>
        <v>ソロ専用の「チャレンジタワー」では_x000D_各フロアごとにクリア報酬がもらえます</v>
      </c>
      <c r="M4" s="56" t="s">
        <v>212</v>
      </c>
    </row>
    <row r="5" spans="1:13" x14ac:dyDescent="0.15">
      <c r="A5" s="81" t="s">
        <v>201</v>
      </c>
      <c r="B5" s="82">
        <f>floors!$C$2</f>
        <v>60012</v>
      </c>
      <c r="C5" s="83" t="e">
        <f ca="1">VLOOKUP($B5,OFFSET([2]quests!$A$1,0,0,COUNTA([2]quests!$A:$A),MATCH(C$1,[2]quests!$1:$1,0)-MATCH($B$1,[2]quests!$1:$1,0)+1),MATCH(C$1,[2]quests!$1:$1,0)-MATCH($B$1,[2]quests!$1:$1,0)+1,FALSE)</f>
        <v>#VALUE!</v>
      </c>
      <c r="D5" s="83" t="e">
        <f ca="1">VLOOKUP($B5,OFFSET([2]quests!$A$1,0,0,COUNTA([2]quests!$A:$A),MATCH(D$1,[2]quests!$1:$1,0)-MATCH($B$1,[2]quests!$1:$1,0)+1),MATCH(D$1,[2]quests!$1:$1,0)-MATCH($B$1,[2]quests!$1:$1,0)+1,FALSE)</f>
        <v>#VALUE!</v>
      </c>
      <c r="E5" s="87">
        <v>1</v>
      </c>
      <c r="F5" s="83" t="e">
        <f ca="1">VLOOKUP($B5&amp;"_"&amp;$E5,OFFSET([2]stages!$A$1,0,0,COUNTA([2]stages!$A:$A),MATCH(F$1,[2]stages!$2:$2,0)-MATCH("temp_stage",[2]stages!$2:$2,0)+1),MATCH(F$1,[2]stages!$2:$2,0)-MATCH("temp_stage",[2]stages!$2:$2,0)+1,FALSE)</f>
        <v>#VALUE!</v>
      </c>
      <c r="G5" s="83" t="e">
        <f ca="1">VLOOKUP($B5&amp;"_"&amp;$E5,OFFSET([2]stages!$A$1,0,0,COUNTA([2]stages!$A:$A),MATCH(G$1,[2]stages!$2:$2,0)-MATCH("temp_stage",[2]stages!$2:$2,0)+1),MATCH(G$1,[2]stages!$2:$2,0)-MATCH("temp_stage",[2]stages!$2:$2,0)+1,FALSE)</f>
        <v>#VALUE!</v>
      </c>
      <c r="H5" s="85">
        <v>0</v>
      </c>
      <c r="I5">
        <v>21</v>
      </c>
      <c r="J5" s="84" t="s">
        <v>198</v>
      </c>
      <c r="K5" s="94" t="str">
        <f>VLOOKUP(I5,[6]stage_hints!$A:$C,3,FALSE)</f>
        <v>スキルを有効に</v>
      </c>
      <c r="L5" s="95" t="str">
        <f>VLOOKUP(I5,[6]stage_hints!$A:$D,4,FALSE)</f>
        <v>ターン経過でユニットのスキルが使えます_x000D_強力スキルでバトルを有利に進めましょう</v>
      </c>
      <c r="M5" s="56" t="s">
        <v>212</v>
      </c>
    </row>
    <row r="6" spans="1:13" x14ac:dyDescent="0.15">
      <c r="A6" s="81" t="s">
        <v>201</v>
      </c>
      <c r="B6" s="82">
        <f>floors!$C$2</f>
        <v>60012</v>
      </c>
      <c r="C6" s="83" t="e">
        <f ca="1">VLOOKUP($B6,OFFSET([2]quests!$A$1,0,0,COUNTA([2]quests!$A:$A),MATCH(C$1,[2]quests!$1:$1,0)-MATCH($B$1,[2]quests!$1:$1,0)+1),MATCH(C$1,[2]quests!$1:$1,0)-MATCH($B$1,[2]quests!$1:$1,0)+1,FALSE)</f>
        <v>#VALUE!</v>
      </c>
      <c r="D6" s="83" t="e">
        <f ca="1">VLOOKUP($B6,OFFSET([2]quests!$A$1,0,0,COUNTA([2]quests!$A:$A),MATCH(D$1,[2]quests!$1:$1,0)-MATCH($B$1,[2]quests!$1:$1,0)+1),MATCH(D$1,[2]quests!$1:$1,0)-MATCH($B$1,[2]quests!$1:$1,0)+1,FALSE)</f>
        <v>#VALUE!</v>
      </c>
      <c r="E6" s="87">
        <v>1</v>
      </c>
      <c r="F6" s="83" t="e">
        <f ca="1">VLOOKUP($B6&amp;"_"&amp;$E6,OFFSET([2]stages!$A$1,0,0,COUNTA([2]stages!$A:$A),MATCH(F$1,[2]stages!$2:$2,0)-MATCH("temp_stage",[2]stages!$2:$2,0)+1),MATCH(F$1,[2]stages!$2:$2,0)-MATCH("temp_stage",[2]stages!$2:$2,0)+1,FALSE)</f>
        <v>#VALUE!</v>
      </c>
      <c r="G6" s="83" t="e">
        <f ca="1">VLOOKUP($B6&amp;"_"&amp;$E6,OFFSET([2]stages!$A$1,0,0,COUNTA([2]stages!$A:$A),MATCH(G$1,[2]stages!$2:$2,0)-MATCH("temp_stage",[2]stages!$2:$2,0)+1),MATCH(G$1,[2]stages!$2:$2,0)-MATCH("temp_stage",[2]stages!$2:$2,0)+1,FALSE)</f>
        <v>#VALUE!</v>
      </c>
      <c r="H6" s="85">
        <v>0</v>
      </c>
      <c r="I6">
        <v>29</v>
      </c>
      <c r="J6" s="84" t="s">
        <v>198</v>
      </c>
      <c r="K6" s="94" t="str">
        <f>VLOOKUP(I6,[6]stage_hints!$A:$C,3,FALSE)</f>
        <v>「バグ」のメリット</v>
      </c>
      <c r="L6" s="95" t="str">
        <f>VLOOKUP(I6,[6]stage_hints!$A:$D,4,FALSE)</f>
        <v>ユニットの「バグ」を増やすと_x000D_報酬をもらえる確率がアップします</v>
      </c>
      <c r="M6" s="56" t="s">
        <v>212</v>
      </c>
    </row>
    <row r="7" spans="1:13" x14ac:dyDescent="0.15">
      <c r="A7" s="81" t="s">
        <v>201</v>
      </c>
      <c r="B7" s="82">
        <f>floors!$C$2</f>
        <v>60012</v>
      </c>
      <c r="C7" s="83" t="e">
        <f ca="1">VLOOKUP($B7,OFFSET([2]quests!$A$1,0,0,COUNTA([2]quests!$A:$A),MATCH(C$1,[2]quests!$1:$1,0)-MATCH($B$1,[2]quests!$1:$1,0)+1),MATCH(C$1,[2]quests!$1:$1,0)-MATCH($B$1,[2]quests!$1:$1,0)+1,FALSE)</f>
        <v>#VALUE!</v>
      </c>
      <c r="D7" s="83" t="e">
        <f ca="1">VLOOKUP($B7,OFFSET([2]quests!$A$1,0,0,COUNTA([2]quests!$A:$A),MATCH(D$1,[2]quests!$1:$1,0)-MATCH($B$1,[2]quests!$1:$1,0)+1),MATCH(D$1,[2]quests!$1:$1,0)-MATCH($B$1,[2]quests!$1:$1,0)+1,FALSE)</f>
        <v>#VALUE!</v>
      </c>
      <c r="E7" s="87">
        <v>1</v>
      </c>
      <c r="F7" s="83" t="e">
        <f ca="1">VLOOKUP($B7&amp;"_"&amp;$E7,OFFSET([2]stages!$A$1,0,0,COUNTA([2]stages!$A:$A),MATCH(F$1,[2]stages!$2:$2,0)-MATCH("temp_stage",[2]stages!$2:$2,0)+1),MATCH(F$1,[2]stages!$2:$2,0)-MATCH("temp_stage",[2]stages!$2:$2,0)+1,FALSE)</f>
        <v>#VALUE!</v>
      </c>
      <c r="G7" s="83" t="e">
        <f ca="1">VLOOKUP($B7&amp;"_"&amp;$E7,OFFSET([2]stages!$A$1,0,0,COUNTA([2]stages!$A:$A),MATCH(G$1,[2]stages!$2:$2,0)-MATCH("temp_stage",[2]stages!$2:$2,0)+1),MATCH(G$1,[2]stages!$2:$2,0)-MATCH("temp_stage",[2]stages!$2:$2,0)+1,FALSE)</f>
        <v>#VALUE!</v>
      </c>
      <c r="H7" s="85">
        <v>0</v>
      </c>
      <c r="I7">
        <v>30</v>
      </c>
      <c r="J7" s="84" t="s">
        <v>198</v>
      </c>
      <c r="K7" s="94" t="str">
        <f>VLOOKUP(I7,[6]stage_hints!$A:$C,3,FALSE)</f>
        <v>「バグ」の増やし方</v>
      </c>
      <c r="L7" s="95" t="str">
        <f>VLOOKUP(I7,[6]stage_hints!$A:$D,4,FALSE)</f>
        <v>同じユニット同士を強化で合成すると_x000D_「バグ」を増やすことができます</v>
      </c>
      <c r="M7" s="56" t="s">
        <v>212</v>
      </c>
    </row>
    <row r="8" spans="1:13" x14ac:dyDescent="0.15">
      <c r="A8" s="81" t="s">
        <v>201</v>
      </c>
      <c r="B8" s="82">
        <f>floors!$C$2</f>
        <v>60012</v>
      </c>
      <c r="C8" s="83" t="e">
        <f ca="1">VLOOKUP($B8,OFFSET([2]quests!$A$1,0,0,COUNTA([2]quests!$A:$A),MATCH(C$1,[2]quests!$1:$1,0)-MATCH($B$1,[2]quests!$1:$1,0)+1),MATCH(C$1,[2]quests!$1:$1,0)-MATCH($B$1,[2]quests!$1:$1,0)+1,FALSE)</f>
        <v>#VALUE!</v>
      </c>
      <c r="D8" s="83" t="e">
        <f ca="1">VLOOKUP($B8,OFFSET([2]quests!$A$1,0,0,COUNTA([2]quests!$A:$A),MATCH(D$1,[2]quests!$1:$1,0)-MATCH($B$1,[2]quests!$1:$1,0)+1),MATCH(D$1,[2]quests!$1:$1,0)-MATCH($B$1,[2]quests!$1:$1,0)+1,FALSE)</f>
        <v>#VALUE!</v>
      </c>
      <c r="E8" s="87">
        <v>1</v>
      </c>
      <c r="F8" s="83" t="e">
        <f ca="1">VLOOKUP($B8&amp;"_"&amp;$E8,OFFSET([2]stages!$A$1,0,0,COUNTA([2]stages!$A:$A),MATCH(F$1,[2]stages!$2:$2,0)-MATCH("temp_stage",[2]stages!$2:$2,0)+1),MATCH(F$1,[2]stages!$2:$2,0)-MATCH("temp_stage",[2]stages!$2:$2,0)+1,FALSE)</f>
        <v>#VALUE!</v>
      </c>
      <c r="G8" s="83" t="e">
        <f ca="1">VLOOKUP($B8&amp;"_"&amp;$E8,OFFSET([2]stages!$A$1,0,0,COUNTA([2]stages!$A:$A),MATCH(G$1,[2]stages!$2:$2,0)-MATCH("temp_stage",[2]stages!$2:$2,0)+1),MATCH(G$1,[2]stages!$2:$2,0)-MATCH("temp_stage",[2]stages!$2:$2,0)+1,FALSE)</f>
        <v>#VALUE!</v>
      </c>
      <c r="H8" s="85">
        <v>0</v>
      </c>
      <c r="I8">
        <v>32</v>
      </c>
      <c r="J8" s="84" t="s">
        <v>198</v>
      </c>
      <c r="K8" s="94" t="str">
        <f>VLOOKUP(I8,[6]stage_hints!$A:$C,3,FALSE)</f>
        <v>敵の連続攻撃には</v>
      </c>
      <c r="L8" s="95" t="str">
        <f>VLOOKUP(I8,[6]stage_hints!$A:$D,4,FALSE)</f>
        <v>カウンタースキルを持つユニットがいれば_x000D_ダメージ回数分の反撃ができます</v>
      </c>
      <c r="M8" s="56" t="s">
        <v>212</v>
      </c>
    </row>
    <row r="9" spans="1:13" x14ac:dyDescent="0.15">
      <c r="A9" s="81" t="s">
        <v>201</v>
      </c>
      <c r="B9" s="82">
        <f>floors!$C$2</f>
        <v>60012</v>
      </c>
      <c r="C9" s="83" t="e">
        <f ca="1">VLOOKUP($B9,OFFSET([2]quests!$A$1,0,0,COUNTA([2]quests!$A:$A),MATCH(C$1,[2]quests!$1:$1,0)-MATCH($B$1,[2]quests!$1:$1,0)+1),MATCH(C$1,[2]quests!$1:$1,0)-MATCH($B$1,[2]quests!$1:$1,0)+1,FALSE)</f>
        <v>#VALUE!</v>
      </c>
      <c r="D9" s="83" t="e">
        <f ca="1">VLOOKUP($B9,OFFSET([2]quests!$A$1,0,0,COUNTA([2]quests!$A:$A),MATCH(D$1,[2]quests!$1:$1,0)-MATCH($B$1,[2]quests!$1:$1,0)+1),MATCH(D$1,[2]quests!$1:$1,0)-MATCH($B$1,[2]quests!$1:$1,0)+1,FALSE)</f>
        <v>#VALUE!</v>
      </c>
      <c r="E9" s="87">
        <v>1</v>
      </c>
      <c r="F9" s="83" t="e">
        <f ca="1">VLOOKUP($B9&amp;"_"&amp;$E9,OFFSET([2]stages!$A$1,0,0,COUNTA([2]stages!$A:$A),MATCH(F$1,[2]stages!$2:$2,0)-MATCH("temp_stage",[2]stages!$2:$2,0)+1),MATCH(F$1,[2]stages!$2:$2,0)-MATCH("temp_stage",[2]stages!$2:$2,0)+1,FALSE)</f>
        <v>#VALUE!</v>
      </c>
      <c r="G9" s="83" t="e">
        <f ca="1">VLOOKUP($B9&amp;"_"&amp;$E9,OFFSET([2]stages!$A$1,0,0,COUNTA([2]stages!$A:$A),MATCH(G$1,[2]stages!$2:$2,0)-MATCH("temp_stage",[2]stages!$2:$2,0)+1),MATCH(G$1,[2]stages!$2:$2,0)-MATCH("temp_stage",[2]stages!$2:$2,0)+1,FALSE)</f>
        <v>#VALUE!</v>
      </c>
      <c r="H9" s="85">
        <v>0</v>
      </c>
      <c r="I9">
        <v>33</v>
      </c>
      <c r="J9" s="84" t="s">
        <v>198</v>
      </c>
      <c r="K9" s="94" t="str">
        <f>VLOOKUP(I9,[6]stage_hints!$A:$C,3,FALSE)</f>
        <v>敵のカウンター攻撃には</v>
      </c>
      <c r="L9" s="95" t="str">
        <f>VLOOKUP(I9,[6]stage_hints!$A:$D,4,FALSE)</f>
        <v>カウンターブレイクスキルを持っていれば_x000D_敵のカウンターを解除して攻撃ができます</v>
      </c>
      <c r="M9" s="56" t="s">
        <v>212</v>
      </c>
    </row>
    <row r="10" spans="1:13" x14ac:dyDescent="0.15">
      <c r="A10" s="81" t="s">
        <v>201</v>
      </c>
      <c r="B10" s="82">
        <f>floors!$C$2</f>
        <v>60012</v>
      </c>
      <c r="C10" s="83" t="e">
        <f ca="1">VLOOKUP($B10,OFFSET([2]quests!$A$1,0,0,COUNTA([2]quests!$A:$A),MATCH(C$1,[2]quests!$1:$1,0)-MATCH($B$1,[2]quests!$1:$1,0)+1),MATCH(C$1,[2]quests!$1:$1,0)-MATCH($B$1,[2]quests!$1:$1,0)+1,FALSE)</f>
        <v>#VALUE!</v>
      </c>
      <c r="D10" s="83" t="e">
        <f ca="1">VLOOKUP($B10,OFFSET([2]quests!$A$1,0,0,COUNTA([2]quests!$A:$A),MATCH(D$1,[2]quests!$1:$1,0)-MATCH($B$1,[2]quests!$1:$1,0)+1),MATCH(D$1,[2]quests!$1:$1,0)-MATCH($B$1,[2]quests!$1:$1,0)+1,FALSE)</f>
        <v>#VALUE!</v>
      </c>
      <c r="E10" s="87">
        <v>1</v>
      </c>
      <c r="F10" s="83" t="e">
        <f ca="1">VLOOKUP($B10&amp;"_"&amp;$E10,OFFSET([2]stages!$A$1,0,0,COUNTA([2]stages!$A:$A),MATCH(F$1,[2]stages!$2:$2,0)-MATCH("temp_stage",[2]stages!$2:$2,0)+1),MATCH(F$1,[2]stages!$2:$2,0)-MATCH("temp_stage",[2]stages!$2:$2,0)+1,FALSE)</f>
        <v>#VALUE!</v>
      </c>
      <c r="G10" s="83" t="e">
        <f ca="1">VLOOKUP($B10&amp;"_"&amp;$E10,OFFSET([2]stages!$A$1,0,0,COUNTA([2]stages!$A:$A),MATCH(G$1,[2]stages!$2:$2,0)-MATCH("temp_stage",[2]stages!$2:$2,0)+1),MATCH(G$1,[2]stages!$2:$2,0)-MATCH("temp_stage",[2]stages!$2:$2,0)+1,FALSE)</f>
        <v>#VALUE!</v>
      </c>
      <c r="H10" s="85">
        <v>0</v>
      </c>
      <c r="I10">
        <v>34</v>
      </c>
      <c r="J10" s="84" t="s">
        <v>198</v>
      </c>
      <c r="K10" s="94" t="str">
        <f>VLOOKUP(I10,[6]stage_hints!$A:$C,3,FALSE)</f>
        <v>ステータスをスキルで下げられたら</v>
      </c>
      <c r="L10" s="95" t="str">
        <f>VLOOKUP(I10,[6]stage_hints!$A:$D,4,FALSE)</f>
        <v>ステータスダウンのスキルを受けたら_x000D_ステータスアップスキルで上書きしましょう</v>
      </c>
      <c r="M10" s="56" t="s">
        <v>212</v>
      </c>
    </row>
    <row r="11" spans="1:13" x14ac:dyDescent="0.15">
      <c r="A11" s="81" t="s">
        <v>201</v>
      </c>
      <c r="B11" s="82">
        <f>floors!$C$2</f>
        <v>60012</v>
      </c>
      <c r="C11" s="83" t="e">
        <f ca="1">VLOOKUP($B11,OFFSET([2]quests!$A$1,0,0,COUNTA([2]quests!$A:$A),MATCH(C$1,[2]quests!$1:$1,0)-MATCH($B$1,[2]quests!$1:$1,0)+1),MATCH(C$1,[2]quests!$1:$1,0)-MATCH($B$1,[2]quests!$1:$1,0)+1,FALSE)</f>
        <v>#VALUE!</v>
      </c>
      <c r="D11" s="83" t="e">
        <f ca="1">VLOOKUP($B11,OFFSET([2]quests!$A$1,0,0,COUNTA([2]quests!$A:$A),MATCH(D$1,[2]quests!$1:$1,0)-MATCH($B$1,[2]quests!$1:$1,0)+1),MATCH(D$1,[2]quests!$1:$1,0)-MATCH($B$1,[2]quests!$1:$1,0)+1,FALSE)</f>
        <v>#VALUE!</v>
      </c>
      <c r="E11" s="87">
        <v>1</v>
      </c>
      <c r="F11" s="83" t="e">
        <f ca="1">VLOOKUP($B11&amp;"_"&amp;$E11,OFFSET([2]stages!$A$1,0,0,COUNTA([2]stages!$A:$A),MATCH(F$1,[2]stages!$2:$2,0)-MATCH("temp_stage",[2]stages!$2:$2,0)+1),MATCH(F$1,[2]stages!$2:$2,0)-MATCH("temp_stage",[2]stages!$2:$2,0)+1,FALSE)</f>
        <v>#VALUE!</v>
      </c>
      <c r="G11" s="83" t="e">
        <f ca="1">VLOOKUP($B11&amp;"_"&amp;$E11,OFFSET([2]stages!$A$1,0,0,COUNTA([2]stages!$A:$A),MATCH(G$1,[2]stages!$2:$2,0)-MATCH("temp_stage",[2]stages!$2:$2,0)+1),MATCH(G$1,[2]stages!$2:$2,0)-MATCH("temp_stage",[2]stages!$2:$2,0)+1,FALSE)</f>
        <v>#VALUE!</v>
      </c>
      <c r="H11" s="85">
        <v>0</v>
      </c>
      <c r="I11">
        <v>35</v>
      </c>
      <c r="J11" s="84" t="s">
        <v>198</v>
      </c>
      <c r="K11" s="94" t="str">
        <f>VLOOKUP(I11,[6]stage_hints!$A:$C,3,FALSE)</f>
        <v>敵のステータスがスキルで上がったら</v>
      </c>
      <c r="L11" s="95" t="str">
        <f>VLOOKUP(I11,[6]stage_hints!$A:$D,4,FALSE)</f>
        <v>敵のステータスがスキルでアップしたときは_x000D_ステータスダウンスキルで上書きしましょう</v>
      </c>
      <c r="M11" s="56" t="s">
        <v>212</v>
      </c>
    </row>
    <row r="12" spans="1:13" x14ac:dyDescent="0.15">
      <c r="A12" s="81" t="s">
        <v>201</v>
      </c>
      <c r="B12" s="82">
        <f>floors!$C$2</f>
        <v>60012</v>
      </c>
      <c r="C12" s="83" t="e">
        <f ca="1">VLOOKUP($B12,OFFSET([2]quests!$A$1,0,0,COUNTA([2]quests!$A:$A),MATCH(C$1,[2]quests!$1:$1,0)-MATCH($B$1,[2]quests!$1:$1,0)+1),MATCH(C$1,[2]quests!$1:$1,0)-MATCH($B$1,[2]quests!$1:$1,0)+1,FALSE)</f>
        <v>#VALUE!</v>
      </c>
      <c r="D12" s="83" t="e">
        <f ca="1">VLOOKUP($B12,OFFSET([2]quests!$A$1,0,0,COUNTA([2]quests!$A:$A),MATCH(D$1,[2]quests!$1:$1,0)-MATCH($B$1,[2]quests!$1:$1,0)+1),MATCH(D$1,[2]quests!$1:$1,0)-MATCH($B$1,[2]quests!$1:$1,0)+1,FALSE)</f>
        <v>#VALUE!</v>
      </c>
      <c r="E12" s="87">
        <v>1</v>
      </c>
      <c r="F12" s="83" t="e">
        <f ca="1">VLOOKUP($B12&amp;"_"&amp;$E12,OFFSET([2]stages!$A$1,0,0,COUNTA([2]stages!$A:$A),MATCH(F$1,[2]stages!$2:$2,0)-MATCH("temp_stage",[2]stages!$2:$2,0)+1),MATCH(F$1,[2]stages!$2:$2,0)-MATCH("temp_stage",[2]stages!$2:$2,0)+1,FALSE)</f>
        <v>#VALUE!</v>
      </c>
      <c r="G12" s="83" t="e">
        <f ca="1">VLOOKUP($B12&amp;"_"&amp;$E12,OFFSET([2]stages!$A$1,0,0,COUNTA([2]stages!$A:$A),MATCH(G$1,[2]stages!$2:$2,0)-MATCH("temp_stage",[2]stages!$2:$2,0)+1),MATCH(G$1,[2]stages!$2:$2,0)-MATCH("temp_stage",[2]stages!$2:$2,0)+1,FALSE)</f>
        <v>#VALUE!</v>
      </c>
      <c r="H12" s="85">
        <v>0</v>
      </c>
      <c r="I12">
        <v>36</v>
      </c>
      <c r="J12" s="84" t="s">
        <v>198</v>
      </c>
      <c r="K12" s="94" t="str">
        <f>VLOOKUP(I12,[6]stage_hints!$A:$C,3,FALSE)</f>
        <v>チャレンジタワーのボス</v>
      </c>
      <c r="L12" s="95" t="str">
        <f>VLOOKUP(I12,[6]stage_hints!$A:$D,4,FALSE)</f>
        <v>チャレンジタワーでのみ登場するボスは_x000D_一定確率で獲得することができます</v>
      </c>
      <c r="M12" s="56" t="s">
        <v>212</v>
      </c>
    </row>
    <row r="13" spans="1:13" x14ac:dyDescent="0.15">
      <c r="A13" s="81" t="s">
        <v>201</v>
      </c>
      <c r="B13" s="82">
        <f>floors!$C$2</f>
        <v>60012</v>
      </c>
      <c r="C13" s="83" t="e">
        <f ca="1">VLOOKUP($B13,OFFSET([2]quests!$A$1,0,0,COUNTA([2]quests!$A:$A),MATCH(C$1,[2]quests!$1:$1,0)-MATCH($B$1,[2]quests!$1:$1,0)+1),MATCH(C$1,[2]quests!$1:$1,0)-MATCH($B$1,[2]quests!$1:$1,0)+1,FALSE)</f>
        <v>#VALUE!</v>
      </c>
      <c r="D13" s="83" t="e">
        <f ca="1">VLOOKUP($B13,OFFSET([2]quests!$A$1,0,0,COUNTA([2]quests!$A:$A),MATCH(D$1,[2]quests!$1:$1,0)-MATCH($B$1,[2]quests!$1:$1,0)+1),MATCH(D$1,[2]quests!$1:$1,0)-MATCH($B$1,[2]quests!$1:$1,0)+1,FALSE)</f>
        <v>#VALUE!</v>
      </c>
      <c r="E13" s="87">
        <v>1</v>
      </c>
      <c r="F13" s="83" t="e">
        <f ca="1">VLOOKUP($B13&amp;"_"&amp;$E13,OFFSET([2]stages!$A$1,0,0,COUNTA([2]stages!$A:$A),MATCH(F$1,[2]stages!$2:$2,0)-MATCH("temp_stage",[2]stages!$2:$2,0)+1),MATCH(F$1,[2]stages!$2:$2,0)-MATCH("temp_stage",[2]stages!$2:$2,0)+1,FALSE)</f>
        <v>#VALUE!</v>
      </c>
      <c r="G13" s="83" t="e">
        <f ca="1">VLOOKUP($B13&amp;"_"&amp;$E13,OFFSET([2]stages!$A$1,0,0,COUNTA([2]stages!$A:$A),MATCH(G$1,[2]stages!$2:$2,0)-MATCH("temp_stage",[2]stages!$2:$2,0)+1),MATCH(G$1,[2]stages!$2:$2,0)-MATCH("temp_stage",[2]stages!$2:$2,0)+1,FALSE)</f>
        <v>#VALUE!</v>
      </c>
      <c r="H13" s="85">
        <v>0</v>
      </c>
      <c r="I13">
        <v>37</v>
      </c>
      <c r="J13" s="84" t="s">
        <v>198</v>
      </c>
      <c r="K13" s="94" t="str">
        <f>VLOOKUP(I13,[6]stage_hints!$A:$C,3,FALSE)</f>
        <v>限界突破値の引き継ぎ</v>
      </c>
      <c r="L13" s="95" t="str">
        <f>VLOOKUP(I13,[6]stage_hints!$A:$D,4,FALSE)</f>
        <v>同じユニットを強化で合成すると_x000D_限界突破値を引き継げます（覚醒前後も可）</v>
      </c>
      <c r="M13" s="56" t="s">
        <v>212</v>
      </c>
    </row>
    <row r="14" spans="1:13" x14ac:dyDescent="0.15">
      <c r="A14" s="81" t="s">
        <v>201</v>
      </c>
      <c r="B14" s="82">
        <f>floors!$C$2</f>
        <v>60012</v>
      </c>
      <c r="C14" s="83" t="e">
        <f ca="1">VLOOKUP($B14,OFFSET([2]quests!$A$1,0,0,COUNTA([2]quests!$A:$A),MATCH(C$1,[2]quests!$1:$1,0)-MATCH($B$1,[2]quests!$1:$1,0)+1),MATCH(C$1,[2]quests!$1:$1,0)-MATCH($B$1,[2]quests!$1:$1,0)+1,FALSE)</f>
        <v>#VALUE!</v>
      </c>
      <c r="D14" s="83" t="e">
        <f ca="1">VLOOKUP($B14,OFFSET([2]quests!$A$1,0,0,COUNTA([2]quests!$A:$A),MATCH(D$1,[2]quests!$1:$1,0)-MATCH($B$1,[2]quests!$1:$1,0)+1),MATCH(D$1,[2]quests!$1:$1,0)-MATCH($B$1,[2]quests!$1:$1,0)+1,FALSE)</f>
        <v>#VALUE!</v>
      </c>
      <c r="E14" s="87">
        <v>1</v>
      </c>
      <c r="F14" s="83" t="e">
        <f ca="1">VLOOKUP($B14&amp;"_"&amp;$E14,OFFSET([2]stages!$A$1,0,0,COUNTA([2]stages!$A:$A),MATCH(F$1,[2]stages!$2:$2,0)-MATCH("temp_stage",[2]stages!$2:$2,0)+1),MATCH(F$1,[2]stages!$2:$2,0)-MATCH("temp_stage",[2]stages!$2:$2,0)+1,FALSE)</f>
        <v>#VALUE!</v>
      </c>
      <c r="G14" s="83" t="e">
        <f ca="1">VLOOKUP($B14&amp;"_"&amp;$E14,OFFSET([2]stages!$A$1,0,0,COUNTA([2]stages!$A:$A),MATCH(G$1,[2]stages!$2:$2,0)-MATCH("temp_stage",[2]stages!$2:$2,0)+1),MATCH(G$1,[2]stages!$2:$2,0)-MATCH("temp_stage",[2]stages!$2:$2,0)+1,FALSE)</f>
        <v>#VALUE!</v>
      </c>
      <c r="H14" s="85">
        <v>0</v>
      </c>
      <c r="I14">
        <v>39</v>
      </c>
      <c r="J14" s="84" t="s">
        <v>198</v>
      </c>
      <c r="K14" s="94" t="str">
        <f>VLOOKUP(I14,[6]stage_hints!$A:$C,3,FALSE)</f>
        <v>システム適合者を確認</v>
      </c>
      <c r="L14" s="95" t="str">
        <f>VLOOKUP(I14,[6]stage_hints!$A:$D,4,FALSE)</f>
        <v>ALICEが「アナタ」を呼んでいます</v>
      </c>
      <c r="M14" s="56" t="s">
        <v>212</v>
      </c>
    </row>
  </sheetData>
  <phoneticPr fontId="7"/>
  <dataValidations count="1">
    <dataValidation type="list" allowBlank="1" showInputMessage="1" showErrorMessage="1" sqref="A2:A1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topLeftCell="F1" workbookViewId="0">
      <pane ySplit="1" topLeftCell="A2" activePane="bottomLeft" state="frozen"/>
      <selection pane="bottomLeft" activeCell="M36" sqref="M36"/>
    </sheetView>
  </sheetViews>
  <sheetFormatPr baseColWidth="12" defaultColWidth="13" defaultRowHeight="15" outlineLevelCol="1" x14ac:dyDescent="0.15"/>
  <cols>
    <col min="1" max="1" width="13" style="89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188</v>
      </c>
      <c r="B1" s="72" t="s">
        <v>150</v>
      </c>
      <c r="C1" s="77" t="s">
        <v>190</v>
      </c>
      <c r="D1" s="77" t="s">
        <v>33</v>
      </c>
      <c r="E1" s="72" t="s">
        <v>191</v>
      </c>
      <c r="F1" s="77" t="s">
        <v>18</v>
      </c>
      <c r="G1" s="77" t="s">
        <v>33</v>
      </c>
      <c r="H1" s="72" t="s">
        <v>193</v>
      </c>
      <c r="I1" s="90" t="s">
        <v>194</v>
      </c>
      <c r="J1" s="92" t="s">
        <v>195</v>
      </c>
      <c r="K1" s="79" t="s">
        <v>126</v>
      </c>
      <c r="L1" s="78" t="s">
        <v>187</v>
      </c>
      <c r="M1" s="93" t="s">
        <v>186</v>
      </c>
      <c r="N1" s="80" t="s">
        <v>196</v>
      </c>
    </row>
    <row r="2" spans="1:14" x14ac:dyDescent="0.15">
      <c r="A2" s="81" t="s">
        <v>197</v>
      </c>
      <c r="B2" s="82">
        <f>floors!$C$2</f>
        <v>60012</v>
      </c>
      <c r="C2" s="83" t="e">
        <f ca="1">VLOOKUP($B2,OFFSET([2]quests!$A$1,0,0,COUNTA([2]quests!$A:$A),MATCH(C$1,[2]quests!$1:$1,0)-MATCH($B$1,[2]quests!$1:$1,0)+1),MATCH(C$1,[2]quests!$1:$1,0)-MATCH($B$1,[2]quests!$1:$1,0)+1,FALSE)</f>
        <v>#VALUE!</v>
      </c>
      <c r="D2" s="83" t="e">
        <f ca="1">VLOOKUP($B2,OFFSET([2]quests!$A$1,0,0,COUNTA([2]quests!$A:$A),MATCH(D$1,[2]quests!$1:$1,0)-MATCH($B$1,[2]quests!$1:$1,0)+1),MATCH(D$1,[2]quests!$1:$1,0)-MATCH($B$1,[2]quests!$1:$1,0)+1,FALSE)</f>
        <v>#VALUE!</v>
      </c>
      <c r="E2" s="84">
        <v>1</v>
      </c>
      <c r="F2" s="83" t="e">
        <f ca="1">VLOOKUP($B2&amp;"_"&amp;$E2,OFFSET([2]stages!$A$1,0,0,COUNTA([2]stages!$A:$A),MATCH(F$1,[2]stages!$2:$2,0)-MATCH("temp_stage",[2]stages!$2:$2,0)+1),MATCH(F$1,[2]stages!$2:$2,0)-MATCH("temp_stage",[2]stages!$2:$2,0)+1,FALSE)</f>
        <v>#VALUE!</v>
      </c>
      <c r="G2" s="83" t="e">
        <f ca="1">VLOOKUP($B2&amp;"_"&amp;$E2,OFFSET([2]stages!$A$1,0,0,COUNTA([2]stages!$A:$A),MATCH(G$1,[2]stages!$2:$2,0)-MATCH("temp_stage",[2]stages!$2:$2,0)+1),MATCH(G$1,[2]stages!$2:$2,0)-MATCH("temp_stage",[2]stages!$2:$2,0)+1,FALSE)</f>
        <v>#VALUE!</v>
      </c>
      <c r="H2" s="85">
        <v>0</v>
      </c>
      <c r="I2" s="91">
        <f>ROW()-1</f>
        <v>1</v>
      </c>
      <c r="J2" s="86" t="str">
        <f>B2&amp;TEXT(I2,"00")</f>
        <v>6001201</v>
      </c>
      <c r="K2" s="84" t="s">
        <v>198</v>
      </c>
      <c r="L2" s="87" t="s">
        <v>199</v>
      </c>
      <c r="M2" s="88" t="s">
        <v>202</v>
      </c>
      <c r="N2" s="56" t="s">
        <v>200</v>
      </c>
    </row>
  </sheetData>
  <phoneticPr fontId="7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output</vt:lpstr>
      <vt:lpstr>floors</vt:lpstr>
      <vt:lpstr>ranking_stages</vt:lpstr>
      <vt:lpstr>clear_turn</vt:lpstr>
      <vt:lpstr>damege_give</vt:lpstr>
      <vt:lpstr>damage_receive</vt:lpstr>
      <vt:lpstr>ranking_eval</vt:lpstr>
      <vt:lpstr>ranking_ACH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2016-07-12T12:25:55Z</dcterms:modified>
</cp:coreProperties>
</file>