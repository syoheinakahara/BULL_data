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3420" yWindow="-1992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546010" sheetId="157" r:id="rId4"/>
    <sheet name="tables_546010" sheetId="158" r:id="rId5"/>
    <sheet name="input_546100" sheetId="153" r:id="rId6"/>
    <sheet name="tables_546100" sheetId="154" r:id="rId7"/>
    <sheet name="tables_settle_546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tables_546010!$A$1:$V$350</definedName>
    <definedName name="_xlnm._FilterDatabase" localSheetId="6" hidden="1">tables_546100!$A$1:$V$294</definedName>
    <definedName name="_xlnm._FilterDatabase" localSheetId="7" hidden="1">tables_settle_546100!$A$1:$V$1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6" i="159" l="1"/>
  <c r="N6" i="159"/>
  <c r="M6" i="159"/>
  <c r="L6" i="159"/>
  <c r="K6" i="159"/>
  <c r="J6" i="159"/>
  <c r="I6" i="159"/>
  <c r="H6" i="159"/>
  <c r="F6" i="159"/>
  <c r="E6" i="159"/>
  <c r="D6" i="159"/>
  <c r="C6" i="159"/>
  <c r="P5" i="159"/>
  <c r="N5" i="159"/>
  <c r="M5" i="159"/>
  <c r="L5" i="159"/>
  <c r="K5" i="159"/>
  <c r="J5" i="159"/>
  <c r="I5" i="159"/>
  <c r="H5" i="159"/>
  <c r="F5" i="159"/>
  <c r="E5" i="159"/>
  <c r="D5" i="159"/>
  <c r="C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A2" i="153"/>
  <c r="A6" i="159"/>
  <c r="A5" i="159"/>
  <c r="A4" i="159"/>
  <c r="A3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3" i="153"/>
  <c r="B23" i="153"/>
  <c r="F5" i="153"/>
  <c r="E5" i="153"/>
  <c r="E28" i="153"/>
  <c r="B28" i="153"/>
  <c r="E29" i="153"/>
  <c r="B29" i="153"/>
  <c r="C23" i="153"/>
  <c r="C29" i="153"/>
  <c r="C28" i="153"/>
  <c r="B21" i="153"/>
  <c r="E20" i="153"/>
  <c r="B20" i="153"/>
  <c r="E22" i="153"/>
  <c r="B22" i="153"/>
  <c r="E25" i="153"/>
  <c r="B25" i="153"/>
  <c r="B27" i="153"/>
  <c r="C22" i="153"/>
  <c r="C27" i="153"/>
  <c r="B18" i="153"/>
  <c r="E19" i="153"/>
  <c r="B19" i="153"/>
  <c r="E24" i="153"/>
  <c r="B24" i="153"/>
  <c r="B17" i="153"/>
  <c r="B30" i="153"/>
  <c r="F355" i="154"/>
  <c r="F353" i="154"/>
  <c r="F354" i="154"/>
  <c r="A36" i="153"/>
  <c r="G29" i="153"/>
  <c r="H29" i="153"/>
  <c r="O355" i="154"/>
  <c r="G17" i="153"/>
  <c r="E17" i="153"/>
  <c r="H17" i="153"/>
  <c r="O2" i="154"/>
  <c r="E27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R4" i="153"/>
  <c r="R3" i="153"/>
  <c r="O176" i="154"/>
  <c r="R5" i="153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R7" i="153"/>
  <c r="R6" i="153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R8" i="153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F352" i="154"/>
  <c r="P352" i="154"/>
  <c r="N352" i="154"/>
  <c r="M352" i="154"/>
  <c r="L352" i="154"/>
  <c r="K352" i="154"/>
  <c r="H352" i="154"/>
  <c r="F351" i="154"/>
  <c r="P351" i="154"/>
  <c r="N351" i="154"/>
  <c r="M351" i="154"/>
  <c r="L351" i="154"/>
  <c r="K351" i="154"/>
  <c r="H351" i="154"/>
  <c r="A355" i="154"/>
  <c r="A354" i="154"/>
  <c r="A353" i="154"/>
  <c r="A352" i="154"/>
  <c r="A351" i="154"/>
  <c r="I349" i="158"/>
  <c r="E349" i="158"/>
  <c r="I350" i="158"/>
  <c r="E350" i="158"/>
  <c r="I351" i="158"/>
  <c r="E351" i="158"/>
  <c r="I352" i="158"/>
  <c r="E352" i="158"/>
  <c r="I353" i="158"/>
  <c r="E353" i="158"/>
  <c r="I354" i="158"/>
  <c r="E354" i="158"/>
  <c r="I355" i="158"/>
  <c r="E355" i="158"/>
  <c r="D351" i="158"/>
  <c r="J351" i="158"/>
  <c r="C351" i="158"/>
  <c r="A2" i="157"/>
  <c r="D349" i="158"/>
  <c r="J349" i="158"/>
  <c r="C349" i="158"/>
  <c r="D350" i="158"/>
  <c r="J350" i="158"/>
  <c r="C350" i="158"/>
  <c r="D352" i="158"/>
  <c r="J352" i="158"/>
  <c r="C352" i="158"/>
  <c r="D353" i="158"/>
  <c r="J353" i="158"/>
  <c r="C353" i="158"/>
  <c r="D354" i="158"/>
  <c r="J354" i="158"/>
  <c r="C354" i="158"/>
  <c r="D355" i="158"/>
  <c r="J355" i="158"/>
  <c r="C355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B22" i="157"/>
  <c r="E25" i="157"/>
  <c r="B25" i="157"/>
  <c r="E5" i="157"/>
  <c r="E28" i="157"/>
  <c r="B28" i="157"/>
  <c r="E29" i="157"/>
  <c r="B29" i="157"/>
  <c r="B27" i="157"/>
  <c r="C22" i="157"/>
  <c r="C27" i="157"/>
  <c r="B18" i="157"/>
  <c r="G18" i="157"/>
  <c r="E18" i="157"/>
  <c r="H18" i="157"/>
  <c r="O3" i="158"/>
  <c r="O5" i="158"/>
  <c r="O7" i="158"/>
  <c r="O9" i="158"/>
  <c r="E19" i="157"/>
  <c r="B19" i="157"/>
  <c r="E24" i="157"/>
  <c r="B24" i="157"/>
  <c r="B17" i="157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C23" i="157"/>
  <c r="C29" i="157"/>
  <c r="C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R3" i="157"/>
  <c r="O176" i="158"/>
  <c r="R4" i="157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R6" i="157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R5" i="157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R7" i="157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F41" i="157"/>
  <c r="G41" i="157"/>
  <c r="F42" i="157"/>
  <c r="G42" i="157"/>
  <c r="F40" i="157"/>
  <c r="G40" i="157"/>
  <c r="A355" i="158"/>
  <c r="A354" i="158"/>
  <c r="A353" i="158"/>
  <c r="A352" i="158"/>
  <c r="A351" i="158"/>
  <c r="A350" i="158"/>
  <c r="A349" i="158"/>
  <c r="A348" i="158"/>
  <c r="A347" i="158"/>
  <c r="A34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B10" i="157"/>
  <c r="B5" i="157"/>
  <c r="B30" i="157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6" i="153"/>
  <c r="B10" i="153"/>
  <c r="A346" i="154"/>
  <c r="H346" i="154"/>
  <c r="K346" i="154"/>
  <c r="L346" i="154"/>
  <c r="M346" i="154"/>
  <c r="N346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H350" i="158"/>
  <c r="K350" i="158"/>
  <c r="L350" i="158"/>
  <c r="M350" i="158"/>
  <c r="N350" i="158"/>
  <c r="H349" i="158"/>
  <c r="K349" i="158"/>
  <c r="L349" i="158"/>
  <c r="M349" i="158"/>
  <c r="N349" i="158"/>
  <c r="H346" i="158"/>
  <c r="K346" i="158"/>
  <c r="L346" i="158"/>
  <c r="M346" i="158"/>
  <c r="N346" i="158"/>
  <c r="H347" i="158"/>
  <c r="K347" i="158"/>
  <c r="L347" i="158"/>
  <c r="M347" i="158"/>
  <c r="N347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9" i="157"/>
  <c r="F48" i="157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<sst xmlns="http://schemas.openxmlformats.org/spreadsheetml/2006/main" count="540" uniqueCount="257">
  <si>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</si>
  <si>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</si>
  <si>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</si>
  <si>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</si>
  <si>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</si>
  <si>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</si>
  <si>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</si>
  <si>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</si>
  <si>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</si>
  <si>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</si>
  <si>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</si>
  <si>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</si>
  <si>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</si>
  <si>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</si>
  <si>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</si>
  <si>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</si>
  <si>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</si>
  <si>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</si>
  <si>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</si>
  <si>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</si>
  <si>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</si>
  <si>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</si>
  <si>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</si>
  <si>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</si>
  <si>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</si>
  <si>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</si>
  <si>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</si>
  <si>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</si>
  <si>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</si>
  <si>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</si>
  <si>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</si>
  <si>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</si>
  <si>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</si>
  <si>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</si>
  <si>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</si>
  <si>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</si>
  <si>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</si>
  <si>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</si>
  <si>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</si>
  <si>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</si>
  <si>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</si>
  <si>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</si>
  <si>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</si>
  <si>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</si>
  <si>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</si>
  <si>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</si>
  <si>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</si>
  <si>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</si>
  <si>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</si>
  <si>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</si>
  <si>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</si>
  <si>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</si>
  <si>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</si>
  <si>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</si>
  <si>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</si>
  <si>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</si>
  <si>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</si>
  <si>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</si>
  <si>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</si>
  <si>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</si>
  <si>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</si>
  <si>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</si>
  <si>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</si>
  <si>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</si>
  <si>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</si>
  <si>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</si>
  <si>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</si>
  <si>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</si>
  <si>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</si>
  <si>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</si>
  <si>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</si>
  <si>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</si>
  <si>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</si>
  <si>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</si>
  <si>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</si>
  <si>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</si>
  <si>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</si>
  <si>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</si>
  <si>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</si>
  <si>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</si>
  <si>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</si>
  <si>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</si>
  <si>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</si>
  <si>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</si>
  <si>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</si>
  <si>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</si>
  <si>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</si>
  <si>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</si>
  <si>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</si>
  <si>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</si>
  <si>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</si>
  <si>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</si>
  <si>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</si>
  <si>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</si>
  <si>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</si>
  <si>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</si>
  <si>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</si>
  <si>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</si>
  <si>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</si>
  <si>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</si>
  <si>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</si>
  <si>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</si>
  <si>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</si>
  <si>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</si>
  <si>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</si>
  <si>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</si>
  <si>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</si>
  <si>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</si>
  <si>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</si>
  <si>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</si>
  <si>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</si>
  <si>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</si>
  <si>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</si>
  <si>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</si>
  <si>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</si>
  <si>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</si>
  <si>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</si>
  <si>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</si>
  <si>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</si>
  <si>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</si>
  <si>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</si>
  <si>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</si>
  <si>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</si>
  <si>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</si>
  <si>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</si>
  <si>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</si>
  <si>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</si>
  <si>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</si>
  <si>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</si>
  <si>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</si>
  <si>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</si>
  <si>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</si>
  <si>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</si>
  <si>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</si>
  <si>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</si>
  <si>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</si>
  <si>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</si>
  <si>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</si>
  <si>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</si>
  <si>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</si>
  <si>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</si>
  <si>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</si>
  <si>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</si>
  <si>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</si>
  <si>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</si>
  <si>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</si>
  <si>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</si>
  <si>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</si>
  <si>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</si>
  <si>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</si>
  <si>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</si>
  <si>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</si>
  <si>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</si>
  <si>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</si>
  <si>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</si>
  <si>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</si>
  <si>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</si>
  <si>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</si>
  <si>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</si>
  <si>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</si>
  <si>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</si>
  <si>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</si>
  <si>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</si>
  <si>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</si>
  <si>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</si>
  <si>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</si>
  <si>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</si>
  <si>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</si>
  <si>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</si>
  <si>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</si>
  <si>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</si>
  <si>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</si>
  <si>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</si>
  <si>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</si>
  <si>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</si>
  <si>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</si>
  <si>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</si>
  <si>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</si>
  <si>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</si>
  <si>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</si>
  <si>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</si>
  <si>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</si>
  <si>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</si>
  <si>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</si>
  <si>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</si>
  <si>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</si>
  <si>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</si>
  <si>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</si>
  <si>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</si>
  <si>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</si>
  <si>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</si>
  <si>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</si>
  <si>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</si>
  <si>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</si>
  <si>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</si>
  <si>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</si>
  <si>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</si>
  <si>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</si>
  <si>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</si>
  <si>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</si>
  <si>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</si>
  <si>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</si>
  <si>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</si>
  <si>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</si>
  <si>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</si>
  <si>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</si>
  <si>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</si>
  <si>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</si>
  <si>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</si>
  <si>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</si>
  <si>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</si>
  <si>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</si>
  <si>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</si>
  <si>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</si>
  <si>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</si>
  <si>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</si>
  <si>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</si>
  <si>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</si>
  <si>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</si>
  <si>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</si>
  <si>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</si>
  <si>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</si>
  <si>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</si>
  <si>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</si>
  <si>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</si>
  <si>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</si>
  <si>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</si>
  <si>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</si>
  <si>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</si>
  <si>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</si>
  <si>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</si>
  <si>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</si>
  <si>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</si>
  <si>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</si>
  <si>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</si>
  <si>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</si>
  <si>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</si>
  <si>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</si>
  <si>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</si>
  <si>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</si>
  <si>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</si>
  <si>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</si>
  <si>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</si>
  <si>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</si>
  <si>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</si>
  <si>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</si>
  <si>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</si>
  <si>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</si>
  <si>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</si>
  <si>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</si>
  <si>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</si>
  <si>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</si>
  <si>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</si>
  <si>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tables_546010</t>
    <phoneticPr fontId="21"/>
  </si>
  <si>
    <t>tables_546100</t>
    <phoneticPr fontId="21"/>
  </si>
  <si>
    <t>tables_settle_546100</t>
    <phoneticPr fontId="2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</si>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</sst>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6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53" fillId="3" borderId="14" xfId="0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0" xfId="2" applyFont="1" applyFill="1" applyAlignment="1">
      <alignment vertical="center"/>
    </xf>
    <xf numFmtId="180" fontId="0" fillId="4" borderId="1" xfId="0" applyNumberForma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1456</v>
          </cell>
          <cell r="B1407" t="str">
            <v>ja</v>
          </cell>
          <cell r="C1407" t="str">
            <v>ネセバル</v>
          </cell>
          <cell r="H1407" t="str">
            <v>blue</v>
          </cell>
          <cell r="I1407">
            <v>5</v>
          </cell>
          <cell r="J1407" t="str">
            <v>PremiumSSw</v>
          </cell>
          <cell r="K1407" t="str">
            <v>attack</v>
          </cell>
          <cell r="L1407" t="str">
            <v>攻撃タイプ</v>
          </cell>
          <cell r="M1407" t="str">
            <v>hero</v>
          </cell>
        </row>
        <row r="1408">
          <cell r="A1408">
            <v>1457</v>
          </cell>
          <cell r="B1408" t="str">
            <v>ja</v>
          </cell>
          <cell r="C1408" t="str">
            <v>碧影の聖跡 ネセバル</v>
          </cell>
          <cell r="H1408" t="str">
            <v>blue</v>
          </cell>
          <cell r="I1408">
            <v>6</v>
          </cell>
          <cell r="J1408" t="str">
            <v>PremiumSSw</v>
          </cell>
          <cell r="K1408" t="str">
            <v>attack</v>
          </cell>
          <cell r="L1408" t="str">
            <v>攻撃タイプ</v>
          </cell>
          <cell r="M1408" t="str">
            <v>hero</v>
          </cell>
        </row>
        <row r="1409">
          <cell r="A1409">
            <v>1458</v>
          </cell>
          <cell r="B1409" t="str">
            <v>ja</v>
          </cell>
          <cell r="C1409" t="str">
            <v>diamond01</v>
          </cell>
          <cell r="H1409" t="str">
            <v>red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human</v>
          </cell>
        </row>
        <row r="1410">
          <cell r="A1410">
            <v>1459</v>
          </cell>
          <cell r="B1410" t="str">
            <v>ja</v>
          </cell>
          <cell r="C1410" t="str">
            <v>diamond02</v>
          </cell>
          <cell r="H1410" t="str">
            <v>red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human</v>
          </cell>
        </row>
        <row r="1411">
          <cell r="A1411">
            <v>1460</v>
          </cell>
          <cell r="B1411" t="str">
            <v>ja</v>
          </cell>
          <cell r="C1411" t="str">
            <v>opal01</v>
          </cell>
          <cell r="H1411" t="str">
            <v>blue</v>
          </cell>
          <cell r="I1411">
            <v>4</v>
          </cell>
          <cell r="J1411" t="str">
            <v>PremiumS</v>
          </cell>
          <cell r="K1411" t="str">
            <v>balance</v>
          </cell>
          <cell r="L1411" t="str">
            <v>バランスタイプ</v>
          </cell>
          <cell r="M1411" t="str">
            <v>human</v>
          </cell>
        </row>
        <row r="1412">
          <cell r="A1412">
            <v>1461</v>
          </cell>
          <cell r="B1412" t="str">
            <v>ja</v>
          </cell>
          <cell r="C1412" t="str">
            <v>opal02</v>
          </cell>
          <cell r="H1412" t="str">
            <v>blue</v>
          </cell>
          <cell r="I1412">
            <v>5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human</v>
          </cell>
        </row>
        <row r="1413">
          <cell r="A1413">
            <v>1462</v>
          </cell>
          <cell r="B1413" t="str">
            <v>ja</v>
          </cell>
          <cell r="C1413" t="str">
            <v>ruby01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technical</v>
          </cell>
          <cell r="L1413" t="str">
            <v>テクニカルタイプ</v>
          </cell>
          <cell r="M1413" t="str">
            <v>human</v>
          </cell>
        </row>
        <row r="1414">
          <cell r="A1414">
            <v>1463</v>
          </cell>
          <cell r="B1414" t="str">
            <v>ja</v>
          </cell>
          <cell r="C1414" t="str">
            <v>ruby02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technical</v>
          </cell>
          <cell r="L1414" t="str">
            <v>テクニカルタイプ</v>
          </cell>
          <cell r="M1414" t="str">
            <v>human</v>
          </cell>
        </row>
        <row r="1415">
          <cell r="A1415">
            <v>1464</v>
          </cell>
          <cell r="B1415" t="str">
            <v>ja</v>
          </cell>
          <cell r="C1415" t="str">
            <v>garnet01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hp</v>
          </cell>
          <cell r="L1415" t="str">
            <v>体力タイプ</v>
          </cell>
          <cell r="M1415" t="str">
            <v>human</v>
          </cell>
        </row>
        <row r="1416">
          <cell r="A1416">
            <v>1465</v>
          </cell>
          <cell r="B1416" t="str">
            <v>ja</v>
          </cell>
          <cell r="C1416" t="str">
            <v>garnet02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hp</v>
          </cell>
          <cell r="L1416" t="str">
            <v>体力タイプ</v>
          </cell>
          <cell r="M1416" t="str">
            <v>human</v>
          </cell>
        </row>
        <row r="1417">
          <cell r="A1417">
            <v>1466</v>
          </cell>
          <cell r="B1417" t="str">
            <v>ja</v>
          </cell>
          <cell r="C1417" t="str">
            <v>sapphire01</v>
          </cell>
          <cell r="H1417" t="str">
            <v>blue</v>
          </cell>
          <cell r="I1417">
            <v>5</v>
          </cell>
          <cell r="J1417" t="str">
            <v>DropWizS</v>
          </cell>
          <cell r="K1417" t="str">
            <v>attack</v>
          </cell>
          <cell r="L1417" t="str">
            <v>攻撃タイプ</v>
          </cell>
          <cell r="M1417" t="str">
            <v>human</v>
          </cell>
        </row>
        <row r="1418">
          <cell r="A1418">
            <v>1467</v>
          </cell>
          <cell r="B1418" t="str">
            <v>ja</v>
          </cell>
          <cell r="C1418" t="str">
            <v>sapphire02</v>
          </cell>
          <cell r="H1418" t="str">
            <v>blue</v>
          </cell>
          <cell r="I1418">
            <v>6</v>
          </cell>
          <cell r="J1418" t="str">
            <v>DropWizS</v>
          </cell>
          <cell r="K1418" t="str">
            <v>attack</v>
          </cell>
          <cell r="L1418" t="str">
            <v>攻撃タイプ</v>
          </cell>
          <cell r="M1418" t="str">
            <v>human</v>
          </cell>
        </row>
        <row r="1419">
          <cell r="A1419">
            <v>1468</v>
          </cell>
          <cell r="B1419" t="str">
            <v>ja</v>
          </cell>
          <cell r="C1419" t="str">
            <v>emerald01</v>
          </cell>
          <cell r="H1419" t="str">
            <v>green</v>
          </cell>
          <cell r="I1419">
            <v>5</v>
          </cell>
          <cell r="J1419" t="str">
            <v>Drop2N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1469</v>
          </cell>
          <cell r="B1420" t="str">
            <v>ja</v>
          </cell>
          <cell r="C1420" t="str">
            <v>aquamarine01</v>
          </cell>
          <cell r="H1420" t="str">
            <v>yellow</v>
          </cell>
          <cell r="I1420">
            <v>5</v>
          </cell>
          <cell r="J1420" t="str">
            <v>Drop2N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1470</v>
          </cell>
          <cell r="B1421" t="str">
            <v>ja</v>
          </cell>
          <cell r="C1421" t="str">
            <v>amethyst01</v>
          </cell>
          <cell r="H1421" t="str">
            <v>red</v>
          </cell>
          <cell r="I1421">
            <v>5</v>
          </cell>
          <cell r="J1421" t="str">
            <v>Drop2N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1488</v>
          </cell>
          <cell r="B1422" t="str">
            <v>ja</v>
          </cell>
          <cell r="C1422" t="str">
            <v>バクR5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attack</v>
          </cell>
          <cell r="L1422" t="str">
            <v>攻撃タイプ</v>
          </cell>
          <cell r="M1422" t="str">
            <v>academia</v>
          </cell>
        </row>
        <row r="1423">
          <cell r="A1423">
            <v>1489</v>
          </cell>
          <cell r="B1423" t="str">
            <v>ja</v>
          </cell>
          <cell r="C1423" t="str">
            <v>バクR6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green</v>
          </cell>
          <cell r="I1423">
            <v>6</v>
          </cell>
          <cell r="J1423" t="str">
            <v>PremiumSSS</v>
          </cell>
          <cell r="K1423" t="str">
            <v>attack</v>
          </cell>
          <cell r="L1423" t="str">
            <v>攻撃タイプ</v>
          </cell>
          <cell r="M1423" t="str">
            <v>academia</v>
          </cell>
        </row>
        <row r="1424">
          <cell r="A1424">
            <v>1504</v>
          </cell>
          <cell r="B1424" t="str">
            <v>ja</v>
          </cell>
          <cell r="C1424" t="str">
            <v>magenta01</v>
          </cell>
          <cell r="H1424" t="str">
            <v>red</v>
          </cell>
          <cell r="I1424">
            <v>1</v>
          </cell>
          <cell r="J1424" t="str">
            <v>Drop1T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1505</v>
          </cell>
          <cell r="B1425" t="str">
            <v>ja</v>
          </cell>
          <cell r="C1425" t="str">
            <v>amber01</v>
          </cell>
          <cell r="H1425" t="str">
            <v>green</v>
          </cell>
          <cell r="I1425">
            <v>1</v>
          </cell>
          <cell r="J1425" t="str">
            <v>Drop1T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1506</v>
          </cell>
          <cell r="B1426" t="str">
            <v>ja</v>
          </cell>
          <cell r="C1426" t="str">
            <v>pumpkin01</v>
          </cell>
          <cell r="H1426" t="str">
            <v>yellow</v>
          </cell>
          <cell r="I1426">
            <v>2</v>
          </cell>
          <cell r="J1426" t="str">
            <v>Drop1S</v>
          </cell>
          <cell r="K1426" t="str">
            <v>attack</v>
          </cell>
          <cell r="L1426" t="str">
            <v>攻撃タイプ</v>
          </cell>
          <cell r="M1426" t="str">
            <v>unknown</v>
          </cell>
        </row>
        <row r="1427">
          <cell r="A1427">
            <v>1507</v>
          </cell>
          <cell r="B1427" t="str">
            <v>ja</v>
          </cell>
          <cell r="C1427" t="str">
            <v>rose01</v>
          </cell>
          <cell r="H1427" t="str">
            <v>blue</v>
          </cell>
          <cell r="I1427">
            <v>3</v>
          </cell>
          <cell r="J1427" t="str">
            <v>Drop2N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1508</v>
          </cell>
          <cell r="B1428" t="str">
            <v>ja</v>
          </cell>
          <cell r="C1428" t="str">
            <v>burgundy01</v>
          </cell>
          <cell r="H1428" t="str">
            <v>red</v>
          </cell>
          <cell r="I1428">
            <v>4</v>
          </cell>
          <cell r="J1428" t="str">
            <v>Drop2N</v>
          </cell>
          <cell r="K1428" t="str">
            <v>balance</v>
          </cell>
          <cell r="L1428" t="str">
            <v>バランスタイプ</v>
          </cell>
          <cell r="M1428" t="str">
            <v>unknown</v>
          </cell>
        </row>
        <row r="1429">
          <cell r="A1429">
            <v>1509</v>
          </cell>
          <cell r="B1429" t="str">
            <v>ja</v>
          </cell>
          <cell r="C1429" t="str">
            <v>cyan01</v>
          </cell>
          <cell r="H1429" t="str">
            <v>green</v>
          </cell>
          <cell r="I1429">
            <v>5</v>
          </cell>
          <cell r="J1429" t="str">
            <v>Drop2N</v>
          </cell>
          <cell r="K1429" t="str">
            <v>hp</v>
          </cell>
          <cell r="L1429" t="str">
            <v>体力タイプ</v>
          </cell>
          <cell r="M1429" t="str">
            <v>god</v>
          </cell>
        </row>
        <row r="1430">
          <cell r="A1430">
            <v>1510</v>
          </cell>
          <cell r="B1430" t="str">
            <v>ja</v>
          </cell>
          <cell r="C1430" t="str">
            <v>scarlet01</v>
          </cell>
          <cell r="H1430" t="str">
            <v>yellow</v>
          </cell>
          <cell r="I1430">
            <v>4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1511</v>
          </cell>
          <cell r="B1431" t="str">
            <v>ja</v>
          </cell>
          <cell r="C1431" t="str">
            <v>scarlet02</v>
          </cell>
          <cell r="H1431" t="str">
            <v>yellow</v>
          </cell>
          <cell r="I1431">
            <v>5</v>
          </cell>
          <cell r="J1431" t="str">
            <v>DropWizS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1512</v>
          </cell>
          <cell r="B1432" t="str">
            <v>ja</v>
          </cell>
          <cell r="C1432" t="str">
            <v>scarlet03</v>
          </cell>
          <cell r="H1432" t="str">
            <v>yellow</v>
          </cell>
          <cell r="I1432">
            <v>6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1513</v>
          </cell>
          <cell r="B1433" t="str">
            <v>ja</v>
          </cell>
          <cell r="C1433" t="str">
            <v>gold01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coin</v>
          </cell>
          <cell r="L1433" t="str">
            <v>コインタイプ</v>
          </cell>
          <cell r="M1433" t="str">
            <v>unknown</v>
          </cell>
        </row>
        <row r="1434">
          <cell r="A1434">
            <v>1514</v>
          </cell>
          <cell r="B1434" t="str">
            <v>ja</v>
          </cell>
          <cell r="C1434" t="str">
            <v>gold02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coin</v>
          </cell>
          <cell r="L1434" t="str">
            <v>コインタイプ</v>
          </cell>
          <cell r="M1434" t="str">
            <v>unknown</v>
          </cell>
        </row>
        <row r="1435">
          <cell r="A1435">
            <v>1515</v>
          </cell>
          <cell r="B1435" t="str">
            <v>ja</v>
          </cell>
          <cell r="C1435" t="str">
            <v>red01</v>
          </cell>
          <cell r="H1435" t="str">
            <v>red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1516</v>
          </cell>
          <cell r="B1436" t="str">
            <v>ja</v>
          </cell>
          <cell r="C1436" t="str">
            <v>red02</v>
          </cell>
          <cell r="H1436" t="str">
            <v>red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1517</v>
          </cell>
          <cell r="B1437" t="str">
            <v>ja</v>
          </cell>
          <cell r="C1437" t="str">
            <v>blue01</v>
          </cell>
          <cell r="H1437" t="str">
            <v>blue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1518</v>
          </cell>
          <cell r="B1438" t="str">
            <v>ja</v>
          </cell>
          <cell r="C1438" t="str">
            <v>blue02</v>
          </cell>
          <cell r="H1438" t="str">
            <v>blue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1519</v>
          </cell>
          <cell r="B1439" t="str">
            <v>ja</v>
          </cell>
          <cell r="C1439" t="str">
            <v>green01</v>
          </cell>
          <cell r="H1439" t="str">
            <v>green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1520</v>
          </cell>
          <cell r="B1440" t="str">
            <v>ja</v>
          </cell>
          <cell r="C1440" t="str">
            <v>green02</v>
          </cell>
          <cell r="H1440" t="str">
            <v>green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1521</v>
          </cell>
          <cell r="B1441" t="str">
            <v>ja</v>
          </cell>
          <cell r="C1441" t="str">
            <v>yellow01</v>
          </cell>
          <cell r="H1441" t="str">
            <v>yellow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1522</v>
          </cell>
          <cell r="B1442" t="str">
            <v>ja</v>
          </cell>
          <cell r="C1442" t="str">
            <v>yellow02</v>
          </cell>
          <cell r="H1442" t="str">
            <v>yellow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1523</v>
          </cell>
          <cell r="B1443" t="str">
            <v>ja</v>
          </cell>
          <cell r="C1443" t="str">
            <v>olive01</v>
          </cell>
          <cell r="H1443" t="str">
            <v>blue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1524</v>
          </cell>
          <cell r="B1444" t="str">
            <v>ja</v>
          </cell>
          <cell r="C1444" t="str">
            <v>olive02</v>
          </cell>
          <cell r="H1444" t="str">
            <v>blue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1525</v>
          </cell>
          <cell r="B1445" t="str">
            <v>ja</v>
          </cell>
          <cell r="C1445" t="str">
            <v>white01</v>
          </cell>
          <cell r="H1445" t="str">
            <v>red</v>
          </cell>
          <cell r="I1445">
            <v>5</v>
          </cell>
          <cell r="J1445" t="str">
            <v>DropWizSS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1526</v>
          </cell>
          <cell r="B1446" t="str">
            <v>ja</v>
          </cell>
          <cell r="C1446" t="str">
            <v>white02</v>
          </cell>
          <cell r="H1446" t="str">
            <v>red</v>
          </cell>
          <cell r="I1446">
            <v>6</v>
          </cell>
          <cell r="J1446" t="str">
            <v>DropWizSS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1527</v>
          </cell>
          <cell r="B1447" t="str">
            <v>ja</v>
          </cell>
          <cell r="C1447" t="str">
            <v>violet01</v>
          </cell>
          <cell r="H1447" t="str">
            <v>red</v>
          </cell>
          <cell r="I1447">
            <v>4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animal</v>
          </cell>
        </row>
        <row r="1448">
          <cell r="A1448">
            <v>1528</v>
          </cell>
          <cell r="B1448" t="str">
            <v>ja</v>
          </cell>
          <cell r="C1448" t="str">
            <v>violet02</v>
          </cell>
          <cell r="H1448" t="str">
            <v>red</v>
          </cell>
          <cell r="I1448">
            <v>5</v>
          </cell>
          <cell r="J1448" t="str">
            <v>PremiumS</v>
          </cell>
          <cell r="K1448" t="str">
            <v>attack</v>
          </cell>
          <cell r="L1448" t="str">
            <v>攻撃タイプ</v>
          </cell>
          <cell r="M1448" t="str">
            <v>animal</v>
          </cell>
        </row>
        <row r="1449">
          <cell r="A1449">
            <v>1529</v>
          </cell>
          <cell r="B1449" t="str">
            <v>ja</v>
          </cell>
          <cell r="C1449" t="str">
            <v>mint01</v>
          </cell>
          <cell r="H1449" t="str">
            <v>blue</v>
          </cell>
          <cell r="I1449">
            <v>4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unknown</v>
          </cell>
        </row>
        <row r="1450">
          <cell r="A1450">
            <v>1530</v>
          </cell>
          <cell r="B1450" t="str">
            <v>ja</v>
          </cell>
          <cell r="C1450" t="str">
            <v>mint02</v>
          </cell>
          <cell r="H1450" t="str">
            <v>blue</v>
          </cell>
          <cell r="I1450">
            <v>5</v>
          </cell>
          <cell r="J1450" t="str">
            <v>PremiumS</v>
          </cell>
          <cell r="K1450" t="str">
            <v>balance</v>
          </cell>
          <cell r="L1450" t="str">
            <v>バランスタイプ</v>
          </cell>
          <cell r="M1450" t="str">
            <v>unknown</v>
          </cell>
        </row>
        <row r="1451">
          <cell r="A1451">
            <v>1531</v>
          </cell>
          <cell r="B1451" t="str">
            <v>ja</v>
          </cell>
          <cell r="C1451" t="str">
            <v>gray01</v>
          </cell>
          <cell r="H1451" t="str">
            <v>green</v>
          </cell>
          <cell r="I1451">
            <v>4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animal</v>
          </cell>
        </row>
        <row r="1452">
          <cell r="A1452">
            <v>1532</v>
          </cell>
          <cell r="B1452" t="str">
            <v>ja</v>
          </cell>
          <cell r="C1452" t="str">
            <v>gray02</v>
          </cell>
          <cell r="H1452" t="str">
            <v>green</v>
          </cell>
          <cell r="I1452">
            <v>5</v>
          </cell>
          <cell r="J1452" t="str">
            <v>PremiumS</v>
          </cell>
          <cell r="K1452" t="str">
            <v>technical</v>
          </cell>
          <cell r="L1452" t="str">
            <v>テクニカルタイプ</v>
          </cell>
          <cell r="M1452" t="str">
            <v>animal</v>
          </cell>
        </row>
        <row r="1453">
          <cell r="A1453">
            <v>1533</v>
          </cell>
          <cell r="B1453" t="str">
            <v>ja</v>
          </cell>
          <cell r="C1453" t="str">
            <v>maroon01</v>
          </cell>
          <cell r="H1453" t="str">
            <v>yellow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1534</v>
          </cell>
          <cell r="B1454" t="str">
            <v>ja</v>
          </cell>
          <cell r="C1454" t="str">
            <v>maroon02</v>
          </cell>
          <cell r="H1454" t="str">
            <v>yellow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1535</v>
          </cell>
          <cell r="B1455" t="str">
            <v>ja</v>
          </cell>
          <cell r="C1455" t="str">
            <v>pink01</v>
          </cell>
          <cell r="H1455" t="str">
            <v>red</v>
          </cell>
          <cell r="I1455">
            <v>5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god</v>
          </cell>
        </row>
        <row r="1456">
          <cell r="A1456">
            <v>1536</v>
          </cell>
          <cell r="B1456" t="str">
            <v>ja</v>
          </cell>
          <cell r="C1456" t="str">
            <v>pink02</v>
          </cell>
          <cell r="H1456" t="str">
            <v>red</v>
          </cell>
          <cell r="I1456">
            <v>6</v>
          </cell>
          <cell r="J1456" t="str">
            <v>PremiumSS</v>
          </cell>
          <cell r="K1456" t="str">
            <v>technical</v>
          </cell>
          <cell r="L1456" t="str">
            <v>テクニカルタイプ</v>
          </cell>
          <cell r="M1456" t="str">
            <v>god</v>
          </cell>
        </row>
        <row r="1457">
          <cell r="A1457">
            <v>1537</v>
          </cell>
          <cell r="B1457" t="str">
            <v>ja</v>
          </cell>
          <cell r="C1457" t="str">
            <v>black01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attack</v>
          </cell>
          <cell r="L1457" t="str">
            <v>攻撃タイプ</v>
          </cell>
          <cell r="M1457" t="str">
            <v>unknown</v>
          </cell>
        </row>
        <row r="1458">
          <cell r="A1458">
            <v>1538</v>
          </cell>
          <cell r="B1458" t="str">
            <v>ja</v>
          </cell>
          <cell r="C1458" t="str">
            <v>black02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attack</v>
          </cell>
          <cell r="L1458" t="str">
            <v>攻撃タイプ</v>
          </cell>
          <cell r="M1458" t="str">
            <v>unknown</v>
          </cell>
        </row>
        <row r="1459">
          <cell r="A1459">
            <v>1539</v>
          </cell>
          <cell r="B1459" t="str">
            <v>ja</v>
          </cell>
          <cell r="C1459" t="str">
            <v>brown01</v>
          </cell>
          <cell r="H1459" t="str">
            <v>yellow</v>
          </cell>
          <cell r="I1459">
            <v>5</v>
          </cell>
          <cell r="J1459" t="str">
            <v>PremiumSS</v>
          </cell>
          <cell r="K1459" t="str">
            <v>attack</v>
          </cell>
          <cell r="L1459" t="str">
            <v>攻撃タイプ</v>
          </cell>
          <cell r="M1459" t="str">
            <v>god</v>
          </cell>
        </row>
        <row r="1460">
          <cell r="A1460">
            <v>1540</v>
          </cell>
          <cell r="B1460" t="str">
            <v>ja</v>
          </cell>
          <cell r="C1460" t="str">
            <v>brown02</v>
          </cell>
          <cell r="H1460" t="str">
            <v>yellow</v>
          </cell>
          <cell r="I1460">
            <v>6</v>
          </cell>
          <cell r="J1460" t="str">
            <v>PremiumSS</v>
          </cell>
          <cell r="K1460" t="str">
            <v>attack</v>
          </cell>
          <cell r="L1460" t="str">
            <v>攻撃タイプ</v>
          </cell>
          <cell r="M1460" t="str">
            <v>god</v>
          </cell>
        </row>
        <row r="1461">
          <cell r="A1461">
            <v>1541</v>
          </cell>
          <cell r="B1461" t="str">
            <v>ja</v>
          </cell>
          <cell r="C1461" t="str">
            <v>purple01</v>
          </cell>
          <cell r="H1461" t="str">
            <v>red</v>
          </cell>
          <cell r="I1461">
            <v>5</v>
          </cell>
          <cell r="J1461" t="str">
            <v>PremiumSSS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1542</v>
          </cell>
          <cell r="B1462" t="str">
            <v>ja</v>
          </cell>
          <cell r="C1462" t="str">
            <v>purple02</v>
          </cell>
          <cell r="H1462" t="str">
            <v>red</v>
          </cell>
          <cell r="I1462">
            <v>6</v>
          </cell>
          <cell r="J1462" t="str">
            <v>PremiumSSS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1543</v>
          </cell>
          <cell r="B1463" t="str">
            <v>ja</v>
          </cell>
          <cell r="C1463" t="str">
            <v>vanilla01</v>
          </cell>
          <cell r="H1463" t="str">
            <v>red</v>
          </cell>
          <cell r="I1463">
            <v>5</v>
          </cell>
          <cell r="J1463" t="str">
            <v>PremiumSS</v>
          </cell>
          <cell r="K1463" t="str">
            <v>balance</v>
          </cell>
          <cell r="L1463" t="str">
            <v>バランスタイプ</v>
          </cell>
          <cell r="M1463" t="str">
            <v>hero</v>
          </cell>
        </row>
        <row r="1464">
          <cell r="A1464">
            <v>1544</v>
          </cell>
          <cell r="B1464" t="str">
            <v>ja</v>
          </cell>
          <cell r="C1464" t="str">
            <v>vanilla02</v>
          </cell>
          <cell r="H1464" t="str">
            <v>red</v>
          </cell>
          <cell r="I1464">
            <v>6</v>
          </cell>
          <cell r="J1464" t="str">
            <v>PremiumSS</v>
          </cell>
          <cell r="K1464" t="str">
            <v>balance</v>
          </cell>
          <cell r="L1464" t="str">
            <v>バランスタイプ</v>
          </cell>
          <cell r="M1464" t="str">
            <v>hero</v>
          </cell>
        </row>
        <row r="1465">
          <cell r="A1465">
            <v>1545</v>
          </cell>
          <cell r="B1465" t="str">
            <v>ja</v>
          </cell>
          <cell r="C1465" t="str">
            <v>silver01</v>
          </cell>
          <cell r="H1465" t="str">
            <v>green</v>
          </cell>
          <cell r="I1465">
            <v>5</v>
          </cell>
          <cell r="J1465" t="str">
            <v>PremiumSS</v>
          </cell>
          <cell r="K1465" t="str">
            <v>hp</v>
          </cell>
          <cell r="L1465" t="str">
            <v>体力タイプ</v>
          </cell>
          <cell r="M1465" t="str">
            <v>unknown</v>
          </cell>
        </row>
        <row r="1466">
          <cell r="A1466">
            <v>1546</v>
          </cell>
          <cell r="B1466" t="str">
            <v>ja</v>
          </cell>
          <cell r="C1466" t="str">
            <v>silver02</v>
          </cell>
          <cell r="H1466" t="str">
            <v>green</v>
          </cell>
          <cell r="I1466">
            <v>6</v>
          </cell>
          <cell r="J1466" t="str">
            <v>PremiumSS</v>
          </cell>
          <cell r="K1466" t="str">
            <v>hp</v>
          </cell>
          <cell r="L1466" t="str">
            <v>体力タイプ</v>
          </cell>
          <cell r="M1466" t="str">
            <v>unknown</v>
          </cell>
        </row>
        <row r="1467">
          <cell r="A1467">
            <v>1547</v>
          </cell>
          <cell r="B1467" t="str">
            <v>ja</v>
          </cell>
          <cell r="C1467" t="str">
            <v>mauve01</v>
          </cell>
          <cell r="H1467" t="str">
            <v>green</v>
          </cell>
          <cell r="I1467">
            <v>4</v>
          </cell>
          <cell r="J1467" t="str">
            <v>Drop2N</v>
          </cell>
          <cell r="K1467" t="str">
            <v>hp</v>
          </cell>
          <cell r="L1467" t="str">
            <v>体力タイプ</v>
          </cell>
          <cell r="M1467" t="str">
            <v>animal</v>
          </cell>
        </row>
        <row r="1468">
          <cell r="A1468">
            <v>1548</v>
          </cell>
          <cell r="B1468" t="str">
            <v>ja</v>
          </cell>
          <cell r="C1468" t="str">
            <v>mauve02</v>
          </cell>
          <cell r="H1468" t="str">
            <v>green</v>
          </cell>
          <cell r="I1468">
            <v>5</v>
          </cell>
          <cell r="J1468" t="str">
            <v>Drop2N</v>
          </cell>
          <cell r="K1468" t="str">
            <v>hp</v>
          </cell>
          <cell r="L1468" t="str">
            <v>体力タイプ</v>
          </cell>
          <cell r="M1468" t="str">
            <v>animal</v>
          </cell>
        </row>
        <row r="1469">
          <cell r="A1469">
            <v>1549</v>
          </cell>
          <cell r="B1469" t="str">
            <v>ja</v>
          </cell>
          <cell r="C1469" t="str">
            <v>ochre01</v>
          </cell>
          <cell r="H1469" t="str">
            <v>green</v>
          </cell>
          <cell r="I1469">
            <v>5</v>
          </cell>
          <cell r="J1469" t="str">
            <v>DropWizS</v>
          </cell>
          <cell r="K1469" t="str">
            <v>balance</v>
          </cell>
          <cell r="L1469" t="str">
            <v>バランスタイプ</v>
          </cell>
          <cell r="M1469" t="str">
            <v>unknown</v>
          </cell>
        </row>
        <row r="1470">
          <cell r="A1470">
            <v>1550</v>
          </cell>
          <cell r="B1470" t="str">
            <v>ja</v>
          </cell>
          <cell r="C1470" t="str">
            <v>ochre02</v>
          </cell>
          <cell r="H1470" t="str">
            <v>green</v>
          </cell>
          <cell r="I1470">
            <v>6</v>
          </cell>
          <cell r="J1470" t="str">
            <v>DropWizS</v>
          </cell>
          <cell r="K1470" t="str">
            <v>balance</v>
          </cell>
          <cell r="L1470" t="str">
            <v>バランスタイプ</v>
          </cell>
          <cell r="M1470" t="str">
            <v>unknown</v>
          </cell>
        </row>
        <row r="1471">
          <cell r="A1471">
            <v>5001</v>
          </cell>
          <cell r="B1471" t="str">
            <v>ja</v>
          </cell>
          <cell r="C1471" t="str">
            <v>ガルーダ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5</v>
          </cell>
          <cell r="J1471" t="str">
            <v>PremiumSSw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5002</v>
          </cell>
          <cell r="B1472" t="str">
            <v>ja</v>
          </cell>
          <cell r="C1472" t="str">
            <v>ガルーダ★６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6</v>
          </cell>
          <cell r="J1472" t="str">
            <v>PremiumSSw</v>
          </cell>
          <cell r="K1472" t="str">
            <v>attack</v>
          </cell>
          <cell r="L1472" t="str">
            <v>攻撃タイプ</v>
          </cell>
          <cell r="M1472" t="str">
            <v>god</v>
          </cell>
        </row>
        <row r="1473">
          <cell r="A1473">
            <v>5003</v>
          </cell>
          <cell r="B1473" t="str">
            <v>ja</v>
          </cell>
          <cell r="C1473" t="str">
            <v>ナーガ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DropWizS</v>
          </cell>
          <cell r="K1473" t="str">
            <v>technical</v>
          </cell>
          <cell r="L1473" t="str">
            <v>テクニカルタイプ</v>
          </cell>
          <cell r="M1473" t="str">
            <v>animal</v>
          </cell>
        </row>
        <row r="1474">
          <cell r="A1474">
            <v>5004</v>
          </cell>
          <cell r="B1474" t="str">
            <v>ja</v>
          </cell>
          <cell r="C1474" t="str">
            <v>ナーガ★６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green</v>
          </cell>
          <cell r="I1474">
            <v>6</v>
          </cell>
          <cell r="J1474" t="str">
            <v>DropWizS</v>
          </cell>
          <cell r="K1474" t="str">
            <v>technical</v>
          </cell>
          <cell r="L1474" t="str">
            <v>テクニカルタイプ</v>
          </cell>
          <cell r="M1474" t="str">
            <v>animal</v>
          </cell>
        </row>
        <row r="1475">
          <cell r="A1475">
            <v>5005</v>
          </cell>
          <cell r="B1475" t="str">
            <v>ja</v>
          </cell>
          <cell r="C1475" t="str">
            <v>カーミラ</v>
          </cell>
          <cell r="D1475" t="str">
            <v>ノーマルクエスト</v>
          </cell>
          <cell r="E1475" t="str">
            <v>QoH</v>
          </cell>
          <cell r="F1475" t="str">
            <v>世界観</v>
          </cell>
          <cell r="G1475" t="str">
            <v>不明</v>
          </cell>
          <cell r="H1475" t="str">
            <v>green</v>
          </cell>
          <cell r="I1475">
            <v>5</v>
          </cell>
          <cell r="J1475" t="str">
            <v>PremiumSSw</v>
          </cell>
          <cell r="K1475" t="str">
            <v>balance</v>
          </cell>
          <cell r="L1475" t="str">
            <v>バランスタイプ</v>
          </cell>
          <cell r="M1475" t="str">
            <v>demon</v>
          </cell>
        </row>
        <row r="1476">
          <cell r="A1476">
            <v>5006</v>
          </cell>
          <cell r="B1476" t="str">
            <v>ja</v>
          </cell>
          <cell r="C1476" t="str">
            <v>カーミラ★６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男性</v>
          </cell>
          <cell r="H1476" t="str">
            <v>green</v>
          </cell>
          <cell r="I1476">
            <v>6</v>
          </cell>
          <cell r="J1476" t="str">
            <v>PremiumSSw</v>
          </cell>
          <cell r="K1476" t="str">
            <v>balance</v>
          </cell>
          <cell r="L1476" t="str">
            <v>バランスタイプ</v>
          </cell>
          <cell r="M1476" t="str">
            <v>demon</v>
          </cell>
        </row>
        <row r="1477">
          <cell r="A1477">
            <v>5007</v>
          </cell>
          <cell r="B1477" t="str">
            <v>ja</v>
          </cell>
          <cell r="C1477" t="str">
            <v>ヘルシング</v>
          </cell>
          <cell r="D1477" t="str">
            <v>リンクガチャ:4神</v>
          </cell>
          <cell r="E1477" t="str">
            <v>守護神</v>
          </cell>
          <cell r="F1477" t="str">
            <v>格好いい</v>
          </cell>
          <cell r="G1477" t="str">
            <v>不明</v>
          </cell>
          <cell r="H1477" t="str">
            <v>yellow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human</v>
          </cell>
        </row>
        <row r="1478">
          <cell r="A1478">
            <v>5008</v>
          </cell>
          <cell r="B1478" t="str">
            <v>ja</v>
          </cell>
          <cell r="C1478" t="str">
            <v>ヘルシング★６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不明</v>
          </cell>
          <cell r="H1478" t="str">
            <v>yellow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human</v>
          </cell>
        </row>
        <row r="1479">
          <cell r="A1479">
            <v>6001</v>
          </cell>
          <cell r="B1479" t="str">
            <v>ja</v>
          </cell>
          <cell r="C1479" t="str">
            <v>ジェリー</v>
          </cell>
          <cell r="D1479" t="str">
            <v>ノーマルクエスト</v>
          </cell>
          <cell r="E1479" t="str">
            <v>QoH</v>
          </cell>
          <cell r="F1479" t="str">
            <v>世界観</v>
          </cell>
          <cell r="G1479" t="str">
            <v>不明</v>
          </cell>
          <cell r="H1479" t="str">
            <v>red</v>
          </cell>
          <cell r="I1479">
            <v>1</v>
          </cell>
          <cell r="J1479" t="str">
            <v>Drop1T</v>
          </cell>
          <cell r="K1479" t="str">
            <v>ra</v>
          </cell>
          <cell r="L1479" t="str">
            <v>ラグランジュチャレンジ</v>
          </cell>
          <cell r="M1479" t="str">
            <v>unknown</v>
          </cell>
        </row>
        <row r="1480">
          <cell r="A1480">
            <v>6002</v>
          </cell>
          <cell r="B1480" t="str">
            <v>ja</v>
          </cell>
          <cell r="C1480" t="str">
            <v>ヨシタカ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男性</v>
          </cell>
          <cell r="H1480" t="str">
            <v>red</v>
          </cell>
          <cell r="I1480">
            <v>2</v>
          </cell>
          <cell r="J1480" t="str">
            <v>Drop1N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6003</v>
          </cell>
          <cell r="B1481" t="str">
            <v>ja</v>
          </cell>
          <cell r="C1481" t="str">
            <v>朱雀</v>
          </cell>
          <cell r="D1481" t="str">
            <v>リンクガチャ:4神</v>
          </cell>
          <cell r="E1481" t="str">
            <v>守護神</v>
          </cell>
          <cell r="F1481" t="str">
            <v>格好いい</v>
          </cell>
          <cell r="G1481" t="str">
            <v>不明</v>
          </cell>
          <cell r="H1481" t="str">
            <v>red</v>
          </cell>
          <cell r="I1481">
            <v>3</v>
          </cell>
          <cell r="J1481" t="str">
            <v>Drop2N</v>
          </cell>
          <cell r="K1481" t="str">
            <v>ra</v>
          </cell>
          <cell r="L1481" t="str">
            <v>ラグランジュチャレンジ</v>
          </cell>
          <cell r="M1481" t="str">
            <v>animal</v>
          </cell>
        </row>
        <row r="1482">
          <cell r="A1482">
            <v>6004</v>
          </cell>
          <cell r="B1482" t="str">
            <v>ja</v>
          </cell>
          <cell r="C1482" t="str">
            <v>ブレット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不明</v>
          </cell>
          <cell r="H1482" t="str">
            <v>red</v>
          </cell>
          <cell r="I1482">
            <v>1</v>
          </cell>
          <cell r="J1482" t="str">
            <v>Drop1W</v>
          </cell>
          <cell r="K1482" t="str">
            <v>ra</v>
          </cell>
          <cell r="L1482" t="str">
            <v>ラグランジュチャレンジ</v>
          </cell>
          <cell r="M1482" t="str">
            <v>animal</v>
          </cell>
        </row>
        <row r="1483">
          <cell r="A1483">
            <v>6005</v>
          </cell>
          <cell r="B1483" t="str">
            <v>ja</v>
          </cell>
          <cell r="C1483" t="str">
            <v>孤神 テティス</v>
          </cell>
          <cell r="D1483" t="str">
            <v>初期ガチャ</v>
          </cell>
          <cell r="E1483" t="str">
            <v>管理者</v>
          </cell>
          <cell r="F1483" t="str">
            <v>美しい</v>
          </cell>
          <cell r="G1483" t="str">
            <v>女性</v>
          </cell>
          <cell r="H1483" t="str">
            <v>blue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god</v>
          </cell>
        </row>
        <row r="1484">
          <cell r="A1484">
            <v>6006</v>
          </cell>
          <cell r="B1484" t="str">
            <v>ja</v>
          </cell>
          <cell r="C1484" t="str">
            <v>海底の孤高神 テティス</v>
          </cell>
          <cell r="D1484" t="str">
            <v>初期ガチャ</v>
          </cell>
          <cell r="E1484" t="str">
            <v>管理者</v>
          </cell>
          <cell r="F1484" t="str">
            <v>美しい</v>
          </cell>
          <cell r="G1484" t="str">
            <v>女性</v>
          </cell>
          <cell r="H1484" t="str">
            <v>blue</v>
          </cell>
          <cell r="I1484">
            <v>5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6007</v>
          </cell>
          <cell r="B1485" t="str">
            <v>ja</v>
          </cell>
          <cell r="C1485" t="str">
            <v>番犬 ケルベロス</v>
          </cell>
          <cell r="D1485" t="str">
            <v>初期ガチャ</v>
          </cell>
          <cell r="E1485" t="str">
            <v>破界者</v>
          </cell>
          <cell r="F1485" t="str">
            <v>可愛い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PremiumN</v>
          </cell>
          <cell r="K1485" t="str">
            <v>ra</v>
          </cell>
          <cell r="L1485" t="str">
            <v>ラグランジュチャレンジ</v>
          </cell>
          <cell r="M1485" t="str">
            <v>animal</v>
          </cell>
        </row>
        <row r="1486">
          <cell r="A1486">
            <v>6008</v>
          </cell>
          <cell r="B1486" t="str">
            <v>ja</v>
          </cell>
          <cell r="C1486" t="str">
            <v>焔神 プロメテウス</v>
          </cell>
          <cell r="D1486" t="str">
            <v>初期ガチャ</v>
          </cell>
          <cell r="E1486" t="str">
            <v>管理者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PremiumN</v>
          </cell>
          <cell r="K1486" t="str">
            <v>ra</v>
          </cell>
          <cell r="L1486" t="str">
            <v>ラグランジュチャレンジ</v>
          </cell>
          <cell r="M1486" t="str">
            <v>god</v>
          </cell>
        </row>
        <row r="1487">
          <cell r="A1487">
            <v>6009</v>
          </cell>
          <cell r="B1487" t="str">
            <v>ja</v>
          </cell>
          <cell r="C1487" t="str">
            <v>超越自我 ラグランジュ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red</v>
          </cell>
          <cell r="I1487">
            <v>5</v>
          </cell>
          <cell r="J1487" t="str">
            <v>PremiumSSS</v>
          </cell>
          <cell r="K1487" t="str">
            <v>ra</v>
          </cell>
          <cell r="L1487" t="str">
            <v>ラグランジュチャレンジ</v>
          </cell>
          <cell r="M1487" t="str">
            <v>human</v>
          </cell>
        </row>
        <row r="1488">
          <cell r="A1488">
            <v>6010</v>
          </cell>
          <cell r="B1488" t="str">
            <v>ja</v>
          </cell>
          <cell r="C1488" t="str">
            <v>超越凌駕 ラグランジュ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red</v>
          </cell>
          <cell r="I1488">
            <v>6</v>
          </cell>
          <cell r="J1488" t="str">
            <v>PremiumSSS</v>
          </cell>
          <cell r="K1488" t="str">
            <v>ra</v>
          </cell>
          <cell r="L1488" t="str">
            <v>ラグランジュチャレンジ</v>
          </cell>
          <cell r="M1488" t="str">
            <v>human</v>
          </cell>
        </row>
        <row r="1489">
          <cell r="A1489">
            <v>6011</v>
          </cell>
          <cell r="B1489" t="str">
            <v>ja</v>
          </cell>
          <cell r="C1489" t="str">
            <v>パトドッグリーダー ポチ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Drop1T</v>
          </cell>
          <cell r="K1489" t="str">
            <v>ra002</v>
          </cell>
          <cell r="L1489" t="str">
            <v>ユークリッドチャレンジ</v>
          </cell>
          <cell r="M1489" t="str">
            <v>unknown</v>
          </cell>
        </row>
        <row r="1490">
          <cell r="A1490">
            <v>6012</v>
          </cell>
          <cell r="B1490" t="str">
            <v>ja</v>
          </cell>
          <cell r="C1490" t="str">
            <v>ミミ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yellow</v>
          </cell>
          <cell r="I1490">
            <v>1</v>
          </cell>
          <cell r="J1490" t="str">
            <v>Drop1W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6013</v>
          </cell>
          <cell r="B1491" t="str">
            <v>ja</v>
          </cell>
          <cell r="C1491" t="str">
            <v>護衛機人 スケアクロウ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2</v>
          </cell>
          <cell r="J1491" t="str">
            <v>Drop1N</v>
          </cell>
          <cell r="K1491" t="str">
            <v>ra002</v>
          </cell>
          <cell r="L1491" t="str">
            <v>ユークリッドチャレンジ</v>
          </cell>
          <cell r="M1491" t="str">
            <v>machine</v>
          </cell>
        </row>
        <row r="1492">
          <cell r="A1492">
            <v>6014</v>
          </cell>
          <cell r="B1492" t="str">
            <v>ja</v>
          </cell>
          <cell r="C1492" t="str">
            <v>月下の人狼 ローレンス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4</v>
          </cell>
          <cell r="J1492" t="str">
            <v>PremiumW</v>
          </cell>
          <cell r="K1492" t="str">
            <v>ra002</v>
          </cell>
          <cell r="L1492" t="str">
            <v>ユークリッドチャレンジ</v>
          </cell>
          <cell r="M1492" t="str">
            <v>animal</v>
          </cell>
        </row>
        <row r="1493">
          <cell r="A1493">
            <v>6015</v>
          </cell>
          <cell r="B1493" t="str">
            <v>ja</v>
          </cell>
          <cell r="C1493" t="str">
            <v>フレイヤ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4</v>
          </cell>
          <cell r="J1493" t="str">
            <v>PremiumSS</v>
          </cell>
          <cell r="K1493" t="str">
            <v>ra002</v>
          </cell>
          <cell r="L1493" t="str">
            <v>ユークリッドチャレンジ</v>
          </cell>
          <cell r="M1493" t="str">
            <v>animal</v>
          </cell>
        </row>
        <row r="1494">
          <cell r="A1494">
            <v>6016</v>
          </cell>
          <cell r="B1494" t="str">
            <v>ja</v>
          </cell>
          <cell r="C1494" t="str">
            <v>根原論理 ユークリッド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blue</v>
          </cell>
          <cell r="I1494">
            <v>5</v>
          </cell>
          <cell r="J1494" t="str">
            <v>PremiumSSS</v>
          </cell>
          <cell r="K1494" t="str">
            <v>ra002</v>
          </cell>
          <cell r="L1494" t="str">
            <v>ユークリッドチャレンジ</v>
          </cell>
          <cell r="M1494" t="str">
            <v>human</v>
          </cell>
        </row>
        <row r="1495">
          <cell r="A1495">
            <v>6017</v>
          </cell>
          <cell r="B1495" t="str">
            <v>ja</v>
          </cell>
          <cell r="C1495" t="str">
            <v>不朽の極論 ユークリッド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6</v>
          </cell>
          <cell r="J1495" t="str">
            <v>PremiumSSS</v>
          </cell>
          <cell r="K1495" t="str">
            <v>ra002</v>
          </cell>
          <cell r="L1495" t="str">
            <v>ユークリッドチャレンジ</v>
          </cell>
          <cell r="M1495" t="str">
            <v>human</v>
          </cell>
        </row>
        <row r="1496">
          <cell r="A1496">
            <v>6018</v>
          </cell>
          <cell r="B1496" t="str">
            <v>ja</v>
          </cell>
          <cell r="C1496" t="str">
            <v>ハヅル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red</v>
          </cell>
          <cell r="I1496">
            <v>4</v>
          </cell>
          <cell r="J1496" t="str">
            <v>PremiumSS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6019</v>
          </cell>
          <cell r="B1497" t="str">
            <v>ja</v>
          </cell>
          <cell r="C1497" t="str">
            <v>天織羽鶴 ハヅル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ra002</v>
          </cell>
          <cell r="L1497" t="str">
            <v>ユークリッドチャレンジ</v>
          </cell>
          <cell r="M1497" t="str">
            <v>animal</v>
          </cell>
        </row>
        <row r="1498">
          <cell r="A1498">
            <v>6020</v>
          </cell>
          <cell r="B1498" t="str">
            <v>ja</v>
          </cell>
          <cell r="C1498" t="str">
            <v>ミズチ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PremiumS</v>
          </cell>
          <cell r="K1498" t="str">
            <v>ra002</v>
          </cell>
          <cell r="L1498" t="str">
            <v>ユークリッドチャレンジ</v>
          </cell>
          <cell r="M1498" t="str">
            <v>dragon</v>
          </cell>
        </row>
        <row r="1499">
          <cell r="A1499">
            <v>8001</v>
          </cell>
          <cell r="B1499" t="str">
            <v>ja</v>
          </cell>
          <cell r="C1499" t="str">
            <v>媽祖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8002</v>
          </cell>
          <cell r="B1500" t="str">
            <v>ja</v>
          </cell>
          <cell r="C1500" t="str">
            <v>宣導する天海妃 媽祖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8003</v>
          </cell>
          <cell r="B1501" t="str">
            <v>ja</v>
          </cell>
          <cell r="C1501" t="str">
            <v>蛟龍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hp</v>
          </cell>
          <cell r="L1501" t="str">
            <v>体力タイプ</v>
          </cell>
          <cell r="M1501" t="str">
            <v>dragon</v>
          </cell>
        </row>
        <row r="1502">
          <cell r="A1502">
            <v>8004</v>
          </cell>
          <cell r="B1502" t="str">
            <v>ja</v>
          </cell>
          <cell r="C1502" t="str">
            <v>呼嵐の蒼棲龍 蛟龍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hp</v>
          </cell>
          <cell r="L1502" t="str">
            <v>体力タイプ</v>
          </cell>
          <cell r="M1502" t="str">
            <v>dragon</v>
          </cell>
        </row>
        <row r="1503">
          <cell r="A1503">
            <v>8005</v>
          </cell>
          <cell r="B1503" t="str">
            <v>ja</v>
          </cell>
          <cell r="C1503" t="str">
            <v>三蔵法師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blue</v>
          </cell>
          <cell r="I1503">
            <v>5</v>
          </cell>
          <cell r="J1503" t="str">
            <v>PremiumSS</v>
          </cell>
          <cell r="K1503" t="str">
            <v>balance</v>
          </cell>
          <cell r="L1503" t="str">
            <v>バランスタイプ</v>
          </cell>
          <cell r="M1503" t="str">
            <v>human</v>
          </cell>
        </row>
        <row r="1504">
          <cell r="A1504">
            <v>8006</v>
          </cell>
          <cell r="B1504" t="str">
            <v>ja</v>
          </cell>
          <cell r="C1504" t="str">
            <v>慈戒の呪封使 三蔵法師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blue</v>
          </cell>
          <cell r="I1504">
            <v>6</v>
          </cell>
          <cell r="J1504" t="str">
            <v>PremiumSS</v>
          </cell>
          <cell r="K1504" t="str">
            <v>balance</v>
          </cell>
          <cell r="L1504" t="str">
            <v>バランスタイプ</v>
          </cell>
          <cell r="M1504" t="str">
            <v>human</v>
          </cell>
        </row>
        <row r="1505">
          <cell r="A1505">
            <v>8007</v>
          </cell>
          <cell r="B1505" t="str">
            <v>ja</v>
          </cell>
          <cell r="C1505" t="str">
            <v>孫悟空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attack</v>
          </cell>
          <cell r="L1505" t="str">
            <v>攻撃タイプ</v>
          </cell>
          <cell r="M1505" t="str">
            <v>animal</v>
          </cell>
        </row>
        <row r="1506">
          <cell r="A1506">
            <v>8008</v>
          </cell>
          <cell r="B1506" t="str">
            <v>ja</v>
          </cell>
          <cell r="C1506" t="str">
            <v>花果の天猿仙人 孫悟空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8009</v>
          </cell>
          <cell r="B1507" t="str">
            <v>ja</v>
          </cell>
          <cell r="C1507" t="str">
            <v>西王娘娘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green</v>
          </cell>
          <cell r="I1507">
            <v>5</v>
          </cell>
          <cell r="J1507" t="str">
            <v>PremiumSS</v>
          </cell>
          <cell r="K1507" t="str">
            <v>attack</v>
          </cell>
          <cell r="L1507" t="str">
            <v>攻撃タイプ</v>
          </cell>
          <cell r="M1507" t="str">
            <v>god</v>
          </cell>
        </row>
        <row r="1508">
          <cell r="A1508">
            <v>8010</v>
          </cell>
          <cell r="B1508" t="str">
            <v>ja</v>
          </cell>
          <cell r="C1508" t="str">
            <v>極楽瑶池の聖母 西王娘娘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green</v>
          </cell>
          <cell r="I1508">
            <v>6</v>
          </cell>
          <cell r="J1508" t="str">
            <v>PremiumSS</v>
          </cell>
          <cell r="K1508" t="str">
            <v>attack</v>
          </cell>
          <cell r="L1508" t="str">
            <v>攻撃タイプ</v>
          </cell>
          <cell r="M1508" t="str">
            <v>god</v>
          </cell>
        </row>
        <row r="1509">
          <cell r="A1509">
            <v>8011</v>
          </cell>
          <cell r="B1509" t="str">
            <v>ja</v>
          </cell>
          <cell r="C1509" t="str">
            <v>月下老人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god</v>
          </cell>
        </row>
        <row r="1510">
          <cell r="A1510">
            <v>8012</v>
          </cell>
          <cell r="B1510" t="str">
            <v>ja</v>
          </cell>
          <cell r="C1510" t="str">
            <v>破戀斬る縁剣 月下老人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6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god</v>
          </cell>
        </row>
        <row r="1511">
          <cell r="A1511">
            <v>8013</v>
          </cell>
          <cell r="B1511" t="str">
            <v>ja</v>
          </cell>
          <cell r="C1511" t="str">
            <v>初音ミクV3</v>
          </cell>
          <cell r="D1511" t="str">
            <v>初音ミクV3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unknown</v>
          </cell>
        </row>
        <row r="1512">
          <cell r="A1512">
            <v>8014</v>
          </cell>
          <cell r="B1512" t="str">
            <v>ja</v>
          </cell>
          <cell r="C1512" t="str">
            <v>初音ミクV3</v>
          </cell>
          <cell r="D1512" t="str">
            <v>初音ミクV3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unknown</v>
          </cell>
        </row>
        <row r="1513">
          <cell r="A1513">
            <v>8015</v>
          </cell>
          <cell r="B1513" t="str">
            <v>ja</v>
          </cell>
          <cell r="C1513" t="str">
            <v>初音ミク・アペンド</v>
          </cell>
          <cell r="D1513" t="str">
            <v>初音ミク・アペンド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technical</v>
          </cell>
          <cell r="L1513" t="str">
            <v>テクニカルタイプ</v>
          </cell>
          <cell r="M1513" t="str">
            <v>unknown</v>
          </cell>
        </row>
        <row r="1514">
          <cell r="A1514">
            <v>8016</v>
          </cell>
          <cell r="B1514" t="str">
            <v>ja</v>
          </cell>
          <cell r="C1514" t="str">
            <v>初音ミク・アペンド</v>
          </cell>
          <cell r="D1514" t="str">
            <v>初音ミク・アペンド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unknown</v>
          </cell>
        </row>
        <row r="1515">
          <cell r="A1515">
            <v>8017</v>
          </cell>
          <cell r="B1515" t="str">
            <v>ja</v>
          </cell>
          <cell r="C1515" t="str">
            <v>初音ミク</v>
          </cell>
          <cell r="D1515" t="str">
            <v>初音ミク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green</v>
          </cell>
          <cell r="I1515">
            <v>4</v>
          </cell>
          <cell r="J1515" t="str">
            <v>PremiumSSS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8018</v>
          </cell>
          <cell r="B1516" t="str">
            <v>ja</v>
          </cell>
          <cell r="C1516" t="str">
            <v>初音ミク</v>
          </cell>
          <cell r="D1516" t="str">
            <v>初音ミク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green</v>
          </cell>
          <cell r="I1516">
            <v>5</v>
          </cell>
          <cell r="J1516" t="str">
            <v>PremiumSSS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8019</v>
          </cell>
          <cell r="B1517" t="str">
            <v>ja</v>
          </cell>
          <cell r="C1517" t="str">
            <v>鏡音リン</v>
          </cell>
          <cell r="D1517" t="str">
            <v>鏡音リン</v>
          </cell>
          <cell r="E1517" t="str">
            <v>執行者</v>
          </cell>
          <cell r="F1517" t="str">
            <v>格好いい</v>
          </cell>
          <cell r="G1517" t="str">
            <v>男性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8020</v>
          </cell>
          <cell r="B1518" t="str">
            <v>ja</v>
          </cell>
          <cell r="C1518" t="str">
            <v>鏡音リン</v>
          </cell>
          <cell r="D1518" t="str">
            <v>鏡音リン</v>
          </cell>
          <cell r="E1518" t="str">
            <v>執行者</v>
          </cell>
          <cell r="F1518" t="str">
            <v>格好いい</v>
          </cell>
          <cell r="G1518" t="str">
            <v>男性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8021</v>
          </cell>
          <cell r="B1519" t="str">
            <v>ja</v>
          </cell>
          <cell r="C1519" t="str">
            <v>鏡音レン</v>
          </cell>
          <cell r="D1519" t="str">
            <v>鏡音レン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yellow</v>
          </cell>
          <cell r="I1519">
            <v>4</v>
          </cell>
          <cell r="J1519" t="str">
            <v>PremiumSS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8022</v>
          </cell>
          <cell r="B1520" t="str">
            <v>ja</v>
          </cell>
          <cell r="C1520" t="str">
            <v>鏡音レン</v>
          </cell>
          <cell r="D1520" t="str">
            <v>鏡音レン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yellow</v>
          </cell>
          <cell r="I1520">
            <v>5</v>
          </cell>
          <cell r="J1520" t="str">
            <v>PremiumSS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8023</v>
          </cell>
          <cell r="B1521" t="str">
            <v>ja</v>
          </cell>
          <cell r="C1521" t="str">
            <v>巡音ルカ</v>
          </cell>
          <cell r="D1521" t="str">
            <v>巡音ルカ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attack</v>
          </cell>
          <cell r="L1521" t="str">
            <v>攻撃タイプ</v>
          </cell>
          <cell r="M1521" t="str">
            <v>unknown</v>
          </cell>
        </row>
        <row r="1522">
          <cell r="A1522">
            <v>8024</v>
          </cell>
          <cell r="B1522" t="str">
            <v>ja</v>
          </cell>
          <cell r="C1522" t="str">
            <v>巡音ルカ</v>
          </cell>
          <cell r="D1522" t="str">
            <v>巡音ルカ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attack</v>
          </cell>
          <cell r="L1522" t="str">
            <v>攻撃タイプ</v>
          </cell>
          <cell r="M1522" t="str">
            <v>unknown</v>
          </cell>
        </row>
        <row r="1523">
          <cell r="A1523">
            <v>8025</v>
          </cell>
          <cell r="B1523" t="str">
            <v>ja</v>
          </cell>
          <cell r="C1523" t="str">
            <v>MEIKO</v>
          </cell>
          <cell r="D1523" t="str">
            <v>MEIKO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red</v>
          </cell>
          <cell r="I1523">
            <v>3</v>
          </cell>
          <cell r="J1523" t="str">
            <v>PremiumS</v>
          </cell>
          <cell r="K1523" t="str">
            <v>hp</v>
          </cell>
          <cell r="L1523" t="str">
            <v>体力タイプ</v>
          </cell>
          <cell r="M1523" t="str">
            <v>unknown</v>
          </cell>
        </row>
        <row r="1524">
          <cell r="A1524">
            <v>8026</v>
          </cell>
          <cell r="B1524" t="str">
            <v>ja</v>
          </cell>
          <cell r="C1524" t="str">
            <v>MEIKO</v>
          </cell>
          <cell r="D1524" t="str">
            <v>MEIKO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hp</v>
          </cell>
          <cell r="L1524" t="str">
            <v>体力タイプ</v>
          </cell>
          <cell r="M1524" t="str">
            <v>unknown</v>
          </cell>
        </row>
        <row r="1525">
          <cell r="A1525">
            <v>8027</v>
          </cell>
          <cell r="B1525" t="str">
            <v>ja</v>
          </cell>
          <cell r="C1525" t="str">
            <v>KAITO</v>
          </cell>
          <cell r="D1525" t="str">
            <v>KAITO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unknown</v>
          </cell>
        </row>
        <row r="1526">
          <cell r="A1526">
            <v>8028</v>
          </cell>
          <cell r="B1526" t="str">
            <v>ja</v>
          </cell>
          <cell r="C1526" t="str">
            <v>KAITO</v>
          </cell>
          <cell r="D1526" t="str">
            <v>KAITO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unknown</v>
          </cell>
        </row>
        <row r="1527">
          <cell r="A1527">
            <v>8029</v>
          </cell>
          <cell r="B1527" t="str">
            <v>ja</v>
          </cell>
          <cell r="C1527" t="str">
            <v>Expoミク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Drop2N</v>
          </cell>
          <cell r="K1527" t="str">
            <v>heal</v>
          </cell>
          <cell r="L1527" t="str">
            <v>回復タイプ</v>
          </cell>
          <cell r="M1527" t="str">
            <v>unknown</v>
          </cell>
        </row>
        <row r="1528">
          <cell r="A1528">
            <v>8030</v>
          </cell>
          <cell r="B1528" t="str">
            <v>ja</v>
          </cell>
          <cell r="C1528" t="str">
            <v>Expoミク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5</v>
          </cell>
          <cell r="J1528" t="str">
            <v>Drop2N</v>
          </cell>
          <cell r="K1528" t="str">
            <v>heal</v>
          </cell>
          <cell r="L1528" t="str">
            <v>回復タイプ</v>
          </cell>
          <cell r="M1528" t="str">
            <v>unknown</v>
          </cell>
        </row>
        <row r="1529">
          <cell r="A1529">
            <v>8031</v>
          </cell>
          <cell r="B1529" t="str">
            <v>ja</v>
          </cell>
          <cell r="C1529" t="str">
            <v>閻羅王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red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god</v>
          </cell>
        </row>
        <row r="1530">
          <cell r="A1530">
            <v>8032</v>
          </cell>
          <cell r="B1530" t="str">
            <v>ja</v>
          </cell>
          <cell r="C1530" t="str">
            <v>六道輪廻の絶獄 閻羅王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red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god</v>
          </cell>
        </row>
        <row r="1531">
          <cell r="A1531">
            <v>8033</v>
          </cell>
          <cell r="B1531" t="str">
            <v>ja</v>
          </cell>
          <cell r="C1531" t="str">
            <v>牛頭馬面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green</v>
          </cell>
          <cell r="I1531">
            <v>5</v>
          </cell>
          <cell r="J1531" t="str">
            <v>DropWizS</v>
          </cell>
          <cell r="K1531" t="str">
            <v>attack</v>
          </cell>
          <cell r="L1531" t="str">
            <v>攻撃タイプ</v>
          </cell>
          <cell r="M1531" t="str">
            <v>god</v>
          </cell>
        </row>
        <row r="1532">
          <cell r="A1532">
            <v>8034</v>
          </cell>
          <cell r="B1532" t="str">
            <v>ja</v>
          </cell>
          <cell r="C1532" t="str">
            <v>冥府狩る魂使 牛頭馬面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green</v>
          </cell>
          <cell r="I1532">
            <v>6</v>
          </cell>
          <cell r="J1532" t="str">
            <v>DropWizS</v>
          </cell>
          <cell r="K1532" t="str">
            <v>attack</v>
          </cell>
          <cell r="L1532" t="str">
            <v>攻撃タイプ</v>
          </cell>
          <cell r="M1532" t="str">
            <v>god</v>
          </cell>
        </row>
        <row r="1533">
          <cell r="A1533">
            <v>8035</v>
          </cell>
          <cell r="B1533" t="str">
            <v>ja</v>
          </cell>
          <cell r="C1533" t="str">
            <v>飛衛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5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human</v>
          </cell>
        </row>
        <row r="1534">
          <cell r="A1534">
            <v>8036</v>
          </cell>
          <cell r="B1534" t="str">
            <v>ja</v>
          </cell>
          <cell r="C1534" t="str">
            <v>レア６飛衛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human</v>
          </cell>
        </row>
        <row r="1535">
          <cell r="A1535">
            <v>8037</v>
          </cell>
          <cell r="B1535" t="str">
            <v>ja</v>
          </cell>
          <cell r="C1535" t="str">
            <v>紀昌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attack</v>
          </cell>
          <cell r="L1535" t="str">
            <v>攻撃タイプ</v>
          </cell>
          <cell r="M1535" t="str">
            <v>human</v>
          </cell>
        </row>
        <row r="1536">
          <cell r="A1536">
            <v>8038</v>
          </cell>
          <cell r="B1536" t="str">
            <v>ja</v>
          </cell>
          <cell r="C1536" t="str">
            <v>レア６紀昌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human</v>
          </cell>
        </row>
        <row r="1537">
          <cell r="A1537">
            <v>8039</v>
          </cell>
          <cell r="B1537" t="str">
            <v>ja</v>
          </cell>
          <cell r="C1537" t="str">
            <v>何仙姑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yellow</v>
          </cell>
          <cell r="I1537">
            <v>5</v>
          </cell>
          <cell r="J1537" t="str">
            <v>PremiumSSw</v>
          </cell>
          <cell r="K1537" t="str">
            <v>hp</v>
          </cell>
          <cell r="L1537" t="str">
            <v>体力タイプ</v>
          </cell>
          <cell r="M1537" t="str">
            <v>god</v>
          </cell>
        </row>
        <row r="1538">
          <cell r="A1538">
            <v>8040</v>
          </cell>
          <cell r="B1538" t="str">
            <v>ja</v>
          </cell>
          <cell r="C1538" t="str">
            <v>レア６何仙姑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yellow</v>
          </cell>
          <cell r="I1538">
            <v>6</v>
          </cell>
          <cell r="J1538" t="str">
            <v>PremiumSSw</v>
          </cell>
          <cell r="K1538" t="str">
            <v>hp</v>
          </cell>
          <cell r="L1538" t="str">
            <v>体力タイプ</v>
          </cell>
          <cell r="M1538" t="str">
            <v>god</v>
          </cell>
        </row>
        <row r="1539">
          <cell r="A1539">
            <v>8041</v>
          </cell>
          <cell r="B1539" t="str">
            <v>ja</v>
          </cell>
          <cell r="C1539" t="str">
            <v>藍采和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god</v>
          </cell>
        </row>
        <row r="1540">
          <cell r="A1540">
            <v>8042</v>
          </cell>
          <cell r="B1540" t="str">
            <v>ja</v>
          </cell>
          <cell r="C1540" t="str">
            <v>レア６藍采和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god</v>
          </cell>
        </row>
        <row r="1541">
          <cell r="A1541">
            <v>8043</v>
          </cell>
          <cell r="B1541" t="str">
            <v>ja</v>
          </cell>
          <cell r="C1541" t="str">
            <v>サンリオキャラ大集合+アザゼル</v>
          </cell>
          <cell r="D1541" t="str">
            <v>サンリオキャラ大集合+アザゼル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8044</v>
          </cell>
          <cell r="B1542" t="str">
            <v>ja</v>
          </cell>
          <cell r="C1542" t="str">
            <v>サンリオキャラ大集合+アザゼル</v>
          </cell>
          <cell r="D1542" t="str">
            <v>サンリオキャラ大集合+アザゼル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8045</v>
          </cell>
          <cell r="B1543" t="str">
            <v>ja</v>
          </cell>
          <cell r="C1543" t="str">
            <v>ニムダ_サンリオキャラ混じり</v>
          </cell>
          <cell r="D1543" t="str">
            <v>ニムダ_サンリオキャラ混じり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4</v>
          </cell>
          <cell r="J1543" t="str">
            <v>Drop2N</v>
          </cell>
          <cell r="K1543" t="str">
            <v>technical</v>
          </cell>
          <cell r="L1543" t="str">
            <v>テクニカルタイプ</v>
          </cell>
          <cell r="M1543" t="str">
            <v>ss</v>
          </cell>
        </row>
        <row r="1544">
          <cell r="A1544">
            <v>8046</v>
          </cell>
          <cell r="B1544" t="str">
            <v>ja</v>
          </cell>
          <cell r="C1544" t="str">
            <v>ニムダ_サンリオキャラ混じり</v>
          </cell>
          <cell r="D1544" t="str">
            <v>ニムダ_サンリオキャラ混じり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5</v>
          </cell>
          <cell r="J1544" t="str">
            <v>Drop2N</v>
          </cell>
          <cell r="K1544" t="str">
            <v>technical</v>
          </cell>
          <cell r="L1544" t="str">
            <v>テクニカルタイプ</v>
          </cell>
          <cell r="M1544" t="str">
            <v>ss</v>
          </cell>
        </row>
        <row r="1545">
          <cell r="A1545">
            <v>8047</v>
          </cell>
          <cell r="B1545" t="str">
            <v>ja</v>
          </cell>
          <cell r="C1545" t="str">
            <v>ハローキティ</v>
          </cell>
          <cell r="D1545" t="str">
            <v>ハローキティ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balance</v>
          </cell>
          <cell r="L1545" t="str">
            <v>バランスタイプ</v>
          </cell>
          <cell r="M1545" t="str">
            <v>ss</v>
          </cell>
        </row>
        <row r="1546">
          <cell r="A1546">
            <v>8048</v>
          </cell>
          <cell r="B1546" t="str">
            <v>ja</v>
          </cell>
          <cell r="C1546" t="str">
            <v>ハローキティ</v>
          </cell>
          <cell r="D1546" t="str">
            <v>ハローキティ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balance</v>
          </cell>
          <cell r="L1546" t="str">
            <v>バランスタイプ</v>
          </cell>
          <cell r="M1546" t="str">
            <v>ss</v>
          </cell>
        </row>
        <row r="1547">
          <cell r="A1547">
            <v>8049</v>
          </cell>
          <cell r="B1547" t="str">
            <v>ja</v>
          </cell>
          <cell r="C1547" t="str">
            <v>KIRIMIちゃん</v>
          </cell>
          <cell r="D1547" t="str">
            <v>KIRIMIちゃん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4</v>
          </cell>
          <cell r="J1547" t="str">
            <v>Drop2N</v>
          </cell>
          <cell r="K1547" t="str">
            <v>hp</v>
          </cell>
          <cell r="L1547" t="str">
            <v>体力タイプ</v>
          </cell>
          <cell r="M1547" t="str">
            <v>ss</v>
          </cell>
        </row>
        <row r="1548">
          <cell r="A1548">
            <v>8050</v>
          </cell>
          <cell r="B1548" t="str">
            <v>ja</v>
          </cell>
          <cell r="C1548" t="str">
            <v>KIRIMIちゃん</v>
          </cell>
          <cell r="D1548" t="str">
            <v>KIRIMIちゃん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Drop2N</v>
          </cell>
          <cell r="K1548" t="str">
            <v>hp</v>
          </cell>
          <cell r="L1548" t="str">
            <v>体力タイプ</v>
          </cell>
          <cell r="M1548" t="str">
            <v>ss</v>
          </cell>
        </row>
        <row r="1549">
          <cell r="A1549">
            <v>8051</v>
          </cell>
          <cell r="B1549" t="str">
            <v>ja</v>
          </cell>
          <cell r="C1549" t="str">
            <v>ハローキティのリボン</v>
          </cell>
          <cell r="D1549" t="str">
            <v>ハローキティのリボン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Drop2N</v>
          </cell>
          <cell r="K1549" t="str">
            <v>evolution</v>
          </cell>
          <cell r="L1549" t="str">
            <v>覚醒素材タイプ</v>
          </cell>
          <cell r="M1549" t="str">
            <v>ss</v>
          </cell>
        </row>
        <row r="1550">
          <cell r="A1550">
            <v>8052</v>
          </cell>
          <cell r="B1550" t="str">
            <v>ja</v>
          </cell>
          <cell r="C1550" t="str">
            <v>ママの作ったアップルパイ</v>
          </cell>
          <cell r="D1550" t="str">
            <v>ママの作ったアップルパイ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4</v>
          </cell>
          <cell r="J1550" t="str">
            <v>Drop2N</v>
          </cell>
          <cell r="K1550" t="str">
            <v>evolution</v>
          </cell>
          <cell r="L1550" t="str">
            <v>覚醒素材タイプ</v>
          </cell>
          <cell r="M1550" t="str">
            <v>ss</v>
          </cell>
        </row>
        <row r="1551">
          <cell r="A1551">
            <v>8053</v>
          </cell>
          <cell r="B1551" t="str">
            <v>ja</v>
          </cell>
          <cell r="C1551" t="str">
            <v>D.R.T.H__キティコスプレ</v>
          </cell>
          <cell r="D1551" t="str">
            <v>D.R.T.H__キティコスプレ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5</v>
          </cell>
          <cell r="J1551" t="str">
            <v>PremiumSS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8054</v>
          </cell>
          <cell r="B1552" t="str">
            <v>ja</v>
          </cell>
          <cell r="C1552" t="str">
            <v>D.R.T.H__キティコスプレ</v>
          </cell>
          <cell r="D1552" t="str">
            <v>D.R.T.H__キティコスプレ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6</v>
          </cell>
          <cell r="J1552" t="str">
            <v>PremiumSS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8055</v>
          </cell>
          <cell r="B1553" t="str">
            <v>ja</v>
          </cell>
          <cell r="C1553" t="str">
            <v>マイメロディ</v>
          </cell>
          <cell r="D1553" t="str">
            <v>マイメロディ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PremiumS</v>
          </cell>
          <cell r="K1553" t="str">
            <v>attack</v>
          </cell>
          <cell r="L1553" t="str">
            <v>攻撃タイプ</v>
          </cell>
          <cell r="M1553" t="str">
            <v>ss</v>
          </cell>
        </row>
        <row r="1554">
          <cell r="A1554">
            <v>8056</v>
          </cell>
          <cell r="B1554" t="str">
            <v>ja</v>
          </cell>
          <cell r="C1554" t="str">
            <v>マイメロディ</v>
          </cell>
          <cell r="D1554" t="str">
            <v>マイメロディ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PremiumS</v>
          </cell>
          <cell r="K1554" t="str">
            <v>attack</v>
          </cell>
          <cell r="L1554" t="str">
            <v>攻撃タイプ</v>
          </cell>
          <cell r="M1554" t="str">
            <v>ss</v>
          </cell>
        </row>
        <row r="1555">
          <cell r="A1555">
            <v>8057</v>
          </cell>
          <cell r="B1555" t="str">
            <v>ja</v>
          </cell>
          <cell r="C1555" t="str">
            <v>ニーベルゲン_シナモロールコスプレ</v>
          </cell>
          <cell r="D1555" t="str">
            <v>ニーベルゲン_シナモロールコスプレ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balance</v>
          </cell>
          <cell r="L1555" t="str">
            <v>バランスタイプ</v>
          </cell>
          <cell r="M1555" t="str">
            <v>ss</v>
          </cell>
        </row>
        <row r="1556">
          <cell r="A1556">
            <v>8058</v>
          </cell>
          <cell r="B1556" t="str">
            <v>ja</v>
          </cell>
          <cell r="C1556" t="str">
            <v>ニーベルゲン_シナモロールコスプレ</v>
          </cell>
          <cell r="D1556" t="str">
            <v>ニーベルゲン_シナモロールコスプレ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balance</v>
          </cell>
          <cell r="L1556" t="str">
            <v>バランスタイプ</v>
          </cell>
          <cell r="M1556" t="str">
            <v>ss</v>
          </cell>
        </row>
        <row r="1557">
          <cell r="A1557">
            <v>8059</v>
          </cell>
          <cell r="B1557" t="str">
            <v>ja</v>
          </cell>
          <cell r="C1557" t="str">
            <v>カカシ_マイメロディコスプレ</v>
          </cell>
          <cell r="D1557" t="str">
            <v>カカシ_マイメロディコスプレ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4</v>
          </cell>
          <cell r="J1557" t="str">
            <v>PremiumS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8060</v>
          </cell>
          <cell r="B1558" t="str">
            <v>ja</v>
          </cell>
          <cell r="C1558" t="str">
            <v>カカシ_マイメロディコスプレ</v>
          </cell>
          <cell r="D1558" t="str">
            <v>カカシ_マイメロディコスプレ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5</v>
          </cell>
          <cell r="J1558" t="str">
            <v>PremiumS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8061</v>
          </cell>
          <cell r="B1559" t="str">
            <v>ja</v>
          </cell>
          <cell r="C1559" t="str">
            <v>ケロケロけろっぴ</v>
          </cell>
          <cell r="D1559" t="str">
            <v>ケロケロけろっぴ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3</v>
          </cell>
          <cell r="J1559" t="str">
            <v>PremiumS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8062</v>
          </cell>
          <cell r="B1560" t="str">
            <v>ja</v>
          </cell>
          <cell r="C1560" t="str">
            <v>ケロケロけろっぴ</v>
          </cell>
          <cell r="D1560" t="str">
            <v>ケロケロけろっぴ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green</v>
          </cell>
          <cell r="I1560">
            <v>4</v>
          </cell>
          <cell r="J1560" t="str">
            <v>PremiumS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8063</v>
          </cell>
          <cell r="B1561" t="str">
            <v>ja</v>
          </cell>
          <cell r="C1561" t="str">
            <v>モルドレッド_ポムポムプリンコスプレ</v>
          </cell>
          <cell r="D1561" t="str">
            <v>モルドレッド_ポムポムプリンコスプレ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5</v>
          </cell>
          <cell r="J1561" t="str">
            <v>PremiumSS</v>
          </cell>
          <cell r="K1561" t="str">
            <v>heal</v>
          </cell>
          <cell r="L1561" t="str">
            <v>回復タイプ</v>
          </cell>
          <cell r="M1561" t="str">
            <v>ss</v>
          </cell>
        </row>
        <row r="1562">
          <cell r="A1562">
            <v>8064</v>
          </cell>
          <cell r="B1562" t="str">
            <v>ja</v>
          </cell>
          <cell r="C1562" t="str">
            <v>モルドレッド_ポムポムプリンコスプレ</v>
          </cell>
          <cell r="D1562" t="str">
            <v>モルドレッド_ポムポムプリンコスプレ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6</v>
          </cell>
          <cell r="J1562" t="str">
            <v>PremiumSS</v>
          </cell>
          <cell r="K1562" t="str">
            <v>heal</v>
          </cell>
          <cell r="L1562" t="str">
            <v>回復タイプ</v>
          </cell>
          <cell r="M1562" t="str">
            <v>ss</v>
          </cell>
        </row>
        <row r="1563">
          <cell r="A1563">
            <v>8065</v>
          </cell>
          <cell r="B1563" t="str">
            <v>ja</v>
          </cell>
          <cell r="C1563" t="str">
            <v>クロミ</v>
          </cell>
          <cell r="D1563" t="str">
            <v>クロミ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8066</v>
          </cell>
          <cell r="B1564" t="str">
            <v>ja</v>
          </cell>
          <cell r="C1564" t="str">
            <v>クロミ</v>
          </cell>
          <cell r="D1564" t="str">
            <v>クロミ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8067</v>
          </cell>
          <cell r="B1565" t="str">
            <v>ja</v>
          </cell>
          <cell r="C1565" t="str">
            <v>バッドばつ丸</v>
          </cell>
          <cell r="D1565" t="str">
            <v>バッドばつ丸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3</v>
          </cell>
          <cell r="J1565" t="str">
            <v>PremiumS</v>
          </cell>
          <cell r="K1565" t="str">
            <v>attack</v>
          </cell>
          <cell r="L1565" t="str">
            <v>攻撃タイプ</v>
          </cell>
          <cell r="M1565" t="str">
            <v>ss</v>
          </cell>
        </row>
        <row r="1566">
          <cell r="A1566">
            <v>8068</v>
          </cell>
          <cell r="B1566" t="str">
            <v>ja</v>
          </cell>
          <cell r="C1566" t="str">
            <v>バッドばつ丸</v>
          </cell>
          <cell r="D1566" t="str">
            <v>バッドばつ丸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blue</v>
          </cell>
          <cell r="I1566">
            <v>4</v>
          </cell>
          <cell r="J1566" t="str">
            <v>PremiumS</v>
          </cell>
          <cell r="K1566" t="str">
            <v>attack</v>
          </cell>
          <cell r="L1566" t="str">
            <v>攻撃タイプ</v>
          </cell>
          <cell r="M1566" t="str">
            <v>ss</v>
          </cell>
        </row>
        <row r="1567">
          <cell r="A1567">
            <v>8069</v>
          </cell>
          <cell r="B1567" t="str">
            <v>ja</v>
          </cell>
          <cell r="C1567" t="str">
            <v>シナモロール</v>
          </cell>
          <cell r="D1567" t="str">
            <v>シナモロール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4</v>
          </cell>
          <cell r="J1567" t="str">
            <v>PremiumS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8070</v>
          </cell>
          <cell r="B1568" t="str">
            <v>ja</v>
          </cell>
          <cell r="C1568" t="str">
            <v>シナモロール</v>
          </cell>
          <cell r="D1568" t="str">
            <v>シナモロール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5</v>
          </cell>
          <cell r="J1568" t="str">
            <v>PremiumS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8071</v>
          </cell>
          <cell r="B1569" t="str">
            <v>ja</v>
          </cell>
          <cell r="C1569" t="str">
            <v>ポムポムプリン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3</v>
          </cell>
          <cell r="J1569" t="str">
            <v>PremiumS</v>
          </cell>
          <cell r="K1569" t="str">
            <v>hp</v>
          </cell>
          <cell r="L1569" t="str">
            <v>体力タイプ</v>
          </cell>
          <cell r="M1569" t="str">
            <v>ss</v>
          </cell>
        </row>
        <row r="1570">
          <cell r="A1570">
            <v>8072</v>
          </cell>
          <cell r="B1570" t="str">
            <v>ja</v>
          </cell>
          <cell r="C1570" t="str">
            <v>ポムポムプリン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yellow</v>
          </cell>
          <cell r="I1570">
            <v>4</v>
          </cell>
          <cell r="J1570" t="str">
            <v>PremiumS</v>
          </cell>
          <cell r="K1570" t="str">
            <v>hp</v>
          </cell>
          <cell r="L1570" t="str">
            <v>体力タイプ</v>
          </cell>
          <cell r="M1570" t="str">
            <v>ss</v>
          </cell>
        </row>
        <row r="1571">
          <cell r="A1571">
            <v>8073</v>
          </cell>
          <cell r="B1571" t="str">
            <v>ja</v>
          </cell>
          <cell r="C1571" t="str">
            <v>星海祈る天光妃 媽祖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yellow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human</v>
          </cell>
        </row>
        <row r="1572">
          <cell r="A1572">
            <v>8074</v>
          </cell>
          <cell r="B1572" t="str">
            <v>ja</v>
          </cell>
          <cell r="C1572" t="str">
            <v>海戀の絶龍姫 蛟龍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hp</v>
          </cell>
          <cell r="L1572" t="str">
            <v>体力タイプ</v>
          </cell>
          <cell r="M1572" t="str">
            <v>dragon</v>
          </cell>
        </row>
        <row r="1573">
          <cell r="A1573">
            <v>8075</v>
          </cell>
          <cell r="B1573" t="str">
            <v>ja</v>
          </cell>
          <cell r="C1573" t="str">
            <v>三蔵法師_超覚醒</v>
          </cell>
          <cell r="D1573" t="str">
            <v>Expoミク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6</v>
          </cell>
          <cell r="J1573" t="str">
            <v>PremiumSS</v>
          </cell>
          <cell r="K1573" t="str">
            <v>balance</v>
          </cell>
          <cell r="L1573" t="str">
            <v>バランスタイプ</v>
          </cell>
          <cell r="M1573" t="str">
            <v>god</v>
          </cell>
        </row>
        <row r="1574">
          <cell r="A1574">
            <v>8076</v>
          </cell>
          <cell r="B1574" t="str">
            <v>ja</v>
          </cell>
          <cell r="C1574" t="str">
            <v>孫悟空_超覚醒</v>
          </cell>
          <cell r="D1574" t="str">
            <v>Expoミク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red</v>
          </cell>
          <cell r="I1574">
            <v>6</v>
          </cell>
          <cell r="J1574" t="str">
            <v>DropWizS</v>
          </cell>
          <cell r="K1574" t="str">
            <v>attack</v>
          </cell>
          <cell r="L1574" t="str">
            <v>攻撃タイプ</v>
          </cell>
          <cell r="M1574" t="str">
            <v>unknown</v>
          </cell>
        </row>
        <row r="1575">
          <cell r="A1575">
            <v>8077</v>
          </cell>
          <cell r="B1575" t="str">
            <v>ja</v>
          </cell>
          <cell r="C1575" t="str">
            <v>鄭成功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8078</v>
          </cell>
          <cell r="B1576" t="str">
            <v>ja</v>
          </cell>
          <cell r="C1576" t="str">
            <v>レア６鄭成功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attack</v>
          </cell>
          <cell r="L1576" t="str">
            <v>攻撃タイプ</v>
          </cell>
          <cell r="M1576" t="str">
            <v>human</v>
          </cell>
        </row>
        <row r="1577">
          <cell r="A1577">
            <v>8079</v>
          </cell>
          <cell r="B1577" t="str">
            <v>ja</v>
          </cell>
          <cell r="C1577" t="str">
            <v>赤鬼</v>
          </cell>
          <cell r="D1577" t="str">
            <v>ポムポムプリン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red</v>
          </cell>
          <cell r="I1577">
            <v>5</v>
          </cell>
          <cell r="J1577" t="str">
            <v>DropWizS</v>
          </cell>
          <cell r="K1577" t="str">
            <v>hp</v>
          </cell>
          <cell r="L1577" t="str">
            <v>体力タイプ</v>
          </cell>
          <cell r="M1577" t="str">
            <v>dragon</v>
          </cell>
        </row>
        <row r="1578">
          <cell r="A1578">
            <v>8080</v>
          </cell>
          <cell r="B1578" t="str">
            <v>ja</v>
          </cell>
          <cell r="C1578" t="str">
            <v>レア６赤鬼</v>
          </cell>
          <cell r="D1578" t="str">
            <v>ポムポムプリン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red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8081</v>
          </cell>
          <cell r="B1579" t="str">
            <v>ja</v>
          </cell>
          <cell r="C1579" t="str">
            <v>関羽</v>
          </cell>
          <cell r="H1579" t="str">
            <v>green</v>
          </cell>
          <cell r="I1579">
            <v>5</v>
          </cell>
          <cell r="J1579" t="str">
            <v>PremiumSSS</v>
          </cell>
          <cell r="K1579" t="str">
            <v>balance</v>
          </cell>
          <cell r="L1579" t="str">
            <v>バランスタイプ</v>
          </cell>
          <cell r="M1579" t="str">
            <v>samurai</v>
          </cell>
        </row>
        <row r="1580">
          <cell r="A1580">
            <v>8082</v>
          </cell>
          <cell r="B1580" t="str">
            <v>ja</v>
          </cell>
          <cell r="C1580" t="str">
            <v>★６関羽</v>
          </cell>
          <cell r="H1580" t="str">
            <v>green</v>
          </cell>
          <cell r="I1580">
            <v>6</v>
          </cell>
          <cell r="J1580" t="str">
            <v>PremiumSSS</v>
          </cell>
          <cell r="K1580" t="str">
            <v>balance</v>
          </cell>
          <cell r="L1580" t="str">
            <v>バランスタイプ</v>
          </cell>
          <cell r="M1580" t="str">
            <v>samurai</v>
          </cell>
        </row>
        <row r="1581">
          <cell r="A1581">
            <v>8083</v>
          </cell>
          <cell r="B1581" t="str">
            <v>ja</v>
          </cell>
          <cell r="C1581" t="str">
            <v>曹操</v>
          </cell>
          <cell r="H1581" t="str">
            <v>yellow</v>
          </cell>
          <cell r="I1581">
            <v>5</v>
          </cell>
          <cell r="J1581" t="str">
            <v>DropWizSS</v>
          </cell>
          <cell r="K1581" t="str">
            <v>technical</v>
          </cell>
          <cell r="L1581" t="str">
            <v>テクニカルタイプ</v>
          </cell>
          <cell r="M1581" t="str">
            <v>samurai</v>
          </cell>
        </row>
        <row r="1582">
          <cell r="A1582">
            <v>8084</v>
          </cell>
          <cell r="B1582" t="str">
            <v>ja</v>
          </cell>
          <cell r="C1582" t="str">
            <v>★６曹操</v>
          </cell>
          <cell r="H1582" t="str">
            <v>yellow</v>
          </cell>
          <cell r="I1582">
            <v>6</v>
          </cell>
          <cell r="J1582" t="str">
            <v>DropWizSS</v>
          </cell>
          <cell r="K1582" t="str">
            <v>technical</v>
          </cell>
          <cell r="L1582" t="str">
            <v>テクニカルタイプ</v>
          </cell>
          <cell r="M1582" t="str">
            <v>samurai</v>
          </cell>
        </row>
        <row r="1583">
          <cell r="A1583">
            <v>8087</v>
          </cell>
          <cell r="B1583" t="str">
            <v>ja</v>
          </cell>
          <cell r="C1583" t="str">
            <v>財神</v>
          </cell>
          <cell r="H1583" t="str">
            <v>red</v>
          </cell>
          <cell r="I1583">
            <v>5</v>
          </cell>
          <cell r="J1583" t="str">
            <v>PremiumSSS</v>
          </cell>
          <cell r="K1583" t="str">
            <v>technical</v>
          </cell>
          <cell r="L1583" t="str">
            <v>テクニカルタイプ</v>
          </cell>
          <cell r="M1583" t="str">
            <v>god</v>
          </cell>
        </row>
        <row r="1584">
          <cell r="A1584">
            <v>8088</v>
          </cell>
          <cell r="B1584" t="str">
            <v>ja</v>
          </cell>
          <cell r="C1584" t="str">
            <v>★６財神</v>
          </cell>
          <cell r="H1584" t="str">
            <v>red</v>
          </cell>
          <cell r="I1584">
            <v>6</v>
          </cell>
          <cell r="J1584" t="str">
            <v>PremiumSSS</v>
          </cell>
          <cell r="K1584" t="str">
            <v>technical</v>
          </cell>
          <cell r="L1584" t="str">
            <v>テクニカルタイプ</v>
          </cell>
          <cell r="M1584" t="str">
            <v>god</v>
          </cell>
        </row>
        <row r="1585">
          <cell r="A1585">
            <v>8089</v>
          </cell>
          <cell r="B1585" t="str">
            <v>ja</v>
          </cell>
          <cell r="C1585" t="str">
            <v>年獣</v>
          </cell>
          <cell r="H1585" t="str">
            <v>green</v>
          </cell>
          <cell r="I1585">
            <v>5</v>
          </cell>
          <cell r="J1585" t="str">
            <v>DropWizS</v>
          </cell>
          <cell r="K1585" t="str">
            <v>attack</v>
          </cell>
          <cell r="L1585" t="str">
            <v>攻撃タイプ</v>
          </cell>
          <cell r="M1585" t="str">
            <v>animal</v>
          </cell>
        </row>
        <row r="1586">
          <cell r="A1586">
            <v>8090</v>
          </cell>
          <cell r="B1586" t="str">
            <v>ja</v>
          </cell>
          <cell r="C1586" t="str">
            <v>★６年獣</v>
          </cell>
          <cell r="H1586" t="str">
            <v>green</v>
          </cell>
          <cell r="I1586">
            <v>6</v>
          </cell>
          <cell r="J1586" t="str">
            <v>DropWizS</v>
          </cell>
          <cell r="K1586" t="str">
            <v>attack</v>
          </cell>
          <cell r="L1586" t="str">
            <v>攻撃タイプ</v>
          </cell>
          <cell r="M1586" t="str">
            <v>animal</v>
          </cell>
        </row>
        <row r="1587">
          <cell r="A1587">
            <v>8095</v>
          </cell>
          <cell r="B1587" t="str">
            <v>ja</v>
          </cell>
          <cell r="C1587" t="str">
            <v>バハムートダック赤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red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8096</v>
          </cell>
          <cell r="B1588" t="str">
            <v>ja</v>
          </cell>
          <cell r="C1588" t="str">
            <v>バハムートダック緑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8097</v>
          </cell>
          <cell r="B1589" t="str">
            <v>ja</v>
          </cell>
          <cell r="C1589" t="str">
            <v>バハムートダック青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6</v>
          </cell>
          <cell r="J1589" t="str">
            <v>Material</v>
          </cell>
          <cell r="K1589" t="str">
            <v>exp</v>
          </cell>
          <cell r="L1589" t="str">
            <v>強化素材タイプ</v>
          </cell>
          <cell r="M1589" t="str">
            <v>unknown</v>
          </cell>
        </row>
        <row r="1590">
          <cell r="A1590">
            <v>8098</v>
          </cell>
          <cell r="B1590" t="str">
            <v>ja</v>
          </cell>
          <cell r="C1590" t="str">
            <v>バハムートダック黄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yellow</v>
          </cell>
          <cell r="I1590">
            <v>6</v>
          </cell>
          <cell r="J1590" t="str">
            <v>Material</v>
          </cell>
          <cell r="K1590" t="str">
            <v>exp</v>
          </cell>
          <cell r="L1590" t="str">
            <v>強化素材タイプ</v>
          </cell>
          <cell r="M1590" t="str">
            <v>unknown</v>
          </cell>
        </row>
        <row r="1591">
          <cell r="A1591">
            <v>8099</v>
          </cell>
          <cell r="B1591" t="str">
            <v>ja</v>
          </cell>
          <cell r="C1591" t="str">
            <v>リトルハンプティ</v>
          </cell>
          <cell r="D1591" t="str">
            <v>各属性相性良3・黄・R455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Material</v>
          </cell>
          <cell r="K1591" t="str">
            <v>evolution</v>
          </cell>
          <cell r="L1591" t="str">
            <v>覚醒素材タイプ</v>
          </cell>
          <cell r="M1591" t="str">
            <v>unknown</v>
          </cell>
        </row>
        <row r="1592">
          <cell r="A1592">
            <v>9001</v>
          </cell>
          <cell r="B1592" t="str">
            <v>ja</v>
          </cell>
          <cell r="C1592" t="str">
            <v>春香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5</v>
          </cell>
          <cell r="J1592" t="str">
            <v>PremiumSSw</v>
          </cell>
          <cell r="K1592" t="str">
            <v>attack</v>
          </cell>
          <cell r="L1592" t="str">
            <v>攻撃タイプ</v>
          </cell>
          <cell r="M1592" t="str">
            <v>human</v>
          </cell>
        </row>
        <row r="1593">
          <cell r="A1593">
            <v>9002</v>
          </cell>
          <cell r="B1593" t="str">
            <v>ja</v>
          </cell>
          <cell r="C1593" t="str">
            <v>春香★６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attack</v>
          </cell>
          <cell r="L1593" t="str">
            <v>攻撃タイプ</v>
          </cell>
          <cell r="M1593" t="str">
            <v>human</v>
          </cell>
        </row>
        <row r="1594">
          <cell r="A1594">
            <v>9003</v>
          </cell>
          <cell r="B1594" t="str">
            <v>ja</v>
          </cell>
          <cell r="C1594" t="str">
            <v>夢龍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5</v>
          </cell>
          <cell r="J1594" t="str">
            <v>DropWizS</v>
          </cell>
          <cell r="K1594" t="str">
            <v>technical</v>
          </cell>
          <cell r="L1594" t="str">
            <v>テクニカルタイプ</v>
          </cell>
          <cell r="M1594" t="str">
            <v>human</v>
          </cell>
        </row>
        <row r="1595">
          <cell r="A1595">
            <v>9004</v>
          </cell>
          <cell r="B1595" t="str">
            <v>ja</v>
          </cell>
          <cell r="C1595" t="str">
            <v>夢龍★６</v>
          </cell>
          <cell r="D1595" t="str">
            <v>各属性相性良3・黄・R455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green</v>
          </cell>
          <cell r="I1595">
            <v>6</v>
          </cell>
          <cell r="J1595" t="str">
            <v>DropWizS</v>
          </cell>
          <cell r="K1595" t="str">
            <v>technical</v>
          </cell>
          <cell r="L1595" t="str">
            <v>テクニカルタイプ</v>
          </cell>
          <cell r="M1595" t="str">
            <v>human</v>
          </cell>
        </row>
        <row r="1596">
          <cell r="A1596">
            <v>10001</v>
          </cell>
          <cell r="B1596" t="str">
            <v>ja</v>
          </cell>
          <cell r="C1596" t="str">
            <v>テストユニット01</v>
          </cell>
          <cell r="H1596" t="str">
            <v>yellow</v>
          </cell>
          <cell r="I1596">
            <v>6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god</v>
          </cell>
        </row>
        <row r="1597">
          <cell r="A1597">
            <v>10002</v>
          </cell>
          <cell r="B1597" t="str">
            <v>ja</v>
          </cell>
          <cell r="C1597" t="str">
            <v>テストユニット02</v>
          </cell>
          <cell r="H1597" t="str">
            <v>yellow</v>
          </cell>
          <cell r="I1597">
            <v>6</v>
          </cell>
          <cell r="J1597" t="str">
            <v>PremiumSS</v>
          </cell>
          <cell r="K1597" t="str">
            <v>technical</v>
          </cell>
          <cell r="L1597" t="str">
            <v>テクニカルタイプ</v>
          </cell>
          <cell r="M1597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3" sqref="A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546010</v>
      </c>
      <c r="D2" s="19" t="s">
        <v>45</v>
      </c>
      <c r="E2" s="17" t="str">
        <f t="shared" ref="E2" si="1">B2&amp;C2&amp;D2</f>
        <v>gacha_select_tables_546010.tmp</v>
      </c>
      <c r="F2" s="103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546100</v>
      </c>
      <c r="D3" s="19" t="s">
        <v>45</v>
      </c>
      <c r="E3" s="17" t="str">
        <f t="shared" ref="E3:E10" si="3">B3&amp;C3&amp;D3</f>
        <v>gacha_select_tables_546100.tmp</v>
      </c>
      <c r="F3" s="103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546100</v>
      </c>
      <c r="D4" s="19" t="s">
        <v>250</v>
      </c>
      <c r="E4" s="17" t="str">
        <f t="shared" si="3"/>
        <v>gacha_settle_tables_546100.tmp</v>
      </c>
      <c r="F4" s="103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A16" sqref="A16"/>
    </sheetView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434</v>
      </c>
      <c r="M3" s="37" t="str">
        <f>VLOOKUP(L3,[1]characters!$A:$C,3,FALSE)</f>
        <v>D.R.T.H.</v>
      </c>
      <c r="N3" s="63">
        <v>7.4999999999999997E-3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VLOOKUP(L3,tables_546010!B:C,2,FALSE)</f>
        <v>PremiumSS4</v>
      </c>
      <c r="R3" s="62">
        <f t="shared" ref="R3:R20" si="1">N3*A$36</f>
        <v>964800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435</v>
      </c>
      <c r="M4" s="37" t="str">
        <f>VLOOKUP(L4,[1]characters!$A:$C,3,FALSE)</f>
        <v>曝弾の密偵 D.R.T.H.</v>
      </c>
      <c r="N4" s="63">
        <v>7.4999999999999997E-3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VLOOKUP(L4,tables_546010!B:C,2,FALSE)</f>
        <v>PremiumSS5</v>
      </c>
      <c r="R4" s="62">
        <f t="shared" si="1"/>
        <v>964800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0.4</v>
      </c>
      <c r="D5" t="s">
        <v>201</v>
      </c>
      <c r="E5" s="43">
        <f>(B11-H5)/(F5-I5)</f>
        <v>2.2388059701492538E-4</v>
      </c>
      <c r="F5">
        <f>(COUNTIF(tables_546010!C:C,input_546010!A28)+COUNTIF(tables_546010!C:C,input_546010!A29))</f>
        <v>72</v>
      </c>
      <c r="H5" s="84">
        <v>0.06</v>
      </c>
      <c r="I5" s="31">
        <v>5</v>
      </c>
      <c r="L5" s="1">
        <v>1031</v>
      </c>
      <c r="M5" s="37" t="str">
        <f>VLOOKUP(L5,[1]characters!$A:$C,3,FALSE)</f>
        <v>紫式部</v>
      </c>
      <c r="N5" s="63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VLOOKUP(L5,tables_546010!B:C,2,FALSE)</f>
        <v>PremiumSS5R5only</v>
      </c>
      <c r="R5" s="62">
        <f t="shared" si="1"/>
        <v>1929600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9.6354166666666671E-3</v>
      </c>
      <c r="F6">
        <f>(COUNTIF(tables_546010!C:C,input_546010!A25)+COUNTIF(tables_546010!C:C,input_546010!A18)+COUNTIF(tables_546010!C:C,input_546010!A20)+COUNTIF(tables_546010!C:C,input_546010!A22))</f>
        <v>96</v>
      </c>
      <c r="H6" s="89"/>
      <c r="I6" s="31"/>
      <c r="L6" s="1">
        <v>734</v>
      </c>
      <c r="M6" s="37" t="str">
        <f>VLOOKUP(L6,[1]characters!$A:$C,3,FALSE)</f>
        <v>伊達政宗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VLOOKUP(L6,tables_546010!B:C,2,FALSE)</f>
        <v>PremiumSS5R5only</v>
      </c>
      <c r="R6" s="62">
        <f t="shared" si="1"/>
        <v>1929600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1246</v>
      </c>
      <c r="M7" s="37" t="str">
        <f>VLOOKUP(L7,[1]characters!$A:$C,3,FALSE)</f>
        <v>望月千代女</v>
      </c>
      <c r="N7" s="63">
        <v>1.4999999999999999E-2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VLOOKUP(L7,tables_546010!B:C,2,FALSE)</f>
        <v>PremiumSS5R5only</v>
      </c>
      <c r="R7" s="62">
        <f t="shared" si="1"/>
        <v>1929600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7.4999999999999997E-3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7.4999999999999997E-3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4.4999999999999998E-2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0.18416666666666667</v>
      </c>
      <c r="C17" s="85">
        <f t="shared" ref="C17:C31" si="2">SUMIF(Q:Q,A17,N:N)</f>
        <v>0</v>
      </c>
      <c r="D17" s="74">
        <f t="shared" ref="D17:D32" si="3">B17-C17</f>
        <v>0.18416666666666667</v>
      </c>
      <c r="E17">
        <f>COUNTIF(tables_546010!C:C,input_546010!A17)-COUNTIF(Q:Q,A17)</f>
        <v>20</v>
      </c>
      <c r="F17" s="43">
        <f>IFERROR(B17/E17,0)</f>
        <v>9.208333333333334E-3</v>
      </c>
      <c r="G17">
        <f t="shared" ref="G17:G31" si="4">A$36*B17</f>
        <v>23691200</v>
      </c>
      <c r="H17">
        <f t="shared" ref="H17:H31" si="5">IFERROR(ROUND(G17/E17,5),0)</f>
        <v>1184560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B6-SUM(B20,B22,B25,B27,B30,C22,C27)</f>
        <v>0.11592133084577105</v>
      </c>
      <c r="C18" s="85">
        <f t="shared" si="2"/>
        <v>0</v>
      </c>
      <c r="D18" s="74">
        <f t="shared" si="3"/>
        <v>0.11592133084577105</v>
      </c>
      <c r="E18">
        <f>COUNTIF(tables_546010!C:C,input_546010!A18)-COUNTIF(Q:Q,A18)</f>
        <v>20</v>
      </c>
      <c r="F18" s="43">
        <f>IFERROR(B18/E18,0)</f>
        <v>5.7960665422885525E-3</v>
      </c>
      <c r="G18">
        <f t="shared" si="4"/>
        <v>14912119.999999989</v>
      </c>
      <c r="H18">
        <f t="shared" si="5"/>
        <v>745606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0.20041666666666669</v>
      </c>
      <c r="C19" s="85">
        <f t="shared" si="2"/>
        <v>0</v>
      </c>
      <c r="D19" s="74">
        <f t="shared" si="3"/>
        <v>0.20041666666666669</v>
      </c>
      <c r="E19">
        <f>COUNTIF(tables_546010!C:C,input_546010!A19)-COUNTIF(Q:Q,A19)</f>
        <v>52</v>
      </c>
      <c r="F19" s="43">
        <f t="shared" ref="F19:F31" si="8">IFERROR(B19/E19,0)</f>
        <v>3.8541666666666672E-3</v>
      </c>
      <c r="G19">
        <f t="shared" si="4"/>
        <v>25781600.000000004</v>
      </c>
      <c r="H19">
        <f t="shared" si="5"/>
        <v>495800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0.25052083333333336</v>
      </c>
      <c r="C20" s="85">
        <f t="shared" si="2"/>
        <v>0</v>
      </c>
      <c r="D20" s="74">
        <f t="shared" si="3"/>
        <v>0.25052083333333336</v>
      </c>
      <c r="E20">
        <f>COUNTIF(tables_546010!C:C,input_546010!A20)-COUNTIF(Q:Q,A20)</f>
        <v>52</v>
      </c>
      <c r="F20" s="43">
        <f t="shared" si="8"/>
        <v>4.8177083333333336E-3</v>
      </c>
      <c r="G20">
        <f t="shared" si="4"/>
        <v>32227000.000000004</v>
      </c>
      <c r="H20">
        <f t="shared" si="5"/>
        <v>619750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B7-B23-B26-B28-B29-C23-C29-C28</f>
        <v>1.4026585820895519E-2</v>
      </c>
      <c r="C21" s="85">
        <f t="shared" si="2"/>
        <v>0</v>
      </c>
      <c r="D21" s="74">
        <f t="shared" si="3"/>
        <v>1.4026585820895519E-2</v>
      </c>
      <c r="E21">
        <f>COUNTIF(tables_546010!C:C,input_546010!A21)-COUNTIF(Q:Q,A21)</f>
        <v>52</v>
      </c>
      <c r="F21" s="43">
        <f t="shared" si="8"/>
        <v>2.6974203501722155E-4</v>
      </c>
      <c r="G21">
        <f t="shared" si="4"/>
        <v>1804379.9999999995</v>
      </c>
      <c r="H21">
        <f t="shared" si="5"/>
        <v>34699.615380000003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E$6*E22*B6</f>
        <v>9.6354166666666671E-2</v>
      </c>
      <c r="C22" s="85">
        <f t="shared" si="2"/>
        <v>0</v>
      </c>
      <c r="D22" s="74">
        <f t="shared" si="3"/>
        <v>9.6354166666666671E-2</v>
      </c>
      <c r="E22">
        <f>COUNTIF(tables_546010!C:C,input_546010!A22)-COUNTIF(Q:Q,A22)</f>
        <v>20</v>
      </c>
      <c r="F22" s="43">
        <f t="shared" si="8"/>
        <v>4.8177083333333336E-3</v>
      </c>
      <c r="G22">
        <f t="shared" si="4"/>
        <v>12395000</v>
      </c>
      <c r="H22">
        <f t="shared" si="5"/>
        <v>619750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2.5052083333333336E-2</v>
      </c>
      <c r="C23" s="85">
        <f t="shared" si="2"/>
        <v>0</v>
      </c>
      <c r="D23" s="74">
        <f t="shared" si="3"/>
        <v>2.5052083333333336E-2</v>
      </c>
      <c r="E23">
        <f>COUNTIF(tables_546010!C:C,input_546010!A23)-COUNTIF(Q:Q,A23)</f>
        <v>26</v>
      </c>
      <c r="F23" s="43">
        <f t="shared" si="8"/>
        <v>9.635416666666668E-4</v>
      </c>
      <c r="G23">
        <f t="shared" si="4"/>
        <v>3222700.0000000005</v>
      </c>
      <c r="H23">
        <f t="shared" si="5"/>
        <v>123950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1.5416666666666669E-2</v>
      </c>
      <c r="C24" s="85">
        <f t="shared" si="2"/>
        <v>0</v>
      </c>
      <c r="D24" s="74">
        <f t="shared" si="3"/>
        <v>1.5416666666666669E-2</v>
      </c>
      <c r="E24">
        <f>COUNTIF(tables_546010!C:C,input_546010!A24)-COUNTIF(Q:Q,A24)</f>
        <v>4</v>
      </c>
      <c r="F24" s="43">
        <f t="shared" si="8"/>
        <v>3.8541666666666672E-3</v>
      </c>
      <c r="G24">
        <f t="shared" si="4"/>
        <v>1983200.0000000002</v>
      </c>
      <c r="H24">
        <f t="shared" si="5"/>
        <v>495800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1.9270833333333334E-2</v>
      </c>
      <c r="C25" s="85">
        <f t="shared" si="2"/>
        <v>0</v>
      </c>
      <c r="D25" s="74">
        <f t="shared" si="3"/>
        <v>1.9270833333333334E-2</v>
      </c>
      <c r="E25">
        <f>COUNTIF(tables_546010!C:C,input_546010!A25)-COUNTIF(Q:Q,A25)</f>
        <v>4</v>
      </c>
      <c r="F25" s="43">
        <f t="shared" si="8"/>
        <v>4.8177083333333336E-3</v>
      </c>
      <c r="G25">
        <f t="shared" si="4"/>
        <v>2479000</v>
      </c>
      <c r="H25">
        <f t="shared" si="5"/>
        <v>619750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3.8541666666666672E-3</v>
      </c>
      <c r="C26" s="85">
        <f t="shared" si="2"/>
        <v>0</v>
      </c>
      <c r="D26" s="74">
        <f t="shared" si="3"/>
        <v>3.8541666666666672E-3</v>
      </c>
      <c r="E26">
        <f>COUNTIF(tables_546010!C:C,input_546010!A26)-COUNTIF(Q:Q,A26)</f>
        <v>4</v>
      </c>
      <c r="F26" s="43">
        <f t="shared" si="8"/>
        <v>9.635416666666668E-4</v>
      </c>
      <c r="G26">
        <f t="shared" si="4"/>
        <v>495800.00000000006</v>
      </c>
      <c r="H26">
        <f t="shared" si="5"/>
        <v>123950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5">
        <f>B11-H5-B28-B29</f>
        <v>1.0432835820895523E-2</v>
      </c>
      <c r="C27" s="85">
        <f>SUMIF(Q:Q,A27,N:N)</f>
        <v>7.4999999999999997E-3</v>
      </c>
      <c r="D27" s="74">
        <f t="shared" si="3"/>
        <v>2.9328358208955234E-3</v>
      </c>
      <c r="E27">
        <f>COUNTIF(tables_546010!C:C,input_546010!A27)-COUNTIF(Q:Q,A27)</f>
        <v>27</v>
      </c>
      <c r="F27" s="43">
        <f>IFERROR(B27/E27,0)</f>
        <v>3.8640132669983421E-4</v>
      </c>
      <c r="G27">
        <f t="shared" si="4"/>
        <v>1342080</v>
      </c>
      <c r="H27">
        <f t="shared" si="5"/>
        <v>49706.666669999999</v>
      </c>
      <c r="I27">
        <f t="shared" si="6"/>
        <v>0.66666999999870313</v>
      </c>
      <c r="J27">
        <f t="shared" si="7"/>
        <v>1.4999925000404177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E$5*E28*0.3</f>
        <v>1.8134328358208954E-3</v>
      </c>
      <c r="C28" s="85">
        <f>SUMIF(Q:Q,A28,N:N)</f>
        <v>7.4999999999999997E-3</v>
      </c>
      <c r="D28" s="74">
        <f t="shared" si="3"/>
        <v>-5.6865671641791044E-3</v>
      </c>
      <c r="E28">
        <f>COUNTIF(tables_546010!C:C,input_546010!A28)-COUNTIF(Q:Q,A28)</f>
        <v>27</v>
      </c>
      <c r="F28" s="43">
        <f t="shared" si="8"/>
        <v>6.716417910447761E-5</v>
      </c>
      <c r="G28">
        <f t="shared" si="4"/>
        <v>233279.99999999997</v>
      </c>
      <c r="H28">
        <f t="shared" si="5"/>
        <v>8640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E$5*E29*0.3</f>
        <v>2.7537313432835818E-3</v>
      </c>
      <c r="C29" s="85">
        <f>SUMIF(Q:Q,A29,N:N)</f>
        <v>4.4999999999999998E-2</v>
      </c>
      <c r="D29" s="74">
        <f t="shared" si="3"/>
        <v>-4.2246268656716414E-2</v>
      </c>
      <c r="E29">
        <f>COUNTIF(tables_546010!C:C,input_546010!A29)-COUNTIF(Q:Q,A29)</f>
        <v>41</v>
      </c>
      <c r="F29" s="43">
        <f t="shared" si="8"/>
        <v>6.716417910447761E-5</v>
      </c>
      <c r="G29">
        <f t="shared" si="4"/>
        <v>354239.99999999994</v>
      </c>
      <c r="H29">
        <f t="shared" si="5"/>
        <v>8640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COUNTIF(tables_546010!C:C,input_546010!A30)-COUNTIF(Q:Q,A30)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COUNTIF(tables_546010!C:C,input_546010!A31)-COUNTIF(Q:Q,A31)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</v>
      </c>
      <c r="C32" s="41">
        <f>SUM(C19:C31)</f>
        <v>0.06</v>
      </c>
      <c r="D32" s="42">
        <f t="shared" si="3"/>
        <v>0.87999999999999989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128640000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SUMIF(tables_546010!C:C,input_546010!A40,tables_546010!O:O)</f>
        <v>25781600</v>
      </c>
      <c r="C40" s="54">
        <f t="shared" ref="C40:C46" ca="1" si="9">B40/B$47</f>
        <v>0.40717686014518278</v>
      </c>
      <c r="E40">
        <v>3</v>
      </c>
      <c r="F40">
        <f ca="1">SUMIF(tables_546010!J:J,input_546010!E40,tables_546010!O:O)</f>
        <v>51456000</v>
      </c>
      <c r="G40">
        <f ca="1">F40/A36</f>
        <v>0.4</v>
      </c>
    </row>
    <row r="41" spans="1:7" x14ac:dyDescent="0.15">
      <c r="A41" s="33" t="s">
        <v>104</v>
      </c>
      <c r="B41">
        <f ca="1">SUMIF(tables_546010!C:C,input_546010!A41,tables_546010!O:O)</f>
        <v>32227000</v>
      </c>
      <c r="C41" s="54">
        <f t="shared" ca="1" si="9"/>
        <v>0.50897107518147844</v>
      </c>
      <c r="E41">
        <v>4</v>
      </c>
      <c r="F41">
        <f ca="1">SUMIF(tables_546010!J:J,input_546010!E41,tables_546010!O:O)</f>
        <v>64320000.000090055</v>
      </c>
      <c r="G41">
        <f ca="1">F41/A36</f>
        <v>0.50000000000070011</v>
      </c>
    </row>
    <row r="42" spans="1:7" x14ac:dyDescent="0.15">
      <c r="A42" s="33" t="s">
        <v>106</v>
      </c>
      <c r="B42">
        <f ca="1">SUMIF(tables_546010!C:C,input_546010!A42,tables_546010!O:O)</f>
        <v>2306880.0000900002</v>
      </c>
      <c r="C42" s="54">
        <f t="shared" ca="1" si="9"/>
        <v>3.6433276257810426E-2</v>
      </c>
      <c r="E42">
        <v>5</v>
      </c>
      <c r="F42">
        <f ca="1">SUMIF(tables_546010!J:J,input_546010!E42,tables_546010!O:O)</f>
        <v>12863999.999759998</v>
      </c>
      <c r="G42">
        <f ca="1">F42/A36</f>
        <v>9.9999999998134317E-2</v>
      </c>
    </row>
    <row r="43" spans="1:7" x14ac:dyDescent="0.15">
      <c r="A43" s="33" t="s">
        <v>109</v>
      </c>
      <c r="B43">
        <f>SUMIF(tables_546010!C:C,input_546010!A43,tables_546010!O:O)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SUMIF(tables_546010!C:C,input_546010!A44,tables_546010!O:O)</f>
        <v>1804379.9997600014</v>
      </c>
      <c r="C44" s="54">
        <f t="shared" ca="1" si="9"/>
        <v>2.8497136826692023E-2</v>
      </c>
      <c r="E44" t="s">
        <v>54</v>
      </c>
      <c r="F44" s="55"/>
    </row>
    <row r="45" spans="1:7" x14ac:dyDescent="0.15">
      <c r="A45" s="33" t="s">
        <v>107</v>
      </c>
      <c r="B45">
        <f ca="1">SUMIF(tables_546010!C:C,input_546010!A45,tables_546010!O:O)</f>
        <v>1198080</v>
      </c>
      <c r="C45" s="54">
        <f t="shared" ca="1" si="9"/>
        <v>1.8921651588836248E-2</v>
      </c>
      <c r="E45" t="s">
        <v>204</v>
      </c>
      <c r="F45" s="55">
        <f ca="1">SUMIF(tables_546010!I:I,input_546010!E45,tables_546010!P:P)</f>
        <v>0.30586924751279465</v>
      </c>
    </row>
    <row r="46" spans="1:7" x14ac:dyDescent="0.15">
      <c r="A46" s="33" t="s">
        <v>108</v>
      </c>
      <c r="B46">
        <f>SUMIF(tables_546010!C:C,input_546010!A46,tables_546010!O:O)</f>
        <v>0</v>
      </c>
      <c r="C46" s="54">
        <f t="shared" ca="1" si="9"/>
        <v>0</v>
      </c>
      <c r="E46" t="s">
        <v>205</v>
      </c>
      <c r="F46" s="55">
        <f ca="1">SUMIF(tables_546010!I:I,input_546010!E46,tables_546010!P:P)</f>
        <v>0.18091373959489376</v>
      </c>
    </row>
    <row r="47" spans="1:7" x14ac:dyDescent="0.15">
      <c r="A47" s="39" t="s">
        <v>59</v>
      </c>
      <c r="B47">
        <f ca="1">SUM(B40:B46)</f>
        <v>63317939.999850005</v>
      </c>
      <c r="C47" s="55">
        <f ca="1">SUM(C40:C46)</f>
        <v>1</v>
      </c>
      <c r="E47" t="s">
        <v>206</v>
      </c>
      <c r="F47" s="55">
        <f ca="1">SUMIF(tables_546010!I:I,input_546010!E47,tables_546010!P:P)</f>
        <v>0.43821701289152409</v>
      </c>
    </row>
    <row r="48" spans="1:7" x14ac:dyDescent="0.15">
      <c r="E48" t="s">
        <v>207</v>
      </c>
      <c r="F48" s="55">
        <f ca="1">SUMIF(tables_546010!I:I,input_546010!E48,tables_546010!P:P)</f>
        <v>7.4395522388846211E-2</v>
      </c>
      <c r="G48" s="55"/>
    </row>
    <row r="49" spans="5:6" x14ac:dyDescent="0.15">
      <c r="E49" t="s">
        <v>251</v>
      </c>
      <c r="F49" s="55">
        <f ca="1">SUMIF(tables_546010!I:I,input_546010!E49,tables_546010!P:P)</f>
        <v>6.0447761194100369E-4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44" activePane="bottomLeft" state="frozen"/>
      <selection activeCell="H276" sqref="H276"/>
      <selection pane="bottomLeft" activeCell="B351" sqref="B351:B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input_546010!A$2</f>
        <v>546010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IFERROR(VLOOKUP(B2,input_546010!L:R,7,FALSE),VLOOKUP(tables_546010!C2,input_546010!A:H,8,FALSE))</f>
        <v>1184560</v>
      </c>
      <c r="P2" s="46">
        <f t="shared" ref="P2:P65" ca="1" si="1">O2/SUM(O:O)</f>
        <v>9.2083333333440771E-3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input_546010!A$2</f>
        <v>546010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IFERROR(VLOOKUP(B3,input_546010!L:R,7,FALSE),VLOOKUP(tables_546010!C3,input_546010!A:H,8,FALSE))</f>
        <v>745606</v>
      </c>
      <c r="P3" s="46">
        <f t="shared" ca="1" si="1"/>
        <v>5.7960665422953197E-3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input_546010!A$2</f>
        <v>546010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IFERROR(VLOOKUP(B4,input_546010!L:R,7,FALSE),VLOOKUP(tables_546010!C4,input_546010!A:H,8,FALSE))</f>
        <v>1184560</v>
      </c>
      <c r="P4" s="46">
        <f t="shared" ca="1" si="1"/>
        <v>9.2083333333440771E-3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input_546010!A$2</f>
        <v>546010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IFERROR(VLOOKUP(B5,input_546010!L:R,7,FALSE),VLOOKUP(tables_546010!C5,input_546010!A:H,8,FALSE))</f>
        <v>745606</v>
      </c>
      <c r="P5" s="46">
        <f t="shared" ca="1" si="1"/>
        <v>5.7960665422953197E-3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input_546010!A$2</f>
        <v>546010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IFERROR(VLOOKUP(B6,input_546010!L:R,7,FALSE),VLOOKUP(tables_546010!C6,input_546010!A:H,8,FALSE))</f>
        <v>1184560</v>
      </c>
      <c r="P6" s="46">
        <f t="shared" ca="1" si="1"/>
        <v>9.2083333333440771E-3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input_546010!A$2</f>
        <v>546010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IFERROR(VLOOKUP(B7,input_546010!L:R,7,FALSE),VLOOKUP(tables_546010!C7,input_546010!A:H,8,FALSE))</f>
        <v>745606</v>
      </c>
      <c r="P7" s="46">
        <f t="shared" ca="1" si="1"/>
        <v>5.7960665422953197E-3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input_546010!A$2</f>
        <v>546010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IFERROR(VLOOKUP(B8,input_546010!L:R,7,FALSE),VLOOKUP(tables_546010!C8,input_546010!A:H,8,FALSE))</f>
        <v>1184560</v>
      </c>
      <c r="P8" s="46">
        <f t="shared" ca="1" si="1"/>
        <v>9.2083333333440771E-3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input_546010!A$2</f>
        <v>546010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IFERROR(VLOOKUP(B9,input_546010!L:R,7,FALSE),VLOOKUP(tables_546010!C9,input_546010!A:H,8,FALSE))</f>
        <v>745606</v>
      </c>
      <c r="P9" s="46">
        <f t="shared" ca="1" si="1"/>
        <v>5.7960665422953197E-3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input_546010!A$2</f>
        <v>546010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IFERROR(VLOOKUP(B10,input_546010!L:R,7,FALSE),VLOOKUP(tables_546010!C10,input_546010!A:H,8,FALSE))</f>
        <v>1184560</v>
      </c>
      <c r="P10" s="46">
        <f t="shared" ca="1" si="1"/>
        <v>9.2083333333440771E-3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input_546010!A$2</f>
        <v>546010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IFERROR(VLOOKUP(B11,input_546010!L:R,7,FALSE),VLOOKUP(tables_546010!C11,input_546010!A:H,8,FALSE))</f>
        <v>745606</v>
      </c>
      <c r="P11" s="46">
        <f t="shared" ca="1" si="1"/>
        <v>5.7960665422953197E-3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input_546010!A$2</f>
        <v>546010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IFERROR(VLOOKUP(B12,input_546010!L:R,7,FALSE),VLOOKUP(tables_546010!C12,input_546010!A:H,8,FALSE))</f>
        <v>1184560</v>
      </c>
      <c r="P12" s="46">
        <f t="shared" ca="1" si="1"/>
        <v>9.2083333333440771E-3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input_546010!A$2</f>
        <v>546010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IFERROR(VLOOKUP(B13,input_546010!L:R,7,FALSE),VLOOKUP(tables_546010!C13,input_546010!A:H,8,FALSE))</f>
        <v>745606</v>
      </c>
      <c r="P13" s="46">
        <f t="shared" ca="1" si="1"/>
        <v>5.7960665422953197E-3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input_546010!A$2</f>
        <v>546010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IFERROR(VLOOKUP(B14,input_546010!L:R,7,FALSE),VLOOKUP(tables_546010!C14,input_546010!A:H,8,FALSE))</f>
        <v>1184560</v>
      </c>
      <c r="P14" s="46">
        <f t="shared" ca="1" si="1"/>
        <v>9.2083333333440771E-3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input_546010!A$2</f>
        <v>546010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IFERROR(VLOOKUP(B15,input_546010!L:R,7,FALSE),VLOOKUP(tables_546010!C15,input_546010!A:H,8,FALSE))</f>
        <v>745606</v>
      </c>
      <c r="P15" s="46">
        <f t="shared" ca="1" si="1"/>
        <v>5.7960665422953197E-3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input_546010!A$2</f>
        <v>546010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IFERROR(VLOOKUP(B16,input_546010!L:R,7,FALSE),VLOOKUP(tables_546010!C16,input_546010!A:H,8,FALSE))</f>
        <v>1184560</v>
      </c>
      <c r="P16" s="46">
        <f t="shared" ca="1" si="1"/>
        <v>9.2083333333440771E-3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input_546010!A$2</f>
        <v>546010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IFERROR(VLOOKUP(B17,input_546010!L:R,7,FALSE),VLOOKUP(tables_546010!C17,input_546010!A:H,8,FALSE))</f>
        <v>745606</v>
      </c>
      <c r="P17" s="46">
        <f t="shared" ca="1" si="1"/>
        <v>5.7960665422953197E-3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input_546010!A$2</f>
        <v>546010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IFERROR(VLOOKUP(B18,input_546010!L:R,7,FALSE),VLOOKUP(tables_546010!C18,input_546010!A:H,8,FALSE))</f>
        <v>1184560</v>
      </c>
      <c r="P18" s="46">
        <f t="shared" ca="1" si="1"/>
        <v>9.2083333333440771E-3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input_546010!A$2</f>
        <v>546010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IFERROR(VLOOKUP(B19,input_546010!L:R,7,FALSE),VLOOKUP(tables_546010!C19,input_546010!A:H,8,FALSE))</f>
        <v>745606</v>
      </c>
      <c r="P19" s="46">
        <f t="shared" ca="1" si="1"/>
        <v>5.7960665422953197E-3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input_546010!A$2</f>
        <v>546010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IFERROR(VLOOKUP(B20,input_546010!L:R,7,FALSE),VLOOKUP(tables_546010!C20,input_546010!A:H,8,FALSE))</f>
        <v>1184560</v>
      </c>
      <c r="P20" s="46">
        <f t="shared" ca="1" si="1"/>
        <v>9.2083333333440771E-3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input_546010!A$2</f>
        <v>546010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IFERROR(VLOOKUP(B21,input_546010!L:R,7,FALSE),VLOOKUP(tables_546010!C21,input_546010!A:H,8,FALSE))</f>
        <v>745606</v>
      </c>
      <c r="P21" s="46">
        <f t="shared" ca="1" si="1"/>
        <v>5.7960665422953197E-3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input_546010!A$2</f>
        <v>546010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IFERROR(VLOOKUP(B22,input_546010!L:R,7,FALSE),VLOOKUP(tables_546010!C22,input_546010!A:H,8,FALSE))</f>
        <v>1184560</v>
      </c>
      <c r="P22" s="46">
        <f t="shared" ca="1" si="1"/>
        <v>9.2083333333440771E-3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input_546010!A$2</f>
        <v>546010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IFERROR(VLOOKUP(B23,input_546010!L:R,7,FALSE),VLOOKUP(tables_546010!C23,input_546010!A:H,8,FALSE))</f>
        <v>745606</v>
      </c>
      <c r="P23" s="46">
        <f t="shared" ca="1" si="1"/>
        <v>5.7960665422953197E-3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input_546010!A$2</f>
        <v>546010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IFERROR(VLOOKUP(B24,input_546010!L:R,7,FALSE),VLOOKUP(tables_546010!C24,input_546010!A:H,8,FALSE))</f>
        <v>1184560</v>
      </c>
      <c r="P24" s="46">
        <f t="shared" ca="1" si="1"/>
        <v>9.2083333333440771E-3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input_546010!A$2</f>
        <v>546010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IFERROR(VLOOKUP(B25,input_546010!L:R,7,FALSE),VLOOKUP(tables_546010!C25,input_546010!A:H,8,FALSE))</f>
        <v>745606</v>
      </c>
      <c r="P25" s="46">
        <f t="shared" ca="1" si="1"/>
        <v>5.7960665422953197E-3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input_546010!A$2</f>
        <v>546010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IFERROR(VLOOKUP(B26,input_546010!L:R,7,FALSE),VLOOKUP(tables_546010!C26,input_546010!A:H,8,FALSE))</f>
        <v>1184560</v>
      </c>
      <c r="P26" s="46">
        <f t="shared" ca="1" si="1"/>
        <v>9.2083333333440771E-3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input_546010!A$2</f>
        <v>546010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IFERROR(VLOOKUP(B27,input_546010!L:R,7,FALSE),VLOOKUP(tables_546010!C27,input_546010!A:H,8,FALSE))</f>
        <v>745606</v>
      </c>
      <c r="P27" s="46">
        <f t="shared" ca="1" si="1"/>
        <v>5.7960665422953197E-3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input_546010!A$2</f>
        <v>546010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IFERROR(VLOOKUP(B28,input_546010!L:R,7,FALSE),VLOOKUP(tables_546010!C28,input_546010!A:H,8,FALSE))</f>
        <v>1184560</v>
      </c>
      <c r="P28" s="46">
        <f t="shared" ca="1" si="1"/>
        <v>9.2083333333440771E-3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input_546010!A$2</f>
        <v>546010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IFERROR(VLOOKUP(B29,input_546010!L:R,7,FALSE),VLOOKUP(tables_546010!C29,input_546010!A:H,8,FALSE))</f>
        <v>745606</v>
      </c>
      <c r="P29" s="46">
        <f t="shared" ca="1" si="1"/>
        <v>5.7960665422953197E-3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input_546010!A$2</f>
        <v>546010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IFERROR(VLOOKUP(B30,input_546010!L:R,7,FALSE),VLOOKUP(tables_546010!C30,input_546010!A:H,8,FALSE))</f>
        <v>1184560</v>
      </c>
      <c r="P30" s="46">
        <f t="shared" ca="1" si="1"/>
        <v>9.2083333333440771E-3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input_546010!A$2</f>
        <v>546010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IFERROR(VLOOKUP(B31,input_546010!L:R,7,FALSE),VLOOKUP(tables_546010!C31,input_546010!A:H,8,FALSE))</f>
        <v>745606</v>
      </c>
      <c r="P31" s="46">
        <f t="shared" ca="1" si="1"/>
        <v>5.7960665422953197E-3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input_546010!A$2</f>
        <v>546010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IFERROR(VLOOKUP(B32,input_546010!L:R,7,FALSE),VLOOKUP(tables_546010!C32,input_546010!A:H,8,FALSE))</f>
        <v>1184560</v>
      </c>
      <c r="P32" s="46">
        <f t="shared" ca="1" si="1"/>
        <v>9.2083333333440771E-3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input_546010!A$2</f>
        <v>546010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IFERROR(VLOOKUP(B33,input_546010!L:R,7,FALSE),VLOOKUP(tables_546010!C33,input_546010!A:H,8,FALSE))</f>
        <v>745606</v>
      </c>
      <c r="P33" s="46">
        <f t="shared" ca="1" si="1"/>
        <v>5.7960665422953197E-3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input_546010!A$2</f>
        <v>546010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IFERROR(VLOOKUP(B34,input_546010!L:R,7,FALSE),VLOOKUP(tables_546010!C34,input_546010!A:H,8,FALSE))</f>
        <v>1184560</v>
      </c>
      <c r="P34" s="46">
        <f t="shared" ca="1" si="1"/>
        <v>9.2083333333440771E-3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input_546010!A$2</f>
        <v>546010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IFERROR(VLOOKUP(B35,input_546010!L:R,7,FALSE),VLOOKUP(tables_546010!C35,input_546010!A:H,8,FALSE))</f>
        <v>745606</v>
      </c>
      <c r="P35" s="46">
        <f t="shared" ca="1" si="1"/>
        <v>5.7960665422953197E-3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input_546010!A$2</f>
        <v>546010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IFERROR(VLOOKUP(B36,input_546010!L:R,7,FALSE),VLOOKUP(tables_546010!C36,input_546010!A:H,8,FALSE))</f>
        <v>1184560</v>
      </c>
      <c r="P36" s="46">
        <f t="shared" ca="1" si="1"/>
        <v>9.2083333333440771E-3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input_546010!A$2</f>
        <v>546010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IFERROR(VLOOKUP(B37,input_546010!L:R,7,FALSE),VLOOKUP(tables_546010!C37,input_546010!A:H,8,FALSE))</f>
        <v>745606</v>
      </c>
      <c r="P37" s="46">
        <f t="shared" ca="1" si="1"/>
        <v>5.7960665422953197E-3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input_546010!A$2</f>
        <v>546010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IFERROR(VLOOKUP(B38,input_546010!L:R,7,FALSE),VLOOKUP(tables_546010!C38,input_546010!A:H,8,FALSE))</f>
        <v>1184560</v>
      </c>
      <c r="P38" s="46">
        <f t="shared" ca="1" si="1"/>
        <v>9.2083333333440771E-3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input_546010!A$2</f>
        <v>546010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IFERROR(VLOOKUP(B39,input_546010!L:R,7,FALSE),VLOOKUP(tables_546010!C39,input_546010!A:H,8,FALSE))</f>
        <v>745606</v>
      </c>
      <c r="P39" s="46">
        <f t="shared" ca="1" si="1"/>
        <v>5.7960665422953197E-3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input_546010!A$2</f>
        <v>546010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IFERROR(VLOOKUP(B40,input_546010!L:R,7,FALSE),VLOOKUP(tables_546010!C40,input_546010!A:H,8,FALSE))</f>
        <v>1184560</v>
      </c>
      <c r="P40" s="46">
        <f t="shared" ca="1" si="1"/>
        <v>9.2083333333440771E-3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input_546010!A$2</f>
        <v>546010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IFERROR(VLOOKUP(B41,input_546010!L:R,7,FALSE),VLOOKUP(tables_546010!C41,input_546010!A:H,8,FALSE))</f>
        <v>745606</v>
      </c>
      <c r="P41" s="46">
        <f t="shared" ca="1" si="1"/>
        <v>5.7960665422953197E-3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input_546010!A$2</f>
        <v>546010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IFERROR(VLOOKUP(B42,input_546010!L:R,7,FALSE),VLOOKUP(tables_546010!C42,input_546010!A:H,8,FALSE))</f>
        <v>495800</v>
      </c>
      <c r="P42" s="46">
        <f t="shared" ca="1" si="1"/>
        <v>3.8541666666711632E-3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input_546010!A$2</f>
        <v>546010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IFERROR(VLOOKUP(B43,input_546010!L:R,7,FALSE),VLOOKUP(tables_546010!C43,input_546010!A:H,8,FALSE))</f>
        <v>619750</v>
      </c>
      <c r="P43" s="46">
        <f t="shared" ca="1" si="1"/>
        <v>4.8177083333389541E-3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input_546010!A$2</f>
        <v>546010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IFERROR(VLOOKUP(B44,input_546010!L:R,7,FALSE),VLOOKUP(tables_546010!C44,input_546010!A:H,8,FALSE))</f>
        <v>123950</v>
      </c>
      <c r="P44" s="46">
        <f t="shared" ca="1" si="1"/>
        <v>9.6354166666779079E-4</v>
      </c>
      <c r="Q44" s="102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input_546010!A$2</f>
        <v>546010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IFERROR(VLOOKUP(B45,input_546010!L:R,7,FALSE),VLOOKUP(tables_546010!C45,input_546010!A:H,8,FALSE))</f>
        <v>495800</v>
      </c>
      <c r="P45" s="46">
        <f t="shared" ca="1" si="1"/>
        <v>3.8541666666711632E-3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input_546010!A$2</f>
        <v>546010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IFERROR(VLOOKUP(B46,input_546010!L:R,7,FALSE),VLOOKUP(tables_546010!C46,input_546010!A:H,8,FALSE))</f>
        <v>619750</v>
      </c>
      <c r="P46" s="46">
        <f t="shared" ca="1" si="1"/>
        <v>4.8177083333389541E-3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input_546010!A$2</f>
        <v>546010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IFERROR(VLOOKUP(B47,input_546010!L:R,7,FALSE),VLOOKUP(tables_546010!C47,input_546010!A:H,8,FALSE))</f>
        <v>123950</v>
      </c>
      <c r="P47" s="46">
        <f t="shared" ca="1" si="1"/>
        <v>9.6354166666779079E-4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input_546010!A$2</f>
        <v>546010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IFERROR(VLOOKUP(B48,input_546010!L:R,7,FALSE),VLOOKUP(tables_546010!C48,input_546010!A:H,8,FALSE))</f>
        <v>495800</v>
      </c>
      <c r="P48" s="46">
        <f t="shared" ca="1" si="1"/>
        <v>3.8541666666711632E-3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input_546010!A$2</f>
        <v>546010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IFERROR(VLOOKUP(B49,input_546010!L:R,7,FALSE),VLOOKUP(tables_546010!C49,input_546010!A:H,8,FALSE))</f>
        <v>619750</v>
      </c>
      <c r="P49" s="46">
        <f t="shared" ca="1" si="1"/>
        <v>4.8177083333389541E-3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input_546010!A$2</f>
        <v>546010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IFERROR(VLOOKUP(B50,input_546010!L:R,7,FALSE),VLOOKUP(tables_546010!C50,input_546010!A:H,8,FALSE))</f>
        <v>123950</v>
      </c>
      <c r="P50" s="46">
        <f t="shared" ca="1" si="1"/>
        <v>9.6354166666779079E-4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input_546010!A$2</f>
        <v>546010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IFERROR(VLOOKUP(B51,input_546010!L:R,7,FALSE),VLOOKUP(tables_546010!C51,input_546010!A:H,8,FALSE))</f>
        <v>495800</v>
      </c>
      <c r="P51" s="46">
        <f t="shared" ca="1" si="1"/>
        <v>3.8541666666711632E-3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input_546010!A$2</f>
        <v>546010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IFERROR(VLOOKUP(B52,input_546010!L:R,7,FALSE),VLOOKUP(tables_546010!C52,input_546010!A:H,8,FALSE))</f>
        <v>619750</v>
      </c>
      <c r="P52" s="46">
        <f t="shared" ca="1" si="1"/>
        <v>4.8177083333389541E-3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input_546010!A$2</f>
        <v>546010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IFERROR(VLOOKUP(B53,input_546010!L:R,7,FALSE),VLOOKUP(tables_546010!C53,input_546010!A:H,8,FALSE))</f>
        <v>34699.615380000003</v>
      </c>
      <c r="P53" s="46">
        <f t="shared" ca="1" si="1"/>
        <v>2.6974203498165804E-4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input_546010!A$2</f>
        <v>546010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IFERROR(VLOOKUP(B54,input_546010!L:R,7,FALSE),VLOOKUP(tables_546010!C54,input_546010!A:H,8,FALSE))</f>
        <v>495800</v>
      </c>
      <c r="P54" s="46">
        <f t="shared" ca="1" si="1"/>
        <v>3.8541666666711632E-3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input_546010!A$2</f>
        <v>546010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IFERROR(VLOOKUP(B55,input_546010!L:R,7,FALSE),VLOOKUP(tables_546010!C55,input_546010!A:H,8,FALSE))</f>
        <v>619750</v>
      </c>
      <c r="P55" s="46">
        <f t="shared" ca="1" si="1"/>
        <v>4.8177083333389541E-3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input_546010!A$2</f>
        <v>546010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IFERROR(VLOOKUP(B56,input_546010!L:R,7,FALSE),VLOOKUP(tables_546010!C56,input_546010!A:H,8,FALSE))</f>
        <v>34699.615380000003</v>
      </c>
      <c r="P56" s="46">
        <f t="shared" ca="1" si="1"/>
        <v>2.6974203498165804E-4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input_546010!A$2</f>
        <v>546010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IFERROR(VLOOKUP(B57,input_546010!L:R,7,FALSE),VLOOKUP(tables_546010!C57,input_546010!A:H,8,FALSE))</f>
        <v>495800</v>
      </c>
      <c r="P57" s="46">
        <f t="shared" ca="1" si="1"/>
        <v>3.8541666666711632E-3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input_546010!A$2</f>
        <v>546010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IFERROR(VLOOKUP(B58,input_546010!L:R,7,FALSE),VLOOKUP(tables_546010!C58,input_546010!A:H,8,FALSE))</f>
        <v>619750</v>
      </c>
      <c r="P58" s="46">
        <f t="shared" ca="1" si="1"/>
        <v>4.8177083333389541E-3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input_546010!A$2</f>
        <v>546010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IFERROR(VLOOKUP(B59,input_546010!L:R,7,FALSE),VLOOKUP(tables_546010!C59,input_546010!A:H,8,FALSE))</f>
        <v>34699.615380000003</v>
      </c>
      <c r="P59" s="46">
        <f t="shared" ca="1" si="1"/>
        <v>2.6974203498165804E-4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input_546010!A$2</f>
        <v>546010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IFERROR(VLOOKUP(B60,input_546010!L:R,7,FALSE),VLOOKUP(tables_546010!C60,input_546010!A:H,8,FALSE))</f>
        <v>495800</v>
      </c>
      <c r="P60" s="46">
        <f t="shared" ca="1" si="1"/>
        <v>3.8541666666711632E-3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input_546010!A$2</f>
        <v>546010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IFERROR(VLOOKUP(B61,input_546010!L:R,7,FALSE),VLOOKUP(tables_546010!C61,input_546010!A:H,8,FALSE))</f>
        <v>619750</v>
      </c>
      <c r="P61" s="46">
        <f t="shared" ca="1" si="1"/>
        <v>4.8177083333389541E-3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input_546010!A$2</f>
        <v>546010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IFERROR(VLOOKUP(B62,input_546010!L:R,7,FALSE),VLOOKUP(tables_546010!C62,input_546010!A:H,8,FALSE))</f>
        <v>34699.615380000003</v>
      </c>
      <c r="P62" s="46">
        <f t="shared" ca="1" si="1"/>
        <v>2.6974203498165804E-4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input_546010!A$2</f>
        <v>546010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IFERROR(VLOOKUP(B63,input_546010!L:R,7,FALSE),VLOOKUP(tables_546010!C63,input_546010!A:H,8,FALSE))</f>
        <v>495800</v>
      </c>
      <c r="P63" s="46">
        <f t="shared" ca="1" si="1"/>
        <v>3.8541666666711632E-3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input_546010!A$2</f>
        <v>546010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IFERROR(VLOOKUP(B64,input_546010!L:R,7,FALSE),VLOOKUP(tables_546010!C64,input_546010!A:H,8,FALSE))</f>
        <v>619750</v>
      </c>
      <c r="P64" s="46">
        <f t="shared" ca="1" si="1"/>
        <v>4.8177083333389541E-3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input_546010!A$2</f>
        <v>546010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IFERROR(VLOOKUP(B65,input_546010!L:R,7,FALSE),VLOOKUP(tables_546010!C65,input_546010!A:H,8,FALSE))</f>
        <v>34699.615380000003</v>
      </c>
      <c r="P65" s="46">
        <f t="shared" ca="1" si="1"/>
        <v>2.6974203498165804E-4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input_546010!A$2</f>
        <v>546010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IFERROR(VLOOKUP(B66,input_546010!L:R,7,FALSE),VLOOKUP(tables_546010!C66,input_546010!A:H,8,FALSE))</f>
        <v>495800</v>
      </c>
      <c r="P66" s="46">
        <f t="shared" ref="P66:P129" ca="1" si="4">O66/SUM(O:O)</f>
        <v>3.8541666666711632E-3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input_546010!A$2</f>
        <v>546010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IFERROR(VLOOKUP(B67,input_546010!L:R,7,FALSE),VLOOKUP(tables_546010!C67,input_546010!A:H,8,FALSE))</f>
        <v>619750</v>
      </c>
      <c r="P67" s="46">
        <f t="shared" ca="1" si="4"/>
        <v>4.8177083333389541E-3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input_546010!A$2</f>
        <v>546010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IFERROR(VLOOKUP(B68,input_546010!L:R,7,FALSE),VLOOKUP(tables_546010!C68,input_546010!A:H,8,FALSE))</f>
        <v>34699.615380000003</v>
      </c>
      <c r="P68" s="46">
        <f t="shared" ca="1" si="4"/>
        <v>2.6974203498165804E-4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input_546010!A$2</f>
        <v>546010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IFERROR(VLOOKUP(B69,input_546010!L:R,7,FALSE),VLOOKUP(tables_546010!C69,input_546010!A:H,8,FALSE))</f>
        <v>495800</v>
      </c>
      <c r="P69" s="46">
        <f t="shared" ca="1" si="4"/>
        <v>3.8541666666711632E-3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input_546010!A$2</f>
        <v>546010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IFERROR(VLOOKUP(B70,input_546010!L:R,7,FALSE),VLOOKUP(tables_546010!C70,input_546010!A:H,8,FALSE))</f>
        <v>619750</v>
      </c>
      <c r="P70" s="46">
        <f t="shared" ca="1" si="4"/>
        <v>4.8177083333389541E-3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input_546010!A$2</f>
        <v>546010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IFERROR(VLOOKUP(B71,input_546010!L:R,7,FALSE),VLOOKUP(tables_546010!C71,input_546010!A:H,8,FALSE))</f>
        <v>34699.615380000003</v>
      </c>
      <c r="P71" s="46">
        <f t="shared" ca="1" si="4"/>
        <v>2.6974203498165804E-4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input_546010!A$2</f>
        <v>546010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IFERROR(VLOOKUP(B72,input_546010!L:R,7,FALSE),VLOOKUP(tables_546010!C72,input_546010!A:H,8,FALSE))</f>
        <v>495800</v>
      </c>
      <c r="P72" s="46">
        <f t="shared" ca="1" si="4"/>
        <v>3.8541666666711632E-3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input_546010!A$2</f>
        <v>546010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IFERROR(VLOOKUP(B73,input_546010!L:R,7,FALSE),VLOOKUP(tables_546010!C73,input_546010!A:H,8,FALSE))</f>
        <v>619750</v>
      </c>
      <c r="P73" s="46">
        <f t="shared" ca="1" si="4"/>
        <v>4.8177083333389541E-3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input_546010!A$2</f>
        <v>546010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IFERROR(VLOOKUP(B74,input_546010!L:R,7,FALSE),VLOOKUP(tables_546010!C74,input_546010!A:H,8,FALSE))</f>
        <v>34699.615380000003</v>
      </c>
      <c r="P74" s="46">
        <f t="shared" ca="1" si="4"/>
        <v>2.6974203498165804E-4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input_546010!A$2</f>
        <v>546010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IFERROR(VLOOKUP(B75,input_546010!L:R,7,FALSE),VLOOKUP(tables_546010!C75,input_546010!A:H,8,FALSE))</f>
        <v>495800</v>
      </c>
      <c r="P75" s="46">
        <f t="shared" ca="1" si="4"/>
        <v>3.8541666666711632E-3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input_546010!A$2</f>
        <v>546010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IFERROR(VLOOKUP(B76,input_546010!L:R,7,FALSE),VLOOKUP(tables_546010!C76,input_546010!A:H,8,FALSE))</f>
        <v>619750</v>
      </c>
      <c r="P76" s="46">
        <f t="shared" ca="1" si="4"/>
        <v>4.8177083333389541E-3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input_546010!A$2</f>
        <v>546010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IFERROR(VLOOKUP(B77,input_546010!L:R,7,FALSE),VLOOKUP(tables_546010!C77,input_546010!A:H,8,FALSE))</f>
        <v>34699.615380000003</v>
      </c>
      <c r="P77" s="46">
        <f t="shared" ca="1" si="4"/>
        <v>2.6974203498165804E-4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input_546010!A$2</f>
        <v>546010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IFERROR(VLOOKUP(B78,input_546010!L:R,7,FALSE),VLOOKUP(tables_546010!C78,input_546010!A:H,8,FALSE))</f>
        <v>495800</v>
      </c>
      <c r="P78" s="46">
        <f t="shared" ca="1" si="4"/>
        <v>3.8541666666711632E-3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input_546010!A$2</f>
        <v>546010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IFERROR(VLOOKUP(B79,input_546010!L:R,7,FALSE),VLOOKUP(tables_546010!C79,input_546010!A:H,8,FALSE))</f>
        <v>619750</v>
      </c>
      <c r="P79" s="46">
        <f t="shared" ca="1" si="4"/>
        <v>4.8177083333389541E-3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input_546010!A$2</f>
        <v>546010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IFERROR(VLOOKUP(B80,input_546010!L:R,7,FALSE),VLOOKUP(tables_546010!C80,input_546010!A:H,8,FALSE))</f>
        <v>34699.615380000003</v>
      </c>
      <c r="P80" s="46">
        <f t="shared" ca="1" si="4"/>
        <v>2.6974203498165804E-4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input_546010!A$2</f>
        <v>546010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IFERROR(VLOOKUP(B81,input_546010!L:R,7,FALSE),VLOOKUP(tables_546010!C81,input_546010!A:H,8,FALSE))</f>
        <v>495800</v>
      </c>
      <c r="P81" s="46">
        <f t="shared" ca="1" si="4"/>
        <v>3.8541666666711632E-3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input_546010!A$2</f>
        <v>546010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IFERROR(VLOOKUP(B82,input_546010!L:R,7,FALSE),VLOOKUP(tables_546010!C82,input_546010!A:H,8,FALSE))</f>
        <v>619750</v>
      </c>
      <c r="P82" s="46">
        <f t="shared" ca="1" si="4"/>
        <v>4.8177083333389541E-3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input_546010!A$2</f>
        <v>546010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IFERROR(VLOOKUP(B83,input_546010!L:R,7,FALSE),VLOOKUP(tables_546010!C83,input_546010!A:H,8,FALSE))</f>
        <v>34699.615380000003</v>
      </c>
      <c r="P83" s="46">
        <f t="shared" ca="1" si="4"/>
        <v>2.6974203498165804E-4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input_546010!A$2</f>
        <v>546010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IFERROR(VLOOKUP(B84,input_546010!L:R,7,FALSE),VLOOKUP(tables_546010!C84,input_546010!A:H,8,FALSE))</f>
        <v>495800</v>
      </c>
      <c r="P84" s="46">
        <f t="shared" ca="1" si="4"/>
        <v>3.8541666666711632E-3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input_546010!A$2</f>
        <v>546010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IFERROR(VLOOKUP(B85,input_546010!L:R,7,FALSE),VLOOKUP(tables_546010!C85,input_546010!A:H,8,FALSE))</f>
        <v>619750</v>
      </c>
      <c r="P85" s="46">
        <f t="shared" ca="1" si="4"/>
        <v>4.8177083333389541E-3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input_546010!A$2</f>
        <v>546010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IFERROR(VLOOKUP(B86,input_546010!L:R,7,FALSE),VLOOKUP(tables_546010!C86,input_546010!A:H,8,FALSE))</f>
        <v>34699.615380000003</v>
      </c>
      <c r="P86" s="46">
        <f t="shared" ca="1" si="4"/>
        <v>2.6974203498165804E-4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input_546010!A$2</f>
        <v>546010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IFERROR(VLOOKUP(B87,input_546010!L:R,7,FALSE),VLOOKUP(tables_546010!C87,input_546010!A:H,8,FALSE))</f>
        <v>495800</v>
      </c>
      <c r="P87" s="46">
        <f t="shared" ca="1" si="4"/>
        <v>3.8541666666711632E-3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input_546010!A$2</f>
        <v>546010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IFERROR(VLOOKUP(B88,input_546010!L:R,7,FALSE),VLOOKUP(tables_546010!C88,input_546010!A:H,8,FALSE))</f>
        <v>619750</v>
      </c>
      <c r="P88" s="46">
        <f t="shared" ca="1" si="4"/>
        <v>4.8177083333389541E-3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input_546010!A$2</f>
        <v>546010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IFERROR(VLOOKUP(B89,input_546010!L:R,7,FALSE),VLOOKUP(tables_546010!C89,input_546010!A:H,8,FALSE))</f>
        <v>34699.615380000003</v>
      </c>
      <c r="P89" s="46">
        <f t="shared" ca="1" si="4"/>
        <v>2.6974203498165804E-4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input_546010!A$2</f>
        <v>546010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IFERROR(VLOOKUP(B90,input_546010!L:R,7,FALSE),VLOOKUP(tables_546010!C90,input_546010!A:H,8,FALSE))</f>
        <v>495800</v>
      </c>
      <c r="P90" s="46">
        <f t="shared" ca="1" si="4"/>
        <v>3.8541666666711632E-3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input_546010!A$2</f>
        <v>546010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IFERROR(VLOOKUP(B91,input_546010!L:R,7,FALSE),VLOOKUP(tables_546010!C91,input_546010!A:H,8,FALSE))</f>
        <v>619750</v>
      </c>
      <c r="P91" s="46">
        <f t="shared" ca="1" si="4"/>
        <v>4.8177083333389541E-3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input_546010!A$2</f>
        <v>546010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IFERROR(VLOOKUP(B92,input_546010!L:R,7,FALSE),VLOOKUP(tables_546010!C92,input_546010!A:H,8,FALSE))</f>
        <v>34699.615380000003</v>
      </c>
      <c r="P92" s="46">
        <f t="shared" ca="1" si="4"/>
        <v>2.6974203498165804E-4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input_546010!A$2</f>
        <v>546010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IFERROR(VLOOKUP(B93,input_546010!L:R,7,FALSE),VLOOKUP(tables_546010!C93,input_546010!A:H,8,FALSE))</f>
        <v>495800</v>
      </c>
      <c r="P93" s="46">
        <f t="shared" ca="1" si="4"/>
        <v>3.8541666666711632E-3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input_546010!A$2</f>
        <v>546010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IFERROR(VLOOKUP(B94,input_546010!L:R,7,FALSE),VLOOKUP(tables_546010!C94,input_546010!A:H,8,FALSE))</f>
        <v>619750</v>
      </c>
      <c r="P94" s="46">
        <f t="shared" ca="1" si="4"/>
        <v>4.8177083333389541E-3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input_546010!A$2</f>
        <v>546010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IFERROR(VLOOKUP(B95,input_546010!L:R,7,FALSE),VLOOKUP(tables_546010!C95,input_546010!A:H,8,FALSE))</f>
        <v>34699.615380000003</v>
      </c>
      <c r="P95" s="46">
        <f t="shared" ca="1" si="4"/>
        <v>2.6974203498165804E-4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input_546010!A$2</f>
        <v>546010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IFERROR(VLOOKUP(B96,input_546010!L:R,7,FALSE),VLOOKUP(tables_546010!C96,input_546010!A:H,8,FALSE))</f>
        <v>495800</v>
      </c>
      <c r="P96" s="46">
        <f t="shared" ca="1" si="4"/>
        <v>3.8541666666711632E-3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input_546010!A$2</f>
        <v>546010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IFERROR(VLOOKUP(B97,input_546010!L:R,7,FALSE),VLOOKUP(tables_546010!C97,input_546010!A:H,8,FALSE))</f>
        <v>619750</v>
      </c>
      <c r="P97" s="46">
        <f t="shared" ca="1" si="4"/>
        <v>4.8177083333389541E-3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input_546010!A$2</f>
        <v>546010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IFERROR(VLOOKUP(B98,input_546010!L:R,7,FALSE),VLOOKUP(tables_546010!C98,input_546010!A:H,8,FALSE))</f>
        <v>34699.615380000003</v>
      </c>
      <c r="P98" s="46">
        <f t="shared" ca="1" si="4"/>
        <v>2.6974203498165804E-4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input_546010!A$2</f>
        <v>546010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IFERROR(VLOOKUP(B99,input_546010!L:R,7,FALSE),VLOOKUP(tables_546010!C99,input_546010!A:H,8,FALSE))</f>
        <v>495800</v>
      </c>
      <c r="P99" s="46">
        <f t="shared" ca="1" si="4"/>
        <v>3.8541666666711632E-3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input_546010!A$2</f>
        <v>546010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IFERROR(VLOOKUP(B100,input_546010!L:R,7,FALSE),VLOOKUP(tables_546010!C100,input_546010!A:H,8,FALSE))</f>
        <v>619750</v>
      </c>
      <c r="P100" s="46">
        <f t="shared" ca="1" si="4"/>
        <v>4.8177083333389541E-3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input_546010!A$2</f>
        <v>546010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IFERROR(VLOOKUP(B101,input_546010!L:R,7,FALSE),VLOOKUP(tables_546010!C101,input_546010!A:H,8,FALSE))</f>
        <v>34699.615380000003</v>
      </c>
      <c r="P101" s="46">
        <f t="shared" ca="1" si="4"/>
        <v>2.6974203498165804E-4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input_546010!A$2</f>
        <v>546010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IFERROR(VLOOKUP(B102,input_546010!L:R,7,FALSE),VLOOKUP(tables_546010!C102,input_546010!A:H,8,FALSE))</f>
        <v>495800</v>
      </c>
      <c r="P102" s="46">
        <f t="shared" ca="1" si="4"/>
        <v>3.8541666666711632E-3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input_546010!A$2</f>
        <v>546010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IFERROR(VLOOKUP(B103,input_546010!L:R,7,FALSE),VLOOKUP(tables_546010!C103,input_546010!A:H,8,FALSE))</f>
        <v>619750</v>
      </c>
      <c r="P103" s="46">
        <f t="shared" ca="1" si="4"/>
        <v>4.8177083333389541E-3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input_546010!A$2</f>
        <v>546010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IFERROR(VLOOKUP(B104,input_546010!L:R,7,FALSE),VLOOKUP(tables_546010!C104,input_546010!A:H,8,FALSE))</f>
        <v>34699.615380000003</v>
      </c>
      <c r="P104" s="46">
        <f t="shared" ca="1" si="4"/>
        <v>2.6974203498165804E-4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input_546010!A$2</f>
        <v>546010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IFERROR(VLOOKUP(B105,input_546010!L:R,7,FALSE),VLOOKUP(tables_546010!C105,input_546010!A:H,8,FALSE))</f>
        <v>495800</v>
      </c>
      <c r="P105" s="46">
        <f t="shared" ca="1" si="4"/>
        <v>3.8541666666711632E-3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input_546010!A$2</f>
        <v>546010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IFERROR(VLOOKUP(B106,input_546010!L:R,7,FALSE),VLOOKUP(tables_546010!C106,input_546010!A:H,8,FALSE))</f>
        <v>619750</v>
      </c>
      <c r="P106" s="46">
        <f t="shared" ca="1" si="4"/>
        <v>4.8177083333389541E-3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input_546010!A$2</f>
        <v>546010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IFERROR(VLOOKUP(B107,input_546010!L:R,7,FALSE),VLOOKUP(tables_546010!C107,input_546010!A:H,8,FALSE))</f>
        <v>34699.615380000003</v>
      </c>
      <c r="P107" s="46">
        <f t="shared" ca="1" si="4"/>
        <v>2.6974203498165804E-4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input_546010!A$2</f>
        <v>546010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IFERROR(VLOOKUP(B108,input_546010!L:R,7,FALSE),VLOOKUP(tables_546010!C108,input_546010!A:H,8,FALSE))</f>
        <v>495800</v>
      </c>
      <c r="P108" s="46">
        <f t="shared" ca="1" si="4"/>
        <v>3.8541666666711632E-3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input_546010!A$2</f>
        <v>546010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IFERROR(VLOOKUP(B109,input_546010!L:R,7,FALSE),VLOOKUP(tables_546010!C109,input_546010!A:H,8,FALSE))</f>
        <v>619750</v>
      </c>
      <c r="P109" s="46">
        <f t="shared" ca="1" si="4"/>
        <v>4.8177083333389541E-3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input_546010!A$2</f>
        <v>546010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IFERROR(VLOOKUP(B110,input_546010!L:R,7,FALSE),VLOOKUP(tables_546010!C110,input_546010!A:H,8,FALSE))</f>
        <v>34699.615380000003</v>
      </c>
      <c r="P110" s="46">
        <f t="shared" ca="1" si="4"/>
        <v>2.6974203498165804E-4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input_546010!A$2</f>
        <v>546010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IFERROR(VLOOKUP(B111,input_546010!L:R,7,FALSE),VLOOKUP(tables_546010!C111,input_546010!A:H,8,FALSE))</f>
        <v>495800</v>
      </c>
      <c r="P111" s="46">
        <f t="shared" ca="1" si="4"/>
        <v>3.8541666666711632E-3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input_546010!A$2</f>
        <v>546010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IFERROR(VLOOKUP(B112,input_546010!L:R,7,FALSE),VLOOKUP(tables_546010!C112,input_546010!A:H,8,FALSE))</f>
        <v>619750</v>
      </c>
      <c r="P112" s="46">
        <f t="shared" ca="1" si="4"/>
        <v>4.8177083333389541E-3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input_546010!A$2</f>
        <v>546010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IFERROR(VLOOKUP(B113,input_546010!L:R,7,FALSE),VLOOKUP(tables_546010!C113,input_546010!A:H,8,FALSE))</f>
        <v>123950</v>
      </c>
      <c r="P113" s="46">
        <f t="shared" ca="1" si="4"/>
        <v>9.6354166666779079E-4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input_546010!A$2</f>
        <v>546010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IFERROR(VLOOKUP(B114,input_546010!L:R,7,FALSE),VLOOKUP(tables_546010!C114,input_546010!A:H,8,FALSE))</f>
        <v>495800</v>
      </c>
      <c r="P114" s="46">
        <f t="shared" ca="1" si="4"/>
        <v>3.8541666666711632E-3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input_546010!A$2</f>
        <v>546010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IFERROR(VLOOKUP(B115,input_546010!L:R,7,FALSE),VLOOKUP(tables_546010!C115,input_546010!A:H,8,FALSE))</f>
        <v>619750</v>
      </c>
      <c r="P115" s="46">
        <f t="shared" ca="1" si="4"/>
        <v>4.8177083333389541E-3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input_546010!A$2</f>
        <v>546010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IFERROR(VLOOKUP(B116,input_546010!L:R,7,FALSE),VLOOKUP(tables_546010!C116,input_546010!A:H,8,FALSE))</f>
        <v>34699.615380000003</v>
      </c>
      <c r="P116" s="46">
        <f t="shared" ca="1" si="4"/>
        <v>2.6974203498165804E-4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input_546010!A$2</f>
        <v>546010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IFERROR(VLOOKUP(B117,input_546010!L:R,7,FALSE),VLOOKUP(tables_546010!C117,input_546010!A:H,8,FALSE))</f>
        <v>495800</v>
      </c>
      <c r="P117" s="46">
        <f t="shared" ca="1" si="4"/>
        <v>3.8541666666711632E-3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input_546010!A$2</f>
        <v>546010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IFERROR(VLOOKUP(B118,input_546010!L:R,7,FALSE),VLOOKUP(tables_546010!C118,input_546010!A:H,8,FALSE))</f>
        <v>619750</v>
      </c>
      <c r="P118" s="46">
        <f t="shared" ca="1" si="4"/>
        <v>4.8177083333389541E-3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input_546010!A$2</f>
        <v>546010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IFERROR(VLOOKUP(B119,input_546010!L:R,7,FALSE),VLOOKUP(tables_546010!C119,input_546010!A:H,8,FALSE))</f>
        <v>34699.615380000003</v>
      </c>
      <c r="P119" s="46">
        <f t="shared" ca="1" si="4"/>
        <v>2.6974203498165804E-4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input_546010!A$2</f>
        <v>546010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IFERROR(VLOOKUP(B120,input_546010!L:R,7,FALSE),VLOOKUP(tables_546010!C120,input_546010!A:H,8,FALSE))</f>
        <v>495800</v>
      </c>
      <c r="P120" s="46">
        <f t="shared" ca="1" si="4"/>
        <v>3.8541666666711632E-3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input_546010!A$2</f>
        <v>546010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IFERROR(VLOOKUP(B121,input_546010!L:R,7,FALSE),VLOOKUP(tables_546010!C121,input_546010!A:H,8,FALSE))</f>
        <v>619750</v>
      </c>
      <c r="P121" s="46">
        <f t="shared" ca="1" si="4"/>
        <v>4.8177083333389541E-3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input_546010!A$2</f>
        <v>546010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IFERROR(VLOOKUP(B122,input_546010!L:R,7,FALSE),VLOOKUP(tables_546010!C122,input_546010!A:H,8,FALSE))</f>
        <v>34699.615380000003</v>
      </c>
      <c r="P122" s="46">
        <f t="shared" ca="1" si="4"/>
        <v>2.6974203498165804E-4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input_546010!A$2</f>
        <v>546010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IFERROR(VLOOKUP(B123,input_546010!L:R,7,FALSE),VLOOKUP(tables_546010!C123,input_546010!A:H,8,FALSE))</f>
        <v>495800</v>
      </c>
      <c r="P123" s="46">
        <f t="shared" ca="1" si="4"/>
        <v>3.8541666666711632E-3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input_546010!A$2</f>
        <v>546010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IFERROR(VLOOKUP(B124,input_546010!L:R,7,FALSE),VLOOKUP(tables_546010!C124,input_546010!A:H,8,FALSE))</f>
        <v>619750</v>
      </c>
      <c r="P124" s="46">
        <f t="shared" ca="1" si="4"/>
        <v>4.8177083333389541E-3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input_546010!A$2</f>
        <v>546010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IFERROR(VLOOKUP(B125,input_546010!L:R,7,FALSE),VLOOKUP(tables_546010!C125,input_546010!A:H,8,FALSE))</f>
        <v>34699.615380000003</v>
      </c>
      <c r="P125" s="46">
        <f t="shared" ca="1" si="4"/>
        <v>2.6974203498165804E-4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input_546010!A$2</f>
        <v>546010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IFERROR(VLOOKUP(B126,input_546010!L:R,7,FALSE),VLOOKUP(tables_546010!C126,input_546010!A:H,8,FALSE))</f>
        <v>495800</v>
      </c>
      <c r="P126" s="46">
        <f t="shared" ca="1" si="4"/>
        <v>3.8541666666711632E-3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input_546010!A$2</f>
        <v>546010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IFERROR(VLOOKUP(B127,input_546010!L:R,7,FALSE),VLOOKUP(tables_546010!C127,input_546010!A:H,8,FALSE))</f>
        <v>619750</v>
      </c>
      <c r="P127" s="46">
        <f t="shared" ca="1" si="4"/>
        <v>4.8177083333389541E-3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input_546010!A$2</f>
        <v>546010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IFERROR(VLOOKUP(B128,input_546010!L:R,7,FALSE),VLOOKUP(tables_546010!C128,input_546010!A:H,8,FALSE))</f>
        <v>34699.615380000003</v>
      </c>
      <c r="P128" s="46">
        <f t="shared" ca="1" si="4"/>
        <v>2.6974203498165804E-4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input_546010!A$2</f>
        <v>546010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IFERROR(VLOOKUP(B129,input_546010!L:R,7,FALSE),VLOOKUP(tables_546010!C129,input_546010!A:H,8,FALSE))</f>
        <v>495800</v>
      </c>
      <c r="P129" s="46">
        <f t="shared" ca="1" si="4"/>
        <v>3.8541666666711632E-3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input_546010!A$2</f>
        <v>546010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IFERROR(VLOOKUP(B130,input_546010!L:R,7,FALSE),VLOOKUP(tables_546010!C130,input_546010!A:H,8,FALSE))</f>
        <v>619750</v>
      </c>
      <c r="P130" s="46">
        <f t="shared" ref="P130:P193" ca="1" si="7">O130/SUM(O:O)</f>
        <v>4.8177083333389541E-3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input_546010!A$2</f>
        <v>546010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IFERROR(VLOOKUP(B131,input_546010!L:R,7,FALSE),VLOOKUP(tables_546010!C131,input_546010!A:H,8,FALSE))</f>
        <v>34699.615380000003</v>
      </c>
      <c r="P131" s="46">
        <f t="shared" ca="1" si="7"/>
        <v>2.6974203498165804E-4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input_546010!A$2</f>
        <v>546010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IFERROR(VLOOKUP(B132,input_546010!L:R,7,FALSE),VLOOKUP(tables_546010!C132,input_546010!A:H,8,FALSE))</f>
        <v>495800</v>
      </c>
      <c r="P132" s="46">
        <f t="shared" ca="1" si="7"/>
        <v>3.8541666666711632E-3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input_546010!A$2</f>
        <v>546010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IFERROR(VLOOKUP(B133,input_546010!L:R,7,FALSE),VLOOKUP(tables_546010!C133,input_546010!A:H,8,FALSE))</f>
        <v>619750</v>
      </c>
      <c r="P133" s="46">
        <f t="shared" ca="1" si="7"/>
        <v>4.8177083333389541E-3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input_546010!A$2</f>
        <v>546010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IFERROR(VLOOKUP(B134,input_546010!L:R,7,FALSE),VLOOKUP(tables_546010!C134,input_546010!A:H,8,FALSE))</f>
        <v>34699.615380000003</v>
      </c>
      <c r="P134" s="46">
        <f t="shared" ca="1" si="7"/>
        <v>2.6974203498165804E-4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input_546010!A$2</f>
        <v>546010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IFERROR(VLOOKUP(B135,input_546010!L:R,7,FALSE),VLOOKUP(tables_546010!C135,input_546010!A:H,8,FALSE))</f>
        <v>495800</v>
      </c>
      <c r="P135" s="46">
        <f t="shared" ca="1" si="7"/>
        <v>3.8541666666711632E-3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input_546010!A$2</f>
        <v>546010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IFERROR(VLOOKUP(B136,input_546010!L:R,7,FALSE),VLOOKUP(tables_546010!C136,input_546010!A:H,8,FALSE))</f>
        <v>619750</v>
      </c>
      <c r="P136" s="46">
        <f t="shared" ca="1" si="7"/>
        <v>4.8177083333389541E-3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input_546010!A$2</f>
        <v>546010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IFERROR(VLOOKUP(B137,input_546010!L:R,7,FALSE),VLOOKUP(tables_546010!C137,input_546010!A:H,8,FALSE))</f>
        <v>34699.615380000003</v>
      </c>
      <c r="P137" s="46">
        <f t="shared" ca="1" si="7"/>
        <v>2.6974203498165804E-4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input_546010!A$2</f>
        <v>546010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IFERROR(VLOOKUP(B138,input_546010!L:R,7,FALSE),VLOOKUP(tables_546010!C138,input_546010!A:H,8,FALSE))</f>
        <v>49706.666669999999</v>
      </c>
      <c r="P138" s="46">
        <f t="shared" ca="1" si="7"/>
        <v>3.8640132672619707E-4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input_546010!A$2</f>
        <v>546010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IFERROR(VLOOKUP(B139,input_546010!L:R,7,FALSE),VLOOKUP(tables_546010!C139,input_546010!A:H,8,FALSE))</f>
        <v>8640</v>
      </c>
      <c r="P139" s="46">
        <f t="shared" ca="1" si="7"/>
        <v>6.7164179104555971E-5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input_546010!A$2</f>
        <v>546010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IFERROR(VLOOKUP(B140,input_546010!L:R,7,FALSE),VLOOKUP(tables_546010!C140,input_546010!A:H,8,FALSE))</f>
        <v>49706.666669999999</v>
      </c>
      <c r="P140" s="46">
        <f t="shared" ca="1" si="7"/>
        <v>3.8640132672619707E-4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input_546010!A$2</f>
        <v>546010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IFERROR(VLOOKUP(B141,input_546010!L:R,7,FALSE),VLOOKUP(tables_546010!C141,input_546010!A:H,8,FALSE))</f>
        <v>8640</v>
      </c>
      <c r="P141" s="46">
        <f t="shared" ca="1" si="7"/>
        <v>6.7164179104555971E-5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input_546010!A$2</f>
        <v>546010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IFERROR(VLOOKUP(B142,input_546010!L:R,7,FALSE),VLOOKUP(tables_546010!C142,input_546010!A:H,8,FALSE))</f>
        <v>49706.666669999999</v>
      </c>
      <c r="P142" s="46">
        <f t="shared" ca="1" si="7"/>
        <v>3.8640132672619707E-4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input_546010!A$2</f>
        <v>546010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IFERROR(VLOOKUP(B143,input_546010!L:R,7,FALSE),VLOOKUP(tables_546010!C143,input_546010!A:H,8,FALSE))</f>
        <v>8640</v>
      </c>
      <c r="P143" s="46">
        <f t="shared" ca="1" si="7"/>
        <v>6.7164179104555971E-5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input_546010!A$2</f>
        <v>546010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IFERROR(VLOOKUP(B144,input_546010!L:R,7,FALSE),VLOOKUP(tables_546010!C144,input_546010!A:H,8,FALSE))</f>
        <v>49706.666669999999</v>
      </c>
      <c r="P144" s="46">
        <f t="shared" ca="1" si="7"/>
        <v>3.8640132672619707E-4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input_546010!A$2</f>
        <v>546010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IFERROR(VLOOKUP(B145,input_546010!L:R,7,FALSE),VLOOKUP(tables_546010!C145,input_546010!A:H,8,FALSE))</f>
        <v>8640</v>
      </c>
      <c r="P145" s="46">
        <f t="shared" ca="1" si="7"/>
        <v>6.7164179104555971E-5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input_546010!A$2</f>
        <v>546010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IFERROR(VLOOKUP(B146,input_546010!L:R,7,FALSE),VLOOKUP(tables_546010!C146,input_546010!A:H,8,FALSE))</f>
        <v>495800</v>
      </c>
      <c r="P146" s="46">
        <f t="shared" ca="1" si="7"/>
        <v>3.8541666666711632E-3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input_546010!A$2</f>
        <v>546010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IFERROR(VLOOKUP(B147,input_546010!L:R,7,FALSE),VLOOKUP(tables_546010!C147,input_546010!A:H,8,FALSE))</f>
        <v>619750</v>
      </c>
      <c r="P147" s="46">
        <f t="shared" ca="1" si="7"/>
        <v>4.8177083333389541E-3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input_546010!A$2</f>
        <v>546010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IFERROR(VLOOKUP(B148,input_546010!L:R,7,FALSE),VLOOKUP(tables_546010!C148,input_546010!A:H,8,FALSE))</f>
        <v>34699.615380000003</v>
      </c>
      <c r="P148" s="46">
        <f t="shared" ca="1" si="7"/>
        <v>2.6974203498165804E-4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input_546010!A$2</f>
        <v>546010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IFERROR(VLOOKUP(B149,input_546010!L:R,7,FALSE),VLOOKUP(tables_546010!C149,input_546010!A:H,8,FALSE))</f>
        <v>49706.666669999999</v>
      </c>
      <c r="P149" s="46">
        <f t="shared" ca="1" si="7"/>
        <v>3.8640132672619707E-4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input_546010!A$2</f>
        <v>546010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IFERROR(VLOOKUP(B150,input_546010!L:R,7,FALSE),VLOOKUP(tables_546010!C150,input_546010!A:H,8,FALSE))</f>
        <v>8640</v>
      </c>
      <c r="P150" s="46">
        <f t="shared" ca="1" si="7"/>
        <v>6.7164179104555971E-5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input_546010!A$2</f>
        <v>546010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IFERROR(VLOOKUP(B151,input_546010!L:R,7,FALSE),VLOOKUP(tables_546010!C151,input_546010!A:H,8,FALSE))</f>
        <v>49706.666669999999</v>
      </c>
      <c r="P151" s="46">
        <f t="shared" ca="1" si="7"/>
        <v>3.8640132672619707E-4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input_546010!A$2</f>
        <v>546010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IFERROR(VLOOKUP(B152,input_546010!L:R,7,FALSE),VLOOKUP(tables_546010!C152,input_546010!A:H,8,FALSE))</f>
        <v>8640</v>
      </c>
      <c r="P152" s="46">
        <f t="shared" ca="1" si="7"/>
        <v>6.7164179104555971E-5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input_546010!A$2</f>
        <v>546010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IFERROR(VLOOKUP(B153,input_546010!L:R,7,FALSE),VLOOKUP(tables_546010!C153,input_546010!A:H,8,FALSE))</f>
        <v>495800</v>
      </c>
      <c r="P153" s="46">
        <f t="shared" ca="1" si="7"/>
        <v>3.8541666666711632E-3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input_546010!A$2</f>
        <v>546010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IFERROR(VLOOKUP(B154,input_546010!L:R,7,FALSE),VLOOKUP(tables_546010!C154,input_546010!A:H,8,FALSE))</f>
        <v>619750</v>
      </c>
      <c r="P154" s="46">
        <f t="shared" ca="1" si="7"/>
        <v>4.8177083333389541E-3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input_546010!A$2</f>
        <v>546010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IFERROR(VLOOKUP(B155,input_546010!L:R,7,FALSE),VLOOKUP(tables_546010!C155,input_546010!A:H,8,FALSE))</f>
        <v>34699.615380000003</v>
      </c>
      <c r="P155" s="46">
        <f t="shared" ca="1" si="7"/>
        <v>2.6974203498165804E-4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input_546010!A$2</f>
        <v>546010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IFERROR(VLOOKUP(B156,input_546010!L:R,7,FALSE),VLOOKUP(tables_546010!C156,input_546010!A:H,8,FALSE))</f>
        <v>49706.666669999999</v>
      </c>
      <c r="P156" s="46">
        <f t="shared" ca="1" si="7"/>
        <v>3.8640132672619707E-4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input_546010!A$2</f>
        <v>546010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IFERROR(VLOOKUP(B157,input_546010!L:R,7,FALSE),VLOOKUP(tables_546010!C157,input_546010!A:H,8,FALSE))</f>
        <v>8640</v>
      </c>
      <c r="P157" s="46">
        <f t="shared" ca="1" si="7"/>
        <v>6.7164179104555971E-5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input_546010!A$2</f>
        <v>546010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IFERROR(VLOOKUP(B158,input_546010!L:R,7,FALSE),VLOOKUP(tables_546010!C158,input_546010!A:H,8,FALSE))</f>
        <v>495800</v>
      </c>
      <c r="P158" s="46">
        <f t="shared" ca="1" si="7"/>
        <v>3.8541666666711632E-3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input_546010!A$2</f>
        <v>546010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IFERROR(VLOOKUP(B159,input_546010!L:R,7,FALSE),VLOOKUP(tables_546010!C159,input_546010!A:H,8,FALSE))</f>
        <v>619750</v>
      </c>
      <c r="P159" s="46">
        <f t="shared" ca="1" si="7"/>
        <v>4.8177083333389541E-3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input_546010!A$2</f>
        <v>546010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IFERROR(VLOOKUP(B160,input_546010!L:R,7,FALSE),VLOOKUP(tables_546010!C160,input_546010!A:H,8,FALSE))</f>
        <v>34699.615380000003</v>
      </c>
      <c r="P160" s="46">
        <f t="shared" ca="1" si="7"/>
        <v>2.6974203498165804E-4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input_546010!A$2</f>
        <v>546010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IFERROR(VLOOKUP(B161,input_546010!L:R,7,FALSE),VLOOKUP(tables_546010!C161,input_546010!A:H,8,FALSE))</f>
        <v>495800</v>
      </c>
      <c r="P161" s="46">
        <f t="shared" ca="1" si="7"/>
        <v>3.8541666666711632E-3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input_546010!A$2</f>
        <v>546010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IFERROR(VLOOKUP(B162,input_546010!L:R,7,FALSE),VLOOKUP(tables_546010!C162,input_546010!A:H,8,FALSE))</f>
        <v>619750</v>
      </c>
      <c r="P162" s="46">
        <f t="shared" ca="1" si="7"/>
        <v>4.8177083333389541E-3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input_546010!A$2</f>
        <v>546010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IFERROR(VLOOKUP(B163,input_546010!L:R,7,FALSE),VLOOKUP(tables_546010!C163,input_546010!A:H,8,FALSE))</f>
        <v>34699.615380000003</v>
      </c>
      <c r="P163" s="46">
        <f t="shared" ca="1" si="7"/>
        <v>2.6974203498165804E-4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input_546010!A$2</f>
        <v>546010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IFERROR(VLOOKUP(B164,input_546010!L:R,7,FALSE),VLOOKUP(tables_546010!C164,input_546010!A:H,8,FALSE))</f>
        <v>49706.666669999999</v>
      </c>
      <c r="P164" s="46">
        <f t="shared" ca="1" si="7"/>
        <v>3.8640132672619707E-4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input_546010!A$2</f>
        <v>546010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IFERROR(VLOOKUP(B165,input_546010!L:R,7,FALSE),VLOOKUP(tables_546010!C165,input_546010!A:H,8,FALSE))</f>
        <v>8640</v>
      </c>
      <c r="P165" s="46">
        <f t="shared" ca="1" si="7"/>
        <v>6.7164179104555971E-5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input_546010!A$2</f>
        <v>546010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IFERROR(VLOOKUP(B166,input_546010!L:R,7,FALSE),VLOOKUP(tables_546010!C166,input_546010!A:H,8,FALSE))</f>
        <v>495800</v>
      </c>
      <c r="P166" s="46">
        <f t="shared" ca="1" si="7"/>
        <v>3.8541666666711632E-3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input_546010!A$2</f>
        <v>546010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IFERROR(VLOOKUP(B167,input_546010!L:R,7,FALSE),VLOOKUP(tables_546010!C167,input_546010!A:H,8,FALSE))</f>
        <v>619750</v>
      </c>
      <c r="P167" s="46">
        <f t="shared" ca="1" si="7"/>
        <v>4.8177083333389541E-3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input_546010!A$2</f>
        <v>546010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IFERROR(VLOOKUP(B168,input_546010!L:R,7,FALSE),VLOOKUP(tables_546010!C168,input_546010!A:H,8,FALSE))</f>
        <v>34699.615380000003</v>
      </c>
      <c r="P168" s="46">
        <f t="shared" ca="1" si="7"/>
        <v>2.6974203498165804E-4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input_546010!A$2</f>
        <v>546010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IFERROR(VLOOKUP(B169,input_546010!L:R,7,FALSE),VLOOKUP(tables_546010!C169,input_546010!A:H,8,FALSE))</f>
        <v>49706.666669999999</v>
      </c>
      <c r="P169" s="46">
        <f t="shared" ca="1" si="7"/>
        <v>3.8640132672619707E-4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input_546010!A$2</f>
        <v>546010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IFERROR(VLOOKUP(B170,input_546010!L:R,7,FALSE),VLOOKUP(tables_546010!C170,input_546010!A:H,8,FALSE))</f>
        <v>8640</v>
      </c>
      <c r="P170" s="46">
        <f t="shared" ca="1" si="7"/>
        <v>6.7164179104555971E-5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input_546010!A$2</f>
        <v>546010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IFERROR(VLOOKUP(B171,input_546010!L:R,7,FALSE),VLOOKUP(tables_546010!C171,input_546010!A:H,8,FALSE))</f>
        <v>495800</v>
      </c>
      <c r="P171" s="46">
        <f t="shared" ca="1" si="7"/>
        <v>3.8541666666711632E-3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input_546010!A$2</f>
        <v>546010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IFERROR(VLOOKUP(B172,input_546010!L:R,7,FALSE),VLOOKUP(tables_546010!C172,input_546010!A:H,8,FALSE))</f>
        <v>619750</v>
      </c>
      <c r="P172" s="46">
        <f t="shared" ca="1" si="7"/>
        <v>4.8177083333389541E-3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input_546010!A$2</f>
        <v>546010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IFERROR(VLOOKUP(B173,input_546010!L:R,7,FALSE),VLOOKUP(tables_546010!C173,input_546010!A:H,8,FALSE))</f>
        <v>34699.615380000003</v>
      </c>
      <c r="P173" s="46">
        <f t="shared" ca="1" si="7"/>
        <v>2.6974203498165804E-4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input_546010!A$2</f>
        <v>546010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IFERROR(VLOOKUP(B174,input_546010!L:R,7,FALSE),VLOOKUP(tables_546010!C174,input_546010!A:H,8,FALSE))</f>
        <v>49706.666669999999</v>
      </c>
      <c r="P174" s="46">
        <f t="shared" ca="1" si="7"/>
        <v>3.8640132672619707E-4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input_546010!A$2</f>
        <v>546010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IFERROR(VLOOKUP(B175,input_546010!L:R,7,FALSE),VLOOKUP(tables_546010!C175,input_546010!A:H,8,FALSE))</f>
        <v>8640</v>
      </c>
      <c r="P175" s="46">
        <f t="shared" ca="1" si="7"/>
        <v>6.7164179104555971E-5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input_546010!A$2</f>
        <v>546010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IFERROR(VLOOKUP(B176,input_546010!L:R,7,FALSE),VLOOKUP(tables_546010!C176,input_546010!A:H,8,FALSE))</f>
        <v>964800</v>
      </c>
      <c r="P176" s="46">
        <f t="shared" ca="1" si="7"/>
        <v>7.5000000000087505E-3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input_546010!A$2</f>
        <v>546010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IFERROR(VLOOKUP(B177,input_546010!L:R,7,FALSE),VLOOKUP(tables_546010!C177,input_546010!A:H,8,FALSE))</f>
        <v>964800</v>
      </c>
      <c r="P177" s="46">
        <f t="shared" ca="1" si="7"/>
        <v>7.5000000000087505E-3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input_546010!A$2</f>
        <v>546010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IFERROR(VLOOKUP(B178,input_546010!L:R,7,FALSE),VLOOKUP(tables_546010!C178,input_546010!A:H,8,FALSE))</f>
        <v>495800</v>
      </c>
      <c r="P178" s="46">
        <f t="shared" ca="1" si="7"/>
        <v>3.8541666666711632E-3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input_546010!A$2</f>
        <v>546010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IFERROR(VLOOKUP(B179,input_546010!L:R,7,FALSE),VLOOKUP(tables_546010!C179,input_546010!A:H,8,FALSE))</f>
        <v>619750</v>
      </c>
      <c r="P179" s="46">
        <f t="shared" ca="1" si="7"/>
        <v>4.8177083333389541E-3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input_546010!A$2</f>
        <v>546010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IFERROR(VLOOKUP(B180,input_546010!L:R,7,FALSE),VLOOKUP(tables_546010!C180,input_546010!A:H,8,FALSE))</f>
        <v>34699.615380000003</v>
      </c>
      <c r="P180" s="46">
        <f t="shared" ca="1" si="7"/>
        <v>2.6974203498165804E-4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input_546010!A$2</f>
        <v>546010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IFERROR(VLOOKUP(B181,input_546010!L:R,7,FALSE),VLOOKUP(tables_546010!C181,input_546010!A:H,8,FALSE))</f>
        <v>495800</v>
      </c>
      <c r="P181" s="46">
        <f t="shared" ca="1" si="7"/>
        <v>3.8541666666711632E-3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input_546010!A$2</f>
        <v>546010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IFERROR(VLOOKUP(B182,input_546010!L:R,7,FALSE),VLOOKUP(tables_546010!C182,input_546010!A:H,8,FALSE))</f>
        <v>619750</v>
      </c>
      <c r="P182" s="46">
        <f t="shared" ca="1" si="7"/>
        <v>4.8177083333389541E-3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input_546010!A$2</f>
        <v>546010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IFERROR(VLOOKUP(B183,input_546010!L:R,7,FALSE),VLOOKUP(tables_546010!C183,input_546010!A:H,8,FALSE))</f>
        <v>34699.615380000003</v>
      </c>
      <c r="P183" s="46">
        <f t="shared" ca="1" si="7"/>
        <v>2.6974203498165804E-4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input_546010!A$2</f>
        <v>546010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IFERROR(VLOOKUP(B184,input_546010!L:R,7,FALSE),VLOOKUP(tables_546010!C184,input_546010!A:H,8,FALSE))</f>
        <v>49706.666669999999</v>
      </c>
      <c r="P184" s="46">
        <f t="shared" ca="1" si="7"/>
        <v>3.8640132672619707E-4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input_546010!A$2</f>
        <v>546010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IFERROR(VLOOKUP(B185,input_546010!L:R,7,FALSE),VLOOKUP(tables_546010!C185,input_546010!A:H,8,FALSE))</f>
        <v>8640</v>
      </c>
      <c r="P185" s="46">
        <f t="shared" ca="1" si="7"/>
        <v>6.7164179104555971E-5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input_546010!A$2</f>
        <v>546010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IFERROR(VLOOKUP(B186,input_546010!L:R,7,FALSE),VLOOKUP(tables_546010!C186,input_546010!A:H,8,FALSE))</f>
        <v>495800</v>
      </c>
      <c r="P186" s="46">
        <f t="shared" ca="1" si="7"/>
        <v>3.8541666666711632E-3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input_546010!A$2</f>
        <v>546010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IFERROR(VLOOKUP(B187,input_546010!L:R,7,FALSE),VLOOKUP(tables_546010!C187,input_546010!A:H,8,FALSE))</f>
        <v>619750</v>
      </c>
      <c r="P187" s="46">
        <f t="shared" ca="1" si="7"/>
        <v>4.8177083333389541E-3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input_546010!A$2</f>
        <v>546010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IFERROR(VLOOKUP(B188,input_546010!L:R,7,FALSE),VLOOKUP(tables_546010!C188,input_546010!A:H,8,FALSE))</f>
        <v>34699.615380000003</v>
      </c>
      <c r="P188" s="46">
        <f t="shared" ca="1" si="7"/>
        <v>2.6974203498165804E-4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input_546010!A$2</f>
        <v>546010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IFERROR(VLOOKUP(B189,input_546010!L:R,7,FALSE),VLOOKUP(tables_546010!C189,input_546010!A:H,8,FALSE))</f>
        <v>49706.666669999999</v>
      </c>
      <c r="P189" s="46">
        <f t="shared" ca="1" si="7"/>
        <v>3.8640132672619707E-4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input_546010!A$2</f>
        <v>546010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IFERROR(VLOOKUP(B190,input_546010!L:R,7,FALSE),VLOOKUP(tables_546010!C190,input_546010!A:H,8,FALSE))</f>
        <v>8640</v>
      </c>
      <c r="P190" s="46">
        <f t="shared" ca="1" si="7"/>
        <v>6.7164179104555971E-5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input_546010!A$2</f>
        <v>546010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IFERROR(VLOOKUP(B191,input_546010!L:R,7,FALSE),VLOOKUP(tables_546010!C191,input_546010!A:H,8,FALSE))</f>
        <v>49706.666669999999</v>
      </c>
      <c r="P191" s="46">
        <f t="shared" ca="1" si="7"/>
        <v>3.8640132672619707E-4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input_546010!A$2</f>
        <v>546010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IFERROR(VLOOKUP(B192,input_546010!L:R,7,FALSE),VLOOKUP(tables_546010!C192,input_546010!A:H,8,FALSE))</f>
        <v>8640</v>
      </c>
      <c r="P192" s="46">
        <f t="shared" ca="1" si="7"/>
        <v>6.7164179104555971E-5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input_546010!A$2</f>
        <v>546010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IFERROR(VLOOKUP(B193,input_546010!L:R,7,FALSE),VLOOKUP(tables_546010!C193,input_546010!A:H,8,FALSE))</f>
        <v>495800</v>
      </c>
      <c r="P193" s="46">
        <f t="shared" ca="1" si="7"/>
        <v>3.8541666666711632E-3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input_546010!A$2</f>
        <v>546010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IFERROR(VLOOKUP(B194,input_546010!L:R,7,FALSE),VLOOKUP(tables_546010!C194,input_546010!A:H,8,FALSE))</f>
        <v>619750</v>
      </c>
      <c r="P194" s="46">
        <f t="shared" ref="P194:P257" ca="1" si="10">O194/SUM(O:O)</f>
        <v>4.8177083333389541E-3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input_546010!A$2</f>
        <v>546010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IFERROR(VLOOKUP(B195,input_546010!L:R,7,FALSE),VLOOKUP(tables_546010!C195,input_546010!A:H,8,FALSE))</f>
        <v>34699.615380000003</v>
      </c>
      <c r="P195" s="46">
        <f t="shared" ca="1" si="10"/>
        <v>2.6974203498165804E-4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input_546010!A$2</f>
        <v>546010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IFERROR(VLOOKUP(B196,input_546010!L:R,7,FALSE),VLOOKUP(tables_546010!C196,input_546010!A:H,8,FALSE))</f>
        <v>49706.666669999999</v>
      </c>
      <c r="P196" s="46">
        <f t="shared" ca="1" si="10"/>
        <v>3.8640132672619707E-4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input_546010!A$2</f>
        <v>546010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IFERROR(VLOOKUP(B197,input_546010!L:R,7,FALSE),VLOOKUP(tables_546010!C197,input_546010!A:H,8,FALSE))</f>
        <v>8640</v>
      </c>
      <c r="P197" s="46">
        <f t="shared" ca="1" si="10"/>
        <v>6.7164179104555971E-5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input_546010!A$2</f>
        <v>546010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IFERROR(VLOOKUP(B198,input_546010!L:R,7,FALSE),VLOOKUP(tables_546010!C198,input_546010!A:H,8,FALSE))</f>
        <v>495800</v>
      </c>
      <c r="P198" s="46">
        <f t="shared" ca="1" si="10"/>
        <v>3.8541666666711632E-3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input_546010!A$2</f>
        <v>546010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IFERROR(VLOOKUP(B199,input_546010!L:R,7,FALSE),VLOOKUP(tables_546010!C199,input_546010!A:H,8,FALSE))</f>
        <v>619750</v>
      </c>
      <c r="P199" s="46">
        <f t="shared" ca="1" si="10"/>
        <v>4.8177083333389541E-3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input_546010!A$2</f>
        <v>546010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IFERROR(VLOOKUP(B200,input_546010!L:R,7,FALSE),VLOOKUP(tables_546010!C200,input_546010!A:H,8,FALSE))</f>
        <v>34699.615380000003</v>
      </c>
      <c r="P200" s="46">
        <f t="shared" ca="1" si="10"/>
        <v>2.6974203498165804E-4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input_546010!A$2</f>
        <v>546010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IFERROR(VLOOKUP(B201,input_546010!L:R,7,FALSE),VLOOKUP(tables_546010!C201,input_546010!A:H,8,FALSE))</f>
        <v>49706.666669999999</v>
      </c>
      <c r="P201" s="46">
        <f t="shared" ca="1" si="10"/>
        <v>3.8640132672619707E-4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input_546010!A$2</f>
        <v>546010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IFERROR(VLOOKUP(B202,input_546010!L:R,7,FALSE),VLOOKUP(tables_546010!C202,input_546010!A:H,8,FALSE))</f>
        <v>8640</v>
      </c>
      <c r="P202" s="46">
        <f t="shared" ca="1" si="10"/>
        <v>6.7164179104555971E-5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input_546010!A$2</f>
        <v>546010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IFERROR(VLOOKUP(B203,input_546010!L:R,7,FALSE),VLOOKUP(tables_546010!C203,input_546010!A:H,8,FALSE))</f>
        <v>495800</v>
      </c>
      <c r="P203" s="46">
        <f t="shared" ca="1" si="10"/>
        <v>3.8541666666711632E-3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input_546010!A$2</f>
        <v>546010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IFERROR(VLOOKUP(B204,input_546010!L:R,7,FALSE),VLOOKUP(tables_546010!C204,input_546010!A:H,8,FALSE))</f>
        <v>619750</v>
      </c>
      <c r="P204" s="46">
        <f t="shared" ca="1" si="10"/>
        <v>4.8177083333389541E-3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input_546010!A$2</f>
        <v>546010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IFERROR(VLOOKUP(B205,input_546010!L:R,7,FALSE),VLOOKUP(tables_546010!C205,input_546010!A:H,8,FALSE))</f>
        <v>34699.615380000003</v>
      </c>
      <c r="P205" s="46">
        <f t="shared" ca="1" si="10"/>
        <v>2.6974203498165804E-4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input_546010!A$2</f>
        <v>546010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IFERROR(VLOOKUP(B206,input_546010!L:R,7,FALSE),VLOOKUP(tables_546010!C206,input_546010!A:H,8,FALSE))</f>
        <v>49706.666669999999</v>
      </c>
      <c r="P206" s="46">
        <f t="shared" ca="1" si="10"/>
        <v>3.8640132672619707E-4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input_546010!A$2</f>
        <v>546010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IFERROR(VLOOKUP(B207,input_546010!L:R,7,FALSE),VLOOKUP(tables_546010!C207,input_546010!A:H,8,FALSE))</f>
        <v>8640</v>
      </c>
      <c r="P207" s="46">
        <f t="shared" ca="1" si="10"/>
        <v>6.7164179104555971E-5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input_546010!A$2</f>
        <v>546010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IFERROR(VLOOKUP(B208,input_546010!L:R,7,FALSE),VLOOKUP(tables_546010!C208,input_546010!A:H,8,FALSE))</f>
        <v>49706.666669999999</v>
      </c>
      <c r="P208" s="46">
        <f t="shared" ca="1" si="10"/>
        <v>3.8640132672619707E-4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input_546010!A$2</f>
        <v>546010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IFERROR(VLOOKUP(B209,input_546010!L:R,7,FALSE),VLOOKUP(tables_546010!C209,input_546010!A:H,8,FALSE))</f>
        <v>8640</v>
      </c>
      <c r="P209" s="46">
        <f t="shared" ca="1" si="10"/>
        <v>6.7164179104555971E-5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input_546010!A$2</f>
        <v>546010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IFERROR(VLOOKUP(B210,input_546010!L:R,7,FALSE),VLOOKUP(tables_546010!C210,input_546010!A:H,8,FALSE))</f>
        <v>495800</v>
      </c>
      <c r="P210" s="46">
        <f t="shared" ca="1" si="10"/>
        <v>3.8541666666711632E-3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input_546010!A$2</f>
        <v>546010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IFERROR(VLOOKUP(B211,input_546010!L:R,7,FALSE),VLOOKUP(tables_546010!C211,input_546010!A:H,8,FALSE))</f>
        <v>619750</v>
      </c>
      <c r="P211" s="46">
        <f t="shared" ca="1" si="10"/>
        <v>4.8177083333389541E-3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input_546010!A$2</f>
        <v>546010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IFERROR(VLOOKUP(B212,input_546010!L:R,7,FALSE),VLOOKUP(tables_546010!C212,input_546010!A:H,8,FALSE))</f>
        <v>34699.615380000003</v>
      </c>
      <c r="P212" s="46">
        <f t="shared" ca="1" si="10"/>
        <v>2.6974203498165804E-4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input_546010!A$2</f>
        <v>546010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IFERROR(VLOOKUP(B213,input_546010!L:R,7,FALSE),VLOOKUP(tables_546010!C213,input_546010!A:H,8,FALSE))</f>
        <v>49706.666669999999</v>
      </c>
      <c r="P213" s="46">
        <f t="shared" ca="1" si="10"/>
        <v>3.8640132672619707E-4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input_546010!A$2</f>
        <v>546010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IFERROR(VLOOKUP(B214,input_546010!L:R,7,FALSE),VLOOKUP(tables_546010!C214,input_546010!A:H,8,FALSE))</f>
        <v>8640</v>
      </c>
      <c r="P214" s="46">
        <f t="shared" ca="1" si="10"/>
        <v>6.7164179104555971E-5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input_546010!A$2</f>
        <v>546010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IFERROR(VLOOKUP(B215,input_546010!L:R,7,FALSE),VLOOKUP(tables_546010!C215,input_546010!A:H,8,FALSE))</f>
        <v>123950</v>
      </c>
      <c r="P215" s="46">
        <f t="shared" ca="1" si="10"/>
        <v>9.6354166666779079E-4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input_546010!A$2</f>
        <v>546010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IFERROR(VLOOKUP(B216,input_546010!L:R,7,FALSE),VLOOKUP(tables_546010!C216,input_546010!A:H,8,FALSE))</f>
        <v>123950</v>
      </c>
      <c r="P216" s="46">
        <f t="shared" ca="1" si="10"/>
        <v>9.6354166666779079E-4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input_546010!A$2</f>
        <v>546010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IFERROR(VLOOKUP(B217,input_546010!L:R,7,FALSE),VLOOKUP(tables_546010!C217,input_546010!A:H,8,FALSE))</f>
        <v>123950</v>
      </c>
      <c r="P217" s="46">
        <f t="shared" ca="1" si="10"/>
        <v>9.6354166666779079E-4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input_546010!A$2</f>
        <v>546010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IFERROR(VLOOKUP(B218,input_546010!L:R,7,FALSE),VLOOKUP(tables_546010!C218,input_546010!A:H,8,FALSE))</f>
        <v>123950</v>
      </c>
      <c r="P218" s="46">
        <f t="shared" ca="1" si="10"/>
        <v>9.6354166666779079E-4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input_546010!A$2</f>
        <v>546010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IFERROR(VLOOKUP(B219,input_546010!L:R,7,FALSE),VLOOKUP(tables_546010!C219,input_546010!A:H,8,FALSE))</f>
        <v>123950</v>
      </c>
      <c r="P219" s="46">
        <f t="shared" ca="1" si="10"/>
        <v>9.6354166666779079E-4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input_546010!A$2</f>
        <v>546010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IFERROR(VLOOKUP(B220,input_546010!L:R,7,FALSE),VLOOKUP(tables_546010!C220,input_546010!A:H,8,FALSE))</f>
        <v>123950</v>
      </c>
      <c r="P220" s="46">
        <f t="shared" ca="1" si="10"/>
        <v>9.6354166666779079E-4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input_546010!A$2</f>
        <v>546010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IFERROR(VLOOKUP(B221,input_546010!L:R,7,FALSE),VLOOKUP(tables_546010!C221,input_546010!A:H,8,FALSE))</f>
        <v>49706.666669999999</v>
      </c>
      <c r="P221" s="46">
        <f t="shared" ca="1" si="10"/>
        <v>3.8640132672619707E-4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input_546010!A$2</f>
        <v>546010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IFERROR(VLOOKUP(B222,input_546010!L:R,7,FALSE),VLOOKUP(tables_546010!C222,input_546010!A:H,8,FALSE))</f>
        <v>8640</v>
      </c>
      <c r="P222" s="46">
        <f t="shared" ca="1" si="10"/>
        <v>6.7164179104555971E-5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input_546010!A$2</f>
        <v>546010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IFERROR(VLOOKUP(B223,input_546010!L:R,7,FALSE),VLOOKUP(tables_546010!C223,input_546010!A:H,8,FALSE))</f>
        <v>495800</v>
      </c>
      <c r="P223" s="46">
        <f t="shared" ca="1" si="10"/>
        <v>3.8541666666711632E-3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input_546010!A$2</f>
        <v>546010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IFERROR(VLOOKUP(B224,input_546010!L:R,7,FALSE),VLOOKUP(tables_546010!C224,input_546010!A:H,8,FALSE))</f>
        <v>619750</v>
      </c>
      <c r="P224" s="46">
        <f t="shared" ca="1" si="10"/>
        <v>4.8177083333389541E-3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input_546010!A$2</f>
        <v>546010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IFERROR(VLOOKUP(B225,input_546010!L:R,7,FALSE),VLOOKUP(tables_546010!C225,input_546010!A:H,8,FALSE))</f>
        <v>34699.615380000003</v>
      </c>
      <c r="P225" s="46">
        <f t="shared" ca="1" si="10"/>
        <v>2.6974203498165804E-4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input_546010!A$2</f>
        <v>546010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IFERROR(VLOOKUP(B226,input_546010!L:R,7,FALSE),VLOOKUP(tables_546010!C226,input_546010!A:H,8,FALSE))</f>
        <v>495800</v>
      </c>
      <c r="P226" s="46">
        <f t="shared" ca="1" si="10"/>
        <v>3.8541666666711632E-3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input_546010!A$2</f>
        <v>546010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IFERROR(VLOOKUP(B227,input_546010!L:R,7,FALSE),VLOOKUP(tables_546010!C227,input_546010!A:H,8,FALSE))</f>
        <v>619750</v>
      </c>
      <c r="P227" s="46">
        <f t="shared" ca="1" si="10"/>
        <v>4.8177083333389541E-3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input_546010!A$2</f>
        <v>546010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IFERROR(VLOOKUP(B228,input_546010!L:R,7,FALSE),VLOOKUP(tables_546010!C228,input_546010!A:H,8,FALSE))</f>
        <v>34699.615380000003</v>
      </c>
      <c r="P228" s="46">
        <f t="shared" ca="1" si="10"/>
        <v>2.6974203498165804E-4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input_546010!A$2</f>
        <v>546010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IFERROR(VLOOKUP(B229,input_546010!L:R,7,FALSE),VLOOKUP(tables_546010!C229,input_546010!A:H,8,FALSE))</f>
        <v>49706.666669999999</v>
      </c>
      <c r="P229" s="46">
        <f t="shared" ca="1" si="10"/>
        <v>3.8640132672619707E-4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input_546010!A$2</f>
        <v>546010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IFERROR(VLOOKUP(B230,input_546010!L:R,7,FALSE),VLOOKUP(tables_546010!C230,input_546010!A:H,8,FALSE))</f>
        <v>8640</v>
      </c>
      <c r="P230" s="46">
        <f t="shared" ca="1" si="10"/>
        <v>6.7164179104555971E-5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input_546010!A$2</f>
        <v>546010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IFERROR(VLOOKUP(B231,input_546010!L:R,7,FALSE),VLOOKUP(tables_546010!C231,input_546010!A:H,8,FALSE))</f>
        <v>495800</v>
      </c>
      <c r="P231" s="46">
        <f t="shared" ca="1" si="10"/>
        <v>3.8541666666711632E-3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input_546010!A$2</f>
        <v>546010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IFERROR(VLOOKUP(B232,input_546010!L:R,7,FALSE),VLOOKUP(tables_546010!C232,input_546010!A:H,8,FALSE))</f>
        <v>619750</v>
      </c>
      <c r="P232" s="46">
        <f t="shared" ca="1" si="10"/>
        <v>4.8177083333389541E-3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input_546010!A$2</f>
        <v>546010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IFERROR(VLOOKUP(B233,input_546010!L:R,7,FALSE),VLOOKUP(tables_546010!C233,input_546010!A:H,8,FALSE))</f>
        <v>34699.615380000003</v>
      </c>
      <c r="P233" s="46">
        <f t="shared" ca="1" si="10"/>
        <v>2.6974203498165804E-4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input_546010!A$2</f>
        <v>546010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IFERROR(VLOOKUP(B234,input_546010!L:R,7,FALSE),VLOOKUP(tables_546010!C234,input_546010!A:H,8,FALSE))</f>
        <v>495800</v>
      </c>
      <c r="P234" s="46">
        <f t="shared" ca="1" si="10"/>
        <v>3.8541666666711632E-3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input_546010!A$2</f>
        <v>546010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IFERROR(VLOOKUP(B235,input_546010!L:R,7,FALSE),VLOOKUP(tables_546010!C235,input_546010!A:H,8,FALSE))</f>
        <v>619750</v>
      </c>
      <c r="P235" s="46">
        <f t="shared" ca="1" si="10"/>
        <v>4.8177083333389541E-3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input_546010!A$2</f>
        <v>546010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IFERROR(VLOOKUP(B236,input_546010!L:R,7,FALSE),VLOOKUP(tables_546010!C236,input_546010!A:H,8,FALSE))</f>
        <v>34699.615380000003</v>
      </c>
      <c r="P236" s="46">
        <f t="shared" ca="1" si="10"/>
        <v>2.6974203498165804E-4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input_546010!A$2</f>
        <v>546010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IFERROR(VLOOKUP(B237,input_546010!L:R,7,FALSE),VLOOKUP(tables_546010!C237,input_546010!A:H,8,FALSE))</f>
        <v>49706.666669999999</v>
      </c>
      <c r="P237" s="46">
        <f t="shared" ca="1" si="10"/>
        <v>3.8640132672619707E-4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input_546010!A$2</f>
        <v>546010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IFERROR(VLOOKUP(B238,input_546010!L:R,7,FALSE),VLOOKUP(tables_546010!C238,input_546010!A:H,8,FALSE))</f>
        <v>8640</v>
      </c>
      <c r="P238" s="46">
        <f t="shared" ca="1" si="10"/>
        <v>6.7164179104555971E-5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input_546010!A$2</f>
        <v>546010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IFERROR(VLOOKUP(B239,input_546010!L:R,7,FALSE),VLOOKUP(tables_546010!C239,input_546010!A:H,8,FALSE))</f>
        <v>495800</v>
      </c>
      <c r="P239" s="46">
        <f t="shared" ca="1" si="10"/>
        <v>3.8541666666711632E-3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input_546010!A$2</f>
        <v>546010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IFERROR(VLOOKUP(B240,input_546010!L:R,7,FALSE),VLOOKUP(tables_546010!C240,input_546010!A:H,8,FALSE))</f>
        <v>619750</v>
      </c>
      <c r="P240" s="46">
        <f t="shared" ca="1" si="10"/>
        <v>4.8177083333389541E-3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input_546010!A$2</f>
        <v>546010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IFERROR(VLOOKUP(B241,input_546010!L:R,7,FALSE),VLOOKUP(tables_546010!C241,input_546010!A:H,8,FALSE))</f>
        <v>34699.615380000003</v>
      </c>
      <c r="P241" s="46">
        <f t="shared" ca="1" si="10"/>
        <v>2.6974203498165804E-4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input_546010!A$2</f>
        <v>546010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IFERROR(VLOOKUP(B242,input_546010!L:R,7,FALSE),VLOOKUP(tables_546010!C242,input_546010!A:H,8,FALSE))</f>
        <v>49706.666669999999</v>
      </c>
      <c r="P242" s="46">
        <f t="shared" ca="1" si="10"/>
        <v>3.8640132672619707E-4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input_546010!A$2</f>
        <v>546010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IFERROR(VLOOKUP(B243,input_546010!L:R,7,FALSE),VLOOKUP(tables_546010!C243,input_546010!A:H,8,FALSE))</f>
        <v>8640</v>
      </c>
      <c r="P243" s="46">
        <f t="shared" ca="1" si="10"/>
        <v>6.7164179104555971E-5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input_546010!A$2</f>
        <v>546010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IFERROR(VLOOKUP(B244,input_546010!L:R,7,FALSE),VLOOKUP(tables_546010!C244,input_546010!A:H,8,FALSE))</f>
        <v>49706.666669999999</v>
      </c>
      <c r="P244" s="46">
        <f t="shared" ca="1" si="10"/>
        <v>3.8640132672619707E-4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input_546010!A$2</f>
        <v>546010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IFERROR(VLOOKUP(B245,input_546010!L:R,7,FALSE),VLOOKUP(tables_546010!C245,input_546010!A:H,8,FALSE))</f>
        <v>8640</v>
      </c>
      <c r="P245" s="46">
        <f t="shared" ca="1" si="10"/>
        <v>6.7164179104555971E-5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input_546010!A$2</f>
        <v>546010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IFERROR(VLOOKUP(B246,input_546010!L:R,7,FALSE),VLOOKUP(tables_546010!C246,input_546010!A:H,8,FALSE))</f>
        <v>495800</v>
      </c>
      <c r="P246" s="46">
        <f t="shared" ca="1" si="10"/>
        <v>3.8541666666711632E-3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input_546010!A$2</f>
        <v>546010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IFERROR(VLOOKUP(B247,input_546010!L:R,7,FALSE),VLOOKUP(tables_546010!C247,input_546010!A:H,8,FALSE))</f>
        <v>619750</v>
      </c>
      <c r="P247" s="46">
        <f t="shared" ca="1" si="10"/>
        <v>4.8177083333389541E-3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input_546010!A$2</f>
        <v>546010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IFERROR(VLOOKUP(B248,input_546010!L:R,7,FALSE),VLOOKUP(tables_546010!C248,input_546010!A:H,8,FALSE))</f>
        <v>34699.615380000003</v>
      </c>
      <c r="P248" s="46">
        <f t="shared" ca="1" si="10"/>
        <v>2.6974203498165804E-4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input_546010!A$2</f>
        <v>546010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IFERROR(VLOOKUP(B249,input_546010!L:R,7,FALSE),VLOOKUP(tables_546010!C249,input_546010!A:H,8,FALSE))</f>
        <v>495800</v>
      </c>
      <c r="P249" s="46">
        <f t="shared" ca="1" si="10"/>
        <v>3.8541666666711632E-3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input_546010!A$2</f>
        <v>546010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IFERROR(VLOOKUP(B250,input_546010!L:R,7,FALSE),VLOOKUP(tables_546010!C250,input_546010!A:H,8,FALSE))</f>
        <v>619750</v>
      </c>
      <c r="P250" s="46">
        <f t="shared" ca="1" si="10"/>
        <v>4.8177083333389541E-3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input_546010!A$2</f>
        <v>546010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IFERROR(VLOOKUP(B251,input_546010!L:R,7,FALSE),VLOOKUP(tables_546010!C251,input_546010!A:H,8,FALSE))</f>
        <v>34699.615380000003</v>
      </c>
      <c r="P251" s="46">
        <f t="shared" ca="1" si="10"/>
        <v>2.6974203498165804E-4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input_546010!A$2</f>
        <v>546010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IFERROR(VLOOKUP(B252,input_546010!L:R,7,FALSE),VLOOKUP(tables_546010!C252,input_546010!A:H,8,FALSE))</f>
        <v>495800</v>
      </c>
      <c r="P252" s="46">
        <f t="shared" ca="1" si="10"/>
        <v>3.8541666666711632E-3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input_546010!A$2</f>
        <v>546010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IFERROR(VLOOKUP(B253,input_546010!L:R,7,FALSE),VLOOKUP(tables_546010!C253,input_546010!A:H,8,FALSE))</f>
        <v>619750</v>
      </c>
      <c r="P253" s="46">
        <f t="shared" ca="1" si="10"/>
        <v>4.8177083333389541E-3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input_546010!A$2</f>
        <v>546010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IFERROR(VLOOKUP(B254,input_546010!L:R,7,FALSE),VLOOKUP(tables_546010!C254,input_546010!A:H,8,FALSE))</f>
        <v>34699.615380000003</v>
      </c>
      <c r="P254" s="46">
        <f t="shared" ca="1" si="10"/>
        <v>2.6974203498165804E-4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input_546010!A$2</f>
        <v>546010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IFERROR(VLOOKUP(B255,input_546010!L:R,7,FALSE),VLOOKUP(tables_546010!C255,input_546010!A:H,8,FALSE))</f>
        <v>495800</v>
      </c>
      <c r="P255" s="46">
        <f t="shared" ca="1" si="10"/>
        <v>3.8541666666711632E-3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input_546010!A$2</f>
        <v>546010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IFERROR(VLOOKUP(B256,input_546010!L:R,7,FALSE),VLOOKUP(tables_546010!C256,input_546010!A:H,8,FALSE))</f>
        <v>619750</v>
      </c>
      <c r="P256" s="46">
        <f t="shared" ca="1" si="10"/>
        <v>4.8177083333389541E-3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input_546010!A$2</f>
        <v>546010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IFERROR(VLOOKUP(B257,input_546010!L:R,7,FALSE),VLOOKUP(tables_546010!C257,input_546010!A:H,8,FALSE))</f>
        <v>34699.615380000003</v>
      </c>
      <c r="P257" s="46">
        <f t="shared" ca="1" si="10"/>
        <v>2.6974203498165804E-4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input_546010!A$2</f>
        <v>546010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IFERROR(VLOOKUP(B258,input_546010!L:R,7,FALSE),VLOOKUP(tables_546010!C258,input_546010!A:H,8,FALSE))</f>
        <v>49706.666669999999</v>
      </c>
      <c r="P258" s="46">
        <f t="shared" ref="P258:P321" ca="1" si="13">O258/SUM(O:O)</f>
        <v>3.8640132672619707E-4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input_546010!A$2</f>
        <v>546010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IFERROR(VLOOKUP(B259,input_546010!L:R,7,FALSE),VLOOKUP(tables_546010!C259,input_546010!A:H,8,FALSE))</f>
        <v>8640</v>
      </c>
      <c r="P259" s="46">
        <f t="shared" ca="1" si="13"/>
        <v>6.7164179104555971E-5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input_546010!A$2</f>
        <v>546010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IFERROR(VLOOKUP(B260,input_546010!L:R,7,FALSE),VLOOKUP(tables_546010!C260,input_546010!A:H,8,FALSE))</f>
        <v>49706.666669999999</v>
      </c>
      <c r="P260" s="46">
        <f t="shared" ca="1" si="13"/>
        <v>3.8640132672619707E-4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input_546010!A$2</f>
        <v>546010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IFERROR(VLOOKUP(B261,input_546010!L:R,7,FALSE),VLOOKUP(tables_546010!C261,input_546010!A:H,8,FALSE))</f>
        <v>8640</v>
      </c>
      <c r="P261" s="46">
        <f t="shared" ca="1" si="13"/>
        <v>6.7164179104555971E-5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input_546010!A$2</f>
        <v>546010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IFERROR(VLOOKUP(B262,input_546010!L:R,7,FALSE),VLOOKUP(tables_546010!C262,input_546010!A:H,8,FALSE))</f>
        <v>619750</v>
      </c>
      <c r="P262" s="46">
        <f t="shared" ca="1" si="13"/>
        <v>4.8177083333389541E-3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input_546010!A$2</f>
        <v>546010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IFERROR(VLOOKUP(B263,input_546010!L:R,7,FALSE),VLOOKUP(tables_546010!C263,input_546010!A:H,8,FALSE))</f>
        <v>123950</v>
      </c>
      <c r="P263" s="46">
        <f t="shared" ca="1" si="13"/>
        <v>9.6354166666779079E-4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input_546010!A$2</f>
        <v>546010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IFERROR(VLOOKUP(B264,input_546010!L:R,7,FALSE),VLOOKUP(tables_546010!C264,input_546010!A:H,8,FALSE))</f>
        <v>619750</v>
      </c>
      <c r="P264" s="46">
        <f t="shared" ca="1" si="13"/>
        <v>4.8177083333389541E-3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input_546010!A$2</f>
        <v>546010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IFERROR(VLOOKUP(B265,input_546010!L:R,7,FALSE),VLOOKUP(tables_546010!C265,input_546010!A:H,8,FALSE))</f>
        <v>123950</v>
      </c>
      <c r="P265" s="46">
        <f t="shared" ca="1" si="13"/>
        <v>9.6354166666779079E-4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input_546010!A$2</f>
        <v>546010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IFERROR(VLOOKUP(B266,input_546010!L:R,7,FALSE),VLOOKUP(tables_546010!C266,input_546010!A:H,8,FALSE))</f>
        <v>8640</v>
      </c>
      <c r="P266" s="46">
        <f t="shared" ca="1" si="13"/>
        <v>6.7164179104555971E-5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input_546010!A$2</f>
        <v>546010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IFERROR(VLOOKUP(B267,input_546010!L:R,7,FALSE),VLOOKUP(tables_546010!C267,input_546010!A:H,8,FALSE))</f>
        <v>1929600</v>
      </c>
      <c r="P267" s="46">
        <f t="shared" ca="1" si="13"/>
        <v>1.5000000000017501E-2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input_546010!A$2</f>
        <v>546010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IFERROR(VLOOKUP(B268,input_546010!L:R,7,FALSE),VLOOKUP(tables_546010!C268,input_546010!A:H,8,FALSE))</f>
        <v>8640</v>
      </c>
      <c r="P268" s="46">
        <f t="shared" ca="1" si="13"/>
        <v>6.7164179104555971E-5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input_546010!A$2</f>
        <v>546010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IFERROR(VLOOKUP(B269,input_546010!L:R,7,FALSE),VLOOKUP(tables_546010!C269,input_546010!A:H,8,FALSE))</f>
        <v>8640</v>
      </c>
      <c r="P269" s="46">
        <f t="shared" ca="1" si="13"/>
        <v>6.7164179104555971E-5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input_546010!A$2</f>
        <v>546010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IFERROR(VLOOKUP(B270,input_546010!L:R,7,FALSE),VLOOKUP(tables_546010!C270,input_546010!A:H,8,FALSE))</f>
        <v>619750</v>
      </c>
      <c r="P270" s="46">
        <f t="shared" ca="1" si="13"/>
        <v>4.8177083333389541E-3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input_546010!A$2</f>
        <v>546010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IFERROR(VLOOKUP(B271,input_546010!L:R,7,FALSE),VLOOKUP(tables_546010!C271,input_546010!A:H,8,FALSE))</f>
        <v>123950</v>
      </c>
      <c r="P271" s="46">
        <f t="shared" ca="1" si="13"/>
        <v>9.6354166666779079E-4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input_546010!A$2</f>
        <v>546010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IFERROR(VLOOKUP(B272,input_546010!L:R,7,FALSE),VLOOKUP(tables_546010!C272,input_546010!A:H,8,FALSE))</f>
        <v>619750</v>
      </c>
      <c r="P272" s="46">
        <f t="shared" ca="1" si="13"/>
        <v>4.8177083333389541E-3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input_546010!A$2</f>
        <v>546010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IFERROR(VLOOKUP(B273,input_546010!L:R,7,FALSE),VLOOKUP(tables_546010!C273,input_546010!A:H,8,FALSE))</f>
        <v>123950</v>
      </c>
      <c r="P273" s="46">
        <f t="shared" ca="1" si="13"/>
        <v>9.6354166666779079E-4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input_546010!A$2</f>
        <v>546010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IFERROR(VLOOKUP(B274,input_546010!L:R,7,FALSE),VLOOKUP(tables_546010!C274,input_546010!A:H,8,FALSE))</f>
        <v>49706.666669999999</v>
      </c>
      <c r="P274" s="46">
        <f t="shared" ca="1" si="13"/>
        <v>3.8640132672619707E-4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input_546010!A$2</f>
        <v>546010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IFERROR(VLOOKUP(B275,input_546010!L:R,7,FALSE),VLOOKUP(tables_546010!C275,input_546010!A:H,8,FALSE))</f>
        <v>8640</v>
      </c>
      <c r="P275" s="46">
        <f t="shared" ca="1" si="13"/>
        <v>6.7164179104555971E-5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input_546010!A$2</f>
        <v>546010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IFERROR(VLOOKUP(B276,input_546010!L:R,7,FALSE),VLOOKUP(tables_546010!C276,input_546010!A:H,8,FALSE))</f>
        <v>49706.666669999999</v>
      </c>
      <c r="P276" s="46">
        <f t="shared" ca="1" si="13"/>
        <v>3.8640132672619707E-4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input_546010!A$2</f>
        <v>546010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IFERROR(VLOOKUP(B277,input_546010!L:R,7,FALSE),VLOOKUP(tables_546010!C277,input_546010!A:H,8,FALSE))</f>
        <v>8640</v>
      </c>
      <c r="P277" s="46">
        <f t="shared" ca="1" si="13"/>
        <v>6.7164179104555971E-5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input_546010!A$2</f>
        <v>546010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IFERROR(VLOOKUP(B278,input_546010!L:R,7,FALSE),VLOOKUP(tables_546010!C278,input_546010!A:H,8,FALSE))</f>
        <v>495800</v>
      </c>
      <c r="P278" s="46">
        <f t="shared" ca="1" si="13"/>
        <v>3.8541666666711632E-3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input_546010!A$2</f>
        <v>546010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IFERROR(VLOOKUP(B279,input_546010!L:R,7,FALSE),VLOOKUP(tables_546010!C279,input_546010!A:H,8,FALSE))</f>
        <v>619750</v>
      </c>
      <c r="P279" s="46">
        <f t="shared" ca="1" si="13"/>
        <v>4.8177083333389541E-3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input_546010!A$2</f>
        <v>546010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IFERROR(VLOOKUP(B280,input_546010!L:R,7,FALSE),VLOOKUP(tables_546010!C280,input_546010!A:H,8,FALSE))</f>
        <v>34699.615380000003</v>
      </c>
      <c r="P280" s="46">
        <f t="shared" ca="1" si="13"/>
        <v>2.6974203498165804E-4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input_546010!A$2</f>
        <v>546010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IFERROR(VLOOKUP(B281,input_546010!L:R,7,FALSE),VLOOKUP(tables_546010!C281,input_546010!A:H,8,FALSE))</f>
        <v>495800</v>
      </c>
      <c r="P281" s="46">
        <f t="shared" ca="1" si="13"/>
        <v>3.8541666666711632E-3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input_546010!A$2</f>
        <v>546010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IFERROR(VLOOKUP(B282,input_546010!L:R,7,FALSE),VLOOKUP(tables_546010!C282,input_546010!A:H,8,FALSE))</f>
        <v>619750</v>
      </c>
      <c r="P282" s="46">
        <f t="shared" ca="1" si="13"/>
        <v>4.8177083333389541E-3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input_546010!A$2</f>
        <v>546010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IFERROR(VLOOKUP(B283,input_546010!L:R,7,FALSE),VLOOKUP(tables_546010!C283,input_546010!A:H,8,FALSE))</f>
        <v>34699.615380000003</v>
      </c>
      <c r="P283" s="46">
        <f t="shared" ca="1" si="13"/>
        <v>2.6974203498165804E-4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input_546010!A$2</f>
        <v>546010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IFERROR(VLOOKUP(B284,input_546010!L:R,7,FALSE),VLOOKUP(tables_546010!C284,input_546010!A:H,8,FALSE))</f>
        <v>8640</v>
      </c>
      <c r="P284" s="46">
        <f t="shared" ca="1" si="13"/>
        <v>6.7164179104555971E-5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input_546010!A$2</f>
        <v>546010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IFERROR(VLOOKUP(B285,input_546010!L:R,7,FALSE),VLOOKUP(tables_546010!C285,input_546010!A:H,8,FALSE))</f>
        <v>8640</v>
      </c>
      <c r="P285" s="46">
        <f t="shared" ca="1" si="13"/>
        <v>6.7164179104555971E-5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input_546010!A$2</f>
        <v>546010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IFERROR(VLOOKUP(B286,input_546010!L:R,7,FALSE),VLOOKUP(tables_546010!C286,input_546010!A:H,8,FALSE))</f>
        <v>619750</v>
      </c>
      <c r="P286" s="46">
        <f t="shared" ca="1" si="13"/>
        <v>4.8177083333389541E-3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input_546010!A$2</f>
        <v>546010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IFERROR(VLOOKUP(B287,input_546010!L:R,7,FALSE),VLOOKUP(tables_546010!C287,input_546010!A:H,8,FALSE))</f>
        <v>123950</v>
      </c>
      <c r="P287" s="46">
        <f t="shared" ca="1" si="13"/>
        <v>9.6354166666779079E-4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input_546010!A$2</f>
        <v>546010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IFERROR(VLOOKUP(B288,input_546010!L:R,7,FALSE),VLOOKUP(tables_546010!C288,input_546010!A:H,8,FALSE))</f>
        <v>619750</v>
      </c>
      <c r="P288" s="46">
        <f t="shared" ca="1" si="13"/>
        <v>4.8177083333389541E-3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input_546010!A$2</f>
        <v>546010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IFERROR(VLOOKUP(B289,input_546010!L:R,7,FALSE),VLOOKUP(tables_546010!C289,input_546010!A:H,8,FALSE))</f>
        <v>123950</v>
      </c>
      <c r="P289" s="46">
        <f t="shared" ca="1" si="13"/>
        <v>9.6354166666779079E-4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input_546010!A$2</f>
        <v>546010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IFERROR(VLOOKUP(B290,input_546010!L:R,7,FALSE),VLOOKUP(tables_546010!C290,input_546010!A:H,8,FALSE))</f>
        <v>619750</v>
      </c>
      <c r="P290" s="46">
        <f t="shared" ca="1" si="13"/>
        <v>4.8177083333389541E-3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input_546010!A$2</f>
        <v>546010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IFERROR(VLOOKUP(B291,input_546010!L:R,7,FALSE),VLOOKUP(tables_546010!C291,input_546010!A:H,8,FALSE))</f>
        <v>123950</v>
      </c>
      <c r="P291" s="46">
        <f t="shared" ca="1" si="13"/>
        <v>9.6354166666779079E-4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input_546010!A$2</f>
        <v>546010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IFERROR(VLOOKUP(B292,input_546010!L:R,7,FALSE),VLOOKUP(tables_546010!C292,input_546010!A:H,8,FALSE))</f>
        <v>619750</v>
      </c>
      <c r="P292" s="46">
        <f t="shared" ca="1" si="13"/>
        <v>4.8177083333389541E-3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input_546010!A$2</f>
        <v>546010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IFERROR(VLOOKUP(B293,input_546010!L:R,7,FALSE),VLOOKUP(tables_546010!C293,input_546010!A:H,8,FALSE))</f>
        <v>123950</v>
      </c>
      <c r="P293" s="46">
        <f t="shared" ca="1" si="13"/>
        <v>9.6354166666779079E-4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input_546010!A$2</f>
        <v>546010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IFERROR(VLOOKUP(B294,input_546010!L:R,7,FALSE),VLOOKUP(tables_546010!C294,input_546010!A:H,8,FALSE))</f>
        <v>8640</v>
      </c>
      <c r="P294" s="46">
        <f t="shared" ca="1" si="13"/>
        <v>6.7164179104555971E-5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input_546010!A$2</f>
        <v>546010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IFERROR(VLOOKUP(B295,input_546010!L:R,7,FALSE),VLOOKUP(tables_546010!C295,input_546010!A:H,8,FALSE))</f>
        <v>8640</v>
      </c>
      <c r="P295" s="46">
        <f t="shared" ca="1" si="13"/>
        <v>6.7164179104555971E-5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input_546010!A$2</f>
        <v>546010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IFERROR(VLOOKUP(B296,input_546010!L:R,7,FALSE),VLOOKUP(tables_546010!C296,input_546010!A:H,8,FALSE))</f>
        <v>8640</v>
      </c>
      <c r="P296" s="46">
        <f t="shared" ca="1" si="13"/>
        <v>6.7164179104555971E-5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input_546010!A$2</f>
        <v>546010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IFERROR(VLOOKUP(B297,input_546010!L:R,7,FALSE),VLOOKUP(tables_546010!C297,input_546010!A:H,8,FALSE))</f>
        <v>619750</v>
      </c>
      <c r="P297" s="46">
        <f t="shared" ca="1" si="13"/>
        <v>4.8177083333389541E-3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input_546010!A$2</f>
        <v>546010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IFERROR(VLOOKUP(B298,input_546010!L:R,7,FALSE),VLOOKUP(tables_546010!C298,input_546010!A:H,8,FALSE))</f>
        <v>123950</v>
      </c>
      <c r="P298" s="46">
        <f t="shared" ca="1" si="13"/>
        <v>9.6354166666779079E-4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input_546010!A$2</f>
        <v>546010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IFERROR(VLOOKUP(B299,input_546010!L:R,7,FALSE),VLOOKUP(tables_546010!C299,input_546010!A:H,8,FALSE))</f>
        <v>8640</v>
      </c>
      <c r="P299" s="46">
        <f t="shared" ca="1" si="13"/>
        <v>6.7164179104555971E-5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input_546010!A$2</f>
        <v>546010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IFERROR(VLOOKUP(B300,input_546010!L:R,7,FALSE),VLOOKUP(tables_546010!C300,input_546010!A:H,8,FALSE))</f>
        <v>8640</v>
      </c>
      <c r="P300" s="46">
        <f t="shared" ca="1" si="13"/>
        <v>6.7164179104555971E-5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input_546010!A$2</f>
        <v>546010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IFERROR(VLOOKUP(B301,input_546010!L:R,7,FALSE),VLOOKUP(tables_546010!C301,input_546010!A:H,8,FALSE))</f>
        <v>8640</v>
      </c>
      <c r="P301" s="46">
        <f t="shared" ca="1" si="13"/>
        <v>6.7164179104555971E-5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input_546010!A$2</f>
        <v>546010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IFERROR(VLOOKUP(B302,input_546010!L:R,7,FALSE),VLOOKUP(tables_546010!C302,input_546010!A:H,8,FALSE))</f>
        <v>8640</v>
      </c>
      <c r="P302" s="46">
        <f t="shared" ca="1" si="13"/>
        <v>6.7164179104555971E-5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input_546010!A$2</f>
        <v>546010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IFERROR(VLOOKUP(B303,input_546010!L:R,7,FALSE),VLOOKUP(tables_546010!C303,input_546010!A:H,8,FALSE))</f>
        <v>619750</v>
      </c>
      <c r="P303" s="46">
        <f t="shared" ca="1" si="13"/>
        <v>4.8177083333389541E-3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input_546010!A$2</f>
        <v>546010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IFERROR(VLOOKUP(B304,input_546010!L:R,7,FALSE),VLOOKUP(tables_546010!C304,input_546010!A:H,8,FALSE))</f>
        <v>123950</v>
      </c>
      <c r="P304" s="46">
        <f t="shared" ca="1" si="13"/>
        <v>9.6354166666779079E-4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input_546010!A$2</f>
        <v>546010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IFERROR(VLOOKUP(B305,input_546010!L:R,7,FALSE),VLOOKUP(tables_546010!C305,input_546010!A:H,8,FALSE))</f>
        <v>8640</v>
      </c>
      <c r="P305" s="46">
        <f t="shared" ca="1" si="13"/>
        <v>6.7164179104555971E-5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input_546010!A$2</f>
        <v>546010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IFERROR(VLOOKUP(B306,input_546010!L:R,7,FALSE),VLOOKUP(tables_546010!C306,input_546010!A:H,8,FALSE))</f>
        <v>619750</v>
      </c>
      <c r="P306" s="46">
        <f t="shared" ca="1" si="13"/>
        <v>4.8177083333389541E-3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input_546010!A$2</f>
        <v>546010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IFERROR(VLOOKUP(B307,input_546010!L:R,7,FALSE),VLOOKUP(tables_546010!C307,input_546010!A:H,8,FALSE))</f>
        <v>123950</v>
      </c>
      <c r="P307" s="46">
        <f t="shared" ca="1" si="13"/>
        <v>9.6354166666779079E-4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input_546010!A$2</f>
        <v>546010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IFERROR(VLOOKUP(B308,input_546010!L:R,7,FALSE),VLOOKUP(tables_546010!C308,input_546010!A:H,8,FALSE))</f>
        <v>8640</v>
      </c>
      <c r="P308" s="46">
        <f t="shared" ca="1" si="13"/>
        <v>6.7164179104555971E-5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input_546010!A$2</f>
        <v>546010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IFERROR(VLOOKUP(B309,input_546010!L:R,7,FALSE),VLOOKUP(tables_546010!C309,input_546010!A:H,8,FALSE))</f>
        <v>1929600</v>
      </c>
      <c r="P309" s="46">
        <f t="shared" ca="1" si="13"/>
        <v>1.5000000000017501E-2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input_546010!A$2</f>
        <v>546010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IFERROR(VLOOKUP(B310,input_546010!L:R,7,FALSE),VLOOKUP(tables_546010!C310,input_546010!A:H,8,FALSE))</f>
        <v>8640</v>
      </c>
      <c r="P310" s="46">
        <f t="shared" ca="1" si="13"/>
        <v>6.7164179104555971E-5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input_546010!A$2</f>
        <v>546010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IFERROR(VLOOKUP(B311,input_546010!L:R,7,FALSE),VLOOKUP(tables_546010!C311,input_546010!A:H,8,FALSE))</f>
        <v>619750</v>
      </c>
      <c r="P311" s="46">
        <f t="shared" ca="1" si="13"/>
        <v>4.8177083333389541E-3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input_546010!A$2</f>
        <v>546010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IFERROR(VLOOKUP(B312,input_546010!L:R,7,FALSE),VLOOKUP(tables_546010!C312,input_546010!A:H,8,FALSE))</f>
        <v>123950</v>
      </c>
      <c r="P312" s="46">
        <f t="shared" ca="1" si="13"/>
        <v>9.6354166666779079E-4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input_546010!A$2</f>
        <v>546010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IFERROR(VLOOKUP(B313,input_546010!L:R,7,FALSE),VLOOKUP(tables_546010!C313,input_546010!A:H,8,FALSE))</f>
        <v>8640</v>
      </c>
      <c r="P313" s="46">
        <f t="shared" ca="1" si="13"/>
        <v>6.7164179104555971E-5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input_546010!A$2</f>
        <v>546010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IFERROR(VLOOKUP(B314,input_546010!L:R,7,FALSE),VLOOKUP(tables_546010!C314,input_546010!A:H,8,FALSE))</f>
        <v>8640</v>
      </c>
      <c r="P314" s="46">
        <f t="shared" ca="1" si="13"/>
        <v>6.7164179104555971E-5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input_546010!A$2</f>
        <v>546010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IFERROR(VLOOKUP(B315,input_546010!L:R,7,FALSE),VLOOKUP(tables_546010!C315,input_546010!A:H,8,FALSE))</f>
        <v>8640</v>
      </c>
      <c r="P315" s="46">
        <f t="shared" ca="1" si="13"/>
        <v>6.7164179104555971E-5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input_546010!A$2</f>
        <v>546010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IFERROR(VLOOKUP(B316,input_546010!L:R,7,FALSE),VLOOKUP(tables_546010!C316,input_546010!A:H,8,FALSE))</f>
        <v>8640</v>
      </c>
      <c r="P316" s="46">
        <f t="shared" ca="1" si="13"/>
        <v>6.7164179104555971E-5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input_546010!A$2</f>
        <v>546010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IFERROR(VLOOKUP(B317,input_546010!L:R,7,FALSE),VLOOKUP(tables_546010!C317,input_546010!A:H,8,FALSE))</f>
        <v>8640</v>
      </c>
      <c r="P317" s="46">
        <f t="shared" ca="1" si="13"/>
        <v>6.7164179104555971E-5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input_546010!A$2</f>
        <v>546010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IFERROR(VLOOKUP(B318,input_546010!L:R,7,FALSE),VLOOKUP(tables_546010!C318,input_546010!A:H,8,FALSE))</f>
        <v>619750</v>
      </c>
      <c r="P318" s="46">
        <f t="shared" ca="1" si="13"/>
        <v>4.8177083333389541E-3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input_546010!A$2</f>
        <v>546010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IFERROR(VLOOKUP(B319,input_546010!L:R,7,FALSE),VLOOKUP(tables_546010!C319,input_546010!A:H,8,FALSE))</f>
        <v>123950</v>
      </c>
      <c r="P319" s="46">
        <f t="shared" ca="1" si="13"/>
        <v>9.6354166666779079E-4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input_546010!A$2</f>
        <v>546010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IFERROR(VLOOKUP(B320,input_546010!L:R,7,FALSE),VLOOKUP(tables_546010!C320,input_546010!A:H,8,FALSE))</f>
        <v>8640</v>
      </c>
      <c r="P320" s="46">
        <f t="shared" ca="1" si="13"/>
        <v>6.7164179104555971E-5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input_546010!A$2</f>
        <v>546010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IFERROR(VLOOKUP(B321,input_546010!L:R,7,FALSE),VLOOKUP(tables_546010!C321,input_546010!A:H,8,FALSE))</f>
        <v>8640</v>
      </c>
      <c r="P321" s="46">
        <f t="shared" ca="1" si="13"/>
        <v>6.7164179104555971E-5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input_546010!A$2</f>
        <v>546010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IFERROR(VLOOKUP(B322,input_546010!L:R,7,FALSE),VLOOKUP(tables_546010!C322,input_546010!A:H,8,FALSE))</f>
        <v>8640</v>
      </c>
      <c r="P322" s="46">
        <f t="shared" ref="P322:P330" ca="1" si="23">O322/SUM(O:O)</f>
        <v>6.7164179104555971E-5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input_546010!A$2</f>
        <v>546010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IFERROR(VLOOKUP(B323,input_546010!L:R,7,FALSE),VLOOKUP(tables_546010!C323,input_546010!A:H,8,FALSE))</f>
        <v>8640</v>
      </c>
      <c r="P323" s="46">
        <f t="shared" ca="1" si="23"/>
        <v>6.7164179104555971E-5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input_546010!A$2</f>
        <v>546010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IFERROR(VLOOKUP(B324,input_546010!L:R,7,FALSE),VLOOKUP(tables_546010!C324,input_546010!A:H,8,FALSE))</f>
        <v>619750</v>
      </c>
      <c r="P324" s="46">
        <f t="shared" ca="1" si="23"/>
        <v>4.8177083333389541E-3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input_546010!A$2</f>
        <v>546010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IFERROR(VLOOKUP(B325,input_546010!L:R,7,FALSE),VLOOKUP(tables_546010!C325,input_546010!A:H,8,FALSE))</f>
        <v>123950</v>
      </c>
      <c r="P325" s="46">
        <f t="shared" ca="1" si="23"/>
        <v>9.6354166666779079E-4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input_546010!A$2</f>
        <v>546010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IFERROR(VLOOKUP(B326,input_546010!L:R,7,FALSE),VLOOKUP(tables_546010!C326,input_546010!A:H,8,FALSE))</f>
        <v>619750</v>
      </c>
      <c r="P326" s="46">
        <f t="shared" ca="1" si="23"/>
        <v>4.8177083333389541E-3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input_546010!A$2</f>
        <v>546010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IFERROR(VLOOKUP(B327,input_546010!L:R,7,FALSE),VLOOKUP(tables_546010!C327,input_546010!A:H,8,FALSE))</f>
        <v>123950</v>
      </c>
      <c r="P327" s="46">
        <f t="shared" ca="1" si="23"/>
        <v>9.6354166666779079E-4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input_546010!A$2</f>
        <v>546010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IFERROR(VLOOKUP(B328,input_546010!L:R,7,FALSE),VLOOKUP(tables_546010!C328,input_546010!A:H,8,FALSE))</f>
        <v>8640</v>
      </c>
      <c r="P328" s="46">
        <f t="shared" ca="1" si="23"/>
        <v>6.7164179104555971E-5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input_546010!A$2</f>
        <v>546010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IFERROR(VLOOKUP(B329,input_546010!L:R,7,FALSE),VLOOKUP(tables_546010!C329,input_546010!A:H,8,FALSE))</f>
        <v>8640</v>
      </c>
      <c r="P329" s="46">
        <f t="shared" ca="1" si="23"/>
        <v>6.7164179104555971E-5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input_546010!A$2</f>
        <v>546010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IFERROR(VLOOKUP(B330,input_546010!L:R,7,FALSE),VLOOKUP(tables_546010!C330,input_546010!A:H,8,FALSE))</f>
        <v>8640</v>
      </c>
      <c r="P330" s="46">
        <f t="shared" ca="1" si="23"/>
        <v>6.7164179104555971E-5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input_546010!A$2</f>
        <v>546010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IFERROR(VLOOKUP(B331,input_546010!L:R,7,FALSE),VLOOKUP(tables_546010!C331,input_546010!A:H,8,FALSE))</f>
        <v>8640</v>
      </c>
      <c r="P331" s="46">
        <f t="shared" ref="P331:P335" ca="1" si="28">O331/SUM(O:O)</f>
        <v>6.7164179104555971E-5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input_546010!A$2</f>
        <v>546010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IFERROR(VLOOKUP(B332,input_546010!L:R,7,FALSE),VLOOKUP(tables_546010!C332,input_546010!A:H,8,FALSE))</f>
        <v>8640</v>
      </c>
      <c r="P332" s="46">
        <f t="shared" ca="1" si="28"/>
        <v>6.7164179104555971E-5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input_546010!A$2</f>
        <v>546010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IFERROR(VLOOKUP(B333,input_546010!L:R,7,FALSE),VLOOKUP(tables_546010!C333,input_546010!A:H,8,FALSE))</f>
        <v>8640</v>
      </c>
      <c r="P333" s="46">
        <f t="shared" ca="1" si="28"/>
        <v>6.7164179104555971E-5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input_546010!A$2</f>
        <v>546010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IFERROR(VLOOKUP(B334,input_546010!L:R,7,FALSE),VLOOKUP(tables_546010!C334,input_546010!A:H,8,FALSE))</f>
        <v>619750</v>
      </c>
      <c r="P334" s="46">
        <f t="shared" ca="1" si="28"/>
        <v>4.8177083333389541E-3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input_546010!A$2</f>
        <v>546010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IFERROR(VLOOKUP(B335,input_546010!L:R,7,FALSE),VLOOKUP(tables_546010!C335,input_546010!A:H,8,FALSE))</f>
        <v>123950</v>
      </c>
      <c r="P335" s="46">
        <f t="shared" ca="1" si="28"/>
        <v>9.6354166666779079E-4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input_546010!A$2</f>
        <v>546010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IFERROR(VLOOKUP(B336,input_546010!L:R,7,FALSE),VLOOKUP(tables_546010!C336,input_546010!A:H,8,FALSE))</f>
        <v>8640</v>
      </c>
      <c r="P336" s="46">
        <f t="shared" ref="P336:P340" ca="1" si="31">O336/SUM(O:O)</f>
        <v>6.7164179104555971E-5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input_546010!A$2</f>
        <v>546010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IFERROR(VLOOKUP(B337,input_546010!L:R,7,FALSE),VLOOKUP(tables_546010!C337,input_546010!A:H,8,FALSE))</f>
        <v>8640</v>
      </c>
      <c r="P337" s="46">
        <f t="shared" ca="1" si="31"/>
        <v>6.7164179104555971E-5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input_546010!A$2</f>
        <v>546010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IFERROR(VLOOKUP(B338,input_546010!L:R,7,FALSE),VLOOKUP(tables_546010!C338,input_546010!A:H,8,FALSE))</f>
        <v>8640</v>
      </c>
      <c r="P338" s="46">
        <f t="shared" ca="1" si="31"/>
        <v>6.7164179104555971E-5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input_546010!A$2</f>
        <v>546010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IFERROR(VLOOKUP(B339,input_546010!L:R,7,FALSE),VLOOKUP(tables_546010!C339,input_546010!A:H,8,FALSE))</f>
        <v>619750</v>
      </c>
      <c r="P339" s="46">
        <f t="shared" ca="1" si="31"/>
        <v>4.8177083333389541E-3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input_546010!A$2</f>
        <v>546010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IFERROR(VLOOKUP(B340,input_546010!L:R,7,FALSE),VLOOKUP(tables_546010!C340,input_546010!A:H,8,FALSE))</f>
        <v>123950</v>
      </c>
      <c r="P340" s="46">
        <f t="shared" ca="1" si="31"/>
        <v>9.6354166666779079E-4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input_546010!A$2</f>
        <v>546010</v>
      </c>
      <c r="B341" s="1">
        <v>1250</v>
      </c>
      <c r="C341" s="7" t="str">
        <f t="shared" ref="C341:C345" si="32">D341&amp;J341&amp;E341&amp;F341&amp;G341</f>
        <v>PremiumSS5R5only</v>
      </c>
      <c r="D341" s="98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IFERROR(VLOOKUP(B341,input_546010!L:R,7,FALSE),VLOOKUP(tables_546010!C341,input_546010!A:H,8,FALSE))</f>
        <v>8640</v>
      </c>
      <c r="P341" s="46">
        <f t="shared" ref="P341:P345" ca="1" si="34">O341/SUM(O:O)</f>
        <v>6.7164179104555971E-5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input_546010!A$2</f>
        <v>546010</v>
      </c>
      <c r="B342" s="1">
        <v>1244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IFERROR(VLOOKUP(B342,input_546010!L:R,7,FALSE),VLOOKUP(tables_546010!C342,input_546010!A:H,8,FALSE))</f>
        <v>8640</v>
      </c>
      <c r="P342" s="46">
        <f t="shared" ca="1" si="34"/>
        <v>6.7164179104555971E-5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input_546010!A$2</f>
        <v>546010</v>
      </c>
      <c r="B343" s="1">
        <v>1246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IFERROR(VLOOKUP(B343,input_546010!L:R,7,FALSE),VLOOKUP(tables_546010!C343,input_546010!A:H,8,FALSE))</f>
        <v>1929600</v>
      </c>
      <c r="P343" s="46">
        <f t="shared" ca="1" si="34"/>
        <v>1.5000000000017501E-2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input_546010!A$2</f>
        <v>546010</v>
      </c>
      <c r="B344" s="1">
        <v>1248</v>
      </c>
      <c r="C344" s="7" t="str">
        <f t="shared" si="32"/>
        <v>Premium4R3less</v>
      </c>
      <c r="D344" s="98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IFERROR(VLOOKUP(B344,input_546010!L:R,7,FALSE),VLOOKUP(tables_546010!C344,input_546010!A:H,8,FALSE))</f>
        <v>619750</v>
      </c>
      <c r="P344" s="46">
        <f t="shared" ca="1" si="34"/>
        <v>4.8177083333389541E-3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input_546010!A$2</f>
        <v>546010</v>
      </c>
      <c r="B345" s="1">
        <v>1249</v>
      </c>
      <c r="C345" s="7" t="str">
        <f t="shared" si="32"/>
        <v>Premium5R3less</v>
      </c>
      <c r="D345" s="98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IFERROR(VLOOKUP(B345,input_546010!L:R,7,FALSE),VLOOKUP(tables_546010!C345,input_546010!A:H,8,FALSE))</f>
        <v>123950</v>
      </c>
      <c r="P345" s="46">
        <f t="shared" ca="1" si="34"/>
        <v>9.6354166666779079E-4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input_546010!A$2</f>
        <v>546010</v>
      </c>
      <c r="B346" s="1">
        <v>1260</v>
      </c>
      <c r="C346" s="7" t="str">
        <f t="shared" ref="C346:C348" si="35">D346&amp;J346&amp;E346&amp;F346&amp;G346</f>
        <v>PremiumSS5R5only</v>
      </c>
      <c r="D346" s="98" t="str">
        <f t="shared" ref="D346:D348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IFERROR(VLOOKUP(B346,input_546010!L:R,7,FALSE),VLOOKUP(tables_546010!C346,input_546010!A:H,8,FALSE))</f>
        <v>8640</v>
      </c>
      <c r="P346" s="46">
        <f t="shared" ref="P346:P348" ca="1" si="37">O346/SUM(O:O)</f>
        <v>6.7164179104555971E-5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input_546010!A$2</f>
        <v>546010</v>
      </c>
      <c r="B347" s="1">
        <v>1262</v>
      </c>
      <c r="C347" s="7" t="str">
        <f t="shared" si="35"/>
        <v>PremiumSS5R5only</v>
      </c>
      <c r="D347" s="98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IFERROR(VLOOKUP(B347,input_546010!L:R,7,FALSE),VLOOKUP(tables_546010!C347,input_546010!A:H,8,FALSE))</f>
        <v>8640</v>
      </c>
      <c r="P347" s="46">
        <f t="shared" ca="1" si="37"/>
        <v>6.7164179104555971E-5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input_546010!A$2</f>
        <v>546010</v>
      </c>
      <c r="B348" s="1">
        <v>1264</v>
      </c>
      <c r="C348" s="7" t="str">
        <f t="shared" si="35"/>
        <v>PremiumSS5R5only</v>
      </c>
      <c r="D348" s="98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IFERROR(VLOOKUP(B348,input_546010!L:R,7,FALSE),VLOOKUP(tables_546010!C348,input_546010!A:H,8,FALSE))</f>
        <v>8640</v>
      </c>
      <c r="P348" s="46">
        <f t="shared" ca="1" si="37"/>
        <v>6.7164179104555971E-5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input_546010!A$2</f>
        <v>546010</v>
      </c>
      <c r="B349" s="1">
        <v>1266</v>
      </c>
      <c r="C349" s="7" t="str">
        <f t="shared" ref="C349" si="38">D349&amp;J349&amp;E349&amp;F349&amp;G349</f>
        <v>Premium4R3less</v>
      </c>
      <c r="D349" s="98" t="str">
        <f t="shared" ref="D349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IFERROR(VLOOKUP(B349,input_546010!L:R,7,FALSE),VLOOKUP(tables_546010!C349,input_546010!A:H,8,FALSE))</f>
        <v>619750</v>
      </c>
      <c r="P349" s="46">
        <f t="shared" ref="P349" ca="1" si="40">O349/SUM(O:O)</f>
        <v>4.8177083333389541E-3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input_546010!A$2</f>
        <v>546010</v>
      </c>
      <c r="B350" s="1">
        <v>1267</v>
      </c>
      <c r="C350" s="7" t="str">
        <f t="shared" ref="C350:C353" si="41">D350&amp;J350&amp;E350&amp;F350&amp;G350</f>
        <v>Premium5R3less</v>
      </c>
      <c r="D350" s="98" t="str">
        <f t="shared" ref="D350:D353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IFERROR(VLOOKUP(B350,input_546010!L:R,7,FALSE),VLOOKUP(tables_546010!C350,input_546010!A:H,8,FALSE))</f>
        <v>123950</v>
      </c>
      <c r="P350" s="46">
        <f t="shared" ref="P350:P355" ca="1" si="43">O350/SUM(O:O)</f>
        <v>9.6354166666779079E-4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input_546010!A$2</f>
        <v>546010</v>
      </c>
      <c r="B351" s="104">
        <v>1332</v>
      </c>
      <c r="C351" s="7" t="str">
        <f>D351&amp;J351&amp;E351&amp;F351&amp;G351</f>
        <v>PremiumSS5R5only</v>
      </c>
      <c r="D351" s="98" t="str">
        <f t="shared" si="42"/>
        <v>PremiumSS</v>
      </c>
      <c r="E351" s="7" t="str">
        <f>IF(COUNTIF('R6追加前'!A:A,B351)=0,IF(OR(I351="PremiumSS",I351="PremiumSSw"),"R5only","R3less"),"")</f>
        <v>R5only</v>
      </c>
      <c r="F351" s="7" t="s">
        <v>256</v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IFERROR(VLOOKUP(B351,input_546010!L:R,7,FALSE),VLOOKUP(tables_546010!C351,input_546010!A:H,8,FALSE))</f>
        <v>8640</v>
      </c>
      <c r="P351" s="46">
        <f t="shared" ca="1" si="43"/>
        <v>6.7164179104555971E-5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input_546010!A$2</f>
        <v>546010</v>
      </c>
      <c r="B352" s="104">
        <v>1334</v>
      </c>
      <c r="C352" s="7" t="str">
        <f t="shared" si="41"/>
        <v>Premium4R3less</v>
      </c>
      <c r="D352" s="98" t="str">
        <f t="shared" si="42"/>
        <v>Premium</v>
      </c>
      <c r="E352" s="7" t="str">
        <f>IF(COUNTIF('R6追加前'!A:A,B352)=0,IF(OR(I352="PremiumSS",I352="PremiumSSw"),"R5only","R3less"),"")</f>
        <v>R3less</v>
      </c>
      <c r="F352" s="7" t="s">
        <v>256</v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IFERROR(VLOOKUP(B352,input_546010!L:R,7,FALSE),VLOOKUP(tables_546010!C352,input_546010!A:H,8,FALSE))</f>
        <v>619750</v>
      </c>
      <c r="P352" s="46">
        <f t="shared" ca="1" si="43"/>
        <v>4.8177083333389541E-3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input_546010!A$2</f>
        <v>546010</v>
      </c>
      <c r="B353" s="104">
        <v>1335</v>
      </c>
      <c r="C353" s="7" t="str">
        <f t="shared" si="41"/>
        <v>Premium5R3less</v>
      </c>
      <c r="D353" s="98" t="str">
        <f t="shared" si="42"/>
        <v>Premium</v>
      </c>
      <c r="E353" s="7" t="str">
        <f>IF(COUNTIF('R6追加前'!A:A,B353)=0,IF(OR(I353="PremiumSS",I353="PremiumSSw"),"R5only","R3less"),"")</f>
        <v>R3less</v>
      </c>
      <c r="F353" s="7" t="s">
        <v>256</v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IFERROR(VLOOKUP(B353,input_546010!L:R,7,FALSE),VLOOKUP(tables_546010!C353,input_546010!A:H,8,FALSE))</f>
        <v>123950</v>
      </c>
      <c r="P353" s="46">
        <f t="shared" ca="1" si="43"/>
        <v>9.6354166666779079E-4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input_546010!A$2</f>
        <v>546010</v>
      </c>
      <c r="B354" s="104">
        <v>1336</v>
      </c>
      <c r="C354" s="7" t="str">
        <f>D354&amp;J354&amp;E354&amp;F354&amp;G354</f>
        <v>PremiumSS5R5only</v>
      </c>
      <c r="D354" s="98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">
        <v>256</v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IFERROR(VLOOKUP(B354,input_546010!L:R,7,FALSE),VLOOKUP(tables_546010!C354,input_546010!A:H,8,FALSE))</f>
        <v>8640</v>
      </c>
      <c r="P354" s="46">
        <f t="shared" ca="1" si="43"/>
        <v>6.7164179104555971E-5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input_546010!A$2</f>
        <v>546010</v>
      </c>
      <c r="B355" s="104">
        <v>1338</v>
      </c>
      <c r="C355" s="7" t="str">
        <f>D355&amp;J355&amp;E355&amp;F355&amp;G355</f>
        <v>PremiumSS5R5only</v>
      </c>
      <c r="D355" s="98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">
        <v>256</v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IFERROR(VLOOKUP(B355,input_546010!L:R,7,FALSE),VLOOKUP(tables_546010!C355,input_546010!A:H,8,FALSE))</f>
        <v>8640</v>
      </c>
      <c r="P355" s="46">
        <f t="shared" ca="1" si="43"/>
        <v>6.7164179104555971E-5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opLeftCell="A15"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434</v>
      </c>
      <c r="M3" s="37" t="str">
        <f>VLOOKUP(L3,[1]characters!$A:$C,3,FALSE)</f>
        <v>D.R.T.H.</v>
      </c>
      <c r="N3" s="63">
        <v>7.4999999999999997E-3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VLOOKUP(L3,tables_546100!B:C,2,FALSE)</f>
        <v>PremiumSS4</v>
      </c>
      <c r="R3" s="62">
        <f t="shared" ref="R3:R20" si="1">N3*A$36</f>
        <v>964800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435</v>
      </c>
      <c r="M4" s="37" t="str">
        <f>VLOOKUP(L4,[1]characters!$A:$C,3,FALSE)</f>
        <v>曝弾の密偵 D.R.T.H.</v>
      </c>
      <c r="N4" s="63">
        <v>7.4999999999999997E-3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VLOOKUP(L4,tables_546100!B:C,2,FALSE)</f>
        <v>PremiumSS5</v>
      </c>
      <c r="R4" s="62">
        <f t="shared" si="1"/>
        <v>964800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2.2388059701492538E-4</v>
      </c>
      <c r="F5">
        <f>(COUNTIF(tables_546100!C:C,input_546100!A28)+COUNTIF(tables_546100!C:C,input_546100!A29))</f>
        <v>72</v>
      </c>
      <c r="H5" s="84">
        <v>0.06</v>
      </c>
      <c r="I5" s="31">
        <v>5</v>
      </c>
      <c r="L5" s="1">
        <v>1031</v>
      </c>
      <c r="M5" s="37" t="str">
        <f>VLOOKUP(L5,[1]characters!$A:$C,3,FALSE)</f>
        <v>紫式部</v>
      </c>
      <c r="N5" s="63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VLOOKUP(L5,tables_546100!B:C,2,FALSE)</f>
        <v>PremiumSS5R5only</v>
      </c>
      <c r="R5" s="62">
        <f t="shared" si="1"/>
        <v>1929600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9.6354166666666671E-3</v>
      </c>
      <c r="F6">
        <f>(COUNTIF(tables_546100!C:C,input_546100!A25)+COUNTIF(tables_546100!C:C,input_546100!A18)+COUNTIF(tables_546100!C:C,input_546100!A20)+COUNTIF(tables_546100!C:C,input_546100!A22))</f>
        <v>96</v>
      </c>
      <c r="H6" s="89"/>
      <c r="I6" s="31"/>
      <c r="L6" s="1">
        <v>734</v>
      </c>
      <c r="M6" s="37" t="str">
        <f>VLOOKUP(L6,[1]characters!$A:$C,3,FALSE)</f>
        <v>伊達政宗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VLOOKUP(L6,tables_546100!B:C,2,FALSE)</f>
        <v>PremiumSS5R5only</v>
      </c>
      <c r="R6" s="62">
        <f t="shared" si="1"/>
        <v>1929600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1246</v>
      </c>
      <c r="M7" s="37" t="str">
        <f>VLOOKUP(L7,[1]characters!$A:$C,3,FALSE)</f>
        <v>望月千代女</v>
      </c>
      <c r="N7" s="63">
        <v>1.4999999999999999E-2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VLOOKUP(L7,tables_546100!B:C,2,FALSE)</f>
        <v>PremiumSS5R5only</v>
      </c>
      <c r="R7" s="62">
        <f t="shared" si="1"/>
        <v>1929600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7.4999999999999997E-3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7.4999999999999997E-3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4.4999999999999998E-2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COUNTIF(tables_546100!C:C,input_546100!A17)-COUNTIF(Q:Q,A17)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B6-SUM(B20,B22,B25,B27,B30,C22,C27)</f>
        <v>0.21625987251243795</v>
      </c>
      <c r="C18" s="85">
        <f t="shared" si="2"/>
        <v>0</v>
      </c>
      <c r="D18" s="74">
        <f t="shared" si="3"/>
        <v>0.21625987251243795</v>
      </c>
      <c r="E18">
        <f>COUNTIF(tables_546100!C:C,input_546100!A18)-COUNTIF(Q:Q,A18)</f>
        <v>20</v>
      </c>
      <c r="F18" s="43">
        <f>IFERROR(B18/E18,0)</f>
        <v>1.0812993625621898E-2</v>
      </c>
      <c r="G18">
        <f t="shared" si="4"/>
        <v>27819670.000000019</v>
      </c>
      <c r="H18">
        <f t="shared" si="5"/>
        <v>1390983.5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COUNTIF(tables_546100!C:C,input_546100!A19)-COUNTIF(Q:Q,A19)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0.45093750000000005</v>
      </c>
      <c r="C20" s="85">
        <f t="shared" si="2"/>
        <v>0</v>
      </c>
      <c r="D20" s="74">
        <f t="shared" si="3"/>
        <v>0.45093750000000005</v>
      </c>
      <c r="E20">
        <f>COUNTIF(tables_546100!C:C,input_546100!A20)-COUNTIF(Q:Q,A20)</f>
        <v>52</v>
      </c>
      <c r="F20" s="43">
        <f t="shared" si="8"/>
        <v>8.6718750000000008E-3</v>
      </c>
      <c r="G20">
        <f t="shared" si="4"/>
        <v>58008600.000000007</v>
      </c>
      <c r="H20">
        <f t="shared" si="5"/>
        <v>1115550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B7-B23-B26-B28-B29-C23-C29-C28</f>
        <v>2.847971082089553E-2</v>
      </c>
      <c r="C21" s="85">
        <f t="shared" si="2"/>
        <v>0</v>
      </c>
      <c r="D21" s="74">
        <f t="shared" si="3"/>
        <v>2.847971082089553E-2</v>
      </c>
      <c r="E21">
        <f>COUNTIF(tables_546100!C:C,input_546100!A21)-COUNTIF(Q:Q,A21)</f>
        <v>52</v>
      </c>
      <c r="F21" s="43">
        <f t="shared" si="8"/>
        <v>5.4768674655568329E-4</v>
      </c>
      <c r="G21">
        <f t="shared" si="4"/>
        <v>3663630.0000000009</v>
      </c>
      <c r="H21">
        <f t="shared" si="5"/>
        <v>70454.423079999993</v>
      </c>
      <c r="I21">
        <f t="shared" si="6"/>
        <v>0.423079999993206</v>
      </c>
      <c r="J21">
        <f t="shared" si="7"/>
        <v>2.3636191737166929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0.18018229166666666</v>
      </c>
      <c r="C22" s="85">
        <f t="shared" si="2"/>
        <v>0</v>
      </c>
      <c r="D22" s="74">
        <f t="shared" si="3"/>
        <v>0.18018229166666666</v>
      </c>
      <c r="E22">
        <f>COUNTIF(tables_546100!C:C,input_546100!A22)-COUNTIF(Q:Q,A22)</f>
        <v>20</v>
      </c>
      <c r="F22" s="43">
        <f t="shared" si="8"/>
        <v>9.0091145833333334E-3</v>
      </c>
      <c r="G22">
        <f t="shared" si="4"/>
        <v>23178650</v>
      </c>
      <c r="H22">
        <f t="shared" si="5"/>
        <v>1158932.5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E23*E6*B7*0.5</f>
        <v>1.2526041666666668E-2</v>
      </c>
      <c r="C23" s="85">
        <f t="shared" si="2"/>
        <v>0</v>
      </c>
      <c r="D23" s="74">
        <f t="shared" si="3"/>
        <v>1.2526041666666668E-2</v>
      </c>
      <c r="E23">
        <f>COUNTIF(tables_546100!C:C,input_546100!A23)-COUNTIF(Q:Q,A23)</f>
        <v>26</v>
      </c>
      <c r="F23" s="43">
        <f t="shared" si="8"/>
        <v>4.817708333333334E-4</v>
      </c>
      <c r="G23">
        <f t="shared" si="4"/>
        <v>1611350.0000000002</v>
      </c>
      <c r="H23">
        <f t="shared" si="5"/>
        <v>61975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COUNTIF(tables_546100!C:C,input_546100!A24)-COUNTIF(Q:Q,A24)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3.4687500000000003E-2</v>
      </c>
      <c r="C25" s="85">
        <f t="shared" si="2"/>
        <v>0</v>
      </c>
      <c r="D25" s="74">
        <f t="shared" si="3"/>
        <v>3.4687500000000003E-2</v>
      </c>
      <c r="E25">
        <f>COUNTIF(tables_546100!C:C,input_546100!A25)-COUNTIF(Q:Q,A25)</f>
        <v>4</v>
      </c>
      <c r="F25" s="43">
        <f t="shared" si="8"/>
        <v>8.6718750000000008E-3</v>
      </c>
      <c r="G25">
        <f t="shared" si="4"/>
        <v>4462200</v>
      </c>
      <c r="H25">
        <f t="shared" si="5"/>
        <v>1115550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E$6*B$7*E26*0.5</f>
        <v>1.9270833333333336E-3</v>
      </c>
      <c r="C26" s="85">
        <f t="shared" si="2"/>
        <v>0</v>
      </c>
      <c r="D26" s="74">
        <f t="shared" si="3"/>
        <v>1.9270833333333336E-3</v>
      </c>
      <c r="E26">
        <f>COUNTIF(tables_546100!C:C,input_546100!A26)-COUNTIF(Q:Q,A26)</f>
        <v>4</v>
      </c>
      <c r="F26" s="43">
        <f t="shared" si="8"/>
        <v>4.817708333333334E-4</v>
      </c>
      <c r="G26">
        <f t="shared" si="4"/>
        <v>247900.00000000003</v>
      </c>
      <c r="H26">
        <f t="shared" si="5"/>
        <v>61975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5">
        <f>B11-H5-B28-B29</f>
        <v>1.0432835820895523E-2</v>
      </c>
      <c r="C27" s="85">
        <f t="shared" si="2"/>
        <v>7.4999999999999997E-3</v>
      </c>
      <c r="D27" s="74">
        <f t="shared" si="3"/>
        <v>2.9328358208955234E-3</v>
      </c>
      <c r="E27">
        <f>COUNTIF(tables_546100!C:C,input_546100!A27)-COUNTIF(Q:Q,A27)</f>
        <v>27</v>
      </c>
      <c r="F27" s="43">
        <f>IFERROR(B27/E27,0)</f>
        <v>3.8640132669983421E-4</v>
      </c>
      <c r="G27">
        <f t="shared" si="4"/>
        <v>1342080</v>
      </c>
      <c r="H27">
        <f t="shared" si="5"/>
        <v>49706.666669999999</v>
      </c>
      <c r="I27">
        <f t="shared" si="6"/>
        <v>0.66666999999870313</v>
      </c>
      <c r="J27">
        <f t="shared" si="7"/>
        <v>1.4999925000404177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E$5*E28*0.3</f>
        <v>1.8134328358208954E-3</v>
      </c>
      <c r="C28" s="85">
        <f t="shared" si="2"/>
        <v>7.4999999999999997E-3</v>
      </c>
      <c r="D28" s="74">
        <f t="shared" si="3"/>
        <v>-5.6865671641791044E-3</v>
      </c>
      <c r="E28">
        <f>COUNTIF(tables_546100!C:C,input_546100!A28)-COUNTIF(Q:Q,A28)</f>
        <v>27</v>
      </c>
      <c r="F28" s="43">
        <f t="shared" si="8"/>
        <v>6.716417910447761E-5</v>
      </c>
      <c r="G28">
        <f t="shared" si="4"/>
        <v>233279.99999999997</v>
      </c>
      <c r="H28">
        <f t="shared" si="5"/>
        <v>8640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E$5*E29*0.3</f>
        <v>2.7537313432835818E-3</v>
      </c>
      <c r="C29" s="85">
        <f t="shared" si="2"/>
        <v>4.4999999999999998E-2</v>
      </c>
      <c r="D29" s="74">
        <f t="shared" si="3"/>
        <v>-4.2246268656716414E-2</v>
      </c>
      <c r="E29">
        <f>COUNTIF(tables_546100!C:C,input_546100!A29)-COUNTIF(Q:Q,A29)</f>
        <v>41</v>
      </c>
      <c r="F29" s="43">
        <f t="shared" si="8"/>
        <v>6.716417910447761E-5</v>
      </c>
      <c r="G29">
        <f t="shared" si="4"/>
        <v>354239.99999999994</v>
      </c>
      <c r="H29">
        <f t="shared" si="5"/>
        <v>8640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COUNTIF(tables_546100!C:C,input_546100!A30)-COUNTIF(Q:Q,A30)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COUNTIF(tables_546100!C:C,input_546100!A31)-COUNTIF(Q:Q,A31)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0.94000000000000028</v>
      </c>
      <c r="C32" s="41">
        <f>SUM(C19:C31)</f>
        <v>0.06</v>
      </c>
      <c r="D32" s="42">
        <f t="shared" si="3"/>
        <v>0.88000000000000034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128640000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SUMIF(tables_546100!C:C,input_546100!A40,tables_546100!O:O)</f>
        <v>0</v>
      </c>
      <c r="C40" s="54">
        <f t="shared" ref="C40:C46" ca="1" si="9">B40/B$47</f>
        <v>0</v>
      </c>
      <c r="E40">
        <v>3</v>
      </c>
      <c r="F40">
        <f ca="1">SUMIF(tables_546100!J:J,input_546100!E40,tables_546100!O:O)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SUMIF(tables_546100!C:C,input_546100!A41,tables_546100!O:O)</f>
        <v>58008600</v>
      </c>
      <c r="C41" s="54">
        <f t="shared" ca="1" si="9"/>
        <v>0.89001382231694082</v>
      </c>
      <c r="E41">
        <v>4</v>
      </c>
      <c r="F41">
        <f ca="1">SUMIF(tables_546100!J:J,input_546100!E41,tables_546100!O:O)</f>
        <v>115776000.00008991</v>
      </c>
      <c r="G41">
        <f ca="1">F41/A36</f>
        <v>0.90000000000069891</v>
      </c>
    </row>
    <row r="42" spans="1:7" x14ac:dyDescent="0.15">
      <c r="A42" s="33" t="s">
        <v>106</v>
      </c>
      <c r="B42">
        <f ca="1">SUMIF(tables_546100!C:C,input_546100!A42,tables_546100!O:O)</f>
        <v>2306880.0000900002</v>
      </c>
      <c r="C42" s="54">
        <f t="shared" ca="1" si="9"/>
        <v>3.5393977556889944E-2</v>
      </c>
      <c r="E42">
        <v>5</v>
      </c>
      <c r="F42">
        <f ca="1">SUMIF(tables_546100!J:J,input_546100!E42,tables_546100!O:O)</f>
        <v>12864000.000160003</v>
      </c>
      <c r="G42">
        <f ca="1">F42/A36</f>
        <v>0.1000000000012438</v>
      </c>
    </row>
    <row r="43" spans="1:7" x14ac:dyDescent="0.15">
      <c r="A43" s="33" t="s">
        <v>109</v>
      </c>
      <c r="B43">
        <f>SUMIF(tables_546100!C:C,input_546100!A43,tables_546100!O:O)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SUMIF(tables_546100!C:C,input_546100!A44,tables_546100!O:O)</f>
        <v>3663630.0001600031</v>
      </c>
      <c r="C44" s="54">
        <f t="shared" ca="1" si="9"/>
        <v>5.6210309161010934E-2</v>
      </c>
      <c r="E44" t="s">
        <v>54</v>
      </c>
      <c r="F44" s="55"/>
    </row>
    <row r="45" spans="1:7" x14ac:dyDescent="0.15">
      <c r="A45" s="33" t="s">
        <v>107</v>
      </c>
      <c r="B45">
        <f ca="1">SUMIF(tables_546100!C:C,input_546100!A45,tables_546100!O:O)</f>
        <v>1198080</v>
      </c>
      <c r="C45" s="54">
        <f t="shared" ca="1" si="9"/>
        <v>1.8381890965158278E-2</v>
      </c>
      <c r="E45" t="s">
        <v>204</v>
      </c>
      <c r="F45" s="55">
        <f ca="1">SUMIF(tables_546100!I:I,input_546100!E45,tables_546100!P:P)</f>
        <v>0.21915049751201232</v>
      </c>
    </row>
    <row r="46" spans="1:7" x14ac:dyDescent="0.15">
      <c r="A46" s="33" t="s">
        <v>108</v>
      </c>
      <c r="B46">
        <f>SUMIF(tables_546100!C:C,input_546100!A46,tables_546100!O:O)</f>
        <v>0</v>
      </c>
      <c r="C46" s="54">
        <f t="shared" ca="1" si="9"/>
        <v>0</v>
      </c>
      <c r="E46" t="s">
        <v>205</v>
      </c>
      <c r="F46" s="55">
        <f ca="1">SUMIF(tables_546100!I:I,input_546100!E46,tables_546100!P:P)</f>
        <v>0.18419348719149573</v>
      </c>
    </row>
    <row r="47" spans="1:7" x14ac:dyDescent="0.15">
      <c r="A47" s="39" t="s">
        <v>59</v>
      </c>
      <c r="B47">
        <f ca="1">SUM(B40:B46)</f>
        <v>65177190.000250004</v>
      </c>
      <c r="C47" s="55">
        <f ca="1">SUM(C40:C46)</f>
        <v>1</v>
      </c>
      <c r="E47" t="s">
        <v>206</v>
      </c>
      <c r="F47" s="55">
        <f ca="1">SUMIF(tables_546100!I:I,input_546100!E47,tables_546100!P:P)</f>
        <v>0.52165601529593986</v>
      </c>
    </row>
    <row r="48" spans="1:7" x14ac:dyDescent="0.15">
      <c r="E48" t="s">
        <v>207</v>
      </c>
      <c r="F48" s="55">
        <f ca="1">SUMIF(tables_546100!I:I,input_546100!E48,tables_546100!P:P)</f>
        <v>7.4395522388614813E-2</v>
      </c>
    </row>
    <row r="49" spans="5:6" x14ac:dyDescent="0.15">
      <c r="E49" t="s">
        <v>252</v>
      </c>
      <c r="F49" s="55">
        <f ca="1">SUMIF(tables_546100!I:I,input_546100!E49,tables_546100!P:P)</f>
        <v>6.0447761193912499E-4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244" activePane="bottomLeft" state="frozen"/>
      <selection activeCell="D34" sqref="D34"/>
      <selection pane="bottomLeft" activeCell="H267" sqref="H266:Q26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input_546100!A$2</f>
        <v>546100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IFERROR(VLOOKUP(B2,input_546100!L:R,7,FALSE),VLOOKUP(tables_546100!C2,input_546100!A:H,8,FALSE))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input_546100!A$2</f>
        <v>546100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IFERROR(VLOOKUP(B3,input_546100!L:R,7,FALSE),VLOOKUP(tables_546100!C3,input_546100!A:H,8,FALSE))</f>
        <v>1390983.5</v>
      </c>
      <c r="P3" s="46">
        <f t="shared" ca="1" si="1"/>
        <v>1.0812993625600897E-2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input_546100!A$2</f>
        <v>546100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IFERROR(VLOOKUP(B4,input_546100!L:R,7,FALSE),VLOOKUP(tables_546100!C4,input_546100!A:H,8,FALSE))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input_546100!A$2</f>
        <v>546100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IFERROR(VLOOKUP(B5,input_546100!L:R,7,FALSE),VLOOKUP(tables_546100!C5,input_546100!A:H,8,FALSE))</f>
        <v>1390983.5</v>
      </c>
      <c r="P5" s="46">
        <f t="shared" ca="1" si="1"/>
        <v>1.0812993625600897E-2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input_546100!A$2</f>
        <v>546100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IFERROR(VLOOKUP(B6,input_546100!L:R,7,FALSE),VLOOKUP(tables_546100!C6,input_546100!A:H,8,FALSE))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input_546100!A$2</f>
        <v>546100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IFERROR(VLOOKUP(B7,input_546100!L:R,7,FALSE),VLOOKUP(tables_546100!C7,input_546100!A:H,8,FALSE))</f>
        <v>1390983.5</v>
      </c>
      <c r="P7" s="46">
        <f t="shared" ca="1" si="1"/>
        <v>1.0812993625600897E-2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input_546100!A$2</f>
        <v>546100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IFERROR(VLOOKUP(B8,input_546100!L:R,7,FALSE),VLOOKUP(tables_546100!C8,input_546100!A:H,8,FALSE))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input_546100!A$2</f>
        <v>546100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IFERROR(VLOOKUP(B9,input_546100!L:R,7,FALSE),VLOOKUP(tables_546100!C9,input_546100!A:H,8,FALSE))</f>
        <v>1390983.5</v>
      </c>
      <c r="P9" s="46">
        <f t="shared" ca="1" si="1"/>
        <v>1.0812993625600897E-2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input_546100!A$2</f>
        <v>546100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IFERROR(VLOOKUP(B10,input_546100!L:R,7,FALSE),VLOOKUP(tables_546100!C10,input_546100!A:H,8,FALSE))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input_546100!A$2</f>
        <v>546100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IFERROR(VLOOKUP(B11,input_546100!L:R,7,FALSE),VLOOKUP(tables_546100!C11,input_546100!A:H,8,FALSE))</f>
        <v>1390983.5</v>
      </c>
      <c r="P11" s="46">
        <f t="shared" ca="1" si="1"/>
        <v>1.0812993625600897E-2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input_546100!A$2</f>
        <v>546100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IFERROR(VLOOKUP(B12,input_546100!L:R,7,FALSE),VLOOKUP(tables_546100!C12,input_546100!A:H,8,FALSE))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input_546100!A$2</f>
        <v>546100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IFERROR(VLOOKUP(B13,input_546100!L:R,7,FALSE),VLOOKUP(tables_546100!C13,input_546100!A:H,8,FALSE))</f>
        <v>1390983.5</v>
      </c>
      <c r="P13" s="46">
        <f t="shared" ca="1" si="1"/>
        <v>1.0812993625600897E-2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input_546100!A$2</f>
        <v>546100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IFERROR(VLOOKUP(B14,input_546100!L:R,7,FALSE),VLOOKUP(tables_546100!C14,input_546100!A:H,8,FALSE))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input_546100!A$2</f>
        <v>546100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IFERROR(VLOOKUP(B15,input_546100!L:R,7,FALSE),VLOOKUP(tables_546100!C15,input_546100!A:H,8,FALSE))</f>
        <v>1390983.5</v>
      </c>
      <c r="P15" s="46">
        <f t="shared" ca="1" si="1"/>
        <v>1.0812993625600897E-2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input_546100!A$2</f>
        <v>546100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IFERROR(VLOOKUP(B16,input_546100!L:R,7,FALSE),VLOOKUP(tables_546100!C16,input_546100!A:H,8,FALSE))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input_546100!A$2</f>
        <v>546100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IFERROR(VLOOKUP(B17,input_546100!L:R,7,FALSE),VLOOKUP(tables_546100!C17,input_546100!A:H,8,FALSE))</f>
        <v>1390983.5</v>
      </c>
      <c r="P17" s="46">
        <f t="shared" ca="1" si="1"/>
        <v>1.0812993625600897E-2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input_546100!A$2</f>
        <v>546100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IFERROR(VLOOKUP(B18,input_546100!L:R,7,FALSE),VLOOKUP(tables_546100!C18,input_546100!A:H,8,FALSE))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input_546100!A$2</f>
        <v>546100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IFERROR(VLOOKUP(B19,input_546100!L:R,7,FALSE),VLOOKUP(tables_546100!C19,input_546100!A:H,8,FALSE))</f>
        <v>1390983.5</v>
      </c>
      <c r="P19" s="46">
        <f t="shared" ca="1" si="1"/>
        <v>1.0812993625600897E-2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input_546100!A$2</f>
        <v>546100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IFERROR(VLOOKUP(B20,input_546100!L:R,7,FALSE),VLOOKUP(tables_546100!C20,input_546100!A:H,8,FALSE))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input_546100!A$2</f>
        <v>546100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IFERROR(VLOOKUP(B21,input_546100!L:R,7,FALSE),VLOOKUP(tables_546100!C21,input_546100!A:H,8,FALSE))</f>
        <v>1390983.5</v>
      </c>
      <c r="P21" s="46">
        <f t="shared" ca="1" si="1"/>
        <v>1.0812993625600897E-2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input_546100!A$2</f>
        <v>546100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IFERROR(VLOOKUP(B22,input_546100!L:R,7,FALSE),VLOOKUP(tables_546100!C22,input_546100!A:H,8,FALSE))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input_546100!A$2</f>
        <v>546100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IFERROR(VLOOKUP(B23,input_546100!L:R,7,FALSE),VLOOKUP(tables_546100!C23,input_546100!A:H,8,FALSE))</f>
        <v>1390983.5</v>
      </c>
      <c r="P23" s="46">
        <f t="shared" ca="1" si="1"/>
        <v>1.0812993625600897E-2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input_546100!A$2</f>
        <v>546100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IFERROR(VLOOKUP(B24,input_546100!L:R,7,FALSE),VLOOKUP(tables_546100!C24,input_546100!A:H,8,FALSE))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input_546100!A$2</f>
        <v>546100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IFERROR(VLOOKUP(B25,input_546100!L:R,7,FALSE),VLOOKUP(tables_546100!C25,input_546100!A:H,8,FALSE))</f>
        <v>1390983.5</v>
      </c>
      <c r="P25" s="46">
        <f t="shared" ca="1" si="1"/>
        <v>1.0812993625600897E-2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input_546100!A$2</f>
        <v>546100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IFERROR(VLOOKUP(B26,input_546100!L:R,7,FALSE),VLOOKUP(tables_546100!C26,input_546100!A:H,8,FALSE))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input_546100!A$2</f>
        <v>546100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IFERROR(VLOOKUP(B27,input_546100!L:R,7,FALSE),VLOOKUP(tables_546100!C27,input_546100!A:H,8,FALSE))</f>
        <v>1390983.5</v>
      </c>
      <c r="P27" s="46">
        <f t="shared" ca="1" si="1"/>
        <v>1.0812993625600897E-2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input_546100!A$2</f>
        <v>546100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IFERROR(VLOOKUP(B28,input_546100!L:R,7,FALSE),VLOOKUP(tables_546100!C28,input_546100!A:H,8,FALSE))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input_546100!A$2</f>
        <v>546100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IFERROR(VLOOKUP(B29,input_546100!L:R,7,FALSE),VLOOKUP(tables_546100!C29,input_546100!A:H,8,FALSE))</f>
        <v>1390983.5</v>
      </c>
      <c r="P29" s="46">
        <f t="shared" ca="1" si="1"/>
        <v>1.0812993625600897E-2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input_546100!A$2</f>
        <v>546100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IFERROR(VLOOKUP(B30,input_546100!L:R,7,FALSE),VLOOKUP(tables_546100!C30,input_546100!A:H,8,FALSE))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input_546100!A$2</f>
        <v>546100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IFERROR(VLOOKUP(B31,input_546100!L:R,7,FALSE),VLOOKUP(tables_546100!C31,input_546100!A:H,8,FALSE))</f>
        <v>1390983.5</v>
      </c>
      <c r="P31" s="46">
        <f t="shared" ca="1" si="1"/>
        <v>1.0812993625600897E-2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input_546100!A$2</f>
        <v>546100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IFERROR(VLOOKUP(B32,input_546100!L:R,7,FALSE),VLOOKUP(tables_546100!C32,input_546100!A:H,8,FALSE))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input_546100!A$2</f>
        <v>546100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IFERROR(VLOOKUP(B33,input_546100!L:R,7,FALSE),VLOOKUP(tables_546100!C33,input_546100!A:H,8,FALSE))</f>
        <v>1390983.5</v>
      </c>
      <c r="P33" s="46">
        <f t="shared" ca="1" si="1"/>
        <v>1.0812993625600897E-2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input_546100!A$2</f>
        <v>546100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IFERROR(VLOOKUP(B34,input_546100!L:R,7,FALSE),VLOOKUP(tables_546100!C34,input_546100!A:H,8,FALSE))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input_546100!A$2</f>
        <v>546100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IFERROR(VLOOKUP(B35,input_546100!L:R,7,FALSE),VLOOKUP(tables_546100!C35,input_546100!A:H,8,FALSE))</f>
        <v>1390983.5</v>
      </c>
      <c r="P35" s="46">
        <f t="shared" ca="1" si="1"/>
        <v>1.0812993625600897E-2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input_546100!A$2</f>
        <v>546100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IFERROR(VLOOKUP(B36,input_546100!L:R,7,FALSE),VLOOKUP(tables_546100!C36,input_546100!A:H,8,FALSE))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input_546100!A$2</f>
        <v>546100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IFERROR(VLOOKUP(B37,input_546100!L:R,7,FALSE),VLOOKUP(tables_546100!C37,input_546100!A:H,8,FALSE))</f>
        <v>1390983.5</v>
      </c>
      <c r="P37" s="46">
        <f t="shared" ca="1" si="1"/>
        <v>1.0812993625600897E-2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input_546100!A$2</f>
        <v>546100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IFERROR(VLOOKUP(B38,input_546100!L:R,7,FALSE),VLOOKUP(tables_546100!C38,input_546100!A:H,8,FALSE))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input_546100!A$2</f>
        <v>546100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IFERROR(VLOOKUP(B39,input_546100!L:R,7,FALSE),VLOOKUP(tables_546100!C39,input_546100!A:H,8,FALSE))</f>
        <v>1390983.5</v>
      </c>
      <c r="P39" s="46">
        <f t="shared" ca="1" si="1"/>
        <v>1.0812993625600897E-2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input_546100!A$2</f>
        <v>546100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IFERROR(VLOOKUP(B40,input_546100!L:R,7,FALSE),VLOOKUP(tables_546100!C40,input_546100!A:H,8,FALSE))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input_546100!A$2</f>
        <v>546100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IFERROR(VLOOKUP(B41,input_546100!L:R,7,FALSE),VLOOKUP(tables_546100!C41,input_546100!A:H,8,FALSE))</f>
        <v>1390983.5</v>
      </c>
      <c r="P41" s="46">
        <f t="shared" ca="1" si="1"/>
        <v>1.0812993625600897E-2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input_546100!A$2</f>
        <v>546100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IFERROR(VLOOKUP(B42,input_546100!L:R,7,FALSE),VLOOKUP(tables_546100!C42,input_546100!A:H,8,FALSE))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input_546100!A$2</f>
        <v>546100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IFERROR(VLOOKUP(B43,input_546100!L:R,7,FALSE),VLOOKUP(tables_546100!C43,input_546100!A:H,8,FALSE))</f>
        <v>1115550</v>
      </c>
      <c r="P43" s="46">
        <f t="shared" ca="1" si="1"/>
        <v>8.6718749999831635E-3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input_546100!A$2</f>
        <v>546100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IFERROR(VLOOKUP(B44,input_546100!L:R,7,FALSE),VLOOKUP(tables_546100!C44,input_546100!A:H,8,FALSE))</f>
        <v>61975</v>
      </c>
      <c r="P44" s="46">
        <f t="shared" ca="1" si="1"/>
        <v>4.81770833332398E-4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input_546100!A$2</f>
        <v>546100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IFERROR(VLOOKUP(B45,input_546100!L:R,7,FALSE),VLOOKUP(tables_546100!C45,input_546100!A:H,8,FALSE))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input_546100!A$2</f>
        <v>546100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IFERROR(VLOOKUP(B46,input_546100!L:R,7,FALSE),VLOOKUP(tables_546100!C46,input_546100!A:H,8,FALSE))</f>
        <v>1115550</v>
      </c>
      <c r="P46" s="46">
        <f t="shared" ca="1" si="1"/>
        <v>8.6718749999831635E-3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input_546100!A$2</f>
        <v>546100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IFERROR(VLOOKUP(B47,input_546100!L:R,7,FALSE),VLOOKUP(tables_546100!C47,input_546100!A:H,8,FALSE))</f>
        <v>61975</v>
      </c>
      <c r="P47" s="46">
        <f t="shared" ca="1" si="1"/>
        <v>4.81770833332398E-4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input_546100!A$2</f>
        <v>546100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IFERROR(VLOOKUP(B48,input_546100!L:R,7,FALSE),VLOOKUP(tables_546100!C48,input_546100!A:H,8,FALSE))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input_546100!A$2</f>
        <v>546100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IFERROR(VLOOKUP(B49,input_546100!L:R,7,FALSE),VLOOKUP(tables_546100!C49,input_546100!A:H,8,FALSE))</f>
        <v>1115550</v>
      </c>
      <c r="P49" s="46">
        <f t="shared" ca="1" si="1"/>
        <v>8.6718749999831635E-3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input_546100!A$2</f>
        <v>546100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IFERROR(VLOOKUP(B50,input_546100!L:R,7,FALSE),VLOOKUP(tables_546100!C50,input_546100!A:H,8,FALSE))</f>
        <v>61975</v>
      </c>
      <c r="P50" s="46">
        <f t="shared" ca="1" si="1"/>
        <v>4.81770833332398E-4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input_546100!A$2</f>
        <v>546100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IFERROR(VLOOKUP(B51,input_546100!L:R,7,FALSE),VLOOKUP(tables_546100!C51,input_546100!A:H,8,FALSE))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input_546100!A$2</f>
        <v>546100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IFERROR(VLOOKUP(B52,input_546100!L:R,7,FALSE),VLOOKUP(tables_546100!C52,input_546100!A:H,8,FALSE))</f>
        <v>1115550</v>
      </c>
      <c r="P52" s="46">
        <f t="shared" ca="1" si="1"/>
        <v>8.6718749999831635E-3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input_546100!A$2</f>
        <v>546100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IFERROR(VLOOKUP(B53,input_546100!L:R,7,FALSE),VLOOKUP(tables_546100!C53,input_546100!A:H,8,FALSE))</f>
        <v>70454.423079999993</v>
      </c>
      <c r="P53" s="46">
        <f t="shared" ca="1" si="1"/>
        <v>5.476867465785386E-4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input_546100!A$2</f>
        <v>546100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IFERROR(VLOOKUP(B54,input_546100!L:R,7,FALSE),VLOOKUP(tables_546100!C54,input_546100!A:H,8,FALSE))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input_546100!A$2</f>
        <v>546100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IFERROR(VLOOKUP(B55,input_546100!L:R,7,FALSE),VLOOKUP(tables_546100!C55,input_546100!A:H,8,FALSE))</f>
        <v>1115550</v>
      </c>
      <c r="P55" s="46">
        <f t="shared" ca="1" si="1"/>
        <v>8.6718749999831635E-3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input_546100!A$2</f>
        <v>546100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IFERROR(VLOOKUP(B56,input_546100!L:R,7,FALSE),VLOOKUP(tables_546100!C56,input_546100!A:H,8,FALSE))</f>
        <v>70454.423079999993</v>
      </c>
      <c r="P56" s="46">
        <f t="shared" ca="1" si="1"/>
        <v>5.476867465785386E-4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input_546100!A$2</f>
        <v>546100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IFERROR(VLOOKUP(B57,input_546100!L:R,7,FALSE),VLOOKUP(tables_546100!C57,input_546100!A:H,8,FALSE))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input_546100!A$2</f>
        <v>546100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IFERROR(VLOOKUP(B58,input_546100!L:R,7,FALSE),VLOOKUP(tables_546100!C58,input_546100!A:H,8,FALSE))</f>
        <v>1115550</v>
      </c>
      <c r="P58" s="46">
        <f t="shared" ca="1" si="1"/>
        <v>8.6718749999831635E-3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input_546100!A$2</f>
        <v>546100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IFERROR(VLOOKUP(B59,input_546100!L:R,7,FALSE),VLOOKUP(tables_546100!C59,input_546100!A:H,8,FALSE))</f>
        <v>70454.423079999993</v>
      </c>
      <c r="P59" s="46">
        <f t="shared" ca="1" si="1"/>
        <v>5.476867465785386E-4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input_546100!A$2</f>
        <v>546100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IFERROR(VLOOKUP(B60,input_546100!L:R,7,FALSE),VLOOKUP(tables_546100!C60,input_546100!A:H,8,FALSE))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input_546100!A$2</f>
        <v>546100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IFERROR(VLOOKUP(B61,input_546100!L:R,7,FALSE),VLOOKUP(tables_546100!C61,input_546100!A:H,8,FALSE))</f>
        <v>1115550</v>
      </c>
      <c r="P61" s="46">
        <f t="shared" ca="1" si="1"/>
        <v>8.6718749999831635E-3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input_546100!A$2</f>
        <v>546100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IFERROR(VLOOKUP(B62,input_546100!L:R,7,FALSE),VLOOKUP(tables_546100!C62,input_546100!A:H,8,FALSE))</f>
        <v>70454.423079999993</v>
      </c>
      <c r="P62" s="46">
        <f t="shared" ca="1" si="1"/>
        <v>5.476867465785386E-4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input_546100!A$2</f>
        <v>546100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IFERROR(VLOOKUP(B63,input_546100!L:R,7,FALSE),VLOOKUP(tables_546100!C63,input_546100!A:H,8,FALSE))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input_546100!A$2</f>
        <v>546100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IFERROR(VLOOKUP(B64,input_546100!L:R,7,FALSE),VLOOKUP(tables_546100!C64,input_546100!A:H,8,FALSE))</f>
        <v>1115550</v>
      </c>
      <c r="P64" s="46">
        <f t="shared" ca="1" si="1"/>
        <v>8.6718749999831635E-3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input_546100!A$2</f>
        <v>546100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IFERROR(VLOOKUP(B65,input_546100!L:R,7,FALSE),VLOOKUP(tables_546100!C65,input_546100!A:H,8,FALSE))</f>
        <v>70454.423079999993</v>
      </c>
      <c r="P65" s="46">
        <f t="shared" ca="1" si="1"/>
        <v>5.476867465785386E-4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input_546100!A$2</f>
        <v>546100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IFERROR(VLOOKUP(B66,input_546100!L:R,7,FALSE),VLOOKUP(tables_546100!C66,input_546100!A:H,8,FALSE))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input_546100!A$2</f>
        <v>546100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IFERROR(VLOOKUP(B67,input_546100!L:R,7,FALSE),VLOOKUP(tables_546100!C67,input_546100!A:H,8,FALSE))</f>
        <v>1115550</v>
      </c>
      <c r="P67" s="46">
        <f t="shared" ca="1" si="4"/>
        <v>8.6718749999831635E-3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input_546100!A$2</f>
        <v>546100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IFERROR(VLOOKUP(B68,input_546100!L:R,7,FALSE),VLOOKUP(tables_546100!C68,input_546100!A:H,8,FALSE))</f>
        <v>70454.423079999993</v>
      </c>
      <c r="P68" s="46">
        <f t="shared" ca="1" si="4"/>
        <v>5.476867465785386E-4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input_546100!A$2</f>
        <v>546100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IFERROR(VLOOKUP(B69,input_546100!L:R,7,FALSE),VLOOKUP(tables_546100!C69,input_546100!A:H,8,FALSE))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input_546100!A$2</f>
        <v>546100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IFERROR(VLOOKUP(B70,input_546100!L:R,7,FALSE),VLOOKUP(tables_546100!C70,input_546100!A:H,8,FALSE))</f>
        <v>1115550</v>
      </c>
      <c r="P70" s="46">
        <f t="shared" ca="1" si="4"/>
        <v>8.6718749999831635E-3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input_546100!A$2</f>
        <v>546100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IFERROR(VLOOKUP(B71,input_546100!L:R,7,FALSE),VLOOKUP(tables_546100!C71,input_546100!A:H,8,FALSE))</f>
        <v>70454.423079999993</v>
      </c>
      <c r="P71" s="46">
        <f t="shared" ca="1" si="4"/>
        <v>5.476867465785386E-4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input_546100!A$2</f>
        <v>546100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IFERROR(VLOOKUP(B72,input_546100!L:R,7,FALSE),VLOOKUP(tables_546100!C72,input_546100!A:H,8,FALSE))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input_546100!A$2</f>
        <v>546100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IFERROR(VLOOKUP(B73,input_546100!L:R,7,FALSE),VLOOKUP(tables_546100!C73,input_546100!A:H,8,FALSE))</f>
        <v>1115550</v>
      </c>
      <c r="P73" s="46">
        <f t="shared" ca="1" si="4"/>
        <v>8.6718749999831635E-3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input_546100!A$2</f>
        <v>546100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IFERROR(VLOOKUP(B74,input_546100!L:R,7,FALSE),VLOOKUP(tables_546100!C74,input_546100!A:H,8,FALSE))</f>
        <v>70454.423079999993</v>
      </c>
      <c r="P74" s="46">
        <f t="shared" ca="1" si="4"/>
        <v>5.476867465785386E-4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input_546100!A$2</f>
        <v>546100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IFERROR(VLOOKUP(B75,input_546100!L:R,7,FALSE),VLOOKUP(tables_546100!C75,input_546100!A:H,8,FALSE))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input_546100!A$2</f>
        <v>546100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IFERROR(VLOOKUP(B76,input_546100!L:R,7,FALSE),VLOOKUP(tables_546100!C76,input_546100!A:H,8,FALSE))</f>
        <v>1115550</v>
      </c>
      <c r="P76" s="46">
        <f t="shared" ca="1" si="4"/>
        <v>8.6718749999831635E-3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input_546100!A$2</f>
        <v>546100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IFERROR(VLOOKUP(B77,input_546100!L:R,7,FALSE),VLOOKUP(tables_546100!C77,input_546100!A:H,8,FALSE))</f>
        <v>70454.423079999993</v>
      </c>
      <c r="P77" s="46">
        <f t="shared" ca="1" si="4"/>
        <v>5.476867465785386E-4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input_546100!A$2</f>
        <v>546100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IFERROR(VLOOKUP(B78,input_546100!L:R,7,FALSE),VLOOKUP(tables_546100!C78,input_546100!A:H,8,FALSE))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input_546100!A$2</f>
        <v>546100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IFERROR(VLOOKUP(B79,input_546100!L:R,7,FALSE),VLOOKUP(tables_546100!C79,input_546100!A:H,8,FALSE))</f>
        <v>1115550</v>
      </c>
      <c r="P79" s="46">
        <f t="shared" ca="1" si="4"/>
        <v>8.6718749999831635E-3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input_546100!A$2</f>
        <v>546100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IFERROR(VLOOKUP(B80,input_546100!L:R,7,FALSE),VLOOKUP(tables_546100!C80,input_546100!A:H,8,FALSE))</f>
        <v>70454.423079999993</v>
      </c>
      <c r="P80" s="46">
        <f t="shared" ca="1" si="4"/>
        <v>5.476867465785386E-4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input_546100!A$2</f>
        <v>546100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IFERROR(VLOOKUP(B81,input_546100!L:R,7,FALSE),VLOOKUP(tables_546100!C81,input_546100!A:H,8,FALSE))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input_546100!A$2</f>
        <v>546100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IFERROR(VLOOKUP(B82,input_546100!L:R,7,FALSE),VLOOKUP(tables_546100!C82,input_546100!A:H,8,FALSE))</f>
        <v>1115550</v>
      </c>
      <c r="P82" s="46">
        <f t="shared" ca="1" si="4"/>
        <v>8.6718749999831635E-3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input_546100!A$2</f>
        <v>546100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IFERROR(VLOOKUP(B83,input_546100!L:R,7,FALSE),VLOOKUP(tables_546100!C83,input_546100!A:H,8,FALSE))</f>
        <v>70454.423079999993</v>
      </c>
      <c r="P83" s="46">
        <f t="shared" ca="1" si="4"/>
        <v>5.476867465785386E-4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input_546100!A$2</f>
        <v>546100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IFERROR(VLOOKUP(B84,input_546100!L:R,7,FALSE),VLOOKUP(tables_546100!C84,input_546100!A:H,8,FALSE))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input_546100!A$2</f>
        <v>546100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IFERROR(VLOOKUP(B85,input_546100!L:R,7,FALSE),VLOOKUP(tables_546100!C85,input_546100!A:H,8,FALSE))</f>
        <v>1115550</v>
      </c>
      <c r="P85" s="46">
        <f t="shared" ca="1" si="4"/>
        <v>8.6718749999831635E-3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input_546100!A$2</f>
        <v>546100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IFERROR(VLOOKUP(B86,input_546100!L:R,7,FALSE),VLOOKUP(tables_546100!C86,input_546100!A:H,8,FALSE))</f>
        <v>70454.423079999993</v>
      </c>
      <c r="P86" s="46">
        <f t="shared" ca="1" si="4"/>
        <v>5.476867465785386E-4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input_546100!A$2</f>
        <v>546100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IFERROR(VLOOKUP(B87,input_546100!L:R,7,FALSE),VLOOKUP(tables_546100!C87,input_546100!A:H,8,FALSE))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input_546100!A$2</f>
        <v>546100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IFERROR(VLOOKUP(B88,input_546100!L:R,7,FALSE),VLOOKUP(tables_546100!C88,input_546100!A:H,8,FALSE))</f>
        <v>1115550</v>
      </c>
      <c r="P88" s="46">
        <f t="shared" ca="1" si="4"/>
        <v>8.6718749999831635E-3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input_546100!A$2</f>
        <v>546100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IFERROR(VLOOKUP(B89,input_546100!L:R,7,FALSE),VLOOKUP(tables_546100!C89,input_546100!A:H,8,FALSE))</f>
        <v>70454.423079999993</v>
      </c>
      <c r="P89" s="46">
        <f t="shared" ca="1" si="4"/>
        <v>5.476867465785386E-4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input_546100!A$2</f>
        <v>546100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IFERROR(VLOOKUP(B90,input_546100!L:R,7,FALSE),VLOOKUP(tables_546100!C90,input_546100!A:H,8,FALSE))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input_546100!A$2</f>
        <v>546100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IFERROR(VLOOKUP(B91,input_546100!L:R,7,FALSE),VLOOKUP(tables_546100!C91,input_546100!A:H,8,FALSE))</f>
        <v>1115550</v>
      </c>
      <c r="P91" s="46">
        <f t="shared" ca="1" si="4"/>
        <v>8.6718749999831635E-3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input_546100!A$2</f>
        <v>546100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IFERROR(VLOOKUP(B92,input_546100!L:R,7,FALSE),VLOOKUP(tables_546100!C92,input_546100!A:H,8,FALSE))</f>
        <v>70454.423079999993</v>
      </c>
      <c r="P92" s="46">
        <f t="shared" ca="1" si="4"/>
        <v>5.476867465785386E-4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input_546100!A$2</f>
        <v>546100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IFERROR(VLOOKUP(B93,input_546100!L:R,7,FALSE),VLOOKUP(tables_546100!C93,input_546100!A:H,8,FALSE))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input_546100!A$2</f>
        <v>546100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IFERROR(VLOOKUP(B94,input_546100!L:R,7,FALSE),VLOOKUP(tables_546100!C94,input_546100!A:H,8,FALSE))</f>
        <v>1115550</v>
      </c>
      <c r="P94" s="46">
        <f t="shared" ca="1" si="4"/>
        <v>8.6718749999831635E-3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input_546100!A$2</f>
        <v>546100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IFERROR(VLOOKUP(B95,input_546100!L:R,7,FALSE),VLOOKUP(tables_546100!C95,input_546100!A:H,8,FALSE))</f>
        <v>70454.423079999993</v>
      </c>
      <c r="P95" s="46">
        <f t="shared" ca="1" si="4"/>
        <v>5.476867465785386E-4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input_546100!A$2</f>
        <v>546100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IFERROR(VLOOKUP(B96,input_546100!L:R,7,FALSE),VLOOKUP(tables_546100!C96,input_546100!A:H,8,FALSE))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input_546100!A$2</f>
        <v>546100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IFERROR(VLOOKUP(B97,input_546100!L:R,7,FALSE),VLOOKUP(tables_546100!C97,input_546100!A:H,8,FALSE))</f>
        <v>1115550</v>
      </c>
      <c r="P97" s="46">
        <f t="shared" ca="1" si="4"/>
        <v>8.6718749999831635E-3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input_546100!A$2</f>
        <v>546100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IFERROR(VLOOKUP(B98,input_546100!L:R,7,FALSE),VLOOKUP(tables_546100!C98,input_546100!A:H,8,FALSE))</f>
        <v>70454.423079999993</v>
      </c>
      <c r="P98" s="46">
        <f t="shared" ca="1" si="4"/>
        <v>5.476867465785386E-4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input_546100!A$2</f>
        <v>546100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IFERROR(VLOOKUP(B99,input_546100!L:R,7,FALSE),VLOOKUP(tables_546100!C99,input_546100!A:H,8,FALSE))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input_546100!A$2</f>
        <v>546100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IFERROR(VLOOKUP(B100,input_546100!L:R,7,FALSE),VLOOKUP(tables_546100!C100,input_546100!A:H,8,FALSE))</f>
        <v>1115550</v>
      </c>
      <c r="P100" s="46">
        <f t="shared" ca="1" si="4"/>
        <v>8.6718749999831635E-3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input_546100!A$2</f>
        <v>546100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IFERROR(VLOOKUP(B101,input_546100!L:R,7,FALSE),VLOOKUP(tables_546100!C101,input_546100!A:H,8,FALSE))</f>
        <v>70454.423079999993</v>
      </c>
      <c r="P101" s="46">
        <f t="shared" ca="1" si="4"/>
        <v>5.476867465785386E-4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input_546100!A$2</f>
        <v>546100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IFERROR(VLOOKUP(B102,input_546100!L:R,7,FALSE),VLOOKUP(tables_546100!C102,input_546100!A:H,8,FALSE))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input_546100!A$2</f>
        <v>546100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IFERROR(VLOOKUP(B103,input_546100!L:R,7,FALSE),VLOOKUP(tables_546100!C103,input_546100!A:H,8,FALSE))</f>
        <v>1115550</v>
      </c>
      <c r="P103" s="46">
        <f t="shared" ca="1" si="4"/>
        <v>8.6718749999831635E-3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input_546100!A$2</f>
        <v>546100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IFERROR(VLOOKUP(B104,input_546100!L:R,7,FALSE),VLOOKUP(tables_546100!C104,input_546100!A:H,8,FALSE))</f>
        <v>70454.423079999993</v>
      </c>
      <c r="P104" s="46">
        <f t="shared" ca="1" si="4"/>
        <v>5.476867465785386E-4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input_546100!A$2</f>
        <v>546100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IFERROR(VLOOKUP(B105,input_546100!L:R,7,FALSE),VLOOKUP(tables_546100!C105,input_546100!A:H,8,FALSE))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input_546100!A$2</f>
        <v>546100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IFERROR(VLOOKUP(B106,input_546100!L:R,7,FALSE),VLOOKUP(tables_546100!C106,input_546100!A:H,8,FALSE))</f>
        <v>1115550</v>
      </c>
      <c r="P106" s="46">
        <f t="shared" ca="1" si="4"/>
        <v>8.6718749999831635E-3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input_546100!A$2</f>
        <v>546100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IFERROR(VLOOKUP(B107,input_546100!L:R,7,FALSE),VLOOKUP(tables_546100!C107,input_546100!A:H,8,FALSE))</f>
        <v>70454.423079999993</v>
      </c>
      <c r="P107" s="46">
        <f t="shared" ca="1" si="4"/>
        <v>5.476867465785386E-4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input_546100!A$2</f>
        <v>546100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IFERROR(VLOOKUP(B108,input_546100!L:R,7,FALSE),VLOOKUP(tables_546100!C108,input_546100!A:H,8,FALSE))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input_546100!A$2</f>
        <v>546100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IFERROR(VLOOKUP(B109,input_546100!L:R,7,FALSE),VLOOKUP(tables_546100!C109,input_546100!A:H,8,FALSE))</f>
        <v>1115550</v>
      </c>
      <c r="P109" s="46">
        <f t="shared" ca="1" si="4"/>
        <v>8.6718749999831635E-3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input_546100!A$2</f>
        <v>546100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IFERROR(VLOOKUP(B110,input_546100!L:R,7,FALSE),VLOOKUP(tables_546100!C110,input_546100!A:H,8,FALSE))</f>
        <v>70454.423079999993</v>
      </c>
      <c r="P110" s="46">
        <f t="shared" ca="1" si="4"/>
        <v>5.476867465785386E-4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input_546100!A$2</f>
        <v>546100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IFERROR(VLOOKUP(B111,input_546100!L:R,7,FALSE),VLOOKUP(tables_546100!C111,input_546100!A:H,8,FALSE))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input_546100!A$2</f>
        <v>546100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IFERROR(VLOOKUP(B112,input_546100!L:R,7,FALSE),VLOOKUP(tables_546100!C112,input_546100!A:H,8,FALSE))</f>
        <v>1115550</v>
      </c>
      <c r="P112" s="46">
        <f t="shared" ca="1" si="4"/>
        <v>8.6718749999831635E-3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input_546100!A$2</f>
        <v>546100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IFERROR(VLOOKUP(B113,input_546100!L:R,7,FALSE),VLOOKUP(tables_546100!C113,input_546100!A:H,8,FALSE))</f>
        <v>61975</v>
      </c>
      <c r="P113" s="46">
        <f t="shared" ca="1" si="4"/>
        <v>4.81770833332398E-4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input_546100!A$2</f>
        <v>546100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IFERROR(VLOOKUP(B114,input_546100!L:R,7,FALSE),VLOOKUP(tables_546100!C114,input_546100!A:H,8,FALSE))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input_546100!A$2</f>
        <v>546100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IFERROR(VLOOKUP(B115,input_546100!L:R,7,FALSE),VLOOKUP(tables_546100!C115,input_546100!A:H,8,FALSE))</f>
        <v>1115550</v>
      </c>
      <c r="P115" s="46">
        <f t="shared" ca="1" si="4"/>
        <v>8.6718749999831635E-3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input_546100!A$2</f>
        <v>546100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IFERROR(VLOOKUP(B116,input_546100!L:R,7,FALSE),VLOOKUP(tables_546100!C116,input_546100!A:H,8,FALSE))</f>
        <v>70454.423079999993</v>
      </c>
      <c r="P116" s="46">
        <f t="shared" ca="1" si="4"/>
        <v>5.476867465785386E-4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input_546100!A$2</f>
        <v>546100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IFERROR(VLOOKUP(B117,input_546100!L:R,7,FALSE),VLOOKUP(tables_546100!C117,input_546100!A:H,8,FALSE))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input_546100!A$2</f>
        <v>546100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IFERROR(VLOOKUP(B118,input_546100!L:R,7,FALSE),VLOOKUP(tables_546100!C118,input_546100!A:H,8,FALSE))</f>
        <v>1115550</v>
      </c>
      <c r="P118" s="46">
        <f t="shared" ca="1" si="4"/>
        <v>8.6718749999831635E-3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input_546100!A$2</f>
        <v>546100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IFERROR(VLOOKUP(B119,input_546100!L:R,7,FALSE),VLOOKUP(tables_546100!C119,input_546100!A:H,8,FALSE))</f>
        <v>70454.423079999993</v>
      </c>
      <c r="P119" s="46">
        <f t="shared" ca="1" si="4"/>
        <v>5.476867465785386E-4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input_546100!A$2</f>
        <v>546100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IFERROR(VLOOKUP(B120,input_546100!L:R,7,FALSE),VLOOKUP(tables_546100!C120,input_546100!A:H,8,FALSE))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input_546100!A$2</f>
        <v>546100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IFERROR(VLOOKUP(B121,input_546100!L:R,7,FALSE),VLOOKUP(tables_546100!C121,input_546100!A:H,8,FALSE))</f>
        <v>1115550</v>
      </c>
      <c r="P121" s="46">
        <f t="shared" ca="1" si="4"/>
        <v>8.6718749999831635E-3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input_546100!A$2</f>
        <v>546100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IFERROR(VLOOKUP(B122,input_546100!L:R,7,FALSE),VLOOKUP(tables_546100!C122,input_546100!A:H,8,FALSE))</f>
        <v>70454.423079999993</v>
      </c>
      <c r="P122" s="46">
        <f t="shared" ca="1" si="4"/>
        <v>5.476867465785386E-4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input_546100!A$2</f>
        <v>546100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IFERROR(VLOOKUP(B123,input_546100!L:R,7,FALSE),VLOOKUP(tables_546100!C123,input_546100!A:H,8,FALSE))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input_546100!A$2</f>
        <v>546100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IFERROR(VLOOKUP(B124,input_546100!L:R,7,FALSE),VLOOKUP(tables_546100!C124,input_546100!A:H,8,FALSE))</f>
        <v>1115550</v>
      </c>
      <c r="P124" s="46">
        <f t="shared" ca="1" si="4"/>
        <v>8.6718749999831635E-3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input_546100!A$2</f>
        <v>546100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IFERROR(VLOOKUP(B125,input_546100!L:R,7,FALSE),VLOOKUP(tables_546100!C125,input_546100!A:H,8,FALSE))</f>
        <v>70454.423079999993</v>
      </c>
      <c r="P125" s="46">
        <f t="shared" ca="1" si="4"/>
        <v>5.476867465785386E-4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input_546100!A$2</f>
        <v>546100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IFERROR(VLOOKUP(B126,input_546100!L:R,7,FALSE),VLOOKUP(tables_546100!C126,input_546100!A:H,8,FALSE))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input_546100!A$2</f>
        <v>546100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IFERROR(VLOOKUP(B127,input_546100!L:R,7,FALSE),VLOOKUP(tables_546100!C127,input_546100!A:H,8,FALSE))</f>
        <v>1115550</v>
      </c>
      <c r="P127" s="46">
        <f t="shared" ca="1" si="4"/>
        <v>8.6718749999831635E-3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input_546100!A$2</f>
        <v>546100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IFERROR(VLOOKUP(B128,input_546100!L:R,7,FALSE),VLOOKUP(tables_546100!C128,input_546100!A:H,8,FALSE))</f>
        <v>70454.423079999993</v>
      </c>
      <c r="P128" s="46">
        <f t="shared" ca="1" si="4"/>
        <v>5.476867465785386E-4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input_546100!A$2</f>
        <v>546100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IFERROR(VLOOKUP(B129,input_546100!L:R,7,FALSE),VLOOKUP(tables_546100!C129,input_546100!A:H,8,FALSE))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input_546100!A$2</f>
        <v>546100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IFERROR(VLOOKUP(B130,input_546100!L:R,7,FALSE),VLOOKUP(tables_546100!C130,input_546100!A:H,8,FALSE))</f>
        <v>1115550</v>
      </c>
      <c r="P130" s="46">
        <f t="shared" ref="P130:P193" ca="1" si="7">O130/SUM(O:O)</f>
        <v>8.6718749999831635E-3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input_546100!A$2</f>
        <v>546100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IFERROR(VLOOKUP(B131,input_546100!L:R,7,FALSE),VLOOKUP(tables_546100!C131,input_546100!A:H,8,FALSE))</f>
        <v>70454.423079999993</v>
      </c>
      <c r="P131" s="46">
        <f t="shared" ca="1" si="7"/>
        <v>5.476867465785386E-4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input_546100!A$2</f>
        <v>546100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IFERROR(VLOOKUP(B132,input_546100!L:R,7,FALSE),VLOOKUP(tables_546100!C132,input_546100!A:H,8,FALSE))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input_546100!A$2</f>
        <v>546100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IFERROR(VLOOKUP(B133,input_546100!L:R,7,FALSE),VLOOKUP(tables_546100!C133,input_546100!A:H,8,FALSE))</f>
        <v>1115550</v>
      </c>
      <c r="P133" s="46">
        <f t="shared" ca="1" si="7"/>
        <v>8.6718749999831635E-3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input_546100!A$2</f>
        <v>546100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IFERROR(VLOOKUP(B134,input_546100!L:R,7,FALSE),VLOOKUP(tables_546100!C134,input_546100!A:H,8,FALSE))</f>
        <v>70454.423079999993</v>
      </c>
      <c r="P134" s="46">
        <f t="shared" ca="1" si="7"/>
        <v>5.476867465785386E-4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input_546100!A$2</f>
        <v>546100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IFERROR(VLOOKUP(B135,input_546100!L:R,7,FALSE),VLOOKUP(tables_546100!C135,input_546100!A:H,8,FALSE))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input_546100!A$2</f>
        <v>546100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IFERROR(VLOOKUP(B136,input_546100!L:R,7,FALSE),VLOOKUP(tables_546100!C136,input_546100!A:H,8,FALSE))</f>
        <v>1115550</v>
      </c>
      <c r="P136" s="46">
        <f t="shared" ca="1" si="7"/>
        <v>8.6718749999831635E-3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input_546100!A$2</f>
        <v>546100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IFERROR(VLOOKUP(B137,input_546100!L:R,7,FALSE),VLOOKUP(tables_546100!C137,input_546100!A:H,8,FALSE))</f>
        <v>70454.423079999993</v>
      </c>
      <c r="P137" s="46">
        <f t="shared" ca="1" si="7"/>
        <v>5.476867465785386E-4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input_546100!A$2</f>
        <v>546100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IFERROR(VLOOKUP(B138,input_546100!L:R,7,FALSE),VLOOKUP(tables_546100!C138,input_546100!A:H,8,FALSE))</f>
        <v>49706.666669999999</v>
      </c>
      <c r="P138" s="46">
        <f t="shared" ca="1" si="7"/>
        <v>3.864013267249961E-4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input_546100!A$2</f>
        <v>546100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IFERROR(VLOOKUP(B139,input_546100!L:R,7,FALSE),VLOOKUP(tables_546100!C139,input_546100!A:H,8,FALSE))</f>
        <v>8640</v>
      </c>
      <c r="P139" s="46">
        <f t="shared" ca="1" si="7"/>
        <v>6.7164179104347221E-5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input_546100!A$2</f>
        <v>546100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IFERROR(VLOOKUP(B140,input_546100!L:R,7,FALSE),VLOOKUP(tables_546100!C140,input_546100!A:H,8,FALSE))</f>
        <v>49706.666669999999</v>
      </c>
      <c r="P140" s="46">
        <f t="shared" ca="1" si="7"/>
        <v>3.864013267249961E-4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input_546100!A$2</f>
        <v>546100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IFERROR(VLOOKUP(B141,input_546100!L:R,7,FALSE),VLOOKUP(tables_546100!C141,input_546100!A:H,8,FALSE))</f>
        <v>8640</v>
      </c>
      <c r="P141" s="46">
        <f t="shared" ca="1" si="7"/>
        <v>6.7164179104347221E-5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input_546100!A$2</f>
        <v>546100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IFERROR(VLOOKUP(B142,input_546100!L:R,7,FALSE),VLOOKUP(tables_546100!C142,input_546100!A:H,8,FALSE))</f>
        <v>49706.666669999999</v>
      </c>
      <c r="P142" s="46">
        <f t="shared" ca="1" si="7"/>
        <v>3.864013267249961E-4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input_546100!A$2</f>
        <v>546100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IFERROR(VLOOKUP(B143,input_546100!L:R,7,FALSE),VLOOKUP(tables_546100!C143,input_546100!A:H,8,FALSE))</f>
        <v>8640</v>
      </c>
      <c r="P143" s="46">
        <f t="shared" ca="1" si="7"/>
        <v>6.7164179104347221E-5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input_546100!A$2</f>
        <v>546100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IFERROR(VLOOKUP(B144,input_546100!L:R,7,FALSE),VLOOKUP(tables_546100!C144,input_546100!A:H,8,FALSE))</f>
        <v>49706.666669999999</v>
      </c>
      <c r="P144" s="46">
        <f t="shared" ca="1" si="7"/>
        <v>3.864013267249961E-4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input_546100!A$2</f>
        <v>546100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IFERROR(VLOOKUP(B145,input_546100!L:R,7,FALSE),VLOOKUP(tables_546100!C145,input_546100!A:H,8,FALSE))</f>
        <v>8640</v>
      </c>
      <c r="P145" s="46">
        <f t="shared" ca="1" si="7"/>
        <v>6.7164179104347221E-5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input_546100!A$2</f>
        <v>546100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IFERROR(VLOOKUP(B146,input_546100!L:R,7,FALSE),VLOOKUP(tables_546100!C146,input_546100!A:H,8,FALSE))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input_546100!A$2</f>
        <v>546100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IFERROR(VLOOKUP(B147,input_546100!L:R,7,FALSE),VLOOKUP(tables_546100!C147,input_546100!A:H,8,FALSE))</f>
        <v>1115550</v>
      </c>
      <c r="P147" s="46">
        <f t="shared" ca="1" si="7"/>
        <v>8.6718749999831635E-3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input_546100!A$2</f>
        <v>546100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IFERROR(VLOOKUP(B148,input_546100!L:R,7,FALSE),VLOOKUP(tables_546100!C148,input_546100!A:H,8,FALSE))</f>
        <v>70454.423079999993</v>
      </c>
      <c r="P148" s="46">
        <f t="shared" ca="1" si="7"/>
        <v>5.476867465785386E-4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input_546100!A$2</f>
        <v>546100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IFERROR(VLOOKUP(B149,input_546100!L:R,7,FALSE),VLOOKUP(tables_546100!C149,input_546100!A:H,8,FALSE))</f>
        <v>49706.666669999999</v>
      </c>
      <c r="P149" s="46">
        <f t="shared" ca="1" si="7"/>
        <v>3.864013267249961E-4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input_546100!A$2</f>
        <v>546100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IFERROR(VLOOKUP(B150,input_546100!L:R,7,FALSE),VLOOKUP(tables_546100!C150,input_546100!A:H,8,FALSE))</f>
        <v>8640</v>
      </c>
      <c r="P150" s="46">
        <f t="shared" ca="1" si="7"/>
        <v>6.7164179104347221E-5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input_546100!A$2</f>
        <v>546100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IFERROR(VLOOKUP(B151,input_546100!L:R,7,FALSE),VLOOKUP(tables_546100!C151,input_546100!A:H,8,FALSE))</f>
        <v>49706.666669999999</v>
      </c>
      <c r="P151" s="46">
        <f t="shared" ca="1" si="7"/>
        <v>3.864013267249961E-4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input_546100!A$2</f>
        <v>546100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IFERROR(VLOOKUP(B152,input_546100!L:R,7,FALSE),VLOOKUP(tables_546100!C152,input_546100!A:H,8,FALSE))</f>
        <v>8640</v>
      </c>
      <c r="P152" s="46">
        <f t="shared" ca="1" si="7"/>
        <v>6.7164179104347221E-5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input_546100!A$2</f>
        <v>546100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IFERROR(VLOOKUP(B153,input_546100!L:R,7,FALSE),VLOOKUP(tables_546100!C153,input_546100!A:H,8,FALSE))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input_546100!A$2</f>
        <v>546100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IFERROR(VLOOKUP(B154,input_546100!L:R,7,FALSE),VLOOKUP(tables_546100!C154,input_546100!A:H,8,FALSE))</f>
        <v>1115550</v>
      </c>
      <c r="P154" s="46">
        <f t="shared" ca="1" si="7"/>
        <v>8.6718749999831635E-3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input_546100!A$2</f>
        <v>546100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IFERROR(VLOOKUP(B155,input_546100!L:R,7,FALSE),VLOOKUP(tables_546100!C155,input_546100!A:H,8,FALSE))</f>
        <v>70454.423079999993</v>
      </c>
      <c r="P155" s="46">
        <f t="shared" ca="1" si="7"/>
        <v>5.476867465785386E-4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input_546100!A$2</f>
        <v>546100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IFERROR(VLOOKUP(B156,input_546100!L:R,7,FALSE),VLOOKUP(tables_546100!C156,input_546100!A:H,8,FALSE))</f>
        <v>49706.666669999999</v>
      </c>
      <c r="P156" s="46">
        <f t="shared" ca="1" si="7"/>
        <v>3.864013267249961E-4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input_546100!A$2</f>
        <v>546100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IFERROR(VLOOKUP(B157,input_546100!L:R,7,FALSE),VLOOKUP(tables_546100!C157,input_546100!A:H,8,FALSE))</f>
        <v>8640</v>
      </c>
      <c r="P157" s="46">
        <f t="shared" ca="1" si="7"/>
        <v>6.7164179104347221E-5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input_546100!A$2</f>
        <v>546100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IFERROR(VLOOKUP(B158,input_546100!L:R,7,FALSE),VLOOKUP(tables_546100!C158,input_546100!A:H,8,FALSE))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input_546100!A$2</f>
        <v>546100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IFERROR(VLOOKUP(B159,input_546100!L:R,7,FALSE),VLOOKUP(tables_546100!C159,input_546100!A:H,8,FALSE))</f>
        <v>1115550</v>
      </c>
      <c r="P159" s="46">
        <f t="shared" ca="1" si="7"/>
        <v>8.6718749999831635E-3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input_546100!A$2</f>
        <v>546100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IFERROR(VLOOKUP(B160,input_546100!L:R,7,FALSE),VLOOKUP(tables_546100!C160,input_546100!A:H,8,FALSE))</f>
        <v>70454.423079999993</v>
      </c>
      <c r="P160" s="46">
        <f t="shared" ca="1" si="7"/>
        <v>5.476867465785386E-4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input_546100!A$2</f>
        <v>546100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IFERROR(VLOOKUP(B161,input_546100!L:R,7,FALSE),VLOOKUP(tables_546100!C161,input_546100!A:H,8,FALSE))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input_546100!A$2</f>
        <v>546100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IFERROR(VLOOKUP(B162,input_546100!L:R,7,FALSE),VLOOKUP(tables_546100!C162,input_546100!A:H,8,FALSE))</f>
        <v>1115550</v>
      </c>
      <c r="P162" s="46">
        <f t="shared" ca="1" si="7"/>
        <v>8.6718749999831635E-3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input_546100!A$2</f>
        <v>546100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IFERROR(VLOOKUP(B163,input_546100!L:R,7,FALSE),VLOOKUP(tables_546100!C163,input_546100!A:H,8,FALSE))</f>
        <v>70454.423079999993</v>
      </c>
      <c r="P163" s="46">
        <f t="shared" ca="1" si="7"/>
        <v>5.476867465785386E-4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input_546100!A$2</f>
        <v>546100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IFERROR(VLOOKUP(B164,input_546100!L:R,7,FALSE),VLOOKUP(tables_546100!C164,input_546100!A:H,8,FALSE))</f>
        <v>49706.666669999999</v>
      </c>
      <c r="P164" s="46">
        <f t="shared" ca="1" si="7"/>
        <v>3.864013267249961E-4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input_546100!A$2</f>
        <v>546100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IFERROR(VLOOKUP(B165,input_546100!L:R,7,FALSE),VLOOKUP(tables_546100!C165,input_546100!A:H,8,FALSE))</f>
        <v>8640</v>
      </c>
      <c r="P165" s="46">
        <f t="shared" ca="1" si="7"/>
        <v>6.7164179104347221E-5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input_546100!A$2</f>
        <v>546100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IFERROR(VLOOKUP(B166,input_546100!L:R,7,FALSE),VLOOKUP(tables_546100!C166,input_546100!A:H,8,FALSE))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input_546100!A$2</f>
        <v>546100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IFERROR(VLOOKUP(B167,input_546100!L:R,7,FALSE),VLOOKUP(tables_546100!C167,input_546100!A:H,8,FALSE))</f>
        <v>1115550</v>
      </c>
      <c r="P167" s="46">
        <f t="shared" ca="1" si="7"/>
        <v>8.6718749999831635E-3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input_546100!A$2</f>
        <v>546100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IFERROR(VLOOKUP(B168,input_546100!L:R,7,FALSE),VLOOKUP(tables_546100!C168,input_546100!A:H,8,FALSE))</f>
        <v>70454.423079999993</v>
      </c>
      <c r="P168" s="46">
        <f t="shared" ca="1" si="7"/>
        <v>5.476867465785386E-4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input_546100!A$2</f>
        <v>546100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IFERROR(VLOOKUP(B169,input_546100!L:R,7,FALSE),VLOOKUP(tables_546100!C169,input_546100!A:H,8,FALSE))</f>
        <v>49706.666669999999</v>
      </c>
      <c r="P169" s="46">
        <f t="shared" ca="1" si="7"/>
        <v>3.864013267249961E-4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input_546100!A$2</f>
        <v>546100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IFERROR(VLOOKUP(B170,input_546100!L:R,7,FALSE),VLOOKUP(tables_546100!C170,input_546100!A:H,8,FALSE))</f>
        <v>8640</v>
      </c>
      <c r="P170" s="46">
        <f t="shared" ca="1" si="7"/>
        <v>6.7164179104347221E-5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input_546100!A$2</f>
        <v>546100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IFERROR(VLOOKUP(B171,input_546100!L:R,7,FALSE),VLOOKUP(tables_546100!C171,input_546100!A:H,8,FALSE))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input_546100!A$2</f>
        <v>546100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IFERROR(VLOOKUP(B172,input_546100!L:R,7,FALSE),VLOOKUP(tables_546100!C172,input_546100!A:H,8,FALSE))</f>
        <v>1115550</v>
      </c>
      <c r="P172" s="46">
        <f t="shared" ca="1" si="7"/>
        <v>8.6718749999831635E-3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input_546100!A$2</f>
        <v>546100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IFERROR(VLOOKUP(B173,input_546100!L:R,7,FALSE),VLOOKUP(tables_546100!C173,input_546100!A:H,8,FALSE))</f>
        <v>70454.423079999993</v>
      </c>
      <c r="P173" s="46">
        <f t="shared" ca="1" si="7"/>
        <v>5.476867465785386E-4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input_546100!A$2</f>
        <v>546100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IFERROR(VLOOKUP(B174,input_546100!L:R,7,FALSE),VLOOKUP(tables_546100!C174,input_546100!A:H,8,FALSE))</f>
        <v>49706.666669999999</v>
      </c>
      <c r="P174" s="46">
        <f t="shared" ca="1" si="7"/>
        <v>3.864013267249961E-4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input_546100!A$2</f>
        <v>546100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IFERROR(VLOOKUP(B175,input_546100!L:R,7,FALSE),VLOOKUP(tables_546100!C175,input_546100!A:H,8,FALSE))</f>
        <v>8640</v>
      </c>
      <c r="P175" s="46">
        <f t="shared" ca="1" si="7"/>
        <v>6.7164179104347221E-5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input_546100!A$2</f>
        <v>546100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IFERROR(VLOOKUP(B176,input_546100!L:R,7,FALSE),VLOOKUP(tables_546100!C176,input_546100!A:H,8,FALSE))</f>
        <v>964800</v>
      </c>
      <c r="P176" s="46">
        <f t="shared" ca="1" si="7"/>
        <v>7.4999999999854393E-3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input_546100!A$2</f>
        <v>546100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IFERROR(VLOOKUP(B177,input_546100!L:R,7,FALSE),VLOOKUP(tables_546100!C177,input_546100!A:H,8,FALSE))</f>
        <v>964800</v>
      </c>
      <c r="P177" s="46">
        <f t="shared" ca="1" si="7"/>
        <v>7.4999999999854393E-3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input_546100!A$2</f>
        <v>546100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IFERROR(VLOOKUP(B178,input_546100!L:R,7,FALSE),VLOOKUP(tables_546100!C178,input_546100!A:H,8,FALSE))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input_546100!A$2</f>
        <v>546100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IFERROR(VLOOKUP(B179,input_546100!L:R,7,FALSE),VLOOKUP(tables_546100!C179,input_546100!A:H,8,FALSE))</f>
        <v>1115550</v>
      </c>
      <c r="P179" s="46">
        <f t="shared" ca="1" si="7"/>
        <v>8.6718749999831635E-3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input_546100!A$2</f>
        <v>546100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IFERROR(VLOOKUP(B180,input_546100!L:R,7,FALSE),VLOOKUP(tables_546100!C180,input_546100!A:H,8,FALSE))</f>
        <v>70454.423079999993</v>
      </c>
      <c r="P180" s="46">
        <f t="shared" ca="1" si="7"/>
        <v>5.476867465785386E-4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input_546100!A$2</f>
        <v>546100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IFERROR(VLOOKUP(B181,input_546100!L:R,7,FALSE),VLOOKUP(tables_546100!C181,input_546100!A:H,8,FALSE))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input_546100!A$2</f>
        <v>546100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IFERROR(VLOOKUP(B182,input_546100!L:R,7,FALSE),VLOOKUP(tables_546100!C182,input_546100!A:H,8,FALSE))</f>
        <v>1115550</v>
      </c>
      <c r="P182" s="46">
        <f t="shared" ca="1" si="7"/>
        <v>8.6718749999831635E-3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input_546100!A$2</f>
        <v>546100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IFERROR(VLOOKUP(B183,input_546100!L:R,7,FALSE),VLOOKUP(tables_546100!C183,input_546100!A:H,8,FALSE))</f>
        <v>70454.423079999993</v>
      </c>
      <c r="P183" s="46">
        <f t="shared" ca="1" si="7"/>
        <v>5.476867465785386E-4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input_546100!A$2</f>
        <v>546100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IFERROR(VLOOKUP(B184,input_546100!L:R,7,FALSE),VLOOKUP(tables_546100!C184,input_546100!A:H,8,FALSE))</f>
        <v>49706.666669999999</v>
      </c>
      <c r="P184" s="46">
        <f t="shared" ca="1" si="7"/>
        <v>3.864013267249961E-4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input_546100!A$2</f>
        <v>546100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IFERROR(VLOOKUP(B185,input_546100!L:R,7,FALSE),VLOOKUP(tables_546100!C185,input_546100!A:H,8,FALSE))</f>
        <v>8640</v>
      </c>
      <c r="P185" s="46">
        <f t="shared" ca="1" si="7"/>
        <v>6.7164179104347221E-5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input_546100!A$2</f>
        <v>546100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IFERROR(VLOOKUP(B186,input_546100!L:R,7,FALSE),VLOOKUP(tables_546100!C186,input_546100!A:H,8,FALSE))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input_546100!A$2</f>
        <v>546100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IFERROR(VLOOKUP(B187,input_546100!L:R,7,FALSE),VLOOKUP(tables_546100!C187,input_546100!A:H,8,FALSE))</f>
        <v>1115550</v>
      </c>
      <c r="P187" s="46">
        <f t="shared" ca="1" si="7"/>
        <v>8.6718749999831635E-3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input_546100!A$2</f>
        <v>546100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IFERROR(VLOOKUP(B188,input_546100!L:R,7,FALSE),VLOOKUP(tables_546100!C188,input_546100!A:H,8,FALSE))</f>
        <v>70454.423079999993</v>
      </c>
      <c r="P188" s="46">
        <f t="shared" ca="1" si="7"/>
        <v>5.476867465785386E-4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input_546100!A$2</f>
        <v>546100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IFERROR(VLOOKUP(B189,input_546100!L:R,7,FALSE),VLOOKUP(tables_546100!C189,input_546100!A:H,8,FALSE))</f>
        <v>49706.666669999999</v>
      </c>
      <c r="P189" s="46">
        <f t="shared" ca="1" si="7"/>
        <v>3.864013267249961E-4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input_546100!A$2</f>
        <v>546100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IFERROR(VLOOKUP(B190,input_546100!L:R,7,FALSE),VLOOKUP(tables_546100!C190,input_546100!A:H,8,FALSE))</f>
        <v>8640</v>
      </c>
      <c r="P190" s="46">
        <f t="shared" ca="1" si="7"/>
        <v>6.7164179104347221E-5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input_546100!A$2</f>
        <v>546100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IFERROR(VLOOKUP(B191,input_546100!L:R,7,FALSE),VLOOKUP(tables_546100!C191,input_546100!A:H,8,FALSE))</f>
        <v>49706.666669999999</v>
      </c>
      <c r="P191" s="46">
        <f t="shared" ca="1" si="7"/>
        <v>3.864013267249961E-4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input_546100!A$2</f>
        <v>546100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IFERROR(VLOOKUP(B192,input_546100!L:R,7,FALSE),VLOOKUP(tables_546100!C192,input_546100!A:H,8,FALSE))</f>
        <v>8640</v>
      </c>
      <c r="P192" s="46">
        <f t="shared" ca="1" si="7"/>
        <v>6.7164179104347221E-5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input_546100!A$2</f>
        <v>546100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IFERROR(VLOOKUP(B193,input_546100!L:R,7,FALSE),VLOOKUP(tables_546100!C193,input_546100!A:H,8,FALSE))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input_546100!A$2</f>
        <v>546100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IFERROR(VLOOKUP(B194,input_546100!L:R,7,FALSE),VLOOKUP(tables_546100!C194,input_546100!A:H,8,FALSE))</f>
        <v>1115550</v>
      </c>
      <c r="P194" s="46">
        <f t="shared" ref="P194:P257" ca="1" si="10">O194/SUM(O:O)</f>
        <v>8.6718749999831635E-3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input_546100!A$2</f>
        <v>546100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IFERROR(VLOOKUP(B195,input_546100!L:R,7,FALSE),VLOOKUP(tables_546100!C195,input_546100!A:H,8,FALSE))</f>
        <v>70454.423079999993</v>
      </c>
      <c r="P195" s="46">
        <f t="shared" ca="1" si="10"/>
        <v>5.476867465785386E-4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input_546100!A$2</f>
        <v>546100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IFERROR(VLOOKUP(B196,input_546100!L:R,7,FALSE),VLOOKUP(tables_546100!C196,input_546100!A:H,8,FALSE))</f>
        <v>49706.666669999999</v>
      </c>
      <c r="P196" s="46">
        <f t="shared" ca="1" si="10"/>
        <v>3.864013267249961E-4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input_546100!A$2</f>
        <v>546100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IFERROR(VLOOKUP(B197,input_546100!L:R,7,FALSE),VLOOKUP(tables_546100!C197,input_546100!A:H,8,FALSE))</f>
        <v>8640</v>
      </c>
      <c r="P197" s="46">
        <f t="shared" ca="1" si="10"/>
        <v>6.7164179104347221E-5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input_546100!A$2</f>
        <v>546100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IFERROR(VLOOKUP(B198,input_546100!L:R,7,FALSE),VLOOKUP(tables_546100!C198,input_546100!A:H,8,FALSE))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input_546100!A$2</f>
        <v>546100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IFERROR(VLOOKUP(B199,input_546100!L:R,7,FALSE),VLOOKUP(tables_546100!C199,input_546100!A:H,8,FALSE))</f>
        <v>1115550</v>
      </c>
      <c r="P199" s="46">
        <f t="shared" ca="1" si="10"/>
        <v>8.6718749999831635E-3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input_546100!A$2</f>
        <v>546100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IFERROR(VLOOKUP(B200,input_546100!L:R,7,FALSE),VLOOKUP(tables_546100!C200,input_546100!A:H,8,FALSE))</f>
        <v>70454.423079999993</v>
      </c>
      <c r="P200" s="46">
        <f t="shared" ca="1" si="10"/>
        <v>5.476867465785386E-4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input_546100!A$2</f>
        <v>546100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IFERROR(VLOOKUP(B201,input_546100!L:R,7,FALSE),VLOOKUP(tables_546100!C201,input_546100!A:H,8,FALSE))</f>
        <v>49706.666669999999</v>
      </c>
      <c r="P201" s="46">
        <f t="shared" ca="1" si="10"/>
        <v>3.864013267249961E-4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input_546100!A$2</f>
        <v>546100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IFERROR(VLOOKUP(B202,input_546100!L:R,7,FALSE),VLOOKUP(tables_546100!C202,input_546100!A:H,8,FALSE))</f>
        <v>8640</v>
      </c>
      <c r="P202" s="46">
        <f t="shared" ca="1" si="10"/>
        <v>6.7164179104347221E-5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input_546100!A$2</f>
        <v>546100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IFERROR(VLOOKUP(B203,input_546100!L:R,7,FALSE),VLOOKUP(tables_546100!C203,input_546100!A:H,8,FALSE))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input_546100!A$2</f>
        <v>546100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IFERROR(VLOOKUP(B204,input_546100!L:R,7,FALSE),VLOOKUP(tables_546100!C204,input_546100!A:H,8,FALSE))</f>
        <v>1115550</v>
      </c>
      <c r="P204" s="46">
        <f t="shared" ca="1" si="10"/>
        <v>8.6718749999831635E-3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input_546100!A$2</f>
        <v>546100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IFERROR(VLOOKUP(B205,input_546100!L:R,7,FALSE),VLOOKUP(tables_546100!C205,input_546100!A:H,8,FALSE))</f>
        <v>70454.423079999993</v>
      </c>
      <c r="P205" s="46">
        <f t="shared" ca="1" si="10"/>
        <v>5.476867465785386E-4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input_546100!A$2</f>
        <v>546100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IFERROR(VLOOKUP(B206,input_546100!L:R,7,FALSE),VLOOKUP(tables_546100!C206,input_546100!A:H,8,FALSE))</f>
        <v>49706.666669999999</v>
      </c>
      <c r="P206" s="46">
        <f t="shared" ca="1" si="10"/>
        <v>3.864013267249961E-4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input_546100!A$2</f>
        <v>546100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IFERROR(VLOOKUP(B207,input_546100!L:R,7,FALSE),VLOOKUP(tables_546100!C207,input_546100!A:H,8,FALSE))</f>
        <v>8640</v>
      </c>
      <c r="P207" s="46">
        <f t="shared" ca="1" si="10"/>
        <v>6.7164179104347221E-5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input_546100!A$2</f>
        <v>546100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IFERROR(VLOOKUP(B208,input_546100!L:R,7,FALSE),VLOOKUP(tables_546100!C208,input_546100!A:H,8,FALSE))</f>
        <v>49706.666669999999</v>
      </c>
      <c r="P208" s="46">
        <f t="shared" ca="1" si="10"/>
        <v>3.864013267249961E-4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input_546100!A$2</f>
        <v>546100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IFERROR(VLOOKUP(B209,input_546100!L:R,7,FALSE),VLOOKUP(tables_546100!C209,input_546100!A:H,8,FALSE))</f>
        <v>8640</v>
      </c>
      <c r="P209" s="46">
        <f t="shared" ca="1" si="10"/>
        <v>6.7164179104347221E-5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input_546100!A$2</f>
        <v>546100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IFERROR(VLOOKUP(B210,input_546100!L:R,7,FALSE),VLOOKUP(tables_546100!C210,input_546100!A:H,8,FALSE))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input_546100!A$2</f>
        <v>546100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IFERROR(VLOOKUP(B211,input_546100!L:R,7,FALSE),VLOOKUP(tables_546100!C211,input_546100!A:H,8,FALSE))</f>
        <v>1115550</v>
      </c>
      <c r="P211" s="46">
        <f t="shared" ca="1" si="10"/>
        <v>8.6718749999831635E-3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input_546100!A$2</f>
        <v>546100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IFERROR(VLOOKUP(B212,input_546100!L:R,7,FALSE),VLOOKUP(tables_546100!C212,input_546100!A:H,8,FALSE))</f>
        <v>70454.423079999993</v>
      </c>
      <c r="P212" s="46">
        <f t="shared" ca="1" si="10"/>
        <v>5.476867465785386E-4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input_546100!A$2</f>
        <v>546100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IFERROR(VLOOKUP(B213,input_546100!L:R,7,FALSE),VLOOKUP(tables_546100!C213,input_546100!A:H,8,FALSE))</f>
        <v>49706.666669999999</v>
      </c>
      <c r="P213" s="46">
        <f t="shared" ca="1" si="10"/>
        <v>3.864013267249961E-4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input_546100!A$2</f>
        <v>546100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IFERROR(VLOOKUP(B214,input_546100!L:R,7,FALSE),VLOOKUP(tables_546100!C214,input_546100!A:H,8,FALSE))</f>
        <v>8640</v>
      </c>
      <c r="P214" s="46">
        <f t="shared" ca="1" si="10"/>
        <v>6.7164179104347221E-5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input_546100!A$2</f>
        <v>546100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IFERROR(VLOOKUP(B215,input_546100!L:R,7,FALSE),VLOOKUP(tables_546100!C215,input_546100!A:H,8,FALSE))</f>
        <v>61975</v>
      </c>
      <c r="P215" s="46">
        <f t="shared" ca="1" si="10"/>
        <v>4.81770833332398E-4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input_546100!A$2</f>
        <v>546100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IFERROR(VLOOKUP(B216,input_546100!L:R,7,FALSE),VLOOKUP(tables_546100!C216,input_546100!A:H,8,FALSE))</f>
        <v>61975</v>
      </c>
      <c r="P216" s="46">
        <f t="shared" ca="1" si="10"/>
        <v>4.81770833332398E-4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input_546100!A$2</f>
        <v>546100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IFERROR(VLOOKUP(B217,input_546100!L:R,7,FALSE),VLOOKUP(tables_546100!C217,input_546100!A:H,8,FALSE))</f>
        <v>61975</v>
      </c>
      <c r="P217" s="46">
        <f t="shared" ca="1" si="10"/>
        <v>4.81770833332398E-4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input_546100!A$2</f>
        <v>546100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IFERROR(VLOOKUP(B218,input_546100!L:R,7,FALSE),VLOOKUP(tables_546100!C218,input_546100!A:H,8,FALSE))</f>
        <v>61975</v>
      </c>
      <c r="P218" s="46">
        <f t="shared" ca="1" si="10"/>
        <v>4.81770833332398E-4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input_546100!A$2</f>
        <v>546100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IFERROR(VLOOKUP(B219,input_546100!L:R,7,FALSE),VLOOKUP(tables_546100!C219,input_546100!A:H,8,FALSE))</f>
        <v>61975</v>
      </c>
      <c r="P219" s="46">
        <f t="shared" ca="1" si="10"/>
        <v>4.81770833332398E-4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input_546100!A$2</f>
        <v>546100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IFERROR(VLOOKUP(B220,input_546100!L:R,7,FALSE),VLOOKUP(tables_546100!C220,input_546100!A:H,8,FALSE))</f>
        <v>61975</v>
      </c>
      <c r="P220" s="46">
        <f t="shared" ca="1" si="10"/>
        <v>4.81770833332398E-4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input_546100!A$2</f>
        <v>546100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IFERROR(VLOOKUP(B221,input_546100!L:R,7,FALSE),VLOOKUP(tables_546100!C221,input_546100!A:H,8,FALSE))</f>
        <v>49706.666669999999</v>
      </c>
      <c r="P221" s="46">
        <f t="shared" ca="1" si="10"/>
        <v>3.864013267249961E-4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input_546100!A$2</f>
        <v>546100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IFERROR(VLOOKUP(B222,input_546100!L:R,7,FALSE),VLOOKUP(tables_546100!C222,input_546100!A:H,8,FALSE))</f>
        <v>8640</v>
      </c>
      <c r="P222" s="46">
        <f t="shared" ca="1" si="10"/>
        <v>6.7164179104347221E-5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input_546100!A$2</f>
        <v>546100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IFERROR(VLOOKUP(B223,input_546100!L:R,7,FALSE),VLOOKUP(tables_546100!C223,input_546100!A:H,8,FALSE))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input_546100!A$2</f>
        <v>546100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IFERROR(VLOOKUP(B224,input_546100!L:R,7,FALSE),VLOOKUP(tables_546100!C224,input_546100!A:H,8,FALSE))</f>
        <v>1115550</v>
      </c>
      <c r="P224" s="46">
        <f t="shared" ca="1" si="10"/>
        <v>8.6718749999831635E-3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input_546100!A$2</f>
        <v>546100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IFERROR(VLOOKUP(B225,input_546100!L:R,7,FALSE),VLOOKUP(tables_546100!C225,input_546100!A:H,8,FALSE))</f>
        <v>70454.423079999993</v>
      </c>
      <c r="P225" s="46">
        <f t="shared" ca="1" si="10"/>
        <v>5.476867465785386E-4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input_546100!A$2</f>
        <v>546100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IFERROR(VLOOKUP(B226,input_546100!L:R,7,FALSE),VLOOKUP(tables_546100!C226,input_546100!A:H,8,FALSE))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input_546100!A$2</f>
        <v>546100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IFERROR(VLOOKUP(B227,input_546100!L:R,7,FALSE),VLOOKUP(tables_546100!C227,input_546100!A:H,8,FALSE))</f>
        <v>1115550</v>
      </c>
      <c r="P227" s="46">
        <f t="shared" ca="1" si="10"/>
        <v>8.6718749999831635E-3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input_546100!A$2</f>
        <v>546100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IFERROR(VLOOKUP(B228,input_546100!L:R,7,FALSE),VLOOKUP(tables_546100!C228,input_546100!A:H,8,FALSE))</f>
        <v>70454.423079999993</v>
      </c>
      <c r="P228" s="46">
        <f t="shared" ca="1" si="10"/>
        <v>5.476867465785386E-4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input_546100!A$2</f>
        <v>546100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IFERROR(VLOOKUP(B229,input_546100!L:R,7,FALSE),VLOOKUP(tables_546100!C229,input_546100!A:H,8,FALSE))</f>
        <v>49706.666669999999</v>
      </c>
      <c r="P229" s="46">
        <f t="shared" ca="1" si="10"/>
        <v>3.864013267249961E-4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input_546100!A$2</f>
        <v>546100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IFERROR(VLOOKUP(B230,input_546100!L:R,7,FALSE),VLOOKUP(tables_546100!C230,input_546100!A:H,8,FALSE))</f>
        <v>8640</v>
      </c>
      <c r="P230" s="46">
        <f t="shared" ca="1" si="10"/>
        <v>6.7164179104347221E-5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input_546100!A$2</f>
        <v>546100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IFERROR(VLOOKUP(B231,input_546100!L:R,7,FALSE),VLOOKUP(tables_546100!C231,input_546100!A:H,8,FALSE))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input_546100!A$2</f>
        <v>546100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IFERROR(VLOOKUP(B232,input_546100!L:R,7,FALSE),VLOOKUP(tables_546100!C232,input_546100!A:H,8,FALSE))</f>
        <v>1115550</v>
      </c>
      <c r="P232" s="46">
        <f t="shared" ca="1" si="10"/>
        <v>8.6718749999831635E-3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input_546100!A$2</f>
        <v>546100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IFERROR(VLOOKUP(B233,input_546100!L:R,7,FALSE),VLOOKUP(tables_546100!C233,input_546100!A:H,8,FALSE))</f>
        <v>70454.423079999993</v>
      </c>
      <c r="P233" s="46">
        <f t="shared" ca="1" si="10"/>
        <v>5.476867465785386E-4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input_546100!A$2</f>
        <v>546100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IFERROR(VLOOKUP(B234,input_546100!L:R,7,FALSE),VLOOKUP(tables_546100!C234,input_546100!A:H,8,FALSE))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input_546100!A$2</f>
        <v>546100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IFERROR(VLOOKUP(B235,input_546100!L:R,7,FALSE),VLOOKUP(tables_546100!C235,input_546100!A:H,8,FALSE))</f>
        <v>1115550</v>
      </c>
      <c r="P235" s="46">
        <f t="shared" ca="1" si="10"/>
        <v>8.6718749999831635E-3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input_546100!A$2</f>
        <v>546100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IFERROR(VLOOKUP(B236,input_546100!L:R,7,FALSE),VLOOKUP(tables_546100!C236,input_546100!A:H,8,FALSE))</f>
        <v>70454.423079999993</v>
      </c>
      <c r="P236" s="46">
        <f t="shared" ca="1" si="10"/>
        <v>5.476867465785386E-4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input_546100!A$2</f>
        <v>546100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IFERROR(VLOOKUP(B237,input_546100!L:R,7,FALSE),VLOOKUP(tables_546100!C237,input_546100!A:H,8,FALSE))</f>
        <v>49706.666669999999</v>
      </c>
      <c r="P237" s="46">
        <f t="shared" ca="1" si="10"/>
        <v>3.864013267249961E-4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input_546100!A$2</f>
        <v>546100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IFERROR(VLOOKUP(B238,input_546100!L:R,7,FALSE),VLOOKUP(tables_546100!C238,input_546100!A:H,8,FALSE))</f>
        <v>8640</v>
      </c>
      <c r="P238" s="46">
        <f t="shared" ca="1" si="10"/>
        <v>6.7164179104347221E-5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input_546100!A$2</f>
        <v>546100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IFERROR(VLOOKUP(B239,input_546100!L:R,7,FALSE),VLOOKUP(tables_546100!C239,input_546100!A:H,8,FALSE))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input_546100!A$2</f>
        <v>546100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IFERROR(VLOOKUP(B240,input_546100!L:R,7,FALSE),VLOOKUP(tables_546100!C240,input_546100!A:H,8,FALSE))</f>
        <v>1115550</v>
      </c>
      <c r="P240" s="46">
        <f t="shared" ca="1" si="10"/>
        <v>8.6718749999831635E-3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input_546100!A$2</f>
        <v>546100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IFERROR(VLOOKUP(B241,input_546100!L:R,7,FALSE),VLOOKUP(tables_546100!C241,input_546100!A:H,8,FALSE))</f>
        <v>70454.423079999993</v>
      </c>
      <c r="P241" s="46">
        <f t="shared" ca="1" si="10"/>
        <v>5.476867465785386E-4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input_546100!A$2</f>
        <v>546100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IFERROR(VLOOKUP(B242,input_546100!L:R,7,FALSE),VLOOKUP(tables_546100!C242,input_546100!A:H,8,FALSE))</f>
        <v>49706.666669999999</v>
      </c>
      <c r="P242" s="46">
        <f t="shared" ca="1" si="10"/>
        <v>3.864013267249961E-4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input_546100!A$2</f>
        <v>546100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IFERROR(VLOOKUP(B243,input_546100!L:R,7,FALSE),VLOOKUP(tables_546100!C243,input_546100!A:H,8,FALSE))</f>
        <v>8640</v>
      </c>
      <c r="P243" s="46">
        <f t="shared" ca="1" si="10"/>
        <v>6.7164179104347221E-5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input_546100!A$2</f>
        <v>546100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IFERROR(VLOOKUP(B244,input_546100!L:R,7,FALSE),VLOOKUP(tables_546100!C244,input_546100!A:H,8,FALSE))</f>
        <v>49706.666669999999</v>
      </c>
      <c r="P244" s="46">
        <f t="shared" ca="1" si="10"/>
        <v>3.864013267249961E-4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input_546100!A$2</f>
        <v>546100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IFERROR(VLOOKUP(B245,input_546100!L:R,7,FALSE),VLOOKUP(tables_546100!C245,input_546100!A:H,8,FALSE))</f>
        <v>8640</v>
      </c>
      <c r="P245" s="46">
        <f t="shared" ca="1" si="10"/>
        <v>6.7164179104347221E-5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input_546100!A$2</f>
        <v>546100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IFERROR(VLOOKUP(B246,input_546100!L:R,7,FALSE),VLOOKUP(tables_546100!C246,input_546100!A:H,8,FALSE))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input_546100!A$2</f>
        <v>546100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IFERROR(VLOOKUP(B247,input_546100!L:R,7,FALSE),VLOOKUP(tables_546100!C247,input_546100!A:H,8,FALSE))</f>
        <v>1115550</v>
      </c>
      <c r="P247" s="46">
        <f t="shared" ca="1" si="10"/>
        <v>8.6718749999831635E-3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input_546100!A$2</f>
        <v>546100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IFERROR(VLOOKUP(B248,input_546100!L:R,7,FALSE),VLOOKUP(tables_546100!C248,input_546100!A:H,8,FALSE))</f>
        <v>70454.423079999993</v>
      </c>
      <c r="P248" s="46">
        <f t="shared" ca="1" si="10"/>
        <v>5.476867465785386E-4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input_546100!A$2</f>
        <v>546100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IFERROR(VLOOKUP(B249,input_546100!L:R,7,FALSE),VLOOKUP(tables_546100!C249,input_546100!A:H,8,FALSE))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input_546100!A$2</f>
        <v>546100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IFERROR(VLOOKUP(B250,input_546100!L:R,7,FALSE),VLOOKUP(tables_546100!C250,input_546100!A:H,8,FALSE))</f>
        <v>1115550</v>
      </c>
      <c r="P250" s="46">
        <f t="shared" ca="1" si="10"/>
        <v>8.6718749999831635E-3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input_546100!A$2</f>
        <v>546100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IFERROR(VLOOKUP(B251,input_546100!L:R,7,FALSE),VLOOKUP(tables_546100!C251,input_546100!A:H,8,FALSE))</f>
        <v>70454.423079999993</v>
      </c>
      <c r="P251" s="46">
        <f t="shared" ca="1" si="10"/>
        <v>5.476867465785386E-4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input_546100!A$2</f>
        <v>546100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IFERROR(VLOOKUP(B252,input_546100!L:R,7,FALSE),VLOOKUP(tables_546100!C252,input_546100!A:H,8,FALSE))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input_546100!A$2</f>
        <v>546100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IFERROR(VLOOKUP(B253,input_546100!L:R,7,FALSE),VLOOKUP(tables_546100!C253,input_546100!A:H,8,FALSE))</f>
        <v>1115550</v>
      </c>
      <c r="P253" s="46">
        <f t="shared" ca="1" si="10"/>
        <v>8.6718749999831635E-3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input_546100!A$2</f>
        <v>546100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IFERROR(VLOOKUP(B254,input_546100!L:R,7,FALSE),VLOOKUP(tables_546100!C254,input_546100!A:H,8,FALSE))</f>
        <v>70454.423079999993</v>
      </c>
      <c r="P254" s="46">
        <f t="shared" ca="1" si="10"/>
        <v>5.476867465785386E-4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input_546100!A$2</f>
        <v>546100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IFERROR(VLOOKUP(B255,input_546100!L:R,7,FALSE),VLOOKUP(tables_546100!C255,input_546100!A:H,8,FALSE))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input_546100!A$2</f>
        <v>546100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IFERROR(VLOOKUP(B256,input_546100!L:R,7,FALSE),VLOOKUP(tables_546100!C256,input_546100!A:H,8,FALSE))</f>
        <v>1115550</v>
      </c>
      <c r="P256" s="46">
        <f t="shared" ca="1" si="10"/>
        <v>8.6718749999831635E-3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input_546100!A$2</f>
        <v>546100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IFERROR(VLOOKUP(B257,input_546100!L:R,7,FALSE),VLOOKUP(tables_546100!C257,input_546100!A:H,8,FALSE))</f>
        <v>70454.423079999993</v>
      </c>
      <c r="P257" s="46">
        <f t="shared" ca="1" si="10"/>
        <v>5.476867465785386E-4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input_546100!A$2</f>
        <v>546100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IFERROR(VLOOKUP(B258,input_546100!L:R,7,FALSE),VLOOKUP(tables_546100!C258,input_546100!A:H,8,FALSE))</f>
        <v>49706.666669999999</v>
      </c>
      <c r="P258" s="46">
        <f t="shared" ref="P258:P294" ca="1" si="13">O258/SUM(O:O)</f>
        <v>3.864013267249961E-4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input_546100!A$2</f>
        <v>546100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IFERROR(VLOOKUP(B259,input_546100!L:R,7,FALSE),VLOOKUP(tables_546100!C259,input_546100!A:H,8,FALSE))</f>
        <v>8640</v>
      </c>
      <c r="P259" s="46">
        <f t="shared" ca="1" si="13"/>
        <v>6.7164179104347221E-5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input_546100!A$2</f>
        <v>546100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IFERROR(VLOOKUP(B260,input_546100!L:R,7,FALSE),VLOOKUP(tables_546100!C260,input_546100!A:H,8,FALSE))</f>
        <v>49706.666669999999</v>
      </c>
      <c r="P260" s="46">
        <f t="shared" ca="1" si="13"/>
        <v>3.864013267249961E-4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input_546100!A$2</f>
        <v>546100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IFERROR(VLOOKUP(B261,input_546100!L:R,7,FALSE),VLOOKUP(tables_546100!C261,input_546100!A:H,8,FALSE))</f>
        <v>8640</v>
      </c>
      <c r="P261" s="46">
        <f t="shared" ca="1" si="13"/>
        <v>6.7164179104347221E-5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input_546100!A$2</f>
        <v>546100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IFERROR(VLOOKUP(B262,input_546100!L:R,7,FALSE),VLOOKUP(tables_546100!C262,input_546100!A:H,8,FALSE))</f>
        <v>1158932.5</v>
      </c>
      <c r="P262" s="46">
        <f t="shared" ca="1" si="13"/>
        <v>9.0091145833158422E-3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input_546100!A$2</f>
        <v>546100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IFERROR(VLOOKUP(B263,input_546100!L:R,7,FALSE),VLOOKUP(tables_546100!C263,input_546100!A:H,8,FALSE))</f>
        <v>61975</v>
      </c>
      <c r="P263" s="46">
        <f t="shared" ca="1" si="13"/>
        <v>4.81770833332398E-4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input_546100!A$2</f>
        <v>546100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IFERROR(VLOOKUP(B264,input_546100!L:R,7,FALSE),VLOOKUP(tables_546100!C264,input_546100!A:H,8,FALSE))</f>
        <v>1158932.5</v>
      </c>
      <c r="P264" s="46">
        <f t="shared" ca="1" si="13"/>
        <v>9.0091145833158422E-3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input_546100!A$2</f>
        <v>546100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IFERROR(VLOOKUP(B265,input_546100!L:R,7,FALSE),VLOOKUP(tables_546100!C265,input_546100!A:H,8,FALSE))</f>
        <v>61975</v>
      </c>
      <c r="P265" s="46">
        <f t="shared" ca="1" si="13"/>
        <v>4.81770833332398E-4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input_546100!A$2</f>
        <v>546100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IFERROR(VLOOKUP(B266,input_546100!L:R,7,FALSE),VLOOKUP(tables_546100!C266,input_546100!A:H,8,FALSE))</f>
        <v>8640</v>
      </c>
      <c r="P266" s="46">
        <f t="shared" ca="1" si="13"/>
        <v>6.7164179104347221E-5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input_546100!A$2</f>
        <v>546100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IFERROR(VLOOKUP(B267,input_546100!L:R,7,FALSE),VLOOKUP(tables_546100!C267,input_546100!A:H,8,FALSE))</f>
        <v>1929600</v>
      </c>
      <c r="P267" s="46">
        <f t="shared" ca="1" si="13"/>
        <v>1.4999999999970879E-2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input_546100!A$2</f>
        <v>546100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IFERROR(VLOOKUP(B268,input_546100!L:R,7,FALSE),VLOOKUP(tables_546100!C268,input_546100!A:H,8,FALSE))</f>
        <v>8640</v>
      </c>
      <c r="P268" s="46">
        <f t="shared" ca="1" si="13"/>
        <v>6.7164179104347221E-5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input_546100!A$2</f>
        <v>546100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IFERROR(VLOOKUP(B269,input_546100!L:R,7,FALSE),VLOOKUP(tables_546100!C269,input_546100!A:H,8,FALSE))</f>
        <v>8640</v>
      </c>
      <c r="P269" s="46">
        <f t="shared" ca="1" si="13"/>
        <v>6.7164179104347221E-5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input_546100!A$2</f>
        <v>546100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IFERROR(VLOOKUP(B270,input_546100!L:R,7,FALSE),VLOOKUP(tables_546100!C270,input_546100!A:H,8,FALSE))</f>
        <v>1158932.5</v>
      </c>
      <c r="P270" s="46">
        <f t="shared" ca="1" si="13"/>
        <v>9.0091145833158422E-3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input_546100!A$2</f>
        <v>546100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IFERROR(VLOOKUP(B271,input_546100!L:R,7,FALSE),VLOOKUP(tables_546100!C271,input_546100!A:H,8,FALSE))</f>
        <v>61975</v>
      </c>
      <c r="P271" s="46">
        <f t="shared" ca="1" si="13"/>
        <v>4.81770833332398E-4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input_546100!A$2</f>
        <v>546100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IFERROR(VLOOKUP(B272,input_546100!L:R,7,FALSE),VLOOKUP(tables_546100!C272,input_546100!A:H,8,FALSE))</f>
        <v>1158932.5</v>
      </c>
      <c r="P272" s="46">
        <f t="shared" ca="1" si="13"/>
        <v>9.0091145833158422E-3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input_546100!A$2</f>
        <v>546100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IFERROR(VLOOKUP(B273,input_546100!L:R,7,FALSE),VLOOKUP(tables_546100!C273,input_546100!A:H,8,FALSE))</f>
        <v>61975</v>
      </c>
      <c r="P273" s="46">
        <f t="shared" ca="1" si="13"/>
        <v>4.81770833332398E-4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input_546100!A$2</f>
        <v>546100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IFERROR(VLOOKUP(B274,input_546100!L:R,7,FALSE),VLOOKUP(tables_546100!C274,input_546100!A:H,8,FALSE))</f>
        <v>49706.666669999999</v>
      </c>
      <c r="P274" s="46">
        <f t="shared" ca="1" si="13"/>
        <v>3.864013267249961E-4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input_546100!A$2</f>
        <v>546100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IFERROR(VLOOKUP(B275,input_546100!L:R,7,FALSE),VLOOKUP(tables_546100!C275,input_546100!A:H,8,FALSE))</f>
        <v>8640</v>
      </c>
      <c r="P275" s="46">
        <f t="shared" ca="1" si="13"/>
        <v>6.7164179104347221E-5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input_546100!A$2</f>
        <v>546100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IFERROR(VLOOKUP(B276,input_546100!L:R,7,FALSE),VLOOKUP(tables_546100!C276,input_546100!A:H,8,FALSE))</f>
        <v>49706.666669999999</v>
      </c>
      <c r="P276" s="46">
        <f t="shared" ca="1" si="13"/>
        <v>3.864013267249961E-4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input_546100!A$2</f>
        <v>546100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IFERROR(VLOOKUP(B277,input_546100!L:R,7,FALSE),VLOOKUP(tables_546100!C277,input_546100!A:H,8,FALSE))</f>
        <v>8640</v>
      </c>
      <c r="P277" s="46">
        <f t="shared" ca="1" si="13"/>
        <v>6.7164179104347221E-5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input_546100!A$2</f>
        <v>546100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IFERROR(VLOOKUP(B278,input_546100!L:R,7,FALSE),VLOOKUP(tables_546100!C278,input_546100!A:H,8,FALSE))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input_546100!A$2</f>
        <v>546100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IFERROR(VLOOKUP(B279,input_546100!L:R,7,FALSE),VLOOKUP(tables_546100!C279,input_546100!A:H,8,FALSE))</f>
        <v>1115550</v>
      </c>
      <c r="P279" s="46">
        <f t="shared" ca="1" si="13"/>
        <v>8.6718749999831635E-3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input_546100!A$2</f>
        <v>546100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IFERROR(VLOOKUP(B280,input_546100!L:R,7,FALSE),VLOOKUP(tables_546100!C280,input_546100!A:H,8,FALSE))</f>
        <v>70454.423079999993</v>
      </c>
      <c r="P280" s="46">
        <f t="shared" ca="1" si="13"/>
        <v>5.476867465785386E-4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input_546100!A$2</f>
        <v>546100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IFERROR(VLOOKUP(B281,input_546100!L:R,7,FALSE),VLOOKUP(tables_546100!C281,input_546100!A:H,8,FALSE))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input_546100!A$2</f>
        <v>546100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IFERROR(VLOOKUP(B282,input_546100!L:R,7,FALSE),VLOOKUP(tables_546100!C282,input_546100!A:H,8,FALSE))</f>
        <v>1115550</v>
      </c>
      <c r="P282" s="46">
        <f t="shared" ca="1" si="13"/>
        <v>8.6718749999831635E-3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input_546100!A$2</f>
        <v>546100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IFERROR(VLOOKUP(B283,input_546100!L:R,7,FALSE),VLOOKUP(tables_546100!C283,input_546100!A:H,8,FALSE))</f>
        <v>70454.423079999993</v>
      </c>
      <c r="P283" s="46">
        <f t="shared" ca="1" si="13"/>
        <v>5.476867465785386E-4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input_546100!A$2</f>
        <v>546100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IFERROR(VLOOKUP(B284,input_546100!L:R,7,FALSE),VLOOKUP(tables_546100!C284,input_546100!A:H,8,FALSE))</f>
        <v>8640</v>
      </c>
      <c r="P284" s="46">
        <f t="shared" ca="1" si="13"/>
        <v>6.7164179104347221E-5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input_546100!A$2</f>
        <v>546100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IFERROR(VLOOKUP(B285,input_546100!L:R,7,FALSE),VLOOKUP(tables_546100!C285,input_546100!A:H,8,FALSE))</f>
        <v>8640</v>
      </c>
      <c r="P285" s="46">
        <f t="shared" ca="1" si="13"/>
        <v>6.7164179104347221E-5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input_546100!A$2</f>
        <v>546100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IFERROR(VLOOKUP(B286,input_546100!L:R,7,FALSE),VLOOKUP(tables_546100!C286,input_546100!A:H,8,FALSE))</f>
        <v>1158932.5</v>
      </c>
      <c r="P286" s="46">
        <f t="shared" ca="1" si="13"/>
        <v>9.0091145833158422E-3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input_546100!A$2</f>
        <v>546100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IFERROR(VLOOKUP(B287,input_546100!L:R,7,FALSE),VLOOKUP(tables_546100!C287,input_546100!A:H,8,FALSE))</f>
        <v>61975</v>
      </c>
      <c r="P287" s="46">
        <f t="shared" ca="1" si="13"/>
        <v>4.81770833332398E-4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input_546100!A$2</f>
        <v>546100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IFERROR(VLOOKUP(B288,input_546100!L:R,7,FALSE),VLOOKUP(tables_546100!C288,input_546100!A:H,8,FALSE))</f>
        <v>1158932.5</v>
      </c>
      <c r="P288" s="46">
        <f t="shared" ca="1" si="13"/>
        <v>9.0091145833158422E-3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input_546100!A$2</f>
        <v>546100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IFERROR(VLOOKUP(B289,input_546100!L:R,7,FALSE),VLOOKUP(tables_546100!C289,input_546100!A:H,8,FALSE))</f>
        <v>61975</v>
      </c>
      <c r="P289" s="46">
        <f t="shared" ca="1" si="13"/>
        <v>4.81770833332398E-4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input_546100!A$2</f>
        <v>546100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IFERROR(VLOOKUP(B290,input_546100!L:R,7,FALSE),VLOOKUP(tables_546100!C290,input_546100!A:H,8,FALSE))</f>
        <v>1158932.5</v>
      </c>
      <c r="P290" s="46">
        <f t="shared" ca="1" si="13"/>
        <v>9.0091145833158422E-3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input_546100!A$2</f>
        <v>546100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IFERROR(VLOOKUP(B291,input_546100!L:R,7,FALSE),VLOOKUP(tables_546100!C291,input_546100!A:H,8,FALSE))</f>
        <v>61975</v>
      </c>
      <c r="P291" s="46">
        <f t="shared" ca="1" si="13"/>
        <v>4.81770833332398E-4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input_546100!A$2</f>
        <v>546100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IFERROR(VLOOKUP(B292,input_546100!L:R,7,FALSE),VLOOKUP(tables_546100!C292,input_546100!A:H,8,FALSE))</f>
        <v>1158932.5</v>
      </c>
      <c r="P292" s="46">
        <f t="shared" ca="1" si="13"/>
        <v>9.0091145833158422E-3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input_546100!A$2</f>
        <v>546100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IFERROR(VLOOKUP(B293,input_546100!L:R,7,FALSE),VLOOKUP(tables_546100!C293,input_546100!A:H,8,FALSE))</f>
        <v>61975</v>
      </c>
      <c r="P293" s="46">
        <f t="shared" ca="1" si="13"/>
        <v>4.81770833332398E-4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input_546100!A$2</f>
        <v>546100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IFERROR(VLOOKUP(B294,input_546100!L:R,7,FALSE),VLOOKUP(tables_546100!C294,input_546100!A:H,8,FALSE))</f>
        <v>8640</v>
      </c>
      <c r="P294" s="46">
        <f t="shared" ca="1" si="13"/>
        <v>6.7164179104347221E-5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input_546100!A$2</f>
        <v>546100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IFERROR(VLOOKUP(B295,input_546100!L:R,7,FALSE),VLOOKUP(tables_546100!C295,input_546100!A:H,8,FALSE))</f>
        <v>8640</v>
      </c>
      <c r="P295" s="46">
        <f t="shared" ref="P295:P299" ca="1" si="20">O295/SUM(O:O)</f>
        <v>6.7164179104347221E-5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input_546100!A$2</f>
        <v>546100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IFERROR(VLOOKUP(B296,input_546100!L:R,7,FALSE),VLOOKUP(tables_546100!C296,input_546100!A:H,8,FALSE))</f>
        <v>8640</v>
      </c>
      <c r="P296" s="46">
        <f t="shared" ca="1" si="20"/>
        <v>6.7164179104347221E-5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input_546100!A$2</f>
        <v>546100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IFERROR(VLOOKUP(B297,input_546100!L:R,7,FALSE),VLOOKUP(tables_546100!C297,input_546100!A:H,8,FALSE))</f>
        <v>1158932.5</v>
      </c>
      <c r="P297" s="46">
        <f t="shared" ca="1" si="20"/>
        <v>9.0091145833158422E-3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input_546100!A$2</f>
        <v>546100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IFERROR(VLOOKUP(B298,input_546100!L:R,7,FALSE),VLOOKUP(tables_546100!C298,input_546100!A:H,8,FALSE))</f>
        <v>61975</v>
      </c>
      <c r="P298" s="46">
        <f t="shared" ca="1" si="20"/>
        <v>4.81770833332398E-4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input_546100!A$2</f>
        <v>546100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IFERROR(VLOOKUP(B299,input_546100!L:R,7,FALSE),VLOOKUP(tables_546100!C299,input_546100!A:H,8,FALSE))</f>
        <v>8640</v>
      </c>
      <c r="P299" s="46">
        <f t="shared" ca="1" si="20"/>
        <v>6.7164179104347221E-5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input_546100!A$2</f>
        <v>546100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IFERROR(VLOOKUP(B300,input_546100!L:R,7,FALSE),VLOOKUP(tables_546100!C300,input_546100!A:H,8,FALSE))</f>
        <v>8640</v>
      </c>
      <c r="P300" s="46">
        <f t="shared" ref="P300:P304" ca="1" si="22">O300/SUM(O:O)</f>
        <v>6.7164179104347221E-5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input_546100!A$2</f>
        <v>546100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IFERROR(VLOOKUP(B301,input_546100!L:R,7,FALSE),VLOOKUP(tables_546100!C301,input_546100!A:H,8,FALSE))</f>
        <v>8640</v>
      </c>
      <c r="P301" s="46">
        <f t="shared" ca="1" si="22"/>
        <v>6.7164179104347221E-5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input_546100!A$2</f>
        <v>546100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IFERROR(VLOOKUP(B302,input_546100!L:R,7,FALSE),VLOOKUP(tables_546100!C302,input_546100!A:H,8,FALSE))</f>
        <v>8640</v>
      </c>
      <c r="P302" s="46">
        <f t="shared" ca="1" si="22"/>
        <v>6.7164179104347221E-5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input_546100!A$2</f>
        <v>546100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IFERROR(VLOOKUP(B303,input_546100!L:R,7,FALSE),VLOOKUP(tables_546100!C303,input_546100!A:H,8,FALSE))</f>
        <v>1158932.5</v>
      </c>
      <c r="P303" s="46">
        <f t="shared" ca="1" si="22"/>
        <v>9.0091145833158422E-3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input_546100!A$2</f>
        <v>546100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IFERROR(VLOOKUP(B304,input_546100!L:R,7,FALSE),VLOOKUP(tables_546100!C304,input_546100!A:H,8,FALSE))</f>
        <v>61975</v>
      </c>
      <c r="P304" s="46">
        <f t="shared" ca="1" si="22"/>
        <v>4.81770833332398E-4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input_546100!A$2</f>
        <v>546100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IFERROR(VLOOKUP(B305,input_546100!L:R,7,FALSE),VLOOKUP(tables_546100!C305,input_546100!A:H,8,FALSE))</f>
        <v>8640</v>
      </c>
      <c r="P305" s="46">
        <f t="shared" ref="P305:P308" ca="1" si="24">O305/SUM(O:O)</f>
        <v>6.7164179104347221E-5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input_546100!A$2</f>
        <v>546100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IFERROR(VLOOKUP(B306,input_546100!L:R,7,FALSE),VLOOKUP(tables_546100!C306,input_546100!A:H,8,FALSE))</f>
        <v>1158932.5</v>
      </c>
      <c r="P306" s="46">
        <f t="shared" ca="1" si="24"/>
        <v>9.0091145833158422E-3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input_546100!A$2</f>
        <v>546100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IFERROR(VLOOKUP(B307,input_546100!L:R,7,FALSE),VLOOKUP(tables_546100!C307,input_546100!A:H,8,FALSE))</f>
        <v>61975</v>
      </c>
      <c r="P307" s="46">
        <f t="shared" ca="1" si="24"/>
        <v>4.81770833332398E-4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input_546100!A$2</f>
        <v>546100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IFERROR(VLOOKUP(B308,input_546100!L:R,7,FALSE),VLOOKUP(tables_546100!C308,input_546100!A:H,8,FALSE))</f>
        <v>8640</v>
      </c>
      <c r="P308" s="46">
        <f t="shared" ca="1" si="24"/>
        <v>6.7164179104347221E-5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input_546100!A$2</f>
        <v>546100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IFERROR(VLOOKUP(B309,input_546100!L:R,7,FALSE),VLOOKUP(tables_546100!C309,input_546100!A:H,8,FALSE))</f>
        <v>1929600</v>
      </c>
      <c r="P309" s="46">
        <f t="shared" ref="P309" ca="1" si="26">O309/SUM(O:O)</f>
        <v>1.4999999999970879E-2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input_546100!A$2</f>
        <v>546100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IFERROR(VLOOKUP(B310,input_546100!L:R,7,FALSE),VLOOKUP(tables_546100!C310,input_546100!A:H,8,FALSE))</f>
        <v>8640</v>
      </c>
      <c r="P310" s="46">
        <f t="shared" ref="P310:P314" ca="1" si="28">O310/SUM(O:O)</f>
        <v>6.7164179104347221E-5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input_546100!A$2</f>
        <v>546100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IFERROR(VLOOKUP(B311,input_546100!L:R,7,FALSE),VLOOKUP(tables_546100!C311,input_546100!A:H,8,FALSE))</f>
        <v>1158932.5</v>
      </c>
      <c r="P311" s="46">
        <f t="shared" ca="1" si="28"/>
        <v>9.0091145833158422E-3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input_546100!A$2</f>
        <v>546100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IFERROR(VLOOKUP(B312,input_546100!L:R,7,FALSE),VLOOKUP(tables_546100!C312,input_546100!A:H,8,FALSE))</f>
        <v>61975</v>
      </c>
      <c r="P312" s="46">
        <f t="shared" ca="1" si="28"/>
        <v>4.81770833332398E-4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input_546100!A$2</f>
        <v>546100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IFERROR(VLOOKUP(B313,input_546100!L:R,7,FALSE),VLOOKUP(tables_546100!C313,input_546100!A:H,8,FALSE))</f>
        <v>8640</v>
      </c>
      <c r="P313" s="46">
        <f t="shared" ca="1" si="28"/>
        <v>6.7164179104347221E-5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input_546100!A$2</f>
        <v>546100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IFERROR(VLOOKUP(B314,input_546100!L:R,7,FALSE),VLOOKUP(tables_546100!C314,input_546100!A:H,8,FALSE))</f>
        <v>8640</v>
      </c>
      <c r="P314" s="46">
        <f t="shared" ca="1" si="28"/>
        <v>6.7164179104347221E-5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input_546100!A$2</f>
        <v>546100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IFERROR(VLOOKUP(B315,input_546100!L:R,7,FALSE),VLOOKUP(tables_546100!C315,input_546100!A:H,8,FALSE))</f>
        <v>8640</v>
      </c>
      <c r="P315" s="46">
        <f t="shared" ref="P315:P319" ca="1" si="30">O315/SUM(O:O)</f>
        <v>6.7164179104347221E-5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input_546100!A$2</f>
        <v>546100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IFERROR(VLOOKUP(B316,input_546100!L:R,7,FALSE),VLOOKUP(tables_546100!C316,input_546100!A:H,8,FALSE))</f>
        <v>8640</v>
      </c>
      <c r="P316" s="46">
        <f t="shared" ca="1" si="30"/>
        <v>6.7164179104347221E-5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input_546100!A$2</f>
        <v>546100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IFERROR(VLOOKUP(B317,input_546100!L:R,7,FALSE),VLOOKUP(tables_546100!C317,input_546100!A:H,8,FALSE))</f>
        <v>8640</v>
      </c>
      <c r="P317" s="46">
        <f t="shared" ca="1" si="30"/>
        <v>6.7164179104347221E-5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input_546100!A$2</f>
        <v>546100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IFERROR(VLOOKUP(B318,input_546100!L:R,7,FALSE),VLOOKUP(tables_546100!C318,input_546100!A:H,8,FALSE))</f>
        <v>1158932.5</v>
      </c>
      <c r="P318" s="46">
        <f t="shared" ca="1" si="30"/>
        <v>9.0091145833158422E-3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input_546100!A$2</f>
        <v>546100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IFERROR(VLOOKUP(B319,input_546100!L:R,7,FALSE),VLOOKUP(tables_546100!C319,input_546100!A:H,8,FALSE))</f>
        <v>61975</v>
      </c>
      <c r="P319" s="46">
        <f t="shared" ca="1" si="30"/>
        <v>4.81770833332398E-4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input_546100!A$2</f>
        <v>546100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IFERROR(VLOOKUP(B320,input_546100!L:R,7,FALSE),VLOOKUP(tables_546100!C320,input_546100!A:H,8,FALSE))</f>
        <v>8640</v>
      </c>
      <c r="P320" s="46">
        <f t="shared" ref="P320:P324" ca="1" si="32">O320/SUM(O:O)</f>
        <v>6.7164179104347221E-5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input_546100!A$2</f>
        <v>546100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IFERROR(VLOOKUP(B321,input_546100!L:R,7,FALSE),VLOOKUP(tables_546100!C321,input_546100!A:H,8,FALSE))</f>
        <v>8640</v>
      </c>
      <c r="P321" s="46">
        <f t="shared" ca="1" si="32"/>
        <v>6.7164179104347221E-5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input_546100!A$2</f>
        <v>546100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IFERROR(VLOOKUP(B322,input_546100!L:R,7,FALSE),VLOOKUP(tables_546100!C322,input_546100!A:H,8,FALSE))</f>
        <v>8640</v>
      </c>
      <c r="P322" s="46">
        <f t="shared" ca="1" si="32"/>
        <v>6.7164179104347221E-5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input_546100!A$2</f>
        <v>546100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IFERROR(VLOOKUP(B323,input_546100!L:R,7,FALSE),VLOOKUP(tables_546100!C323,input_546100!A:H,8,FALSE))</f>
        <v>8640</v>
      </c>
      <c r="P323" s="46">
        <f t="shared" ca="1" si="32"/>
        <v>6.7164179104347221E-5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input_546100!A$2</f>
        <v>546100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IFERROR(VLOOKUP(B324,input_546100!L:R,7,FALSE),VLOOKUP(tables_546100!C324,input_546100!A:H,8,FALSE))</f>
        <v>1158932.5</v>
      </c>
      <c r="P324" s="46">
        <f t="shared" ca="1" si="32"/>
        <v>9.0091145833158422E-3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input_546100!A$2</f>
        <v>546100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IFERROR(VLOOKUP(B325,input_546100!L:R,7,FALSE),VLOOKUP(tables_546100!C325,input_546100!A:H,8,FALSE))</f>
        <v>61975</v>
      </c>
      <c r="P325" s="46">
        <f t="shared" ref="P325:P330" ca="1" si="35">O325/SUM(O:O)</f>
        <v>4.81770833332398E-4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input_546100!A$2</f>
        <v>546100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IFERROR(VLOOKUP(B326,input_546100!L:R,7,FALSE),VLOOKUP(tables_546100!C326,input_546100!A:H,8,FALSE))</f>
        <v>1158932.5</v>
      </c>
      <c r="P326" s="46">
        <f t="shared" ca="1" si="35"/>
        <v>9.0091145833158422E-3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input_546100!A$2</f>
        <v>546100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IFERROR(VLOOKUP(B327,input_546100!L:R,7,FALSE),VLOOKUP(tables_546100!C327,input_546100!A:H,8,FALSE))</f>
        <v>61975</v>
      </c>
      <c r="P327" s="46">
        <f t="shared" ca="1" si="35"/>
        <v>4.81770833332398E-4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input_546100!A$2</f>
        <v>546100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IFERROR(VLOOKUP(B328,input_546100!L:R,7,FALSE),VLOOKUP(tables_546100!C328,input_546100!A:H,8,FALSE))</f>
        <v>8640</v>
      </c>
      <c r="P328" s="46">
        <f t="shared" ca="1" si="35"/>
        <v>6.7164179104347221E-5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input_546100!A$2</f>
        <v>546100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IFERROR(VLOOKUP(B329,input_546100!L:R,7,FALSE),VLOOKUP(tables_546100!C329,input_546100!A:H,8,FALSE))</f>
        <v>8640</v>
      </c>
      <c r="P329" s="46">
        <f t="shared" ca="1" si="35"/>
        <v>6.7164179104347221E-5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input_546100!A$2</f>
        <v>546100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IFERROR(VLOOKUP(B330,input_546100!L:R,7,FALSE),VLOOKUP(tables_546100!C330,input_546100!A:H,8,FALSE))</f>
        <v>8640</v>
      </c>
      <c r="P330" s="46">
        <f t="shared" ca="1" si="35"/>
        <v>6.7164179104347221E-5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input_546100!A$2</f>
        <v>546100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IFERROR(VLOOKUP(B331,input_546100!L:R,7,FALSE),VLOOKUP(tables_546100!C331,input_546100!A:H,8,FALSE))</f>
        <v>8640</v>
      </c>
      <c r="P331" s="46">
        <f t="shared" ref="P331:P335" ca="1" si="38">O331/SUM(O:O)</f>
        <v>6.7164179104347221E-5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input_546100!A$2</f>
        <v>546100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IFERROR(VLOOKUP(B332,input_546100!L:R,7,FALSE),VLOOKUP(tables_546100!C332,input_546100!A:H,8,FALSE))</f>
        <v>8640</v>
      </c>
      <c r="P332" s="46">
        <f t="shared" ca="1" si="38"/>
        <v>6.7164179104347221E-5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input_546100!A$2</f>
        <v>546100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IFERROR(VLOOKUP(B333,input_546100!L:R,7,FALSE),VLOOKUP(tables_546100!C333,input_546100!A:H,8,FALSE))</f>
        <v>8640</v>
      </c>
      <c r="P333" s="46">
        <f t="shared" ca="1" si="38"/>
        <v>6.7164179104347221E-5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input_546100!A$2</f>
        <v>546100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IFERROR(VLOOKUP(B334,input_546100!L:R,7,FALSE),VLOOKUP(tables_546100!C334,input_546100!A:H,8,FALSE))</f>
        <v>1158932.5</v>
      </c>
      <c r="P334" s="46">
        <f t="shared" ca="1" si="38"/>
        <v>9.0091145833158422E-3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input_546100!A$2</f>
        <v>546100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IFERROR(VLOOKUP(B335,input_546100!L:R,7,FALSE),VLOOKUP(tables_546100!C335,input_546100!A:H,8,FALSE))</f>
        <v>61975</v>
      </c>
      <c r="P335" s="46">
        <f t="shared" ca="1" si="38"/>
        <v>4.81770833332398E-4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input_546100!A$2</f>
        <v>546100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IFERROR(VLOOKUP(B336,input_546100!L:R,7,FALSE),VLOOKUP(tables_546100!C336,input_546100!A:H,8,FALSE))</f>
        <v>8640</v>
      </c>
      <c r="P336" s="46">
        <f t="shared" ref="P336:P340" ca="1" si="41">O336/SUM(O:O)</f>
        <v>6.7164179104347221E-5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input_546100!A$2</f>
        <v>546100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IFERROR(VLOOKUP(B337,input_546100!L:R,7,FALSE),VLOOKUP(tables_546100!C337,input_546100!A:H,8,FALSE))</f>
        <v>8640</v>
      </c>
      <c r="P337" s="46">
        <f t="shared" ca="1" si="41"/>
        <v>6.7164179104347221E-5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input_546100!A$2</f>
        <v>546100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IFERROR(VLOOKUP(B338,input_546100!L:R,7,FALSE),VLOOKUP(tables_546100!C338,input_546100!A:H,8,FALSE))</f>
        <v>8640</v>
      </c>
      <c r="P338" s="46">
        <f t="shared" ca="1" si="41"/>
        <v>6.7164179104347221E-5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input_546100!A$2</f>
        <v>546100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IFERROR(VLOOKUP(B339,input_546100!L:R,7,FALSE),VLOOKUP(tables_546100!C339,input_546100!A:H,8,FALSE))</f>
        <v>1158932.5</v>
      </c>
      <c r="P339" s="46">
        <f t="shared" ca="1" si="41"/>
        <v>9.0091145833158422E-3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input_546100!A$2</f>
        <v>546100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IFERROR(VLOOKUP(B340,input_546100!L:R,7,FALSE),VLOOKUP(tables_546100!C340,input_546100!A:H,8,FALSE))</f>
        <v>61975</v>
      </c>
      <c r="P340" s="46">
        <f t="shared" ca="1" si="41"/>
        <v>4.81770833332398E-4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input_546100!A$2</f>
        <v>546100</v>
      </c>
      <c r="B341" s="1">
        <v>1250</v>
      </c>
      <c r="C341" s="7" t="str">
        <f t="shared" ref="C341:C345" si="42">D341&amp;J341&amp;E341&amp;F341&amp;G341</f>
        <v>PremiumSS5R5only</v>
      </c>
      <c r="D341" s="98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IFERROR(VLOOKUP(B341,input_546100!L:R,7,FALSE),VLOOKUP(tables_546100!C341,input_546100!A:H,8,FALSE))</f>
        <v>8640</v>
      </c>
      <c r="P341" s="46">
        <f t="shared" ref="P341:P345" ca="1" si="44">O341/SUM(O:O)</f>
        <v>6.7164179104347221E-5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input_546100!A$2</f>
        <v>546100</v>
      </c>
      <c r="B342" s="1">
        <v>1244</v>
      </c>
      <c r="C342" s="7" t="str">
        <f t="shared" si="42"/>
        <v>PremiumSS5R5only</v>
      </c>
      <c r="D342" s="98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IFERROR(VLOOKUP(B342,input_546100!L:R,7,FALSE),VLOOKUP(tables_546100!C342,input_546100!A:H,8,FALSE))</f>
        <v>8640</v>
      </c>
      <c r="P342" s="46">
        <f t="shared" ca="1" si="44"/>
        <v>6.7164179104347221E-5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input_546100!A$2</f>
        <v>546100</v>
      </c>
      <c r="B343" s="1">
        <v>1246</v>
      </c>
      <c r="C343" s="7" t="str">
        <f t="shared" si="42"/>
        <v>PremiumSS5R5only</v>
      </c>
      <c r="D343" s="98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IFERROR(VLOOKUP(B343,input_546100!L:R,7,FALSE),VLOOKUP(tables_546100!C343,input_546100!A:H,8,FALSE))</f>
        <v>1929600</v>
      </c>
      <c r="P343" s="46">
        <f t="shared" ca="1" si="44"/>
        <v>1.4999999999970879E-2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input_546100!A$2</f>
        <v>546100</v>
      </c>
      <c r="B344" s="1">
        <v>1248</v>
      </c>
      <c r="C344" s="7" t="str">
        <f t="shared" si="42"/>
        <v>Premium4R3less</v>
      </c>
      <c r="D344" s="98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IFERROR(VLOOKUP(B344,input_546100!L:R,7,FALSE),VLOOKUP(tables_546100!C344,input_546100!A:H,8,FALSE))</f>
        <v>1158932.5</v>
      </c>
      <c r="P344" s="46">
        <f t="shared" ca="1" si="44"/>
        <v>9.0091145833158422E-3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input_546100!A$2</f>
        <v>546100</v>
      </c>
      <c r="B345" s="1">
        <v>1249</v>
      </c>
      <c r="C345" s="7" t="str">
        <f t="shared" si="42"/>
        <v>Premium5R3less</v>
      </c>
      <c r="D345" s="98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IFERROR(VLOOKUP(B345,input_546100!L:R,7,FALSE),VLOOKUP(tables_546100!C345,input_546100!A:H,8,FALSE))</f>
        <v>61975</v>
      </c>
      <c r="P345" s="46">
        <f t="shared" ca="1" si="44"/>
        <v>4.81770833332398E-4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input_546100!A$2</f>
        <v>546100</v>
      </c>
      <c r="B346" s="1">
        <v>1260</v>
      </c>
      <c r="C346" s="7" t="str">
        <f t="shared" ref="C346:C350" si="45">D346&amp;J346&amp;E346&amp;F346&amp;G346</f>
        <v>PremiumSS5R5only</v>
      </c>
      <c r="D346" s="98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IFERROR(VLOOKUP(B346,input_546100!L:R,7,FALSE),VLOOKUP(tables_546100!C346,input_546100!A:H,8,FALSE))</f>
        <v>8640</v>
      </c>
      <c r="P346" s="46">
        <f t="shared" ref="P346:P350" ca="1" si="47">O346/SUM(O:O)</f>
        <v>6.7164179104347221E-5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input_546100!A$2</f>
        <v>546100</v>
      </c>
      <c r="B347" s="1">
        <v>1262</v>
      </c>
      <c r="C347" s="7" t="str">
        <f t="shared" si="45"/>
        <v>PremiumSS5R5only</v>
      </c>
      <c r="D347" s="98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IFERROR(VLOOKUP(B347,input_546100!L:R,7,FALSE),VLOOKUP(tables_546100!C347,input_546100!A:H,8,FALSE))</f>
        <v>8640</v>
      </c>
      <c r="P347" s="46">
        <f t="shared" ca="1" si="47"/>
        <v>6.7164179104347221E-5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input_546100!A$2</f>
        <v>546100</v>
      </c>
      <c r="B348" s="1">
        <v>1264</v>
      </c>
      <c r="C348" s="7" t="str">
        <f t="shared" si="45"/>
        <v>PremiumSS5R5only</v>
      </c>
      <c r="D348" s="98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IFERROR(VLOOKUP(B348,input_546100!L:R,7,FALSE),VLOOKUP(tables_546100!C348,input_546100!A:H,8,FALSE))</f>
        <v>8640</v>
      </c>
      <c r="P348" s="46">
        <f t="shared" ca="1" si="47"/>
        <v>6.7164179104347221E-5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input_546100!A$2</f>
        <v>546100</v>
      </c>
      <c r="B349" s="1">
        <v>1266</v>
      </c>
      <c r="C349" s="7" t="str">
        <f t="shared" si="45"/>
        <v>Premium4R3less</v>
      </c>
      <c r="D349" s="98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IFERROR(VLOOKUP(B349,input_546100!L:R,7,FALSE),VLOOKUP(tables_546100!C349,input_546100!A:H,8,FALSE))</f>
        <v>1158932.5</v>
      </c>
      <c r="P349" s="46">
        <f t="shared" ca="1" si="47"/>
        <v>9.0091145833158422E-3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input_546100!A$2</f>
        <v>546100</v>
      </c>
      <c r="B350" s="1">
        <v>1267</v>
      </c>
      <c r="C350" s="7" t="str">
        <f t="shared" si="45"/>
        <v>Premium5R3less</v>
      </c>
      <c r="D350" s="98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IFERROR(VLOOKUP(B350,input_546100!L:R,7,FALSE),VLOOKUP(tables_546100!C350,input_546100!A:H,8,FALSE))</f>
        <v>61975</v>
      </c>
      <c r="P350" s="46">
        <f t="shared" ca="1" si="47"/>
        <v>4.81770833332398E-4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input_546100!A$2</f>
        <v>546100</v>
      </c>
      <c r="B351" s="104">
        <v>1332</v>
      </c>
      <c r="C351" s="7" t="str">
        <f t="shared" ref="C351:C355" si="48">D351&amp;J351&amp;E351&amp;F351&amp;G351</f>
        <v>PremiumSS5R5only</v>
      </c>
      <c r="D351" s="98" t="str">
        <f t="shared" ref="D351:D355" si="4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IFERROR(VLOOKUP(B351,input_546100!L:R,7,FALSE),VLOOKUP(tables_546100!C351,input_546100!A:H,8,FALSE))</f>
        <v>8640</v>
      </c>
      <c r="P351" s="46">
        <f t="shared" ref="P351:P355" ca="1" si="50">O351/SUM(O:O)</f>
        <v>6.7164179104347221E-5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input_546100!A$2</f>
        <v>546100</v>
      </c>
      <c r="B352" s="104">
        <v>1334</v>
      </c>
      <c r="C352" s="7" t="str">
        <f t="shared" si="48"/>
        <v>Premium4R3less</v>
      </c>
      <c r="D352" s="98" t="str">
        <f t="shared" si="4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IFERROR(VLOOKUP(B352,input_546100!L:R,7,FALSE),VLOOKUP(tables_546100!C352,input_546100!A:H,8,FALSE))</f>
        <v>1158932.5</v>
      </c>
      <c r="P352" s="46">
        <f t="shared" ca="1" si="50"/>
        <v>9.0091145833158422E-3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input_546100!A$2</f>
        <v>546100</v>
      </c>
      <c r="B353" s="104">
        <v>1335</v>
      </c>
      <c r="C353" s="7" t="str">
        <f t="shared" si="48"/>
        <v>Premium5R3less</v>
      </c>
      <c r="D353" s="98" t="str">
        <f t="shared" si="4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IFERROR(VLOOKUP(B353,input_546100!L:R,7,FALSE),VLOOKUP(tables_546100!C353,input_546100!A:H,8,FALSE))</f>
        <v>61975</v>
      </c>
      <c r="P353" s="46">
        <f t="shared" ca="1" si="50"/>
        <v>4.81770833332398E-4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input_546100!A$2</f>
        <v>546100</v>
      </c>
      <c r="B354" s="104">
        <v>1336</v>
      </c>
      <c r="C354" s="7" t="str">
        <f t="shared" si="48"/>
        <v>PremiumSS5R5only</v>
      </c>
      <c r="D354" s="98" t="str">
        <f t="shared" si="49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IFERROR(VLOOKUP(B354,input_546100!L:R,7,FALSE),VLOOKUP(tables_546100!C354,input_546100!A:H,8,FALSE))</f>
        <v>8640</v>
      </c>
      <c r="P354" s="46">
        <f t="shared" ca="1" si="50"/>
        <v>6.7164179104347221E-5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input_546100!A$2</f>
        <v>546100</v>
      </c>
      <c r="B355" s="104">
        <v>1338</v>
      </c>
      <c r="C355" s="7" t="str">
        <f t="shared" si="48"/>
        <v>PremiumSS5R5only</v>
      </c>
      <c r="D355" s="98" t="str">
        <f t="shared" si="49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IFERROR(VLOOKUP(B355,input_546100!L:R,7,FALSE),VLOOKUP(tables_546100!C355,input_546100!A:H,8,FALSE))</f>
        <v>8640</v>
      </c>
      <c r="P355" s="46">
        <f t="shared" ca="1" si="50"/>
        <v>6.7164179104347221E-5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7" sqref="O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input_546100!A$2</f>
        <v>546100</v>
      </c>
      <c r="B2" s="60">
        <v>434</v>
      </c>
      <c r="C2" s="7" t="str">
        <f t="shared" ref="C2:C3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D.R.T.H.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v>125</v>
      </c>
      <c r="P2" s="46">
        <f t="shared" ref="P2:P3" si="1">O2/SUM(O:O)</f>
        <v>0.125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input_546100!A$2</f>
        <v>546100</v>
      </c>
      <c r="B3" s="60">
        <v>435</v>
      </c>
      <c r="C3" s="7" t="str">
        <f t="shared" si="0"/>
        <v>PremiumSS5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曝弾の密偵 D.R.T.H.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125</v>
      </c>
      <c r="P3" s="46">
        <f t="shared" si="1"/>
        <v>0.125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input_546100!A$2</f>
        <v>546100</v>
      </c>
      <c r="B4" s="1">
        <v>1031</v>
      </c>
      <c r="C4" s="7" t="str">
        <f t="shared" ref="C4:C6" si="3">D4&amp;J4&amp;E4&amp;F4&amp;G4</f>
        <v>PremiumSS5R5only</v>
      </c>
      <c r="D4" s="7" t="str">
        <f t="shared" ref="D4:D6" si="4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紫式部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250</v>
      </c>
      <c r="P4" s="46">
        <f t="shared" ref="P4:P6" si="5"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input_546100!A$2</f>
        <v>546100</v>
      </c>
      <c r="B5" s="1">
        <v>734</v>
      </c>
      <c r="C5" s="7" t="str">
        <f t="shared" si="3"/>
        <v>PremiumSS5R5only</v>
      </c>
      <c r="D5" s="7" t="str">
        <f t="shared" si="4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伊達政宗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 t="shared" si="5"/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input_546100!A$2</f>
        <v>546100</v>
      </c>
      <c r="B6" s="1">
        <v>1246</v>
      </c>
      <c r="C6" s="7" t="str">
        <f t="shared" si="3"/>
        <v>PremiumSS5R5only</v>
      </c>
      <c r="D6" s="7" t="str">
        <f t="shared" si="4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望月千代女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heal</v>
      </c>
      <c r="M6" s="7" t="str">
        <f>VLOOKUP(B6,[1]characters!$A:$M,13,FALSE)</f>
        <v>human</v>
      </c>
      <c r="N6" s="7">
        <f>VLOOKUP(B6,[1]characters!$A:$G,7,FALSE)</f>
        <v>0</v>
      </c>
      <c r="O6" s="45">
        <v>250</v>
      </c>
      <c r="P6" s="46">
        <f t="shared" si="5"/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input_546010</vt:lpstr>
      <vt:lpstr>tables_546010</vt:lpstr>
      <vt:lpstr>input_546100</vt:lpstr>
      <vt:lpstr>tables_546100</vt:lpstr>
      <vt:lpstr>tables_settle_546100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2017-03-08T11:17:42Z</dcterms:modified>
</cp:coreProperties>
</file>