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426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b-test/GitHub/BULL_data/master_excel/"/>
    </mc:Choice>
  </mc:AlternateContent>
  <bookViews>
    <workbookView xWindow="1620" yWindow="460" windowWidth="34980" windowHeight="18080" tabRatio="740" activeTab="4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s" sheetId="10" r:id="rId5"/>
    <sheet name="enemy_skill_triggers" sheetId="11" r:id="rId6"/>
    <sheet name="enemy_skill_sets" sheetId="9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enemy_habitat_S!$B$1:$AA$2</definedName>
    <definedName name="_xlnm._FilterDatabase" localSheetId="2" hidden="1">enemy_habitats!$B$1:$AJ$1</definedName>
    <definedName name="_xlnm._FilterDatabase" localSheetId="6" hidden="1">enemy_skill_sets!$A$1:$R$1</definedName>
    <definedName name="_xlnm._FilterDatabase" localSheetId="5" hidden="1">enemy_skill_triggers!$A$1:$G$1</definedName>
    <definedName name="_xlnm._FilterDatabase" localSheetId="4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6">[1]unit_skills!#REF!</definedName>
    <definedName name="Excel_BuiltIn__FilterDatabase_6_1" localSheetId="5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03" i="11" l="1"/>
  <c r="O121" i="9"/>
  <c r="N121" i="9"/>
  <c r="M121" i="9"/>
  <c r="L121" i="9"/>
  <c r="K121" i="9"/>
  <c r="J121" i="9"/>
  <c r="I121" i="9"/>
  <c r="H121" i="9"/>
  <c r="G121" i="9"/>
  <c r="E121" i="9"/>
  <c r="D121" i="9"/>
  <c r="A121" i="9"/>
  <c r="J102" i="11"/>
  <c r="O120" i="9"/>
  <c r="N120" i="9"/>
  <c r="M120" i="9"/>
  <c r="L120" i="9"/>
  <c r="K120" i="9"/>
  <c r="J120" i="9"/>
  <c r="I120" i="9"/>
  <c r="H120" i="9"/>
  <c r="G120" i="9"/>
  <c r="E120" i="9"/>
  <c r="D120" i="9"/>
  <c r="A120" i="9"/>
  <c r="J101" i="11"/>
  <c r="O119" i="9"/>
  <c r="N119" i="9"/>
  <c r="M119" i="9"/>
  <c r="L119" i="9"/>
  <c r="K119" i="9"/>
  <c r="J119" i="9"/>
  <c r="I119" i="9"/>
  <c r="H119" i="9"/>
  <c r="G119" i="9"/>
  <c r="E119" i="9"/>
  <c r="D119" i="9"/>
  <c r="A119" i="9"/>
  <c r="J100" i="11"/>
  <c r="O118" i="9"/>
  <c r="N118" i="9"/>
  <c r="M118" i="9"/>
  <c r="L118" i="9"/>
  <c r="K118" i="9"/>
  <c r="J118" i="9"/>
  <c r="I118" i="9"/>
  <c r="H118" i="9"/>
  <c r="G118" i="9"/>
  <c r="E118" i="9"/>
  <c r="D118" i="9"/>
  <c r="A118" i="9"/>
  <c r="J91" i="11"/>
  <c r="O117" i="9"/>
  <c r="N117" i="9"/>
  <c r="M117" i="9"/>
  <c r="L117" i="9"/>
  <c r="K117" i="9"/>
  <c r="J117" i="9"/>
  <c r="I117" i="9"/>
  <c r="H117" i="9"/>
  <c r="G117" i="9"/>
  <c r="E117" i="9"/>
  <c r="D117" i="9"/>
  <c r="A117" i="9"/>
  <c r="J90" i="11"/>
  <c r="O116" i="9"/>
  <c r="N116" i="9"/>
  <c r="M116" i="9"/>
  <c r="L116" i="9"/>
  <c r="K116" i="9"/>
  <c r="J116" i="9"/>
  <c r="I116" i="9"/>
  <c r="H116" i="9"/>
  <c r="G116" i="9"/>
  <c r="E116" i="9"/>
  <c r="D116" i="9"/>
  <c r="A116" i="9"/>
  <c r="J99" i="11"/>
  <c r="O115" i="9"/>
  <c r="N115" i="9"/>
  <c r="M115" i="9"/>
  <c r="L115" i="9"/>
  <c r="K115" i="9"/>
  <c r="J115" i="9"/>
  <c r="I115" i="9"/>
  <c r="H115" i="9"/>
  <c r="G115" i="9"/>
  <c r="E115" i="9"/>
  <c r="D115" i="9"/>
  <c r="A115" i="9"/>
  <c r="J98" i="11"/>
  <c r="O114" i="9"/>
  <c r="N114" i="9"/>
  <c r="M114" i="9"/>
  <c r="L114" i="9"/>
  <c r="K114" i="9"/>
  <c r="J114" i="9"/>
  <c r="I114" i="9"/>
  <c r="H114" i="9"/>
  <c r="G114" i="9"/>
  <c r="E114" i="9"/>
  <c r="D114" i="9"/>
  <c r="A114" i="9"/>
  <c r="J97" i="11"/>
  <c r="O113" i="9"/>
  <c r="N113" i="9"/>
  <c r="M113" i="9"/>
  <c r="L113" i="9"/>
  <c r="K113" i="9"/>
  <c r="J113" i="9"/>
  <c r="I113" i="9"/>
  <c r="H113" i="9"/>
  <c r="G113" i="9"/>
  <c r="E113" i="9"/>
  <c r="D113" i="9"/>
  <c r="A113" i="9"/>
  <c r="J96" i="11"/>
  <c r="O112" i="9"/>
  <c r="N112" i="9"/>
  <c r="M112" i="9"/>
  <c r="L112" i="9"/>
  <c r="K112" i="9"/>
  <c r="J112" i="9"/>
  <c r="I112" i="9"/>
  <c r="H112" i="9"/>
  <c r="G112" i="9"/>
  <c r="E112" i="9"/>
  <c r="D112" i="9"/>
  <c r="A112" i="9"/>
  <c r="J89" i="11"/>
  <c r="O111" i="9"/>
  <c r="N111" i="9"/>
  <c r="M111" i="9"/>
  <c r="L111" i="9"/>
  <c r="K111" i="9"/>
  <c r="J111" i="9"/>
  <c r="I111" i="9"/>
  <c r="H111" i="9"/>
  <c r="G111" i="9"/>
  <c r="E111" i="9"/>
  <c r="D111" i="9"/>
  <c r="A111" i="9"/>
  <c r="J88" i="11"/>
  <c r="O110" i="9"/>
  <c r="N110" i="9"/>
  <c r="M110" i="9"/>
  <c r="L110" i="9"/>
  <c r="K110" i="9"/>
  <c r="J110" i="9"/>
  <c r="I110" i="9"/>
  <c r="H110" i="9"/>
  <c r="G110" i="9"/>
  <c r="E110" i="9"/>
  <c r="D110" i="9"/>
  <c r="A110" i="9"/>
  <c r="J95" i="11"/>
  <c r="O109" i="9"/>
  <c r="N109" i="9"/>
  <c r="M109" i="9"/>
  <c r="L109" i="9"/>
  <c r="K109" i="9"/>
  <c r="J109" i="9"/>
  <c r="I109" i="9"/>
  <c r="H109" i="9"/>
  <c r="G109" i="9"/>
  <c r="E109" i="9"/>
  <c r="D109" i="9"/>
  <c r="A109" i="9"/>
  <c r="J94" i="11"/>
  <c r="O108" i="9"/>
  <c r="N108" i="9"/>
  <c r="M108" i="9"/>
  <c r="L108" i="9"/>
  <c r="K108" i="9"/>
  <c r="J108" i="9"/>
  <c r="I108" i="9"/>
  <c r="H108" i="9"/>
  <c r="G108" i="9"/>
  <c r="E108" i="9"/>
  <c r="D108" i="9"/>
  <c r="A108" i="9"/>
  <c r="J93" i="11"/>
  <c r="O107" i="9"/>
  <c r="N107" i="9"/>
  <c r="M107" i="9"/>
  <c r="L107" i="9"/>
  <c r="K107" i="9"/>
  <c r="J107" i="9"/>
  <c r="I107" i="9"/>
  <c r="H107" i="9"/>
  <c r="G107" i="9"/>
  <c r="E107" i="9"/>
  <c r="D107" i="9"/>
  <c r="A107" i="9"/>
  <c r="J92" i="11"/>
  <c r="O106" i="9"/>
  <c r="N106" i="9"/>
  <c r="M106" i="9"/>
  <c r="L106" i="9"/>
  <c r="K106" i="9"/>
  <c r="J106" i="9"/>
  <c r="I106" i="9"/>
  <c r="H106" i="9"/>
  <c r="G106" i="9"/>
  <c r="E106" i="9"/>
  <c r="D106" i="9"/>
  <c r="A106" i="9"/>
  <c r="J87" i="11"/>
  <c r="O105" i="9"/>
  <c r="N105" i="9"/>
  <c r="M105" i="9"/>
  <c r="L105" i="9"/>
  <c r="K105" i="9"/>
  <c r="J105" i="9"/>
  <c r="I105" i="9"/>
  <c r="H105" i="9"/>
  <c r="G105" i="9"/>
  <c r="E105" i="9"/>
  <c r="D105" i="9"/>
  <c r="A105" i="9"/>
  <c r="J86" i="11"/>
  <c r="O104" i="9"/>
  <c r="N104" i="9"/>
  <c r="M104" i="9"/>
  <c r="L104" i="9"/>
  <c r="K104" i="9"/>
  <c r="J104" i="9"/>
  <c r="I104" i="9"/>
  <c r="H104" i="9"/>
  <c r="G104" i="9"/>
  <c r="E104" i="9"/>
  <c r="D104" i="9"/>
  <c r="A104" i="9"/>
  <c r="O99" i="9"/>
  <c r="N99" i="9"/>
  <c r="M99" i="9"/>
  <c r="L99" i="9"/>
  <c r="K99" i="9"/>
  <c r="J99" i="9"/>
  <c r="I99" i="9"/>
  <c r="H99" i="9"/>
  <c r="G99" i="9"/>
  <c r="E99" i="9"/>
  <c r="D99" i="9"/>
  <c r="A99" i="9"/>
  <c r="O98" i="9"/>
  <c r="N98" i="9"/>
  <c r="M98" i="9"/>
  <c r="L98" i="9"/>
  <c r="K98" i="9"/>
  <c r="J98" i="9"/>
  <c r="I98" i="9"/>
  <c r="H98" i="9"/>
  <c r="G98" i="9"/>
  <c r="E98" i="9"/>
  <c r="D98" i="9"/>
  <c r="A98" i="9"/>
  <c r="G86" i="10"/>
  <c r="H86" i="10"/>
  <c r="I86" i="10"/>
  <c r="J86" i="10"/>
  <c r="K86" i="10"/>
  <c r="L86" i="10"/>
  <c r="M86" i="10"/>
  <c r="N86" i="10"/>
  <c r="O86" i="10"/>
  <c r="P86" i="10"/>
  <c r="Q86" i="10"/>
  <c r="R86" i="10"/>
  <c r="S86" i="10"/>
  <c r="T86" i="10"/>
  <c r="U86" i="10"/>
  <c r="V86" i="10"/>
  <c r="W86" i="10"/>
  <c r="X86" i="10"/>
  <c r="Y86" i="10"/>
  <c r="D29" i="9"/>
  <c r="O103" i="9"/>
  <c r="N103" i="9"/>
  <c r="M103" i="9"/>
  <c r="L103" i="9"/>
  <c r="K103" i="9"/>
  <c r="J103" i="9"/>
  <c r="I103" i="9"/>
  <c r="H103" i="9"/>
  <c r="G103" i="9"/>
  <c r="E103" i="9"/>
  <c r="D103" i="9"/>
  <c r="A103" i="9"/>
  <c r="O102" i="9"/>
  <c r="N102" i="9"/>
  <c r="M102" i="9"/>
  <c r="L102" i="9"/>
  <c r="K102" i="9"/>
  <c r="J102" i="9"/>
  <c r="I102" i="9"/>
  <c r="H102" i="9"/>
  <c r="G102" i="9"/>
  <c r="E102" i="9"/>
  <c r="D102" i="9"/>
  <c r="A102" i="9"/>
  <c r="O101" i="9"/>
  <c r="N101" i="9"/>
  <c r="M101" i="9"/>
  <c r="L101" i="9"/>
  <c r="K101" i="9"/>
  <c r="J101" i="9"/>
  <c r="I101" i="9"/>
  <c r="H101" i="9"/>
  <c r="G101" i="9"/>
  <c r="E101" i="9"/>
  <c r="D101" i="9"/>
  <c r="A101" i="9"/>
  <c r="O100" i="9"/>
  <c r="N100" i="9"/>
  <c r="M100" i="9"/>
  <c r="L100" i="9"/>
  <c r="K100" i="9"/>
  <c r="J100" i="9"/>
  <c r="I100" i="9"/>
  <c r="H100" i="9"/>
  <c r="G100" i="9"/>
  <c r="E100" i="9"/>
  <c r="D100" i="9"/>
  <c r="A100" i="9"/>
  <c r="O97" i="9"/>
  <c r="N97" i="9"/>
  <c r="M97" i="9"/>
  <c r="L97" i="9"/>
  <c r="K97" i="9"/>
  <c r="J97" i="9"/>
  <c r="I97" i="9"/>
  <c r="H97" i="9"/>
  <c r="G97" i="9"/>
  <c r="E97" i="9"/>
  <c r="D97" i="9"/>
  <c r="A97" i="9"/>
  <c r="O96" i="9"/>
  <c r="N96" i="9"/>
  <c r="M96" i="9"/>
  <c r="L96" i="9"/>
  <c r="K96" i="9"/>
  <c r="J96" i="9"/>
  <c r="I96" i="9"/>
  <c r="H96" i="9"/>
  <c r="G96" i="9"/>
  <c r="E96" i="9"/>
  <c r="D96" i="9"/>
  <c r="A96" i="9"/>
  <c r="O95" i="9"/>
  <c r="N95" i="9"/>
  <c r="M95" i="9"/>
  <c r="L95" i="9"/>
  <c r="K95" i="9"/>
  <c r="J95" i="9"/>
  <c r="I95" i="9"/>
  <c r="H95" i="9"/>
  <c r="G95" i="9"/>
  <c r="E95" i="9"/>
  <c r="D95" i="9"/>
  <c r="A95" i="9"/>
  <c r="O94" i="9"/>
  <c r="N94" i="9"/>
  <c r="M94" i="9"/>
  <c r="L94" i="9"/>
  <c r="K94" i="9"/>
  <c r="J94" i="9"/>
  <c r="I94" i="9"/>
  <c r="H94" i="9"/>
  <c r="G94" i="9"/>
  <c r="E94" i="9"/>
  <c r="D94" i="9"/>
  <c r="A94" i="9"/>
  <c r="O93" i="9"/>
  <c r="N93" i="9"/>
  <c r="M93" i="9"/>
  <c r="L93" i="9"/>
  <c r="K93" i="9"/>
  <c r="J93" i="9"/>
  <c r="I93" i="9"/>
  <c r="H93" i="9"/>
  <c r="G93" i="9"/>
  <c r="E93" i="9"/>
  <c r="D93" i="9"/>
  <c r="A93" i="9"/>
  <c r="O92" i="9"/>
  <c r="N92" i="9"/>
  <c r="M92" i="9"/>
  <c r="L92" i="9"/>
  <c r="K92" i="9"/>
  <c r="J92" i="9"/>
  <c r="I92" i="9"/>
  <c r="H92" i="9"/>
  <c r="G92" i="9"/>
  <c r="E92" i="9"/>
  <c r="D92" i="9"/>
  <c r="A92" i="9"/>
  <c r="O91" i="9"/>
  <c r="N91" i="9"/>
  <c r="M91" i="9"/>
  <c r="L91" i="9"/>
  <c r="K91" i="9"/>
  <c r="J91" i="9"/>
  <c r="I91" i="9"/>
  <c r="H91" i="9"/>
  <c r="G91" i="9"/>
  <c r="E91" i="9"/>
  <c r="D91" i="9"/>
  <c r="A91" i="9"/>
  <c r="O90" i="9"/>
  <c r="N90" i="9"/>
  <c r="M90" i="9"/>
  <c r="L90" i="9"/>
  <c r="K90" i="9"/>
  <c r="J90" i="9"/>
  <c r="I90" i="9"/>
  <c r="H90" i="9"/>
  <c r="G90" i="9"/>
  <c r="E90" i="9"/>
  <c r="D90" i="9"/>
  <c r="A90" i="9"/>
  <c r="O89" i="9"/>
  <c r="N89" i="9"/>
  <c r="M89" i="9"/>
  <c r="L89" i="9"/>
  <c r="K89" i="9"/>
  <c r="J89" i="9"/>
  <c r="I89" i="9"/>
  <c r="H89" i="9"/>
  <c r="G89" i="9"/>
  <c r="E89" i="9"/>
  <c r="D89" i="9"/>
  <c r="A89" i="9"/>
  <c r="O88" i="9"/>
  <c r="N88" i="9"/>
  <c r="M88" i="9"/>
  <c r="L88" i="9"/>
  <c r="K88" i="9"/>
  <c r="J88" i="9"/>
  <c r="I88" i="9"/>
  <c r="H88" i="9"/>
  <c r="G88" i="9"/>
  <c r="E88" i="9"/>
  <c r="D88" i="9"/>
  <c r="A88" i="9"/>
  <c r="O87" i="9"/>
  <c r="N87" i="9"/>
  <c r="M87" i="9"/>
  <c r="L87" i="9"/>
  <c r="K87" i="9"/>
  <c r="J87" i="9"/>
  <c r="I87" i="9"/>
  <c r="H87" i="9"/>
  <c r="G87" i="9"/>
  <c r="E87" i="9"/>
  <c r="D87" i="9"/>
  <c r="A87" i="9"/>
  <c r="O86" i="9"/>
  <c r="N86" i="9"/>
  <c r="M86" i="9"/>
  <c r="L86" i="9"/>
  <c r="K86" i="9"/>
  <c r="J86" i="9"/>
  <c r="I86" i="9"/>
  <c r="H86" i="9"/>
  <c r="G86" i="9"/>
  <c r="E86" i="9"/>
  <c r="D86" i="9"/>
  <c r="A86" i="9"/>
  <c r="M91" i="10"/>
  <c r="T91" i="10"/>
  <c r="W91" i="10"/>
  <c r="V91" i="10"/>
  <c r="X91" i="10"/>
  <c r="U91" i="10"/>
  <c r="Y91" i="10"/>
  <c r="N91" i="10"/>
  <c r="Q91" i="10"/>
  <c r="P91" i="10"/>
  <c r="R91" i="10"/>
  <c r="O91" i="10"/>
  <c r="S91" i="10"/>
  <c r="G91" i="10"/>
  <c r="J91" i="10"/>
  <c r="I91" i="10"/>
  <c r="K91" i="10"/>
  <c r="H91" i="10"/>
  <c r="L91" i="10"/>
  <c r="M90" i="10"/>
  <c r="T90" i="10"/>
  <c r="W90" i="10"/>
  <c r="V90" i="10"/>
  <c r="X90" i="10"/>
  <c r="U90" i="10"/>
  <c r="Y90" i="10"/>
  <c r="N90" i="10"/>
  <c r="Q90" i="10"/>
  <c r="P90" i="10"/>
  <c r="R90" i="10"/>
  <c r="O90" i="10"/>
  <c r="S90" i="10"/>
  <c r="G90" i="10"/>
  <c r="J90" i="10"/>
  <c r="I90" i="10"/>
  <c r="K90" i="10"/>
  <c r="H90" i="10"/>
  <c r="L90" i="10"/>
  <c r="M89" i="10"/>
  <c r="T89" i="10"/>
  <c r="W89" i="10"/>
  <c r="V89" i="10"/>
  <c r="X89" i="10"/>
  <c r="U89" i="10"/>
  <c r="Y89" i="10"/>
  <c r="N89" i="10"/>
  <c r="Q89" i="10"/>
  <c r="P89" i="10"/>
  <c r="R89" i="10"/>
  <c r="O89" i="10"/>
  <c r="S89" i="10"/>
  <c r="G89" i="10"/>
  <c r="J89" i="10"/>
  <c r="I89" i="10"/>
  <c r="K89" i="10"/>
  <c r="H89" i="10"/>
  <c r="L89" i="10"/>
  <c r="M88" i="10"/>
  <c r="T88" i="10"/>
  <c r="W88" i="10"/>
  <c r="V88" i="10"/>
  <c r="X88" i="10"/>
  <c r="U88" i="10"/>
  <c r="Y88" i="10"/>
  <c r="N88" i="10"/>
  <c r="Q88" i="10"/>
  <c r="P88" i="10"/>
  <c r="R88" i="10"/>
  <c r="O88" i="10"/>
  <c r="S88" i="10"/>
  <c r="G88" i="10"/>
  <c r="J88" i="10"/>
  <c r="I88" i="10"/>
  <c r="K88" i="10"/>
  <c r="H88" i="10"/>
  <c r="L88" i="10"/>
  <c r="M87" i="10"/>
  <c r="T87" i="10"/>
  <c r="W87" i="10"/>
  <c r="V87" i="10"/>
  <c r="X87" i="10"/>
  <c r="U87" i="10"/>
  <c r="Y87" i="10"/>
  <c r="N87" i="10"/>
  <c r="Q87" i="10"/>
  <c r="P87" i="10"/>
  <c r="R87" i="10"/>
  <c r="O87" i="10"/>
  <c r="S87" i="10"/>
  <c r="G87" i="10"/>
  <c r="J87" i="10"/>
  <c r="I87" i="10"/>
  <c r="K87" i="10"/>
  <c r="H87" i="10"/>
  <c r="L87" i="10"/>
  <c r="B25" i="21"/>
  <c r="I25" i="21"/>
  <c r="J25" i="21"/>
  <c r="G25" i="21"/>
  <c r="F25" i="21"/>
  <c r="D25" i="21"/>
  <c r="C25" i="21"/>
  <c r="B24" i="21"/>
  <c r="I24" i="21"/>
  <c r="J24" i="21"/>
  <c r="G24" i="21"/>
  <c r="F24" i="21"/>
  <c r="D24" i="21"/>
  <c r="C24" i="21"/>
  <c r="B23" i="21"/>
  <c r="I23" i="21"/>
  <c r="J23" i="21"/>
  <c r="G23" i="21"/>
  <c r="F23" i="21"/>
  <c r="D23" i="21"/>
  <c r="C23" i="21"/>
  <c r="B22" i="21"/>
  <c r="I22" i="21"/>
  <c r="J22" i="21"/>
  <c r="G22" i="21"/>
  <c r="F22" i="21"/>
  <c r="D22" i="21"/>
  <c r="C22" i="21"/>
  <c r="B21" i="21"/>
  <c r="I21" i="21"/>
  <c r="J21" i="21"/>
  <c r="G21" i="21"/>
  <c r="F21" i="21"/>
  <c r="D21" i="21"/>
  <c r="C21" i="21"/>
  <c r="B20" i="21"/>
  <c r="I20" i="21"/>
  <c r="J20" i="21"/>
  <c r="G20" i="21"/>
  <c r="F20" i="21"/>
  <c r="D20" i="21"/>
  <c r="C20" i="21"/>
  <c r="B19" i="21"/>
  <c r="I19" i="21"/>
  <c r="J19" i="21"/>
  <c r="G19" i="21"/>
  <c r="F19" i="21"/>
  <c r="D19" i="21"/>
  <c r="C19" i="21"/>
  <c r="B18" i="21"/>
  <c r="I18" i="21"/>
  <c r="J18" i="21"/>
  <c r="G18" i="21"/>
  <c r="F18" i="21"/>
  <c r="D18" i="21"/>
  <c r="C18" i="21"/>
  <c r="B17" i="21"/>
  <c r="I17" i="21"/>
  <c r="J17" i="21"/>
  <c r="G17" i="21"/>
  <c r="F17" i="21"/>
  <c r="D17" i="21"/>
  <c r="C17" i="21"/>
  <c r="B16" i="21"/>
  <c r="I16" i="21"/>
  <c r="J16" i="21"/>
  <c r="G16" i="21"/>
  <c r="F16" i="21"/>
  <c r="D16" i="21"/>
  <c r="C16" i="21"/>
  <c r="B15" i="21"/>
  <c r="I15" i="21"/>
  <c r="J15" i="21"/>
  <c r="G15" i="21"/>
  <c r="F15" i="21"/>
  <c r="D15" i="21"/>
  <c r="C15" i="21"/>
  <c r="B14" i="21"/>
  <c r="I14" i="21"/>
  <c r="J14" i="21"/>
  <c r="G14" i="21"/>
  <c r="F14" i="21"/>
  <c r="D14" i="21"/>
  <c r="C14" i="21"/>
  <c r="B9" i="21"/>
  <c r="C9" i="21"/>
  <c r="D9" i="21"/>
  <c r="F9" i="21"/>
  <c r="G9" i="21"/>
  <c r="I9" i="21"/>
  <c r="J9" i="21"/>
  <c r="J85" i="11"/>
  <c r="O85" i="9"/>
  <c r="N85" i="9"/>
  <c r="M85" i="9"/>
  <c r="L85" i="9"/>
  <c r="K85" i="9"/>
  <c r="J85" i="9"/>
  <c r="I85" i="9"/>
  <c r="H85" i="9"/>
  <c r="G85" i="9"/>
  <c r="E85" i="9"/>
  <c r="D85" i="9"/>
  <c r="A85" i="9"/>
  <c r="J84" i="11"/>
  <c r="O84" i="9"/>
  <c r="N84" i="9"/>
  <c r="M84" i="9"/>
  <c r="L84" i="9"/>
  <c r="K84" i="9"/>
  <c r="J84" i="9"/>
  <c r="I84" i="9"/>
  <c r="H84" i="9"/>
  <c r="G84" i="9"/>
  <c r="E84" i="9"/>
  <c r="D84" i="9"/>
  <c r="A84" i="9"/>
  <c r="J83" i="11"/>
  <c r="O83" i="9"/>
  <c r="N83" i="9"/>
  <c r="M83" i="9"/>
  <c r="L83" i="9"/>
  <c r="K83" i="9"/>
  <c r="J83" i="9"/>
  <c r="I83" i="9"/>
  <c r="H83" i="9"/>
  <c r="G83" i="9"/>
  <c r="E83" i="9"/>
  <c r="D83" i="9"/>
  <c r="A83" i="9"/>
  <c r="J82" i="11"/>
  <c r="O82" i="9"/>
  <c r="N82" i="9"/>
  <c r="M82" i="9"/>
  <c r="L82" i="9"/>
  <c r="K82" i="9"/>
  <c r="J82" i="9"/>
  <c r="I82" i="9"/>
  <c r="H82" i="9"/>
  <c r="G82" i="9"/>
  <c r="E82" i="9"/>
  <c r="D82" i="9"/>
  <c r="A82" i="9"/>
  <c r="J81" i="11"/>
  <c r="O81" i="9"/>
  <c r="N81" i="9"/>
  <c r="M81" i="9"/>
  <c r="L81" i="9"/>
  <c r="K81" i="9"/>
  <c r="J81" i="9"/>
  <c r="I81" i="9"/>
  <c r="H81" i="9"/>
  <c r="G81" i="9"/>
  <c r="E81" i="9"/>
  <c r="D81" i="9"/>
  <c r="A81" i="9"/>
  <c r="J80" i="11"/>
  <c r="O80" i="9"/>
  <c r="N80" i="9"/>
  <c r="M80" i="9"/>
  <c r="L80" i="9"/>
  <c r="K80" i="9"/>
  <c r="J80" i="9"/>
  <c r="I80" i="9"/>
  <c r="H80" i="9"/>
  <c r="G80" i="9"/>
  <c r="E80" i="9"/>
  <c r="D80" i="9"/>
  <c r="A80" i="9"/>
  <c r="J79" i="11"/>
  <c r="O79" i="9"/>
  <c r="N79" i="9"/>
  <c r="M79" i="9"/>
  <c r="L79" i="9"/>
  <c r="K79" i="9"/>
  <c r="J79" i="9"/>
  <c r="I79" i="9"/>
  <c r="H79" i="9"/>
  <c r="G79" i="9"/>
  <c r="E79" i="9"/>
  <c r="D79" i="9"/>
  <c r="A79" i="9"/>
  <c r="J78" i="11"/>
  <c r="O78" i="9"/>
  <c r="N78" i="9"/>
  <c r="M78" i="9"/>
  <c r="L78" i="9"/>
  <c r="K78" i="9"/>
  <c r="J78" i="9"/>
  <c r="I78" i="9"/>
  <c r="H78" i="9"/>
  <c r="G78" i="9"/>
  <c r="E78" i="9"/>
  <c r="D78" i="9"/>
  <c r="A78" i="9"/>
  <c r="J77" i="11"/>
  <c r="O77" i="9"/>
  <c r="N77" i="9"/>
  <c r="M77" i="9"/>
  <c r="L77" i="9"/>
  <c r="K77" i="9"/>
  <c r="J77" i="9"/>
  <c r="I77" i="9"/>
  <c r="H77" i="9"/>
  <c r="G77" i="9"/>
  <c r="E77" i="9"/>
  <c r="D77" i="9"/>
  <c r="A77" i="9"/>
  <c r="J76" i="11"/>
  <c r="O76" i="9"/>
  <c r="N76" i="9"/>
  <c r="M76" i="9"/>
  <c r="L76" i="9"/>
  <c r="K76" i="9"/>
  <c r="J76" i="9"/>
  <c r="I76" i="9"/>
  <c r="H76" i="9"/>
  <c r="G76" i="9"/>
  <c r="E76" i="9"/>
  <c r="D76" i="9"/>
  <c r="A76" i="9"/>
  <c r="J75" i="11"/>
  <c r="O75" i="9"/>
  <c r="N75" i="9"/>
  <c r="M75" i="9"/>
  <c r="L75" i="9"/>
  <c r="K75" i="9"/>
  <c r="J75" i="9"/>
  <c r="I75" i="9"/>
  <c r="H75" i="9"/>
  <c r="G75" i="9"/>
  <c r="E75" i="9"/>
  <c r="D75" i="9"/>
  <c r="A75" i="9"/>
  <c r="J74" i="11"/>
  <c r="O74" i="9"/>
  <c r="N74" i="9"/>
  <c r="M74" i="9"/>
  <c r="L74" i="9"/>
  <c r="K74" i="9"/>
  <c r="J74" i="9"/>
  <c r="I74" i="9"/>
  <c r="H74" i="9"/>
  <c r="G74" i="9"/>
  <c r="E74" i="9"/>
  <c r="D74" i="9"/>
  <c r="A74" i="9"/>
  <c r="J73" i="11"/>
  <c r="O73" i="9"/>
  <c r="N73" i="9"/>
  <c r="M73" i="9"/>
  <c r="L73" i="9"/>
  <c r="K73" i="9"/>
  <c r="J73" i="9"/>
  <c r="I73" i="9"/>
  <c r="H73" i="9"/>
  <c r="G73" i="9"/>
  <c r="E73" i="9"/>
  <c r="D73" i="9"/>
  <c r="A73" i="9"/>
  <c r="J72" i="11"/>
  <c r="O72" i="9"/>
  <c r="N72" i="9"/>
  <c r="M72" i="9"/>
  <c r="L72" i="9"/>
  <c r="K72" i="9"/>
  <c r="J72" i="9"/>
  <c r="I72" i="9"/>
  <c r="H72" i="9"/>
  <c r="G72" i="9"/>
  <c r="E72" i="9"/>
  <c r="D72" i="9"/>
  <c r="A72" i="9"/>
  <c r="J71" i="11"/>
  <c r="O71" i="9"/>
  <c r="N71" i="9"/>
  <c r="M71" i="9"/>
  <c r="L71" i="9"/>
  <c r="K71" i="9"/>
  <c r="J71" i="9"/>
  <c r="I71" i="9"/>
  <c r="H71" i="9"/>
  <c r="G71" i="9"/>
  <c r="E71" i="9"/>
  <c r="D71" i="9"/>
  <c r="A71" i="9"/>
  <c r="J70" i="11"/>
  <c r="O70" i="9"/>
  <c r="N70" i="9"/>
  <c r="M70" i="9"/>
  <c r="L70" i="9"/>
  <c r="K70" i="9"/>
  <c r="J70" i="9"/>
  <c r="I70" i="9"/>
  <c r="H70" i="9"/>
  <c r="G70" i="9"/>
  <c r="E70" i="9"/>
  <c r="D70" i="9"/>
  <c r="A70" i="9"/>
  <c r="J69" i="11"/>
  <c r="O69" i="9"/>
  <c r="N69" i="9"/>
  <c r="M69" i="9"/>
  <c r="L69" i="9"/>
  <c r="K69" i="9"/>
  <c r="J69" i="9"/>
  <c r="I69" i="9"/>
  <c r="H69" i="9"/>
  <c r="G69" i="9"/>
  <c r="E69" i="9"/>
  <c r="D69" i="9"/>
  <c r="A69" i="9"/>
  <c r="J68" i="11"/>
  <c r="O68" i="9"/>
  <c r="N68" i="9"/>
  <c r="M68" i="9"/>
  <c r="L68" i="9"/>
  <c r="K68" i="9"/>
  <c r="J68" i="9"/>
  <c r="I68" i="9"/>
  <c r="H68" i="9"/>
  <c r="G68" i="9"/>
  <c r="E68" i="9"/>
  <c r="D68" i="9"/>
  <c r="A68" i="9"/>
  <c r="J67" i="11"/>
  <c r="O67" i="9"/>
  <c r="N67" i="9"/>
  <c r="M67" i="9"/>
  <c r="L67" i="9"/>
  <c r="K67" i="9"/>
  <c r="J67" i="9"/>
  <c r="I67" i="9"/>
  <c r="H67" i="9"/>
  <c r="G67" i="9"/>
  <c r="E67" i="9"/>
  <c r="D67" i="9"/>
  <c r="A67" i="9"/>
  <c r="J66" i="11"/>
  <c r="O66" i="9"/>
  <c r="N66" i="9"/>
  <c r="M66" i="9"/>
  <c r="L66" i="9"/>
  <c r="K66" i="9"/>
  <c r="J66" i="9"/>
  <c r="I66" i="9"/>
  <c r="H66" i="9"/>
  <c r="G66" i="9"/>
  <c r="E66" i="9"/>
  <c r="D66" i="9"/>
  <c r="A66" i="9"/>
  <c r="J65" i="11"/>
  <c r="O65" i="9"/>
  <c r="N65" i="9"/>
  <c r="M65" i="9"/>
  <c r="L65" i="9"/>
  <c r="K65" i="9"/>
  <c r="J65" i="9"/>
  <c r="I65" i="9"/>
  <c r="H65" i="9"/>
  <c r="G65" i="9"/>
  <c r="E65" i="9"/>
  <c r="D65" i="9"/>
  <c r="A65" i="9"/>
  <c r="J64" i="11"/>
  <c r="O64" i="9"/>
  <c r="N64" i="9"/>
  <c r="M64" i="9"/>
  <c r="L64" i="9"/>
  <c r="K64" i="9"/>
  <c r="J64" i="9"/>
  <c r="I64" i="9"/>
  <c r="H64" i="9"/>
  <c r="G64" i="9"/>
  <c r="E64" i="9"/>
  <c r="D64" i="9"/>
  <c r="A64" i="9"/>
  <c r="J63" i="11"/>
  <c r="O63" i="9"/>
  <c r="N63" i="9"/>
  <c r="M63" i="9"/>
  <c r="L63" i="9"/>
  <c r="K63" i="9"/>
  <c r="J63" i="9"/>
  <c r="I63" i="9"/>
  <c r="H63" i="9"/>
  <c r="G63" i="9"/>
  <c r="E63" i="9"/>
  <c r="D63" i="9"/>
  <c r="A63" i="9"/>
  <c r="J62" i="11"/>
  <c r="O62" i="9"/>
  <c r="N62" i="9"/>
  <c r="M62" i="9"/>
  <c r="L62" i="9"/>
  <c r="K62" i="9"/>
  <c r="J62" i="9"/>
  <c r="I62" i="9"/>
  <c r="H62" i="9"/>
  <c r="G62" i="9"/>
  <c r="E62" i="9"/>
  <c r="D62" i="9"/>
  <c r="A62" i="9"/>
  <c r="J61" i="11"/>
  <c r="O61" i="9"/>
  <c r="N61" i="9"/>
  <c r="M61" i="9"/>
  <c r="L61" i="9"/>
  <c r="K61" i="9"/>
  <c r="J61" i="9"/>
  <c r="I61" i="9"/>
  <c r="H61" i="9"/>
  <c r="G61" i="9"/>
  <c r="E61" i="9"/>
  <c r="D61" i="9"/>
  <c r="A61" i="9"/>
  <c r="J60" i="11"/>
  <c r="O60" i="9"/>
  <c r="N60" i="9"/>
  <c r="M60" i="9"/>
  <c r="L60" i="9"/>
  <c r="K60" i="9"/>
  <c r="J60" i="9"/>
  <c r="I60" i="9"/>
  <c r="H60" i="9"/>
  <c r="G60" i="9"/>
  <c r="E60" i="9"/>
  <c r="D60" i="9"/>
  <c r="A60" i="9"/>
  <c r="J59" i="11"/>
  <c r="O59" i="9"/>
  <c r="N59" i="9"/>
  <c r="M59" i="9"/>
  <c r="L59" i="9"/>
  <c r="K59" i="9"/>
  <c r="J59" i="9"/>
  <c r="I59" i="9"/>
  <c r="H59" i="9"/>
  <c r="G59" i="9"/>
  <c r="E59" i="9"/>
  <c r="D59" i="9"/>
  <c r="A59" i="9"/>
  <c r="J58" i="11"/>
  <c r="O58" i="9"/>
  <c r="N58" i="9"/>
  <c r="M58" i="9"/>
  <c r="L58" i="9"/>
  <c r="K58" i="9"/>
  <c r="J58" i="9"/>
  <c r="I58" i="9"/>
  <c r="H58" i="9"/>
  <c r="G58" i="9"/>
  <c r="E58" i="9"/>
  <c r="D58" i="9"/>
  <c r="A58" i="9"/>
  <c r="J57" i="11"/>
  <c r="O57" i="9"/>
  <c r="N57" i="9"/>
  <c r="M57" i="9"/>
  <c r="L57" i="9"/>
  <c r="K57" i="9"/>
  <c r="J57" i="9"/>
  <c r="I57" i="9"/>
  <c r="H57" i="9"/>
  <c r="G57" i="9"/>
  <c r="E57" i="9"/>
  <c r="D57" i="9"/>
  <c r="A57" i="9"/>
  <c r="J56" i="11"/>
  <c r="O56" i="9"/>
  <c r="N56" i="9"/>
  <c r="M56" i="9"/>
  <c r="L56" i="9"/>
  <c r="K56" i="9"/>
  <c r="J56" i="9"/>
  <c r="I56" i="9"/>
  <c r="H56" i="9"/>
  <c r="G56" i="9"/>
  <c r="E56" i="9"/>
  <c r="D56" i="9"/>
  <c r="A56" i="9"/>
  <c r="J55" i="11"/>
  <c r="O55" i="9"/>
  <c r="N55" i="9"/>
  <c r="M55" i="9"/>
  <c r="L55" i="9"/>
  <c r="K55" i="9"/>
  <c r="J55" i="9"/>
  <c r="I55" i="9"/>
  <c r="H55" i="9"/>
  <c r="G55" i="9"/>
  <c r="E55" i="9"/>
  <c r="D55" i="9"/>
  <c r="A55" i="9"/>
  <c r="J54" i="11"/>
  <c r="O54" i="9"/>
  <c r="N54" i="9"/>
  <c r="M54" i="9"/>
  <c r="L54" i="9"/>
  <c r="K54" i="9"/>
  <c r="J54" i="9"/>
  <c r="I54" i="9"/>
  <c r="H54" i="9"/>
  <c r="G54" i="9"/>
  <c r="E54" i="9"/>
  <c r="D54" i="9"/>
  <c r="A54" i="9"/>
  <c r="J53" i="11"/>
  <c r="O53" i="9"/>
  <c r="N53" i="9"/>
  <c r="M53" i="9"/>
  <c r="L53" i="9"/>
  <c r="K53" i="9"/>
  <c r="J53" i="9"/>
  <c r="I53" i="9"/>
  <c r="H53" i="9"/>
  <c r="G53" i="9"/>
  <c r="E53" i="9"/>
  <c r="D53" i="9"/>
  <c r="A53" i="9"/>
  <c r="J52" i="11"/>
  <c r="O52" i="9"/>
  <c r="N52" i="9"/>
  <c r="M52" i="9"/>
  <c r="L52" i="9"/>
  <c r="K52" i="9"/>
  <c r="J52" i="9"/>
  <c r="I52" i="9"/>
  <c r="H52" i="9"/>
  <c r="G52" i="9"/>
  <c r="E52" i="9"/>
  <c r="D52" i="9"/>
  <c r="A52" i="9"/>
  <c r="J51" i="11"/>
  <c r="O51" i="9"/>
  <c r="N51" i="9"/>
  <c r="M51" i="9"/>
  <c r="L51" i="9"/>
  <c r="K51" i="9"/>
  <c r="J51" i="9"/>
  <c r="I51" i="9"/>
  <c r="H51" i="9"/>
  <c r="G51" i="9"/>
  <c r="E51" i="9"/>
  <c r="D51" i="9"/>
  <c r="A51" i="9"/>
  <c r="J50" i="11"/>
  <c r="O50" i="9"/>
  <c r="N50" i="9"/>
  <c r="M50" i="9"/>
  <c r="L50" i="9"/>
  <c r="K50" i="9"/>
  <c r="J50" i="9"/>
  <c r="I50" i="9"/>
  <c r="H50" i="9"/>
  <c r="G50" i="9"/>
  <c r="E50" i="9"/>
  <c r="D50" i="9"/>
  <c r="A50" i="9"/>
  <c r="J49" i="11"/>
  <c r="O49" i="9"/>
  <c r="N49" i="9"/>
  <c r="M49" i="9"/>
  <c r="L49" i="9"/>
  <c r="K49" i="9"/>
  <c r="J49" i="9"/>
  <c r="I49" i="9"/>
  <c r="H49" i="9"/>
  <c r="G49" i="9"/>
  <c r="E49" i="9"/>
  <c r="D49" i="9"/>
  <c r="A49" i="9"/>
  <c r="J48" i="11"/>
  <c r="O48" i="9"/>
  <c r="N48" i="9"/>
  <c r="M48" i="9"/>
  <c r="L48" i="9"/>
  <c r="K48" i="9"/>
  <c r="J48" i="9"/>
  <c r="I48" i="9"/>
  <c r="H48" i="9"/>
  <c r="G48" i="9"/>
  <c r="E48" i="9"/>
  <c r="D48" i="9"/>
  <c r="A48" i="9"/>
  <c r="J47" i="11"/>
  <c r="O47" i="9"/>
  <c r="N47" i="9"/>
  <c r="M47" i="9"/>
  <c r="L47" i="9"/>
  <c r="K47" i="9"/>
  <c r="J47" i="9"/>
  <c r="I47" i="9"/>
  <c r="H47" i="9"/>
  <c r="G47" i="9"/>
  <c r="E47" i="9"/>
  <c r="D47" i="9"/>
  <c r="A47" i="9"/>
  <c r="J46" i="11"/>
  <c r="O46" i="9"/>
  <c r="N46" i="9"/>
  <c r="M46" i="9"/>
  <c r="L46" i="9"/>
  <c r="K46" i="9"/>
  <c r="J46" i="9"/>
  <c r="I46" i="9"/>
  <c r="H46" i="9"/>
  <c r="G46" i="9"/>
  <c r="E46" i="9"/>
  <c r="D46" i="9"/>
  <c r="A46" i="9"/>
  <c r="J45" i="11"/>
  <c r="O45" i="9"/>
  <c r="N45" i="9"/>
  <c r="M45" i="9"/>
  <c r="L45" i="9"/>
  <c r="K45" i="9"/>
  <c r="J45" i="9"/>
  <c r="I45" i="9"/>
  <c r="H45" i="9"/>
  <c r="G45" i="9"/>
  <c r="E45" i="9"/>
  <c r="D45" i="9"/>
  <c r="A45" i="9"/>
  <c r="J44" i="11"/>
  <c r="O44" i="9"/>
  <c r="N44" i="9"/>
  <c r="M44" i="9"/>
  <c r="L44" i="9"/>
  <c r="K44" i="9"/>
  <c r="J44" i="9"/>
  <c r="I44" i="9"/>
  <c r="H44" i="9"/>
  <c r="G44" i="9"/>
  <c r="E44" i="9"/>
  <c r="D44" i="9"/>
  <c r="A44" i="9"/>
  <c r="M85" i="10"/>
  <c r="T85" i="10"/>
  <c r="W85" i="10"/>
  <c r="V85" i="10"/>
  <c r="X85" i="10"/>
  <c r="U85" i="10"/>
  <c r="Y85" i="10"/>
  <c r="N85" i="10"/>
  <c r="Q85" i="10"/>
  <c r="P85" i="10"/>
  <c r="R85" i="10"/>
  <c r="O85" i="10"/>
  <c r="S85" i="10"/>
  <c r="G85" i="10"/>
  <c r="J85" i="10"/>
  <c r="I85" i="10"/>
  <c r="K85" i="10"/>
  <c r="H85" i="10"/>
  <c r="L85" i="10"/>
  <c r="M84" i="10"/>
  <c r="T84" i="10"/>
  <c r="W84" i="10"/>
  <c r="V84" i="10"/>
  <c r="X84" i="10"/>
  <c r="U84" i="10"/>
  <c r="Y84" i="10"/>
  <c r="N84" i="10"/>
  <c r="Q84" i="10"/>
  <c r="P84" i="10"/>
  <c r="R84" i="10"/>
  <c r="O84" i="10"/>
  <c r="S84" i="10"/>
  <c r="G84" i="10"/>
  <c r="J84" i="10"/>
  <c r="I84" i="10"/>
  <c r="K84" i="10"/>
  <c r="H84" i="10"/>
  <c r="L84" i="10"/>
  <c r="M83" i="10"/>
  <c r="T83" i="10"/>
  <c r="W83" i="10"/>
  <c r="V83" i="10"/>
  <c r="X83" i="10"/>
  <c r="U83" i="10"/>
  <c r="Y83" i="10"/>
  <c r="N83" i="10"/>
  <c r="Q83" i="10"/>
  <c r="P83" i="10"/>
  <c r="R83" i="10"/>
  <c r="O83" i="10"/>
  <c r="S83" i="10"/>
  <c r="G83" i="10"/>
  <c r="J83" i="10"/>
  <c r="I83" i="10"/>
  <c r="K83" i="10"/>
  <c r="H83" i="10"/>
  <c r="L83" i="10"/>
  <c r="M82" i="10"/>
  <c r="T82" i="10"/>
  <c r="W82" i="10"/>
  <c r="V82" i="10"/>
  <c r="X82" i="10"/>
  <c r="U82" i="10"/>
  <c r="Y82" i="10"/>
  <c r="N82" i="10"/>
  <c r="Q82" i="10"/>
  <c r="P82" i="10"/>
  <c r="R82" i="10"/>
  <c r="O82" i="10"/>
  <c r="S82" i="10"/>
  <c r="G82" i="10"/>
  <c r="J82" i="10"/>
  <c r="I82" i="10"/>
  <c r="K82" i="10"/>
  <c r="H82" i="10"/>
  <c r="L82" i="10"/>
  <c r="M81" i="10"/>
  <c r="T81" i="10"/>
  <c r="W81" i="10"/>
  <c r="V81" i="10"/>
  <c r="X81" i="10"/>
  <c r="U81" i="10"/>
  <c r="Y81" i="10"/>
  <c r="N81" i="10"/>
  <c r="Q81" i="10"/>
  <c r="P81" i="10"/>
  <c r="R81" i="10"/>
  <c r="O81" i="10"/>
  <c r="S81" i="10"/>
  <c r="G81" i="10"/>
  <c r="J81" i="10"/>
  <c r="I81" i="10"/>
  <c r="K81" i="10"/>
  <c r="H81" i="10"/>
  <c r="L81" i="10"/>
  <c r="M80" i="10"/>
  <c r="T80" i="10"/>
  <c r="W80" i="10"/>
  <c r="V80" i="10"/>
  <c r="X80" i="10"/>
  <c r="U80" i="10"/>
  <c r="Y80" i="10"/>
  <c r="N80" i="10"/>
  <c r="Q80" i="10"/>
  <c r="P80" i="10"/>
  <c r="R80" i="10"/>
  <c r="O80" i="10"/>
  <c r="S80" i="10"/>
  <c r="G80" i="10"/>
  <c r="J80" i="10"/>
  <c r="I80" i="10"/>
  <c r="K80" i="10"/>
  <c r="H80" i="10"/>
  <c r="L80" i="10"/>
  <c r="M79" i="10"/>
  <c r="T79" i="10"/>
  <c r="W79" i="10"/>
  <c r="V79" i="10"/>
  <c r="X79" i="10"/>
  <c r="U79" i="10"/>
  <c r="Y79" i="10"/>
  <c r="N79" i="10"/>
  <c r="Q79" i="10"/>
  <c r="P79" i="10"/>
  <c r="R79" i="10"/>
  <c r="O79" i="10"/>
  <c r="S79" i="10"/>
  <c r="G79" i="10"/>
  <c r="J79" i="10"/>
  <c r="I79" i="10"/>
  <c r="K79" i="10"/>
  <c r="H79" i="10"/>
  <c r="L79" i="10"/>
  <c r="M78" i="10"/>
  <c r="T78" i="10"/>
  <c r="W78" i="10"/>
  <c r="V78" i="10"/>
  <c r="X78" i="10"/>
  <c r="U78" i="10"/>
  <c r="Y78" i="10"/>
  <c r="N78" i="10"/>
  <c r="Q78" i="10"/>
  <c r="P78" i="10"/>
  <c r="R78" i="10"/>
  <c r="O78" i="10"/>
  <c r="S78" i="10"/>
  <c r="G78" i="10"/>
  <c r="J78" i="10"/>
  <c r="I78" i="10"/>
  <c r="K78" i="10"/>
  <c r="H78" i="10"/>
  <c r="L78" i="10"/>
  <c r="M77" i="10"/>
  <c r="T77" i="10"/>
  <c r="W77" i="10"/>
  <c r="V77" i="10"/>
  <c r="X77" i="10"/>
  <c r="U77" i="10"/>
  <c r="Y77" i="10"/>
  <c r="N77" i="10"/>
  <c r="Q77" i="10"/>
  <c r="P77" i="10"/>
  <c r="R77" i="10"/>
  <c r="O77" i="10"/>
  <c r="S77" i="10"/>
  <c r="G77" i="10"/>
  <c r="J77" i="10"/>
  <c r="I77" i="10"/>
  <c r="K77" i="10"/>
  <c r="H77" i="10"/>
  <c r="L77" i="10"/>
  <c r="M76" i="10"/>
  <c r="T76" i="10"/>
  <c r="W76" i="10"/>
  <c r="V76" i="10"/>
  <c r="X76" i="10"/>
  <c r="U76" i="10"/>
  <c r="Y76" i="10"/>
  <c r="N76" i="10"/>
  <c r="Q76" i="10"/>
  <c r="P76" i="10"/>
  <c r="R76" i="10"/>
  <c r="O76" i="10"/>
  <c r="S76" i="10"/>
  <c r="G76" i="10"/>
  <c r="J76" i="10"/>
  <c r="I76" i="10"/>
  <c r="K76" i="10"/>
  <c r="H76" i="10"/>
  <c r="L76" i="10"/>
  <c r="M75" i="10"/>
  <c r="T75" i="10"/>
  <c r="W75" i="10"/>
  <c r="V75" i="10"/>
  <c r="X75" i="10"/>
  <c r="U75" i="10"/>
  <c r="Y75" i="10"/>
  <c r="N75" i="10"/>
  <c r="Q75" i="10"/>
  <c r="P75" i="10"/>
  <c r="R75" i="10"/>
  <c r="O75" i="10"/>
  <c r="S75" i="10"/>
  <c r="G75" i="10"/>
  <c r="J75" i="10"/>
  <c r="I75" i="10"/>
  <c r="K75" i="10"/>
  <c r="H75" i="10"/>
  <c r="L75" i="10"/>
  <c r="M74" i="10"/>
  <c r="T74" i="10"/>
  <c r="W74" i="10"/>
  <c r="V74" i="10"/>
  <c r="X74" i="10"/>
  <c r="U74" i="10"/>
  <c r="Y74" i="10"/>
  <c r="N74" i="10"/>
  <c r="Q74" i="10"/>
  <c r="P74" i="10"/>
  <c r="R74" i="10"/>
  <c r="O74" i="10"/>
  <c r="S74" i="10"/>
  <c r="G74" i="10"/>
  <c r="J74" i="10"/>
  <c r="I74" i="10"/>
  <c r="K74" i="10"/>
  <c r="H74" i="10"/>
  <c r="L74" i="10"/>
  <c r="M73" i="10"/>
  <c r="T73" i="10"/>
  <c r="W73" i="10"/>
  <c r="V73" i="10"/>
  <c r="X73" i="10"/>
  <c r="U73" i="10"/>
  <c r="Y73" i="10"/>
  <c r="N73" i="10"/>
  <c r="Q73" i="10"/>
  <c r="P73" i="10"/>
  <c r="R73" i="10"/>
  <c r="O73" i="10"/>
  <c r="S73" i="10"/>
  <c r="G73" i="10"/>
  <c r="J73" i="10"/>
  <c r="I73" i="10"/>
  <c r="K73" i="10"/>
  <c r="H73" i="10"/>
  <c r="L73" i="10"/>
  <c r="M72" i="10"/>
  <c r="T72" i="10"/>
  <c r="W72" i="10"/>
  <c r="V72" i="10"/>
  <c r="X72" i="10"/>
  <c r="U72" i="10"/>
  <c r="Y72" i="10"/>
  <c r="N72" i="10"/>
  <c r="Q72" i="10"/>
  <c r="P72" i="10"/>
  <c r="R72" i="10"/>
  <c r="O72" i="10"/>
  <c r="S72" i="10"/>
  <c r="G72" i="10"/>
  <c r="J72" i="10"/>
  <c r="I72" i="10"/>
  <c r="K72" i="10"/>
  <c r="H72" i="10"/>
  <c r="L72" i="10"/>
  <c r="M71" i="10"/>
  <c r="T71" i="10"/>
  <c r="W71" i="10"/>
  <c r="V71" i="10"/>
  <c r="X71" i="10"/>
  <c r="U71" i="10"/>
  <c r="Y71" i="10"/>
  <c r="N71" i="10"/>
  <c r="Q71" i="10"/>
  <c r="P71" i="10"/>
  <c r="R71" i="10"/>
  <c r="O71" i="10"/>
  <c r="S71" i="10"/>
  <c r="G71" i="10"/>
  <c r="J71" i="10"/>
  <c r="I71" i="10"/>
  <c r="K71" i="10"/>
  <c r="H71" i="10"/>
  <c r="L71" i="10"/>
  <c r="M70" i="10"/>
  <c r="T70" i="10"/>
  <c r="W70" i="10"/>
  <c r="V70" i="10"/>
  <c r="X70" i="10"/>
  <c r="U70" i="10"/>
  <c r="Y70" i="10"/>
  <c r="N70" i="10"/>
  <c r="Q70" i="10"/>
  <c r="P70" i="10"/>
  <c r="R70" i="10"/>
  <c r="O70" i="10"/>
  <c r="S70" i="10"/>
  <c r="G70" i="10"/>
  <c r="J70" i="10"/>
  <c r="I70" i="10"/>
  <c r="K70" i="10"/>
  <c r="H70" i="10"/>
  <c r="L70" i="10"/>
  <c r="M69" i="10"/>
  <c r="T69" i="10"/>
  <c r="W69" i="10"/>
  <c r="V69" i="10"/>
  <c r="X69" i="10"/>
  <c r="U69" i="10"/>
  <c r="Y69" i="10"/>
  <c r="N69" i="10"/>
  <c r="Q69" i="10"/>
  <c r="P69" i="10"/>
  <c r="R69" i="10"/>
  <c r="O69" i="10"/>
  <c r="S69" i="10"/>
  <c r="G69" i="10"/>
  <c r="J69" i="10"/>
  <c r="I69" i="10"/>
  <c r="K69" i="10"/>
  <c r="H69" i="10"/>
  <c r="L69" i="10"/>
  <c r="M68" i="10"/>
  <c r="T68" i="10"/>
  <c r="W68" i="10"/>
  <c r="V68" i="10"/>
  <c r="X68" i="10"/>
  <c r="U68" i="10"/>
  <c r="Y68" i="10"/>
  <c r="N68" i="10"/>
  <c r="Q68" i="10"/>
  <c r="P68" i="10"/>
  <c r="R68" i="10"/>
  <c r="O68" i="10"/>
  <c r="S68" i="10"/>
  <c r="G68" i="10"/>
  <c r="J68" i="10"/>
  <c r="I68" i="10"/>
  <c r="K68" i="10"/>
  <c r="H68" i="10"/>
  <c r="L68" i="10"/>
  <c r="M67" i="10"/>
  <c r="T67" i="10"/>
  <c r="W67" i="10"/>
  <c r="V67" i="10"/>
  <c r="X67" i="10"/>
  <c r="U67" i="10"/>
  <c r="Y67" i="10"/>
  <c r="N67" i="10"/>
  <c r="Q67" i="10"/>
  <c r="P67" i="10"/>
  <c r="R67" i="10"/>
  <c r="O67" i="10"/>
  <c r="S67" i="10"/>
  <c r="G67" i="10"/>
  <c r="J67" i="10"/>
  <c r="I67" i="10"/>
  <c r="K67" i="10"/>
  <c r="H67" i="10"/>
  <c r="L67" i="10"/>
  <c r="M66" i="10"/>
  <c r="T66" i="10"/>
  <c r="W66" i="10"/>
  <c r="V66" i="10"/>
  <c r="X66" i="10"/>
  <c r="U66" i="10"/>
  <c r="Y66" i="10"/>
  <c r="N66" i="10"/>
  <c r="Q66" i="10"/>
  <c r="P66" i="10"/>
  <c r="R66" i="10"/>
  <c r="O66" i="10"/>
  <c r="S66" i="10"/>
  <c r="G66" i="10"/>
  <c r="J66" i="10"/>
  <c r="I66" i="10"/>
  <c r="K66" i="10"/>
  <c r="H66" i="10"/>
  <c r="L66" i="10"/>
  <c r="M65" i="10"/>
  <c r="T65" i="10"/>
  <c r="W65" i="10"/>
  <c r="V65" i="10"/>
  <c r="X65" i="10"/>
  <c r="U65" i="10"/>
  <c r="Y65" i="10"/>
  <c r="N65" i="10"/>
  <c r="Q65" i="10"/>
  <c r="P65" i="10"/>
  <c r="R65" i="10"/>
  <c r="O65" i="10"/>
  <c r="S65" i="10"/>
  <c r="G65" i="10"/>
  <c r="J65" i="10"/>
  <c r="I65" i="10"/>
  <c r="K65" i="10"/>
  <c r="H65" i="10"/>
  <c r="L65" i="10"/>
  <c r="M64" i="10"/>
  <c r="T64" i="10"/>
  <c r="W64" i="10"/>
  <c r="V64" i="10"/>
  <c r="X64" i="10"/>
  <c r="U64" i="10"/>
  <c r="Y64" i="10"/>
  <c r="N64" i="10"/>
  <c r="Q64" i="10"/>
  <c r="P64" i="10"/>
  <c r="R64" i="10"/>
  <c r="O64" i="10"/>
  <c r="S64" i="10"/>
  <c r="G64" i="10"/>
  <c r="J64" i="10"/>
  <c r="I64" i="10"/>
  <c r="K64" i="10"/>
  <c r="H64" i="10"/>
  <c r="L64" i="10"/>
  <c r="M63" i="10"/>
  <c r="T63" i="10"/>
  <c r="W63" i="10"/>
  <c r="V63" i="10"/>
  <c r="X63" i="10"/>
  <c r="U63" i="10"/>
  <c r="Y63" i="10"/>
  <c r="N63" i="10"/>
  <c r="Q63" i="10"/>
  <c r="P63" i="10"/>
  <c r="R63" i="10"/>
  <c r="O63" i="10"/>
  <c r="S63" i="10"/>
  <c r="G63" i="10"/>
  <c r="J63" i="10"/>
  <c r="I63" i="10"/>
  <c r="K63" i="10"/>
  <c r="H63" i="10"/>
  <c r="L63" i="10"/>
  <c r="M62" i="10"/>
  <c r="T62" i="10"/>
  <c r="W62" i="10"/>
  <c r="V62" i="10"/>
  <c r="X62" i="10"/>
  <c r="U62" i="10"/>
  <c r="Y62" i="10"/>
  <c r="N62" i="10"/>
  <c r="Q62" i="10"/>
  <c r="P62" i="10"/>
  <c r="R62" i="10"/>
  <c r="O62" i="10"/>
  <c r="S62" i="10"/>
  <c r="G62" i="10"/>
  <c r="J62" i="10"/>
  <c r="I62" i="10"/>
  <c r="K62" i="10"/>
  <c r="H62" i="10"/>
  <c r="L62" i="10"/>
  <c r="M61" i="10"/>
  <c r="T61" i="10"/>
  <c r="W61" i="10"/>
  <c r="V61" i="10"/>
  <c r="X61" i="10"/>
  <c r="U61" i="10"/>
  <c r="Y61" i="10"/>
  <c r="N61" i="10"/>
  <c r="Q61" i="10"/>
  <c r="P61" i="10"/>
  <c r="R61" i="10"/>
  <c r="O61" i="10"/>
  <c r="S61" i="10"/>
  <c r="G61" i="10"/>
  <c r="J61" i="10"/>
  <c r="I61" i="10"/>
  <c r="K61" i="10"/>
  <c r="H61" i="10"/>
  <c r="L61" i="10"/>
  <c r="M60" i="10"/>
  <c r="T60" i="10"/>
  <c r="W60" i="10"/>
  <c r="V60" i="10"/>
  <c r="X60" i="10"/>
  <c r="U60" i="10"/>
  <c r="Y60" i="10"/>
  <c r="N60" i="10"/>
  <c r="Q60" i="10"/>
  <c r="P60" i="10"/>
  <c r="R60" i="10"/>
  <c r="O60" i="10"/>
  <c r="S60" i="10"/>
  <c r="G60" i="10"/>
  <c r="J60" i="10"/>
  <c r="I60" i="10"/>
  <c r="K60" i="10"/>
  <c r="H60" i="10"/>
  <c r="L60" i="10"/>
  <c r="M59" i="10"/>
  <c r="T59" i="10"/>
  <c r="W59" i="10"/>
  <c r="V59" i="10"/>
  <c r="X59" i="10"/>
  <c r="U59" i="10"/>
  <c r="Y59" i="10"/>
  <c r="N59" i="10"/>
  <c r="Q59" i="10"/>
  <c r="P59" i="10"/>
  <c r="R59" i="10"/>
  <c r="O59" i="10"/>
  <c r="S59" i="10"/>
  <c r="G59" i="10"/>
  <c r="J59" i="10"/>
  <c r="I59" i="10"/>
  <c r="K59" i="10"/>
  <c r="H59" i="10"/>
  <c r="L59" i="10"/>
  <c r="M58" i="10"/>
  <c r="T58" i="10"/>
  <c r="W58" i="10"/>
  <c r="V58" i="10"/>
  <c r="X58" i="10"/>
  <c r="U58" i="10"/>
  <c r="Y58" i="10"/>
  <c r="N58" i="10"/>
  <c r="Q58" i="10"/>
  <c r="P58" i="10"/>
  <c r="R58" i="10"/>
  <c r="O58" i="10"/>
  <c r="S58" i="10"/>
  <c r="G58" i="10"/>
  <c r="J58" i="10"/>
  <c r="I58" i="10"/>
  <c r="K58" i="10"/>
  <c r="H58" i="10"/>
  <c r="L58" i="10"/>
  <c r="M57" i="10"/>
  <c r="T57" i="10"/>
  <c r="W57" i="10"/>
  <c r="V57" i="10"/>
  <c r="X57" i="10"/>
  <c r="U57" i="10"/>
  <c r="Y57" i="10"/>
  <c r="N57" i="10"/>
  <c r="Q57" i="10"/>
  <c r="P57" i="10"/>
  <c r="R57" i="10"/>
  <c r="O57" i="10"/>
  <c r="S57" i="10"/>
  <c r="G57" i="10"/>
  <c r="J57" i="10"/>
  <c r="I57" i="10"/>
  <c r="K57" i="10"/>
  <c r="H57" i="10"/>
  <c r="L57" i="10"/>
  <c r="M56" i="10"/>
  <c r="T56" i="10"/>
  <c r="W56" i="10"/>
  <c r="V56" i="10"/>
  <c r="X56" i="10"/>
  <c r="U56" i="10"/>
  <c r="Y56" i="10"/>
  <c r="N56" i="10"/>
  <c r="Q56" i="10"/>
  <c r="P56" i="10"/>
  <c r="R56" i="10"/>
  <c r="O56" i="10"/>
  <c r="S56" i="10"/>
  <c r="G56" i="10"/>
  <c r="J56" i="10"/>
  <c r="I56" i="10"/>
  <c r="K56" i="10"/>
  <c r="H56" i="10"/>
  <c r="L56" i="10"/>
  <c r="M55" i="10"/>
  <c r="T55" i="10"/>
  <c r="W55" i="10"/>
  <c r="V55" i="10"/>
  <c r="X55" i="10"/>
  <c r="U55" i="10"/>
  <c r="Y55" i="10"/>
  <c r="N55" i="10"/>
  <c r="Q55" i="10"/>
  <c r="P55" i="10"/>
  <c r="R55" i="10"/>
  <c r="O55" i="10"/>
  <c r="S55" i="10"/>
  <c r="G55" i="10"/>
  <c r="J55" i="10"/>
  <c r="I55" i="10"/>
  <c r="K55" i="10"/>
  <c r="H55" i="10"/>
  <c r="L55" i="10"/>
  <c r="M54" i="10"/>
  <c r="T54" i="10"/>
  <c r="W54" i="10"/>
  <c r="V54" i="10"/>
  <c r="X54" i="10"/>
  <c r="U54" i="10"/>
  <c r="Y54" i="10"/>
  <c r="N54" i="10"/>
  <c r="Q54" i="10"/>
  <c r="P54" i="10"/>
  <c r="R54" i="10"/>
  <c r="O54" i="10"/>
  <c r="S54" i="10"/>
  <c r="G54" i="10"/>
  <c r="J54" i="10"/>
  <c r="I54" i="10"/>
  <c r="K54" i="10"/>
  <c r="H54" i="10"/>
  <c r="L54" i="10"/>
  <c r="M53" i="10"/>
  <c r="T53" i="10"/>
  <c r="W53" i="10"/>
  <c r="V53" i="10"/>
  <c r="X53" i="10"/>
  <c r="U53" i="10"/>
  <c r="Y53" i="10"/>
  <c r="N53" i="10"/>
  <c r="Q53" i="10"/>
  <c r="P53" i="10"/>
  <c r="R53" i="10"/>
  <c r="O53" i="10"/>
  <c r="S53" i="10"/>
  <c r="G53" i="10"/>
  <c r="J53" i="10"/>
  <c r="I53" i="10"/>
  <c r="K53" i="10"/>
  <c r="H53" i="10"/>
  <c r="L53" i="10"/>
  <c r="M52" i="10"/>
  <c r="T52" i="10"/>
  <c r="W52" i="10"/>
  <c r="V52" i="10"/>
  <c r="X52" i="10"/>
  <c r="U52" i="10"/>
  <c r="Y52" i="10"/>
  <c r="N52" i="10"/>
  <c r="Q52" i="10"/>
  <c r="P52" i="10"/>
  <c r="R52" i="10"/>
  <c r="O52" i="10"/>
  <c r="S52" i="10"/>
  <c r="G52" i="10"/>
  <c r="J52" i="10"/>
  <c r="I52" i="10"/>
  <c r="K52" i="10"/>
  <c r="H52" i="10"/>
  <c r="L52" i="10"/>
  <c r="M51" i="10"/>
  <c r="T51" i="10"/>
  <c r="W51" i="10"/>
  <c r="V51" i="10"/>
  <c r="X51" i="10"/>
  <c r="U51" i="10"/>
  <c r="Y51" i="10"/>
  <c r="N51" i="10"/>
  <c r="Q51" i="10"/>
  <c r="P51" i="10"/>
  <c r="R51" i="10"/>
  <c r="O51" i="10"/>
  <c r="S51" i="10"/>
  <c r="G51" i="10"/>
  <c r="J51" i="10"/>
  <c r="I51" i="10"/>
  <c r="K51" i="10"/>
  <c r="H51" i="10"/>
  <c r="L51" i="10"/>
  <c r="M50" i="10"/>
  <c r="T50" i="10"/>
  <c r="W50" i="10"/>
  <c r="V50" i="10"/>
  <c r="X50" i="10"/>
  <c r="U50" i="10"/>
  <c r="Y50" i="10"/>
  <c r="N50" i="10"/>
  <c r="Q50" i="10"/>
  <c r="P50" i="10"/>
  <c r="R50" i="10"/>
  <c r="O50" i="10"/>
  <c r="S50" i="10"/>
  <c r="G50" i="10"/>
  <c r="J50" i="10"/>
  <c r="I50" i="10"/>
  <c r="K50" i="10"/>
  <c r="H50" i="10"/>
  <c r="L50" i="10"/>
  <c r="M49" i="10"/>
  <c r="T49" i="10"/>
  <c r="W49" i="10"/>
  <c r="V49" i="10"/>
  <c r="X49" i="10"/>
  <c r="U49" i="10"/>
  <c r="Y49" i="10"/>
  <c r="N49" i="10"/>
  <c r="Q49" i="10"/>
  <c r="P49" i="10"/>
  <c r="R49" i="10"/>
  <c r="O49" i="10"/>
  <c r="S49" i="10"/>
  <c r="G49" i="10"/>
  <c r="J49" i="10"/>
  <c r="I49" i="10"/>
  <c r="K49" i="10"/>
  <c r="H49" i="10"/>
  <c r="L49" i="10"/>
  <c r="M48" i="10"/>
  <c r="T48" i="10"/>
  <c r="W48" i="10"/>
  <c r="V48" i="10"/>
  <c r="X48" i="10"/>
  <c r="U48" i="10"/>
  <c r="Y48" i="10"/>
  <c r="N48" i="10"/>
  <c r="Q48" i="10"/>
  <c r="P48" i="10"/>
  <c r="R48" i="10"/>
  <c r="O48" i="10"/>
  <c r="S48" i="10"/>
  <c r="G48" i="10"/>
  <c r="J48" i="10"/>
  <c r="I48" i="10"/>
  <c r="K48" i="10"/>
  <c r="H48" i="10"/>
  <c r="L48" i="10"/>
  <c r="M47" i="10"/>
  <c r="T47" i="10"/>
  <c r="W47" i="10"/>
  <c r="V47" i="10"/>
  <c r="X47" i="10"/>
  <c r="U47" i="10"/>
  <c r="Y47" i="10"/>
  <c r="N47" i="10"/>
  <c r="Q47" i="10"/>
  <c r="P47" i="10"/>
  <c r="R47" i="10"/>
  <c r="O47" i="10"/>
  <c r="S47" i="10"/>
  <c r="G47" i="10"/>
  <c r="J47" i="10"/>
  <c r="I47" i="10"/>
  <c r="K47" i="10"/>
  <c r="H47" i="10"/>
  <c r="L47" i="10"/>
  <c r="M46" i="10"/>
  <c r="T46" i="10"/>
  <c r="W46" i="10"/>
  <c r="V46" i="10"/>
  <c r="X46" i="10"/>
  <c r="U46" i="10"/>
  <c r="Y46" i="10"/>
  <c r="N46" i="10"/>
  <c r="Q46" i="10"/>
  <c r="P46" i="10"/>
  <c r="R46" i="10"/>
  <c r="O46" i="10"/>
  <c r="S46" i="10"/>
  <c r="G46" i="10"/>
  <c r="J46" i="10"/>
  <c r="I46" i="10"/>
  <c r="K46" i="10"/>
  <c r="H46" i="10"/>
  <c r="L46" i="10"/>
  <c r="M45" i="10"/>
  <c r="T45" i="10"/>
  <c r="W45" i="10"/>
  <c r="V45" i="10"/>
  <c r="X45" i="10"/>
  <c r="U45" i="10"/>
  <c r="Y45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M44" i="10"/>
  <c r="T44" i="10"/>
  <c r="W44" i="10"/>
  <c r="V44" i="10"/>
  <c r="X44" i="10"/>
  <c r="U44" i="10"/>
  <c r="Y44" i="10"/>
  <c r="N44" i="10"/>
  <c r="Q44" i="10"/>
  <c r="P44" i="10"/>
  <c r="R44" i="10"/>
  <c r="O44" i="10"/>
  <c r="S44" i="10"/>
  <c r="G44" i="10"/>
  <c r="J44" i="10"/>
  <c r="I44" i="10"/>
  <c r="K44" i="10"/>
  <c r="H44" i="10"/>
  <c r="L44" i="10"/>
  <c r="C18" i="18"/>
  <c r="D18" i="18"/>
  <c r="C17" i="18"/>
  <c r="D17" i="18"/>
  <c r="C16" i="18"/>
  <c r="D16" i="18"/>
  <c r="C15" i="18"/>
  <c r="D15" i="18"/>
  <c r="C14" i="18"/>
  <c r="D14" i="18"/>
  <c r="C13" i="18"/>
  <c r="D13" i="18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B13" i="21"/>
  <c r="I13" i="21"/>
  <c r="J13" i="21"/>
  <c r="G13" i="21"/>
  <c r="F13" i="21"/>
  <c r="D13" i="21"/>
  <c r="C13" i="21"/>
  <c r="B12" i="21"/>
  <c r="I12" i="21"/>
  <c r="J12" i="21"/>
  <c r="G12" i="21"/>
  <c r="F12" i="21"/>
  <c r="D12" i="21"/>
  <c r="C12" i="21"/>
  <c r="B11" i="21"/>
  <c r="I11" i="21"/>
  <c r="J11" i="21"/>
  <c r="G11" i="21"/>
  <c r="F11" i="21"/>
  <c r="D11" i="21"/>
  <c r="C11" i="21"/>
  <c r="B10" i="21"/>
  <c r="I10" i="21"/>
  <c r="J10" i="21"/>
  <c r="G10" i="21"/>
  <c r="F10" i="21"/>
  <c r="D10" i="21"/>
  <c r="C10" i="21"/>
  <c r="B8" i="21"/>
  <c r="I8" i="21"/>
  <c r="J8" i="21"/>
  <c r="G8" i="21"/>
  <c r="F8" i="21"/>
  <c r="D8" i="21"/>
  <c r="C8" i="21"/>
  <c r="B7" i="21"/>
  <c r="I7" i="21"/>
  <c r="J7" i="21"/>
  <c r="G7" i="21"/>
  <c r="F7" i="21"/>
  <c r="D7" i="21"/>
  <c r="C7" i="21"/>
  <c r="B6" i="21"/>
  <c r="I6" i="21"/>
  <c r="J6" i="21"/>
  <c r="G6" i="21"/>
  <c r="F6" i="21"/>
  <c r="D6" i="21"/>
  <c r="C6" i="21"/>
  <c r="B5" i="21"/>
  <c r="I5" i="21"/>
  <c r="J5" i="21"/>
  <c r="G5" i="21"/>
  <c r="F5" i="21"/>
  <c r="D5" i="21"/>
  <c r="C5" i="21"/>
  <c r="B4" i="21"/>
  <c r="I4" i="21"/>
  <c r="J4" i="21"/>
  <c r="G4" i="21"/>
  <c r="F4" i="21"/>
  <c r="D4" i="21"/>
  <c r="C4" i="21"/>
  <c r="B3" i="21"/>
  <c r="I3" i="21"/>
  <c r="J3" i="21"/>
  <c r="G3" i="21"/>
  <c r="F3" i="21"/>
  <c r="D3" i="21"/>
  <c r="C3" i="21"/>
  <c r="D27" i="9"/>
  <c r="E27" i="9"/>
  <c r="H4" i="9"/>
  <c r="J43" i="11"/>
  <c r="O43" i="9"/>
  <c r="N43" i="9"/>
  <c r="M43" i="9"/>
  <c r="L43" i="9"/>
  <c r="K43" i="9"/>
  <c r="J43" i="9"/>
  <c r="I43" i="9"/>
  <c r="H43" i="9"/>
  <c r="G43" i="9"/>
  <c r="E43" i="9"/>
  <c r="D43" i="9"/>
  <c r="A43" i="9"/>
  <c r="J42" i="11"/>
  <c r="O42" i="9"/>
  <c r="N42" i="9"/>
  <c r="M42" i="9"/>
  <c r="L42" i="9"/>
  <c r="K42" i="9"/>
  <c r="J42" i="9"/>
  <c r="I42" i="9"/>
  <c r="H42" i="9"/>
  <c r="G42" i="9"/>
  <c r="E42" i="9"/>
  <c r="D42" i="9"/>
  <c r="A42" i="9"/>
  <c r="J41" i="11"/>
  <c r="O41" i="9"/>
  <c r="N41" i="9"/>
  <c r="M41" i="9"/>
  <c r="L41" i="9"/>
  <c r="K41" i="9"/>
  <c r="J41" i="9"/>
  <c r="I41" i="9"/>
  <c r="H41" i="9"/>
  <c r="G41" i="9"/>
  <c r="E41" i="9"/>
  <c r="D41" i="9"/>
  <c r="A41" i="9"/>
  <c r="J40" i="11"/>
  <c r="O40" i="9"/>
  <c r="N40" i="9"/>
  <c r="M40" i="9"/>
  <c r="L40" i="9"/>
  <c r="K40" i="9"/>
  <c r="J40" i="9"/>
  <c r="I40" i="9"/>
  <c r="H40" i="9"/>
  <c r="G40" i="9"/>
  <c r="E40" i="9"/>
  <c r="D40" i="9"/>
  <c r="A40" i="9"/>
  <c r="J39" i="11"/>
  <c r="O39" i="9"/>
  <c r="N39" i="9"/>
  <c r="M39" i="9"/>
  <c r="L39" i="9"/>
  <c r="K39" i="9"/>
  <c r="J39" i="9"/>
  <c r="I39" i="9"/>
  <c r="H39" i="9"/>
  <c r="G39" i="9"/>
  <c r="E39" i="9"/>
  <c r="D39" i="9"/>
  <c r="A39" i="9"/>
  <c r="J38" i="11"/>
  <c r="O38" i="9"/>
  <c r="N38" i="9"/>
  <c r="M38" i="9"/>
  <c r="L38" i="9"/>
  <c r="K38" i="9"/>
  <c r="J38" i="9"/>
  <c r="I38" i="9"/>
  <c r="H38" i="9"/>
  <c r="G38" i="9"/>
  <c r="E38" i="9"/>
  <c r="D38" i="9"/>
  <c r="A38" i="9"/>
  <c r="J37" i="11"/>
  <c r="O37" i="9"/>
  <c r="N37" i="9"/>
  <c r="M37" i="9"/>
  <c r="L37" i="9"/>
  <c r="K37" i="9"/>
  <c r="J37" i="9"/>
  <c r="I37" i="9"/>
  <c r="H37" i="9"/>
  <c r="G37" i="9"/>
  <c r="E37" i="9"/>
  <c r="D37" i="9"/>
  <c r="A37" i="9"/>
  <c r="J36" i="11"/>
  <c r="O36" i="9"/>
  <c r="N36" i="9"/>
  <c r="M36" i="9"/>
  <c r="L36" i="9"/>
  <c r="K36" i="9"/>
  <c r="J36" i="9"/>
  <c r="I36" i="9"/>
  <c r="H36" i="9"/>
  <c r="G36" i="9"/>
  <c r="E36" i="9"/>
  <c r="D36" i="9"/>
  <c r="A36" i="9"/>
  <c r="J35" i="11"/>
  <c r="O35" i="9"/>
  <c r="N35" i="9"/>
  <c r="M35" i="9"/>
  <c r="L35" i="9"/>
  <c r="K35" i="9"/>
  <c r="J35" i="9"/>
  <c r="I35" i="9"/>
  <c r="H35" i="9"/>
  <c r="G35" i="9"/>
  <c r="E35" i="9"/>
  <c r="D35" i="9"/>
  <c r="A35" i="9"/>
  <c r="J34" i="11"/>
  <c r="O34" i="9"/>
  <c r="N34" i="9"/>
  <c r="M34" i="9"/>
  <c r="L34" i="9"/>
  <c r="K34" i="9"/>
  <c r="J34" i="9"/>
  <c r="I34" i="9"/>
  <c r="H34" i="9"/>
  <c r="G34" i="9"/>
  <c r="E34" i="9"/>
  <c r="D34" i="9"/>
  <c r="A34" i="9"/>
  <c r="J33" i="11"/>
  <c r="O33" i="9"/>
  <c r="N33" i="9"/>
  <c r="M33" i="9"/>
  <c r="L33" i="9"/>
  <c r="K33" i="9"/>
  <c r="J33" i="9"/>
  <c r="I33" i="9"/>
  <c r="H33" i="9"/>
  <c r="G33" i="9"/>
  <c r="E33" i="9"/>
  <c r="D33" i="9"/>
  <c r="A33" i="9"/>
  <c r="J32" i="11"/>
  <c r="O32" i="9"/>
  <c r="N32" i="9"/>
  <c r="M32" i="9"/>
  <c r="L32" i="9"/>
  <c r="K32" i="9"/>
  <c r="J32" i="9"/>
  <c r="I32" i="9"/>
  <c r="H32" i="9"/>
  <c r="G32" i="9"/>
  <c r="E32" i="9"/>
  <c r="D32" i="9"/>
  <c r="A32" i="9"/>
  <c r="J31" i="11"/>
  <c r="O31" i="9"/>
  <c r="N31" i="9"/>
  <c r="M31" i="9"/>
  <c r="L31" i="9"/>
  <c r="K31" i="9"/>
  <c r="J31" i="9"/>
  <c r="I31" i="9"/>
  <c r="H31" i="9"/>
  <c r="G31" i="9"/>
  <c r="E31" i="9"/>
  <c r="D31" i="9"/>
  <c r="A31" i="9"/>
  <c r="J30" i="11"/>
  <c r="O30" i="9"/>
  <c r="N30" i="9"/>
  <c r="M30" i="9"/>
  <c r="L30" i="9"/>
  <c r="K30" i="9"/>
  <c r="J30" i="9"/>
  <c r="I30" i="9"/>
  <c r="H30" i="9"/>
  <c r="G30" i="9"/>
  <c r="E30" i="9"/>
  <c r="D30" i="9"/>
  <c r="A30" i="9"/>
  <c r="J29" i="11"/>
  <c r="O29" i="9"/>
  <c r="N29" i="9"/>
  <c r="M29" i="9"/>
  <c r="L29" i="9"/>
  <c r="K29" i="9"/>
  <c r="J29" i="9"/>
  <c r="I29" i="9"/>
  <c r="H29" i="9"/>
  <c r="G29" i="9"/>
  <c r="E29" i="9"/>
  <c r="A29" i="9"/>
  <c r="J28" i="11"/>
  <c r="O28" i="9"/>
  <c r="N28" i="9"/>
  <c r="M28" i="9"/>
  <c r="L28" i="9"/>
  <c r="K28" i="9"/>
  <c r="J28" i="9"/>
  <c r="I28" i="9"/>
  <c r="H28" i="9"/>
  <c r="G28" i="9"/>
  <c r="E28" i="9"/>
  <c r="D28" i="9"/>
  <c r="A28" i="9"/>
  <c r="J27" i="11"/>
  <c r="O27" i="9"/>
  <c r="N27" i="9"/>
  <c r="M27" i="9"/>
  <c r="L27" i="9"/>
  <c r="K27" i="9"/>
  <c r="J27" i="9"/>
  <c r="I27" i="9"/>
  <c r="H27" i="9"/>
  <c r="G27" i="9"/>
  <c r="A27" i="9"/>
  <c r="J26" i="11"/>
  <c r="O26" i="9"/>
  <c r="N26" i="9"/>
  <c r="M26" i="9"/>
  <c r="L26" i="9"/>
  <c r="K26" i="9"/>
  <c r="J26" i="9"/>
  <c r="I26" i="9"/>
  <c r="H26" i="9"/>
  <c r="G26" i="9"/>
  <c r="E26" i="9"/>
  <c r="D26" i="9"/>
  <c r="A26" i="9"/>
  <c r="J25" i="11"/>
  <c r="O25" i="9"/>
  <c r="N25" i="9"/>
  <c r="M25" i="9"/>
  <c r="L25" i="9"/>
  <c r="K25" i="9"/>
  <c r="J25" i="9"/>
  <c r="I25" i="9"/>
  <c r="H25" i="9"/>
  <c r="G25" i="9"/>
  <c r="E25" i="9"/>
  <c r="D25" i="9"/>
  <c r="A25" i="9"/>
  <c r="J24" i="11"/>
  <c r="O24" i="9"/>
  <c r="N24" i="9"/>
  <c r="M24" i="9"/>
  <c r="L24" i="9"/>
  <c r="K24" i="9"/>
  <c r="J24" i="9"/>
  <c r="I24" i="9"/>
  <c r="H24" i="9"/>
  <c r="G24" i="9"/>
  <c r="E24" i="9"/>
  <c r="D24" i="9"/>
  <c r="A24" i="9"/>
  <c r="J23" i="11"/>
  <c r="O23" i="9"/>
  <c r="N23" i="9"/>
  <c r="M23" i="9"/>
  <c r="L23" i="9"/>
  <c r="K23" i="9"/>
  <c r="J23" i="9"/>
  <c r="I23" i="9"/>
  <c r="H23" i="9"/>
  <c r="G23" i="9"/>
  <c r="E23" i="9"/>
  <c r="D23" i="9"/>
  <c r="A23" i="9"/>
  <c r="J22" i="11"/>
  <c r="O22" i="9"/>
  <c r="N22" i="9"/>
  <c r="M22" i="9"/>
  <c r="L22" i="9"/>
  <c r="K22" i="9"/>
  <c r="J22" i="9"/>
  <c r="I22" i="9"/>
  <c r="H22" i="9"/>
  <c r="G22" i="9"/>
  <c r="E22" i="9"/>
  <c r="D22" i="9"/>
  <c r="A22" i="9"/>
  <c r="J21" i="11"/>
  <c r="O21" i="9"/>
  <c r="N21" i="9"/>
  <c r="M21" i="9"/>
  <c r="L21" i="9"/>
  <c r="K21" i="9"/>
  <c r="J21" i="9"/>
  <c r="I21" i="9"/>
  <c r="H21" i="9"/>
  <c r="G21" i="9"/>
  <c r="E21" i="9"/>
  <c r="D21" i="9"/>
  <c r="A21" i="9"/>
  <c r="J20" i="11"/>
  <c r="O20" i="9"/>
  <c r="N20" i="9"/>
  <c r="M20" i="9"/>
  <c r="L20" i="9"/>
  <c r="K20" i="9"/>
  <c r="J20" i="9"/>
  <c r="I20" i="9"/>
  <c r="H20" i="9"/>
  <c r="G20" i="9"/>
  <c r="E20" i="9"/>
  <c r="D20" i="9"/>
  <c r="A20" i="9"/>
  <c r="J19" i="11"/>
  <c r="O19" i="9"/>
  <c r="N19" i="9"/>
  <c r="M19" i="9"/>
  <c r="L19" i="9"/>
  <c r="K19" i="9"/>
  <c r="J19" i="9"/>
  <c r="I19" i="9"/>
  <c r="H19" i="9"/>
  <c r="G19" i="9"/>
  <c r="E19" i="9"/>
  <c r="D19" i="9"/>
  <c r="A19" i="9"/>
  <c r="J18" i="11"/>
  <c r="O18" i="9"/>
  <c r="N18" i="9"/>
  <c r="M18" i="9"/>
  <c r="L18" i="9"/>
  <c r="K18" i="9"/>
  <c r="J18" i="9"/>
  <c r="I18" i="9"/>
  <c r="H18" i="9"/>
  <c r="G18" i="9"/>
  <c r="E18" i="9"/>
  <c r="D18" i="9"/>
  <c r="A18" i="9"/>
  <c r="J17" i="11"/>
  <c r="O17" i="9"/>
  <c r="N17" i="9"/>
  <c r="M17" i="9"/>
  <c r="L17" i="9"/>
  <c r="K17" i="9"/>
  <c r="J17" i="9"/>
  <c r="I17" i="9"/>
  <c r="H17" i="9"/>
  <c r="G17" i="9"/>
  <c r="E17" i="9"/>
  <c r="D17" i="9"/>
  <c r="A17" i="9"/>
  <c r="J16" i="11"/>
  <c r="O16" i="9"/>
  <c r="N16" i="9"/>
  <c r="M16" i="9"/>
  <c r="L16" i="9"/>
  <c r="K16" i="9"/>
  <c r="J16" i="9"/>
  <c r="I16" i="9"/>
  <c r="H16" i="9"/>
  <c r="G16" i="9"/>
  <c r="E16" i="9"/>
  <c r="D16" i="9"/>
  <c r="A16" i="9"/>
  <c r="J15" i="11"/>
  <c r="O15" i="9"/>
  <c r="N15" i="9"/>
  <c r="M15" i="9"/>
  <c r="L15" i="9"/>
  <c r="K15" i="9"/>
  <c r="J15" i="9"/>
  <c r="I15" i="9"/>
  <c r="H15" i="9"/>
  <c r="G15" i="9"/>
  <c r="E15" i="9"/>
  <c r="D15" i="9"/>
  <c r="A15" i="9"/>
  <c r="J14" i="11"/>
  <c r="O14" i="9"/>
  <c r="N14" i="9"/>
  <c r="M14" i="9"/>
  <c r="L14" i="9"/>
  <c r="K14" i="9"/>
  <c r="J14" i="9"/>
  <c r="I14" i="9"/>
  <c r="H14" i="9"/>
  <c r="G14" i="9"/>
  <c r="E14" i="9"/>
  <c r="D14" i="9"/>
  <c r="A14" i="9"/>
  <c r="J13" i="11"/>
  <c r="O13" i="9"/>
  <c r="N13" i="9"/>
  <c r="M13" i="9"/>
  <c r="L13" i="9"/>
  <c r="K13" i="9"/>
  <c r="J13" i="9"/>
  <c r="I13" i="9"/>
  <c r="H13" i="9"/>
  <c r="G13" i="9"/>
  <c r="E13" i="9"/>
  <c r="D13" i="9"/>
  <c r="A13" i="9"/>
  <c r="J12" i="11"/>
  <c r="O12" i="9"/>
  <c r="N12" i="9"/>
  <c r="M12" i="9"/>
  <c r="L12" i="9"/>
  <c r="K12" i="9"/>
  <c r="J12" i="9"/>
  <c r="I12" i="9"/>
  <c r="H12" i="9"/>
  <c r="G12" i="9"/>
  <c r="E12" i="9"/>
  <c r="D12" i="9"/>
  <c r="A12" i="9"/>
  <c r="J11" i="11"/>
  <c r="O11" i="9"/>
  <c r="N11" i="9"/>
  <c r="M11" i="9"/>
  <c r="L11" i="9"/>
  <c r="K11" i="9"/>
  <c r="J11" i="9"/>
  <c r="I11" i="9"/>
  <c r="H11" i="9"/>
  <c r="G11" i="9"/>
  <c r="E11" i="9"/>
  <c r="D11" i="9"/>
  <c r="A11" i="9"/>
  <c r="J10" i="11"/>
  <c r="O10" i="9"/>
  <c r="N10" i="9"/>
  <c r="M10" i="9"/>
  <c r="L10" i="9"/>
  <c r="K10" i="9"/>
  <c r="J10" i="9"/>
  <c r="I10" i="9"/>
  <c r="H10" i="9"/>
  <c r="G10" i="9"/>
  <c r="E10" i="9"/>
  <c r="D10" i="9"/>
  <c r="A10" i="9"/>
  <c r="J9" i="11"/>
  <c r="O9" i="9"/>
  <c r="N9" i="9"/>
  <c r="M9" i="9"/>
  <c r="L9" i="9"/>
  <c r="K9" i="9"/>
  <c r="J9" i="9"/>
  <c r="I9" i="9"/>
  <c r="H9" i="9"/>
  <c r="G9" i="9"/>
  <c r="E9" i="9"/>
  <c r="D9" i="9"/>
  <c r="A9" i="9"/>
  <c r="J8" i="11"/>
  <c r="O8" i="9"/>
  <c r="N8" i="9"/>
  <c r="M8" i="9"/>
  <c r="L8" i="9"/>
  <c r="K8" i="9"/>
  <c r="J8" i="9"/>
  <c r="I8" i="9"/>
  <c r="H8" i="9"/>
  <c r="G8" i="9"/>
  <c r="E8" i="9"/>
  <c r="D8" i="9"/>
  <c r="A8" i="9"/>
  <c r="J7" i="11"/>
  <c r="O7" i="9"/>
  <c r="N7" i="9"/>
  <c r="M7" i="9"/>
  <c r="L7" i="9"/>
  <c r="K7" i="9"/>
  <c r="J7" i="9"/>
  <c r="I7" i="9"/>
  <c r="H7" i="9"/>
  <c r="G7" i="9"/>
  <c r="E7" i="9"/>
  <c r="D7" i="9"/>
  <c r="A7" i="9"/>
  <c r="J6" i="11"/>
  <c r="O6" i="9"/>
  <c r="N6" i="9"/>
  <c r="M6" i="9"/>
  <c r="L6" i="9"/>
  <c r="K6" i="9"/>
  <c r="J6" i="9"/>
  <c r="I6" i="9"/>
  <c r="H6" i="9"/>
  <c r="G6" i="9"/>
  <c r="E6" i="9"/>
  <c r="D6" i="9"/>
  <c r="A6" i="9"/>
  <c r="J5" i="11"/>
  <c r="O5" i="9"/>
  <c r="N5" i="9"/>
  <c r="M5" i="9"/>
  <c r="L5" i="9"/>
  <c r="K5" i="9"/>
  <c r="J5" i="9"/>
  <c r="I5" i="9"/>
  <c r="H5" i="9"/>
  <c r="G5" i="9"/>
  <c r="E5" i="9"/>
  <c r="D5" i="9"/>
  <c r="A5" i="9"/>
  <c r="J4" i="11"/>
  <c r="O4" i="9"/>
  <c r="N4" i="9"/>
  <c r="M4" i="9"/>
  <c r="L4" i="9"/>
  <c r="K4" i="9"/>
  <c r="J4" i="9"/>
  <c r="I4" i="9"/>
  <c r="G4" i="9"/>
  <c r="E4" i="9"/>
  <c r="D4" i="9"/>
  <c r="A4" i="9"/>
  <c r="J3" i="11"/>
  <c r="O3" i="9"/>
  <c r="N3" i="9"/>
  <c r="M3" i="9"/>
  <c r="L3" i="9"/>
  <c r="K3" i="9"/>
  <c r="J3" i="9"/>
  <c r="I3" i="9"/>
  <c r="H3" i="9"/>
  <c r="G3" i="9"/>
  <c r="E3" i="9"/>
  <c r="D3" i="9"/>
  <c r="A3" i="9"/>
  <c r="M43" i="10"/>
  <c r="T43" i="10"/>
  <c r="W43" i="10"/>
  <c r="V43" i="10"/>
  <c r="X43" i="10"/>
  <c r="U43" i="10"/>
  <c r="Y43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M22" i="10"/>
  <c r="T22" i="10"/>
  <c r="W22" i="10"/>
  <c r="V22" i="10"/>
  <c r="X22" i="10"/>
  <c r="U22" i="10"/>
  <c r="Y22" i="10"/>
  <c r="M32" i="10"/>
  <c r="M42" i="10"/>
  <c r="N42" i="10"/>
  <c r="Q42" i="10"/>
  <c r="P42" i="10"/>
  <c r="R42" i="10"/>
  <c r="O42" i="10"/>
  <c r="S42" i="10"/>
  <c r="N32" i="10"/>
  <c r="Q32" i="10"/>
  <c r="P32" i="10"/>
  <c r="R32" i="10"/>
  <c r="O32" i="10"/>
  <c r="S3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" i="10"/>
  <c r="T2" i="10"/>
  <c r="W2" i="10"/>
  <c r="V2" i="10"/>
  <c r="X2" i="10"/>
  <c r="U2" i="10"/>
  <c r="Y2" i="10"/>
  <c r="M12" i="10"/>
  <c r="M23" i="10"/>
  <c r="M33" i="10"/>
  <c r="N33" i="10"/>
  <c r="Q33" i="10"/>
  <c r="P33" i="10"/>
  <c r="R33" i="10"/>
  <c r="O33" i="10"/>
  <c r="S33" i="10"/>
  <c r="N23" i="10"/>
  <c r="Q23" i="10"/>
  <c r="P23" i="10"/>
  <c r="R23" i="10"/>
  <c r="O23" i="10"/>
  <c r="S23" i="10"/>
  <c r="N12" i="10"/>
  <c r="Q12" i="10"/>
  <c r="P12" i="10"/>
  <c r="R12" i="10"/>
  <c r="O12" i="10"/>
  <c r="S12" i="10"/>
  <c r="N2" i="10"/>
  <c r="Q2" i="10"/>
  <c r="P2" i="10"/>
  <c r="R2" i="10"/>
  <c r="O2" i="10"/>
  <c r="S2" i="10"/>
  <c r="G2" i="10"/>
  <c r="J2" i="10"/>
  <c r="I2" i="10"/>
  <c r="K2" i="10"/>
  <c r="H2" i="10"/>
  <c r="L2" i="10"/>
  <c r="T42" i="10"/>
  <c r="W42" i="10"/>
  <c r="V42" i="10"/>
  <c r="X42" i="10"/>
  <c r="U42" i="10"/>
  <c r="Y42" i="10"/>
  <c r="G42" i="10"/>
  <c r="J42" i="10"/>
  <c r="I42" i="10"/>
  <c r="K42" i="10"/>
  <c r="H42" i="10"/>
  <c r="L42" i="10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T33" i="10"/>
  <c r="W33" i="10"/>
  <c r="V33" i="10"/>
  <c r="X33" i="10"/>
  <c r="U33" i="10"/>
  <c r="Y33" i="10"/>
  <c r="G33" i="10"/>
  <c r="J33" i="10"/>
  <c r="I33" i="10"/>
  <c r="K33" i="10"/>
  <c r="H33" i="10"/>
  <c r="L33" i="10"/>
  <c r="T32" i="10"/>
  <c r="W32" i="10"/>
  <c r="V32" i="10"/>
  <c r="X32" i="10"/>
  <c r="U32" i="10"/>
  <c r="Y32" i="10"/>
  <c r="G32" i="10"/>
  <c r="J32" i="10"/>
  <c r="I32" i="10"/>
  <c r="K32" i="10"/>
  <c r="H32" i="10"/>
  <c r="L32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T23" i="10"/>
  <c r="W23" i="10"/>
  <c r="V23" i="10"/>
  <c r="X23" i="10"/>
  <c r="U23" i="10"/>
  <c r="Y23" i="10"/>
  <c r="G23" i="10"/>
  <c r="J23" i="10"/>
  <c r="I23" i="10"/>
  <c r="K23" i="10"/>
  <c r="H23" i="10"/>
  <c r="L23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T12" i="10"/>
  <c r="W12" i="10"/>
  <c r="V12" i="10"/>
  <c r="X12" i="10"/>
  <c r="U12" i="10"/>
  <c r="Y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AD13" i="1"/>
  <c r="AF13" i="1"/>
  <c r="AI13" i="1"/>
  <c r="AG13" i="1"/>
  <c r="AE13" i="1"/>
  <c r="X13" i="1"/>
  <c r="V13" i="1"/>
  <c r="T13" i="1"/>
  <c r="Q13" i="1"/>
  <c r="P13" i="1"/>
  <c r="O13" i="1"/>
  <c r="N13" i="1"/>
  <c r="M13" i="1"/>
  <c r="H13" i="1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J13" i="1"/>
  <c r="I13" i="1"/>
  <c r="D13" i="1"/>
  <c r="F13" i="1"/>
  <c r="E13" i="1"/>
  <c r="A13" i="1"/>
  <c r="AD12" i="1"/>
  <c r="AF12" i="1"/>
  <c r="AI12" i="1"/>
  <c r="AG12" i="1"/>
  <c r="AE12" i="1"/>
  <c r="X12" i="1"/>
  <c r="V12" i="1"/>
  <c r="T12" i="1"/>
  <c r="Q12" i="1"/>
  <c r="P12" i="1"/>
  <c r="O12" i="1"/>
  <c r="N12" i="1"/>
  <c r="M12" i="1"/>
  <c r="H12" i="1"/>
  <c r="J12" i="1"/>
  <c r="I12" i="1"/>
  <c r="D12" i="1"/>
  <c r="F12" i="1"/>
  <c r="E12" i="1"/>
  <c r="A12" i="1"/>
  <c r="AD11" i="1"/>
  <c r="AF11" i="1"/>
  <c r="AI11" i="1"/>
  <c r="AG11" i="1"/>
  <c r="AE11" i="1"/>
  <c r="X11" i="1"/>
  <c r="V11" i="1"/>
  <c r="T11" i="1"/>
  <c r="Q11" i="1"/>
  <c r="P11" i="1"/>
  <c r="O11" i="1"/>
  <c r="N11" i="1"/>
  <c r="M11" i="1"/>
  <c r="H11" i="1"/>
  <c r="J11" i="1"/>
  <c r="I11" i="1"/>
  <c r="D11" i="1"/>
  <c r="F11" i="1"/>
  <c r="E11" i="1"/>
  <c r="A11" i="1"/>
  <c r="AD10" i="1"/>
  <c r="AF10" i="1"/>
  <c r="AI10" i="1"/>
  <c r="AG10" i="1"/>
  <c r="AE10" i="1"/>
  <c r="X10" i="1"/>
  <c r="V10" i="1"/>
  <c r="T10" i="1"/>
  <c r="Q10" i="1"/>
  <c r="P10" i="1"/>
  <c r="O10" i="1"/>
  <c r="N10" i="1"/>
  <c r="M10" i="1"/>
  <c r="H10" i="1"/>
  <c r="J10" i="1"/>
  <c r="I10" i="1"/>
  <c r="D10" i="1"/>
  <c r="F10" i="1"/>
  <c r="E10" i="1"/>
  <c r="A10" i="1"/>
  <c r="AD9" i="1"/>
  <c r="AF9" i="1"/>
  <c r="AI9" i="1"/>
  <c r="AG9" i="1"/>
  <c r="AE9" i="1"/>
  <c r="X9" i="1"/>
  <c r="V9" i="1"/>
  <c r="T9" i="1"/>
  <c r="Q9" i="1"/>
  <c r="P9" i="1"/>
  <c r="O9" i="1"/>
  <c r="N9" i="1"/>
  <c r="M9" i="1"/>
  <c r="H9" i="1"/>
  <c r="J9" i="1"/>
  <c r="I9" i="1"/>
  <c r="D9" i="1"/>
  <c r="F9" i="1"/>
  <c r="E9" i="1"/>
  <c r="A9" i="1"/>
  <c r="AD8" i="1"/>
  <c r="AF8" i="1"/>
  <c r="AI8" i="1"/>
  <c r="AG8" i="1"/>
  <c r="AE8" i="1"/>
  <c r="X8" i="1"/>
  <c r="V8" i="1"/>
  <c r="T8" i="1"/>
  <c r="Q8" i="1"/>
  <c r="P8" i="1"/>
  <c r="O8" i="1"/>
  <c r="N8" i="1"/>
  <c r="M8" i="1"/>
  <c r="H8" i="1"/>
  <c r="J8" i="1"/>
  <c r="I8" i="1"/>
  <c r="D8" i="1"/>
  <c r="F8" i="1"/>
  <c r="E8" i="1"/>
  <c r="A8" i="1"/>
  <c r="AD7" i="1"/>
  <c r="AF7" i="1"/>
  <c r="AI7" i="1"/>
  <c r="AG7" i="1"/>
  <c r="AE7" i="1"/>
  <c r="X7" i="1"/>
  <c r="V7" i="1"/>
  <c r="T7" i="1"/>
  <c r="Q7" i="1"/>
  <c r="P7" i="1"/>
  <c r="O7" i="1"/>
  <c r="N7" i="1"/>
  <c r="M7" i="1"/>
  <c r="H7" i="1"/>
  <c r="J7" i="1"/>
  <c r="I7" i="1"/>
  <c r="D7" i="1"/>
  <c r="F7" i="1"/>
  <c r="E7" i="1"/>
  <c r="A7" i="1"/>
  <c r="AD6" i="1"/>
  <c r="AF6" i="1"/>
  <c r="AI6" i="1"/>
  <c r="AG6" i="1"/>
  <c r="AE6" i="1"/>
  <c r="X6" i="1"/>
  <c r="V6" i="1"/>
  <c r="T6" i="1"/>
  <c r="Q6" i="1"/>
  <c r="P6" i="1"/>
  <c r="O6" i="1"/>
  <c r="N6" i="1"/>
  <c r="M6" i="1"/>
  <c r="H6" i="1"/>
  <c r="J6" i="1"/>
  <c r="I6" i="1"/>
  <c r="D6" i="1"/>
  <c r="F6" i="1"/>
  <c r="E6" i="1"/>
  <c r="A6" i="1"/>
  <c r="AD5" i="1"/>
  <c r="AF5" i="1"/>
  <c r="AI5" i="1"/>
  <c r="AG5" i="1"/>
  <c r="AE5" i="1"/>
  <c r="X5" i="1"/>
  <c r="V5" i="1"/>
  <c r="T5" i="1"/>
  <c r="Q5" i="1"/>
  <c r="P5" i="1"/>
  <c r="O5" i="1"/>
  <c r="N5" i="1"/>
  <c r="M5" i="1"/>
  <c r="H5" i="1"/>
  <c r="J5" i="1"/>
  <c r="I5" i="1"/>
  <c r="D5" i="1"/>
  <c r="F5" i="1"/>
  <c r="E5" i="1"/>
  <c r="A5" i="1"/>
  <c r="AD4" i="1"/>
  <c r="AF4" i="1"/>
  <c r="AI4" i="1"/>
  <c r="AG4" i="1"/>
  <c r="AE4" i="1"/>
  <c r="X4" i="1"/>
  <c r="V4" i="1"/>
  <c r="T4" i="1"/>
  <c r="Q4" i="1"/>
  <c r="P4" i="1"/>
  <c r="O4" i="1"/>
  <c r="N4" i="1"/>
  <c r="M4" i="1"/>
  <c r="H4" i="1"/>
  <c r="J4" i="1"/>
  <c r="I4" i="1"/>
  <c r="D4" i="1"/>
  <c r="F4" i="1"/>
  <c r="E4" i="1"/>
  <c r="A4" i="1"/>
  <c r="AD3" i="1"/>
  <c r="AF3" i="1"/>
  <c r="AI3" i="1"/>
  <c r="AG3" i="1"/>
  <c r="AE3" i="1"/>
  <c r="X3" i="1"/>
  <c r="V3" i="1"/>
  <c r="T3" i="1"/>
  <c r="Q3" i="1"/>
  <c r="P3" i="1"/>
  <c r="O3" i="1"/>
  <c r="N3" i="1"/>
  <c r="M3" i="1"/>
  <c r="H3" i="1"/>
  <c r="J3" i="1"/>
  <c r="I3" i="1"/>
  <c r="D3" i="1"/>
  <c r="F3" i="1"/>
  <c r="E3" i="1"/>
  <c r="A3" i="1"/>
  <c r="Y7" i="7"/>
  <c r="W7" i="7"/>
  <c r="U7" i="7"/>
  <c r="R7" i="7"/>
  <c r="Q7" i="7"/>
  <c r="P7" i="7"/>
  <c r="O7" i="7"/>
  <c r="N7" i="7"/>
  <c r="H7" i="7"/>
  <c r="J7" i="7"/>
  <c r="I7" i="7"/>
  <c r="D7" i="7"/>
  <c r="F7" i="7"/>
  <c r="E7" i="7"/>
  <c r="A7" i="7"/>
  <c r="Y6" i="7"/>
  <c r="W6" i="7"/>
  <c r="U6" i="7"/>
  <c r="R6" i="7"/>
  <c r="Q6" i="7"/>
  <c r="P6" i="7"/>
  <c r="O6" i="7"/>
  <c r="N6" i="7"/>
  <c r="H6" i="7"/>
  <c r="J6" i="7"/>
  <c r="I6" i="7"/>
  <c r="D6" i="7"/>
  <c r="F6" i="7"/>
  <c r="E6" i="7"/>
  <c r="A6" i="7"/>
  <c r="Y5" i="7"/>
  <c r="W5" i="7"/>
  <c r="U5" i="7"/>
  <c r="R5" i="7"/>
  <c r="Q5" i="7"/>
  <c r="P5" i="7"/>
  <c r="O5" i="7"/>
  <c r="N5" i="7"/>
  <c r="H5" i="7"/>
  <c r="J5" i="7"/>
  <c r="I5" i="7"/>
  <c r="D5" i="7"/>
  <c r="F5" i="7"/>
  <c r="E5" i="7"/>
  <c r="A5" i="7"/>
  <c r="Y4" i="7"/>
  <c r="W4" i="7"/>
  <c r="U4" i="7"/>
  <c r="R4" i="7"/>
  <c r="Q4" i="7"/>
  <c r="P4" i="7"/>
  <c r="O4" i="7"/>
  <c r="N4" i="7"/>
  <c r="H4" i="7"/>
  <c r="J4" i="7"/>
  <c r="I4" i="7"/>
  <c r="D4" i="7"/>
  <c r="F4" i="7"/>
  <c r="E4" i="7"/>
  <c r="A4" i="7"/>
  <c r="Y3" i="7"/>
  <c r="W3" i="7"/>
  <c r="U3" i="7"/>
  <c r="R3" i="7"/>
  <c r="Q3" i="7"/>
  <c r="P3" i="7"/>
  <c r="O3" i="7"/>
  <c r="N3" i="7"/>
  <c r="H3" i="7"/>
  <c r="J3" i="7"/>
  <c r="I3" i="7"/>
  <c r="D3" i="7"/>
  <c r="F3" i="7"/>
  <c r="E3" i="7"/>
  <c r="A3" i="7"/>
  <c r="H9" i="2"/>
  <c r="E9" i="2"/>
  <c r="D9" i="2"/>
  <c r="H2" i="1"/>
  <c r="B9" i="2"/>
  <c r="H8" i="2"/>
  <c r="E8" i="2"/>
  <c r="D8" i="2"/>
  <c r="B8" i="2"/>
  <c r="H7" i="2"/>
  <c r="E7" i="2"/>
  <c r="D7" i="2"/>
  <c r="B7" i="2"/>
  <c r="H6" i="2"/>
  <c r="E6" i="2"/>
  <c r="D6" i="2"/>
  <c r="B6" i="2"/>
  <c r="H5" i="2"/>
  <c r="E5" i="2"/>
  <c r="D5" i="2"/>
  <c r="B5" i="2"/>
  <c r="H4" i="2"/>
  <c r="E4" i="2"/>
  <c r="D4" i="2"/>
  <c r="B4" i="2"/>
  <c r="H3" i="2"/>
  <c r="E3" i="2"/>
  <c r="D3" i="2"/>
  <c r="B3" i="2"/>
  <c r="W2" i="7"/>
  <c r="U2" i="7"/>
  <c r="V2" i="1"/>
  <c r="T2" i="1"/>
  <c r="N3" i="22"/>
  <c r="G3" i="22"/>
  <c r="F3" i="22"/>
  <c r="D3" i="22"/>
  <c r="C3" i="22"/>
  <c r="A3" i="22"/>
  <c r="E13" i="16"/>
  <c r="N2" i="22"/>
  <c r="G2" i="22"/>
  <c r="F2" i="22"/>
  <c r="D2" i="22"/>
  <c r="C2" i="22"/>
  <c r="A2" i="22"/>
  <c r="B2" i="21"/>
  <c r="I2" i="21"/>
  <c r="J2" i="21"/>
  <c r="G2" i="21"/>
  <c r="F2" i="21"/>
  <c r="D2" i="21"/>
  <c r="C2" i="21"/>
  <c r="E12" i="16"/>
  <c r="E11" i="16"/>
  <c r="E10" i="16"/>
  <c r="C2" i="18"/>
  <c r="D2" i="18"/>
  <c r="J2" i="11"/>
  <c r="O2" i="9"/>
  <c r="N2" i="9"/>
  <c r="M2" i="9"/>
  <c r="L2" i="9"/>
  <c r="K2" i="9"/>
  <c r="J2" i="9"/>
  <c r="I2" i="9"/>
  <c r="H2" i="9"/>
  <c r="G2" i="9"/>
  <c r="E2" i="9"/>
  <c r="D2" i="9"/>
  <c r="E9" i="16"/>
  <c r="Y2" i="7"/>
  <c r="R2" i="7"/>
  <c r="Q2" i="7"/>
  <c r="P2" i="7"/>
  <c r="O2" i="7"/>
  <c r="N2" i="7"/>
  <c r="AD2" i="1"/>
  <c r="AG2" i="1"/>
  <c r="AF2" i="1"/>
  <c r="AE2" i="1"/>
  <c r="X2" i="1"/>
  <c r="Q2" i="1"/>
  <c r="P2" i="1"/>
  <c r="O2" i="1"/>
  <c r="N2" i="1"/>
  <c r="M2" i="1"/>
  <c r="M3" i="10"/>
  <c r="T3" i="10"/>
  <c r="V3" i="10"/>
  <c r="N3" i="10"/>
  <c r="P3" i="10"/>
  <c r="G3" i="10"/>
  <c r="I3" i="10"/>
  <c r="X3" i="10"/>
  <c r="W3" i="10"/>
  <c r="U3" i="10"/>
  <c r="Y3" i="10"/>
  <c r="R3" i="10"/>
  <c r="Q3" i="10"/>
  <c r="O3" i="10"/>
  <c r="S3" i="10"/>
  <c r="K3" i="10"/>
  <c r="J3" i="10"/>
  <c r="H3" i="10"/>
  <c r="L3" i="10"/>
  <c r="H2" i="7"/>
  <c r="J2" i="7"/>
  <c r="E8" i="16"/>
  <c r="E7" i="16"/>
  <c r="E6" i="16"/>
  <c r="E5" i="16"/>
  <c r="E4" i="16"/>
  <c r="E3" i="16"/>
  <c r="E2" i="16"/>
  <c r="A2" i="1"/>
  <c r="AI2" i="1"/>
  <c r="A2" i="9"/>
  <c r="J2" i="1"/>
  <c r="I2" i="1"/>
  <c r="D2" i="1"/>
  <c r="F2" i="1"/>
  <c r="E2" i="1"/>
  <c r="A2" i="7"/>
  <c r="I2" i="7"/>
  <c r="D2" i="7"/>
  <c r="F2" i="7"/>
  <c r="E2" i="7"/>
  <c r="D2" i="2"/>
  <c r="E2" i="2"/>
  <c r="H2" i="2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<sst xmlns="http://schemas.openxmlformats.org/spreadsheetml/2006/main" count="1305" uniqueCount="449">
  <si>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</si>
  <si>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</si>
  <si>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</si>
  <si>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</si>
  <si>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</si>
  <si>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</si>
  <si>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</si>
  <si>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</si>
  <si>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</si>
  <si>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</si>
  <si>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</si>
  <si>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</si>
  <si>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</si>
  <si>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</si>
  <si>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</si>
  <si>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</si>
  <si>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</si>
  <si>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</si>
  <si>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</si>
  <si>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</si>
  <si>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</si>
  <si>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</si>
  <si>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</si>
  <si>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</si>
  <si>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</si>
  <si>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</si>
  <si>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</si>
  <si>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</si>
  <si>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</si>
  <si>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</si>
  <si>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</si>
  <si>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</si>
  <si>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</si>
  <si>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</si>
  <si>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</si>
  <si>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</si>
  <si>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</si>
  <si>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</si>
  <si>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</si>
  <si>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</si>
  <si>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</si>
  <si>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</si>
  <si>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</si>
  <si>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</si>
  <si>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</si>
  <si>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</si>
  <si>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</si>
  <si>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</si>
  <si>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</si>
  <si>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</si>
  <si>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</si>
  <si>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</si>
  <si>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</si>
  <si>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</si>
  <si>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</si>
  <si>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</si>
  <si>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</si>
  <si>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</si>
  <si>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</si>
  <si>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</si>
  <si>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</si>
  <si>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</si>
  <si>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</si>
  <si>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</si>
  <si>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</si>
  <si>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</si>
  <si>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</si>
  <si>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</si>
  <si>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</si>
  <si>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</si>
  <si>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</si>
  <si>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</si>
  <si>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</si>
  <si>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</si>
  <si>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</si>
  <si>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</si>
  <si>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</si>
  <si>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</si>
  <si>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</si>
  <si>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</si>
  <si>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</si>
  <si>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</si>
  <si>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</si>
  <si>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</si>
  <si>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</si>
  <si>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</si>
  <si>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</si>
  <si>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</si>
  <si>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</si>
  <si>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</si>
  <si>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</si>
  <si>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</si>
  <si>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</si>
  <si>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</si>
  <si>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</si>
  <si>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</si>
  <si>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</si>
  <si>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</si>
  <si>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</si>
  <si>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</si>
  <si>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</si>
  <si>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</si>
  <si>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</si>
  <si>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</si>
  <si>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</si>
  <si>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</si>
  <si>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</si>
  <si>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</si>
  <si>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</si>
  <si>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</si>
  <si>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</si>
  <si>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</si>
  <si>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</si>
  <si>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</si>
  <si>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</si>
  <si>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</si>
  <si>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</si>
  <si>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</si>
  <si>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</si>
  <si>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</si>
  <si>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</si>
  <si>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</si>
  <si>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</si>
  <si>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</si>
  <si>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</si>
  <si>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</si>
  <si>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</si>
  <si>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</si>
  <si>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</si>
  <si>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</si>
  <si>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</si>
  <si>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</si>
  <si>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</si>
  <si>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</si>
  <si>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</si>
  <si>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</si>
  <si>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</si>
  <si>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</si>
  <si>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</si>
  <si>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</si>
  <si>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</si>
  <si>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</si>
  <si>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</si>
  <si>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</si>
  <si>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</si>
  <si>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</si>
  <si>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</si>
  <si>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</si>
  <si>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</si>
  <si>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</si>
  <si>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</si>
  <si>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</si>
  <si>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</si>
  <si>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</si>
  <si>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</si>
  <si>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</si>
  <si>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</si>
  <si>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</si>
  <si>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</si>
  <si>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</si>
  <si>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</si>
  <si>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</si>
  <si>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</si>
  <si>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</si>
  <si>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</si>
  <si>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</si>
  <si>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</si>
  <si>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</si>
  <si>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</si>
  <si>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</si>
  <si>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</si>
  <si>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</si>
  <si>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</si>
  <si>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</si>
  <si>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</si>
  <si>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</si>
  <si>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</si>
  <si>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</si>
  <si>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</si>
  <si>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</si>
  <si>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</si>
  <si>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</si>
  <si>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</si>
  <si>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</si>
  <si>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</si>
  <si>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</si>
  <si>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</si>
  <si>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</si>
  <si>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</si>
  <si>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</si>
  <si>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</si>
  <si>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</si>
  <si>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</si>
  <si>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</si>
  <si>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</si>
  <si>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</si>
  <si>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</si>
  <si>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</si>
  <si>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</si>
  <si>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</si>
  <si>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</si>
  <si>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</si>
  <si>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</si>
  <si>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</si>
  <si>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</si>
  <si>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</si>
  <si>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</si>
  <si>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</si>
  <si>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</si>
  <si>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</si>
  <si>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</si>
  <si>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</si>
  <si>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</si>
  <si>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</si>
  <si>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</si>
  <si>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</si>
  <si>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</si>
  <si>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</si>
  <si>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</si>
  <si>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</si>
  <si>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</si>
  <si>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</si>
  <si>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</si>
  <si>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</si>
  <si>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</si>
  <si>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</si>
  <si>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unit</t>
    <phoneticPr fontId="5"/>
  </si>
  <si>
    <t>2016-5-27 0:00:00</t>
    <phoneticPr fontId="5"/>
  </si>
  <si>
    <t>2970-01-01 09:00:00</t>
    <phoneticPr fontId="5"/>
  </si>
  <si>
    <t>no_continue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</si>
  <si>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</si>
  <si>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</si>
  <si>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</si>
  <si>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</si>
  <si>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</si>
  <si>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</si>
  <si>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</si>
  <si>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</si>
  <si>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</si>
  <si>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</si>
  <si>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</si>
  <si>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</si>
  <si>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</si>
  <si>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</si>
  <si>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</si>
  <si>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</si>
  <si>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</si>
  <si>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</si>
  <si>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</si>
  <si>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</si>
  <si>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</si>
  <si>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</si>
  <si>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</si>
  <si>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攻略のヒント</t>
    <rPh sb="0" eb="2">
      <t>コウリャク</t>
    </rPh>
    <phoneticPr fontId="5"/>
  </si>
  <si>
    <t>null</t>
    <phoneticPr fontId="5"/>
  </si>
  <si>
    <t>null</t>
  </si>
  <si>
    <t>(表示しない)</t>
    <rPh sb="1" eb="3">
      <t>ヒョウジシナイ</t>
    </rPh>
    <phoneticPr fontId="5"/>
  </si>
  <si>
    <t>走り去っていった</t>
    <rPh sb="0" eb="1">
      <t>ハシリサッテイッタ</t>
    </rPh>
    <phoneticPr fontId="5"/>
  </si>
  <si>
    <t>いらっしゃ〜い！
まずは駆けつけ一杯よ〜</t>
    <rPh sb="12" eb="13">
      <t>カケツケイッパイ</t>
    </rPh>
    <phoneticPr fontId="5"/>
  </si>
  <si>
    <t>緑パネルを赤のダメージパネルに5個変換</t>
    <rPh sb="0" eb="1">
      <t>ミドリパネルヲ</t>
    </rPh>
    <rPh sb="5" eb="6">
      <t>アカノ</t>
    </rPh>
    <phoneticPr fontId="5"/>
  </si>
  <si>
    <t>あぁ〜お酒が〜</t>
    <phoneticPr fontId="5"/>
  </si>
  <si>
    <t>さぁ！どんどん呑みましょう！</t>
    <rPh sb="7" eb="8">
      <t>nomimasyou</t>
    </rPh>
    <phoneticPr fontId="5"/>
  </si>
  <si>
    <t>青パネルを黄のダメージパネルに5個変換+
全体攻撃</t>
    <rPh sb="0" eb="1">
      <t>アオパネルヲ</t>
    </rPh>
    <rPh sb="5" eb="6">
      <t>kino</t>
    </rPh>
    <rPh sb="17" eb="19">
      <t>ヘンカn</t>
    </rPh>
    <rPh sb="21" eb="25">
      <t>ゼンタイコウゲキ</t>
    </rPh>
    <phoneticPr fontId="5"/>
  </si>
  <si>
    <t>1本空いちゃったわ〜</t>
    <rPh sb="1" eb="2">
      <t>ホn</t>
    </rPh>
    <rPh sb="2" eb="3">
      <t>アイチャッタワ</t>
    </rPh>
    <phoneticPr fontId="5"/>
  </si>
  <si>
    <t>お酌回し</t>
    <rPh sb="2" eb="3">
      <t>マワシ</t>
    </rPh>
    <phoneticPr fontId="5"/>
  </si>
  <si>
    <t>まだまだ呑むわよぉ〜</t>
    <rPh sb="4" eb="5">
      <t>nomuwaヨォ</t>
    </rPh>
    <phoneticPr fontId="5"/>
  </si>
  <si>
    <t>ハートパネルを赤のダメージパネルに5個変換+
単体攻撃</t>
    <rPh sb="7" eb="8">
      <t>アカノ</t>
    </rPh>
    <rPh sb="18" eb="21">
      <t>コヘンカn</t>
    </rPh>
    <rPh sb="23" eb="27">
      <t>タンタイコウゲキ</t>
    </rPh>
    <phoneticPr fontId="5"/>
  </si>
  <si>
    <t>青パネルを緑のダメージパネルに8個変換+
全体攻撃</t>
    <rPh sb="0" eb="1">
      <t>アオパネルヲ</t>
    </rPh>
    <rPh sb="5" eb="6">
      <t>ミドリノ</t>
    </rPh>
    <rPh sb="17" eb="19">
      <t>ヘンカn</t>
    </rPh>
    <rPh sb="21" eb="25">
      <t>ゼンタイコウゲキ</t>
    </rPh>
    <phoneticPr fontId="5"/>
  </si>
  <si>
    <t>もっともっと！</t>
    <phoneticPr fontId="5"/>
  </si>
  <si>
    <t>大吟醸いただきま〜す</t>
    <rPh sb="0" eb="3">
      <t>ダイギn</t>
    </rPh>
    <phoneticPr fontId="5"/>
  </si>
  <si>
    <t>ハートパネルを黄のダメージパネルに5個変換+
単体攻撃</t>
    <rPh sb="7" eb="8">
      <t>キ</t>
    </rPh>
    <rPh sb="23" eb="27">
      <t>タンタイコウゲキ</t>
    </rPh>
    <phoneticPr fontId="5"/>
  </si>
  <si>
    <t>もうお酒が呑めないの〜？</t>
    <rPh sb="3" eb="4">
      <t>sakega</t>
    </rPh>
    <rPh sb="5" eb="6">
      <t>nomenaino</t>
    </rPh>
    <phoneticPr fontId="5"/>
  </si>
  <si>
    <t>炎舞</t>
    <rPh sb="0" eb="2">
      <t>enbu</t>
    </rPh>
    <phoneticPr fontId="5"/>
  </si>
  <si>
    <t>青のダメージパネルを吸収して攻撃(最大4個)</t>
    <rPh sb="0" eb="1">
      <t>アオノ</t>
    </rPh>
    <rPh sb="10" eb="12">
      <t>キュウシュウシテ</t>
    </rPh>
    <rPh sb="14" eb="16">
      <t>コウゲキ</t>
    </rPh>
    <rPh sb="17" eb="19">
      <t>サイダイ</t>
    </rPh>
    <phoneticPr fontId="5"/>
  </si>
  <si>
    <t>燃え盛る炎</t>
    <rPh sb="0" eb="1">
      <t>モエサカルホノ</t>
    </rPh>
    <rPh sb="4" eb="5">
      <t>ホノオ</t>
    </rPh>
    <phoneticPr fontId="5"/>
  </si>
  <si>
    <t>今のあの子に近づかないほうがいいわ</t>
    <rPh sb="0" eb="1">
      <t>イマノ</t>
    </rPh>
    <rPh sb="6" eb="7">
      <t>チカヅカナイホウガイイワ</t>
    </rPh>
    <phoneticPr fontId="5"/>
  </si>
  <si>
    <t>あなたになら任せても…</t>
    <rPh sb="6" eb="7">
      <t>マカセテモ</t>
    </rPh>
    <phoneticPr fontId="5"/>
  </si>
  <si>
    <t>2ターン全ユニットの回復力30%DOWN+全体攻撃</t>
    <rPh sb="21" eb="23">
      <t>ゼンタイ</t>
    </rPh>
    <rPh sb="23" eb="25">
      <t>コウゲキ</t>
    </rPh>
    <phoneticPr fontId="5"/>
  </si>
  <si>
    <t>それでもというなら力を示しなさい！</t>
    <rPh sb="9" eb="10">
      <t>チカラヲ</t>
    </rPh>
    <rPh sb="11" eb="12">
      <t>シメシナサイ</t>
    </rPh>
    <phoneticPr fontId="5"/>
  </si>
  <si>
    <t>札吹雪</t>
    <rPh sb="0" eb="3">
      <t>フダフブキ</t>
    </rPh>
    <phoneticPr fontId="5"/>
  </si>
  <si>
    <t>2ターン赤パネルドロップ率UP</t>
    <rPh sb="4" eb="5">
      <t>アカ</t>
    </rPh>
    <phoneticPr fontId="5"/>
  </si>
  <si>
    <t>[effect:enemy_message, val1:1.2, val2:0 dead_type:suicide]</t>
    <phoneticPr fontId="5"/>
  </si>
  <si>
    <t>…あの子のことをお願い！</t>
    <phoneticPr fontId="5"/>
  </si>
  <si>
    <t>ハートパネルを緑パネルに変換</t>
    <rPh sb="7" eb="8">
      <t>ミドリパネル</t>
    </rPh>
    <rPh sb="12" eb="14">
      <t>ヘンカn</t>
    </rPh>
    <phoneticPr fontId="5"/>
  </si>
  <si>
    <t>[effect:enemy_message, val1:1.2, val2:1.4],[effect:force_change_block, new_block:block_green, target:block_heart, count:0, val:0, animation:change_block]</t>
    <phoneticPr fontId="5"/>
  </si>
  <si>
    <t>赤属性のユニットに大ダメージの単体攻撃</t>
    <rPh sb="0" eb="1">
      <t>アカ</t>
    </rPh>
    <phoneticPr fontId="5"/>
  </si>
  <si>
    <t>紅蓮消失</t>
    <rPh sb="0" eb="2">
      <t>グレン</t>
    </rPh>
    <rPh sb="2" eb="4">
      <t>syousitu</t>
    </rPh>
    <phoneticPr fontId="5"/>
  </si>
  <si>
    <t>緑パネルを黄パネルに変換</t>
    <rPh sb="0" eb="1">
      <t>ミドリp</t>
    </rPh>
    <rPh sb="5" eb="6">
      <t>キパネルニ</t>
    </rPh>
    <rPh sb="10" eb="12">
      <t>ヘンカn</t>
    </rPh>
    <phoneticPr fontId="5"/>
  </si>
  <si>
    <t>[effect:enemy_message, val1:1.2, val2:1.2],[effect:force_change_block, new_block:block_yellow, target:block_green, count:0, val:0, animation:change_block]</t>
    <phoneticPr fontId="5"/>
  </si>
  <si>
    <t>old</t>
  </si>
  <si>
    <t>[effect:enemy_message, val1:1.2, val2:1.9],[effect:damage_anti_color, target:unit_one, color:red, val1:1.5, val2:0.8]</t>
    <phoneticPr fontId="5"/>
  </si>
  <si>
    <t>酒瓶ブーメラン</t>
    <rPh sb="0" eb="2">
      <t>sakabin</t>
    </rPh>
    <phoneticPr fontId="5"/>
  </si>
  <si>
    <t>緑パネルを青のダメージパネルに4個変換+
全ユニットに1500固定ダメージ</t>
    <rPh sb="21" eb="22">
      <t>ゼンユニットニ</t>
    </rPh>
    <phoneticPr fontId="5"/>
  </si>
  <si>
    <t>…助けてくれて…ありがとう</t>
    <rPh sb="1" eb="2">
      <t>タスケテクレテ</t>
    </rPh>
    <phoneticPr fontId="5"/>
  </si>
  <si>
    <t>おねえさまには内緒だからね！</t>
    <rPh sb="7" eb="9">
      <t>ナイショニ</t>
    </rPh>
    <phoneticPr fontId="5"/>
  </si>
  <si>
    <t>生糸縛り</t>
    <rPh sb="0" eb="3">
      <t>キイトシバリ</t>
    </rPh>
    <phoneticPr fontId="5"/>
  </si>
  <si>
    <t>[effect:enemy_message, val1:1.2, val2:1.4],[effect:enhance_enemy, target:enemy_all, turn:3, status:attack, val:0.5, calc:mul, animation:enemy_enhance_attack]</t>
    <phoneticPr fontId="5"/>
  </si>
  <si>
    <t>3ターン敵全体の攻撃力UP</t>
    <rPh sb="4" eb="5">
      <t>teki</t>
    </rPh>
    <rPh sb="5" eb="7">
      <t>テキゼンタイノ</t>
    </rPh>
    <rPh sb="8" eb="11">
      <t>コウゲキリョク</t>
    </rPh>
    <phoneticPr fontId="5"/>
  </si>
  <si>
    <t>[effect:enemy_message, val1:1.4, val2:3.6],[effect:force_change_block, new_block:damage, target:block_green, color:block_blue, count:5, val:0.1, animation:change_block],[effect:damage_fix_absolute, target:unit_all, val:2000]</t>
    <phoneticPr fontId="5"/>
  </si>
  <si>
    <t>緑パネルを青のダメージパネルに5個変換+
全ユニットに2000固定ダメージ</t>
    <rPh sb="0" eb="1">
      <t>ミドリパネルヲ</t>
    </rPh>
    <rPh sb="5" eb="6">
      <t>アオノ</t>
    </rPh>
    <rPh sb="21" eb="22">
      <t>ゼンタ</t>
    </rPh>
    <rPh sb="31" eb="33">
      <t>コテイダメージ</t>
    </rPh>
    <phoneticPr fontId="5"/>
  </si>
  <si>
    <t>[effect:enemy_message, val1:1.2, val2:3.8],[effect:force_change_block, new_block:damage, target:block_heart, color:block_yellow, count:4, val:0.1, animation:change_block],[effect:damage_fix_absolute, target:unit_all, val:2000]</t>
    <phoneticPr fontId="5"/>
  </si>
  <si>
    <t>ハートパネルを黄のダメージパネルに4個変換+
全ユニットに2000固定ダメージ</t>
    <rPh sb="7" eb="8">
      <t>キ</t>
    </rPh>
    <rPh sb="23" eb="24">
      <t>ゼンユニ</t>
    </rPh>
    <rPh sb="33" eb="35">
      <t>コテイダ</t>
    </rPh>
    <phoneticPr fontId="5"/>
  </si>
  <si>
    <t>緑パネルを青のダメージパネルに8個変換+
全ユニットに2000固定ダメージ</t>
    <rPh sb="0" eb="1">
      <t>ミドリパネルヲ</t>
    </rPh>
    <rPh sb="5" eb="6">
      <t>アオノ</t>
    </rPh>
    <rPh sb="21" eb="22">
      <t>ゼンユニ</t>
    </rPh>
    <rPh sb="31" eb="33">
      <t>コテイダメージ</t>
    </rPh>
    <phoneticPr fontId="5"/>
  </si>
  <si>
    <t>[effect:enemy_message, val1:1.2, val2:2.2],[effect:break_attack, target:unit_one, val:0.1, lowest_val:3000, count:4, color:red, block_color:block_blue, block01:damage]</t>
    <phoneticPr fontId="5"/>
  </si>
  <si>
    <t>大恩ある方の妹</t>
    <phoneticPr fontId="5"/>
  </si>
  <si>
    <t>link</t>
  </si>
  <si>
    <t>unit</t>
  </si>
  <si>
    <t>full_member</t>
    <phoneticPr fontId="5"/>
  </si>
  <si>
    <t>緑パネルを吸収して全体攻撃(最大10個)</t>
    <rPh sb="5" eb="7">
      <t>キュウシュウ</t>
    </rPh>
    <rPh sb="9" eb="11">
      <t>ゼンタイ</t>
    </rPh>
    <rPh sb="11" eb="13">
      <t>コウゲキ</t>
    </rPh>
    <rPh sb="14" eb="16">
      <t>サイダイ</t>
    </rPh>
    <phoneticPr fontId="5"/>
  </si>
  <si>
    <t>青パネルを吸収して全体攻撃(最大10個)</t>
    <rPh sb="0" eb="1">
      <t>アオ</t>
    </rPh>
    <rPh sb="5" eb="7">
      <t>キュウシュウ</t>
    </rPh>
    <rPh sb="9" eb="11">
      <t>ゼンタイ</t>
    </rPh>
    <rPh sb="11" eb="13">
      <t>コウゲキ</t>
    </rPh>
    <phoneticPr fontId="5"/>
  </si>
  <si>
    <t>やるわね…
でもまだまだ！</t>
    <phoneticPr fontId="5"/>
  </si>
  <si>
    <t>自身の攻撃頻度UP</t>
    <rPh sb="0" eb="2">
      <t>ジシn</t>
    </rPh>
    <phoneticPr fontId="5"/>
  </si>
  <si>
    <t>2ターンユニット単体にスリープ+4回連続攻撃</t>
    <rPh sb="8" eb="10">
      <t>タンタイニ</t>
    </rPh>
    <phoneticPr fontId="5"/>
  </si>
  <si>
    <t>2ターンユニット単体にスキルバインド+
青パネルを緑のダメージパネルに10個変換</t>
    <rPh sb="8" eb="10">
      <t>タンタイニ</t>
    </rPh>
    <phoneticPr fontId="5"/>
  </si>
  <si>
    <t>緑パネルを青のダメージパネルに5個変換+
残りHPの50%ダメージ！</t>
    <rPh sb="0" eb="1">
      <t>ミドリノパネルヲ</t>
    </rPh>
    <rPh sb="5" eb="6">
      <t>アオノ</t>
    </rPh>
    <rPh sb="17" eb="19">
      <t>ヘンカn</t>
    </rPh>
    <rPh sb="21" eb="22">
      <t>ノコリ</t>
    </rPh>
    <phoneticPr fontId="5"/>
  </si>
  <si>
    <t>ダメージパネルを赤パネルに変換</t>
    <rPh sb="8" eb="9">
      <t>アカパネルニ</t>
    </rPh>
    <rPh sb="13" eb="15">
      <t>ヘンカn</t>
    </rPh>
    <phoneticPr fontId="5"/>
  </si>
  <si>
    <t>青パネル&amp;緑パネルを吸収して攻撃</t>
    <rPh sb="0" eb="1">
      <t>アオ</t>
    </rPh>
    <rPh sb="5" eb="6">
      <t>ミドリ</t>
    </rPh>
    <rPh sb="10" eb="12">
      <t>キュウシュウ</t>
    </rPh>
    <rPh sb="14" eb="16">
      <t>コウゲキ</t>
    </rPh>
    <phoneticPr fontId="5"/>
  </si>
  <si>
    <t>ハートパネルを黄のダメージパネルに4個変換+
全ユニットに1500固定ダメージ</t>
    <rPh sb="7" eb="8">
      <t>キ</t>
    </rPh>
    <rPh sb="23" eb="24">
      <t>ゼンユニ</t>
    </rPh>
    <rPh sb="33" eb="35">
      <t>コテイダ</t>
    </rPh>
    <phoneticPr fontId="5"/>
  </si>
  <si>
    <t>緑パネルを青のダメージパネルに8個変換+
全ユニットに1500固定ダメージ</t>
    <rPh sb="0" eb="1">
      <t>ミドリパネルヲ</t>
    </rPh>
    <rPh sb="5" eb="6">
      <t>アオノ</t>
    </rPh>
    <rPh sb="21" eb="22">
      <t>ゼンユニ</t>
    </rPh>
    <rPh sb="31" eb="33">
      <t>コテイダメージ</t>
    </rPh>
    <phoneticPr fontId="5"/>
  </si>
  <si>
    <t>緑パネルを青のダメージパネルに5個変換+
全ユニットに1500固定ダメージ</t>
    <rPh sb="0" eb="1">
      <t>ミドリパネルヲ</t>
    </rPh>
    <rPh sb="5" eb="6">
      <t>アオノ</t>
    </rPh>
    <rPh sb="21" eb="22">
      <t>ゼンタ</t>
    </rPh>
    <rPh sb="31" eb="33">
      <t>コテイダメージ</t>
    </rPh>
    <phoneticPr fontId="5"/>
  </si>
  <si>
    <t>[effect:enemy_message, val1:1.2, val2:2.4],[effect:force_change_block, new_block:damage, target:block_blue, color:block_yellow, count:5, val:0.08, animation:change_block],[effect:spread, val:0.34]</t>
    <phoneticPr fontId="5"/>
  </si>
  <si>
    <t>[effect:enemy_message, val1:1.2, val2:2.4],[effect:force_change_block, new_block:damage, target:block_blue, color:block_green, count:8, val:0.08, animation:change_block],[effect:spread, val:0.4]</t>
    <phoneticPr fontId="5"/>
  </si>
  <si>
    <t>[effect:enemy_message, val1:1.2, val2:3.8],[effect:force_change_block, new_block:damage, target:block_heart, color:block_yellow, count:4, val:0.08, animation:change_block],[effect:damage_fix_absolute, target:unit_all, val:1500]</t>
    <phoneticPr fontId="5"/>
  </si>
  <si>
    <t>[effect:enemy_message, val1:1.2, val2:3.6],[effect:force_change_block, new_block:damage, target:block_green, color:block_blue, count:4, val:0.08, animation:change_block],[effect:damage_fix_absolute, target:unit_all, val:1250]</t>
    <phoneticPr fontId="5"/>
  </si>
  <si>
    <t>[effect:enemy_message, val1:1.2, val2:1.4],[effect:enhance_enemy, target:enemy_all, turn:3, status:attack, val:0.3, calc:mul, animation:enemy_enhance_attack]</t>
    <phoneticPr fontId="5"/>
  </si>
  <si>
    <t>[effect:enemy_message, val1:1.7, val2:2.5],[effect:degrade_unit, target:unit_all, turn:2, status:heal, val:0.3, calc:mul, animation:degrade_unit_all_heal],[effect:spread, val:0.2]</t>
    <phoneticPr fontId="5"/>
  </si>
  <si>
    <t>[effect:enemy_message, val1:1.2, val2:0 dead_type:suicide]</t>
    <phoneticPr fontId="5"/>
  </si>
  <si>
    <t>[effect:enemy_message, val1:1.2, val2:2.2],[effect:break_attack, target:unit_one, val:0.1, lowest_val:3000, count:4, color:red, block_color:block_blue, block01:damage]</t>
    <phoneticPr fontId="5"/>
  </si>
  <si>
    <t>[effect:enemy_message, val1:1.2, val2:3.9],[effect:hungup, target:unit_one, turn:2, rate:1, animation:hungup01],[effect:force_change_block, new_block:damage, target:block_blue, color:block_green, count:10, val:0.08, animation:change_block]</t>
    <phoneticPr fontId="5"/>
  </si>
  <si>
    <t>ヤマタノオロチが使用するダメージパネルは
非常に強力で大ダメージを受けます
対策できるユニットを連れて行きましょう</t>
    <phoneticPr fontId="5"/>
  </si>
  <si>
    <t>ヤマタノオロチは2ゲージ目で
緑・青・ハートパネルを
ダメージパネルに変換するので
盤面に気をつけて戦いましょう</t>
    <phoneticPr fontId="5"/>
  </si>
  <si>
    <t>ファイアフォックスの攻撃は非常に強力です
戦闘が長引くと耐え切れなくなるので
早期決着を狙いましょう</t>
    <phoneticPr fontId="5"/>
  </si>
  <si>
    <t>ワカヒルメは青・緑・ハートパネルを
ダメージパネルに変換する攻撃を多用します
盤面に残すパネルに気をつけましょう</t>
    <phoneticPr fontId="5"/>
  </si>
  <si>
    <t>ワカヒルメの2ゲージ目は開幕に
10回連続攻撃を使用します
威力が高いのでHPの残量に注意しましょう</t>
    <phoneticPr fontId="5"/>
  </si>
  <si>
    <t>ワカヒルメの3ゲージ目では緑・青パネルを
吸収する攻撃が非常に強力です
パネルの数に注意して戦いましょう</t>
    <phoneticPr fontId="5"/>
  </si>
  <si>
    <t>姉と妹</t>
    <rPh sb="0" eb="1">
      <t>アネト</t>
    </rPh>
    <rPh sb="2" eb="3">
      <t>イモウト</t>
    </rPh>
    <phoneticPr fontId="5"/>
  </si>
  <si>
    <t>元凶</t>
    <rPh sb="0" eb="2">
      <t>genkyou</t>
    </rPh>
    <phoneticPr fontId="5"/>
  </si>
  <si>
    <t>[effect:enemy_message, val1:1.2, val2:2],[effect:break_attack_fix, target:unit_all, val:500, lowest_val:1000, count:10, color:green, block01:block_blue]</t>
    <phoneticPr fontId="5"/>
  </si>
  <si>
    <t>[effect:enemy_message, val1:1.2, val2:2],[effect:break_attack_fix, target:unit_all, val:500, lowest_val:1000, count:10, color:green, block01:block_green]</t>
    <phoneticPr fontId="5"/>
  </si>
  <si>
    <t>ハートパネルを緑のダメージパネルに5個変換+
全体攻撃</t>
    <rPh sb="7" eb="8">
      <t>ミドリノ</t>
    </rPh>
    <rPh sb="23" eb="27">
      <t>ゼンタイコウゲキ</t>
    </rPh>
    <phoneticPr fontId="5"/>
  </si>
  <si>
    <t>3ターン全ユニットの攻撃をカウンター</t>
    <rPh sb="4" eb="5">
      <t>ゼンユニットノ</t>
    </rPh>
    <rPh sb="10" eb="12">
      <t>コウゲキヲ</t>
    </rPh>
    <phoneticPr fontId="5"/>
  </si>
  <si>
    <t>状態異常耐性+4ターン自身の攻撃力UP</t>
    <rPh sb="0" eb="6">
      <t>ジョウタイイジョウタイセイ</t>
    </rPh>
    <rPh sb="11" eb="13">
      <t>ジシn</t>
    </rPh>
    <rPh sb="14" eb="17">
      <t>コウゲキリョク</t>
    </rPh>
    <phoneticPr fontId="5"/>
  </si>
  <si>
    <t>状態異常耐性+10回連続攻撃</t>
    <rPh sb="9" eb="14">
      <t>カイレンゾクコウゲキ</t>
    </rPh>
    <phoneticPr fontId="5"/>
  </si>
  <si>
    <t>状態異常耐性+青パネルを赤パネルに変換</t>
    <rPh sb="7" eb="8">
      <t>アオパネルヲ</t>
    </rPh>
    <rPh sb="12" eb="13">
      <t>アカパネル</t>
    </rPh>
    <rPh sb="17" eb="19">
      <t>ヘンカn</t>
    </rPh>
    <phoneticPr fontId="5"/>
  </si>
  <si>
    <t>青パネルを緑のダメージパネルに変換+
全体攻撃</t>
    <rPh sb="0" eb="1">
      <t>アオパネ</t>
    </rPh>
    <rPh sb="5" eb="6">
      <t>ミドリノダメージパネルニ</t>
    </rPh>
    <rPh sb="15" eb="17">
      <t>ヘンカn</t>
    </rPh>
    <rPh sb="19" eb="23">
      <t>ゼンタイコウゲキ</t>
    </rPh>
    <phoneticPr fontId="5"/>
  </si>
  <si>
    <t>[effect:enemy_message, val1:1.2, val2:2.4],[effect:force_change_block, new_block:damage, target:block_blue, color:block_yellow, count:5, val:0.1, animation:change_block],[effect:spread, val:0.34]</t>
    <phoneticPr fontId="5"/>
  </si>
  <si>
    <t>[effect:enemy_message, val1:1.2, val2:2.4],[effect:force_change_block, new_block:damage, target:block_blue, color:block_green, count:8, val:0.1, animation:change_block],[effect:spread, val:0.4]</t>
    <phoneticPr fontId="5"/>
  </si>
  <si>
    <t>[effect:enemy_message, val1:1.2, val2:3.6],[effect:force_change_block, new_block:damage, target:block_green, color:block_blue, count:8, val:0.1, animation:change_block],[effect:damage_fix_absolute, target:unit_all, val:2000]</t>
    <phoneticPr fontId="5"/>
  </si>
  <si>
    <t>[effect:enemy_message, val1:1.2, val2:3.6],[effect:force_change_block, new_block:damage, target:block_green, color:block_blue, count:4, val:0.1, animation:change_block],[effect:damage_fix_absolute, target:unit_all, val:1500]</t>
    <phoneticPr fontId="5"/>
  </si>
  <si>
    <t>[effect:enemy_message, val1:1.2, val2:3.9],[effect:hungup, target:unit_one, turn:2, rate:1, animation:hungup01],[effect:force_change_block, new_block:damage, target:block_blue, color:block_green, count:10, val:0.15, animation:change_block]</t>
    <phoneticPr fontId="5"/>
  </si>
  <si>
    <t>[effect:enemy_message, val1:1.2, val2:2],[effect:break_attack_fix, target:unit_all, val:500, lowest_val:1000, count:10, color:green, block01:block_green]</t>
    <phoneticPr fontId="5"/>
  </si>
  <si>
    <t>状態異常耐性+4ターン自身の攻撃力UP</t>
    <rPh sb="11" eb="13">
      <t>ジシn</t>
    </rPh>
    <rPh sb="14" eb="17">
      <t>コウゲキリョク</t>
    </rPh>
    <phoneticPr fontId="5"/>
  </si>
  <si>
    <t>おねえさま大好き！</t>
    <phoneticPr fontId="5"/>
  </si>
  <si>
    <t>ワカヒルメの2ゲージ目では
多彩な状態異常攻撃を多用します
長引けば不利になりますので
短期決着を目指しましょう</t>
    <rPh sb="50" eb="52">
      <t>メザシ</t>
    </rPh>
    <phoneticPr fontId="5"/>
  </si>
  <si>
    <t>ワカヒルメは青・緑・ハートパネルを
ダメージパネルに変換する攻撃を多用します
盤面に残すパネルに気をつけましょう</t>
    <phoneticPr fontId="5"/>
  </si>
  <si>
    <t>ワカヒルメは強気で気難しい性格ですが
姉のアマテラスを慕っており将来は姉の様に
成長したいと願う一面もあるようです</t>
    <phoneticPr fontId="5"/>
  </si>
  <si>
    <t>今回の事件はウィルス感染したワカヒルメが
「タカマガハラ」に戻ったことで
大規模に発展してしまったようです</t>
    <phoneticPr fontId="5"/>
  </si>
  <si>
    <t>アマテラスは妹のことを常に気遣い
大切に思っています
ワカヒルメは彼女の庇護のもと
のびのびと日々を過ごしていたようです</t>
    <phoneticPr fontId="5"/>
  </si>
  <si>
    <t>[effect:enemy_message, val1:1.2, val2:0],[effect:fix_speed, target:myself, turn:2]</t>
    <phoneticPr fontId="5"/>
  </si>
  <si>
    <t>[effect:enemy_message, val1:1.9, val2:1.9],[effect:fix_speed, target:myself, turn:2],[effect:force_change_block, new_block:damage, target:block_green, color:block_red, count:5, val:0.1, animation:change_block]</t>
    <phoneticPr fontId="5"/>
  </si>
  <si>
    <t>[effect:enemy_message, val1:1.2, val2:1.4],[effect:fix_speed, target:myself, turn:2],[effect:tolerance, target:myself, turn:-1, count:-1, tolerance_effect:all, animation:enemy_tolerance],[effect:rush, count:10, val:0.09]</t>
    <phoneticPr fontId="5"/>
  </si>
  <si>
    <t>[effect:enemy_message, val1:1.2, val2:1.9],[effect:fix_speed, target:myself, turn:1],[effect:tolerance, target:myself, turn:-1, count:-1, tolerance_effect:all, animation:enemy_tolerance],[effect:force_change_block, new_block:block_red, target:block_blue, count:0, val:0, animation:change_block]</t>
    <phoneticPr fontId="5"/>
  </si>
  <si>
    <t>[effect:enemy_message, val1:1.9, val2:1.9],[effect:fix_speed, target:myself, turn:2],[effect:force_change_block, new_block:damage, target:block_green, color:block_red, count:5, val:0.08, animation:change_block]</t>
    <phoneticPr fontId="5"/>
  </si>
  <si>
    <t>クシナダヒメはアマテラスによって
ウィルス感染被害を免れました
アマテラスの妹が感染したと聞き
恩を返す時と救援に向かいました</t>
    <phoneticPr fontId="5"/>
  </si>
  <si>
    <t>[effect:enemy_message, val1:1.2, val2:1.8],[effect:enemy_counter, target:myself, invoke_condition:unit_all, counter_target:attacker, turn:3, val:1, animation:enemy_counter]</t>
    <phoneticPr fontId="5"/>
  </si>
  <si>
    <t>青パネルを緑パネルに5個変換+全体攻撃</t>
    <rPh sb="0" eb="1">
      <t>アオパネルヲ</t>
    </rPh>
    <rPh sb="5" eb="6">
      <t>ミドリノパネルニ</t>
    </rPh>
    <rPh sb="15" eb="19">
      <t>ゼンタイコウゲキ</t>
    </rPh>
    <phoneticPr fontId="5"/>
  </si>
  <si>
    <t>[effect:enemy_message, val1:1.2, val2:2.2],[effect:sleep, target:unit_one, turn:2, rate:1, animation:sleep01],[effect:rush, count:4, val:0.15]</t>
    <phoneticPr fontId="5"/>
  </si>
  <si>
    <t>[effect:enemy_message, val1:1.2, val2:1.5],[effect:change_panel_ratio, turn:2, block_type:red, val:0.5, animation:block_incidence04]</t>
    <phoneticPr fontId="5"/>
  </si>
  <si>
    <t>[effect:enemy_message, val1:1.2, val2:2.6],[effect:force_change_block, new_block:damage, target:block_heart, color:block_yellow, count:5, val:0.1, animation:change_block],[effect:rush, count:1, val:1.3]</t>
    <phoneticPr fontId="5"/>
  </si>
  <si>
    <t>[effect:enemy_message, val1:1.2, val2:2.2],[effect:sleep, target:unit_one, turn:2, rate:1, animation:sleep01],[effect:rush, count:4, val:0.15]</t>
    <phoneticPr fontId="5"/>
  </si>
  <si>
    <t>[effect:enemy_message, val1:1.2, val2:2.6],[effect:fix_speed, target:myself, turn:1],[effect:force_change_block, new_block:damage, target:block_heart, color:block_red, count:5, val:0.08, animation:change_block],[effect:rush, count:1, val:1.3]</t>
    <phoneticPr fontId="5"/>
  </si>
  <si>
    <t>[effect:enemy_message, val1:1.2, val2:2.6],[effect:force_change_block, new_block:damage, target:block_heart, color:block_yellow, count:5, val:0.08, animation:change_block],[effect:rush, count:1, val:1.3]</t>
    <phoneticPr fontId="5"/>
  </si>
  <si>
    <t>3ターン暗闇+単体攻撃</t>
    <rPh sb="4" eb="6">
      <t>クラヤミ</t>
    </rPh>
    <rPh sb="7" eb="11">
      <t>タンタイ</t>
    </rPh>
    <phoneticPr fontId="5"/>
  </si>
  <si>
    <t>緑パネルを青のダメージパネルに4個変換+
全ユニットに1250固定ダメージ</t>
    <rPh sb="21" eb="22">
      <t>ゼンユニットニ</t>
    </rPh>
    <phoneticPr fontId="5"/>
  </si>
  <si>
    <t>[effect:enemy_message, val1:1.2, val2:3.6],[effect:force_change_block, new_block:damage, target:block_green, color:block_blue, count:8, val:0.08, animation:change_block],[effect:damage_fix_absolute, target:unit_all, val:1500]</t>
    <phoneticPr fontId="5"/>
  </si>
  <si>
    <t>[effect:enemy_message, val1:1.2, val2:1.2],[effect:dark, target:unit_all, turn:3, animation:enemy_dark],[effect:rush, count:1, val:0.7]</t>
    <phoneticPr fontId="5"/>
  </si>
  <si>
    <t>2ターンユニット単体にスリープ+単体攻撃</t>
    <rPh sb="16" eb="20">
      <t>タンタイコウゲキ</t>
    </rPh>
    <phoneticPr fontId="5"/>
  </si>
  <si>
    <t>[effect:enemy_message, val1:1.2, val2:1.9],[effect:force_change_block, new_block:block_green, target:block_blue, count:5, val:0, animation:change_block],[effect:spread, val:0.34]</t>
    <phoneticPr fontId="5"/>
  </si>
  <si>
    <t>[effect:enemy_message, val1:1.2, val2:2.6],[effect:fix_speed, target:myself, turn:1],[effect:force_change_block, new_block:damage, target:block_heart, color:block_red, count:5, val:0.1, animation:change_block],[effect:rush, count:1, val:1.3]</t>
    <phoneticPr fontId="5"/>
  </si>
  <si>
    <t>ランダムで緑パネルに最大15個変換</t>
    <rPh sb="5" eb="6">
      <t>ミドリパネルニ</t>
    </rPh>
    <rPh sb="15" eb="17">
      <t>コヘンカn</t>
    </rPh>
    <phoneticPr fontId="5"/>
  </si>
  <si>
    <t>ランダムで赤パネルに最大10個変換</t>
    <rPh sb="5" eb="6">
      <t>アカパネル</t>
    </rPh>
    <rPh sb="15" eb="17">
      <t>ヘンカn</t>
    </rPh>
    <phoneticPr fontId="5"/>
  </si>
  <si>
    <t>[effect:enemy_message, val1:1.6, val2:2],[effect:sleep, target:unit_one, turn:2, rate:1, animation:sleep01],[effect:rush, count:1, val:0.5]</t>
    <phoneticPr fontId="5"/>
  </si>
  <si>
    <t>[effect:enemy_message, val1:1.3, val2:1.6],[effect:break_attack_fix, target:unit_one, val:700, lowest_val:6000, count:-1, color:green, block01:block_green, block02:block_blue]</t>
    <phoneticPr fontId="5"/>
  </si>
  <si>
    <t>[effect:enemy_message, val1:1.9, val2:2.3],[effect:force_change_block, new_block:damage, target:block_blue, color:block_green, count:0, val:0.15, animation:change_block],[effect:spread, val:0.3]</t>
    <phoneticPr fontId="5"/>
  </si>
  <si>
    <t>[effect:enemy_message, val1:1.2, val2:2],[effect:break_attack_fix, target:unit_all, val:500, lowest_val:1000, count:10, color:green, block01:block_blue]</t>
    <phoneticPr fontId="5"/>
  </si>
  <si>
    <t>[effect:enemy_message, val1:1.2, val2:1.9],[effect:fix_speed, target:myself, turn:1],[effect:tolerance, target:myself, turn:-1, count:-1, tolerance_effect:all, animation:enemy_tolerance],[effect:enhance_enemy, target:myself, turn:4, status:attack, val:0.2, calc:mul, animation:enemy_enhance_attack]</t>
    <phoneticPr fontId="5"/>
  </si>
  <si>
    <t>[effect:enemy_message, val1:1.3, val2:1.6],[effect:break_attack_fix, target:unit_one, val:700, lowest_val:4000, count:-1, color:green, block01:block_green, block02:block_blue]</t>
    <phoneticPr fontId="5"/>
  </si>
  <si>
    <t>[effect:enemy_message, val1:1.9, val2:2.3],[effect:force_change_block, new_block:damage, target:block_blue, color:block_green, count:0, val:0.08, animation:change_block],[effect:spread, val:0.35]</t>
    <phoneticPr fontId="5"/>
  </si>
  <si>
    <t>あなたも…感染しちゃう…</t>
    <rPh sb="5" eb="7">
      <t>kansen</t>
    </rPh>
    <phoneticPr fontId="5"/>
  </si>
  <si>
    <t>お願い…助けて…</t>
    <rPh sb="4" eb="5">
      <t>タスケテ</t>
    </rPh>
    <phoneticPr fontId="5"/>
  </si>
  <si>
    <t>『ナニあなた？』</t>
    <phoneticPr fontId="5"/>
  </si>
  <si>
    <t>『ナニ見てるノ！』</t>
    <phoneticPr fontId="5"/>
  </si>
  <si>
    <t>『あなたもお仕事の邪魔ヲするノネ』</t>
    <phoneticPr fontId="5"/>
  </si>
  <si>
    <t>『あっちにイって！』</t>
    <phoneticPr fontId="5"/>
  </si>
  <si>
    <t>『見ナイデ！』</t>
    <phoneticPr fontId="5"/>
  </si>
  <si>
    <t>『モット早く仕上げないト…』</t>
    <phoneticPr fontId="5"/>
  </si>
  <si>
    <t>『見ナイデって言ってるデしょ！』</t>
    <phoneticPr fontId="5"/>
  </si>
  <si>
    <t>『キツイおしおきが必要ネ』</t>
    <phoneticPr fontId="5"/>
  </si>
  <si>
    <t>『邪魔者ハ排除シなきゃ』</t>
    <rPh sb="1" eb="4">
      <t>ジャマモノ</t>
    </rPh>
    <rPh sb="5" eb="7">
      <t>ハイジョ</t>
    </rPh>
    <phoneticPr fontId="5"/>
  </si>
  <si>
    <t>『マダいたのネ！』</t>
    <phoneticPr fontId="5"/>
  </si>
  <si>
    <t>『イジワルするあなたナンか大っ嫌イ！』</t>
    <rPh sb="13" eb="14">
      <t>ダイッキライ</t>
    </rPh>
    <phoneticPr fontId="5"/>
  </si>
  <si>
    <t>『わかったワおねえさまノ敵ネ！』</t>
    <phoneticPr fontId="5"/>
  </si>
  <si>
    <t>『ナニよこレ？』</t>
    <phoneticPr fontId="5"/>
  </si>
  <si>
    <t>…もう…傷つけたくない</t>
    <phoneticPr fontId="5"/>
  </si>
  <si>
    <t>[effect:enemy_message, val1:1.6, val2:2.6],[effect:force_change_block, new_block:damage, target:block_heart, color:block_green, count:5, val:0.15, animation:change_block],[effect:spread, val:0.2]</t>
    <phoneticPr fontId="5"/>
  </si>
  <si>
    <t>[effect:enemy_message, val1:1.7, val2:3.3],[effect:force_change_block, new_block:damage, target:block_green, color:block_blue, count:5, val:0.15, animation:change_block],[effect:damage_gravity, val:0.5, animation:fevergauge_down]</t>
    <phoneticPr fontId="5"/>
  </si>
  <si>
    <t>[effect:enemy_message, val1:1.6, val2:2.6],[effect:force_change_block, new_block:damage, target:block_heart, color:block_green, count:5, val:0.08, animation:change_block],[effect:spread, val:0.3]</t>
    <phoneticPr fontId="5"/>
  </si>
  <si>
    <t>威嚇攻撃</t>
    <rPh sb="0" eb="2">
      <t>イカク</t>
    </rPh>
    <rPh sb="2" eb="4">
      <t>コウゲキ</t>
    </rPh>
    <phoneticPr fontId="5"/>
  </si>
  <si>
    <t>噛み砕く</t>
    <rPh sb="0" eb="1">
      <t>カミク</t>
    </rPh>
    <phoneticPr fontId="5"/>
  </si>
  <si>
    <t>あたしに…近づかないで…</t>
    <rPh sb="5" eb="6">
      <t>チカヅカナイデ</t>
    </rPh>
    <phoneticPr fontId="5"/>
  </si>
  <si>
    <t>[effect:enemy_message, val1:1.2, val2:1.2],[effect:freq_turn, target:myself, turn:-1, val:1, animation:enemy_freq_turn]</t>
    <phoneticPr fontId="5"/>
  </si>
  <si>
    <t>[effect:enemy_message, val1:1.4, val2:1.2],[effect:freq_turn, target:myself, turn:-1, val:1, animation:enemy_freq_turn]</t>
    <phoneticPr fontId="5"/>
  </si>
  <si>
    <t>攻撃頻度UP</t>
    <phoneticPr fontId="5"/>
  </si>
  <si>
    <t>[effect:enemy_message, val1:1.2, val2:0],[effect:fix_speed, target:myself, turn:2]</t>
    <phoneticPr fontId="5"/>
  </si>
  <si>
    <t>[effect:enemy_message, val1:1.7, val2:3.3],[effect:force_change_block, new_block:damage, target:block_green, color:block_blue, count:5, val:0.08, animation:change_block],[effect:damage_gravity, val:0.5, animation:fevergauge_down]</t>
    <phoneticPr fontId="5"/>
  </si>
  <si>
    <t>[effect:enemy_message, val1:1.4, val2:3.6],[effect:force_change_block, new_block:damage, target:block_green, color:block_blue, count:5, val:0.08, animation:change_block],[effect:damage_fix_absolute, target:unit_all, val:1500]</t>
    <phoneticPr fontId="5"/>
  </si>
  <si>
    <t>ワカヒルメは3ターンの間
カウンター状態になります
HPを70%以下にすると撤退するので
回復しながら攻撃しましょう</t>
    <rPh sb="11" eb="12">
      <t>アイダ</t>
    </rPh>
    <phoneticPr fontId="5"/>
  </si>
  <si>
    <t>2ターン全ユニットにスキルバインド+
全体攻撃</t>
    <rPh sb="4" eb="5">
      <t>ゼンユニット</t>
    </rPh>
    <rPh sb="19" eb="21">
      <t>ゼンタイ</t>
    </rPh>
    <rPh sb="21" eb="23">
      <t>タンタイコウゲキ</t>
    </rPh>
    <phoneticPr fontId="5"/>
  </si>
  <si>
    <t>2ターン全ユニットにスキルバインド+
全体攻撃</t>
    <rPh sb="4" eb="5">
      <t>ゼンユニットニ</t>
    </rPh>
    <rPh sb="19" eb="21">
      <t>ゼンタイ</t>
    </rPh>
    <rPh sb="21" eb="23">
      <t>タンタイコウゲキ</t>
    </rPh>
    <phoneticPr fontId="5"/>
  </si>
  <si>
    <t>フィーバーゲージ10%減少+
1ターン全ユニットにスキルバインド</t>
    <rPh sb="11" eb="13">
      <t>gensyou</t>
    </rPh>
    <rPh sb="19" eb="20">
      <t>ゼンユニット</t>
    </rPh>
    <phoneticPr fontId="5"/>
  </si>
  <si>
    <t>[effect:enemy_message, val1:1.7, val2:3.1],[effect:degrade_fever, val:100, animation:fevergauge_down],[effect:hungup, target:unit_all, turn:1, rate:1, animation:hungup01]</t>
    <phoneticPr fontId="5"/>
  </si>
  <si>
    <t>[effect:enemy_message, val1:1.2, val2:2.2],[effect:hungup, target:unit_all, turn:2, rate:1, animation:hungup01],[effect:spread, val:0.3]</t>
    <phoneticPr fontId="5"/>
  </si>
  <si>
    <t xml:space="preserve">[effect:enemy_message, val1:1.2, val2:1.5],[effect:change_panel_ratio, turn:2, block_type:red, val:0.5, animation:block_incidence04]    </t>
    <phoneticPr fontId="5"/>
  </si>
  <si>
    <t>ごめんなさいおねえさま…</t>
    <phoneticPr fontId="5"/>
  </si>
  <si>
    <t>[effect:enemy_message, val1:1.2, val2:1.9],[effect:fix_speed, target:myself, turn:1],[effect:tolerance, target:myself, turn:-1, count:-1, tolerance_effect:all, animation:enemy_tolerance],[effect:enhance_enemy, target:myself, turn:4, status:attack, val:0.2, calc:mul, animation:enemy_enhance_attack]</t>
    <phoneticPr fontId="5"/>
  </si>
  <si>
    <t>アマテラス遭遇</t>
    <rPh sb="5" eb="7">
      <t>ソウグウウ</t>
    </rPh>
    <phoneticPr fontId="5"/>
  </si>
  <si>
    <t>アマテラス撤退</t>
    <rPh sb="5" eb="7">
      <t>テッタイ</t>
    </rPh>
    <phoneticPr fontId="5"/>
  </si>
  <si>
    <t>クシナダヒメ遭遇</t>
    <rPh sb="6" eb="8">
      <t>ソウグウ</t>
    </rPh>
    <phoneticPr fontId="5"/>
  </si>
  <si>
    <t>クシナダヒメ撤退</t>
    <rPh sb="6" eb="8">
      <t>テッタイ</t>
    </rPh>
    <phoneticPr fontId="5"/>
  </si>
  <si>
    <t>おヒメちゃんもおねえさまに助けられたの？</t>
    <rPh sb="13" eb="14">
      <t>タスケ</t>
    </rPh>
    <phoneticPr fontId="5"/>
  </si>
  <si>
    <t>『…おヒメ…ちゃん？』</t>
    <phoneticPr fontId="5"/>
  </si>
  <si>
    <t>次はウィルスなんかに負けないよう強くなります！</t>
    <rPh sb="0" eb="1">
      <t>ツギハ</t>
    </rPh>
    <rPh sb="10" eb="11">
      <t>マケナイヨウ</t>
    </rPh>
    <rPh sb="16" eb="17">
      <t>ツヨクナリマス</t>
    </rPh>
    <phoneticPr fontId="5"/>
  </si>
  <si>
    <t>『おねえ…さま？』</t>
    <phoneticPr fontId="5"/>
  </si>
  <si>
    <t>『はヤくお仕事しなクちャ』</t>
    <phoneticPr fontId="5"/>
  </si>
  <si>
    <t>[effect:enemy_message, val1:1.3, val2:1.2],[effect:suicide, target:myself, val:1, dead_type:escape, animation:enemy_suicide]</t>
    <phoneticPr fontId="5"/>
  </si>
  <si>
    <t>抗体プログラムを…</t>
    <rPh sb="0" eb="2">
      <t>koutai</t>
    </rPh>
    <phoneticPr fontId="5"/>
  </si>
  <si>
    <t>『なンでいじワルすルノ？』</t>
    <phoneticPr fontId="5"/>
  </si>
  <si>
    <t>『おねえさまオコっテる？』</t>
    <phoneticPr fontId="5"/>
  </si>
  <si>
    <t>やっぱりおねえさまはすごいわ！</t>
    <phoneticPr fontId="5"/>
  </si>
  <si>
    <t>[effect:enemy_message, val1:1.2, val2:1.6],[effect:force_change_block, new_block:block_red, target:damage, count:0, val:0, animation:change_block]</t>
    <phoneticPr fontId="5"/>
  </si>
  <si>
    <t>[effect:enemy_message, val1:1.2, val2:1.5],[effect:force_change_block, new_block:block_red, target:damage, count:0, val:0, animation:change_block]</t>
    <phoneticPr fontId="5"/>
  </si>
  <si>
    <t>[effect:enemy_message, val1:1.7, val2:2.8, dead_type:escape]</t>
    <phoneticPr fontId="5"/>
  </si>
  <si>
    <t>[effect:enemy_message, val1:1.3, val2:1.2],[effect:suicide, target:myself, val:1, dead_type:escape, animation:enemy_suicide]</t>
    <phoneticPr fontId="5"/>
  </si>
  <si>
    <t>[effect:enemy_message, val1:2.5, val2:2.0, dead_type:escape]</t>
    <phoneticPr fontId="5"/>
  </si>
  <si>
    <t>[effect:enemy_message, val1:1.8, val2:1.9, dead_type:escape]</t>
    <phoneticPr fontId="5"/>
  </si>
  <si>
    <t>[effect:enemy_message, val1:1.9, val2:1.9],[effect:fix_speed, target:myself, turn:1],[effect:tolerance, target:myself, turn:-1, count:-1, tolerance_effect:all, animation:enemy_tolerance],[effect:enhance_enemy, target:myself, turn:4, status:attack, val:0.2, calc:mul, animation:enemy_enhance_attack]</t>
    <phoneticPr fontId="5"/>
  </si>
  <si>
    <t>[effect:enemy_message, val1:1.2, val2:1.7],[effect:force_change_block, new_block:block_red, target:block_all, ignore01:block_positive, ignore02:block_negative, ignore03:block_red, count:10, val:0, animation:change_block]</t>
    <phoneticPr fontId="5"/>
  </si>
  <si>
    <t>[effect:enemy_message, val1:1.2, val2:1.7],[effect:ability_lock, target:unit_all, turn:1],[effect:sleep, target:unit_all, turn:1, rate:1, animation:sleep01],[effect:fix_speed, target:myself, turn:1],[effect:force_change_block, new_block:block_green, target:block_all, ignore01:block_positive, ignore02:block_negative, ignore03:block_green, count:15, val:0, animation:change_block]</t>
    <phoneticPr fontId="5"/>
  </si>
  <si>
    <t>[effect:enemy_message, val1:1.2, val2:1.7],[effect:ability_lock, target:unit_all, turn:1],[effect:sleep, target:unit_all, turn:1, rate:1, animation:sleep01],[effect:fix_speed, target:myself, turn:1],[effect:force_change_block, new_block:block_green, target:block_all, ignore01:block_positive, ignore02:block_negative, ignore03:block_green, count:15, val:0, animation:change_block]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</si>
</sst>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D883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</fills>
  <borders count="3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auto="1"/>
      </bottom>
      <diagonal/>
    </border>
    <border>
      <left style="thin">
        <color indexed="8"/>
      </left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auto="1"/>
      </right>
      <top/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716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204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6" fillId="0" borderId="3" xfId="0" applyFont="1" applyFill="1" applyBorder="1" applyAlignment="1">
      <alignment vertical="center"/>
    </xf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4" fillId="0" borderId="12" xfId="0" applyFont="1" applyFill="1" applyBorder="1" applyAlignment="1">
      <alignment vertical="center"/>
    </xf>
    <xf numFmtId="0" fontId="6" fillId="5" borderId="12" xfId="0" applyFont="1" applyFill="1" applyBorder="1" applyAlignment="1">
      <alignment vertical="center"/>
    </xf>
    <xf numFmtId="0" fontId="4" fillId="0" borderId="12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vertical="center"/>
    </xf>
    <xf numFmtId="0" fontId="4" fillId="3" borderId="12" xfId="0" applyFont="1" applyFill="1" applyBorder="1" applyAlignment="1">
      <alignment horizontal="center" vertical="center"/>
    </xf>
    <xf numFmtId="0" fontId="6" fillId="0" borderId="12" xfId="0" applyFont="1" applyFill="1" applyBorder="1" applyAlignment="1">
      <alignment vertical="center"/>
    </xf>
    <xf numFmtId="0" fontId="12" fillId="7" borderId="23" xfId="0" applyFont="1" applyFill="1" applyBorder="1" applyAlignment="1">
      <alignment vertical="center"/>
    </xf>
    <xf numFmtId="0" fontId="4" fillId="0" borderId="24" xfId="0" applyFont="1" applyFill="1" applyBorder="1" applyAlignment="1">
      <alignment vertical="center"/>
    </xf>
    <xf numFmtId="0" fontId="6" fillId="5" borderId="24" xfId="0" applyFont="1" applyFill="1" applyBorder="1" applyAlignment="1">
      <alignment vertical="center"/>
    </xf>
    <xf numFmtId="0" fontId="4" fillId="0" borderId="24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vertical="center"/>
    </xf>
    <xf numFmtId="0" fontId="4" fillId="3" borderId="24" xfId="0" applyFont="1" applyFill="1" applyBorder="1" applyAlignment="1">
      <alignment horizontal="center" vertical="center"/>
    </xf>
    <xf numFmtId="0" fontId="6" fillId="0" borderId="24" xfId="0" applyFont="1" applyFill="1" applyBorder="1" applyAlignment="1">
      <alignment vertical="center"/>
    </xf>
    <xf numFmtId="0" fontId="8" fillId="0" borderId="25" xfId="0" applyFont="1" applyBorder="1" applyAlignment="1">
      <alignment vertical="center"/>
    </xf>
    <xf numFmtId="1" fontId="32" fillId="31" borderId="12" xfId="0" applyNumberFormat="1" applyFont="1" applyFill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3" borderId="12" xfId="0" applyFont="1" applyFill="1" applyBorder="1" applyAlignment="1">
      <alignment vertical="center"/>
    </xf>
    <xf numFmtId="0" fontId="4" fillId="0" borderId="26" xfId="0" applyFont="1" applyBorder="1" applyAlignment="1">
      <alignment vertical="center"/>
    </xf>
    <xf numFmtId="0" fontId="4" fillId="0" borderId="12" xfId="0" applyFont="1" applyBorder="1" applyAlignment="1">
      <alignment vertical="center"/>
    </xf>
    <xf numFmtId="176" fontId="4" fillId="0" borderId="27" xfId="0" applyNumberFormat="1" applyFont="1" applyFill="1" applyBorder="1" applyAlignment="1">
      <alignment horizontal="center" vertical="center"/>
    </xf>
    <xf numFmtId="0" fontId="6" fillId="5" borderId="27" xfId="0" applyFont="1" applyFill="1" applyBorder="1" applyAlignment="1">
      <alignment vertical="center"/>
    </xf>
    <xf numFmtId="0" fontId="4" fillId="0" borderId="24" xfId="0" applyFont="1" applyBorder="1" applyAlignment="1">
      <alignment horizontal="center" vertical="center"/>
    </xf>
    <xf numFmtId="0" fontId="6" fillId="5" borderId="28" xfId="0" applyFont="1" applyFill="1" applyBorder="1" applyAlignment="1">
      <alignment vertical="center"/>
    </xf>
    <xf numFmtId="0" fontId="8" fillId="0" borderId="29" xfId="0" applyFont="1" applyBorder="1" applyAlignment="1">
      <alignment vertical="center"/>
    </xf>
    <xf numFmtId="177" fontId="8" fillId="0" borderId="29" xfId="0" applyNumberFormat="1" applyFont="1" applyBorder="1" applyAlignment="1">
      <alignment vertical="center"/>
    </xf>
    <xf numFmtId="1" fontId="32" fillId="31" borderId="24" xfId="0" applyNumberFormat="1" applyFont="1" applyFill="1" applyBorder="1" applyAlignment="1">
      <alignment vertical="center"/>
    </xf>
    <xf numFmtId="0" fontId="6" fillId="0" borderId="27" xfId="0" applyFont="1" applyFill="1" applyBorder="1" applyAlignment="1">
      <alignment vertical="center"/>
    </xf>
    <xf numFmtId="0" fontId="4" fillId="0" borderId="30" xfId="0" applyFont="1" applyBorder="1" applyAlignment="1">
      <alignment vertical="center"/>
    </xf>
    <xf numFmtId="0" fontId="4" fillId="3" borderId="24" xfId="0" applyFont="1" applyFill="1" applyBorder="1" applyAlignment="1">
      <alignment vertical="center"/>
    </xf>
    <xf numFmtId="0" fontId="4" fillId="0" borderId="31" xfId="0" applyFont="1" applyBorder="1" applyAlignment="1">
      <alignment vertical="center"/>
    </xf>
    <xf numFmtId="0" fontId="4" fillId="0" borderId="24" xfId="0" applyFont="1" applyBorder="1" applyAlignment="1">
      <alignment vertical="center"/>
    </xf>
    <xf numFmtId="0" fontId="6" fillId="5" borderId="32" xfId="0" applyFont="1" applyFill="1" applyBorder="1" applyAlignment="1">
      <alignment vertical="center"/>
    </xf>
    <xf numFmtId="0" fontId="6" fillId="5" borderId="33" xfId="0" applyFont="1" applyFill="1" applyBorder="1" applyAlignment="1">
      <alignment vertical="center"/>
    </xf>
    <xf numFmtId="0" fontId="4" fillId="0" borderId="31" xfId="0" applyFont="1" applyBorder="1" applyAlignment="1">
      <alignment horizontal="center" vertical="center"/>
    </xf>
    <xf numFmtId="0" fontId="16" fillId="32" borderId="7" xfId="0" applyFont="1" applyFill="1" applyBorder="1" applyAlignment="1">
      <alignment vertical="center"/>
    </xf>
    <xf numFmtId="0" fontId="16" fillId="0" borderId="12" xfId="0" applyFont="1" applyFill="1" applyBorder="1" applyAlignment="1">
      <alignment vertical="center"/>
    </xf>
    <xf numFmtId="0" fontId="16" fillId="0" borderId="12" xfId="0" applyFont="1" applyFill="1" applyBorder="1" applyAlignment="1">
      <alignment horizontal="left" vertical="center"/>
    </xf>
    <xf numFmtId="0" fontId="16" fillId="0" borderId="12" xfId="0" applyFont="1" applyFill="1" applyBorder="1" applyAlignment="1">
      <alignment horizontal="left" vertical="center" wrapText="1"/>
    </xf>
    <xf numFmtId="0" fontId="16" fillId="3" borderId="12" xfId="0" applyFont="1" applyFill="1" applyBorder="1" applyAlignment="1">
      <alignment horizontal="left" vertical="center" wrapText="1"/>
    </xf>
    <xf numFmtId="0" fontId="16" fillId="3" borderId="12" xfId="0" applyFont="1" applyFill="1" applyBorder="1" applyAlignment="1">
      <alignment vertical="center"/>
    </xf>
    <xf numFmtId="14" fontId="16" fillId="0" borderId="12" xfId="0" applyNumberFormat="1" applyFont="1" applyFill="1" applyBorder="1" applyAlignment="1">
      <alignment horizontal="left" vertical="center"/>
    </xf>
    <xf numFmtId="0" fontId="16" fillId="0" borderId="24" xfId="0" applyFont="1" applyFill="1" applyBorder="1" applyAlignment="1">
      <alignment vertical="center"/>
    </xf>
    <xf numFmtId="0" fontId="16" fillId="0" borderId="24" xfId="0" applyFont="1" applyFill="1" applyBorder="1" applyAlignment="1">
      <alignment horizontal="left" vertical="center"/>
    </xf>
    <xf numFmtId="0" fontId="16" fillId="0" borderId="24" xfId="0" applyFont="1" applyFill="1" applyBorder="1" applyAlignment="1">
      <alignment horizontal="left" vertical="center" wrapText="1"/>
    </xf>
    <xf numFmtId="0" fontId="16" fillId="3" borderId="24" xfId="0" applyFont="1" applyFill="1" applyBorder="1" applyAlignment="1">
      <alignment horizontal="left" vertical="center" wrapText="1"/>
    </xf>
    <xf numFmtId="0" fontId="16" fillId="3" borderId="24" xfId="0" applyFont="1" applyFill="1" applyBorder="1" applyAlignment="1">
      <alignment vertical="center"/>
    </xf>
    <xf numFmtId="14" fontId="16" fillId="0" borderId="24" xfId="0" applyNumberFormat="1" applyFont="1" applyFill="1" applyBorder="1" applyAlignment="1">
      <alignment horizontal="left" vertical="center"/>
    </xf>
    <xf numFmtId="0" fontId="16" fillId="33" borderId="12" xfId="0" applyFont="1" applyFill="1" applyBorder="1" applyAlignment="1">
      <alignment vertical="center"/>
    </xf>
    <xf numFmtId="0" fontId="16" fillId="33" borderId="24" xfId="0" applyFont="1" applyFill="1" applyBorder="1" applyAlignment="1">
      <alignment vertical="center"/>
    </xf>
    <xf numFmtId="0" fontId="16" fillId="34" borderId="12" xfId="0" applyFont="1" applyFill="1" applyBorder="1" applyAlignment="1">
      <alignment vertical="center"/>
    </xf>
    <xf numFmtId="0" fontId="16" fillId="34" borderId="24" xfId="0" applyFont="1" applyFill="1" applyBorder="1" applyAlignment="1">
      <alignment vertical="center"/>
    </xf>
    <xf numFmtId="0" fontId="16" fillId="6" borderId="12" xfId="0" applyFont="1" applyFill="1" applyBorder="1" applyAlignment="1">
      <alignment vertical="center"/>
    </xf>
    <xf numFmtId="0" fontId="16" fillId="6" borderId="24" xfId="0" applyFont="1" applyFill="1" applyBorder="1" applyAlignment="1">
      <alignment vertical="center"/>
    </xf>
    <xf numFmtId="0" fontId="16" fillId="34" borderId="34" xfId="0" applyFont="1" applyFill="1" applyBorder="1" applyAlignment="1">
      <alignment vertical="center"/>
    </xf>
    <xf numFmtId="0" fontId="16" fillId="0" borderId="34" xfId="0" applyFont="1" applyFill="1" applyBorder="1" applyAlignment="1">
      <alignment vertical="center"/>
    </xf>
    <xf numFmtId="0" fontId="16" fillId="0" borderId="34" xfId="0" applyFont="1" applyFill="1" applyBorder="1" applyAlignment="1">
      <alignment horizontal="left" vertical="center"/>
    </xf>
    <xf numFmtId="0" fontId="16" fillId="0" borderId="34" xfId="0" applyFont="1" applyFill="1" applyBorder="1" applyAlignment="1">
      <alignment horizontal="left" vertical="center" wrapText="1"/>
    </xf>
    <xf numFmtId="0" fontId="16" fillId="3" borderId="34" xfId="0" applyFont="1" applyFill="1" applyBorder="1" applyAlignment="1">
      <alignment horizontal="left" vertical="center" wrapText="1"/>
    </xf>
    <xf numFmtId="0" fontId="16" fillId="3" borderId="34" xfId="0" applyFont="1" applyFill="1" applyBorder="1" applyAlignment="1">
      <alignment vertical="center"/>
    </xf>
    <xf numFmtId="14" fontId="16" fillId="0" borderId="34" xfId="0" applyNumberFormat="1" applyFont="1" applyFill="1" applyBorder="1" applyAlignment="1">
      <alignment horizontal="left" vertical="center"/>
    </xf>
    <xf numFmtId="0" fontId="16" fillId="34" borderId="7" xfId="0" applyFont="1" applyFill="1" applyBorder="1" applyAlignment="1">
      <alignment vertical="center"/>
    </xf>
    <xf numFmtId="0" fontId="16" fillId="6" borderId="7" xfId="0" applyFont="1" applyFill="1" applyBorder="1" applyAlignment="1">
      <alignment vertical="center"/>
    </xf>
    <xf numFmtId="0" fontId="16" fillId="32" borderId="24" xfId="0" applyFont="1" applyFill="1" applyBorder="1" applyAlignment="1">
      <alignment vertical="center"/>
    </xf>
    <xf numFmtId="0" fontId="14" fillId="7" borderId="23" xfId="0" applyFont="1" applyFill="1" applyBorder="1" applyAlignment="1">
      <alignment vertical="center"/>
    </xf>
    <xf numFmtId="0" fontId="14" fillId="7" borderId="0" xfId="0" applyFont="1" applyFill="1" applyBorder="1" applyAlignment="1">
      <alignment vertical="center"/>
    </xf>
    <xf numFmtId="0" fontId="16" fillId="34" borderId="35" xfId="0" applyFont="1" applyFill="1" applyBorder="1" applyAlignment="1">
      <alignment vertical="center"/>
    </xf>
    <xf numFmtId="0" fontId="16" fillId="0" borderId="35" xfId="0" applyFont="1" applyFill="1" applyBorder="1" applyAlignment="1">
      <alignment vertical="center"/>
    </xf>
    <xf numFmtId="0" fontId="16" fillId="3" borderId="35" xfId="0" applyFont="1" applyFill="1" applyBorder="1" applyAlignment="1">
      <alignment vertical="center"/>
    </xf>
    <xf numFmtId="0" fontId="14" fillId="7" borderId="36" xfId="0" applyFont="1" applyFill="1" applyBorder="1" applyAlignment="1">
      <alignment vertical="center"/>
    </xf>
    <xf numFmtId="0" fontId="16" fillId="3" borderId="12" xfId="0" applyFont="1" applyFill="1" applyBorder="1" applyAlignment="1">
      <alignment horizontal="left" vertical="center"/>
    </xf>
    <xf numFmtId="0" fontId="16" fillId="3" borderId="24" xfId="0" applyFont="1" applyFill="1" applyBorder="1" applyAlignment="1">
      <alignment horizontal="left" vertical="center"/>
    </xf>
    <xf numFmtId="0" fontId="6" fillId="0" borderId="30" xfId="0" applyFont="1" applyFill="1" applyBorder="1" applyAlignment="1">
      <alignment vertical="center"/>
    </xf>
    <xf numFmtId="38" fontId="16" fillId="0" borderId="7" xfId="628" applyFont="1" applyFill="1" applyBorder="1" applyAlignment="1">
      <alignment wrapText="1"/>
    </xf>
    <xf numFmtId="0" fontId="31" fillId="0" borderId="7" xfId="0" applyFont="1" applyFill="1" applyBorder="1" applyAlignment="1">
      <alignment wrapText="1"/>
    </xf>
    <xf numFmtId="0" fontId="31" fillId="0" borderId="7" xfId="0" applyFont="1" applyFill="1" applyBorder="1" applyAlignment="1"/>
    <xf numFmtId="0" fontId="0" fillId="0" borderId="24" xfId="0" applyBorder="1"/>
    <xf numFmtId="0" fontId="0" fillId="3" borderId="24" xfId="0" applyFill="1" applyBorder="1"/>
    <xf numFmtId="0" fontId="0" fillId="0" borderId="12" xfId="0" applyBorder="1"/>
    <xf numFmtId="0" fontId="0" fillId="3" borderId="12" xfId="0" applyFill="1" applyBorder="1"/>
    <xf numFmtId="0" fontId="16" fillId="34" borderId="37" xfId="0" applyFont="1" applyFill="1" applyBorder="1" applyAlignment="1">
      <alignment vertical="center"/>
    </xf>
    <xf numFmtId="0" fontId="27" fillId="0" borderId="24" xfId="0" applyFont="1" applyFill="1" applyBorder="1"/>
    <xf numFmtId="0" fontId="28" fillId="0" borderId="24" xfId="0" applyFont="1" applyFill="1" applyBorder="1"/>
    <xf numFmtId="0" fontId="29" fillId="3" borderId="24" xfId="0" applyFont="1" applyFill="1" applyBorder="1" applyAlignment="1">
      <alignment vertical="center"/>
    </xf>
    <xf numFmtId="0" fontId="30" fillId="0" borderId="24" xfId="0" applyFont="1" applyFill="1" applyBorder="1"/>
    <xf numFmtId="0" fontId="29" fillId="0" borderId="24" xfId="0" applyFont="1" applyFill="1" applyBorder="1" applyAlignment="1">
      <alignment vertical="center"/>
    </xf>
    <xf numFmtId="0" fontId="30" fillId="30" borderId="24" xfId="0" applyFont="1" applyFill="1" applyBorder="1"/>
    <xf numFmtId="0" fontId="30" fillId="14" borderId="24" xfId="0" applyFont="1" applyFill="1" applyBorder="1"/>
    <xf numFmtId="0" fontId="31" fillId="0" borderId="24" xfId="0" applyFont="1" applyFill="1" applyBorder="1" applyAlignment="1">
      <alignment wrapText="1"/>
    </xf>
    <xf numFmtId="38" fontId="16" fillId="0" borderId="24" xfId="628" applyFont="1" applyFill="1" applyBorder="1" applyAlignment="1">
      <alignment wrapText="1"/>
    </xf>
    <xf numFmtId="0" fontId="6" fillId="5" borderId="30" xfId="0" applyFont="1" applyFill="1" applyBorder="1" applyAlignment="1">
      <alignment vertical="center"/>
    </xf>
    <xf numFmtId="0" fontId="16" fillId="35" borderId="2" xfId="0" applyFont="1" applyFill="1" applyBorder="1" applyAlignment="1">
      <alignment vertical="center"/>
    </xf>
    <xf numFmtId="0" fontId="16" fillId="35" borderId="7" xfId="0" applyFont="1" applyFill="1" applyBorder="1" applyAlignment="1">
      <alignment vertical="center"/>
    </xf>
    <xf numFmtId="0" fontId="16" fillId="35" borderId="24" xfId="0" applyFont="1" applyFill="1" applyBorder="1" applyAlignment="1">
      <alignment vertical="center"/>
    </xf>
    <xf numFmtId="0" fontId="16" fillId="35" borderId="12" xfId="0" applyFont="1" applyFill="1" applyBorder="1" applyAlignment="1">
      <alignment vertical="center"/>
    </xf>
    <xf numFmtId="0" fontId="16" fillId="35" borderId="38" xfId="0" applyFont="1" applyFill="1" applyBorder="1" applyAlignment="1">
      <alignment vertical="center"/>
    </xf>
    <xf numFmtId="0" fontId="16" fillId="3" borderId="38" xfId="0" applyFont="1" applyFill="1" applyBorder="1" applyAlignment="1">
      <alignment horizontal="left" vertical="center"/>
    </xf>
    <xf numFmtId="0" fontId="16" fillId="0" borderId="38" xfId="0" applyFont="1" applyFill="1" applyBorder="1" applyAlignment="1">
      <alignment vertical="center"/>
    </xf>
    <xf numFmtId="0" fontId="16" fillId="3" borderId="38" xfId="0" applyFont="1" applyFill="1" applyBorder="1" applyAlignment="1">
      <alignment vertical="center"/>
    </xf>
  </cellXfs>
  <cellStyles count="716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赤字強調" xfId="431"/>
    <cellStyle name="青字強調" xfId="430"/>
  </cellStyles>
  <dxfs count="10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D883FF"/>
      <color rgb="FF9437FF"/>
      <color rgb="FFFF7E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39001</v>
          </cell>
        </row>
        <row r="183">
          <cell r="A183">
            <v>39002</v>
          </cell>
        </row>
        <row r="184">
          <cell r="A184">
            <v>39003</v>
          </cell>
        </row>
        <row r="185">
          <cell r="A185">
            <v>39004</v>
          </cell>
        </row>
        <row r="186">
          <cell r="A186">
            <v>39005</v>
          </cell>
        </row>
        <row r="187">
          <cell r="A187">
            <v>39006</v>
          </cell>
        </row>
        <row r="188">
          <cell r="A188">
            <v>39007</v>
          </cell>
        </row>
        <row r="189">
          <cell r="A189">
            <v>39008</v>
          </cell>
        </row>
        <row r="190">
          <cell r="A190">
            <v>39009</v>
          </cell>
        </row>
        <row r="191">
          <cell r="A191">
            <v>39010</v>
          </cell>
        </row>
        <row r="192">
          <cell r="A192">
            <v>39011</v>
          </cell>
        </row>
        <row r="193">
          <cell r="A193">
            <v>39012</v>
          </cell>
        </row>
        <row r="194">
          <cell r="A194">
            <v>40001</v>
          </cell>
        </row>
        <row r="195">
          <cell r="A195">
            <v>40002</v>
          </cell>
        </row>
        <row r="196">
          <cell r="A196">
            <v>40003</v>
          </cell>
        </row>
        <row r="197">
          <cell r="A197">
            <v>40004</v>
          </cell>
        </row>
        <row r="198">
          <cell r="A198">
            <v>40005</v>
          </cell>
        </row>
        <row r="199">
          <cell r="A199">
            <v>40006</v>
          </cell>
        </row>
        <row r="200">
          <cell r="A200">
            <v>40007</v>
          </cell>
        </row>
        <row r="201">
          <cell r="A201">
            <v>40008</v>
          </cell>
        </row>
        <row r="202">
          <cell r="A202">
            <v>40009</v>
          </cell>
        </row>
        <row r="203">
          <cell r="A203">
            <v>40010</v>
          </cell>
        </row>
        <row r="204">
          <cell r="A204">
            <v>40011</v>
          </cell>
        </row>
        <row r="205">
          <cell r="A205">
            <v>40012</v>
          </cell>
        </row>
        <row r="206">
          <cell r="A206">
            <v>40013</v>
          </cell>
        </row>
        <row r="207">
          <cell r="A207">
            <v>40014</v>
          </cell>
        </row>
        <row r="208">
          <cell r="A208">
            <v>40015</v>
          </cell>
        </row>
        <row r="209">
          <cell r="A209">
            <v>40016</v>
          </cell>
        </row>
        <row r="210">
          <cell r="A210">
            <v>40017</v>
          </cell>
        </row>
        <row r="211">
          <cell r="A211">
            <v>40018</v>
          </cell>
        </row>
        <row r="212">
          <cell r="A212">
            <v>40019</v>
          </cell>
        </row>
        <row r="213">
          <cell r="A213">
            <v>40021</v>
          </cell>
        </row>
        <row r="214">
          <cell r="A214">
            <v>40022</v>
          </cell>
        </row>
        <row r="215">
          <cell r="A215">
            <v>40023</v>
          </cell>
        </row>
        <row r="216">
          <cell r="A216">
            <v>40024</v>
          </cell>
        </row>
        <row r="217">
          <cell r="A217">
            <v>40025</v>
          </cell>
        </row>
        <row r="218">
          <cell r="A218">
            <v>40026</v>
          </cell>
        </row>
        <row r="219">
          <cell r="A219">
            <v>40027</v>
          </cell>
        </row>
        <row r="220">
          <cell r="A220">
            <v>40028</v>
          </cell>
        </row>
        <row r="221">
          <cell r="A221">
            <v>40029</v>
          </cell>
        </row>
        <row r="222">
          <cell r="A222">
            <v>40030</v>
          </cell>
        </row>
        <row r="223">
          <cell r="A223">
            <v>40031</v>
          </cell>
        </row>
        <row r="224">
          <cell r="A224">
            <v>40032</v>
          </cell>
        </row>
        <row r="225">
          <cell r="A225">
            <v>40033</v>
          </cell>
        </row>
        <row r="226">
          <cell r="A226">
            <v>40034</v>
          </cell>
        </row>
        <row r="227">
          <cell r="A227">
            <v>40035</v>
          </cell>
        </row>
        <row r="228">
          <cell r="A228">
            <v>40036</v>
          </cell>
        </row>
        <row r="229">
          <cell r="A229">
            <v>40037</v>
          </cell>
        </row>
        <row r="230">
          <cell r="A230">
            <v>40038</v>
          </cell>
        </row>
        <row r="231">
          <cell r="A231">
            <v>40039</v>
          </cell>
        </row>
        <row r="232">
          <cell r="A232">
            <v>40040</v>
          </cell>
        </row>
        <row r="233">
          <cell r="A233">
            <v>40041</v>
          </cell>
        </row>
        <row r="234">
          <cell r="A234">
            <v>40042</v>
          </cell>
        </row>
        <row r="235">
          <cell r="A235">
            <v>40043</v>
          </cell>
        </row>
        <row r="236">
          <cell r="A236">
            <v>40044</v>
          </cell>
        </row>
        <row r="237">
          <cell r="A237">
            <v>40045</v>
          </cell>
        </row>
        <row r="238">
          <cell r="A238">
            <v>48001</v>
          </cell>
        </row>
        <row r="239">
          <cell r="A239">
            <v>48002</v>
          </cell>
        </row>
        <row r="240">
          <cell r="A240">
            <v>48003</v>
          </cell>
        </row>
        <row r="241">
          <cell r="A241">
            <v>48004</v>
          </cell>
        </row>
        <row r="242">
          <cell r="A242">
            <v>48005</v>
          </cell>
        </row>
        <row r="243">
          <cell r="A243">
            <v>48006</v>
          </cell>
        </row>
        <row r="244">
          <cell r="A244">
            <v>48007</v>
          </cell>
        </row>
        <row r="245">
          <cell r="A245">
            <v>48008</v>
          </cell>
        </row>
        <row r="246">
          <cell r="A246">
            <v>48009</v>
          </cell>
        </row>
        <row r="247">
          <cell r="A247">
            <v>48010</v>
          </cell>
        </row>
        <row r="248">
          <cell r="A248">
            <v>48011</v>
          </cell>
        </row>
        <row r="249">
          <cell r="A249">
            <v>48012</v>
          </cell>
        </row>
        <row r="250">
          <cell r="A250">
            <v>48501</v>
          </cell>
        </row>
        <row r="251">
          <cell r="A251">
            <v>48502</v>
          </cell>
        </row>
        <row r="252">
          <cell r="A252">
            <v>48701</v>
          </cell>
        </row>
        <row r="253">
          <cell r="A253">
            <v>48702</v>
          </cell>
        </row>
        <row r="254">
          <cell r="A254">
            <v>41001</v>
          </cell>
        </row>
        <row r="255">
          <cell r="A255">
            <v>41002</v>
          </cell>
        </row>
        <row r="256">
          <cell r="A256">
            <v>41003</v>
          </cell>
        </row>
        <row r="257">
          <cell r="A257">
            <v>41004</v>
          </cell>
        </row>
        <row r="258">
          <cell r="A258">
            <v>41005</v>
          </cell>
        </row>
        <row r="259">
          <cell r="A259">
            <v>41006</v>
          </cell>
        </row>
        <row r="260">
          <cell r="A260">
            <v>41007</v>
          </cell>
        </row>
        <row r="261">
          <cell r="A261">
            <v>41008</v>
          </cell>
        </row>
        <row r="262">
          <cell r="A262">
            <v>41009</v>
          </cell>
        </row>
        <row r="263">
          <cell r="A263">
            <v>41010</v>
          </cell>
        </row>
        <row r="264">
          <cell r="A264">
            <v>41011</v>
          </cell>
        </row>
        <row r="265">
          <cell r="A265">
            <v>41012</v>
          </cell>
        </row>
        <row r="266">
          <cell r="A266">
            <v>41013</v>
          </cell>
        </row>
        <row r="267">
          <cell r="A267">
            <v>41014</v>
          </cell>
        </row>
        <row r="268">
          <cell r="A268">
            <v>41015</v>
          </cell>
        </row>
        <row r="269">
          <cell r="A269">
            <v>47001</v>
          </cell>
        </row>
        <row r="270">
          <cell r="A270">
            <v>47002</v>
          </cell>
        </row>
        <row r="271">
          <cell r="A271">
            <v>47003</v>
          </cell>
        </row>
        <row r="272">
          <cell r="A272">
            <v>47004</v>
          </cell>
        </row>
        <row r="273">
          <cell r="A273">
            <v>47005</v>
          </cell>
        </row>
        <row r="274">
          <cell r="A274">
            <v>47006</v>
          </cell>
        </row>
        <row r="275">
          <cell r="A275">
            <v>47007</v>
          </cell>
        </row>
        <row r="276">
          <cell r="A276">
            <v>47008</v>
          </cell>
        </row>
        <row r="277">
          <cell r="A277">
            <v>47009</v>
          </cell>
        </row>
        <row r="278">
          <cell r="A278">
            <v>47010</v>
          </cell>
        </row>
        <row r="279">
          <cell r="A279">
            <v>47011</v>
          </cell>
        </row>
        <row r="280">
          <cell r="A280">
            <v>47012</v>
          </cell>
        </row>
        <row r="281">
          <cell r="A281">
            <v>49001</v>
          </cell>
        </row>
        <row r="282">
          <cell r="A282">
            <v>49002</v>
          </cell>
        </row>
        <row r="283">
          <cell r="A283">
            <v>49003</v>
          </cell>
        </row>
        <row r="284">
          <cell r="A284">
            <v>49004</v>
          </cell>
        </row>
        <row r="285">
          <cell r="A285">
            <v>49005</v>
          </cell>
        </row>
        <row r="286">
          <cell r="A286">
            <v>49006</v>
          </cell>
        </row>
        <row r="287">
          <cell r="A287">
            <v>49007</v>
          </cell>
        </row>
        <row r="288">
          <cell r="A288">
            <v>49008</v>
          </cell>
        </row>
        <row r="289">
          <cell r="A289">
            <v>49009</v>
          </cell>
        </row>
        <row r="290">
          <cell r="A290">
            <v>49010</v>
          </cell>
        </row>
        <row r="291">
          <cell r="A291">
            <v>49011</v>
          </cell>
        </row>
        <row r="292">
          <cell r="A292">
            <v>49012</v>
          </cell>
        </row>
        <row r="293">
          <cell r="A293">
            <v>49013</v>
          </cell>
        </row>
        <row r="294">
          <cell r="A294">
            <v>49014</v>
          </cell>
        </row>
        <row r="295">
          <cell r="A295">
            <v>49015</v>
          </cell>
        </row>
        <row r="296">
          <cell r="A296">
            <v>50001</v>
          </cell>
        </row>
        <row r="297">
          <cell r="A297">
            <v>50002</v>
          </cell>
        </row>
        <row r="298">
          <cell r="A298">
            <v>50003</v>
          </cell>
        </row>
        <row r="299">
          <cell r="A299">
            <v>50004</v>
          </cell>
        </row>
        <row r="300">
          <cell r="A300">
            <v>50005</v>
          </cell>
        </row>
        <row r="301">
          <cell r="A301">
            <v>50006</v>
          </cell>
        </row>
        <row r="302">
          <cell r="A302">
            <v>50007</v>
          </cell>
        </row>
        <row r="303">
          <cell r="A303">
            <v>50008</v>
          </cell>
        </row>
        <row r="304">
          <cell r="A304">
            <v>50009</v>
          </cell>
        </row>
        <row r="305">
          <cell r="A305">
            <v>50010</v>
          </cell>
        </row>
        <row r="306">
          <cell r="A306">
            <v>50011</v>
          </cell>
        </row>
        <row r="307">
          <cell r="A307">
            <v>50012</v>
          </cell>
        </row>
        <row r="308">
          <cell r="A308">
            <v>50013</v>
          </cell>
        </row>
        <row r="309">
          <cell r="A309">
            <v>50014</v>
          </cell>
        </row>
        <row r="310">
          <cell r="A310">
            <v>50015</v>
          </cell>
        </row>
        <row r="311">
          <cell r="A311">
            <v>51001</v>
          </cell>
        </row>
        <row r="312">
          <cell r="A312">
            <v>51002</v>
          </cell>
        </row>
        <row r="313">
          <cell r="A313">
            <v>58001</v>
          </cell>
        </row>
        <row r="314">
          <cell r="A314">
            <v>59001</v>
          </cell>
        </row>
        <row r="315">
          <cell r="A315">
            <v>59002</v>
          </cell>
        </row>
        <row r="316">
          <cell r="A316">
            <v>60001</v>
          </cell>
        </row>
        <row r="317">
          <cell r="A317">
            <v>60002</v>
          </cell>
        </row>
        <row r="318">
          <cell r="A318">
            <v>60003</v>
          </cell>
        </row>
        <row r="319">
          <cell r="A319">
            <v>60004</v>
          </cell>
        </row>
        <row r="320">
          <cell r="A320">
            <v>60005</v>
          </cell>
        </row>
        <row r="321">
          <cell r="A321">
            <v>60006</v>
          </cell>
        </row>
        <row r="322">
          <cell r="A322">
            <v>60007</v>
          </cell>
        </row>
        <row r="323">
          <cell r="A323">
            <v>60010</v>
          </cell>
        </row>
        <row r="324">
          <cell r="A324">
            <v>60011</v>
          </cell>
        </row>
        <row r="325">
          <cell r="A325">
            <v>61011</v>
          </cell>
        </row>
        <row r="326">
          <cell r="A326">
            <v>60012</v>
          </cell>
        </row>
        <row r="327">
          <cell r="A327">
            <v>60013</v>
          </cell>
        </row>
        <row r="328">
          <cell r="A328">
            <v>60014</v>
          </cell>
        </row>
        <row r="329">
          <cell r="A329">
            <v>60015</v>
          </cell>
        </row>
        <row r="330">
          <cell r="A330">
            <v>60016</v>
          </cell>
        </row>
        <row r="331">
          <cell r="A331">
            <v>60017</v>
          </cell>
        </row>
        <row r="332">
          <cell r="A332">
            <v>60018</v>
          </cell>
        </row>
        <row r="333">
          <cell r="A333">
            <v>60019</v>
          </cell>
        </row>
        <row r="334">
          <cell r="A334">
            <v>60020</v>
          </cell>
        </row>
        <row r="335">
          <cell r="A335">
            <v>60025</v>
          </cell>
        </row>
        <row r="336">
          <cell r="A336">
            <v>60026</v>
          </cell>
        </row>
        <row r="337">
          <cell r="A337">
            <v>60027</v>
          </cell>
        </row>
        <row r="338">
          <cell r="A338">
            <v>60028</v>
          </cell>
        </row>
        <row r="339">
          <cell r="A339">
            <v>60029</v>
          </cell>
        </row>
        <row r="340">
          <cell r="A340">
            <v>65525</v>
          </cell>
        </row>
        <row r="341">
          <cell r="A341">
            <v>65526</v>
          </cell>
        </row>
        <row r="342">
          <cell r="A342">
            <v>65527</v>
          </cell>
        </row>
        <row r="343">
          <cell r="A343">
            <v>65528</v>
          </cell>
        </row>
        <row r="344">
          <cell r="A344">
            <v>65529</v>
          </cell>
        </row>
        <row r="345">
          <cell r="A345">
            <v>65530</v>
          </cell>
        </row>
        <row r="346">
          <cell r="A346">
            <v>65531</v>
          </cell>
        </row>
        <row r="347">
          <cell r="A347">
            <v>65532</v>
          </cell>
        </row>
        <row r="348">
          <cell r="A348">
            <v>65533</v>
          </cell>
        </row>
        <row r="349">
          <cell r="A349">
            <v>65534</v>
          </cell>
        </row>
        <row r="350">
          <cell r="A350">
            <v>65535</v>
          </cell>
        </row>
        <row r="351">
          <cell r="A351">
            <v>60021</v>
          </cell>
        </row>
        <row r="352">
          <cell r="A352">
            <v>60022</v>
          </cell>
        </row>
        <row r="353">
          <cell r="A353">
            <v>60023</v>
          </cell>
        </row>
        <row r="354">
          <cell r="A354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30049_1</v>
          </cell>
        </row>
        <row r="662">
          <cell r="A662" t="str">
            <v>30049_2</v>
          </cell>
        </row>
        <row r="663">
          <cell r="A663" t="str">
            <v>30049_3</v>
          </cell>
        </row>
        <row r="664">
          <cell r="A664" t="str">
            <v>39001_1</v>
          </cell>
        </row>
        <row r="665">
          <cell r="A665" t="str">
            <v>39001_2</v>
          </cell>
        </row>
        <row r="666">
          <cell r="A666" t="str">
            <v>39001_3</v>
          </cell>
        </row>
        <row r="667">
          <cell r="A667" t="str">
            <v>39001_4</v>
          </cell>
        </row>
        <row r="668">
          <cell r="A668" t="str">
            <v>39001_5</v>
          </cell>
        </row>
        <row r="669">
          <cell r="A669" t="str">
            <v>39002_1</v>
          </cell>
        </row>
        <row r="670">
          <cell r="A670" t="str">
            <v>39002_2</v>
          </cell>
        </row>
        <row r="671">
          <cell r="A671" t="str">
            <v>39002_3</v>
          </cell>
        </row>
        <row r="672">
          <cell r="A672" t="str">
            <v>39002_4</v>
          </cell>
        </row>
        <row r="673">
          <cell r="A673" t="str">
            <v>39003_1</v>
          </cell>
        </row>
        <row r="674">
          <cell r="A674" t="str">
            <v>39003_2</v>
          </cell>
        </row>
        <row r="675">
          <cell r="A675" t="str">
            <v>39003_3</v>
          </cell>
        </row>
        <row r="676">
          <cell r="A676" t="str">
            <v>39003_4</v>
          </cell>
        </row>
        <row r="677">
          <cell r="A677" t="str">
            <v>39004_1</v>
          </cell>
        </row>
        <row r="678">
          <cell r="A678" t="str">
            <v>39004_2</v>
          </cell>
        </row>
        <row r="679">
          <cell r="A679" t="str">
            <v>39004_3</v>
          </cell>
        </row>
        <row r="680">
          <cell r="A680" t="str">
            <v>39004_4</v>
          </cell>
        </row>
        <row r="681">
          <cell r="A681" t="str">
            <v>39005_1</v>
          </cell>
        </row>
        <row r="682">
          <cell r="A682" t="str">
            <v>39005_2</v>
          </cell>
        </row>
        <row r="683">
          <cell r="A683" t="str">
            <v>39005_3</v>
          </cell>
        </row>
        <row r="684">
          <cell r="A684" t="str">
            <v>39005_4</v>
          </cell>
        </row>
        <row r="685">
          <cell r="A685" t="str">
            <v>39005_5</v>
          </cell>
        </row>
        <row r="686">
          <cell r="A686" t="str">
            <v>39006_1</v>
          </cell>
        </row>
        <row r="687">
          <cell r="A687" t="str">
            <v>39006_2</v>
          </cell>
        </row>
        <row r="688">
          <cell r="A688" t="str">
            <v>39006_3</v>
          </cell>
        </row>
        <row r="689">
          <cell r="A689" t="str">
            <v>39006_4</v>
          </cell>
        </row>
        <row r="690">
          <cell r="A690" t="str">
            <v>39007_1</v>
          </cell>
        </row>
        <row r="691">
          <cell r="A691" t="str">
            <v>39007_2</v>
          </cell>
        </row>
        <row r="692">
          <cell r="A692" t="str">
            <v>39007_3</v>
          </cell>
        </row>
        <row r="693">
          <cell r="A693" t="str">
            <v>39007_4</v>
          </cell>
        </row>
        <row r="694">
          <cell r="A694" t="str">
            <v>39008_1</v>
          </cell>
        </row>
        <row r="695">
          <cell r="A695" t="str">
            <v>39008_2</v>
          </cell>
        </row>
        <row r="696">
          <cell r="A696" t="str">
            <v>39008_3</v>
          </cell>
        </row>
        <row r="697">
          <cell r="A697" t="str">
            <v>39008_4</v>
          </cell>
        </row>
        <row r="698">
          <cell r="A698" t="str">
            <v>39008_5</v>
          </cell>
        </row>
        <row r="699">
          <cell r="A699" t="str">
            <v>39009_1</v>
          </cell>
        </row>
        <row r="700">
          <cell r="A700" t="str">
            <v>39009_2</v>
          </cell>
        </row>
        <row r="701">
          <cell r="A701" t="str">
            <v>39009_3</v>
          </cell>
        </row>
        <row r="702">
          <cell r="A702" t="str">
            <v>39009_4</v>
          </cell>
        </row>
        <row r="703">
          <cell r="A703" t="str">
            <v>39009_5</v>
          </cell>
        </row>
        <row r="704">
          <cell r="A704" t="str">
            <v>39010_1</v>
          </cell>
        </row>
        <row r="705">
          <cell r="A705" t="str">
            <v>39010_2</v>
          </cell>
        </row>
        <row r="706">
          <cell r="A706" t="str">
            <v>39010_3</v>
          </cell>
        </row>
        <row r="707">
          <cell r="A707" t="str">
            <v>39010_4</v>
          </cell>
        </row>
        <row r="708">
          <cell r="A708" t="str">
            <v>39011_1</v>
          </cell>
        </row>
        <row r="709">
          <cell r="A709" t="str">
            <v>39011_2</v>
          </cell>
        </row>
        <row r="710">
          <cell r="A710" t="str">
            <v>39011_3</v>
          </cell>
        </row>
        <row r="711">
          <cell r="A711" t="str">
            <v>39011_4</v>
          </cell>
        </row>
        <row r="712">
          <cell r="A712" t="str">
            <v>39012_1</v>
          </cell>
        </row>
        <row r="713">
          <cell r="A713" t="str">
            <v>39012_2</v>
          </cell>
        </row>
        <row r="714">
          <cell r="A714" t="str">
            <v>39012_3</v>
          </cell>
        </row>
        <row r="715">
          <cell r="A715" t="str">
            <v>39012_4</v>
          </cell>
        </row>
        <row r="716">
          <cell r="A716" t="str">
            <v>39012_5</v>
          </cell>
        </row>
        <row r="717">
          <cell r="A717" t="str">
            <v>40001_1</v>
          </cell>
        </row>
        <row r="718">
          <cell r="A718" t="str">
            <v>40002_1</v>
          </cell>
        </row>
        <row r="719">
          <cell r="A719" t="str">
            <v>40002_2</v>
          </cell>
        </row>
        <row r="720">
          <cell r="A720" t="str">
            <v>40002_3</v>
          </cell>
        </row>
        <row r="721">
          <cell r="A721" t="str">
            <v>40003_1</v>
          </cell>
        </row>
        <row r="722">
          <cell r="A722" t="str">
            <v>40004_1</v>
          </cell>
        </row>
        <row r="723">
          <cell r="A723" t="str">
            <v>40005_1</v>
          </cell>
        </row>
        <row r="724">
          <cell r="A724" t="str">
            <v>40006_1</v>
          </cell>
        </row>
        <row r="725">
          <cell r="A725" t="str">
            <v>40007_1</v>
          </cell>
        </row>
        <row r="726">
          <cell r="A726" t="str">
            <v>40008_1</v>
          </cell>
        </row>
        <row r="727">
          <cell r="A727" t="str">
            <v>40009_1</v>
          </cell>
        </row>
        <row r="728">
          <cell r="A728" t="str">
            <v>40010_1</v>
          </cell>
        </row>
        <row r="729">
          <cell r="A729" t="str">
            <v>40011_1</v>
          </cell>
        </row>
        <row r="730">
          <cell r="A730" t="str">
            <v>40012_1</v>
          </cell>
        </row>
        <row r="731">
          <cell r="A731" t="str">
            <v>40013_1</v>
          </cell>
        </row>
        <row r="732">
          <cell r="A732" t="str">
            <v>40014_1</v>
          </cell>
        </row>
        <row r="733">
          <cell r="A733" t="str">
            <v>40015_1</v>
          </cell>
        </row>
        <row r="734">
          <cell r="A734" t="str">
            <v>40016_1</v>
          </cell>
        </row>
        <row r="735">
          <cell r="A735" t="str">
            <v>40016_2</v>
          </cell>
        </row>
        <row r="736">
          <cell r="A736" t="str">
            <v>40017_1</v>
          </cell>
        </row>
        <row r="737">
          <cell r="A737" t="str">
            <v>40017_2</v>
          </cell>
        </row>
        <row r="738">
          <cell r="A738" t="str">
            <v>40017_3</v>
          </cell>
        </row>
        <row r="739">
          <cell r="A739" t="str">
            <v>40018_1</v>
          </cell>
        </row>
        <row r="740">
          <cell r="A740" t="str">
            <v>40018_2</v>
          </cell>
        </row>
        <row r="741">
          <cell r="A741" t="str">
            <v>40018_3</v>
          </cell>
        </row>
        <row r="742">
          <cell r="A742" t="str">
            <v>40019_1</v>
          </cell>
        </row>
        <row r="743">
          <cell r="A743" t="str">
            <v>40019_2</v>
          </cell>
        </row>
        <row r="744">
          <cell r="A744" t="str">
            <v>40019_3</v>
          </cell>
        </row>
        <row r="745">
          <cell r="A745" t="str">
            <v>40021_1</v>
          </cell>
        </row>
        <row r="746">
          <cell r="A746" t="str">
            <v>40021_2</v>
          </cell>
        </row>
        <row r="747">
          <cell r="A747" t="str">
            <v>40022_1</v>
          </cell>
        </row>
        <row r="748">
          <cell r="A748" t="str">
            <v>40022_2</v>
          </cell>
        </row>
        <row r="749">
          <cell r="A749" t="str">
            <v>40023_1</v>
          </cell>
        </row>
        <row r="750">
          <cell r="A750" t="str">
            <v>40023_2</v>
          </cell>
        </row>
        <row r="751">
          <cell r="A751" t="str">
            <v>40024_1</v>
          </cell>
        </row>
        <row r="752">
          <cell r="A752" t="str">
            <v>40024_2</v>
          </cell>
        </row>
        <row r="753">
          <cell r="A753" t="str">
            <v>40025_1</v>
          </cell>
        </row>
        <row r="754">
          <cell r="A754" t="str">
            <v>40025_2</v>
          </cell>
        </row>
        <row r="755">
          <cell r="A755" t="str">
            <v>40026_1</v>
          </cell>
        </row>
        <row r="756">
          <cell r="A756" t="str">
            <v>40026_2</v>
          </cell>
        </row>
        <row r="757">
          <cell r="A757" t="str">
            <v>40027_1</v>
          </cell>
        </row>
        <row r="758">
          <cell r="A758" t="str">
            <v>40027_2</v>
          </cell>
        </row>
        <row r="759">
          <cell r="A759" t="str">
            <v>40028_1</v>
          </cell>
        </row>
        <row r="760">
          <cell r="A760" t="str">
            <v>40028_2</v>
          </cell>
        </row>
        <row r="761">
          <cell r="A761" t="str">
            <v>40029_1</v>
          </cell>
        </row>
        <row r="762">
          <cell r="A762" t="str">
            <v>40029_2</v>
          </cell>
        </row>
        <row r="763">
          <cell r="A763" t="str">
            <v>40030_1</v>
          </cell>
        </row>
        <row r="764">
          <cell r="A764" t="str">
            <v>40030_2</v>
          </cell>
        </row>
        <row r="765">
          <cell r="A765" t="str">
            <v>40031_1</v>
          </cell>
        </row>
        <row r="766">
          <cell r="A766" t="str">
            <v>40031_2</v>
          </cell>
        </row>
        <row r="767">
          <cell r="A767" t="str">
            <v>40032_1</v>
          </cell>
        </row>
        <row r="768">
          <cell r="A768" t="str">
            <v>40032_2</v>
          </cell>
        </row>
        <row r="769">
          <cell r="A769" t="str">
            <v>40033_1</v>
          </cell>
        </row>
        <row r="770">
          <cell r="A770" t="str">
            <v>40033_2</v>
          </cell>
        </row>
        <row r="771">
          <cell r="A771" t="str">
            <v>40034_1</v>
          </cell>
        </row>
        <row r="772">
          <cell r="A772" t="str">
            <v>40034_2</v>
          </cell>
        </row>
        <row r="773">
          <cell r="A773" t="str">
            <v>40035_1</v>
          </cell>
        </row>
        <row r="774">
          <cell r="A774" t="str">
            <v>40035_2</v>
          </cell>
        </row>
        <row r="775">
          <cell r="A775" t="str">
            <v>40036_1</v>
          </cell>
        </row>
        <row r="776">
          <cell r="A776" t="str">
            <v>40036_2</v>
          </cell>
        </row>
        <row r="777">
          <cell r="A777" t="str">
            <v>40037_1</v>
          </cell>
        </row>
        <row r="778">
          <cell r="A778" t="str">
            <v>40037_2</v>
          </cell>
        </row>
        <row r="779">
          <cell r="A779" t="str">
            <v>40038_1</v>
          </cell>
        </row>
        <row r="780">
          <cell r="A780" t="str">
            <v>40038_2</v>
          </cell>
        </row>
        <row r="781">
          <cell r="A781" t="str">
            <v>40039_1</v>
          </cell>
        </row>
        <row r="782">
          <cell r="A782" t="str">
            <v>40039_2</v>
          </cell>
        </row>
        <row r="783">
          <cell r="A783" t="str">
            <v>40040_1</v>
          </cell>
        </row>
        <row r="784">
          <cell r="A784" t="str">
            <v>40040_2</v>
          </cell>
        </row>
        <row r="785">
          <cell r="A785" t="str">
            <v>40041_1</v>
          </cell>
        </row>
        <row r="786">
          <cell r="A786" t="str">
            <v>40041_2</v>
          </cell>
        </row>
        <row r="787">
          <cell r="A787" t="str">
            <v>40042_1</v>
          </cell>
        </row>
        <row r="788">
          <cell r="A788" t="str">
            <v>40042_2</v>
          </cell>
        </row>
        <row r="789">
          <cell r="A789" t="str">
            <v>40043_1</v>
          </cell>
        </row>
        <row r="790">
          <cell r="A790" t="str">
            <v>40043_2</v>
          </cell>
        </row>
        <row r="791">
          <cell r="A791" t="str">
            <v>40044_1</v>
          </cell>
        </row>
        <row r="792">
          <cell r="A792" t="str">
            <v>40044_2</v>
          </cell>
        </row>
        <row r="793">
          <cell r="A793" t="str">
            <v>40045_1</v>
          </cell>
        </row>
        <row r="794">
          <cell r="A794" t="str">
            <v>40045_2</v>
          </cell>
        </row>
        <row r="795">
          <cell r="A795" t="str">
            <v>41001_1</v>
          </cell>
        </row>
        <row r="796">
          <cell r="A796" t="str">
            <v>41001_2</v>
          </cell>
        </row>
        <row r="797">
          <cell r="A797" t="str">
            <v>41001_3</v>
          </cell>
        </row>
        <row r="798">
          <cell r="A798" t="str">
            <v>41002_1</v>
          </cell>
        </row>
        <row r="799">
          <cell r="A799" t="str">
            <v>41002_2</v>
          </cell>
        </row>
        <row r="800">
          <cell r="A800" t="str">
            <v>41002_3</v>
          </cell>
        </row>
        <row r="801">
          <cell r="A801" t="str">
            <v>41003_1</v>
          </cell>
        </row>
        <row r="802">
          <cell r="A802" t="str">
            <v>41003_2</v>
          </cell>
        </row>
        <row r="803">
          <cell r="A803" t="str">
            <v>41003_3</v>
          </cell>
        </row>
        <row r="804">
          <cell r="A804" t="str">
            <v>41004_1</v>
          </cell>
        </row>
        <row r="805">
          <cell r="A805" t="str">
            <v>41004_2</v>
          </cell>
        </row>
        <row r="806">
          <cell r="A806" t="str">
            <v>41004_3</v>
          </cell>
        </row>
        <row r="807">
          <cell r="A807" t="str">
            <v>41005_1</v>
          </cell>
        </row>
        <row r="808">
          <cell r="A808" t="str">
            <v>41005_2</v>
          </cell>
        </row>
        <row r="809">
          <cell r="A809" t="str">
            <v>41005_3</v>
          </cell>
        </row>
        <row r="810">
          <cell r="A810" t="str">
            <v>41006_1</v>
          </cell>
        </row>
        <row r="811">
          <cell r="A811" t="str">
            <v>41006_2</v>
          </cell>
        </row>
        <row r="812">
          <cell r="A812" t="str">
            <v>41006_3</v>
          </cell>
        </row>
        <row r="813">
          <cell r="A813" t="str">
            <v>41007_1</v>
          </cell>
        </row>
        <row r="814">
          <cell r="A814" t="str">
            <v>41007_2</v>
          </cell>
        </row>
        <row r="815">
          <cell r="A815" t="str">
            <v>41007_3</v>
          </cell>
        </row>
        <row r="816">
          <cell r="A816" t="str">
            <v>41008_1</v>
          </cell>
        </row>
        <row r="817">
          <cell r="A817" t="str">
            <v>41008_2</v>
          </cell>
        </row>
        <row r="818">
          <cell r="A818" t="str">
            <v>41008_3</v>
          </cell>
        </row>
        <row r="819">
          <cell r="A819" t="str">
            <v>41009_1</v>
          </cell>
        </row>
        <row r="820">
          <cell r="A820" t="str">
            <v>41009_2</v>
          </cell>
        </row>
        <row r="821">
          <cell r="A821" t="str">
            <v>41009_3</v>
          </cell>
        </row>
        <row r="822">
          <cell r="A822" t="str">
            <v>41010_1</v>
          </cell>
        </row>
        <row r="823">
          <cell r="A823" t="str">
            <v>41010_2</v>
          </cell>
        </row>
        <row r="824">
          <cell r="A824" t="str">
            <v>41010_3</v>
          </cell>
        </row>
        <row r="825">
          <cell r="A825" t="str">
            <v>41011_1</v>
          </cell>
        </row>
        <row r="826">
          <cell r="A826" t="str">
            <v>41011_2</v>
          </cell>
        </row>
        <row r="827">
          <cell r="A827" t="str">
            <v>41012_1</v>
          </cell>
        </row>
        <row r="828">
          <cell r="A828" t="str">
            <v>41012_2</v>
          </cell>
        </row>
        <row r="829">
          <cell r="A829" t="str">
            <v>41013_1</v>
          </cell>
        </row>
        <row r="830">
          <cell r="A830" t="str">
            <v>41013_2</v>
          </cell>
        </row>
        <row r="831">
          <cell r="A831" t="str">
            <v>41014_1</v>
          </cell>
        </row>
        <row r="832">
          <cell r="A832" t="str">
            <v>41014_2</v>
          </cell>
        </row>
        <row r="833">
          <cell r="A833" t="str">
            <v>41015_1</v>
          </cell>
        </row>
        <row r="834">
          <cell r="A834" t="str">
            <v>41015_2</v>
          </cell>
        </row>
        <row r="835">
          <cell r="A835" t="str">
            <v>47001_1</v>
          </cell>
        </row>
        <row r="836">
          <cell r="A836" t="str">
            <v>47001_2</v>
          </cell>
        </row>
        <row r="837">
          <cell r="A837" t="str">
            <v>47002_1</v>
          </cell>
        </row>
        <row r="838">
          <cell r="A838" t="str">
            <v>47002_2</v>
          </cell>
        </row>
        <row r="839">
          <cell r="A839" t="str">
            <v>47003_1</v>
          </cell>
        </row>
        <row r="840">
          <cell r="A840" t="str">
            <v>47003_2</v>
          </cell>
        </row>
        <row r="841">
          <cell r="A841" t="str">
            <v>47003_3</v>
          </cell>
        </row>
        <row r="842">
          <cell r="A842" t="str">
            <v>47003_4</v>
          </cell>
        </row>
        <row r="843">
          <cell r="A843" t="str">
            <v>47004_1</v>
          </cell>
        </row>
        <row r="844">
          <cell r="A844" t="str">
            <v>47004_2</v>
          </cell>
        </row>
        <row r="845">
          <cell r="A845" t="str">
            <v>47004_3</v>
          </cell>
        </row>
        <row r="846">
          <cell r="A846" t="str">
            <v>47004_4</v>
          </cell>
        </row>
        <row r="847">
          <cell r="A847" t="str">
            <v>47005_1</v>
          </cell>
        </row>
        <row r="848">
          <cell r="A848" t="str">
            <v>47006_1</v>
          </cell>
        </row>
        <row r="849">
          <cell r="A849" t="str">
            <v>47006_2</v>
          </cell>
        </row>
        <row r="850">
          <cell r="A850" t="str">
            <v>47007_1</v>
          </cell>
        </row>
        <row r="851">
          <cell r="A851" t="str">
            <v>47007_2</v>
          </cell>
        </row>
        <row r="852">
          <cell r="A852" t="str">
            <v>47008_1</v>
          </cell>
        </row>
        <row r="853">
          <cell r="A853" t="str">
            <v>47008_2</v>
          </cell>
        </row>
        <row r="854">
          <cell r="A854" t="str">
            <v>47009_1</v>
          </cell>
        </row>
        <row r="855">
          <cell r="A855" t="str">
            <v>47009_2</v>
          </cell>
        </row>
        <row r="856">
          <cell r="A856" t="str">
            <v>47010_1</v>
          </cell>
        </row>
        <row r="857">
          <cell r="A857" t="str">
            <v>47010_2</v>
          </cell>
        </row>
        <row r="858">
          <cell r="A858" t="str">
            <v>47011_1</v>
          </cell>
        </row>
        <row r="859">
          <cell r="A859" t="str">
            <v>47012_1</v>
          </cell>
        </row>
        <row r="860">
          <cell r="A860" t="str">
            <v>47012_2</v>
          </cell>
        </row>
        <row r="861">
          <cell r="A861" t="str">
            <v>48001_1</v>
          </cell>
        </row>
        <row r="862">
          <cell r="A862" t="str">
            <v>48002_1</v>
          </cell>
        </row>
        <row r="863">
          <cell r="A863" t="str">
            <v>48002_2</v>
          </cell>
        </row>
        <row r="864">
          <cell r="A864" t="str">
            <v>48002_3</v>
          </cell>
        </row>
        <row r="865">
          <cell r="A865" t="str">
            <v>48003_1</v>
          </cell>
        </row>
        <row r="866">
          <cell r="A866" t="str">
            <v>48003_2</v>
          </cell>
        </row>
        <row r="867">
          <cell r="A867" t="str">
            <v>48004_1</v>
          </cell>
        </row>
        <row r="868">
          <cell r="A868" t="str">
            <v>48004_2</v>
          </cell>
        </row>
        <row r="869">
          <cell r="A869" t="str">
            <v>48005_1</v>
          </cell>
        </row>
        <row r="870">
          <cell r="A870" t="str">
            <v>48005_2</v>
          </cell>
        </row>
        <row r="871">
          <cell r="A871" t="str">
            <v>48006_1</v>
          </cell>
        </row>
        <row r="872">
          <cell r="A872" t="str">
            <v>48006_2</v>
          </cell>
        </row>
        <row r="873">
          <cell r="A873" t="str">
            <v>48007_1</v>
          </cell>
        </row>
        <row r="874">
          <cell r="A874" t="str">
            <v>48007_2</v>
          </cell>
        </row>
        <row r="875">
          <cell r="A875" t="str">
            <v>48008_1</v>
          </cell>
        </row>
        <row r="876">
          <cell r="A876" t="str">
            <v>48008_2</v>
          </cell>
        </row>
        <row r="877">
          <cell r="A877" t="str">
            <v>48009_1</v>
          </cell>
        </row>
        <row r="878">
          <cell r="A878" t="str">
            <v>48009_2</v>
          </cell>
        </row>
        <row r="879">
          <cell r="A879" t="str">
            <v>48010_1</v>
          </cell>
        </row>
        <row r="880">
          <cell r="A880" t="str">
            <v>48011_1</v>
          </cell>
        </row>
        <row r="881">
          <cell r="A881" t="str">
            <v>48011_2</v>
          </cell>
        </row>
        <row r="882">
          <cell r="A882" t="str">
            <v>48012_1</v>
          </cell>
        </row>
        <row r="883">
          <cell r="A883" t="str">
            <v>48012_2</v>
          </cell>
        </row>
        <row r="884">
          <cell r="A884" t="str">
            <v>48501_1</v>
          </cell>
        </row>
        <row r="885">
          <cell r="A885" t="str">
            <v>48501_2</v>
          </cell>
        </row>
        <row r="886">
          <cell r="A886" t="str">
            <v>48502_1</v>
          </cell>
        </row>
        <row r="887">
          <cell r="A887" t="str">
            <v>48502_2</v>
          </cell>
        </row>
        <row r="888">
          <cell r="A888" t="str">
            <v>48701_1</v>
          </cell>
        </row>
        <row r="889">
          <cell r="A889" t="str">
            <v>48701_2</v>
          </cell>
        </row>
        <row r="890">
          <cell r="A890" t="str">
            <v>48702_1</v>
          </cell>
        </row>
        <row r="891">
          <cell r="A891" t="str">
            <v>48702_2</v>
          </cell>
        </row>
        <row r="892">
          <cell r="A892" t="str">
            <v>49001_1</v>
          </cell>
        </row>
        <row r="893">
          <cell r="A893" t="str">
            <v>49002_1</v>
          </cell>
        </row>
        <row r="894">
          <cell r="A894" t="str">
            <v>49002_2</v>
          </cell>
        </row>
        <row r="895">
          <cell r="A895" t="str">
            <v>49003_1</v>
          </cell>
        </row>
        <row r="896">
          <cell r="A896" t="str">
            <v>49003_2</v>
          </cell>
        </row>
        <row r="897">
          <cell r="A897" t="str">
            <v>49004_1</v>
          </cell>
        </row>
        <row r="898">
          <cell r="A898" t="str">
            <v>49004_2</v>
          </cell>
        </row>
        <row r="899">
          <cell r="A899" t="str">
            <v>49004_3</v>
          </cell>
        </row>
        <row r="900">
          <cell r="A900" t="str">
            <v>49005_1</v>
          </cell>
        </row>
        <row r="901">
          <cell r="A901" t="str">
            <v>49006_1</v>
          </cell>
        </row>
        <row r="902">
          <cell r="A902" t="str">
            <v>49006_2</v>
          </cell>
        </row>
        <row r="903">
          <cell r="A903" t="str">
            <v>49007_1</v>
          </cell>
        </row>
        <row r="904">
          <cell r="A904" t="str">
            <v>49007_2</v>
          </cell>
        </row>
        <row r="905">
          <cell r="A905" t="str">
            <v>49007_3</v>
          </cell>
        </row>
        <row r="906">
          <cell r="A906" t="str">
            <v>49008_1</v>
          </cell>
        </row>
        <row r="907">
          <cell r="A907" t="str">
            <v>49009_1</v>
          </cell>
        </row>
        <row r="908">
          <cell r="A908" t="str">
            <v>49010_1</v>
          </cell>
        </row>
        <row r="909">
          <cell r="A909" t="str">
            <v>49011_1</v>
          </cell>
        </row>
        <row r="910">
          <cell r="A910" t="str">
            <v>49012_1</v>
          </cell>
        </row>
        <row r="911">
          <cell r="A911" t="str">
            <v>49013_1</v>
          </cell>
        </row>
        <row r="912">
          <cell r="A912" t="str">
            <v>49014_1</v>
          </cell>
        </row>
        <row r="913">
          <cell r="A913" t="str">
            <v>49014_2</v>
          </cell>
        </row>
        <row r="914">
          <cell r="A914" t="str">
            <v>49015_1</v>
          </cell>
        </row>
        <row r="915">
          <cell r="A915" t="str">
            <v>49015_2</v>
          </cell>
        </row>
        <row r="916">
          <cell r="A916" t="str">
            <v>49015_3</v>
          </cell>
        </row>
        <row r="917">
          <cell r="A917" t="str">
            <v>50001_1</v>
          </cell>
        </row>
        <row r="918">
          <cell r="A918" t="str">
            <v>50002_1</v>
          </cell>
        </row>
        <row r="919">
          <cell r="A919" t="str">
            <v>50003_1</v>
          </cell>
        </row>
        <row r="920">
          <cell r="A920" t="str">
            <v>50004_1</v>
          </cell>
        </row>
        <row r="921">
          <cell r="A921" t="str">
            <v>50005_1</v>
          </cell>
        </row>
        <row r="922">
          <cell r="A922" t="str">
            <v>50006_1</v>
          </cell>
        </row>
        <row r="923">
          <cell r="A923" t="str">
            <v>50007_1</v>
          </cell>
        </row>
        <row r="924">
          <cell r="A924" t="str">
            <v>50008_1</v>
          </cell>
        </row>
        <row r="925">
          <cell r="A925" t="str">
            <v>50009_1</v>
          </cell>
        </row>
        <row r="926">
          <cell r="A926" t="str">
            <v>50010_1</v>
          </cell>
        </row>
        <row r="927">
          <cell r="A927" t="str">
            <v>50011_1</v>
          </cell>
        </row>
        <row r="928">
          <cell r="A928" t="str">
            <v>50012_1</v>
          </cell>
        </row>
        <row r="929">
          <cell r="A929" t="str">
            <v>50013_1</v>
          </cell>
        </row>
        <row r="930">
          <cell r="A930" t="str">
            <v>50014_1</v>
          </cell>
        </row>
        <row r="931">
          <cell r="A931" t="str">
            <v>50015_1</v>
          </cell>
        </row>
        <row r="932">
          <cell r="A932" t="str">
            <v>51001_1</v>
          </cell>
        </row>
        <row r="933">
          <cell r="A933" t="str">
            <v>51002_1</v>
          </cell>
        </row>
        <row r="934">
          <cell r="A934" t="str">
            <v>58001_1</v>
          </cell>
        </row>
        <row r="935">
          <cell r="A935" t="str">
            <v>59001_1</v>
          </cell>
        </row>
        <row r="936">
          <cell r="A936" t="str">
            <v>59002_1</v>
          </cell>
        </row>
        <row r="937">
          <cell r="A937" t="str">
            <v>60001_1</v>
          </cell>
        </row>
        <row r="938">
          <cell r="A938" t="str">
            <v>60002_1</v>
          </cell>
        </row>
        <row r="939">
          <cell r="A939" t="str">
            <v>60002_2</v>
          </cell>
        </row>
        <row r="940">
          <cell r="A940" t="str">
            <v>60003_1</v>
          </cell>
        </row>
        <row r="941">
          <cell r="A941" t="str">
            <v>60003_2</v>
          </cell>
        </row>
        <row r="942">
          <cell r="A942" t="str">
            <v>60003_3</v>
          </cell>
        </row>
        <row r="943">
          <cell r="A943" t="str">
            <v>60004_1</v>
          </cell>
        </row>
        <row r="944">
          <cell r="A944" t="str">
            <v>60005_1</v>
          </cell>
        </row>
        <row r="945">
          <cell r="A945" t="str">
            <v>60006_1</v>
          </cell>
        </row>
        <row r="946">
          <cell r="A946" t="str">
            <v>60006_2</v>
          </cell>
        </row>
        <row r="947">
          <cell r="A947" t="str">
            <v>60006_3</v>
          </cell>
        </row>
        <row r="948">
          <cell r="A948" t="str">
            <v>60007_1</v>
          </cell>
        </row>
        <row r="949">
          <cell r="A949" t="str">
            <v>60007_2</v>
          </cell>
        </row>
        <row r="950">
          <cell r="A950" t="str">
            <v>60007_3</v>
          </cell>
        </row>
        <row r="951">
          <cell r="A951" t="str">
            <v>60010_1</v>
          </cell>
        </row>
        <row r="952">
          <cell r="A952" t="str">
            <v>60011_1</v>
          </cell>
        </row>
        <row r="953">
          <cell r="A953" t="str">
            <v>60011_2</v>
          </cell>
        </row>
        <row r="954">
          <cell r="A954" t="str">
            <v>60012_1</v>
          </cell>
        </row>
        <row r="955">
          <cell r="A955" t="str">
            <v>60013_1</v>
          </cell>
        </row>
        <row r="956">
          <cell r="A956" t="str">
            <v>60013_2</v>
          </cell>
        </row>
        <row r="957">
          <cell r="A957" t="str">
            <v>60013_3</v>
          </cell>
        </row>
        <row r="958">
          <cell r="A958" t="str">
            <v>60014_1</v>
          </cell>
        </row>
        <row r="959">
          <cell r="A959" t="str">
            <v>60015_1</v>
          </cell>
        </row>
        <row r="960">
          <cell r="A960" t="str">
            <v>60016_1</v>
          </cell>
        </row>
        <row r="961">
          <cell r="A961" t="str">
            <v>60017_1</v>
          </cell>
        </row>
        <row r="962">
          <cell r="A962" t="str">
            <v>60018_1</v>
          </cell>
        </row>
        <row r="963">
          <cell r="A963" t="str">
            <v>60019_1</v>
          </cell>
        </row>
        <row r="964">
          <cell r="A964" t="str">
            <v>60020_1</v>
          </cell>
        </row>
        <row r="965">
          <cell r="A965" t="str">
            <v>60021_3</v>
          </cell>
        </row>
        <row r="966">
          <cell r="A966" t="str">
            <v>60022_3</v>
          </cell>
        </row>
        <row r="967">
          <cell r="A967" t="str">
            <v>60023_3</v>
          </cell>
        </row>
        <row r="968">
          <cell r="A968" t="str">
            <v>60024_3</v>
          </cell>
        </row>
        <row r="969">
          <cell r="A969" t="str">
            <v>60025_1</v>
          </cell>
        </row>
        <row r="970">
          <cell r="A970" t="str">
            <v>60026_1</v>
          </cell>
        </row>
        <row r="971">
          <cell r="A971" t="str">
            <v>61011_1</v>
          </cell>
        </row>
        <row r="972">
          <cell r="A972" t="str">
            <v>60027_1</v>
          </cell>
        </row>
        <row r="973">
          <cell r="A973" t="str">
            <v>60028_1</v>
          </cell>
        </row>
        <row r="974">
          <cell r="A974" t="str">
            <v>60029_1</v>
          </cell>
        </row>
        <row r="975">
          <cell r="A975" t="str">
            <v>65525_1</v>
          </cell>
        </row>
        <row r="976">
          <cell r="A976" t="str">
            <v>65526_1</v>
          </cell>
        </row>
        <row r="977">
          <cell r="A977" t="str">
            <v>65526_2</v>
          </cell>
        </row>
        <row r="978">
          <cell r="A978" t="str">
            <v>65527_1</v>
          </cell>
        </row>
        <row r="979">
          <cell r="A979" t="str">
            <v>65528_1</v>
          </cell>
        </row>
        <row r="980">
          <cell r="A980" t="str">
            <v>65529_1</v>
          </cell>
        </row>
        <row r="981">
          <cell r="A981" t="str">
            <v>65530_1</v>
          </cell>
        </row>
        <row r="982">
          <cell r="A982" t="str">
            <v>65531_1</v>
          </cell>
        </row>
        <row r="983">
          <cell r="A983" t="str">
            <v>65531_2</v>
          </cell>
        </row>
        <row r="984">
          <cell r="A984" t="str">
            <v>65532_1</v>
          </cell>
        </row>
        <row r="985">
          <cell r="A985" t="str">
            <v>65532_2</v>
          </cell>
        </row>
        <row r="986">
          <cell r="A986" t="str">
            <v>65533_1</v>
          </cell>
        </row>
        <row r="987">
          <cell r="A987" t="str">
            <v>65533_2</v>
          </cell>
        </row>
        <row r="988">
          <cell r="A988" t="str">
            <v>65534_1</v>
          </cell>
        </row>
        <row r="989">
          <cell r="A989" t="str">
            <v>65534_2</v>
          </cell>
        </row>
        <row r="990">
          <cell r="A990" t="str">
            <v>65535_1</v>
          </cell>
        </row>
        <row r="991">
          <cell r="A991" t="str">
            <v>65535_2</v>
          </cell>
        </row>
        <row r="992">
          <cell r="A992" t="str">
            <v>65535_3</v>
          </cell>
        </row>
        <row r="993">
          <cell r="A993" t="str">
            <v>65535_4</v>
          </cell>
        </row>
        <row r="994">
          <cell r="A994" t="str">
            <v>65535_5</v>
          </cell>
        </row>
        <row r="995">
          <cell r="A995" t="str">
            <v>65535_6</v>
          </cell>
        </row>
        <row r="996">
          <cell r="A996" t="str">
            <v>65535_7</v>
          </cell>
        </row>
        <row r="997">
          <cell r="A997" t="str">
            <v>65535_8</v>
          </cell>
        </row>
        <row r="998">
          <cell r="A998" t="str">
            <v>65535_9</v>
          </cell>
        </row>
        <row r="999">
          <cell r="A999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1373</v>
          </cell>
        </row>
        <row r="1337">
          <cell r="A1337">
            <v>1374</v>
          </cell>
        </row>
        <row r="1338">
          <cell r="A1338">
            <v>1375</v>
          </cell>
        </row>
        <row r="1339">
          <cell r="A1339">
            <v>1376</v>
          </cell>
        </row>
        <row r="1340">
          <cell r="A1340">
            <v>1379</v>
          </cell>
        </row>
        <row r="1341">
          <cell r="A1341">
            <v>1380</v>
          </cell>
        </row>
        <row r="1342">
          <cell r="A1342">
            <v>1407</v>
          </cell>
        </row>
        <row r="1343">
          <cell r="A1343">
            <v>1408</v>
          </cell>
        </row>
        <row r="1344">
          <cell r="A1344">
            <v>1409</v>
          </cell>
        </row>
        <row r="1345">
          <cell r="A1345">
            <v>1410</v>
          </cell>
        </row>
        <row r="1346">
          <cell r="A1346">
            <v>1431</v>
          </cell>
        </row>
        <row r="1347">
          <cell r="A1347">
            <v>1432</v>
          </cell>
        </row>
        <row r="1348">
          <cell r="A1348">
            <v>1466</v>
          </cell>
        </row>
        <row r="1349">
          <cell r="A1349">
            <v>1467</v>
          </cell>
        </row>
        <row r="1350">
          <cell r="A1350">
            <v>1468</v>
          </cell>
        </row>
        <row r="1351">
          <cell r="A1351">
            <v>1469</v>
          </cell>
        </row>
        <row r="1352">
          <cell r="A1352">
            <v>1470</v>
          </cell>
        </row>
        <row r="1353">
          <cell r="A1353">
            <v>1471</v>
          </cell>
        </row>
        <row r="1354">
          <cell r="A1354">
            <v>1495</v>
          </cell>
        </row>
        <row r="1355">
          <cell r="A1355">
            <v>1496</v>
          </cell>
        </row>
        <row r="1356">
          <cell r="A1356">
            <v>1497</v>
          </cell>
        </row>
        <row r="1357">
          <cell r="A1357">
            <v>1498</v>
          </cell>
        </row>
        <row r="1358">
          <cell r="A1358">
            <v>1499</v>
          </cell>
        </row>
        <row r="1359">
          <cell r="A1359">
            <v>1500</v>
          </cell>
        </row>
        <row r="1360">
          <cell r="A1360">
            <v>1501</v>
          </cell>
        </row>
        <row r="1361">
          <cell r="A1361">
            <v>1502</v>
          </cell>
        </row>
        <row r="1362">
          <cell r="A1362">
            <v>1503</v>
          </cell>
        </row>
        <row r="1363">
          <cell r="A1363">
            <v>1504</v>
          </cell>
        </row>
        <row r="1364">
          <cell r="A1364">
            <v>1505</v>
          </cell>
        </row>
        <row r="1365">
          <cell r="A1365">
            <v>1506</v>
          </cell>
        </row>
        <row r="1366">
          <cell r="A1366">
            <v>1507</v>
          </cell>
        </row>
        <row r="1367">
          <cell r="A1367">
            <v>1508</v>
          </cell>
        </row>
        <row r="1368">
          <cell r="A1368">
            <v>1509</v>
          </cell>
        </row>
        <row r="1369">
          <cell r="A1369">
            <v>1510</v>
          </cell>
        </row>
        <row r="1370">
          <cell r="A1370">
            <v>1511</v>
          </cell>
        </row>
        <row r="1371">
          <cell r="A1371">
            <v>1512</v>
          </cell>
        </row>
        <row r="1372">
          <cell r="A1372">
            <v>1523</v>
          </cell>
        </row>
        <row r="1373">
          <cell r="A1373">
            <v>1524</v>
          </cell>
        </row>
        <row r="1374">
          <cell r="A1374">
            <v>1525</v>
          </cell>
        </row>
        <row r="1375">
          <cell r="A1375">
            <v>1526</v>
          </cell>
        </row>
        <row r="1376">
          <cell r="A1376">
            <v>5001</v>
          </cell>
        </row>
        <row r="1377">
          <cell r="A1377">
            <v>5002</v>
          </cell>
        </row>
        <row r="1378">
          <cell r="A1378">
            <v>5003</v>
          </cell>
        </row>
        <row r="1379">
          <cell r="A1379">
            <v>5004</v>
          </cell>
        </row>
        <row r="1380">
          <cell r="A1380">
            <v>5005</v>
          </cell>
        </row>
        <row r="1381">
          <cell r="A1381">
            <v>5006</v>
          </cell>
        </row>
        <row r="1382">
          <cell r="A1382">
            <v>5007</v>
          </cell>
        </row>
        <row r="1383">
          <cell r="A1383">
            <v>5008</v>
          </cell>
        </row>
        <row r="1384">
          <cell r="A1384">
            <v>6001</v>
          </cell>
        </row>
        <row r="1385">
          <cell r="A1385">
            <v>6002</v>
          </cell>
        </row>
        <row r="1386">
          <cell r="A1386">
            <v>6003</v>
          </cell>
        </row>
        <row r="1387">
          <cell r="A1387">
            <v>6004</v>
          </cell>
        </row>
        <row r="1388">
          <cell r="A1388">
            <v>6005</v>
          </cell>
        </row>
        <row r="1389">
          <cell r="A1389">
            <v>6006</v>
          </cell>
        </row>
        <row r="1390">
          <cell r="A1390">
            <v>6007</v>
          </cell>
        </row>
        <row r="1391">
          <cell r="A1391">
            <v>6008</v>
          </cell>
        </row>
        <row r="1392">
          <cell r="A1392">
            <v>6009</v>
          </cell>
        </row>
        <row r="1393">
          <cell r="A1393">
            <v>6010</v>
          </cell>
        </row>
        <row r="1394">
          <cell r="A1394">
            <v>6011</v>
          </cell>
        </row>
        <row r="1395">
          <cell r="A1395">
            <v>6012</v>
          </cell>
        </row>
        <row r="1396">
          <cell r="A1396">
            <v>6013</v>
          </cell>
        </row>
        <row r="1397">
          <cell r="A1397">
            <v>6014</v>
          </cell>
        </row>
        <row r="1398">
          <cell r="A1398">
            <v>6015</v>
          </cell>
        </row>
        <row r="1399">
          <cell r="A1399">
            <v>6016</v>
          </cell>
        </row>
        <row r="1400">
          <cell r="A1400">
            <v>6017</v>
          </cell>
        </row>
        <row r="1401">
          <cell r="A1401">
            <v>6018</v>
          </cell>
        </row>
        <row r="1402">
          <cell r="A1402">
            <v>6019</v>
          </cell>
        </row>
        <row r="1403">
          <cell r="A1403">
            <v>6020</v>
          </cell>
        </row>
        <row r="1404">
          <cell r="A1404">
            <v>8001</v>
          </cell>
        </row>
        <row r="1405">
          <cell r="A1405">
            <v>8002</v>
          </cell>
        </row>
        <row r="1406">
          <cell r="A1406">
            <v>8003</v>
          </cell>
        </row>
        <row r="1407">
          <cell r="A1407">
            <v>8004</v>
          </cell>
        </row>
        <row r="1408">
          <cell r="A1408">
            <v>8005</v>
          </cell>
        </row>
        <row r="1409">
          <cell r="A1409">
            <v>8006</v>
          </cell>
        </row>
        <row r="1410">
          <cell r="A1410">
            <v>8007</v>
          </cell>
        </row>
        <row r="1411">
          <cell r="A1411">
            <v>8008</v>
          </cell>
        </row>
        <row r="1412">
          <cell r="A1412">
            <v>8009</v>
          </cell>
        </row>
        <row r="1413">
          <cell r="A1413">
            <v>8010</v>
          </cell>
        </row>
        <row r="1414">
          <cell r="A1414">
            <v>8011</v>
          </cell>
        </row>
        <row r="1415">
          <cell r="A1415">
            <v>8012</v>
          </cell>
        </row>
        <row r="1416">
          <cell r="A1416">
            <v>8013</v>
          </cell>
        </row>
        <row r="1417">
          <cell r="A1417">
            <v>8014</v>
          </cell>
        </row>
        <row r="1418">
          <cell r="A1418">
            <v>8015</v>
          </cell>
        </row>
        <row r="1419">
          <cell r="A1419">
            <v>8016</v>
          </cell>
        </row>
        <row r="1420">
          <cell r="A1420">
            <v>8017</v>
          </cell>
        </row>
        <row r="1421">
          <cell r="A1421">
            <v>8018</v>
          </cell>
        </row>
        <row r="1422">
          <cell r="A1422">
            <v>8019</v>
          </cell>
        </row>
        <row r="1423">
          <cell r="A1423">
            <v>8020</v>
          </cell>
        </row>
        <row r="1424">
          <cell r="A1424">
            <v>8021</v>
          </cell>
        </row>
        <row r="1425">
          <cell r="A1425">
            <v>8022</v>
          </cell>
        </row>
        <row r="1426">
          <cell r="A1426">
            <v>8023</v>
          </cell>
        </row>
        <row r="1427">
          <cell r="A1427">
            <v>8024</v>
          </cell>
        </row>
        <row r="1428">
          <cell r="A1428">
            <v>8025</v>
          </cell>
        </row>
        <row r="1429">
          <cell r="A1429">
            <v>8026</v>
          </cell>
        </row>
        <row r="1430">
          <cell r="A1430">
            <v>8027</v>
          </cell>
        </row>
        <row r="1431">
          <cell r="A1431">
            <v>8028</v>
          </cell>
        </row>
        <row r="1432">
          <cell r="A1432">
            <v>8029</v>
          </cell>
        </row>
        <row r="1433">
          <cell r="A1433">
            <v>8030</v>
          </cell>
        </row>
        <row r="1434">
          <cell r="A1434">
            <v>8031</v>
          </cell>
        </row>
        <row r="1435">
          <cell r="A1435">
            <v>8032</v>
          </cell>
        </row>
        <row r="1436">
          <cell r="A1436">
            <v>8033</v>
          </cell>
        </row>
        <row r="1437">
          <cell r="A1437">
            <v>8034</v>
          </cell>
        </row>
        <row r="1438">
          <cell r="A1438">
            <v>8035</v>
          </cell>
        </row>
        <row r="1439">
          <cell r="A1439">
            <v>8036</v>
          </cell>
        </row>
        <row r="1440">
          <cell r="A1440">
            <v>8037</v>
          </cell>
        </row>
        <row r="1441">
          <cell r="A1441">
            <v>8038</v>
          </cell>
        </row>
        <row r="1442">
          <cell r="A1442">
            <v>8039</v>
          </cell>
        </row>
        <row r="1443">
          <cell r="A1443">
            <v>8040</v>
          </cell>
        </row>
        <row r="1444">
          <cell r="A1444">
            <v>8041</v>
          </cell>
        </row>
        <row r="1445">
          <cell r="A1445">
            <v>8042</v>
          </cell>
        </row>
        <row r="1446">
          <cell r="A1446">
            <v>8043</v>
          </cell>
        </row>
        <row r="1447">
          <cell r="A1447">
            <v>8044</v>
          </cell>
        </row>
        <row r="1448">
          <cell r="A1448">
            <v>8045</v>
          </cell>
        </row>
        <row r="1449">
          <cell r="A1449">
            <v>8046</v>
          </cell>
        </row>
        <row r="1450">
          <cell r="A1450">
            <v>8047</v>
          </cell>
        </row>
        <row r="1451">
          <cell r="A1451">
            <v>8048</v>
          </cell>
        </row>
        <row r="1452">
          <cell r="A1452">
            <v>8049</v>
          </cell>
        </row>
        <row r="1453">
          <cell r="A1453">
            <v>8050</v>
          </cell>
        </row>
        <row r="1454">
          <cell r="A1454">
            <v>8051</v>
          </cell>
        </row>
        <row r="1455">
          <cell r="A1455">
            <v>8052</v>
          </cell>
        </row>
        <row r="1456">
          <cell r="A1456">
            <v>8053</v>
          </cell>
        </row>
        <row r="1457">
          <cell r="A1457">
            <v>8054</v>
          </cell>
        </row>
        <row r="1458">
          <cell r="A1458">
            <v>8055</v>
          </cell>
        </row>
        <row r="1459">
          <cell r="A1459">
            <v>8056</v>
          </cell>
        </row>
        <row r="1460">
          <cell r="A1460">
            <v>8057</v>
          </cell>
        </row>
        <row r="1461">
          <cell r="A1461">
            <v>8058</v>
          </cell>
        </row>
        <row r="1462">
          <cell r="A1462">
            <v>8059</v>
          </cell>
        </row>
        <row r="1463">
          <cell r="A1463">
            <v>8060</v>
          </cell>
        </row>
        <row r="1464">
          <cell r="A1464">
            <v>8061</v>
          </cell>
        </row>
        <row r="1465">
          <cell r="A1465">
            <v>8062</v>
          </cell>
        </row>
        <row r="1466">
          <cell r="A1466">
            <v>8063</v>
          </cell>
        </row>
        <row r="1467">
          <cell r="A1467">
            <v>8064</v>
          </cell>
        </row>
        <row r="1468">
          <cell r="A1468">
            <v>8065</v>
          </cell>
        </row>
        <row r="1469">
          <cell r="A1469">
            <v>8066</v>
          </cell>
        </row>
        <row r="1470">
          <cell r="A1470">
            <v>8067</v>
          </cell>
        </row>
        <row r="1471">
          <cell r="A1471">
            <v>8068</v>
          </cell>
        </row>
        <row r="1472">
          <cell r="A1472">
            <v>8069</v>
          </cell>
        </row>
        <row r="1473">
          <cell r="A1473">
            <v>8070</v>
          </cell>
        </row>
        <row r="1474">
          <cell r="A1474">
            <v>8071</v>
          </cell>
        </row>
        <row r="1475">
          <cell r="A1475">
            <v>8072</v>
          </cell>
        </row>
        <row r="1476">
          <cell r="A1476">
            <v>8073</v>
          </cell>
        </row>
        <row r="1477">
          <cell r="A1477">
            <v>8074</v>
          </cell>
        </row>
        <row r="1478">
          <cell r="A1478">
            <v>8077</v>
          </cell>
        </row>
        <row r="1479">
          <cell r="A1479">
            <v>8078</v>
          </cell>
        </row>
        <row r="1480">
          <cell r="A1480">
            <v>8079</v>
          </cell>
        </row>
        <row r="1481">
          <cell r="A1481">
            <v>8080</v>
          </cell>
        </row>
        <row r="1482">
          <cell r="A1482">
            <v>8081</v>
          </cell>
        </row>
        <row r="1483">
          <cell r="A1483">
            <v>8082</v>
          </cell>
        </row>
        <row r="1484">
          <cell r="A1484">
            <v>8083</v>
          </cell>
        </row>
        <row r="1485">
          <cell r="A1485">
            <v>8084</v>
          </cell>
        </row>
        <row r="1486">
          <cell r="A1486">
            <v>8085</v>
          </cell>
        </row>
        <row r="1487">
          <cell r="A1487">
            <v>8086</v>
          </cell>
        </row>
        <row r="1488">
          <cell r="A1488">
            <v>8087</v>
          </cell>
        </row>
        <row r="1489">
          <cell r="A1489">
            <v>8088</v>
          </cell>
        </row>
        <row r="1490">
          <cell r="A1490">
            <v>8089</v>
          </cell>
        </row>
        <row r="1491">
          <cell r="A1491">
            <v>8090</v>
          </cell>
        </row>
        <row r="1492">
          <cell r="A1492">
            <v>8095</v>
          </cell>
        </row>
        <row r="1493">
          <cell r="A1493">
            <v>8096</v>
          </cell>
        </row>
        <row r="1494">
          <cell r="A1494">
            <v>8097</v>
          </cell>
        </row>
        <row r="1495">
          <cell r="A1495">
            <v>8098</v>
          </cell>
        </row>
        <row r="1496">
          <cell r="A1496">
            <v>8099</v>
          </cell>
        </row>
        <row r="1497">
          <cell r="A1497">
            <v>8100</v>
          </cell>
        </row>
        <row r="1498">
          <cell r="A1498">
            <v>8101</v>
          </cell>
        </row>
        <row r="1499">
          <cell r="A1499">
            <v>8102</v>
          </cell>
        </row>
        <row r="1500">
          <cell r="A1500">
            <v>8103</v>
          </cell>
        </row>
        <row r="1501">
          <cell r="A1501">
            <v>8104</v>
          </cell>
        </row>
        <row r="1502">
          <cell r="A1502">
            <v>8105</v>
          </cell>
        </row>
        <row r="1503">
          <cell r="A1503">
            <v>8106</v>
          </cell>
        </row>
        <row r="1504">
          <cell r="A1504">
            <v>9001</v>
          </cell>
        </row>
        <row r="1505">
          <cell r="A1505">
            <v>9002</v>
          </cell>
        </row>
        <row r="1506">
          <cell r="A1506">
            <v>9003</v>
          </cell>
        </row>
        <row r="1507">
          <cell r="A1507">
            <v>9004</v>
          </cell>
        </row>
        <row r="1508">
          <cell r="A1508">
            <v>9005</v>
          </cell>
        </row>
        <row r="1509">
          <cell r="A1509">
            <v>9006</v>
          </cell>
        </row>
        <row r="1510">
          <cell r="A1510">
            <v>9007</v>
          </cell>
        </row>
        <row r="1511">
          <cell r="A1511">
            <v>9008</v>
          </cell>
        </row>
        <row r="1512">
          <cell r="A1512">
            <v>10101</v>
          </cell>
        </row>
        <row r="1513">
          <cell r="A1513">
            <v>10102</v>
          </cell>
        </row>
        <row r="1514">
          <cell r="A1514">
            <v>10103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1399</v>
          </cell>
        </row>
        <row r="1391">
          <cell r="A1391">
            <v>1400</v>
          </cell>
        </row>
        <row r="1392">
          <cell r="A1392">
            <v>1401</v>
          </cell>
        </row>
        <row r="1393">
          <cell r="A1393">
            <v>1402</v>
          </cell>
        </row>
        <row r="1394">
          <cell r="A1394">
            <v>1403</v>
          </cell>
        </row>
        <row r="1395">
          <cell r="A1395">
            <v>1404</v>
          </cell>
        </row>
        <row r="1396">
          <cell r="A1396">
            <v>1405</v>
          </cell>
        </row>
        <row r="1397">
          <cell r="A1397">
            <v>1406</v>
          </cell>
        </row>
        <row r="1398">
          <cell r="A1398">
            <v>1407</v>
          </cell>
        </row>
        <row r="1399">
          <cell r="A1399">
            <v>1408</v>
          </cell>
        </row>
        <row r="1400">
          <cell r="A1400">
            <v>1409</v>
          </cell>
        </row>
        <row r="1401">
          <cell r="A1401">
            <v>1410</v>
          </cell>
        </row>
        <row r="1402">
          <cell r="A1402">
            <v>1411</v>
          </cell>
        </row>
        <row r="1403">
          <cell r="A1403">
            <v>1412</v>
          </cell>
        </row>
        <row r="1404">
          <cell r="A1404">
            <v>1413</v>
          </cell>
        </row>
        <row r="1405">
          <cell r="A1405">
            <v>1414</v>
          </cell>
        </row>
        <row r="1406">
          <cell r="A1406">
            <v>1415</v>
          </cell>
        </row>
        <row r="1407">
          <cell r="A1407">
            <v>1416</v>
          </cell>
        </row>
        <row r="1408">
          <cell r="A1408">
            <v>1417</v>
          </cell>
        </row>
        <row r="1409">
          <cell r="A1409">
            <v>1418</v>
          </cell>
        </row>
        <row r="1410">
          <cell r="A1410">
            <v>1419</v>
          </cell>
        </row>
        <row r="1411">
          <cell r="A1411">
            <v>1420</v>
          </cell>
        </row>
        <row r="1412">
          <cell r="A1412">
            <v>1421</v>
          </cell>
        </row>
        <row r="1413">
          <cell r="A1413">
            <v>1422</v>
          </cell>
        </row>
        <row r="1414">
          <cell r="A1414">
            <v>1423</v>
          </cell>
        </row>
        <row r="1415">
          <cell r="A1415">
            <v>1424</v>
          </cell>
        </row>
        <row r="1416">
          <cell r="A1416">
            <v>1425</v>
          </cell>
        </row>
        <row r="1417">
          <cell r="A1417">
            <v>1426</v>
          </cell>
        </row>
        <row r="1418">
          <cell r="A1418">
            <v>1431</v>
          </cell>
        </row>
        <row r="1419">
          <cell r="A1419">
            <v>1432</v>
          </cell>
        </row>
        <row r="1420">
          <cell r="A1420">
            <v>1433</v>
          </cell>
        </row>
        <row r="1421">
          <cell r="A1421">
            <v>1434</v>
          </cell>
        </row>
        <row r="1422">
          <cell r="A1422">
            <v>1435</v>
          </cell>
        </row>
        <row r="1423">
          <cell r="A1423">
            <v>1452</v>
          </cell>
        </row>
        <row r="1424">
          <cell r="A1424">
            <v>1453</v>
          </cell>
        </row>
        <row r="1425">
          <cell r="A1425">
            <v>1454</v>
          </cell>
        </row>
        <row r="1426">
          <cell r="A1426">
            <v>1455</v>
          </cell>
        </row>
        <row r="1427">
          <cell r="A1427">
            <v>1456</v>
          </cell>
        </row>
        <row r="1428">
          <cell r="A1428">
            <v>1457</v>
          </cell>
        </row>
        <row r="1429">
          <cell r="A1429">
            <v>1458</v>
          </cell>
        </row>
        <row r="1430">
          <cell r="A1430">
            <v>1459</v>
          </cell>
        </row>
        <row r="1431">
          <cell r="A1431">
            <v>1460</v>
          </cell>
        </row>
        <row r="1432">
          <cell r="A1432">
            <v>1461</v>
          </cell>
        </row>
        <row r="1433">
          <cell r="A1433">
            <v>1462</v>
          </cell>
        </row>
        <row r="1434">
          <cell r="A1434">
            <v>1463</v>
          </cell>
        </row>
        <row r="1435">
          <cell r="A1435">
            <v>1464</v>
          </cell>
        </row>
        <row r="1436">
          <cell r="A1436">
            <v>1465</v>
          </cell>
        </row>
        <row r="1437">
          <cell r="A1437">
            <v>1466</v>
          </cell>
        </row>
        <row r="1438">
          <cell r="A1438">
            <v>1467</v>
          </cell>
        </row>
        <row r="1439">
          <cell r="A1439">
            <v>1468</v>
          </cell>
        </row>
        <row r="1440">
          <cell r="A1440">
            <v>1469</v>
          </cell>
        </row>
        <row r="1441">
          <cell r="A1441">
            <v>1470</v>
          </cell>
        </row>
        <row r="1442">
          <cell r="A1442">
            <v>1471</v>
          </cell>
        </row>
        <row r="1443">
          <cell r="A1443">
            <v>1488</v>
          </cell>
        </row>
        <row r="1444">
          <cell r="A1444">
            <v>1489</v>
          </cell>
        </row>
        <row r="1445">
          <cell r="A1445">
            <v>1495</v>
          </cell>
        </row>
        <row r="1446">
          <cell r="A1446">
            <v>1496</v>
          </cell>
        </row>
        <row r="1447">
          <cell r="A1447">
            <v>1497</v>
          </cell>
        </row>
        <row r="1448">
          <cell r="A1448">
            <v>1498</v>
          </cell>
        </row>
        <row r="1449">
          <cell r="A1449">
            <v>1499</v>
          </cell>
        </row>
        <row r="1450">
          <cell r="A1450">
            <v>1500</v>
          </cell>
        </row>
        <row r="1451">
          <cell r="A1451">
            <v>1501</v>
          </cell>
        </row>
        <row r="1452">
          <cell r="A1452">
            <v>1502</v>
          </cell>
        </row>
        <row r="1453">
          <cell r="A1453">
            <v>1503</v>
          </cell>
        </row>
        <row r="1454">
          <cell r="A1454">
            <v>1504</v>
          </cell>
        </row>
        <row r="1455">
          <cell r="A1455">
            <v>1505</v>
          </cell>
        </row>
        <row r="1456">
          <cell r="A1456">
            <v>1506</v>
          </cell>
        </row>
        <row r="1457">
          <cell r="A1457">
            <v>1507</v>
          </cell>
        </row>
        <row r="1458">
          <cell r="A1458">
            <v>1508</v>
          </cell>
        </row>
        <row r="1459">
          <cell r="A1459">
            <v>1509</v>
          </cell>
        </row>
        <row r="1460">
          <cell r="A1460">
            <v>1510</v>
          </cell>
        </row>
        <row r="1461">
          <cell r="A1461">
            <v>1511</v>
          </cell>
        </row>
        <row r="1462">
          <cell r="A1462">
            <v>1512</v>
          </cell>
        </row>
        <row r="1463">
          <cell r="A1463">
            <v>1513</v>
          </cell>
        </row>
        <row r="1464">
          <cell r="A1464">
            <v>1514</v>
          </cell>
        </row>
        <row r="1465">
          <cell r="A1465">
            <v>1515</v>
          </cell>
        </row>
        <row r="1466">
          <cell r="A1466">
            <v>1516</v>
          </cell>
        </row>
        <row r="1467">
          <cell r="A1467">
            <v>1517</v>
          </cell>
        </row>
        <row r="1468">
          <cell r="A1468">
            <v>1518</v>
          </cell>
        </row>
        <row r="1469">
          <cell r="A1469">
            <v>1519</v>
          </cell>
        </row>
        <row r="1470">
          <cell r="A1470">
            <v>1520</v>
          </cell>
        </row>
        <row r="1471">
          <cell r="A1471">
            <v>1521</v>
          </cell>
        </row>
        <row r="1472">
          <cell r="A1472">
            <v>1522</v>
          </cell>
        </row>
        <row r="1473">
          <cell r="A1473">
            <v>1523</v>
          </cell>
        </row>
        <row r="1474">
          <cell r="A1474">
            <v>1524</v>
          </cell>
        </row>
        <row r="1475">
          <cell r="A1475">
            <v>1525</v>
          </cell>
        </row>
        <row r="1476">
          <cell r="A1476">
            <v>1526</v>
          </cell>
        </row>
        <row r="1477">
          <cell r="A1477">
            <v>1527</v>
          </cell>
        </row>
        <row r="1478">
          <cell r="A1478">
            <v>1528</v>
          </cell>
        </row>
        <row r="1479">
          <cell r="A1479">
            <v>1529</v>
          </cell>
        </row>
        <row r="1480">
          <cell r="A1480">
            <v>1530</v>
          </cell>
        </row>
        <row r="1481">
          <cell r="A1481">
            <v>1531</v>
          </cell>
        </row>
        <row r="1482">
          <cell r="A1482">
            <v>1532</v>
          </cell>
        </row>
        <row r="1483">
          <cell r="A1483">
            <v>1533</v>
          </cell>
        </row>
        <row r="1484">
          <cell r="A1484">
            <v>1534</v>
          </cell>
        </row>
        <row r="1485">
          <cell r="A1485">
            <v>1535</v>
          </cell>
        </row>
        <row r="1486">
          <cell r="A1486">
            <v>1536</v>
          </cell>
        </row>
        <row r="1487">
          <cell r="A1487">
            <v>1537</v>
          </cell>
        </row>
        <row r="1488">
          <cell r="A1488">
            <v>1538</v>
          </cell>
        </row>
        <row r="1489">
          <cell r="A1489">
            <v>1539</v>
          </cell>
        </row>
        <row r="1490">
          <cell r="A1490">
            <v>1540</v>
          </cell>
        </row>
        <row r="1491">
          <cell r="A1491">
            <v>1541</v>
          </cell>
        </row>
        <row r="1492">
          <cell r="A1492">
            <v>1542</v>
          </cell>
        </row>
        <row r="1493">
          <cell r="A1493">
            <v>1543</v>
          </cell>
        </row>
        <row r="1494">
          <cell r="A1494">
            <v>1544</v>
          </cell>
        </row>
        <row r="1495">
          <cell r="A1495">
            <v>1545</v>
          </cell>
        </row>
        <row r="1496">
          <cell r="A1496">
            <v>1546</v>
          </cell>
        </row>
        <row r="1497">
          <cell r="A1497">
            <v>1547</v>
          </cell>
        </row>
        <row r="1498">
          <cell r="A1498">
            <v>1548</v>
          </cell>
        </row>
        <row r="1499">
          <cell r="A1499">
            <v>1549</v>
          </cell>
        </row>
        <row r="1500">
          <cell r="A1500">
            <v>1550</v>
          </cell>
        </row>
        <row r="1501">
          <cell r="A1501">
            <v>5001</v>
          </cell>
        </row>
        <row r="1502">
          <cell r="A1502">
            <v>5002</v>
          </cell>
        </row>
        <row r="1503">
          <cell r="A1503">
            <v>5003</v>
          </cell>
        </row>
        <row r="1504">
          <cell r="A1504">
            <v>5004</v>
          </cell>
        </row>
        <row r="1505">
          <cell r="A1505">
            <v>5005</v>
          </cell>
        </row>
        <row r="1506">
          <cell r="A1506">
            <v>5006</v>
          </cell>
        </row>
        <row r="1507">
          <cell r="A1507">
            <v>5007</v>
          </cell>
        </row>
        <row r="1508">
          <cell r="A1508">
            <v>5008</v>
          </cell>
        </row>
        <row r="1509">
          <cell r="A1509">
            <v>6001</v>
          </cell>
        </row>
        <row r="1510">
          <cell r="A1510">
            <v>6002</v>
          </cell>
        </row>
        <row r="1511">
          <cell r="A1511">
            <v>6003</v>
          </cell>
        </row>
        <row r="1512">
          <cell r="A1512">
            <v>6004</v>
          </cell>
        </row>
        <row r="1513">
          <cell r="A1513">
            <v>6005</v>
          </cell>
        </row>
        <row r="1514">
          <cell r="A1514">
            <v>6006</v>
          </cell>
        </row>
        <row r="1515">
          <cell r="A1515">
            <v>6007</v>
          </cell>
        </row>
        <row r="1516">
          <cell r="A1516">
            <v>6008</v>
          </cell>
        </row>
        <row r="1517">
          <cell r="A1517">
            <v>6009</v>
          </cell>
        </row>
        <row r="1518">
          <cell r="A1518">
            <v>6010</v>
          </cell>
        </row>
        <row r="1519">
          <cell r="A1519">
            <v>6011</v>
          </cell>
        </row>
        <row r="1520">
          <cell r="A1520">
            <v>6012</v>
          </cell>
        </row>
        <row r="1521">
          <cell r="A1521">
            <v>6013</v>
          </cell>
        </row>
        <row r="1522">
          <cell r="A1522">
            <v>6014</v>
          </cell>
        </row>
        <row r="1523">
          <cell r="A1523">
            <v>6015</v>
          </cell>
        </row>
        <row r="1524">
          <cell r="A1524">
            <v>6016</v>
          </cell>
        </row>
        <row r="1525">
          <cell r="A1525">
            <v>6017</v>
          </cell>
        </row>
        <row r="1526">
          <cell r="A1526">
            <v>6018</v>
          </cell>
        </row>
        <row r="1527">
          <cell r="A1527">
            <v>6019</v>
          </cell>
        </row>
        <row r="1528">
          <cell r="A1528">
            <v>6020</v>
          </cell>
        </row>
        <row r="1529">
          <cell r="A1529">
            <v>8001</v>
          </cell>
        </row>
        <row r="1530">
          <cell r="A1530">
            <v>8002</v>
          </cell>
        </row>
        <row r="1531">
          <cell r="A1531">
            <v>8003</v>
          </cell>
        </row>
        <row r="1532">
          <cell r="A1532">
            <v>8004</v>
          </cell>
        </row>
        <row r="1533">
          <cell r="A1533">
            <v>8005</v>
          </cell>
        </row>
        <row r="1534">
          <cell r="A1534">
            <v>8006</v>
          </cell>
        </row>
        <row r="1535">
          <cell r="A1535">
            <v>8007</v>
          </cell>
        </row>
        <row r="1536">
          <cell r="A1536">
            <v>8008</v>
          </cell>
        </row>
        <row r="1537">
          <cell r="A1537">
            <v>8009</v>
          </cell>
        </row>
        <row r="1538">
          <cell r="A1538">
            <v>8010</v>
          </cell>
        </row>
        <row r="1539">
          <cell r="A1539">
            <v>8011</v>
          </cell>
        </row>
        <row r="1540">
          <cell r="A1540">
            <v>8012</v>
          </cell>
        </row>
        <row r="1541">
          <cell r="A1541">
            <v>8013</v>
          </cell>
        </row>
        <row r="1542">
          <cell r="A1542">
            <v>8014</v>
          </cell>
        </row>
        <row r="1543">
          <cell r="A1543">
            <v>8015</v>
          </cell>
        </row>
        <row r="1544">
          <cell r="A1544">
            <v>8016</v>
          </cell>
        </row>
        <row r="1545">
          <cell r="A1545">
            <v>8017</v>
          </cell>
        </row>
        <row r="1546">
          <cell r="A1546">
            <v>8018</v>
          </cell>
        </row>
        <row r="1547">
          <cell r="A1547">
            <v>8019</v>
          </cell>
        </row>
        <row r="1548">
          <cell r="A1548">
            <v>8020</v>
          </cell>
        </row>
        <row r="1549">
          <cell r="A1549">
            <v>8021</v>
          </cell>
        </row>
        <row r="1550">
          <cell r="A1550">
            <v>8022</v>
          </cell>
        </row>
        <row r="1551">
          <cell r="A1551">
            <v>8023</v>
          </cell>
        </row>
        <row r="1552">
          <cell r="A1552">
            <v>8024</v>
          </cell>
        </row>
        <row r="1553">
          <cell r="A1553">
            <v>8025</v>
          </cell>
        </row>
        <row r="1554">
          <cell r="A1554">
            <v>8026</v>
          </cell>
        </row>
        <row r="1555">
          <cell r="A1555">
            <v>8027</v>
          </cell>
        </row>
        <row r="1556">
          <cell r="A1556">
            <v>8028</v>
          </cell>
        </row>
        <row r="1557">
          <cell r="A1557">
            <v>8029</v>
          </cell>
        </row>
        <row r="1558">
          <cell r="A1558">
            <v>8030</v>
          </cell>
        </row>
        <row r="1559">
          <cell r="A1559">
            <v>8031</v>
          </cell>
        </row>
        <row r="1560">
          <cell r="A1560">
            <v>8032</v>
          </cell>
        </row>
        <row r="1561">
          <cell r="A1561">
            <v>8033</v>
          </cell>
        </row>
        <row r="1562">
          <cell r="A1562">
            <v>8034</v>
          </cell>
        </row>
        <row r="1563">
          <cell r="A1563">
            <v>8035</v>
          </cell>
        </row>
        <row r="1564">
          <cell r="A1564">
            <v>8036</v>
          </cell>
        </row>
        <row r="1565">
          <cell r="A1565">
            <v>8037</v>
          </cell>
        </row>
        <row r="1566">
          <cell r="A1566">
            <v>8038</v>
          </cell>
        </row>
        <row r="1567">
          <cell r="A1567">
            <v>8039</v>
          </cell>
        </row>
        <row r="1568">
          <cell r="A1568">
            <v>8040</v>
          </cell>
        </row>
        <row r="1569">
          <cell r="A1569">
            <v>8041</v>
          </cell>
        </row>
        <row r="1570">
          <cell r="A1570">
            <v>8042</v>
          </cell>
        </row>
        <row r="1571">
          <cell r="A1571">
            <v>8043</v>
          </cell>
        </row>
        <row r="1572">
          <cell r="A1572">
            <v>8044</v>
          </cell>
        </row>
        <row r="1573">
          <cell r="A1573">
            <v>8045</v>
          </cell>
        </row>
        <row r="1574">
          <cell r="A1574">
            <v>8046</v>
          </cell>
        </row>
        <row r="1575">
          <cell r="A1575">
            <v>8047</v>
          </cell>
        </row>
        <row r="1576">
          <cell r="A1576">
            <v>8048</v>
          </cell>
        </row>
        <row r="1577">
          <cell r="A1577">
            <v>8049</v>
          </cell>
        </row>
        <row r="1578">
          <cell r="A1578">
            <v>8050</v>
          </cell>
        </row>
        <row r="1579">
          <cell r="A1579">
            <v>8051</v>
          </cell>
        </row>
        <row r="1580">
          <cell r="A1580">
            <v>8052</v>
          </cell>
        </row>
        <row r="1581">
          <cell r="A1581">
            <v>8053</v>
          </cell>
        </row>
        <row r="1582">
          <cell r="A1582">
            <v>8054</v>
          </cell>
        </row>
        <row r="1583">
          <cell r="A1583">
            <v>8055</v>
          </cell>
        </row>
        <row r="1584">
          <cell r="A1584">
            <v>8056</v>
          </cell>
        </row>
        <row r="1585">
          <cell r="A1585">
            <v>8057</v>
          </cell>
        </row>
        <row r="1586">
          <cell r="A1586">
            <v>8058</v>
          </cell>
        </row>
        <row r="1587">
          <cell r="A1587">
            <v>8059</v>
          </cell>
        </row>
        <row r="1588">
          <cell r="A1588">
            <v>8060</v>
          </cell>
        </row>
        <row r="1589">
          <cell r="A1589">
            <v>8061</v>
          </cell>
        </row>
        <row r="1590">
          <cell r="A1590">
            <v>8062</v>
          </cell>
        </row>
        <row r="1591">
          <cell r="A1591">
            <v>8063</v>
          </cell>
        </row>
        <row r="1592">
          <cell r="A1592">
            <v>8064</v>
          </cell>
        </row>
        <row r="1593">
          <cell r="A1593">
            <v>8065</v>
          </cell>
        </row>
        <row r="1594">
          <cell r="A1594">
            <v>8066</v>
          </cell>
        </row>
        <row r="1595">
          <cell r="A1595">
            <v>8067</v>
          </cell>
        </row>
        <row r="1596">
          <cell r="A1596">
            <v>8068</v>
          </cell>
        </row>
        <row r="1597">
          <cell r="A1597">
            <v>8069</v>
          </cell>
        </row>
        <row r="1598">
          <cell r="A1598">
            <v>8070</v>
          </cell>
        </row>
        <row r="1599">
          <cell r="A1599">
            <v>8071</v>
          </cell>
        </row>
        <row r="1600">
          <cell r="A1600">
            <v>8072</v>
          </cell>
        </row>
        <row r="1601">
          <cell r="A1601">
            <v>8073</v>
          </cell>
        </row>
        <row r="1602">
          <cell r="A1602">
            <v>8074</v>
          </cell>
        </row>
        <row r="1603">
          <cell r="A1603">
            <v>8075</v>
          </cell>
        </row>
        <row r="1604">
          <cell r="A1604">
            <v>8076</v>
          </cell>
        </row>
        <row r="1605">
          <cell r="A1605">
            <v>8077</v>
          </cell>
        </row>
        <row r="1606">
          <cell r="A1606">
            <v>8078</v>
          </cell>
        </row>
        <row r="1607">
          <cell r="A1607">
            <v>8079</v>
          </cell>
        </row>
        <row r="1608">
          <cell r="A1608">
            <v>8080</v>
          </cell>
        </row>
        <row r="1609">
          <cell r="A1609">
            <v>8081</v>
          </cell>
        </row>
        <row r="1610">
          <cell r="A1610">
            <v>8082</v>
          </cell>
        </row>
        <row r="1611">
          <cell r="A1611">
            <v>8083</v>
          </cell>
        </row>
        <row r="1612">
          <cell r="A1612">
            <v>8084</v>
          </cell>
        </row>
        <row r="1613">
          <cell r="A1613">
            <v>8085</v>
          </cell>
        </row>
        <row r="1614">
          <cell r="A1614">
            <v>8086</v>
          </cell>
        </row>
        <row r="1615">
          <cell r="A1615">
            <v>8087</v>
          </cell>
        </row>
        <row r="1616">
          <cell r="A1616">
            <v>8088</v>
          </cell>
        </row>
        <row r="1617">
          <cell r="A1617">
            <v>8089</v>
          </cell>
        </row>
        <row r="1618">
          <cell r="A1618">
            <v>8090</v>
          </cell>
        </row>
        <row r="1619">
          <cell r="A1619">
            <v>8095</v>
          </cell>
        </row>
        <row r="1620">
          <cell r="A1620">
            <v>8096</v>
          </cell>
        </row>
        <row r="1621">
          <cell r="A1621">
            <v>8097</v>
          </cell>
        </row>
        <row r="1622">
          <cell r="A1622">
            <v>8098</v>
          </cell>
        </row>
        <row r="1623">
          <cell r="A1623">
            <v>8099</v>
          </cell>
        </row>
        <row r="1624">
          <cell r="A1624">
            <v>8100</v>
          </cell>
        </row>
        <row r="1625">
          <cell r="A1625">
            <v>8101</v>
          </cell>
        </row>
        <row r="1626">
          <cell r="A1626">
            <v>8102</v>
          </cell>
        </row>
        <row r="1627">
          <cell r="A1627">
            <v>8103</v>
          </cell>
        </row>
        <row r="1628">
          <cell r="A1628">
            <v>8104</v>
          </cell>
        </row>
        <row r="1629">
          <cell r="A1629">
            <v>8105</v>
          </cell>
        </row>
        <row r="1630">
          <cell r="A1630">
            <v>8106</v>
          </cell>
        </row>
        <row r="1631">
          <cell r="A1631">
            <v>9001</v>
          </cell>
        </row>
        <row r="1632">
          <cell r="A1632">
            <v>9002</v>
          </cell>
        </row>
        <row r="1633">
          <cell r="A1633">
            <v>9003</v>
          </cell>
        </row>
        <row r="1634">
          <cell r="A1634">
            <v>9004</v>
          </cell>
        </row>
        <row r="1635">
          <cell r="A1635">
            <v>9005</v>
          </cell>
        </row>
        <row r="1636">
          <cell r="A1636">
            <v>9006</v>
          </cell>
        </row>
        <row r="1637">
          <cell r="A1637">
            <v>9007</v>
          </cell>
        </row>
        <row r="1638">
          <cell r="A1638">
            <v>9008</v>
          </cell>
        </row>
        <row r="1639">
          <cell r="A1639">
            <v>10001</v>
          </cell>
        </row>
        <row r="1640">
          <cell r="A1640">
            <v>10002</v>
          </cell>
        </row>
        <row r="1641">
          <cell r="A1641">
            <v>10003</v>
          </cell>
        </row>
        <row r="1642">
          <cell r="A1642">
            <v>10004</v>
          </cell>
        </row>
        <row r="1643">
          <cell r="A1643">
            <v>10005</v>
          </cell>
        </row>
        <row r="1644">
          <cell r="A1644">
            <v>10006</v>
          </cell>
        </row>
        <row r="1645">
          <cell r="A1645">
            <v>10007</v>
          </cell>
        </row>
        <row r="1646">
          <cell r="A1646">
            <v>10008</v>
          </cell>
        </row>
        <row r="1647">
          <cell r="A1647">
            <v>10009</v>
          </cell>
        </row>
        <row r="1648">
          <cell r="A1648">
            <v>10010</v>
          </cell>
        </row>
        <row r="1649">
          <cell r="A1649">
            <v>10011</v>
          </cell>
        </row>
        <row r="1650">
          <cell r="A1650">
            <v>10012</v>
          </cell>
        </row>
        <row r="1651">
          <cell r="A1651">
            <v>10013</v>
          </cell>
        </row>
        <row r="1652">
          <cell r="A1652">
            <v>10014</v>
          </cell>
        </row>
        <row r="1653">
          <cell r="A1653">
            <v>10015</v>
          </cell>
        </row>
        <row r="1654">
          <cell r="A1654">
            <v>10016</v>
          </cell>
        </row>
        <row r="1655">
          <cell r="A1655">
            <v>10017</v>
          </cell>
        </row>
        <row r="1656">
          <cell r="A1656">
            <v>10018</v>
          </cell>
        </row>
        <row r="1657">
          <cell r="A1657">
            <v>10019</v>
          </cell>
        </row>
        <row r="1658">
          <cell r="A1658">
            <v>10020</v>
          </cell>
        </row>
        <row r="1659">
          <cell r="A1659">
            <v>10021</v>
          </cell>
        </row>
        <row r="1660">
          <cell r="A1660">
            <v>10022</v>
          </cell>
        </row>
        <row r="1661">
          <cell r="A1661">
            <v>10023</v>
          </cell>
        </row>
        <row r="1662">
          <cell r="A1662">
            <v>10024</v>
          </cell>
        </row>
        <row r="1663">
          <cell r="A1663">
            <v>10025</v>
          </cell>
        </row>
        <row r="1664">
          <cell r="A1664">
            <v>10026</v>
          </cell>
        </row>
        <row r="1665">
          <cell r="A1665">
            <v>10027</v>
          </cell>
        </row>
        <row r="1666">
          <cell r="A1666">
            <v>10028</v>
          </cell>
        </row>
        <row r="1667">
          <cell r="A1667">
            <v>10029</v>
          </cell>
        </row>
        <row r="1668">
          <cell r="A1668">
            <v>10030</v>
          </cell>
        </row>
        <row r="1669">
          <cell r="A1669">
            <v>10031</v>
          </cell>
        </row>
        <row r="1670">
          <cell r="A1670">
            <v>10032</v>
          </cell>
        </row>
        <row r="1671">
          <cell r="A1671">
            <v>10033</v>
          </cell>
        </row>
        <row r="1672">
          <cell r="A1672">
            <v>10034</v>
          </cell>
        </row>
        <row r="1673">
          <cell r="A1673">
            <v>10035</v>
          </cell>
        </row>
        <row r="1674">
          <cell r="A1674">
            <v>10036</v>
          </cell>
        </row>
        <row r="1675">
          <cell r="A1675">
            <v>10037</v>
          </cell>
        </row>
        <row r="1676">
          <cell r="A1676">
            <v>10038</v>
          </cell>
        </row>
        <row r="1677">
          <cell r="A1677">
            <v>10039</v>
          </cell>
        </row>
        <row r="1678">
          <cell r="A1678">
            <v>10040</v>
          </cell>
        </row>
        <row r="1679">
          <cell r="A1679">
            <v>10041</v>
          </cell>
        </row>
        <row r="1680">
          <cell r="A1680">
            <v>10042</v>
          </cell>
        </row>
        <row r="1681">
          <cell r="A1681">
            <v>10043</v>
          </cell>
        </row>
        <row r="1682">
          <cell r="A1682">
            <v>10044</v>
          </cell>
        </row>
        <row r="1683">
          <cell r="A1683">
            <v>10045</v>
          </cell>
        </row>
        <row r="1684">
          <cell r="A1684">
            <v>10046</v>
          </cell>
        </row>
        <row r="1685">
          <cell r="A1685">
            <v>10047</v>
          </cell>
        </row>
        <row r="1686">
          <cell r="A1686">
            <v>10048</v>
          </cell>
        </row>
        <row r="1687">
          <cell r="A1687">
            <v>10049</v>
          </cell>
        </row>
        <row r="1688">
          <cell r="A1688">
            <v>10050</v>
          </cell>
        </row>
        <row r="1689">
          <cell r="A1689">
            <v>10051</v>
          </cell>
        </row>
        <row r="1690">
          <cell r="A1690">
            <v>10052</v>
          </cell>
        </row>
        <row r="1691">
          <cell r="A1691">
            <v>10053</v>
          </cell>
        </row>
        <row r="1692">
          <cell r="A1692">
            <v>10054</v>
          </cell>
        </row>
        <row r="1693">
          <cell r="A1693">
            <v>10055</v>
          </cell>
        </row>
        <row r="1694">
          <cell r="A1694">
            <v>10056</v>
          </cell>
        </row>
        <row r="1695">
          <cell r="A1695">
            <v>10057</v>
          </cell>
        </row>
        <row r="1696">
          <cell r="A1696">
            <v>10058</v>
          </cell>
        </row>
        <row r="1697">
          <cell r="A1697">
            <v>10059</v>
          </cell>
        </row>
        <row r="1698">
          <cell r="A1698">
            <v>10060</v>
          </cell>
        </row>
        <row r="1699">
          <cell r="A1699">
            <v>10061</v>
          </cell>
        </row>
        <row r="1700">
          <cell r="A1700">
            <v>10062</v>
          </cell>
        </row>
        <row r="1701">
          <cell r="A1701">
            <v>10063</v>
          </cell>
        </row>
        <row r="1702">
          <cell r="A1702">
            <v>10064</v>
          </cell>
        </row>
        <row r="1703">
          <cell r="A1703">
            <v>10065</v>
          </cell>
        </row>
        <row r="1704">
          <cell r="A1704">
            <v>10066</v>
          </cell>
        </row>
        <row r="1705">
          <cell r="A1705">
            <v>10067</v>
          </cell>
        </row>
        <row r="1706">
          <cell r="A1706">
            <v>10068</v>
          </cell>
        </row>
        <row r="1707">
          <cell r="A1707">
            <v>10069</v>
          </cell>
        </row>
        <row r="1708">
          <cell r="A1708">
            <v>10070</v>
          </cell>
        </row>
        <row r="1709">
          <cell r="A1709">
            <v>10071</v>
          </cell>
        </row>
        <row r="1710">
          <cell r="A1710">
            <v>10072</v>
          </cell>
        </row>
        <row r="1711">
          <cell r="A1711">
            <v>10073</v>
          </cell>
        </row>
        <row r="1712">
          <cell r="A1712">
            <v>10074</v>
          </cell>
        </row>
        <row r="1713">
          <cell r="A1713">
            <v>10075</v>
          </cell>
        </row>
        <row r="1714">
          <cell r="A1714">
            <v>10076</v>
          </cell>
        </row>
        <row r="1715">
          <cell r="A1715">
            <v>10077</v>
          </cell>
        </row>
        <row r="1716">
          <cell r="A1716">
            <v>10078</v>
          </cell>
        </row>
        <row r="1717">
          <cell r="A1717">
            <v>10079</v>
          </cell>
        </row>
        <row r="1718">
          <cell r="A1718">
            <v>10080</v>
          </cell>
        </row>
        <row r="1719">
          <cell r="A1719">
            <v>10081</v>
          </cell>
        </row>
        <row r="1720">
          <cell r="A1720">
            <v>10082</v>
          </cell>
        </row>
        <row r="1721">
          <cell r="A1721">
            <v>10083</v>
          </cell>
        </row>
        <row r="1722">
          <cell r="A1722">
            <v>10084</v>
          </cell>
        </row>
        <row r="1723">
          <cell r="A1723">
            <v>10085</v>
          </cell>
        </row>
        <row r="1724">
          <cell r="A1724">
            <v>10086</v>
          </cell>
        </row>
        <row r="1725">
          <cell r="A1725">
            <v>10087</v>
          </cell>
        </row>
        <row r="1726">
          <cell r="A1726">
            <v>10088</v>
          </cell>
        </row>
        <row r="1727">
          <cell r="A1727">
            <v>10089</v>
          </cell>
        </row>
        <row r="1728">
          <cell r="A1728">
            <v>10090</v>
          </cell>
        </row>
        <row r="1729">
          <cell r="A1729">
            <v>10101</v>
          </cell>
        </row>
        <row r="1730">
          <cell r="A1730">
            <v>10102</v>
          </cell>
        </row>
        <row r="1731">
          <cell r="A1731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  <row r="483">
          <cell r="B483">
            <v>560001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F38" sqref="F38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130</v>
      </c>
      <c r="B1" s="55" t="s">
        <v>100</v>
      </c>
      <c r="C1" s="55" t="s">
        <v>101</v>
      </c>
      <c r="D1" s="55" t="s">
        <v>102</v>
      </c>
      <c r="E1" s="55" t="s">
        <v>103</v>
      </c>
      <c r="F1" s="55" t="s">
        <v>104</v>
      </c>
      <c r="G1" s="55" t="s">
        <v>105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30" x14ac:dyDescent="0.15">
      <c r="A2" s="61" t="s">
        <v>289</v>
      </c>
      <c r="B2" s="57" t="s">
        <v>106</v>
      </c>
      <c r="C2" s="63">
        <v>40043</v>
      </c>
      <c r="D2" s="57" t="s">
        <v>107</v>
      </c>
      <c r="E2" s="56" t="str">
        <f>B2&amp;C2&amp;D2</f>
        <v>floors_40043.tmp</v>
      </c>
      <c r="F2" s="57" t="s">
        <v>108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</row>
    <row r="3" spans="1:30" x14ac:dyDescent="0.15">
      <c r="A3" s="61" t="s">
        <v>289</v>
      </c>
      <c r="B3" s="57" t="s">
        <v>109</v>
      </c>
      <c r="C3" s="63">
        <v>40043</v>
      </c>
      <c r="D3" s="57" t="s">
        <v>107</v>
      </c>
      <c r="E3" s="56" t="str">
        <f>B3&amp;C3&amp;D3</f>
        <v>enemy_habitats_40043.tmp</v>
      </c>
      <c r="F3" s="57" t="s">
        <v>110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53</v>
      </c>
      <c r="AD3" s="58" t="s">
        <v>178</v>
      </c>
    </row>
    <row r="4" spans="1:30" x14ac:dyDescent="0.15">
      <c r="A4" s="61" t="s">
        <v>289</v>
      </c>
      <c r="B4" s="57" t="s">
        <v>111</v>
      </c>
      <c r="C4" s="63">
        <v>40043</v>
      </c>
      <c r="D4" s="57" t="s">
        <v>107</v>
      </c>
      <c r="E4" s="56" t="str">
        <f>B4&amp;C4&amp;D4</f>
        <v>enemy_habitat_S_40043.tmp</v>
      </c>
      <c r="F4" s="57" t="s">
        <v>112</v>
      </c>
      <c r="G4" s="58" t="s">
        <v>0</v>
      </c>
      <c r="H4" s="58" t="s">
        <v>1</v>
      </c>
      <c r="I4" s="58" t="s">
        <v>13</v>
      </c>
      <c r="J4" s="58" t="s">
        <v>53</v>
      </c>
      <c r="K4" s="58" t="s">
        <v>54</v>
      </c>
      <c r="L4" s="58" t="s">
        <v>55</v>
      </c>
      <c r="M4" s="58" t="s">
        <v>56</v>
      </c>
      <c r="N4" s="58" t="s">
        <v>57</v>
      </c>
      <c r="O4" s="58" t="s">
        <v>58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</row>
    <row r="5" spans="1:30" x14ac:dyDescent="0.15">
      <c r="A5" s="61" t="s">
        <v>289</v>
      </c>
      <c r="B5" s="57" t="s">
        <v>113</v>
      </c>
      <c r="C5" s="63">
        <v>40043</v>
      </c>
      <c r="D5" s="57" t="s">
        <v>107</v>
      </c>
      <c r="E5" s="56" t="str">
        <f>B5&amp;C5&amp;D5</f>
        <v>enemy_skill_sets_40043.tmp</v>
      </c>
      <c r="F5" s="57" t="s">
        <v>114</v>
      </c>
      <c r="G5" s="59" t="s">
        <v>22</v>
      </c>
      <c r="H5" s="59" t="s">
        <v>99</v>
      </c>
      <c r="I5" s="59" t="s">
        <v>94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</row>
    <row r="6" spans="1:30" x14ac:dyDescent="0.15">
      <c r="A6" s="61" t="s">
        <v>289</v>
      </c>
      <c r="B6" s="57" t="s">
        <v>115</v>
      </c>
      <c r="C6" s="63">
        <v>40043</v>
      </c>
      <c r="D6" s="57" t="s">
        <v>116</v>
      </c>
      <c r="E6" s="56" t="str">
        <f t="shared" ref="E6:E10" si="0">B6&amp;C6&amp;D6</f>
        <v>enemy_skills_tmp_40043.tmp</v>
      </c>
      <c r="F6" s="57" t="s">
        <v>90</v>
      </c>
      <c r="G6" s="58" t="s">
        <v>78</v>
      </c>
      <c r="H6" s="58" t="s">
        <v>79</v>
      </c>
      <c r="I6" s="58" t="s">
        <v>80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</row>
    <row r="7" spans="1:30" x14ac:dyDescent="0.15">
      <c r="A7" s="61" t="s">
        <v>289</v>
      </c>
      <c r="B7" s="57" t="s">
        <v>117</v>
      </c>
      <c r="C7" s="63">
        <v>40043</v>
      </c>
      <c r="D7" s="57" t="s">
        <v>107</v>
      </c>
      <c r="E7" s="56" t="str">
        <f>B7&amp;C7&amp;D7</f>
        <v>enemy_skills_i18n_40043.tmp</v>
      </c>
      <c r="F7" s="57" t="s">
        <v>118</v>
      </c>
      <c r="G7" s="58" t="s">
        <v>78</v>
      </c>
      <c r="H7" s="58" t="s">
        <v>91</v>
      </c>
      <c r="I7" s="58" t="s">
        <v>92</v>
      </c>
      <c r="J7" s="58" t="s">
        <v>93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</row>
    <row r="8" spans="1:30" x14ac:dyDescent="0.15">
      <c r="A8" s="61" t="s">
        <v>289</v>
      </c>
      <c r="B8" s="57" t="s">
        <v>119</v>
      </c>
      <c r="C8" s="63">
        <v>40043</v>
      </c>
      <c r="D8" s="57" t="s">
        <v>120</v>
      </c>
      <c r="E8" s="56" t="str">
        <f t="shared" si="0"/>
        <v>enemy_skill_triggers_40043.tmp</v>
      </c>
      <c r="F8" s="57" t="s">
        <v>121</v>
      </c>
      <c r="G8" s="58" t="s">
        <v>94</v>
      </c>
      <c r="H8" s="58" t="s">
        <v>95</v>
      </c>
      <c r="I8" s="58" t="s">
        <v>96</v>
      </c>
      <c r="J8" s="58" t="s">
        <v>97</v>
      </c>
      <c r="K8" s="58" t="s">
        <v>122</v>
      </c>
      <c r="L8" s="58" t="s">
        <v>98</v>
      </c>
      <c r="M8" s="58" t="s">
        <v>123</v>
      </c>
      <c r="N8" s="58" t="s">
        <v>124</v>
      </c>
      <c r="O8" s="58" t="s">
        <v>125</v>
      </c>
      <c r="P8" s="58" t="s">
        <v>66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</row>
    <row r="9" spans="1:30" x14ac:dyDescent="0.15">
      <c r="A9" s="61" t="s">
        <v>289</v>
      </c>
      <c r="B9" s="68" t="s">
        <v>177</v>
      </c>
      <c r="C9" s="63">
        <v>40043</v>
      </c>
      <c r="D9" s="68" t="s">
        <v>171</v>
      </c>
      <c r="E9" s="69" t="str">
        <f t="shared" si="0"/>
        <v>stage_bug_bonuses_40043.tmp</v>
      </c>
      <c r="F9" s="68" t="s">
        <v>172</v>
      </c>
      <c r="G9" s="65" t="s">
        <v>150</v>
      </c>
      <c r="H9" s="65" t="s">
        <v>173</v>
      </c>
      <c r="I9" s="65" t="s">
        <v>174</v>
      </c>
      <c r="J9" s="67" t="s">
        <v>175</v>
      </c>
      <c r="K9" s="65" t="s">
        <v>176</v>
      </c>
      <c r="L9" s="65" t="s">
        <v>156</v>
      </c>
      <c r="M9" s="65" t="s">
        <v>157</v>
      </c>
      <c r="N9" s="65" t="s">
        <v>158</v>
      </c>
      <c r="O9" s="65" t="s">
        <v>159</v>
      </c>
      <c r="P9" s="65" t="s">
        <v>160</v>
      </c>
      <c r="Q9" s="65" t="s">
        <v>161</v>
      </c>
      <c r="R9" s="65" t="s">
        <v>162</v>
      </c>
      <c r="S9" s="65" t="s">
        <v>163</v>
      </c>
      <c r="T9" s="65" t="s">
        <v>164</v>
      </c>
      <c r="U9" s="65" t="s">
        <v>165</v>
      </c>
      <c r="V9" s="65" t="s">
        <v>166</v>
      </c>
      <c r="W9" s="65" t="s">
        <v>167</v>
      </c>
      <c r="X9" s="57"/>
      <c r="Y9" s="57"/>
      <c r="Z9" s="57"/>
      <c r="AA9" s="57"/>
      <c r="AB9" s="57"/>
      <c r="AC9" s="57"/>
      <c r="AD9" s="57"/>
    </row>
    <row r="10" spans="1:30" s="76" customFormat="1" x14ac:dyDescent="0.15">
      <c r="A10" s="61" t="s">
        <v>289</v>
      </c>
      <c r="B10" s="68" t="s">
        <v>200</v>
      </c>
      <c r="C10" s="63">
        <v>40043</v>
      </c>
      <c r="D10" s="68" t="s">
        <v>180</v>
      </c>
      <c r="E10" s="69" t="str">
        <f t="shared" si="0"/>
        <v>stage_hints_data_c_40043.tmp</v>
      </c>
      <c r="F10" s="68" t="s">
        <v>208</v>
      </c>
      <c r="G10" s="74" t="s">
        <v>181</v>
      </c>
      <c r="H10" s="74" t="s">
        <v>173</v>
      </c>
      <c r="I10" s="75" t="s">
        <v>182</v>
      </c>
      <c r="J10" s="67" t="s">
        <v>183</v>
      </c>
      <c r="K10" s="67" t="s">
        <v>184</v>
      </c>
      <c r="L10" s="101"/>
      <c r="M10" s="101"/>
      <c r="N10" s="101"/>
      <c r="O10" s="101"/>
      <c r="P10" s="101"/>
      <c r="Q10" s="101"/>
      <c r="R10" s="101"/>
      <c r="S10" s="101"/>
      <c r="T10" s="101"/>
      <c r="U10" s="101"/>
      <c r="V10" s="101"/>
      <c r="W10" s="101"/>
      <c r="X10" s="101"/>
      <c r="Y10" s="101"/>
      <c r="Z10" s="101"/>
      <c r="AA10" s="101"/>
      <c r="AB10" s="101"/>
      <c r="AC10" s="101"/>
      <c r="AD10" s="101"/>
    </row>
    <row r="11" spans="1:30" s="76" customFormat="1" x14ac:dyDescent="0.15">
      <c r="A11" s="61" t="s">
        <v>289</v>
      </c>
      <c r="B11" s="68" t="s">
        <v>201</v>
      </c>
      <c r="C11" s="63">
        <v>40043</v>
      </c>
      <c r="D11" s="68" t="s">
        <v>171</v>
      </c>
      <c r="E11" s="69" t="str">
        <f t="shared" ref="E11:E13" si="1">B11&amp;C11&amp;D11</f>
        <v>stage_hints_data_f_40043.tmp</v>
      </c>
      <c r="F11" s="68" t="s">
        <v>209</v>
      </c>
      <c r="G11" s="74" t="s">
        <v>181</v>
      </c>
      <c r="H11" s="74" t="s">
        <v>173</v>
      </c>
      <c r="I11" s="75" t="s">
        <v>182</v>
      </c>
      <c r="J11" s="67" t="s">
        <v>183</v>
      </c>
      <c r="K11" s="67" t="s">
        <v>184</v>
      </c>
      <c r="L11" s="101"/>
      <c r="M11" s="101"/>
      <c r="N11" s="101"/>
      <c r="O11" s="101"/>
      <c r="P11" s="101"/>
      <c r="Q11" s="101"/>
      <c r="R11" s="101"/>
      <c r="S11" s="101"/>
      <c r="T11" s="101"/>
      <c r="U11" s="101"/>
      <c r="V11" s="101"/>
      <c r="W11" s="101"/>
      <c r="X11" s="101"/>
      <c r="Y11" s="101"/>
      <c r="Z11" s="101"/>
      <c r="AA11" s="101"/>
      <c r="AB11" s="101"/>
      <c r="AC11" s="101"/>
      <c r="AD11" s="101"/>
    </row>
    <row r="12" spans="1:30" s="76" customFormat="1" x14ac:dyDescent="0.15">
      <c r="A12" s="61" t="s">
        <v>289</v>
      </c>
      <c r="B12" s="68" t="s">
        <v>202</v>
      </c>
      <c r="C12" s="63">
        <v>40043</v>
      </c>
      <c r="D12" s="68" t="s">
        <v>171</v>
      </c>
      <c r="E12" s="69" t="str">
        <f t="shared" si="1"/>
        <v>stage_hints_i18n_40043.tmp</v>
      </c>
      <c r="F12" s="68" t="s">
        <v>210</v>
      </c>
      <c r="G12" s="75" t="s">
        <v>203</v>
      </c>
      <c r="H12" s="94" t="s">
        <v>204</v>
      </c>
      <c r="I12" s="74" t="s">
        <v>205</v>
      </c>
      <c r="J12" s="102" t="s">
        <v>206</v>
      </c>
      <c r="K12" s="67" t="s">
        <v>207</v>
      </c>
      <c r="L12" s="101"/>
      <c r="M12" s="101"/>
      <c r="N12" s="101"/>
      <c r="O12" s="101"/>
      <c r="P12" s="101"/>
      <c r="Q12" s="101"/>
      <c r="R12" s="101"/>
      <c r="S12" s="101"/>
      <c r="T12" s="101"/>
      <c r="U12" s="101"/>
      <c r="V12" s="101"/>
      <c r="W12" s="101"/>
      <c r="X12" s="101"/>
      <c r="Y12" s="101"/>
      <c r="Z12" s="101"/>
      <c r="AA12" s="101"/>
      <c r="AB12" s="101"/>
      <c r="AC12" s="101"/>
      <c r="AD12" s="101"/>
    </row>
    <row r="13" spans="1:30" s="76" customFormat="1" x14ac:dyDescent="0.15">
      <c r="A13" s="61" t="s">
        <v>289</v>
      </c>
      <c r="B13" s="68" t="s">
        <v>250</v>
      </c>
      <c r="C13" s="63">
        <v>40043</v>
      </c>
      <c r="D13" s="68" t="s">
        <v>231</v>
      </c>
      <c r="E13" s="69" t="str">
        <f t="shared" si="1"/>
        <v>stage_bonuses_40043.tmp</v>
      </c>
      <c r="F13" s="68" t="s">
        <v>230</v>
      </c>
      <c r="G13" s="74" t="s">
        <v>232</v>
      </c>
      <c r="H13" s="74" t="s">
        <v>233</v>
      </c>
      <c r="I13" s="74" t="s">
        <v>234</v>
      </c>
      <c r="J13" s="74" t="s">
        <v>235</v>
      </c>
      <c r="K13" s="74" t="s">
        <v>236</v>
      </c>
      <c r="L13" s="74" t="s">
        <v>237</v>
      </c>
      <c r="M13" s="74" t="s">
        <v>238</v>
      </c>
      <c r="N13" s="74" t="s">
        <v>239</v>
      </c>
      <c r="O13" s="74" t="s">
        <v>240</v>
      </c>
      <c r="P13" s="74" t="s">
        <v>241</v>
      </c>
      <c r="Q13" s="74" t="s">
        <v>242</v>
      </c>
      <c r="R13" s="74" t="s">
        <v>243</v>
      </c>
      <c r="S13" s="74" t="s">
        <v>244</v>
      </c>
      <c r="T13" s="74" t="s">
        <v>245</v>
      </c>
      <c r="U13" s="74" t="s">
        <v>246</v>
      </c>
      <c r="V13" s="74" t="s">
        <v>247</v>
      </c>
      <c r="W13" s="74" t="s">
        <v>248</v>
      </c>
      <c r="X13" s="74" t="s">
        <v>249</v>
      </c>
      <c r="Y13" s="101"/>
      <c r="Z13" s="101"/>
      <c r="AA13" s="101"/>
      <c r="AB13" s="101"/>
      <c r="AC13" s="101"/>
      <c r="AD13" s="101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9"/>
  <sheetViews>
    <sheetView showGridLines="0" workbookViewId="0">
      <pane ySplit="1" topLeftCell="A2" activePane="bottomLeft" state="frozen"/>
      <selection activeCell="V2" sqref="V2:X34"/>
      <selection pane="bottomLeft" activeCell="I6" sqref="I6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 t="shared" ref="A2:A9" si="0">G2&amp;"-"&amp;I2</f>
        <v>40043_2-1</v>
      </c>
      <c r="B2" s="16" t="str">
        <f>IF(COUNTIF(enemy_habitats!$H:$H,A2),"OK","NG")</f>
        <v>OK</v>
      </c>
      <c r="C2" s="7">
        <v>40043</v>
      </c>
      <c r="D2" s="11" t="str">
        <f ca="1">VLOOKUP($C2,OFFSET([2]quests!$A$1,0,0,COUNTA([2]quests!$A:$A),MATCH(D$1,[2]quests!$1:$1,0)-MATCH($C$1,[2]quests!$1:$1,0)+1),MATCH(D$1,[2]quests!$1:$1,0)-MATCH($C$1,[2]quests!$1:$1,0)+1,FALSE)</f>
        <v>ワカヒルメ襲来！</v>
      </c>
      <c r="E2" s="18" t="str">
        <f ca="1">VLOOKUP($C2,OFFSET([2]quests!$A$1,0,0,COUNTA([2]quests!$A:$A),MATCH(E$1,[2]quests!$1:$1,0)-MATCH($C$1,[2]quests!$1:$1,0)+1),MATCH(E$1,[2]quests!$1:$1,0)-MATCH($C$1,[2]quests!$1:$1,0)+1,FALSE)</f>
        <v>降臨43</v>
      </c>
      <c r="F2" s="21">
        <v>2</v>
      </c>
      <c r="G2" s="23" t="str">
        <f t="shared" ref="G2:G9" si="1">C2&amp;"_"&amp;F2</f>
        <v>40043_2</v>
      </c>
      <c r="H2" s="15" t="str">
        <f ca="1">VLOOKUP($G2,OFFSET([2]stages!$A$1,0,0,COUNTA([2]stages!$A:$A),MATCH(H$1,[2]stages!$2:$2,0)-MATCH($G$1,[2]stages!$2:$2,0)+1),MATCH(H$1,[2]stages!$2:$2,0)-MATCH($G$1,[2]stages!$2:$2,0)+1,FALSE)</f>
        <v>【ウィザード級】ワカヒルメ襲来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 t="shared" si="0"/>
        <v>40043_2-2</v>
      </c>
      <c r="B3" s="16" t="str">
        <f>IF(COUNTIF(enemy_habitats!$H:$H,A3),"OK","NG")</f>
        <v>OK</v>
      </c>
      <c r="C3" s="7">
        <v>40043</v>
      </c>
      <c r="D3" s="11" t="str">
        <f ca="1">VLOOKUP($C3,OFFSET([2]quests!$A$1,0,0,COUNTA([2]quests!$A:$A),MATCH(D$1,[2]quests!$1:$1,0)-MATCH($C$1,[2]quests!$1:$1,0)+1),MATCH(D$1,[2]quests!$1:$1,0)-MATCH($C$1,[2]quests!$1:$1,0)+1,FALSE)</f>
        <v>ワカヒルメ襲来！</v>
      </c>
      <c r="E3" s="18" t="str">
        <f ca="1">VLOOKUP($C3,OFFSET([2]quests!$A$1,0,0,COUNTA([2]quests!$A:$A),MATCH(E$1,[2]quests!$1:$1,0)-MATCH($C$1,[2]quests!$1:$1,0)+1),MATCH(E$1,[2]quests!$1:$1,0)-MATCH($C$1,[2]quests!$1:$1,0)+1,FALSE)</f>
        <v>降臨43</v>
      </c>
      <c r="F3" s="21">
        <v>2</v>
      </c>
      <c r="G3" s="23" t="str">
        <f t="shared" si="1"/>
        <v>40043_2</v>
      </c>
      <c r="H3" s="15" t="str">
        <f ca="1">VLOOKUP($G3,OFFSET([2]stages!$A$1,0,0,COUNTA([2]stages!$A:$A),MATCH(H$1,[2]stages!$2:$2,0)-MATCH($G$1,[2]stages!$2:$2,0)+1),MATCH(H$1,[2]stages!$2:$2,0)-MATCH($G$1,[2]stages!$2:$2,0)+1,FALSE)</f>
        <v>【ウィザード級】ワカヒルメ襲来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 t="shared" si="0"/>
        <v>40043_2-3</v>
      </c>
      <c r="B4" s="16" t="str">
        <f>IF(COUNTIF(enemy_habitats!$H:$H,A4),"OK","NG")</f>
        <v>OK</v>
      </c>
      <c r="C4" s="7">
        <v>40043</v>
      </c>
      <c r="D4" s="11" t="str">
        <f ca="1">VLOOKUP($C4,OFFSET([2]quests!$A$1,0,0,COUNTA([2]quests!$A:$A),MATCH(D$1,[2]quests!$1:$1,0)-MATCH($C$1,[2]quests!$1:$1,0)+1),MATCH(D$1,[2]quests!$1:$1,0)-MATCH($C$1,[2]quests!$1:$1,0)+1,FALSE)</f>
        <v>ワカヒルメ襲来！</v>
      </c>
      <c r="E4" s="18" t="str">
        <f ca="1">VLOOKUP($C4,OFFSET([2]quests!$A$1,0,0,COUNTA([2]quests!$A:$A),MATCH(E$1,[2]quests!$1:$1,0)-MATCH($C$1,[2]quests!$1:$1,0)+1),MATCH(E$1,[2]quests!$1:$1,0)-MATCH($C$1,[2]quests!$1:$1,0)+1,FALSE)</f>
        <v>降臨43</v>
      </c>
      <c r="F4" s="21">
        <v>2</v>
      </c>
      <c r="G4" s="23" t="str">
        <f t="shared" si="1"/>
        <v>40043_2</v>
      </c>
      <c r="H4" s="15" t="str">
        <f ca="1">VLOOKUP($G4,OFFSET([2]stages!$A$1,0,0,COUNTA([2]stages!$A:$A),MATCH(H$1,[2]stages!$2:$2,0)-MATCH($G$1,[2]stages!$2:$2,0)+1),MATCH(H$1,[2]stages!$2:$2,0)-MATCH($G$1,[2]stages!$2:$2,0)+1,FALSE)</f>
        <v>【ウィザード級】ワカヒルメ襲来</v>
      </c>
      <c r="I4" s="21">
        <v>3</v>
      </c>
      <c r="J4" s="12">
        <v>60</v>
      </c>
      <c r="K4" s="12">
        <v>60</v>
      </c>
    </row>
    <row r="5" spans="1:11" ht="21" customHeight="1" thickBot="1" x14ac:dyDescent="0.2">
      <c r="A5" s="112" t="str">
        <f t="shared" si="0"/>
        <v>40043_2-4</v>
      </c>
      <c r="B5" s="112" t="str">
        <f>IF(COUNTIF(enemy_habitats!$H:$H,A5),"OK","NG")</f>
        <v>OK</v>
      </c>
      <c r="C5" s="113">
        <v>40043</v>
      </c>
      <c r="D5" s="114" t="str">
        <f ca="1">VLOOKUP($C5,OFFSET([2]quests!$A$1,0,0,COUNTA([2]quests!$A:$A),MATCH(D$1,[2]quests!$1:$1,0)-MATCH($C$1,[2]quests!$1:$1,0)+1),MATCH(D$1,[2]quests!$1:$1,0)-MATCH($C$1,[2]quests!$1:$1,0)+1,FALSE)</f>
        <v>ワカヒルメ襲来！</v>
      </c>
      <c r="E5" s="114" t="str">
        <f ca="1">VLOOKUP($C5,OFFSET([2]quests!$A$1,0,0,COUNTA([2]quests!$A:$A),MATCH(E$1,[2]quests!$1:$1,0)-MATCH($C$1,[2]quests!$1:$1,0)+1),MATCH(E$1,[2]quests!$1:$1,0)-MATCH($C$1,[2]quests!$1:$1,0)+1,FALSE)</f>
        <v>降臨43</v>
      </c>
      <c r="F5" s="115">
        <v>2</v>
      </c>
      <c r="G5" s="116" t="str">
        <f t="shared" si="1"/>
        <v>40043_2</v>
      </c>
      <c r="H5" s="117" t="str">
        <f ca="1">VLOOKUP($G5,OFFSET([2]stages!$A$1,0,0,COUNTA([2]stages!$A:$A),MATCH(H$1,[2]stages!$2:$2,0)-MATCH($G$1,[2]stages!$2:$2,0)+1),MATCH(H$1,[2]stages!$2:$2,0)-MATCH($G$1,[2]stages!$2:$2,0)+1,FALSE)</f>
        <v>【ウィザード級】ワカヒルメ襲来</v>
      </c>
      <c r="I5" s="115">
        <v>4</v>
      </c>
      <c r="J5" s="118">
        <v>60</v>
      </c>
      <c r="K5" s="118">
        <v>60</v>
      </c>
    </row>
    <row r="6" spans="1:11" ht="21" customHeight="1" x14ac:dyDescent="0.15">
      <c r="A6" s="16" t="str">
        <f t="shared" si="0"/>
        <v>40043_1-1</v>
      </c>
      <c r="B6" s="16" t="str">
        <f>IF(COUNTIF(enemy_habitats!$H:$H,A6),"OK","NG")</f>
        <v>OK</v>
      </c>
      <c r="C6" s="106">
        <v>40043</v>
      </c>
      <c r="D6" s="107" t="str">
        <f ca="1">VLOOKUP($C6,OFFSET([2]quests!$A$1,0,0,COUNTA([2]quests!$A:$A),MATCH(D$1,[2]quests!$1:$1,0)-MATCH($C$1,[2]quests!$1:$1,0)+1),MATCH(D$1,[2]quests!$1:$1,0)-MATCH($C$1,[2]quests!$1:$1,0)+1,FALSE)</f>
        <v>ワカヒルメ襲来！</v>
      </c>
      <c r="E6" s="107" t="str">
        <f ca="1">VLOOKUP($C6,OFFSET([2]quests!$A$1,0,0,COUNTA([2]quests!$A:$A),MATCH(E$1,[2]quests!$1:$1,0)-MATCH($C$1,[2]quests!$1:$1,0)+1),MATCH(E$1,[2]quests!$1:$1,0)-MATCH($C$1,[2]quests!$1:$1,0)+1,FALSE)</f>
        <v>降臨43</v>
      </c>
      <c r="F6" s="108">
        <v>1</v>
      </c>
      <c r="G6" s="109" t="str">
        <f t="shared" si="1"/>
        <v>40043_1</v>
      </c>
      <c r="H6" s="110" t="str">
        <f ca="1">VLOOKUP($G6,OFFSET([2]stages!$A$1,0,0,COUNTA([2]stages!$A:$A),MATCH(H$1,[2]stages!$2:$2,0)-MATCH($G$1,[2]stages!$2:$2,0)+1),MATCH(H$1,[2]stages!$2:$2,0)-MATCH($G$1,[2]stages!$2:$2,0)+1,FALSE)</f>
        <v>【超絶級】ワカヒルメ襲来</v>
      </c>
      <c r="I6" s="21">
        <v>1</v>
      </c>
      <c r="J6" s="12">
        <v>60</v>
      </c>
      <c r="K6" s="12">
        <v>60</v>
      </c>
    </row>
    <row r="7" spans="1:11" ht="21" customHeight="1" x14ac:dyDescent="0.15">
      <c r="A7" s="16" t="str">
        <f t="shared" si="0"/>
        <v>40043_1-2</v>
      </c>
      <c r="B7" s="16" t="str">
        <f>IF(COUNTIF(enemy_habitats!$H:$H,A7),"OK","NG")</f>
        <v>OK</v>
      </c>
      <c r="C7" s="7">
        <v>40043</v>
      </c>
      <c r="D7" s="11" t="str">
        <f ca="1">VLOOKUP($C7,OFFSET([2]quests!$A$1,0,0,COUNTA([2]quests!$A:$A),MATCH(D$1,[2]quests!$1:$1,0)-MATCH($C$1,[2]quests!$1:$1,0)+1),MATCH(D$1,[2]quests!$1:$1,0)-MATCH($C$1,[2]quests!$1:$1,0)+1,FALSE)</f>
        <v>ワカヒルメ襲来！</v>
      </c>
      <c r="E7" s="18" t="str">
        <f ca="1">VLOOKUP($C7,OFFSET([2]quests!$A$1,0,0,COUNTA([2]quests!$A:$A),MATCH(E$1,[2]quests!$1:$1,0)-MATCH($C$1,[2]quests!$1:$1,0)+1),MATCH(E$1,[2]quests!$1:$1,0)-MATCH($C$1,[2]quests!$1:$1,0)+1,FALSE)</f>
        <v>降臨43</v>
      </c>
      <c r="F7" s="21">
        <v>1</v>
      </c>
      <c r="G7" s="23" t="str">
        <f t="shared" si="1"/>
        <v>40043_1</v>
      </c>
      <c r="H7" s="15" t="str">
        <f ca="1">VLOOKUP($G7,OFFSET([2]stages!$A$1,0,0,COUNTA([2]stages!$A:$A),MATCH(H$1,[2]stages!$2:$2,0)-MATCH($G$1,[2]stages!$2:$2,0)+1),MATCH(H$1,[2]stages!$2:$2,0)-MATCH($G$1,[2]stages!$2:$2,0)+1,FALSE)</f>
        <v>【超絶級】ワカヒルメ襲来</v>
      </c>
      <c r="I7" s="21">
        <v>2</v>
      </c>
      <c r="J7" s="12">
        <v>60</v>
      </c>
      <c r="K7" s="12">
        <v>60</v>
      </c>
    </row>
    <row r="8" spans="1:11" ht="21" customHeight="1" x14ac:dyDescent="0.15">
      <c r="A8" s="16" t="str">
        <f t="shared" si="0"/>
        <v>40043_1-3</v>
      </c>
      <c r="B8" s="16" t="str">
        <f>IF(COUNTIF(enemy_habitats!$H:$H,A8),"OK","NG")</f>
        <v>OK</v>
      </c>
      <c r="C8" s="7">
        <v>40043</v>
      </c>
      <c r="D8" s="11" t="str">
        <f ca="1">VLOOKUP($C8,OFFSET([2]quests!$A$1,0,0,COUNTA([2]quests!$A:$A),MATCH(D$1,[2]quests!$1:$1,0)-MATCH($C$1,[2]quests!$1:$1,0)+1),MATCH(D$1,[2]quests!$1:$1,0)-MATCH($C$1,[2]quests!$1:$1,0)+1,FALSE)</f>
        <v>ワカヒルメ襲来！</v>
      </c>
      <c r="E8" s="18" t="str">
        <f ca="1">VLOOKUP($C8,OFFSET([2]quests!$A$1,0,0,COUNTA([2]quests!$A:$A),MATCH(E$1,[2]quests!$1:$1,0)-MATCH($C$1,[2]quests!$1:$1,0)+1),MATCH(E$1,[2]quests!$1:$1,0)-MATCH($C$1,[2]quests!$1:$1,0)+1,FALSE)</f>
        <v>降臨43</v>
      </c>
      <c r="F8" s="21">
        <v>1</v>
      </c>
      <c r="G8" s="23" t="str">
        <f t="shared" si="1"/>
        <v>40043_1</v>
      </c>
      <c r="H8" s="15" t="str">
        <f ca="1">VLOOKUP($G8,OFFSET([2]stages!$A$1,0,0,COUNTA([2]stages!$A:$A),MATCH(H$1,[2]stages!$2:$2,0)-MATCH($G$1,[2]stages!$2:$2,0)+1),MATCH(H$1,[2]stages!$2:$2,0)-MATCH($G$1,[2]stages!$2:$2,0)+1,FALSE)</f>
        <v>【超絶級】ワカヒルメ襲来</v>
      </c>
      <c r="I8" s="21">
        <v>3</v>
      </c>
      <c r="J8" s="12">
        <v>60</v>
      </c>
      <c r="K8" s="12">
        <v>60</v>
      </c>
    </row>
    <row r="9" spans="1:11" ht="21" customHeight="1" thickBot="1" x14ac:dyDescent="0.2">
      <c r="A9" s="16" t="str">
        <f t="shared" si="0"/>
        <v>40043_1-4</v>
      </c>
      <c r="B9" s="16" t="str">
        <f>IF(COUNTIF(enemy_habitats!$H:$H,A9),"OK","NG")</f>
        <v>OK</v>
      </c>
      <c r="C9" s="7">
        <v>40043</v>
      </c>
      <c r="D9" s="11" t="str">
        <f ca="1">VLOOKUP($C9,OFFSET([2]quests!$A$1,0,0,COUNTA([2]quests!$A:$A),MATCH(D$1,[2]quests!$1:$1,0)-MATCH($C$1,[2]quests!$1:$1,0)+1),MATCH(D$1,[2]quests!$1:$1,0)-MATCH($C$1,[2]quests!$1:$1,0)+1,FALSE)</f>
        <v>ワカヒルメ襲来！</v>
      </c>
      <c r="E9" s="18" t="str">
        <f ca="1">VLOOKUP($C9,OFFSET([2]quests!$A$1,0,0,COUNTA([2]quests!$A:$A),MATCH(E$1,[2]quests!$1:$1,0)-MATCH($C$1,[2]quests!$1:$1,0)+1),MATCH(E$1,[2]quests!$1:$1,0)-MATCH($C$1,[2]quests!$1:$1,0)+1,FALSE)</f>
        <v>降臨43</v>
      </c>
      <c r="F9" s="21">
        <v>1</v>
      </c>
      <c r="G9" s="23" t="str">
        <f t="shared" si="1"/>
        <v>40043_1</v>
      </c>
      <c r="H9" s="15" t="str">
        <f ca="1">VLOOKUP($G9,OFFSET([2]stages!$A$1,0,0,COUNTA([2]stages!$A:$A),MATCH(H$1,[2]stages!$2:$2,0)-MATCH($G$1,[2]stages!$2:$2,0)+1),MATCH(H$1,[2]stages!$2:$2,0)-MATCH($G$1,[2]stages!$2:$2,0)+1,FALSE)</f>
        <v>【超絶級】ワカヒルメ襲来</v>
      </c>
      <c r="I9" s="115">
        <v>4</v>
      </c>
      <c r="J9" s="118">
        <v>60</v>
      </c>
      <c r="K9" s="118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13"/>
  <sheetViews>
    <sheetView showGridLines="0" workbookViewId="0">
      <pane xSplit="17" ySplit="1" topLeftCell="U2" activePane="bottomRight" state="frozen"/>
      <selection pane="topRight" activeCell="N1" sqref="N1"/>
      <selection pane="bottomLeft" activeCell="A2" sqref="A2"/>
      <selection pane="bottomRight" activeCell="U13" sqref="U13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4.83203125" style="3" bestFit="1" customWidth="1"/>
    <col min="20" max="20" width="14.83203125" style="105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53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103" t="s">
        <v>251</v>
      </c>
      <c r="U1" s="26" t="s">
        <v>50</v>
      </c>
      <c r="V1" s="103" t="s">
        <v>252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179</v>
      </c>
    </row>
    <row r="2" spans="1:42" ht="21" customHeight="1" x14ac:dyDescent="0.15">
      <c r="A2" s="16" t="str">
        <f t="shared" ref="A2:A13" si="0">B2&amp;"_"&amp;C2&amp;"-"&amp;G2&amp;"/"&amp;L2&amp;"&lt;lv"&amp;R2&amp;"&gt;s"&amp;AC2</f>
        <v>40043_2-1/1326&lt;lv80&gt;s2</v>
      </c>
      <c r="B2" s="22">
        <v>40043</v>
      </c>
      <c r="C2" s="21">
        <v>2</v>
      </c>
      <c r="D2" s="2" t="str">
        <f t="shared" ref="D2:D13" si="1">B2&amp;"_"&amp;C2</f>
        <v>40043_2</v>
      </c>
      <c r="E2" s="4" t="str">
        <f ca="1">VLOOKUP($B2,OFFSET([2]quests!$A$1,0,0,COUNTA([2]quests!$A:$A),MATCH(E$1,[2]quests!$1:$1,0)-MATCH($B$1,[2]quests!$1:$1,0)+1),MATCH(E$1,[2]quests!$1:$1,0)-MATCH($B$1,[2]quests!$1:$1,0)+1,FALSE)</f>
        <v>ワカヒルメ襲来！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【ウィザード級】ワカヒルメ襲来</v>
      </c>
      <c r="G2" s="21">
        <v>1</v>
      </c>
      <c r="H2" s="15" t="str">
        <f t="shared" ref="H2:H13" si="2">B2&amp;"_"&amp;C2&amp;"-"&amp;G2</f>
        <v>40043_2-1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 t="s">
        <v>255</v>
      </c>
      <c r="L2" s="20">
        <v>1326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ワカヒルメ</v>
      </c>
      <c r="N2" s="17" t="str">
        <f ca="1">VLOOKUP($L2,OFFSET([3]enemies!$A$1,0,0,COUNTA([3]enemies!$A:$A),MATCH(N$1,[3]enemies!$1:$1,0)-MATCH($L$1,[3]enemies!$1:$1,0)+1),MATCH(N$1,[3]enemies!$1:$1,0)-MATCH($L$1,[3]enemies!$1:$1,0)+1,FALSE)</f>
        <v>green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DropWizS</v>
      </c>
      <c r="P2" s="17" t="str">
        <f ca="1">VLOOKUP($L2,OFFSET([3]enemies!$A$1,0,0,COUNTA([3]enemies!$A:$A),MATCH(P$1,[3]enemies!$1:$1,0)-MATCH($L$1,[3]enemies!$1:$1,0)+1),MATCH(P$1,[3]enemies!$1:$1,0)-MATCH($L$1,[3]enemies!$1:$1,0)+1,FALSE)</f>
        <v>god</v>
      </c>
      <c r="Q2" s="17">
        <f ca="1">VLOOKUP($L2,OFFSET([3]enemies!$A$1,0,0,COUNTA([3]enemies!$A:$A),MATCH(Q$1,[3]enemies!$1:$1,0)-MATCH($L$1,[3]enemies!$1:$1,0)+1),MATCH(Q$1,[3]enemies!$1:$1,0)-MATCH($L$1,[3]enemies!$1:$1,0)+1,FALSE)</f>
        <v>60</v>
      </c>
      <c r="R2" s="5">
        <v>80</v>
      </c>
      <c r="S2" s="25">
        <v>1.9</v>
      </c>
      <c r="T2" s="104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247661.19999999998</v>
      </c>
      <c r="U2" s="25">
        <v>0.6</v>
      </c>
      <c r="V2" s="104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5501.4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(表示しない)</v>
      </c>
      <c r="Y2" s="62">
        <v>40043001</v>
      </c>
      <c r="Z2" s="6">
        <v>1</v>
      </c>
      <c r="AA2" s="6">
        <v>100</v>
      </c>
      <c r="AB2" s="6">
        <v>0</v>
      </c>
      <c r="AC2" s="17">
        <v>2</v>
      </c>
      <c r="AD2" s="24">
        <f t="shared" ref="AD2:AD13" si="3">L2</f>
        <v>1326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ワカヒルメ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5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2" s="7">
        <v>1</v>
      </c>
      <c r="AI2" s="24">
        <f t="shared" ref="AI2:AI13" ca="1" si="4">AF2</f>
        <v>5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70">
        <v>1</v>
      </c>
    </row>
    <row r="3" spans="1:42" ht="21" customHeight="1" x14ac:dyDescent="0.15">
      <c r="A3" s="16" t="str">
        <f t="shared" si="0"/>
        <v>40043_2-2/383&lt;lv80&gt;s2</v>
      </c>
      <c r="B3" s="22">
        <v>40043</v>
      </c>
      <c r="C3" s="21">
        <v>2</v>
      </c>
      <c r="D3" s="2" t="str">
        <f t="shared" si="1"/>
        <v>40043_2</v>
      </c>
      <c r="E3" s="4" t="str">
        <f ca="1">VLOOKUP($B3,OFFSET([2]quests!$A$1,0,0,COUNTA([2]quests!$A:$A),MATCH(E$1,[2]quests!$1:$1,0)-MATCH($B$1,[2]quests!$1:$1,0)+1),MATCH(E$1,[2]quests!$1:$1,0)-MATCH($B$1,[2]quests!$1:$1,0)+1,FALSE)</f>
        <v>ワカヒルメ襲来！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【ウィザード級】ワカヒルメ襲来</v>
      </c>
      <c r="G3" s="21">
        <v>2</v>
      </c>
      <c r="H3" s="15" t="str">
        <f t="shared" si="2"/>
        <v>40043_2-2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1</v>
      </c>
      <c r="L3" s="20">
        <v>383</v>
      </c>
      <c r="M3" s="17" t="str">
        <f ca="1">VLOOKUP($L3,OFFSET([3]enemies!$A$1,0,0,COUNTA([3]enemies!$A:$A),MATCH(M$1,[3]enemies!$1:$1,0)-MATCH($L$1,[3]enemies!$1:$1,0)+1),MATCH(M$1,[3]enemies!$1:$1,0)-MATCH($L$1,[3]enemies!$1:$1,0)+1,FALSE)</f>
        <v>酒宴の蟒蛇 ヤマタノオロチ</v>
      </c>
      <c r="N3" s="17" t="str">
        <f ca="1">VLOOKUP($L3,OFFSET([3]enemies!$A$1,0,0,COUNTA([3]enemies!$A:$A),MATCH(N$1,[3]enemies!$1:$1,0)-MATCH($L$1,[3]enemies!$1:$1,0)+1),MATCH(N$1,[3]enemies!$1:$1,0)-MATCH($L$1,[3]enemies!$1:$1,0)+1,FALSE)</f>
        <v>green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PremiumSS</v>
      </c>
      <c r="P3" s="17" t="str">
        <f ca="1">VLOOKUP($L3,OFFSET([3]enemies!$A$1,0,0,COUNTA([3]enemies!$A:$A),MATCH(P$1,[3]enemies!$1:$1,0)-MATCH($L$1,[3]enemies!$1:$1,0)+1),MATCH(P$1,[3]enemies!$1:$1,0)-MATCH($L$1,[3]enemies!$1:$1,0)+1,FALSE)</f>
        <v>dragon</v>
      </c>
      <c r="Q3" s="17">
        <f ca="1">VLOOKUP($L3,OFFSET([3]enemies!$A$1,0,0,COUNTA([3]enemies!$A:$A),MATCH(Q$1,[3]enemies!$1:$1,0)-MATCH($L$1,[3]enemies!$1:$1,0)+1),MATCH(Q$1,[3]enemies!$1:$1,0)-MATCH($L$1,[3]enemies!$1:$1,0)+1,FALSE)</f>
        <v>30</v>
      </c>
      <c r="R3" s="5">
        <v>80</v>
      </c>
      <c r="S3" s="25">
        <v>1.5</v>
      </c>
      <c r="T3" s="104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270307.5</v>
      </c>
      <c r="U3" s="25">
        <v>1</v>
      </c>
      <c r="V3" s="104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7572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緑パネルを赤のダメージパネルに5個変換</v>
      </c>
      <c r="Y3" s="62">
        <v>40043002</v>
      </c>
      <c r="Z3" s="6">
        <v>1</v>
      </c>
      <c r="AA3" s="6">
        <v>100</v>
      </c>
      <c r="AB3" s="6">
        <v>0</v>
      </c>
      <c r="AC3" s="17">
        <v>2</v>
      </c>
      <c r="AD3" s="24">
        <f t="shared" si="3"/>
        <v>383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酒宴の蟒蛇 ヤマタノオロチ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4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3" s="7">
        <v>1</v>
      </c>
      <c r="AI3" s="24">
        <f t="shared" ca="1" si="4"/>
        <v>4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70">
        <v>1</v>
      </c>
    </row>
    <row r="4" spans="1:42" ht="21" customHeight="1" x14ac:dyDescent="0.15">
      <c r="A4" s="16" t="str">
        <f t="shared" si="0"/>
        <v>40043_2-3/65&lt;lv80&gt;s1</v>
      </c>
      <c r="B4" s="22">
        <v>40043</v>
      </c>
      <c r="C4" s="21">
        <v>2</v>
      </c>
      <c r="D4" s="2" t="str">
        <f t="shared" si="1"/>
        <v>40043_2</v>
      </c>
      <c r="E4" s="4" t="str">
        <f ca="1">VLOOKUP($B4,OFFSET([2]quests!$A$1,0,0,COUNTA([2]quests!$A:$A),MATCH(E$1,[2]quests!$1:$1,0)-MATCH($B$1,[2]quests!$1:$1,0)+1),MATCH(E$1,[2]quests!$1:$1,0)-MATCH($B$1,[2]quests!$1:$1,0)+1,FALSE)</f>
        <v>ワカヒルメ襲来！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【ウィザード級】ワカヒルメ襲来</v>
      </c>
      <c r="G4" s="21">
        <v>3</v>
      </c>
      <c r="H4" s="15" t="str">
        <f t="shared" si="2"/>
        <v>40043_2-3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 t="s">
        <v>255</v>
      </c>
      <c r="L4" s="20">
        <v>65</v>
      </c>
      <c r="M4" s="17" t="str">
        <f ca="1">VLOOKUP($L4,OFFSET([3]enemies!$A$1,0,0,COUNTA([3]enemies!$A:$A),MATCH(M$1,[3]enemies!$1:$1,0)-MATCH($L$1,[3]enemies!$1:$1,0)+1),MATCH(M$1,[3]enemies!$1:$1,0)-MATCH($L$1,[3]enemies!$1:$1,0)+1,FALSE)</f>
        <v>ファイアフォックス</v>
      </c>
      <c r="N4" s="17" t="str">
        <f ca="1">VLOOKUP($L4,OFFSET([3]enemies!$A$1,0,0,COUNTA([3]enemies!$A:$A),MATCH(N$1,[3]enemies!$1:$1,0)-MATCH($L$1,[3]enemies!$1:$1,0)+1),MATCH(N$1,[3]enemies!$1:$1,0)-MATCH($L$1,[3]enemies!$1:$1,0)+1,FALSE)</f>
        <v>red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Drop1S</v>
      </c>
      <c r="P4" s="17" t="str">
        <f ca="1">VLOOKUP($L4,OFFSET([3]enemies!$A$1,0,0,COUNTA([3]enemies!$A:$A),MATCH(P$1,[3]enemies!$1:$1,0)-MATCH($L$1,[3]enemies!$1:$1,0)+1),MATCH(P$1,[3]enemies!$1:$1,0)-MATCH($L$1,[3]enemies!$1:$1,0)+1,FALSE)</f>
        <v>animal</v>
      </c>
      <c r="Q4" s="17">
        <f ca="1">VLOOKUP($L4,OFFSET([3]enemies!$A$1,0,0,COUNTA([3]enemies!$A:$A),MATCH(Q$1,[3]enemies!$1:$1,0)-MATCH($L$1,[3]enemies!$1:$1,0)+1),MATCH(Q$1,[3]enemies!$1:$1,0)-MATCH($L$1,[3]enemies!$1:$1,0)+1,FALSE)</f>
        <v>15</v>
      </c>
      <c r="R4" s="5">
        <v>80</v>
      </c>
      <c r="S4" s="25">
        <v>2.5</v>
      </c>
      <c r="T4" s="104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40750</v>
      </c>
      <c r="U4" s="25">
        <v>0.6</v>
      </c>
      <c r="V4" s="104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4378.2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緑パネルを青のダメージパネルに4個変換+_x000D_全ユニットに1500固定ダメージ</v>
      </c>
      <c r="Y4" s="62">
        <v>40043004</v>
      </c>
      <c r="Z4" s="6">
        <v>1</v>
      </c>
      <c r="AA4" s="6">
        <v>100</v>
      </c>
      <c r="AB4" s="6">
        <v>0</v>
      </c>
      <c r="AC4" s="17">
        <v>1</v>
      </c>
      <c r="AD4" s="24">
        <f t="shared" si="3"/>
        <v>65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ファイアフォックス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2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Drop1S</v>
      </c>
      <c r="AH4" s="7">
        <v>1</v>
      </c>
      <c r="AI4" s="24">
        <f t="shared" ca="1" si="4"/>
        <v>2</v>
      </c>
      <c r="AJ4" s="8">
        <v>20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70">
        <v>1</v>
      </c>
    </row>
    <row r="5" spans="1:42" ht="21" customHeight="1" x14ac:dyDescent="0.15">
      <c r="A5" s="16" t="str">
        <f t="shared" si="0"/>
        <v>40043_2-3/191&lt;lv80&gt;s2</v>
      </c>
      <c r="B5" s="22">
        <v>40043</v>
      </c>
      <c r="C5" s="21">
        <v>2</v>
      </c>
      <c r="D5" s="2" t="str">
        <f t="shared" si="1"/>
        <v>40043_2</v>
      </c>
      <c r="E5" s="4" t="str">
        <f ca="1">VLOOKUP($B5,OFFSET([2]quests!$A$1,0,0,COUNTA([2]quests!$A:$A),MATCH(E$1,[2]quests!$1:$1,0)-MATCH($B$1,[2]quests!$1:$1,0)+1),MATCH(E$1,[2]quests!$1:$1,0)-MATCH($B$1,[2]quests!$1:$1,0)+1,FALSE)</f>
        <v>ワカヒルメ襲来！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【ウィザード級】ワカヒルメ襲来</v>
      </c>
      <c r="G5" s="21">
        <v>3</v>
      </c>
      <c r="H5" s="15" t="str">
        <f t="shared" si="2"/>
        <v>40043_2-3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 t="s">
        <v>255</v>
      </c>
      <c r="L5" s="20">
        <v>191</v>
      </c>
      <c r="M5" s="17" t="str">
        <f ca="1">VLOOKUP($L5,OFFSET([3]enemies!$A$1,0,0,COUNTA([3]enemies!$A:$A),MATCH(M$1,[3]enemies!$1:$1,0)-MATCH($L$1,[3]enemies!$1:$1,0)+1),MATCH(M$1,[3]enemies!$1:$1,0)-MATCH($L$1,[3]enemies!$1:$1,0)+1,FALSE)</f>
        <v>始祖 卑弥呼</v>
      </c>
      <c r="N5" s="17" t="str">
        <f ca="1">VLOOKUP($L5,OFFSET([3]enemies!$A$1,0,0,COUNTA([3]enemies!$A:$A),MATCH(N$1,[3]enemies!$1:$1,0)-MATCH($L$1,[3]enemies!$1:$1,0)+1),MATCH(N$1,[3]enemies!$1:$1,0)-MATCH($L$1,[3]enemies!$1:$1,0)+1,FALSE)</f>
        <v>red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PremiumN</v>
      </c>
      <c r="P5" s="17" t="str">
        <f ca="1">VLOOKUP($L5,OFFSET([3]enemies!$A$1,0,0,COUNTA([3]enemies!$A:$A),MATCH(P$1,[3]enemies!$1:$1,0)-MATCH($L$1,[3]enemies!$1:$1,0)+1),MATCH(P$1,[3]enemies!$1:$1,0)-MATCH($L$1,[3]enemies!$1:$1,0)+1,FALSE)</f>
        <v>human</v>
      </c>
      <c r="Q5" s="17">
        <f ca="1">VLOOKUP($L5,OFFSET([3]enemies!$A$1,0,0,COUNTA([3]enemies!$A:$A),MATCH(Q$1,[3]enemies!$1:$1,0)-MATCH($L$1,[3]enemies!$1:$1,0)+1),MATCH(Q$1,[3]enemies!$1:$1,0)-MATCH($L$1,[3]enemies!$1:$1,0)+1,FALSE)</f>
        <v>30</v>
      </c>
      <c r="R5" s="5">
        <v>80</v>
      </c>
      <c r="S5" s="25">
        <v>0.9</v>
      </c>
      <c r="T5" s="104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89633.7</v>
      </c>
      <c r="U5" s="25">
        <v>0.9</v>
      </c>
      <c r="V5" s="104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7510.5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フィーバーゲージ10%減少+_x000D_1ターン全ユニットにスキルバインド</v>
      </c>
      <c r="Y5" s="62">
        <v>40043005</v>
      </c>
      <c r="Z5" s="6">
        <v>1</v>
      </c>
      <c r="AA5" s="6">
        <v>100</v>
      </c>
      <c r="AB5" s="6">
        <v>1</v>
      </c>
      <c r="AC5" s="17">
        <v>2</v>
      </c>
      <c r="AD5" s="24">
        <f t="shared" si="3"/>
        <v>191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始祖 卑弥呼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4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PremiumN</v>
      </c>
      <c r="AH5" s="7">
        <v>1</v>
      </c>
      <c r="AI5" s="24">
        <f t="shared" ca="1" si="4"/>
        <v>4</v>
      </c>
      <c r="AJ5" s="8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70">
        <v>1</v>
      </c>
    </row>
    <row r="6" spans="1:42" ht="21" customHeight="1" x14ac:dyDescent="0.15">
      <c r="A6" s="16" t="str">
        <f t="shared" si="0"/>
        <v>40043_2-3/65&lt;lv81&gt;s1</v>
      </c>
      <c r="B6" s="22">
        <v>40043</v>
      </c>
      <c r="C6" s="21">
        <v>2</v>
      </c>
      <c r="D6" s="2" t="str">
        <f t="shared" si="1"/>
        <v>40043_2</v>
      </c>
      <c r="E6" s="4" t="str">
        <f ca="1">VLOOKUP($B6,OFFSET([2]quests!$A$1,0,0,COUNTA([2]quests!$A:$A),MATCH(E$1,[2]quests!$1:$1,0)-MATCH($B$1,[2]quests!$1:$1,0)+1),MATCH(E$1,[2]quests!$1:$1,0)-MATCH($B$1,[2]quests!$1:$1,0)+1,FALSE)</f>
        <v>ワカヒルメ襲来！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【ウィザード級】ワカヒルメ襲来</v>
      </c>
      <c r="G6" s="21">
        <v>3</v>
      </c>
      <c r="H6" s="15" t="str">
        <f t="shared" si="2"/>
        <v>40043_2-3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 t="s">
        <v>255</v>
      </c>
      <c r="L6" s="20">
        <v>65</v>
      </c>
      <c r="M6" s="17" t="str">
        <f ca="1">VLOOKUP($L6,OFFSET([3]enemies!$A$1,0,0,COUNTA([3]enemies!$A:$A),MATCH(M$1,[3]enemies!$1:$1,0)-MATCH($L$1,[3]enemies!$1:$1,0)+1),MATCH(M$1,[3]enemies!$1:$1,0)-MATCH($L$1,[3]enemies!$1:$1,0)+1,FALSE)</f>
        <v>ファイアフォックス</v>
      </c>
      <c r="N6" s="17" t="str">
        <f ca="1">VLOOKUP($L6,OFFSET([3]enemies!$A$1,0,0,COUNTA([3]enemies!$A:$A),MATCH(N$1,[3]enemies!$1:$1,0)-MATCH($L$1,[3]enemies!$1:$1,0)+1),MATCH(N$1,[3]enemies!$1:$1,0)-MATCH($L$1,[3]enemies!$1:$1,0)+1,FALSE)</f>
        <v>red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Drop1S</v>
      </c>
      <c r="P6" s="17" t="str">
        <f ca="1">VLOOKUP($L6,OFFSET([3]enemies!$A$1,0,0,COUNTA([3]enemies!$A:$A),MATCH(P$1,[3]enemies!$1:$1,0)-MATCH($L$1,[3]enemies!$1:$1,0)+1),MATCH(P$1,[3]enemies!$1:$1,0)-MATCH($L$1,[3]enemies!$1:$1,0)+1,FALSE)</f>
        <v>animal</v>
      </c>
      <c r="Q6" s="17">
        <f ca="1">VLOOKUP($L6,OFFSET([3]enemies!$A$1,0,0,COUNTA([3]enemies!$A:$A),MATCH(Q$1,[3]enemies!$1:$1,0)-MATCH($L$1,[3]enemies!$1:$1,0)+1),MATCH(Q$1,[3]enemies!$1:$1,0)-MATCH($L$1,[3]enemies!$1:$1,0)+1,FALSE)</f>
        <v>15</v>
      </c>
      <c r="R6" s="5">
        <v>81</v>
      </c>
      <c r="S6" s="25">
        <v>2.5</v>
      </c>
      <c r="T6" s="104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41250</v>
      </c>
      <c r="U6" s="25">
        <v>0.6</v>
      </c>
      <c r="V6" s="104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4432.2</v>
      </c>
      <c r="W6" s="5">
        <v>0</v>
      </c>
      <c r="X6" s="4" t="str">
        <f ca="1">VLOOKUP($Y6,OFFSET(enemy_skill_sets!$B$1,0,0,COUNTA(enemy_skill_sets!$B:$B),MATCH(M$1,enemy_skill_sets!$1:$1,0)-MATCH($Y$1,enemy_skill_sets!$1:$1,0)+2),MATCH(M$1,enemy_skill_sets!$1:$1,0)-MATCH($Y$1,enemy_skill_sets!$1:$1,0)+2,FALSE)</f>
        <v>青のダメージパネルを吸収して攻撃(最大4個)</v>
      </c>
      <c r="Y6" s="62">
        <v>40043006</v>
      </c>
      <c r="Z6" s="6">
        <v>1</v>
      </c>
      <c r="AA6" s="6">
        <v>100</v>
      </c>
      <c r="AB6" s="6">
        <v>0</v>
      </c>
      <c r="AC6" s="17">
        <v>1</v>
      </c>
      <c r="AD6" s="24">
        <f t="shared" si="3"/>
        <v>65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ファイアフォックス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2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Drop1S</v>
      </c>
      <c r="AH6" s="7">
        <v>1</v>
      </c>
      <c r="AI6" s="24">
        <f t="shared" ca="1" si="4"/>
        <v>2</v>
      </c>
      <c r="AJ6" s="8">
        <v>20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70">
        <v>1</v>
      </c>
    </row>
    <row r="7" spans="1:42" ht="21" customHeight="1" thickBot="1" x14ac:dyDescent="0.2">
      <c r="A7" s="112" t="str">
        <f t="shared" si="0"/>
        <v>40043_2-4/1326&lt;lv80&gt;s1</v>
      </c>
      <c r="B7" s="125">
        <v>40043</v>
      </c>
      <c r="C7" s="115">
        <v>2</v>
      </c>
      <c r="D7" s="117" t="str">
        <f t="shared" si="1"/>
        <v>40043_2</v>
      </c>
      <c r="E7" s="126" t="str">
        <f ca="1">VLOOKUP($B7,OFFSET([2]quests!$A$1,0,0,COUNTA([2]quests!$A:$A),MATCH(E$1,[2]quests!$1:$1,0)-MATCH($B$1,[2]quests!$1:$1,0)+1),MATCH(E$1,[2]quests!$1:$1,0)-MATCH($B$1,[2]quests!$1:$1,0)+1,FALSE)</f>
        <v>ワカヒルメ襲来！</v>
      </c>
      <c r="F7" s="126" t="str">
        <f ca="1">VLOOKUP($D7,OFFSET([2]stages!$A$1,0,0,COUNTA([2]stages!$A:$A),MATCH(F$1,[2]stages!$2:$2,0)-MATCH($D$1,[2]stages!$2:$2,0)+1),MATCH(F$1,[2]stages!$2:$2,0)-MATCH($D$1,[2]stages!$2:$2,0)+1,FALSE)</f>
        <v>【ウィザード級】ワカヒルメ襲来</v>
      </c>
      <c r="G7" s="115">
        <v>4</v>
      </c>
      <c r="H7" s="117" t="str">
        <f t="shared" si="2"/>
        <v>40043_2-4</v>
      </c>
      <c r="I7" s="126">
        <f ca="1">VLOOKUP($H7,OFFSET(floors!$A$1,0,0,COUNTA(floors!$A:$A),MATCH(I$1,floors!$1:$1,0)-MATCH($H$1,floors!$1:$1,0)+1),MATCH(I$1,floors!$1:$1,0)-MATCH($H$1,floors!$1:$1,0)+1,FALSE)</f>
        <v>60</v>
      </c>
      <c r="J7" s="126">
        <f ca="1">VLOOKUP($H7,OFFSET(floors!$A$1,0,0,COUNTA(floors!$A:$A),MATCH(J$1,floors!$1:$1,0)-MATCH($H$1,floors!$1:$1,0)+1),MATCH(J$1,floors!$1:$1,0)-MATCH($H$1,floors!$1:$1,0)+1,FALSE)</f>
        <v>60</v>
      </c>
      <c r="K7" s="118">
        <v>1</v>
      </c>
      <c r="L7" s="127">
        <v>1326</v>
      </c>
      <c r="M7" s="128" t="str">
        <f ca="1">VLOOKUP($L7,OFFSET([3]enemies!$A$1,0,0,COUNTA([3]enemies!$A:$A),MATCH(M$1,[3]enemies!$1:$1,0)-MATCH($L$1,[3]enemies!$1:$1,0)+1),MATCH(M$1,[3]enemies!$1:$1,0)-MATCH($L$1,[3]enemies!$1:$1,0)+1,FALSE)</f>
        <v>ワカヒルメ</v>
      </c>
      <c r="N7" s="128" t="str">
        <f ca="1">VLOOKUP($L7,OFFSET([3]enemies!$A$1,0,0,COUNTA([3]enemies!$A:$A),MATCH(N$1,[3]enemies!$1:$1,0)-MATCH($L$1,[3]enemies!$1:$1,0)+1),MATCH(N$1,[3]enemies!$1:$1,0)-MATCH($L$1,[3]enemies!$1:$1,0)+1,FALSE)</f>
        <v>green</v>
      </c>
      <c r="O7" s="128" t="str">
        <f ca="1">VLOOKUP($L7,OFFSET([4]characters!$A$1,0,0,COUNTA([4]characters!$A:$A),MATCH(O$1,[4]characters!$1:$1,0)-MATCH($L$1,[4]characters!$1:$1,0)+1),MATCH(O$1,[4]characters!$1:$1,0)-MATCH($L$1,[4]characters!$1:$1,0)+1,FALSE)</f>
        <v>DropWizS</v>
      </c>
      <c r="P7" s="128" t="str">
        <f ca="1">VLOOKUP($L7,OFFSET([3]enemies!$A$1,0,0,COUNTA([3]enemies!$A:$A),MATCH(P$1,[3]enemies!$1:$1,0)-MATCH($L$1,[3]enemies!$1:$1,0)+1),MATCH(P$1,[3]enemies!$1:$1,0)-MATCH($L$1,[3]enemies!$1:$1,0)+1,FALSE)</f>
        <v>god</v>
      </c>
      <c r="Q7" s="128">
        <f ca="1">VLOOKUP($L7,OFFSET([3]enemies!$A$1,0,0,COUNTA([3]enemies!$A:$A),MATCH(Q$1,[3]enemies!$1:$1,0)-MATCH($L$1,[3]enemies!$1:$1,0)+1),MATCH(Q$1,[3]enemies!$1:$1,0)-MATCH($L$1,[3]enemies!$1:$1,0)+1,FALSE)</f>
        <v>60</v>
      </c>
      <c r="R7" s="129">
        <v>80</v>
      </c>
      <c r="S7" s="130">
        <v>4.9000000000000004</v>
      </c>
      <c r="T7" s="131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638705.20000000007</v>
      </c>
      <c r="U7" s="130">
        <v>1.9</v>
      </c>
      <c r="V7" s="131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17421.099999999999</v>
      </c>
      <c r="W7" s="129">
        <v>0</v>
      </c>
      <c r="X7" s="126" t="str">
        <f ca="1">VLOOKUP($Y7,OFFSET(enemy_skill_sets!$B$1,0,0,COUNTA(enemy_skill_sets!$B:$B),MATCH(M$1,enemy_skill_sets!$1:$1,0)-MATCH($Y$1,enemy_skill_sets!$1:$1,0)+2),MATCH(M$1,enemy_skill_sets!$1:$1,0)-MATCH($Y$1,enemy_skill_sets!$1:$1,0)+2,FALSE)</f>
        <v>状態異常耐性+4ターン自身の攻撃力UP</v>
      </c>
      <c r="Y7" s="177">
        <v>40043007</v>
      </c>
      <c r="Z7" s="133">
        <v>1</v>
      </c>
      <c r="AA7" s="133">
        <v>100</v>
      </c>
      <c r="AB7" s="133">
        <v>1</v>
      </c>
      <c r="AC7" s="128">
        <v>1</v>
      </c>
      <c r="AD7" s="134">
        <f t="shared" si="3"/>
        <v>1326</v>
      </c>
      <c r="AE7" s="126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ワカヒルメ</v>
      </c>
      <c r="AF7" s="126">
        <f ca="1">VLOOKUP($AD7,OFFSET([4]characters!$A$1,0,0,COUNTA([4]characters!$A:$A),MATCH(AF$1,[4]characters!$1:$1,0)-MATCH("character_id",[4]characters!$1:$1,0)+1),MATCH(AF$1,[4]characters!$1:$1,0)-MATCH("character_id",[4]characters!$1:$1,0)+1,FALSE)</f>
        <v>5</v>
      </c>
      <c r="AG7" s="126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7" s="113">
        <v>1</v>
      </c>
      <c r="AI7" s="134">
        <f t="shared" ca="1" si="4"/>
        <v>5</v>
      </c>
      <c r="AJ7" s="135">
        <v>30</v>
      </c>
      <c r="AK7" s="113">
        <v>0</v>
      </c>
      <c r="AL7" s="113">
        <v>0</v>
      </c>
      <c r="AM7" s="113">
        <v>0</v>
      </c>
      <c r="AN7" s="113">
        <v>0</v>
      </c>
      <c r="AO7" s="113">
        <v>1</v>
      </c>
      <c r="AP7" s="136">
        <v>1</v>
      </c>
    </row>
    <row r="8" spans="1:42" ht="21" customHeight="1" x14ac:dyDescent="0.15">
      <c r="A8" s="16" t="str">
        <f t="shared" si="0"/>
        <v>40043_1-1/1326&lt;lv60&gt;s2</v>
      </c>
      <c r="B8" s="22">
        <v>40043</v>
      </c>
      <c r="C8" s="108">
        <v>1</v>
      </c>
      <c r="D8" s="110" t="str">
        <f t="shared" si="1"/>
        <v>40043_1</v>
      </c>
      <c r="E8" s="4" t="str">
        <f ca="1">VLOOKUP($B8,OFFSET([2]quests!$A$1,0,0,COUNTA([2]quests!$A:$A),MATCH(E$1,[2]quests!$1:$1,0)-MATCH($B$1,[2]quests!$1:$1,0)+1),MATCH(E$1,[2]quests!$1:$1,0)-MATCH($B$1,[2]quests!$1:$1,0)+1,FALSE)</f>
        <v>ワカヒルメ襲来！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>【超絶級】ワカヒルメ襲来</v>
      </c>
      <c r="G8" s="108">
        <v>1</v>
      </c>
      <c r="H8" s="110" t="str">
        <f t="shared" si="2"/>
        <v>40043_1-1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111" t="s">
        <v>255</v>
      </c>
      <c r="L8" s="20">
        <v>1326</v>
      </c>
      <c r="M8" s="17" t="str">
        <f ca="1">VLOOKUP($L8,OFFSET([3]enemies!$A$1,0,0,COUNTA([3]enemies!$A:$A),MATCH(M$1,[3]enemies!$1:$1,0)-MATCH($L$1,[3]enemies!$1:$1,0)+1),MATCH(M$1,[3]enemies!$1:$1,0)-MATCH($L$1,[3]enemies!$1:$1,0)+1,FALSE)</f>
        <v>ワカヒルメ</v>
      </c>
      <c r="N8" s="17" t="str">
        <f ca="1">VLOOKUP($L8,OFFSET([3]enemies!$A$1,0,0,COUNTA([3]enemies!$A:$A),MATCH(N$1,[3]enemies!$1:$1,0)-MATCH($L$1,[3]enemies!$1:$1,0)+1),MATCH(N$1,[3]enemies!$1:$1,0)-MATCH($L$1,[3]enemies!$1:$1,0)+1,FALSE)</f>
        <v>green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DropWizS</v>
      </c>
      <c r="P8" s="17" t="str">
        <f ca="1">VLOOKUP($L8,OFFSET([3]enemies!$A$1,0,0,COUNTA([3]enemies!$A:$A),MATCH(P$1,[3]enemies!$1:$1,0)-MATCH($L$1,[3]enemies!$1:$1,0)+1),MATCH(P$1,[3]enemies!$1:$1,0)-MATCH($L$1,[3]enemies!$1:$1,0)+1,FALSE)</f>
        <v>god</v>
      </c>
      <c r="Q8" s="17">
        <f ca="1">VLOOKUP($L8,OFFSET([3]enemies!$A$1,0,0,COUNTA([3]enemies!$A:$A),MATCH(Q$1,[3]enemies!$1:$1,0)-MATCH($L$1,[3]enemies!$1:$1,0)+1),MATCH(Q$1,[3]enemies!$1:$1,0)-MATCH($L$1,[3]enemies!$1:$1,0)+1,FALSE)</f>
        <v>60</v>
      </c>
      <c r="R8" s="119">
        <v>60</v>
      </c>
      <c r="S8" s="25">
        <v>1.9</v>
      </c>
      <c r="T8" s="120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186885.9</v>
      </c>
      <c r="U8" s="25">
        <v>0.6</v>
      </c>
      <c r="V8" s="120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4151.3999999999996</v>
      </c>
      <c r="W8" s="119">
        <v>0</v>
      </c>
      <c r="X8" s="4" t="str">
        <f ca="1">VLOOKUP($Y8,OFFSET(enemy_skill_sets!$B$1,0,0,COUNTA(enemy_skill_sets!$B:$B),MATCH(M$1,enemy_skill_sets!$1:$1,0)-MATCH($Y$1,enemy_skill_sets!$1:$1,0)+2),MATCH(M$1,enemy_skill_sets!$1:$1,0)-MATCH($Y$1,enemy_skill_sets!$1:$1,0)+2,FALSE)</f>
        <v>(表示しない)</v>
      </c>
      <c r="Y8" s="62">
        <v>40043010</v>
      </c>
      <c r="Z8" s="121">
        <v>1</v>
      </c>
      <c r="AA8" s="121">
        <v>100</v>
      </c>
      <c r="AB8" s="121">
        <v>0</v>
      </c>
      <c r="AC8" s="17">
        <v>2</v>
      </c>
      <c r="AD8" s="122">
        <f t="shared" si="3"/>
        <v>1326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ワカヒルメ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5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8" s="106">
        <v>1</v>
      </c>
      <c r="AI8" s="122">
        <f t="shared" ca="1" si="4"/>
        <v>5</v>
      </c>
      <c r="AJ8" s="123">
        <v>0</v>
      </c>
      <c r="AK8" s="106">
        <v>0</v>
      </c>
      <c r="AL8" s="106">
        <v>0</v>
      </c>
      <c r="AM8" s="106">
        <v>0</v>
      </c>
      <c r="AN8" s="106">
        <v>0</v>
      </c>
      <c r="AO8" s="106">
        <v>1</v>
      </c>
      <c r="AP8" s="124">
        <v>1</v>
      </c>
    </row>
    <row r="9" spans="1:42" ht="21" customHeight="1" x14ac:dyDescent="0.15">
      <c r="A9" s="16" t="str">
        <f t="shared" si="0"/>
        <v>40043_1-2/383&lt;lv60&gt;s2</v>
      </c>
      <c r="B9" s="22">
        <v>40043</v>
      </c>
      <c r="C9" s="21">
        <v>1</v>
      </c>
      <c r="D9" s="2" t="str">
        <f t="shared" si="1"/>
        <v>40043_1</v>
      </c>
      <c r="E9" s="4" t="str">
        <f ca="1">VLOOKUP($B9,OFFSET([2]quests!$A$1,0,0,COUNTA([2]quests!$A:$A),MATCH(E$1,[2]quests!$1:$1,0)-MATCH($B$1,[2]quests!$1:$1,0)+1),MATCH(E$1,[2]quests!$1:$1,0)-MATCH($B$1,[2]quests!$1:$1,0)+1,FALSE)</f>
        <v>ワカヒルメ襲来！</v>
      </c>
      <c r="F9" s="4" t="str">
        <f ca="1">VLOOKUP($D9,OFFSET([2]stages!$A$1,0,0,COUNTA([2]stages!$A:$A),MATCH(F$1,[2]stages!$2:$2,0)-MATCH($D$1,[2]stages!$2:$2,0)+1),MATCH(F$1,[2]stages!$2:$2,0)-MATCH($D$1,[2]stages!$2:$2,0)+1,FALSE)</f>
        <v>【超絶級】ワカヒルメ襲来</v>
      </c>
      <c r="G9" s="21">
        <v>2</v>
      </c>
      <c r="H9" s="15" t="str">
        <f t="shared" si="2"/>
        <v>40043_1-2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>
        <v>1</v>
      </c>
      <c r="L9" s="20">
        <v>383</v>
      </c>
      <c r="M9" s="17" t="str">
        <f ca="1">VLOOKUP($L9,OFFSET([3]enemies!$A$1,0,0,COUNTA([3]enemies!$A:$A),MATCH(M$1,[3]enemies!$1:$1,0)-MATCH($L$1,[3]enemies!$1:$1,0)+1),MATCH(M$1,[3]enemies!$1:$1,0)-MATCH($L$1,[3]enemies!$1:$1,0)+1,FALSE)</f>
        <v>酒宴の蟒蛇 ヤマタノオロチ</v>
      </c>
      <c r="N9" s="17" t="str">
        <f ca="1">VLOOKUP($L9,OFFSET([3]enemies!$A$1,0,0,COUNTA([3]enemies!$A:$A),MATCH(N$1,[3]enemies!$1:$1,0)-MATCH($L$1,[3]enemies!$1:$1,0)+1),MATCH(N$1,[3]enemies!$1:$1,0)-MATCH($L$1,[3]enemies!$1:$1,0)+1,FALSE)</f>
        <v>green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PremiumSS</v>
      </c>
      <c r="P9" s="17" t="str">
        <f ca="1">VLOOKUP($L9,OFFSET([3]enemies!$A$1,0,0,COUNTA([3]enemies!$A:$A),MATCH(P$1,[3]enemies!$1:$1,0)-MATCH($L$1,[3]enemies!$1:$1,0)+1),MATCH(P$1,[3]enemies!$1:$1,0)-MATCH($L$1,[3]enemies!$1:$1,0)+1,FALSE)</f>
        <v>dragon</v>
      </c>
      <c r="Q9" s="17">
        <f ca="1">VLOOKUP($L9,OFFSET([3]enemies!$A$1,0,0,COUNTA([3]enemies!$A:$A),MATCH(Q$1,[3]enemies!$1:$1,0)-MATCH($L$1,[3]enemies!$1:$1,0)+1),MATCH(Q$1,[3]enemies!$1:$1,0)-MATCH($L$1,[3]enemies!$1:$1,0)+1,FALSE)</f>
        <v>30</v>
      </c>
      <c r="R9" s="5">
        <v>60</v>
      </c>
      <c r="S9" s="25">
        <v>1.5</v>
      </c>
      <c r="T9" s="104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203974.5</v>
      </c>
      <c r="U9" s="25">
        <v>1</v>
      </c>
      <c r="V9" s="104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5714</v>
      </c>
      <c r="W9" s="5">
        <v>0</v>
      </c>
      <c r="X9" s="4" t="str">
        <f ca="1">VLOOKUP($Y9,OFFSET(enemy_skill_sets!$B$1,0,0,COUNTA(enemy_skill_sets!$B:$B),MATCH(M$1,enemy_skill_sets!$1:$1,0)-MATCH($Y$1,enemy_skill_sets!$1:$1,0)+2),MATCH(M$1,enemy_skill_sets!$1:$1,0)-MATCH($Y$1,enemy_skill_sets!$1:$1,0)+2,FALSE)</f>
        <v>緑パネルを赤のダメージパネルに5個変換</v>
      </c>
      <c r="Y9" s="62">
        <v>40043011</v>
      </c>
      <c r="Z9" s="6">
        <v>1</v>
      </c>
      <c r="AA9" s="6">
        <v>100</v>
      </c>
      <c r="AB9" s="6">
        <v>0</v>
      </c>
      <c r="AC9" s="17">
        <v>2</v>
      </c>
      <c r="AD9" s="24">
        <f t="shared" si="3"/>
        <v>383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酒宴の蟒蛇 ヤマタノオロチ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4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9" s="7">
        <v>1</v>
      </c>
      <c r="AI9" s="24">
        <f t="shared" ca="1" si="4"/>
        <v>4</v>
      </c>
      <c r="AJ9" s="8">
        <v>0</v>
      </c>
      <c r="AK9" s="7">
        <v>0</v>
      </c>
      <c r="AL9" s="7">
        <v>0</v>
      </c>
      <c r="AM9" s="7">
        <v>0</v>
      </c>
      <c r="AN9" s="7">
        <v>0</v>
      </c>
      <c r="AO9" s="7">
        <v>1</v>
      </c>
      <c r="AP9" s="70">
        <v>1</v>
      </c>
    </row>
    <row r="10" spans="1:42" ht="21" customHeight="1" x14ac:dyDescent="0.15">
      <c r="A10" s="16" t="str">
        <f t="shared" si="0"/>
        <v>40043_1-3/65&lt;lv60&gt;s1</v>
      </c>
      <c r="B10" s="22">
        <v>40043</v>
      </c>
      <c r="C10" s="21">
        <v>1</v>
      </c>
      <c r="D10" s="2" t="str">
        <f t="shared" si="1"/>
        <v>40043_1</v>
      </c>
      <c r="E10" s="4" t="str">
        <f ca="1">VLOOKUP($B10,OFFSET([2]quests!$A$1,0,0,COUNTA([2]quests!$A:$A),MATCH(E$1,[2]quests!$1:$1,0)-MATCH($B$1,[2]quests!$1:$1,0)+1),MATCH(E$1,[2]quests!$1:$1,0)-MATCH($B$1,[2]quests!$1:$1,0)+1,FALSE)</f>
        <v>ワカヒルメ襲来！</v>
      </c>
      <c r="F10" s="4" t="str">
        <f ca="1">VLOOKUP($D10,OFFSET([2]stages!$A$1,0,0,COUNTA([2]stages!$A:$A),MATCH(F$1,[2]stages!$2:$2,0)-MATCH($D$1,[2]stages!$2:$2,0)+1),MATCH(F$1,[2]stages!$2:$2,0)-MATCH($D$1,[2]stages!$2:$2,0)+1,FALSE)</f>
        <v>【超絶級】ワカヒルメ襲来</v>
      </c>
      <c r="G10" s="21">
        <v>3</v>
      </c>
      <c r="H10" s="15" t="str">
        <f t="shared" si="2"/>
        <v>40043_1-3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8" t="s">
        <v>255</v>
      </c>
      <c r="L10" s="20">
        <v>65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ファイアフォックス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red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Drop1S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animal</v>
      </c>
      <c r="Q10" s="17">
        <f ca="1">VLOOKUP($L10,OFFSET([3]enemies!$A$1,0,0,COUNTA([3]enemies!$A:$A),MATCH(Q$1,[3]enemies!$1:$1,0)-MATCH($L$1,[3]enemies!$1:$1,0)+1),MATCH(Q$1,[3]enemies!$1:$1,0)-MATCH($L$1,[3]enemies!$1:$1,0)+1,FALSE)</f>
        <v>15</v>
      </c>
      <c r="R10" s="5">
        <v>60</v>
      </c>
      <c r="S10" s="25">
        <v>2.5</v>
      </c>
      <c r="T10" s="104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30750</v>
      </c>
      <c r="U10" s="25">
        <v>0.6</v>
      </c>
      <c r="V10" s="104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3303.6</v>
      </c>
      <c r="W10" s="5">
        <v>0</v>
      </c>
      <c r="X10" s="4" t="str">
        <f ca="1">VLOOKUP($Y10,OFFSET(enemy_skill_sets!$B$1,0,0,COUNTA(enemy_skill_sets!$B:$B),MATCH(M$1,enemy_skill_sets!$1:$1,0)-MATCH($Y$1,enemy_skill_sets!$1:$1,0)+2),MATCH(M$1,enemy_skill_sets!$1:$1,0)-MATCH($Y$1,enemy_skill_sets!$1:$1,0)+2,FALSE)</f>
        <v>緑パネルを青のダメージパネルに4個変換+_x000D_全ユニットに1250固定ダメージ</v>
      </c>
      <c r="Y10" s="62">
        <v>40043013</v>
      </c>
      <c r="Z10" s="6">
        <v>1</v>
      </c>
      <c r="AA10" s="6">
        <v>100</v>
      </c>
      <c r="AB10" s="6">
        <v>0</v>
      </c>
      <c r="AC10" s="17">
        <v>1</v>
      </c>
      <c r="AD10" s="24">
        <f t="shared" si="3"/>
        <v>65</v>
      </c>
      <c r="AE10" s="4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ファイアフォックス</v>
      </c>
      <c r="AF10" s="4">
        <f ca="1">VLOOKUP($AD10,OFFSET([4]characters!$A$1,0,0,COUNTA([4]characters!$A:$A),MATCH(AF$1,[4]characters!$1:$1,0)-MATCH("character_id",[4]characters!$1:$1,0)+1),MATCH(AF$1,[4]characters!$1:$1,0)-MATCH("character_id",[4]characters!$1:$1,0)+1,FALSE)</f>
        <v>2</v>
      </c>
      <c r="AG10" s="4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Drop1S</v>
      </c>
      <c r="AH10" s="7">
        <v>1</v>
      </c>
      <c r="AI10" s="24">
        <f t="shared" ca="1" si="4"/>
        <v>2</v>
      </c>
      <c r="AJ10" s="8">
        <v>20</v>
      </c>
      <c r="AK10" s="7">
        <v>0</v>
      </c>
      <c r="AL10" s="7">
        <v>0</v>
      </c>
      <c r="AM10" s="7">
        <v>0</v>
      </c>
      <c r="AN10" s="7">
        <v>0</v>
      </c>
      <c r="AO10" s="7">
        <v>1</v>
      </c>
      <c r="AP10" s="70">
        <v>1</v>
      </c>
    </row>
    <row r="11" spans="1:42" ht="21" customHeight="1" x14ac:dyDescent="0.15">
      <c r="A11" s="16" t="str">
        <f t="shared" si="0"/>
        <v>40043_1-3/191&lt;lv60&gt;s2</v>
      </c>
      <c r="B11" s="22">
        <v>40043</v>
      </c>
      <c r="C11" s="21">
        <v>1</v>
      </c>
      <c r="D11" s="2" t="str">
        <f t="shared" si="1"/>
        <v>40043_1</v>
      </c>
      <c r="E11" s="4" t="str">
        <f ca="1">VLOOKUP($B11,OFFSET([2]quests!$A$1,0,0,COUNTA([2]quests!$A:$A),MATCH(E$1,[2]quests!$1:$1,0)-MATCH($B$1,[2]quests!$1:$1,0)+1),MATCH(E$1,[2]quests!$1:$1,0)-MATCH($B$1,[2]quests!$1:$1,0)+1,FALSE)</f>
        <v>ワカヒルメ襲来！</v>
      </c>
      <c r="F11" s="4" t="str">
        <f ca="1">VLOOKUP($D11,OFFSET([2]stages!$A$1,0,0,COUNTA([2]stages!$A:$A),MATCH(F$1,[2]stages!$2:$2,0)-MATCH($D$1,[2]stages!$2:$2,0)+1),MATCH(F$1,[2]stages!$2:$2,0)-MATCH($D$1,[2]stages!$2:$2,0)+1,FALSE)</f>
        <v>【超絶級】ワカヒルメ襲来</v>
      </c>
      <c r="G11" s="21">
        <v>3</v>
      </c>
      <c r="H11" s="15" t="str">
        <f t="shared" si="2"/>
        <v>40043_1-3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8" t="s">
        <v>255</v>
      </c>
      <c r="L11" s="20">
        <v>191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始祖 卑弥呼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red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PremiumN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human</v>
      </c>
      <c r="Q11" s="17">
        <f ca="1">VLOOKUP($L11,OFFSET([3]enemies!$A$1,0,0,COUNTA([3]enemies!$A:$A),MATCH(Q$1,[3]enemies!$1:$1,0)-MATCH($L$1,[3]enemies!$1:$1,0)+1),MATCH(Q$1,[3]enemies!$1:$1,0)-MATCH($L$1,[3]enemies!$1:$1,0)+1,FALSE)</f>
        <v>30</v>
      </c>
      <c r="R11" s="5">
        <v>60</v>
      </c>
      <c r="S11" s="25">
        <v>0.9</v>
      </c>
      <c r="T11" s="104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67637.7</v>
      </c>
      <c r="U11" s="25">
        <v>0.9</v>
      </c>
      <c r="V11" s="104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5667.3</v>
      </c>
      <c r="W11" s="5">
        <v>0</v>
      </c>
      <c r="X11" s="4" t="str">
        <f ca="1">VLOOKUP($Y11,OFFSET(enemy_skill_sets!$B$1,0,0,COUNTA(enemy_skill_sets!$B:$B),MATCH(M$1,enemy_skill_sets!$1:$1,0)-MATCH($Y$1,enemy_skill_sets!$1:$1,0)+2),MATCH(M$1,enemy_skill_sets!$1:$1,0)-MATCH($Y$1,enemy_skill_sets!$1:$1,0)+2,FALSE)</f>
        <v>フィーバーゲージ10%減少+_x000D_1ターン全ユニットにスキルバインド</v>
      </c>
      <c r="Y11" s="62">
        <v>40043014</v>
      </c>
      <c r="Z11" s="6">
        <v>1</v>
      </c>
      <c r="AA11" s="6">
        <v>100</v>
      </c>
      <c r="AB11" s="6">
        <v>1</v>
      </c>
      <c r="AC11" s="17">
        <v>2</v>
      </c>
      <c r="AD11" s="24">
        <f t="shared" si="3"/>
        <v>191</v>
      </c>
      <c r="AE11" s="4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始祖 卑弥呼</v>
      </c>
      <c r="AF11" s="4">
        <f ca="1">VLOOKUP($AD11,OFFSET([4]characters!$A$1,0,0,COUNTA([4]characters!$A:$A),MATCH(AF$1,[4]characters!$1:$1,0)-MATCH("character_id",[4]characters!$1:$1,0)+1),MATCH(AF$1,[4]characters!$1:$1,0)-MATCH("character_id",[4]characters!$1:$1,0)+1,FALSE)</f>
        <v>4</v>
      </c>
      <c r="AG11" s="4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PremiumN</v>
      </c>
      <c r="AH11" s="7">
        <v>1</v>
      </c>
      <c r="AI11" s="24">
        <f t="shared" ca="1" si="4"/>
        <v>4</v>
      </c>
      <c r="AJ11" s="8">
        <v>0</v>
      </c>
      <c r="AK11" s="7">
        <v>0</v>
      </c>
      <c r="AL11" s="7">
        <v>0</v>
      </c>
      <c r="AM11" s="7">
        <v>0</v>
      </c>
      <c r="AN11" s="7">
        <v>0</v>
      </c>
      <c r="AO11" s="7">
        <v>1</v>
      </c>
      <c r="AP11" s="70">
        <v>1</v>
      </c>
    </row>
    <row r="12" spans="1:42" ht="21" customHeight="1" x14ac:dyDescent="0.15">
      <c r="A12" s="16" t="str">
        <f t="shared" si="0"/>
        <v>40043_1-3/65&lt;lv61&gt;s1</v>
      </c>
      <c r="B12" s="22">
        <v>40043</v>
      </c>
      <c r="C12" s="21">
        <v>1</v>
      </c>
      <c r="D12" s="2" t="str">
        <f t="shared" si="1"/>
        <v>40043_1</v>
      </c>
      <c r="E12" s="4" t="str">
        <f ca="1">VLOOKUP($B12,OFFSET([2]quests!$A$1,0,0,COUNTA([2]quests!$A:$A),MATCH(E$1,[2]quests!$1:$1,0)-MATCH($B$1,[2]quests!$1:$1,0)+1),MATCH(E$1,[2]quests!$1:$1,0)-MATCH($B$1,[2]quests!$1:$1,0)+1,FALSE)</f>
        <v>ワカヒルメ襲来！</v>
      </c>
      <c r="F12" s="4" t="str">
        <f ca="1">VLOOKUP($D12,OFFSET([2]stages!$A$1,0,0,COUNTA([2]stages!$A:$A),MATCH(F$1,[2]stages!$2:$2,0)-MATCH($D$1,[2]stages!$2:$2,0)+1),MATCH(F$1,[2]stages!$2:$2,0)-MATCH($D$1,[2]stages!$2:$2,0)+1,FALSE)</f>
        <v>【超絶級】ワカヒルメ襲来</v>
      </c>
      <c r="G12" s="21">
        <v>3</v>
      </c>
      <c r="H12" s="15" t="str">
        <f t="shared" si="2"/>
        <v>40043_1-3</v>
      </c>
      <c r="I12" s="4">
        <f ca="1">VLOOKUP($H12,OFFSET(floors!$A$1,0,0,COUNTA(floors!$A:$A),MATCH(I$1,floors!$1:$1,0)-MATCH($H$1,floors!$1:$1,0)+1),MATCH(I$1,floors!$1:$1,0)-MATCH($H$1,floors!$1:$1,0)+1,FALSE)</f>
        <v>60</v>
      </c>
      <c r="J12" s="4">
        <f ca="1">VLOOKUP($H12,OFFSET(floors!$A$1,0,0,COUNTA(floors!$A:$A),MATCH(J$1,floors!$1:$1,0)-MATCH($H$1,floors!$1:$1,0)+1),MATCH(J$1,floors!$1:$1,0)-MATCH($H$1,floors!$1:$1,0)+1,FALSE)</f>
        <v>60</v>
      </c>
      <c r="K12" s="38" t="s">
        <v>255</v>
      </c>
      <c r="L12" s="20">
        <v>65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ファイアフォックス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red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Drop1S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animal</v>
      </c>
      <c r="Q12" s="17">
        <f ca="1">VLOOKUP($L12,OFFSET([3]enemies!$A$1,0,0,COUNTA([3]enemies!$A:$A),MATCH(Q$1,[3]enemies!$1:$1,0)-MATCH($L$1,[3]enemies!$1:$1,0)+1),MATCH(Q$1,[3]enemies!$1:$1,0)-MATCH($L$1,[3]enemies!$1:$1,0)+1,FALSE)</f>
        <v>15</v>
      </c>
      <c r="R12" s="5">
        <v>61</v>
      </c>
      <c r="S12" s="25">
        <v>2.5</v>
      </c>
      <c r="T12" s="104">
        <f ca="1">ROUND(VLOOKUP(R12,[3]enemy_base_stats!$A:$F,2,FALSE) *INDIRECT("[EnemyMasterData.xlsm]enemies!Y"&amp;(L12+1))*  INDIRECT("[EnemyMasterData.xlsm]enemies!J"&amp;(L12+1))* INDIRECT("[EnemyMasterData.xlsm]enemies!O"&amp;(L12+1))* INDIRECT("[EnemyMasterData.xlsm]enemies!E"&amp;(L12+1))* INDIRECT("[EnemyMasterData.xlsm]enemies!S"&amp;(L12+1))* INDIRECT("[EnemyMasterData.xlsm]enemies!AD"&amp;(L12+1))*[4]ステータス!$B$2,0)*S12</f>
        <v>31250</v>
      </c>
      <c r="U12" s="25">
        <v>0.6</v>
      </c>
      <c r="V12" s="104">
        <f ca="1">ROUND(VLOOKUP(R12,[3]enemy_base_stats!$A:$F,3,FALSE) *INDIRECT("[EnemyMasterData.xlsm]enemies!Z"&amp;(L12+1))*  INDIRECT("[EnemyMasterData.xlsm]enemies!K"&amp;(L12+1))* INDIRECT("[EnemyMasterData.xlsm]enemies!P"&amp;(L12+1))* INDIRECT("[EnemyMasterData.xlsm]enemies!F"&amp;(L12+1))* INDIRECT("[EnemyMasterData.xlsm]enemies!T"&amp;(L12+1))* INDIRECT("[EnemyMasterData.xlsm]enemies!AE"&amp;(L12+1))*[4]ステータス!$C$2,0)*U12</f>
        <v>3357.6</v>
      </c>
      <c r="W12" s="5">
        <v>0</v>
      </c>
      <c r="X12" s="4" t="str">
        <f ca="1">VLOOKUP($Y12,OFFSET(enemy_skill_sets!$B$1,0,0,COUNTA(enemy_skill_sets!$B:$B),MATCH(M$1,enemy_skill_sets!$1:$1,0)-MATCH($Y$1,enemy_skill_sets!$1:$1,0)+2),MATCH(M$1,enemy_skill_sets!$1:$1,0)-MATCH($Y$1,enemy_skill_sets!$1:$1,0)+2,FALSE)</f>
        <v>青のダメージパネルを吸収して攻撃(最大4個)</v>
      </c>
      <c r="Y12" s="62">
        <v>40043015</v>
      </c>
      <c r="Z12" s="6">
        <v>1</v>
      </c>
      <c r="AA12" s="6">
        <v>100</v>
      </c>
      <c r="AB12" s="6">
        <v>0</v>
      </c>
      <c r="AC12" s="17">
        <v>1</v>
      </c>
      <c r="AD12" s="24">
        <f t="shared" si="3"/>
        <v>65</v>
      </c>
      <c r="AE12" s="4" t="str">
        <f ca="1">VLOOKUP($AD12,OFFSET([4]characters!$A$1,0,0,COUNTA([4]characters!$A:$A),MATCH(AE$1,[4]characters!$1:$1,0)-MATCH("character_id",[4]characters!$1:$1,0)+1),MATCH(AE$1,[4]characters!$1:$1,0)-MATCH("character_id",[4]characters!$1:$1,0)+1,FALSE)</f>
        <v>ファイアフォックス</v>
      </c>
      <c r="AF12" s="4">
        <f ca="1">VLOOKUP($AD12,OFFSET([4]characters!$A$1,0,0,COUNTA([4]characters!$A:$A),MATCH(AF$1,[4]characters!$1:$1,0)-MATCH("character_id",[4]characters!$1:$1,0)+1),MATCH(AF$1,[4]characters!$1:$1,0)-MATCH("character_id",[4]characters!$1:$1,0)+1,FALSE)</f>
        <v>2</v>
      </c>
      <c r="AG12" s="4" t="str">
        <f ca="1">VLOOKUP($AD12,OFFSET([4]characters!$A$1,0,0,COUNTA([4]characters!$A:$A),MATCH(AG$1,[4]characters!$1:$1,0)-MATCH("character_id",[4]characters!$1:$1,0)+1),MATCH(AG$1,[4]characters!$1:$1,0)-MATCH("character_id",[4]characters!$1:$1,0)+1,FALSE)</f>
        <v>Drop1S</v>
      </c>
      <c r="AH12" s="7">
        <v>1</v>
      </c>
      <c r="AI12" s="24">
        <f t="shared" ca="1" si="4"/>
        <v>2</v>
      </c>
      <c r="AJ12" s="8">
        <v>20</v>
      </c>
      <c r="AK12" s="7">
        <v>0</v>
      </c>
      <c r="AL12" s="7">
        <v>0</v>
      </c>
      <c r="AM12" s="7">
        <v>0</v>
      </c>
      <c r="AN12" s="7">
        <v>0</v>
      </c>
      <c r="AO12" s="7">
        <v>1</v>
      </c>
      <c r="AP12" s="70">
        <v>1</v>
      </c>
    </row>
    <row r="13" spans="1:42" ht="21" customHeight="1" thickBot="1" x14ac:dyDescent="0.2">
      <c r="A13" s="112" t="str">
        <f t="shared" si="0"/>
        <v>40043_1-4/1326&lt;lv60&gt;s1</v>
      </c>
      <c r="B13" s="125">
        <v>40043</v>
      </c>
      <c r="C13" s="115">
        <v>1</v>
      </c>
      <c r="D13" s="117" t="str">
        <f t="shared" si="1"/>
        <v>40043_1</v>
      </c>
      <c r="E13" s="126" t="str">
        <f ca="1">VLOOKUP($B13,OFFSET([2]quests!$A$1,0,0,COUNTA([2]quests!$A:$A),MATCH(E$1,[2]quests!$1:$1,0)-MATCH($B$1,[2]quests!$1:$1,0)+1),MATCH(E$1,[2]quests!$1:$1,0)-MATCH($B$1,[2]quests!$1:$1,0)+1,FALSE)</f>
        <v>ワカヒルメ襲来！</v>
      </c>
      <c r="F13" s="126" t="str">
        <f ca="1">VLOOKUP($D13,OFFSET([2]stages!$A$1,0,0,COUNTA([2]stages!$A:$A),MATCH(F$1,[2]stages!$2:$2,0)-MATCH($D$1,[2]stages!$2:$2,0)+1),MATCH(F$1,[2]stages!$2:$2,0)-MATCH($D$1,[2]stages!$2:$2,0)+1,FALSE)</f>
        <v>【超絶級】ワカヒルメ襲来</v>
      </c>
      <c r="G13" s="115">
        <v>4</v>
      </c>
      <c r="H13" s="117" t="str">
        <f t="shared" si="2"/>
        <v>40043_1-4</v>
      </c>
      <c r="I13" s="126">
        <f ca="1">VLOOKUP($H13,OFFSET(floors!$A$1,0,0,COUNTA(floors!$A:$A),MATCH(I$1,floors!$1:$1,0)-MATCH($H$1,floors!$1:$1,0)+1),MATCH(I$1,floors!$1:$1,0)-MATCH($H$1,floors!$1:$1,0)+1,FALSE)</f>
        <v>60</v>
      </c>
      <c r="J13" s="126">
        <f ca="1">VLOOKUP($H13,OFFSET(floors!$A$1,0,0,COUNTA(floors!$A:$A),MATCH(J$1,floors!$1:$1,0)-MATCH($H$1,floors!$1:$1,0)+1),MATCH(J$1,floors!$1:$1,0)-MATCH($H$1,floors!$1:$1,0)+1,FALSE)</f>
        <v>60</v>
      </c>
      <c r="K13" s="118">
        <v>1</v>
      </c>
      <c r="L13" s="127">
        <v>1326</v>
      </c>
      <c r="M13" s="128" t="str">
        <f ca="1">VLOOKUP($L13,OFFSET([3]enemies!$A$1,0,0,COUNTA([3]enemies!$A:$A),MATCH(M$1,[3]enemies!$1:$1,0)-MATCH($L$1,[3]enemies!$1:$1,0)+1),MATCH(M$1,[3]enemies!$1:$1,0)-MATCH($L$1,[3]enemies!$1:$1,0)+1,FALSE)</f>
        <v>ワカヒルメ</v>
      </c>
      <c r="N13" s="128" t="str">
        <f ca="1">VLOOKUP($L13,OFFSET([3]enemies!$A$1,0,0,COUNTA([3]enemies!$A:$A),MATCH(N$1,[3]enemies!$1:$1,0)-MATCH($L$1,[3]enemies!$1:$1,0)+1),MATCH(N$1,[3]enemies!$1:$1,0)-MATCH($L$1,[3]enemies!$1:$1,0)+1,FALSE)</f>
        <v>green</v>
      </c>
      <c r="O13" s="128" t="str">
        <f ca="1">VLOOKUP($L13,OFFSET([4]characters!$A$1,0,0,COUNTA([4]characters!$A:$A),MATCH(O$1,[4]characters!$1:$1,0)-MATCH($L$1,[4]characters!$1:$1,0)+1),MATCH(O$1,[4]characters!$1:$1,0)-MATCH($L$1,[4]characters!$1:$1,0)+1,FALSE)</f>
        <v>DropWizS</v>
      </c>
      <c r="P13" s="128" t="str">
        <f ca="1">VLOOKUP($L13,OFFSET([3]enemies!$A$1,0,0,COUNTA([3]enemies!$A:$A),MATCH(P$1,[3]enemies!$1:$1,0)-MATCH($L$1,[3]enemies!$1:$1,0)+1),MATCH(P$1,[3]enemies!$1:$1,0)-MATCH($L$1,[3]enemies!$1:$1,0)+1,FALSE)</f>
        <v>god</v>
      </c>
      <c r="Q13" s="128">
        <f ca="1">VLOOKUP($L13,OFFSET([3]enemies!$A$1,0,0,COUNTA([3]enemies!$A:$A),MATCH(Q$1,[3]enemies!$1:$1,0)-MATCH($L$1,[3]enemies!$1:$1,0)+1),MATCH(Q$1,[3]enemies!$1:$1,0)-MATCH($L$1,[3]enemies!$1:$1,0)+1,FALSE)</f>
        <v>60</v>
      </c>
      <c r="R13" s="129">
        <v>60</v>
      </c>
      <c r="S13" s="130">
        <v>4.9000000000000004</v>
      </c>
      <c r="T13" s="131">
        <f ca="1">ROUND(VLOOKUP(R13,[3]enemy_base_stats!$A:$F,2,FALSE) *INDIRECT("[EnemyMasterData.xlsm]enemies!Y"&amp;(L13+1))*  INDIRECT("[EnemyMasterData.xlsm]enemies!J"&amp;(L13+1))* INDIRECT("[EnemyMasterData.xlsm]enemies!O"&amp;(L13+1))* INDIRECT("[EnemyMasterData.xlsm]enemies!E"&amp;(L13+1))* INDIRECT("[EnemyMasterData.xlsm]enemies!S"&amp;(L13+1))* INDIRECT("[EnemyMasterData.xlsm]enemies!AD"&amp;(L13+1))*[4]ステータス!$B$2,0)*S13</f>
        <v>481968.9</v>
      </c>
      <c r="U13" s="130">
        <v>1.7</v>
      </c>
      <c r="V13" s="131">
        <f ca="1">ROUND(VLOOKUP(R13,[3]enemy_base_stats!$A:$F,3,FALSE) *INDIRECT("[EnemyMasterData.xlsm]enemies!Z"&amp;(L13+1))*  INDIRECT("[EnemyMasterData.xlsm]enemies!K"&amp;(L13+1))* INDIRECT("[EnemyMasterData.xlsm]enemies!P"&amp;(L13+1))* INDIRECT("[EnemyMasterData.xlsm]enemies!F"&amp;(L13+1))* INDIRECT("[EnemyMasterData.xlsm]enemies!T"&amp;(L13+1))* INDIRECT("[EnemyMasterData.xlsm]enemies!AE"&amp;(L13+1))*[4]ステータス!$C$2,0)*U13</f>
        <v>11762.3</v>
      </c>
      <c r="W13" s="129">
        <v>0</v>
      </c>
      <c r="X13" s="126" t="str">
        <f ca="1">VLOOKUP($Y13,OFFSET(enemy_skill_sets!$B$1,0,0,COUNTA(enemy_skill_sets!$B:$B),MATCH(M$1,enemy_skill_sets!$1:$1,0)-MATCH($Y$1,enemy_skill_sets!$1:$1,0)+2),MATCH(M$1,enemy_skill_sets!$1:$1,0)-MATCH($Y$1,enemy_skill_sets!$1:$1,0)+2,FALSE)</f>
        <v>状態異常耐性+4ターン自身の攻撃力UP</v>
      </c>
      <c r="Y13" s="132">
        <v>40043016</v>
      </c>
      <c r="Z13" s="133">
        <v>1</v>
      </c>
      <c r="AA13" s="133">
        <v>100</v>
      </c>
      <c r="AB13" s="133">
        <v>1</v>
      </c>
      <c r="AC13" s="128">
        <v>1</v>
      </c>
      <c r="AD13" s="134">
        <f t="shared" si="3"/>
        <v>1326</v>
      </c>
      <c r="AE13" s="126" t="str">
        <f ca="1">VLOOKUP($AD13,OFFSET([4]characters!$A$1,0,0,COUNTA([4]characters!$A:$A),MATCH(AE$1,[4]characters!$1:$1,0)-MATCH("character_id",[4]characters!$1:$1,0)+1),MATCH(AE$1,[4]characters!$1:$1,0)-MATCH("character_id",[4]characters!$1:$1,0)+1,FALSE)</f>
        <v>ワカヒルメ</v>
      </c>
      <c r="AF13" s="126">
        <f ca="1">VLOOKUP($AD13,OFFSET([4]characters!$A$1,0,0,COUNTA([4]characters!$A:$A),MATCH(AF$1,[4]characters!$1:$1,0)-MATCH("character_id",[4]characters!$1:$1,0)+1),MATCH(AF$1,[4]characters!$1:$1,0)-MATCH("character_id",[4]characters!$1:$1,0)+1,FALSE)</f>
        <v>5</v>
      </c>
      <c r="AG13" s="126" t="str">
        <f ca="1">VLOOKUP($AD13,OFFSET([4]characters!$A$1,0,0,COUNTA([4]characters!$A:$A),MATCH(AG$1,[4]characters!$1:$1,0)-MATCH("character_id",[4]characters!$1:$1,0)+1),MATCH(AG$1,[4]characters!$1:$1,0)-MATCH("character_id",[4]characters!$1:$1,0)+1,FALSE)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3" s="113">
        <v>1</v>
      </c>
      <c r="AI13" s="134">
        <f t="shared" ca="1" si="4"/>
        <v>5</v>
      </c>
      <c r="AJ13" s="135">
        <v>15</v>
      </c>
      <c r="AK13" s="113">
        <v>0</v>
      </c>
      <c r="AL13" s="113">
        <v>0</v>
      </c>
      <c r="AM13" s="113">
        <v>0</v>
      </c>
      <c r="AN13" s="113">
        <v>0</v>
      </c>
      <c r="AO13" s="113">
        <v>1</v>
      </c>
      <c r="AP13" s="136">
        <v>1</v>
      </c>
    </row>
  </sheetData>
  <sheetProtection selectLockedCells="1" selectUnlockedCells="1"/>
  <autoFilter ref="B1:AJ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7"/>
  <sheetViews>
    <sheetView showGridLines="0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R7" sqref="R7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53</v>
      </c>
      <c r="L1" s="36" t="s">
        <v>54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103" t="s">
        <v>251</v>
      </c>
      <c r="V1" s="26" t="s">
        <v>50</v>
      </c>
      <c r="W1" s="103" t="s">
        <v>252</v>
      </c>
      <c r="X1" s="26" t="s">
        <v>52</v>
      </c>
      <c r="Y1" s="28" t="s">
        <v>129</v>
      </c>
      <c r="Z1" s="29" t="s">
        <v>128</v>
      </c>
      <c r="AA1" s="28" t="s">
        <v>8</v>
      </c>
    </row>
    <row r="2" spans="1:27" ht="21" customHeight="1" x14ac:dyDescent="0.15">
      <c r="A2" s="16" t="str">
        <f t="shared" ref="A2:A7" si="0">B2&amp;"_"&amp;C2&amp;"-"&amp;G2&amp;"/"&amp;M2&amp;"&lt;lv"&amp;S2&amp;"&gt;sq"&amp;K2&amp;"st"&amp;L2</f>
        <v>40043_2-2/384&lt;lv80&gt;sq1st2</v>
      </c>
      <c r="B2" s="22">
        <v>40043</v>
      </c>
      <c r="C2" s="21">
        <v>2</v>
      </c>
      <c r="D2" s="2" t="str">
        <f t="shared" ref="D2:D7" si="1">B2&amp;"_"&amp;C2</f>
        <v>40043_2</v>
      </c>
      <c r="E2" s="4" t="str">
        <f ca="1">VLOOKUP($B2,OFFSET([2]quests!$A$1,0,0,COUNTA([2]quests!$A:$A),MATCH(E$1,[2]quests!$1:$1,0)-MATCH($B$1,[2]quests!$1:$1,0)+1),MATCH(E$1,[2]quests!$1:$1,0)-MATCH($B$1,[2]quests!$1:$1,0)+1,FALSE)</f>
        <v>ワカヒルメ襲来！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【ウィザード級】ワカヒルメ襲来</v>
      </c>
      <c r="G2" s="21">
        <v>2</v>
      </c>
      <c r="H2" s="15" t="str">
        <f t="shared" ref="H2:H7" si="2">B2&amp;"_"&amp;C2&amp;"-"&amp;G2</f>
        <v>40043_2-2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384</v>
      </c>
      <c r="N2" s="17" t="str">
        <f ca="1">VLOOKUP($M2,OFFSET([3]enemies!$A$1,0,0,COUNTA([3]enemies!$A:$A),MATCH(N$1,[3]enemies!$1:$1,0)-MATCH($M$1,[3]enemies!$1:$1,0)+1),MATCH(N$1,[3]enemies!$1:$1,0)-MATCH($M$1,[3]enemies!$1:$1,0)+1,FALSE)</f>
        <v>破国の呑龍 ヤマタノオロチ</v>
      </c>
      <c r="O2" s="17" t="str">
        <f ca="1">VLOOKUP($M2,OFFSET([3]enemies!$A$1,0,0,COUNTA([3]enemies!$A:$A),MATCH(O$1,[3]enemies!$1:$1,0)-MATCH($M$1,[3]enemies!$1:$1,0)+1),MATCH(O$1,[3]enemies!$1:$1,0)-MATCH($M$1,[3]enemies!$1:$1,0)+1,FALSE)</f>
        <v>green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PremiumSS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dragon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80</v>
      </c>
      <c r="T2" s="25">
        <v>1.5</v>
      </c>
      <c r="U2" s="104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353479.5</v>
      </c>
      <c r="V2" s="25">
        <v>1</v>
      </c>
      <c r="W2" s="104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8155</v>
      </c>
      <c r="X2" s="5">
        <v>0</v>
      </c>
      <c r="Y2" s="4" t="e">
        <f ca="1">VLOOKUP($Z2,OFFSET([5]enemy_skill_sets!$B$1,0,0,COUNTA([5]enemy_skill_sets!$B:$B),MATCH(N$1,[5]enemy_skill_sets!$1:$1,0)-MATCH($Z$1,[5]enemy_skill_sets!$1:$1,0)+2),MATCH(N$1,[5]enemy_skill_sets!$1:$1,0)-MATCH($Z$1,[5]enemy_skill_sets!$1:$1,0)+2,FALSE)</f>
        <v>#VALUE!</v>
      </c>
      <c r="Z2" s="4">
        <v>40043003</v>
      </c>
      <c r="AA2" s="71">
        <v>1</v>
      </c>
    </row>
    <row r="3" spans="1:27" ht="21" customHeight="1" x14ac:dyDescent="0.15">
      <c r="A3" s="16" t="str">
        <f t="shared" si="0"/>
        <v>40043_2-4/1327&lt;lv80&gt;sq1st2</v>
      </c>
      <c r="B3" s="22">
        <v>40043</v>
      </c>
      <c r="C3" s="21">
        <v>2</v>
      </c>
      <c r="D3" s="2" t="str">
        <f t="shared" si="1"/>
        <v>40043_2</v>
      </c>
      <c r="E3" s="4" t="str">
        <f ca="1">VLOOKUP($B3,OFFSET([2]quests!$A$1,0,0,COUNTA([2]quests!$A:$A),MATCH(E$1,[2]quests!$1:$1,0)-MATCH($B$1,[2]quests!$1:$1,0)+1),MATCH(E$1,[2]quests!$1:$1,0)-MATCH($B$1,[2]quests!$1:$1,0)+1,FALSE)</f>
        <v>ワカヒルメ襲来！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【ウィザード級】ワカヒルメ襲来</v>
      </c>
      <c r="G3" s="21">
        <v>4</v>
      </c>
      <c r="H3" s="15" t="str">
        <f t="shared" si="2"/>
        <v>40043_2-4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1</v>
      </c>
      <c r="L3" s="38">
        <v>2</v>
      </c>
      <c r="M3" s="20">
        <v>1327</v>
      </c>
      <c r="N3" s="17" t="str">
        <f ca="1">VLOOKUP($M3,OFFSET([3]enemies!$A$1,0,0,COUNTA([3]enemies!$A:$A),MATCH(N$1,[3]enemies!$1:$1,0)-MATCH($M$1,[3]enemies!$1:$1,0)+1),MATCH(N$1,[3]enemies!$1:$1,0)-MATCH($M$1,[3]enemies!$1:$1,0)+1,FALSE)</f>
        <v>織神衣の幼神 ワカヒルメ</v>
      </c>
      <c r="O3" s="17" t="str">
        <f ca="1">VLOOKUP($M3,OFFSET([3]enemies!$A$1,0,0,COUNTA([3]enemies!$A:$A),MATCH(O$1,[3]enemies!$1:$1,0)-MATCH($M$1,[3]enemies!$1:$1,0)+1),MATCH(O$1,[3]enemies!$1:$1,0)-MATCH($M$1,[3]enemies!$1:$1,0)+1,FALSE)</f>
        <v>green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DropWizS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god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80</v>
      </c>
      <c r="T3" s="25">
        <v>3.7</v>
      </c>
      <c r="U3" s="104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512635</v>
      </c>
      <c r="V3" s="25">
        <v>2.4</v>
      </c>
      <c r="W3" s="104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23966.399999999998</v>
      </c>
      <c r="X3" s="5">
        <v>0</v>
      </c>
      <c r="Y3" s="4" t="e">
        <f ca="1">VLOOKUP($Z3,OFFSET([5]enemy_skill_sets!$B$1,0,0,COUNTA([5]enemy_skill_sets!$B:$B),MATCH(N$1,[5]enemy_skill_sets!$1:$1,0)-MATCH($Z$1,[5]enemy_skill_sets!$1:$1,0)+2),MATCH(N$1,[5]enemy_skill_sets!$1:$1,0)-MATCH($Z$1,[5]enemy_skill_sets!$1:$1,0)+2,FALSE)</f>
        <v>#VALUE!</v>
      </c>
      <c r="Z3" s="4">
        <v>40043008</v>
      </c>
      <c r="AA3" s="71">
        <v>2</v>
      </c>
    </row>
    <row r="4" spans="1:27" ht="21" customHeight="1" thickBot="1" x14ac:dyDescent="0.2">
      <c r="A4" s="16" t="str">
        <f t="shared" si="0"/>
        <v>40043_2-4/1327&lt;lv80&gt;sq1st3</v>
      </c>
      <c r="B4" s="125">
        <v>40043</v>
      </c>
      <c r="C4" s="115">
        <v>2</v>
      </c>
      <c r="D4" s="117" t="str">
        <f t="shared" si="1"/>
        <v>40043_2</v>
      </c>
      <c r="E4" s="126" t="str">
        <f ca="1">VLOOKUP($B4,OFFSET([2]quests!$A$1,0,0,COUNTA([2]quests!$A:$A),MATCH(E$1,[2]quests!$1:$1,0)-MATCH($B$1,[2]quests!$1:$1,0)+1),MATCH(E$1,[2]quests!$1:$1,0)-MATCH($B$1,[2]quests!$1:$1,0)+1,FALSE)</f>
        <v>ワカヒルメ襲来！</v>
      </c>
      <c r="F4" s="126" t="str">
        <f ca="1">VLOOKUP($D4,OFFSET([2]stages!$A$1,0,0,COUNTA([2]stages!$A:$A),MATCH(F$1,[2]stages!$2:$2,0)-MATCH($D$1,[2]stages!$2:$2,0)+1),MATCH(F$1,[2]stages!$2:$2,0)-MATCH($D$1,[2]stages!$2:$2,0)+1,FALSE)</f>
        <v>【ウィザード級】ワカヒルメ襲来</v>
      </c>
      <c r="G4" s="115">
        <v>4</v>
      </c>
      <c r="H4" s="117" t="str">
        <f t="shared" si="2"/>
        <v>40043_2-4</v>
      </c>
      <c r="I4" s="126">
        <f ca="1">VLOOKUP($H4,OFFSET(floors!$A$1,0,0,COUNTA(floors!$A:$A),MATCH(I$1,floors!$1:$1,0)-MATCH($H$1,floors!$1:$1,0)+1),MATCH(I$1,floors!$1:$1,0)-MATCH($H$1,floors!$1:$1,0)+1,FALSE)</f>
        <v>60</v>
      </c>
      <c r="J4" s="126">
        <f ca="1">VLOOKUP($H4,OFFSET(floors!$A$1,0,0,COUNTA(floors!$A:$A),MATCH(J$1,floors!$1:$1,0)-MATCH($H$1,floors!$1:$1,0)+1),MATCH(J$1,floors!$1:$1,0)-MATCH($H$1,floors!$1:$1,0)+1,FALSE)</f>
        <v>60</v>
      </c>
      <c r="K4" s="118">
        <v>1</v>
      </c>
      <c r="L4" s="118">
        <v>3</v>
      </c>
      <c r="M4" s="139">
        <v>1327</v>
      </c>
      <c r="N4" s="128" t="str">
        <f ca="1">VLOOKUP($M4,OFFSET([3]enemies!$A$1,0,0,COUNTA([3]enemies!$A:$A),MATCH(N$1,[3]enemies!$1:$1,0)-MATCH($M$1,[3]enemies!$1:$1,0)+1),MATCH(N$1,[3]enemies!$1:$1,0)-MATCH($M$1,[3]enemies!$1:$1,0)+1,FALSE)</f>
        <v>織神衣の幼神 ワカヒルメ</v>
      </c>
      <c r="O4" s="128" t="str">
        <f ca="1">VLOOKUP($M4,OFFSET([3]enemies!$A$1,0,0,COUNTA([3]enemies!$A:$A),MATCH(O$1,[3]enemies!$1:$1,0)-MATCH($M$1,[3]enemies!$1:$1,0)+1),MATCH(O$1,[3]enemies!$1:$1,0)-MATCH($M$1,[3]enemies!$1:$1,0)+1,FALSE)</f>
        <v>green</v>
      </c>
      <c r="P4" s="128" t="str">
        <f ca="1">VLOOKUP($M4,OFFSET([4]characters!$A$1,0,0,COUNTA([4]characters!$A:$A),MATCH(P$1,[4]characters!$1:$1,0)-MATCH($M$1,[4]characters!$1:$1,0)+1),MATCH(P$1,[4]characters!$1:$1,0)-MATCH($M$1,[4]characters!$1:$1,0)+1,FALSE)</f>
        <v>DropWizS</v>
      </c>
      <c r="Q4" s="128" t="str">
        <f ca="1">VLOOKUP($M4,OFFSET([3]enemies!$A$1,0,0,COUNTA([3]enemies!$A:$A),MATCH(Q$1,[3]enemies!$1:$1,0)-MATCH($M$1,[3]enemies!$1:$1,0)+1),MATCH(Q$1,[3]enemies!$1:$1,0)-MATCH($M$1,[3]enemies!$1:$1,0)+1,FALSE)</f>
        <v>god</v>
      </c>
      <c r="R4" s="128">
        <f ca="1">VLOOKUP($M4,OFFSET([3]enemies!$A$1,0,0,COUNTA([3]enemies!$A:$A),MATCH(R$1,[3]enemies!$1:$1,0)-MATCH($M$1,[3]enemies!$1:$1,0)+1),MATCH(R$1,[3]enemies!$1:$1,0)-MATCH($M$1,[3]enemies!$1:$1,0)+1,FALSE)</f>
        <v>60</v>
      </c>
      <c r="S4" s="129">
        <v>80</v>
      </c>
      <c r="T4" s="130">
        <v>5.5</v>
      </c>
      <c r="U4" s="131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762025</v>
      </c>
      <c r="V4" s="130">
        <v>2</v>
      </c>
      <c r="W4" s="131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19972</v>
      </c>
      <c r="X4" s="129">
        <v>0</v>
      </c>
      <c r="Y4" s="126" t="e">
        <f ca="1">VLOOKUP($Z4,OFFSET([5]enemy_skill_sets!$B$1,0,0,COUNTA([5]enemy_skill_sets!$B:$B),MATCH(N$1,[5]enemy_skill_sets!$1:$1,0)-MATCH($Z$1,[5]enemy_skill_sets!$1:$1,0)+2),MATCH(N$1,[5]enemy_skill_sets!$1:$1,0)-MATCH($Z$1,[5]enemy_skill_sets!$1:$1,0)+2,FALSE)</f>
        <v>#VALUE!</v>
      </c>
      <c r="Z4" s="195">
        <v>40043009</v>
      </c>
      <c r="AA4" s="138">
        <v>1</v>
      </c>
    </row>
    <row r="5" spans="1:27" ht="21" customHeight="1" x14ac:dyDescent="0.15">
      <c r="A5" s="16" t="str">
        <f t="shared" si="0"/>
        <v>40043_1-2/384&lt;lv60&gt;sq1st2</v>
      </c>
      <c r="B5" s="22">
        <v>40043</v>
      </c>
      <c r="C5" s="108">
        <v>1</v>
      </c>
      <c r="D5" s="110" t="str">
        <f t="shared" si="1"/>
        <v>40043_1</v>
      </c>
      <c r="E5" s="4" t="str">
        <f ca="1">VLOOKUP($B5,OFFSET([2]quests!$A$1,0,0,COUNTA([2]quests!$A:$A),MATCH(E$1,[2]quests!$1:$1,0)-MATCH($B$1,[2]quests!$1:$1,0)+1),MATCH(E$1,[2]quests!$1:$1,0)-MATCH($B$1,[2]quests!$1:$1,0)+1,FALSE)</f>
        <v>ワカヒルメ襲来！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【超絶級】ワカヒルメ襲来</v>
      </c>
      <c r="G5" s="108">
        <v>2</v>
      </c>
      <c r="H5" s="110" t="str">
        <f t="shared" si="2"/>
        <v>40043_1-2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111">
        <v>1</v>
      </c>
      <c r="L5" s="111">
        <v>2</v>
      </c>
      <c r="M5" s="20">
        <v>384</v>
      </c>
      <c r="N5" s="17" t="str">
        <f ca="1">VLOOKUP($M5,OFFSET([3]enemies!$A$1,0,0,COUNTA([3]enemies!$A:$A),MATCH(N$1,[3]enemies!$1:$1,0)-MATCH($M$1,[3]enemies!$1:$1,0)+1),MATCH(N$1,[3]enemies!$1:$1,0)-MATCH($M$1,[3]enemies!$1:$1,0)+1,FALSE)</f>
        <v>破国の呑龍 ヤマタノオロチ</v>
      </c>
      <c r="O5" s="17" t="str">
        <f ca="1">VLOOKUP($M5,OFFSET([3]enemies!$A$1,0,0,COUNTA([3]enemies!$A:$A),MATCH(O$1,[3]enemies!$1:$1,0)-MATCH($M$1,[3]enemies!$1:$1,0)+1),MATCH(O$1,[3]enemies!$1:$1,0)-MATCH($M$1,[3]enemies!$1:$1,0)+1,FALSE)</f>
        <v>green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PremiumSS</v>
      </c>
      <c r="Q5" s="17" t="str">
        <f ca="1">VLOOKUP($M5,OFFSET([3]enemies!$A$1,0,0,COUNTA([3]enemies!$A:$A),MATCH(Q$1,[3]enemies!$1:$1,0)-MATCH($M$1,[3]enemies!$1:$1,0)+1),MATCH(Q$1,[3]enemies!$1:$1,0)-MATCH($M$1,[3]enemies!$1:$1,0)+1,FALSE)</f>
        <v>dragon</v>
      </c>
      <c r="R5" s="17">
        <f ca="1">VLOOKUP($M5,OFFSET([3]enemies!$A$1,0,0,COUNTA([3]enemies!$A:$A),MATCH(R$1,[3]enemies!$1:$1,0)-MATCH($M$1,[3]enemies!$1:$1,0)+1),MATCH(R$1,[3]enemies!$1:$1,0)-MATCH($M$1,[3]enemies!$1:$1,0)+1,FALSE)</f>
        <v>60</v>
      </c>
      <c r="S5" s="119">
        <v>60</v>
      </c>
      <c r="T5" s="25">
        <v>1.5</v>
      </c>
      <c r="U5" s="120">
        <f ca="1">ROUND(VLOOKUP(S5,[3]enemy_base_stats!$A:$F,2,FALSE) *INDIRECT("[EnemyMasterData.xlsm]enemies!Y"&amp;(M5+1))*  INDIRECT("[EnemyMasterData.xlsm]enemies!J"&amp;(M5+1))* INDIRECT("[EnemyMasterData.xlsm]enemies!O"&amp;(M5+1))* INDIRECT("[EnemyMasterData.xlsm]enemies!E"&amp;(M5+1))* INDIRECT("[EnemyMasterData.xlsm]enemies!S"&amp;(M5+1))* INDIRECT("[EnemyMasterData.xlsm]enemies!AD"&amp;(M5+1))*[4]ステータス!$B$2,0)*T5</f>
        <v>266736</v>
      </c>
      <c r="V5" s="25">
        <v>1</v>
      </c>
      <c r="W5" s="120">
        <f ca="1">ROUND(VLOOKUP(S5,[3]enemy_base_stats!$A:$F,3,FALSE) *INDIRECT("[EnemyMasterData.xlsm]enemies!Z"&amp;(M5+1))*  INDIRECT("[EnemyMasterData.xlsm]enemies!K"&amp;(M5+1))* INDIRECT("[EnemyMasterData.xlsm]enemies!P"&amp;(M5+1))* INDIRECT("[EnemyMasterData.xlsm]enemies!F"&amp;(M5+1))* INDIRECT("[EnemyMasterData.xlsm]enemies!T"&amp;(M5+1))* INDIRECT("[EnemyMasterData.xlsm]enemies!AE"&amp;(M5+1))*[4]ステータス!$C$2,0)*V5</f>
        <v>6154</v>
      </c>
      <c r="X5" s="119">
        <v>0</v>
      </c>
      <c r="Y5" s="4" t="e">
        <f ca="1">VLOOKUP($Z5,OFFSET([5]enemy_skill_sets!$B$1,0,0,COUNTA([5]enemy_skill_sets!$B:$B),MATCH(N$1,[5]enemy_skill_sets!$1:$1,0)-MATCH($Z$1,[5]enemy_skill_sets!$1:$1,0)+2),MATCH(N$1,[5]enemy_skill_sets!$1:$1,0)-MATCH($Z$1,[5]enemy_skill_sets!$1:$1,0)+2,FALSE)</f>
        <v>#VALUE!</v>
      </c>
      <c r="Z5" s="4">
        <v>40043012</v>
      </c>
      <c r="AA5" s="137">
        <v>1</v>
      </c>
    </row>
    <row r="6" spans="1:27" ht="21" customHeight="1" x14ac:dyDescent="0.15">
      <c r="A6" s="16" t="str">
        <f t="shared" si="0"/>
        <v>40043_1-4/1327&lt;lv60&gt;sq1st2</v>
      </c>
      <c r="B6" s="22">
        <v>40043</v>
      </c>
      <c r="C6" s="21">
        <v>1</v>
      </c>
      <c r="D6" s="2" t="str">
        <f t="shared" si="1"/>
        <v>40043_1</v>
      </c>
      <c r="E6" s="4" t="str">
        <f ca="1">VLOOKUP($B6,OFFSET([2]quests!$A$1,0,0,COUNTA([2]quests!$A:$A),MATCH(E$1,[2]quests!$1:$1,0)-MATCH($B$1,[2]quests!$1:$1,0)+1),MATCH(E$1,[2]quests!$1:$1,0)-MATCH($B$1,[2]quests!$1:$1,0)+1,FALSE)</f>
        <v>ワカヒルメ襲来！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【超絶級】ワカヒルメ襲来</v>
      </c>
      <c r="G6" s="21">
        <v>4</v>
      </c>
      <c r="H6" s="15" t="str">
        <f t="shared" si="2"/>
        <v>40043_1-4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>
        <v>1</v>
      </c>
      <c r="L6" s="38">
        <v>2</v>
      </c>
      <c r="M6" s="20">
        <v>1327</v>
      </c>
      <c r="N6" s="17" t="str">
        <f ca="1">VLOOKUP($M6,OFFSET([3]enemies!$A$1,0,0,COUNTA([3]enemies!$A:$A),MATCH(N$1,[3]enemies!$1:$1,0)-MATCH($M$1,[3]enemies!$1:$1,0)+1),MATCH(N$1,[3]enemies!$1:$1,0)-MATCH($M$1,[3]enemies!$1:$1,0)+1,FALSE)</f>
        <v>織神衣の幼神 ワカヒルメ</v>
      </c>
      <c r="O6" s="17" t="str">
        <f ca="1">VLOOKUP($M6,OFFSET([3]enemies!$A$1,0,0,COUNTA([3]enemies!$A:$A),MATCH(O$1,[3]enemies!$1:$1,0)-MATCH($M$1,[3]enemies!$1:$1,0)+1),MATCH(O$1,[3]enemies!$1:$1,0)-MATCH($M$1,[3]enemies!$1:$1,0)+1,FALSE)</f>
        <v>green</v>
      </c>
      <c r="P6" s="17" t="str">
        <f ca="1">VLOOKUP($M6,OFFSET([4]characters!$A$1,0,0,COUNTA([4]characters!$A:$A),MATCH(P$1,[4]characters!$1:$1,0)-MATCH($M$1,[4]characters!$1:$1,0)+1),MATCH(P$1,[4]characters!$1:$1,0)-MATCH($M$1,[4]characters!$1:$1,0)+1,FALSE)</f>
        <v>DropWizS</v>
      </c>
      <c r="Q6" s="17" t="str">
        <f ca="1">VLOOKUP($M6,OFFSET([3]enemies!$A$1,0,0,COUNTA([3]enemies!$A:$A),MATCH(Q$1,[3]enemies!$1:$1,0)-MATCH($M$1,[3]enemies!$1:$1,0)+1),MATCH(Q$1,[3]enemies!$1:$1,0)-MATCH($M$1,[3]enemies!$1:$1,0)+1,FALSE)</f>
        <v>god</v>
      </c>
      <c r="R6" s="17">
        <f ca="1">VLOOKUP($M6,OFFSET([3]enemies!$A$1,0,0,COUNTA([3]enemies!$A:$A),MATCH(R$1,[3]enemies!$1:$1,0)-MATCH($M$1,[3]enemies!$1:$1,0)+1),MATCH(R$1,[3]enemies!$1:$1,0)-MATCH($M$1,[3]enemies!$1:$1,0)+1,FALSE)</f>
        <v>60</v>
      </c>
      <c r="S6" s="5">
        <v>60</v>
      </c>
      <c r="T6" s="25">
        <v>4.3</v>
      </c>
      <c r="U6" s="104">
        <f ca="1">ROUND(VLOOKUP(S6,[3]enemy_base_stats!$A:$F,2,FALSE) *INDIRECT("[EnemyMasterData.xlsm]enemies!Y"&amp;(M6+1))*  INDIRECT("[EnemyMasterData.xlsm]enemies!J"&amp;(M6+1))* INDIRECT("[EnemyMasterData.xlsm]enemies!O"&amp;(M6+1))* INDIRECT("[EnemyMasterData.xlsm]enemies!E"&amp;(M6+1))* INDIRECT("[EnemyMasterData.xlsm]enemies!S"&amp;(M6+1))* INDIRECT("[EnemyMasterData.xlsm]enemies!AD"&amp;(M6+1))*[4]ステータス!$B$2,0)*T6</f>
        <v>449565</v>
      </c>
      <c r="V6" s="25">
        <v>2</v>
      </c>
      <c r="W6" s="104">
        <f ca="1">ROUND(VLOOKUP(S6,[3]enemy_base_stats!$A:$F,3,FALSE) *INDIRECT("[EnemyMasterData.xlsm]enemies!Z"&amp;(M6+1))*  INDIRECT("[EnemyMasterData.xlsm]enemies!K"&amp;(M6+1))* INDIRECT("[EnemyMasterData.xlsm]enemies!P"&amp;(M6+1))* INDIRECT("[EnemyMasterData.xlsm]enemies!F"&amp;(M6+1))* INDIRECT("[EnemyMasterData.xlsm]enemies!T"&amp;(M6+1))* INDIRECT("[EnemyMasterData.xlsm]enemies!AE"&amp;(M6+1))*[4]ステータス!$C$2,0)*V6</f>
        <v>15070</v>
      </c>
      <c r="X6" s="5">
        <v>0</v>
      </c>
      <c r="Y6" s="4" t="e">
        <f ca="1">VLOOKUP($Z6,OFFSET([5]enemy_skill_sets!$B$1,0,0,COUNTA([5]enemy_skill_sets!$B:$B),MATCH(N$1,[5]enemy_skill_sets!$1:$1,0)-MATCH($Z$1,[5]enemy_skill_sets!$1:$1,0)+2),MATCH(N$1,[5]enemy_skill_sets!$1:$1,0)-MATCH($Z$1,[5]enemy_skill_sets!$1:$1,0)+2,FALSE)</f>
        <v>#VALUE!</v>
      </c>
      <c r="Z6" s="4">
        <v>40043017</v>
      </c>
      <c r="AA6" s="71">
        <v>2</v>
      </c>
    </row>
    <row r="7" spans="1:27" ht="21" customHeight="1" thickBot="1" x14ac:dyDescent="0.2">
      <c r="A7" s="112" t="str">
        <f t="shared" si="0"/>
        <v>40043_1-4/1327&lt;lv60&gt;sq1st3</v>
      </c>
      <c r="B7" s="125">
        <v>40043</v>
      </c>
      <c r="C7" s="115">
        <v>1</v>
      </c>
      <c r="D7" s="117" t="str">
        <f t="shared" si="1"/>
        <v>40043_1</v>
      </c>
      <c r="E7" s="126" t="str">
        <f ca="1">VLOOKUP($B7,OFFSET([2]quests!$A$1,0,0,COUNTA([2]quests!$A:$A),MATCH(E$1,[2]quests!$1:$1,0)-MATCH($B$1,[2]quests!$1:$1,0)+1),MATCH(E$1,[2]quests!$1:$1,0)-MATCH($B$1,[2]quests!$1:$1,0)+1,FALSE)</f>
        <v>ワカヒルメ襲来！</v>
      </c>
      <c r="F7" s="126" t="str">
        <f ca="1">VLOOKUP($D7,OFFSET([2]stages!$A$1,0,0,COUNTA([2]stages!$A:$A),MATCH(F$1,[2]stages!$2:$2,0)-MATCH($D$1,[2]stages!$2:$2,0)+1),MATCH(F$1,[2]stages!$2:$2,0)-MATCH($D$1,[2]stages!$2:$2,0)+1,FALSE)</f>
        <v>【超絶級】ワカヒルメ襲来</v>
      </c>
      <c r="G7" s="115">
        <v>4</v>
      </c>
      <c r="H7" s="117" t="str">
        <f t="shared" si="2"/>
        <v>40043_1-4</v>
      </c>
      <c r="I7" s="126">
        <f ca="1">VLOOKUP($H7,OFFSET(floors!$A$1,0,0,COUNTA(floors!$A:$A),MATCH(I$1,floors!$1:$1,0)-MATCH($H$1,floors!$1:$1,0)+1),MATCH(I$1,floors!$1:$1,0)-MATCH($H$1,floors!$1:$1,0)+1,FALSE)</f>
        <v>60</v>
      </c>
      <c r="J7" s="126">
        <f ca="1">VLOOKUP($H7,OFFSET(floors!$A$1,0,0,COUNTA(floors!$A:$A),MATCH(J$1,floors!$1:$1,0)-MATCH($H$1,floors!$1:$1,0)+1),MATCH(J$1,floors!$1:$1,0)-MATCH($H$1,floors!$1:$1,0)+1,FALSE)</f>
        <v>60</v>
      </c>
      <c r="K7" s="118">
        <v>1</v>
      </c>
      <c r="L7" s="118">
        <v>3</v>
      </c>
      <c r="M7" s="127">
        <v>1327</v>
      </c>
      <c r="N7" s="128" t="str">
        <f ca="1">VLOOKUP($M7,OFFSET([3]enemies!$A$1,0,0,COUNTA([3]enemies!$A:$A),MATCH(N$1,[3]enemies!$1:$1,0)-MATCH($M$1,[3]enemies!$1:$1,0)+1),MATCH(N$1,[3]enemies!$1:$1,0)-MATCH($M$1,[3]enemies!$1:$1,0)+1,FALSE)</f>
        <v>織神衣の幼神 ワカヒルメ</v>
      </c>
      <c r="O7" s="128" t="str">
        <f ca="1">VLOOKUP($M7,OFFSET([3]enemies!$A$1,0,0,COUNTA([3]enemies!$A:$A),MATCH(O$1,[3]enemies!$1:$1,0)-MATCH($M$1,[3]enemies!$1:$1,0)+1),MATCH(O$1,[3]enemies!$1:$1,0)-MATCH($M$1,[3]enemies!$1:$1,0)+1,FALSE)</f>
        <v>green</v>
      </c>
      <c r="P7" s="128" t="str">
        <f ca="1">VLOOKUP($M7,OFFSET([4]characters!$A$1,0,0,COUNTA([4]characters!$A:$A),MATCH(P$1,[4]characters!$1:$1,0)-MATCH($M$1,[4]characters!$1:$1,0)+1),MATCH(P$1,[4]characters!$1:$1,0)-MATCH($M$1,[4]characters!$1:$1,0)+1,FALSE)</f>
        <v>DropWizS</v>
      </c>
      <c r="Q7" s="128" t="str">
        <f ca="1">VLOOKUP($M7,OFFSET([3]enemies!$A$1,0,0,COUNTA([3]enemies!$A:$A),MATCH(Q$1,[3]enemies!$1:$1,0)-MATCH($M$1,[3]enemies!$1:$1,0)+1),MATCH(Q$1,[3]enemies!$1:$1,0)-MATCH($M$1,[3]enemies!$1:$1,0)+1,FALSE)</f>
        <v>god</v>
      </c>
      <c r="R7" s="128">
        <f ca="1">VLOOKUP($M7,OFFSET([3]enemies!$A$1,0,0,COUNTA([3]enemies!$A:$A),MATCH(R$1,[3]enemies!$1:$1,0)-MATCH($M$1,[3]enemies!$1:$1,0)+1),MATCH(R$1,[3]enemies!$1:$1,0)-MATCH($M$1,[3]enemies!$1:$1,0)+1,FALSE)</f>
        <v>60</v>
      </c>
      <c r="S7" s="129">
        <v>60</v>
      </c>
      <c r="T7" s="130">
        <v>6.1</v>
      </c>
      <c r="U7" s="131">
        <f ca="1">ROUND(VLOOKUP(S7,[3]enemy_base_stats!$A:$F,2,FALSE) *INDIRECT("[EnemyMasterData.xlsm]enemies!Y"&amp;(M7+1))*  INDIRECT("[EnemyMasterData.xlsm]enemies!J"&amp;(M7+1))* INDIRECT("[EnemyMasterData.xlsm]enemies!O"&amp;(M7+1))* INDIRECT("[EnemyMasterData.xlsm]enemies!E"&amp;(M7+1))* INDIRECT("[EnemyMasterData.xlsm]enemies!S"&amp;(M7+1))* INDIRECT("[EnemyMasterData.xlsm]enemies!AD"&amp;(M7+1))*[4]ステータス!$B$2,0)*T7</f>
        <v>637755</v>
      </c>
      <c r="V7" s="130">
        <v>1.8</v>
      </c>
      <c r="W7" s="131">
        <f ca="1">ROUND(VLOOKUP(S7,[3]enemy_base_stats!$A:$F,3,FALSE) *INDIRECT("[EnemyMasterData.xlsm]enemies!Z"&amp;(M7+1))*  INDIRECT("[EnemyMasterData.xlsm]enemies!K"&amp;(M7+1))* INDIRECT("[EnemyMasterData.xlsm]enemies!P"&amp;(M7+1))* INDIRECT("[EnemyMasterData.xlsm]enemies!F"&amp;(M7+1))* INDIRECT("[EnemyMasterData.xlsm]enemies!T"&amp;(M7+1))* INDIRECT("[EnemyMasterData.xlsm]enemies!AE"&amp;(M7+1))*[4]ステータス!$C$2,0)*V7</f>
        <v>13563</v>
      </c>
      <c r="X7" s="129">
        <v>0</v>
      </c>
      <c r="Y7" s="126" t="e">
        <f ca="1">VLOOKUP($Z7,OFFSET([5]enemy_skill_sets!$B$1,0,0,COUNTA([5]enemy_skill_sets!$B:$B),MATCH(N$1,[5]enemy_skill_sets!$1:$1,0)-MATCH($Z$1,[5]enemy_skill_sets!$1:$1,0)+2),MATCH(N$1,[5]enemy_skill_sets!$1:$1,0)-MATCH($Z$1,[5]enemy_skill_sets!$1:$1,0)+2,FALSE)</f>
        <v>#VALUE!</v>
      </c>
      <c r="Z7" s="195">
        <v>40043018</v>
      </c>
      <c r="AA7" s="138"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91"/>
  <sheetViews>
    <sheetView showGridLines="0" tabSelected="1" zoomScale="110" zoomScaleNormal="110" zoomScalePageLayoutView="110" workbookViewId="0">
      <pane ySplit="1" topLeftCell="A2" activePane="bottomLeft" state="frozenSplit"/>
      <selection pane="bottomLeft" activeCell="B4" sqref="B4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78</v>
      </c>
      <c r="B1" s="40" t="s">
        <v>79</v>
      </c>
      <c r="C1" s="40" t="s">
        <v>80</v>
      </c>
      <c r="D1" s="40" t="s">
        <v>126</v>
      </c>
      <c r="E1" s="40" t="s">
        <v>81</v>
      </c>
      <c r="F1" s="40" t="s">
        <v>82</v>
      </c>
      <c r="G1" s="41" t="s">
        <v>132</v>
      </c>
      <c r="H1" s="41" t="s">
        <v>138</v>
      </c>
      <c r="I1" s="41" t="s">
        <v>140</v>
      </c>
      <c r="J1" s="41" t="s">
        <v>139</v>
      </c>
      <c r="K1" s="41" t="s">
        <v>141</v>
      </c>
      <c r="L1" s="41" t="s">
        <v>133</v>
      </c>
      <c r="M1" s="41" t="s">
        <v>131</v>
      </c>
      <c r="N1" s="41" t="s">
        <v>134</v>
      </c>
      <c r="O1" s="41" t="s">
        <v>142</v>
      </c>
      <c r="P1" s="41" t="s">
        <v>143</v>
      </c>
      <c r="Q1" s="41" t="s">
        <v>144</v>
      </c>
      <c r="R1" s="41" t="s">
        <v>145</v>
      </c>
      <c r="S1" s="41" t="s">
        <v>135</v>
      </c>
      <c r="T1" s="41" t="s">
        <v>136</v>
      </c>
      <c r="U1" s="41" t="s">
        <v>146</v>
      </c>
      <c r="V1" s="41" t="s">
        <v>147</v>
      </c>
      <c r="W1" s="41" t="s">
        <v>148</v>
      </c>
      <c r="X1" s="41" t="s">
        <v>149</v>
      </c>
      <c r="Y1" s="41" t="s">
        <v>137</v>
      </c>
      <c r="Z1" s="41" t="s">
        <v>75</v>
      </c>
      <c r="AA1" s="41" t="s">
        <v>76</v>
      </c>
      <c r="AB1" s="41" t="s">
        <v>77</v>
      </c>
    </row>
    <row r="2" spans="1:28" ht="21" customHeight="1" x14ac:dyDescent="0.15">
      <c r="A2" s="140">
        <v>40043001</v>
      </c>
      <c r="B2" s="47" t="s">
        <v>413</v>
      </c>
      <c r="C2" s="50">
        <v>3</v>
      </c>
      <c r="D2" s="50" t="s">
        <v>127</v>
      </c>
      <c r="E2" s="51" t="s">
        <v>390</v>
      </c>
      <c r="F2" s="51" t="s">
        <v>256</v>
      </c>
      <c r="G2" s="64" t="str">
        <f t="shared" ref="G2" si="0">IFERROR(LEFT(B2,FIND("],",B2)),B2)</f>
        <v>[effect:enemy_message, val1:1.2, val2:0]</v>
      </c>
      <c r="H2" s="64">
        <f t="shared" ref="H2" si="1">FIND("effect:",G2)+7</f>
        <v>9</v>
      </c>
      <c r="I2" s="64">
        <f t="shared" ref="I2" si="2">IFERROR(FIND(",",G2),LEN(G2))</f>
        <v>22</v>
      </c>
      <c r="J2" s="64" t="e">
        <f t="shared" ref="J2" si="3">FIND("target:",G2)+7</f>
        <v>#VALUE!</v>
      </c>
      <c r="K2" s="64">
        <f t="shared" ref="K2" si="4">FIND(",",G2,I2+1)</f>
        <v>32</v>
      </c>
      <c r="L2" s="64" t="str">
        <f>IFERROR(VLOOKUP(MID(G2,J2,K2-J2),[6]skilldef!$C:$D,2,FALSE),"-") &amp; " / " &amp; IFERROR(VLOOKUP(MID(G2,H2,I2-H2),[6]skilldef!$A:$B,2,FALSE),"-")</f>
        <v>- / -</v>
      </c>
      <c r="M2" s="64" t="str">
        <f t="shared" ref="M2" si="5">IFERROR(RIGHT(B2,LEN(B2)-FIND("],",B2)-1),"none")</f>
        <v>[effect:fix_speed, target:myself, turn:2]</v>
      </c>
      <c r="N2" s="48" t="str">
        <f t="shared" ref="N2" si="6">IFERROR(LEFT(M2,FIND("],",M2)+S12),M2)</f>
        <v>[effect:fix_speed, target:myself, turn:2]</v>
      </c>
      <c r="O2" s="64">
        <f t="shared" ref="O2" si="7">FIND("effect:",N2)+7</f>
        <v>9</v>
      </c>
      <c r="P2" s="64">
        <f t="shared" ref="P2" si="8">IFERROR(FIND(",",N2),LEN(N2))</f>
        <v>18</v>
      </c>
      <c r="Q2" s="64">
        <f t="shared" ref="Q2" si="9">FIND("target:",N2)+7</f>
        <v>27</v>
      </c>
      <c r="R2" s="64">
        <f t="shared" ref="R2" si="10">FIND(",",N2,P2+1)</f>
        <v>33</v>
      </c>
      <c r="S2" s="64" t="str">
        <f>IFERROR(VLOOKUP(MID(N2,Q2,R2-Q2),[6]skilldef!$C:$D,2,FALSE),"-") &amp; " / " &amp; IFERROR(VLOOKUP(MID(N2,O2,P2-O2),[6]skilldef!$A:$B,2,FALSE),"-")</f>
        <v>自分自身に / 行動値設定</v>
      </c>
      <c r="T2" s="48" t="str">
        <f t="shared" ref="T2" si="11">IFERROR(RIGHT(M2,LEN(M2)-FIND("],",M2)-1),"none")</f>
        <v>none</v>
      </c>
      <c r="U2" s="64" t="e">
        <f t="shared" ref="U2" si="12">FIND("effect:",T2)+7</f>
        <v>#VALUE!</v>
      </c>
      <c r="V2" s="64">
        <f t="shared" ref="V2" si="13">IFERROR(FIND(",",T2),LEN(T2))</f>
        <v>4</v>
      </c>
      <c r="W2" s="64" t="e">
        <f t="shared" ref="W2" si="14">FIND("target:",T2)+7</f>
        <v>#VALUE!</v>
      </c>
      <c r="X2" s="64" t="e">
        <f t="shared" ref="X2" si="15">FIND(",",T2,V2+1)</f>
        <v>#VALUE!</v>
      </c>
      <c r="Y2" s="64" t="str">
        <f>IFERROR(VLOOKUP(MID(T2,W2,X2-W2),[6]skilldef!$C:$D,2,FALSE),"-") &amp; " / " &amp; IFERROR(VLOOKUP(MID(T2,U2,V2-U2),[6]skilldef!$A:$B,2,FALSE),"-")</f>
        <v>- / -</v>
      </c>
      <c r="Z2" s="50"/>
      <c r="AA2" s="52"/>
      <c r="AB2" s="50"/>
    </row>
    <row r="3" spans="1:28" ht="21" customHeight="1" x14ac:dyDescent="0.15">
      <c r="A3" s="140">
        <v>40043002</v>
      </c>
      <c r="B3" s="47" t="s">
        <v>364</v>
      </c>
      <c r="C3" s="50">
        <v>3</v>
      </c>
      <c r="D3" s="50" t="s">
        <v>127</v>
      </c>
      <c r="E3" s="51" t="s">
        <v>409</v>
      </c>
      <c r="F3" s="51" t="s">
        <v>340</v>
      </c>
      <c r="G3" s="64" t="str">
        <f t="shared" ref="G3:G42" si="16">IFERROR(LEFT(B3,FIND("],",B3)),B3)</f>
        <v>[effect:enemy_message, val1:1.2, val2:1.8]</v>
      </c>
      <c r="H3" s="64">
        <f t="shared" ref="H3:H42" si="17">FIND("effect:",G3)+7</f>
        <v>9</v>
      </c>
      <c r="I3" s="64">
        <f t="shared" ref="I3:I42" si="18">IFERROR(FIND(",",G3),LEN(G3))</f>
        <v>22</v>
      </c>
      <c r="J3" s="64" t="e">
        <f t="shared" ref="J3:J42" si="19">FIND("target:",G3)+7</f>
        <v>#VALUE!</v>
      </c>
      <c r="K3" s="64">
        <f t="shared" ref="K3:K42" si="20">FIND(",",G3,I3+1)</f>
        <v>32</v>
      </c>
      <c r="L3" s="64" t="str">
        <f>IFERROR(VLOOKUP(MID(G3,J3,K3-J3),[6]skilldef!$C:$D,2,FALSE),"-") &amp; " / " &amp; IFERROR(VLOOKUP(MID(G3,H3,I3-H3),[6]skilldef!$A:$B,2,FALSE),"-")</f>
        <v>- / -</v>
      </c>
      <c r="M3" s="64" t="str">
        <f t="shared" ref="M3:M42" si="21">IFERROR(RIGHT(B3,LEN(B3)-FIND("],",B3)-1),"none")</f>
        <v>[effect:enemy_counter, target:myself, invoke_condition:unit_all, counter_target:attacker, turn:3, val:1, animation:enemy_counter]</v>
      </c>
      <c r="N3" s="48" t="str">
        <f t="shared" ref="N3:N42" si="22">IFERROR(LEFT(M3,FIND("],",M3)+S13),M3)</f>
        <v>[effect:enemy_counter, target:myself, invoke_condition:unit_all, counter_target:attacker, turn:3, val:1, animation:enemy_counter]</v>
      </c>
      <c r="O3" s="64">
        <f t="shared" ref="O3:O42" si="23">FIND("effect:",N3)+7</f>
        <v>9</v>
      </c>
      <c r="P3" s="64">
        <f t="shared" ref="P3:P42" si="24">IFERROR(FIND(",",N3),LEN(N3))</f>
        <v>22</v>
      </c>
      <c r="Q3" s="64">
        <f t="shared" ref="Q3:Q42" si="25">FIND("target:",N3)+7</f>
        <v>31</v>
      </c>
      <c r="R3" s="64">
        <f t="shared" ref="R3:R42" si="26">FIND(",",N3,P3+1)</f>
        <v>37</v>
      </c>
      <c r="S3" s="64" t="str">
        <f>IFERROR(VLOOKUP(MID(N3,Q3,R3-Q3),[6]skilldef!$C:$D,2,FALSE),"-") &amp; " / " &amp; IFERROR(VLOOKUP(MID(N3,O3,P3-O3),[6]skilldef!$A:$B,2,FALSE),"-")</f>
        <v>自分自身に / カウンター</v>
      </c>
      <c r="T3" s="48" t="str">
        <f t="shared" ref="T3:T42" si="27">IFERROR(RIGHT(M3,LEN(M3)-FIND("],",M3)-1),"none")</f>
        <v>none</v>
      </c>
      <c r="U3" s="64" t="e">
        <f t="shared" ref="U3:U42" si="28">FIND("effect:",T3)+7</f>
        <v>#VALUE!</v>
      </c>
      <c r="V3" s="64">
        <f t="shared" ref="V3:V42" si="29">IFERROR(FIND(",",T3),LEN(T3))</f>
        <v>4</v>
      </c>
      <c r="W3" s="64" t="e">
        <f t="shared" ref="W3:W42" si="30">FIND("target:",T3)+7</f>
        <v>#VALUE!</v>
      </c>
      <c r="X3" s="64" t="e">
        <f t="shared" ref="X3:X42" si="31">FIND(",",T3,V3+1)</f>
        <v>#VALUE!</v>
      </c>
      <c r="Y3" s="64" t="str">
        <f>IFERROR(VLOOKUP(MID(T3,W3,X3-W3),[6]skilldef!$C:$D,2,FALSE),"-") &amp; " / " &amp; IFERROR(VLOOKUP(MID(T3,U3,V3-U3),[6]skilldef!$A:$B,2,FALSE),"-")</f>
        <v>- / -</v>
      </c>
      <c r="Z3" s="50"/>
      <c r="AA3" s="52"/>
      <c r="AB3" s="50"/>
    </row>
    <row r="4" spans="1:28" ht="21" customHeight="1" x14ac:dyDescent="0.15">
      <c r="A4" s="140">
        <v>40043003</v>
      </c>
      <c r="B4" s="47" t="s">
        <v>448</v>
      </c>
      <c r="C4" s="50">
        <v>3</v>
      </c>
      <c r="D4" s="50" t="s">
        <v>127</v>
      </c>
      <c r="E4" s="51" t="s">
        <v>388</v>
      </c>
      <c r="F4" s="51" t="s">
        <v>379</v>
      </c>
      <c r="G4" s="64" t="str">
        <f t="shared" si="16"/>
        <v>[effect:enemy_message, val1:1.2, val2:1.7]</v>
      </c>
      <c r="H4" s="64">
        <f t="shared" si="17"/>
        <v>9</v>
      </c>
      <c r="I4" s="64">
        <f t="shared" si="18"/>
        <v>22</v>
      </c>
      <c r="J4" s="64" t="e">
        <f t="shared" si="19"/>
        <v>#VALUE!</v>
      </c>
      <c r="K4" s="64">
        <f t="shared" si="20"/>
        <v>32</v>
      </c>
      <c r="L4" s="64" t="str">
        <f>IFERROR(VLOOKUP(MID(G4,J4,K4-J4),[6]skilldef!$C:$D,2,FALSE),"-") &amp; " / " &amp; IFERROR(VLOOKUP(MID(G4,H4,I4-H4),[6]skilldef!$A:$B,2,FALSE),"-")</f>
        <v>- / -</v>
      </c>
      <c r="M4" s="64" t="str">
        <f t="shared" si="21"/>
        <v>[effect:ability_lock, target:unit_all, turn:1],[effect:sleep, target:unit_all, turn:1, rate:1, animation:sleep01],[effect:fix_speed, target:myself, turn:1],[effect:force_change_block, new_block:block_green, target:block_all, ignore01:block_positive, ignore02:block_negative, ignore03:block_green, count:15, val:0, animation:change_block]</v>
      </c>
      <c r="N4" s="48" t="str">
        <f t="shared" si="22"/>
        <v>[effect:ability_lock, target:unit_all, turn:1],[effect:sleep, target:unit_all, turn:1, rate:1, animation:sleep01],[effect:fix_speed, target:myself, turn:1],[effect:force_change_block, new_block:block_green, target:block_all, ignore01:block_positive, ignore02:block_negative, ignore03:block_green, count:15, val:0, animation:change_block]</v>
      </c>
      <c r="O4" s="64">
        <f t="shared" si="23"/>
        <v>9</v>
      </c>
      <c r="P4" s="64">
        <f t="shared" si="24"/>
        <v>21</v>
      </c>
      <c r="Q4" s="64">
        <f t="shared" si="25"/>
        <v>30</v>
      </c>
      <c r="R4" s="64">
        <f t="shared" si="26"/>
        <v>38</v>
      </c>
      <c r="S4" s="64" t="str">
        <f>IFERROR(VLOOKUP(MID(N4,Q4,R4-Q4),[6]skilldef!$C:$D,2,FALSE),"-") &amp; " / " &amp; IFERROR(VLOOKUP(MID(N4,O4,P4-O4),[6]skilldef!$A:$B,2,FALSE),"-")</f>
        <v>味方全体に / -</v>
      </c>
      <c r="T4" s="48" t="str">
        <f t="shared" si="27"/>
        <v>[effect:sleep, target:unit_all, turn:1, rate:1, animation:sleep01],[effect:fix_speed, target:myself, turn:1],[effect:force_change_block, new_block:block_green, target:block_all, ignore01:block_positive, ignore02:block_negative, ignore03:block_green, count:15, val:0, animation:change_block]</v>
      </c>
      <c r="U4" s="64">
        <f t="shared" si="28"/>
        <v>9</v>
      </c>
      <c r="V4" s="64">
        <f t="shared" si="29"/>
        <v>14</v>
      </c>
      <c r="W4" s="64">
        <f t="shared" si="30"/>
        <v>23</v>
      </c>
      <c r="X4" s="64">
        <f t="shared" si="31"/>
        <v>31</v>
      </c>
      <c r="Y4" s="64" t="str">
        <f>IFERROR(VLOOKUP(MID(T4,W4,X4-W4),[6]skilldef!$C:$D,2,FALSE),"-") &amp; " / " &amp; IFERROR(VLOOKUP(MID(T4,U4,V4-U4),[6]skilldef!$A:$B,2,FALSE),"-")</f>
        <v>味方全体に / スリープ</v>
      </c>
      <c r="Z4" s="50"/>
      <c r="AA4" s="52"/>
      <c r="AB4" s="50"/>
    </row>
    <row r="5" spans="1:28" ht="21" customHeight="1" thickBot="1" x14ac:dyDescent="0.2">
      <c r="A5" s="168">
        <v>40043004</v>
      </c>
      <c r="B5" s="147" t="s">
        <v>442</v>
      </c>
      <c r="C5" s="148">
        <v>3</v>
      </c>
      <c r="D5" s="148" t="s">
        <v>127</v>
      </c>
      <c r="E5" s="149" t="s">
        <v>433</v>
      </c>
      <c r="F5" s="149" t="s">
        <v>257</v>
      </c>
      <c r="G5" s="150" t="str">
        <f t="shared" si="16"/>
        <v>[effect:enemy_message, val1:1.3, val2:1.2]</v>
      </c>
      <c r="H5" s="150">
        <f t="shared" si="17"/>
        <v>9</v>
      </c>
      <c r="I5" s="150">
        <f t="shared" si="18"/>
        <v>22</v>
      </c>
      <c r="J5" s="150" t="e">
        <f t="shared" si="19"/>
        <v>#VALUE!</v>
      </c>
      <c r="K5" s="150">
        <f t="shared" si="20"/>
        <v>32</v>
      </c>
      <c r="L5" s="150" t="str">
        <f>IFERROR(VLOOKUP(MID(G5,J5,K5-J5),[6]skilldef!$C:$D,2,FALSE),"-") &amp; " / " &amp; IFERROR(VLOOKUP(MID(G5,H5,I5-H5),[6]skilldef!$A:$B,2,FALSE),"-")</f>
        <v>- / -</v>
      </c>
      <c r="M5" s="150" t="str">
        <f t="shared" si="21"/>
        <v>[effect:suicide, target:myself, val:1, dead_type:escape, animation:enemy_suicide]</v>
      </c>
      <c r="N5" s="151" t="str">
        <f t="shared" si="22"/>
        <v>[effect:suicide, target:myself, val:1, dead_type:escape, animation:enemy_suicide]</v>
      </c>
      <c r="O5" s="150">
        <f t="shared" si="23"/>
        <v>9</v>
      </c>
      <c r="P5" s="150">
        <f t="shared" si="24"/>
        <v>16</v>
      </c>
      <c r="Q5" s="150">
        <f t="shared" si="25"/>
        <v>25</v>
      </c>
      <c r="R5" s="150">
        <f t="shared" si="26"/>
        <v>31</v>
      </c>
      <c r="S5" s="150" t="str">
        <f>IFERROR(VLOOKUP(MID(N5,Q5,R5-Q5),[6]skilldef!$C:$D,2,FALSE),"-") &amp; " / " &amp; IFERROR(VLOOKUP(MID(N5,O5,P5-O5),[6]skilldef!$A:$B,2,FALSE),"-")</f>
        <v>自分自身に / -</v>
      </c>
      <c r="T5" s="151" t="str">
        <f t="shared" si="27"/>
        <v>none</v>
      </c>
      <c r="U5" s="150" t="e">
        <f t="shared" si="28"/>
        <v>#VALUE!</v>
      </c>
      <c r="V5" s="150">
        <f t="shared" si="29"/>
        <v>4</v>
      </c>
      <c r="W5" s="150" t="e">
        <f t="shared" si="30"/>
        <v>#VALUE!</v>
      </c>
      <c r="X5" s="150" t="e">
        <f t="shared" si="31"/>
        <v>#VALUE!</v>
      </c>
      <c r="Y5" s="150" t="str">
        <f>IFERROR(VLOOKUP(MID(T5,W5,X5-W5),[6]skilldef!$C:$D,2,FALSE),"-") &amp; " / " &amp; IFERROR(VLOOKUP(MID(T5,U5,V5-U5),[6]skilldef!$A:$B,2,FALSE),"-")</f>
        <v>- / -</v>
      </c>
      <c r="Z5" s="148"/>
      <c r="AA5" s="152"/>
      <c r="AB5" s="148"/>
    </row>
    <row r="6" spans="1:28" ht="21" customHeight="1" x14ac:dyDescent="0.15">
      <c r="A6" s="153">
        <v>40043005</v>
      </c>
      <c r="B6" s="141" t="s">
        <v>359</v>
      </c>
      <c r="C6" s="142">
        <v>3</v>
      </c>
      <c r="D6" s="142" t="s">
        <v>127</v>
      </c>
      <c r="E6" s="143" t="s">
        <v>258</v>
      </c>
      <c r="F6" s="143" t="s">
        <v>259</v>
      </c>
      <c r="G6" s="144" t="str">
        <f t="shared" si="16"/>
        <v>[effect:enemy_message, val1:1.9, val2:1.9]</v>
      </c>
      <c r="H6" s="144">
        <f t="shared" si="17"/>
        <v>9</v>
      </c>
      <c r="I6" s="144">
        <f t="shared" si="18"/>
        <v>22</v>
      </c>
      <c r="J6" s="144" t="e">
        <f t="shared" si="19"/>
        <v>#VALUE!</v>
      </c>
      <c r="K6" s="144">
        <f t="shared" si="20"/>
        <v>32</v>
      </c>
      <c r="L6" s="144" t="str">
        <f>IFERROR(VLOOKUP(MID(G6,J6,K6-J6),[6]skilldef!$C:$D,2,FALSE),"-") &amp; " / " &amp; IFERROR(VLOOKUP(MID(G6,H6,I6-H6),[6]skilldef!$A:$B,2,FALSE),"-")</f>
        <v>- / -</v>
      </c>
      <c r="M6" s="144" t="str">
        <f t="shared" si="21"/>
        <v>[effect:fix_speed, target:myself, turn:2],[effect:force_change_block, new_block:damage, target:block_green, color:block_red, count:5, val:0.1, animation:change_block]</v>
      </c>
      <c r="N6" s="145" t="str">
        <f t="shared" si="22"/>
        <v>[effect:fix_speed, target:myself, turn:2],[effect:force_change_block, new_block:damage, target:block_green, color:block_red, count:5, val:0.1, animation:change_block]</v>
      </c>
      <c r="O6" s="144">
        <f t="shared" si="23"/>
        <v>9</v>
      </c>
      <c r="P6" s="144">
        <f t="shared" si="24"/>
        <v>18</v>
      </c>
      <c r="Q6" s="144">
        <f t="shared" si="25"/>
        <v>27</v>
      </c>
      <c r="R6" s="144">
        <f t="shared" si="26"/>
        <v>33</v>
      </c>
      <c r="S6" s="144" t="str">
        <f>IFERROR(VLOOKUP(MID(N6,Q6,R6-Q6),[6]skilldef!$C:$D,2,FALSE),"-") &amp; " / " &amp; IFERROR(VLOOKUP(MID(N6,O6,P6-O6),[6]skilldef!$A:$B,2,FALSE),"-")</f>
        <v>自分自身に / 行動値設定</v>
      </c>
      <c r="T6" s="145" t="str">
        <f t="shared" si="27"/>
        <v>[effect:force_change_block, new_block:damage, target:block_green, color:block_red, count:5, val:0.1, animation:change_block]</v>
      </c>
      <c r="U6" s="144">
        <f t="shared" si="28"/>
        <v>9</v>
      </c>
      <c r="V6" s="144">
        <f t="shared" si="29"/>
        <v>27</v>
      </c>
      <c r="W6" s="144">
        <f t="shared" si="30"/>
        <v>54</v>
      </c>
      <c r="X6" s="144">
        <f t="shared" si="31"/>
        <v>45</v>
      </c>
      <c r="Y6" s="144" t="str">
        <f>IFERROR(VLOOKUP(MID(T6,W6,X6-W6),[6]skilldef!$C:$D,2,FALSE),"-") &amp; " / " &amp; IFERROR(VLOOKUP(MID(T6,U6,V6-U6),[6]skilldef!$A:$B,2,FALSE),"-")</f>
        <v>- / -</v>
      </c>
      <c r="Z6" s="142"/>
      <c r="AA6" s="146"/>
      <c r="AB6" s="142"/>
    </row>
    <row r="7" spans="1:28" ht="21" customHeight="1" x14ac:dyDescent="0.15">
      <c r="A7" s="153">
        <v>40043006</v>
      </c>
      <c r="B7" s="47" t="s">
        <v>377</v>
      </c>
      <c r="C7" s="50">
        <v>3</v>
      </c>
      <c r="D7" s="50" t="s">
        <v>127</v>
      </c>
      <c r="E7" s="51" t="s">
        <v>260</v>
      </c>
      <c r="F7" s="51" t="s">
        <v>365</v>
      </c>
      <c r="G7" s="64" t="str">
        <f t="shared" si="16"/>
        <v>[effect:enemy_message, val1:1.2, val2:1.9]</v>
      </c>
      <c r="H7" s="64">
        <f t="shared" si="17"/>
        <v>9</v>
      </c>
      <c r="I7" s="64">
        <f t="shared" si="18"/>
        <v>22</v>
      </c>
      <c r="J7" s="64" t="e">
        <f t="shared" si="19"/>
        <v>#VALUE!</v>
      </c>
      <c r="K7" s="64">
        <f t="shared" si="20"/>
        <v>32</v>
      </c>
      <c r="L7" s="64" t="str">
        <f>IFERROR(VLOOKUP(MID(G7,J7,K7-J7),[6]skilldef!$C:$D,2,FALSE),"-") &amp; " / " &amp; IFERROR(VLOOKUP(MID(G7,H7,I7-H7),[6]skilldef!$A:$B,2,FALSE),"-")</f>
        <v>- / -</v>
      </c>
      <c r="M7" s="64" t="str">
        <f t="shared" si="21"/>
        <v>[effect:force_change_block, new_block:block_green, target:block_blue, count:5, val:0, animation:change_block],[effect:spread, val:0.34]</v>
      </c>
      <c r="N7" s="48" t="str">
        <f t="shared" si="22"/>
        <v>[effect:force_change_block, new_block:block_green, target:block_blue, count:5, val:0, animation:change_block],[effect:spread, val:0.34]</v>
      </c>
      <c r="O7" s="64">
        <f t="shared" si="23"/>
        <v>9</v>
      </c>
      <c r="P7" s="64">
        <f t="shared" si="24"/>
        <v>27</v>
      </c>
      <c r="Q7" s="64">
        <f t="shared" si="25"/>
        <v>59</v>
      </c>
      <c r="R7" s="64">
        <f t="shared" si="26"/>
        <v>50</v>
      </c>
      <c r="S7" s="64" t="str">
        <f>IFERROR(VLOOKUP(MID(N7,Q7,R7-Q7),[6]skilldef!$C:$D,2,FALSE),"-") &amp; " / " &amp; IFERROR(VLOOKUP(MID(N7,O7,P7-O7),[6]skilldef!$A:$B,2,FALSE),"-")</f>
        <v>- / -</v>
      </c>
      <c r="T7" s="48" t="str">
        <f t="shared" si="27"/>
        <v>[effect:spread, val:0.34]</v>
      </c>
      <c r="U7" s="64">
        <f t="shared" si="28"/>
        <v>9</v>
      </c>
      <c r="V7" s="64">
        <f t="shared" si="29"/>
        <v>15</v>
      </c>
      <c r="W7" s="64" t="e">
        <f t="shared" si="30"/>
        <v>#VALUE!</v>
      </c>
      <c r="X7" s="64" t="e">
        <f t="shared" si="31"/>
        <v>#VALUE!</v>
      </c>
      <c r="Y7" s="64" t="str">
        <f>IFERROR(VLOOKUP(MID(T7,W7,X7-W7),[6]skilldef!$C:$D,2,FALSE),"-") &amp; " / " &amp; IFERROR(VLOOKUP(MID(T7,U7,V7-U7),[6]skilldef!$A:$B,2,FALSE),"-")</f>
        <v>- / 全体攻撃</v>
      </c>
      <c r="Z7" s="50"/>
      <c r="AA7" s="52"/>
      <c r="AB7" s="50"/>
    </row>
    <row r="8" spans="1:28" ht="21" customHeight="1" x14ac:dyDescent="0.15">
      <c r="A8" s="153">
        <v>40043007</v>
      </c>
      <c r="B8" s="47" t="s">
        <v>298</v>
      </c>
      <c r="C8" s="50">
        <v>3</v>
      </c>
      <c r="D8" s="50" t="s">
        <v>127</v>
      </c>
      <c r="E8" s="51" t="s">
        <v>261</v>
      </c>
      <c r="F8" s="51" t="s">
        <v>299</v>
      </c>
      <c r="G8" s="64" t="str">
        <f t="shared" si="16"/>
        <v>[effect:enemy_message, val1:1.4, val2:3.6]</v>
      </c>
      <c r="H8" s="64">
        <f t="shared" si="17"/>
        <v>9</v>
      </c>
      <c r="I8" s="64">
        <f t="shared" si="18"/>
        <v>22</v>
      </c>
      <c r="J8" s="64" t="e">
        <f t="shared" si="19"/>
        <v>#VALUE!</v>
      </c>
      <c r="K8" s="64">
        <f t="shared" si="20"/>
        <v>32</v>
      </c>
      <c r="L8" s="64" t="str">
        <f>IFERROR(VLOOKUP(MID(G8,J8,K8-J8),[6]skilldef!$C:$D,2,FALSE),"-") &amp; " / " &amp; IFERROR(VLOOKUP(MID(G8,H8,I8-H8),[6]skilldef!$A:$B,2,FALSE),"-")</f>
        <v>- / -</v>
      </c>
      <c r="M8" s="64" t="str">
        <f t="shared" si="21"/>
        <v>[effect:force_change_block, new_block:damage, target:block_green, color:block_blue, count:5, val:0.1, animation:change_block],[effect:damage_fix_absolute, target:unit_all, val:2000]</v>
      </c>
      <c r="N8" s="48" t="str">
        <f t="shared" si="22"/>
        <v>[effect:force_change_block, new_block:damage, target:block_green, color:block_blue, count:5, val:0.1, animation:change_block],[effect:damage_fix_absolute, target:unit_all, val:2000]</v>
      </c>
      <c r="O8" s="64">
        <f t="shared" si="23"/>
        <v>9</v>
      </c>
      <c r="P8" s="64">
        <f t="shared" si="24"/>
        <v>27</v>
      </c>
      <c r="Q8" s="64">
        <f t="shared" si="25"/>
        <v>54</v>
      </c>
      <c r="R8" s="64">
        <f t="shared" si="26"/>
        <v>45</v>
      </c>
      <c r="S8" s="64" t="str">
        <f>IFERROR(VLOOKUP(MID(N8,Q8,R8-Q8),[6]skilldef!$C:$D,2,FALSE),"-") &amp; " / " &amp; IFERROR(VLOOKUP(MID(N8,O8,P8-O8),[6]skilldef!$A:$B,2,FALSE),"-")</f>
        <v>- / -</v>
      </c>
      <c r="T8" s="48" t="str">
        <f t="shared" si="27"/>
        <v>[effect:damage_fix_absolute, target:unit_all, val:2000]</v>
      </c>
      <c r="U8" s="64">
        <f t="shared" si="28"/>
        <v>9</v>
      </c>
      <c r="V8" s="64">
        <f t="shared" si="29"/>
        <v>28</v>
      </c>
      <c r="W8" s="64">
        <f t="shared" si="30"/>
        <v>37</v>
      </c>
      <c r="X8" s="64">
        <f t="shared" si="31"/>
        <v>45</v>
      </c>
      <c r="Y8" s="64" t="str">
        <f>IFERROR(VLOOKUP(MID(T8,W8,X8-W8),[6]skilldef!$C:$D,2,FALSE),"-") &amp; " / " &amp; IFERROR(VLOOKUP(MID(T8,U8,V8-U8),[6]skilldef!$A:$B,2,FALSE),"-")</f>
        <v>味方全体に / -</v>
      </c>
      <c r="Z8" s="50"/>
      <c r="AA8" s="52"/>
      <c r="AB8" s="50"/>
    </row>
    <row r="9" spans="1:28" ht="21" customHeight="1" x14ac:dyDescent="0.15">
      <c r="A9" s="153">
        <v>40043008</v>
      </c>
      <c r="B9" s="47" t="s">
        <v>345</v>
      </c>
      <c r="C9" s="50">
        <v>3</v>
      </c>
      <c r="D9" s="50" t="s">
        <v>127</v>
      </c>
      <c r="E9" s="51" t="s">
        <v>264</v>
      </c>
      <c r="F9" s="51" t="s">
        <v>262</v>
      </c>
      <c r="G9" s="64" t="str">
        <f t="shared" si="16"/>
        <v>[effect:enemy_message, val1:1.2, val2:2.4]</v>
      </c>
      <c r="H9" s="64">
        <f t="shared" si="17"/>
        <v>9</v>
      </c>
      <c r="I9" s="64">
        <f t="shared" si="18"/>
        <v>22</v>
      </c>
      <c r="J9" s="64" t="e">
        <f t="shared" si="19"/>
        <v>#VALUE!</v>
      </c>
      <c r="K9" s="64">
        <f t="shared" si="20"/>
        <v>32</v>
      </c>
      <c r="L9" s="64" t="str">
        <f>IFERROR(VLOOKUP(MID(G9,J9,K9-J9),[6]skilldef!$C:$D,2,FALSE),"-") &amp; " / " &amp; IFERROR(VLOOKUP(MID(G9,H9,I9-H9),[6]skilldef!$A:$B,2,FALSE),"-")</f>
        <v>- / -</v>
      </c>
      <c r="M9" s="64" t="str">
        <f t="shared" si="21"/>
        <v>[effect:force_change_block, new_block:damage, target:block_blue, color:block_yellow, count:5, val:0.1, animation:change_block],[effect:spread, val:0.34]</v>
      </c>
      <c r="N9" s="48" t="str">
        <f t="shared" si="22"/>
        <v>[effect:force_change_block, new_block:damage, target:block_blue, color:block_yellow, count:5, val:0.1, animation:change_block],[effect:spread, val:0.34]</v>
      </c>
      <c r="O9" s="64">
        <f t="shared" si="23"/>
        <v>9</v>
      </c>
      <c r="P9" s="64">
        <f t="shared" si="24"/>
        <v>27</v>
      </c>
      <c r="Q9" s="64">
        <f t="shared" si="25"/>
        <v>54</v>
      </c>
      <c r="R9" s="64">
        <f t="shared" si="26"/>
        <v>45</v>
      </c>
      <c r="S9" s="64" t="str">
        <f>IFERROR(VLOOKUP(MID(N9,Q9,R9-Q9),[6]skilldef!$C:$D,2,FALSE),"-") &amp; " / " &amp; IFERROR(VLOOKUP(MID(N9,O9,P9-O9),[6]skilldef!$A:$B,2,FALSE),"-")</f>
        <v>- / -</v>
      </c>
      <c r="T9" s="48" t="str">
        <f t="shared" si="27"/>
        <v>[effect:spread, val:0.34]</v>
      </c>
      <c r="U9" s="64">
        <f t="shared" si="28"/>
        <v>9</v>
      </c>
      <c r="V9" s="64">
        <f t="shared" si="29"/>
        <v>15</v>
      </c>
      <c r="W9" s="64" t="e">
        <f t="shared" si="30"/>
        <v>#VALUE!</v>
      </c>
      <c r="X9" s="64" t="e">
        <f t="shared" si="31"/>
        <v>#VALUE!</v>
      </c>
      <c r="Y9" s="64" t="str">
        <f>IFERROR(VLOOKUP(MID(T9,W9,X9-W9),[6]skilldef!$C:$D,2,FALSE),"-") &amp; " / " &amp; IFERROR(VLOOKUP(MID(T9,U9,V9-U9),[6]skilldef!$A:$B,2,FALSE),"-")</f>
        <v>- / 全体攻撃</v>
      </c>
      <c r="Z9" s="50"/>
      <c r="AA9" s="52"/>
      <c r="AB9" s="50"/>
    </row>
    <row r="10" spans="1:28" ht="21" customHeight="1" thickBot="1" x14ac:dyDescent="0.2">
      <c r="A10" s="154">
        <v>40043009</v>
      </c>
      <c r="B10" s="147" t="s">
        <v>446</v>
      </c>
      <c r="C10" s="148">
        <v>3</v>
      </c>
      <c r="D10" s="148" t="s">
        <v>127</v>
      </c>
      <c r="E10" s="149" t="s">
        <v>263</v>
      </c>
      <c r="F10" s="149" t="s">
        <v>380</v>
      </c>
      <c r="G10" s="150" t="str">
        <f t="shared" si="16"/>
        <v>[effect:enemy_message, val1:1.2, val2:1.7]</v>
      </c>
      <c r="H10" s="150">
        <f t="shared" si="17"/>
        <v>9</v>
      </c>
      <c r="I10" s="150">
        <f t="shared" si="18"/>
        <v>22</v>
      </c>
      <c r="J10" s="150" t="e">
        <f t="shared" si="19"/>
        <v>#VALUE!</v>
      </c>
      <c r="K10" s="150">
        <f t="shared" si="20"/>
        <v>32</v>
      </c>
      <c r="L10" s="150" t="str">
        <f>IFERROR(VLOOKUP(MID(G10,J10,K10-J10),[6]skilldef!$C:$D,2,FALSE),"-") &amp; " / " &amp; IFERROR(VLOOKUP(MID(G10,H10,I10-H10),[6]skilldef!$A:$B,2,FALSE),"-")</f>
        <v>- / -</v>
      </c>
      <c r="M10" s="150" t="str">
        <f t="shared" si="21"/>
        <v>[effect:force_change_block, new_block:block_red, target:block_all, ignore01:block_positive, ignore02:block_negative, ignore03:block_red, count:10, val:0, animation:change_block]</v>
      </c>
      <c r="N10" s="151" t="str">
        <f t="shared" si="22"/>
        <v>[effect:force_change_block, new_block:block_red, target:block_all, ignore01:block_positive, ignore02:block_negative, ignore03:block_red, count:10, val:0, animation:change_block]</v>
      </c>
      <c r="O10" s="150">
        <f t="shared" si="23"/>
        <v>9</v>
      </c>
      <c r="P10" s="150">
        <f t="shared" si="24"/>
        <v>27</v>
      </c>
      <c r="Q10" s="150">
        <f t="shared" si="25"/>
        <v>57</v>
      </c>
      <c r="R10" s="150">
        <f t="shared" si="26"/>
        <v>48</v>
      </c>
      <c r="S10" s="150" t="str">
        <f>IFERROR(VLOOKUP(MID(N10,Q10,R10-Q10),[6]skilldef!$C:$D,2,FALSE),"-") &amp; " / " &amp; IFERROR(VLOOKUP(MID(N10,O10,P10-O10),[6]skilldef!$A:$B,2,FALSE),"-")</f>
        <v>- / -</v>
      </c>
      <c r="T10" s="151" t="str">
        <f t="shared" si="27"/>
        <v>none</v>
      </c>
      <c r="U10" s="150" t="e">
        <f t="shared" si="28"/>
        <v>#VALUE!</v>
      </c>
      <c r="V10" s="150">
        <f t="shared" si="29"/>
        <v>4</v>
      </c>
      <c r="W10" s="150" t="e">
        <f t="shared" si="30"/>
        <v>#VALUE!</v>
      </c>
      <c r="X10" s="150" t="e">
        <f t="shared" si="31"/>
        <v>#VALUE!</v>
      </c>
      <c r="Y10" s="150" t="str">
        <f>IFERROR(VLOOKUP(MID(T10,W10,X10-W10),[6]skilldef!$C:$D,2,FALSE),"-") &amp; " / " &amp; IFERROR(VLOOKUP(MID(T10,U10,V10-U10),[6]skilldef!$A:$B,2,FALSE),"-")</f>
        <v>- / -</v>
      </c>
      <c r="Z10" s="148"/>
      <c r="AA10" s="152"/>
      <c r="AB10" s="148"/>
    </row>
    <row r="11" spans="1:28" ht="21" customHeight="1" x14ac:dyDescent="0.15">
      <c r="A11" s="153">
        <v>40043010</v>
      </c>
      <c r="B11" s="47" t="s">
        <v>378</v>
      </c>
      <c r="C11" s="142">
        <v>3</v>
      </c>
      <c r="D11" s="142" t="s">
        <v>127</v>
      </c>
      <c r="E11" s="143" t="s">
        <v>265</v>
      </c>
      <c r="F11" s="143" t="s">
        <v>266</v>
      </c>
      <c r="G11" s="144" t="str">
        <f t="shared" si="16"/>
        <v>[effect:enemy_message, val1:1.2, val2:2.6]</v>
      </c>
      <c r="H11" s="144">
        <f t="shared" si="17"/>
        <v>9</v>
      </c>
      <c r="I11" s="144">
        <f t="shared" si="18"/>
        <v>22</v>
      </c>
      <c r="J11" s="144" t="e">
        <f t="shared" si="19"/>
        <v>#VALUE!</v>
      </c>
      <c r="K11" s="144">
        <f t="shared" si="20"/>
        <v>32</v>
      </c>
      <c r="L11" s="144" t="str">
        <f>IFERROR(VLOOKUP(MID(G11,J11,K11-J11),[6]skilldef!$C:$D,2,FALSE),"-") &amp; " / " &amp; IFERROR(VLOOKUP(MID(G11,H11,I11-H11),[6]skilldef!$A:$B,2,FALSE),"-")</f>
        <v>- / -</v>
      </c>
      <c r="M11" s="144" t="str">
        <f t="shared" si="21"/>
        <v>[effect:fix_speed, target:myself, turn:1],[effect:force_change_block, new_block:damage, target:block_heart, color:block_red, count:5, val:0.1, animation:change_block],[effect:rush, count:1, val:1.3]</v>
      </c>
      <c r="N11" s="145" t="str">
        <f t="shared" si="22"/>
        <v>[effect:fix_speed, target:myself, turn:1],[effect:force_change_block, new_block:damage, target:block_heart, color:block_red, count:5, val:0.1, animation:change_block],[effect:rush, count:1, val:1.3]</v>
      </c>
      <c r="O11" s="144">
        <f t="shared" si="23"/>
        <v>9</v>
      </c>
      <c r="P11" s="144">
        <f t="shared" si="24"/>
        <v>18</v>
      </c>
      <c r="Q11" s="144">
        <f t="shared" si="25"/>
        <v>27</v>
      </c>
      <c r="R11" s="144">
        <f t="shared" si="26"/>
        <v>33</v>
      </c>
      <c r="S11" s="144" t="str">
        <f>IFERROR(VLOOKUP(MID(N11,Q11,R11-Q11),[6]skilldef!$C:$D,2,FALSE),"-") &amp; " / " &amp; IFERROR(VLOOKUP(MID(N11,O11,P11-O11),[6]skilldef!$A:$B,2,FALSE),"-")</f>
        <v>自分自身に / 行動値設定</v>
      </c>
      <c r="T11" s="145" t="str">
        <f t="shared" si="27"/>
        <v>[effect:force_change_block, new_block:damage, target:block_heart, color:block_red, count:5, val:0.1, animation:change_block],[effect:rush, count:1, val:1.3]</v>
      </c>
      <c r="U11" s="144">
        <f t="shared" si="28"/>
        <v>9</v>
      </c>
      <c r="V11" s="144">
        <f t="shared" si="29"/>
        <v>27</v>
      </c>
      <c r="W11" s="144">
        <f t="shared" si="30"/>
        <v>54</v>
      </c>
      <c r="X11" s="144">
        <f t="shared" si="31"/>
        <v>45</v>
      </c>
      <c r="Y11" s="144" t="str">
        <f>IFERROR(VLOOKUP(MID(T11,W11,X11-W11),[6]skilldef!$C:$D,2,FALSE),"-") &amp; " / " &amp; IFERROR(VLOOKUP(MID(T11,U11,V11-U11),[6]skilldef!$A:$B,2,FALSE),"-")</f>
        <v>- / -</v>
      </c>
      <c r="Z11" s="142"/>
      <c r="AA11" s="146"/>
      <c r="AB11" s="142"/>
    </row>
    <row r="12" spans="1:28" ht="21" customHeight="1" x14ac:dyDescent="0.15">
      <c r="A12" s="153">
        <v>40043011</v>
      </c>
      <c r="B12" s="47" t="s">
        <v>346</v>
      </c>
      <c r="C12" s="50">
        <v>3</v>
      </c>
      <c r="D12" s="50" t="s">
        <v>127</v>
      </c>
      <c r="E12" s="51" t="s">
        <v>268</v>
      </c>
      <c r="F12" s="51" t="s">
        <v>267</v>
      </c>
      <c r="G12" s="64" t="str">
        <f t="shared" si="16"/>
        <v>[effect:enemy_message, val1:1.2, val2:2.4]</v>
      </c>
      <c r="H12" s="64">
        <f t="shared" si="17"/>
        <v>9</v>
      </c>
      <c r="I12" s="64">
        <f t="shared" si="18"/>
        <v>22</v>
      </c>
      <c r="J12" s="64" t="e">
        <f t="shared" si="19"/>
        <v>#VALUE!</v>
      </c>
      <c r="K12" s="64">
        <f t="shared" si="20"/>
        <v>32</v>
      </c>
      <c r="L12" s="64" t="str">
        <f>IFERROR(VLOOKUP(MID(G12,J12,K12-J12),[6]skilldef!$C:$D,2,FALSE),"-") &amp; " / " &amp; IFERROR(VLOOKUP(MID(G12,H12,I12-H12),[6]skilldef!$A:$B,2,FALSE),"-")</f>
        <v>- / -</v>
      </c>
      <c r="M12" s="64" t="str">
        <f t="shared" si="21"/>
        <v>[effect:force_change_block, new_block:damage, target:block_blue, color:block_green, count:8, val:0.1, animation:change_block],[effect:spread, val:0.4]</v>
      </c>
      <c r="N12" s="48" t="str">
        <f t="shared" ref="N12:N21" si="32">IFERROR(LEFT(M12,FIND("],",M12)+S23),M12)</f>
        <v>[effect:force_change_block, new_block:damage, target:block_blue, color:block_green, count:8, val:0.1, animation:change_block],[effect:spread, val:0.4]</v>
      </c>
      <c r="O12" s="64">
        <f t="shared" si="23"/>
        <v>9</v>
      </c>
      <c r="P12" s="64">
        <f t="shared" si="24"/>
        <v>27</v>
      </c>
      <c r="Q12" s="64">
        <f t="shared" si="25"/>
        <v>54</v>
      </c>
      <c r="R12" s="64">
        <f t="shared" si="26"/>
        <v>45</v>
      </c>
      <c r="S12" s="64" t="str">
        <f>IFERROR(VLOOKUP(MID(N12,Q12,R12-Q12),[6]skilldef!$C:$D,2,FALSE),"-") &amp; " / " &amp; IFERROR(VLOOKUP(MID(N12,O12,P12-O12),[6]skilldef!$A:$B,2,FALSE),"-")</f>
        <v>- / -</v>
      </c>
      <c r="T12" s="48" t="str">
        <f t="shared" si="27"/>
        <v>[effect:spread, val:0.4]</v>
      </c>
      <c r="U12" s="64">
        <f t="shared" si="28"/>
        <v>9</v>
      </c>
      <c r="V12" s="64">
        <f t="shared" si="29"/>
        <v>15</v>
      </c>
      <c r="W12" s="64" t="e">
        <f t="shared" si="30"/>
        <v>#VALUE!</v>
      </c>
      <c r="X12" s="64" t="e">
        <f t="shared" si="31"/>
        <v>#VALUE!</v>
      </c>
      <c r="Y12" s="64" t="str">
        <f>IFERROR(VLOOKUP(MID(T12,W12,X12-W12),[6]skilldef!$C:$D,2,FALSE),"-") &amp; " / " &amp; IFERROR(VLOOKUP(MID(T12,U12,V12-U12),[6]skilldef!$A:$B,2,FALSE),"-")</f>
        <v>- / 全体攻撃</v>
      </c>
      <c r="Z12" s="50"/>
      <c r="AA12" s="52"/>
      <c r="AB12" s="50"/>
    </row>
    <row r="13" spans="1:28" ht="21" customHeight="1" x14ac:dyDescent="0.15">
      <c r="A13" s="153">
        <v>40043012</v>
      </c>
      <c r="B13" s="47" t="s">
        <v>347</v>
      </c>
      <c r="C13" s="50">
        <v>3</v>
      </c>
      <c r="D13" s="50" t="s">
        <v>127</v>
      </c>
      <c r="E13" s="51" t="s">
        <v>291</v>
      </c>
      <c r="F13" s="51" t="s">
        <v>302</v>
      </c>
      <c r="G13" s="64" t="str">
        <f t="shared" si="16"/>
        <v>[effect:enemy_message, val1:1.2, val2:3.6]</v>
      </c>
      <c r="H13" s="64">
        <f t="shared" si="17"/>
        <v>9</v>
      </c>
      <c r="I13" s="64">
        <f t="shared" si="18"/>
        <v>22</v>
      </c>
      <c r="J13" s="64" t="e">
        <f t="shared" si="19"/>
        <v>#VALUE!</v>
      </c>
      <c r="K13" s="64">
        <f t="shared" si="20"/>
        <v>32</v>
      </c>
      <c r="L13" s="64" t="str">
        <f>IFERROR(VLOOKUP(MID(G13,J13,K13-J13),[6]skilldef!$C:$D,2,FALSE),"-") &amp; " / " &amp; IFERROR(VLOOKUP(MID(G13,H13,I13-H13),[6]skilldef!$A:$B,2,FALSE),"-")</f>
        <v>- / -</v>
      </c>
      <c r="M13" s="64" t="str">
        <f t="shared" si="21"/>
        <v>[effect:force_change_block, new_block:damage, target:block_green, color:block_blue, count:8, val:0.1, animation:change_block],[effect:damage_fix_absolute, target:unit_all, val:2000]</v>
      </c>
      <c r="N13" s="48" t="str">
        <f t="shared" si="32"/>
        <v>[effect:force_change_block, new_block:damage, target:block_green, color:block_blue, count:8, val:0.1, animation:change_block],[effect:damage_fix_absolute, target:unit_all, val:2000]</v>
      </c>
      <c r="O13" s="64">
        <f t="shared" si="23"/>
        <v>9</v>
      </c>
      <c r="P13" s="64">
        <f t="shared" si="24"/>
        <v>27</v>
      </c>
      <c r="Q13" s="64">
        <f t="shared" si="25"/>
        <v>54</v>
      </c>
      <c r="R13" s="64">
        <f t="shared" si="26"/>
        <v>45</v>
      </c>
      <c r="S13" s="64" t="str">
        <f>IFERROR(VLOOKUP(MID(N13,Q13,R13-Q13),[6]skilldef!$C:$D,2,FALSE),"-") &amp; " / " &amp; IFERROR(VLOOKUP(MID(N13,O13,P13-O13),[6]skilldef!$A:$B,2,FALSE),"-")</f>
        <v>- / -</v>
      </c>
      <c r="T13" s="48" t="str">
        <f t="shared" si="27"/>
        <v>[effect:damage_fix_absolute, target:unit_all, val:2000]</v>
      </c>
      <c r="U13" s="64">
        <f t="shared" si="28"/>
        <v>9</v>
      </c>
      <c r="V13" s="64">
        <f t="shared" si="29"/>
        <v>28</v>
      </c>
      <c r="W13" s="64">
        <f t="shared" si="30"/>
        <v>37</v>
      </c>
      <c r="X13" s="64">
        <f t="shared" si="31"/>
        <v>45</v>
      </c>
      <c r="Y13" s="64" t="str">
        <f>IFERROR(VLOOKUP(MID(T13,W13,X13-W13),[6]skilldef!$C:$D,2,FALSE),"-") &amp; " / " &amp; IFERROR(VLOOKUP(MID(T13,U13,V13-U13),[6]skilldef!$A:$B,2,FALSE),"-")</f>
        <v>味方全体に / -</v>
      </c>
      <c r="Z13" s="50"/>
      <c r="AA13" s="52"/>
      <c r="AB13" s="50"/>
    </row>
    <row r="14" spans="1:28" ht="21" customHeight="1" x14ac:dyDescent="0.15">
      <c r="A14" s="153">
        <v>40043013</v>
      </c>
      <c r="B14" s="47" t="s">
        <v>300</v>
      </c>
      <c r="C14" s="50">
        <v>3</v>
      </c>
      <c r="D14" s="50" t="s">
        <v>127</v>
      </c>
      <c r="E14" s="51" t="s">
        <v>269</v>
      </c>
      <c r="F14" s="51" t="s">
        <v>301</v>
      </c>
      <c r="G14" s="64" t="str">
        <f t="shared" si="16"/>
        <v>[effect:enemy_message, val1:1.2, val2:3.8]</v>
      </c>
      <c r="H14" s="64">
        <f t="shared" si="17"/>
        <v>9</v>
      </c>
      <c r="I14" s="64">
        <f t="shared" si="18"/>
        <v>22</v>
      </c>
      <c r="J14" s="64" t="e">
        <f t="shared" si="19"/>
        <v>#VALUE!</v>
      </c>
      <c r="K14" s="64">
        <f t="shared" si="20"/>
        <v>32</v>
      </c>
      <c r="L14" s="64" t="str">
        <f>IFERROR(VLOOKUP(MID(G14,J14,K14-J14),[6]skilldef!$C:$D,2,FALSE),"-") &amp; " / " &amp; IFERROR(VLOOKUP(MID(G14,H14,I14-H14),[6]skilldef!$A:$B,2,FALSE),"-")</f>
        <v>- / -</v>
      </c>
      <c r="M14" s="64" t="str">
        <f t="shared" si="21"/>
        <v>[effect:force_change_block, new_block:damage, target:block_heart, color:block_yellow, count:4, val:0.1, animation:change_block],[effect:damage_fix_absolute, target:unit_all, val:2000]</v>
      </c>
      <c r="N14" s="48" t="str">
        <f t="shared" si="32"/>
        <v>[effect:force_change_block, new_block:damage, target:block_heart, color:block_yellow, count:4, val:0.1, animation:change_block],[effect:damage_fix_absolute, target:unit_all, val:2000]</v>
      </c>
      <c r="O14" s="64">
        <f t="shared" si="23"/>
        <v>9</v>
      </c>
      <c r="P14" s="64">
        <f t="shared" si="24"/>
        <v>27</v>
      </c>
      <c r="Q14" s="64">
        <f t="shared" si="25"/>
        <v>54</v>
      </c>
      <c r="R14" s="64">
        <f t="shared" si="26"/>
        <v>45</v>
      </c>
      <c r="S14" s="64" t="str">
        <f>IFERROR(VLOOKUP(MID(N14,Q14,R14-Q14),[6]skilldef!$C:$D,2,FALSE),"-") &amp; " / " &amp; IFERROR(VLOOKUP(MID(N14,O14,P14-O14),[6]skilldef!$A:$B,2,FALSE),"-")</f>
        <v>- / -</v>
      </c>
      <c r="T14" s="48" t="str">
        <f t="shared" si="27"/>
        <v>[effect:damage_fix_absolute, target:unit_all, val:2000]</v>
      </c>
      <c r="U14" s="64">
        <f t="shared" si="28"/>
        <v>9</v>
      </c>
      <c r="V14" s="64">
        <f t="shared" si="29"/>
        <v>28</v>
      </c>
      <c r="W14" s="64">
        <f t="shared" si="30"/>
        <v>37</v>
      </c>
      <c r="X14" s="64">
        <f t="shared" si="31"/>
        <v>45</v>
      </c>
      <c r="Y14" s="64" t="str">
        <f>IFERROR(VLOOKUP(MID(T14,W14,X14-W14),[6]skilldef!$C:$D,2,FALSE),"-") &amp; " / " &amp; IFERROR(VLOOKUP(MID(T14,U14,V14-U14),[6]skilldef!$A:$B,2,FALSE),"-")</f>
        <v>味方全体に / -</v>
      </c>
      <c r="Z14" s="50"/>
      <c r="AA14" s="52"/>
      <c r="AB14" s="50"/>
    </row>
    <row r="15" spans="1:28" ht="21" customHeight="1" thickBot="1" x14ac:dyDescent="0.2">
      <c r="A15" s="154">
        <v>40043014</v>
      </c>
      <c r="B15" s="147" t="s">
        <v>368</v>
      </c>
      <c r="C15" s="148">
        <v>3</v>
      </c>
      <c r="D15" s="148" t="s">
        <v>127</v>
      </c>
      <c r="E15" s="149" t="s">
        <v>271</v>
      </c>
      <c r="F15" s="51" t="s">
        <v>270</v>
      </c>
      <c r="G15" s="150" t="str">
        <f t="shared" si="16"/>
        <v>[effect:enemy_message, val1:1.2, val2:2.6]</v>
      </c>
      <c r="H15" s="150">
        <f t="shared" si="17"/>
        <v>9</v>
      </c>
      <c r="I15" s="150">
        <f t="shared" si="18"/>
        <v>22</v>
      </c>
      <c r="J15" s="150" t="e">
        <f t="shared" si="19"/>
        <v>#VALUE!</v>
      </c>
      <c r="K15" s="150">
        <f t="shared" si="20"/>
        <v>32</v>
      </c>
      <c r="L15" s="150" t="str">
        <f>IFERROR(VLOOKUP(MID(G15,J15,K15-J15),[6]skilldef!$C:$D,2,FALSE),"-") &amp; " / " &amp; IFERROR(VLOOKUP(MID(G15,H15,I15-H15),[6]skilldef!$A:$B,2,FALSE),"-")</f>
        <v>- / -</v>
      </c>
      <c r="M15" s="150" t="str">
        <f t="shared" si="21"/>
        <v>[effect:force_change_block, new_block:damage, target:block_heart, color:block_yellow, count:5, val:0.1, animation:change_block],[effect:rush, count:1, val:1.3]</v>
      </c>
      <c r="N15" s="151" t="str">
        <f t="shared" si="32"/>
        <v>[effect:force_change_block, new_block:damage, target:block_heart, color:block_yellow, count:5, val:0.1, animation:change_block],[effect:rush, count:1, val:1.3]</v>
      </c>
      <c r="O15" s="150">
        <f t="shared" si="23"/>
        <v>9</v>
      </c>
      <c r="P15" s="150">
        <f t="shared" si="24"/>
        <v>27</v>
      </c>
      <c r="Q15" s="150">
        <f t="shared" si="25"/>
        <v>54</v>
      </c>
      <c r="R15" s="150">
        <f t="shared" si="26"/>
        <v>45</v>
      </c>
      <c r="S15" s="150" t="str">
        <f>IFERROR(VLOOKUP(MID(N15,Q15,R15-Q15),[6]skilldef!$C:$D,2,FALSE),"-") &amp; " / " &amp; IFERROR(VLOOKUP(MID(N15,O15,P15-O15),[6]skilldef!$A:$B,2,FALSE),"-")</f>
        <v>- / -</v>
      </c>
      <c r="T15" s="151" t="str">
        <f t="shared" si="27"/>
        <v>[effect:rush, count:1, val:1.3]</v>
      </c>
      <c r="U15" s="150">
        <f t="shared" si="28"/>
        <v>9</v>
      </c>
      <c r="V15" s="150">
        <f t="shared" si="29"/>
        <v>13</v>
      </c>
      <c r="W15" s="150" t="e">
        <f t="shared" si="30"/>
        <v>#VALUE!</v>
      </c>
      <c r="X15" s="150">
        <f t="shared" si="31"/>
        <v>22</v>
      </c>
      <c r="Y15" s="150" t="str">
        <f>IFERROR(VLOOKUP(MID(T15,W15,X15-W15),[6]skilldef!$C:$D,2,FALSE),"-") &amp; " / " &amp; IFERROR(VLOOKUP(MID(T15,U15,V15-U15),[6]skilldef!$A:$B,2,FALSE),"-")</f>
        <v>- / 連続攻撃</v>
      </c>
      <c r="Z15" s="148"/>
      <c r="AA15" s="152"/>
      <c r="AB15" s="148"/>
    </row>
    <row r="16" spans="1:28" ht="21" customHeight="1" x14ac:dyDescent="0.15">
      <c r="A16" s="155">
        <v>40043015</v>
      </c>
      <c r="B16" s="47" t="s">
        <v>348</v>
      </c>
      <c r="C16" s="142">
        <v>3</v>
      </c>
      <c r="D16" s="50" t="s">
        <v>127</v>
      </c>
      <c r="E16" s="51" t="s">
        <v>407</v>
      </c>
      <c r="F16" s="51" t="s">
        <v>292</v>
      </c>
      <c r="G16" s="64" t="str">
        <f t="shared" si="16"/>
        <v>[effect:enemy_message, val1:1.2, val2:3.6]</v>
      </c>
      <c r="H16" s="64">
        <f t="shared" si="17"/>
        <v>9</v>
      </c>
      <c r="I16" s="64">
        <f t="shared" si="18"/>
        <v>22</v>
      </c>
      <c r="J16" s="64" t="e">
        <f t="shared" si="19"/>
        <v>#VALUE!</v>
      </c>
      <c r="K16" s="64">
        <f t="shared" si="20"/>
        <v>32</v>
      </c>
      <c r="L16" s="64" t="str">
        <f>IFERROR(VLOOKUP(MID(G16,J16,K16-J16),[6]skilldef!$C:$D,2,FALSE),"-") &amp; " / " &amp; IFERROR(VLOOKUP(MID(G16,H16,I16-H16),[6]skilldef!$A:$B,2,FALSE),"-")</f>
        <v>- / -</v>
      </c>
      <c r="M16" s="64" t="str">
        <f t="shared" si="21"/>
        <v>[effect:force_change_block, new_block:damage, target:block_green, color:block_blue, count:4, val:0.1, animation:change_block],[effect:damage_fix_absolute, target:unit_all, val:1500]</v>
      </c>
      <c r="N16" s="48" t="str">
        <f t="shared" si="32"/>
        <v>[effect:force_change_block, new_block:damage, target:block_green, color:block_blue, count:4, val:0.1, animation:change_block],[effect:damage_fix_absolute, target:unit_all, val:1500]</v>
      </c>
      <c r="O16" s="64">
        <f t="shared" si="23"/>
        <v>9</v>
      </c>
      <c r="P16" s="64">
        <f t="shared" si="24"/>
        <v>27</v>
      </c>
      <c r="Q16" s="64">
        <f t="shared" si="25"/>
        <v>54</v>
      </c>
      <c r="R16" s="64">
        <f t="shared" si="26"/>
        <v>45</v>
      </c>
      <c r="S16" s="64" t="str">
        <f>IFERROR(VLOOKUP(MID(N16,Q16,R16-Q16),[6]skilldef!$C:$D,2,FALSE),"-") &amp; " / " &amp; IFERROR(VLOOKUP(MID(N16,O16,P16-O16),[6]skilldef!$A:$B,2,FALSE),"-")</f>
        <v>- / -</v>
      </c>
      <c r="T16" s="48" t="str">
        <f t="shared" si="27"/>
        <v>[effect:damage_fix_absolute, target:unit_all, val:1500]</v>
      </c>
      <c r="U16" s="64">
        <f t="shared" si="28"/>
        <v>9</v>
      </c>
      <c r="V16" s="64">
        <f t="shared" si="29"/>
        <v>28</v>
      </c>
      <c r="W16" s="64">
        <f t="shared" si="30"/>
        <v>37</v>
      </c>
      <c r="X16" s="64">
        <f t="shared" si="31"/>
        <v>45</v>
      </c>
      <c r="Y16" s="64" t="str">
        <f>IFERROR(VLOOKUP(MID(T16,W16,X16-W16),[6]skilldef!$C:$D,2,FALSE),"-") &amp; " / " &amp; IFERROR(VLOOKUP(MID(T16,U16,V16-U16),[6]skilldef!$A:$B,2,FALSE),"-")</f>
        <v>味方全体に / -</v>
      </c>
      <c r="Z16" s="50"/>
      <c r="AA16" s="52"/>
      <c r="AB16" s="50"/>
    </row>
    <row r="17" spans="1:28" ht="21" customHeight="1" thickBot="1" x14ac:dyDescent="0.2">
      <c r="A17" s="156">
        <v>40043016</v>
      </c>
      <c r="B17" s="147" t="s">
        <v>296</v>
      </c>
      <c r="C17" s="148">
        <v>3</v>
      </c>
      <c r="D17" s="148" t="s">
        <v>127</v>
      </c>
      <c r="E17" s="149" t="s">
        <v>272</v>
      </c>
      <c r="F17" s="149" t="s">
        <v>297</v>
      </c>
      <c r="G17" s="150" t="str">
        <f t="shared" si="16"/>
        <v>[effect:enemy_message, val1:1.2, val2:1.4]</v>
      </c>
      <c r="H17" s="150">
        <f t="shared" si="17"/>
        <v>9</v>
      </c>
      <c r="I17" s="150">
        <f t="shared" si="18"/>
        <v>22</v>
      </c>
      <c r="J17" s="150" t="e">
        <f t="shared" si="19"/>
        <v>#VALUE!</v>
      </c>
      <c r="K17" s="150">
        <f t="shared" si="20"/>
        <v>32</v>
      </c>
      <c r="L17" s="150" t="str">
        <f>IFERROR(VLOOKUP(MID(G17,J17,K17-J17),[6]skilldef!$C:$D,2,FALSE),"-") &amp; " / " &amp; IFERROR(VLOOKUP(MID(G17,H17,I17-H17),[6]skilldef!$A:$B,2,FALSE),"-")</f>
        <v>- / -</v>
      </c>
      <c r="M17" s="150" t="str">
        <f t="shared" si="21"/>
        <v>[effect:enhance_enemy, target:enemy_all, turn:3, status:attack, val:0.5, calc:mul, animation:enemy_enhance_attack]</v>
      </c>
      <c r="N17" s="151" t="str">
        <f t="shared" si="32"/>
        <v>[effect:enhance_enemy, target:enemy_all, turn:3, status:attack, val:0.5, calc:mul, animation:enemy_enhance_attack]</v>
      </c>
      <c r="O17" s="150">
        <f t="shared" si="23"/>
        <v>9</v>
      </c>
      <c r="P17" s="150">
        <f t="shared" si="24"/>
        <v>22</v>
      </c>
      <c r="Q17" s="150">
        <f t="shared" si="25"/>
        <v>31</v>
      </c>
      <c r="R17" s="150">
        <f t="shared" si="26"/>
        <v>40</v>
      </c>
      <c r="S17" s="150" t="str">
        <f>IFERROR(VLOOKUP(MID(N17,Q17,R17-Q17),[6]skilldef!$C:$D,2,FALSE),"-") &amp; " / " &amp; IFERROR(VLOOKUP(MID(N17,O17,P17-O17),[6]skilldef!$A:$B,2,FALSE),"-")</f>
        <v>敵全体に / ステータス強化</v>
      </c>
      <c r="T17" s="151" t="str">
        <f t="shared" si="27"/>
        <v>none</v>
      </c>
      <c r="U17" s="150" t="e">
        <f t="shared" si="28"/>
        <v>#VALUE!</v>
      </c>
      <c r="V17" s="150">
        <f t="shared" si="29"/>
        <v>4</v>
      </c>
      <c r="W17" s="150" t="e">
        <f t="shared" si="30"/>
        <v>#VALUE!</v>
      </c>
      <c r="X17" s="150" t="e">
        <f t="shared" si="31"/>
        <v>#VALUE!</v>
      </c>
      <c r="Y17" s="150" t="str">
        <f>IFERROR(VLOOKUP(MID(T17,W17,X17-W17),[6]skilldef!$C:$D,2,FALSE),"-") &amp; " / " &amp; IFERROR(VLOOKUP(MID(T17,U17,V17-U17),[6]skilldef!$A:$B,2,FALSE),"-")</f>
        <v>- / -</v>
      </c>
      <c r="Z17" s="148"/>
      <c r="AA17" s="152"/>
      <c r="AB17" s="148"/>
    </row>
    <row r="18" spans="1:28" ht="21" customHeight="1" x14ac:dyDescent="0.15">
      <c r="A18" s="155">
        <v>40043017</v>
      </c>
      <c r="B18" s="47" t="s">
        <v>420</v>
      </c>
      <c r="C18" s="142">
        <v>3</v>
      </c>
      <c r="D18" s="142" t="s">
        <v>127</v>
      </c>
      <c r="E18" s="143" t="s">
        <v>275</v>
      </c>
      <c r="F18" s="143" t="s">
        <v>419</v>
      </c>
      <c r="G18" s="144" t="str">
        <f t="shared" si="16"/>
        <v>[effect:enemy_message, val1:1.7, val2:3.1]</v>
      </c>
      <c r="H18" s="144">
        <f t="shared" si="17"/>
        <v>9</v>
      </c>
      <c r="I18" s="144">
        <f t="shared" si="18"/>
        <v>22</v>
      </c>
      <c r="J18" s="144" t="e">
        <f t="shared" si="19"/>
        <v>#VALUE!</v>
      </c>
      <c r="K18" s="144">
        <f t="shared" si="20"/>
        <v>32</v>
      </c>
      <c r="L18" s="144" t="str">
        <f>IFERROR(VLOOKUP(MID(G18,J18,K18-J18),[6]skilldef!$C:$D,2,FALSE),"-") &amp; " / " &amp; IFERROR(VLOOKUP(MID(G18,H18,I18-H18),[6]skilldef!$A:$B,2,FALSE),"-")</f>
        <v>- / -</v>
      </c>
      <c r="M18" s="144" t="str">
        <f t="shared" si="21"/>
        <v>[effect:degrade_fever, val:100, animation:fevergauge_down],[effect:hungup, target:unit_all, turn:1, rate:1, animation:hungup01]</v>
      </c>
      <c r="N18" s="145" t="str">
        <f t="shared" si="32"/>
        <v>[effect:degrade_fever, val:100, animation:fevergauge_down],[effect:hungup, target:unit_all, turn:1, rate:1, animation:hungup01]</v>
      </c>
      <c r="O18" s="144">
        <f t="shared" si="23"/>
        <v>9</v>
      </c>
      <c r="P18" s="144">
        <f t="shared" si="24"/>
        <v>22</v>
      </c>
      <c r="Q18" s="144">
        <f t="shared" si="25"/>
        <v>83</v>
      </c>
      <c r="R18" s="144">
        <f t="shared" si="26"/>
        <v>31</v>
      </c>
      <c r="S18" s="144" t="str">
        <f>IFERROR(VLOOKUP(MID(N18,Q18,R18-Q18),[6]skilldef!$C:$D,2,FALSE),"-") &amp; " / " &amp; IFERROR(VLOOKUP(MID(N18,O18,P18-O18),[6]skilldef!$A:$B,2,FALSE),"-")</f>
        <v>- / フィーバーゲージ減少</v>
      </c>
      <c r="T18" s="145" t="str">
        <f t="shared" si="27"/>
        <v>[effect:hungup, target:unit_all, turn:1, rate:1, animation:hungup01]</v>
      </c>
      <c r="U18" s="144">
        <f t="shared" si="28"/>
        <v>9</v>
      </c>
      <c r="V18" s="144">
        <f t="shared" si="29"/>
        <v>15</v>
      </c>
      <c r="W18" s="144">
        <f t="shared" si="30"/>
        <v>24</v>
      </c>
      <c r="X18" s="144">
        <f t="shared" si="31"/>
        <v>32</v>
      </c>
      <c r="Y18" s="144" t="str">
        <f>IFERROR(VLOOKUP(MID(T18,W18,X18-W18),[6]skilldef!$C:$D,2,FALSE),"-") &amp; " / " &amp; IFERROR(VLOOKUP(MID(T18,U18,V18-U18),[6]skilldef!$A:$B,2,FALSE),"-")</f>
        <v>味方全体に / ハングアップ</v>
      </c>
      <c r="Z18" s="142"/>
      <c r="AA18" s="146"/>
      <c r="AB18" s="142"/>
    </row>
    <row r="19" spans="1:28" ht="21" customHeight="1" x14ac:dyDescent="0.15">
      <c r="A19" s="155">
        <v>40043018</v>
      </c>
      <c r="B19" s="47" t="s">
        <v>325</v>
      </c>
      <c r="C19" s="50">
        <v>3</v>
      </c>
      <c r="D19" s="50" t="s">
        <v>127</v>
      </c>
      <c r="E19" s="51" t="s">
        <v>278</v>
      </c>
      <c r="F19" s="51" t="s">
        <v>277</v>
      </c>
      <c r="G19" s="64" t="str">
        <f t="shared" si="16"/>
        <v>[effect:enemy_message, val1:1.7, val2:2.5]</v>
      </c>
      <c r="H19" s="64">
        <f t="shared" si="17"/>
        <v>9</v>
      </c>
      <c r="I19" s="64">
        <f t="shared" si="18"/>
        <v>22</v>
      </c>
      <c r="J19" s="64" t="e">
        <f t="shared" si="19"/>
        <v>#VALUE!</v>
      </c>
      <c r="K19" s="64">
        <f t="shared" si="20"/>
        <v>32</v>
      </c>
      <c r="L19" s="64" t="str">
        <f>IFERROR(VLOOKUP(MID(G19,J19,K19-J19),[6]skilldef!$C:$D,2,FALSE),"-") &amp; " / " &amp; IFERROR(VLOOKUP(MID(G19,H19,I19-H19),[6]skilldef!$A:$B,2,FALSE),"-")</f>
        <v>- / -</v>
      </c>
      <c r="M19" s="64" t="str">
        <f t="shared" si="21"/>
        <v>[effect:degrade_unit, target:unit_all, turn:2, status:heal, val:0.3, calc:mul, animation:degrade_unit_all_heal],[effect:spread, val:0.2]</v>
      </c>
      <c r="N19" s="48" t="str">
        <f t="shared" si="32"/>
        <v>[effect:degrade_unit, target:unit_all, turn:2, status:heal, val:0.3, calc:mul, animation:degrade_unit_all_heal],[effect:spread, val:0.2]</v>
      </c>
      <c r="O19" s="64">
        <f t="shared" si="23"/>
        <v>9</v>
      </c>
      <c r="P19" s="64">
        <f t="shared" si="24"/>
        <v>21</v>
      </c>
      <c r="Q19" s="64">
        <f t="shared" si="25"/>
        <v>30</v>
      </c>
      <c r="R19" s="64">
        <f t="shared" si="26"/>
        <v>38</v>
      </c>
      <c r="S19" s="64" t="str">
        <f>IFERROR(VLOOKUP(MID(N19,Q19,R19-Q19),[6]skilldef!$C:$D,2,FALSE),"-") &amp; " / " &amp; IFERROR(VLOOKUP(MID(N19,O19,P19-O19),[6]skilldef!$A:$B,2,FALSE),"-")</f>
        <v>味方全体に / ステータスDOWN</v>
      </c>
      <c r="T19" s="48" t="str">
        <f t="shared" si="27"/>
        <v>[effect:spread, val:0.2]</v>
      </c>
      <c r="U19" s="64">
        <f t="shared" si="28"/>
        <v>9</v>
      </c>
      <c r="V19" s="64">
        <f t="shared" si="29"/>
        <v>15</v>
      </c>
      <c r="W19" s="64" t="e">
        <f t="shared" si="30"/>
        <v>#VALUE!</v>
      </c>
      <c r="X19" s="64" t="e">
        <f t="shared" si="31"/>
        <v>#VALUE!</v>
      </c>
      <c r="Y19" s="64" t="str">
        <f>IFERROR(VLOOKUP(MID(T19,W19,X19-W19),[6]skilldef!$C:$D,2,FALSE),"-") &amp; " / " &amp; IFERROR(VLOOKUP(MID(T19,U19,V19-U19),[6]skilldef!$A:$B,2,FALSE),"-")</f>
        <v>- / 全体攻撃</v>
      </c>
      <c r="Z19" s="50"/>
      <c r="AA19" s="52"/>
      <c r="AB19" s="50"/>
    </row>
    <row r="20" spans="1:28" ht="21" customHeight="1" x14ac:dyDescent="0.15">
      <c r="A20" s="155">
        <v>40043019</v>
      </c>
      <c r="B20" s="141" t="s">
        <v>369</v>
      </c>
      <c r="C20" s="50">
        <v>3</v>
      </c>
      <c r="D20" s="50" t="s">
        <v>127</v>
      </c>
      <c r="E20" s="51" t="s">
        <v>279</v>
      </c>
      <c r="F20" s="51" t="s">
        <v>312</v>
      </c>
      <c r="G20" s="64" t="str">
        <f t="shared" si="16"/>
        <v>[effect:enemy_message, val1:1.2, val2:2.2]</v>
      </c>
      <c r="H20" s="64">
        <f t="shared" si="17"/>
        <v>9</v>
      </c>
      <c r="I20" s="64">
        <f t="shared" si="18"/>
        <v>22</v>
      </c>
      <c r="J20" s="64" t="e">
        <f t="shared" si="19"/>
        <v>#VALUE!</v>
      </c>
      <c r="K20" s="64">
        <f t="shared" si="20"/>
        <v>32</v>
      </c>
      <c r="L20" s="64" t="str">
        <f>IFERROR(VLOOKUP(MID(G20,J20,K20-J20),[6]skilldef!$C:$D,2,FALSE),"-") &amp; " / " &amp; IFERROR(VLOOKUP(MID(G20,H20,I20-H20),[6]skilldef!$A:$B,2,FALSE),"-")</f>
        <v>- / -</v>
      </c>
      <c r="M20" s="64" t="str">
        <f t="shared" si="21"/>
        <v>[effect:sleep, target:unit_one, turn:2, rate:1, animation:sleep01],[effect:rush, count:4, val:0.15]</v>
      </c>
      <c r="N20" s="48" t="str">
        <f t="shared" si="32"/>
        <v>[effect:sleep, target:unit_one, turn:2, rate:1, animation:sleep01],[effect:rush, count:4, val:0.15]</v>
      </c>
      <c r="O20" s="64">
        <f t="shared" si="23"/>
        <v>9</v>
      </c>
      <c r="P20" s="64">
        <f t="shared" si="24"/>
        <v>14</v>
      </c>
      <c r="Q20" s="64">
        <f t="shared" si="25"/>
        <v>23</v>
      </c>
      <c r="R20" s="64">
        <f t="shared" si="26"/>
        <v>31</v>
      </c>
      <c r="S20" s="64" t="str">
        <f>IFERROR(VLOOKUP(MID(N20,Q20,R20-Q20),[6]skilldef!$C:$D,2,FALSE),"-") &amp; " / " &amp; IFERROR(VLOOKUP(MID(N20,O20,P20-O20),[6]skilldef!$A:$B,2,FALSE),"-")</f>
        <v>味方単体に / スリープ</v>
      </c>
      <c r="T20" s="48" t="str">
        <f t="shared" si="27"/>
        <v>[effect:rush, count:4, val:0.15]</v>
      </c>
      <c r="U20" s="64">
        <f t="shared" si="28"/>
        <v>9</v>
      </c>
      <c r="V20" s="64">
        <f t="shared" si="29"/>
        <v>13</v>
      </c>
      <c r="W20" s="64" t="e">
        <f t="shared" si="30"/>
        <v>#VALUE!</v>
      </c>
      <c r="X20" s="64">
        <f t="shared" si="31"/>
        <v>22</v>
      </c>
      <c r="Y20" s="64" t="str">
        <f>IFERROR(VLOOKUP(MID(T20,W20,X20-W20),[6]skilldef!$C:$D,2,FALSE),"-") &amp; " / " &amp; IFERROR(VLOOKUP(MID(T20,U20,V20-U20),[6]skilldef!$A:$B,2,FALSE),"-")</f>
        <v>- / 連続攻撃</v>
      </c>
      <c r="Z20" s="50"/>
      <c r="AA20" s="52"/>
      <c r="AB20" s="50"/>
    </row>
    <row r="21" spans="1:28" ht="21" customHeight="1" x14ac:dyDescent="0.15">
      <c r="A21" s="155">
        <v>40043020</v>
      </c>
      <c r="B21" s="47" t="s">
        <v>410</v>
      </c>
      <c r="C21" s="50">
        <v>3</v>
      </c>
      <c r="D21" s="50" t="s">
        <v>127</v>
      </c>
      <c r="E21" s="51" t="s">
        <v>310</v>
      </c>
      <c r="F21" s="51" t="s">
        <v>311</v>
      </c>
      <c r="G21" s="64" t="str">
        <f t="shared" si="16"/>
        <v>[effect:enemy_message, val1:1.2, val2:1.2]</v>
      </c>
      <c r="H21" s="64">
        <f t="shared" si="17"/>
        <v>9</v>
      </c>
      <c r="I21" s="64">
        <f t="shared" si="18"/>
        <v>22</v>
      </c>
      <c r="J21" s="64" t="e">
        <f t="shared" si="19"/>
        <v>#VALUE!</v>
      </c>
      <c r="K21" s="64">
        <f t="shared" si="20"/>
        <v>32</v>
      </c>
      <c r="L21" s="64" t="str">
        <f>IFERROR(VLOOKUP(MID(G21,J21,K21-J21),[6]skilldef!$C:$D,2,FALSE),"-") &amp; " / " &amp; IFERROR(VLOOKUP(MID(G21,H21,I21-H21),[6]skilldef!$A:$B,2,FALSE),"-")</f>
        <v>- / -</v>
      </c>
      <c r="M21" s="64" t="str">
        <f t="shared" si="21"/>
        <v>[effect:freq_turn, target:myself, turn:-1, val:1, animation:enemy_freq_turn]</v>
      </c>
      <c r="N21" s="48" t="str">
        <f t="shared" si="32"/>
        <v>[effect:freq_turn, target:myself, turn:-1, val:1, animation:enemy_freq_turn]</v>
      </c>
      <c r="O21" s="64">
        <f t="shared" si="23"/>
        <v>9</v>
      </c>
      <c r="P21" s="64">
        <f t="shared" si="24"/>
        <v>18</v>
      </c>
      <c r="Q21" s="64">
        <f t="shared" si="25"/>
        <v>27</v>
      </c>
      <c r="R21" s="64">
        <f t="shared" si="26"/>
        <v>33</v>
      </c>
      <c r="S21" s="64" t="str">
        <f>IFERROR(VLOOKUP(MID(N21,Q21,R21-Q21),[6]skilldef!$C:$D,2,FALSE),"-") &amp; " / " &amp; IFERROR(VLOOKUP(MID(N21,O21,P21-O21),[6]skilldef!$A:$B,2,FALSE),"-")</f>
        <v>自分自身に / 攻撃頻度がUP</v>
      </c>
      <c r="T21" s="48" t="str">
        <f t="shared" si="27"/>
        <v>none</v>
      </c>
      <c r="U21" s="64" t="e">
        <f t="shared" si="28"/>
        <v>#VALUE!</v>
      </c>
      <c r="V21" s="64">
        <f t="shared" si="29"/>
        <v>4</v>
      </c>
      <c r="W21" s="64" t="e">
        <f t="shared" si="30"/>
        <v>#VALUE!</v>
      </c>
      <c r="X21" s="64" t="e">
        <f t="shared" si="31"/>
        <v>#VALUE!</v>
      </c>
      <c r="Y21" s="64" t="str">
        <f>IFERROR(VLOOKUP(MID(T21,W21,X21-W21),[6]skilldef!$C:$D,2,FALSE),"-") &amp; " / " &amp; IFERROR(VLOOKUP(MID(T21,U21,V21-U21),[6]skilldef!$A:$B,2,FALSE),"-")</f>
        <v>- / -</v>
      </c>
      <c r="Z21" s="50"/>
      <c r="AA21" s="52"/>
      <c r="AB21" s="50"/>
    </row>
    <row r="22" spans="1:28" ht="21" customHeight="1" x14ac:dyDescent="0.15">
      <c r="A22" s="166">
        <v>40043021</v>
      </c>
      <c r="B22" s="47" t="s">
        <v>422</v>
      </c>
      <c r="C22" s="50">
        <v>3</v>
      </c>
      <c r="D22" s="50" t="s">
        <v>127</v>
      </c>
      <c r="E22" s="51" t="s">
        <v>276</v>
      </c>
      <c r="F22" s="51" t="s">
        <v>280</v>
      </c>
      <c r="G22" s="64" t="str">
        <f t="shared" ref="G22" si="33">IFERROR(LEFT(B22,FIND("],",B22)),B22)</f>
        <v>[effect:enemy_message, val1:1.2, val2:1.5]</v>
      </c>
      <c r="H22" s="64">
        <f t="shared" ref="H22" si="34">FIND("effect:",G22)+7</f>
        <v>9</v>
      </c>
      <c r="I22" s="64">
        <f t="shared" ref="I22" si="35">IFERROR(FIND(",",G22),LEN(G22))</f>
        <v>22</v>
      </c>
      <c r="J22" s="64" t="e">
        <f t="shared" ref="J22" si="36">FIND("target:",G22)+7</f>
        <v>#VALUE!</v>
      </c>
      <c r="K22" s="64">
        <f t="shared" ref="K22" si="37">FIND(",",G22,I22+1)</f>
        <v>32</v>
      </c>
      <c r="L22" s="64" t="str">
        <f>IFERROR(VLOOKUP(MID(G22,J22,K22-J22),[6]skilldef!$C:$D,2,FALSE),"-") &amp; " / " &amp; IFERROR(VLOOKUP(MID(G22,H22,I22-H22),[6]skilldef!$A:$B,2,FALSE),"-")</f>
        <v>- / -</v>
      </c>
      <c r="M22" s="64" t="str">
        <f t="shared" ref="M22" si="38">IFERROR(RIGHT(B22,LEN(B22)-FIND("],",B22)-1),"none")</f>
        <v xml:space="preserve">[effect:change_panel_ratio, turn:2, block_type:red, val:0.5, animation:block_incidence04]    </v>
      </c>
      <c r="N22" s="48" t="str">
        <f t="shared" ref="N22" si="39">IFERROR(LEFT(M22,FIND("],",M22)+S32),M22)</f>
        <v xml:space="preserve">[effect:change_panel_ratio, turn:2, block_type:red, val:0.5, animation:block_incidence04]    </v>
      </c>
      <c r="O22" s="64">
        <f t="shared" ref="O22" si="40">FIND("effect:",N22)+7</f>
        <v>9</v>
      </c>
      <c r="P22" s="64">
        <f t="shared" ref="P22" si="41">IFERROR(FIND(",",N22),LEN(N22))</f>
        <v>27</v>
      </c>
      <c r="Q22" s="64" t="e">
        <f t="shared" ref="Q22" si="42">FIND("target:",N22)+7</f>
        <v>#VALUE!</v>
      </c>
      <c r="R22" s="64">
        <f t="shared" ref="R22" si="43">FIND(",",N22,P22+1)</f>
        <v>35</v>
      </c>
      <c r="S22" s="64" t="str">
        <f>IFERROR(VLOOKUP(MID(N22,Q22,R22-Q22),[6]skilldef!$C:$D,2,FALSE),"-") &amp; " / " &amp; IFERROR(VLOOKUP(MID(N22,O22,P22-O22),[6]skilldef!$A:$B,2,FALSE),"-")</f>
        <v>- / -</v>
      </c>
      <c r="T22" s="48" t="str">
        <f t="shared" ref="T22" si="44">IFERROR(RIGHT(M22,LEN(M22)-FIND("],",M22)-1),"none")</f>
        <v>none</v>
      </c>
      <c r="U22" s="64" t="e">
        <f t="shared" ref="U22" si="45">FIND("effect:",T22)+7</f>
        <v>#VALUE!</v>
      </c>
      <c r="V22" s="64">
        <f t="shared" ref="V22" si="46">IFERROR(FIND(",",T22),LEN(T22))</f>
        <v>4</v>
      </c>
      <c r="W22" s="64" t="e">
        <f t="shared" ref="W22" si="47">FIND("target:",T22)+7</f>
        <v>#VALUE!</v>
      </c>
      <c r="X22" s="64" t="e">
        <f t="shared" ref="X22" si="48">FIND(",",T22,V22+1)</f>
        <v>#VALUE!</v>
      </c>
      <c r="Y22" s="64" t="str">
        <f>IFERROR(VLOOKUP(MID(T22,W22,X22-W22),[6]skilldef!$C:$D,2,FALSE),"-") &amp; " / " &amp; IFERROR(VLOOKUP(MID(T22,U22,V22-U22),[6]skilldef!$A:$B,2,FALSE),"-")</f>
        <v>- / -</v>
      </c>
      <c r="Z22" s="50"/>
      <c r="AA22" s="52"/>
      <c r="AB22" s="50"/>
    </row>
    <row r="23" spans="1:28" ht="21" customHeight="1" thickBot="1" x14ac:dyDescent="0.2">
      <c r="A23" s="159">
        <v>40043022</v>
      </c>
      <c r="B23" s="160" t="s">
        <v>281</v>
      </c>
      <c r="C23" s="148">
        <v>3</v>
      </c>
      <c r="D23" s="161" t="s">
        <v>127</v>
      </c>
      <c r="E23" s="162" t="s">
        <v>282</v>
      </c>
      <c r="F23" s="162" t="s">
        <v>256</v>
      </c>
      <c r="G23" s="163" t="str">
        <f t="shared" si="16"/>
        <v>[effect:enemy_message, val1:1.2, val2:0 dead_type:suicide]</v>
      </c>
      <c r="H23" s="163">
        <f t="shared" si="17"/>
        <v>9</v>
      </c>
      <c r="I23" s="163">
        <f t="shared" si="18"/>
        <v>22</v>
      </c>
      <c r="J23" s="163" t="e">
        <f t="shared" si="19"/>
        <v>#VALUE!</v>
      </c>
      <c r="K23" s="163">
        <f t="shared" si="20"/>
        <v>32</v>
      </c>
      <c r="L23" s="163" t="str">
        <f>IFERROR(VLOOKUP(MID(G23,J23,K23-J23),[6]skilldef!$C:$D,2,FALSE),"-") &amp; " / " &amp; IFERROR(VLOOKUP(MID(G23,H23,I23-H23),[6]skilldef!$A:$B,2,FALSE),"-")</f>
        <v>- / -</v>
      </c>
      <c r="M23" s="163" t="str">
        <f t="shared" si="21"/>
        <v>none</v>
      </c>
      <c r="N23" s="164" t="str">
        <f t="shared" si="22"/>
        <v>none</v>
      </c>
      <c r="O23" s="163" t="e">
        <f t="shared" si="23"/>
        <v>#VALUE!</v>
      </c>
      <c r="P23" s="163">
        <f t="shared" si="24"/>
        <v>4</v>
      </c>
      <c r="Q23" s="163" t="e">
        <f t="shared" si="25"/>
        <v>#VALUE!</v>
      </c>
      <c r="R23" s="163" t="e">
        <f t="shared" si="26"/>
        <v>#VALUE!</v>
      </c>
      <c r="S23" s="163" t="str">
        <f>IFERROR(VLOOKUP(MID(N23,Q23,R23-Q23),[6]skilldef!$C:$D,2,FALSE),"-") &amp; " / " &amp; IFERROR(VLOOKUP(MID(N23,O23,P23-O23),[6]skilldef!$A:$B,2,FALSE),"-")</f>
        <v>- / -</v>
      </c>
      <c r="T23" s="164" t="str">
        <f t="shared" si="27"/>
        <v>none</v>
      </c>
      <c r="U23" s="163" t="e">
        <f t="shared" si="28"/>
        <v>#VALUE!</v>
      </c>
      <c r="V23" s="163">
        <f t="shared" si="29"/>
        <v>4</v>
      </c>
      <c r="W23" s="163" t="e">
        <f t="shared" si="30"/>
        <v>#VALUE!</v>
      </c>
      <c r="X23" s="163" t="e">
        <f t="shared" si="31"/>
        <v>#VALUE!</v>
      </c>
      <c r="Y23" s="163" t="str">
        <f>IFERROR(VLOOKUP(MID(T23,W23,X23-W23),[6]skilldef!$C:$D,2,FALSE),"-") &amp; " / " &amp; IFERROR(VLOOKUP(MID(T23,U23,V23-U23),[6]skilldef!$A:$B,2,FALSE),"-")</f>
        <v>- / -</v>
      </c>
      <c r="Z23" s="161"/>
      <c r="AA23" s="165"/>
      <c r="AB23" s="161"/>
    </row>
    <row r="24" spans="1:28" ht="21" customHeight="1" x14ac:dyDescent="0.15">
      <c r="A24" s="155">
        <v>40043023</v>
      </c>
      <c r="B24" s="47" t="s">
        <v>303</v>
      </c>
      <c r="C24" s="142">
        <v>3</v>
      </c>
      <c r="D24" s="50" t="s">
        <v>127</v>
      </c>
      <c r="E24" s="51" t="s">
        <v>408</v>
      </c>
      <c r="F24" s="51" t="s">
        <v>273</v>
      </c>
      <c r="G24" s="64" t="str">
        <f t="shared" si="16"/>
        <v>[effect:enemy_message, val1:1.2, val2:2.2]</v>
      </c>
      <c r="H24" s="64">
        <f t="shared" si="17"/>
        <v>9</v>
      </c>
      <c r="I24" s="64">
        <f t="shared" si="18"/>
        <v>22</v>
      </c>
      <c r="J24" s="64" t="e">
        <f t="shared" si="19"/>
        <v>#VALUE!</v>
      </c>
      <c r="K24" s="64">
        <f t="shared" si="20"/>
        <v>32</v>
      </c>
      <c r="L24" s="64" t="str">
        <f>IFERROR(VLOOKUP(MID(G24,J24,K24-J24),[6]skilldef!$C:$D,2,FALSE),"-") &amp; " / " &amp; IFERROR(VLOOKUP(MID(G24,H24,I24-H24),[6]skilldef!$A:$B,2,FALSE),"-")</f>
        <v>- / -</v>
      </c>
      <c r="M24" s="64" t="str">
        <f t="shared" si="21"/>
        <v>[effect:break_attack, target:unit_one, val:0.1, lowest_val:3000, count:4, color:red, block_color:block_blue, block01:damage]</v>
      </c>
      <c r="N24" s="48" t="str">
        <f t="shared" si="22"/>
        <v>[effect:break_attack, target:unit_one, val:0.1, lowest_val:3000, count:4, color:red, block_color:block_blue, block01:damage]</v>
      </c>
      <c r="O24" s="64">
        <f t="shared" si="23"/>
        <v>9</v>
      </c>
      <c r="P24" s="64">
        <f t="shared" si="24"/>
        <v>21</v>
      </c>
      <c r="Q24" s="64">
        <f t="shared" si="25"/>
        <v>30</v>
      </c>
      <c r="R24" s="64">
        <f t="shared" si="26"/>
        <v>38</v>
      </c>
      <c r="S24" s="64" t="str">
        <f>IFERROR(VLOOKUP(MID(N24,Q24,R24-Q24),[6]skilldef!$C:$D,2,FALSE),"-") &amp; " / " &amp; IFERROR(VLOOKUP(MID(N24,O24,P24-O24),[6]skilldef!$A:$B,2,FALSE),"-")</f>
        <v>味方単体に / -</v>
      </c>
      <c r="T24" s="48" t="str">
        <f t="shared" si="27"/>
        <v>none</v>
      </c>
      <c r="U24" s="64" t="e">
        <f t="shared" si="28"/>
        <v>#VALUE!</v>
      </c>
      <c r="V24" s="64">
        <f t="shared" si="29"/>
        <v>4</v>
      </c>
      <c r="W24" s="64" t="e">
        <f t="shared" si="30"/>
        <v>#VALUE!</v>
      </c>
      <c r="X24" s="64" t="e">
        <f t="shared" si="31"/>
        <v>#VALUE!</v>
      </c>
      <c r="Y24" s="64" t="str">
        <f>IFERROR(VLOOKUP(MID(T24,W24,X24-W24),[6]skilldef!$C:$D,2,FALSE),"-") &amp; " / " &amp; IFERROR(VLOOKUP(MID(T24,U24,V24-U24),[6]skilldef!$A:$B,2,FALSE),"-")</f>
        <v>- / -</v>
      </c>
      <c r="Z24" s="50"/>
      <c r="AA24" s="52"/>
      <c r="AB24" s="50"/>
    </row>
    <row r="25" spans="1:28" ht="21" customHeight="1" thickBot="1" x14ac:dyDescent="0.2">
      <c r="A25" s="156">
        <v>40043024</v>
      </c>
      <c r="B25" s="147" t="s">
        <v>421</v>
      </c>
      <c r="C25" s="50">
        <v>3</v>
      </c>
      <c r="D25" s="148" t="s">
        <v>127</v>
      </c>
      <c r="E25" s="149" t="s">
        <v>274</v>
      </c>
      <c r="F25" s="149" t="s">
        <v>417</v>
      </c>
      <c r="G25" s="150" t="str">
        <f t="shared" si="16"/>
        <v>[effect:enemy_message, val1:1.2, val2:2.2]</v>
      </c>
      <c r="H25" s="150">
        <f t="shared" si="17"/>
        <v>9</v>
      </c>
      <c r="I25" s="150">
        <f t="shared" si="18"/>
        <v>22</v>
      </c>
      <c r="J25" s="150" t="e">
        <f t="shared" si="19"/>
        <v>#VALUE!</v>
      </c>
      <c r="K25" s="150">
        <f t="shared" si="20"/>
        <v>32</v>
      </c>
      <c r="L25" s="150" t="str">
        <f>IFERROR(VLOOKUP(MID(G25,J25,K25-J25),[6]skilldef!$C:$D,2,FALSE),"-") &amp; " / " &amp; IFERROR(VLOOKUP(MID(G25,H25,I25-H25),[6]skilldef!$A:$B,2,FALSE),"-")</f>
        <v>- / -</v>
      </c>
      <c r="M25" s="150" t="str">
        <f t="shared" si="21"/>
        <v>[effect:hungup, target:unit_all, turn:2, rate:1, animation:hungup01],[effect:spread, val:0.3]</v>
      </c>
      <c r="N25" s="151" t="str">
        <f t="shared" si="22"/>
        <v>[effect:hungup, target:unit_all, turn:2, rate:1, animation:hungup01],[effect:spread, val:0.3]</v>
      </c>
      <c r="O25" s="150">
        <f t="shared" si="23"/>
        <v>9</v>
      </c>
      <c r="P25" s="150">
        <f t="shared" si="24"/>
        <v>15</v>
      </c>
      <c r="Q25" s="150">
        <f t="shared" si="25"/>
        <v>24</v>
      </c>
      <c r="R25" s="150">
        <f t="shared" si="26"/>
        <v>32</v>
      </c>
      <c r="S25" s="150" t="str">
        <f>IFERROR(VLOOKUP(MID(N25,Q25,R25-Q25),[6]skilldef!$C:$D,2,FALSE),"-") &amp; " / " &amp; IFERROR(VLOOKUP(MID(N25,O25,P25-O25),[6]skilldef!$A:$B,2,FALSE),"-")</f>
        <v>味方全体に / ハングアップ</v>
      </c>
      <c r="T25" s="151" t="str">
        <f t="shared" si="27"/>
        <v>[effect:spread, val:0.3]</v>
      </c>
      <c r="U25" s="150">
        <f t="shared" si="28"/>
        <v>9</v>
      </c>
      <c r="V25" s="150">
        <f t="shared" si="29"/>
        <v>15</v>
      </c>
      <c r="W25" s="150" t="e">
        <f t="shared" si="30"/>
        <v>#VALUE!</v>
      </c>
      <c r="X25" s="150" t="e">
        <f t="shared" si="31"/>
        <v>#VALUE!</v>
      </c>
      <c r="Y25" s="150" t="str">
        <f>IFERROR(VLOOKUP(MID(T25,W25,X25-W25),[6]skilldef!$C:$D,2,FALSE),"-") &amp; " / " &amp; IFERROR(VLOOKUP(MID(T25,U25,V25-U25),[6]skilldef!$A:$B,2,FALSE),"-")</f>
        <v>- / 全体攻撃</v>
      </c>
      <c r="Z25" s="148"/>
      <c r="AA25" s="152"/>
      <c r="AB25" s="148"/>
    </row>
    <row r="26" spans="1:28" ht="21" customHeight="1" x14ac:dyDescent="0.15">
      <c r="A26" s="157">
        <v>40043025</v>
      </c>
      <c r="B26" s="47" t="s">
        <v>385</v>
      </c>
      <c r="C26" s="50">
        <v>3</v>
      </c>
      <c r="D26" s="50" t="s">
        <v>127</v>
      </c>
      <c r="E26" s="51" t="s">
        <v>391</v>
      </c>
      <c r="F26" s="51" t="s">
        <v>341</v>
      </c>
      <c r="G26" s="64" t="str">
        <f t="shared" si="16"/>
        <v>[effect:enemy_message, val1:1.2, val2:1.9]</v>
      </c>
      <c r="H26" s="64">
        <f t="shared" si="17"/>
        <v>9</v>
      </c>
      <c r="I26" s="64">
        <f t="shared" si="18"/>
        <v>22</v>
      </c>
      <c r="J26" s="64" t="e">
        <f t="shared" si="19"/>
        <v>#VALUE!</v>
      </c>
      <c r="K26" s="64">
        <f t="shared" si="20"/>
        <v>32</v>
      </c>
      <c r="L26" s="64" t="str">
        <f>IFERROR(VLOOKUP(MID(G26,J26,K26-J26),[6]skilldef!$C:$D,2,FALSE),"-") &amp; " / " &amp; IFERROR(VLOOKUP(MID(G26,H26,I26-H26),[6]skilldef!$A:$B,2,FALSE),"-")</f>
        <v>- / -</v>
      </c>
      <c r="M26" s="64" t="str">
        <f t="shared" si="21"/>
        <v>[effect:fix_speed, target:myself, turn:1],[effect:tolerance, target:myself, turn:-1, count:-1, tolerance_effect:all, animation:enemy_tolerance],[effect:enhance_enemy, target:myself, turn:4, status:attack, val:0.2, calc:mul, animation:enemy_enhance_attack]</v>
      </c>
      <c r="N26" s="48" t="str">
        <f t="shared" si="22"/>
        <v>[effect:fix_speed, target:myself, turn:1],[effect:tolerance, target:myself, turn:-1, count:-1, tolerance_effect:all, animation:enemy_tolerance],[effect:enhance_enemy, target:myself, turn:4, status:attack, val:0.2, calc:mul, animation:enemy_enhance_attack]</v>
      </c>
      <c r="O26" s="64">
        <f t="shared" si="23"/>
        <v>9</v>
      </c>
      <c r="P26" s="64">
        <f t="shared" si="24"/>
        <v>18</v>
      </c>
      <c r="Q26" s="64">
        <f t="shared" si="25"/>
        <v>27</v>
      </c>
      <c r="R26" s="64">
        <f t="shared" si="26"/>
        <v>33</v>
      </c>
      <c r="S26" s="64" t="str">
        <f>IFERROR(VLOOKUP(MID(N26,Q26,R26-Q26),[6]skilldef!$C:$D,2,FALSE),"-") &amp; " / " &amp; IFERROR(VLOOKUP(MID(N26,O26,P26-O26),[6]skilldef!$A:$B,2,FALSE),"-")</f>
        <v>自分自身に / 行動値設定</v>
      </c>
      <c r="T26" s="48" t="str">
        <f t="shared" si="27"/>
        <v>[effect:tolerance, target:myself, turn:-1, count:-1, tolerance_effect:all, animation:enemy_tolerance],[effect:enhance_enemy, target:myself, turn:4, status:attack, val:0.2, calc:mul, animation:enemy_enhance_attack]</v>
      </c>
      <c r="U26" s="64">
        <f t="shared" si="28"/>
        <v>9</v>
      </c>
      <c r="V26" s="64">
        <f t="shared" si="29"/>
        <v>18</v>
      </c>
      <c r="W26" s="64">
        <f t="shared" si="30"/>
        <v>27</v>
      </c>
      <c r="X26" s="64">
        <f t="shared" si="31"/>
        <v>33</v>
      </c>
      <c r="Y26" s="64" t="str">
        <f>IFERROR(VLOOKUP(MID(T26,W26,X26-W26),[6]skilldef!$C:$D,2,FALSE),"-") &amp; " / " &amp; IFERROR(VLOOKUP(MID(T26,U26,V26-U26),[6]skilldef!$A:$B,2,FALSE),"-")</f>
        <v>自分自身に / 状態異常耐性</v>
      </c>
      <c r="Z26" s="50"/>
      <c r="AA26" s="52"/>
      <c r="AB26" s="50"/>
    </row>
    <row r="27" spans="1:28" ht="21" customHeight="1" x14ac:dyDescent="0.15">
      <c r="A27" s="157">
        <v>40043026</v>
      </c>
      <c r="B27" s="47" t="s">
        <v>404</v>
      </c>
      <c r="C27" s="50">
        <v>3</v>
      </c>
      <c r="D27" s="50" t="s">
        <v>127</v>
      </c>
      <c r="E27" s="51" t="s">
        <v>392</v>
      </c>
      <c r="F27" s="51" t="s">
        <v>339</v>
      </c>
      <c r="G27" s="64" t="str">
        <f t="shared" si="16"/>
        <v>[effect:enemy_message, val1:1.6, val2:2.6]</v>
      </c>
      <c r="H27" s="64">
        <f t="shared" si="17"/>
        <v>9</v>
      </c>
      <c r="I27" s="64">
        <f t="shared" si="18"/>
        <v>22</v>
      </c>
      <c r="J27" s="64" t="e">
        <f t="shared" si="19"/>
        <v>#VALUE!</v>
      </c>
      <c r="K27" s="64">
        <f t="shared" si="20"/>
        <v>32</v>
      </c>
      <c r="L27" s="64" t="str">
        <f>IFERROR(VLOOKUP(MID(G27,J27,K27-J27),[6]skilldef!$C:$D,2,FALSE),"-") &amp; " / " &amp; IFERROR(VLOOKUP(MID(G27,H27,I27-H27),[6]skilldef!$A:$B,2,FALSE),"-")</f>
        <v>- / -</v>
      </c>
      <c r="M27" s="64" t="str">
        <f t="shared" si="21"/>
        <v>[effect:force_change_block, new_block:damage, target:block_heart, color:block_green, count:5, val:0.15, animation:change_block],[effect:spread, val:0.2]</v>
      </c>
      <c r="N27" s="48" t="str">
        <f t="shared" si="22"/>
        <v>[effect:force_change_block, new_block:damage, target:block_heart, color:block_green, count:5, val:0.15, animation:change_block],[effect:spread, val:0.2]</v>
      </c>
      <c r="O27" s="64">
        <f t="shared" si="23"/>
        <v>9</v>
      </c>
      <c r="P27" s="64">
        <f t="shared" si="24"/>
        <v>27</v>
      </c>
      <c r="Q27" s="64">
        <f t="shared" si="25"/>
        <v>54</v>
      </c>
      <c r="R27" s="64">
        <f t="shared" si="26"/>
        <v>45</v>
      </c>
      <c r="S27" s="64" t="str">
        <f>IFERROR(VLOOKUP(MID(N27,Q27,R27-Q27),[6]skilldef!$C:$D,2,FALSE),"-") &amp; " / " &amp; IFERROR(VLOOKUP(MID(N27,O27,P27-O27),[6]skilldef!$A:$B,2,FALSE),"-")</f>
        <v>- / -</v>
      </c>
      <c r="T27" s="48" t="str">
        <f t="shared" si="27"/>
        <v>[effect:spread, val:0.2]</v>
      </c>
      <c r="U27" s="64">
        <f t="shared" si="28"/>
        <v>9</v>
      </c>
      <c r="V27" s="64">
        <f t="shared" si="29"/>
        <v>15</v>
      </c>
      <c r="W27" s="64" t="e">
        <f t="shared" si="30"/>
        <v>#VALUE!</v>
      </c>
      <c r="X27" s="64" t="e">
        <f t="shared" si="31"/>
        <v>#VALUE!</v>
      </c>
      <c r="Y27" s="64" t="str">
        <f>IFERROR(VLOOKUP(MID(T27,W27,X27-W27),[6]skilldef!$C:$D,2,FALSE),"-") &amp; " / " &amp; IFERROR(VLOOKUP(MID(T27,U27,V27-U27),[6]skilldef!$A:$B,2,FALSE),"-")</f>
        <v>- / 全体攻撃</v>
      </c>
      <c r="Z27" s="50"/>
      <c r="AA27" s="52"/>
      <c r="AB27" s="50"/>
    </row>
    <row r="28" spans="1:28" ht="21" customHeight="1" x14ac:dyDescent="0.15">
      <c r="A28" s="157">
        <v>40043027</v>
      </c>
      <c r="B28" s="47" t="s">
        <v>405</v>
      </c>
      <c r="C28" s="50">
        <v>3</v>
      </c>
      <c r="D28" s="50" t="s">
        <v>127</v>
      </c>
      <c r="E28" s="51" t="s">
        <v>401</v>
      </c>
      <c r="F28" s="51" t="s">
        <v>314</v>
      </c>
      <c r="G28" s="64" t="str">
        <f t="shared" si="16"/>
        <v>[effect:enemy_message, val1:1.7, val2:3.3]</v>
      </c>
      <c r="H28" s="64">
        <f t="shared" si="17"/>
        <v>9</v>
      </c>
      <c r="I28" s="64">
        <f t="shared" si="18"/>
        <v>22</v>
      </c>
      <c r="J28" s="64" t="e">
        <f t="shared" si="19"/>
        <v>#VALUE!</v>
      </c>
      <c r="K28" s="64">
        <f t="shared" si="20"/>
        <v>32</v>
      </c>
      <c r="L28" s="64" t="str">
        <f>IFERROR(VLOOKUP(MID(G28,J28,K28-J28),[6]skilldef!$C:$D,2,FALSE),"-") &amp; " / " &amp; IFERROR(VLOOKUP(MID(G28,H28,I28-H28),[6]skilldef!$A:$B,2,FALSE),"-")</f>
        <v>- / -</v>
      </c>
      <c r="M28" s="64" t="str">
        <f t="shared" si="21"/>
        <v>[effect:force_change_block, new_block:damage, target:block_green, color:block_blue, count:5, val:0.15, animation:change_block],[effect:damage_gravity, val:0.5, animation:fevergauge_down]</v>
      </c>
      <c r="N28" s="48" t="str">
        <f t="shared" si="22"/>
        <v>[effect:force_change_block, new_block:damage, target:block_green, color:block_blue, count:5, val:0.15, animation:change_block],[effect:damage_gravity, val:0.5, animation:fevergauge_down]</v>
      </c>
      <c r="O28" s="64">
        <f t="shared" si="23"/>
        <v>9</v>
      </c>
      <c r="P28" s="64">
        <f t="shared" si="24"/>
        <v>27</v>
      </c>
      <c r="Q28" s="64">
        <f t="shared" si="25"/>
        <v>54</v>
      </c>
      <c r="R28" s="64">
        <f t="shared" si="26"/>
        <v>45</v>
      </c>
      <c r="S28" s="64" t="str">
        <f>IFERROR(VLOOKUP(MID(N28,Q28,R28-Q28),[6]skilldef!$C:$D,2,FALSE),"-") &amp; " / " &amp; IFERROR(VLOOKUP(MID(N28,O28,P28-O28),[6]skilldef!$A:$B,2,FALSE),"-")</f>
        <v>- / -</v>
      </c>
      <c r="T28" s="48" t="str">
        <f t="shared" si="27"/>
        <v>[effect:damage_gravity, val:0.5, animation:fevergauge_down]</v>
      </c>
      <c r="U28" s="64">
        <f t="shared" si="28"/>
        <v>9</v>
      </c>
      <c r="V28" s="64">
        <f t="shared" si="29"/>
        <v>23</v>
      </c>
      <c r="W28" s="64" t="e">
        <f t="shared" si="30"/>
        <v>#VALUE!</v>
      </c>
      <c r="X28" s="64">
        <f t="shared" si="31"/>
        <v>32</v>
      </c>
      <c r="Y28" s="64" t="str">
        <f>IFERROR(VLOOKUP(MID(T28,W28,X28-W28),[6]skilldef!$C:$D,2,FALSE),"-") &amp; " / " &amp; IFERROR(VLOOKUP(MID(T28,U28,V28-U28),[6]skilldef!$A:$B,2,FALSE),"-")</f>
        <v>- / 割合ダメージ</v>
      </c>
      <c r="Z28" s="50"/>
      <c r="AA28" s="52"/>
      <c r="AB28" s="50"/>
    </row>
    <row r="29" spans="1:28" ht="21" customHeight="1" thickBot="1" x14ac:dyDescent="0.2">
      <c r="A29" s="158">
        <v>40043028</v>
      </c>
      <c r="B29" s="147" t="s">
        <v>440</v>
      </c>
      <c r="C29" s="148">
        <v>3</v>
      </c>
      <c r="D29" s="148" t="s">
        <v>127</v>
      </c>
      <c r="E29" s="149" t="s">
        <v>435</v>
      </c>
      <c r="F29" s="149" t="s">
        <v>315</v>
      </c>
      <c r="G29" s="150" t="str">
        <f t="shared" si="16"/>
        <v>[effect:enemy_message, val1:1.2, val2:1.5]</v>
      </c>
      <c r="H29" s="150">
        <f t="shared" si="17"/>
        <v>9</v>
      </c>
      <c r="I29" s="150">
        <f t="shared" si="18"/>
        <v>22</v>
      </c>
      <c r="J29" s="150" t="e">
        <f t="shared" si="19"/>
        <v>#VALUE!</v>
      </c>
      <c r="K29" s="150">
        <f t="shared" si="20"/>
        <v>32</v>
      </c>
      <c r="L29" s="150" t="str">
        <f>IFERROR(VLOOKUP(MID(G29,J29,K29-J29),[6]skilldef!$C:$D,2,FALSE),"-") &amp; " / " &amp; IFERROR(VLOOKUP(MID(G29,H29,I29-H29),[6]skilldef!$A:$B,2,FALSE),"-")</f>
        <v>- / -</v>
      </c>
      <c r="M29" s="150" t="str">
        <f t="shared" si="21"/>
        <v>[effect:force_change_block, new_block:block_red, target:damage, count:0, val:0, animation:change_block]</v>
      </c>
      <c r="N29" s="151" t="str">
        <f t="shared" si="22"/>
        <v>[effect:force_change_block, new_block:block_red, target:damage, count:0, val:0, animation:change_block]</v>
      </c>
      <c r="O29" s="150">
        <f t="shared" si="23"/>
        <v>9</v>
      </c>
      <c r="P29" s="150">
        <f t="shared" si="24"/>
        <v>27</v>
      </c>
      <c r="Q29" s="150">
        <f t="shared" si="25"/>
        <v>57</v>
      </c>
      <c r="R29" s="150">
        <f t="shared" si="26"/>
        <v>48</v>
      </c>
      <c r="S29" s="150" t="str">
        <f>IFERROR(VLOOKUP(MID(N29,Q29,R29-Q29),[6]skilldef!$C:$D,2,FALSE),"-") &amp; " / " &amp; IFERROR(VLOOKUP(MID(N29,O29,P29-O29),[6]skilldef!$A:$B,2,FALSE),"-")</f>
        <v>- / -</v>
      </c>
      <c r="T29" s="151" t="str">
        <f t="shared" si="27"/>
        <v>none</v>
      </c>
      <c r="U29" s="150" t="e">
        <f t="shared" si="28"/>
        <v>#VALUE!</v>
      </c>
      <c r="V29" s="150">
        <f t="shared" si="29"/>
        <v>4</v>
      </c>
      <c r="W29" s="150" t="e">
        <f t="shared" si="30"/>
        <v>#VALUE!</v>
      </c>
      <c r="X29" s="150" t="e">
        <f t="shared" si="31"/>
        <v>#VALUE!</v>
      </c>
      <c r="Y29" s="150" t="str">
        <f>IFERROR(VLOOKUP(MID(T29,W29,X29-W29),[6]skilldef!$C:$D,2,FALSE),"-") &amp; " / " &amp; IFERROR(VLOOKUP(MID(T29,U29,V29-U29),[6]skilldef!$A:$B,2,FALSE),"-")</f>
        <v>- / -</v>
      </c>
      <c r="Z29" s="148"/>
      <c r="AA29" s="152"/>
      <c r="AB29" s="148"/>
    </row>
    <row r="30" spans="1:28" ht="21" customHeight="1" x14ac:dyDescent="0.15">
      <c r="A30" s="157">
        <v>40043029</v>
      </c>
      <c r="B30" s="47" t="s">
        <v>360</v>
      </c>
      <c r="C30" s="142">
        <v>3</v>
      </c>
      <c r="D30" s="50" t="s">
        <v>127</v>
      </c>
      <c r="E30" s="51" t="s">
        <v>393</v>
      </c>
      <c r="F30" s="51" t="s">
        <v>342</v>
      </c>
      <c r="G30" s="64" t="str">
        <f t="shared" si="16"/>
        <v>[effect:enemy_message, val1:1.2, val2:1.4]</v>
      </c>
      <c r="H30" s="64">
        <f t="shared" si="17"/>
        <v>9</v>
      </c>
      <c r="I30" s="64">
        <f t="shared" si="18"/>
        <v>22</v>
      </c>
      <c r="J30" s="64" t="e">
        <f t="shared" si="19"/>
        <v>#VALUE!</v>
      </c>
      <c r="K30" s="64">
        <f t="shared" si="20"/>
        <v>32</v>
      </c>
      <c r="L30" s="64" t="str">
        <f>IFERROR(VLOOKUP(MID(G30,J30,K30-J30),[6]skilldef!$C:$D,2,FALSE),"-") &amp; " / " &amp; IFERROR(VLOOKUP(MID(G30,H30,I30-H30),[6]skilldef!$A:$B,2,FALSE),"-")</f>
        <v>- / -</v>
      </c>
      <c r="M30" s="64" t="str">
        <f t="shared" si="21"/>
        <v>[effect:fix_speed, target:myself, turn:2],[effect:tolerance, target:myself, turn:-1, count:-1, tolerance_effect:all, animation:enemy_tolerance],[effect:rush, count:10, val:0.09]</v>
      </c>
      <c r="N30" s="48" t="str">
        <f t="shared" si="22"/>
        <v>[effect:fix_speed, target:myself, turn:2],[effect:tolerance, target:myself, turn:-1, count:-1, tolerance_effect:all, animation:enemy_tolerance],[effect:rush, count:10, val:0.09]</v>
      </c>
      <c r="O30" s="64">
        <f t="shared" si="23"/>
        <v>9</v>
      </c>
      <c r="P30" s="64">
        <f t="shared" si="24"/>
        <v>18</v>
      </c>
      <c r="Q30" s="64">
        <f t="shared" si="25"/>
        <v>27</v>
      </c>
      <c r="R30" s="64">
        <f t="shared" si="26"/>
        <v>33</v>
      </c>
      <c r="S30" s="64" t="str">
        <f>IFERROR(VLOOKUP(MID(N30,Q30,R30-Q30),[6]skilldef!$C:$D,2,FALSE),"-") &amp; " / " &amp; IFERROR(VLOOKUP(MID(N30,O30,P30-O30),[6]skilldef!$A:$B,2,FALSE),"-")</f>
        <v>自分自身に / 行動値設定</v>
      </c>
      <c r="T30" s="48" t="str">
        <f t="shared" si="27"/>
        <v>[effect:tolerance, target:myself, turn:-1, count:-1, tolerance_effect:all, animation:enemy_tolerance],[effect:rush, count:10, val:0.09]</v>
      </c>
      <c r="U30" s="64">
        <f t="shared" si="28"/>
        <v>9</v>
      </c>
      <c r="V30" s="64">
        <f t="shared" si="29"/>
        <v>18</v>
      </c>
      <c r="W30" s="64">
        <f t="shared" si="30"/>
        <v>27</v>
      </c>
      <c r="X30" s="64">
        <f t="shared" si="31"/>
        <v>33</v>
      </c>
      <c r="Y30" s="64" t="str">
        <f>IFERROR(VLOOKUP(MID(T30,W30,X30-W30),[6]skilldef!$C:$D,2,FALSE),"-") &amp; " / " &amp; IFERROR(VLOOKUP(MID(T30,U30,V30-U30),[6]skilldef!$A:$B,2,FALSE),"-")</f>
        <v>自分自身に / 状態異常耐性</v>
      </c>
      <c r="Z30" s="50"/>
      <c r="AA30" s="52"/>
      <c r="AB30" s="50"/>
    </row>
    <row r="31" spans="1:28" ht="21" customHeight="1" x14ac:dyDescent="0.15">
      <c r="A31" s="157">
        <v>40043030</v>
      </c>
      <c r="B31" s="47" t="s">
        <v>375</v>
      </c>
      <c r="C31" s="50">
        <v>3</v>
      </c>
      <c r="D31" s="50" t="s">
        <v>127</v>
      </c>
      <c r="E31" s="51" t="s">
        <v>394</v>
      </c>
      <c r="F31" s="51" t="s">
        <v>372</v>
      </c>
      <c r="G31" s="64" t="str">
        <f t="shared" si="16"/>
        <v>[effect:enemy_message, val1:1.2, val2:1.2]</v>
      </c>
      <c r="H31" s="64">
        <f t="shared" si="17"/>
        <v>9</v>
      </c>
      <c r="I31" s="64">
        <f t="shared" si="18"/>
        <v>22</v>
      </c>
      <c r="J31" s="64" t="e">
        <f t="shared" si="19"/>
        <v>#VALUE!</v>
      </c>
      <c r="K31" s="64">
        <f t="shared" si="20"/>
        <v>32</v>
      </c>
      <c r="L31" s="64" t="str">
        <f>IFERROR(VLOOKUP(MID(G31,J31,K31-J31),[6]skilldef!$C:$D,2,FALSE),"-") &amp; " / " &amp; IFERROR(VLOOKUP(MID(G31,H31,I31-H31),[6]skilldef!$A:$B,2,FALSE),"-")</f>
        <v>- / -</v>
      </c>
      <c r="M31" s="64" t="str">
        <f t="shared" si="21"/>
        <v>[effect:dark, target:unit_all, turn:3, animation:enemy_dark],[effect:rush, count:1, val:0.7]</v>
      </c>
      <c r="N31" s="48" t="str">
        <f t="shared" si="22"/>
        <v>[effect:dark, target:unit_all, turn:3, animation:enemy_dark],[effect:rush, count:1, val:0.7]</v>
      </c>
      <c r="O31" s="64">
        <f t="shared" si="23"/>
        <v>9</v>
      </c>
      <c r="P31" s="64">
        <f t="shared" si="24"/>
        <v>13</v>
      </c>
      <c r="Q31" s="64">
        <f t="shared" si="25"/>
        <v>22</v>
      </c>
      <c r="R31" s="64">
        <f t="shared" si="26"/>
        <v>30</v>
      </c>
      <c r="S31" s="64" t="str">
        <f>IFERROR(VLOOKUP(MID(N31,Q31,R31-Q31),[6]skilldef!$C:$D,2,FALSE),"-") &amp; " / " &amp; IFERROR(VLOOKUP(MID(N31,O31,P31-O31),[6]skilldef!$A:$B,2,FALSE),"-")</f>
        <v>味方全体に / 暗黒</v>
      </c>
      <c r="T31" s="48" t="str">
        <f t="shared" si="27"/>
        <v>[effect:rush, count:1, val:0.7]</v>
      </c>
      <c r="U31" s="64">
        <f t="shared" si="28"/>
        <v>9</v>
      </c>
      <c r="V31" s="64">
        <f t="shared" si="29"/>
        <v>13</v>
      </c>
      <c r="W31" s="64" t="e">
        <f t="shared" si="30"/>
        <v>#VALUE!</v>
      </c>
      <c r="X31" s="64">
        <f t="shared" si="31"/>
        <v>22</v>
      </c>
      <c r="Y31" s="64" t="str">
        <f>IFERROR(VLOOKUP(MID(T31,W31,X31-W31),[6]skilldef!$C:$D,2,FALSE),"-") &amp; " / " &amp; IFERROR(VLOOKUP(MID(T31,U31,V31-U31),[6]skilldef!$A:$B,2,FALSE),"-")</f>
        <v>- / 連続攻撃</v>
      </c>
      <c r="Z31" s="50"/>
      <c r="AA31" s="52"/>
      <c r="AB31" s="50"/>
    </row>
    <row r="32" spans="1:28" ht="21" customHeight="1" x14ac:dyDescent="0.15">
      <c r="A32" s="157">
        <v>40043031</v>
      </c>
      <c r="B32" s="47" t="s">
        <v>411</v>
      </c>
      <c r="C32" s="50">
        <v>3</v>
      </c>
      <c r="D32" s="142" t="s">
        <v>127</v>
      </c>
      <c r="E32" s="143" t="s">
        <v>395</v>
      </c>
      <c r="F32" s="143" t="s">
        <v>412</v>
      </c>
      <c r="G32" s="144" t="str">
        <f t="shared" si="16"/>
        <v>[effect:enemy_message, val1:1.4, val2:1.2]</v>
      </c>
      <c r="H32" s="144">
        <f t="shared" si="17"/>
        <v>9</v>
      </c>
      <c r="I32" s="144">
        <f t="shared" si="18"/>
        <v>22</v>
      </c>
      <c r="J32" s="144" t="e">
        <f t="shared" si="19"/>
        <v>#VALUE!</v>
      </c>
      <c r="K32" s="144">
        <f t="shared" si="20"/>
        <v>32</v>
      </c>
      <c r="L32" s="144" t="str">
        <f>IFERROR(VLOOKUP(MID(G32,J32,K32-J32),[6]skilldef!$C:$D,2,FALSE),"-") &amp; " / " &amp; IFERROR(VLOOKUP(MID(G32,H32,I32-H32),[6]skilldef!$A:$B,2,FALSE),"-")</f>
        <v>- / -</v>
      </c>
      <c r="M32" s="144" t="str">
        <f t="shared" si="21"/>
        <v>[effect:freq_turn, target:myself, turn:-1, val:1, animation:enemy_freq_turn]</v>
      </c>
      <c r="N32" s="145" t="str">
        <f t="shared" si="22"/>
        <v>[effect:freq_turn, target:myself, turn:-1, val:1, animation:enemy_freq_turn]</v>
      </c>
      <c r="O32" s="144">
        <f t="shared" si="23"/>
        <v>9</v>
      </c>
      <c r="P32" s="144">
        <f t="shared" si="24"/>
        <v>18</v>
      </c>
      <c r="Q32" s="144">
        <f t="shared" si="25"/>
        <v>27</v>
      </c>
      <c r="R32" s="144">
        <f t="shared" si="26"/>
        <v>33</v>
      </c>
      <c r="S32" s="144" t="str">
        <f>IFERROR(VLOOKUP(MID(N32,Q32,R32-Q32),[6]skilldef!$C:$D,2,FALSE),"-") &amp; " / " &amp; IFERROR(VLOOKUP(MID(N32,O32,P32-O32),[6]skilldef!$A:$B,2,FALSE),"-")</f>
        <v>自分自身に / 攻撃頻度がUP</v>
      </c>
      <c r="T32" s="145" t="str">
        <f t="shared" si="27"/>
        <v>none</v>
      </c>
      <c r="U32" s="144" t="e">
        <f t="shared" si="28"/>
        <v>#VALUE!</v>
      </c>
      <c r="V32" s="144">
        <f t="shared" si="29"/>
        <v>4</v>
      </c>
      <c r="W32" s="144" t="e">
        <f t="shared" si="30"/>
        <v>#VALUE!</v>
      </c>
      <c r="X32" s="144" t="e">
        <f t="shared" si="31"/>
        <v>#VALUE!</v>
      </c>
      <c r="Y32" s="144" t="str">
        <f>IFERROR(VLOOKUP(MID(T32,W32,X32-W32),[6]skilldef!$C:$D,2,FALSE),"-") &amp; " / " &amp; IFERROR(VLOOKUP(MID(T32,U32,V32-U32),[6]skilldef!$A:$B,2,FALSE),"-")</f>
        <v>- / -</v>
      </c>
      <c r="Z32" s="142"/>
      <c r="AA32" s="146"/>
      <c r="AB32" s="142"/>
    </row>
    <row r="33" spans="1:28" ht="21" customHeight="1" x14ac:dyDescent="0.15">
      <c r="A33" s="157">
        <v>40043032</v>
      </c>
      <c r="B33" s="47" t="s">
        <v>381</v>
      </c>
      <c r="C33" s="50">
        <v>3</v>
      </c>
      <c r="D33" s="50" t="s">
        <v>127</v>
      </c>
      <c r="E33" s="51" t="s">
        <v>396</v>
      </c>
      <c r="F33" s="51" t="s">
        <v>376</v>
      </c>
      <c r="G33" s="64" t="str">
        <f t="shared" si="16"/>
        <v>[effect:enemy_message, val1:1.6, val2:2]</v>
      </c>
      <c r="H33" s="64">
        <f t="shared" si="17"/>
        <v>9</v>
      </c>
      <c r="I33" s="64">
        <f t="shared" si="18"/>
        <v>22</v>
      </c>
      <c r="J33" s="64" t="e">
        <f t="shared" si="19"/>
        <v>#VALUE!</v>
      </c>
      <c r="K33" s="64">
        <f t="shared" si="20"/>
        <v>32</v>
      </c>
      <c r="L33" s="64" t="str">
        <f>IFERROR(VLOOKUP(MID(G33,J33,K33-J33),[6]skilldef!$C:$D,2,FALSE),"-") &amp; " / " &amp; IFERROR(VLOOKUP(MID(G33,H33,I33-H33),[6]skilldef!$A:$B,2,FALSE),"-")</f>
        <v>- / -</v>
      </c>
      <c r="M33" s="64" t="str">
        <f t="shared" si="21"/>
        <v>[effect:sleep, target:unit_one, turn:2, rate:1, animation:sleep01],[effect:rush, count:1, val:0.5]</v>
      </c>
      <c r="N33" s="48" t="str">
        <f t="shared" si="22"/>
        <v>[effect:sleep, target:unit_one, turn:2, rate:1, animation:sleep01],[effect:rush, count:1, val:0.5]</v>
      </c>
      <c r="O33" s="64">
        <f t="shared" si="23"/>
        <v>9</v>
      </c>
      <c r="P33" s="64">
        <f t="shared" si="24"/>
        <v>14</v>
      </c>
      <c r="Q33" s="64">
        <f t="shared" si="25"/>
        <v>23</v>
      </c>
      <c r="R33" s="64">
        <f t="shared" si="26"/>
        <v>31</v>
      </c>
      <c r="S33" s="64" t="str">
        <f>IFERROR(VLOOKUP(MID(N33,Q33,R33-Q33),[6]skilldef!$C:$D,2,FALSE),"-") &amp; " / " &amp; IFERROR(VLOOKUP(MID(N33,O33,P33-O33),[6]skilldef!$A:$B,2,FALSE),"-")</f>
        <v>味方単体に / スリープ</v>
      </c>
      <c r="T33" s="48" t="str">
        <f t="shared" si="27"/>
        <v>[effect:rush, count:1, val:0.5]</v>
      </c>
      <c r="U33" s="64">
        <f t="shared" si="28"/>
        <v>9</v>
      </c>
      <c r="V33" s="64">
        <f t="shared" si="29"/>
        <v>13</v>
      </c>
      <c r="W33" s="64" t="e">
        <f t="shared" si="30"/>
        <v>#VALUE!</v>
      </c>
      <c r="X33" s="64">
        <f t="shared" si="31"/>
        <v>22</v>
      </c>
      <c r="Y33" s="64" t="str">
        <f>IFERROR(VLOOKUP(MID(T33,W33,X33-W33),[6]skilldef!$C:$D,2,FALSE),"-") &amp; " / " &amp; IFERROR(VLOOKUP(MID(T33,U33,V33-U33),[6]skilldef!$A:$B,2,FALSE),"-")</f>
        <v>- / 連続攻撃</v>
      </c>
      <c r="Z33" s="50"/>
      <c r="AA33" s="52"/>
      <c r="AB33" s="50"/>
    </row>
    <row r="34" spans="1:28" ht="21" customHeight="1" x14ac:dyDescent="0.15">
      <c r="A34" s="157">
        <v>40043033</v>
      </c>
      <c r="B34" s="47" t="s">
        <v>349</v>
      </c>
      <c r="C34" s="50">
        <v>3</v>
      </c>
      <c r="D34" s="50" t="s">
        <v>127</v>
      </c>
      <c r="E34" s="51" t="s">
        <v>295</v>
      </c>
      <c r="F34" s="51" t="s">
        <v>313</v>
      </c>
      <c r="G34" s="64" t="str">
        <f t="shared" si="16"/>
        <v>[effect:enemy_message, val1:1.2, val2:3.9]</v>
      </c>
      <c r="H34" s="64">
        <f t="shared" si="17"/>
        <v>9</v>
      </c>
      <c r="I34" s="64">
        <f t="shared" si="18"/>
        <v>22</v>
      </c>
      <c r="J34" s="64" t="e">
        <f t="shared" si="19"/>
        <v>#VALUE!</v>
      </c>
      <c r="K34" s="64">
        <f t="shared" si="20"/>
        <v>32</v>
      </c>
      <c r="L34" s="64" t="str">
        <f>IFERROR(VLOOKUP(MID(G34,J34,K34-J34),[6]skilldef!$C:$D,2,FALSE),"-") &amp; " / " &amp; IFERROR(VLOOKUP(MID(G34,H34,I34-H34),[6]skilldef!$A:$B,2,FALSE),"-")</f>
        <v>- / -</v>
      </c>
      <c r="M34" s="64" t="str">
        <f t="shared" si="21"/>
        <v>[effect:hungup, target:unit_one, turn:2, rate:1, animation:hungup01],[effect:force_change_block, new_block:damage, target:block_blue, color:block_green, count:10, val:0.15, animation:change_block]</v>
      </c>
      <c r="N34" s="48" t="str">
        <f t="shared" si="22"/>
        <v>[effect:hungup, target:unit_one, turn:2, rate:1, animation:hungup01],[effect:force_change_block, new_block:damage, target:block_blue, color:block_green, count:10, val:0.15, animation:change_block]</v>
      </c>
      <c r="O34" s="64">
        <f t="shared" si="23"/>
        <v>9</v>
      </c>
      <c r="P34" s="64">
        <f t="shared" si="24"/>
        <v>15</v>
      </c>
      <c r="Q34" s="64">
        <f t="shared" si="25"/>
        <v>24</v>
      </c>
      <c r="R34" s="64">
        <f t="shared" si="26"/>
        <v>32</v>
      </c>
      <c r="S34" s="64" t="str">
        <f>IFERROR(VLOOKUP(MID(N34,Q34,R34-Q34),[6]skilldef!$C:$D,2,FALSE),"-") &amp; " / " &amp; IFERROR(VLOOKUP(MID(N34,O34,P34-O34),[6]skilldef!$A:$B,2,FALSE),"-")</f>
        <v>味方単体に / ハングアップ</v>
      </c>
      <c r="T34" s="48" t="str">
        <f t="shared" si="27"/>
        <v>[effect:force_change_block, new_block:damage, target:block_blue, color:block_green, count:10, val:0.15, animation:change_block]</v>
      </c>
      <c r="U34" s="64">
        <f t="shared" si="28"/>
        <v>9</v>
      </c>
      <c r="V34" s="64">
        <f t="shared" si="29"/>
        <v>27</v>
      </c>
      <c r="W34" s="64">
        <f t="shared" si="30"/>
        <v>54</v>
      </c>
      <c r="X34" s="64">
        <f t="shared" si="31"/>
        <v>45</v>
      </c>
      <c r="Y34" s="64" t="str">
        <f>IFERROR(VLOOKUP(MID(T34,W34,X34-W34),[6]skilldef!$C:$D,2,FALSE),"-") &amp; " / " &amp; IFERROR(VLOOKUP(MID(T34,U34,V34-U34),[6]skilldef!$A:$B,2,FALSE),"-")</f>
        <v>- / -</v>
      </c>
      <c r="Z34" s="50"/>
      <c r="AA34" s="52"/>
      <c r="AB34" s="50"/>
    </row>
    <row r="35" spans="1:28" ht="21" customHeight="1" x14ac:dyDescent="0.15">
      <c r="A35" s="157">
        <v>40043034</v>
      </c>
      <c r="B35" s="47" t="s">
        <v>284</v>
      </c>
      <c r="C35" s="50">
        <v>3</v>
      </c>
      <c r="D35" s="50" t="s">
        <v>127</v>
      </c>
      <c r="E35" s="51" t="s">
        <v>402</v>
      </c>
      <c r="F35" s="51" t="s">
        <v>283</v>
      </c>
      <c r="G35" s="64" t="str">
        <f t="shared" si="16"/>
        <v>[effect:enemy_message, val1:1.2, val2:1.4]</v>
      </c>
      <c r="H35" s="64">
        <f t="shared" si="17"/>
        <v>9</v>
      </c>
      <c r="I35" s="64">
        <f t="shared" si="18"/>
        <v>22</v>
      </c>
      <c r="J35" s="64" t="e">
        <f t="shared" si="19"/>
        <v>#VALUE!</v>
      </c>
      <c r="K35" s="64">
        <f t="shared" si="20"/>
        <v>32</v>
      </c>
      <c r="L35" s="64" t="str">
        <f>IFERROR(VLOOKUP(MID(G35,J35,K35-J35),[6]skilldef!$C:$D,2,FALSE),"-") &amp; " / " &amp; IFERROR(VLOOKUP(MID(G35,H35,I35-H35),[6]skilldef!$A:$B,2,FALSE),"-")</f>
        <v>- / -</v>
      </c>
      <c r="M35" s="64" t="str">
        <f t="shared" si="21"/>
        <v>[effect:force_change_block, new_block:block_green, target:block_heart, count:0, val:0, animation:change_block]</v>
      </c>
      <c r="N35" s="48" t="str">
        <f t="shared" si="22"/>
        <v>[effect:force_change_block, new_block:block_green, target:block_heart, count:0, val:0, animation:change_block]</v>
      </c>
      <c r="O35" s="64">
        <f t="shared" si="23"/>
        <v>9</v>
      </c>
      <c r="P35" s="64">
        <f t="shared" si="24"/>
        <v>27</v>
      </c>
      <c r="Q35" s="64">
        <f t="shared" si="25"/>
        <v>59</v>
      </c>
      <c r="R35" s="64">
        <f t="shared" si="26"/>
        <v>50</v>
      </c>
      <c r="S35" s="64" t="str">
        <f>IFERROR(VLOOKUP(MID(N35,Q35,R35-Q35),[6]skilldef!$C:$D,2,FALSE),"-") &amp; " / " &amp; IFERROR(VLOOKUP(MID(N35,O35,P35-O35),[6]skilldef!$A:$B,2,FALSE),"-")</f>
        <v>- / -</v>
      </c>
      <c r="T35" s="48" t="str">
        <f t="shared" si="27"/>
        <v>none</v>
      </c>
      <c r="U35" s="64" t="e">
        <f t="shared" si="28"/>
        <v>#VALUE!</v>
      </c>
      <c r="V35" s="64">
        <f t="shared" si="29"/>
        <v>4</v>
      </c>
      <c r="W35" s="64" t="e">
        <f t="shared" si="30"/>
        <v>#VALUE!</v>
      </c>
      <c r="X35" s="64" t="e">
        <f t="shared" si="31"/>
        <v>#VALUE!</v>
      </c>
      <c r="Y35" s="64" t="str">
        <f>IFERROR(VLOOKUP(MID(T35,W35,X35-W35),[6]skilldef!$C:$D,2,FALSE),"-") &amp; " / " &amp; IFERROR(VLOOKUP(MID(T35,U35,V35-U35),[6]skilldef!$A:$B,2,FALSE),"-")</f>
        <v>- / -</v>
      </c>
      <c r="Z35" s="50"/>
      <c r="AA35" s="52"/>
      <c r="AB35" s="50"/>
    </row>
    <row r="36" spans="1:28" ht="21" customHeight="1" thickBot="1" x14ac:dyDescent="0.2">
      <c r="A36" s="158">
        <v>40043035</v>
      </c>
      <c r="B36" s="147" t="s">
        <v>382</v>
      </c>
      <c r="C36" s="148">
        <v>3</v>
      </c>
      <c r="D36" s="148" t="s">
        <v>127</v>
      </c>
      <c r="E36" s="149" t="s">
        <v>397</v>
      </c>
      <c r="F36" s="149" t="s">
        <v>316</v>
      </c>
      <c r="G36" s="150" t="str">
        <f t="shared" si="16"/>
        <v>[effect:enemy_message, val1:1.3, val2:1.6]</v>
      </c>
      <c r="H36" s="150">
        <f t="shared" si="17"/>
        <v>9</v>
      </c>
      <c r="I36" s="150">
        <f t="shared" si="18"/>
        <v>22</v>
      </c>
      <c r="J36" s="150" t="e">
        <f t="shared" si="19"/>
        <v>#VALUE!</v>
      </c>
      <c r="K36" s="150">
        <f t="shared" si="20"/>
        <v>32</v>
      </c>
      <c r="L36" s="150" t="str">
        <f>IFERROR(VLOOKUP(MID(G36,J36,K36-J36),[6]skilldef!$C:$D,2,FALSE),"-") &amp; " / " &amp; IFERROR(VLOOKUP(MID(G36,H36,I36-H36),[6]skilldef!$A:$B,2,FALSE),"-")</f>
        <v>- / -</v>
      </c>
      <c r="M36" s="150" t="str">
        <f t="shared" si="21"/>
        <v>[effect:break_attack_fix, target:unit_one, val:700, lowest_val:6000, count:-1, color:green, block01:block_green, block02:block_blue]</v>
      </c>
      <c r="N36" s="151" t="str">
        <f t="shared" si="22"/>
        <v>[effect:break_attack_fix, target:unit_one, val:700, lowest_val:6000, count:-1, color:green, block01:block_green, block02:block_blue]</v>
      </c>
      <c r="O36" s="150">
        <f t="shared" si="23"/>
        <v>9</v>
      </c>
      <c r="P36" s="150">
        <f t="shared" si="24"/>
        <v>25</v>
      </c>
      <c r="Q36" s="150">
        <f t="shared" si="25"/>
        <v>34</v>
      </c>
      <c r="R36" s="150">
        <f t="shared" si="26"/>
        <v>42</v>
      </c>
      <c r="S36" s="150" t="str">
        <f>IFERROR(VLOOKUP(MID(N36,Q36,R36-Q36),[6]skilldef!$C:$D,2,FALSE),"-") &amp; " / " &amp; IFERROR(VLOOKUP(MID(N36,O36,P36-O36),[6]skilldef!$A:$B,2,FALSE),"-")</f>
        <v>味方単体に / -</v>
      </c>
      <c r="T36" s="151" t="str">
        <f t="shared" si="27"/>
        <v>none</v>
      </c>
      <c r="U36" s="150" t="e">
        <f t="shared" si="28"/>
        <v>#VALUE!</v>
      </c>
      <c r="V36" s="150">
        <f t="shared" si="29"/>
        <v>4</v>
      </c>
      <c r="W36" s="150" t="e">
        <f t="shared" si="30"/>
        <v>#VALUE!</v>
      </c>
      <c r="X36" s="150" t="e">
        <f t="shared" si="31"/>
        <v>#VALUE!</v>
      </c>
      <c r="Y36" s="150" t="str">
        <f>IFERROR(VLOOKUP(MID(T36,W36,X36-W36),[6]skilldef!$C:$D,2,FALSE),"-") &amp; " / " &amp; IFERROR(VLOOKUP(MID(T36,U36,V36-U36),[6]skilldef!$A:$B,2,FALSE),"-")</f>
        <v>- / -</v>
      </c>
      <c r="Z36" s="148"/>
      <c r="AA36" s="152"/>
      <c r="AB36" s="148"/>
    </row>
    <row r="37" spans="1:28" ht="21" customHeight="1" x14ac:dyDescent="0.15">
      <c r="A37" s="157">
        <v>40043036</v>
      </c>
      <c r="B37" s="47" t="s">
        <v>361</v>
      </c>
      <c r="C37" s="142">
        <v>3</v>
      </c>
      <c r="D37" s="50" t="s">
        <v>127</v>
      </c>
      <c r="E37" s="51" t="s">
        <v>389</v>
      </c>
      <c r="F37" s="51" t="s">
        <v>343</v>
      </c>
      <c r="G37" s="64" t="str">
        <f t="shared" si="16"/>
        <v>[effect:enemy_message, val1:1.2, val2:1.9]</v>
      </c>
      <c r="H37" s="64">
        <f t="shared" si="17"/>
        <v>9</v>
      </c>
      <c r="I37" s="64">
        <f t="shared" si="18"/>
        <v>22</v>
      </c>
      <c r="J37" s="64" t="e">
        <f t="shared" si="19"/>
        <v>#VALUE!</v>
      </c>
      <c r="K37" s="64">
        <f t="shared" si="20"/>
        <v>32</v>
      </c>
      <c r="L37" s="64" t="str">
        <f>IFERROR(VLOOKUP(MID(G37,J37,K37-J37),[6]skilldef!$C:$D,2,FALSE),"-") &amp; " / " &amp; IFERROR(VLOOKUP(MID(G37,H37,I37-H37),[6]skilldef!$A:$B,2,FALSE),"-")</f>
        <v>- / -</v>
      </c>
      <c r="M37" s="64" t="str">
        <f t="shared" si="21"/>
        <v>[effect:fix_speed, target:myself, turn:1],[effect:tolerance, target:myself, turn:-1, count:-1, tolerance_effect:all, animation:enemy_tolerance],[effect:force_change_block, new_block:block_red, target:block_blue, count:0, val:0, animation:change_block]</v>
      </c>
      <c r="N37" s="48" t="str">
        <f t="shared" si="22"/>
        <v>[effect:fix_speed, target:myself, turn:1],[effect:tolerance, target:myself, turn:-1, count:-1, tolerance_effect:all, animation:enemy_tolerance],[effect:force_change_block, new_block:block_red, target:block_blue, count:0, val:0, animation:change_block]</v>
      </c>
      <c r="O37" s="64">
        <f t="shared" si="23"/>
        <v>9</v>
      </c>
      <c r="P37" s="64">
        <f t="shared" si="24"/>
        <v>18</v>
      </c>
      <c r="Q37" s="64">
        <f t="shared" si="25"/>
        <v>27</v>
      </c>
      <c r="R37" s="64">
        <f t="shared" si="26"/>
        <v>33</v>
      </c>
      <c r="S37" s="64" t="str">
        <f>IFERROR(VLOOKUP(MID(N37,Q37,R37-Q37),[6]skilldef!$C:$D,2,FALSE),"-") &amp; " / " &amp; IFERROR(VLOOKUP(MID(N37,O37,P37-O37),[6]skilldef!$A:$B,2,FALSE),"-")</f>
        <v>自分自身に / 行動値設定</v>
      </c>
      <c r="T37" s="48" t="str">
        <f t="shared" si="27"/>
        <v>[effect:tolerance, target:myself, turn:-1, count:-1, tolerance_effect:all, animation:enemy_tolerance],[effect:force_change_block, new_block:block_red, target:block_blue, count:0, val:0, animation:change_block]</v>
      </c>
      <c r="U37" s="64">
        <f t="shared" si="28"/>
        <v>9</v>
      </c>
      <c r="V37" s="64">
        <f t="shared" si="29"/>
        <v>18</v>
      </c>
      <c r="W37" s="64">
        <f t="shared" si="30"/>
        <v>27</v>
      </c>
      <c r="X37" s="64">
        <f t="shared" si="31"/>
        <v>33</v>
      </c>
      <c r="Y37" s="64" t="str">
        <f>IFERROR(VLOOKUP(MID(T37,W37,X37-W37),[6]skilldef!$C:$D,2,FALSE),"-") &amp; " / " &amp; IFERROR(VLOOKUP(MID(T37,U37,V37-U37),[6]skilldef!$A:$B,2,FALSE),"-")</f>
        <v>自分自身に / 状態異常耐性</v>
      </c>
      <c r="Z37" s="50"/>
      <c r="AA37" s="52"/>
      <c r="AB37" s="50"/>
    </row>
    <row r="38" spans="1:28" ht="21" customHeight="1" x14ac:dyDescent="0.15">
      <c r="A38" s="157">
        <v>40043037</v>
      </c>
      <c r="B38" s="47" t="s">
        <v>338</v>
      </c>
      <c r="C38" s="50">
        <v>3</v>
      </c>
      <c r="D38" s="142" t="s">
        <v>127</v>
      </c>
      <c r="E38" s="143" t="s">
        <v>398</v>
      </c>
      <c r="F38" s="143" t="s">
        <v>308</v>
      </c>
      <c r="G38" s="144" t="str">
        <f t="shared" si="16"/>
        <v>[effect:enemy_message, val1:1.2, val2:2]</v>
      </c>
      <c r="H38" s="144">
        <f t="shared" si="17"/>
        <v>9</v>
      </c>
      <c r="I38" s="144">
        <f t="shared" si="18"/>
        <v>22</v>
      </c>
      <c r="J38" s="144" t="e">
        <f t="shared" si="19"/>
        <v>#VALUE!</v>
      </c>
      <c r="K38" s="144">
        <f t="shared" si="20"/>
        <v>32</v>
      </c>
      <c r="L38" s="144" t="str">
        <f>IFERROR(VLOOKUP(MID(G38,J38,K38-J38),[6]skilldef!$C:$D,2,FALSE),"-") &amp; " / " &amp; IFERROR(VLOOKUP(MID(G38,H38,I38-H38),[6]skilldef!$A:$B,2,FALSE),"-")</f>
        <v>- / -</v>
      </c>
      <c r="M38" s="144" t="str">
        <f t="shared" si="21"/>
        <v>[effect:break_attack_fix, target:unit_all, val:500, lowest_val:1000, count:10, color:green, block01:block_green]</v>
      </c>
      <c r="N38" s="145" t="str">
        <f t="shared" si="22"/>
        <v>[effect:break_attack_fix, target:unit_all, val:500, lowest_val:1000, count:10, color:green, block01:block_green]</v>
      </c>
      <c r="O38" s="144">
        <f t="shared" si="23"/>
        <v>9</v>
      </c>
      <c r="P38" s="144">
        <f t="shared" si="24"/>
        <v>25</v>
      </c>
      <c r="Q38" s="144">
        <f t="shared" si="25"/>
        <v>34</v>
      </c>
      <c r="R38" s="144">
        <f t="shared" si="26"/>
        <v>42</v>
      </c>
      <c r="S38" s="144" t="str">
        <f>IFERROR(VLOOKUP(MID(N38,Q38,R38-Q38),[6]skilldef!$C:$D,2,FALSE),"-") &amp; " / " &amp; IFERROR(VLOOKUP(MID(N38,O38,P38-O38),[6]skilldef!$A:$B,2,FALSE),"-")</f>
        <v>味方全体に / -</v>
      </c>
      <c r="T38" s="145" t="str">
        <f t="shared" si="27"/>
        <v>none</v>
      </c>
      <c r="U38" s="144" t="e">
        <f t="shared" si="28"/>
        <v>#VALUE!</v>
      </c>
      <c r="V38" s="144">
        <f t="shared" si="29"/>
        <v>4</v>
      </c>
      <c r="W38" s="144" t="e">
        <f t="shared" si="30"/>
        <v>#VALUE!</v>
      </c>
      <c r="X38" s="144" t="e">
        <f t="shared" si="31"/>
        <v>#VALUE!</v>
      </c>
      <c r="Y38" s="144" t="str">
        <f>IFERROR(VLOOKUP(MID(T38,W38,X38-W38),[6]skilldef!$C:$D,2,FALSE),"-") &amp; " / " &amp; IFERROR(VLOOKUP(MID(T38,U38,V38-U38),[6]skilldef!$A:$B,2,FALSE),"-")</f>
        <v>- / -</v>
      </c>
      <c r="Z38" s="142"/>
      <c r="AA38" s="146"/>
      <c r="AB38" s="142"/>
    </row>
    <row r="39" spans="1:28" ht="21" customHeight="1" x14ac:dyDescent="0.15">
      <c r="A39" s="157">
        <v>40043038</v>
      </c>
      <c r="B39" s="47" t="s">
        <v>384</v>
      </c>
      <c r="C39" s="50">
        <v>3</v>
      </c>
      <c r="D39" s="50" t="s">
        <v>127</v>
      </c>
      <c r="E39" s="51" t="s">
        <v>399</v>
      </c>
      <c r="F39" s="143" t="s">
        <v>309</v>
      </c>
      <c r="G39" s="64" t="str">
        <f t="shared" si="16"/>
        <v>[effect:enemy_message, val1:1.2, val2:2]</v>
      </c>
      <c r="H39" s="64">
        <f t="shared" si="17"/>
        <v>9</v>
      </c>
      <c r="I39" s="64">
        <f t="shared" si="18"/>
        <v>22</v>
      </c>
      <c r="J39" s="64" t="e">
        <f t="shared" si="19"/>
        <v>#VALUE!</v>
      </c>
      <c r="K39" s="64">
        <f t="shared" si="20"/>
        <v>32</v>
      </c>
      <c r="L39" s="64" t="str">
        <f>IFERROR(VLOOKUP(MID(G39,J39,K39-J39),[6]skilldef!$C:$D,2,FALSE),"-") &amp; " / " &amp; IFERROR(VLOOKUP(MID(G39,H39,I39-H39),[6]skilldef!$A:$B,2,FALSE),"-")</f>
        <v>- / -</v>
      </c>
      <c r="M39" s="64" t="str">
        <f t="shared" si="21"/>
        <v>[effect:break_attack_fix, target:unit_all, val:500, lowest_val:1000, count:10, color:green, block01:block_blue]</v>
      </c>
      <c r="N39" s="48" t="str">
        <f t="shared" si="22"/>
        <v>[effect:break_attack_fix, target:unit_all, val:500, lowest_val:1000, count:10, color:green, block01:block_blue]</v>
      </c>
      <c r="O39" s="64">
        <f t="shared" si="23"/>
        <v>9</v>
      </c>
      <c r="P39" s="64">
        <f t="shared" si="24"/>
        <v>25</v>
      </c>
      <c r="Q39" s="64">
        <f t="shared" si="25"/>
        <v>34</v>
      </c>
      <c r="R39" s="64">
        <f t="shared" si="26"/>
        <v>42</v>
      </c>
      <c r="S39" s="64" t="str">
        <f>IFERROR(VLOOKUP(MID(N39,Q39,R39-Q39),[6]skilldef!$C:$D,2,FALSE),"-") &amp; " / " &amp; IFERROR(VLOOKUP(MID(N39,O39,P39-O39),[6]skilldef!$A:$B,2,FALSE),"-")</f>
        <v>味方全体に / -</v>
      </c>
      <c r="T39" s="48" t="str">
        <f t="shared" si="27"/>
        <v>none</v>
      </c>
      <c r="U39" s="64" t="e">
        <f t="shared" si="28"/>
        <v>#VALUE!</v>
      </c>
      <c r="V39" s="64">
        <f t="shared" si="29"/>
        <v>4</v>
      </c>
      <c r="W39" s="64" t="e">
        <f t="shared" si="30"/>
        <v>#VALUE!</v>
      </c>
      <c r="X39" s="64" t="e">
        <f t="shared" si="31"/>
        <v>#VALUE!</v>
      </c>
      <c r="Y39" s="64" t="str">
        <f>IFERROR(VLOOKUP(MID(T39,W39,X39-W39),[6]skilldef!$C:$D,2,FALSE),"-") &amp; " / " &amp; IFERROR(VLOOKUP(MID(T39,U39,V39-U39),[6]skilldef!$A:$B,2,FALSE),"-")</f>
        <v>- / -</v>
      </c>
      <c r="Z39" s="50"/>
      <c r="AA39" s="52"/>
      <c r="AB39" s="50"/>
    </row>
    <row r="40" spans="1:28" ht="21" customHeight="1" x14ac:dyDescent="0.15">
      <c r="A40" s="157">
        <v>40043039</v>
      </c>
      <c r="B40" s="47" t="s">
        <v>290</v>
      </c>
      <c r="C40" s="50">
        <v>3</v>
      </c>
      <c r="D40" s="50" t="s">
        <v>127</v>
      </c>
      <c r="E40" s="51" t="s">
        <v>286</v>
      </c>
      <c r="F40" s="51" t="s">
        <v>285</v>
      </c>
      <c r="G40" s="64" t="str">
        <f t="shared" si="16"/>
        <v>[effect:enemy_message, val1:1.2, val2:1.9]</v>
      </c>
      <c r="H40" s="64">
        <f t="shared" si="17"/>
        <v>9</v>
      </c>
      <c r="I40" s="64">
        <f t="shared" si="18"/>
        <v>22</v>
      </c>
      <c r="J40" s="64" t="e">
        <f t="shared" si="19"/>
        <v>#VALUE!</v>
      </c>
      <c r="K40" s="64">
        <f t="shared" si="20"/>
        <v>32</v>
      </c>
      <c r="L40" s="64" t="str">
        <f>IFERROR(VLOOKUP(MID(G40,J40,K40-J40),[6]skilldef!$C:$D,2,FALSE),"-") &amp; " / " &amp; IFERROR(VLOOKUP(MID(G40,H40,I40-H40),[6]skilldef!$A:$B,2,FALSE),"-")</f>
        <v>- / -</v>
      </c>
      <c r="M40" s="64" t="str">
        <f t="shared" si="21"/>
        <v>[effect:damage_anti_color, target:unit_one, color:red, val1:1.5, val2:0.8]</v>
      </c>
      <c r="N40" s="48" t="str">
        <f t="shared" si="22"/>
        <v>[effect:damage_anti_color, target:unit_one, color:red, val1:1.5, val2:0.8]</v>
      </c>
      <c r="O40" s="64">
        <f t="shared" si="23"/>
        <v>9</v>
      </c>
      <c r="P40" s="64">
        <f t="shared" si="24"/>
        <v>26</v>
      </c>
      <c r="Q40" s="64">
        <f t="shared" si="25"/>
        <v>35</v>
      </c>
      <c r="R40" s="64">
        <f t="shared" si="26"/>
        <v>43</v>
      </c>
      <c r="S40" s="64" t="str">
        <f>IFERROR(VLOOKUP(MID(N40,Q40,R40-Q40),[6]skilldef!$C:$D,2,FALSE),"-") &amp; " / " &amp; IFERROR(VLOOKUP(MID(N40,O40,P40-O40),[6]skilldef!$A:$B,2,FALSE),"-")</f>
        <v>味方単体に / 属性キラー</v>
      </c>
      <c r="T40" s="48" t="str">
        <f t="shared" si="27"/>
        <v>none</v>
      </c>
      <c r="U40" s="64" t="e">
        <f t="shared" si="28"/>
        <v>#VALUE!</v>
      </c>
      <c r="V40" s="64">
        <f t="shared" si="29"/>
        <v>4</v>
      </c>
      <c r="W40" s="64" t="e">
        <f t="shared" si="30"/>
        <v>#VALUE!</v>
      </c>
      <c r="X40" s="64" t="e">
        <f t="shared" si="31"/>
        <v>#VALUE!</v>
      </c>
      <c r="Y40" s="64" t="str">
        <f>IFERROR(VLOOKUP(MID(T40,W40,X40-W40),[6]skilldef!$C:$D,2,FALSE),"-") &amp; " / " &amp; IFERROR(VLOOKUP(MID(T40,U40,V40-U40),[6]skilldef!$A:$B,2,FALSE),"-")</f>
        <v>- / -</v>
      </c>
      <c r="Z40" s="50"/>
      <c r="AA40" s="52"/>
      <c r="AB40" s="50"/>
    </row>
    <row r="41" spans="1:28" ht="21" customHeight="1" x14ac:dyDescent="0.15">
      <c r="A41" s="157">
        <v>40043040</v>
      </c>
      <c r="B41" s="47" t="s">
        <v>288</v>
      </c>
      <c r="C41" s="50">
        <v>3</v>
      </c>
      <c r="D41" s="50" t="s">
        <v>127</v>
      </c>
      <c r="E41" s="51" t="s">
        <v>403</v>
      </c>
      <c r="F41" s="51" t="s">
        <v>287</v>
      </c>
      <c r="G41" s="64" t="str">
        <f t="shared" si="16"/>
        <v>[effect:enemy_message, val1:1.2, val2:1.2]</v>
      </c>
      <c r="H41" s="64">
        <f t="shared" si="17"/>
        <v>9</v>
      </c>
      <c r="I41" s="64">
        <f t="shared" si="18"/>
        <v>22</v>
      </c>
      <c r="J41" s="64" t="e">
        <f t="shared" si="19"/>
        <v>#VALUE!</v>
      </c>
      <c r="K41" s="64">
        <f t="shared" si="20"/>
        <v>32</v>
      </c>
      <c r="L41" s="64" t="str">
        <f>IFERROR(VLOOKUP(MID(G41,J41,K41-J41),[6]skilldef!$C:$D,2,FALSE),"-") &amp; " / " &amp; IFERROR(VLOOKUP(MID(G41,H41,I41-H41),[6]skilldef!$A:$B,2,FALSE),"-")</f>
        <v>- / -</v>
      </c>
      <c r="M41" s="64" t="str">
        <f t="shared" si="21"/>
        <v>[effect:force_change_block, new_block:block_yellow, target:block_green, count:0, val:0, animation:change_block]</v>
      </c>
      <c r="N41" s="48" t="str">
        <f t="shared" si="22"/>
        <v>[effect:force_change_block, new_block:block_yellow, target:block_green, count:0, val:0, animation:change_block]</v>
      </c>
      <c r="O41" s="64">
        <f t="shared" si="23"/>
        <v>9</v>
      </c>
      <c r="P41" s="64">
        <f t="shared" si="24"/>
        <v>27</v>
      </c>
      <c r="Q41" s="64">
        <f t="shared" si="25"/>
        <v>60</v>
      </c>
      <c r="R41" s="64">
        <f t="shared" si="26"/>
        <v>51</v>
      </c>
      <c r="S41" s="64" t="str">
        <f>IFERROR(VLOOKUP(MID(N41,Q41,R41-Q41),[6]skilldef!$C:$D,2,FALSE),"-") &amp; " / " &amp; IFERROR(VLOOKUP(MID(N41,O41,P41-O41),[6]skilldef!$A:$B,2,FALSE),"-")</f>
        <v>- / -</v>
      </c>
      <c r="T41" s="48" t="str">
        <f t="shared" si="27"/>
        <v>none</v>
      </c>
      <c r="U41" s="64" t="e">
        <f t="shared" si="28"/>
        <v>#VALUE!</v>
      </c>
      <c r="V41" s="64">
        <f t="shared" si="29"/>
        <v>4</v>
      </c>
      <c r="W41" s="64" t="e">
        <f t="shared" si="30"/>
        <v>#VALUE!</v>
      </c>
      <c r="X41" s="64" t="e">
        <f t="shared" si="31"/>
        <v>#VALUE!</v>
      </c>
      <c r="Y41" s="64" t="str">
        <f>IFERROR(VLOOKUP(MID(T41,W41,X41-W41),[6]skilldef!$C:$D,2,FALSE),"-") &amp; " / " &amp; IFERROR(VLOOKUP(MID(T41,U41,V41-U41),[6]skilldef!$A:$B,2,FALSE),"-")</f>
        <v>- / -</v>
      </c>
      <c r="Z41" s="50"/>
      <c r="AA41" s="52"/>
      <c r="AB41" s="50"/>
    </row>
    <row r="42" spans="1:28" ht="21" customHeight="1" x14ac:dyDescent="0.15">
      <c r="A42" s="167">
        <v>40043041</v>
      </c>
      <c r="B42" s="47" t="s">
        <v>383</v>
      </c>
      <c r="C42" s="50">
        <v>3</v>
      </c>
      <c r="D42" s="50" t="s">
        <v>127</v>
      </c>
      <c r="E42" s="143" t="s">
        <v>400</v>
      </c>
      <c r="F42" s="51" t="s">
        <v>344</v>
      </c>
      <c r="G42" s="64" t="str">
        <f t="shared" si="16"/>
        <v>[effect:enemy_message, val1:1.9, val2:2.3]</v>
      </c>
      <c r="H42" s="64">
        <f t="shared" si="17"/>
        <v>9</v>
      </c>
      <c r="I42" s="64">
        <f t="shared" si="18"/>
        <v>22</v>
      </c>
      <c r="J42" s="64" t="e">
        <f t="shared" si="19"/>
        <v>#VALUE!</v>
      </c>
      <c r="K42" s="64">
        <f t="shared" si="20"/>
        <v>32</v>
      </c>
      <c r="L42" s="64" t="str">
        <f>IFERROR(VLOOKUP(MID(G42,J42,K42-J42),[6]skilldef!$C:$D,2,FALSE),"-") &amp; " / " &amp; IFERROR(VLOOKUP(MID(G42,H42,I42-H42),[6]skilldef!$A:$B,2,FALSE),"-")</f>
        <v>- / -</v>
      </c>
      <c r="M42" s="64" t="str">
        <f t="shared" si="21"/>
        <v>[effect:force_change_block, new_block:damage, target:block_blue, color:block_green, count:0, val:0.15, animation:change_block],[effect:spread, val:0.3]</v>
      </c>
      <c r="N42" s="48" t="str">
        <f t="shared" si="22"/>
        <v>[effect:force_change_block, new_block:damage, target:block_blue, color:block_green, count:0, val:0.15, animation:change_block],[effect:spread, val:0.3]</v>
      </c>
      <c r="O42" s="64">
        <f t="shared" si="23"/>
        <v>9</v>
      </c>
      <c r="P42" s="64">
        <f t="shared" si="24"/>
        <v>27</v>
      </c>
      <c r="Q42" s="64">
        <f t="shared" si="25"/>
        <v>54</v>
      </c>
      <c r="R42" s="64">
        <f t="shared" si="26"/>
        <v>45</v>
      </c>
      <c r="S42" s="64" t="str">
        <f>IFERROR(VLOOKUP(MID(N42,Q42,R42-Q42),[6]skilldef!$C:$D,2,FALSE),"-") &amp; " / " &amp; IFERROR(VLOOKUP(MID(N42,O42,P42-O42),[6]skilldef!$A:$B,2,FALSE),"-")</f>
        <v>- / -</v>
      </c>
      <c r="T42" s="48" t="str">
        <f t="shared" si="27"/>
        <v>[effect:spread, val:0.3]</v>
      </c>
      <c r="U42" s="64">
        <f t="shared" si="28"/>
        <v>9</v>
      </c>
      <c r="V42" s="64">
        <f t="shared" si="29"/>
        <v>15</v>
      </c>
      <c r="W42" s="64" t="e">
        <f t="shared" si="30"/>
        <v>#VALUE!</v>
      </c>
      <c r="X42" s="64" t="e">
        <f t="shared" si="31"/>
        <v>#VALUE!</v>
      </c>
      <c r="Y42" s="64" t="str">
        <f>IFERROR(VLOOKUP(MID(T42,W42,X42-W42),[6]skilldef!$C:$D,2,FALSE),"-") &amp; " / " &amp; IFERROR(VLOOKUP(MID(T42,U42,V42-U42),[6]skilldef!$A:$B,2,FALSE),"-")</f>
        <v>- / 全体攻撃</v>
      </c>
      <c r="Z42" s="50"/>
      <c r="AA42" s="52"/>
      <c r="AB42" s="50"/>
    </row>
    <row r="43" spans="1:28" ht="21" customHeight="1" thickBot="1" x14ac:dyDescent="0.2">
      <c r="A43" s="158">
        <v>40043042</v>
      </c>
      <c r="B43" s="160" t="s">
        <v>444</v>
      </c>
      <c r="C43" s="148">
        <v>3</v>
      </c>
      <c r="D43" s="161" t="s">
        <v>127</v>
      </c>
      <c r="E43" s="162" t="s">
        <v>293</v>
      </c>
      <c r="F43" s="162" t="s">
        <v>294</v>
      </c>
      <c r="G43" s="163" t="str">
        <f t="shared" ref="G43:G84" si="49">IFERROR(LEFT(B43,FIND("],",B43)),B43)</f>
        <v>[effect:enemy_message, val1:1.8, val2:1.9, dead_type:escape]</v>
      </c>
      <c r="H43" s="163">
        <f t="shared" ref="H43:H84" si="50">FIND("effect:",G43)+7</f>
        <v>9</v>
      </c>
      <c r="I43" s="163">
        <f t="shared" ref="I43:I84" si="51">IFERROR(FIND(",",G43),LEN(G43))</f>
        <v>22</v>
      </c>
      <c r="J43" s="163" t="e">
        <f t="shared" ref="J43:J84" si="52">FIND("target:",G43)+7</f>
        <v>#VALUE!</v>
      </c>
      <c r="K43" s="163">
        <f t="shared" ref="K43:K84" si="53">FIND(",",G43,I43+1)</f>
        <v>32</v>
      </c>
      <c r="L43" s="163" t="str">
        <f>IFERROR(VLOOKUP(MID(G43,J43,K43-J43),[6]skilldef!$C:$D,2,FALSE),"-") &amp; " / " &amp; IFERROR(VLOOKUP(MID(G43,H43,I43-H43),[6]skilldef!$A:$B,2,FALSE),"-")</f>
        <v>- / -</v>
      </c>
      <c r="M43" s="163" t="str">
        <f t="shared" ref="M43:M84" si="54">IFERROR(RIGHT(B43,LEN(B43)-FIND("],",B43)-1),"none")</f>
        <v>none</v>
      </c>
      <c r="N43" s="164" t="str">
        <f t="shared" ref="N43:N53" si="55">IFERROR(LEFT(M43,FIND("],",M43)+S53),M43)</f>
        <v>none</v>
      </c>
      <c r="O43" s="163" t="e">
        <f t="shared" ref="O43:O84" si="56">FIND("effect:",N43)+7</f>
        <v>#VALUE!</v>
      </c>
      <c r="P43" s="163">
        <f t="shared" ref="P43:P84" si="57">IFERROR(FIND(",",N43),LEN(N43))</f>
        <v>4</v>
      </c>
      <c r="Q43" s="163" t="e">
        <f t="shared" ref="Q43:Q84" si="58">FIND("target:",N43)+7</f>
        <v>#VALUE!</v>
      </c>
      <c r="R43" s="163" t="e">
        <f t="shared" ref="R43:R84" si="59">FIND(",",N43,P43+1)</f>
        <v>#VALUE!</v>
      </c>
      <c r="S43" s="163" t="str">
        <f>IFERROR(VLOOKUP(MID(N43,Q43,R43-Q43),[6]skilldef!$C:$D,2,FALSE),"-") &amp; " / " &amp; IFERROR(VLOOKUP(MID(N43,O43,P43-O43),[6]skilldef!$A:$B,2,FALSE),"-")</f>
        <v>- / -</v>
      </c>
      <c r="T43" s="164" t="str">
        <f t="shared" ref="T43:T84" si="60">IFERROR(RIGHT(M43,LEN(M43)-FIND("],",M43)-1),"none")</f>
        <v>none</v>
      </c>
      <c r="U43" s="163" t="e">
        <f t="shared" ref="U43:U84" si="61">FIND("effect:",T43)+7</f>
        <v>#VALUE!</v>
      </c>
      <c r="V43" s="163">
        <f t="shared" ref="V43:V84" si="62">IFERROR(FIND(",",T43),LEN(T43))</f>
        <v>4</v>
      </c>
      <c r="W43" s="163" t="e">
        <f t="shared" ref="W43:W84" si="63">FIND("target:",T43)+7</f>
        <v>#VALUE!</v>
      </c>
      <c r="X43" s="163" t="e">
        <f t="shared" ref="X43:X84" si="64">FIND(",",T43,V43+1)</f>
        <v>#VALUE!</v>
      </c>
      <c r="Y43" s="163" t="str">
        <f>IFERROR(VLOOKUP(MID(T43,W43,X43-W43),[6]skilldef!$C:$D,2,FALSE),"-") &amp; " / " &amp; IFERROR(VLOOKUP(MID(T43,U43,V43-U43),[6]skilldef!$A:$B,2,FALSE),"-")</f>
        <v>- / -</v>
      </c>
      <c r="Z43" s="161"/>
      <c r="AA43" s="165"/>
      <c r="AB43" s="161"/>
    </row>
    <row r="44" spans="1:28" ht="21" customHeight="1" x14ac:dyDescent="0.15">
      <c r="A44" s="140">
        <v>40043043</v>
      </c>
      <c r="B44" s="47" t="s">
        <v>358</v>
      </c>
      <c r="C44" s="142">
        <v>3</v>
      </c>
      <c r="D44" s="50" t="s">
        <v>127</v>
      </c>
      <c r="E44" s="51" t="s">
        <v>390</v>
      </c>
      <c r="F44" s="51" t="s">
        <v>256</v>
      </c>
      <c r="G44" s="64" t="str">
        <f t="shared" si="49"/>
        <v>[effect:enemy_message, val1:1.2, val2:0]</v>
      </c>
      <c r="H44" s="64">
        <f t="shared" si="50"/>
        <v>9</v>
      </c>
      <c r="I44" s="64">
        <f t="shared" si="51"/>
        <v>22</v>
      </c>
      <c r="J44" s="64" t="e">
        <f t="shared" si="52"/>
        <v>#VALUE!</v>
      </c>
      <c r="K44" s="64">
        <f t="shared" si="53"/>
        <v>32</v>
      </c>
      <c r="L44" s="64" t="str">
        <f>IFERROR(VLOOKUP(MID(G44,J44,K44-J44),[6]skilldef!$C:$D,2,FALSE),"-") &amp; " / " &amp; IFERROR(VLOOKUP(MID(G44,H44,I44-H44),[6]skilldef!$A:$B,2,FALSE),"-")</f>
        <v>- / -</v>
      </c>
      <c r="M44" s="64" t="str">
        <f t="shared" si="54"/>
        <v>[effect:fix_speed, target:myself, turn:2]</v>
      </c>
      <c r="N44" s="48" t="str">
        <f t="shared" si="55"/>
        <v>[effect:fix_speed, target:myself, turn:2]</v>
      </c>
      <c r="O44" s="64">
        <f t="shared" si="56"/>
        <v>9</v>
      </c>
      <c r="P44" s="64">
        <f t="shared" si="57"/>
        <v>18</v>
      </c>
      <c r="Q44" s="64">
        <f t="shared" si="58"/>
        <v>27</v>
      </c>
      <c r="R44" s="64">
        <f t="shared" si="59"/>
        <v>33</v>
      </c>
      <c r="S44" s="64" t="str">
        <f>IFERROR(VLOOKUP(MID(N44,Q44,R44-Q44),[6]skilldef!$C:$D,2,FALSE),"-") &amp; " / " &amp; IFERROR(VLOOKUP(MID(N44,O44,P44-O44),[6]skilldef!$A:$B,2,FALSE),"-")</f>
        <v>自分自身に / 行動値設定</v>
      </c>
      <c r="T44" s="48" t="str">
        <f t="shared" si="60"/>
        <v>none</v>
      </c>
      <c r="U44" s="64" t="e">
        <f t="shared" si="61"/>
        <v>#VALUE!</v>
      </c>
      <c r="V44" s="64">
        <f t="shared" si="62"/>
        <v>4</v>
      </c>
      <c r="W44" s="64" t="e">
        <f t="shared" si="63"/>
        <v>#VALUE!</v>
      </c>
      <c r="X44" s="64" t="e">
        <f t="shared" si="64"/>
        <v>#VALUE!</v>
      </c>
      <c r="Y44" s="64" t="str">
        <f>IFERROR(VLOOKUP(MID(T44,W44,X44-W44),[6]skilldef!$C:$D,2,FALSE),"-") &amp; " / " &amp; IFERROR(VLOOKUP(MID(T44,U44,V44-U44),[6]skilldef!$A:$B,2,FALSE),"-")</f>
        <v>- / -</v>
      </c>
      <c r="Z44" s="50"/>
      <c r="AA44" s="52"/>
      <c r="AB44" s="50"/>
    </row>
    <row r="45" spans="1:28" ht="21" customHeight="1" x14ac:dyDescent="0.15">
      <c r="A45" s="140">
        <v>40043044</v>
      </c>
      <c r="B45" s="47" t="s">
        <v>364</v>
      </c>
      <c r="C45" s="50">
        <v>3</v>
      </c>
      <c r="D45" s="50" t="s">
        <v>127</v>
      </c>
      <c r="E45" s="51" t="s">
        <v>409</v>
      </c>
      <c r="F45" s="51" t="s">
        <v>340</v>
      </c>
      <c r="G45" s="64" t="str">
        <f t="shared" si="49"/>
        <v>[effect:enemy_message, val1:1.2, val2:1.8]</v>
      </c>
      <c r="H45" s="64">
        <f t="shared" si="50"/>
        <v>9</v>
      </c>
      <c r="I45" s="64">
        <f t="shared" si="51"/>
        <v>22</v>
      </c>
      <c r="J45" s="64" t="e">
        <f t="shared" si="52"/>
        <v>#VALUE!</v>
      </c>
      <c r="K45" s="64">
        <f t="shared" si="53"/>
        <v>32</v>
      </c>
      <c r="L45" s="64" t="str">
        <f>IFERROR(VLOOKUP(MID(G45,J45,K45-J45),[6]skilldef!$C:$D,2,FALSE),"-") &amp; " / " &amp; IFERROR(VLOOKUP(MID(G45,H45,I45-H45),[6]skilldef!$A:$B,2,FALSE),"-")</f>
        <v>- / -</v>
      </c>
      <c r="M45" s="64" t="str">
        <f t="shared" si="54"/>
        <v>[effect:enemy_counter, target:myself, invoke_condition:unit_all, counter_target:attacker, turn:3, val:1, animation:enemy_counter]</v>
      </c>
      <c r="N45" s="48" t="str">
        <f t="shared" si="55"/>
        <v>[effect:enemy_counter, target:myself, invoke_condition:unit_all, counter_target:attacker, turn:3, val:1, animation:enemy_counter]</v>
      </c>
      <c r="O45" s="64">
        <f t="shared" si="56"/>
        <v>9</v>
      </c>
      <c r="P45" s="64">
        <f t="shared" si="57"/>
        <v>22</v>
      </c>
      <c r="Q45" s="64">
        <f t="shared" si="58"/>
        <v>31</v>
      </c>
      <c r="R45" s="64">
        <f t="shared" si="59"/>
        <v>37</v>
      </c>
      <c r="S45" s="64" t="str">
        <f>IFERROR(VLOOKUP(MID(N45,Q45,R45-Q45),[6]skilldef!$C:$D,2,FALSE),"-") &amp; " / " &amp; IFERROR(VLOOKUP(MID(N45,O45,P45-O45),[6]skilldef!$A:$B,2,FALSE),"-")</f>
        <v>自分自身に / カウンター</v>
      </c>
      <c r="T45" s="48" t="str">
        <f t="shared" si="60"/>
        <v>none</v>
      </c>
      <c r="U45" s="64" t="e">
        <f t="shared" si="61"/>
        <v>#VALUE!</v>
      </c>
      <c r="V45" s="64">
        <f t="shared" si="62"/>
        <v>4</v>
      </c>
      <c r="W45" s="64" t="e">
        <f t="shared" si="63"/>
        <v>#VALUE!</v>
      </c>
      <c r="X45" s="64" t="e">
        <f t="shared" si="64"/>
        <v>#VALUE!</v>
      </c>
      <c r="Y45" s="64" t="str">
        <f>IFERROR(VLOOKUP(MID(T45,W45,X45-W45),[6]skilldef!$C:$D,2,FALSE),"-") &amp; " / " &amp; IFERROR(VLOOKUP(MID(T45,U45,V45-U45),[6]skilldef!$A:$B,2,FALSE),"-")</f>
        <v>- / -</v>
      </c>
      <c r="Z45" s="50"/>
      <c r="AA45" s="52"/>
      <c r="AB45" s="50"/>
    </row>
    <row r="46" spans="1:28" ht="21" customHeight="1" x14ac:dyDescent="0.15">
      <c r="A46" s="140">
        <v>40043045</v>
      </c>
      <c r="B46" s="47" t="s">
        <v>447</v>
      </c>
      <c r="C46" s="50">
        <v>3</v>
      </c>
      <c r="D46" s="50" t="s">
        <v>127</v>
      </c>
      <c r="E46" s="51" t="s">
        <v>388</v>
      </c>
      <c r="F46" s="51" t="s">
        <v>379</v>
      </c>
      <c r="G46" s="64" t="str">
        <f t="shared" si="49"/>
        <v>[effect:enemy_message, val1:1.2, val2:1.7]</v>
      </c>
      <c r="H46" s="64">
        <f t="shared" si="50"/>
        <v>9</v>
      </c>
      <c r="I46" s="64">
        <f t="shared" si="51"/>
        <v>22</v>
      </c>
      <c r="J46" s="64" t="e">
        <f t="shared" si="52"/>
        <v>#VALUE!</v>
      </c>
      <c r="K46" s="64">
        <f t="shared" si="53"/>
        <v>32</v>
      </c>
      <c r="L46" s="64" t="str">
        <f>IFERROR(VLOOKUP(MID(G46,J46,K46-J46),[6]skilldef!$C:$D,2,FALSE),"-") &amp; " / " &amp; IFERROR(VLOOKUP(MID(G46,H46,I46-H46),[6]skilldef!$A:$B,2,FALSE),"-")</f>
        <v>- / -</v>
      </c>
      <c r="M46" s="64" t="str">
        <f t="shared" si="54"/>
        <v>[effect:ability_lock, target:unit_all, turn:1],[effect:sleep, target:unit_all, turn:1, rate:1, animation:sleep01],[effect:fix_speed, target:myself, turn:1],[effect:force_change_block, new_block:block_green, target:block_all, ignore01:block_positive, ignore02:block_negative, ignore03:block_green, count:15, val:0, animation:change_block]</v>
      </c>
      <c r="N46" s="48" t="str">
        <f t="shared" si="55"/>
        <v>[effect:ability_lock, target:unit_all, turn:1],[effect:sleep, target:unit_all, turn:1, rate:1, animation:sleep01],[effect:fix_speed, target:myself, turn:1],[effect:force_change_block, new_block:block_green, target:block_all, ignore01:block_positive, ignore02:block_negative, ignore03:block_green, count:15, val:0, animation:change_block]</v>
      </c>
      <c r="O46" s="64">
        <f t="shared" si="56"/>
        <v>9</v>
      </c>
      <c r="P46" s="64">
        <f t="shared" si="57"/>
        <v>21</v>
      </c>
      <c r="Q46" s="64">
        <f t="shared" si="58"/>
        <v>30</v>
      </c>
      <c r="R46" s="64">
        <f t="shared" si="59"/>
        <v>38</v>
      </c>
      <c r="S46" s="64" t="str">
        <f>IFERROR(VLOOKUP(MID(N46,Q46,R46-Q46),[6]skilldef!$C:$D,2,FALSE),"-") &amp; " / " &amp; IFERROR(VLOOKUP(MID(N46,O46,P46-O46),[6]skilldef!$A:$B,2,FALSE),"-")</f>
        <v>味方全体に / -</v>
      </c>
      <c r="T46" s="48" t="str">
        <f t="shared" si="60"/>
        <v>[effect:sleep, target:unit_all, turn:1, rate:1, animation:sleep01],[effect:fix_speed, target:myself, turn:1],[effect:force_change_block, new_block:block_green, target:block_all, ignore01:block_positive, ignore02:block_negative, ignore03:block_green, count:15, val:0, animation:change_block]</v>
      </c>
      <c r="U46" s="64">
        <f t="shared" si="61"/>
        <v>9</v>
      </c>
      <c r="V46" s="64">
        <f t="shared" si="62"/>
        <v>14</v>
      </c>
      <c r="W46" s="64">
        <f t="shared" si="63"/>
        <v>23</v>
      </c>
      <c r="X46" s="64">
        <f t="shared" si="64"/>
        <v>31</v>
      </c>
      <c r="Y46" s="64" t="str">
        <f>IFERROR(VLOOKUP(MID(T46,W46,X46-W46),[6]skilldef!$C:$D,2,FALSE),"-") &amp; " / " &amp; IFERROR(VLOOKUP(MID(T46,U46,V46-U46),[6]skilldef!$A:$B,2,FALSE),"-")</f>
        <v>味方全体に / スリープ</v>
      </c>
      <c r="Z46" s="50"/>
      <c r="AA46" s="52"/>
      <c r="AB46" s="50"/>
    </row>
    <row r="47" spans="1:28" ht="21" customHeight="1" thickBot="1" x14ac:dyDescent="0.2">
      <c r="A47" s="168">
        <v>40043046</v>
      </c>
      <c r="B47" s="147" t="s">
        <v>434</v>
      </c>
      <c r="C47" s="148">
        <v>3</v>
      </c>
      <c r="D47" s="148" t="s">
        <v>127</v>
      </c>
      <c r="E47" s="149" t="s">
        <v>433</v>
      </c>
      <c r="F47" s="149" t="s">
        <v>257</v>
      </c>
      <c r="G47" s="150" t="str">
        <f t="shared" si="49"/>
        <v>[effect:enemy_message, val1:1.3, val2:1.2]</v>
      </c>
      <c r="H47" s="150">
        <f t="shared" si="50"/>
        <v>9</v>
      </c>
      <c r="I47" s="150">
        <f t="shared" si="51"/>
        <v>22</v>
      </c>
      <c r="J47" s="150" t="e">
        <f t="shared" si="52"/>
        <v>#VALUE!</v>
      </c>
      <c r="K47" s="150">
        <f t="shared" si="53"/>
        <v>32</v>
      </c>
      <c r="L47" s="150" t="str">
        <f>IFERROR(VLOOKUP(MID(G47,J47,K47-J47),[6]skilldef!$C:$D,2,FALSE),"-") &amp; " / " &amp; IFERROR(VLOOKUP(MID(G47,H47,I47-H47),[6]skilldef!$A:$B,2,FALSE),"-")</f>
        <v>- / -</v>
      </c>
      <c r="M47" s="150" t="str">
        <f t="shared" si="54"/>
        <v>[effect:suicide, target:myself, val:1, dead_type:escape, animation:enemy_suicide]</v>
      </c>
      <c r="N47" s="151" t="str">
        <f t="shared" si="55"/>
        <v>[effect:suicide, target:myself, val:1, dead_type:escape, animation:enemy_suicide]</v>
      </c>
      <c r="O47" s="150">
        <f t="shared" si="56"/>
        <v>9</v>
      </c>
      <c r="P47" s="150">
        <f t="shared" si="57"/>
        <v>16</v>
      </c>
      <c r="Q47" s="150">
        <f t="shared" si="58"/>
        <v>25</v>
      </c>
      <c r="R47" s="150">
        <f t="shared" si="59"/>
        <v>31</v>
      </c>
      <c r="S47" s="150" t="str">
        <f>IFERROR(VLOOKUP(MID(N47,Q47,R47-Q47),[6]skilldef!$C:$D,2,FALSE),"-") &amp; " / " &amp; IFERROR(VLOOKUP(MID(N47,O47,P47-O47),[6]skilldef!$A:$B,2,FALSE),"-")</f>
        <v>自分自身に / -</v>
      </c>
      <c r="T47" s="151" t="str">
        <f t="shared" si="60"/>
        <v>none</v>
      </c>
      <c r="U47" s="150" t="e">
        <f t="shared" si="61"/>
        <v>#VALUE!</v>
      </c>
      <c r="V47" s="150">
        <f t="shared" si="62"/>
        <v>4</v>
      </c>
      <c r="W47" s="150" t="e">
        <f t="shared" si="63"/>
        <v>#VALUE!</v>
      </c>
      <c r="X47" s="150" t="e">
        <f t="shared" si="64"/>
        <v>#VALUE!</v>
      </c>
      <c r="Y47" s="150" t="str">
        <f>IFERROR(VLOOKUP(MID(T47,W47,X47-W47),[6]skilldef!$C:$D,2,FALSE),"-") &amp; " / " &amp; IFERROR(VLOOKUP(MID(T47,U47,V47-U47),[6]skilldef!$A:$B,2,FALSE),"-")</f>
        <v>- / -</v>
      </c>
      <c r="Z47" s="148"/>
      <c r="AA47" s="152"/>
      <c r="AB47" s="148"/>
    </row>
    <row r="48" spans="1:28" ht="21" customHeight="1" x14ac:dyDescent="0.15">
      <c r="A48" s="153">
        <v>40043047</v>
      </c>
      <c r="B48" s="141" t="s">
        <v>362</v>
      </c>
      <c r="C48" s="142">
        <v>3</v>
      </c>
      <c r="D48" s="142" t="s">
        <v>127</v>
      </c>
      <c r="E48" s="143" t="s">
        <v>258</v>
      </c>
      <c r="F48" s="143" t="s">
        <v>259</v>
      </c>
      <c r="G48" s="144" t="str">
        <f t="shared" si="49"/>
        <v>[effect:enemy_message, val1:1.9, val2:1.9]</v>
      </c>
      <c r="H48" s="144">
        <f t="shared" si="50"/>
        <v>9</v>
      </c>
      <c r="I48" s="144">
        <f t="shared" si="51"/>
        <v>22</v>
      </c>
      <c r="J48" s="144" t="e">
        <f t="shared" si="52"/>
        <v>#VALUE!</v>
      </c>
      <c r="K48" s="144">
        <f t="shared" si="53"/>
        <v>32</v>
      </c>
      <c r="L48" s="144" t="str">
        <f>IFERROR(VLOOKUP(MID(G48,J48,K48-J48),[6]skilldef!$C:$D,2,FALSE),"-") &amp; " / " &amp; IFERROR(VLOOKUP(MID(G48,H48,I48-H48),[6]skilldef!$A:$B,2,FALSE),"-")</f>
        <v>- / -</v>
      </c>
      <c r="M48" s="144" t="str">
        <f t="shared" si="54"/>
        <v>[effect:fix_speed, target:myself, turn:2],[effect:force_change_block, new_block:damage, target:block_green, color:block_red, count:5, val:0.08, animation:change_block]</v>
      </c>
      <c r="N48" s="145" t="str">
        <f t="shared" si="55"/>
        <v>[effect:fix_speed, target:myself, turn:2],[effect:force_change_block, new_block:damage, target:block_green, color:block_red, count:5, val:0.08, animation:change_block]</v>
      </c>
      <c r="O48" s="144">
        <f t="shared" si="56"/>
        <v>9</v>
      </c>
      <c r="P48" s="144">
        <f t="shared" si="57"/>
        <v>18</v>
      </c>
      <c r="Q48" s="144">
        <f t="shared" si="58"/>
        <v>27</v>
      </c>
      <c r="R48" s="144">
        <f t="shared" si="59"/>
        <v>33</v>
      </c>
      <c r="S48" s="144" t="str">
        <f>IFERROR(VLOOKUP(MID(N48,Q48,R48-Q48),[6]skilldef!$C:$D,2,FALSE),"-") &amp; " / " &amp; IFERROR(VLOOKUP(MID(N48,O48,P48-O48),[6]skilldef!$A:$B,2,FALSE),"-")</f>
        <v>自分自身に / 行動値設定</v>
      </c>
      <c r="T48" s="145" t="str">
        <f t="shared" si="60"/>
        <v>[effect:force_change_block, new_block:damage, target:block_green, color:block_red, count:5, val:0.08, animation:change_block]</v>
      </c>
      <c r="U48" s="144">
        <f t="shared" si="61"/>
        <v>9</v>
      </c>
      <c r="V48" s="144">
        <f t="shared" si="62"/>
        <v>27</v>
      </c>
      <c r="W48" s="144">
        <f t="shared" si="63"/>
        <v>54</v>
      </c>
      <c r="X48" s="144">
        <f t="shared" si="64"/>
        <v>45</v>
      </c>
      <c r="Y48" s="144" t="str">
        <f>IFERROR(VLOOKUP(MID(T48,W48,X48-W48),[6]skilldef!$C:$D,2,FALSE),"-") &amp; " / " &amp; IFERROR(VLOOKUP(MID(T48,U48,V48-U48),[6]skilldef!$A:$B,2,FALSE),"-")</f>
        <v>- / -</v>
      </c>
      <c r="Z48" s="142"/>
      <c r="AA48" s="146"/>
      <c r="AB48" s="142"/>
    </row>
    <row r="49" spans="1:28" ht="21" customHeight="1" x14ac:dyDescent="0.15">
      <c r="A49" s="153">
        <v>40043048</v>
      </c>
      <c r="B49" s="47" t="s">
        <v>377</v>
      </c>
      <c r="C49" s="50">
        <v>3</v>
      </c>
      <c r="D49" s="50" t="s">
        <v>127</v>
      </c>
      <c r="E49" s="51" t="s">
        <v>260</v>
      </c>
      <c r="F49" s="51" t="s">
        <v>365</v>
      </c>
      <c r="G49" s="64" t="str">
        <f t="shared" si="49"/>
        <v>[effect:enemy_message, val1:1.2, val2:1.9]</v>
      </c>
      <c r="H49" s="64">
        <f t="shared" si="50"/>
        <v>9</v>
      </c>
      <c r="I49" s="64">
        <f t="shared" si="51"/>
        <v>22</v>
      </c>
      <c r="J49" s="64" t="e">
        <f t="shared" si="52"/>
        <v>#VALUE!</v>
      </c>
      <c r="K49" s="64">
        <f t="shared" si="53"/>
        <v>32</v>
      </c>
      <c r="L49" s="64" t="str">
        <f>IFERROR(VLOOKUP(MID(G49,J49,K49-J49),[6]skilldef!$C:$D,2,FALSE),"-") &amp; " / " &amp; IFERROR(VLOOKUP(MID(G49,H49,I49-H49),[6]skilldef!$A:$B,2,FALSE),"-")</f>
        <v>- / -</v>
      </c>
      <c r="M49" s="64" t="str">
        <f t="shared" si="54"/>
        <v>[effect:force_change_block, new_block:block_green, target:block_blue, count:5, val:0, animation:change_block],[effect:spread, val:0.34]</v>
      </c>
      <c r="N49" s="48" t="str">
        <f t="shared" si="55"/>
        <v>[effect:force_change_block, new_block:block_green, target:block_blue, count:5, val:0, animation:change_block],[effect:spread, val:0.34]</v>
      </c>
      <c r="O49" s="64">
        <f t="shared" si="56"/>
        <v>9</v>
      </c>
      <c r="P49" s="64">
        <f t="shared" si="57"/>
        <v>27</v>
      </c>
      <c r="Q49" s="64">
        <f t="shared" si="58"/>
        <v>59</v>
      </c>
      <c r="R49" s="64">
        <f t="shared" si="59"/>
        <v>50</v>
      </c>
      <c r="S49" s="64" t="str">
        <f>IFERROR(VLOOKUP(MID(N49,Q49,R49-Q49),[6]skilldef!$C:$D,2,FALSE),"-") &amp; " / " &amp; IFERROR(VLOOKUP(MID(N49,O49,P49-O49),[6]skilldef!$A:$B,2,FALSE),"-")</f>
        <v>- / -</v>
      </c>
      <c r="T49" s="48" t="str">
        <f t="shared" si="60"/>
        <v>[effect:spread, val:0.34]</v>
      </c>
      <c r="U49" s="64">
        <f t="shared" si="61"/>
        <v>9</v>
      </c>
      <c r="V49" s="64">
        <f t="shared" si="62"/>
        <v>15</v>
      </c>
      <c r="W49" s="64" t="e">
        <f t="shared" si="63"/>
        <v>#VALUE!</v>
      </c>
      <c r="X49" s="64" t="e">
        <f t="shared" si="64"/>
        <v>#VALUE!</v>
      </c>
      <c r="Y49" s="64" t="str">
        <f>IFERROR(VLOOKUP(MID(T49,W49,X49-W49),[6]skilldef!$C:$D,2,FALSE),"-") &amp; " / " &amp; IFERROR(VLOOKUP(MID(T49,U49,V49-U49),[6]skilldef!$A:$B,2,FALSE),"-")</f>
        <v>- / 全体攻撃</v>
      </c>
      <c r="Z49" s="50"/>
      <c r="AA49" s="52"/>
      <c r="AB49" s="50"/>
    </row>
    <row r="50" spans="1:28" ht="21" customHeight="1" x14ac:dyDescent="0.15">
      <c r="A50" s="153">
        <v>40043049</v>
      </c>
      <c r="B50" s="47" t="s">
        <v>415</v>
      </c>
      <c r="C50" s="50">
        <v>3</v>
      </c>
      <c r="D50" s="50" t="s">
        <v>127</v>
      </c>
      <c r="E50" s="51" t="s">
        <v>261</v>
      </c>
      <c r="F50" s="51" t="s">
        <v>319</v>
      </c>
      <c r="G50" s="64" t="str">
        <f t="shared" si="49"/>
        <v>[effect:enemy_message, val1:1.4, val2:3.6]</v>
      </c>
      <c r="H50" s="64">
        <f t="shared" si="50"/>
        <v>9</v>
      </c>
      <c r="I50" s="64">
        <f t="shared" si="51"/>
        <v>22</v>
      </c>
      <c r="J50" s="64" t="e">
        <f t="shared" si="52"/>
        <v>#VALUE!</v>
      </c>
      <c r="K50" s="64">
        <f t="shared" si="53"/>
        <v>32</v>
      </c>
      <c r="L50" s="64" t="str">
        <f>IFERROR(VLOOKUP(MID(G50,J50,K50-J50),[6]skilldef!$C:$D,2,FALSE),"-") &amp; " / " &amp; IFERROR(VLOOKUP(MID(G50,H50,I50-H50),[6]skilldef!$A:$B,2,FALSE),"-")</f>
        <v>- / -</v>
      </c>
      <c r="M50" s="64" t="str">
        <f t="shared" si="54"/>
        <v>[effect:force_change_block, new_block:damage, target:block_green, color:block_blue, count:5, val:0.08, animation:change_block],[effect:damage_fix_absolute, target:unit_all, val:1500]</v>
      </c>
      <c r="N50" s="48" t="str">
        <f t="shared" si="55"/>
        <v>[effect:force_change_block, new_block:damage, target:block_green, color:block_blue, count:5, val:0.08, animation:change_block],[effect:damage_fix_absolute, target:unit_all, val:1500]</v>
      </c>
      <c r="O50" s="64">
        <f t="shared" si="56"/>
        <v>9</v>
      </c>
      <c r="P50" s="64">
        <f t="shared" si="57"/>
        <v>27</v>
      </c>
      <c r="Q50" s="64">
        <f t="shared" si="58"/>
        <v>54</v>
      </c>
      <c r="R50" s="64">
        <f t="shared" si="59"/>
        <v>45</v>
      </c>
      <c r="S50" s="64" t="str">
        <f>IFERROR(VLOOKUP(MID(N50,Q50,R50-Q50),[6]skilldef!$C:$D,2,FALSE),"-") &amp; " / " &amp; IFERROR(VLOOKUP(MID(N50,O50,P50-O50),[6]skilldef!$A:$B,2,FALSE),"-")</f>
        <v>- / -</v>
      </c>
      <c r="T50" s="48" t="str">
        <f t="shared" si="60"/>
        <v>[effect:damage_fix_absolute, target:unit_all, val:1500]</v>
      </c>
      <c r="U50" s="64">
        <f t="shared" si="61"/>
        <v>9</v>
      </c>
      <c r="V50" s="64">
        <f t="shared" si="62"/>
        <v>28</v>
      </c>
      <c r="W50" s="64">
        <f t="shared" si="63"/>
        <v>37</v>
      </c>
      <c r="X50" s="64">
        <f t="shared" si="64"/>
        <v>45</v>
      </c>
      <c r="Y50" s="64" t="str">
        <f>IFERROR(VLOOKUP(MID(T50,W50,X50-W50),[6]skilldef!$C:$D,2,FALSE),"-") &amp; " / " &amp; IFERROR(VLOOKUP(MID(T50,U50,V50-U50),[6]skilldef!$A:$B,2,FALSE),"-")</f>
        <v>味方全体に / -</v>
      </c>
      <c r="Z50" s="50"/>
      <c r="AA50" s="52"/>
      <c r="AB50" s="50"/>
    </row>
    <row r="51" spans="1:28" ht="21" customHeight="1" x14ac:dyDescent="0.15">
      <c r="A51" s="153">
        <v>40043050</v>
      </c>
      <c r="B51" s="47" t="s">
        <v>320</v>
      </c>
      <c r="C51" s="50">
        <v>3</v>
      </c>
      <c r="D51" s="50" t="s">
        <v>127</v>
      </c>
      <c r="E51" s="51" t="s">
        <v>264</v>
      </c>
      <c r="F51" s="51" t="s">
        <v>262</v>
      </c>
      <c r="G51" s="64" t="str">
        <f t="shared" si="49"/>
        <v>[effect:enemy_message, val1:1.2, val2:2.4]</v>
      </c>
      <c r="H51" s="64">
        <f t="shared" si="50"/>
        <v>9</v>
      </c>
      <c r="I51" s="64">
        <f t="shared" si="51"/>
        <v>22</v>
      </c>
      <c r="J51" s="64" t="e">
        <f t="shared" si="52"/>
        <v>#VALUE!</v>
      </c>
      <c r="K51" s="64">
        <f t="shared" si="53"/>
        <v>32</v>
      </c>
      <c r="L51" s="64" t="str">
        <f>IFERROR(VLOOKUP(MID(G51,J51,K51-J51),[6]skilldef!$C:$D,2,FALSE),"-") &amp; " / " &amp; IFERROR(VLOOKUP(MID(G51,H51,I51-H51),[6]skilldef!$A:$B,2,FALSE),"-")</f>
        <v>- / -</v>
      </c>
      <c r="M51" s="64" t="str">
        <f t="shared" si="54"/>
        <v>[effect:force_change_block, new_block:damage, target:block_blue, color:block_yellow, count:5, val:0.08, animation:change_block],[effect:spread, val:0.34]</v>
      </c>
      <c r="N51" s="48" t="str">
        <f t="shared" si="55"/>
        <v>[effect:force_change_block, new_block:damage, target:block_blue, color:block_yellow, count:5, val:0.08, animation:change_block],[effect:spread, val:0.34]</v>
      </c>
      <c r="O51" s="64">
        <f t="shared" si="56"/>
        <v>9</v>
      </c>
      <c r="P51" s="64">
        <f t="shared" si="57"/>
        <v>27</v>
      </c>
      <c r="Q51" s="64">
        <f t="shared" si="58"/>
        <v>54</v>
      </c>
      <c r="R51" s="64">
        <f t="shared" si="59"/>
        <v>45</v>
      </c>
      <c r="S51" s="64" t="str">
        <f>IFERROR(VLOOKUP(MID(N51,Q51,R51-Q51),[6]skilldef!$C:$D,2,FALSE),"-") &amp; " / " &amp; IFERROR(VLOOKUP(MID(N51,O51,P51-O51),[6]skilldef!$A:$B,2,FALSE),"-")</f>
        <v>- / -</v>
      </c>
      <c r="T51" s="48" t="str">
        <f t="shared" si="60"/>
        <v>[effect:spread, val:0.34]</v>
      </c>
      <c r="U51" s="64">
        <f t="shared" si="61"/>
        <v>9</v>
      </c>
      <c r="V51" s="64">
        <f t="shared" si="62"/>
        <v>15</v>
      </c>
      <c r="W51" s="64" t="e">
        <f t="shared" si="63"/>
        <v>#VALUE!</v>
      </c>
      <c r="X51" s="64" t="e">
        <f t="shared" si="64"/>
        <v>#VALUE!</v>
      </c>
      <c r="Y51" s="64" t="str">
        <f>IFERROR(VLOOKUP(MID(T51,W51,X51-W51),[6]skilldef!$C:$D,2,FALSE),"-") &amp; " / " &amp; IFERROR(VLOOKUP(MID(T51,U51,V51-U51),[6]skilldef!$A:$B,2,FALSE),"-")</f>
        <v>- / 全体攻撃</v>
      </c>
      <c r="Z51" s="50"/>
      <c r="AA51" s="52"/>
      <c r="AB51" s="50"/>
    </row>
    <row r="52" spans="1:28" ht="21" customHeight="1" thickBot="1" x14ac:dyDescent="0.2">
      <c r="A52" s="154">
        <v>40043051</v>
      </c>
      <c r="B52" s="147" t="s">
        <v>446</v>
      </c>
      <c r="C52" s="148">
        <v>3</v>
      </c>
      <c r="D52" s="148" t="s">
        <v>127</v>
      </c>
      <c r="E52" s="149" t="s">
        <v>263</v>
      </c>
      <c r="F52" s="149" t="s">
        <v>380</v>
      </c>
      <c r="G52" s="150" t="str">
        <f t="shared" si="49"/>
        <v>[effect:enemy_message, val1:1.2, val2:1.7]</v>
      </c>
      <c r="H52" s="150">
        <f t="shared" si="50"/>
        <v>9</v>
      </c>
      <c r="I52" s="150">
        <f t="shared" si="51"/>
        <v>22</v>
      </c>
      <c r="J52" s="150" t="e">
        <f t="shared" si="52"/>
        <v>#VALUE!</v>
      </c>
      <c r="K52" s="150">
        <f t="shared" si="53"/>
        <v>32</v>
      </c>
      <c r="L52" s="150" t="str">
        <f>IFERROR(VLOOKUP(MID(G52,J52,K52-J52),[6]skilldef!$C:$D,2,FALSE),"-") &amp; " / " &amp; IFERROR(VLOOKUP(MID(G52,H52,I52-H52),[6]skilldef!$A:$B,2,FALSE),"-")</f>
        <v>- / -</v>
      </c>
      <c r="M52" s="150" t="str">
        <f t="shared" si="54"/>
        <v>[effect:force_change_block, new_block:block_red, target:block_all, ignore01:block_positive, ignore02:block_negative, ignore03:block_red, count:10, val:0, animation:change_block]</v>
      </c>
      <c r="N52" s="151" t="str">
        <f t="shared" si="55"/>
        <v>[effect:force_change_block, new_block:block_red, target:block_all, ignore01:block_positive, ignore02:block_negative, ignore03:block_red, count:10, val:0, animation:change_block]</v>
      </c>
      <c r="O52" s="150">
        <f t="shared" si="56"/>
        <v>9</v>
      </c>
      <c r="P52" s="150">
        <f t="shared" si="57"/>
        <v>27</v>
      </c>
      <c r="Q52" s="150">
        <f t="shared" si="58"/>
        <v>57</v>
      </c>
      <c r="R52" s="150">
        <f t="shared" si="59"/>
        <v>48</v>
      </c>
      <c r="S52" s="150" t="str">
        <f>IFERROR(VLOOKUP(MID(N52,Q52,R52-Q52),[6]skilldef!$C:$D,2,FALSE),"-") &amp; " / " &amp; IFERROR(VLOOKUP(MID(N52,O52,P52-O52),[6]skilldef!$A:$B,2,FALSE),"-")</f>
        <v>- / -</v>
      </c>
      <c r="T52" s="151" t="str">
        <f t="shared" si="60"/>
        <v>none</v>
      </c>
      <c r="U52" s="150" t="e">
        <f t="shared" si="61"/>
        <v>#VALUE!</v>
      </c>
      <c r="V52" s="150">
        <f t="shared" si="62"/>
        <v>4</v>
      </c>
      <c r="W52" s="150" t="e">
        <f t="shared" si="63"/>
        <v>#VALUE!</v>
      </c>
      <c r="X52" s="150" t="e">
        <f t="shared" si="64"/>
        <v>#VALUE!</v>
      </c>
      <c r="Y52" s="150" t="str">
        <f>IFERROR(VLOOKUP(MID(T52,W52,X52-W52),[6]skilldef!$C:$D,2,FALSE),"-") &amp; " / " &amp; IFERROR(VLOOKUP(MID(T52,U52,V52-U52),[6]skilldef!$A:$B,2,FALSE),"-")</f>
        <v>- / -</v>
      </c>
      <c r="Z52" s="148"/>
      <c r="AA52" s="152"/>
      <c r="AB52" s="148"/>
    </row>
    <row r="53" spans="1:28" ht="21" customHeight="1" x14ac:dyDescent="0.15">
      <c r="A53" s="153">
        <v>40043052</v>
      </c>
      <c r="B53" s="47" t="s">
        <v>370</v>
      </c>
      <c r="C53" s="142">
        <v>3</v>
      </c>
      <c r="D53" s="142" t="s">
        <v>127</v>
      </c>
      <c r="E53" s="143" t="s">
        <v>265</v>
      </c>
      <c r="F53" s="143" t="s">
        <v>266</v>
      </c>
      <c r="G53" s="144" t="str">
        <f t="shared" si="49"/>
        <v>[effect:enemy_message, val1:1.2, val2:2.6]</v>
      </c>
      <c r="H53" s="144">
        <f t="shared" si="50"/>
        <v>9</v>
      </c>
      <c r="I53" s="144">
        <f t="shared" si="51"/>
        <v>22</v>
      </c>
      <c r="J53" s="144" t="e">
        <f t="shared" si="52"/>
        <v>#VALUE!</v>
      </c>
      <c r="K53" s="144">
        <f t="shared" si="53"/>
        <v>32</v>
      </c>
      <c r="L53" s="144" t="str">
        <f>IFERROR(VLOOKUP(MID(G53,J53,K53-J53),[6]skilldef!$C:$D,2,FALSE),"-") &amp; " / " &amp; IFERROR(VLOOKUP(MID(G53,H53,I53-H53),[6]skilldef!$A:$B,2,FALSE),"-")</f>
        <v>- / -</v>
      </c>
      <c r="M53" s="144" t="str">
        <f t="shared" si="54"/>
        <v>[effect:fix_speed, target:myself, turn:1],[effect:force_change_block, new_block:damage, target:block_heart, color:block_red, count:5, val:0.08, animation:change_block],[effect:rush, count:1, val:1.3]</v>
      </c>
      <c r="N53" s="145" t="str">
        <f t="shared" si="55"/>
        <v>[effect:fix_speed, target:myself, turn:1],[effect:force_change_block, new_block:damage, target:block_heart, color:block_red, count:5, val:0.08, animation:change_block],[effect:rush, count:1, val:1.3]</v>
      </c>
      <c r="O53" s="144">
        <f t="shared" si="56"/>
        <v>9</v>
      </c>
      <c r="P53" s="144">
        <f t="shared" si="57"/>
        <v>18</v>
      </c>
      <c r="Q53" s="144">
        <f t="shared" si="58"/>
        <v>27</v>
      </c>
      <c r="R53" s="144">
        <f t="shared" si="59"/>
        <v>33</v>
      </c>
      <c r="S53" s="144" t="str">
        <f>IFERROR(VLOOKUP(MID(N53,Q53,R53-Q53),[6]skilldef!$C:$D,2,FALSE),"-") &amp; " / " &amp; IFERROR(VLOOKUP(MID(N53,O53,P53-O53),[6]skilldef!$A:$B,2,FALSE),"-")</f>
        <v>自分自身に / 行動値設定</v>
      </c>
      <c r="T53" s="145" t="str">
        <f t="shared" si="60"/>
        <v>[effect:force_change_block, new_block:damage, target:block_heart, color:block_red, count:5, val:0.08, animation:change_block],[effect:rush, count:1, val:1.3]</v>
      </c>
      <c r="U53" s="144">
        <f t="shared" si="61"/>
        <v>9</v>
      </c>
      <c r="V53" s="144">
        <f t="shared" si="62"/>
        <v>27</v>
      </c>
      <c r="W53" s="144">
        <f t="shared" si="63"/>
        <v>54</v>
      </c>
      <c r="X53" s="144">
        <f t="shared" si="64"/>
        <v>45</v>
      </c>
      <c r="Y53" s="144" t="str">
        <f>IFERROR(VLOOKUP(MID(T53,W53,X53-W53),[6]skilldef!$C:$D,2,FALSE),"-") &amp; " / " &amp; IFERROR(VLOOKUP(MID(T53,U53,V53-U53),[6]skilldef!$A:$B,2,FALSE),"-")</f>
        <v>- / -</v>
      </c>
      <c r="Z53" s="142"/>
      <c r="AA53" s="146"/>
      <c r="AB53" s="142"/>
    </row>
    <row r="54" spans="1:28" ht="21" customHeight="1" x14ac:dyDescent="0.15">
      <c r="A54" s="153">
        <v>40043053</v>
      </c>
      <c r="B54" s="47" t="s">
        <v>321</v>
      </c>
      <c r="C54" s="50">
        <v>3</v>
      </c>
      <c r="D54" s="50" t="s">
        <v>127</v>
      </c>
      <c r="E54" s="51" t="s">
        <v>268</v>
      </c>
      <c r="F54" s="51" t="s">
        <v>267</v>
      </c>
      <c r="G54" s="64" t="str">
        <f t="shared" si="49"/>
        <v>[effect:enemy_message, val1:1.2, val2:2.4]</v>
      </c>
      <c r="H54" s="64">
        <f t="shared" si="50"/>
        <v>9</v>
      </c>
      <c r="I54" s="64">
        <f t="shared" si="51"/>
        <v>22</v>
      </c>
      <c r="J54" s="64" t="e">
        <f t="shared" si="52"/>
        <v>#VALUE!</v>
      </c>
      <c r="K54" s="64">
        <f t="shared" si="53"/>
        <v>32</v>
      </c>
      <c r="L54" s="64" t="str">
        <f>IFERROR(VLOOKUP(MID(G54,J54,K54-J54),[6]skilldef!$C:$D,2,FALSE),"-") &amp; " / " &amp; IFERROR(VLOOKUP(MID(G54,H54,I54-H54),[6]skilldef!$A:$B,2,FALSE),"-")</f>
        <v>- / -</v>
      </c>
      <c r="M54" s="64" t="str">
        <f t="shared" si="54"/>
        <v>[effect:force_change_block, new_block:damage, target:block_blue, color:block_green, count:8, val:0.08, animation:change_block],[effect:spread, val:0.4]</v>
      </c>
      <c r="N54" s="48" t="str">
        <f t="shared" ref="N54:N63" si="65">IFERROR(LEFT(M54,FIND("],",M54)+S65),M54)</f>
        <v>[effect:force_change_block, new_block:damage, target:block_blue, color:block_green, count:8, val:0.08, animation:change_block],[effect:spread, val:0.4]</v>
      </c>
      <c r="O54" s="64">
        <f t="shared" si="56"/>
        <v>9</v>
      </c>
      <c r="P54" s="64">
        <f t="shared" si="57"/>
        <v>27</v>
      </c>
      <c r="Q54" s="64">
        <f t="shared" si="58"/>
        <v>54</v>
      </c>
      <c r="R54" s="64">
        <f t="shared" si="59"/>
        <v>45</v>
      </c>
      <c r="S54" s="64" t="str">
        <f>IFERROR(VLOOKUP(MID(N54,Q54,R54-Q54),[6]skilldef!$C:$D,2,FALSE),"-") &amp; " / " &amp; IFERROR(VLOOKUP(MID(N54,O54,P54-O54),[6]skilldef!$A:$B,2,FALSE),"-")</f>
        <v>- / -</v>
      </c>
      <c r="T54" s="48" t="str">
        <f t="shared" si="60"/>
        <v>[effect:spread, val:0.4]</v>
      </c>
      <c r="U54" s="64">
        <f t="shared" si="61"/>
        <v>9</v>
      </c>
      <c r="V54" s="64">
        <f t="shared" si="62"/>
        <v>15</v>
      </c>
      <c r="W54" s="64" t="e">
        <f t="shared" si="63"/>
        <v>#VALUE!</v>
      </c>
      <c r="X54" s="64" t="e">
        <f t="shared" si="64"/>
        <v>#VALUE!</v>
      </c>
      <c r="Y54" s="64" t="str">
        <f>IFERROR(VLOOKUP(MID(T54,W54,X54-W54),[6]skilldef!$C:$D,2,FALSE),"-") &amp; " / " &amp; IFERROR(VLOOKUP(MID(T54,U54,V54-U54),[6]skilldef!$A:$B,2,FALSE),"-")</f>
        <v>- / 全体攻撃</v>
      </c>
      <c r="Z54" s="50"/>
      <c r="AA54" s="52"/>
      <c r="AB54" s="50"/>
    </row>
    <row r="55" spans="1:28" ht="21" customHeight="1" x14ac:dyDescent="0.15">
      <c r="A55" s="153">
        <v>40043054</v>
      </c>
      <c r="B55" s="47" t="s">
        <v>374</v>
      </c>
      <c r="C55" s="50">
        <v>3</v>
      </c>
      <c r="D55" s="50" t="s">
        <v>127</v>
      </c>
      <c r="E55" s="51" t="s">
        <v>291</v>
      </c>
      <c r="F55" s="51" t="s">
        <v>318</v>
      </c>
      <c r="G55" s="64" t="str">
        <f t="shared" si="49"/>
        <v>[effect:enemy_message, val1:1.2, val2:3.6]</v>
      </c>
      <c r="H55" s="64">
        <f t="shared" si="50"/>
        <v>9</v>
      </c>
      <c r="I55" s="64">
        <f t="shared" si="51"/>
        <v>22</v>
      </c>
      <c r="J55" s="64" t="e">
        <f t="shared" si="52"/>
        <v>#VALUE!</v>
      </c>
      <c r="K55" s="64">
        <f t="shared" si="53"/>
        <v>32</v>
      </c>
      <c r="L55" s="64" t="str">
        <f>IFERROR(VLOOKUP(MID(G55,J55,K55-J55),[6]skilldef!$C:$D,2,FALSE),"-") &amp; " / " &amp; IFERROR(VLOOKUP(MID(G55,H55,I55-H55),[6]skilldef!$A:$B,2,FALSE),"-")</f>
        <v>- / -</v>
      </c>
      <c r="M55" s="64" t="str">
        <f t="shared" si="54"/>
        <v>[effect:force_change_block, new_block:damage, target:block_green, color:block_blue, count:8, val:0.08, animation:change_block],[effect:damage_fix_absolute, target:unit_all, val:1500]</v>
      </c>
      <c r="N55" s="48" t="str">
        <f t="shared" si="65"/>
        <v>[effect:force_change_block, new_block:damage, target:block_green, color:block_blue, count:8, val:0.08, animation:change_block],[effect:damage_fix_absolute, target:unit_all, val:1500]</v>
      </c>
      <c r="O55" s="64">
        <f t="shared" si="56"/>
        <v>9</v>
      </c>
      <c r="P55" s="64">
        <f t="shared" si="57"/>
        <v>27</v>
      </c>
      <c r="Q55" s="64">
        <f t="shared" si="58"/>
        <v>54</v>
      </c>
      <c r="R55" s="64">
        <f t="shared" si="59"/>
        <v>45</v>
      </c>
      <c r="S55" s="64" t="str">
        <f>IFERROR(VLOOKUP(MID(N55,Q55,R55-Q55),[6]skilldef!$C:$D,2,FALSE),"-") &amp; " / " &amp; IFERROR(VLOOKUP(MID(N55,O55,P55-O55),[6]skilldef!$A:$B,2,FALSE),"-")</f>
        <v>- / -</v>
      </c>
      <c r="T55" s="48" t="str">
        <f t="shared" si="60"/>
        <v>[effect:damage_fix_absolute, target:unit_all, val:1500]</v>
      </c>
      <c r="U55" s="64">
        <f t="shared" si="61"/>
        <v>9</v>
      </c>
      <c r="V55" s="64">
        <f t="shared" si="62"/>
        <v>28</v>
      </c>
      <c r="W55" s="64">
        <f t="shared" si="63"/>
        <v>37</v>
      </c>
      <c r="X55" s="64">
        <f t="shared" si="64"/>
        <v>45</v>
      </c>
      <c r="Y55" s="64" t="str">
        <f>IFERROR(VLOOKUP(MID(T55,W55,X55-W55),[6]skilldef!$C:$D,2,FALSE),"-") &amp; " / " &amp; IFERROR(VLOOKUP(MID(T55,U55,V55-U55),[6]skilldef!$A:$B,2,FALSE),"-")</f>
        <v>味方全体に / -</v>
      </c>
      <c r="Z55" s="50"/>
      <c r="AA55" s="52"/>
      <c r="AB55" s="50"/>
    </row>
    <row r="56" spans="1:28" ht="21" customHeight="1" x14ac:dyDescent="0.15">
      <c r="A56" s="153">
        <v>40043055</v>
      </c>
      <c r="B56" s="47" t="s">
        <v>322</v>
      </c>
      <c r="C56" s="50">
        <v>3</v>
      </c>
      <c r="D56" s="50" t="s">
        <v>127</v>
      </c>
      <c r="E56" s="51" t="s">
        <v>269</v>
      </c>
      <c r="F56" s="51" t="s">
        <v>317</v>
      </c>
      <c r="G56" s="64" t="str">
        <f t="shared" si="49"/>
        <v>[effect:enemy_message, val1:1.2, val2:3.8]</v>
      </c>
      <c r="H56" s="64">
        <f t="shared" si="50"/>
        <v>9</v>
      </c>
      <c r="I56" s="64">
        <f t="shared" si="51"/>
        <v>22</v>
      </c>
      <c r="J56" s="64" t="e">
        <f t="shared" si="52"/>
        <v>#VALUE!</v>
      </c>
      <c r="K56" s="64">
        <f t="shared" si="53"/>
        <v>32</v>
      </c>
      <c r="L56" s="64" t="str">
        <f>IFERROR(VLOOKUP(MID(G56,J56,K56-J56),[6]skilldef!$C:$D,2,FALSE),"-") &amp; " / " &amp; IFERROR(VLOOKUP(MID(G56,H56,I56-H56),[6]skilldef!$A:$B,2,FALSE),"-")</f>
        <v>- / -</v>
      </c>
      <c r="M56" s="64" t="str">
        <f t="shared" si="54"/>
        <v>[effect:force_change_block, new_block:damage, target:block_heart, color:block_yellow, count:4, val:0.08, animation:change_block],[effect:damage_fix_absolute, target:unit_all, val:1500]</v>
      </c>
      <c r="N56" s="48" t="str">
        <f t="shared" si="65"/>
        <v>[effect:force_change_block, new_block:damage, target:block_heart, color:block_yellow, count:4, val:0.08, animation:change_block],[effect:damage_fix_absolute, target:unit_all, val:1500]</v>
      </c>
      <c r="O56" s="64">
        <f t="shared" si="56"/>
        <v>9</v>
      </c>
      <c r="P56" s="64">
        <f t="shared" si="57"/>
        <v>27</v>
      </c>
      <c r="Q56" s="64">
        <f t="shared" si="58"/>
        <v>54</v>
      </c>
      <c r="R56" s="64">
        <f t="shared" si="59"/>
        <v>45</v>
      </c>
      <c r="S56" s="64" t="str">
        <f>IFERROR(VLOOKUP(MID(N56,Q56,R56-Q56),[6]skilldef!$C:$D,2,FALSE),"-") &amp; " / " &amp; IFERROR(VLOOKUP(MID(N56,O56,P56-O56),[6]skilldef!$A:$B,2,FALSE),"-")</f>
        <v>- / -</v>
      </c>
      <c r="T56" s="48" t="str">
        <f t="shared" si="60"/>
        <v>[effect:damage_fix_absolute, target:unit_all, val:1500]</v>
      </c>
      <c r="U56" s="64">
        <f t="shared" si="61"/>
        <v>9</v>
      </c>
      <c r="V56" s="64">
        <f t="shared" si="62"/>
        <v>28</v>
      </c>
      <c r="W56" s="64">
        <f t="shared" si="63"/>
        <v>37</v>
      </c>
      <c r="X56" s="64">
        <f t="shared" si="64"/>
        <v>45</v>
      </c>
      <c r="Y56" s="64" t="str">
        <f>IFERROR(VLOOKUP(MID(T56,W56,X56-W56),[6]skilldef!$C:$D,2,FALSE),"-") &amp; " / " &amp; IFERROR(VLOOKUP(MID(T56,U56,V56-U56),[6]skilldef!$A:$B,2,FALSE),"-")</f>
        <v>味方全体に / -</v>
      </c>
      <c r="Z56" s="50"/>
      <c r="AA56" s="52"/>
      <c r="AB56" s="50"/>
    </row>
    <row r="57" spans="1:28" ht="21" customHeight="1" thickBot="1" x14ac:dyDescent="0.2">
      <c r="A57" s="154">
        <v>40043056</v>
      </c>
      <c r="B57" s="147" t="s">
        <v>371</v>
      </c>
      <c r="C57" s="148">
        <v>3</v>
      </c>
      <c r="D57" s="148" t="s">
        <v>127</v>
      </c>
      <c r="E57" s="149" t="s">
        <v>271</v>
      </c>
      <c r="F57" s="51" t="s">
        <v>270</v>
      </c>
      <c r="G57" s="150" t="str">
        <f t="shared" si="49"/>
        <v>[effect:enemy_message, val1:1.2, val2:2.6]</v>
      </c>
      <c r="H57" s="150">
        <f t="shared" si="50"/>
        <v>9</v>
      </c>
      <c r="I57" s="150">
        <f t="shared" si="51"/>
        <v>22</v>
      </c>
      <c r="J57" s="150" t="e">
        <f t="shared" si="52"/>
        <v>#VALUE!</v>
      </c>
      <c r="K57" s="150">
        <f t="shared" si="53"/>
        <v>32</v>
      </c>
      <c r="L57" s="150" t="str">
        <f>IFERROR(VLOOKUP(MID(G57,J57,K57-J57),[6]skilldef!$C:$D,2,FALSE),"-") &amp; " / " &amp; IFERROR(VLOOKUP(MID(G57,H57,I57-H57),[6]skilldef!$A:$B,2,FALSE),"-")</f>
        <v>- / -</v>
      </c>
      <c r="M57" s="150" t="str">
        <f t="shared" si="54"/>
        <v>[effect:force_change_block, new_block:damage, target:block_heart, color:block_yellow, count:5, val:0.08, animation:change_block],[effect:rush, count:1, val:1.3]</v>
      </c>
      <c r="N57" s="151" t="str">
        <f t="shared" si="65"/>
        <v>[effect:force_change_block, new_block:damage, target:block_heart, color:block_yellow, count:5, val:0.08, animation:change_block],[effect:rush, count:1, val:1.3]</v>
      </c>
      <c r="O57" s="150">
        <f t="shared" si="56"/>
        <v>9</v>
      </c>
      <c r="P57" s="150">
        <f t="shared" si="57"/>
        <v>27</v>
      </c>
      <c r="Q57" s="150">
        <f t="shared" si="58"/>
        <v>54</v>
      </c>
      <c r="R57" s="150">
        <f t="shared" si="59"/>
        <v>45</v>
      </c>
      <c r="S57" s="150" t="str">
        <f>IFERROR(VLOOKUP(MID(N57,Q57,R57-Q57),[6]skilldef!$C:$D,2,FALSE),"-") &amp; " / " &amp; IFERROR(VLOOKUP(MID(N57,O57,P57-O57),[6]skilldef!$A:$B,2,FALSE),"-")</f>
        <v>- / -</v>
      </c>
      <c r="T57" s="151" t="str">
        <f t="shared" si="60"/>
        <v>[effect:rush, count:1, val:1.3]</v>
      </c>
      <c r="U57" s="150">
        <f t="shared" si="61"/>
        <v>9</v>
      </c>
      <c r="V57" s="150">
        <f t="shared" si="62"/>
        <v>13</v>
      </c>
      <c r="W57" s="150" t="e">
        <f t="shared" si="63"/>
        <v>#VALUE!</v>
      </c>
      <c r="X57" s="150">
        <f t="shared" si="64"/>
        <v>22</v>
      </c>
      <c r="Y57" s="150" t="str">
        <f>IFERROR(VLOOKUP(MID(T57,W57,X57-W57),[6]skilldef!$C:$D,2,FALSE),"-") &amp; " / " &amp; IFERROR(VLOOKUP(MID(T57,U57,V57-U57),[6]skilldef!$A:$B,2,FALSE),"-")</f>
        <v>- / 連続攻撃</v>
      </c>
      <c r="Z57" s="148"/>
      <c r="AA57" s="152"/>
      <c r="AB57" s="148"/>
    </row>
    <row r="58" spans="1:28" ht="21" customHeight="1" x14ac:dyDescent="0.15">
      <c r="A58" s="155">
        <v>40043057</v>
      </c>
      <c r="B58" s="47" t="s">
        <v>323</v>
      </c>
      <c r="C58" s="142">
        <v>3</v>
      </c>
      <c r="D58" s="50" t="s">
        <v>127</v>
      </c>
      <c r="E58" s="51" t="s">
        <v>407</v>
      </c>
      <c r="F58" s="51" t="s">
        <v>373</v>
      </c>
      <c r="G58" s="64" t="str">
        <f t="shared" si="49"/>
        <v>[effect:enemy_message, val1:1.2, val2:3.6]</v>
      </c>
      <c r="H58" s="64">
        <f t="shared" si="50"/>
        <v>9</v>
      </c>
      <c r="I58" s="64">
        <f t="shared" si="51"/>
        <v>22</v>
      </c>
      <c r="J58" s="64" t="e">
        <f t="shared" si="52"/>
        <v>#VALUE!</v>
      </c>
      <c r="K58" s="64">
        <f t="shared" si="53"/>
        <v>32</v>
      </c>
      <c r="L58" s="64" t="str">
        <f>IFERROR(VLOOKUP(MID(G58,J58,K58-J58),[6]skilldef!$C:$D,2,FALSE),"-") &amp; " / " &amp; IFERROR(VLOOKUP(MID(G58,H58,I58-H58),[6]skilldef!$A:$B,2,FALSE),"-")</f>
        <v>- / -</v>
      </c>
      <c r="M58" s="64" t="str">
        <f t="shared" si="54"/>
        <v>[effect:force_change_block, new_block:damage, target:block_green, color:block_blue, count:4, val:0.08, animation:change_block],[effect:damage_fix_absolute, target:unit_all, val:1250]</v>
      </c>
      <c r="N58" s="48" t="str">
        <f t="shared" si="65"/>
        <v>[effect:force_change_block, new_block:damage, target:block_green, color:block_blue, count:4, val:0.08, animation:change_block],[effect:damage_fix_absolute, target:unit_all, val:1250]</v>
      </c>
      <c r="O58" s="64">
        <f t="shared" si="56"/>
        <v>9</v>
      </c>
      <c r="P58" s="64">
        <f t="shared" si="57"/>
        <v>27</v>
      </c>
      <c r="Q58" s="64">
        <f t="shared" si="58"/>
        <v>54</v>
      </c>
      <c r="R58" s="64">
        <f t="shared" si="59"/>
        <v>45</v>
      </c>
      <c r="S58" s="64" t="str">
        <f>IFERROR(VLOOKUP(MID(N58,Q58,R58-Q58),[6]skilldef!$C:$D,2,FALSE),"-") &amp; " / " &amp; IFERROR(VLOOKUP(MID(N58,O58,P58-O58),[6]skilldef!$A:$B,2,FALSE),"-")</f>
        <v>- / -</v>
      </c>
      <c r="T58" s="48" t="str">
        <f t="shared" si="60"/>
        <v>[effect:damage_fix_absolute, target:unit_all, val:1250]</v>
      </c>
      <c r="U58" s="64">
        <f t="shared" si="61"/>
        <v>9</v>
      </c>
      <c r="V58" s="64">
        <f t="shared" si="62"/>
        <v>28</v>
      </c>
      <c r="W58" s="64">
        <f t="shared" si="63"/>
        <v>37</v>
      </c>
      <c r="X58" s="64">
        <f t="shared" si="64"/>
        <v>45</v>
      </c>
      <c r="Y58" s="64" t="str">
        <f>IFERROR(VLOOKUP(MID(T58,W58,X58-W58),[6]skilldef!$C:$D,2,FALSE),"-") &amp; " / " &amp; IFERROR(VLOOKUP(MID(T58,U58,V58-U58),[6]skilldef!$A:$B,2,FALSE),"-")</f>
        <v>味方全体に / -</v>
      </c>
      <c r="Z58" s="50"/>
      <c r="AA58" s="52"/>
      <c r="AB58" s="50"/>
    </row>
    <row r="59" spans="1:28" ht="21" customHeight="1" thickBot="1" x14ac:dyDescent="0.2">
      <c r="A59" s="155">
        <v>40043058</v>
      </c>
      <c r="B59" s="147" t="s">
        <v>324</v>
      </c>
      <c r="C59" s="148">
        <v>3</v>
      </c>
      <c r="D59" s="148" t="s">
        <v>127</v>
      </c>
      <c r="E59" s="149" t="s">
        <v>272</v>
      </c>
      <c r="F59" s="149" t="s">
        <v>297</v>
      </c>
      <c r="G59" s="150" t="str">
        <f t="shared" si="49"/>
        <v>[effect:enemy_message, val1:1.2, val2:1.4]</v>
      </c>
      <c r="H59" s="150">
        <f t="shared" si="50"/>
        <v>9</v>
      </c>
      <c r="I59" s="150">
        <f t="shared" si="51"/>
        <v>22</v>
      </c>
      <c r="J59" s="150" t="e">
        <f t="shared" si="52"/>
        <v>#VALUE!</v>
      </c>
      <c r="K59" s="150">
        <f t="shared" si="53"/>
        <v>32</v>
      </c>
      <c r="L59" s="150" t="str">
        <f>IFERROR(VLOOKUP(MID(G59,J59,K59-J59),[6]skilldef!$C:$D,2,FALSE),"-") &amp; " / " &amp; IFERROR(VLOOKUP(MID(G59,H59,I59-H59),[6]skilldef!$A:$B,2,FALSE),"-")</f>
        <v>- / -</v>
      </c>
      <c r="M59" s="150" t="str">
        <f t="shared" si="54"/>
        <v>[effect:enhance_enemy, target:enemy_all, turn:3, status:attack, val:0.3, calc:mul, animation:enemy_enhance_attack]</v>
      </c>
      <c r="N59" s="151" t="str">
        <f t="shared" si="65"/>
        <v>[effect:enhance_enemy, target:enemy_all, turn:3, status:attack, val:0.3, calc:mul, animation:enemy_enhance_attack]</v>
      </c>
      <c r="O59" s="150">
        <f t="shared" si="56"/>
        <v>9</v>
      </c>
      <c r="P59" s="150">
        <f t="shared" si="57"/>
        <v>22</v>
      </c>
      <c r="Q59" s="150">
        <f t="shared" si="58"/>
        <v>31</v>
      </c>
      <c r="R59" s="150">
        <f t="shared" si="59"/>
        <v>40</v>
      </c>
      <c r="S59" s="150" t="str">
        <f>IFERROR(VLOOKUP(MID(N59,Q59,R59-Q59),[6]skilldef!$C:$D,2,FALSE),"-") &amp; " / " &amp; IFERROR(VLOOKUP(MID(N59,O59,P59-O59),[6]skilldef!$A:$B,2,FALSE),"-")</f>
        <v>敵全体に / ステータス強化</v>
      </c>
      <c r="T59" s="151" t="str">
        <f t="shared" si="60"/>
        <v>none</v>
      </c>
      <c r="U59" s="150" t="e">
        <f t="shared" si="61"/>
        <v>#VALUE!</v>
      </c>
      <c r="V59" s="150">
        <f t="shared" si="62"/>
        <v>4</v>
      </c>
      <c r="W59" s="150" t="e">
        <f t="shared" si="63"/>
        <v>#VALUE!</v>
      </c>
      <c r="X59" s="150" t="e">
        <f t="shared" si="64"/>
        <v>#VALUE!</v>
      </c>
      <c r="Y59" s="150" t="str">
        <f>IFERROR(VLOOKUP(MID(T59,W59,X59-W59),[6]skilldef!$C:$D,2,FALSE),"-") &amp; " / " &amp; IFERROR(VLOOKUP(MID(T59,U59,V59-U59),[6]skilldef!$A:$B,2,FALSE),"-")</f>
        <v>- / -</v>
      </c>
      <c r="Z59" s="148"/>
      <c r="AA59" s="152"/>
      <c r="AB59" s="148"/>
    </row>
    <row r="60" spans="1:28" ht="21" customHeight="1" x14ac:dyDescent="0.15">
      <c r="A60" s="185">
        <v>40043059</v>
      </c>
      <c r="B60" s="47" t="s">
        <v>420</v>
      </c>
      <c r="C60" s="142">
        <v>3</v>
      </c>
      <c r="D60" s="142" t="s">
        <v>127</v>
      </c>
      <c r="E60" s="143" t="s">
        <v>275</v>
      </c>
      <c r="F60" s="143" t="s">
        <v>419</v>
      </c>
      <c r="G60" s="144" t="str">
        <f t="shared" si="49"/>
        <v>[effect:enemy_message, val1:1.7, val2:3.1]</v>
      </c>
      <c r="H60" s="144">
        <f t="shared" si="50"/>
        <v>9</v>
      </c>
      <c r="I60" s="144">
        <f t="shared" si="51"/>
        <v>22</v>
      </c>
      <c r="J60" s="144" t="e">
        <f t="shared" si="52"/>
        <v>#VALUE!</v>
      </c>
      <c r="K60" s="144">
        <f t="shared" si="53"/>
        <v>32</v>
      </c>
      <c r="L60" s="144" t="str">
        <f>IFERROR(VLOOKUP(MID(G60,J60,K60-J60),[6]skilldef!$C:$D,2,FALSE),"-") &amp; " / " &amp; IFERROR(VLOOKUP(MID(G60,H60,I60-H60),[6]skilldef!$A:$B,2,FALSE),"-")</f>
        <v>- / -</v>
      </c>
      <c r="M60" s="144" t="str">
        <f t="shared" si="54"/>
        <v>[effect:degrade_fever, val:100, animation:fevergauge_down],[effect:hungup, target:unit_all, turn:1, rate:1, animation:hungup01]</v>
      </c>
      <c r="N60" s="145" t="str">
        <f t="shared" si="65"/>
        <v>[effect:degrade_fever, val:100, animation:fevergauge_down],[effect:hungup, target:unit_all, turn:1, rate:1, animation:hungup01]</v>
      </c>
      <c r="O60" s="144">
        <f t="shared" si="56"/>
        <v>9</v>
      </c>
      <c r="P60" s="144">
        <f t="shared" si="57"/>
        <v>22</v>
      </c>
      <c r="Q60" s="144">
        <f t="shared" si="58"/>
        <v>83</v>
      </c>
      <c r="R60" s="144">
        <f t="shared" si="59"/>
        <v>31</v>
      </c>
      <c r="S60" s="144" t="str">
        <f>IFERROR(VLOOKUP(MID(N60,Q60,R60-Q60),[6]skilldef!$C:$D,2,FALSE),"-") &amp; " / " &amp; IFERROR(VLOOKUP(MID(N60,O60,P60-O60),[6]skilldef!$A:$B,2,FALSE),"-")</f>
        <v>- / フィーバーゲージ減少</v>
      </c>
      <c r="T60" s="145" t="str">
        <f t="shared" si="60"/>
        <v>[effect:hungup, target:unit_all, turn:1, rate:1, animation:hungup01]</v>
      </c>
      <c r="U60" s="144">
        <f t="shared" si="61"/>
        <v>9</v>
      </c>
      <c r="V60" s="144">
        <f t="shared" si="62"/>
        <v>15</v>
      </c>
      <c r="W60" s="144">
        <f t="shared" si="63"/>
        <v>24</v>
      </c>
      <c r="X60" s="144">
        <f t="shared" si="64"/>
        <v>32</v>
      </c>
      <c r="Y60" s="144" t="str">
        <f>IFERROR(VLOOKUP(MID(T60,W60,X60-W60),[6]skilldef!$C:$D,2,FALSE),"-") &amp; " / " &amp; IFERROR(VLOOKUP(MID(T60,U60,V60-U60),[6]skilldef!$A:$B,2,FALSE),"-")</f>
        <v>味方全体に / ハングアップ</v>
      </c>
      <c r="Z60" s="142"/>
      <c r="AA60" s="146"/>
      <c r="AB60" s="142"/>
    </row>
    <row r="61" spans="1:28" ht="21" customHeight="1" x14ac:dyDescent="0.15">
      <c r="A61" s="166">
        <v>40043060</v>
      </c>
      <c r="B61" s="47" t="s">
        <v>325</v>
      </c>
      <c r="C61" s="50">
        <v>3</v>
      </c>
      <c r="D61" s="50" t="s">
        <v>127</v>
      </c>
      <c r="E61" s="51" t="s">
        <v>278</v>
      </c>
      <c r="F61" s="51" t="s">
        <v>277</v>
      </c>
      <c r="G61" s="64" t="str">
        <f t="shared" si="49"/>
        <v>[effect:enemy_message, val1:1.7, val2:2.5]</v>
      </c>
      <c r="H61" s="64">
        <f t="shared" si="50"/>
        <v>9</v>
      </c>
      <c r="I61" s="64">
        <f t="shared" si="51"/>
        <v>22</v>
      </c>
      <c r="J61" s="64" t="e">
        <f t="shared" si="52"/>
        <v>#VALUE!</v>
      </c>
      <c r="K61" s="64">
        <f t="shared" si="53"/>
        <v>32</v>
      </c>
      <c r="L61" s="64" t="str">
        <f>IFERROR(VLOOKUP(MID(G61,J61,K61-J61),[6]skilldef!$C:$D,2,FALSE),"-") &amp; " / " &amp; IFERROR(VLOOKUP(MID(G61,H61,I61-H61),[6]skilldef!$A:$B,2,FALSE),"-")</f>
        <v>- / -</v>
      </c>
      <c r="M61" s="64" t="str">
        <f t="shared" si="54"/>
        <v>[effect:degrade_unit, target:unit_all, turn:2, status:heal, val:0.3, calc:mul, animation:degrade_unit_all_heal],[effect:spread, val:0.2]</v>
      </c>
      <c r="N61" s="48" t="str">
        <f t="shared" si="65"/>
        <v>[effect:degrade_unit, target:unit_all, turn:2, status:heal, val:0.3, calc:mul, animation:degrade_unit_all_heal],[effect:spread, val:0.2]</v>
      </c>
      <c r="O61" s="64">
        <f t="shared" si="56"/>
        <v>9</v>
      </c>
      <c r="P61" s="64">
        <f t="shared" si="57"/>
        <v>21</v>
      </c>
      <c r="Q61" s="64">
        <f t="shared" si="58"/>
        <v>30</v>
      </c>
      <c r="R61" s="64">
        <f t="shared" si="59"/>
        <v>38</v>
      </c>
      <c r="S61" s="64" t="str">
        <f>IFERROR(VLOOKUP(MID(N61,Q61,R61-Q61),[6]skilldef!$C:$D,2,FALSE),"-") &amp; " / " &amp; IFERROR(VLOOKUP(MID(N61,O61,P61-O61),[6]skilldef!$A:$B,2,FALSE),"-")</f>
        <v>味方全体に / ステータスDOWN</v>
      </c>
      <c r="T61" s="48" t="str">
        <f t="shared" si="60"/>
        <v>[effect:spread, val:0.2]</v>
      </c>
      <c r="U61" s="64">
        <f t="shared" si="61"/>
        <v>9</v>
      </c>
      <c r="V61" s="64">
        <f t="shared" si="62"/>
        <v>15</v>
      </c>
      <c r="W61" s="64" t="e">
        <f t="shared" si="63"/>
        <v>#VALUE!</v>
      </c>
      <c r="X61" s="64" t="e">
        <f t="shared" si="64"/>
        <v>#VALUE!</v>
      </c>
      <c r="Y61" s="64" t="str">
        <f>IFERROR(VLOOKUP(MID(T61,W61,X61-W61),[6]skilldef!$C:$D,2,FALSE),"-") &amp; " / " &amp; IFERROR(VLOOKUP(MID(T61,U61,V61-U61),[6]skilldef!$A:$B,2,FALSE),"-")</f>
        <v>- / 全体攻撃</v>
      </c>
      <c r="Z61" s="50"/>
      <c r="AA61" s="52"/>
      <c r="AB61" s="50"/>
    </row>
    <row r="62" spans="1:28" ht="21" customHeight="1" x14ac:dyDescent="0.15">
      <c r="A62" s="166">
        <v>40043061</v>
      </c>
      <c r="B62" s="141" t="s">
        <v>366</v>
      </c>
      <c r="C62" s="50">
        <v>3</v>
      </c>
      <c r="D62" s="50" t="s">
        <v>127</v>
      </c>
      <c r="E62" s="51" t="s">
        <v>279</v>
      </c>
      <c r="F62" s="51" t="s">
        <v>312</v>
      </c>
      <c r="G62" s="64" t="str">
        <f t="shared" si="49"/>
        <v>[effect:enemy_message, val1:1.2, val2:2.2]</v>
      </c>
      <c r="H62" s="64">
        <f t="shared" si="50"/>
        <v>9</v>
      </c>
      <c r="I62" s="64">
        <f t="shared" si="51"/>
        <v>22</v>
      </c>
      <c r="J62" s="64" t="e">
        <f t="shared" si="52"/>
        <v>#VALUE!</v>
      </c>
      <c r="K62" s="64">
        <f t="shared" si="53"/>
        <v>32</v>
      </c>
      <c r="L62" s="64" t="str">
        <f>IFERROR(VLOOKUP(MID(G62,J62,K62-J62),[6]skilldef!$C:$D,2,FALSE),"-") &amp; " / " &amp; IFERROR(VLOOKUP(MID(G62,H62,I62-H62),[6]skilldef!$A:$B,2,FALSE),"-")</f>
        <v>- / -</v>
      </c>
      <c r="M62" s="64" t="str">
        <f t="shared" si="54"/>
        <v>[effect:sleep, target:unit_one, turn:2, rate:1, animation:sleep01],[effect:rush, count:4, val:0.15]</v>
      </c>
      <c r="N62" s="48" t="str">
        <f t="shared" si="65"/>
        <v>[effect:sleep, target:unit_one, turn:2, rate:1, animation:sleep01],[effect:rush, count:4, val:0.15]</v>
      </c>
      <c r="O62" s="64">
        <f t="shared" si="56"/>
        <v>9</v>
      </c>
      <c r="P62" s="64">
        <f t="shared" si="57"/>
        <v>14</v>
      </c>
      <c r="Q62" s="64">
        <f t="shared" si="58"/>
        <v>23</v>
      </c>
      <c r="R62" s="64">
        <f t="shared" si="59"/>
        <v>31</v>
      </c>
      <c r="S62" s="64" t="str">
        <f>IFERROR(VLOOKUP(MID(N62,Q62,R62-Q62),[6]skilldef!$C:$D,2,FALSE),"-") &amp; " / " &amp; IFERROR(VLOOKUP(MID(N62,O62,P62-O62),[6]skilldef!$A:$B,2,FALSE),"-")</f>
        <v>味方単体に / スリープ</v>
      </c>
      <c r="T62" s="48" t="str">
        <f t="shared" si="60"/>
        <v>[effect:rush, count:4, val:0.15]</v>
      </c>
      <c r="U62" s="64">
        <f t="shared" si="61"/>
        <v>9</v>
      </c>
      <c r="V62" s="64">
        <f t="shared" si="62"/>
        <v>13</v>
      </c>
      <c r="W62" s="64" t="e">
        <f t="shared" si="63"/>
        <v>#VALUE!</v>
      </c>
      <c r="X62" s="64">
        <f t="shared" si="64"/>
        <v>22</v>
      </c>
      <c r="Y62" s="64" t="str">
        <f>IFERROR(VLOOKUP(MID(T62,W62,X62-W62),[6]skilldef!$C:$D,2,FALSE),"-") &amp; " / " &amp; IFERROR(VLOOKUP(MID(T62,U62,V62-U62),[6]skilldef!$A:$B,2,FALSE),"-")</f>
        <v>- / 連続攻撃</v>
      </c>
      <c r="Z62" s="50"/>
      <c r="AA62" s="52"/>
      <c r="AB62" s="50"/>
    </row>
    <row r="63" spans="1:28" ht="21" customHeight="1" x14ac:dyDescent="0.15">
      <c r="A63" s="166">
        <v>40043062</v>
      </c>
      <c r="B63" s="47" t="s">
        <v>410</v>
      </c>
      <c r="C63" s="50">
        <v>3</v>
      </c>
      <c r="D63" s="50" t="s">
        <v>127</v>
      </c>
      <c r="E63" s="51" t="s">
        <v>310</v>
      </c>
      <c r="F63" s="51" t="s">
        <v>311</v>
      </c>
      <c r="G63" s="64" t="str">
        <f t="shared" si="49"/>
        <v>[effect:enemy_message, val1:1.2, val2:1.2]</v>
      </c>
      <c r="H63" s="64">
        <f t="shared" si="50"/>
        <v>9</v>
      </c>
      <c r="I63" s="64">
        <f t="shared" si="51"/>
        <v>22</v>
      </c>
      <c r="J63" s="64" t="e">
        <f t="shared" si="52"/>
        <v>#VALUE!</v>
      </c>
      <c r="K63" s="64">
        <f t="shared" si="53"/>
        <v>32</v>
      </c>
      <c r="L63" s="64" t="str">
        <f>IFERROR(VLOOKUP(MID(G63,J63,K63-J63),[6]skilldef!$C:$D,2,FALSE),"-") &amp; " / " &amp; IFERROR(VLOOKUP(MID(G63,H63,I63-H63),[6]skilldef!$A:$B,2,FALSE),"-")</f>
        <v>- / -</v>
      </c>
      <c r="M63" s="64" t="str">
        <f t="shared" si="54"/>
        <v>[effect:freq_turn, target:myself, turn:-1, val:1, animation:enemy_freq_turn]</v>
      </c>
      <c r="N63" s="48" t="str">
        <f t="shared" si="65"/>
        <v>[effect:freq_turn, target:myself, turn:-1, val:1, animation:enemy_freq_turn]</v>
      </c>
      <c r="O63" s="64">
        <f t="shared" si="56"/>
        <v>9</v>
      </c>
      <c r="P63" s="64">
        <f t="shared" si="57"/>
        <v>18</v>
      </c>
      <c r="Q63" s="64">
        <f t="shared" si="58"/>
        <v>27</v>
      </c>
      <c r="R63" s="64">
        <f t="shared" si="59"/>
        <v>33</v>
      </c>
      <c r="S63" s="64" t="str">
        <f>IFERROR(VLOOKUP(MID(N63,Q63,R63-Q63),[6]skilldef!$C:$D,2,FALSE),"-") &amp; " / " &amp; IFERROR(VLOOKUP(MID(N63,O63,P63-O63),[6]skilldef!$A:$B,2,FALSE),"-")</f>
        <v>自分自身に / 攻撃頻度がUP</v>
      </c>
      <c r="T63" s="48" t="str">
        <f t="shared" si="60"/>
        <v>none</v>
      </c>
      <c r="U63" s="64" t="e">
        <f t="shared" si="61"/>
        <v>#VALUE!</v>
      </c>
      <c r="V63" s="64">
        <f t="shared" si="62"/>
        <v>4</v>
      </c>
      <c r="W63" s="64" t="e">
        <f t="shared" si="63"/>
        <v>#VALUE!</v>
      </c>
      <c r="X63" s="64" t="e">
        <f t="shared" si="64"/>
        <v>#VALUE!</v>
      </c>
      <c r="Y63" s="64" t="str">
        <f>IFERROR(VLOOKUP(MID(T63,W63,X63-W63),[6]skilldef!$C:$D,2,FALSE),"-") &amp; " / " &amp; IFERROR(VLOOKUP(MID(T63,U63,V63-U63),[6]skilldef!$A:$B,2,FALSE),"-")</f>
        <v>- / -</v>
      </c>
      <c r="Z63" s="50"/>
      <c r="AA63" s="52"/>
      <c r="AB63" s="50"/>
    </row>
    <row r="64" spans="1:28" ht="21" customHeight="1" x14ac:dyDescent="0.15">
      <c r="A64" s="166">
        <v>40043063</v>
      </c>
      <c r="B64" s="47" t="s">
        <v>367</v>
      </c>
      <c r="C64" s="50">
        <v>3</v>
      </c>
      <c r="D64" s="50" t="s">
        <v>127</v>
      </c>
      <c r="E64" s="51" t="s">
        <v>276</v>
      </c>
      <c r="F64" s="51" t="s">
        <v>280</v>
      </c>
      <c r="G64" s="64" t="str">
        <f t="shared" si="49"/>
        <v>[effect:enemy_message, val1:1.2, val2:1.5]</v>
      </c>
      <c r="H64" s="64">
        <f t="shared" si="50"/>
        <v>9</v>
      </c>
      <c r="I64" s="64">
        <f t="shared" si="51"/>
        <v>22</v>
      </c>
      <c r="J64" s="64" t="e">
        <f t="shared" si="52"/>
        <v>#VALUE!</v>
      </c>
      <c r="K64" s="64">
        <f t="shared" si="53"/>
        <v>32</v>
      </c>
      <c r="L64" s="64" t="str">
        <f>IFERROR(VLOOKUP(MID(G64,J64,K64-J64),[6]skilldef!$C:$D,2,FALSE),"-") &amp; " / " &amp; IFERROR(VLOOKUP(MID(G64,H64,I64-H64),[6]skilldef!$A:$B,2,FALSE),"-")</f>
        <v>- / -</v>
      </c>
      <c r="M64" s="64" t="str">
        <f t="shared" si="54"/>
        <v>[effect:change_panel_ratio, turn:2, block_type:red, val:0.5, animation:block_incidence04]</v>
      </c>
      <c r="N64" s="48" t="str">
        <f t="shared" ref="N64:N75" si="66">IFERROR(LEFT(M64,FIND("],",M64)+S74),M64)</f>
        <v>[effect:change_panel_ratio, turn:2, block_type:red, val:0.5, animation:block_incidence04]</v>
      </c>
      <c r="O64" s="64">
        <f t="shared" si="56"/>
        <v>9</v>
      </c>
      <c r="P64" s="64">
        <f t="shared" si="57"/>
        <v>27</v>
      </c>
      <c r="Q64" s="64" t="e">
        <f t="shared" si="58"/>
        <v>#VALUE!</v>
      </c>
      <c r="R64" s="64">
        <f t="shared" si="59"/>
        <v>35</v>
      </c>
      <c r="S64" s="64" t="str">
        <f>IFERROR(VLOOKUP(MID(N64,Q64,R64-Q64),[6]skilldef!$C:$D,2,FALSE),"-") &amp; " / " &amp; IFERROR(VLOOKUP(MID(N64,O64,P64-O64),[6]skilldef!$A:$B,2,FALSE),"-")</f>
        <v>- / -</v>
      </c>
      <c r="T64" s="48" t="str">
        <f t="shared" si="60"/>
        <v>none</v>
      </c>
      <c r="U64" s="64" t="e">
        <f t="shared" si="61"/>
        <v>#VALUE!</v>
      </c>
      <c r="V64" s="64">
        <f t="shared" si="62"/>
        <v>4</v>
      </c>
      <c r="W64" s="64" t="e">
        <f t="shared" si="63"/>
        <v>#VALUE!</v>
      </c>
      <c r="X64" s="64" t="e">
        <f t="shared" si="64"/>
        <v>#VALUE!</v>
      </c>
      <c r="Y64" s="64" t="str">
        <f>IFERROR(VLOOKUP(MID(T64,W64,X64-W64),[6]skilldef!$C:$D,2,FALSE),"-") &amp; " / " &amp; IFERROR(VLOOKUP(MID(T64,U64,V64-U64),[6]skilldef!$A:$B,2,FALSE),"-")</f>
        <v>- / -</v>
      </c>
      <c r="Z64" s="50"/>
      <c r="AA64" s="52"/>
      <c r="AB64" s="50"/>
    </row>
    <row r="65" spans="1:28" ht="21" customHeight="1" thickBot="1" x14ac:dyDescent="0.2">
      <c r="A65" s="155">
        <v>40043064</v>
      </c>
      <c r="B65" s="160" t="s">
        <v>326</v>
      </c>
      <c r="C65" s="148">
        <v>3</v>
      </c>
      <c r="D65" s="161" t="s">
        <v>127</v>
      </c>
      <c r="E65" s="162" t="s">
        <v>282</v>
      </c>
      <c r="F65" s="162" t="s">
        <v>256</v>
      </c>
      <c r="G65" s="163" t="str">
        <f t="shared" si="49"/>
        <v>[effect:enemy_message, val1:1.2, val2:0 dead_type:suicide]</v>
      </c>
      <c r="H65" s="163">
        <f t="shared" si="50"/>
        <v>9</v>
      </c>
      <c r="I65" s="163">
        <f t="shared" si="51"/>
        <v>22</v>
      </c>
      <c r="J65" s="163" t="e">
        <f t="shared" si="52"/>
        <v>#VALUE!</v>
      </c>
      <c r="K65" s="163">
        <f t="shared" si="53"/>
        <v>32</v>
      </c>
      <c r="L65" s="163" t="str">
        <f>IFERROR(VLOOKUP(MID(G65,J65,K65-J65),[6]skilldef!$C:$D,2,FALSE),"-") &amp; " / " &amp; IFERROR(VLOOKUP(MID(G65,H65,I65-H65),[6]skilldef!$A:$B,2,FALSE),"-")</f>
        <v>- / -</v>
      </c>
      <c r="M65" s="163" t="str">
        <f t="shared" si="54"/>
        <v>none</v>
      </c>
      <c r="N65" s="164" t="str">
        <f t="shared" si="66"/>
        <v>none</v>
      </c>
      <c r="O65" s="163" t="e">
        <f t="shared" si="56"/>
        <v>#VALUE!</v>
      </c>
      <c r="P65" s="163">
        <f t="shared" si="57"/>
        <v>4</v>
      </c>
      <c r="Q65" s="163" t="e">
        <f t="shared" si="58"/>
        <v>#VALUE!</v>
      </c>
      <c r="R65" s="163" t="e">
        <f t="shared" si="59"/>
        <v>#VALUE!</v>
      </c>
      <c r="S65" s="163" t="str">
        <f>IFERROR(VLOOKUP(MID(N65,Q65,R65-Q65),[6]skilldef!$C:$D,2,FALSE),"-") &amp; " / " &amp; IFERROR(VLOOKUP(MID(N65,O65,P65-O65),[6]skilldef!$A:$B,2,FALSE),"-")</f>
        <v>- / -</v>
      </c>
      <c r="T65" s="164" t="str">
        <f t="shared" si="60"/>
        <v>none</v>
      </c>
      <c r="U65" s="163" t="e">
        <f t="shared" si="61"/>
        <v>#VALUE!</v>
      </c>
      <c r="V65" s="163">
        <f t="shared" si="62"/>
        <v>4</v>
      </c>
      <c r="W65" s="163" t="e">
        <f t="shared" si="63"/>
        <v>#VALUE!</v>
      </c>
      <c r="X65" s="163" t="e">
        <f t="shared" si="64"/>
        <v>#VALUE!</v>
      </c>
      <c r="Y65" s="163" t="str">
        <f>IFERROR(VLOOKUP(MID(T65,W65,X65-W65),[6]skilldef!$C:$D,2,FALSE),"-") &amp; " / " &amp; IFERROR(VLOOKUP(MID(T65,U65,V65-U65),[6]skilldef!$A:$B,2,FALSE),"-")</f>
        <v>- / -</v>
      </c>
      <c r="Z65" s="161"/>
      <c r="AA65" s="165"/>
      <c r="AB65" s="161"/>
    </row>
    <row r="66" spans="1:28" ht="21" customHeight="1" x14ac:dyDescent="0.15">
      <c r="A66" s="171">
        <v>40043065</v>
      </c>
      <c r="B66" s="47" t="s">
        <v>327</v>
      </c>
      <c r="C66" s="142">
        <v>3</v>
      </c>
      <c r="D66" s="50" t="s">
        <v>127</v>
      </c>
      <c r="E66" s="51" t="s">
        <v>408</v>
      </c>
      <c r="F66" s="51" t="s">
        <v>273</v>
      </c>
      <c r="G66" s="64" t="str">
        <f t="shared" si="49"/>
        <v>[effect:enemy_message, val1:1.2, val2:2.2]</v>
      </c>
      <c r="H66" s="64">
        <f t="shared" si="50"/>
        <v>9</v>
      </c>
      <c r="I66" s="64">
        <f t="shared" si="51"/>
        <v>22</v>
      </c>
      <c r="J66" s="64" t="e">
        <f t="shared" si="52"/>
        <v>#VALUE!</v>
      </c>
      <c r="K66" s="64">
        <f t="shared" si="53"/>
        <v>32</v>
      </c>
      <c r="L66" s="64" t="str">
        <f>IFERROR(VLOOKUP(MID(G66,J66,K66-J66),[6]skilldef!$C:$D,2,FALSE),"-") &amp; " / " &amp; IFERROR(VLOOKUP(MID(G66,H66,I66-H66),[6]skilldef!$A:$B,2,FALSE),"-")</f>
        <v>- / -</v>
      </c>
      <c r="M66" s="64" t="str">
        <f t="shared" si="54"/>
        <v>[effect:break_attack, target:unit_one, val:0.1, lowest_val:3000, count:4, color:red, block_color:block_blue, block01:damage]</v>
      </c>
      <c r="N66" s="48" t="str">
        <f t="shared" si="66"/>
        <v>[effect:break_attack, target:unit_one, val:0.1, lowest_val:3000, count:4, color:red, block_color:block_blue, block01:damage]</v>
      </c>
      <c r="O66" s="64">
        <f t="shared" si="56"/>
        <v>9</v>
      </c>
      <c r="P66" s="64">
        <f t="shared" si="57"/>
        <v>21</v>
      </c>
      <c r="Q66" s="64">
        <f t="shared" si="58"/>
        <v>30</v>
      </c>
      <c r="R66" s="64">
        <f t="shared" si="59"/>
        <v>38</v>
      </c>
      <c r="S66" s="64" t="str">
        <f>IFERROR(VLOOKUP(MID(N66,Q66,R66-Q66),[6]skilldef!$C:$D,2,FALSE),"-") &amp; " / " &amp; IFERROR(VLOOKUP(MID(N66,O66,P66-O66),[6]skilldef!$A:$B,2,FALSE),"-")</f>
        <v>味方単体に / -</v>
      </c>
      <c r="T66" s="48" t="str">
        <f t="shared" si="60"/>
        <v>none</v>
      </c>
      <c r="U66" s="64" t="e">
        <f t="shared" si="61"/>
        <v>#VALUE!</v>
      </c>
      <c r="V66" s="64">
        <f t="shared" si="62"/>
        <v>4</v>
      </c>
      <c r="W66" s="64" t="e">
        <f t="shared" si="63"/>
        <v>#VALUE!</v>
      </c>
      <c r="X66" s="64" t="e">
        <f t="shared" si="64"/>
        <v>#VALUE!</v>
      </c>
      <c r="Y66" s="64" t="str">
        <f>IFERROR(VLOOKUP(MID(T66,W66,X66-W66),[6]skilldef!$C:$D,2,FALSE),"-") &amp; " / " &amp; IFERROR(VLOOKUP(MID(T66,U66,V66-U66),[6]skilldef!$A:$B,2,FALSE),"-")</f>
        <v>- / -</v>
      </c>
      <c r="Z66" s="50"/>
      <c r="AA66" s="52"/>
      <c r="AB66" s="50"/>
    </row>
    <row r="67" spans="1:28" ht="21" customHeight="1" thickBot="1" x14ac:dyDescent="0.2">
      <c r="A67" s="156">
        <v>40043066</v>
      </c>
      <c r="B67" s="147" t="s">
        <v>421</v>
      </c>
      <c r="C67" s="148">
        <v>3</v>
      </c>
      <c r="D67" s="148" t="s">
        <v>127</v>
      </c>
      <c r="E67" s="149" t="s">
        <v>274</v>
      </c>
      <c r="F67" s="149" t="s">
        <v>418</v>
      </c>
      <c r="G67" s="150" t="str">
        <f t="shared" si="49"/>
        <v>[effect:enemy_message, val1:1.2, val2:2.2]</v>
      </c>
      <c r="H67" s="150">
        <f t="shared" si="50"/>
        <v>9</v>
      </c>
      <c r="I67" s="150">
        <f t="shared" si="51"/>
        <v>22</v>
      </c>
      <c r="J67" s="150" t="e">
        <f t="shared" si="52"/>
        <v>#VALUE!</v>
      </c>
      <c r="K67" s="150">
        <f t="shared" si="53"/>
        <v>32</v>
      </c>
      <c r="L67" s="150" t="str">
        <f>IFERROR(VLOOKUP(MID(G67,J67,K67-J67),[6]skilldef!$C:$D,2,FALSE),"-") &amp; " / " &amp; IFERROR(VLOOKUP(MID(G67,H67,I67-H67),[6]skilldef!$A:$B,2,FALSE),"-")</f>
        <v>- / -</v>
      </c>
      <c r="M67" s="150" t="str">
        <f t="shared" si="54"/>
        <v>[effect:hungup, target:unit_all, turn:2, rate:1, animation:hungup01],[effect:spread, val:0.3]</v>
      </c>
      <c r="N67" s="151" t="str">
        <f t="shared" si="66"/>
        <v>[effect:hungup, target:unit_all, turn:2, rate:1, animation:hungup01],[effect:spread, val:0.3]</v>
      </c>
      <c r="O67" s="150">
        <f t="shared" si="56"/>
        <v>9</v>
      </c>
      <c r="P67" s="150">
        <f t="shared" si="57"/>
        <v>15</v>
      </c>
      <c r="Q67" s="150">
        <f t="shared" si="58"/>
        <v>24</v>
      </c>
      <c r="R67" s="150">
        <f t="shared" si="59"/>
        <v>32</v>
      </c>
      <c r="S67" s="150" t="str">
        <f>IFERROR(VLOOKUP(MID(N67,Q67,R67-Q67),[6]skilldef!$C:$D,2,FALSE),"-") &amp; " / " &amp; IFERROR(VLOOKUP(MID(N67,O67,P67-O67),[6]skilldef!$A:$B,2,FALSE),"-")</f>
        <v>味方全体に / ハングアップ</v>
      </c>
      <c r="T67" s="151" t="str">
        <f t="shared" si="60"/>
        <v>[effect:spread, val:0.3]</v>
      </c>
      <c r="U67" s="150">
        <f t="shared" si="61"/>
        <v>9</v>
      </c>
      <c r="V67" s="150">
        <f t="shared" si="62"/>
        <v>15</v>
      </c>
      <c r="W67" s="150" t="e">
        <f t="shared" si="63"/>
        <v>#VALUE!</v>
      </c>
      <c r="X67" s="150" t="e">
        <f t="shared" si="64"/>
        <v>#VALUE!</v>
      </c>
      <c r="Y67" s="150" t="str">
        <f>IFERROR(VLOOKUP(MID(T67,W67,X67-W67),[6]skilldef!$C:$D,2,FALSE),"-") &amp; " / " &amp; IFERROR(VLOOKUP(MID(T67,U67,V67-U67),[6]skilldef!$A:$B,2,FALSE),"-")</f>
        <v>- / 全体攻撃</v>
      </c>
      <c r="Z67" s="148"/>
      <c r="AA67" s="152"/>
      <c r="AB67" s="148"/>
    </row>
    <row r="68" spans="1:28" ht="21" customHeight="1" x14ac:dyDescent="0.15">
      <c r="A68" s="157">
        <v>40043067</v>
      </c>
      <c r="B68" s="47" t="s">
        <v>424</v>
      </c>
      <c r="C68" s="142">
        <v>3</v>
      </c>
      <c r="D68" s="50" t="s">
        <v>127</v>
      </c>
      <c r="E68" s="51" t="s">
        <v>391</v>
      </c>
      <c r="F68" s="51" t="s">
        <v>351</v>
      </c>
      <c r="G68" s="64" t="str">
        <f t="shared" si="49"/>
        <v>[effect:enemy_message, val1:1.2, val2:1.9]</v>
      </c>
      <c r="H68" s="64">
        <f t="shared" si="50"/>
        <v>9</v>
      </c>
      <c r="I68" s="64">
        <f t="shared" si="51"/>
        <v>22</v>
      </c>
      <c r="J68" s="64" t="e">
        <f t="shared" si="52"/>
        <v>#VALUE!</v>
      </c>
      <c r="K68" s="64">
        <f t="shared" si="53"/>
        <v>32</v>
      </c>
      <c r="L68" s="64" t="str">
        <f>IFERROR(VLOOKUP(MID(G68,J68,K68-J68),[6]skilldef!$C:$D,2,FALSE),"-") &amp; " / " &amp; IFERROR(VLOOKUP(MID(G68,H68,I68-H68),[6]skilldef!$A:$B,2,FALSE),"-")</f>
        <v>- / -</v>
      </c>
      <c r="M68" s="64" t="str">
        <f t="shared" si="54"/>
        <v>[effect:fix_speed, target:myself, turn:1],[effect:tolerance, target:myself, turn:-1, count:-1, tolerance_effect:all, animation:enemy_tolerance],[effect:enhance_enemy, target:myself, turn:4, status:attack, val:0.2, calc:mul, animation:enemy_enhance_attack]</v>
      </c>
      <c r="N68" s="48" t="str">
        <f t="shared" si="66"/>
        <v>[effect:fix_speed, target:myself, turn:1],[effect:tolerance, target:myself, turn:-1, count:-1, tolerance_effect:all, animation:enemy_tolerance],[effect:enhance_enemy, target:myself, turn:4, status:attack, val:0.2, calc:mul, animation:enemy_enhance_attack]</v>
      </c>
      <c r="O68" s="64">
        <f t="shared" si="56"/>
        <v>9</v>
      </c>
      <c r="P68" s="64">
        <f t="shared" si="57"/>
        <v>18</v>
      </c>
      <c r="Q68" s="64">
        <f t="shared" si="58"/>
        <v>27</v>
      </c>
      <c r="R68" s="64">
        <f t="shared" si="59"/>
        <v>33</v>
      </c>
      <c r="S68" s="64" t="str">
        <f>IFERROR(VLOOKUP(MID(N68,Q68,R68-Q68),[6]skilldef!$C:$D,2,FALSE),"-") &amp; " / " &amp; IFERROR(VLOOKUP(MID(N68,O68,P68-O68),[6]skilldef!$A:$B,2,FALSE),"-")</f>
        <v>自分自身に / 行動値設定</v>
      </c>
      <c r="T68" s="48" t="str">
        <f t="shared" si="60"/>
        <v>[effect:tolerance, target:myself, turn:-1, count:-1, tolerance_effect:all, animation:enemy_tolerance],[effect:enhance_enemy, target:myself, turn:4, status:attack, val:0.2, calc:mul, animation:enemy_enhance_attack]</v>
      </c>
      <c r="U68" s="64">
        <f t="shared" si="61"/>
        <v>9</v>
      </c>
      <c r="V68" s="64">
        <f t="shared" si="62"/>
        <v>18</v>
      </c>
      <c r="W68" s="64">
        <f t="shared" si="63"/>
        <v>27</v>
      </c>
      <c r="X68" s="64">
        <f t="shared" si="64"/>
        <v>33</v>
      </c>
      <c r="Y68" s="64" t="str">
        <f>IFERROR(VLOOKUP(MID(T68,W68,X68-W68),[6]skilldef!$C:$D,2,FALSE),"-") &amp; " / " &amp; IFERROR(VLOOKUP(MID(T68,U68,V68-U68),[6]skilldef!$A:$B,2,FALSE),"-")</f>
        <v>自分自身に / 状態異常耐性</v>
      </c>
      <c r="Z68" s="50"/>
      <c r="AA68" s="52"/>
      <c r="AB68" s="50"/>
    </row>
    <row r="69" spans="1:28" ht="21" customHeight="1" x14ac:dyDescent="0.15">
      <c r="A69" s="157">
        <v>40043068</v>
      </c>
      <c r="B69" s="47" t="s">
        <v>406</v>
      </c>
      <c r="C69" s="50">
        <v>3</v>
      </c>
      <c r="D69" s="50" t="s">
        <v>127</v>
      </c>
      <c r="E69" s="51" t="s">
        <v>392</v>
      </c>
      <c r="F69" s="51" t="s">
        <v>339</v>
      </c>
      <c r="G69" s="64" t="str">
        <f t="shared" si="49"/>
        <v>[effect:enemy_message, val1:1.6, val2:2.6]</v>
      </c>
      <c r="H69" s="64">
        <f t="shared" si="50"/>
        <v>9</v>
      </c>
      <c r="I69" s="64">
        <f t="shared" si="51"/>
        <v>22</v>
      </c>
      <c r="J69" s="64" t="e">
        <f t="shared" si="52"/>
        <v>#VALUE!</v>
      </c>
      <c r="K69" s="64">
        <f t="shared" si="53"/>
        <v>32</v>
      </c>
      <c r="L69" s="64" t="str">
        <f>IFERROR(VLOOKUP(MID(G69,J69,K69-J69),[6]skilldef!$C:$D,2,FALSE),"-") &amp; " / " &amp; IFERROR(VLOOKUP(MID(G69,H69,I69-H69),[6]skilldef!$A:$B,2,FALSE),"-")</f>
        <v>- / -</v>
      </c>
      <c r="M69" s="64" t="str">
        <f t="shared" si="54"/>
        <v>[effect:force_change_block, new_block:damage, target:block_heart, color:block_green, count:5, val:0.08, animation:change_block],[effect:spread, val:0.3]</v>
      </c>
      <c r="N69" s="48" t="str">
        <f t="shared" si="66"/>
        <v>[effect:force_change_block, new_block:damage, target:block_heart, color:block_green, count:5, val:0.08, animation:change_block],[effect:spread, val:0.3]</v>
      </c>
      <c r="O69" s="64">
        <f t="shared" si="56"/>
        <v>9</v>
      </c>
      <c r="P69" s="64">
        <f t="shared" si="57"/>
        <v>27</v>
      </c>
      <c r="Q69" s="64">
        <f t="shared" si="58"/>
        <v>54</v>
      </c>
      <c r="R69" s="64">
        <f t="shared" si="59"/>
        <v>45</v>
      </c>
      <c r="S69" s="64" t="str">
        <f>IFERROR(VLOOKUP(MID(N69,Q69,R69-Q69),[6]skilldef!$C:$D,2,FALSE),"-") &amp; " / " &amp; IFERROR(VLOOKUP(MID(N69,O69,P69-O69),[6]skilldef!$A:$B,2,FALSE),"-")</f>
        <v>- / -</v>
      </c>
      <c r="T69" s="48" t="str">
        <f t="shared" si="60"/>
        <v>[effect:spread, val:0.3]</v>
      </c>
      <c r="U69" s="64">
        <f t="shared" si="61"/>
        <v>9</v>
      </c>
      <c r="V69" s="64">
        <f t="shared" si="62"/>
        <v>15</v>
      </c>
      <c r="W69" s="64" t="e">
        <f t="shared" si="63"/>
        <v>#VALUE!</v>
      </c>
      <c r="X69" s="64" t="e">
        <f t="shared" si="64"/>
        <v>#VALUE!</v>
      </c>
      <c r="Y69" s="64" t="str">
        <f>IFERROR(VLOOKUP(MID(T69,W69,X69-W69),[6]skilldef!$C:$D,2,FALSE),"-") &amp; " / " &amp; IFERROR(VLOOKUP(MID(T69,U69,V69-U69),[6]skilldef!$A:$B,2,FALSE),"-")</f>
        <v>- / 全体攻撃</v>
      </c>
      <c r="Z69" s="50"/>
      <c r="AA69" s="52"/>
      <c r="AB69" s="50"/>
    </row>
    <row r="70" spans="1:28" ht="21" customHeight="1" x14ac:dyDescent="0.15">
      <c r="A70" s="157">
        <v>40043069</v>
      </c>
      <c r="B70" s="47" t="s">
        <v>414</v>
      </c>
      <c r="C70" s="50">
        <v>3</v>
      </c>
      <c r="D70" s="50" t="s">
        <v>127</v>
      </c>
      <c r="E70" s="51" t="s">
        <v>401</v>
      </c>
      <c r="F70" s="51" t="s">
        <v>314</v>
      </c>
      <c r="G70" s="64" t="str">
        <f t="shared" si="49"/>
        <v>[effect:enemy_message, val1:1.7, val2:3.3]</v>
      </c>
      <c r="H70" s="64">
        <f t="shared" si="50"/>
        <v>9</v>
      </c>
      <c r="I70" s="64">
        <f t="shared" si="51"/>
        <v>22</v>
      </c>
      <c r="J70" s="64" t="e">
        <f t="shared" si="52"/>
        <v>#VALUE!</v>
      </c>
      <c r="K70" s="64">
        <f t="shared" si="53"/>
        <v>32</v>
      </c>
      <c r="L70" s="64" t="str">
        <f>IFERROR(VLOOKUP(MID(G70,J70,K70-J70),[6]skilldef!$C:$D,2,FALSE),"-") &amp; " / " &amp; IFERROR(VLOOKUP(MID(G70,H70,I70-H70),[6]skilldef!$A:$B,2,FALSE),"-")</f>
        <v>- / -</v>
      </c>
      <c r="M70" s="64" t="str">
        <f t="shared" si="54"/>
        <v>[effect:force_change_block, new_block:damage, target:block_green, color:block_blue, count:5, val:0.08, animation:change_block],[effect:damage_gravity, val:0.5, animation:fevergauge_down]</v>
      </c>
      <c r="N70" s="48" t="str">
        <f t="shared" si="66"/>
        <v>[effect:force_change_block, new_block:damage, target:block_green, color:block_blue, count:5, val:0.08, animation:change_block],[effect:damage_gravity, val:0.5, animation:fevergauge_down]</v>
      </c>
      <c r="O70" s="64">
        <f t="shared" si="56"/>
        <v>9</v>
      </c>
      <c r="P70" s="64">
        <f t="shared" si="57"/>
        <v>27</v>
      </c>
      <c r="Q70" s="64">
        <f t="shared" si="58"/>
        <v>54</v>
      </c>
      <c r="R70" s="64">
        <f t="shared" si="59"/>
        <v>45</v>
      </c>
      <c r="S70" s="64" t="str">
        <f>IFERROR(VLOOKUP(MID(N70,Q70,R70-Q70),[6]skilldef!$C:$D,2,FALSE),"-") &amp; " / " &amp; IFERROR(VLOOKUP(MID(N70,O70,P70-O70),[6]skilldef!$A:$B,2,FALSE),"-")</f>
        <v>- / -</v>
      </c>
      <c r="T70" s="48" t="str">
        <f t="shared" si="60"/>
        <v>[effect:damage_gravity, val:0.5, animation:fevergauge_down]</v>
      </c>
      <c r="U70" s="64">
        <f t="shared" si="61"/>
        <v>9</v>
      </c>
      <c r="V70" s="64">
        <f t="shared" si="62"/>
        <v>23</v>
      </c>
      <c r="W70" s="64" t="e">
        <f t="shared" si="63"/>
        <v>#VALUE!</v>
      </c>
      <c r="X70" s="64">
        <f t="shared" si="64"/>
        <v>32</v>
      </c>
      <c r="Y70" s="64" t="str">
        <f>IFERROR(VLOOKUP(MID(T70,W70,X70-W70),[6]skilldef!$C:$D,2,FALSE),"-") &amp; " / " &amp; IFERROR(VLOOKUP(MID(T70,U70,V70-U70),[6]skilldef!$A:$B,2,FALSE),"-")</f>
        <v>- / 割合ダメージ</v>
      </c>
      <c r="Z70" s="50"/>
      <c r="AA70" s="52"/>
      <c r="AB70" s="50"/>
    </row>
    <row r="71" spans="1:28" ht="21" customHeight="1" thickBot="1" x14ac:dyDescent="0.2">
      <c r="A71" s="158">
        <v>40043070</v>
      </c>
      <c r="B71" s="147" t="s">
        <v>439</v>
      </c>
      <c r="C71" s="148">
        <v>3</v>
      </c>
      <c r="D71" s="148" t="s">
        <v>127</v>
      </c>
      <c r="E71" s="149" t="s">
        <v>435</v>
      </c>
      <c r="F71" s="149" t="s">
        <v>315</v>
      </c>
      <c r="G71" s="150" t="str">
        <f t="shared" si="49"/>
        <v>[effect:enemy_message, val1:1.2, val2:1.6]</v>
      </c>
      <c r="H71" s="150">
        <f t="shared" si="50"/>
        <v>9</v>
      </c>
      <c r="I71" s="150">
        <f t="shared" si="51"/>
        <v>22</v>
      </c>
      <c r="J71" s="150" t="e">
        <f t="shared" si="52"/>
        <v>#VALUE!</v>
      </c>
      <c r="K71" s="150">
        <f t="shared" si="53"/>
        <v>32</v>
      </c>
      <c r="L71" s="150" t="str">
        <f>IFERROR(VLOOKUP(MID(G71,J71,K71-J71),[6]skilldef!$C:$D,2,FALSE),"-") &amp; " / " &amp; IFERROR(VLOOKUP(MID(G71,H71,I71-H71),[6]skilldef!$A:$B,2,FALSE),"-")</f>
        <v>- / -</v>
      </c>
      <c r="M71" s="150" t="str">
        <f t="shared" si="54"/>
        <v>[effect:force_change_block, new_block:block_red, target:damage, count:0, val:0, animation:change_block]</v>
      </c>
      <c r="N71" s="151" t="str">
        <f t="shared" si="66"/>
        <v>[effect:force_change_block, new_block:block_red, target:damage, count:0, val:0, animation:change_block]</v>
      </c>
      <c r="O71" s="150">
        <f t="shared" si="56"/>
        <v>9</v>
      </c>
      <c r="P71" s="150">
        <f t="shared" si="57"/>
        <v>27</v>
      </c>
      <c r="Q71" s="150">
        <f t="shared" si="58"/>
        <v>57</v>
      </c>
      <c r="R71" s="150">
        <f t="shared" si="59"/>
        <v>48</v>
      </c>
      <c r="S71" s="150" t="str">
        <f>IFERROR(VLOOKUP(MID(N71,Q71,R71-Q71),[6]skilldef!$C:$D,2,FALSE),"-") &amp; " / " &amp; IFERROR(VLOOKUP(MID(N71,O71,P71-O71),[6]skilldef!$A:$B,2,FALSE),"-")</f>
        <v>- / -</v>
      </c>
      <c r="T71" s="151" t="str">
        <f t="shared" si="60"/>
        <v>none</v>
      </c>
      <c r="U71" s="150" t="e">
        <f t="shared" si="61"/>
        <v>#VALUE!</v>
      </c>
      <c r="V71" s="150">
        <f t="shared" si="62"/>
        <v>4</v>
      </c>
      <c r="W71" s="150" t="e">
        <f t="shared" si="63"/>
        <v>#VALUE!</v>
      </c>
      <c r="X71" s="150" t="e">
        <f t="shared" si="64"/>
        <v>#VALUE!</v>
      </c>
      <c r="Y71" s="150" t="str">
        <f>IFERROR(VLOOKUP(MID(T71,W71,X71-W71),[6]skilldef!$C:$D,2,FALSE),"-") &amp; " / " &amp; IFERROR(VLOOKUP(MID(T71,U71,V71-U71),[6]skilldef!$A:$B,2,FALSE),"-")</f>
        <v>- / -</v>
      </c>
      <c r="Z71" s="148"/>
      <c r="AA71" s="152"/>
      <c r="AB71" s="148"/>
    </row>
    <row r="72" spans="1:28" ht="21" customHeight="1" x14ac:dyDescent="0.15">
      <c r="A72" s="157">
        <v>40043071</v>
      </c>
      <c r="B72" s="47" t="s">
        <v>360</v>
      </c>
      <c r="C72" s="142">
        <v>3</v>
      </c>
      <c r="D72" s="50" t="s">
        <v>127</v>
      </c>
      <c r="E72" s="51" t="s">
        <v>393</v>
      </c>
      <c r="F72" s="51" t="s">
        <v>342</v>
      </c>
      <c r="G72" s="64" t="str">
        <f t="shared" si="49"/>
        <v>[effect:enemy_message, val1:1.2, val2:1.4]</v>
      </c>
      <c r="H72" s="64">
        <f t="shared" si="50"/>
        <v>9</v>
      </c>
      <c r="I72" s="64">
        <f t="shared" si="51"/>
        <v>22</v>
      </c>
      <c r="J72" s="64" t="e">
        <f t="shared" si="52"/>
        <v>#VALUE!</v>
      </c>
      <c r="K72" s="64">
        <f t="shared" si="53"/>
        <v>32</v>
      </c>
      <c r="L72" s="64" t="str">
        <f>IFERROR(VLOOKUP(MID(G72,J72,K72-J72),[6]skilldef!$C:$D,2,FALSE),"-") &amp; " / " &amp; IFERROR(VLOOKUP(MID(G72,H72,I72-H72),[6]skilldef!$A:$B,2,FALSE),"-")</f>
        <v>- / -</v>
      </c>
      <c r="M72" s="64" t="str">
        <f t="shared" si="54"/>
        <v>[effect:fix_speed, target:myself, turn:2],[effect:tolerance, target:myself, turn:-1, count:-1, tolerance_effect:all, animation:enemy_tolerance],[effect:rush, count:10, val:0.09]</v>
      </c>
      <c r="N72" s="48" t="str">
        <f t="shared" si="66"/>
        <v>[effect:fix_speed, target:myself, turn:2],[effect:tolerance, target:myself, turn:-1, count:-1, tolerance_effect:all, animation:enemy_tolerance],[effect:rush, count:10, val:0.09]</v>
      </c>
      <c r="O72" s="64">
        <f t="shared" si="56"/>
        <v>9</v>
      </c>
      <c r="P72" s="64">
        <f t="shared" si="57"/>
        <v>18</v>
      </c>
      <c r="Q72" s="64">
        <f t="shared" si="58"/>
        <v>27</v>
      </c>
      <c r="R72" s="64">
        <f t="shared" si="59"/>
        <v>33</v>
      </c>
      <c r="S72" s="64" t="str">
        <f>IFERROR(VLOOKUP(MID(N72,Q72,R72-Q72),[6]skilldef!$C:$D,2,FALSE),"-") &amp; " / " &amp; IFERROR(VLOOKUP(MID(N72,O72,P72-O72),[6]skilldef!$A:$B,2,FALSE),"-")</f>
        <v>自分自身に / 行動値設定</v>
      </c>
      <c r="T72" s="48" t="str">
        <f t="shared" si="60"/>
        <v>[effect:tolerance, target:myself, turn:-1, count:-1, tolerance_effect:all, animation:enemy_tolerance],[effect:rush, count:10, val:0.09]</v>
      </c>
      <c r="U72" s="64">
        <f t="shared" si="61"/>
        <v>9</v>
      </c>
      <c r="V72" s="64">
        <f t="shared" si="62"/>
        <v>18</v>
      </c>
      <c r="W72" s="64">
        <f t="shared" si="63"/>
        <v>27</v>
      </c>
      <c r="X72" s="64">
        <f t="shared" si="64"/>
        <v>33</v>
      </c>
      <c r="Y72" s="64" t="str">
        <f>IFERROR(VLOOKUP(MID(T72,W72,X72-W72),[6]skilldef!$C:$D,2,FALSE),"-") &amp; " / " &amp; IFERROR(VLOOKUP(MID(T72,U72,V72-U72),[6]skilldef!$A:$B,2,FALSE),"-")</f>
        <v>自分自身に / 状態異常耐性</v>
      </c>
      <c r="Z72" s="50"/>
      <c r="AA72" s="52"/>
      <c r="AB72" s="50"/>
    </row>
    <row r="73" spans="1:28" ht="21" customHeight="1" x14ac:dyDescent="0.15">
      <c r="A73" s="157">
        <v>40043072</v>
      </c>
      <c r="B73" s="47" t="s">
        <v>375</v>
      </c>
      <c r="C73" s="50">
        <v>3</v>
      </c>
      <c r="D73" s="50" t="s">
        <v>127</v>
      </c>
      <c r="E73" s="51" t="s">
        <v>394</v>
      </c>
      <c r="F73" s="51" t="s">
        <v>372</v>
      </c>
      <c r="G73" s="64" t="str">
        <f t="shared" si="49"/>
        <v>[effect:enemy_message, val1:1.2, val2:1.2]</v>
      </c>
      <c r="H73" s="64">
        <f t="shared" si="50"/>
        <v>9</v>
      </c>
      <c r="I73" s="64">
        <f t="shared" si="51"/>
        <v>22</v>
      </c>
      <c r="J73" s="64" t="e">
        <f t="shared" si="52"/>
        <v>#VALUE!</v>
      </c>
      <c r="K73" s="64">
        <f t="shared" si="53"/>
        <v>32</v>
      </c>
      <c r="L73" s="64" t="str">
        <f>IFERROR(VLOOKUP(MID(G73,J73,K73-J73),[6]skilldef!$C:$D,2,FALSE),"-") &amp; " / " &amp; IFERROR(VLOOKUP(MID(G73,H73,I73-H73),[6]skilldef!$A:$B,2,FALSE),"-")</f>
        <v>- / -</v>
      </c>
      <c r="M73" s="64" t="str">
        <f t="shared" si="54"/>
        <v>[effect:dark, target:unit_all, turn:3, animation:enemy_dark],[effect:rush, count:1, val:0.7]</v>
      </c>
      <c r="N73" s="48" t="str">
        <f t="shared" si="66"/>
        <v>[effect:dark, target:unit_all, turn:3, animation:enemy_dark],[effect:rush, count:1, val:0.7]</v>
      </c>
      <c r="O73" s="64">
        <f t="shared" si="56"/>
        <v>9</v>
      </c>
      <c r="P73" s="64">
        <f t="shared" si="57"/>
        <v>13</v>
      </c>
      <c r="Q73" s="64">
        <f t="shared" si="58"/>
        <v>22</v>
      </c>
      <c r="R73" s="64">
        <f t="shared" si="59"/>
        <v>30</v>
      </c>
      <c r="S73" s="64" t="str">
        <f>IFERROR(VLOOKUP(MID(N73,Q73,R73-Q73),[6]skilldef!$C:$D,2,FALSE),"-") &amp; " / " &amp; IFERROR(VLOOKUP(MID(N73,O73,P73-O73),[6]skilldef!$A:$B,2,FALSE),"-")</f>
        <v>味方全体に / 暗黒</v>
      </c>
      <c r="T73" s="48" t="str">
        <f t="shared" si="60"/>
        <v>[effect:rush, count:1, val:0.7]</v>
      </c>
      <c r="U73" s="64">
        <f t="shared" si="61"/>
        <v>9</v>
      </c>
      <c r="V73" s="64">
        <f t="shared" si="62"/>
        <v>13</v>
      </c>
      <c r="W73" s="64" t="e">
        <f t="shared" si="63"/>
        <v>#VALUE!</v>
      </c>
      <c r="X73" s="64">
        <f t="shared" si="64"/>
        <v>22</v>
      </c>
      <c r="Y73" s="64" t="str">
        <f>IFERROR(VLOOKUP(MID(T73,W73,X73-W73),[6]skilldef!$C:$D,2,FALSE),"-") &amp; " / " &amp; IFERROR(VLOOKUP(MID(T73,U73,V73-U73),[6]skilldef!$A:$B,2,FALSE),"-")</f>
        <v>- / 連続攻撃</v>
      </c>
      <c r="Z73" s="50"/>
      <c r="AA73" s="52"/>
      <c r="AB73" s="50"/>
    </row>
    <row r="74" spans="1:28" ht="21" customHeight="1" x14ac:dyDescent="0.15">
      <c r="A74" s="157">
        <v>40043073</v>
      </c>
      <c r="B74" s="47" t="s">
        <v>411</v>
      </c>
      <c r="C74" s="50">
        <v>3</v>
      </c>
      <c r="D74" s="142" t="s">
        <v>127</v>
      </c>
      <c r="E74" s="143" t="s">
        <v>395</v>
      </c>
      <c r="F74" s="143" t="s">
        <v>412</v>
      </c>
      <c r="G74" s="144" t="str">
        <f t="shared" si="49"/>
        <v>[effect:enemy_message, val1:1.4, val2:1.2]</v>
      </c>
      <c r="H74" s="144">
        <f t="shared" si="50"/>
        <v>9</v>
      </c>
      <c r="I74" s="144">
        <f t="shared" si="51"/>
        <v>22</v>
      </c>
      <c r="J74" s="144" t="e">
        <f t="shared" si="52"/>
        <v>#VALUE!</v>
      </c>
      <c r="K74" s="144">
        <f t="shared" si="53"/>
        <v>32</v>
      </c>
      <c r="L74" s="144" t="str">
        <f>IFERROR(VLOOKUP(MID(G74,J74,K74-J74),[6]skilldef!$C:$D,2,FALSE),"-") &amp; " / " &amp; IFERROR(VLOOKUP(MID(G74,H74,I74-H74),[6]skilldef!$A:$B,2,FALSE),"-")</f>
        <v>- / -</v>
      </c>
      <c r="M74" s="144" t="str">
        <f t="shared" si="54"/>
        <v>[effect:freq_turn, target:myself, turn:-1, val:1, animation:enemy_freq_turn]</v>
      </c>
      <c r="N74" s="145" t="str">
        <f t="shared" si="66"/>
        <v>[effect:freq_turn, target:myself, turn:-1, val:1, animation:enemy_freq_turn]</v>
      </c>
      <c r="O74" s="144">
        <f t="shared" si="56"/>
        <v>9</v>
      </c>
      <c r="P74" s="144">
        <f t="shared" si="57"/>
        <v>18</v>
      </c>
      <c r="Q74" s="144">
        <f t="shared" si="58"/>
        <v>27</v>
      </c>
      <c r="R74" s="144">
        <f t="shared" si="59"/>
        <v>33</v>
      </c>
      <c r="S74" s="144" t="str">
        <f>IFERROR(VLOOKUP(MID(N74,Q74,R74-Q74),[6]skilldef!$C:$D,2,FALSE),"-") &amp; " / " &amp; IFERROR(VLOOKUP(MID(N74,O74,P74-O74),[6]skilldef!$A:$B,2,FALSE),"-")</f>
        <v>自分自身に / 攻撃頻度がUP</v>
      </c>
      <c r="T74" s="145" t="str">
        <f t="shared" si="60"/>
        <v>none</v>
      </c>
      <c r="U74" s="144" t="e">
        <f t="shared" si="61"/>
        <v>#VALUE!</v>
      </c>
      <c r="V74" s="144">
        <f t="shared" si="62"/>
        <v>4</v>
      </c>
      <c r="W74" s="144" t="e">
        <f t="shared" si="63"/>
        <v>#VALUE!</v>
      </c>
      <c r="X74" s="144" t="e">
        <f t="shared" si="64"/>
        <v>#VALUE!</v>
      </c>
      <c r="Y74" s="144" t="str">
        <f>IFERROR(VLOOKUP(MID(T74,W74,X74-W74),[6]skilldef!$C:$D,2,FALSE),"-") &amp; " / " &amp; IFERROR(VLOOKUP(MID(T74,U74,V74-U74),[6]skilldef!$A:$B,2,FALSE),"-")</f>
        <v>- / -</v>
      </c>
      <c r="Z74" s="142"/>
      <c r="AA74" s="146"/>
      <c r="AB74" s="142"/>
    </row>
    <row r="75" spans="1:28" ht="21" customHeight="1" x14ac:dyDescent="0.15">
      <c r="A75" s="157">
        <v>40043074</v>
      </c>
      <c r="B75" s="47" t="s">
        <v>381</v>
      </c>
      <c r="C75" s="50">
        <v>3</v>
      </c>
      <c r="D75" s="50" t="s">
        <v>127</v>
      </c>
      <c r="E75" s="51" t="s">
        <v>396</v>
      </c>
      <c r="F75" s="51" t="s">
        <v>376</v>
      </c>
      <c r="G75" s="64" t="str">
        <f t="shared" si="49"/>
        <v>[effect:enemy_message, val1:1.6, val2:2]</v>
      </c>
      <c r="H75" s="64">
        <f t="shared" si="50"/>
        <v>9</v>
      </c>
      <c r="I75" s="64">
        <f t="shared" si="51"/>
        <v>22</v>
      </c>
      <c r="J75" s="64" t="e">
        <f t="shared" si="52"/>
        <v>#VALUE!</v>
      </c>
      <c r="K75" s="64">
        <f t="shared" si="53"/>
        <v>32</v>
      </c>
      <c r="L75" s="64" t="str">
        <f>IFERROR(VLOOKUP(MID(G75,J75,K75-J75),[6]skilldef!$C:$D,2,FALSE),"-") &amp; " / " &amp; IFERROR(VLOOKUP(MID(G75,H75,I75-H75),[6]skilldef!$A:$B,2,FALSE),"-")</f>
        <v>- / -</v>
      </c>
      <c r="M75" s="64" t="str">
        <f t="shared" si="54"/>
        <v>[effect:sleep, target:unit_one, turn:2, rate:1, animation:sleep01],[effect:rush, count:1, val:0.5]</v>
      </c>
      <c r="N75" s="48" t="str">
        <f t="shared" si="66"/>
        <v>[effect:sleep, target:unit_one, turn:2, rate:1, animation:sleep01],[effect:rush, count:1, val:0.5]</v>
      </c>
      <c r="O75" s="64">
        <f t="shared" si="56"/>
        <v>9</v>
      </c>
      <c r="P75" s="64">
        <f t="shared" si="57"/>
        <v>14</v>
      </c>
      <c r="Q75" s="64">
        <f t="shared" si="58"/>
        <v>23</v>
      </c>
      <c r="R75" s="64">
        <f t="shared" si="59"/>
        <v>31</v>
      </c>
      <c r="S75" s="64" t="str">
        <f>IFERROR(VLOOKUP(MID(N75,Q75,R75-Q75),[6]skilldef!$C:$D,2,FALSE),"-") &amp; " / " &amp; IFERROR(VLOOKUP(MID(N75,O75,P75-O75),[6]skilldef!$A:$B,2,FALSE),"-")</f>
        <v>味方単体に / スリープ</v>
      </c>
      <c r="T75" s="48" t="str">
        <f t="shared" si="60"/>
        <v>[effect:rush, count:1, val:0.5]</v>
      </c>
      <c r="U75" s="64">
        <f t="shared" si="61"/>
        <v>9</v>
      </c>
      <c r="V75" s="64">
        <f t="shared" si="62"/>
        <v>13</v>
      </c>
      <c r="W75" s="64" t="e">
        <f t="shared" si="63"/>
        <v>#VALUE!</v>
      </c>
      <c r="X75" s="64">
        <f t="shared" si="64"/>
        <v>22</v>
      </c>
      <c r="Y75" s="64" t="str">
        <f>IFERROR(VLOOKUP(MID(T75,W75,X75-W75),[6]skilldef!$C:$D,2,FALSE),"-") &amp; " / " &amp; IFERROR(VLOOKUP(MID(T75,U75,V75-U75),[6]skilldef!$A:$B,2,FALSE),"-")</f>
        <v>- / 連続攻撃</v>
      </c>
      <c r="Z75" s="50"/>
      <c r="AA75" s="52"/>
      <c r="AB75" s="50"/>
    </row>
    <row r="76" spans="1:28" ht="21" customHeight="1" x14ac:dyDescent="0.15">
      <c r="A76" s="157">
        <v>40043075</v>
      </c>
      <c r="B76" s="47" t="s">
        <v>328</v>
      </c>
      <c r="C76" s="50">
        <v>3</v>
      </c>
      <c r="D76" s="50" t="s">
        <v>127</v>
      </c>
      <c r="E76" s="51" t="s">
        <v>295</v>
      </c>
      <c r="F76" s="51" t="s">
        <v>313</v>
      </c>
      <c r="G76" s="64" t="str">
        <f t="shared" si="49"/>
        <v>[effect:enemy_message, val1:1.2, val2:3.9]</v>
      </c>
      <c r="H76" s="64">
        <f t="shared" si="50"/>
        <v>9</v>
      </c>
      <c r="I76" s="64">
        <f t="shared" si="51"/>
        <v>22</v>
      </c>
      <c r="J76" s="64" t="e">
        <f t="shared" si="52"/>
        <v>#VALUE!</v>
      </c>
      <c r="K76" s="64">
        <f t="shared" si="53"/>
        <v>32</v>
      </c>
      <c r="L76" s="64" t="str">
        <f>IFERROR(VLOOKUP(MID(G76,J76,K76-J76),[6]skilldef!$C:$D,2,FALSE),"-") &amp; " / " &amp; IFERROR(VLOOKUP(MID(G76,H76,I76-H76),[6]skilldef!$A:$B,2,FALSE),"-")</f>
        <v>- / -</v>
      </c>
      <c r="M76" s="64" t="str">
        <f t="shared" si="54"/>
        <v>[effect:hungup, target:unit_one, turn:2, rate:1, animation:hungup01],[effect:force_change_block, new_block:damage, target:block_blue, color:block_green, count:10, val:0.08, animation:change_block]</v>
      </c>
      <c r="N76" s="48" t="str">
        <f>IFERROR(LEFT(M76,FIND("],",M76)+#REF!),M76)</f>
        <v>[effect:hungup, target:unit_one, turn:2, rate:1, animation:hungup01],[effect:force_change_block, new_block:damage, target:block_blue, color:block_green, count:10, val:0.08, animation:change_block]</v>
      </c>
      <c r="O76" s="64">
        <f t="shared" si="56"/>
        <v>9</v>
      </c>
      <c r="P76" s="64">
        <f t="shared" si="57"/>
        <v>15</v>
      </c>
      <c r="Q76" s="64">
        <f t="shared" si="58"/>
        <v>24</v>
      </c>
      <c r="R76" s="64">
        <f t="shared" si="59"/>
        <v>32</v>
      </c>
      <c r="S76" s="64" t="str">
        <f>IFERROR(VLOOKUP(MID(N76,Q76,R76-Q76),[6]skilldef!$C:$D,2,FALSE),"-") &amp; " / " &amp; IFERROR(VLOOKUP(MID(N76,O76,P76-O76),[6]skilldef!$A:$B,2,FALSE),"-")</f>
        <v>味方単体に / ハングアップ</v>
      </c>
      <c r="T76" s="48" t="str">
        <f t="shared" si="60"/>
        <v>[effect:force_change_block, new_block:damage, target:block_blue, color:block_green, count:10, val:0.08, animation:change_block]</v>
      </c>
      <c r="U76" s="64">
        <f t="shared" si="61"/>
        <v>9</v>
      </c>
      <c r="V76" s="64">
        <f t="shared" si="62"/>
        <v>27</v>
      </c>
      <c r="W76" s="64">
        <f t="shared" si="63"/>
        <v>54</v>
      </c>
      <c r="X76" s="64">
        <f t="shared" si="64"/>
        <v>45</v>
      </c>
      <c r="Y76" s="64" t="str">
        <f>IFERROR(VLOOKUP(MID(T76,W76,X76-W76),[6]skilldef!$C:$D,2,FALSE),"-") &amp; " / " &amp; IFERROR(VLOOKUP(MID(T76,U76,V76-U76),[6]skilldef!$A:$B,2,FALSE),"-")</f>
        <v>- / -</v>
      </c>
      <c r="Z76" s="50"/>
      <c r="AA76" s="52"/>
      <c r="AB76" s="50"/>
    </row>
    <row r="77" spans="1:28" ht="21" customHeight="1" x14ac:dyDescent="0.15">
      <c r="A77" s="157">
        <v>40043076</v>
      </c>
      <c r="B77" s="47" t="s">
        <v>284</v>
      </c>
      <c r="C77" s="50">
        <v>3</v>
      </c>
      <c r="D77" s="50" t="s">
        <v>127</v>
      </c>
      <c r="E77" s="51" t="s">
        <v>402</v>
      </c>
      <c r="F77" s="51" t="s">
        <v>283</v>
      </c>
      <c r="G77" s="64" t="str">
        <f t="shared" si="49"/>
        <v>[effect:enemy_message, val1:1.2, val2:1.4]</v>
      </c>
      <c r="H77" s="64">
        <f t="shared" si="50"/>
        <v>9</v>
      </c>
      <c r="I77" s="64">
        <f t="shared" si="51"/>
        <v>22</v>
      </c>
      <c r="J77" s="64" t="e">
        <f t="shared" si="52"/>
        <v>#VALUE!</v>
      </c>
      <c r="K77" s="64">
        <f t="shared" si="53"/>
        <v>32</v>
      </c>
      <c r="L77" s="64" t="str">
        <f>IFERROR(VLOOKUP(MID(G77,J77,K77-J77),[6]skilldef!$C:$D,2,FALSE),"-") &amp; " / " &amp; IFERROR(VLOOKUP(MID(G77,H77,I77-H77),[6]skilldef!$A:$B,2,FALSE),"-")</f>
        <v>- / -</v>
      </c>
      <c r="M77" s="64" t="str">
        <f t="shared" si="54"/>
        <v>[effect:force_change_block, new_block:block_green, target:block_heart, count:0, val:0, animation:change_block]</v>
      </c>
      <c r="N77" s="48" t="str">
        <f>IFERROR(LEFT(M77,FIND("],",M77)+S87),M77)</f>
        <v>[effect:force_change_block, new_block:block_green, target:block_heart, count:0, val:0, animation:change_block]</v>
      </c>
      <c r="O77" s="64">
        <f t="shared" si="56"/>
        <v>9</v>
      </c>
      <c r="P77" s="64">
        <f t="shared" si="57"/>
        <v>27</v>
      </c>
      <c r="Q77" s="64">
        <f t="shared" si="58"/>
        <v>59</v>
      </c>
      <c r="R77" s="64">
        <f t="shared" si="59"/>
        <v>50</v>
      </c>
      <c r="S77" s="64" t="str">
        <f>IFERROR(VLOOKUP(MID(N77,Q77,R77-Q77),[6]skilldef!$C:$D,2,FALSE),"-") &amp; " / " &amp; IFERROR(VLOOKUP(MID(N77,O77,P77-O77),[6]skilldef!$A:$B,2,FALSE),"-")</f>
        <v>- / -</v>
      </c>
      <c r="T77" s="48" t="str">
        <f t="shared" si="60"/>
        <v>none</v>
      </c>
      <c r="U77" s="64" t="e">
        <f t="shared" si="61"/>
        <v>#VALUE!</v>
      </c>
      <c r="V77" s="64">
        <f t="shared" si="62"/>
        <v>4</v>
      </c>
      <c r="W77" s="64" t="e">
        <f t="shared" si="63"/>
        <v>#VALUE!</v>
      </c>
      <c r="X77" s="64" t="e">
        <f t="shared" si="64"/>
        <v>#VALUE!</v>
      </c>
      <c r="Y77" s="64" t="str">
        <f>IFERROR(VLOOKUP(MID(T77,W77,X77-W77),[6]skilldef!$C:$D,2,FALSE),"-") &amp; " / " &amp; IFERROR(VLOOKUP(MID(T77,U77,V77-U77),[6]skilldef!$A:$B,2,FALSE),"-")</f>
        <v>- / -</v>
      </c>
      <c r="Z77" s="50"/>
      <c r="AA77" s="52"/>
      <c r="AB77" s="50"/>
    </row>
    <row r="78" spans="1:28" ht="21" customHeight="1" thickBot="1" x14ac:dyDescent="0.2">
      <c r="A78" s="158">
        <v>40043077</v>
      </c>
      <c r="B78" s="147" t="s">
        <v>386</v>
      </c>
      <c r="C78" s="148">
        <v>3</v>
      </c>
      <c r="D78" s="148" t="s">
        <v>127</v>
      </c>
      <c r="E78" s="149" t="s">
        <v>397</v>
      </c>
      <c r="F78" s="149" t="s">
        <v>316</v>
      </c>
      <c r="G78" s="150" t="str">
        <f t="shared" si="49"/>
        <v>[effect:enemy_message, val1:1.3, val2:1.6]</v>
      </c>
      <c r="H78" s="150">
        <f t="shared" si="50"/>
        <v>9</v>
      </c>
      <c r="I78" s="150">
        <f t="shared" si="51"/>
        <v>22</v>
      </c>
      <c r="J78" s="150" t="e">
        <f t="shared" si="52"/>
        <v>#VALUE!</v>
      </c>
      <c r="K78" s="150">
        <f t="shared" si="53"/>
        <v>32</v>
      </c>
      <c r="L78" s="150" t="str">
        <f>IFERROR(VLOOKUP(MID(G78,J78,K78-J78),[6]skilldef!$C:$D,2,FALSE),"-") &amp; " / " &amp; IFERROR(VLOOKUP(MID(G78,H78,I78-H78),[6]skilldef!$A:$B,2,FALSE),"-")</f>
        <v>- / -</v>
      </c>
      <c r="M78" s="150" t="str">
        <f t="shared" si="54"/>
        <v>[effect:break_attack_fix, target:unit_one, val:700, lowest_val:4000, count:-1, color:green, block01:block_green, block02:block_blue]</v>
      </c>
      <c r="N78" s="151" t="str">
        <f>IFERROR(LEFT(M78,FIND("],",M78)+S88),M78)</f>
        <v>[effect:break_attack_fix, target:unit_one, val:700, lowest_val:4000, count:-1, color:green, block01:block_green, block02:block_blue]</v>
      </c>
      <c r="O78" s="150">
        <f t="shared" si="56"/>
        <v>9</v>
      </c>
      <c r="P78" s="150">
        <f t="shared" si="57"/>
        <v>25</v>
      </c>
      <c r="Q78" s="150">
        <f t="shared" si="58"/>
        <v>34</v>
      </c>
      <c r="R78" s="150">
        <f t="shared" si="59"/>
        <v>42</v>
      </c>
      <c r="S78" s="150" t="str">
        <f>IFERROR(VLOOKUP(MID(N78,Q78,R78-Q78),[6]skilldef!$C:$D,2,FALSE),"-") &amp; " / " &amp; IFERROR(VLOOKUP(MID(N78,O78,P78-O78),[6]skilldef!$A:$B,2,FALSE),"-")</f>
        <v>味方単体に / -</v>
      </c>
      <c r="T78" s="151" t="str">
        <f t="shared" si="60"/>
        <v>none</v>
      </c>
      <c r="U78" s="150" t="e">
        <f t="shared" si="61"/>
        <v>#VALUE!</v>
      </c>
      <c r="V78" s="150">
        <f t="shared" si="62"/>
        <v>4</v>
      </c>
      <c r="W78" s="150" t="e">
        <f t="shared" si="63"/>
        <v>#VALUE!</v>
      </c>
      <c r="X78" s="150" t="e">
        <f t="shared" si="64"/>
        <v>#VALUE!</v>
      </c>
      <c r="Y78" s="150" t="str">
        <f>IFERROR(VLOOKUP(MID(T78,W78,X78-W78),[6]skilldef!$C:$D,2,FALSE),"-") &amp; " / " &amp; IFERROR(VLOOKUP(MID(T78,U78,V78-U78),[6]skilldef!$A:$B,2,FALSE),"-")</f>
        <v>- / -</v>
      </c>
      <c r="Z78" s="148"/>
      <c r="AA78" s="152"/>
      <c r="AB78" s="148"/>
    </row>
    <row r="79" spans="1:28" ht="21" customHeight="1" x14ac:dyDescent="0.15">
      <c r="A79" s="157">
        <v>40043078</v>
      </c>
      <c r="B79" s="47" t="s">
        <v>361</v>
      </c>
      <c r="C79" s="142">
        <v>3</v>
      </c>
      <c r="D79" s="50" t="s">
        <v>127</v>
      </c>
      <c r="E79" s="51" t="s">
        <v>389</v>
      </c>
      <c r="F79" s="51" t="s">
        <v>343</v>
      </c>
      <c r="G79" s="64" t="str">
        <f t="shared" si="49"/>
        <v>[effect:enemy_message, val1:1.2, val2:1.9]</v>
      </c>
      <c r="H79" s="64">
        <f t="shared" si="50"/>
        <v>9</v>
      </c>
      <c r="I79" s="64">
        <f t="shared" si="51"/>
        <v>22</v>
      </c>
      <c r="J79" s="64" t="e">
        <f t="shared" si="52"/>
        <v>#VALUE!</v>
      </c>
      <c r="K79" s="64">
        <f t="shared" si="53"/>
        <v>32</v>
      </c>
      <c r="L79" s="64" t="str">
        <f>IFERROR(VLOOKUP(MID(G79,J79,K79-J79),[6]skilldef!$C:$D,2,FALSE),"-") &amp; " / " &amp; IFERROR(VLOOKUP(MID(G79,H79,I79-H79),[6]skilldef!$A:$B,2,FALSE),"-")</f>
        <v>- / -</v>
      </c>
      <c r="M79" s="64" t="str">
        <f t="shared" si="54"/>
        <v>[effect:fix_speed, target:myself, turn:1],[effect:tolerance, target:myself, turn:-1, count:-1, tolerance_effect:all, animation:enemy_tolerance],[effect:force_change_block, new_block:block_red, target:block_blue, count:0, val:0, animation:change_block]</v>
      </c>
      <c r="N79" s="48" t="str">
        <f>IFERROR(LEFT(M79,FIND("],",M79)+S89),M79)</f>
        <v>[effect:fix_speed, target:myself, turn:1],[effect:tolerance, target:myself, turn:-1, count:-1, tolerance_effect:all, animation:enemy_tolerance],[effect:force_change_block, new_block:block_red, target:block_blue, count:0, val:0, animation:change_block]</v>
      </c>
      <c r="O79" s="64">
        <f t="shared" si="56"/>
        <v>9</v>
      </c>
      <c r="P79" s="64">
        <f t="shared" si="57"/>
        <v>18</v>
      </c>
      <c r="Q79" s="64">
        <f t="shared" si="58"/>
        <v>27</v>
      </c>
      <c r="R79" s="64">
        <f t="shared" si="59"/>
        <v>33</v>
      </c>
      <c r="S79" s="64" t="str">
        <f>IFERROR(VLOOKUP(MID(N79,Q79,R79-Q79),[6]skilldef!$C:$D,2,FALSE),"-") &amp; " / " &amp; IFERROR(VLOOKUP(MID(N79,O79,P79-O79),[6]skilldef!$A:$B,2,FALSE),"-")</f>
        <v>自分自身に / 行動値設定</v>
      </c>
      <c r="T79" s="48" t="str">
        <f t="shared" si="60"/>
        <v>[effect:tolerance, target:myself, turn:-1, count:-1, tolerance_effect:all, animation:enemy_tolerance],[effect:force_change_block, new_block:block_red, target:block_blue, count:0, val:0, animation:change_block]</v>
      </c>
      <c r="U79" s="64">
        <f t="shared" si="61"/>
        <v>9</v>
      </c>
      <c r="V79" s="64">
        <f t="shared" si="62"/>
        <v>18</v>
      </c>
      <c r="W79" s="64">
        <f t="shared" si="63"/>
        <v>27</v>
      </c>
      <c r="X79" s="64">
        <f t="shared" si="64"/>
        <v>33</v>
      </c>
      <c r="Y79" s="64" t="str">
        <f>IFERROR(VLOOKUP(MID(T79,W79,X79-W79),[6]skilldef!$C:$D,2,FALSE),"-") &amp; " / " &amp; IFERROR(VLOOKUP(MID(T79,U79,V79-U79),[6]skilldef!$A:$B,2,FALSE),"-")</f>
        <v>自分自身に / 状態異常耐性</v>
      </c>
      <c r="Z79" s="50"/>
      <c r="AA79" s="52"/>
      <c r="AB79" s="50"/>
    </row>
    <row r="80" spans="1:28" ht="21" customHeight="1" x14ac:dyDescent="0.15">
      <c r="A80" s="157">
        <v>40043079</v>
      </c>
      <c r="B80" s="47" t="s">
        <v>350</v>
      </c>
      <c r="C80" s="50">
        <v>3</v>
      </c>
      <c r="D80" s="142" t="s">
        <v>127</v>
      </c>
      <c r="E80" s="143" t="s">
        <v>398</v>
      </c>
      <c r="F80" s="143" t="s">
        <v>308</v>
      </c>
      <c r="G80" s="144" t="str">
        <f t="shared" si="49"/>
        <v>[effect:enemy_message, val1:1.2, val2:2]</v>
      </c>
      <c r="H80" s="144">
        <f t="shared" si="50"/>
        <v>9</v>
      </c>
      <c r="I80" s="144">
        <f t="shared" si="51"/>
        <v>22</v>
      </c>
      <c r="J80" s="144" t="e">
        <f t="shared" si="52"/>
        <v>#VALUE!</v>
      </c>
      <c r="K80" s="144">
        <f t="shared" si="53"/>
        <v>32</v>
      </c>
      <c r="L80" s="144" t="str">
        <f>IFERROR(VLOOKUP(MID(G80,J80,K80-J80),[6]skilldef!$C:$D,2,FALSE),"-") &amp; " / " &amp; IFERROR(VLOOKUP(MID(G80,H80,I80-H80),[6]skilldef!$A:$B,2,FALSE),"-")</f>
        <v>- / -</v>
      </c>
      <c r="M80" s="144" t="str">
        <f t="shared" si="54"/>
        <v>[effect:break_attack_fix, target:unit_all, val:500, lowest_val:1000, count:10, color:green, block01:block_green]</v>
      </c>
      <c r="N80" s="145" t="str">
        <f>IFERROR(LEFT(M80,FIND("],",M80)+#REF!),M80)</f>
        <v>[effect:break_attack_fix, target:unit_all, val:500, lowest_val:1000, count:10, color:green, block01:block_green]</v>
      </c>
      <c r="O80" s="144">
        <f t="shared" si="56"/>
        <v>9</v>
      </c>
      <c r="P80" s="144">
        <f t="shared" si="57"/>
        <v>25</v>
      </c>
      <c r="Q80" s="144">
        <f t="shared" si="58"/>
        <v>34</v>
      </c>
      <c r="R80" s="144">
        <f t="shared" si="59"/>
        <v>42</v>
      </c>
      <c r="S80" s="144" t="str">
        <f>IFERROR(VLOOKUP(MID(N80,Q80,R80-Q80),[6]skilldef!$C:$D,2,FALSE),"-") &amp; " / " &amp; IFERROR(VLOOKUP(MID(N80,O80,P80-O80),[6]skilldef!$A:$B,2,FALSE),"-")</f>
        <v>味方全体に / -</v>
      </c>
      <c r="T80" s="145" t="str">
        <f t="shared" si="60"/>
        <v>none</v>
      </c>
      <c r="U80" s="144" t="e">
        <f t="shared" si="61"/>
        <v>#VALUE!</v>
      </c>
      <c r="V80" s="144">
        <f t="shared" si="62"/>
        <v>4</v>
      </c>
      <c r="W80" s="144" t="e">
        <f t="shared" si="63"/>
        <v>#VALUE!</v>
      </c>
      <c r="X80" s="144" t="e">
        <f t="shared" si="64"/>
        <v>#VALUE!</v>
      </c>
      <c r="Y80" s="144" t="str">
        <f>IFERROR(VLOOKUP(MID(T80,W80,X80-W80),[6]skilldef!$C:$D,2,FALSE),"-") &amp; " / " &amp; IFERROR(VLOOKUP(MID(T80,U80,V80-U80),[6]skilldef!$A:$B,2,FALSE),"-")</f>
        <v>- / -</v>
      </c>
      <c r="Z80" s="142"/>
      <c r="AA80" s="146"/>
      <c r="AB80" s="142"/>
    </row>
    <row r="81" spans="1:28" ht="21" customHeight="1" x14ac:dyDescent="0.15">
      <c r="A81" s="157">
        <v>40043080</v>
      </c>
      <c r="B81" s="47" t="s">
        <v>337</v>
      </c>
      <c r="C81" s="50">
        <v>3</v>
      </c>
      <c r="D81" s="50" t="s">
        <v>127</v>
      </c>
      <c r="E81" s="51" t="s">
        <v>399</v>
      </c>
      <c r="F81" s="143" t="s">
        <v>309</v>
      </c>
      <c r="G81" s="64" t="str">
        <f t="shared" si="49"/>
        <v>[effect:enemy_message, val1:1.2, val2:2]</v>
      </c>
      <c r="H81" s="64">
        <f t="shared" si="50"/>
        <v>9</v>
      </c>
      <c r="I81" s="64">
        <f t="shared" si="51"/>
        <v>22</v>
      </c>
      <c r="J81" s="64" t="e">
        <f t="shared" si="52"/>
        <v>#VALUE!</v>
      </c>
      <c r="K81" s="64">
        <f t="shared" si="53"/>
        <v>32</v>
      </c>
      <c r="L81" s="64" t="str">
        <f>IFERROR(VLOOKUP(MID(G81,J81,K81-J81),[6]skilldef!$C:$D,2,FALSE),"-") &amp; " / " &amp; IFERROR(VLOOKUP(MID(G81,H81,I81-H81),[6]skilldef!$A:$B,2,FALSE),"-")</f>
        <v>- / -</v>
      </c>
      <c r="M81" s="64" t="str">
        <f t="shared" si="54"/>
        <v>[effect:break_attack_fix, target:unit_all, val:500, lowest_val:1000, count:10, color:green, block01:block_blue]</v>
      </c>
      <c r="N81" s="48" t="str">
        <f>IFERROR(LEFT(M81,FIND("],",M81)+#REF!),M81)</f>
        <v>[effect:break_attack_fix, target:unit_all, val:500, lowest_val:1000, count:10, color:green, block01:block_blue]</v>
      </c>
      <c r="O81" s="64">
        <f t="shared" si="56"/>
        <v>9</v>
      </c>
      <c r="P81" s="64">
        <f t="shared" si="57"/>
        <v>25</v>
      </c>
      <c r="Q81" s="64">
        <f t="shared" si="58"/>
        <v>34</v>
      </c>
      <c r="R81" s="64">
        <f t="shared" si="59"/>
        <v>42</v>
      </c>
      <c r="S81" s="64" t="str">
        <f>IFERROR(VLOOKUP(MID(N81,Q81,R81-Q81),[6]skilldef!$C:$D,2,FALSE),"-") &amp; " / " &amp; IFERROR(VLOOKUP(MID(N81,O81,P81-O81),[6]skilldef!$A:$B,2,FALSE),"-")</f>
        <v>味方全体に / -</v>
      </c>
      <c r="T81" s="48" t="str">
        <f t="shared" si="60"/>
        <v>none</v>
      </c>
      <c r="U81" s="64" t="e">
        <f t="shared" si="61"/>
        <v>#VALUE!</v>
      </c>
      <c r="V81" s="64">
        <f t="shared" si="62"/>
        <v>4</v>
      </c>
      <c r="W81" s="64" t="e">
        <f t="shared" si="63"/>
        <v>#VALUE!</v>
      </c>
      <c r="X81" s="64" t="e">
        <f t="shared" si="64"/>
        <v>#VALUE!</v>
      </c>
      <c r="Y81" s="64" t="str">
        <f>IFERROR(VLOOKUP(MID(T81,W81,X81-W81),[6]skilldef!$C:$D,2,FALSE),"-") &amp; " / " &amp; IFERROR(VLOOKUP(MID(T81,U81,V81-U81),[6]skilldef!$A:$B,2,FALSE),"-")</f>
        <v>- / -</v>
      </c>
      <c r="Z81" s="50"/>
      <c r="AA81" s="52"/>
      <c r="AB81" s="50"/>
    </row>
    <row r="82" spans="1:28" ht="21" customHeight="1" x14ac:dyDescent="0.15">
      <c r="A82" s="157">
        <v>40043081</v>
      </c>
      <c r="B82" s="47" t="s">
        <v>290</v>
      </c>
      <c r="C82" s="50">
        <v>3</v>
      </c>
      <c r="D82" s="50" t="s">
        <v>127</v>
      </c>
      <c r="E82" s="51" t="s">
        <v>286</v>
      </c>
      <c r="F82" s="51" t="s">
        <v>285</v>
      </c>
      <c r="G82" s="64" t="str">
        <f t="shared" si="49"/>
        <v>[effect:enemy_message, val1:1.2, val2:1.9]</v>
      </c>
      <c r="H82" s="64">
        <f t="shared" si="50"/>
        <v>9</v>
      </c>
      <c r="I82" s="64">
        <f t="shared" si="51"/>
        <v>22</v>
      </c>
      <c r="J82" s="64" t="e">
        <f t="shared" si="52"/>
        <v>#VALUE!</v>
      </c>
      <c r="K82" s="64">
        <f t="shared" si="53"/>
        <v>32</v>
      </c>
      <c r="L82" s="64" t="str">
        <f>IFERROR(VLOOKUP(MID(G82,J82,K82-J82),[6]skilldef!$C:$D,2,FALSE),"-") &amp; " / " &amp; IFERROR(VLOOKUP(MID(G82,H82,I82-H82),[6]skilldef!$A:$B,2,FALSE),"-")</f>
        <v>- / -</v>
      </c>
      <c r="M82" s="64" t="str">
        <f t="shared" si="54"/>
        <v>[effect:damage_anti_color, target:unit_one, color:red, val1:1.5, val2:0.8]</v>
      </c>
      <c r="N82" s="48" t="str">
        <f>IFERROR(LEFT(M82,FIND("],",M82)+#REF!),M82)</f>
        <v>[effect:damage_anti_color, target:unit_one, color:red, val1:1.5, val2:0.8]</v>
      </c>
      <c r="O82" s="64">
        <f t="shared" si="56"/>
        <v>9</v>
      </c>
      <c r="P82" s="64">
        <f t="shared" si="57"/>
        <v>26</v>
      </c>
      <c r="Q82" s="64">
        <f t="shared" si="58"/>
        <v>35</v>
      </c>
      <c r="R82" s="64">
        <f t="shared" si="59"/>
        <v>43</v>
      </c>
      <c r="S82" s="64" t="str">
        <f>IFERROR(VLOOKUP(MID(N82,Q82,R82-Q82),[6]skilldef!$C:$D,2,FALSE),"-") &amp; " / " &amp; IFERROR(VLOOKUP(MID(N82,O82,P82-O82),[6]skilldef!$A:$B,2,FALSE),"-")</f>
        <v>味方単体に / 属性キラー</v>
      </c>
      <c r="T82" s="48" t="str">
        <f t="shared" si="60"/>
        <v>none</v>
      </c>
      <c r="U82" s="64" t="e">
        <f t="shared" si="61"/>
        <v>#VALUE!</v>
      </c>
      <c r="V82" s="64">
        <f t="shared" si="62"/>
        <v>4</v>
      </c>
      <c r="W82" s="64" t="e">
        <f t="shared" si="63"/>
        <v>#VALUE!</v>
      </c>
      <c r="X82" s="64" t="e">
        <f t="shared" si="64"/>
        <v>#VALUE!</v>
      </c>
      <c r="Y82" s="64" t="str">
        <f>IFERROR(VLOOKUP(MID(T82,W82,X82-W82),[6]skilldef!$C:$D,2,FALSE),"-") &amp; " / " &amp; IFERROR(VLOOKUP(MID(T82,U82,V82-U82),[6]skilldef!$A:$B,2,FALSE),"-")</f>
        <v>- / -</v>
      </c>
      <c r="Z82" s="50"/>
      <c r="AA82" s="52"/>
      <c r="AB82" s="50"/>
    </row>
    <row r="83" spans="1:28" ht="21" customHeight="1" x14ac:dyDescent="0.15">
      <c r="A83" s="157">
        <v>40043082</v>
      </c>
      <c r="B83" s="47" t="s">
        <v>288</v>
      </c>
      <c r="C83" s="50">
        <v>3</v>
      </c>
      <c r="D83" s="50" t="s">
        <v>127</v>
      </c>
      <c r="E83" s="51" t="s">
        <v>403</v>
      </c>
      <c r="F83" s="51" t="s">
        <v>287</v>
      </c>
      <c r="G83" s="64" t="str">
        <f t="shared" si="49"/>
        <v>[effect:enemy_message, val1:1.2, val2:1.2]</v>
      </c>
      <c r="H83" s="64">
        <f t="shared" si="50"/>
        <v>9</v>
      </c>
      <c r="I83" s="64">
        <f t="shared" si="51"/>
        <v>22</v>
      </c>
      <c r="J83" s="64" t="e">
        <f t="shared" si="52"/>
        <v>#VALUE!</v>
      </c>
      <c r="K83" s="64">
        <f t="shared" si="53"/>
        <v>32</v>
      </c>
      <c r="L83" s="64" t="str">
        <f>IFERROR(VLOOKUP(MID(G83,J83,K83-J83),[6]skilldef!$C:$D,2,FALSE),"-") &amp; " / " &amp; IFERROR(VLOOKUP(MID(G83,H83,I83-H83),[6]skilldef!$A:$B,2,FALSE),"-")</f>
        <v>- / -</v>
      </c>
      <c r="M83" s="64" t="str">
        <f t="shared" si="54"/>
        <v>[effect:force_change_block, new_block:block_yellow, target:block_green, count:0, val:0, animation:change_block]</v>
      </c>
      <c r="N83" s="48" t="str">
        <f>IFERROR(LEFT(M83,FIND("],",M83)+#REF!),M83)</f>
        <v>[effect:force_change_block, new_block:block_yellow, target:block_green, count:0, val:0, animation:change_block]</v>
      </c>
      <c r="O83" s="64">
        <f t="shared" si="56"/>
        <v>9</v>
      </c>
      <c r="P83" s="64">
        <f t="shared" si="57"/>
        <v>27</v>
      </c>
      <c r="Q83" s="64">
        <f t="shared" si="58"/>
        <v>60</v>
      </c>
      <c r="R83" s="64">
        <f t="shared" si="59"/>
        <v>51</v>
      </c>
      <c r="S83" s="64" t="str">
        <f>IFERROR(VLOOKUP(MID(N83,Q83,R83-Q83),[6]skilldef!$C:$D,2,FALSE),"-") &amp; " / " &amp; IFERROR(VLOOKUP(MID(N83,O83,P83-O83),[6]skilldef!$A:$B,2,FALSE),"-")</f>
        <v>- / -</v>
      </c>
      <c r="T83" s="48" t="str">
        <f t="shared" si="60"/>
        <v>none</v>
      </c>
      <c r="U83" s="64" t="e">
        <f t="shared" si="61"/>
        <v>#VALUE!</v>
      </c>
      <c r="V83" s="64">
        <f t="shared" si="62"/>
        <v>4</v>
      </c>
      <c r="W83" s="64" t="e">
        <f t="shared" si="63"/>
        <v>#VALUE!</v>
      </c>
      <c r="X83" s="64" t="e">
        <f t="shared" si="64"/>
        <v>#VALUE!</v>
      </c>
      <c r="Y83" s="64" t="str">
        <f>IFERROR(VLOOKUP(MID(T83,W83,X83-W83),[6]skilldef!$C:$D,2,FALSE),"-") &amp; " / " &amp; IFERROR(VLOOKUP(MID(T83,U83,V83-U83),[6]skilldef!$A:$B,2,FALSE),"-")</f>
        <v>- / -</v>
      </c>
      <c r="Z83" s="50"/>
      <c r="AA83" s="52"/>
      <c r="AB83" s="50"/>
    </row>
    <row r="84" spans="1:28" ht="21" customHeight="1" x14ac:dyDescent="0.15">
      <c r="A84" s="157">
        <v>40043083</v>
      </c>
      <c r="B84" s="47" t="s">
        <v>387</v>
      </c>
      <c r="C84" s="50">
        <v>3</v>
      </c>
      <c r="D84" s="50" t="s">
        <v>127</v>
      </c>
      <c r="E84" s="143" t="s">
        <v>400</v>
      </c>
      <c r="F84" s="51" t="s">
        <v>344</v>
      </c>
      <c r="G84" s="64" t="str">
        <f t="shared" si="49"/>
        <v>[effect:enemy_message, val1:1.9, val2:2.3]</v>
      </c>
      <c r="H84" s="64">
        <f t="shared" si="50"/>
        <v>9</v>
      </c>
      <c r="I84" s="64">
        <f t="shared" si="51"/>
        <v>22</v>
      </c>
      <c r="J84" s="64" t="e">
        <f t="shared" si="52"/>
        <v>#VALUE!</v>
      </c>
      <c r="K84" s="64">
        <f t="shared" si="53"/>
        <v>32</v>
      </c>
      <c r="L84" s="64" t="str">
        <f>IFERROR(VLOOKUP(MID(G84,J84,K84-J84),[6]skilldef!$C:$D,2,FALSE),"-") &amp; " / " &amp; IFERROR(VLOOKUP(MID(G84,H84,I84-H84),[6]skilldef!$A:$B,2,FALSE),"-")</f>
        <v>- / -</v>
      </c>
      <c r="M84" s="64" t="str">
        <f t="shared" si="54"/>
        <v>[effect:force_change_block, new_block:damage, target:block_blue, color:block_green, count:0, val:0.08, animation:change_block],[effect:spread, val:0.35]</v>
      </c>
      <c r="N84" s="48" t="str">
        <f>IFERROR(LEFT(M84,FIND("],",M84)+#REF!),M84)</f>
        <v>[effect:force_change_block, new_block:damage, target:block_blue, color:block_green, count:0, val:0.08, animation:change_block],[effect:spread, val:0.35]</v>
      </c>
      <c r="O84" s="64">
        <f t="shared" si="56"/>
        <v>9</v>
      </c>
      <c r="P84" s="64">
        <f t="shared" si="57"/>
        <v>27</v>
      </c>
      <c r="Q84" s="64">
        <f t="shared" si="58"/>
        <v>54</v>
      </c>
      <c r="R84" s="64">
        <f t="shared" si="59"/>
        <v>45</v>
      </c>
      <c r="S84" s="64" t="str">
        <f>IFERROR(VLOOKUP(MID(N84,Q84,R84-Q84),[6]skilldef!$C:$D,2,FALSE),"-") &amp; " / " &amp; IFERROR(VLOOKUP(MID(N84,O84,P84-O84),[6]skilldef!$A:$B,2,FALSE),"-")</f>
        <v>- / -</v>
      </c>
      <c r="T84" s="48" t="str">
        <f t="shared" si="60"/>
        <v>[effect:spread, val:0.35]</v>
      </c>
      <c r="U84" s="64">
        <f t="shared" si="61"/>
        <v>9</v>
      </c>
      <c r="V84" s="64">
        <f t="shared" si="62"/>
        <v>15</v>
      </c>
      <c r="W84" s="64" t="e">
        <f t="shared" si="63"/>
        <v>#VALUE!</v>
      </c>
      <c r="X84" s="64" t="e">
        <f t="shared" si="64"/>
        <v>#VALUE!</v>
      </c>
      <c r="Y84" s="64" t="str">
        <f>IFERROR(VLOOKUP(MID(T84,W84,X84-W84),[6]skilldef!$C:$D,2,FALSE),"-") &amp; " / " &amp; IFERROR(VLOOKUP(MID(T84,U84,V84-U84),[6]skilldef!$A:$B,2,FALSE),"-")</f>
        <v>- / 全体攻撃</v>
      </c>
      <c r="Z84" s="50"/>
      <c r="AA84" s="52"/>
      <c r="AB84" s="50"/>
    </row>
    <row r="85" spans="1:28" ht="21" customHeight="1" thickBot="1" x14ac:dyDescent="0.2">
      <c r="A85" s="158">
        <v>40043084</v>
      </c>
      <c r="B85" s="160" t="s">
        <v>444</v>
      </c>
      <c r="C85" s="148">
        <v>3</v>
      </c>
      <c r="D85" s="161" t="s">
        <v>127</v>
      </c>
      <c r="E85" s="162" t="s">
        <v>293</v>
      </c>
      <c r="F85" s="162" t="s">
        <v>294</v>
      </c>
      <c r="G85" s="163" t="str">
        <f t="shared" ref="G85:G87" si="67">IFERROR(LEFT(B85,FIND("],",B85)),B85)</f>
        <v>[effect:enemy_message, val1:1.8, val2:1.9, dead_type:escape]</v>
      </c>
      <c r="H85" s="163">
        <f t="shared" ref="H85:H87" si="68">FIND("effect:",G85)+7</f>
        <v>9</v>
      </c>
      <c r="I85" s="163">
        <f t="shared" ref="I85:I87" si="69">IFERROR(FIND(",",G85),LEN(G85))</f>
        <v>22</v>
      </c>
      <c r="J85" s="163" t="e">
        <f t="shared" ref="J85:J87" si="70">FIND("target:",G85)+7</f>
        <v>#VALUE!</v>
      </c>
      <c r="K85" s="163">
        <f t="shared" ref="K85:K87" si="71">FIND(",",G85,I85+1)</f>
        <v>32</v>
      </c>
      <c r="L85" s="163" t="str">
        <f>IFERROR(VLOOKUP(MID(G85,J85,K85-J85),[6]skilldef!$C:$D,2,FALSE),"-") &amp; " / " &amp; IFERROR(VLOOKUP(MID(G85,H85,I85-H85),[6]skilldef!$A:$B,2,FALSE),"-")</f>
        <v>- / -</v>
      </c>
      <c r="M85" s="163" t="str">
        <f t="shared" ref="M85:M87" si="72">IFERROR(RIGHT(B85,LEN(B85)-FIND("],",B85)-1),"none")</f>
        <v>none</v>
      </c>
      <c r="N85" s="164" t="str">
        <f>IFERROR(LEFT(M85,FIND("],",M85)+S90),M85)</f>
        <v>none</v>
      </c>
      <c r="O85" s="163" t="e">
        <f t="shared" ref="O85:O87" si="73">FIND("effect:",N85)+7</f>
        <v>#VALUE!</v>
      </c>
      <c r="P85" s="163">
        <f t="shared" ref="P85:P87" si="74">IFERROR(FIND(",",N85),LEN(N85))</f>
        <v>4</v>
      </c>
      <c r="Q85" s="163" t="e">
        <f t="shared" ref="Q85:Q87" si="75">FIND("target:",N85)+7</f>
        <v>#VALUE!</v>
      </c>
      <c r="R85" s="163" t="e">
        <f t="shared" ref="R85:R87" si="76">FIND(",",N85,P85+1)</f>
        <v>#VALUE!</v>
      </c>
      <c r="S85" s="163" t="str">
        <f>IFERROR(VLOOKUP(MID(N85,Q85,R85-Q85),[6]skilldef!$C:$D,2,FALSE),"-") &amp; " / " &amp; IFERROR(VLOOKUP(MID(N85,O85,P85-O85),[6]skilldef!$A:$B,2,FALSE),"-")</f>
        <v>- / -</v>
      </c>
      <c r="T85" s="164" t="str">
        <f t="shared" ref="T85:T87" si="77">IFERROR(RIGHT(M85,LEN(M85)-FIND("],",M85)-1),"none")</f>
        <v>none</v>
      </c>
      <c r="U85" s="163" t="e">
        <f t="shared" ref="U85:U87" si="78">FIND("effect:",T85)+7</f>
        <v>#VALUE!</v>
      </c>
      <c r="V85" s="163">
        <f t="shared" ref="V85:V87" si="79">IFERROR(FIND(",",T85),LEN(T85))</f>
        <v>4</v>
      </c>
      <c r="W85" s="163" t="e">
        <f t="shared" ref="W85:W87" si="80">FIND("target:",T85)+7</f>
        <v>#VALUE!</v>
      </c>
      <c r="X85" s="163" t="e">
        <f t="shared" ref="X85:X87" si="81">FIND(",",T85,V85+1)</f>
        <v>#VALUE!</v>
      </c>
      <c r="Y85" s="163" t="str">
        <f>IFERROR(VLOOKUP(MID(T85,W85,X85-W85),[6]skilldef!$C:$D,2,FALSE),"-") &amp; " / " &amp; IFERROR(VLOOKUP(MID(T85,U85,V85-U85),[6]skilldef!$A:$B,2,FALSE),"-")</f>
        <v>- / -</v>
      </c>
      <c r="Z85" s="161"/>
      <c r="AA85" s="165"/>
      <c r="AB85" s="161"/>
    </row>
    <row r="86" spans="1:28" ht="21" customHeight="1" x14ac:dyDescent="0.15">
      <c r="A86" s="199">
        <v>40043085</v>
      </c>
      <c r="B86" s="47" t="s">
        <v>413</v>
      </c>
      <c r="C86" s="50">
        <v>3</v>
      </c>
      <c r="D86" s="50" t="s">
        <v>127</v>
      </c>
      <c r="E86" s="51" t="s">
        <v>430</v>
      </c>
      <c r="F86" s="51" t="s">
        <v>256</v>
      </c>
      <c r="G86" s="64" t="str">
        <f t="shared" si="67"/>
        <v>[effect:enemy_message, val1:1.2, val2:0]</v>
      </c>
      <c r="H86" s="64">
        <f t="shared" si="68"/>
        <v>9</v>
      </c>
      <c r="I86" s="64">
        <f t="shared" si="69"/>
        <v>22</v>
      </c>
      <c r="J86" s="64" t="e">
        <f t="shared" si="70"/>
        <v>#VALUE!</v>
      </c>
      <c r="K86" s="64">
        <f t="shared" si="71"/>
        <v>32</v>
      </c>
      <c r="L86" s="64" t="str">
        <f>IFERROR(VLOOKUP(MID(G86,J86,K86-J86),[6]skilldef!$C:$D,2,FALSE),"-") &amp; " / " &amp; IFERROR(VLOOKUP(MID(G86,H86,I86-H86),[6]skilldef!$A:$B,2,FALSE),"-")</f>
        <v>- / -</v>
      </c>
      <c r="M86" s="64" t="str">
        <f t="shared" si="72"/>
        <v>[effect:fix_speed, target:myself, turn:2]</v>
      </c>
      <c r="N86" s="48" t="str">
        <f>IFERROR(LEFT(M86,FIND("],",M86)+#REF!),M86)</f>
        <v>[effect:fix_speed, target:myself, turn:2]</v>
      </c>
      <c r="O86" s="64">
        <f t="shared" si="73"/>
        <v>9</v>
      </c>
      <c r="P86" s="64">
        <f t="shared" si="74"/>
        <v>18</v>
      </c>
      <c r="Q86" s="64">
        <f t="shared" si="75"/>
        <v>27</v>
      </c>
      <c r="R86" s="64">
        <f t="shared" si="76"/>
        <v>33</v>
      </c>
      <c r="S86" s="64" t="str">
        <f>IFERROR(VLOOKUP(MID(N86,Q86,R86-Q86),[6]skilldef!$C:$D,2,FALSE),"-") &amp; " / " &amp; IFERROR(VLOOKUP(MID(N86,O86,P86-O86),[6]skilldef!$A:$B,2,FALSE),"-")</f>
        <v>自分自身に / 行動値設定</v>
      </c>
      <c r="T86" s="48" t="str">
        <f t="shared" si="77"/>
        <v>none</v>
      </c>
      <c r="U86" s="64" t="e">
        <f t="shared" si="78"/>
        <v>#VALUE!</v>
      </c>
      <c r="V86" s="64">
        <f t="shared" si="79"/>
        <v>4</v>
      </c>
      <c r="W86" s="64" t="e">
        <f t="shared" si="80"/>
        <v>#VALUE!</v>
      </c>
      <c r="X86" s="64" t="e">
        <f t="shared" si="81"/>
        <v>#VALUE!</v>
      </c>
      <c r="Y86" s="64" t="str">
        <f>IFERROR(VLOOKUP(MID(T86,W86,X86-W86),[6]skilldef!$C:$D,2,FALSE),"-") &amp; " / " &amp; IFERROR(VLOOKUP(MID(T86,U86,V86-U86),[6]skilldef!$A:$B,2,FALSE),"-")</f>
        <v>- / -</v>
      </c>
      <c r="Z86" s="50"/>
      <c r="AA86" s="52"/>
      <c r="AB86" s="50"/>
    </row>
    <row r="87" spans="1:28" ht="21" customHeight="1" x14ac:dyDescent="0.15">
      <c r="A87" s="199">
        <v>40043086</v>
      </c>
      <c r="B87" s="47" t="s">
        <v>445</v>
      </c>
      <c r="C87" s="50">
        <v>3</v>
      </c>
      <c r="D87" s="50" t="s">
        <v>127</v>
      </c>
      <c r="E87" s="51" t="s">
        <v>436</v>
      </c>
      <c r="F87" s="51" t="s">
        <v>341</v>
      </c>
      <c r="G87" s="64" t="str">
        <f t="shared" si="67"/>
        <v>[effect:enemy_message, val1:1.9, val2:1.9]</v>
      </c>
      <c r="H87" s="64">
        <f t="shared" si="68"/>
        <v>9</v>
      </c>
      <c r="I87" s="64">
        <f t="shared" si="69"/>
        <v>22</v>
      </c>
      <c r="J87" s="64" t="e">
        <f t="shared" si="70"/>
        <v>#VALUE!</v>
      </c>
      <c r="K87" s="64">
        <f t="shared" si="71"/>
        <v>32</v>
      </c>
      <c r="L87" s="64" t="str">
        <f>IFERROR(VLOOKUP(MID(G87,J87,K87-J87),[6]skilldef!$C:$D,2,FALSE),"-") &amp; " / " &amp; IFERROR(VLOOKUP(MID(G87,H87,I87-H87),[6]skilldef!$A:$B,2,FALSE),"-")</f>
        <v>- / -</v>
      </c>
      <c r="M87" s="64" t="str">
        <f t="shared" si="72"/>
        <v>[effect:fix_speed, target:myself, turn:1],[effect:tolerance, target:myself, turn:-1, count:-1, tolerance_effect:all, animation:enemy_tolerance],[effect:enhance_enemy, target:myself, turn:4, status:attack, val:0.2, calc:mul, animation:enemy_enhance_attack]</v>
      </c>
      <c r="N87" s="48" t="str">
        <f>IFERROR(LEFT(M87,FIND("],",M87)+S91),M87)</f>
        <v>[effect:fix_speed, target:myself, turn:1],[effect:tolerance, target:myself, turn:-1, count:-1, tolerance_effect:all, animation:enemy_tolerance],[effect:enhance_enemy, target:myself, turn:4, status:attack, val:0.2, calc:mul, animation:enemy_enhance_attack]</v>
      </c>
      <c r="O87" s="64">
        <f t="shared" si="73"/>
        <v>9</v>
      </c>
      <c r="P87" s="64">
        <f t="shared" si="74"/>
        <v>18</v>
      </c>
      <c r="Q87" s="64">
        <f t="shared" si="75"/>
        <v>27</v>
      </c>
      <c r="R87" s="64">
        <f t="shared" si="76"/>
        <v>33</v>
      </c>
      <c r="S87" s="64" t="str">
        <f>IFERROR(VLOOKUP(MID(N87,Q87,R87-Q87),[6]skilldef!$C:$D,2,FALSE),"-") &amp; " / " &amp; IFERROR(VLOOKUP(MID(N87,O87,P87-O87),[6]skilldef!$A:$B,2,FALSE),"-")</f>
        <v>自分自身に / 行動値設定</v>
      </c>
      <c r="T87" s="48" t="str">
        <f t="shared" si="77"/>
        <v>[effect:tolerance, target:myself, turn:-1, count:-1, tolerance_effect:all, animation:enemy_tolerance],[effect:enhance_enemy, target:myself, turn:4, status:attack, val:0.2, calc:mul, animation:enemy_enhance_attack]</v>
      </c>
      <c r="U87" s="64">
        <f t="shared" si="78"/>
        <v>9</v>
      </c>
      <c r="V87" s="64">
        <f t="shared" si="79"/>
        <v>18</v>
      </c>
      <c r="W87" s="64">
        <f t="shared" si="80"/>
        <v>27</v>
      </c>
      <c r="X87" s="64">
        <f t="shared" si="81"/>
        <v>33</v>
      </c>
      <c r="Y87" s="64" t="str">
        <f>IFERROR(VLOOKUP(MID(T87,W87,X87-W87),[6]skilldef!$C:$D,2,FALSE),"-") &amp; " / " &amp; IFERROR(VLOOKUP(MID(T87,U87,V87-U87),[6]skilldef!$A:$B,2,FALSE),"-")</f>
        <v>自分自身に / 状態異常耐性</v>
      </c>
      <c r="Z87" s="50"/>
      <c r="AA87" s="52"/>
      <c r="AB87" s="50"/>
    </row>
    <row r="88" spans="1:28" ht="29" customHeight="1" thickBot="1" x14ac:dyDescent="0.2">
      <c r="A88" s="198">
        <v>40043087</v>
      </c>
      <c r="B88" s="160" t="s">
        <v>443</v>
      </c>
      <c r="C88" s="148">
        <v>3</v>
      </c>
      <c r="D88" s="161" t="s">
        <v>127</v>
      </c>
      <c r="E88" s="162" t="s">
        <v>429</v>
      </c>
      <c r="F88" s="162" t="s">
        <v>438</v>
      </c>
      <c r="G88" s="163" t="str">
        <f t="shared" ref="G88:G91" si="82">IFERROR(LEFT(B88,FIND("],",B88)),B88)</f>
        <v>[effect:enemy_message, val1:2.5, val2:2.0, dead_type:escape]</v>
      </c>
      <c r="H88" s="163">
        <f t="shared" ref="H88:H91" si="83">FIND("effect:",G88)+7</f>
        <v>9</v>
      </c>
      <c r="I88" s="163">
        <f t="shared" ref="I88:I91" si="84">IFERROR(FIND(",",G88),LEN(G88))</f>
        <v>22</v>
      </c>
      <c r="J88" s="163" t="e">
        <f t="shared" ref="J88:J91" si="85">FIND("target:",G88)+7</f>
        <v>#VALUE!</v>
      </c>
      <c r="K88" s="163">
        <f t="shared" ref="K88:K91" si="86">FIND(",",G88,I88+1)</f>
        <v>32</v>
      </c>
      <c r="L88" s="163" t="str">
        <f>IFERROR(VLOOKUP(MID(G88,J88,K88-J88),[6]skilldef!$C:$D,2,FALSE),"-") &amp; " / " &amp; IFERROR(VLOOKUP(MID(G88,H88,I88-H88),[6]skilldef!$A:$B,2,FALSE),"-")</f>
        <v>- / -</v>
      </c>
      <c r="M88" s="163" t="str">
        <f t="shared" ref="M88:M91" si="87">IFERROR(RIGHT(B88,LEN(B88)-FIND("],",B88)-1),"none")</f>
        <v>none</v>
      </c>
      <c r="N88" s="164" t="str">
        <f>IFERROR(LEFT(M88,FIND("],",M88)+#REF!),M88)</f>
        <v>none</v>
      </c>
      <c r="O88" s="163" t="e">
        <f t="shared" ref="O88:O91" si="88">FIND("effect:",N88)+7</f>
        <v>#VALUE!</v>
      </c>
      <c r="P88" s="163">
        <f t="shared" ref="P88:P91" si="89">IFERROR(FIND(",",N88),LEN(N88))</f>
        <v>4</v>
      </c>
      <c r="Q88" s="163" t="e">
        <f t="shared" ref="Q88:Q91" si="90">FIND("target:",N88)+7</f>
        <v>#VALUE!</v>
      </c>
      <c r="R88" s="163" t="e">
        <f t="shared" ref="R88:R91" si="91">FIND(",",N88,P88+1)</f>
        <v>#VALUE!</v>
      </c>
      <c r="S88" s="163" t="str">
        <f>IFERROR(VLOOKUP(MID(N88,Q88,R88-Q88),[6]skilldef!$C:$D,2,FALSE),"-") &amp; " / " &amp; IFERROR(VLOOKUP(MID(N88,O88,P88-O88),[6]skilldef!$A:$B,2,FALSE),"-")</f>
        <v>- / -</v>
      </c>
      <c r="T88" s="164" t="str">
        <f t="shared" ref="T88:T91" si="92">IFERROR(RIGHT(M88,LEN(M88)-FIND("],",M88)-1),"none")</f>
        <v>none</v>
      </c>
      <c r="U88" s="163" t="e">
        <f t="shared" ref="U88:U91" si="93">FIND("effect:",T88)+7</f>
        <v>#VALUE!</v>
      </c>
      <c r="V88" s="163">
        <f t="shared" ref="V88:V91" si="94">IFERROR(FIND(",",T88),LEN(T88))</f>
        <v>4</v>
      </c>
      <c r="W88" s="163" t="e">
        <f t="shared" ref="W88:W91" si="95">FIND("target:",T88)+7</f>
        <v>#VALUE!</v>
      </c>
      <c r="X88" s="163" t="e">
        <f t="shared" ref="X88:X91" si="96">FIND(",",T88,V88+1)</f>
        <v>#VALUE!</v>
      </c>
      <c r="Y88" s="163" t="str">
        <f>IFERROR(VLOOKUP(MID(T88,W88,X88-W88),[6]skilldef!$C:$D,2,FALSE),"-") &amp; " / " &amp; IFERROR(VLOOKUP(MID(T88,U88,V88-U88),[6]skilldef!$A:$B,2,FALSE),"-")</f>
        <v>- / -</v>
      </c>
      <c r="Z88" s="161"/>
      <c r="AA88" s="165"/>
      <c r="AB88" s="161"/>
    </row>
    <row r="89" spans="1:28" ht="21" customHeight="1" x14ac:dyDescent="0.15">
      <c r="A89" s="200">
        <v>40043088</v>
      </c>
      <c r="B89" s="47" t="s">
        <v>413</v>
      </c>
      <c r="C89" s="50">
        <v>3</v>
      </c>
      <c r="D89" s="50" t="s">
        <v>127</v>
      </c>
      <c r="E89" s="51" t="s">
        <v>432</v>
      </c>
      <c r="F89" s="51" t="s">
        <v>256</v>
      </c>
      <c r="G89" s="64" t="str">
        <f t="shared" si="82"/>
        <v>[effect:enemy_message, val1:1.2, val2:0]</v>
      </c>
      <c r="H89" s="64">
        <f t="shared" si="83"/>
        <v>9</v>
      </c>
      <c r="I89" s="64">
        <f t="shared" si="84"/>
        <v>22</v>
      </c>
      <c r="J89" s="64" t="e">
        <f t="shared" si="85"/>
        <v>#VALUE!</v>
      </c>
      <c r="K89" s="64">
        <f t="shared" si="86"/>
        <v>32</v>
      </c>
      <c r="L89" s="64" t="str">
        <f>IFERROR(VLOOKUP(MID(G89,J89,K89-J89),[6]skilldef!$C:$D,2,FALSE),"-") &amp; " / " &amp; IFERROR(VLOOKUP(MID(G89,H89,I89-H89),[6]skilldef!$A:$B,2,FALSE),"-")</f>
        <v>- / -</v>
      </c>
      <c r="M89" s="64" t="str">
        <f t="shared" si="87"/>
        <v>[effect:fix_speed, target:myself, turn:2]</v>
      </c>
      <c r="N89" s="48" t="str">
        <f>IFERROR(LEFT(M89,FIND("],",M89)+#REF!),M89)</f>
        <v>[effect:fix_speed, target:myself, turn:2]</v>
      </c>
      <c r="O89" s="64">
        <f t="shared" si="88"/>
        <v>9</v>
      </c>
      <c r="P89" s="64">
        <f t="shared" si="89"/>
        <v>18</v>
      </c>
      <c r="Q89" s="64">
        <f t="shared" si="90"/>
        <v>27</v>
      </c>
      <c r="R89" s="64">
        <f t="shared" si="91"/>
        <v>33</v>
      </c>
      <c r="S89" s="64" t="str">
        <f>IFERROR(VLOOKUP(MID(N89,Q89,R89-Q89),[6]skilldef!$C:$D,2,FALSE),"-") &amp; " / " &amp; IFERROR(VLOOKUP(MID(N89,O89,P89-O89),[6]skilldef!$A:$B,2,FALSE),"-")</f>
        <v>自分自身に / 行動値設定</v>
      </c>
      <c r="T89" s="48" t="str">
        <f t="shared" si="92"/>
        <v>none</v>
      </c>
      <c r="U89" s="64" t="e">
        <f t="shared" si="93"/>
        <v>#VALUE!</v>
      </c>
      <c r="V89" s="64">
        <f t="shared" si="94"/>
        <v>4</v>
      </c>
      <c r="W89" s="64" t="e">
        <f t="shared" si="95"/>
        <v>#VALUE!</v>
      </c>
      <c r="X89" s="64" t="e">
        <f t="shared" si="96"/>
        <v>#VALUE!</v>
      </c>
      <c r="Y89" s="64" t="str">
        <f>IFERROR(VLOOKUP(MID(T89,W89,X89-W89),[6]skilldef!$C:$D,2,FALSE),"-") &amp; " / " &amp; IFERROR(VLOOKUP(MID(T89,U89,V89-U89),[6]skilldef!$A:$B,2,FALSE),"-")</f>
        <v>- / -</v>
      </c>
      <c r="Z89" s="50"/>
      <c r="AA89" s="52"/>
      <c r="AB89" s="50"/>
    </row>
    <row r="90" spans="1:28" ht="21" customHeight="1" x14ac:dyDescent="0.15">
      <c r="A90" s="197">
        <v>40043089</v>
      </c>
      <c r="B90" s="47" t="s">
        <v>445</v>
      </c>
      <c r="C90" s="142">
        <v>3</v>
      </c>
      <c r="D90" s="50" t="s">
        <v>127</v>
      </c>
      <c r="E90" s="51" t="s">
        <v>437</v>
      </c>
      <c r="F90" s="51" t="s">
        <v>351</v>
      </c>
      <c r="G90" s="64" t="str">
        <f t="shared" si="82"/>
        <v>[effect:enemy_message, val1:1.9, val2:1.9]</v>
      </c>
      <c r="H90" s="64">
        <f t="shared" si="83"/>
        <v>9</v>
      </c>
      <c r="I90" s="64">
        <f t="shared" si="84"/>
        <v>22</v>
      </c>
      <c r="J90" s="64" t="e">
        <f t="shared" si="85"/>
        <v>#VALUE!</v>
      </c>
      <c r="K90" s="64">
        <f t="shared" si="86"/>
        <v>32</v>
      </c>
      <c r="L90" s="64" t="str">
        <f>IFERROR(VLOOKUP(MID(G90,J90,K90-J90),[6]skilldef!$C:$D,2,FALSE),"-") &amp; " / " &amp; IFERROR(VLOOKUP(MID(G90,H90,I90-H90),[6]skilldef!$A:$B,2,FALSE),"-")</f>
        <v>- / -</v>
      </c>
      <c r="M90" s="64" t="str">
        <f t="shared" si="87"/>
        <v>[effect:fix_speed, target:myself, turn:1],[effect:tolerance, target:myself, turn:-1, count:-1, tolerance_effect:all, animation:enemy_tolerance],[effect:enhance_enemy, target:myself, turn:4, status:attack, val:0.2, calc:mul, animation:enemy_enhance_attack]</v>
      </c>
      <c r="N90" s="48" t="str">
        <f>IFERROR(LEFT(M90,FIND("],",M90)+S95),M90)</f>
        <v>[effect:fix_speed, target:myself, turn:1]</v>
      </c>
      <c r="O90" s="64">
        <f t="shared" si="88"/>
        <v>9</v>
      </c>
      <c r="P90" s="64">
        <f t="shared" si="89"/>
        <v>18</v>
      </c>
      <c r="Q90" s="64">
        <f t="shared" si="90"/>
        <v>27</v>
      </c>
      <c r="R90" s="64">
        <f t="shared" si="91"/>
        <v>33</v>
      </c>
      <c r="S90" s="64" t="str">
        <f>IFERROR(VLOOKUP(MID(N90,Q90,R90-Q90),[6]skilldef!$C:$D,2,FALSE),"-") &amp; " / " &amp; IFERROR(VLOOKUP(MID(N90,O90,P90-O90),[6]skilldef!$A:$B,2,FALSE),"-")</f>
        <v>自分自身に / 行動値設定</v>
      </c>
      <c r="T90" s="48" t="str">
        <f t="shared" si="92"/>
        <v>[effect:tolerance, target:myself, turn:-1, count:-1, tolerance_effect:all, animation:enemy_tolerance],[effect:enhance_enemy, target:myself, turn:4, status:attack, val:0.2, calc:mul, animation:enemy_enhance_attack]</v>
      </c>
      <c r="U90" s="64">
        <f t="shared" si="93"/>
        <v>9</v>
      </c>
      <c r="V90" s="64">
        <f t="shared" si="94"/>
        <v>18</v>
      </c>
      <c r="W90" s="64">
        <f t="shared" si="95"/>
        <v>27</v>
      </c>
      <c r="X90" s="64">
        <f t="shared" si="96"/>
        <v>33</v>
      </c>
      <c r="Y90" s="64" t="str">
        <f>IFERROR(VLOOKUP(MID(T90,W90,X90-W90),[6]skilldef!$C:$D,2,FALSE),"-") &amp; " / " &amp; IFERROR(VLOOKUP(MID(T90,U90,V90-U90),[6]skilldef!$A:$B,2,FALSE),"-")</f>
        <v>自分自身に / 状態異常耐性</v>
      </c>
      <c r="Z90" s="50"/>
      <c r="AA90" s="52"/>
      <c r="AB90" s="50"/>
    </row>
    <row r="91" spans="1:28" ht="21" customHeight="1" thickBot="1" x14ac:dyDescent="0.2">
      <c r="A91" s="198">
        <v>40043090</v>
      </c>
      <c r="B91" s="160" t="s">
        <v>441</v>
      </c>
      <c r="C91" s="148">
        <v>3</v>
      </c>
      <c r="D91" s="161" t="s">
        <v>127</v>
      </c>
      <c r="E91" s="162" t="s">
        <v>423</v>
      </c>
      <c r="F91" s="162" t="s">
        <v>431</v>
      </c>
      <c r="G91" s="163" t="str">
        <f t="shared" si="82"/>
        <v>[effect:enemy_message, val1:1.7, val2:2.8, dead_type:escape]</v>
      </c>
      <c r="H91" s="163">
        <f t="shared" si="83"/>
        <v>9</v>
      </c>
      <c r="I91" s="163">
        <f t="shared" si="84"/>
        <v>22</v>
      </c>
      <c r="J91" s="163" t="e">
        <f t="shared" si="85"/>
        <v>#VALUE!</v>
      </c>
      <c r="K91" s="163">
        <f t="shared" si="86"/>
        <v>32</v>
      </c>
      <c r="L91" s="163" t="str">
        <f>IFERROR(VLOOKUP(MID(G91,J91,K91-J91),[6]skilldef!$C:$D,2,FALSE),"-") &amp; " / " &amp; IFERROR(VLOOKUP(MID(G91,H91,I91-H91),[6]skilldef!$A:$B,2,FALSE),"-")</f>
        <v>- / -</v>
      </c>
      <c r="M91" s="163" t="str">
        <f t="shared" si="87"/>
        <v>none</v>
      </c>
      <c r="N91" s="164" t="str">
        <f>IFERROR(LEFT(M91,FIND("],",M91)+S97),M91)</f>
        <v>none</v>
      </c>
      <c r="O91" s="163" t="e">
        <f t="shared" si="88"/>
        <v>#VALUE!</v>
      </c>
      <c r="P91" s="163">
        <f t="shared" si="89"/>
        <v>4</v>
      </c>
      <c r="Q91" s="163" t="e">
        <f t="shared" si="90"/>
        <v>#VALUE!</v>
      </c>
      <c r="R91" s="163" t="e">
        <f t="shared" si="91"/>
        <v>#VALUE!</v>
      </c>
      <c r="S91" s="163" t="str">
        <f>IFERROR(VLOOKUP(MID(N91,Q91,R91-Q91),[6]skilldef!$C:$D,2,FALSE),"-") &amp; " / " &amp; IFERROR(VLOOKUP(MID(N91,O91,P91-O91),[6]skilldef!$A:$B,2,FALSE),"-")</f>
        <v>- / -</v>
      </c>
      <c r="T91" s="164" t="str">
        <f t="shared" si="92"/>
        <v>none</v>
      </c>
      <c r="U91" s="163" t="e">
        <f t="shared" si="93"/>
        <v>#VALUE!</v>
      </c>
      <c r="V91" s="163">
        <f t="shared" si="94"/>
        <v>4</v>
      </c>
      <c r="W91" s="163" t="e">
        <f t="shared" si="95"/>
        <v>#VALUE!</v>
      </c>
      <c r="X91" s="163" t="e">
        <f t="shared" si="96"/>
        <v>#VALUE!</v>
      </c>
      <c r="Y91" s="163" t="str">
        <f>IFERROR(VLOOKUP(MID(T91,W91,X91-W91),[6]skilldef!$C:$D,2,FALSE),"-") &amp; " / " &amp; IFERROR(VLOOKUP(MID(T91,U91,V91-U91),[6]skilldef!$A:$B,2,FALSE),"-")</f>
        <v>- / -</v>
      </c>
      <c r="Z91" s="161"/>
      <c r="AA91" s="165"/>
      <c r="AB91" s="161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L103"/>
  <sheetViews>
    <sheetView showGridLines="0" workbookViewId="0">
      <pane ySplit="1" topLeftCell="A82" activePane="bottomLeft" state="frozenSplit"/>
      <selection pane="bottomLeft" activeCell="F93" sqref="F93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83</v>
      </c>
      <c r="B1" s="42" t="s">
        <v>84</v>
      </c>
      <c r="C1" s="42" t="s">
        <v>85</v>
      </c>
      <c r="D1" s="42" t="s">
        <v>86</v>
      </c>
      <c r="E1" s="42" t="s">
        <v>69</v>
      </c>
      <c r="F1" s="53" t="s">
        <v>70</v>
      </c>
      <c r="G1" s="53" t="s">
        <v>71</v>
      </c>
      <c r="H1" s="42" t="s">
        <v>72</v>
      </c>
      <c r="I1" s="42" t="s">
        <v>73</v>
      </c>
      <c r="J1" s="42" t="s">
        <v>74</v>
      </c>
      <c r="K1" s="54" t="s">
        <v>87</v>
      </c>
    </row>
    <row r="2" spans="1:11" ht="21" customHeight="1" x14ac:dyDescent="0.15">
      <c r="A2" s="140">
        <v>40043001</v>
      </c>
      <c r="B2" s="47">
        <v>1</v>
      </c>
      <c r="C2" s="47" t="s">
        <v>88</v>
      </c>
      <c r="D2" s="47">
        <v>100</v>
      </c>
      <c r="E2" s="47" t="s">
        <v>254</v>
      </c>
      <c r="F2" s="47" t="s">
        <v>89</v>
      </c>
      <c r="G2" s="47">
        <v>1</v>
      </c>
      <c r="H2" s="47" t="s">
        <v>89</v>
      </c>
      <c r="I2" s="47" t="s">
        <v>89</v>
      </c>
      <c r="J2" s="48">
        <f t="shared" ref="J2" si="0">D2</f>
        <v>100</v>
      </c>
    </row>
    <row r="3" spans="1:11" ht="21" customHeight="1" x14ac:dyDescent="0.15">
      <c r="A3" s="140">
        <v>40043002</v>
      </c>
      <c r="B3" s="47">
        <v>0</v>
      </c>
      <c r="C3" s="47">
        <v>10</v>
      </c>
      <c r="D3" s="47">
        <v>100</v>
      </c>
      <c r="E3" s="47" t="s">
        <v>254</v>
      </c>
      <c r="F3" s="47" t="s">
        <v>89</v>
      </c>
      <c r="G3" s="47">
        <v>1</v>
      </c>
      <c r="H3" s="47">
        <v>1</v>
      </c>
      <c r="I3" s="47" t="s">
        <v>89</v>
      </c>
      <c r="J3" s="48">
        <f t="shared" ref="J3:J8" si="1">D3</f>
        <v>100</v>
      </c>
    </row>
    <row r="4" spans="1:11" ht="21" customHeight="1" x14ac:dyDescent="0.15">
      <c r="A4" s="140">
        <v>40043003</v>
      </c>
      <c r="B4" s="47">
        <v>0</v>
      </c>
      <c r="C4" s="47">
        <v>30</v>
      </c>
      <c r="D4" s="47">
        <v>100</v>
      </c>
      <c r="E4" s="47">
        <v>70</v>
      </c>
      <c r="F4" s="47" t="s">
        <v>89</v>
      </c>
      <c r="G4" s="47">
        <v>1</v>
      </c>
      <c r="H4" s="47">
        <v>1</v>
      </c>
      <c r="I4" s="47" t="s">
        <v>89</v>
      </c>
      <c r="J4" s="48">
        <f t="shared" si="1"/>
        <v>100</v>
      </c>
    </row>
    <row r="5" spans="1:11" ht="21" customHeight="1" thickBot="1" x14ac:dyDescent="0.2">
      <c r="A5" s="168">
        <v>40043004</v>
      </c>
      <c r="B5" s="147">
        <v>0</v>
      </c>
      <c r="C5" s="147">
        <v>20</v>
      </c>
      <c r="D5" s="147">
        <v>100</v>
      </c>
      <c r="E5" s="147">
        <v>70</v>
      </c>
      <c r="F5" s="147" t="s">
        <v>89</v>
      </c>
      <c r="G5" s="147">
        <v>1</v>
      </c>
      <c r="H5" s="147">
        <v>1</v>
      </c>
      <c r="I5" s="147" t="s">
        <v>89</v>
      </c>
      <c r="J5" s="151">
        <f t="shared" si="1"/>
        <v>100</v>
      </c>
      <c r="K5" s="169"/>
    </row>
    <row r="6" spans="1:11" ht="21" customHeight="1" x14ac:dyDescent="0.15">
      <c r="A6" s="153">
        <v>40043005</v>
      </c>
      <c r="B6" s="141">
        <v>1</v>
      </c>
      <c r="C6" s="141" t="s">
        <v>88</v>
      </c>
      <c r="D6" s="141">
        <v>100</v>
      </c>
      <c r="E6" s="141" t="s">
        <v>254</v>
      </c>
      <c r="F6" s="141" t="s">
        <v>89</v>
      </c>
      <c r="G6" s="141">
        <v>1</v>
      </c>
      <c r="H6" s="141" t="s">
        <v>89</v>
      </c>
      <c r="I6" s="141" t="s">
        <v>89</v>
      </c>
      <c r="J6" s="145">
        <f t="shared" si="1"/>
        <v>100</v>
      </c>
    </row>
    <row r="7" spans="1:11" ht="21" customHeight="1" x14ac:dyDescent="0.15">
      <c r="A7" s="153">
        <v>40043006</v>
      </c>
      <c r="B7" s="47">
        <v>0</v>
      </c>
      <c r="C7" s="47">
        <v>10</v>
      </c>
      <c r="D7" s="47">
        <v>100</v>
      </c>
      <c r="E7" s="47" t="s">
        <v>254</v>
      </c>
      <c r="F7" s="47" t="s">
        <v>89</v>
      </c>
      <c r="G7" s="47" t="s">
        <v>88</v>
      </c>
      <c r="H7" s="47">
        <v>1</v>
      </c>
      <c r="I7" s="47" t="s">
        <v>89</v>
      </c>
      <c r="J7" s="48">
        <f t="shared" si="1"/>
        <v>100</v>
      </c>
    </row>
    <row r="8" spans="1:11" ht="21" customHeight="1" x14ac:dyDescent="0.15">
      <c r="A8" s="153">
        <v>40043007</v>
      </c>
      <c r="B8" s="47">
        <v>0</v>
      </c>
      <c r="C8" s="47">
        <v>20</v>
      </c>
      <c r="D8" s="47">
        <v>100</v>
      </c>
      <c r="E8" s="47" t="s">
        <v>254</v>
      </c>
      <c r="F8" s="47" t="s">
        <v>89</v>
      </c>
      <c r="G8" s="47" t="s">
        <v>88</v>
      </c>
      <c r="H8" s="47">
        <v>2</v>
      </c>
      <c r="I8" s="47" t="s">
        <v>88</v>
      </c>
      <c r="J8" s="48">
        <f t="shared" si="1"/>
        <v>100</v>
      </c>
    </row>
    <row r="9" spans="1:11" ht="21" customHeight="1" x14ac:dyDescent="0.15">
      <c r="A9" s="153">
        <v>40043008</v>
      </c>
      <c r="B9" s="47">
        <v>0</v>
      </c>
      <c r="C9" s="47">
        <v>30</v>
      </c>
      <c r="D9" s="47">
        <v>100</v>
      </c>
      <c r="E9" s="47">
        <v>50</v>
      </c>
      <c r="F9" s="47" t="s">
        <v>89</v>
      </c>
      <c r="G9" s="47">
        <v>1</v>
      </c>
      <c r="H9" s="47">
        <v>1</v>
      </c>
      <c r="I9" s="47" t="s">
        <v>89</v>
      </c>
      <c r="J9" s="48">
        <f t="shared" ref="J9:J33" si="2">D9</f>
        <v>100</v>
      </c>
    </row>
    <row r="10" spans="1:11" ht="21" customHeight="1" thickBot="1" x14ac:dyDescent="0.2">
      <c r="A10" s="154">
        <v>40043009</v>
      </c>
      <c r="B10" s="147">
        <v>0</v>
      </c>
      <c r="C10" s="147">
        <v>40</v>
      </c>
      <c r="D10" s="147">
        <v>100</v>
      </c>
      <c r="E10" s="147">
        <v>25</v>
      </c>
      <c r="F10" s="147" t="s">
        <v>89</v>
      </c>
      <c r="G10" s="147">
        <v>1</v>
      </c>
      <c r="H10" s="147">
        <v>1</v>
      </c>
      <c r="I10" s="147" t="s">
        <v>89</v>
      </c>
      <c r="J10" s="151">
        <f t="shared" si="2"/>
        <v>100</v>
      </c>
      <c r="K10" s="169"/>
    </row>
    <row r="11" spans="1:11" ht="21" customHeight="1" x14ac:dyDescent="0.15">
      <c r="A11" s="153">
        <v>40043010</v>
      </c>
      <c r="B11" s="141">
        <v>1</v>
      </c>
      <c r="C11" s="141" t="s">
        <v>88</v>
      </c>
      <c r="D11" s="141">
        <v>100</v>
      </c>
      <c r="E11" s="141" t="s">
        <v>254</v>
      </c>
      <c r="F11" s="141" t="s">
        <v>89</v>
      </c>
      <c r="G11" s="141">
        <v>1</v>
      </c>
      <c r="H11" s="141" t="s">
        <v>89</v>
      </c>
      <c r="I11" s="141" t="s">
        <v>89</v>
      </c>
      <c r="J11" s="145">
        <f t="shared" si="2"/>
        <v>100</v>
      </c>
    </row>
    <row r="12" spans="1:11" ht="21" customHeight="1" x14ac:dyDescent="0.15">
      <c r="A12" s="153">
        <v>40043011</v>
      </c>
      <c r="B12" s="47">
        <v>0</v>
      </c>
      <c r="C12" s="47">
        <v>10</v>
      </c>
      <c r="D12" s="47">
        <v>100</v>
      </c>
      <c r="E12" s="47" t="s">
        <v>254</v>
      </c>
      <c r="F12" s="47" t="s">
        <v>89</v>
      </c>
      <c r="G12" s="47" t="s">
        <v>88</v>
      </c>
      <c r="H12" s="47">
        <v>1</v>
      </c>
      <c r="I12" s="47" t="s">
        <v>89</v>
      </c>
      <c r="J12" s="48">
        <f t="shared" si="2"/>
        <v>100</v>
      </c>
    </row>
    <row r="13" spans="1:11" ht="21" customHeight="1" x14ac:dyDescent="0.15">
      <c r="A13" s="153">
        <v>40043012</v>
      </c>
      <c r="B13" s="47">
        <v>0</v>
      </c>
      <c r="C13" s="47">
        <v>20</v>
      </c>
      <c r="D13" s="47">
        <v>100</v>
      </c>
      <c r="E13" s="47" t="s">
        <v>254</v>
      </c>
      <c r="F13" s="47" t="s">
        <v>89</v>
      </c>
      <c r="G13" s="47" t="s">
        <v>88</v>
      </c>
      <c r="H13" s="47">
        <v>2</v>
      </c>
      <c r="I13" s="47" t="s">
        <v>89</v>
      </c>
      <c r="J13" s="48">
        <f t="shared" si="2"/>
        <v>100</v>
      </c>
    </row>
    <row r="14" spans="1:11" ht="21" customHeight="1" x14ac:dyDescent="0.15">
      <c r="A14" s="153">
        <v>40043013</v>
      </c>
      <c r="B14" s="47">
        <v>0</v>
      </c>
      <c r="C14" s="47">
        <v>30</v>
      </c>
      <c r="D14" s="47">
        <v>100</v>
      </c>
      <c r="E14" s="47" t="s">
        <v>254</v>
      </c>
      <c r="F14" s="47" t="s">
        <v>89</v>
      </c>
      <c r="G14" s="47" t="s">
        <v>88</v>
      </c>
      <c r="H14" s="47">
        <v>3</v>
      </c>
      <c r="I14" s="47" t="s">
        <v>89</v>
      </c>
      <c r="J14" s="48">
        <f t="shared" si="2"/>
        <v>100</v>
      </c>
      <c r="K14" s="170"/>
    </row>
    <row r="15" spans="1:11" ht="21" customHeight="1" thickBot="1" x14ac:dyDescent="0.2">
      <c r="A15" s="154">
        <v>40043014</v>
      </c>
      <c r="B15" s="147">
        <v>0</v>
      </c>
      <c r="C15" s="147">
        <v>40</v>
      </c>
      <c r="D15" s="147">
        <v>100</v>
      </c>
      <c r="E15" s="147">
        <v>50</v>
      </c>
      <c r="F15" s="147" t="s">
        <v>89</v>
      </c>
      <c r="G15" s="147">
        <v>1</v>
      </c>
      <c r="H15" s="147">
        <v>1</v>
      </c>
      <c r="I15" s="147" t="s">
        <v>89</v>
      </c>
      <c r="J15" s="151">
        <f t="shared" si="2"/>
        <v>100</v>
      </c>
      <c r="K15" s="169"/>
    </row>
    <row r="16" spans="1:11" ht="21" customHeight="1" x14ac:dyDescent="0.15">
      <c r="A16" s="171">
        <v>40043015</v>
      </c>
      <c r="B16" s="172">
        <v>0</v>
      </c>
      <c r="C16" s="172">
        <v>10</v>
      </c>
      <c r="D16" s="172">
        <v>100</v>
      </c>
      <c r="E16" s="172" t="s">
        <v>254</v>
      </c>
      <c r="F16" s="172" t="s">
        <v>89</v>
      </c>
      <c r="G16" s="172" t="s">
        <v>88</v>
      </c>
      <c r="H16" s="172">
        <v>2</v>
      </c>
      <c r="I16" s="172" t="s">
        <v>89</v>
      </c>
      <c r="J16" s="173">
        <f t="shared" si="2"/>
        <v>100</v>
      </c>
      <c r="K16" s="174"/>
    </row>
    <row r="17" spans="1:11" ht="21" customHeight="1" thickBot="1" x14ac:dyDescent="0.2">
      <c r="A17" s="156">
        <v>40043016</v>
      </c>
      <c r="B17" s="147">
        <v>0</v>
      </c>
      <c r="C17" s="147">
        <v>20</v>
      </c>
      <c r="D17" s="147">
        <v>100</v>
      </c>
      <c r="E17" s="147" t="s">
        <v>254</v>
      </c>
      <c r="F17" s="147" t="s">
        <v>89</v>
      </c>
      <c r="G17" s="147" t="s">
        <v>88</v>
      </c>
      <c r="H17" s="147">
        <v>3</v>
      </c>
      <c r="I17" s="147" t="s">
        <v>89</v>
      </c>
      <c r="J17" s="151">
        <f t="shared" si="2"/>
        <v>100</v>
      </c>
      <c r="K17" s="169"/>
    </row>
    <row r="18" spans="1:11" ht="21" customHeight="1" x14ac:dyDescent="0.15">
      <c r="A18" s="155">
        <v>40043017</v>
      </c>
      <c r="B18" s="141">
        <v>1</v>
      </c>
      <c r="C18" s="141" t="s">
        <v>88</v>
      </c>
      <c r="D18" s="141">
        <v>100</v>
      </c>
      <c r="E18" s="141" t="s">
        <v>254</v>
      </c>
      <c r="F18" s="141" t="s">
        <v>89</v>
      </c>
      <c r="G18" s="141">
        <v>1</v>
      </c>
      <c r="H18" s="141" t="s">
        <v>89</v>
      </c>
      <c r="I18" s="141" t="s">
        <v>89</v>
      </c>
      <c r="J18" s="145">
        <f t="shared" si="2"/>
        <v>100</v>
      </c>
    </row>
    <row r="19" spans="1:11" ht="21" customHeight="1" x14ac:dyDescent="0.15">
      <c r="A19" s="155">
        <v>40043018</v>
      </c>
      <c r="B19" s="47">
        <v>0</v>
      </c>
      <c r="C19" s="47">
        <v>10</v>
      </c>
      <c r="D19" s="47">
        <v>100</v>
      </c>
      <c r="E19" s="47" t="s">
        <v>254</v>
      </c>
      <c r="F19" s="47" t="s">
        <v>89</v>
      </c>
      <c r="G19" s="47" t="s">
        <v>88</v>
      </c>
      <c r="H19" s="47">
        <v>1</v>
      </c>
      <c r="I19" s="47" t="s">
        <v>89</v>
      </c>
      <c r="J19" s="48">
        <f t="shared" si="2"/>
        <v>100</v>
      </c>
    </row>
    <row r="20" spans="1:11" ht="21" customHeight="1" x14ac:dyDescent="0.15">
      <c r="A20" s="155">
        <v>40043019</v>
      </c>
      <c r="B20" s="47">
        <v>0</v>
      </c>
      <c r="C20" s="47">
        <v>20</v>
      </c>
      <c r="D20" s="47">
        <v>100</v>
      </c>
      <c r="E20" s="47" t="s">
        <v>254</v>
      </c>
      <c r="F20" s="47" t="s">
        <v>89</v>
      </c>
      <c r="G20" s="47" t="s">
        <v>88</v>
      </c>
      <c r="H20" s="47">
        <v>2</v>
      </c>
      <c r="I20" s="47" t="s">
        <v>89</v>
      </c>
      <c r="J20" s="48">
        <f t="shared" si="2"/>
        <v>100</v>
      </c>
    </row>
    <row r="21" spans="1:11" ht="21" customHeight="1" x14ac:dyDescent="0.15">
      <c r="A21" s="155">
        <v>40043020</v>
      </c>
      <c r="B21" s="47">
        <v>0</v>
      </c>
      <c r="C21" s="47">
        <v>30</v>
      </c>
      <c r="D21" s="47">
        <v>100</v>
      </c>
      <c r="E21" s="47" t="s">
        <v>254</v>
      </c>
      <c r="F21" s="47" t="s">
        <v>89</v>
      </c>
      <c r="G21" s="47">
        <v>1</v>
      </c>
      <c r="H21" s="47">
        <v>4</v>
      </c>
      <c r="I21" s="47" t="s">
        <v>89</v>
      </c>
      <c r="J21" s="48">
        <f t="shared" si="2"/>
        <v>100</v>
      </c>
    </row>
    <row r="22" spans="1:11" ht="21" customHeight="1" x14ac:dyDescent="0.15">
      <c r="A22" s="166">
        <v>40043021</v>
      </c>
      <c r="B22" s="47">
        <v>0</v>
      </c>
      <c r="C22" s="47">
        <v>40</v>
      </c>
      <c r="D22" s="47">
        <v>100</v>
      </c>
      <c r="E22" s="47" t="s">
        <v>254</v>
      </c>
      <c r="F22" s="47" t="s">
        <v>89</v>
      </c>
      <c r="G22" s="47">
        <v>1</v>
      </c>
      <c r="H22" s="47">
        <v>5</v>
      </c>
      <c r="I22" s="47" t="s">
        <v>89</v>
      </c>
      <c r="J22" s="48">
        <f t="shared" si="2"/>
        <v>100</v>
      </c>
    </row>
    <row r="23" spans="1:11" ht="21" customHeight="1" thickBot="1" x14ac:dyDescent="0.2">
      <c r="A23" s="159">
        <v>40043022</v>
      </c>
      <c r="B23" s="147">
        <v>0</v>
      </c>
      <c r="C23" s="147" t="s">
        <v>88</v>
      </c>
      <c r="D23" s="147">
        <v>100</v>
      </c>
      <c r="E23" s="147" t="s">
        <v>254</v>
      </c>
      <c r="F23" s="147" t="s">
        <v>89</v>
      </c>
      <c r="G23" s="147">
        <v>0</v>
      </c>
      <c r="H23" s="147" t="s">
        <v>89</v>
      </c>
      <c r="I23" s="147">
        <v>0</v>
      </c>
      <c r="J23" s="151">
        <f t="shared" si="2"/>
        <v>100</v>
      </c>
      <c r="K23" s="169"/>
    </row>
    <row r="24" spans="1:11" ht="21" customHeight="1" x14ac:dyDescent="0.15">
      <c r="A24" s="171">
        <v>40043023</v>
      </c>
      <c r="B24" s="172">
        <v>0</v>
      </c>
      <c r="C24" s="172">
        <v>10</v>
      </c>
      <c r="D24" s="172">
        <v>100</v>
      </c>
      <c r="E24" s="172" t="s">
        <v>254</v>
      </c>
      <c r="F24" s="172" t="s">
        <v>89</v>
      </c>
      <c r="G24" s="172" t="s">
        <v>88</v>
      </c>
      <c r="H24" s="172">
        <v>2</v>
      </c>
      <c r="I24" s="172" t="s">
        <v>89</v>
      </c>
      <c r="J24" s="173">
        <f t="shared" si="2"/>
        <v>100</v>
      </c>
      <c r="K24" s="174"/>
    </row>
    <row r="25" spans="1:11" ht="21" customHeight="1" thickBot="1" x14ac:dyDescent="0.2">
      <c r="A25" s="156">
        <v>40043024</v>
      </c>
      <c r="B25" s="147">
        <v>0</v>
      </c>
      <c r="C25" s="147">
        <v>20</v>
      </c>
      <c r="D25" s="147">
        <v>100</v>
      </c>
      <c r="E25" s="147" t="s">
        <v>254</v>
      </c>
      <c r="F25" s="147" t="s">
        <v>89</v>
      </c>
      <c r="G25" s="147" t="s">
        <v>88</v>
      </c>
      <c r="H25" s="147">
        <v>3</v>
      </c>
      <c r="I25" s="147" t="s">
        <v>89</v>
      </c>
      <c r="J25" s="151">
        <f t="shared" si="2"/>
        <v>100</v>
      </c>
      <c r="K25" s="169"/>
    </row>
    <row r="26" spans="1:11" ht="21" customHeight="1" x14ac:dyDescent="0.15">
      <c r="A26" s="157">
        <v>40043025</v>
      </c>
      <c r="B26" s="141">
        <v>1</v>
      </c>
      <c r="C26" s="141" t="s">
        <v>88</v>
      </c>
      <c r="D26" s="141">
        <v>100</v>
      </c>
      <c r="E26" s="141" t="s">
        <v>254</v>
      </c>
      <c r="F26" s="141" t="s">
        <v>89</v>
      </c>
      <c r="G26" s="141">
        <v>1</v>
      </c>
      <c r="H26" s="141" t="s">
        <v>89</v>
      </c>
      <c r="I26" s="141" t="s">
        <v>89</v>
      </c>
      <c r="J26" s="145">
        <f t="shared" si="2"/>
        <v>100</v>
      </c>
    </row>
    <row r="27" spans="1:11" ht="21" customHeight="1" x14ac:dyDescent="0.15">
      <c r="A27" s="157">
        <v>40043026</v>
      </c>
      <c r="B27" s="47">
        <v>0</v>
      </c>
      <c r="C27" s="47">
        <v>10</v>
      </c>
      <c r="D27" s="47">
        <v>100</v>
      </c>
      <c r="E27" s="47" t="s">
        <v>254</v>
      </c>
      <c r="F27" s="47" t="s">
        <v>89</v>
      </c>
      <c r="G27" s="47" t="s">
        <v>88</v>
      </c>
      <c r="H27" s="47">
        <v>2</v>
      </c>
      <c r="I27" s="47" t="s">
        <v>89</v>
      </c>
      <c r="J27" s="48">
        <f t="shared" si="2"/>
        <v>100</v>
      </c>
    </row>
    <row r="28" spans="1:11" ht="21" customHeight="1" x14ac:dyDescent="0.15">
      <c r="A28" s="157">
        <v>40043027</v>
      </c>
      <c r="B28" s="47">
        <v>0</v>
      </c>
      <c r="C28" s="47">
        <v>20</v>
      </c>
      <c r="D28" s="47">
        <v>100</v>
      </c>
      <c r="E28" s="47" t="s">
        <v>254</v>
      </c>
      <c r="F28" s="47" t="s">
        <v>89</v>
      </c>
      <c r="G28" s="47" t="s">
        <v>88</v>
      </c>
      <c r="H28" s="47">
        <v>4</v>
      </c>
      <c r="I28" s="47" t="s">
        <v>89</v>
      </c>
      <c r="J28" s="48">
        <f t="shared" si="2"/>
        <v>100</v>
      </c>
    </row>
    <row r="29" spans="1:11" ht="21" customHeight="1" thickBot="1" x14ac:dyDescent="0.2">
      <c r="A29" s="158">
        <v>40043028</v>
      </c>
      <c r="B29" s="147">
        <v>0</v>
      </c>
      <c r="C29" s="147">
        <v>30</v>
      </c>
      <c r="D29" s="147">
        <v>100</v>
      </c>
      <c r="E29" s="147">
        <v>50</v>
      </c>
      <c r="F29" s="147" t="s">
        <v>89</v>
      </c>
      <c r="G29" s="147">
        <v>1</v>
      </c>
      <c r="H29" s="147">
        <v>1</v>
      </c>
      <c r="I29" s="147" t="s">
        <v>89</v>
      </c>
      <c r="J29" s="151">
        <f t="shared" si="2"/>
        <v>100</v>
      </c>
      <c r="K29" s="169"/>
    </row>
    <row r="30" spans="1:11" ht="21" customHeight="1" x14ac:dyDescent="0.15">
      <c r="A30" s="157">
        <v>40043029</v>
      </c>
      <c r="B30" s="141">
        <v>1</v>
      </c>
      <c r="C30" s="141" t="s">
        <v>88</v>
      </c>
      <c r="D30" s="141">
        <v>100</v>
      </c>
      <c r="E30" s="141" t="s">
        <v>254</v>
      </c>
      <c r="F30" s="141" t="s">
        <v>89</v>
      </c>
      <c r="G30" s="141" t="s">
        <v>88</v>
      </c>
      <c r="H30" s="141" t="s">
        <v>89</v>
      </c>
      <c r="I30" s="141" t="s">
        <v>89</v>
      </c>
      <c r="J30" s="145">
        <f t="shared" si="2"/>
        <v>100</v>
      </c>
    </row>
    <row r="31" spans="1:11" ht="21" customHeight="1" x14ac:dyDescent="0.15">
      <c r="A31" s="157">
        <v>40043030</v>
      </c>
      <c r="B31" s="47">
        <v>0</v>
      </c>
      <c r="C31" s="47">
        <v>10</v>
      </c>
      <c r="D31" s="47">
        <v>100</v>
      </c>
      <c r="E31" s="47" t="s">
        <v>254</v>
      </c>
      <c r="F31" s="47" t="s">
        <v>89</v>
      </c>
      <c r="G31" s="47" t="s">
        <v>88</v>
      </c>
      <c r="H31" s="47">
        <v>1</v>
      </c>
      <c r="I31" s="47" t="s">
        <v>89</v>
      </c>
      <c r="J31" s="48">
        <f t="shared" si="2"/>
        <v>100</v>
      </c>
    </row>
    <row r="32" spans="1:11" ht="21" customHeight="1" x14ac:dyDescent="0.15">
      <c r="A32" s="157">
        <v>40043031</v>
      </c>
      <c r="B32" s="47">
        <v>0</v>
      </c>
      <c r="C32" s="47">
        <v>50</v>
      </c>
      <c r="D32" s="47">
        <v>100</v>
      </c>
      <c r="E32" s="47" t="s">
        <v>254</v>
      </c>
      <c r="F32" s="47" t="s">
        <v>89</v>
      </c>
      <c r="G32" s="47">
        <v>1</v>
      </c>
      <c r="H32" s="47">
        <v>2</v>
      </c>
      <c r="I32" s="47" t="s">
        <v>89</v>
      </c>
      <c r="J32" s="48">
        <f t="shared" si="2"/>
        <v>100</v>
      </c>
    </row>
    <row r="33" spans="1:11" ht="21" customHeight="1" x14ac:dyDescent="0.15">
      <c r="A33" s="157">
        <v>40043032</v>
      </c>
      <c r="B33" s="47">
        <v>0</v>
      </c>
      <c r="C33" s="47">
        <v>60</v>
      </c>
      <c r="D33" s="47">
        <v>100</v>
      </c>
      <c r="E33" s="47" t="s">
        <v>254</v>
      </c>
      <c r="F33" s="47" t="s">
        <v>89</v>
      </c>
      <c r="G33" s="47" t="s">
        <v>88</v>
      </c>
      <c r="H33" s="47">
        <v>3</v>
      </c>
      <c r="I33" s="47" t="s">
        <v>89</v>
      </c>
      <c r="J33" s="48">
        <f t="shared" si="2"/>
        <v>100</v>
      </c>
    </row>
    <row r="34" spans="1:11" ht="21" customHeight="1" x14ac:dyDescent="0.15">
      <c r="A34" s="157">
        <v>40043033</v>
      </c>
      <c r="B34" s="47">
        <v>0</v>
      </c>
      <c r="C34" s="47">
        <v>70</v>
      </c>
      <c r="D34" s="47">
        <v>100</v>
      </c>
      <c r="E34" s="47" t="s">
        <v>254</v>
      </c>
      <c r="F34" s="47" t="s">
        <v>89</v>
      </c>
      <c r="G34" s="47" t="s">
        <v>88</v>
      </c>
      <c r="H34" s="47">
        <v>4</v>
      </c>
      <c r="I34" s="47" t="s">
        <v>89</v>
      </c>
      <c r="J34" s="48">
        <f t="shared" ref="J34:J75" si="3">D34</f>
        <v>100</v>
      </c>
    </row>
    <row r="35" spans="1:11" ht="21" customHeight="1" x14ac:dyDescent="0.15">
      <c r="A35" s="157">
        <v>40043034</v>
      </c>
      <c r="B35" s="47">
        <v>0</v>
      </c>
      <c r="C35" s="47">
        <v>20</v>
      </c>
      <c r="D35" s="47">
        <v>100</v>
      </c>
      <c r="E35" s="47">
        <v>50</v>
      </c>
      <c r="F35" s="47" t="s">
        <v>89</v>
      </c>
      <c r="G35" s="47" t="s">
        <v>88</v>
      </c>
      <c r="H35" s="47">
        <v>2</v>
      </c>
      <c r="I35" s="47" t="s">
        <v>89</v>
      </c>
      <c r="J35" s="48">
        <f t="shared" si="3"/>
        <v>100</v>
      </c>
      <c r="K35" s="170"/>
    </row>
    <row r="36" spans="1:11" ht="21" customHeight="1" thickBot="1" x14ac:dyDescent="0.2">
      <c r="A36" s="158">
        <v>40043035</v>
      </c>
      <c r="B36" s="147">
        <v>0</v>
      </c>
      <c r="C36" s="147">
        <v>30</v>
      </c>
      <c r="D36" s="147">
        <v>50</v>
      </c>
      <c r="E36" s="147">
        <v>25</v>
      </c>
      <c r="F36" s="147" t="s">
        <v>89</v>
      </c>
      <c r="G36" s="147" t="s">
        <v>88</v>
      </c>
      <c r="H36" s="147">
        <v>2</v>
      </c>
      <c r="I36" s="147" t="s">
        <v>89</v>
      </c>
      <c r="J36" s="151">
        <f t="shared" si="3"/>
        <v>50</v>
      </c>
      <c r="K36" s="169"/>
    </row>
    <row r="37" spans="1:11" ht="21" customHeight="1" x14ac:dyDescent="0.15">
      <c r="A37" s="157">
        <v>40043036</v>
      </c>
      <c r="B37" s="141">
        <v>1</v>
      </c>
      <c r="C37" s="141" t="s">
        <v>88</v>
      </c>
      <c r="D37" s="141">
        <v>100</v>
      </c>
      <c r="E37" s="141" t="s">
        <v>254</v>
      </c>
      <c r="F37" s="141" t="s">
        <v>89</v>
      </c>
      <c r="G37" s="141">
        <v>1</v>
      </c>
      <c r="H37" s="141" t="s">
        <v>89</v>
      </c>
      <c r="I37" s="141" t="s">
        <v>89</v>
      </c>
      <c r="J37" s="145">
        <f t="shared" si="3"/>
        <v>100</v>
      </c>
    </row>
    <row r="38" spans="1:11" ht="21" customHeight="1" x14ac:dyDescent="0.15">
      <c r="A38" s="157">
        <v>40043037</v>
      </c>
      <c r="B38" s="47">
        <v>0</v>
      </c>
      <c r="C38" s="47">
        <v>20</v>
      </c>
      <c r="D38" s="47">
        <v>100</v>
      </c>
      <c r="E38" s="47" t="s">
        <v>254</v>
      </c>
      <c r="F38" s="47" t="s">
        <v>89</v>
      </c>
      <c r="G38" s="47" t="s">
        <v>88</v>
      </c>
      <c r="H38" s="47">
        <v>2</v>
      </c>
      <c r="I38" s="47" t="s">
        <v>89</v>
      </c>
      <c r="J38" s="48">
        <f t="shared" si="3"/>
        <v>100</v>
      </c>
    </row>
    <row r="39" spans="1:11" ht="21" customHeight="1" x14ac:dyDescent="0.15">
      <c r="A39" s="157">
        <v>40043038</v>
      </c>
      <c r="B39" s="47">
        <v>0</v>
      </c>
      <c r="C39" s="47">
        <v>30</v>
      </c>
      <c r="D39" s="47">
        <v>100</v>
      </c>
      <c r="E39" s="47" t="s">
        <v>254</v>
      </c>
      <c r="F39" s="47" t="s">
        <v>89</v>
      </c>
      <c r="G39" s="47" t="s">
        <v>88</v>
      </c>
      <c r="H39" s="47">
        <v>3</v>
      </c>
      <c r="I39" s="47" t="s">
        <v>89</v>
      </c>
      <c r="J39" s="48">
        <f t="shared" si="3"/>
        <v>100</v>
      </c>
    </row>
    <row r="40" spans="1:11" ht="21" customHeight="1" x14ac:dyDescent="0.15">
      <c r="A40" s="157">
        <v>40043039</v>
      </c>
      <c r="B40" s="47">
        <v>0</v>
      </c>
      <c r="C40" s="47">
        <v>40</v>
      </c>
      <c r="D40" s="47">
        <v>100</v>
      </c>
      <c r="E40" s="47" t="s">
        <v>254</v>
      </c>
      <c r="F40" s="47" t="s">
        <v>89</v>
      </c>
      <c r="G40" s="47" t="s">
        <v>88</v>
      </c>
      <c r="H40" s="47">
        <v>5</v>
      </c>
      <c r="I40" s="47" t="s">
        <v>89</v>
      </c>
      <c r="J40" s="48">
        <f t="shared" si="3"/>
        <v>100</v>
      </c>
      <c r="K40" s="170"/>
    </row>
    <row r="41" spans="1:11" ht="21" customHeight="1" x14ac:dyDescent="0.15">
      <c r="A41" s="157">
        <v>40043040</v>
      </c>
      <c r="B41" s="47">
        <v>0</v>
      </c>
      <c r="C41" s="47">
        <v>50</v>
      </c>
      <c r="D41" s="47">
        <v>100</v>
      </c>
      <c r="E41" s="47">
        <v>50</v>
      </c>
      <c r="F41" s="47" t="s">
        <v>89</v>
      </c>
      <c r="G41" s="47">
        <v>1</v>
      </c>
      <c r="H41" s="47">
        <v>1</v>
      </c>
      <c r="I41" s="47" t="s">
        <v>89</v>
      </c>
      <c r="J41" s="48">
        <f t="shared" si="3"/>
        <v>100</v>
      </c>
      <c r="K41" s="170"/>
    </row>
    <row r="42" spans="1:11" ht="21" customHeight="1" x14ac:dyDescent="0.15">
      <c r="A42" s="167">
        <v>40043041</v>
      </c>
      <c r="B42" s="47">
        <v>0</v>
      </c>
      <c r="C42" s="47">
        <v>25</v>
      </c>
      <c r="D42" s="47">
        <v>50</v>
      </c>
      <c r="E42" s="47">
        <v>25</v>
      </c>
      <c r="F42" s="47" t="s">
        <v>89</v>
      </c>
      <c r="G42" s="47" t="s">
        <v>89</v>
      </c>
      <c r="H42" s="47">
        <v>1</v>
      </c>
      <c r="I42" s="47" t="s">
        <v>89</v>
      </c>
      <c r="J42" s="48">
        <f t="shared" si="3"/>
        <v>50</v>
      </c>
      <c r="K42" s="170"/>
    </row>
    <row r="43" spans="1:11" ht="21" customHeight="1" thickBot="1" x14ac:dyDescent="0.2">
      <c r="A43" s="158">
        <v>40043042</v>
      </c>
      <c r="B43" s="147">
        <v>0</v>
      </c>
      <c r="C43" s="147" t="s">
        <v>88</v>
      </c>
      <c r="D43" s="147">
        <v>100</v>
      </c>
      <c r="E43" s="147" t="s">
        <v>254</v>
      </c>
      <c r="F43" s="147" t="s">
        <v>89</v>
      </c>
      <c r="G43" s="147">
        <v>0</v>
      </c>
      <c r="H43" s="147" t="s">
        <v>89</v>
      </c>
      <c r="I43" s="147">
        <v>0</v>
      </c>
      <c r="J43" s="151">
        <f t="shared" si="3"/>
        <v>100</v>
      </c>
      <c r="K43" s="169"/>
    </row>
    <row r="44" spans="1:11" ht="21" customHeight="1" x14ac:dyDescent="0.15">
      <c r="A44" s="140">
        <v>40043043</v>
      </c>
      <c r="B44" s="47">
        <v>1</v>
      </c>
      <c r="C44" s="47" t="s">
        <v>88</v>
      </c>
      <c r="D44" s="47">
        <v>100</v>
      </c>
      <c r="E44" s="47" t="s">
        <v>88</v>
      </c>
      <c r="F44" s="47" t="s">
        <v>88</v>
      </c>
      <c r="G44" s="47">
        <v>1</v>
      </c>
      <c r="H44" s="47" t="s">
        <v>88</v>
      </c>
      <c r="I44" s="47" t="s">
        <v>88</v>
      </c>
      <c r="J44" s="48">
        <f t="shared" si="3"/>
        <v>100</v>
      </c>
    </row>
    <row r="45" spans="1:11" ht="21" customHeight="1" x14ac:dyDescent="0.15">
      <c r="A45" s="140">
        <v>40043044</v>
      </c>
      <c r="B45" s="47">
        <v>0</v>
      </c>
      <c r="C45" s="47">
        <v>10</v>
      </c>
      <c r="D45" s="47">
        <v>100</v>
      </c>
      <c r="E45" s="47" t="s">
        <v>88</v>
      </c>
      <c r="F45" s="47" t="s">
        <v>88</v>
      </c>
      <c r="G45" s="47">
        <v>1</v>
      </c>
      <c r="H45" s="47">
        <v>1</v>
      </c>
      <c r="I45" s="47" t="s">
        <v>88</v>
      </c>
      <c r="J45" s="48">
        <f t="shared" si="3"/>
        <v>100</v>
      </c>
    </row>
    <row r="46" spans="1:11" ht="21" customHeight="1" x14ac:dyDescent="0.15">
      <c r="A46" s="140">
        <v>40043045</v>
      </c>
      <c r="B46" s="47">
        <v>0</v>
      </c>
      <c r="C46" s="47">
        <v>30</v>
      </c>
      <c r="D46" s="47">
        <v>100</v>
      </c>
      <c r="E46" s="47">
        <v>70</v>
      </c>
      <c r="F46" s="47" t="s">
        <v>88</v>
      </c>
      <c r="G46" s="47">
        <v>1</v>
      </c>
      <c r="H46" s="47">
        <v>1</v>
      </c>
      <c r="I46" s="47" t="s">
        <v>88</v>
      </c>
      <c r="J46" s="48">
        <f t="shared" si="3"/>
        <v>100</v>
      </c>
    </row>
    <row r="47" spans="1:11" ht="21" customHeight="1" thickBot="1" x14ac:dyDescent="0.2">
      <c r="A47" s="168">
        <v>40043046</v>
      </c>
      <c r="B47" s="147">
        <v>0</v>
      </c>
      <c r="C47" s="147">
        <v>20</v>
      </c>
      <c r="D47" s="147">
        <v>100</v>
      </c>
      <c r="E47" s="147">
        <v>70</v>
      </c>
      <c r="F47" s="147" t="s">
        <v>88</v>
      </c>
      <c r="G47" s="147">
        <v>1</v>
      </c>
      <c r="H47" s="147">
        <v>1</v>
      </c>
      <c r="I47" s="147" t="s">
        <v>88</v>
      </c>
      <c r="J47" s="151">
        <f t="shared" si="3"/>
        <v>100</v>
      </c>
      <c r="K47" s="169"/>
    </row>
    <row r="48" spans="1:11" ht="21" customHeight="1" x14ac:dyDescent="0.15">
      <c r="A48" s="153">
        <v>40043047</v>
      </c>
      <c r="B48" s="141">
        <v>1</v>
      </c>
      <c r="C48" s="141" t="s">
        <v>88</v>
      </c>
      <c r="D48" s="141">
        <v>100</v>
      </c>
      <c r="E48" s="141" t="s">
        <v>88</v>
      </c>
      <c r="F48" s="141" t="s">
        <v>88</v>
      </c>
      <c r="G48" s="141">
        <v>1</v>
      </c>
      <c r="H48" s="141" t="s">
        <v>88</v>
      </c>
      <c r="I48" s="141" t="s">
        <v>88</v>
      </c>
      <c r="J48" s="145">
        <f t="shared" si="3"/>
        <v>100</v>
      </c>
    </row>
    <row r="49" spans="1:11" ht="21" customHeight="1" x14ac:dyDescent="0.15">
      <c r="A49" s="153">
        <v>40043048</v>
      </c>
      <c r="B49" s="47">
        <v>0</v>
      </c>
      <c r="C49" s="47">
        <v>10</v>
      </c>
      <c r="D49" s="47">
        <v>100</v>
      </c>
      <c r="E49" s="47" t="s">
        <v>88</v>
      </c>
      <c r="F49" s="47" t="s">
        <v>88</v>
      </c>
      <c r="G49" s="47" t="s">
        <v>88</v>
      </c>
      <c r="H49" s="47">
        <v>1</v>
      </c>
      <c r="I49" s="47" t="s">
        <v>88</v>
      </c>
      <c r="J49" s="48">
        <f t="shared" si="3"/>
        <v>100</v>
      </c>
    </row>
    <row r="50" spans="1:11" ht="21" customHeight="1" x14ac:dyDescent="0.15">
      <c r="A50" s="153">
        <v>40043049</v>
      </c>
      <c r="B50" s="47">
        <v>0</v>
      </c>
      <c r="C50" s="47">
        <v>20</v>
      </c>
      <c r="D50" s="47">
        <v>100</v>
      </c>
      <c r="E50" s="47" t="s">
        <v>88</v>
      </c>
      <c r="F50" s="47" t="s">
        <v>88</v>
      </c>
      <c r="G50" s="47" t="s">
        <v>88</v>
      </c>
      <c r="H50" s="47">
        <v>2</v>
      </c>
      <c r="I50" s="47" t="s">
        <v>88</v>
      </c>
      <c r="J50" s="48">
        <f t="shared" si="3"/>
        <v>100</v>
      </c>
    </row>
    <row r="51" spans="1:11" ht="21" customHeight="1" x14ac:dyDescent="0.15">
      <c r="A51" s="153">
        <v>40043050</v>
      </c>
      <c r="B51" s="47">
        <v>0</v>
      </c>
      <c r="C51" s="47">
        <v>30</v>
      </c>
      <c r="D51" s="47">
        <v>100</v>
      </c>
      <c r="E51" s="47">
        <v>50</v>
      </c>
      <c r="F51" s="47" t="s">
        <v>88</v>
      </c>
      <c r="G51" s="47">
        <v>1</v>
      </c>
      <c r="H51" s="47">
        <v>1</v>
      </c>
      <c r="I51" s="47" t="s">
        <v>88</v>
      </c>
      <c r="J51" s="48">
        <f t="shared" si="3"/>
        <v>100</v>
      </c>
    </row>
    <row r="52" spans="1:11" ht="21" customHeight="1" thickBot="1" x14ac:dyDescent="0.2">
      <c r="A52" s="154">
        <v>40043051</v>
      </c>
      <c r="B52" s="147">
        <v>0</v>
      </c>
      <c r="C52" s="147">
        <v>40</v>
      </c>
      <c r="D52" s="147">
        <v>100</v>
      </c>
      <c r="E52" s="147">
        <v>25</v>
      </c>
      <c r="F52" s="147" t="s">
        <v>88</v>
      </c>
      <c r="G52" s="147">
        <v>1</v>
      </c>
      <c r="H52" s="147">
        <v>1</v>
      </c>
      <c r="I52" s="147" t="s">
        <v>88</v>
      </c>
      <c r="J52" s="151">
        <f t="shared" si="3"/>
        <v>100</v>
      </c>
      <c r="K52" s="169"/>
    </row>
    <row r="53" spans="1:11" ht="21" customHeight="1" x14ac:dyDescent="0.15">
      <c r="A53" s="153">
        <v>40043052</v>
      </c>
      <c r="B53" s="141">
        <v>1</v>
      </c>
      <c r="C53" s="141" t="s">
        <v>88</v>
      </c>
      <c r="D53" s="141">
        <v>100</v>
      </c>
      <c r="E53" s="141" t="s">
        <v>88</v>
      </c>
      <c r="F53" s="141" t="s">
        <v>88</v>
      </c>
      <c r="G53" s="141">
        <v>1</v>
      </c>
      <c r="H53" s="141" t="s">
        <v>88</v>
      </c>
      <c r="I53" s="141" t="s">
        <v>88</v>
      </c>
      <c r="J53" s="145">
        <f t="shared" si="3"/>
        <v>100</v>
      </c>
    </row>
    <row r="54" spans="1:11" ht="21" customHeight="1" x14ac:dyDescent="0.15">
      <c r="A54" s="153">
        <v>40043053</v>
      </c>
      <c r="B54" s="47">
        <v>0</v>
      </c>
      <c r="C54" s="47">
        <v>10</v>
      </c>
      <c r="D54" s="47">
        <v>100</v>
      </c>
      <c r="E54" s="47" t="s">
        <v>88</v>
      </c>
      <c r="F54" s="47" t="s">
        <v>88</v>
      </c>
      <c r="G54" s="47" t="s">
        <v>88</v>
      </c>
      <c r="H54" s="47">
        <v>1</v>
      </c>
      <c r="I54" s="47" t="s">
        <v>88</v>
      </c>
      <c r="J54" s="48">
        <f t="shared" si="3"/>
        <v>100</v>
      </c>
    </row>
    <row r="55" spans="1:11" ht="21" customHeight="1" x14ac:dyDescent="0.15">
      <c r="A55" s="153">
        <v>40043054</v>
      </c>
      <c r="B55" s="47">
        <v>0</v>
      </c>
      <c r="C55" s="47">
        <v>20</v>
      </c>
      <c r="D55" s="47">
        <v>100</v>
      </c>
      <c r="E55" s="47" t="s">
        <v>88</v>
      </c>
      <c r="F55" s="47" t="s">
        <v>88</v>
      </c>
      <c r="G55" s="47" t="s">
        <v>88</v>
      </c>
      <c r="H55" s="47">
        <v>2</v>
      </c>
      <c r="I55" s="47" t="s">
        <v>88</v>
      </c>
      <c r="J55" s="48">
        <f t="shared" si="3"/>
        <v>100</v>
      </c>
    </row>
    <row r="56" spans="1:11" ht="21" customHeight="1" x14ac:dyDescent="0.15">
      <c r="A56" s="153">
        <v>40043055</v>
      </c>
      <c r="B56" s="47">
        <v>0</v>
      </c>
      <c r="C56" s="47">
        <v>30</v>
      </c>
      <c r="D56" s="47">
        <v>100</v>
      </c>
      <c r="E56" s="47" t="s">
        <v>88</v>
      </c>
      <c r="F56" s="47" t="s">
        <v>88</v>
      </c>
      <c r="G56" s="47" t="s">
        <v>88</v>
      </c>
      <c r="H56" s="47">
        <v>3</v>
      </c>
      <c r="I56" s="47" t="s">
        <v>88</v>
      </c>
      <c r="J56" s="48">
        <f t="shared" si="3"/>
        <v>100</v>
      </c>
      <c r="K56" s="170"/>
    </row>
    <row r="57" spans="1:11" ht="21" customHeight="1" thickBot="1" x14ac:dyDescent="0.2">
      <c r="A57" s="154">
        <v>40043056</v>
      </c>
      <c r="B57" s="147">
        <v>0</v>
      </c>
      <c r="C57" s="147">
        <v>40</v>
      </c>
      <c r="D57" s="147">
        <v>100</v>
      </c>
      <c r="E57" s="147">
        <v>50</v>
      </c>
      <c r="F57" s="147" t="s">
        <v>88</v>
      </c>
      <c r="G57" s="147">
        <v>1</v>
      </c>
      <c r="H57" s="147">
        <v>1</v>
      </c>
      <c r="I57" s="147" t="s">
        <v>88</v>
      </c>
      <c r="J57" s="151">
        <f t="shared" si="3"/>
        <v>100</v>
      </c>
      <c r="K57" s="169"/>
    </row>
    <row r="58" spans="1:11" ht="21" customHeight="1" x14ac:dyDescent="0.15">
      <c r="A58" s="155">
        <v>40043057</v>
      </c>
      <c r="B58" s="172">
        <v>0</v>
      </c>
      <c r="C58" s="172">
        <v>10</v>
      </c>
      <c r="D58" s="172">
        <v>100</v>
      </c>
      <c r="E58" s="172" t="s">
        <v>88</v>
      </c>
      <c r="F58" s="172" t="s">
        <v>88</v>
      </c>
      <c r="G58" s="172" t="s">
        <v>88</v>
      </c>
      <c r="H58" s="172">
        <v>2</v>
      </c>
      <c r="I58" s="172" t="s">
        <v>88</v>
      </c>
      <c r="J58" s="173">
        <f t="shared" si="3"/>
        <v>100</v>
      </c>
      <c r="K58" s="174"/>
    </row>
    <row r="59" spans="1:11" ht="21" customHeight="1" thickBot="1" x14ac:dyDescent="0.2">
      <c r="A59" s="155">
        <v>40043058</v>
      </c>
      <c r="B59" s="147">
        <v>0</v>
      </c>
      <c r="C59" s="147">
        <v>20</v>
      </c>
      <c r="D59" s="147">
        <v>100</v>
      </c>
      <c r="E59" s="147" t="s">
        <v>88</v>
      </c>
      <c r="F59" s="147" t="s">
        <v>88</v>
      </c>
      <c r="G59" s="147" t="s">
        <v>88</v>
      </c>
      <c r="H59" s="147">
        <v>3</v>
      </c>
      <c r="I59" s="147" t="s">
        <v>88</v>
      </c>
      <c r="J59" s="151">
        <f t="shared" si="3"/>
        <v>100</v>
      </c>
      <c r="K59" s="169"/>
    </row>
    <row r="60" spans="1:11" ht="21" customHeight="1" x14ac:dyDescent="0.15">
      <c r="A60" s="185">
        <v>40043059</v>
      </c>
      <c r="B60" s="141">
        <v>1</v>
      </c>
      <c r="C60" s="141" t="s">
        <v>88</v>
      </c>
      <c r="D60" s="141">
        <v>100</v>
      </c>
      <c r="E60" s="141" t="s">
        <v>88</v>
      </c>
      <c r="F60" s="141" t="s">
        <v>88</v>
      </c>
      <c r="G60" s="141">
        <v>1</v>
      </c>
      <c r="H60" s="141" t="s">
        <v>88</v>
      </c>
      <c r="I60" s="141" t="s">
        <v>88</v>
      </c>
      <c r="J60" s="145">
        <f t="shared" si="3"/>
        <v>100</v>
      </c>
    </row>
    <row r="61" spans="1:11" ht="21" customHeight="1" x14ac:dyDescent="0.15">
      <c r="A61" s="166">
        <v>40043060</v>
      </c>
      <c r="B61" s="47">
        <v>0</v>
      </c>
      <c r="C61" s="47">
        <v>10</v>
      </c>
      <c r="D61" s="47">
        <v>100</v>
      </c>
      <c r="E61" s="47" t="s">
        <v>88</v>
      </c>
      <c r="F61" s="47" t="s">
        <v>88</v>
      </c>
      <c r="G61" s="47" t="s">
        <v>88</v>
      </c>
      <c r="H61" s="47">
        <v>1</v>
      </c>
      <c r="I61" s="47" t="s">
        <v>88</v>
      </c>
      <c r="J61" s="48">
        <f t="shared" si="3"/>
        <v>100</v>
      </c>
    </row>
    <row r="62" spans="1:11" ht="21" customHeight="1" x14ac:dyDescent="0.15">
      <c r="A62" s="166">
        <v>40043061</v>
      </c>
      <c r="B62" s="47">
        <v>0</v>
      </c>
      <c r="C62" s="47">
        <v>20</v>
      </c>
      <c r="D62" s="47">
        <v>100</v>
      </c>
      <c r="E62" s="47" t="s">
        <v>88</v>
      </c>
      <c r="F62" s="47" t="s">
        <v>88</v>
      </c>
      <c r="G62" s="47" t="s">
        <v>88</v>
      </c>
      <c r="H62" s="47">
        <v>2</v>
      </c>
      <c r="I62" s="47" t="s">
        <v>88</v>
      </c>
      <c r="J62" s="48">
        <f t="shared" si="3"/>
        <v>100</v>
      </c>
    </row>
    <row r="63" spans="1:11" ht="21" customHeight="1" x14ac:dyDescent="0.15">
      <c r="A63" s="166">
        <v>40043062</v>
      </c>
      <c r="B63" s="47">
        <v>0</v>
      </c>
      <c r="C63" s="47">
        <v>30</v>
      </c>
      <c r="D63" s="47">
        <v>100</v>
      </c>
      <c r="E63" s="47" t="s">
        <v>88</v>
      </c>
      <c r="F63" s="47" t="s">
        <v>88</v>
      </c>
      <c r="G63" s="47">
        <v>1</v>
      </c>
      <c r="H63" s="47">
        <v>4</v>
      </c>
      <c r="I63" s="47" t="s">
        <v>88</v>
      </c>
      <c r="J63" s="48">
        <f t="shared" si="3"/>
        <v>100</v>
      </c>
    </row>
    <row r="64" spans="1:11" ht="21" customHeight="1" x14ac:dyDescent="0.15">
      <c r="A64" s="166">
        <v>40043063</v>
      </c>
      <c r="B64" s="47">
        <v>0</v>
      </c>
      <c r="C64" s="47">
        <v>40</v>
      </c>
      <c r="D64" s="47">
        <v>100</v>
      </c>
      <c r="E64" s="47" t="s">
        <v>88</v>
      </c>
      <c r="F64" s="47" t="s">
        <v>88</v>
      </c>
      <c r="G64" s="47">
        <v>1</v>
      </c>
      <c r="H64" s="47">
        <v>5</v>
      </c>
      <c r="I64" s="47" t="s">
        <v>88</v>
      </c>
      <c r="J64" s="48">
        <f t="shared" si="3"/>
        <v>100</v>
      </c>
    </row>
    <row r="65" spans="1:11" ht="21" customHeight="1" thickBot="1" x14ac:dyDescent="0.2">
      <c r="A65" s="155">
        <v>40043064</v>
      </c>
      <c r="B65" s="147">
        <v>0</v>
      </c>
      <c r="C65" s="147" t="s">
        <v>88</v>
      </c>
      <c r="D65" s="147">
        <v>100</v>
      </c>
      <c r="E65" s="147" t="s">
        <v>88</v>
      </c>
      <c r="F65" s="147" t="s">
        <v>88</v>
      </c>
      <c r="G65" s="147">
        <v>0</v>
      </c>
      <c r="H65" s="147" t="s">
        <v>88</v>
      </c>
      <c r="I65" s="147">
        <v>0</v>
      </c>
      <c r="J65" s="151">
        <f t="shared" si="3"/>
        <v>100</v>
      </c>
      <c r="K65" s="169"/>
    </row>
    <row r="66" spans="1:11" ht="21" customHeight="1" x14ac:dyDescent="0.15">
      <c r="A66" s="171">
        <v>40043065</v>
      </c>
      <c r="B66" s="172">
        <v>0</v>
      </c>
      <c r="C66" s="172">
        <v>10</v>
      </c>
      <c r="D66" s="172">
        <v>100</v>
      </c>
      <c r="E66" s="172" t="s">
        <v>88</v>
      </c>
      <c r="F66" s="172" t="s">
        <v>88</v>
      </c>
      <c r="G66" s="172" t="s">
        <v>88</v>
      </c>
      <c r="H66" s="172">
        <v>2</v>
      </c>
      <c r="I66" s="172" t="s">
        <v>88</v>
      </c>
      <c r="J66" s="173">
        <f t="shared" si="3"/>
        <v>100</v>
      </c>
      <c r="K66" s="174"/>
    </row>
    <row r="67" spans="1:11" ht="21" customHeight="1" thickBot="1" x14ac:dyDescent="0.2">
      <c r="A67" s="156">
        <v>40043066</v>
      </c>
      <c r="B67" s="147">
        <v>0</v>
      </c>
      <c r="C67" s="147">
        <v>20</v>
      </c>
      <c r="D67" s="147">
        <v>100</v>
      </c>
      <c r="E67" s="147" t="s">
        <v>88</v>
      </c>
      <c r="F67" s="147" t="s">
        <v>88</v>
      </c>
      <c r="G67" s="147" t="s">
        <v>88</v>
      </c>
      <c r="H67" s="147">
        <v>3</v>
      </c>
      <c r="I67" s="147" t="s">
        <v>88</v>
      </c>
      <c r="J67" s="151">
        <f t="shared" si="3"/>
        <v>100</v>
      </c>
      <c r="K67" s="169"/>
    </row>
    <row r="68" spans="1:11" ht="21" customHeight="1" x14ac:dyDescent="0.15">
      <c r="A68" s="157">
        <v>40043067</v>
      </c>
      <c r="B68" s="141">
        <v>1</v>
      </c>
      <c r="C68" s="141" t="s">
        <v>88</v>
      </c>
      <c r="D68" s="141">
        <v>100</v>
      </c>
      <c r="E68" s="141" t="s">
        <v>88</v>
      </c>
      <c r="F68" s="141" t="s">
        <v>88</v>
      </c>
      <c r="G68" s="141">
        <v>1</v>
      </c>
      <c r="H68" s="141" t="s">
        <v>88</v>
      </c>
      <c r="I68" s="141" t="s">
        <v>88</v>
      </c>
      <c r="J68" s="145">
        <f t="shared" si="3"/>
        <v>100</v>
      </c>
    </row>
    <row r="69" spans="1:11" ht="21" customHeight="1" x14ac:dyDescent="0.15">
      <c r="A69" s="157">
        <v>40043068</v>
      </c>
      <c r="B69" s="47">
        <v>0</v>
      </c>
      <c r="C69" s="47">
        <v>10</v>
      </c>
      <c r="D69" s="47">
        <v>100</v>
      </c>
      <c r="E69" s="47" t="s">
        <v>88</v>
      </c>
      <c r="F69" s="47" t="s">
        <v>88</v>
      </c>
      <c r="G69" s="47" t="s">
        <v>88</v>
      </c>
      <c r="H69" s="47">
        <v>2</v>
      </c>
      <c r="I69" s="47" t="s">
        <v>88</v>
      </c>
      <c r="J69" s="48">
        <f t="shared" si="3"/>
        <v>100</v>
      </c>
    </row>
    <row r="70" spans="1:11" ht="21" customHeight="1" x14ac:dyDescent="0.15">
      <c r="A70" s="157">
        <v>40043069</v>
      </c>
      <c r="B70" s="47">
        <v>0</v>
      </c>
      <c r="C70" s="47">
        <v>20</v>
      </c>
      <c r="D70" s="47">
        <v>100</v>
      </c>
      <c r="E70" s="47" t="s">
        <v>88</v>
      </c>
      <c r="F70" s="47" t="s">
        <v>88</v>
      </c>
      <c r="G70" s="47" t="s">
        <v>88</v>
      </c>
      <c r="H70" s="47">
        <v>4</v>
      </c>
      <c r="I70" s="47" t="s">
        <v>88</v>
      </c>
      <c r="J70" s="48">
        <f t="shared" si="3"/>
        <v>100</v>
      </c>
    </row>
    <row r="71" spans="1:11" ht="21" customHeight="1" thickBot="1" x14ac:dyDescent="0.2">
      <c r="A71" s="158">
        <v>40043070</v>
      </c>
      <c r="B71" s="147">
        <v>0</v>
      </c>
      <c r="C71" s="147">
        <v>30</v>
      </c>
      <c r="D71" s="147">
        <v>100</v>
      </c>
      <c r="E71" s="147">
        <v>50</v>
      </c>
      <c r="F71" s="147" t="s">
        <v>88</v>
      </c>
      <c r="G71" s="147">
        <v>1</v>
      </c>
      <c r="H71" s="147">
        <v>1</v>
      </c>
      <c r="I71" s="147" t="s">
        <v>88</v>
      </c>
      <c r="J71" s="151">
        <f t="shared" si="3"/>
        <v>100</v>
      </c>
      <c r="K71" s="169"/>
    </row>
    <row r="72" spans="1:11" ht="21" customHeight="1" x14ac:dyDescent="0.15">
      <c r="A72" s="157">
        <v>40043071</v>
      </c>
      <c r="B72" s="141">
        <v>1</v>
      </c>
      <c r="C72" s="141" t="s">
        <v>88</v>
      </c>
      <c r="D72" s="141">
        <v>100</v>
      </c>
      <c r="E72" s="141" t="s">
        <v>88</v>
      </c>
      <c r="F72" s="141" t="s">
        <v>88</v>
      </c>
      <c r="G72" s="141" t="s">
        <v>88</v>
      </c>
      <c r="H72" s="141" t="s">
        <v>88</v>
      </c>
      <c r="I72" s="141" t="s">
        <v>88</v>
      </c>
      <c r="J72" s="145">
        <f t="shared" si="3"/>
        <v>100</v>
      </c>
    </row>
    <row r="73" spans="1:11" ht="21" customHeight="1" x14ac:dyDescent="0.15">
      <c r="A73" s="157">
        <v>40043072</v>
      </c>
      <c r="B73" s="47">
        <v>0</v>
      </c>
      <c r="C73" s="47">
        <v>10</v>
      </c>
      <c r="D73" s="47">
        <v>100</v>
      </c>
      <c r="E73" s="47" t="s">
        <v>88</v>
      </c>
      <c r="F73" s="47" t="s">
        <v>88</v>
      </c>
      <c r="G73" s="47" t="s">
        <v>88</v>
      </c>
      <c r="H73" s="47">
        <v>1</v>
      </c>
      <c r="I73" s="47" t="s">
        <v>88</v>
      </c>
      <c r="J73" s="48">
        <f t="shared" si="3"/>
        <v>100</v>
      </c>
    </row>
    <row r="74" spans="1:11" ht="21" customHeight="1" x14ac:dyDescent="0.15">
      <c r="A74" s="157">
        <v>40043073</v>
      </c>
      <c r="B74" s="47">
        <v>0</v>
      </c>
      <c r="C74" s="47">
        <v>50</v>
      </c>
      <c r="D74" s="47">
        <v>100</v>
      </c>
      <c r="E74" s="47" t="s">
        <v>88</v>
      </c>
      <c r="F74" s="47" t="s">
        <v>88</v>
      </c>
      <c r="G74" s="47">
        <v>1</v>
      </c>
      <c r="H74" s="47">
        <v>2</v>
      </c>
      <c r="I74" s="47" t="s">
        <v>88</v>
      </c>
      <c r="J74" s="48">
        <f t="shared" si="3"/>
        <v>100</v>
      </c>
    </row>
    <row r="75" spans="1:11" ht="21" customHeight="1" x14ac:dyDescent="0.15">
      <c r="A75" s="157">
        <v>40043074</v>
      </c>
      <c r="B75" s="47">
        <v>0</v>
      </c>
      <c r="C75" s="47">
        <v>60</v>
      </c>
      <c r="D75" s="47">
        <v>100</v>
      </c>
      <c r="E75" s="47" t="s">
        <v>88</v>
      </c>
      <c r="F75" s="47" t="s">
        <v>88</v>
      </c>
      <c r="G75" s="47" t="s">
        <v>88</v>
      </c>
      <c r="H75" s="47">
        <v>3</v>
      </c>
      <c r="I75" s="47" t="s">
        <v>88</v>
      </c>
      <c r="J75" s="48">
        <f t="shared" si="3"/>
        <v>100</v>
      </c>
    </row>
    <row r="76" spans="1:11" ht="21" customHeight="1" x14ac:dyDescent="0.15">
      <c r="A76" s="157">
        <v>40043075</v>
      </c>
      <c r="B76" s="47">
        <v>0</v>
      </c>
      <c r="C76" s="47">
        <v>70</v>
      </c>
      <c r="D76" s="47">
        <v>100</v>
      </c>
      <c r="E76" s="47" t="s">
        <v>88</v>
      </c>
      <c r="F76" s="47" t="s">
        <v>88</v>
      </c>
      <c r="G76" s="47" t="s">
        <v>88</v>
      </c>
      <c r="H76" s="47">
        <v>4</v>
      </c>
      <c r="I76" s="47" t="s">
        <v>88</v>
      </c>
      <c r="J76" s="48">
        <f t="shared" ref="J76:J87" si="4">D76</f>
        <v>100</v>
      </c>
    </row>
    <row r="77" spans="1:11" ht="21" customHeight="1" x14ac:dyDescent="0.15">
      <c r="A77" s="157">
        <v>40043076</v>
      </c>
      <c r="B77" s="47">
        <v>0</v>
      </c>
      <c r="C77" s="47">
        <v>20</v>
      </c>
      <c r="D77" s="47">
        <v>100</v>
      </c>
      <c r="E77" s="47">
        <v>50</v>
      </c>
      <c r="F77" s="47" t="s">
        <v>88</v>
      </c>
      <c r="G77" s="47" t="s">
        <v>88</v>
      </c>
      <c r="H77" s="47">
        <v>2</v>
      </c>
      <c r="I77" s="47" t="s">
        <v>88</v>
      </c>
      <c r="J77" s="48">
        <f t="shared" si="4"/>
        <v>100</v>
      </c>
      <c r="K77" s="170"/>
    </row>
    <row r="78" spans="1:11" ht="21" customHeight="1" thickBot="1" x14ac:dyDescent="0.2">
      <c r="A78" s="158">
        <v>40043077</v>
      </c>
      <c r="B78" s="147">
        <v>0</v>
      </c>
      <c r="C78" s="147">
        <v>30</v>
      </c>
      <c r="D78" s="147">
        <v>50</v>
      </c>
      <c r="E78" s="147">
        <v>25</v>
      </c>
      <c r="F78" s="147" t="s">
        <v>88</v>
      </c>
      <c r="G78" s="147" t="s">
        <v>88</v>
      </c>
      <c r="H78" s="147">
        <v>2</v>
      </c>
      <c r="I78" s="147" t="s">
        <v>88</v>
      </c>
      <c r="J78" s="151">
        <f t="shared" si="4"/>
        <v>50</v>
      </c>
      <c r="K78" s="169"/>
    </row>
    <row r="79" spans="1:11" ht="21" customHeight="1" x14ac:dyDescent="0.15">
      <c r="A79" s="157">
        <v>40043078</v>
      </c>
      <c r="B79" s="141">
        <v>1</v>
      </c>
      <c r="C79" s="141" t="s">
        <v>88</v>
      </c>
      <c r="D79" s="141">
        <v>100</v>
      </c>
      <c r="E79" s="141" t="s">
        <v>88</v>
      </c>
      <c r="F79" s="141" t="s">
        <v>88</v>
      </c>
      <c r="G79" s="141">
        <v>1</v>
      </c>
      <c r="H79" s="141" t="s">
        <v>88</v>
      </c>
      <c r="I79" s="141" t="s">
        <v>88</v>
      </c>
      <c r="J79" s="145">
        <f t="shared" si="4"/>
        <v>100</v>
      </c>
    </row>
    <row r="80" spans="1:11" ht="21" customHeight="1" x14ac:dyDescent="0.15">
      <c r="A80" s="157">
        <v>40043079</v>
      </c>
      <c r="B80" s="47">
        <v>0</v>
      </c>
      <c r="C80" s="47">
        <v>20</v>
      </c>
      <c r="D80" s="47">
        <v>100</v>
      </c>
      <c r="E80" s="47" t="s">
        <v>88</v>
      </c>
      <c r="F80" s="47" t="s">
        <v>88</v>
      </c>
      <c r="G80" s="47" t="s">
        <v>88</v>
      </c>
      <c r="H80" s="47">
        <v>2</v>
      </c>
      <c r="I80" s="47" t="s">
        <v>88</v>
      </c>
      <c r="J80" s="48">
        <f t="shared" si="4"/>
        <v>100</v>
      </c>
    </row>
    <row r="81" spans="1:12" ht="21" customHeight="1" x14ac:dyDescent="0.15">
      <c r="A81" s="157">
        <v>40043080</v>
      </c>
      <c r="B81" s="47">
        <v>0</v>
      </c>
      <c r="C81" s="47">
        <v>30</v>
      </c>
      <c r="D81" s="47">
        <v>100</v>
      </c>
      <c r="E81" s="47" t="s">
        <v>88</v>
      </c>
      <c r="F81" s="47" t="s">
        <v>88</v>
      </c>
      <c r="G81" s="47" t="s">
        <v>88</v>
      </c>
      <c r="H81" s="47">
        <v>3</v>
      </c>
      <c r="I81" s="47" t="s">
        <v>88</v>
      </c>
      <c r="J81" s="48">
        <f t="shared" si="4"/>
        <v>100</v>
      </c>
    </row>
    <row r="82" spans="1:12" ht="21" customHeight="1" x14ac:dyDescent="0.15">
      <c r="A82" s="157">
        <v>40043081</v>
      </c>
      <c r="B82" s="47">
        <v>0</v>
      </c>
      <c r="C82" s="47">
        <v>40</v>
      </c>
      <c r="D82" s="47">
        <v>100</v>
      </c>
      <c r="E82" s="47" t="s">
        <v>88</v>
      </c>
      <c r="F82" s="47" t="s">
        <v>88</v>
      </c>
      <c r="G82" s="47" t="s">
        <v>88</v>
      </c>
      <c r="H82" s="47">
        <v>5</v>
      </c>
      <c r="I82" s="47" t="s">
        <v>88</v>
      </c>
      <c r="J82" s="48">
        <f t="shared" si="4"/>
        <v>100</v>
      </c>
      <c r="K82" s="170"/>
    </row>
    <row r="83" spans="1:12" ht="21" customHeight="1" x14ac:dyDescent="0.15">
      <c r="A83" s="157">
        <v>40043082</v>
      </c>
      <c r="B83" s="47">
        <v>0</v>
      </c>
      <c r="C83" s="47">
        <v>50</v>
      </c>
      <c r="D83" s="47">
        <v>100</v>
      </c>
      <c r="E83" s="47">
        <v>50</v>
      </c>
      <c r="F83" s="47" t="s">
        <v>88</v>
      </c>
      <c r="G83" s="47">
        <v>1</v>
      </c>
      <c r="H83" s="47">
        <v>1</v>
      </c>
      <c r="I83" s="47" t="s">
        <v>88</v>
      </c>
      <c r="J83" s="48">
        <f t="shared" si="4"/>
        <v>100</v>
      </c>
      <c r="K83" s="170"/>
    </row>
    <row r="84" spans="1:12" ht="21" customHeight="1" x14ac:dyDescent="0.15">
      <c r="A84" s="157">
        <v>40043083</v>
      </c>
      <c r="B84" s="47">
        <v>0</v>
      </c>
      <c r="C84" s="47">
        <v>25</v>
      </c>
      <c r="D84" s="47">
        <v>50</v>
      </c>
      <c r="E84" s="47">
        <v>25</v>
      </c>
      <c r="F84" s="47" t="s">
        <v>88</v>
      </c>
      <c r="G84" s="47" t="s">
        <v>88</v>
      </c>
      <c r="H84" s="47">
        <v>1</v>
      </c>
      <c r="I84" s="47" t="s">
        <v>88</v>
      </c>
      <c r="J84" s="48">
        <f t="shared" si="4"/>
        <v>50</v>
      </c>
      <c r="K84" s="170"/>
    </row>
    <row r="85" spans="1:12" ht="21" customHeight="1" thickBot="1" x14ac:dyDescent="0.2">
      <c r="A85" s="158">
        <v>40043084</v>
      </c>
      <c r="B85" s="147">
        <v>0</v>
      </c>
      <c r="C85" s="147" t="s">
        <v>88</v>
      </c>
      <c r="D85" s="147">
        <v>100</v>
      </c>
      <c r="E85" s="147" t="s">
        <v>88</v>
      </c>
      <c r="F85" s="147" t="s">
        <v>88</v>
      </c>
      <c r="G85" s="147">
        <v>0</v>
      </c>
      <c r="H85" s="147" t="s">
        <v>88</v>
      </c>
      <c r="I85" s="147">
        <v>0</v>
      </c>
      <c r="J85" s="151">
        <f t="shared" si="4"/>
        <v>100</v>
      </c>
      <c r="K85" s="169"/>
    </row>
    <row r="86" spans="1:12" ht="21" customHeight="1" x14ac:dyDescent="0.15">
      <c r="A86" s="196">
        <v>40043085</v>
      </c>
      <c r="B86" s="47">
        <v>1</v>
      </c>
      <c r="C86" s="47">
        <v>80</v>
      </c>
      <c r="D86" s="47">
        <v>100</v>
      </c>
      <c r="E86" s="47" t="s">
        <v>254</v>
      </c>
      <c r="F86" s="47" t="s">
        <v>89</v>
      </c>
      <c r="G86" s="47">
        <v>1</v>
      </c>
      <c r="H86" s="47" t="s">
        <v>89</v>
      </c>
      <c r="I86" s="141">
        <v>1332</v>
      </c>
      <c r="J86" s="48">
        <f t="shared" si="4"/>
        <v>100</v>
      </c>
      <c r="L86" s="45" t="s">
        <v>427</v>
      </c>
    </row>
    <row r="87" spans="1:12" ht="21" customHeight="1" thickBot="1" x14ac:dyDescent="0.2">
      <c r="A87" s="198">
        <v>40043086</v>
      </c>
      <c r="B87" s="147">
        <v>1</v>
      </c>
      <c r="C87" s="147">
        <v>90</v>
      </c>
      <c r="D87" s="147">
        <v>100</v>
      </c>
      <c r="E87" s="147" t="s">
        <v>254</v>
      </c>
      <c r="F87" s="147" t="s">
        <v>89</v>
      </c>
      <c r="G87" s="147">
        <v>1</v>
      </c>
      <c r="H87" s="147" t="s">
        <v>89</v>
      </c>
      <c r="I87" s="160">
        <v>1333</v>
      </c>
      <c r="J87" s="151">
        <f t="shared" si="4"/>
        <v>100</v>
      </c>
      <c r="K87" s="169"/>
      <c r="L87" s="45" t="s">
        <v>427</v>
      </c>
    </row>
    <row r="88" spans="1:12" ht="21" customHeight="1" x14ac:dyDescent="0.15">
      <c r="A88" s="200">
        <v>40043087</v>
      </c>
      <c r="B88" s="141">
        <v>1</v>
      </c>
      <c r="C88" s="141">
        <v>100</v>
      </c>
      <c r="D88" s="141">
        <v>100</v>
      </c>
      <c r="E88" s="141" t="s">
        <v>88</v>
      </c>
      <c r="F88" s="141" t="s">
        <v>88</v>
      </c>
      <c r="G88" s="141">
        <v>1</v>
      </c>
      <c r="H88" s="141" t="s">
        <v>88</v>
      </c>
      <c r="I88" s="141">
        <v>1332</v>
      </c>
      <c r="J88" s="145">
        <f t="shared" ref="J88:J92" si="5">D88</f>
        <v>100</v>
      </c>
      <c r="K88" s="170"/>
      <c r="L88" s="45" t="s">
        <v>427</v>
      </c>
    </row>
    <row r="89" spans="1:12" ht="21" customHeight="1" thickBot="1" x14ac:dyDescent="0.2">
      <c r="A89" s="198">
        <v>40043088</v>
      </c>
      <c r="B89" s="147">
        <v>1</v>
      </c>
      <c r="C89" s="147">
        <v>110</v>
      </c>
      <c r="D89" s="147">
        <v>100</v>
      </c>
      <c r="E89" s="147" t="s">
        <v>88</v>
      </c>
      <c r="F89" s="147" t="s">
        <v>88</v>
      </c>
      <c r="G89" s="147">
        <v>1</v>
      </c>
      <c r="H89" s="147" t="s">
        <v>88</v>
      </c>
      <c r="I89" s="147">
        <v>1333</v>
      </c>
      <c r="J89" s="151">
        <f t="shared" ref="J89" si="6">D89</f>
        <v>100</v>
      </c>
      <c r="K89" s="169"/>
      <c r="L89" s="45" t="s">
        <v>427</v>
      </c>
    </row>
    <row r="90" spans="1:12" ht="21" customHeight="1" x14ac:dyDescent="0.15">
      <c r="A90" s="200">
        <v>40043089</v>
      </c>
      <c r="B90" s="141">
        <v>0</v>
      </c>
      <c r="C90" s="141">
        <v>100</v>
      </c>
      <c r="D90" s="141">
        <v>100</v>
      </c>
      <c r="E90" s="141" t="s">
        <v>88</v>
      </c>
      <c r="F90" s="141" t="s">
        <v>88</v>
      </c>
      <c r="G90" s="141">
        <v>0</v>
      </c>
      <c r="H90" s="141" t="s">
        <v>88</v>
      </c>
      <c r="I90" s="141">
        <v>1332</v>
      </c>
      <c r="J90" s="145">
        <f t="shared" ref="J90" si="7">D90</f>
        <v>100</v>
      </c>
      <c r="L90" s="45" t="s">
        <v>428</v>
      </c>
    </row>
    <row r="91" spans="1:12" ht="21" customHeight="1" thickBot="1" x14ac:dyDescent="0.2">
      <c r="A91" s="198">
        <v>40043090</v>
      </c>
      <c r="B91" s="160">
        <v>0</v>
      </c>
      <c r="C91" s="160">
        <v>110</v>
      </c>
      <c r="D91" s="160">
        <v>100</v>
      </c>
      <c r="E91" s="160" t="s">
        <v>88</v>
      </c>
      <c r="F91" s="160" t="s">
        <v>88</v>
      </c>
      <c r="G91" s="160">
        <v>0</v>
      </c>
      <c r="H91" s="160" t="s">
        <v>88</v>
      </c>
      <c r="I91" s="160">
        <v>1333</v>
      </c>
      <c r="J91" s="164">
        <f t="shared" si="5"/>
        <v>100</v>
      </c>
      <c r="L91" s="45" t="s">
        <v>428</v>
      </c>
    </row>
    <row r="92" spans="1:12" ht="21" customHeight="1" x14ac:dyDescent="0.15">
      <c r="A92" s="200">
        <v>40043091</v>
      </c>
      <c r="B92" s="47">
        <v>1</v>
      </c>
      <c r="C92" s="47">
        <v>100</v>
      </c>
      <c r="D92" s="47">
        <v>100</v>
      </c>
      <c r="E92" s="47" t="s">
        <v>254</v>
      </c>
      <c r="F92" s="47" t="s">
        <v>89</v>
      </c>
      <c r="G92" s="47">
        <v>1</v>
      </c>
      <c r="H92" s="47" t="s">
        <v>89</v>
      </c>
      <c r="I92" s="47">
        <v>278</v>
      </c>
      <c r="J92" s="48">
        <f t="shared" si="5"/>
        <v>100</v>
      </c>
      <c r="L92" s="45" t="s">
        <v>425</v>
      </c>
    </row>
    <row r="93" spans="1:12" ht="21" customHeight="1" x14ac:dyDescent="0.15">
      <c r="A93" s="196">
        <v>40043092</v>
      </c>
      <c r="B93" s="47">
        <v>1</v>
      </c>
      <c r="C93" s="47">
        <v>110</v>
      </c>
      <c r="D93" s="47">
        <v>100</v>
      </c>
      <c r="E93" s="47" t="s">
        <v>254</v>
      </c>
      <c r="F93" s="47" t="s">
        <v>89</v>
      </c>
      <c r="G93" s="47">
        <v>1</v>
      </c>
      <c r="H93" s="47" t="s">
        <v>89</v>
      </c>
      <c r="I93" s="47">
        <v>279</v>
      </c>
      <c r="J93" s="48">
        <f t="shared" ref="J93:J95" si="8">D93</f>
        <v>100</v>
      </c>
      <c r="L93" s="45" t="s">
        <v>425</v>
      </c>
    </row>
    <row r="94" spans="1:12" ht="21" customHeight="1" x14ac:dyDescent="0.15">
      <c r="A94" s="196">
        <v>40043093</v>
      </c>
      <c r="B94" s="47">
        <v>1</v>
      </c>
      <c r="C94" s="47">
        <v>120</v>
      </c>
      <c r="D94" s="47">
        <v>100</v>
      </c>
      <c r="E94" s="47" t="s">
        <v>254</v>
      </c>
      <c r="F94" s="47" t="s">
        <v>89</v>
      </c>
      <c r="G94" s="47">
        <v>1</v>
      </c>
      <c r="H94" s="47" t="s">
        <v>89</v>
      </c>
      <c r="I94" s="141">
        <v>810</v>
      </c>
      <c r="J94" s="48">
        <f t="shared" si="8"/>
        <v>100</v>
      </c>
      <c r="L94" s="45" t="s">
        <v>425</v>
      </c>
    </row>
    <row r="95" spans="1:12" ht="21" customHeight="1" thickBot="1" x14ac:dyDescent="0.2">
      <c r="A95" s="198">
        <v>40043094</v>
      </c>
      <c r="B95" s="147">
        <v>1</v>
      </c>
      <c r="C95" s="147">
        <v>130</v>
      </c>
      <c r="D95" s="147">
        <v>100</v>
      </c>
      <c r="E95" s="147" t="s">
        <v>254</v>
      </c>
      <c r="F95" s="147" t="s">
        <v>89</v>
      </c>
      <c r="G95" s="147">
        <v>1</v>
      </c>
      <c r="H95" s="147" t="s">
        <v>89</v>
      </c>
      <c r="I95" s="147">
        <v>1116</v>
      </c>
      <c r="J95" s="151">
        <f t="shared" si="8"/>
        <v>100</v>
      </c>
      <c r="L95" s="45" t="s">
        <v>425</v>
      </c>
    </row>
    <row r="96" spans="1:12" ht="21" customHeight="1" x14ac:dyDescent="0.15">
      <c r="A96" s="200">
        <v>40043095</v>
      </c>
      <c r="B96" s="141">
        <v>1</v>
      </c>
      <c r="C96" s="141">
        <v>120</v>
      </c>
      <c r="D96" s="141">
        <v>100</v>
      </c>
      <c r="E96" s="141" t="s">
        <v>254</v>
      </c>
      <c r="F96" s="141" t="s">
        <v>89</v>
      </c>
      <c r="G96" s="141">
        <v>1</v>
      </c>
      <c r="H96" s="141" t="s">
        <v>89</v>
      </c>
      <c r="I96" s="141">
        <v>278</v>
      </c>
      <c r="J96" s="145">
        <f t="shared" ref="J96:J103" si="9">D96</f>
        <v>100</v>
      </c>
      <c r="L96" s="45" t="s">
        <v>425</v>
      </c>
    </row>
    <row r="97" spans="1:12" ht="21" customHeight="1" x14ac:dyDescent="0.15">
      <c r="A97" s="196">
        <v>40043096</v>
      </c>
      <c r="B97" s="47">
        <v>1</v>
      </c>
      <c r="C97" s="47">
        <v>130</v>
      </c>
      <c r="D97" s="47">
        <v>100</v>
      </c>
      <c r="E97" s="47" t="s">
        <v>254</v>
      </c>
      <c r="F97" s="47" t="s">
        <v>89</v>
      </c>
      <c r="G97" s="47">
        <v>1</v>
      </c>
      <c r="H97" s="47" t="s">
        <v>89</v>
      </c>
      <c r="I97" s="47">
        <v>279</v>
      </c>
      <c r="J97" s="48">
        <f t="shared" si="9"/>
        <v>100</v>
      </c>
      <c r="L97" s="45" t="s">
        <v>425</v>
      </c>
    </row>
    <row r="98" spans="1:12" ht="21" customHeight="1" x14ac:dyDescent="0.15">
      <c r="A98" s="196">
        <v>40043097</v>
      </c>
      <c r="B98" s="47">
        <v>1</v>
      </c>
      <c r="C98" s="47">
        <v>140</v>
      </c>
      <c r="D98" s="47">
        <v>100</v>
      </c>
      <c r="E98" s="47" t="s">
        <v>254</v>
      </c>
      <c r="F98" s="47" t="s">
        <v>89</v>
      </c>
      <c r="G98" s="47">
        <v>1</v>
      </c>
      <c r="H98" s="47" t="s">
        <v>89</v>
      </c>
      <c r="I98" s="141">
        <v>810</v>
      </c>
      <c r="J98" s="48">
        <f t="shared" si="9"/>
        <v>100</v>
      </c>
      <c r="L98" s="45" t="s">
        <v>425</v>
      </c>
    </row>
    <row r="99" spans="1:12" ht="21" customHeight="1" thickBot="1" x14ac:dyDescent="0.2">
      <c r="A99" s="198">
        <v>40043098</v>
      </c>
      <c r="B99" s="147">
        <v>1</v>
      </c>
      <c r="C99" s="147">
        <v>150</v>
      </c>
      <c r="D99" s="147">
        <v>100</v>
      </c>
      <c r="E99" s="147" t="s">
        <v>254</v>
      </c>
      <c r="F99" s="147" t="s">
        <v>89</v>
      </c>
      <c r="G99" s="147">
        <v>1</v>
      </c>
      <c r="H99" s="147" t="s">
        <v>89</v>
      </c>
      <c r="I99" s="147">
        <v>1116</v>
      </c>
      <c r="J99" s="151">
        <f t="shared" si="9"/>
        <v>100</v>
      </c>
      <c r="L99" s="45" t="s">
        <v>425</v>
      </c>
    </row>
    <row r="100" spans="1:12" ht="21" customHeight="1" thickBot="1" x14ac:dyDescent="0.2">
      <c r="A100" s="200">
        <v>40043099</v>
      </c>
      <c r="B100" s="141">
        <v>0</v>
      </c>
      <c r="C100" s="141">
        <v>120</v>
      </c>
      <c r="D100" s="141">
        <v>100</v>
      </c>
      <c r="E100" s="141" t="s">
        <v>89</v>
      </c>
      <c r="F100" s="141" t="s">
        <v>89</v>
      </c>
      <c r="G100" s="141">
        <v>0</v>
      </c>
      <c r="H100" s="141" t="s">
        <v>89</v>
      </c>
      <c r="I100" s="141">
        <v>278</v>
      </c>
      <c r="J100" s="145">
        <f t="shared" si="9"/>
        <v>100</v>
      </c>
      <c r="K100" s="169"/>
      <c r="L100" s="45" t="s">
        <v>426</v>
      </c>
    </row>
    <row r="101" spans="1:12" ht="21" customHeight="1" thickBot="1" x14ac:dyDescent="0.2">
      <c r="A101" s="196">
        <v>40043100</v>
      </c>
      <c r="B101" s="47">
        <v>0</v>
      </c>
      <c r="C101" s="47">
        <v>130</v>
      </c>
      <c r="D101" s="47">
        <v>100</v>
      </c>
      <c r="E101" s="47" t="s">
        <v>89</v>
      </c>
      <c r="F101" s="47" t="s">
        <v>89</v>
      </c>
      <c r="G101" s="47">
        <v>0</v>
      </c>
      <c r="H101" s="47" t="s">
        <v>89</v>
      </c>
      <c r="I101" s="47">
        <v>279</v>
      </c>
      <c r="J101" s="48">
        <f t="shared" si="9"/>
        <v>100</v>
      </c>
      <c r="K101" s="169"/>
      <c r="L101" s="45" t="s">
        <v>426</v>
      </c>
    </row>
    <row r="102" spans="1:12" ht="21" customHeight="1" thickBot="1" x14ac:dyDescent="0.2">
      <c r="A102" s="196">
        <v>40043101</v>
      </c>
      <c r="B102" s="47">
        <v>0</v>
      </c>
      <c r="C102" s="47">
        <v>140</v>
      </c>
      <c r="D102" s="47">
        <v>100</v>
      </c>
      <c r="E102" s="47" t="s">
        <v>89</v>
      </c>
      <c r="F102" s="47" t="s">
        <v>89</v>
      </c>
      <c r="G102" s="47">
        <v>0</v>
      </c>
      <c r="H102" s="47" t="s">
        <v>89</v>
      </c>
      <c r="I102" s="47">
        <v>810</v>
      </c>
      <c r="J102" s="48">
        <f t="shared" si="9"/>
        <v>100</v>
      </c>
      <c r="K102" s="169"/>
      <c r="L102" s="45" t="s">
        <v>426</v>
      </c>
    </row>
    <row r="103" spans="1:12" ht="21" customHeight="1" thickBot="1" x14ac:dyDescent="0.2">
      <c r="A103" s="198">
        <v>40043102</v>
      </c>
      <c r="B103" s="160">
        <v>0</v>
      </c>
      <c r="C103" s="160">
        <v>150</v>
      </c>
      <c r="D103" s="160">
        <v>100</v>
      </c>
      <c r="E103" s="160" t="s">
        <v>88</v>
      </c>
      <c r="F103" s="160" t="s">
        <v>88</v>
      </c>
      <c r="G103" s="160">
        <v>0</v>
      </c>
      <c r="H103" s="160" t="s">
        <v>88</v>
      </c>
      <c r="I103" s="160">
        <v>1116</v>
      </c>
      <c r="J103" s="164">
        <f t="shared" si="9"/>
        <v>100</v>
      </c>
      <c r="K103" s="169"/>
      <c r="L103" s="45" t="s">
        <v>426</v>
      </c>
    </row>
  </sheetData>
  <autoFilter ref="A1:G1"/>
  <phoneticPr fontId="5"/>
  <conditionalFormatting sqref="K104:K1048576 K1:K2">
    <cfRule type="duplicateValues" dxfId="101" priority="146"/>
  </conditionalFormatting>
  <conditionalFormatting sqref="K3">
    <cfRule type="duplicateValues" dxfId="100" priority="145"/>
  </conditionalFormatting>
  <conditionalFormatting sqref="K4">
    <cfRule type="duplicateValues" dxfId="99" priority="144"/>
  </conditionalFormatting>
  <conditionalFormatting sqref="K5">
    <cfRule type="duplicateValues" dxfId="98" priority="143"/>
  </conditionalFormatting>
  <conditionalFormatting sqref="K6">
    <cfRule type="duplicateValues" dxfId="97" priority="142"/>
  </conditionalFormatting>
  <conditionalFormatting sqref="K7">
    <cfRule type="duplicateValues" dxfId="96" priority="141"/>
  </conditionalFormatting>
  <conditionalFormatting sqref="K8">
    <cfRule type="duplicateValues" dxfId="95" priority="140"/>
  </conditionalFormatting>
  <conditionalFormatting sqref="K9">
    <cfRule type="duplicateValues" dxfId="94" priority="139"/>
  </conditionalFormatting>
  <conditionalFormatting sqref="K10">
    <cfRule type="duplicateValues" dxfId="93" priority="138"/>
  </conditionalFormatting>
  <conditionalFormatting sqref="K11">
    <cfRule type="duplicateValues" dxfId="92" priority="137"/>
  </conditionalFormatting>
  <conditionalFormatting sqref="K12">
    <cfRule type="duplicateValues" dxfId="91" priority="136"/>
  </conditionalFormatting>
  <conditionalFormatting sqref="K13">
    <cfRule type="duplicateValues" dxfId="90" priority="135"/>
  </conditionalFormatting>
  <conditionalFormatting sqref="K14">
    <cfRule type="duplicateValues" dxfId="89" priority="134"/>
  </conditionalFormatting>
  <conditionalFormatting sqref="K15">
    <cfRule type="duplicateValues" dxfId="88" priority="133"/>
  </conditionalFormatting>
  <conditionalFormatting sqref="K16">
    <cfRule type="duplicateValues" dxfId="87" priority="132"/>
  </conditionalFormatting>
  <conditionalFormatting sqref="K17">
    <cfRule type="duplicateValues" dxfId="86" priority="131"/>
  </conditionalFormatting>
  <conditionalFormatting sqref="K18">
    <cfRule type="duplicateValues" dxfId="85" priority="130"/>
  </conditionalFormatting>
  <conditionalFormatting sqref="K19">
    <cfRule type="duplicateValues" dxfId="84" priority="129"/>
  </conditionalFormatting>
  <conditionalFormatting sqref="K20">
    <cfRule type="duplicateValues" dxfId="83" priority="128"/>
  </conditionalFormatting>
  <conditionalFormatting sqref="K21">
    <cfRule type="duplicateValues" dxfId="82" priority="127"/>
  </conditionalFormatting>
  <conditionalFormatting sqref="K22">
    <cfRule type="duplicateValues" dxfId="81" priority="126"/>
  </conditionalFormatting>
  <conditionalFormatting sqref="K23">
    <cfRule type="duplicateValues" dxfId="80" priority="125"/>
  </conditionalFormatting>
  <conditionalFormatting sqref="K24">
    <cfRule type="duplicateValues" dxfId="79" priority="124"/>
  </conditionalFormatting>
  <conditionalFormatting sqref="K25">
    <cfRule type="duplicateValues" dxfId="78" priority="123"/>
  </conditionalFormatting>
  <conditionalFormatting sqref="K26">
    <cfRule type="duplicateValues" dxfId="77" priority="122"/>
  </conditionalFormatting>
  <conditionalFormatting sqref="K27">
    <cfRule type="duplicateValues" dxfId="76" priority="110"/>
  </conditionalFormatting>
  <conditionalFormatting sqref="K28">
    <cfRule type="duplicateValues" dxfId="75" priority="109"/>
  </conditionalFormatting>
  <conditionalFormatting sqref="K29">
    <cfRule type="duplicateValues" dxfId="74" priority="108"/>
  </conditionalFormatting>
  <conditionalFormatting sqref="K30">
    <cfRule type="duplicateValues" dxfId="73" priority="107"/>
  </conditionalFormatting>
  <conditionalFormatting sqref="K31">
    <cfRule type="duplicateValues" dxfId="72" priority="106"/>
  </conditionalFormatting>
  <conditionalFormatting sqref="K32">
    <cfRule type="duplicateValues" dxfId="71" priority="105"/>
  </conditionalFormatting>
  <conditionalFormatting sqref="K33">
    <cfRule type="duplicateValues" dxfId="70" priority="104"/>
  </conditionalFormatting>
  <conditionalFormatting sqref="K34">
    <cfRule type="duplicateValues" dxfId="69" priority="103"/>
  </conditionalFormatting>
  <conditionalFormatting sqref="K35">
    <cfRule type="duplicateValues" dxfId="68" priority="102"/>
  </conditionalFormatting>
  <conditionalFormatting sqref="K36">
    <cfRule type="duplicateValues" dxfId="67" priority="101"/>
  </conditionalFormatting>
  <conditionalFormatting sqref="K37">
    <cfRule type="duplicateValues" dxfId="66" priority="100"/>
  </conditionalFormatting>
  <conditionalFormatting sqref="K38">
    <cfRule type="duplicateValues" dxfId="65" priority="99"/>
  </conditionalFormatting>
  <conditionalFormatting sqref="K39">
    <cfRule type="duplicateValues" dxfId="64" priority="98"/>
  </conditionalFormatting>
  <conditionalFormatting sqref="K40">
    <cfRule type="duplicateValues" dxfId="63" priority="97"/>
  </conditionalFormatting>
  <conditionalFormatting sqref="K41">
    <cfRule type="duplicateValues" dxfId="62" priority="96"/>
  </conditionalFormatting>
  <conditionalFormatting sqref="K42">
    <cfRule type="duplicateValues" dxfId="61" priority="95"/>
  </conditionalFormatting>
  <conditionalFormatting sqref="K43">
    <cfRule type="duplicateValues" dxfId="60" priority="94"/>
  </conditionalFormatting>
  <conditionalFormatting sqref="K44">
    <cfRule type="duplicateValues" dxfId="59" priority="92"/>
  </conditionalFormatting>
  <conditionalFormatting sqref="K45">
    <cfRule type="duplicateValues" dxfId="58" priority="91"/>
  </conditionalFormatting>
  <conditionalFormatting sqref="K46">
    <cfRule type="duplicateValues" dxfId="57" priority="90"/>
  </conditionalFormatting>
  <conditionalFormatting sqref="K47">
    <cfRule type="duplicateValues" dxfId="56" priority="89"/>
  </conditionalFormatting>
  <conditionalFormatting sqref="K48">
    <cfRule type="duplicateValues" dxfId="55" priority="88"/>
  </conditionalFormatting>
  <conditionalFormatting sqref="K49">
    <cfRule type="duplicateValues" dxfId="54" priority="87"/>
  </conditionalFormatting>
  <conditionalFormatting sqref="K50">
    <cfRule type="duplicateValues" dxfId="53" priority="86"/>
  </conditionalFormatting>
  <conditionalFormatting sqref="K51">
    <cfRule type="duplicateValues" dxfId="52" priority="85"/>
  </conditionalFormatting>
  <conditionalFormatting sqref="K52">
    <cfRule type="duplicateValues" dxfId="51" priority="84"/>
  </conditionalFormatting>
  <conditionalFormatting sqref="K53">
    <cfRule type="duplicateValues" dxfId="50" priority="83"/>
  </conditionalFormatting>
  <conditionalFormatting sqref="K54">
    <cfRule type="duplicateValues" dxfId="49" priority="82"/>
  </conditionalFormatting>
  <conditionalFormatting sqref="K55">
    <cfRule type="duplicateValues" dxfId="48" priority="81"/>
  </conditionalFormatting>
  <conditionalFormatting sqref="K56">
    <cfRule type="duplicateValues" dxfId="47" priority="80"/>
  </conditionalFormatting>
  <conditionalFormatting sqref="K57">
    <cfRule type="duplicateValues" dxfId="46" priority="79"/>
  </conditionalFormatting>
  <conditionalFormatting sqref="K58">
    <cfRule type="duplicateValues" dxfId="45" priority="78"/>
  </conditionalFormatting>
  <conditionalFormatting sqref="K59">
    <cfRule type="duplicateValues" dxfId="44" priority="77"/>
  </conditionalFormatting>
  <conditionalFormatting sqref="K60">
    <cfRule type="duplicateValues" dxfId="43" priority="76"/>
  </conditionalFormatting>
  <conditionalFormatting sqref="K61">
    <cfRule type="duplicateValues" dxfId="42" priority="75"/>
  </conditionalFormatting>
  <conditionalFormatting sqref="K62">
    <cfRule type="duplicateValues" dxfId="41" priority="74"/>
  </conditionalFormatting>
  <conditionalFormatting sqref="K63">
    <cfRule type="duplicateValues" dxfId="40" priority="73"/>
  </conditionalFormatting>
  <conditionalFormatting sqref="K64">
    <cfRule type="duplicateValues" dxfId="39" priority="72"/>
  </conditionalFormatting>
  <conditionalFormatting sqref="K65">
    <cfRule type="duplicateValues" dxfId="38" priority="71"/>
  </conditionalFormatting>
  <conditionalFormatting sqref="K66">
    <cfRule type="duplicateValues" dxfId="37" priority="70"/>
  </conditionalFormatting>
  <conditionalFormatting sqref="K67">
    <cfRule type="duplicateValues" dxfId="36" priority="69"/>
  </conditionalFormatting>
  <conditionalFormatting sqref="K68">
    <cfRule type="duplicateValues" dxfId="35" priority="68"/>
  </conditionalFormatting>
  <conditionalFormatting sqref="K69">
    <cfRule type="duplicateValues" dxfId="34" priority="67"/>
  </conditionalFormatting>
  <conditionalFormatting sqref="K70">
    <cfRule type="duplicateValues" dxfId="33" priority="66"/>
  </conditionalFormatting>
  <conditionalFormatting sqref="K71">
    <cfRule type="duplicateValues" dxfId="32" priority="65"/>
  </conditionalFormatting>
  <conditionalFormatting sqref="K72">
    <cfRule type="duplicateValues" dxfId="31" priority="64"/>
  </conditionalFormatting>
  <conditionalFormatting sqref="K73">
    <cfRule type="duplicateValues" dxfId="30" priority="63"/>
  </conditionalFormatting>
  <conditionalFormatting sqref="K74">
    <cfRule type="duplicateValues" dxfId="29" priority="62"/>
  </conditionalFormatting>
  <conditionalFormatting sqref="K75">
    <cfRule type="duplicateValues" dxfId="28" priority="61"/>
  </conditionalFormatting>
  <conditionalFormatting sqref="K76">
    <cfRule type="duplicateValues" dxfId="27" priority="60"/>
  </conditionalFormatting>
  <conditionalFormatting sqref="K77">
    <cfRule type="duplicateValues" dxfId="26" priority="59"/>
  </conditionalFormatting>
  <conditionalFormatting sqref="K78">
    <cfRule type="duplicateValues" dxfId="25" priority="58"/>
  </conditionalFormatting>
  <conditionalFormatting sqref="K79">
    <cfRule type="duplicateValues" dxfId="24" priority="57"/>
  </conditionalFormatting>
  <conditionalFormatting sqref="K80">
    <cfRule type="duplicateValues" dxfId="23" priority="56"/>
  </conditionalFormatting>
  <conditionalFormatting sqref="K81">
    <cfRule type="duplicateValues" dxfId="22" priority="55"/>
  </conditionalFormatting>
  <conditionalFormatting sqref="K82">
    <cfRule type="duplicateValues" dxfId="21" priority="54"/>
  </conditionalFormatting>
  <conditionalFormatting sqref="K83">
    <cfRule type="duplicateValues" dxfId="20" priority="53"/>
  </conditionalFormatting>
  <conditionalFormatting sqref="K84">
    <cfRule type="duplicateValues" dxfId="19" priority="52"/>
  </conditionalFormatting>
  <conditionalFormatting sqref="K85">
    <cfRule type="duplicateValues" dxfId="18" priority="51"/>
  </conditionalFormatting>
  <conditionalFormatting sqref="K88">
    <cfRule type="duplicateValues" dxfId="17" priority="49"/>
  </conditionalFormatting>
  <conditionalFormatting sqref="K91">
    <cfRule type="duplicateValues" dxfId="16" priority="48"/>
  </conditionalFormatting>
  <conditionalFormatting sqref="K90">
    <cfRule type="duplicateValues" dxfId="15" priority="47"/>
  </conditionalFormatting>
  <conditionalFormatting sqref="K92">
    <cfRule type="duplicateValues" dxfId="14" priority="45"/>
  </conditionalFormatting>
  <conditionalFormatting sqref="K93">
    <cfRule type="duplicateValues" dxfId="13" priority="32"/>
  </conditionalFormatting>
  <conditionalFormatting sqref="K94">
    <cfRule type="duplicateValues" dxfId="12" priority="31"/>
  </conditionalFormatting>
  <conditionalFormatting sqref="K95">
    <cfRule type="duplicateValues" dxfId="11" priority="30"/>
  </conditionalFormatting>
  <conditionalFormatting sqref="K96">
    <cfRule type="duplicateValues" dxfId="10" priority="17"/>
  </conditionalFormatting>
  <conditionalFormatting sqref="K100">
    <cfRule type="duplicateValues" dxfId="9" priority="12"/>
  </conditionalFormatting>
  <conditionalFormatting sqref="K101">
    <cfRule type="duplicateValues" dxfId="8" priority="11"/>
  </conditionalFormatting>
  <conditionalFormatting sqref="K102">
    <cfRule type="duplicateValues" dxfId="7" priority="10"/>
  </conditionalFormatting>
  <conditionalFormatting sqref="K103">
    <cfRule type="duplicateValues" dxfId="6" priority="9"/>
  </conditionalFormatting>
  <conditionalFormatting sqref="K97">
    <cfRule type="duplicateValues" dxfId="5" priority="8"/>
  </conditionalFormatting>
  <conditionalFormatting sqref="K98">
    <cfRule type="duplicateValues" dxfId="4" priority="7"/>
  </conditionalFormatting>
  <conditionalFormatting sqref="K99">
    <cfRule type="duplicateValues" dxfId="3" priority="6"/>
  </conditionalFormatting>
  <conditionalFormatting sqref="K89">
    <cfRule type="duplicateValues" dxfId="2" priority="5"/>
  </conditionalFormatting>
  <conditionalFormatting sqref="K86">
    <cfRule type="duplicateValues" dxfId="1" priority="4"/>
  </conditionalFormatting>
  <conditionalFormatting sqref="K87">
    <cfRule type="duplicateValues" dxfId="0" priority="3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121"/>
  <sheetViews>
    <sheetView showGridLines="0" workbookViewId="0">
      <pane xSplit="5" ySplit="1" topLeftCell="F86" activePane="bottomRight" state="frozen"/>
      <selection pane="topRight"/>
      <selection pane="bottomLeft"/>
      <selection pane="bottomRight" activeCell="C116" sqref="C116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59</v>
      </c>
      <c r="B1" s="40" t="s">
        <v>60</v>
      </c>
      <c r="C1" s="40" t="s">
        <v>61</v>
      </c>
      <c r="D1" s="41" t="s">
        <v>62</v>
      </c>
      <c r="E1" s="41" t="s">
        <v>63</v>
      </c>
      <c r="F1" s="42" t="s">
        <v>64</v>
      </c>
      <c r="G1" s="43" t="s">
        <v>65</v>
      </c>
      <c r="H1" s="43" t="s">
        <v>67</v>
      </c>
      <c r="I1" s="43" t="s">
        <v>68</v>
      </c>
      <c r="J1" s="43" t="s">
        <v>69</v>
      </c>
      <c r="K1" s="44" t="s">
        <v>70</v>
      </c>
      <c r="L1" s="44" t="s">
        <v>71</v>
      </c>
      <c r="M1" s="43" t="s">
        <v>72</v>
      </c>
      <c r="N1" s="43" t="s">
        <v>73</v>
      </c>
      <c r="O1" s="43" t="s">
        <v>74</v>
      </c>
      <c r="P1" s="41" t="s">
        <v>75</v>
      </c>
      <c r="Q1" s="41" t="s">
        <v>76</v>
      </c>
      <c r="R1" s="41" t="s">
        <v>77</v>
      </c>
    </row>
    <row r="2" spans="1:18" ht="21" customHeight="1" x14ac:dyDescent="0.15">
      <c r="A2" s="39" t="str">
        <f t="shared" ref="A2" si="0">B2&amp;"_"&amp;C2</f>
        <v>40043001_40043001</v>
      </c>
      <c r="B2" s="47">
        <v>40043001</v>
      </c>
      <c r="C2" s="140">
        <v>40043001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『ナニあなた？』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2" s="140">
        <v>40043001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ref="A3:A7" si="1">B3&amp;"_"&amp;C3</f>
        <v>40043001_40043002</v>
      </c>
      <c r="B3" s="47">
        <v>40043001</v>
      </c>
      <c r="C3" s="140">
        <v>40043002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あたしに…近づかないで…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3ターン全ユニットの攻撃をカウンター</v>
      </c>
      <c r="F3" s="140">
        <v>40043002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8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si="1"/>
        <v>40043001_40043003</v>
      </c>
      <c r="B4" s="47">
        <v>40043001</v>
      </c>
      <c r="C4" s="140">
        <v>40043003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あなたも…感染しちゃう…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ランダムで緑パネルに最大15個変換</v>
      </c>
      <c r="F4" s="140">
        <v>40043003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8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thickBot="1" x14ac:dyDescent="0.2">
      <c r="A5" s="169" t="str">
        <f t="shared" si="1"/>
        <v>40043001_40043004</v>
      </c>
      <c r="B5" s="147">
        <v>40043001</v>
      </c>
      <c r="C5" s="168">
        <v>40043004</v>
      </c>
      <c r="D5" s="176" t="str">
        <f ca="1">VLOOKUP($C5,OFFSET(enemy_skills!$A$1,0,0,COUNTA(enemy_skills!$A:$A),MATCH(D$1,enemy_skills!$1:$1,0)-MATCH("enemy_skill_id",enemy_skills!$1:$1,0)+1),MATCH(D$1,enemy_skills!$1:$1,0)-MATCH("enemy_skill_id",enemy_skills!$1:$1,0)+1,FALSE)</f>
        <v>『はヤくお仕事しなクちャ』</v>
      </c>
      <c r="E5" s="176" t="str">
        <f ca="1">VLOOKUP($C5,OFFSET(enemy_skills!$A$1,0,0,COUNTA(enemy_skills!$A:$A),MATCH(E$1,enemy_skills!$1:$1,0)-MATCH("enemy_skill_id",enemy_skills!$1:$1,0)+1),MATCH(E$1,enemy_skills!$1:$1,0)-MATCH("enemy_skill_id",enemy_skills!$1:$1,0)+1,FALSE)</f>
        <v>走り去っていった</v>
      </c>
      <c r="F5" s="168">
        <v>40043004</v>
      </c>
      <c r="G5" s="151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151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5" s="151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151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5" s="151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151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151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" s="151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151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147"/>
      <c r="Q5" s="147"/>
      <c r="R5" s="147"/>
    </row>
    <row r="6" spans="1:18" ht="21" customHeight="1" x14ac:dyDescent="0.15">
      <c r="A6" s="39" t="str">
        <f t="shared" si="1"/>
        <v>40043002_40043005</v>
      </c>
      <c r="B6" s="141">
        <v>40043002</v>
      </c>
      <c r="C6" s="153">
        <v>40043005</v>
      </c>
      <c r="D6" s="175" t="str">
        <f ca="1">VLOOKUP($C6,OFFSET(enemy_skills!$A$1,0,0,COUNTA(enemy_skills!$A:$A),MATCH(D$1,enemy_skills!$1:$1,0)-MATCH("enemy_skill_id",enemy_skills!$1:$1,0)+1),MATCH(D$1,enemy_skills!$1:$1,0)-MATCH("enemy_skill_id",enemy_skills!$1:$1,0)+1,FALSE)</f>
        <v>いらっしゃ〜い！_x000D_まずは駆けつけ一杯よ〜</v>
      </c>
      <c r="E6" s="175" t="str">
        <f ca="1">VLOOKUP($C6,OFFSET(enemy_skills!$A$1,0,0,COUNTA(enemy_skills!$A:$A),MATCH(E$1,enemy_skills!$1:$1,0)-MATCH("enemy_skill_id",enemy_skills!$1:$1,0)+1),MATCH(E$1,enemy_skills!$1:$1,0)-MATCH("enemy_skill_id",enemy_skills!$1:$1,0)+1,FALSE)</f>
        <v>緑パネルを赤のダメージパネルに5個変換</v>
      </c>
      <c r="F6" s="153">
        <v>40043005</v>
      </c>
      <c r="G6" s="145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" s="145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145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145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145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145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145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145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145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141"/>
      <c r="Q6" s="141"/>
      <c r="R6" s="141"/>
    </row>
    <row r="7" spans="1:18" ht="21" customHeight="1" x14ac:dyDescent="0.15">
      <c r="A7" s="39" t="str">
        <f t="shared" si="1"/>
        <v>40043002_40043006</v>
      </c>
      <c r="B7" s="141">
        <v>40043002</v>
      </c>
      <c r="C7" s="153">
        <v>40043006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あぁ〜お酒が〜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青パネルを緑パネルに5個変換+全体攻撃</v>
      </c>
      <c r="F7" s="153">
        <v>40043006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8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ref="A8:A17" si="2">B8&amp;"_"&amp;C8</f>
        <v>40043002_40043007</v>
      </c>
      <c r="B8" s="141">
        <v>40043002</v>
      </c>
      <c r="C8" s="153">
        <v>40043007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さぁ！どんどん呑みましょう！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緑パネルを青のダメージパネルに5個変換+_x000D_全ユニットに2000固定ダメージ</v>
      </c>
      <c r="F8" s="153">
        <v>40043007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8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x14ac:dyDescent="0.15">
      <c r="A9" s="39" t="str">
        <f t="shared" si="2"/>
        <v>40043002_40043008</v>
      </c>
      <c r="B9" s="141">
        <v>40043002</v>
      </c>
      <c r="C9" s="153">
        <v>40043008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お酌回し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青パネルを黄のダメージパネルに5個変換+_x000D_全体攻撃</v>
      </c>
      <c r="F9" s="153">
        <v>40043008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8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thickBot="1" x14ac:dyDescent="0.2">
      <c r="A10" s="169" t="str">
        <f t="shared" si="2"/>
        <v>40043002_40043009</v>
      </c>
      <c r="B10" s="147">
        <v>40043002</v>
      </c>
      <c r="C10" s="154">
        <v>40043009</v>
      </c>
      <c r="D10" s="17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1本空いちゃったわ〜</v>
      </c>
      <c r="E10" s="17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ランダムで赤パネルに最大10個変換</v>
      </c>
      <c r="F10" s="154">
        <v>40043009</v>
      </c>
      <c r="G10" s="151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151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10" s="151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151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25</v>
      </c>
      <c r="K10" s="151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151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151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" s="151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151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147"/>
      <c r="Q10" s="147"/>
      <c r="R10" s="147"/>
    </row>
    <row r="11" spans="1:18" ht="21" customHeight="1" x14ac:dyDescent="0.15">
      <c r="A11" s="39" t="str">
        <f t="shared" si="2"/>
        <v>40043003_40043010</v>
      </c>
      <c r="B11" s="141">
        <v>40043003</v>
      </c>
      <c r="C11" s="153">
        <v>40043010</v>
      </c>
      <c r="D11" s="175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まだまだ呑むわよぉ〜</v>
      </c>
      <c r="E11" s="175" t="str">
        <f ca="1">VLOOKUP($C11,OFFSET(enemy_skills!$A$1,0,0,COUNTA(enemy_skills!$A:$A),MATCH(E$1,enemy_skills!$1:$1,0)-MATCH("enemy_skill_id",enemy_skills!$1:$1,0)+1),MATCH(E$1,enemy_skills!$1:$1,0)-MATCH("enemy_skill_id",enemy_skills!$1:$1,0)+1,FALSE)</f>
        <v>ハートパネルを赤のダメージパネルに5個変換+_x000D_単体攻撃</v>
      </c>
      <c r="F11" s="153">
        <v>40043010</v>
      </c>
      <c r="G11" s="145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" s="145" t="str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" s="145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145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145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145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145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145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145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141"/>
      <c r="Q11" s="141"/>
      <c r="R11" s="141"/>
    </row>
    <row r="12" spans="1:18" ht="21" customHeight="1" x14ac:dyDescent="0.15">
      <c r="A12" s="39" t="str">
        <f t="shared" si="2"/>
        <v>40043003_40043011</v>
      </c>
      <c r="B12" s="141">
        <v>40043003</v>
      </c>
      <c r="C12" s="153">
        <v>40043011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もっともっと！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青パネルを緑のダメージパネルに8個変換+_x000D_全体攻撃</v>
      </c>
      <c r="F12" s="153">
        <v>40043011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48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si="2"/>
        <v>40043003_40043012</v>
      </c>
      <c r="B13" s="141">
        <v>40043003</v>
      </c>
      <c r="C13" s="153">
        <v>40043012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酒瓶ブーメラン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緑パネルを青のダメージパネルに8個変換+_x000D_全ユニットに2000固定ダメージ</v>
      </c>
      <c r="F13" s="153">
        <v>40043012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 t="str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" s="48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si="2"/>
        <v>40043003_40043013</v>
      </c>
      <c r="B14" s="141">
        <v>40043003</v>
      </c>
      <c r="C14" s="153">
        <v>40043013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大吟醸いただきま〜す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ハートパネルを黄のダメージパネルに4個変換+_x000D_全ユニットに2000固定ダメージ</v>
      </c>
      <c r="F14" s="153">
        <v>40043013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48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</row>
    <row r="15" spans="1:18" ht="21" customHeight="1" thickBot="1" x14ac:dyDescent="0.2">
      <c r="A15" s="169" t="str">
        <f t="shared" si="2"/>
        <v>40043003_40043014</v>
      </c>
      <c r="B15" s="147">
        <v>40043003</v>
      </c>
      <c r="C15" s="154">
        <v>40043014</v>
      </c>
      <c r="D15" s="17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もうお酒が呑めないの〜？</v>
      </c>
      <c r="E15" s="17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ハートパネルを黄のダメージパネルに5個変換+_x000D_単体攻撃</v>
      </c>
      <c r="F15" s="154">
        <v>40043014</v>
      </c>
      <c r="G15" s="151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151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15" s="151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151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5" s="151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151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151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5" s="151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151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147"/>
      <c r="Q15" s="147"/>
      <c r="R15" s="147"/>
    </row>
    <row r="16" spans="1:18" ht="21" customHeight="1" x14ac:dyDescent="0.15">
      <c r="A16" s="39" t="str">
        <f t="shared" si="2"/>
        <v>40043004_40043015</v>
      </c>
      <c r="B16" s="141">
        <v>40043004</v>
      </c>
      <c r="C16" s="155">
        <v>40043015</v>
      </c>
      <c r="D16" s="175" t="str">
        <f ca="1">VLOOKUP($C16,OFFSET(enemy_skills!$A$1,0,0,COUNTA(enemy_skills!$A:$A),MATCH(D$1,enemy_skills!$1:$1,0)-MATCH("enemy_skill_id",enemy_skills!$1:$1,0)+1),MATCH(D$1,enemy_skills!$1:$1,0)-MATCH("enemy_skill_id",enemy_skills!$1:$1,0)+1,FALSE)</f>
        <v>威嚇攻撃</v>
      </c>
      <c r="E16" s="175" t="str">
        <f ca="1">VLOOKUP($C16,OFFSET(enemy_skills!$A$1,0,0,COUNTA(enemy_skills!$A:$A),MATCH(E$1,enemy_skills!$1:$1,0)-MATCH("enemy_skill_id",enemy_skills!$1:$1,0)+1),MATCH(E$1,enemy_skills!$1:$1,0)-MATCH("enemy_skill_id",enemy_skills!$1:$1,0)+1,FALSE)</f>
        <v>緑パネルを青のダメージパネルに4個変換+_x000D_全ユニットに1500固定ダメージ</v>
      </c>
      <c r="F16" s="155">
        <v>40043015</v>
      </c>
      <c r="G16" s="145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145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6" s="145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145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145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145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145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6" s="145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145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141"/>
      <c r="Q16" s="141"/>
      <c r="R16" s="141"/>
    </row>
    <row r="17" spans="1:18" ht="21" customHeight="1" thickBot="1" x14ac:dyDescent="0.2">
      <c r="A17" s="169" t="str">
        <f t="shared" si="2"/>
        <v>40043004_40043016</v>
      </c>
      <c r="B17" s="147">
        <v>40043004</v>
      </c>
      <c r="C17" s="156">
        <v>40043016</v>
      </c>
      <c r="D17" s="17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炎舞</v>
      </c>
      <c r="E17" s="17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3ターン敵全体の攻撃力UP</v>
      </c>
      <c r="F17" s="156">
        <v>40043016</v>
      </c>
      <c r="G17" s="151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151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17" s="151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151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151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151" t="str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" s="151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7" s="151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151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147"/>
      <c r="Q17" s="147"/>
      <c r="R17" s="147"/>
    </row>
    <row r="18" spans="1:18" ht="21" customHeight="1" x14ac:dyDescent="0.15">
      <c r="A18" s="39" t="str">
        <f t="shared" ref="A18:A37" si="3">B18&amp;"_"&amp;C18</f>
        <v>40043005_40043017</v>
      </c>
      <c r="B18" s="141">
        <v>40043005</v>
      </c>
      <c r="C18" s="155">
        <v>40043017</v>
      </c>
      <c r="D18" s="175" t="str">
        <f ca="1">VLOOKUP($C18,OFFSET(enemy_skills!$A$1,0,0,COUNTA(enemy_skills!$A:$A),MATCH(D$1,enemy_skills!$1:$1,0)-MATCH("enemy_skill_id",enemy_skills!$1:$1,0)+1),MATCH(D$1,enemy_skills!$1:$1,0)-MATCH("enemy_skill_id",enemy_skills!$1:$1,0)+1,FALSE)</f>
        <v>今のあの子に近づかないほうがいいわ</v>
      </c>
      <c r="E18" s="175" t="str">
        <f ca="1">VLOOKUP($C18,OFFSET(enemy_skills!$A$1,0,0,COUNTA(enemy_skills!$A:$A),MATCH(E$1,enemy_skills!$1:$1,0)-MATCH("enemy_skill_id",enemy_skills!$1:$1,0)+1),MATCH(E$1,enemy_skills!$1:$1,0)-MATCH("enemy_skill_id",enemy_skills!$1:$1,0)+1,FALSE)</f>
        <v>フィーバーゲージ10%減少+_x000D_1ターン全ユニットにスキルバインド</v>
      </c>
      <c r="F18" s="155">
        <v>40043017</v>
      </c>
      <c r="G18" s="145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" s="145" t="str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8" s="145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145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145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145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145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145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145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141"/>
      <c r="Q18" s="141"/>
      <c r="R18" s="141"/>
    </row>
    <row r="19" spans="1:18" ht="21" customHeight="1" x14ac:dyDescent="0.15">
      <c r="A19" s="39" t="str">
        <f t="shared" si="3"/>
        <v>40043005_40043018</v>
      </c>
      <c r="B19" s="141">
        <v>40043005</v>
      </c>
      <c r="C19" s="155">
        <v>40043018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それでもというなら力を示しなさい！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2ターン全ユニットの回復力30%DOWN+全体攻撃</v>
      </c>
      <c r="F19" s="155">
        <v>40043018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48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 x14ac:dyDescent="0.15">
      <c r="A20" s="39" t="str">
        <f t="shared" si="3"/>
        <v>40043005_40043019</v>
      </c>
      <c r="B20" s="141">
        <v>40043005</v>
      </c>
      <c r="C20" s="155">
        <v>40043019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札吹雪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2ターンユニット単体にスリープ+4回連続攻撃</v>
      </c>
      <c r="F20" s="155">
        <v>40043019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48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 x14ac:dyDescent="0.15">
      <c r="A21" s="39" t="str">
        <f t="shared" si="3"/>
        <v>40043005_40043020</v>
      </c>
      <c r="B21" s="141">
        <v>40043005</v>
      </c>
      <c r="C21" s="155">
        <v>40043020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やるわね…_x000D_でもまだまだ！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自身の攻撃頻度UP</v>
      </c>
      <c r="F21" s="155">
        <v>40043020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8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 t="shared" si="3"/>
        <v>40043005_40043021</v>
      </c>
      <c r="B22" s="141">
        <v>40043005</v>
      </c>
      <c r="C22" s="166">
        <v>40043021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あなたになら任せても…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2ターン赤パネルドロップ率UP</v>
      </c>
      <c r="F22" s="166">
        <v>40043021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8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 thickBot="1" x14ac:dyDescent="0.2">
      <c r="A23" s="169" t="str">
        <f t="shared" si="3"/>
        <v>40043005_40043022</v>
      </c>
      <c r="B23" s="147">
        <v>40043005</v>
      </c>
      <c r="C23" s="159">
        <v>40043022</v>
      </c>
      <c r="D23" s="17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…あの子のことをお願い！</v>
      </c>
      <c r="E23" s="17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23" s="159">
        <v>40043022</v>
      </c>
      <c r="G23" s="151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151" t="str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3" s="151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151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151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151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3" s="151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151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23" s="151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147"/>
      <c r="Q23" s="147"/>
      <c r="R23" s="147"/>
    </row>
    <row r="24" spans="1:18" ht="21" customHeight="1" x14ac:dyDescent="0.15">
      <c r="A24" s="39" t="str">
        <f t="shared" si="3"/>
        <v>40043006_40043023</v>
      </c>
      <c r="B24" s="141">
        <v>40043006</v>
      </c>
      <c r="C24" s="155">
        <v>40043023</v>
      </c>
      <c r="D24" s="175" t="str">
        <f ca="1">VLOOKUP($C24,OFFSET(enemy_skills!$A$1,0,0,COUNTA(enemy_skills!$A:$A),MATCH(D$1,enemy_skills!$1:$1,0)-MATCH("enemy_skill_id",enemy_skills!$1:$1,0)+1),MATCH(D$1,enemy_skills!$1:$1,0)-MATCH("enemy_skill_id",enemy_skills!$1:$1,0)+1,FALSE)</f>
        <v>噛み砕く</v>
      </c>
      <c r="E24" s="175" t="str">
        <f ca="1">VLOOKUP($C24,OFFSET(enemy_skills!$A$1,0,0,COUNTA(enemy_skills!$A:$A),MATCH(E$1,enemy_skills!$1:$1,0)-MATCH("enemy_skill_id",enemy_skills!$1:$1,0)+1),MATCH(E$1,enemy_skills!$1:$1,0)-MATCH("enemy_skill_id",enemy_skills!$1:$1,0)+1,FALSE)</f>
        <v>青のダメージパネルを吸収して攻撃(最大4個)</v>
      </c>
      <c r="F24" s="155">
        <v>40043023</v>
      </c>
      <c r="G24" s="145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145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24" s="145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145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145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145" t="str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" s="145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4" s="145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145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141"/>
      <c r="Q24" s="141"/>
      <c r="R24" s="141"/>
    </row>
    <row r="25" spans="1:18" ht="21" customHeight="1" thickBot="1" x14ac:dyDescent="0.2">
      <c r="A25" s="169" t="str">
        <f t="shared" si="3"/>
        <v>40043006_40043024</v>
      </c>
      <c r="B25" s="147">
        <v>40043006</v>
      </c>
      <c r="C25" s="156">
        <v>40043024</v>
      </c>
      <c r="D25" s="17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燃え盛る炎</v>
      </c>
      <c r="E25" s="17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2ターン全ユニットにスキルバインド+_x000D_全体攻撃</v>
      </c>
      <c r="F25" s="156">
        <v>40043024</v>
      </c>
      <c r="G25" s="151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151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25" s="151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151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151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151" t="str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5" s="151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5" s="151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151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147"/>
      <c r="Q25" s="147"/>
      <c r="R25" s="147"/>
    </row>
    <row r="26" spans="1:18" ht="21" customHeight="1" x14ac:dyDescent="0.15">
      <c r="A26" s="39" t="str">
        <f t="shared" si="3"/>
        <v>40043007_40043025</v>
      </c>
      <c r="B26" s="141">
        <v>40043007</v>
      </c>
      <c r="C26" s="157">
        <v>40043025</v>
      </c>
      <c r="D26" s="175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『ナニ見てるノ！』</v>
      </c>
      <c r="E26" s="175" t="str">
        <f ca="1">VLOOKUP($C26,OFFSET(enemy_skills!$A$1,0,0,COUNTA(enemy_skills!$A:$A),MATCH(E$1,enemy_skills!$1:$1,0)-MATCH("enemy_skill_id",enemy_skills!$1:$1,0)+1),MATCH(E$1,enemy_skills!$1:$1,0)-MATCH("enemy_skill_id",enemy_skills!$1:$1,0)+1,FALSE)</f>
        <v>状態異常耐性+4ターン自身の攻撃力UP</v>
      </c>
      <c r="F26" s="157">
        <v>40043025</v>
      </c>
      <c r="G26" s="145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6" s="145" t="str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6" s="145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145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145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145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145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145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145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141"/>
      <c r="Q26" s="141"/>
      <c r="R26" s="141"/>
    </row>
    <row r="27" spans="1:18" ht="21" customHeight="1" x14ac:dyDescent="0.15">
      <c r="A27" s="39" t="str">
        <f t="shared" si="3"/>
        <v>40043007_40043026</v>
      </c>
      <c r="B27" s="141">
        <v>40043007</v>
      </c>
      <c r="C27" s="157">
        <v>40043026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『あなたもお仕事の邪魔ヲするノネ』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ハートパネルを緑のダメージパネルに5個変換+_x000D_全体攻撃</v>
      </c>
      <c r="F27" s="157">
        <v>40043026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48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/>
    </row>
    <row r="28" spans="1:18" ht="21" customHeight="1" x14ac:dyDescent="0.15">
      <c r="A28" s="39" t="str">
        <f t="shared" si="3"/>
        <v>40043007_40043027</v>
      </c>
      <c r="B28" s="141">
        <v>40043007</v>
      </c>
      <c r="C28" s="157">
        <v>40043027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『わかったワおねえさまノ敵ネ！』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緑パネルを青のダメージパネルに5個変換+_x000D_残りHPの50%ダメージ！</v>
      </c>
      <c r="F28" s="157">
        <v>40043027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 t="str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" s="48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/>
      <c r="Q28" s="47"/>
      <c r="R28" s="47"/>
    </row>
    <row r="29" spans="1:18" ht="21" customHeight="1" thickBot="1" x14ac:dyDescent="0.2">
      <c r="A29" s="169" t="str">
        <f t="shared" si="3"/>
        <v>40043007_40043028</v>
      </c>
      <c r="B29" s="147">
        <v>40043007</v>
      </c>
      <c r="C29" s="158">
        <v>40043028</v>
      </c>
      <c r="D29" s="17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抗体プログラムを…</v>
      </c>
      <c r="E29" s="17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ダメージパネルを赤パネルに変換</v>
      </c>
      <c r="F29" s="158">
        <v>40043028</v>
      </c>
      <c r="G29" s="151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151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29" s="151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151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9" s="151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151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151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9" s="151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151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147"/>
      <c r="Q29" s="147"/>
      <c r="R29" s="147"/>
    </row>
    <row r="30" spans="1:18" ht="21" customHeight="1" x14ac:dyDescent="0.15">
      <c r="A30" s="39" t="str">
        <f t="shared" si="3"/>
        <v>40043008_40043029</v>
      </c>
      <c r="B30" s="141">
        <v>40043008</v>
      </c>
      <c r="C30" s="157">
        <v>40043029</v>
      </c>
      <c r="D30" s="175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『あっちにイって！』</v>
      </c>
      <c r="E30" s="175" t="str">
        <f ca="1">VLOOKUP($C30,OFFSET(enemy_skills!$A$1,0,0,COUNTA(enemy_skills!$A:$A),MATCH(E$1,enemy_skills!$1:$1,0)-MATCH("enemy_skill_id",enemy_skills!$1:$1,0)+1),MATCH(E$1,enemy_skills!$1:$1,0)-MATCH("enemy_skill_id",enemy_skills!$1:$1,0)+1,FALSE)</f>
        <v>状態異常耐性+10回連続攻撃</v>
      </c>
      <c r="F30" s="157">
        <v>40043029</v>
      </c>
      <c r="G30" s="145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0" s="145" t="str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0" s="145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145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145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145" t="str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0" s="145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145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145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141"/>
      <c r="Q30" s="141"/>
      <c r="R30" s="141"/>
    </row>
    <row r="31" spans="1:18" ht="21" customHeight="1" x14ac:dyDescent="0.15">
      <c r="A31" s="39" t="str">
        <f t="shared" si="3"/>
        <v>40043008_40043030</v>
      </c>
      <c r="B31" s="141">
        <v>40043008</v>
      </c>
      <c r="C31" s="157">
        <v>40043030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『見ナイデ！』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3ターン暗闇+単体攻撃</v>
      </c>
      <c r="F31" s="157">
        <v>40043030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 t="str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1" s="48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7"/>
      <c r="Q31" s="47"/>
      <c r="R31" s="47"/>
    </row>
    <row r="32" spans="1:18" ht="21" customHeight="1" x14ac:dyDescent="0.15">
      <c r="A32" s="39" t="str">
        <f t="shared" si="3"/>
        <v>40043008_40043031</v>
      </c>
      <c r="B32" s="141">
        <v>40043008</v>
      </c>
      <c r="C32" s="157">
        <v>40043031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『モット早く仕上げないト…』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攻撃頻度UP</v>
      </c>
      <c r="F32" s="157">
        <v>40043031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8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7"/>
      <c r="Q32" s="47"/>
      <c r="R32" s="47"/>
    </row>
    <row r="33" spans="1:18" ht="21" customHeight="1" x14ac:dyDescent="0.15">
      <c r="A33" s="39" t="str">
        <f t="shared" si="3"/>
        <v>40043008_40043032</v>
      </c>
      <c r="B33" s="141">
        <v>40043008</v>
      </c>
      <c r="C33" s="157">
        <v>40043032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『見ナイデって言ってるデしょ！』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2ターンユニット単体にスリープ+単体攻撃</v>
      </c>
      <c r="F33" s="157">
        <v>40043032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8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 t="str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3" s="48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3" s="48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7"/>
      <c r="Q33" s="47"/>
      <c r="R33" s="47"/>
    </row>
    <row r="34" spans="1:18" ht="21" customHeight="1" x14ac:dyDescent="0.15">
      <c r="A34" s="39" t="str">
        <f t="shared" si="3"/>
        <v>40043008_40043033</v>
      </c>
      <c r="B34" s="141">
        <v>40043008</v>
      </c>
      <c r="C34" s="157">
        <v>40043033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生糸縛り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2ターンユニット単体にスキルバインド+_x000D_青パネルを緑のダメージパネルに10個変換</v>
      </c>
      <c r="F34" s="157">
        <v>40043033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8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8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 t="str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4" s="48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34" s="48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7"/>
      <c r="Q34" s="47"/>
      <c r="R34" s="47"/>
    </row>
    <row r="35" spans="1:18" ht="21" customHeight="1" x14ac:dyDescent="0.15">
      <c r="A35" s="39" t="str">
        <f t="shared" si="3"/>
        <v>40043008_40043034</v>
      </c>
      <c r="B35" s="141">
        <v>40043008</v>
      </c>
      <c r="C35" s="157">
        <v>40043034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『ナニよこレ？』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ハートパネルを緑パネルに変換</v>
      </c>
      <c r="F35" s="157">
        <v>40043034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8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8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 t="str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5" s="48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5" s="48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7"/>
      <c r="Q35" s="47"/>
      <c r="R35" s="47"/>
    </row>
    <row r="36" spans="1:18" ht="21" customHeight="1" thickBot="1" x14ac:dyDescent="0.2">
      <c r="A36" s="169" t="str">
        <f t="shared" si="3"/>
        <v>40043008_40043035</v>
      </c>
      <c r="B36" s="147">
        <v>40043008</v>
      </c>
      <c r="C36" s="158">
        <v>40043035</v>
      </c>
      <c r="D36" s="17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『キツイおしおきが必要ネ』</v>
      </c>
      <c r="E36" s="17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青パネル&amp;緑パネルを吸収して攻撃</v>
      </c>
      <c r="F36" s="158">
        <v>40043035</v>
      </c>
      <c r="G36" s="151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151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36" s="151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6" s="151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25</v>
      </c>
      <c r="K36" s="151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151" t="str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6" s="151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6" s="151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151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6" s="147"/>
      <c r="Q36" s="147"/>
      <c r="R36" s="147"/>
    </row>
    <row r="37" spans="1:18" ht="21" customHeight="1" x14ac:dyDescent="0.15">
      <c r="A37" s="39" t="str">
        <f t="shared" si="3"/>
        <v>40043009_40043036</v>
      </c>
      <c r="B37" s="141">
        <v>40043009</v>
      </c>
      <c r="C37" s="157">
        <v>40043036</v>
      </c>
      <c r="D37" s="175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お願い…助けて…</v>
      </c>
      <c r="E37" s="175" t="str">
        <f ca="1">VLOOKUP($C37,OFFSET(enemy_skills!$A$1,0,0,COUNTA(enemy_skills!$A:$A),MATCH(E$1,enemy_skills!$1:$1,0)-MATCH("enemy_skill_id",enemy_skills!$1:$1,0)+1),MATCH(E$1,enemy_skills!$1:$1,0)-MATCH("enemy_skill_id",enemy_skills!$1:$1,0)+1,FALSE)</f>
        <v>状態異常耐性+青パネルを赤パネルに変換</v>
      </c>
      <c r="F37" s="157">
        <v>40043036</v>
      </c>
      <c r="G37" s="145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7" s="145" t="str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7" s="145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145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145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145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145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145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145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141"/>
      <c r="Q37" s="141"/>
      <c r="R37" s="141"/>
    </row>
    <row r="38" spans="1:18" ht="21" customHeight="1" x14ac:dyDescent="0.15">
      <c r="A38" s="39" t="str">
        <f t="shared" ref="A38:A41" si="4">B38&amp;"_"&amp;C38</f>
        <v>40043009_40043037</v>
      </c>
      <c r="B38" s="141">
        <v>40043009</v>
      </c>
      <c r="C38" s="157">
        <v>40043037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『邪魔者ハ排除シなきゃ』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緑パネルを吸収して全体攻撃(最大10個)</v>
      </c>
      <c r="F38" s="157">
        <v>40043037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8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8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8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8" t="str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8" s="48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8" s="48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7"/>
      <c r="Q38" s="47"/>
      <c r="R38" s="47"/>
    </row>
    <row r="39" spans="1:18" ht="21" customHeight="1" x14ac:dyDescent="0.15">
      <c r="A39" s="39" t="str">
        <f t="shared" si="4"/>
        <v>40043009_40043038</v>
      </c>
      <c r="B39" s="141">
        <v>40043009</v>
      </c>
      <c r="C39" s="157">
        <v>40043038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『マダいたのネ！』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青パネルを吸収して全体攻撃(最大10個)</v>
      </c>
      <c r="F39" s="157">
        <v>40043038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8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8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8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8" t="str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9" s="48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9" s="48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7"/>
      <c r="Q39" s="47"/>
      <c r="R39" s="47"/>
    </row>
    <row r="40" spans="1:18" ht="21" customHeight="1" x14ac:dyDescent="0.15">
      <c r="A40" s="39" t="str">
        <f t="shared" si="4"/>
        <v>40043009_40043039</v>
      </c>
      <c r="B40" s="141">
        <v>40043009</v>
      </c>
      <c r="C40" s="157">
        <v>40043039</v>
      </c>
      <c r="D40" s="46" t="str">
        <f ca="1">VLOOKUP($C40,OFFSET(enemy_skills!$A$1,0,0,COUNTA(enemy_skills!$A:$A),MATCH(D$1,enemy_skills!$1:$1,0)-MATCH("enemy_skill_id",enemy_skills!$1:$1,0)+1),MATCH(D$1,enemy_skills!$1:$1,0)-MATCH("enemy_skill_id",enemy_skills!$1:$1,0)+1,FALSE)</f>
        <v>紅蓮消失</v>
      </c>
      <c r="E40" s="46" t="str">
        <f ca="1">VLOOKUP($C40,OFFSET(enemy_skills!$A$1,0,0,COUNTA(enemy_skills!$A:$A),MATCH(E$1,enemy_skills!$1:$1,0)-MATCH("enemy_skill_id",enemy_skills!$1:$1,0)+1),MATCH(E$1,enemy_skills!$1:$1,0)-MATCH("enemy_skill_id",enemy_skills!$1:$1,0)+1,FALSE)</f>
        <v>赤属性のユニットに大ダメージの単体攻撃</v>
      </c>
      <c r="F40" s="157">
        <v>40043039</v>
      </c>
      <c r="G40" s="48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8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40" s="48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8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8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8" t="str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0" s="48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40" s="48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8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7"/>
      <c r="Q40" s="47"/>
      <c r="R40" s="47"/>
    </row>
    <row r="41" spans="1:18" ht="21" customHeight="1" x14ac:dyDescent="0.15">
      <c r="A41" s="39" t="str">
        <f t="shared" si="4"/>
        <v>40043009_40043040</v>
      </c>
      <c r="B41" s="141">
        <v>40043009</v>
      </c>
      <c r="C41" s="157">
        <v>40043040</v>
      </c>
      <c r="D41" s="46" t="str">
        <f ca="1">VLOOKUP($C41,OFFSET(enemy_skills!$A$1,0,0,COUNTA(enemy_skills!$A:$A),MATCH(D$1,enemy_skills!$1:$1,0)-MATCH("enemy_skill_id",enemy_skills!$1:$1,0)+1),MATCH(D$1,enemy_skills!$1:$1,0)-MATCH("enemy_skill_id",enemy_skills!$1:$1,0)+1,FALSE)</f>
        <v>…もう…傷つけたくない</v>
      </c>
      <c r="E41" s="46" t="str">
        <f ca="1">VLOOKUP($C41,OFFSET(enemy_skills!$A$1,0,0,COUNTA(enemy_skills!$A:$A),MATCH(E$1,enemy_skills!$1:$1,0)-MATCH("enemy_skill_id",enemy_skills!$1:$1,0)+1),MATCH(E$1,enemy_skills!$1:$1,0)-MATCH("enemy_skill_id",enemy_skills!$1:$1,0)+1,FALSE)</f>
        <v>緑パネルを黄パネルに変換</v>
      </c>
      <c r="F41" s="157">
        <v>40043040</v>
      </c>
      <c r="G41" s="48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8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41" s="48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8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1" s="48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8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48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1" s="48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8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7"/>
      <c r="Q41" s="47"/>
      <c r="R41" s="47"/>
    </row>
    <row r="42" spans="1:18" ht="21" customHeight="1" x14ac:dyDescent="0.15">
      <c r="A42" s="39" t="str">
        <f t="shared" ref="A42:A83" si="5">B42&amp;"_"&amp;C42</f>
        <v>40043009_40043041</v>
      </c>
      <c r="B42" s="141">
        <v>40043009</v>
      </c>
      <c r="C42" s="167">
        <v>40043041</v>
      </c>
      <c r="D42" s="46" t="str">
        <f ca="1">VLOOKUP($C42,OFFSET(enemy_skills!$A$1,0,0,COUNTA(enemy_skills!$A:$A),MATCH(D$1,enemy_skills!$1:$1,0)-MATCH("enemy_skill_id",enemy_skills!$1:$1,0)+1),MATCH(D$1,enemy_skills!$1:$1,0)-MATCH("enemy_skill_id",enemy_skills!$1:$1,0)+1,FALSE)</f>
        <v>『イジワルするあなたナンか大っ嫌イ！』</v>
      </c>
      <c r="E42" s="46" t="str">
        <f ca="1">VLOOKUP($C42,OFFSET(enemy_skills!$A$1,0,0,COUNTA(enemy_skills!$A:$A),MATCH(E$1,enemy_skills!$1:$1,0)-MATCH("enemy_skill_id",enemy_skills!$1:$1,0)+1),MATCH(E$1,enemy_skills!$1:$1,0)-MATCH("enemy_skill_id",enemy_skills!$1:$1,0)+1,FALSE)</f>
        <v>青パネルを緑のダメージパネルに変換+_x000D_全体攻撃</v>
      </c>
      <c r="F42" s="167">
        <v>40043041</v>
      </c>
      <c r="G42" s="48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8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42" s="48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2" s="48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25</v>
      </c>
      <c r="K42" s="48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8" t="str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2" s="48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2" s="48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8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2" s="47"/>
      <c r="Q42" s="47"/>
      <c r="R42" s="47"/>
    </row>
    <row r="43" spans="1:18" ht="21" customHeight="1" thickBot="1" x14ac:dyDescent="0.2">
      <c r="A43" s="169" t="str">
        <f t="shared" si="5"/>
        <v>40043009_40043042</v>
      </c>
      <c r="B43" s="147">
        <v>40043009</v>
      </c>
      <c r="C43" s="158">
        <v>40043042</v>
      </c>
      <c r="D43" s="176" t="str">
        <f ca="1">VLOOKUP($C43,OFFSET(enemy_skills!$A$1,0,0,COUNTA(enemy_skills!$A:$A),MATCH(D$1,enemy_skills!$1:$1,0)-MATCH("enemy_skill_id",enemy_skills!$1:$1,0)+1),MATCH(D$1,enemy_skills!$1:$1,0)-MATCH("enemy_skill_id",enemy_skills!$1:$1,0)+1,FALSE)</f>
        <v>…助けてくれて…ありがとう</v>
      </c>
      <c r="E43" s="176" t="str">
        <f ca="1">VLOOKUP($C43,OFFSET(enemy_skills!$A$1,0,0,COUNTA(enemy_skills!$A:$A),MATCH(E$1,enemy_skills!$1:$1,0)-MATCH("enemy_skill_id",enemy_skills!$1:$1,0)+1),MATCH(E$1,enemy_skills!$1:$1,0)-MATCH("enemy_skill_id",enemy_skills!$1:$1,0)+1,FALSE)</f>
        <v>おねえさまには内緒だからね！</v>
      </c>
      <c r="F43" s="158">
        <v>40043042</v>
      </c>
      <c r="G43" s="151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151" t="str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3" s="151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151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151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151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3" s="151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151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43" s="151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147"/>
      <c r="Q43" s="147"/>
      <c r="R43" s="147"/>
    </row>
    <row r="44" spans="1:18" ht="21" customHeight="1" x14ac:dyDescent="0.15">
      <c r="A44" s="39" t="str">
        <f t="shared" si="5"/>
        <v>40043010_40043043</v>
      </c>
      <c r="B44" s="47">
        <v>40043010</v>
      </c>
      <c r="C44" s="140">
        <v>40043043</v>
      </c>
      <c r="D44" s="46" t="str">
        <f ca="1">VLOOKUP($C44,OFFSET(enemy_skills!$A$1,0,0,COUNTA(enemy_skills!$A:$A),MATCH(D$1,enemy_skills!$1:$1,0)-MATCH("enemy_skill_id",enemy_skills!$1:$1,0)+1),MATCH(D$1,enemy_skills!$1:$1,0)-MATCH("enemy_skill_id",enemy_skills!$1:$1,0)+1,FALSE)</f>
        <v>『ナニあなた？』</v>
      </c>
      <c r="E44" s="46" t="str">
        <f ca="1">VLOOKUP($C44,OFFSET(enemy_skills!$A$1,0,0,COUNTA(enemy_skills!$A:$A),MATCH(E$1,enemy_skills!$1:$1,0)-MATCH("enemy_skill_id",enemy_skills!$1:$1,0)+1),MATCH(E$1,enemy_skills!$1:$1,0)-MATCH("enemy_skill_id",enemy_skills!$1:$1,0)+1,FALSE)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44" s="140">
        <v>40043043</v>
      </c>
      <c r="G44" s="48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4" s="48" t="str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4" s="48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8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8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8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" s="48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48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8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7"/>
      <c r="Q44" s="47"/>
      <c r="R44" s="47"/>
    </row>
    <row r="45" spans="1:18" ht="21" customHeight="1" x14ac:dyDescent="0.15">
      <c r="A45" s="39" t="str">
        <f t="shared" si="5"/>
        <v>40043010_40043044</v>
      </c>
      <c r="B45" s="47">
        <v>40043010</v>
      </c>
      <c r="C45" s="140">
        <v>40043044</v>
      </c>
      <c r="D45" s="46" t="str">
        <f ca="1">VLOOKUP($C45,OFFSET(enemy_skills!$A$1,0,0,COUNTA(enemy_skills!$A:$A),MATCH(D$1,enemy_skills!$1:$1,0)-MATCH("enemy_skill_id",enemy_skills!$1:$1,0)+1),MATCH(D$1,enemy_skills!$1:$1,0)-MATCH("enemy_skill_id",enemy_skills!$1:$1,0)+1,FALSE)</f>
        <v>あたしに…近づかないで…</v>
      </c>
      <c r="E45" s="46" t="str">
        <f ca="1">VLOOKUP($C45,OFFSET(enemy_skills!$A$1,0,0,COUNTA(enemy_skills!$A:$A),MATCH(E$1,enemy_skills!$1:$1,0)-MATCH("enemy_skill_id",enemy_skills!$1:$1,0)+1),MATCH(E$1,enemy_skills!$1:$1,0)-MATCH("enemy_skill_id",enemy_skills!$1:$1,0)+1,FALSE)</f>
        <v>3ターン全ユニットの攻撃をカウンター</v>
      </c>
      <c r="F45" s="140">
        <v>40043044</v>
      </c>
      <c r="G45" s="48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8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45" s="48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8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8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8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" s="48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5" s="48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48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7"/>
      <c r="Q45" s="47"/>
      <c r="R45" s="47"/>
    </row>
    <row r="46" spans="1:18" ht="21" customHeight="1" x14ac:dyDescent="0.15">
      <c r="A46" s="39" t="str">
        <f t="shared" si="5"/>
        <v>40043010_40043045</v>
      </c>
      <c r="B46" s="47">
        <v>40043010</v>
      </c>
      <c r="C46" s="140">
        <v>40043045</v>
      </c>
      <c r="D46" s="46" t="str">
        <f ca="1">VLOOKUP($C46,OFFSET(enemy_skills!$A$1,0,0,COUNTA(enemy_skills!$A:$A),MATCH(D$1,enemy_skills!$1:$1,0)-MATCH("enemy_skill_id",enemy_skills!$1:$1,0)+1),MATCH(D$1,enemy_skills!$1:$1,0)-MATCH("enemy_skill_id",enemy_skills!$1:$1,0)+1,FALSE)</f>
        <v>あなたも…感染しちゃう…</v>
      </c>
      <c r="E46" s="46" t="str">
        <f ca="1">VLOOKUP($C46,OFFSET(enemy_skills!$A$1,0,0,COUNTA(enemy_skills!$A:$A),MATCH(E$1,enemy_skills!$1:$1,0)-MATCH("enemy_skill_id",enemy_skills!$1:$1,0)+1),MATCH(E$1,enemy_skills!$1:$1,0)-MATCH("enemy_skill_id",enemy_skills!$1:$1,0)+1,FALSE)</f>
        <v>ランダムで緑パネルに最大15個変換</v>
      </c>
      <c r="F46" s="140">
        <v>40043045</v>
      </c>
      <c r="G46" s="48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8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46" s="48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8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46" s="48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8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48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6" s="48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48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7"/>
      <c r="Q46" s="47"/>
      <c r="R46" s="47"/>
    </row>
    <row r="47" spans="1:18" ht="21" customHeight="1" thickBot="1" x14ac:dyDescent="0.2">
      <c r="A47" s="169" t="str">
        <f t="shared" si="5"/>
        <v>40043010_40043046</v>
      </c>
      <c r="B47" s="147">
        <v>40043010</v>
      </c>
      <c r="C47" s="168">
        <v>40043046</v>
      </c>
      <c r="D47" s="176" t="str">
        <f ca="1">VLOOKUP($C47,OFFSET(enemy_skills!$A$1,0,0,COUNTA(enemy_skills!$A:$A),MATCH(D$1,enemy_skills!$1:$1,0)-MATCH("enemy_skill_id",enemy_skills!$1:$1,0)+1),MATCH(D$1,enemy_skills!$1:$1,0)-MATCH("enemy_skill_id",enemy_skills!$1:$1,0)+1,FALSE)</f>
        <v>『はヤくお仕事しなクちャ』</v>
      </c>
      <c r="E47" s="176" t="str">
        <f ca="1">VLOOKUP($C47,OFFSET(enemy_skills!$A$1,0,0,COUNTA(enemy_skills!$A:$A),MATCH(E$1,enemy_skills!$1:$1,0)-MATCH("enemy_skill_id",enemy_skills!$1:$1,0)+1),MATCH(E$1,enemy_skills!$1:$1,0)-MATCH("enemy_skill_id",enemy_skills!$1:$1,0)+1,FALSE)</f>
        <v>走り去っていった</v>
      </c>
      <c r="F47" s="168">
        <v>40043046</v>
      </c>
      <c r="G47" s="151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" s="151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47" s="151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151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47" s="151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151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151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7" s="151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151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147"/>
      <c r="Q47" s="147"/>
      <c r="R47" s="147"/>
    </row>
    <row r="48" spans="1:18" ht="21" customHeight="1" x14ac:dyDescent="0.15">
      <c r="A48" s="39" t="str">
        <f t="shared" si="5"/>
        <v>40043011_40043047</v>
      </c>
      <c r="B48" s="141">
        <v>40043011</v>
      </c>
      <c r="C48" s="153">
        <v>40043047</v>
      </c>
      <c r="D48" s="175" t="str">
        <f ca="1">VLOOKUP($C48,OFFSET(enemy_skills!$A$1,0,0,COUNTA(enemy_skills!$A:$A),MATCH(D$1,enemy_skills!$1:$1,0)-MATCH("enemy_skill_id",enemy_skills!$1:$1,0)+1),MATCH(D$1,enemy_skills!$1:$1,0)-MATCH("enemy_skill_id",enemy_skills!$1:$1,0)+1,FALSE)</f>
        <v>いらっしゃ〜い！_x000D_まずは駆けつけ一杯よ〜</v>
      </c>
      <c r="E48" s="175" t="str">
        <f ca="1">VLOOKUP($C48,OFFSET(enemy_skills!$A$1,0,0,COUNTA(enemy_skills!$A:$A),MATCH(E$1,enemy_skills!$1:$1,0)-MATCH("enemy_skill_id",enemy_skills!$1:$1,0)+1),MATCH(E$1,enemy_skills!$1:$1,0)-MATCH("enemy_skill_id",enemy_skills!$1:$1,0)+1,FALSE)</f>
        <v>緑パネルを赤のダメージパネルに5個変換</v>
      </c>
      <c r="F48" s="153">
        <v>40043047</v>
      </c>
      <c r="G48" s="145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8" s="145" t="str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8" s="145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145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145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145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" s="145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145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145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141"/>
      <c r="Q48" s="141"/>
      <c r="R48" s="141"/>
    </row>
    <row r="49" spans="1:18" ht="21" customHeight="1" x14ac:dyDescent="0.15">
      <c r="A49" s="39" t="str">
        <f t="shared" si="5"/>
        <v>40043011_40043048</v>
      </c>
      <c r="B49" s="141">
        <v>40043011</v>
      </c>
      <c r="C49" s="153">
        <v>40043048</v>
      </c>
      <c r="D49" s="46" t="str">
        <f ca="1">VLOOKUP($C49,OFFSET(enemy_skills!$A$1,0,0,COUNTA(enemy_skills!$A:$A),MATCH(D$1,enemy_skills!$1:$1,0)-MATCH("enemy_skill_id",enemy_skills!$1:$1,0)+1),MATCH(D$1,enemy_skills!$1:$1,0)-MATCH("enemy_skill_id",enemy_skills!$1:$1,0)+1,FALSE)</f>
        <v>あぁ〜お酒が〜</v>
      </c>
      <c r="E49" s="46" t="str">
        <f ca="1">VLOOKUP($C49,OFFSET(enemy_skills!$A$1,0,0,COUNTA(enemy_skills!$A:$A),MATCH(E$1,enemy_skills!$1:$1,0)-MATCH("enemy_skill_id",enemy_skills!$1:$1,0)+1),MATCH(E$1,enemy_skills!$1:$1,0)-MATCH("enemy_skill_id",enemy_skills!$1:$1,0)+1,FALSE)</f>
        <v>青パネルを緑パネルに5個変換+全体攻撃</v>
      </c>
      <c r="F49" s="153">
        <v>40043048</v>
      </c>
      <c r="G49" s="48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9" s="48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49" s="48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8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8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8" t="str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9" s="48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9" s="48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48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7"/>
      <c r="Q49" s="47"/>
      <c r="R49" s="47"/>
    </row>
    <row r="50" spans="1:18" ht="21" customHeight="1" x14ac:dyDescent="0.15">
      <c r="A50" s="39" t="str">
        <f t="shared" si="5"/>
        <v>40043011_40043049</v>
      </c>
      <c r="B50" s="141">
        <v>40043011</v>
      </c>
      <c r="C50" s="153">
        <v>40043049</v>
      </c>
      <c r="D50" s="46" t="str">
        <f ca="1">VLOOKUP($C50,OFFSET(enemy_skills!$A$1,0,0,COUNTA(enemy_skills!$A:$A),MATCH(D$1,enemy_skills!$1:$1,0)-MATCH("enemy_skill_id",enemy_skills!$1:$1,0)+1),MATCH(D$1,enemy_skills!$1:$1,0)-MATCH("enemy_skill_id",enemy_skills!$1:$1,0)+1,FALSE)</f>
        <v>さぁ！どんどん呑みましょう！</v>
      </c>
      <c r="E50" s="46" t="str">
        <f ca="1">VLOOKUP($C50,OFFSET(enemy_skills!$A$1,0,0,COUNTA(enemy_skills!$A:$A),MATCH(E$1,enemy_skills!$1:$1,0)-MATCH("enemy_skill_id",enemy_skills!$1:$1,0)+1),MATCH(E$1,enemy_skills!$1:$1,0)-MATCH("enemy_skill_id",enemy_skills!$1:$1,0)+1,FALSE)</f>
        <v>緑パネルを青のダメージパネルに5個変換+_x000D_全ユニットに1500固定ダメージ</v>
      </c>
      <c r="F50" s="153">
        <v>40043049</v>
      </c>
      <c r="G50" s="48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48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50" s="48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8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8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8" t="str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0" s="48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50" s="48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48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7"/>
      <c r="Q50" s="47"/>
      <c r="R50" s="47"/>
    </row>
    <row r="51" spans="1:18" ht="21" customHeight="1" x14ac:dyDescent="0.15">
      <c r="A51" s="39" t="str">
        <f t="shared" si="5"/>
        <v>40043011_40043050</v>
      </c>
      <c r="B51" s="141">
        <v>40043011</v>
      </c>
      <c r="C51" s="153">
        <v>40043050</v>
      </c>
      <c r="D51" s="46" t="str">
        <f ca="1">VLOOKUP($C51,OFFSET(enemy_skills!$A$1,0,0,COUNTA(enemy_skills!$A:$A),MATCH(D$1,enemy_skills!$1:$1,0)-MATCH("enemy_skill_id",enemy_skills!$1:$1,0)+1),MATCH(D$1,enemy_skills!$1:$1,0)-MATCH("enemy_skill_id",enemy_skills!$1:$1,0)+1,FALSE)</f>
        <v>お酌回し</v>
      </c>
      <c r="E51" s="46" t="str">
        <f ca="1">VLOOKUP($C51,OFFSET(enemy_skills!$A$1,0,0,COUNTA(enemy_skills!$A:$A),MATCH(E$1,enemy_skills!$1:$1,0)-MATCH("enemy_skill_id",enemy_skills!$1:$1,0)+1),MATCH(E$1,enemy_skills!$1:$1,0)-MATCH("enemy_skill_id",enemy_skills!$1:$1,0)+1,FALSE)</f>
        <v>青パネルを黄のダメージパネルに5個変換+_x000D_全体攻撃</v>
      </c>
      <c r="F51" s="153">
        <v>40043050</v>
      </c>
      <c r="G51" s="48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48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51" s="48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8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1" s="48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8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1" s="48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1" s="48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48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7"/>
      <c r="Q51" s="47"/>
      <c r="R51" s="47"/>
    </row>
    <row r="52" spans="1:18" ht="21" customHeight="1" thickBot="1" x14ac:dyDescent="0.2">
      <c r="A52" s="169" t="str">
        <f t="shared" si="5"/>
        <v>40043011_40043051</v>
      </c>
      <c r="B52" s="147">
        <v>40043011</v>
      </c>
      <c r="C52" s="154">
        <v>40043051</v>
      </c>
      <c r="D52" s="176" t="str">
        <f ca="1">VLOOKUP($C52,OFFSET(enemy_skills!$A$1,0,0,COUNTA(enemy_skills!$A:$A),MATCH(D$1,enemy_skills!$1:$1,0)-MATCH("enemy_skill_id",enemy_skills!$1:$1,0)+1),MATCH(D$1,enemy_skills!$1:$1,0)-MATCH("enemy_skill_id",enemy_skills!$1:$1,0)+1,FALSE)</f>
        <v>1本空いちゃったわ〜</v>
      </c>
      <c r="E52" s="176" t="str">
        <f ca="1">VLOOKUP($C52,OFFSET(enemy_skills!$A$1,0,0,COUNTA(enemy_skills!$A:$A),MATCH(E$1,enemy_skills!$1:$1,0)-MATCH("enemy_skill_id",enemy_skills!$1:$1,0)+1),MATCH(E$1,enemy_skills!$1:$1,0)-MATCH("enemy_skill_id",enemy_skills!$1:$1,0)+1,FALSE)</f>
        <v>ランダムで赤パネルに最大10個変換</v>
      </c>
      <c r="F52" s="154">
        <v>40043051</v>
      </c>
      <c r="G52" s="151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151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52" s="151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151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25</v>
      </c>
      <c r="K52" s="151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151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2" s="151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2" s="151" t="str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2" s="151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147"/>
      <c r="Q52" s="147"/>
      <c r="R52" s="147"/>
    </row>
    <row r="53" spans="1:18" ht="21" customHeight="1" x14ac:dyDescent="0.15">
      <c r="A53" s="39" t="str">
        <f t="shared" si="5"/>
        <v>40043012_40043052</v>
      </c>
      <c r="B53" s="141">
        <v>40043012</v>
      </c>
      <c r="C53" s="153">
        <v>40043052</v>
      </c>
      <c r="D53" s="175" t="str">
        <f ca="1">VLOOKUP($C53,OFFSET(enemy_skills!$A$1,0,0,COUNTA(enemy_skills!$A:$A),MATCH(D$1,enemy_skills!$1:$1,0)-MATCH("enemy_skill_id",enemy_skills!$1:$1,0)+1),MATCH(D$1,enemy_skills!$1:$1,0)-MATCH("enemy_skill_id",enemy_skills!$1:$1,0)+1,FALSE)</f>
        <v>まだまだ呑むわよぉ〜</v>
      </c>
      <c r="E53" s="175" t="str">
        <f ca="1">VLOOKUP($C53,OFFSET(enemy_skills!$A$1,0,0,COUNTA(enemy_skills!$A:$A),MATCH(E$1,enemy_skills!$1:$1,0)-MATCH("enemy_skill_id",enemy_skills!$1:$1,0)+1),MATCH(E$1,enemy_skills!$1:$1,0)-MATCH("enemy_skill_id",enemy_skills!$1:$1,0)+1,FALSE)</f>
        <v>ハートパネルを赤のダメージパネルに5個変換+_x000D_単体攻撃</v>
      </c>
      <c r="F53" s="153">
        <v>40043052</v>
      </c>
      <c r="G53" s="145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3" s="145" t="str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3" s="145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145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145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145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3" s="145" t="str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3" s="145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145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141"/>
      <c r="Q53" s="141"/>
      <c r="R53" s="141"/>
    </row>
    <row r="54" spans="1:18" ht="21" customHeight="1" x14ac:dyDescent="0.15">
      <c r="A54" s="39" t="str">
        <f t="shared" si="5"/>
        <v>40043012_40043053</v>
      </c>
      <c r="B54" s="141">
        <v>40043012</v>
      </c>
      <c r="C54" s="153">
        <v>40043053</v>
      </c>
      <c r="D54" s="46" t="str">
        <f ca="1">VLOOKUP($C54,OFFSET(enemy_skills!$A$1,0,0,COUNTA(enemy_skills!$A:$A),MATCH(D$1,enemy_skills!$1:$1,0)-MATCH("enemy_skill_id",enemy_skills!$1:$1,0)+1),MATCH(D$1,enemy_skills!$1:$1,0)-MATCH("enemy_skill_id",enemy_skills!$1:$1,0)+1,FALSE)</f>
        <v>もっともっと！</v>
      </c>
      <c r="E54" s="46" t="str">
        <f ca="1">VLOOKUP($C54,OFFSET(enemy_skills!$A$1,0,0,COUNTA(enemy_skills!$A:$A),MATCH(E$1,enemy_skills!$1:$1,0)-MATCH("enemy_skill_id",enemy_skills!$1:$1,0)+1),MATCH(E$1,enemy_skills!$1:$1,0)-MATCH("enemy_skill_id",enemy_skills!$1:$1,0)+1,FALSE)</f>
        <v>青パネルを緑のダメージパネルに8個変換+_x000D_全体攻撃</v>
      </c>
      <c r="F54" s="153">
        <v>40043053</v>
      </c>
      <c r="G54" s="48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" s="48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54" s="48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48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48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8" t="str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4" s="48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4" s="48" t="str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4" s="48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47"/>
      <c r="Q54" s="47"/>
      <c r="R54" s="47"/>
    </row>
    <row r="55" spans="1:18" ht="21" customHeight="1" x14ac:dyDescent="0.15">
      <c r="A55" s="39" t="str">
        <f t="shared" si="5"/>
        <v>40043012_40043054</v>
      </c>
      <c r="B55" s="141">
        <v>40043012</v>
      </c>
      <c r="C55" s="153">
        <v>40043054</v>
      </c>
      <c r="D55" s="46" t="str">
        <f ca="1">VLOOKUP($C55,OFFSET(enemy_skills!$A$1,0,0,COUNTA(enemy_skills!$A:$A),MATCH(D$1,enemy_skills!$1:$1,0)-MATCH("enemy_skill_id",enemy_skills!$1:$1,0)+1),MATCH(D$1,enemy_skills!$1:$1,0)-MATCH("enemy_skill_id",enemy_skills!$1:$1,0)+1,FALSE)</f>
        <v>酒瓶ブーメラン</v>
      </c>
      <c r="E55" s="46" t="str">
        <f ca="1">VLOOKUP($C55,OFFSET(enemy_skills!$A$1,0,0,COUNTA(enemy_skills!$A:$A),MATCH(E$1,enemy_skills!$1:$1,0)-MATCH("enemy_skill_id",enemy_skills!$1:$1,0)+1),MATCH(E$1,enemy_skills!$1:$1,0)-MATCH("enemy_skill_id",enemy_skills!$1:$1,0)+1,FALSE)</f>
        <v>緑パネルを青のダメージパネルに8個変換+_x000D_全ユニットに1500固定ダメージ</v>
      </c>
      <c r="F55" s="153">
        <v>40043054</v>
      </c>
      <c r="G55" s="48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5" s="48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55" s="48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48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48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8" t="str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5" s="48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55" s="48" t="str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5" s="48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47"/>
      <c r="Q55" s="47"/>
      <c r="R55" s="47"/>
    </row>
    <row r="56" spans="1:18" ht="21" customHeight="1" x14ac:dyDescent="0.15">
      <c r="A56" s="39" t="str">
        <f t="shared" si="5"/>
        <v>40043012_40043055</v>
      </c>
      <c r="B56" s="141">
        <v>40043012</v>
      </c>
      <c r="C56" s="153">
        <v>40043055</v>
      </c>
      <c r="D56" s="46" t="str">
        <f ca="1">VLOOKUP($C56,OFFSET(enemy_skills!$A$1,0,0,COUNTA(enemy_skills!$A:$A),MATCH(D$1,enemy_skills!$1:$1,0)-MATCH("enemy_skill_id",enemy_skills!$1:$1,0)+1),MATCH(D$1,enemy_skills!$1:$1,0)-MATCH("enemy_skill_id",enemy_skills!$1:$1,0)+1,FALSE)</f>
        <v>大吟醸いただきま〜す</v>
      </c>
      <c r="E56" s="46" t="str">
        <f ca="1">VLOOKUP($C56,OFFSET(enemy_skills!$A$1,0,0,COUNTA(enemy_skills!$A:$A),MATCH(E$1,enemy_skills!$1:$1,0)-MATCH("enemy_skill_id",enemy_skills!$1:$1,0)+1),MATCH(E$1,enemy_skills!$1:$1,0)-MATCH("enemy_skill_id",enemy_skills!$1:$1,0)+1,FALSE)</f>
        <v>ハートパネルを黄のダメージパネルに4個変換+_x000D_全ユニットに1500固定ダメージ</v>
      </c>
      <c r="F56" s="153">
        <v>40043055</v>
      </c>
      <c r="G56" s="48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6" s="48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56" s="48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8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48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8" t="str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6" s="48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56" s="48" t="str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6" s="48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7"/>
      <c r="Q56" s="47"/>
      <c r="R56" s="47"/>
    </row>
    <row r="57" spans="1:18" ht="21" customHeight="1" thickBot="1" x14ac:dyDescent="0.2">
      <c r="A57" s="169" t="str">
        <f t="shared" si="5"/>
        <v>40043012_40043056</v>
      </c>
      <c r="B57" s="147">
        <v>40043012</v>
      </c>
      <c r="C57" s="154">
        <v>40043056</v>
      </c>
      <c r="D57" s="176" t="str">
        <f ca="1">VLOOKUP($C57,OFFSET(enemy_skills!$A$1,0,0,COUNTA(enemy_skills!$A:$A),MATCH(D$1,enemy_skills!$1:$1,0)-MATCH("enemy_skill_id",enemy_skills!$1:$1,0)+1),MATCH(D$1,enemy_skills!$1:$1,0)-MATCH("enemy_skill_id",enemy_skills!$1:$1,0)+1,FALSE)</f>
        <v>もうお酒が呑めないの〜？</v>
      </c>
      <c r="E57" s="176" t="str">
        <f ca="1">VLOOKUP($C57,OFFSET(enemy_skills!$A$1,0,0,COUNTA(enemy_skills!$A:$A),MATCH(E$1,enemy_skills!$1:$1,0)-MATCH("enemy_skill_id",enemy_skills!$1:$1,0)+1),MATCH(E$1,enemy_skills!$1:$1,0)-MATCH("enemy_skill_id",enemy_skills!$1:$1,0)+1,FALSE)</f>
        <v>ハートパネルを黄のダメージパネルに5個変換+_x000D_単体攻撃</v>
      </c>
      <c r="F57" s="154">
        <v>40043056</v>
      </c>
      <c r="G57" s="151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7" s="151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57" s="151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151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7" s="151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151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7" s="151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7" s="151" t="str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7" s="151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147"/>
      <c r="Q57" s="147"/>
      <c r="R57" s="147"/>
    </row>
    <row r="58" spans="1:18" ht="21" customHeight="1" x14ac:dyDescent="0.15">
      <c r="A58" s="39" t="str">
        <f t="shared" si="5"/>
        <v>40043013_40043057</v>
      </c>
      <c r="B58" s="141">
        <v>40043013</v>
      </c>
      <c r="C58" s="155">
        <v>40043057</v>
      </c>
      <c r="D58" s="175" t="str">
        <f ca="1">VLOOKUP($C58,OFFSET(enemy_skills!$A$1,0,0,COUNTA(enemy_skills!$A:$A),MATCH(D$1,enemy_skills!$1:$1,0)-MATCH("enemy_skill_id",enemy_skills!$1:$1,0)+1),MATCH(D$1,enemy_skills!$1:$1,0)-MATCH("enemy_skill_id",enemy_skills!$1:$1,0)+1,FALSE)</f>
        <v>威嚇攻撃</v>
      </c>
      <c r="E58" s="175" t="str">
        <f ca="1">VLOOKUP($C58,OFFSET(enemy_skills!$A$1,0,0,COUNTA(enemy_skills!$A:$A),MATCH(E$1,enemy_skills!$1:$1,0)-MATCH("enemy_skill_id",enemy_skills!$1:$1,0)+1),MATCH(E$1,enemy_skills!$1:$1,0)-MATCH("enemy_skill_id",enemy_skills!$1:$1,0)+1,FALSE)</f>
        <v>緑パネルを青のダメージパネルに4個変換+_x000D_全ユニットに1250固定ダメージ</v>
      </c>
      <c r="F58" s="155">
        <v>40043057</v>
      </c>
      <c r="G58" s="145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" s="145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58" s="145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145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145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145" t="str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8" s="145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58" s="145" t="str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8" s="145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141"/>
      <c r="Q58" s="141"/>
      <c r="R58" s="141"/>
    </row>
    <row r="59" spans="1:18" ht="21" customHeight="1" thickBot="1" x14ac:dyDescent="0.2">
      <c r="A59" s="169" t="str">
        <f t="shared" si="5"/>
        <v>40043013_40043058</v>
      </c>
      <c r="B59" s="147">
        <v>40043013</v>
      </c>
      <c r="C59" s="155">
        <v>40043058</v>
      </c>
      <c r="D59" s="176" t="str">
        <f ca="1">VLOOKUP($C59,OFFSET(enemy_skills!$A$1,0,0,COUNTA(enemy_skills!$A:$A),MATCH(D$1,enemy_skills!$1:$1,0)-MATCH("enemy_skill_id",enemy_skills!$1:$1,0)+1),MATCH(D$1,enemy_skills!$1:$1,0)-MATCH("enemy_skill_id",enemy_skills!$1:$1,0)+1,FALSE)</f>
        <v>炎舞</v>
      </c>
      <c r="E59" s="176" t="str">
        <f ca="1">VLOOKUP($C59,OFFSET(enemy_skills!$A$1,0,0,COUNTA(enemy_skills!$A:$A),MATCH(E$1,enemy_skills!$1:$1,0)-MATCH("enemy_skill_id",enemy_skills!$1:$1,0)+1),MATCH(E$1,enemy_skills!$1:$1,0)-MATCH("enemy_skill_id",enemy_skills!$1:$1,0)+1,FALSE)</f>
        <v>3ターン敵全体の攻撃力UP</v>
      </c>
      <c r="F59" s="155">
        <v>40043058</v>
      </c>
      <c r="G59" s="151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9" s="151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59" s="151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151" t="str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" s="151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151" t="str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9" s="151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59" s="151" t="str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9" s="151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147"/>
      <c r="Q59" s="147"/>
      <c r="R59" s="147"/>
    </row>
    <row r="60" spans="1:18" ht="21" customHeight="1" x14ac:dyDescent="0.15">
      <c r="A60" s="39" t="str">
        <f t="shared" si="5"/>
        <v>40043014_40043059</v>
      </c>
      <c r="B60" s="141">
        <v>40043014</v>
      </c>
      <c r="C60" s="185">
        <v>40043059</v>
      </c>
      <c r="D60" s="175" t="str">
        <f ca="1">VLOOKUP($C60,OFFSET(enemy_skills!$A$1,0,0,COUNTA(enemy_skills!$A:$A),MATCH(D$1,enemy_skills!$1:$1,0)-MATCH("enemy_skill_id",enemy_skills!$1:$1,0)+1),MATCH(D$1,enemy_skills!$1:$1,0)-MATCH("enemy_skill_id",enemy_skills!$1:$1,0)+1,FALSE)</f>
        <v>今のあの子に近づかないほうがいいわ</v>
      </c>
      <c r="E60" s="175" t="str">
        <f ca="1">VLOOKUP($C60,OFFSET(enemy_skills!$A$1,0,0,COUNTA(enemy_skills!$A:$A),MATCH(E$1,enemy_skills!$1:$1,0)-MATCH("enemy_skill_id",enemy_skills!$1:$1,0)+1),MATCH(E$1,enemy_skills!$1:$1,0)-MATCH("enemy_skill_id",enemy_skills!$1:$1,0)+1,FALSE)</f>
        <v>フィーバーゲージ10%減少+_x000D_1ターン全ユニットにスキルバインド</v>
      </c>
      <c r="F60" s="185">
        <v>40043059</v>
      </c>
      <c r="G60" s="145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0" s="145" t="str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0" s="145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145" t="str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" s="145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145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0" s="145" t="str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0" s="145" t="str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0" s="145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141"/>
      <c r="Q60" s="141"/>
      <c r="R60" s="141"/>
    </row>
    <row r="61" spans="1:18" ht="21" customHeight="1" x14ac:dyDescent="0.15">
      <c r="A61" s="39" t="str">
        <f t="shared" si="5"/>
        <v>40043014_40043060</v>
      </c>
      <c r="B61" s="141">
        <v>40043014</v>
      </c>
      <c r="C61" s="166">
        <v>40043060</v>
      </c>
      <c r="D61" s="46" t="str">
        <f ca="1">VLOOKUP($C61,OFFSET(enemy_skills!$A$1,0,0,COUNTA(enemy_skills!$A:$A),MATCH(D$1,enemy_skills!$1:$1,0)-MATCH("enemy_skill_id",enemy_skills!$1:$1,0)+1),MATCH(D$1,enemy_skills!$1:$1,0)-MATCH("enemy_skill_id",enemy_skills!$1:$1,0)+1,FALSE)</f>
        <v>それでもというなら力を示しなさい！</v>
      </c>
      <c r="E61" s="46" t="str">
        <f ca="1">VLOOKUP($C61,OFFSET(enemy_skills!$A$1,0,0,COUNTA(enemy_skills!$A:$A),MATCH(E$1,enemy_skills!$1:$1,0)-MATCH("enemy_skill_id",enemy_skills!$1:$1,0)+1),MATCH(E$1,enemy_skills!$1:$1,0)-MATCH("enemy_skill_id",enemy_skills!$1:$1,0)+1,FALSE)</f>
        <v>2ターン全ユニットの回復力30%DOWN+全体攻撃</v>
      </c>
      <c r="F61" s="166">
        <v>40043060</v>
      </c>
      <c r="G61" s="48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1" s="48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61" s="48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48" t="str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" s="48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8" t="str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1" s="48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1" s="48" t="str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1" s="48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47"/>
      <c r="Q61" s="47"/>
      <c r="R61" s="47"/>
    </row>
    <row r="62" spans="1:18" ht="21" customHeight="1" x14ac:dyDescent="0.15">
      <c r="A62" s="39" t="str">
        <f t="shared" si="5"/>
        <v>40043014_40043061</v>
      </c>
      <c r="B62" s="141">
        <v>40043014</v>
      </c>
      <c r="C62" s="166">
        <v>40043061</v>
      </c>
      <c r="D62" s="46" t="str">
        <f ca="1">VLOOKUP($C62,OFFSET(enemy_skills!$A$1,0,0,COUNTA(enemy_skills!$A:$A),MATCH(D$1,enemy_skills!$1:$1,0)-MATCH("enemy_skill_id",enemy_skills!$1:$1,0)+1),MATCH(D$1,enemy_skills!$1:$1,0)-MATCH("enemy_skill_id",enemy_skills!$1:$1,0)+1,FALSE)</f>
        <v>札吹雪</v>
      </c>
      <c r="E62" s="46" t="str">
        <f ca="1">VLOOKUP($C62,OFFSET(enemy_skills!$A$1,0,0,COUNTA(enemy_skills!$A:$A),MATCH(E$1,enemy_skills!$1:$1,0)-MATCH("enemy_skill_id",enemy_skills!$1:$1,0)+1),MATCH(E$1,enemy_skills!$1:$1,0)-MATCH("enemy_skill_id",enemy_skills!$1:$1,0)+1,FALSE)</f>
        <v>2ターンユニット単体にスリープ+4回連続攻撃</v>
      </c>
      <c r="F62" s="166">
        <v>40043061</v>
      </c>
      <c r="G62" s="48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2" s="48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62" s="48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48" t="str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" s="48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48" t="str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2" s="48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62" s="48" t="str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2" s="48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47"/>
      <c r="Q62" s="47"/>
      <c r="R62" s="47"/>
    </row>
    <row r="63" spans="1:18" ht="21" customHeight="1" x14ac:dyDescent="0.15">
      <c r="A63" s="39" t="str">
        <f t="shared" si="5"/>
        <v>40043014_40043062</v>
      </c>
      <c r="B63" s="141">
        <v>40043014</v>
      </c>
      <c r="C63" s="166">
        <v>40043062</v>
      </c>
      <c r="D63" s="46" t="str">
        <f ca="1">VLOOKUP($C63,OFFSET(enemy_skills!$A$1,0,0,COUNTA(enemy_skills!$A:$A),MATCH(D$1,enemy_skills!$1:$1,0)-MATCH("enemy_skill_id",enemy_skills!$1:$1,0)+1),MATCH(D$1,enemy_skills!$1:$1,0)-MATCH("enemy_skill_id",enemy_skills!$1:$1,0)+1,FALSE)</f>
        <v>やるわね…_x000D_でもまだまだ！</v>
      </c>
      <c r="E63" s="46" t="str">
        <f ca="1">VLOOKUP($C63,OFFSET(enemy_skills!$A$1,0,0,COUNTA(enemy_skills!$A:$A),MATCH(E$1,enemy_skills!$1:$1,0)-MATCH("enemy_skill_id",enemy_skills!$1:$1,0)+1),MATCH(E$1,enemy_skills!$1:$1,0)-MATCH("enemy_skill_id",enemy_skills!$1:$1,0)+1,FALSE)</f>
        <v>自身の攻撃頻度UP</v>
      </c>
      <c r="F63" s="166">
        <v>40043062</v>
      </c>
      <c r="G63" s="48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3" s="48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63" s="48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48" t="str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3" s="48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48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3" s="48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63" s="48" t="str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3" s="48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47"/>
      <c r="Q63" s="47"/>
      <c r="R63" s="47"/>
    </row>
    <row r="64" spans="1:18" ht="21" customHeight="1" x14ac:dyDescent="0.15">
      <c r="A64" s="39" t="str">
        <f t="shared" si="5"/>
        <v>40043014_40043063</v>
      </c>
      <c r="B64" s="141">
        <v>40043014</v>
      </c>
      <c r="C64" s="166">
        <v>40043063</v>
      </c>
      <c r="D64" s="46" t="str">
        <f ca="1">VLOOKUP($C64,OFFSET(enemy_skills!$A$1,0,0,COUNTA(enemy_skills!$A:$A),MATCH(D$1,enemy_skills!$1:$1,0)-MATCH("enemy_skill_id",enemy_skills!$1:$1,0)+1),MATCH(D$1,enemy_skills!$1:$1,0)-MATCH("enemy_skill_id",enemy_skills!$1:$1,0)+1,FALSE)</f>
        <v>あなたになら任せても…</v>
      </c>
      <c r="E64" s="46" t="str">
        <f ca="1">VLOOKUP($C64,OFFSET(enemy_skills!$A$1,0,0,COUNTA(enemy_skills!$A:$A),MATCH(E$1,enemy_skills!$1:$1,0)-MATCH("enemy_skill_id",enemy_skills!$1:$1,0)+1),MATCH(E$1,enemy_skills!$1:$1,0)-MATCH("enemy_skill_id",enemy_skills!$1:$1,0)+1,FALSE)</f>
        <v>2ターン赤パネルドロップ率UP</v>
      </c>
      <c r="F64" s="166">
        <v>40043063</v>
      </c>
      <c r="G64" s="48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4" s="48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64" s="48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" s="48" t="str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" s="48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48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4" s="48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64" s="48" t="str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4" s="48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4" s="47"/>
      <c r="Q64" s="47"/>
      <c r="R64" s="47"/>
    </row>
    <row r="65" spans="1:18" ht="21" customHeight="1" thickBot="1" x14ac:dyDescent="0.2">
      <c r="A65" s="169" t="str">
        <f t="shared" si="5"/>
        <v>40043014_40043064</v>
      </c>
      <c r="B65" s="147">
        <v>40043014</v>
      </c>
      <c r="C65" s="155">
        <v>40043064</v>
      </c>
      <c r="D65" s="176" t="str">
        <f ca="1">VLOOKUP($C65,OFFSET(enemy_skills!$A$1,0,0,COUNTA(enemy_skills!$A:$A),MATCH(D$1,enemy_skills!$1:$1,0)-MATCH("enemy_skill_id",enemy_skills!$1:$1,0)+1),MATCH(D$1,enemy_skills!$1:$1,0)-MATCH("enemy_skill_id",enemy_skills!$1:$1,0)+1,FALSE)</f>
        <v>…あの子のことをお願い！</v>
      </c>
      <c r="E65" s="176" t="str">
        <f ca="1">VLOOKUP($C65,OFFSET(enemy_skills!$A$1,0,0,COUNTA(enemy_skills!$A:$A),MATCH(E$1,enemy_skills!$1:$1,0)-MATCH("enemy_skill_id",enemy_skills!$1:$1,0)+1),MATCH(E$1,enemy_skills!$1:$1,0)-MATCH("enemy_skill_id",enemy_skills!$1:$1,0)+1,FALSE)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65" s="155">
        <v>40043064</v>
      </c>
      <c r="G65" s="151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5" s="151" t="str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5" s="151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" s="151" t="str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5" s="151" t="str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" s="151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5" s="151" t="str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5" s="151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65" s="151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" s="147"/>
      <c r="Q65" s="147"/>
      <c r="R65" s="147"/>
    </row>
    <row r="66" spans="1:18" ht="21" customHeight="1" x14ac:dyDescent="0.15">
      <c r="A66" s="39" t="str">
        <f t="shared" si="5"/>
        <v>40043015_40043065</v>
      </c>
      <c r="B66" s="141">
        <v>40043015</v>
      </c>
      <c r="C66" s="171">
        <v>40043065</v>
      </c>
      <c r="D66" s="175" t="str">
        <f ca="1">VLOOKUP($C66,OFFSET(enemy_skills!$A$1,0,0,COUNTA(enemy_skills!$A:$A),MATCH(D$1,enemy_skills!$1:$1,0)-MATCH("enemy_skill_id",enemy_skills!$1:$1,0)+1),MATCH(D$1,enemy_skills!$1:$1,0)-MATCH("enemy_skill_id",enemy_skills!$1:$1,0)+1,FALSE)</f>
        <v>噛み砕く</v>
      </c>
      <c r="E66" s="175" t="str">
        <f ca="1">VLOOKUP($C66,OFFSET(enemy_skills!$A$1,0,0,COUNTA(enemy_skills!$A:$A),MATCH(E$1,enemy_skills!$1:$1,0)-MATCH("enemy_skill_id",enemy_skills!$1:$1,0)+1),MATCH(E$1,enemy_skills!$1:$1,0)-MATCH("enemy_skill_id",enemy_skills!$1:$1,0)+1,FALSE)</f>
        <v>青のダメージパネルを吸収して攻撃(最大4個)</v>
      </c>
      <c r="F66" s="171">
        <v>40043065</v>
      </c>
      <c r="G66" s="145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6" s="145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66" s="145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" s="145" t="str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6" s="145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145" t="str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6" s="145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66" s="145" t="str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6" s="145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" s="141"/>
      <c r="Q66" s="141"/>
      <c r="R66" s="141"/>
    </row>
    <row r="67" spans="1:18" ht="21" customHeight="1" thickBot="1" x14ac:dyDescent="0.2">
      <c r="A67" s="169" t="str">
        <f t="shared" si="5"/>
        <v>40043015_40043066</v>
      </c>
      <c r="B67" s="147">
        <v>40043015</v>
      </c>
      <c r="C67" s="156">
        <v>40043066</v>
      </c>
      <c r="D67" s="176" t="str">
        <f ca="1">VLOOKUP($C67,OFFSET(enemy_skills!$A$1,0,0,COUNTA(enemy_skills!$A:$A),MATCH(D$1,enemy_skills!$1:$1,0)-MATCH("enemy_skill_id",enemy_skills!$1:$1,0)+1),MATCH(D$1,enemy_skills!$1:$1,0)-MATCH("enemy_skill_id",enemy_skills!$1:$1,0)+1,FALSE)</f>
        <v>燃え盛る炎</v>
      </c>
      <c r="E67" s="176" t="str">
        <f ca="1">VLOOKUP($C67,OFFSET(enemy_skills!$A$1,0,0,COUNTA(enemy_skills!$A:$A),MATCH(E$1,enemy_skills!$1:$1,0)-MATCH("enemy_skill_id",enemy_skills!$1:$1,0)+1),MATCH(E$1,enemy_skills!$1:$1,0)-MATCH("enemy_skill_id",enemy_skills!$1:$1,0)+1,FALSE)</f>
        <v>2ターン全ユニットにスキルバインド+_x000D_全体攻撃</v>
      </c>
      <c r="F67" s="156">
        <v>40043066</v>
      </c>
      <c r="G67" s="151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7" s="151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67" s="151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" s="151" t="str">
        <f ca="1">VLOOKUP($F67,OFFSET(enemy_skill_triggers!$A$1,0,0,COUNTA(enemy_skill_triggers!$A:$A),MATCH(J$1,enemy_skill_triggers!$1:$1,0)-MATCH($F$1,enemy_skill_triggers!$1:$1,0)+1),MATCH(J$1,enemy_skill_triggers!$1:$1,0)-MATCH($F$1,enemy_skill_triggers!$1:$1,0)+1,FALSE)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7" s="151" t="str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" s="151" t="str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7" s="151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67" s="151" t="str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7" s="151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7" s="147"/>
      <c r="Q67" s="147"/>
      <c r="R67" s="147"/>
    </row>
    <row r="68" spans="1:18" ht="21" customHeight="1" x14ac:dyDescent="0.15">
      <c r="A68" s="39" t="str">
        <f t="shared" si="5"/>
        <v>40043016_40043067</v>
      </c>
      <c r="B68" s="141">
        <v>40043016</v>
      </c>
      <c r="C68" s="157">
        <v>40043067</v>
      </c>
      <c r="D68" s="175" t="str">
        <f ca="1">VLOOKUP($C68,OFFSET(enemy_skills!$A$1,0,0,COUNTA(enemy_skills!$A:$A),MATCH(D$1,enemy_skills!$1:$1,0)-MATCH("enemy_skill_id",enemy_skills!$1:$1,0)+1),MATCH(D$1,enemy_skills!$1:$1,0)-MATCH("enemy_skill_id",enemy_skills!$1:$1,0)+1,FALSE)</f>
        <v>『ナニ見てるノ！』</v>
      </c>
      <c r="E68" s="175" t="str">
        <f ca="1">VLOOKUP($C68,OFFSET(enemy_skills!$A$1,0,0,COUNTA(enemy_skills!$A:$A),MATCH(E$1,enemy_skills!$1:$1,0)-MATCH("enemy_skill_id",enemy_skills!$1:$1,0)+1),MATCH(E$1,enemy_skills!$1:$1,0)-MATCH("enemy_skill_id",enemy_skills!$1:$1,0)+1,FALSE)</f>
        <v>状態異常耐性+4ターン自身の攻撃力UP</v>
      </c>
      <c r="F68" s="157">
        <v>40043067</v>
      </c>
      <c r="G68" s="145">
        <f ca="1">VLOOKUP($F68,OFFSET(enemy_skill_triggers!$A$1,0,0,COUNTA(enemy_skill_triggers!$A:$A),MATCH(G$1,enemy_skill_triggers!$1:$1,0)-MATCH($F$1,enemy_skill_triggers!$1:$1,0)+1),MATCH(G$1,enemy_skill_triggers!$1:$1,0)-MATCH($F$1,enemy_skill_triggers!$1:$1,0)+1,FALSE)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8" s="145" t="str">
        <f ca="1">VLOOKUP($F68,OFFSET(enemy_skill_triggers!$A$1,0,0,COUNTA(enemy_skill_triggers!$A:$A),MATCH(H$1,enemy_skill_triggers!$1:$1,0)-MATCH($F$1,enemy_skill_triggers!$1:$1,0)+1),MATCH(H$1,enemy_skill_triggers!$1:$1,0)-MATCH($F$1,enemy_skill_triggers!$1:$1,0)+1,FALSE)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8" s="145">
        <f ca="1">VLOOKUP($F68,OFFSET(enemy_skill_triggers!$A$1,0,0,COUNTA(enemy_skill_triggers!$A:$A),MATCH(I$1,enemy_skill_triggers!$1:$1,0)-MATCH($F$1,enemy_skill_triggers!$1:$1,0)+1),MATCH(I$1,enemy_skill_triggers!$1:$1,0)-MATCH($F$1,enemy_skill_triggers!$1:$1,0)+1,FALSE)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8" s="145" t="str">
        <f ca="1">VLOOKUP($F68,OFFSET(enemy_skill_triggers!$A$1,0,0,COUNTA(enemy_skill_triggers!$A:$A),MATCH(J$1,enemy_skill_triggers!$1:$1,0)-MATCH($F$1,enemy_skill_triggers!$1:$1,0)+1),MATCH(J$1,enemy_skill_triggers!$1:$1,0)-MATCH($F$1,enemy_skill_triggers!$1:$1,0)+1,FALSE)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8" s="145" t="str">
        <f ca="1">VLOOKUP($F68,OFFSET(enemy_skill_triggers!$A$1,0,0,COUNTA(enemy_skill_triggers!$A:$A),MATCH(K$1,enemy_skill_triggers!$1:$1,0)-MATCH($F$1,enemy_skill_triggers!$1:$1,0)+1),MATCH(K$1,enemy_skill_triggers!$1:$1,0)-MATCH($F$1,enemy_skill_triggers!$1:$1,0)+1,FALSE)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" s="145">
        <f ca="1">VLOOKUP($F68,OFFSET(enemy_skill_triggers!$A$1,0,0,COUNTA(enemy_skill_triggers!$A:$A),MATCH(L$1,enemy_skill_triggers!$1:$1,0)-MATCH($F$1,enemy_skill_triggers!$1:$1,0)+1),MATCH(L$1,enemy_skill_triggers!$1:$1,0)-MATCH($F$1,enemy_skill_triggers!$1:$1,0)+1,FALSE)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8" s="145" t="str">
        <f ca="1">VLOOKUP($F68,OFFSET(enemy_skill_triggers!$A$1,0,0,COUNTA(enemy_skill_triggers!$A:$A),MATCH(M$1,enemy_skill_triggers!$1:$1,0)-MATCH($F$1,enemy_skill_triggers!$1:$1,0)+1),MATCH(M$1,enemy_skill_triggers!$1:$1,0)-MATCH($F$1,enemy_skill_triggers!$1:$1,0)+1,FALSE)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8" s="145" t="str">
        <f ca="1">VLOOKUP($F68,OFFSET(enemy_skill_triggers!$A$1,0,0,COUNTA(enemy_skill_triggers!$A:$A),MATCH(N$1,enemy_skill_triggers!$1:$1,0)-MATCH($F$1,enemy_skill_triggers!$1:$1,0)+1),MATCH(N$1,enemy_skill_triggers!$1:$1,0)-MATCH($F$1,enemy_skill_triggers!$1:$1,0)+1,FALSE)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8" s="145">
        <f ca="1">VLOOKUP($F68,OFFSET(enemy_skill_triggers!$A$1,0,0,COUNTA(enemy_skill_triggers!$A:$A),MATCH(O$1,enemy_skill_triggers!$1:$1,0)-MATCH($F$1,enemy_skill_triggers!$1:$1,0)+1),MATCH(O$1,enemy_skill_triggers!$1:$1,0)-MATCH($F$1,enemy_skill_triggers!$1:$1,0)+1,FALSE)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8" s="141"/>
      <c r="Q68" s="141"/>
      <c r="R68" s="141"/>
    </row>
    <row r="69" spans="1:18" ht="21" customHeight="1" x14ac:dyDescent="0.15">
      <c r="A69" s="39" t="str">
        <f t="shared" si="5"/>
        <v>40043016_40043068</v>
      </c>
      <c r="B69" s="141">
        <v>40043016</v>
      </c>
      <c r="C69" s="157">
        <v>40043068</v>
      </c>
      <c r="D69" s="46" t="str">
        <f ca="1">VLOOKUP($C69,OFFSET(enemy_skills!$A$1,0,0,COUNTA(enemy_skills!$A:$A),MATCH(D$1,enemy_skills!$1:$1,0)-MATCH("enemy_skill_id",enemy_skills!$1:$1,0)+1),MATCH(D$1,enemy_skills!$1:$1,0)-MATCH("enemy_skill_id",enemy_skills!$1:$1,0)+1,FALSE)</f>
        <v>『あなたもお仕事の邪魔ヲするノネ』</v>
      </c>
      <c r="E69" s="46" t="str">
        <f ca="1">VLOOKUP($C69,OFFSET(enemy_skills!$A$1,0,0,COUNTA(enemy_skills!$A:$A),MATCH(E$1,enemy_skills!$1:$1,0)-MATCH("enemy_skill_id",enemy_skills!$1:$1,0)+1),MATCH(E$1,enemy_skills!$1:$1,0)-MATCH("enemy_skill_id",enemy_skills!$1:$1,0)+1,FALSE)</f>
        <v>ハートパネルを緑のダメージパネルに5個変換+_x000D_全体攻撃</v>
      </c>
      <c r="F69" s="157">
        <v>40043068</v>
      </c>
      <c r="G69" s="48">
        <f ca="1">VLOOKUP($F69,OFFSET(enemy_skill_triggers!$A$1,0,0,COUNTA(enemy_skill_triggers!$A:$A),MATCH(G$1,enemy_skill_triggers!$1:$1,0)-MATCH($F$1,enemy_skill_triggers!$1:$1,0)+1),MATCH(G$1,enemy_skill_triggers!$1:$1,0)-MATCH($F$1,enemy_skill_triggers!$1:$1,0)+1,FALSE)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9" s="48">
        <f ca="1">VLOOKUP($F69,OFFSET(enemy_skill_triggers!$A$1,0,0,COUNTA(enemy_skill_triggers!$A:$A),MATCH(H$1,enemy_skill_triggers!$1:$1,0)-MATCH($F$1,enemy_skill_triggers!$1:$1,0)+1),MATCH(H$1,enemy_skill_triggers!$1:$1,0)-MATCH($F$1,enemy_skill_triggers!$1:$1,0)+1,FALSE)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69" s="48">
        <f ca="1">VLOOKUP($F69,OFFSET(enemy_skill_triggers!$A$1,0,0,COUNTA(enemy_skill_triggers!$A:$A),MATCH(I$1,enemy_skill_triggers!$1:$1,0)-MATCH($F$1,enemy_skill_triggers!$1:$1,0)+1),MATCH(I$1,enemy_skill_triggers!$1:$1,0)-MATCH($F$1,enemy_skill_triggers!$1:$1,0)+1,FALSE)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9" s="48" t="str">
        <f ca="1">VLOOKUP($F69,OFFSET(enemy_skill_triggers!$A$1,0,0,COUNTA(enemy_skill_triggers!$A:$A),MATCH(J$1,enemy_skill_triggers!$1:$1,0)-MATCH($F$1,enemy_skill_triggers!$1:$1,0)+1),MATCH(J$1,enemy_skill_triggers!$1:$1,0)-MATCH($F$1,enemy_skill_triggers!$1:$1,0)+1,FALSE)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9" s="48" t="str">
        <f ca="1">VLOOKUP($F69,OFFSET(enemy_skill_triggers!$A$1,0,0,COUNTA(enemy_skill_triggers!$A:$A),MATCH(K$1,enemy_skill_triggers!$1:$1,0)-MATCH($F$1,enemy_skill_triggers!$1:$1,0)+1),MATCH(K$1,enemy_skill_triggers!$1:$1,0)-MATCH($F$1,enemy_skill_triggers!$1:$1,0)+1,FALSE)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" s="48" t="str">
        <f ca="1">VLOOKUP($F69,OFFSET(enemy_skill_triggers!$A$1,0,0,COUNTA(enemy_skill_triggers!$A:$A),MATCH(L$1,enemy_skill_triggers!$1:$1,0)-MATCH($F$1,enemy_skill_triggers!$1:$1,0)+1),MATCH(L$1,enemy_skill_triggers!$1:$1,0)-MATCH($F$1,enemy_skill_triggers!$1:$1,0)+1,FALSE)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9" s="48">
        <f ca="1">VLOOKUP($F69,OFFSET(enemy_skill_triggers!$A$1,0,0,COUNTA(enemy_skill_triggers!$A:$A),MATCH(M$1,enemy_skill_triggers!$1:$1,0)-MATCH($F$1,enemy_skill_triggers!$1:$1,0)+1),MATCH(M$1,enemy_skill_triggers!$1:$1,0)-MATCH($F$1,enemy_skill_triggers!$1:$1,0)+1,FALSE)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69" s="48" t="str">
        <f ca="1">VLOOKUP($F69,OFFSET(enemy_skill_triggers!$A$1,0,0,COUNTA(enemy_skill_triggers!$A:$A),MATCH(N$1,enemy_skill_triggers!$1:$1,0)-MATCH($F$1,enemy_skill_triggers!$1:$1,0)+1),MATCH(N$1,enemy_skill_triggers!$1:$1,0)-MATCH($F$1,enemy_skill_triggers!$1:$1,0)+1,FALSE)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9" s="48">
        <f ca="1">VLOOKUP($F69,OFFSET(enemy_skill_triggers!$A$1,0,0,COUNTA(enemy_skill_triggers!$A:$A),MATCH(O$1,enemy_skill_triggers!$1:$1,0)-MATCH($F$1,enemy_skill_triggers!$1:$1,0)+1),MATCH(O$1,enemy_skill_triggers!$1:$1,0)-MATCH($F$1,enemy_skill_triggers!$1:$1,0)+1,FALSE)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9" s="47"/>
      <c r="Q69" s="47"/>
      <c r="R69" s="47"/>
    </row>
    <row r="70" spans="1:18" ht="21" customHeight="1" x14ac:dyDescent="0.15">
      <c r="A70" s="39" t="str">
        <f t="shared" si="5"/>
        <v>40043016_40043069</v>
      </c>
      <c r="B70" s="141">
        <v>40043016</v>
      </c>
      <c r="C70" s="157">
        <v>40043069</v>
      </c>
      <c r="D70" s="46" t="str">
        <f ca="1">VLOOKUP($C70,OFFSET(enemy_skills!$A$1,0,0,COUNTA(enemy_skills!$A:$A),MATCH(D$1,enemy_skills!$1:$1,0)-MATCH("enemy_skill_id",enemy_skills!$1:$1,0)+1),MATCH(D$1,enemy_skills!$1:$1,0)-MATCH("enemy_skill_id",enemy_skills!$1:$1,0)+1,FALSE)</f>
        <v>『わかったワおねえさまノ敵ネ！』</v>
      </c>
      <c r="E70" s="46" t="str">
        <f ca="1">VLOOKUP($C70,OFFSET(enemy_skills!$A$1,0,0,COUNTA(enemy_skills!$A:$A),MATCH(E$1,enemy_skills!$1:$1,0)-MATCH("enemy_skill_id",enemy_skills!$1:$1,0)+1),MATCH(E$1,enemy_skills!$1:$1,0)-MATCH("enemy_skill_id",enemy_skills!$1:$1,0)+1,FALSE)</f>
        <v>緑パネルを青のダメージパネルに5個変換+_x000D_残りHPの50%ダメージ！</v>
      </c>
      <c r="F70" s="157">
        <v>40043069</v>
      </c>
      <c r="G70" s="48">
        <f ca="1">VLOOKUP($F70,OFFSET(enemy_skill_triggers!$A$1,0,0,COUNTA(enemy_skill_triggers!$A:$A),MATCH(G$1,enemy_skill_triggers!$1:$1,0)-MATCH($F$1,enemy_skill_triggers!$1:$1,0)+1),MATCH(G$1,enemy_skill_triggers!$1:$1,0)-MATCH($F$1,enemy_skill_triggers!$1:$1,0)+1,FALSE)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0" s="48">
        <f ca="1">VLOOKUP($F70,OFFSET(enemy_skill_triggers!$A$1,0,0,COUNTA(enemy_skill_triggers!$A:$A),MATCH(H$1,enemy_skill_triggers!$1:$1,0)-MATCH($F$1,enemy_skill_triggers!$1:$1,0)+1),MATCH(H$1,enemy_skill_triggers!$1:$1,0)-MATCH($F$1,enemy_skill_triggers!$1:$1,0)+1,FALSE)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70" s="48">
        <f ca="1">VLOOKUP($F70,OFFSET(enemy_skill_triggers!$A$1,0,0,COUNTA(enemy_skill_triggers!$A:$A),MATCH(I$1,enemy_skill_triggers!$1:$1,0)-MATCH($F$1,enemy_skill_triggers!$1:$1,0)+1),MATCH(I$1,enemy_skill_triggers!$1:$1,0)-MATCH($F$1,enemy_skill_triggers!$1:$1,0)+1,FALSE)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0" s="48" t="str">
        <f ca="1">VLOOKUP($F70,OFFSET(enemy_skill_triggers!$A$1,0,0,COUNTA(enemy_skill_triggers!$A:$A),MATCH(J$1,enemy_skill_triggers!$1:$1,0)-MATCH($F$1,enemy_skill_triggers!$1:$1,0)+1),MATCH(J$1,enemy_skill_triggers!$1:$1,0)-MATCH($F$1,enemy_skill_triggers!$1:$1,0)+1,FALSE)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0" s="48" t="str">
        <f ca="1">VLOOKUP($F70,OFFSET(enemy_skill_triggers!$A$1,0,0,COUNTA(enemy_skill_triggers!$A:$A),MATCH(K$1,enemy_skill_triggers!$1:$1,0)-MATCH($F$1,enemy_skill_triggers!$1:$1,0)+1),MATCH(K$1,enemy_skill_triggers!$1:$1,0)-MATCH($F$1,enemy_skill_triggers!$1:$1,0)+1,FALSE)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0" s="48" t="str">
        <f ca="1">VLOOKUP($F70,OFFSET(enemy_skill_triggers!$A$1,0,0,COUNTA(enemy_skill_triggers!$A:$A),MATCH(L$1,enemy_skill_triggers!$1:$1,0)-MATCH($F$1,enemy_skill_triggers!$1:$1,0)+1),MATCH(L$1,enemy_skill_triggers!$1:$1,0)-MATCH($F$1,enemy_skill_triggers!$1:$1,0)+1,FALSE)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0" s="48">
        <f ca="1">VLOOKUP($F70,OFFSET(enemy_skill_triggers!$A$1,0,0,COUNTA(enemy_skill_triggers!$A:$A),MATCH(M$1,enemy_skill_triggers!$1:$1,0)-MATCH($F$1,enemy_skill_triggers!$1:$1,0)+1),MATCH(M$1,enemy_skill_triggers!$1:$1,0)-MATCH($F$1,enemy_skill_triggers!$1:$1,0)+1,FALSE)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70" s="48" t="str">
        <f ca="1">VLOOKUP($F70,OFFSET(enemy_skill_triggers!$A$1,0,0,COUNTA(enemy_skill_triggers!$A:$A),MATCH(N$1,enemy_skill_triggers!$1:$1,0)-MATCH($F$1,enemy_skill_triggers!$1:$1,0)+1),MATCH(N$1,enemy_skill_triggers!$1:$1,0)-MATCH($F$1,enemy_skill_triggers!$1:$1,0)+1,FALSE)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0" s="48">
        <f ca="1">VLOOKUP($F70,OFFSET(enemy_skill_triggers!$A$1,0,0,COUNTA(enemy_skill_triggers!$A:$A),MATCH(O$1,enemy_skill_triggers!$1:$1,0)-MATCH($F$1,enemy_skill_triggers!$1:$1,0)+1),MATCH(O$1,enemy_skill_triggers!$1:$1,0)-MATCH($F$1,enemy_skill_triggers!$1:$1,0)+1,FALSE)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0" s="47"/>
      <c r="Q70" s="47"/>
      <c r="R70" s="47"/>
    </row>
    <row r="71" spans="1:18" ht="21" customHeight="1" thickBot="1" x14ac:dyDescent="0.2">
      <c r="A71" s="169" t="str">
        <f t="shared" si="5"/>
        <v>40043016_40043070</v>
      </c>
      <c r="B71" s="147">
        <v>40043016</v>
      </c>
      <c r="C71" s="158">
        <v>40043070</v>
      </c>
      <c r="D71" s="176" t="str">
        <f ca="1">VLOOKUP($C71,OFFSET(enemy_skills!$A$1,0,0,COUNTA(enemy_skills!$A:$A),MATCH(D$1,enemy_skills!$1:$1,0)-MATCH("enemy_skill_id",enemy_skills!$1:$1,0)+1),MATCH(D$1,enemy_skills!$1:$1,0)-MATCH("enemy_skill_id",enemy_skills!$1:$1,0)+1,FALSE)</f>
        <v>抗体プログラムを…</v>
      </c>
      <c r="E71" s="176" t="str">
        <f ca="1">VLOOKUP($C71,OFFSET(enemy_skills!$A$1,0,0,COUNTA(enemy_skills!$A:$A),MATCH(E$1,enemy_skills!$1:$1,0)-MATCH("enemy_skill_id",enemy_skills!$1:$1,0)+1),MATCH(E$1,enemy_skills!$1:$1,0)-MATCH("enemy_skill_id",enemy_skills!$1:$1,0)+1,FALSE)</f>
        <v>ダメージパネルを赤パネルに変換</v>
      </c>
      <c r="F71" s="158">
        <v>40043070</v>
      </c>
      <c r="G71" s="151">
        <f ca="1">VLOOKUP($F71,OFFSET(enemy_skill_triggers!$A$1,0,0,COUNTA(enemy_skill_triggers!$A:$A),MATCH(G$1,enemy_skill_triggers!$1:$1,0)-MATCH($F$1,enemy_skill_triggers!$1:$1,0)+1),MATCH(G$1,enemy_skill_triggers!$1:$1,0)-MATCH($F$1,enemy_skill_triggers!$1:$1,0)+1,FALSE)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1" s="151">
        <f ca="1">VLOOKUP($F71,OFFSET(enemy_skill_triggers!$A$1,0,0,COUNTA(enemy_skill_triggers!$A:$A),MATCH(H$1,enemy_skill_triggers!$1:$1,0)-MATCH($F$1,enemy_skill_triggers!$1:$1,0)+1),MATCH(H$1,enemy_skill_triggers!$1:$1,0)-MATCH($F$1,enemy_skill_triggers!$1:$1,0)+1,FALSE)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71" s="151">
        <f ca="1">VLOOKUP($F71,OFFSET(enemy_skill_triggers!$A$1,0,0,COUNTA(enemy_skill_triggers!$A:$A),MATCH(I$1,enemy_skill_triggers!$1:$1,0)-MATCH($F$1,enemy_skill_triggers!$1:$1,0)+1),MATCH(I$1,enemy_skill_triggers!$1:$1,0)-MATCH($F$1,enemy_skill_triggers!$1:$1,0)+1,FALSE)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1" s="151">
        <f ca="1">VLOOKUP($F71,OFFSET(enemy_skill_triggers!$A$1,0,0,COUNTA(enemy_skill_triggers!$A:$A),MATCH(J$1,enemy_skill_triggers!$1:$1,0)-MATCH($F$1,enemy_skill_triggers!$1:$1,0)+1),MATCH(J$1,enemy_skill_triggers!$1:$1,0)-MATCH($F$1,enemy_skill_triggers!$1:$1,0)+1,FALSE)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71" s="151" t="str">
        <f ca="1">VLOOKUP($F71,OFFSET(enemy_skill_triggers!$A$1,0,0,COUNTA(enemy_skill_triggers!$A:$A),MATCH(K$1,enemy_skill_triggers!$1:$1,0)-MATCH($F$1,enemy_skill_triggers!$1:$1,0)+1),MATCH(K$1,enemy_skill_triggers!$1:$1,0)-MATCH($F$1,enemy_skill_triggers!$1:$1,0)+1,FALSE)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" s="151">
        <f ca="1">VLOOKUP($F71,OFFSET(enemy_skill_triggers!$A$1,0,0,COUNTA(enemy_skill_triggers!$A:$A),MATCH(L$1,enemy_skill_triggers!$1:$1,0)-MATCH($F$1,enemy_skill_triggers!$1:$1,0)+1),MATCH(L$1,enemy_skill_triggers!$1:$1,0)-MATCH($F$1,enemy_skill_triggers!$1:$1,0)+1,FALSE)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1" s="151">
        <f ca="1">VLOOKUP($F71,OFFSET(enemy_skill_triggers!$A$1,0,0,COUNTA(enemy_skill_triggers!$A:$A),MATCH(M$1,enemy_skill_triggers!$1:$1,0)-MATCH($F$1,enemy_skill_triggers!$1:$1,0)+1),MATCH(M$1,enemy_skill_triggers!$1:$1,0)-MATCH($F$1,enemy_skill_triggers!$1:$1,0)+1,FALSE)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1" s="151" t="str">
        <f ca="1">VLOOKUP($F71,OFFSET(enemy_skill_triggers!$A$1,0,0,COUNTA(enemy_skill_triggers!$A:$A),MATCH(N$1,enemy_skill_triggers!$1:$1,0)-MATCH($F$1,enemy_skill_triggers!$1:$1,0)+1),MATCH(N$1,enemy_skill_triggers!$1:$1,0)-MATCH($F$1,enemy_skill_triggers!$1:$1,0)+1,FALSE)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1" s="151">
        <f ca="1">VLOOKUP($F71,OFFSET(enemy_skill_triggers!$A$1,0,0,COUNTA(enemy_skill_triggers!$A:$A),MATCH(O$1,enemy_skill_triggers!$1:$1,0)-MATCH($F$1,enemy_skill_triggers!$1:$1,0)+1),MATCH(O$1,enemy_skill_triggers!$1:$1,0)-MATCH($F$1,enemy_skill_triggers!$1:$1,0)+1,FALSE)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1" s="147"/>
      <c r="Q71" s="147"/>
      <c r="R71" s="147"/>
    </row>
    <row r="72" spans="1:18" ht="21" customHeight="1" x14ac:dyDescent="0.15">
      <c r="A72" s="39" t="str">
        <f t="shared" si="5"/>
        <v>40043017_40043071</v>
      </c>
      <c r="B72" s="141">
        <v>40043017</v>
      </c>
      <c r="C72" s="157">
        <v>40043071</v>
      </c>
      <c r="D72" s="175" t="str">
        <f ca="1">VLOOKUP($C72,OFFSET(enemy_skills!$A$1,0,0,COUNTA(enemy_skills!$A:$A),MATCH(D$1,enemy_skills!$1:$1,0)-MATCH("enemy_skill_id",enemy_skills!$1:$1,0)+1),MATCH(D$1,enemy_skills!$1:$1,0)-MATCH("enemy_skill_id",enemy_skills!$1:$1,0)+1,FALSE)</f>
        <v>『あっちにイって！』</v>
      </c>
      <c r="E72" s="175" t="str">
        <f ca="1">VLOOKUP($C72,OFFSET(enemy_skills!$A$1,0,0,COUNTA(enemy_skills!$A:$A),MATCH(E$1,enemy_skills!$1:$1,0)-MATCH("enemy_skill_id",enemy_skills!$1:$1,0)+1),MATCH(E$1,enemy_skills!$1:$1,0)-MATCH("enemy_skill_id",enemy_skills!$1:$1,0)+1,FALSE)</f>
        <v>状態異常耐性+10回連続攻撃</v>
      </c>
      <c r="F72" s="157">
        <v>40043071</v>
      </c>
      <c r="G72" s="145">
        <f ca="1">VLOOKUP($F72,OFFSET(enemy_skill_triggers!$A$1,0,0,COUNTA(enemy_skill_triggers!$A:$A),MATCH(G$1,enemy_skill_triggers!$1:$1,0)-MATCH($F$1,enemy_skill_triggers!$1:$1,0)+1),MATCH(G$1,enemy_skill_triggers!$1:$1,0)-MATCH($F$1,enemy_skill_triggers!$1:$1,0)+1,FALSE)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2" s="145" t="str">
        <f ca="1">VLOOKUP($F72,OFFSET(enemy_skill_triggers!$A$1,0,0,COUNTA(enemy_skill_triggers!$A:$A),MATCH(H$1,enemy_skill_triggers!$1:$1,0)-MATCH($F$1,enemy_skill_triggers!$1:$1,0)+1),MATCH(H$1,enemy_skill_triggers!$1:$1,0)-MATCH($F$1,enemy_skill_triggers!$1:$1,0)+1,FALSE)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2" s="145">
        <f ca="1">VLOOKUP($F72,OFFSET(enemy_skill_triggers!$A$1,0,0,COUNTA(enemy_skill_triggers!$A:$A),MATCH(I$1,enemy_skill_triggers!$1:$1,0)-MATCH($F$1,enemy_skill_triggers!$1:$1,0)+1),MATCH(I$1,enemy_skill_triggers!$1:$1,0)-MATCH($F$1,enemy_skill_triggers!$1:$1,0)+1,FALSE)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2" s="145" t="str">
        <f ca="1">VLOOKUP($F72,OFFSET(enemy_skill_triggers!$A$1,0,0,COUNTA(enemy_skill_triggers!$A:$A),MATCH(J$1,enemy_skill_triggers!$1:$1,0)-MATCH($F$1,enemy_skill_triggers!$1:$1,0)+1),MATCH(J$1,enemy_skill_triggers!$1:$1,0)-MATCH($F$1,enemy_skill_triggers!$1:$1,0)+1,FALSE)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2" s="145" t="str">
        <f ca="1">VLOOKUP($F72,OFFSET(enemy_skill_triggers!$A$1,0,0,COUNTA(enemy_skill_triggers!$A:$A),MATCH(K$1,enemy_skill_triggers!$1:$1,0)-MATCH($F$1,enemy_skill_triggers!$1:$1,0)+1),MATCH(K$1,enemy_skill_triggers!$1:$1,0)-MATCH($F$1,enemy_skill_triggers!$1:$1,0)+1,FALSE)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2" s="145" t="str">
        <f ca="1">VLOOKUP($F72,OFFSET(enemy_skill_triggers!$A$1,0,0,COUNTA(enemy_skill_triggers!$A:$A),MATCH(L$1,enemy_skill_triggers!$1:$1,0)-MATCH($F$1,enemy_skill_triggers!$1:$1,0)+1),MATCH(L$1,enemy_skill_triggers!$1:$1,0)-MATCH($F$1,enemy_skill_triggers!$1:$1,0)+1,FALSE)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2" s="145" t="str">
        <f ca="1">VLOOKUP($F72,OFFSET(enemy_skill_triggers!$A$1,0,0,COUNTA(enemy_skill_triggers!$A:$A),MATCH(M$1,enemy_skill_triggers!$1:$1,0)-MATCH($F$1,enemy_skill_triggers!$1:$1,0)+1),MATCH(M$1,enemy_skill_triggers!$1:$1,0)-MATCH($F$1,enemy_skill_triggers!$1:$1,0)+1,FALSE)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2" s="145" t="str">
        <f ca="1">VLOOKUP($F72,OFFSET(enemy_skill_triggers!$A$1,0,0,COUNTA(enemy_skill_triggers!$A:$A),MATCH(N$1,enemy_skill_triggers!$1:$1,0)-MATCH($F$1,enemy_skill_triggers!$1:$1,0)+1),MATCH(N$1,enemy_skill_triggers!$1:$1,0)-MATCH($F$1,enemy_skill_triggers!$1:$1,0)+1,FALSE)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2" s="145">
        <f ca="1">VLOOKUP($F72,OFFSET(enemy_skill_triggers!$A$1,0,0,COUNTA(enemy_skill_triggers!$A:$A),MATCH(O$1,enemy_skill_triggers!$1:$1,0)-MATCH($F$1,enemy_skill_triggers!$1:$1,0)+1),MATCH(O$1,enemy_skill_triggers!$1:$1,0)-MATCH($F$1,enemy_skill_triggers!$1:$1,0)+1,FALSE)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2" s="141"/>
      <c r="Q72" s="141"/>
      <c r="R72" s="141"/>
    </row>
    <row r="73" spans="1:18" ht="21" customHeight="1" x14ac:dyDescent="0.15">
      <c r="A73" s="39" t="str">
        <f t="shared" si="5"/>
        <v>40043017_40043072</v>
      </c>
      <c r="B73" s="141">
        <v>40043017</v>
      </c>
      <c r="C73" s="157">
        <v>40043072</v>
      </c>
      <c r="D73" s="46" t="str">
        <f ca="1">VLOOKUP($C73,OFFSET(enemy_skills!$A$1,0,0,COUNTA(enemy_skills!$A:$A),MATCH(D$1,enemy_skills!$1:$1,0)-MATCH("enemy_skill_id",enemy_skills!$1:$1,0)+1),MATCH(D$1,enemy_skills!$1:$1,0)-MATCH("enemy_skill_id",enemy_skills!$1:$1,0)+1,FALSE)</f>
        <v>『見ナイデ！』</v>
      </c>
      <c r="E73" s="46" t="str">
        <f ca="1">VLOOKUP($C73,OFFSET(enemy_skills!$A$1,0,0,COUNTA(enemy_skills!$A:$A),MATCH(E$1,enemy_skills!$1:$1,0)-MATCH("enemy_skill_id",enemy_skills!$1:$1,0)+1),MATCH(E$1,enemy_skills!$1:$1,0)-MATCH("enemy_skill_id",enemy_skills!$1:$1,0)+1,FALSE)</f>
        <v>3ターン暗闇+単体攻撃</v>
      </c>
      <c r="F73" s="157">
        <v>40043072</v>
      </c>
      <c r="G73" s="48">
        <f ca="1">VLOOKUP($F73,OFFSET(enemy_skill_triggers!$A$1,0,0,COUNTA(enemy_skill_triggers!$A:$A),MATCH(G$1,enemy_skill_triggers!$1:$1,0)-MATCH($F$1,enemy_skill_triggers!$1:$1,0)+1),MATCH(G$1,enemy_skill_triggers!$1:$1,0)-MATCH($F$1,enemy_skill_triggers!$1:$1,0)+1,FALSE)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3" s="48">
        <f ca="1">VLOOKUP($F73,OFFSET(enemy_skill_triggers!$A$1,0,0,COUNTA(enemy_skill_triggers!$A:$A),MATCH(H$1,enemy_skill_triggers!$1:$1,0)-MATCH($F$1,enemy_skill_triggers!$1:$1,0)+1),MATCH(H$1,enemy_skill_triggers!$1:$1,0)-MATCH($F$1,enemy_skill_triggers!$1:$1,0)+1,FALSE)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73" s="48">
        <f ca="1">VLOOKUP($F73,OFFSET(enemy_skill_triggers!$A$1,0,0,COUNTA(enemy_skill_triggers!$A:$A),MATCH(I$1,enemy_skill_triggers!$1:$1,0)-MATCH($F$1,enemy_skill_triggers!$1:$1,0)+1),MATCH(I$1,enemy_skill_triggers!$1:$1,0)-MATCH($F$1,enemy_skill_triggers!$1:$1,0)+1,FALSE)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3" s="48" t="str">
        <f ca="1">VLOOKUP($F73,OFFSET(enemy_skill_triggers!$A$1,0,0,COUNTA(enemy_skill_triggers!$A:$A),MATCH(J$1,enemy_skill_triggers!$1:$1,0)-MATCH($F$1,enemy_skill_triggers!$1:$1,0)+1),MATCH(J$1,enemy_skill_triggers!$1:$1,0)-MATCH($F$1,enemy_skill_triggers!$1:$1,0)+1,FALSE)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3" s="48" t="str">
        <f ca="1">VLOOKUP($F73,OFFSET(enemy_skill_triggers!$A$1,0,0,COUNTA(enemy_skill_triggers!$A:$A),MATCH(K$1,enemy_skill_triggers!$1:$1,0)-MATCH($F$1,enemy_skill_triggers!$1:$1,0)+1),MATCH(K$1,enemy_skill_triggers!$1:$1,0)-MATCH($F$1,enemy_skill_triggers!$1:$1,0)+1,FALSE)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3" s="48" t="str">
        <f ca="1">VLOOKUP($F73,OFFSET(enemy_skill_triggers!$A$1,0,0,COUNTA(enemy_skill_triggers!$A:$A),MATCH(L$1,enemy_skill_triggers!$1:$1,0)-MATCH($F$1,enemy_skill_triggers!$1:$1,0)+1),MATCH(L$1,enemy_skill_triggers!$1:$1,0)-MATCH($F$1,enemy_skill_triggers!$1:$1,0)+1,FALSE)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3" s="48">
        <f ca="1">VLOOKUP($F73,OFFSET(enemy_skill_triggers!$A$1,0,0,COUNTA(enemy_skill_triggers!$A:$A),MATCH(M$1,enemy_skill_triggers!$1:$1,0)-MATCH($F$1,enemy_skill_triggers!$1:$1,0)+1),MATCH(M$1,enemy_skill_triggers!$1:$1,0)-MATCH($F$1,enemy_skill_triggers!$1:$1,0)+1,FALSE)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3" s="48" t="str">
        <f ca="1">VLOOKUP($F73,OFFSET(enemy_skill_triggers!$A$1,0,0,COUNTA(enemy_skill_triggers!$A:$A),MATCH(N$1,enemy_skill_triggers!$1:$1,0)-MATCH($F$1,enemy_skill_triggers!$1:$1,0)+1),MATCH(N$1,enemy_skill_triggers!$1:$1,0)-MATCH($F$1,enemy_skill_triggers!$1:$1,0)+1,FALSE)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3" s="48">
        <f ca="1">VLOOKUP($F73,OFFSET(enemy_skill_triggers!$A$1,0,0,COUNTA(enemy_skill_triggers!$A:$A),MATCH(O$1,enemy_skill_triggers!$1:$1,0)-MATCH($F$1,enemy_skill_triggers!$1:$1,0)+1),MATCH(O$1,enemy_skill_triggers!$1:$1,0)-MATCH($F$1,enemy_skill_triggers!$1:$1,0)+1,FALSE)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3" s="47"/>
      <c r="Q73" s="47"/>
      <c r="R73" s="47"/>
    </row>
    <row r="74" spans="1:18" ht="21" customHeight="1" x14ac:dyDescent="0.15">
      <c r="A74" s="39" t="str">
        <f t="shared" si="5"/>
        <v>40043017_40043073</v>
      </c>
      <c r="B74" s="141">
        <v>40043017</v>
      </c>
      <c r="C74" s="157">
        <v>40043073</v>
      </c>
      <c r="D74" s="46" t="str">
        <f ca="1">VLOOKUP($C74,OFFSET(enemy_skills!$A$1,0,0,COUNTA(enemy_skills!$A:$A),MATCH(D$1,enemy_skills!$1:$1,0)-MATCH("enemy_skill_id",enemy_skills!$1:$1,0)+1),MATCH(D$1,enemy_skills!$1:$1,0)-MATCH("enemy_skill_id",enemy_skills!$1:$1,0)+1,FALSE)</f>
        <v>『モット早く仕上げないト…』</v>
      </c>
      <c r="E74" s="46" t="str">
        <f ca="1">VLOOKUP($C74,OFFSET(enemy_skills!$A$1,0,0,COUNTA(enemy_skills!$A:$A),MATCH(E$1,enemy_skills!$1:$1,0)-MATCH("enemy_skill_id",enemy_skills!$1:$1,0)+1),MATCH(E$1,enemy_skills!$1:$1,0)-MATCH("enemy_skill_id",enemy_skills!$1:$1,0)+1,FALSE)</f>
        <v>攻撃頻度UP</v>
      </c>
      <c r="F74" s="157">
        <v>40043073</v>
      </c>
      <c r="G74" s="48">
        <f ca="1">VLOOKUP($F74,OFFSET(enemy_skill_triggers!$A$1,0,0,COUNTA(enemy_skill_triggers!$A:$A),MATCH(G$1,enemy_skill_triggers!$1:$1,0)-MATCH($F$1,enemy_skill_triggers!$1:$1,0)+1),MATCH(G$1,enemy_skill_triggers!$1:$1,0)-MATCH($F$1,enemy_skill_triggers!$1:$1,0)+1,FALSE)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4" s="48">
        <f ca="1">VLOOKUP($F74,OFFSET(enemy_skill_triggers!$A$1,0,0,COUNTA(enemy_skill_triggers!$A:$A),MATCH(H$1,enemy_skill_triggers!$1:$1,0)-MATCH($F$1,enemy_skill_triggers!$1:$1,0)+1),MATCH(H$1,enemy_skill_triggers!$1:$1,0)-MATCH($F$1,enemy_skill_triggers!$1:$1,0)+1,FALSE)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74" s="48">
        <f ca="1">VLOOKUP($F74,OFFSET(enemy_skill_triggers!$A$1,0,0,COUNTA(enemy_skill_triggers!$A:$A),MATCH(I$1,enemy_skill_triggers!$1:$1,0)-MATCH($F$1,enemy_skill_triggers!$1:$1,0)+1),MATCH(I$1,enemy_skill_triggers!$1:$1,0)-MATCH($F$1,enemy_skill_triggers!$1:$1,0)+1,FALSE)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4" s="48" t="str">
        <f ca="1">VLOOKUP($F74,OFFSET(enemy_skill_triggers!$A$1,0,0,COUNTA(enemy_skill_triggers!$A:$A),MATCH(J$1,enemy_skill_triggers!$1:$1,0)-MATCH($F$1,enemy_skill_triggers!$1:$1,0)+1),MATCH(J$1,enemy_skill_triggers!$1:$1,0)-MATCH($F$1,enemy_skill_triggers!$1:$1,0)+1,FALSE)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4" s="48" t="str">
        <f ca="1">VLOOKUP($F74,OFFSET(enemy_skill_triggers!$A$1,0,0,COUNTA(enemy_skill_triggers!$A:$A),MATCH(K$1,enemy_skill_triggers!$1:$1,0)-MATCH($F$1,enemy_skill_triggers!$1:$1,0)+1),MATCH(K$1,enemy_skill_triggers!$1:$1,0)-MATCH($F$1,enemy_skill_triggers!$1:$1,0)+1,FALSE)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4" s="48">
        <f ca="1">VLOOKUP($F74,OFFSET(enemy_skill_triggers!$A$1,0,0,COUNTA(enemy_skill_triggers!$A:$A),MATCH(L$1,enemy_skill_triggers!$1:$1,0)-MATCH($F$1,enemy_skill_triggers!$1:$1,0)+1),MATCH(L$1,enemy_skill_triggers!$1:$1,0)-MATCH($F$1,enemy_skill_triggers!$1:$1,0)+1,FALSE)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4" s="48">
        <f ca="1">VLOOKUP($F74,OFFSET(enemy_skill_triggers!$A$1,0,0,COUNTA(enemy_skill_triggers!$A:$A),MATCH(M$1,enemy_skill_triggers!$1:$1,0)-MATCH($F$1,enemy_skill_triggers!$1:$1,0)+1),MATCH(M$1,enemy_skill_triggers!$1:$1,0)-MATCH($F$1,enemy_skill_triggers!$1:$1,0)+1,FALSE)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74" s="48" t="str">
        <f ca="1">VLOOKUP($F74,OFFSET(enemy_skill_triggers!$A$1,0,0,COUNTA(enemy_skill_triggers!$A:$A),MATCH(N$1,enemy_skill_triggers!$1:$1,0)-MATCH($F$1,enemy_skill_triggers!$1:$1,0)+1),MATCH(N$1,enemy_skill_triggers!$1:$1,0)-MATCH($F$1,enemy_skill_triggers!$1:$1,0)+1,FALSE)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4" s="48">
        <f ca="1">VLOOKUP($F74,OFFSET(enemy_skill_triggers!$A$1,0,0,COUNTA(enemy_skill_triggers!$A:$A),MATCH(O$1,enemy_skill_triggers!$1:$1,0)-MATCH($F$1,enemy_skill_triggers!$1:$1,0)+1),MATCH(O$1,enemy_skill_triggers!$1:$1,0)-MATCH($F$1,enemy_skill_triggers!$1:$1,0)+1,FALSE)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4" s="47"/>
      <c r="Q74" s="47"/>
      <c r="R74" s="47"/>
    </row>
    <row r="75" spans="1:18" ht="21" customHeight="1" x14ac:dyDescent="0.15">
      <c r="A75" s="39" t="str">
        <f t="shared" si="5"/>
        <v>40043017_40043074</v>
      </c>
      <c r="B75" s="141">
        <v>40043017</v>
      </c>
      <c r="C75" s="157">
        <v>40043074</v>
      </c>
      <c r="D75" s="46" t="str">
        <f ca="1">VLOOKUP($C75,OFFSET(enemy_skills!$A$1,0,0,COUNTA(enemy_skills!$A:$A),MATCH(D$1,enemy_skills!$1:$1,0)-MATCH("enemy_skill_id",enemy_skills!$1:$1,0)+1),MATCH(D$1,enemy_skills!$1:$1,0)-MATCH("enemy_skill_id",enemy_skills!$1:$1,0)+1,FALSE)</f>
        <v>『見ナイデって言ってるデしょ！』</v>
      </c>
      <c r="E75" s="46" t="str">
        <f ca="1">VLOOKUP($C75,OFFSET(enemy_skills!$A$1,0,0,COUNTA(enemy_skills!$A:$A),MATCH(E$1,enemy_skills!$1:$1,0)-MATCH("enemy_skill_id",enemy_skills!$1:$1,0)+1),MATCH(E$1,enemy_skills!$1:$1,0)-MATCH("enemy_skill_id",enemy_skills!$1:$1,0)+1,FALSE)</f>
        <v>2ターンユニット単体にスリープ+単体攻撃</v>
      </c>
      <c r="F75" s="157">
        <v>40043074</v>
      </c>
      <c r="G75" s="48">
        <f ca="1">VLOOKUP($F75,OFFSET(enemy_skill_triggers!$A$1,0,0,COUNTA(enemy_skill_triggers!$A:$A),MATCH(G$1,enemy_skill_triggers!$1:$1,0)-MATCH($F$1,enemy_skill_triggers!$1:$1,0)+1),MATCH(G$1,enemy_skill_triggers!$1:$1,0)-MATCH($F$1,enemy_skill_triggers!$1:$1,0)+1,FALSE)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5" s="48">
        <f ca="1">VLOOKUP($F75,OFFSET(enemy_skill_triggers!$A$1,0,0,COUNTA(enemy_skill_triggers!$A:$A),MATCH(H$1,enemy_skill_triggers!$1:$1,0)-MATCH($F$1,enemy_skill_triggers!$1:$1,0)+1),MATCH(H$1,enemy_skill_triggers!$1:$1,0)-MATCH($F$1,enemy_skill_triggers!$1:$1,0)+1,FALSE)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75" s="48">
        <f ca="1">VLOOKUP($F75,OFFSET(enemy_skill_triggers!$A$1,0,0,COUNTA(enemy_skill_triggers!$A:$A),MATCH(I$1,enemy_skill_triggers!$1:$1,0)-MATCH($F$1,enemy_skill_triggers!$1:$1,0)+1),MATCH(I$1,enemy_skill_triggers!$1:$1,0)-MATCH($F$1,enemy_skill_triggers!$1:$1,0)+1,FALSE)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5" s="48" t="str">
        <f ca="1">VLOOKUP($F75,OFFSET(enemy_skill_triggers!$A$1,0,0,COUNTA(enemy_skill_triggers!$A:$A),MATCH(J$1,enemy_skill_triggers!$1:$1,0)-MATCH($F$1,enemy_skill_triggers!$1:$1,0)+1),MATCH(J$1,enemy_skill_triggers!$1:$1,0)-MATCH($F$1,enemy_skill_triggers!$1:$1,0)+1,FALSE)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5" s="48" t="str">
        <f ca="1">VLOOKUP($F75,OFFSET(enemy_skill_triggers!$A$1,0,0,COUNTA(enemy_skill_triggers!$A:$A),MATCH(K$1,enemy_skill_triggers!$1:$1,0)-MATCH($F$1,enemy_skill_triggers!$1:$1,0)+1),MATCH(K$1,enemy_skill_triggers!$1:$1,0)-MATCH($F$1,enemy_skill_triggers!$1:$1,0)+1,FALSE)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5" s="48" t="str">
        <f ca="1">VLOOKUP($F75,OFFSET(enemy_skill_triggers!$A$1,0,0,COUNTA(enemy_skill_triggers!$A:$A),MATCH(L$1,enemy_skill_triggers!$1:$1,0)-MATCH($F$1,enemy_skill_triggers!$1:$1,0)+1),MATCH(L$1,enemy_skill_triggers!$1:$1,0)-MATCH($F$1,enemy_skill_triggers!$1:$1,0)+1,FALSE)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5" s="48">
        <f ca="1">VLOOKUP($F75,OFFSET(enemy_skill_triggers!$A$1,0,0,COUNTA(enemy_skill_triggers!$A:$A),MATCH(M$1,enemy_skill_triggers!$1:$1,0)-MATCH($F$1,enemy_skill_triggers!$1:$1,0)+1),MATCH(M$1,enemy_skill_triggers!$1:$1,0)-MATCH($F$1,enemy_skill_triggers!$1:$1,0)+1,FALSE)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75" s="48" t="str">
        <f ca="1">VLOOKUP($F75,OFFSET(enemy_skill_triggers!$A$1,0,0,COUNTA(enemy_skill_triggers!$A:$A),MATCH(N$1,enemy_skill_triggers!$1:$1,0)-MATCH($F$1,enemy_skill_triggers!$1:$1,0)+1),MATCH(N$1,enemy_skill_triggers!$1:$1,0)-MATCH($F$1,enemy_skill_triggers!$1:$1,0)+1,FALSE)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5" s="48">
        <f ca="1">VLOOKUP($F75,OFFSET(enemy_skill_triggers!$A$1,0,0,COUNTA(enemy_skill_triggers!$A:$A),MATCH(O$1,enemy_skill_triggers!$1:$1,0)-MATCH($F$1,enemy_skill_triggers!$1:$1,0)+1),MATCH(O$1,enemy_skill_triggers!$1:$1,0)-MATCH($F$1,enemy_skill_triggers!$1:$1,0)+1,FALSE)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5" s="47"/>
      <c r="Q75" s="47"/>
      <c r="R75" s="47"/>
    </row>
    <row r="76" spans="1:18" ht="21" customHeight="1" x14ac:dyDescent="0.15">
      <c r="A76" s="39" t="str">
        <f t="shared" si="5"/>
        <v>40043017_40043075</v>
      </c>
      <c r="B76" s="141">
        <v>40043017</v>
      </c>
      <c r="C76" s="157">
        <v>40043075</v>
      </c>
      <c r="D76" s="46" t="str">
        <f ca="1">VLOOKUP($C76,OFFSET(enemy_skills!$A$1,0,0,COUNTA(enemy_skills!$A:$A),MATCH(D$1,enemy_skills!$1:$1,0)-MATCH("enemy_skill_id",enemy_skills!$1:$1,0)+1),MATCH(D$1,enemy_skills!$1:$1,0)-MATCH("enemy_skill_id",enemy_skills!$1:$1,0)+1,FALSE)</f>
        <v>生糸縛り</v>
      </c>
      <c r="E76" s="46" t="str">
        <f ca="1">VLOOKUP($C76,OFFSET(enemy_skills!$A$1,0,0,COUNTA(enemy_skills!$A:$A),MATCH(E$1,enemy_skills!$1:$1,0)-MATCH("enemy_skill_id",enemy_skills!$1:$1,0)+1),MATCH(E$1,enemy_skills!$1:$1,0)-MATCH("enemy_skill_id",enemy_skills!$1:$1,0)+1,FALSE)</f>
        <v>2ターンユニット単体にスキルバインド+_x000D_青パネルを緑のダメージパネルに10個変換</v>
      </c>
      <c r="F76" s="157">
        <v>40043075</v>
      </c>
      <c r="G76" s="48">
        <f ca="1">VLOOKUP($F76,OFFSET(enemy_skill_triggers!$A$1,0,0,COUNTA(enemy_skill_triggers!$A:$A),MATCH(G$1,enemy_skill_triggers!$1:$1,0)-MATCH($F$1,enemy_skill_triggers!$1:$1,0)+1),MATCH(G$1,enemy_skill_triggers!$1:$1,0)-MATCH($F$1,enemy_skill_triggers!$1:$1,0)+1,FALSE)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6" s="48">
        <f ca="1">VLOOKUP($F76,OFFSET(enemy_skill_triggers!$A$1,0,0,COUNTA(enemy_skill_triggers!$A:$A),MATCH(H$1,enemy_skill_triggers!$1:$1,0)-MATCH($F$1,enemy_skill_triggers!$1:$1,0)+1),MATCH(H$1,enemy_skill_triggers!$1:$1,0)-MATCH($F$1,enemy_skill_triggers!$1:$1,0)+1,FALSE)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76" s="48">
        <f ca="1">VLOOKUP($F76,OFFSET(enemy_skill_triggers!$A$1,0,0,COUNTA(enemy_skill_triggers!$A:$A),MATCH(I$1,enemy_skill_triggers!$1:$1,0)-MATCH($F$1,enemy_skill_triggers!$1:$1,0)+1),MATCH(I$1,enemy_skill_triggers!$1:$1,0)-MATCH($F$1,enemy_skill_triggers!$1:$1,0)+1,FALSE)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6" s="48" t="str">
        <f ca="1">VLOOKUP($F76,OFFSET(enemy_skill_triggers!$A$1,0,0,COUNTA(enemy_skill_triggers!$A:$A),MATCH(J$1,enemy_skill_triggers!$1:$1,0)-MATCH($F$1,enemy_skill_triggers!$1:$1,0)+1),MATCH(J$1,enemy_skill_triggers!$1:$1,0)-MATCH($F$1,enemy_skill_triggers!$1:$1,0)+1,FALSE)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6" s="48" t="str">
        <f ca="1">VLOOKUP($F76,OFFSET(enemy_skill_triggers!$A$1,0,0,COUNTA(enemy_skill_triggers!$A:$A),MATCH(K$1,enemy_skill_triggers!$1:$1,0)-MATCH($F$1,enemy_skill_triggers!$1:$1,0)+1),MATCH(K$1,enemy_skill_triggers!$1:$1,0)-MATCH($F$1,enemy_skill_triggers!$1:$1,0)+1,FALSE)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6" s="48" t="str">
        <f ca="1">VLOOKUP($F76,OFFSET(enemy_skill_triggers!$A$1,0,0,COUNTA(enemy_skill_triggers!$A:$A),MATCH(L$1,enemy_skill_triggers!$1:$1,0)-MATCH($F$1,enemy_skill_triggers!$1:$1,0)+1),MATCH(L$1,enemy_skill_triggers!$1:$1,0)-MATCH($F$1,enemy_skill_triggers!$1:$1,0)+1,FALSE)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6" s="48">
        <f ca="1">VLOOKUP($F76,OFFSET(enemy_skill_triggers!$A$1,0,0,COUNTA(enemy_skill_triggers!$A:$A),MATCH(M$1,enemy_skill_triggers!$1:$1,0)-MATCH($F$1,enemy_skill_triggers!$1:$1,0)+1),MATCH(M$1,enemy_skill_triggers!$1:$1,0)-MATCH($F$1,enemy_skill_triggers!$1:$1,0)+1,FALSE)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76" s="48" t="str">
        <f ca="1">VLOOKUP($F76,OFFSET(enemy_skill_triggers!$A$1,0,0,COUNTA(enemy_skill_triggers!$A:$A),MATCH(N$1,enemy_skill_triggers!$1:$1,0)-MATCH($F$1,enemy_skill_triggers!$1:$1,0)+1),MATCH(N$1,enemy_skill_triggers!$1:$1,0)-MATCH($F$1,enemy_skill_triggers!$1:$1,0)+1,FALSE)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6" s="48">
        <f ca="1">VLOOKUP($F76,OFFSET(enemy_skill_triggers!$A$1,0,0,COUNTA(enemy_skill_triggers!$A:$A),MATCH(O$1,enemy_skill_triggers!$1:$1,0)-MATCH($F$1,enemy_skill_triggers!$1:$1,0)+1),MATCH(O$1,enemy_skill_triggers!$1:$1,0)-MATCH($F$1,enemy_skill_triggers!$1:$1,0)+1,FALSE)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6" s="47"/>
      <c r="Q76" s="47"/>
      <c r="R76" s="47"/>
    </row>
    <row r="77" spans="1:18" ht="21" customHeight="1" x14ac:dyDescent="0.15">
      <c r="A77" s="39" t="str">
        <f t="shared" si="5"/>
        <v>40043017_40043076</v>
      </c>
      <c r="B77" s="141">
        <v>40043017</v>
      </c>
      <c r="C77" s="157">
        <v>40043076</v>
      </c>
      <c r="D77" s="46" t="str">
        <f ca="1">VLOOKUP($C77,OFFSET(enemy_skills!$A$1,0,0,COUNTA(enemy_skills!$A:$A),MATCH(D$1,enemy_skills!$1:$1,0)-MATCH("enemy_skill_id",enemy_skills!$1:$1,0)+1),MATCH(D$1,enemy_skills!$1:$1,0)-MATCH("enemy_skill_id",enemy_skills!$1:$1,0)+1,FALSE)</f>
        <v>『ナニよこレ？』</v>
      </c>
      <c r="E77" s="46" t="str">
        <f ca="1">VLOOKUP($C77,OFFSET(enemy_skills!$A$1,0,0,COUNTA(enemy_skills!$A:$A),MATCH(E$1,enemy_skills!$1:$1,0)-MATCH("enemy_skill_id",enemy_skills!$1:$1,0)+1),MATCH(E$1,enemy_skills!$1:$1,0)-MATCH("enemy_skill_id",enemy_skills!$1:$1,0)+1,FALSE)</f>
        <v>ハートパネルを緑パネルに変換</v>
      </c>
      <c r="F77" s="157">
        <v>40043076</v>
      </c>
      <c r="G77" s="48">
        <f ca="1">VLOOKUP($F77,OFFSET(enemy_skill_triggers!$A$1,0,0,COUNTA(enemy_skill_triggers!$A:$A),MATCH(G$1,enemy_skill_triggers!$1:$1,0)-MATCH($F$1,enemy_skill_triggers!$1:$1,0)+1),MATCH(G$1,enemy_skill_triggers!$1:$1,0)-MATCH($F$1,enemy_skill_triggers!$1:$1,0)+1,FALSE)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7" s="48">
        <f ca="1">VLOOKUP($F77,OFFSET(enemy_skill_triggers!$A$1,0,0,COUNTA(enemy_skill_triggers!$A:$A),MATCH(H$1,enemy_skill_triggers!$1:$1,0)-MATCH($F$1,enemy_skill_triggers!$1:$1,0)+1),MATCH(H$1,enemy_skill_triggers!$1:$1,0)-MATCH($F$1,enemy_skill_triggers!$1:$1,0)+1,FALSE)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77" s="48">
        <f ca="1">VLOOKUP($F77,OFFSET(enemy_skill_triggers!$A$1,0,0,COUNTA(enemy_skill_triggers!$A:$A),MATCH(I$1,enemy_skill_triggers!$1:$1,0)-MATCH($F$1,enemy_skill_triggers!$1:$1,0)+1),MATCH(I$1,enemy_skill_triggers!$1:$1,0)-MATCH($F$1,enemy_skill_triggers!$1:$1,0)+1,FALSE)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7" s="48">
        <f ca="1">VLOOKUP($F77,OFFSET(enemy_skill_triggers!$A$1,0,0,COUNTA(enemy_skill_triggers!$A:$A),MATCH(J$1,enemy_skill_triggers!$1:$1,0)-MATCH($F$1,enemy_skill_triggers!$1:$1,0)+1),MATCH(J$1,enemy_skill_triggers!$1:$1,0)-MATCH($F$1,enemy_skill_triggers!$1:$1,0)+1,FALSE)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77" s="48" t="str">
        <f ca="1">VLOOKUP($F77,OFFSET(enemy_skill_triggers!$A$1,0,0,COUNTA(enemy_skill_triggers!$A:$A),MATCH(K$1,enemy_skill_triggers!$1:$1,0)-MATCH($F$1,enemy_skill_triggers!$1:$1,0)+1),MATCH(K$1,enemy_skill_triggers!$1:$1,0)-MATCH($F$1,enemy_skill_triggers!$1:$1,0)+1,FALSE)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7" s="48" t="str">
        <f ca="1">VLOOKUP($F77,OFFSET(enemy_skill_triggers!$A$1,0,0,COUNTA(enemy_skill_triggers!$A:$A),MATCH(L$1,enemy_skill_triggers!$1:$1,0)-MATCH($F$1,enemy_skill_triggers!$1:$1,0)+1),MATCH(L$1,enemy_skill_triggers!$1:$1,0)-MATCH($F$1,enemy_skill_triggers!$1:$1,0)+1,FALSE)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7" s="48">
        <f ca="1">VLOOKUP($F77,OFFSET(enemy_skill_triggers!$A$1,0,0,COUNTA(enemy_skill_triggers!$A:$A),MATCH(M$1,enemy_skill_triggers!$1:$1,0)-MATCH($F$1,enemy_skill_triggers!$1:$1,0)+1),MATCH(M$1,enemy_skill_triggers!$1:$1,0)-MATCH($F$1,enemy_skill_triggers!$1:$1,0)+1,FALSE)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77" s="48" t="str">
        <f ca="1">VLOOKUP($F77,OFFSET(enemy_skill_triggers!$A$1,0,0,COUNTA(enemy_skill_triggers!$A:$A),MATCH(N$1,enemy_skill_triggers!$1:$1,0)-MATCH($F$1,enemy_skill_triggers!$1:$1,0)+1),MATCH(N$1,enemy_skill_triggers!$1:$1,0)-MATCH($F$1,enemy_skill_triggers!$1:$1,0)+1,FALSE)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7" s="48">
        <f ca="1">VLOOKUP($F77,OFFSET(enemy_skill_triggers!$A$1,0,0,COUNTA(enemy_skill_triggers!$A:$A),MATCH(O$1,enemy_skill_triggers!$1:$1,0)-MATCH($F$1,enemy_skill_triggers!$1:$1,0)+1),MATCH(O$1,enemy_skill_triggers!$1:$1,0)-MATCH($F$1,enemy_skill_triggers!$1:$1,0)+1,FALSE)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7" s="47"/>
      <c r="Q77" s="47"/>
      <c r="R77" s="47"/>
    </row>
    <row r="78" spans="1:18" ht="21" customHeight="1" thickBot="1" x14ac:dyDescent="0.2">
      <c r="A78" s="169" t="str">
        <f t="shared" si="5"/>
        <v>40043017_40043077</v>
      </c>
      <c r="B78" s="147">
        <v>40043017</v>
      </c>
      <c r="C78" s="158">
        <v>40043077</v>
      </c>
      <c r="D78" s="176" t="str">
        <f ca="1">VLOOKUP($C78,OFFSET(enemy_skills!$A$1,0,0,COUNTA(enemy_skills!$A:$A),MATCH(D$1,enemy_skills!$1:$1,0)-MATCH("enemy_skill_id",enemy_skills!$1:$1,0)+1),MATCH(D$1,enemy_skills!$1:$1,0)-MATCH("enemy_skill_id",enemy_skills!$1:$1,0)+1,FALSE)</f>
        <v>『キツイおしおきが必要ネ』</v>
      </c>
      <c r="E78" s="176" t="str">
        <f ca="1">VLOOKUP($C78,OFFSET(enemy_skills!$A$1,0,0,COUNTA(enemy_skills!$A:$A),MATCH(E$1,enemy_skills!$1:$1,0)-MATCH("enemy_skill_id",enemy_skills!$1:$1,0)+1),MATCH(E$1,enemy_skills!$1:$1,0)-MATCH("enemy_skill_id",enemy_skills!$1:$1,0)+1,FALSE)</f>
        <v>青パネル&amp;緑パネルを吸収して攻撃</v>
      </c>
      <c r="F78" s="158">
        <v>40043077</v>
      </c>
      <c r="G78" s="151">
        <f ca="1">VLOOKUP($F78,OFFSET(enemy_skill_triggers!$A$1,0,0,COUNTA(enemy_skill_triggers!$A:$A),MATCH(G$1,enemy_skill_triggers!$1:$1,0)-MATCH($F$1,enemy_skill_triggers!$1:$1,0)+1),MATCH(G$1,enemy_skill_triggers!$1:$1,0)-MATCH($F$1,enemy_skill_triggers!$1:$1,0)+1,FALSE)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8" s="151">
        <f ca="1">VLOOKUP($F78,OFFSET(enemy_skill_triggers!$A$1,0,0,COUNTA(enemy_skill_triggers!$A:$A),MATCH(H$1,enemy_skill_triggers!$1:$1,0)-MATCH($F$1,enemy_skill_triggers!$1:$1,0)+1),MATCH(H$1,enemy_skill_triggers!$1:$1,0)-MATCH($F$1,enemy_skill_triggers!$1:$1,0)+1,FALSE)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78" s="151">
        <f ca="1">VLOOKUP($F78,OFFSET(enemy_skill_triggers!$A$1,0,0,COUNTA(enemy_skill_triggers!$A:$A),MATCH(I$1,enemy_skill_triggers!$1:$1,0)-MATCH($F$1,enemy_skill_triggers!$1:$1,0)+1),MATCH(I$1,enemy_skill_triggers!$1:$1,0)-MATCH($F$1,enemy_skill_triggers!$1:$1,0)+1,FALSE)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78" s="151">
        <f ca="1">VLOOKUP($F78,OFFSET(enemy_skill_triggers!$A$1,0,0,COUNTA(enemy_skill_triggers!$A:$A),MATCH(J$1,enemy_skill_triggers!$1:$1,0)-MATCH($F$1,enemy_skill_triggers!$1:$1,0)+1),MATCH(J$1,enemy_skill_triggers!$1:$1,0)-MATCH($F$1,enemy_skill_triggers!$1:$1,0)+1,FALSE)</f>
        <v>25</v>
      </c>
      <c r="K78" s="151" t="str">
        <f ca="1">VLOOKUP($F78,OFFSET(enemy_skill_triggers!$A$1,0,0,COUNTA(enemy_skill_triggers!$A:$A),MATCH(K$1,enemy_skill_triggers!$1:$1,0)-MATCH($F$1,enemy_skill_triggers!$1:$1,0)+1),MATCH(K$1,enemy_skill_triggers!$1:$1,0)-MATCH($F$1,enemy_skill_triggers!$1:$1,0)+1,FALSE)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8" s="151" t="str">
        <f ca="1">VLOOKUP($F78,OFFSET(enemy_skill_triggers!$A$1,0,0,COUNTA(enemy_skill_triggers!$A:$A),MATCH(L$1,enemy_skill_triggers!$1:$1,0)-MATCH($F$1,enemy_skill_triggers!$1:$1,0)+1),MATCH(L$1,enemy_skill_triggers!$1:$1,0)-MATCH($F$1,enemy_skill_triggers!$1:$1,0)+1,FALSE)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8" s="151">
        <f ca="1">VLOOKUP($F78,OFFSET(enemy_skill_triggers!$A$1,0,0,COUNTA(enemy_skill_triggers!$A:$A),MATCH(M$1,enemy_skill_triggers!$1:$1,0)-MATCH($F$1,enemy_skill_triggers!$1:$1,0)+1),MATCH(M$1,enemy_skill_triggers!$1:$1,0)-MATCH($F$1,enemy_skill_triggers!$1:$1,0)+1,FALSE)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78" s="151" t="str">
        <f ca="1">VLOOKUP($F78,OFFSET(enemy_skill_triggers!$A$1,0,0,COUNTA(enemy_skill_triggers!$A:$A),MATCH(N$1,enemy_skill_triggers!$1:$1,0)-MATCH($F$1,enemy_skill_triggers!$1:$1,0)+1),MATCH(N$1,enemy_skill_triggers!$1:$1,0)-MATCH($F$1,enemy_skill_triggers!$1:$1,0)+1,FALSE)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8" s="151">
        <f ca="1">VLOOKUP($F78,OFFSET(enemy_skill_triggers!$A$1,0,0,COUNTA(enemy_skill_triggers!$A:$A),MATCH(O$1,enemy_skill_triggers!$1:$1,0)-MATCH($F$1,enemy_skill_triggers!$1:$1,0)+1),MATCH(O$1,enemy_skill_triggers!$1:$1,0)-MATCH($F$1,enemy_skill_triggers!$1:$1,0)+1,FALSE)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78" s="147"/>
      <c r="Q78" s="147"/>
      <c r="R78" s="147"/>
    </row>
    <row r="79" spans="1:18" ht="21" customHeight="1" x14ac:dyDescent="0.15">
      <c r="A79" s="39" t="str">
        <f t="shared" si="5"/>
        <v>40043018_40043078</v>
      </c>
      <c r="B79" s="141">
        <v>40043018</v>
      </c>
      <c r="C79" s="157">
        <v>40043078</v>
      </c>
      <c r="D79" s="175" t="str">
        <f ca="1">VLOOKUP($C79,OFFSET(enemy_skills!$A$1,0,0,COUNTA(enemy_skills!$A:$A),MATCH(D$1,enemy_skills!$1:$1,0)-MATCH("enemy_skill_id",enemy_skills!$1:$1,0)+1),MATCH(D$1,enemy_skills!$1:$1,0)-MATCH("enemy_skill_id",enemy_skills!$1:$1,0)+1,FALSE)</f>
        <v>お願い…助けて…</v>
      </c>
      <c r="E79" s="175" t="str">
        <f ca="1">VLOOKUP($C79,OFFSET(enemy_skills!$A$1,0,0,COUNTA(enemy_skills!$A:$A),MATCH(E$1,enemy_skills!$1:$1,0)-MATCH("enemy_skill_id",enemy_skills!$1:$1,0)+1),MATCH(E$1,enemy_skills!$1:$1,0)-MATCH("enemy_skill_id",enemy_skills!$1:$1,0)+1,FALSE)</f>
        <v>状態異常耐性+青パネルを赤パネルに変換</v>
      </c>
      <c r="F79" s="157">
        <v>40043078</v>
      </c>
      <c r="G79" s="145">
        <f ca="1">VLOOKUP($F79,OFFSET(enemy_skill_triggers!$A$1,0,0,COUNTA(enemy_skill_triggers!$A:$A),MATCH(G$1,enemy_skill_triggers!$1:$1,0)-MATCH($F$1,enemy_skill_triggers!$1:$1,0)+1),MATCH(G$1,enemy_skill_triggers!$1:$1,0)-MATCH($F$1,enemy_skill_triggers!$1:$1,0)+1,FALSE)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9" s="145" t="str">
        <f ca="1">VLOOKUP($F79,OFFSET(enemy_skill_triggers!$A$1,0,0,COUNTA(enemy_skill_triggers!$A:$A),MATCH(H$1,enemy_skill_triggers!$1:$1,0)-MATCH($F$1,enemy_skill_triggers!$1:$1,0)+1),MATCH(H$1,enemy_skill_triggers!$1:$1,0)-MATCH($F$1,enemy_skill_triggers!$1:$1,0)+1,FALSE)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9" s="145">
        <f ca="1">VLOOKUP($F79,OFFSET(enemy_skill_triggers!$A$1,0,0,COUNTA(enemy_skill_triggers!$A:$A),MATCH(I$1,enemy_skill_triggers!$1:$1,0)-MATCH($F$1,enemy_skill_triggers!$1:$1,0)+1),MATCH(I$1,enemy_skill_triggers!$1:$1,0)-MATCH($F$1,enemy_skill_triggers!$1:$1,0)+1,FALSE)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9" s="145" t="str">
        <f ca="1">VLOOKUP($F79,OFFSET(enemy_skill_triggers!$A$1,0,0,COUNTA(enemy_skill_triggers!$A:$A),MATCH(J$1,enemy_skill_triggers!$1:$1,0)-MATCH($F$1,enemy_skill_triggers!$1:$1,0)+1),MATCH(J$1,enemy_skill_triggers!$1:$1,0)-MATCH($F$1,enemy_skill_triggers!$1:$1,0)+1,FALSE)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9" s="145" t="str">
        <f ca="1">VLOOKUP($F79,OFFSET(enemy_skill_triggers!$A$1,0,0,COUNTA(enemy_skill_triggers!$A:$A),MATCH(K$1,enemy_skill_triggers!$1:$1,0)-MATCH($F$1,enemy_skill_triggers!$1:$1,0)+1),MATCH(K$1,enemy_skill_triggers!$1:$1,0)-MATCH($F$1,enemy_skill_triggers!$1:$1,0)+1,FALSE)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9" s="145">
        <f ca="1">VLOOKUP($F79,OFFSET(enemy_skill_triggers!$A$1,0,0,COUNTA(enemy_skill_triggers!$A:$A),MATCH(L$1,enemy_skill_triggers!$1:$1,0)-MATCH($F$1,enemy_skill_triggers!$1:$1,0)+1),MATCH(L$1,enemy_skill_triggers!$1:$1,0)-MATCH($F$1,enemy_skill_triggers!$1:$1,0)+1,FALSE)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9" s="145" t="str">
        <f ca="1">VLOOKUP($F79,OFFSET(enemy_skill_triggers!$A$1,0,0,COUNTA(enemy_skill_triggers!$A:$A),MATCH(M$1,enemy_skill_triggers!$1:$1,0)-MATCH($F$1,enemy_skill_triggers!$1:$1,0)+1),MATCH(M$1,enemy_skill_triggers!$1:$1,0)-MATCH($F$1,enemy_skill_triggers!$1:$1,0)+1,FALSE)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9" s="145" t="str">
        <f ca="1">VLOOKUP($F79,OFFSET(enemy_skill_triggers!$A$1,0,0,COUNTA(enemy_skill_triggers!$A:$A),MATCH(N$1,enemy_skill_triggers!$1:$1,0)-MATCH($F$1,enemy_skill_triggers!$1:$1,0)+1),MATCH(N$1,enemy_skill_triggers!$1:$1,0)-MATCH($F$1,enemy_skill_triggers!$1:$1,0)+1,FALSE)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9" s="145">
        <f ca="1">VLOOKUP($F79,OFFSET(enemy_skill_triggers!$A$1,0,0,COUNTA(enemy_skill_triggers!$A:$A),MATCH(O$1,enemy_skill_triggers!$1:$1,0)-MATCH($F$1,enemy_skill_triggers!$1:$1,0)+1),MATCH(O$1,enemy_skill_triggers!$1:$1,0)-MATCH($F$1,enemy_skill_triggers!$1:$1,0)+1,FALSE)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9" s="141"/>
      <c r="Q79" s="141"/>
      <c r="R79" s="141"/>
    </row>
    <row r="80" spans="1:18" ht="21" customHeight="1" x14ac:dyDescent="0.15">
      <c r="A80" s="39" t="str">
        <f t="shared" si="5"/>
        <v>40043018_40043079</v>
      </c>
      <c r="B80" s="141">
        <v>40043018</v>
      </c>
      <c r="C80" s="157">
        <v>40043079</v>
      </c>
      <c r="D80" s="46" t="str">
        <f ca="1">VLOOKUP($C80,OFFSET(enemy_skills!$A$1,0,0,COUNTA(enemy_skills!$A:$A),MATCH(D$1,enemy_skills!$1:$1,0)-MATCH("enemy_skill_id",enemy_skills!$1:$1,0)+1),MATCH(D$1,enemy_skills!$1:$1,0)-MATCH("enemy_skill_id",enemy_skills!$1:$1,0)+1,FALSE)</f>
        <v>『邪魔者ハ排除シなきゃ』</v>
      </c>
      <c r="E80" s="46" t="str">
        <f ca="1">VLOOKUP($C80,OFFSET(enemy_skills!$A$1,0,0,COUNTA(enemy_skills!$A:$A),MATCH(E$1,enemy_skills!$1:$1,0)-MATCH("enemy_skill_id",enemy_skills!$1:$1,0)+1),MATCH(E$1,enemy_skills!$1:$1,0)-MATCH("enemy_skill_id",enemy_skills!$1:$1,0)+1,FALSE)</f>
        <v>緑パネルを吸収して全体攻撃(最大10個)</v>
      </c>
      <c r="F80" s="157">
        <v>40043079</v>
      </c>
      <c r="G80" s="48">
        <f ca="1">VLOOKUP($F80,OFFSET(enemy_skill_triggers!$A$1,0,0,COUNTA(enemy_skill_triggers!$A:$A),MATCH(G$1,enemy_skill_triggers!$1:$1,0)-MATCH($F$1,enemy_skill_triggers!$1:$1,0)+1),MATCH(G$1,enemy_skill_triggers!$1:$1,0)-MATCH($F$1,enemy_skill_triggers!$1:$1,0)+1,FALSE)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0" s="48">
        <f ca="1">VLOOKUP($F80,OFFSET(enemy_skill_triggers!$A$1,0,0,COUNTA(enemy_skill_triggers!$A:$A),MATCH(H$1,enemy_skill_triggers!$1:$1,0)-MATCH($F$1,enemy_skill_triggers!$1:$1,0)+1),MATCH(H$1,enemy_skill_triggers!$1:$1,0)-MATCH($F$1,enemy_skill_triggers!$1:$1,0)+1,FALSE)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80" s="48">
        <f ca="1">VLOOKUP($F80,OFFSET(enemy_skill_triggers!$A$1,0,0,COUNTA(enemy_skill_triggers!$A:$A),MATCH(I$1,enemy_skill_triggers!$1:$1,0)-MATCH($F$1,enemy_skill_triggers!$1:$1,0)+1),MATCH(I$1,enemy_skill_triggers!$1:$1,0)-MATCH($F$1,enemy_skill_triggers!$1:$1,0)+1,FALSE)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0" s="48" t="str">
        <f ca="1">VLOOKUP($F80,OFFSET(enemy_skill_triggers!$A$1,0,0,COUNTA(enemy_skill_triggers!$A:$A),MATCH(J$1,enemy_skill_triggers!$1:$1,0)-MATCH($F$1,enemy_skill_triggers!$1:$1,0)+1),MATCH(J$1,enemy_skill_triggers!$1:$1,0)-MATCH($F$1,enemy_skill_triggers!$1:$1,0)+1,FALSE)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0" s="48" t="str">
        <f ca="1">VLOOKUP($F80,OFFSET(enemy_skill_triggers!$A$1,0,0,COUNTA(enemy_skill_triggers!$A:$A),MATCH(K$1,enemy_skill_triggers!$1:$1,0)-MATCH($F$1,enemy_skill_triggers!$1:$1,0)+1),MATCH(K$1,enemy_skill_triggers!$1:$1,0)-MATCH($F$1,enemy_skill_triggers!$1:$1,0)+1,FALSE)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0" s="48" t="str">
        <f ca="1">VLOOKUP($F80,OFFSET(enemy_skill_triggers!$A$1,0,0,COUNTA(enemy_skill_triggers!$A:$A),MATCH(L$1,enemy_skill_triggers!$1:$1,0)-MATCH($F$1,enemy_skill_triggers!$1:$1,0)+1),MATCH(L$1,enemy_skill_triggers!$1:$1,0)-MATCH($F$1,enemy_skill_triggers!$1:$1,0)+1,FALSE)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0" s="48">
        <f ca="1">VLOOKUP($F80,OFFSET(enemy_skill_triggers!$A$1,0,0,COUNTA(enemy_skill_triggers!$A:$A),MATCH(M$1,enemy_skill_triggers!$1:$1,0)-MATCH($F$1,enemy_skill_triggers!$1:$1,0)+1),MATCH(M$1,enemy_skill_triggers!$1:$1,0)-MATCH($F$1,enemy_skill_triggers!$1:$1,0)+1,FALSE)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80" s="48" t="str">
        <f ca="1">VLOOKUP($F80,OFFSET(enemy_skill_triggers!$A$1,0,0,COUNTA(enemy_skill_triggers!$A:$A),MATCH(N$1,enemy_skill_triggers!$1:$1,0)-MATCH($F$1,enemy_skill_triggers!$1:$1,0)+1),MATCH(N$1,enemy_skill_triggers!$1:$1,0)-MATCH($F$1,enemy_skill_triggers!$1:$1,0)+1,FALSE)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0" s="48">
        <f ca="1">VLOOKUP($F80,OFFSET(enemy_skill_triggers!$A$1,0,0,COUNTA(enemy_skill_triggers!$A:$A),MATCH(O$1,enemy_skill_triggers!$1:$1,0)-MATCH($F$1,enemy_skill_triggers!$1:$1,0)+1),MATCH(O$1,enemy_skill_triggers!$1:$1,0)-MATCH($F$1,enemy_skill_triggers!$1:$1,0)+1,FALSE)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0" s="47"/>
      <c r="Q80" s="47"/>
      <c r="R80" s="47"/>
    </row>
    <row r="81" spans="1:18" ht="21" customHeight="1" x14ac:dyDescent="0.15">
      <c r="A81" s="39" t="str">
        <f t="shared" si="5"/>
        <v>40043018_40043080</v>
      </c>
      <c r="B81" s="141">
        <v>40043018</v>
      </c>
      <c r="C81" s="157">
        <v>40043080</v>
      </c>
      <c r="D81" s="46" t="str">
        <f ca="1">VLOOKUP($C81,OFFSET(enemy_skills!$A$1,0,0,COUNTA(enemy_skills!$A:$A),MATCH(D$1,enemy_skills!$1:$1,0)-MATCH("enemy_skill_id",enemy_skills!$1:$1,0)+1),MATCH(D$1,enemy_skills!$1:$1,0)-MATCH("enemy_skill_id",enemy_skills!$1:$1,0)+1,FALSE)</f>
        <v>『マダいたのネ！』</v>
      </c>
      <c r="E81" s="46" t="str">
        <f ca="1">VLOOKUP($C81,OFFSET(enemy_skills!$A$1,0,0,COUNTA(enemy_skills!$A:$A),MATCH(E$1,enemy_skills!$1:$1,0)-MATCH("enemy_skill_id",enemy_skills!$1:$1,0)+1),MATCH(E$1,enemy_skills!$1:$1,0)-MATCH("enemy_skill_id",enemy_skills!$1:$1,0)+1,FALSE)</f>
        <v>青パネルを吸収して全体攻撃(最大10個)</v>
      </c>
      <c r="F81" s="157">
        <v>40043080</v>
      </c>
      <c r="G81" s="48">
        <f ca="1">VLOOKUP($F81,OFFSET(enemy_skill_triggers!$A$1,0,0,COUNTA(enemy_skill_triggers!$A:$A),MATCH(G$1,enemy_skill_triggers!$1:$1,0)-MATCH($F$1,enemy_skill_triggers!$1:$1,0)+1),MATCH(G$1,enemy_skill_triggers!$1:$1,0)-MATCH($F$1,enemy_skill_triggers!$1:$1,0)+1,FALSE)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1" s="48">
        <f ca="1">VLOOKUP($F81,OFFSET(enemy_skill_triggers!$A$1,0,0,COUNTA(enemy_skill_triggers!$A:$A),MATCH(H$1,enemy_skill_triggers!$1:$1,0)-MATCH($F$1,enemy_skill_triggers!$1:$1,0)+1),MATCH(H$1,enemy_skill_triggers!$1:$1,0)-MATCH($F$1,enemy_skill_triggers!$1:$1,0)+1,FALSE)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81" s="48">
        <f ca="1">VLOOKUP($F81,OFFSET(enemy_skill_triggers!$A$1,0,0,COUNTA(enemy_skill_triggers!$A:$A),MATCH(I$1,enemy_skill_triggers!$1:$1,0)-MATCH($F$1,enemy_skill_triggers!$1:$1,0)+1),MATCH(I$1,enemy_skill_triggers!$1:$1,0)-MATCH($F$1,enemy_skill_triggers!$1:$1,0)+1,FALSE)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1" s="48" t="str">
        <f ca="1">VLOOKUP($F81,OFFSET(enemy_skill_triggers!$A$1,0,0,COUNTA(enemy_skill_triggers!$A:$A),MATCH(J$1,enemy_skill_triggers!$1:$1,0)-MATCH($F$1,enemy_skill_triggers!$1:$1,0)+1),MATCH(J$1,enemy_skill_triggers!$1:$1,0)-MATCH($F$1,enemy_skill_triggers!$1:$1,0)+1,FALSE)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1" s="48" t="str">
        <f ca="1">VLOOKUP($F81,OFFSET(enemy_skill_triggers!$A$1,0,0,COUNTA(enemy_skill_triggers!$A:$A),MATCH(K$1,enemy_skill_triggers!$1:$1,0)-MATCH($F$1,enemy_skill_triggers!$1:$1,0)+1),MATCH(K$1,enemy_skill_triggers!$1:$1,0)-MATCH($F$1,enemy_skill_triggers!$1:$1,0)+1,FALSE)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1" s="48" t="str">
        <f ca="1">VLOOKUP($F81,OFFSET(enemy_skill_triggers!$A$1,0,0,COUNTA(enemy_skill_triggers!$A:$A),MATCH(L$1,enemy_skill_triggers!$1:$1,0)-MATCH($F$1,enemy_skill_triggers!$1:$1,0)+1),MATCH(L$1,enemy_skill_triggers!$1:$1,0)-MATCH($F$1,enemy_skill_triggers!$1:$1,0)+1,FALSE)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1" s="48">
        <f ca="1">VLOOKUP($F81,OFFSET(enemy_skill_triggers!$A$1,0,0,COUNTA(enemy_skill_triggers!$A:$A),MATCH(M$1,enemy_skill_triggers!$1:$1,0)-MATCH($F$1,enemy_skill_triggers!$1:$1,0)+1),MATCH(M$1,enemy_skill_triggers!$1:$1,0)-MATCH($F$1,enemy_skill_triggers!$1:$1,0)+1,FALSE)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81" s="48" t="str">
        <f ca="1">VLOOKUP($F81,OFFSET(enemy_skill_triggers!$A$1,0,0,COUNTA(enemy_skill_triggers!$A:$A),MATCH(N$1,enemy_skill_triggers!$1:$1,0)-MATCH($F$1,enemy_skill_triggers!$1:$1,0)+1),MATCH(N$1,enemy_skill_triggers!$1:$1,0)-MATCH($F$1,enemy_skill_triggers!$1:$1,0)+1,FALSE)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1" s="48">
        <f ca="1">VLOOKUP($F81,OFFSET(enemy_skill_triggers!$A$1,0,0,COUNTA(enemy_skill_triggers!$A:$A),MATCH(O$1,enemy_skill_triggers!$1:$1,0)-MATCH($F$1,enemy_skill_triggers!$1:$1,0)+1),MATCH(O$1,enemy_skill_triggers!$1:$1,0)-MATCH($F$1,enemy_skill_triggers!$1:$1,0)+1,FALSE)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1" s="47"/>
      <c r="Q81" s="47"/>
      <c r="R81" s="47"/>
    </row>
    <row r="82" spans="1:18" ht="21" customHeight="1" x14ac:dyDescent="0.15">
      <c r="A82" s="39" t="str">
        <f t="shared" si="5"/>
        <v>40043018_40043081</v>
      </c>
      <c r="B82" s="141">
        <v>40043018</v>
      </c>
      <c r="C82" s="157">
        <v>40043081</v>
      </c>
      <c r="D82" s="46" t="str">
        <f ca="1">VLOOKUP($C82,OFFSET(enemy_skills!$A$1,0,0,COUNTA(enemy_skills!$A:$A),MATCH(D$1,enemy_skills!$1:$1,0)-MATCH("enemy_skill_id",enemy_skills!$1:$1,0)+1),MATCH(D$1,enemy_skills!$1:$1,0)-MATCH("enemy_skill_id",enemy_skills!$1:$1,0)+1,FALSE)</f>
        <v>紅蓮消失</v>
      </c>
      <c r="E82" s="46" t="str">
        <f ca="1">VLOOKUP($C82,OFFSET(enemy_skills!$A$1,0,0,COUNTA(enemy_skills!$A:$A),MATCH(E$1,enemy_skills!$1:$1,0)-MATCH("enemy_skill_id",enemy_skills!$1:$1,0)+1),MATCH(E$1,enemy_skills!$1:$1,0)-MATCH("enemy_skill_id",enemy_skills!$1:$1,0)+1,FALSE)</f>
        <v>赤属性のユニットに大ダメージの単体攻撃</v>
      </c>
      <c r="F82" s="157">
        <v>40043081</v>
      </c>
      <c r="G82" s="48">
        <f ca="1">VLOOKUP($F82,OFFSET(enemy_skill_triggers!$A$1,0,0,COUNTA(enemy_skill_triggers!$A:$A),MATCH(G$1,enemy_skill_triggers!$1:$1,0)-MATCH($F$1,enemy_skill_triggers!$1:$1,0)+1),MATCH(G$1,enemy_skill_triggers!$1:$1,0)-MATCH($F$1,enemy_skill_triggers!$1:$1,0)+1,FALSE)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2" s="48">
        <f ca="1">VLOOKUP($F82,OFFSET(enemy_skill_triggers!$A$1,0,0,COUNTA(enemy_skill_triggers!$A:$A),MATCH(H$1,enemy_skill_triggers!$1:$1,0)-MATCH($F$1,enemy_skill_triggers!$1:$1,0)+1),MATCH(H$1,enemy_skill_triggers!$1:$1,0)-MATCH($F$1,enemy_skill_triggers!$1:$1,0)+1,FALSE)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82" s="48">
        <f ca="1">VLOOKUP($F82,OFFSET(enemy_skill_triggers!$A$1,0,0,COUNTA(enemy_skill_triggers!$A:$A),MATCH(I$1,enemy_skill_triggers!$1:$1,0)-MATCH($F$1,enemy_skill_triggers!$1:$1,0)+1),MATCH(I$1,enemy_skill_triggers!$1:$1,0)-MATCH($F$1,enemy_skill_triggers!$1:$1,0)+1,FALSE)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2" s="48" t="str">
        <f ca="1">VLOOKUP($F82,OFFSET(enemy_skill_triggers!$A$1,0,0,COUNTA(enemy_skill_triggers!$A:$A),MATCH(J$1,enemy_skill_triggers!$1:$1,0)-MATCH($F$1,enemy_skill_triggers!$1:$1,0)+1),MATCH(J$1,enemy_skill_triggers!$1:$1,0)-MATCH($F$1,enemy_skill_triggers!$1:$1,0)+1,FALSE)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2" s="48" t="str">
        <f ca="1">VLOOKUP($F82,OFFSET(enemy_skill_triggers!$A$1,0,0,COUNTA(enemy_skill_triggers!$A:$A),MATCH(K$1,enemy_skill_triggers!$1:$1,0)-MATCH($F$1,enemy_skill_triggers!$1:$1,0)+1),MATCH(K$1,enemy_skill_triggers!$1:$1,0)-MATCH($F$1,enemy_skill_triggers!$1:$1,0)+1,FALSE)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2" s="48" t="str">
        <f ca="1">VLOOKUP($F82,OFFSET(enemy_skill_triggers!$A$1,0,0,COUNTA(enemy_skill_triggers!$A:$A),MATCH(L$1,enemy_skill_triggers!$1:$1,0)-MATCH($F$1,enemy_skill_triggers!$1:$1,0)+1),MATCH(L$1,enemy_skill_triggers!$1:$1,0)-MATCH($F$1,enemy_skill_triggers!$1:$1,0)+1,FALSE)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2" s="48">
        <f ca="1">VLOOKUP($F82,OFFSET(enemy_skill_triggers!$A$1,0,0,COUNTA(enemy_skill_triggers!$A:$A),MATCH(M$1,enemy_skill_triggers!$1:$1,0)-MATCH($F$1,enemy_skill_triggers!$1:$1,0)+1),MATCH(M$1,enemy_skill_triggers!$1:$1,0)-MATCH($F$1,enemy_skill_triggers!$1:$1,0)+1,FALSE)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82" s="48" t="str">
        <f ca="1">VLOOKUP($F82,OFFSET(enemy_skill_triggers!$A$1,0,0,COUNTA(enemy_skill_triggers!$A:$A),MATCH(N$1,enemy_skill_triggers!$1:$1,0)-MATCH($F$1,enemy_skill_triggers!$1:$1,0)+1),MATCH(N$1,enemy_skill_triggers!$1:$1,0)-MATCH($F$1,enemy_skill_triggers!$1:$1,0)+1,FALSE)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2" s="48">
        <f ca="1">VLOOKUP($F82,OFFSET(enemy_skill_triggers!$A$1,0,0,COUNTA(enemy_skill_triggers!$A:$A),MATCH(O$1,enemy_skill_triggers!$1:$1,0)-MATCH($F$1,enemy_skill_triggers!$1:$1,0)+1),MATCH(O$1,enemy_skill_triggers!$1:$1,0)-MATCH($F$1,enemy_skill_triggers!$1:$1,0)+1,FALSE)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2" s="47"/>
      <c r="Q82" s="47"/>
      <c r="R82" s="47"/>
    </row>
    <row r="83" spans="1:18" ht="21" customHeight="1" x14ac:dyDescent="0.15">
      <c r="A83" s="39" t="str">
        <f t="shared" si="5"/>
        <v>40043018_40043082</v>
      </c>
      <c r="B83" s="141">
        <v>40043018</v>
      </c>
      <c r="C83" s="157">
        <v>40043082</v>
      </c>
      <c r="D83" s="46" t="str">
        <f ca="1">VLOOKUP($C83,OFFSET(enemy_skills!$A$1,0,0,COUNTA(enemy_skills!$A:$A),MATCH(D$1,enemy_skills!$1:$1,0)-MATCH("enemy_skill_id",enemy_skills!$1:$1,0)+1),MATCH(D$1,enemy_skills!$1:$1,0)-MATCH("enemy_skill_id",enemy_skills!$1:$1,0)+1,FALSE)</f>
        <v>…もう…傷つけたくない</v>
      </c>
      <c r="E83" s="46" t="str">
        <f ca="1">VLOOKUP($C83,OFFSET(enemy_skills!$A$1,0,0,COUNTA(enemy_skills!$A:$A),MATCH(E$1,enemy_skills!$1:$1,0)-MATCH("enemy_skill_id",enemy_skills!$1:$1,0)+1),MATCH(E$1,enemy_skills!$1:$1,0)-MATCH("enemy_skill_id",enemy_skills!$1:$1,0)+1,FALSE)</f>
        <v>緑パネルを黄パネルに変換</v>
      </c>
      <c r="F83" s="157">
        <v>40043082</v>
      </c>
      <c r="G83" s="48">
        <f ca="1">VLOOKUP($F83,OFFSET(enemy_skill_triggers!$A$1,0,0,COUNTA(enemy_skill_triggers!$A:$A),MATCH(G$1,enemy_skill_triggers!$1:$1,0)-MATCH($F$1,enemy_skill_triggers!$1:$1,0)+1),MATCH(G$1,enemy_skill_triggers!$1:$1,0)-MATCH($F$1,enemy_skill_triggers!$1:$1,0)+1,FALSE)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3" s="48">
        <f ca="1">VLOOKUP($F83,OFFSET(enemy_skill_triggers!$A$1,0,0,COUNTA(enemy_skill_triggers!$A:$A),MATCH(H$1,enemy_skill_triggers!$1:$1,0)-MATCH($F$1,enemy_skill_triggers!$1:$1,0)+1),MATCH(H$1,enemy_skill_triggers!$1:$1,0)-MATCH($F$1,enemy_skill_triggers!$1:$1,0)+1,FALSE)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83" s="48">
        <f ca="1">VLOOKUP($F83,OFFSET(enemy_skill_triggers!$A$1,0,0,COUNTA(enemy_skill_triggers!$A:$A),MATCH(I$1,enemy_skill_triggers!$1:$1,0)-MATCH($F$1,enemy_skill_triggers!$1:$1,0)+1),MATCH(I$1,enemy_skill_triggers!$1:$1,0)-MATCH($F$1,enemy_skill_triggers!$1:$1,0)+1,FALSE)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3" s="48">
        <f ca="1">VLOOKUP($F83,OFFSET(enemy_skill_triggers!$A$1,0,0,COUNTA(enemy_skill_triggers!$A:$A),MATCH(J$1,enemy_skill_triggers!$1:$1,0)-MATCH($F$1,enemy_skill_triggers!$1:$1,0)+1),MATCH(J$1,enemy_skill_triggers!$1:$1,0)-MATCH($F$1,enemy_skill_triggers!$1:$1,0)+1,FALSE)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83" s="48" t="str">
        <f ca="1">VLOOKUP($F83,OFFSET(enemy_skill_triggers!$A$1,0,0,COUNTA(enemy_skill_triggers!$A:$A),MATCH(K$1,enemy_skill_triggers!$1:$1,0)-MATCH($F$1,enemy_skill_triggers!$1:$1,0)+1),MATCH(K$1,enemy_skill_triggers!$1:$1,0)-MATCH($F$1,enemy_skill_triggers!$1:$1,0)+1,FALSE)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3" s="48">
        <f ca="1">VLOOKUP($F83,OFFSET(enemy_skill_triggers!$A$1,0,0,COUNTA(enemy_skill_triggers!$A:$A),MATCH(L$1,enemy_skill_triggers!$1:$1,0)-MATCH($F$1,enemy_skill_triggers!$1:$1,0)+1),MATCH(L$1,enemy_skill_triggers!$1:$1,0)-MATCH($F$1,enemy_skill_triggers!$1:$1,0)+1,FALSE)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3" s="48">
        <f ca="1">VLOOKUP($F83,OFFSET(enemy_skill_triggers!$A$1,0,0,COUNTA(enemy_skill_triggers!$A:$A),MATCH(M$1,enemy_skill_triggers!$1:$1,0)-MATCH($F$1,enemy_skill_triggers!$1:$1,0)+1),MATCH(M$1,enemy_skill_triggers!$1:$1,0)-MATCH($F$1,enemy_skill_triggers!$1:$1,0)+1,FALSE)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3" s="48" t="str">
        <f ca="1">VLOOKUP($F83,OFFSET(enemy_skill_triggers!$A$1,0,0,COUNTA(enemy_skill_triggers!$A:$A),MATCH(N$1,enemy_skill_triggers!$1:$1,0)-MATCH($F$1,enemy_skill_triggers!$1:$1,0)+1),MATCH(N$1,enemy_skill_triggers!$1:$1,0)-MATCH($F$1,enemy_skill_triggers!$1:$1,0)+1,FALSE)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3" s="48">
        <f ca="1">VLOOKUP($F83,OFFSET(enemy_skill_triggers!$A$1,0,0,COUNTA(enemy_skill_triggers!$A:$A),MATCH(O$1,enemy_skill_triggers!$1:$1,0)-MATCH($F$1,enemy_skill_triggers!$1:$1,0)+1),MATCH(O$1,enemy_skill_triggers!$1:$1,0)-MATCH($F$1,enemy_skill_triggers!$1:$1,0)+1,FALSE)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3" s="47"/>
      <c r="Q83" s="47"/>
      <c r="R83" s="47"/>
    </row>
    <row r="84" spans="1:18" ht="21" customHeight="1" x14ac:dyDescent="0.15">
      <c r="A84" s="39" t="str">
        <f t="shared" ref="A84:A91" si="6">B84&amp;"_"&amp;C84</f>
        <v>40043018_40043083</v>
      </c>
      <c r="B84" s="141">
        <v>40043018</v>
      </c>
      <c r="C84" s="157">
        <v>40043083</v>
      </c>
      <c r="D84" s="46" t="str">
        <f ca="1">VLOOKUP($C84,OFFSET(enemy_skills!$A$1,0,0,COUNTA(enemy_skills!$A:$A),MATCH(D$1,enemy_skills!$1:$1,0)-MATCH("enemy_skill_id",enemy_skills!$1:$1,0)+1),MATCH(D$1,enemy_skills!$1:$1,0)-MATCH("enemy_skill_id",enemy_skills!$1:$1,0)+1,FALSE)</f>
        <v>『イジワルするあなたナンか大っ嫌イ！』</v>
      </c>
      <c r="E84" s="46" t="str">
        <f ca="1">VLOOKUP($C84,OFFSET(enemy_skills!$A$1,0,0,COUNTA(enemy_skills!$A:$A),MATCH(E$1,enemy_skills!$1:$1,0)-MATCH("enemy_skill_id",enemy_skills!$1:$1,0)+1),MATCH(E$1,enemy_skills!$1:$1,0)-MATCH("enemy_skill_id",enemy_skills!$1:$1,0)+1,FALSE)</f>
        <v>青パネルを緑のダメージパネルに変換+_x000D_全体攻撃</v>
      </c>
      <c r="F84" s="157">
        <v>40043083</v>
      </c>
      <c r="G84" s="48">
        <f ca="1">VLOOKUP($F84,OFFSET(enemy_skill_triggers!$A$1,0,0,COUNTA(enemy_skill_triggers!$A:$A),MATCH(G$1,enemy_skill_triggers!$1:$1,0)-MATCH($F$1,enemy_skill_triggers!$1:$1,0)+1),MATCH(G$1,enemy_skill_triggers!$1:$1,0)-MATCH($F$1,enemy_skill_triggers!$1:$1,0)+1,FALSE)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4" s="48">
        <f ca="1">VLOOKUP($F84,OFFSET(enemy_skill_triggers!$A$1,0,0,COUNTA(enemy_skill_triggers!$A:$A),MATCH(H$1,enemy_skill_triggers!$1:$1,0)-MATCH($F$1,enemy_skill_triggers!$1:$1,0)+1),MATCH(H$1,enemy_skill_triggers!$1:$1,0)-MATCH($F$1,enemy_skill_triggers!$1:$1,0)+1,FALSE)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84" s="48">
        <f ca="1">VLOOKUP($F84,OFFSET(enemy_skill_triggers!$A$1,0,0,COUNTA(enemy_skill_triggers!$A:$A),MATCH(I$1,enemy_skill_triggers!$1:$1,0)-MATCH($F$1,enemy_skill_triggers!$1:$1,0)+1),MATCH(I$1,enemy_skill_triggers!$1:$1,0)-MATCH($F$1,enemy_skill_triggers!$1:$1,0)+1,FALSE)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84" s="48">
        <f ca="1">VLOOKUP($F84,OFFSET(enemy_skill_triggers!$A$1,0,0,COUNTA(enemy_skill_triggers!$A:$A),MATCH(J$1,enemy_skill_triggers!$1:$1,0)-MATCH($F$1,enemy_skill_triggers!$1:$1,0)+1),MATCH(J$1,enemy_skill_triggers!$1:$1,0)-MATCH($F$1,enemy_skill_triggers!$1:$1,0)+1,FALSE)</f>
        <v>25</v>
      </c>
      <c r="K84" s="48" t="str">
        <f ca="1">VLOOKUP($F84,OFFSET(enemy_skill_triggers!$A$1,0,0,COUNTA(enemy_skill_triggers!$A:$A),MATCH(K$1,enemy_skill_triggers!$1:$1,0)-MATCH($F$1,enemy_skill_triggers!$1:$1,0)+1),MATCH(K$1,enemy_skill_triggers!$1:$1,0)-MATCH($F$1,enemy_skill_triggers!$1:$1,0)+1,FALSE)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4" s="48" t="str">
        <f ca="1">VLOOKUP($F84,OFFSET(enemy_skill_triggers!$A$1,0,0,COUNTA(enemy_skill_triggers!$A:$A),MATCH(L$1,enemy_skill_triggers!$1:$1,0)-MATCH($F$1,enemy_skill_triggers!$1:$1,0)+1),MATCH(L$1,enemy_skill_triggers!$1:$1,0)-MATCH($F$1,enemy_skill_triggers!$1:$1,0)+1,FALSE)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4" s="48">
        <f ca="1">VLOOKUP($F84,OFFSET(enemy_skill_triggers!$A$1,0,0,COUNTA(enemy_skill_triggers!$A:$A),MATCH(M$1,enemy_skill_triggers!$1:$1,0)-MATCH($F$1,enemy_skill_triggers!$1:$1,0)+1),MATCH(M$1,enemy_skill_triggers!$1:$1,0)-MATCH($F$1,enemy_skill_triggers!$1:$1,0)+1,FALSE)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4" s="48" t="str">
        <f ca="1">VLOOKUP($F84,OFFSET(enemy_skill_triggers!$A$1,0,0,COUNTA(enemy_skill_triggers!$A:$A),MATCH(N$1,enemy_skill_triggers!$1:$1,0)-MATCH($F$1,enemy_skill_triggers!$1:$1,0)+1),MATCH(N$1,enemy_skill_triggers!$1:$1,0)-MATCH($F$1,enemy_skill_triggers!$1:$1,0)+1,FALSE)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4" s="48">
        <f ca="1">VLOOKUP($F84,OFFSET(enemy_skill_triggers!$A$1,0,0,COUNTA(enemy_skill_triggers!$A:$A),MATCH(O$1,enemy_skill_triggers!$1:$1,0)-MATCH($F$1,enemy_skill_triggers!$1:$1,0)+1),MATCH(O$1,enemy_skill_triggers!$1:$1,0)-MATCH($F$1,enemy_skill_triggers!$1:$1,0)+1,FALSE)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84" s="47"/>
      <c r="Q84" s="47"/>
      <c r="R84" s="47"/>
    </row>
    <row r="85" spans="1:18" ht="21" customHeight="1" thickBot="1" x14ac:dyDescent="0.2">
      <c r="A85" s="169" t="str">
        <f t="shared" si="6"/>
        <v>40043018_40043084</v>
      </c>
      <c r="B85" s="147">
        <v>40043018</v>
      </c>
      <c r="C85" s="158">
        <v>40043084</v>
      </c>
      <c r="D85" s="176" t="str">
        <f ca="1">VLOOKUP($C85,OFFSET(enemy_skills!$A$1,0,0,COUNTA(enemy_skills!$A:$A),MATCH(D$1,enemy_skills!$1:$1,0)-MATCH("enemy_skill_id",enemy_skills!$1:$1,0)+1),MATCH(D$1,enemy_skills!$1:$1,0)-MATCH("enemy_skill_id",enemy_skills!$1:$1,0)+1,FALSE)</f>
        <v>…助けてくれて…ありがとう</v>
      </c>
      <c r="E85" s="176" t="str">
        <f ca="1">VLOOKUP($C85,OFFSET(enemy_skills!$A$1,0,0,COUNTA(enemy_skills!$A:$A),MATCH(E$1,enemy_skills!$1:$1,0)-MATCH("enemy_skill_id",enemy_skills!$1:$1,0)+1),MATCH(E$1,enemy_skills!$1:$1,0)-MATCH("enemy_skill_id",enemy_skills!$1:$1,0)+1,FALSE)</f>
        <v>おねえさまには内緒だからね！</v>
      </c>
      <c r="F85" s="158">
        <v>40043084</v>
      </c>
      <c r="G85" s="151">
        <f ca="1">VLOOKUP($F85,OFFSET(enemy_skill_triggers!$A$1,0,0,COUNTA(enemy_skill_triggers!$A:$A),MATCH(G$1,enemy_skill_triggers!$1:$1,0)-MATCH($F$1,enemy_skill_triggers!$1:$1,0)+1),MATCH(G$1,enemy_skill_triggers!$1:$1,0)-MATCH($F$1,enemy_skill_triggers!$1:$1,0)+1,FALSE)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5" s="151" t="str">
        <f ca="1">VLOOKUP($F85,OFFSET(enemy_skill_triggers!$A$1,0,0,COUNTA(enemy_skill_triggers!$A:$A),MATCH(H$1,enemy_skill_triggers!$1:$1,0)-MATCH($F$1,enemy_skill_triggers!$1:$1,0)+1),MATCH(H$1,enemy_skill_triggers!$1:$1,0)-MATCH($F$1,enemy_skill_triggers!$1:$1,0)+1,FALSE)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5" s="151">
        <f ca="1">VLOOKUP($F85,OFFSET(enemy_skill_triggers!$A$1,0,0,COUNTA(enemy_skill_triggers!$A:$A),MATCH(I$1,enemy_skill_triggers!$1:$1,0)-MATCH($F$1,enemy_skill_triggers!$1:$1,0)+1),MATCH(I$1,enemy_skill_triggers!$1:$1,0)-MATCH($F$1,enemy_skill_triggers!$1:$1,0)+1,FALSE)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5" s="151" t="str">
        <f ca="1">VLOOKUP($F85,OFFSET(enemy_skill_triggers!$A$1,0,0,COUNTA(enemy_skill_triggers!$A:$A),MATCH(J$1,enemy_skill_triggers!$1:$1,0)-MATCH($F$1,enemy_skill_triggers!$1:$1,0)+1),MATCH(J$1,enemy_skill_triggers!$1:$1,0)-MATCH($F$1,enemy_skill_triggers!$1:$1,0)+1,FALSE)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5" s="151" t="str">
        <f ca="1">VLOOKUP($F85,OFFSET(enemy_skill_triggers!$A$1,0,0,COUNTA(enemy_skill_triggers!$A:$A),MATCH(K$1,enemy_skill_triggers!$1:$1,0)-MATCH($F$1,enemy_skill_triggers!$1:$1,0)+1),MATCH(K$1,enemy_skill_triggers!$1:$1,0)-MATCH($F$1,enemy_skill_triggers!$1:$1,0)+1,FALSE)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5" s="151">
        <f ca="1">VLOOKUP($F85,OFFSET(enemy_skill_triggers!$A$1,0,0,COUNTA(enemy_skill_triggers!$A:$A),MATCH(L$1,enemy_skill_triggers!$1:$1,0)-MATCH($F$1,enemy_skill_triggers!$1:$1,0)+1),MATCH(L$1,enemy_skill_triggers!$1:$1,0)-MATCH($F$1,enemy_skill_triggers!$1:$1,0)+1,FALSE)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5" s="151" t="str">
        <f ca="1">VLOOKUP($F85,OFFSET(enemy_skill_triggers!$A$1,0,0,COUNTA(enemy_skill_triggers!$A:$A),MATCH(M$1,enemy_skill_triggers!$1:$1,0)-MATCH($F$1,enemy_skill_triggers!$1:$1,0)+1),MATCH(M$1,enemy_skill_triggers!$1:$1,0)-MATCH($F$1,enemy_skill_triggers!$1:$1,0)+1,FALSE)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5" s="151">
        <f ca="1">VLOOKUP($F85,OFFSET(enemy_skill_triggers!$A$1,0,0,COUNTA(enemy_skill_triggers!$A:$A),MATCH(N$1,enemy_skill_triggers!$1:$1,0)-MATCH($F$1,enemy_skill_triggers!$1:$1,0)+1),MATCH(N$1,enemy_skill_triggers!$1:$1,0)-MATCH($F$1,enemy_skill_triggers!$1:$1,0)+1,FALSE)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85" s="151">
        <f ca="1">VLOOKUP($F85,OFFSET(enemy_skill_triggers!$A$1,0,0,COUNTA(enemy_skill_triggers!$A:$A),MATCH(O$1,enemy_skill_triggers!$1:$1,0)-MATCH($F$1,enemy_skill_triggers!$1:$1,0)+1),MATCH(O$1,enemy_skill_triggers!$1:$1,0)-MATCH($F$1,enemy_skill_triggers!$1:$1,0)+1,FALSE)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5" s="147"/>
      <c r="Q85" s="147"/>
      <c r="R85" s="147"/>
    </row>
    <row r="86" spans="1:18" ht="21" customHeight="1" x14ac:dyDescent="0.15">
      <c r="A86" s="39" t="str">
        <f t="shared" si="6"/>
        <v>40043001_40043085</v>
      </c>
      <c r="B86" s="47">
        <v>40043001</v>
      </c>
      <c r="C86" s="199">
        <v>40043085</v>
      </c>
      <c r="D86" s="46" t="str">
        <f ca="1">VLOOKUP($C86,OFFSET(enemy_skills!$A$1,0,0,COUNTA(enemy_skills!$A:$A),MATCH(D$1,enemy_skills!$1:$1,0)-MATCH("enemy_skill_id",enemy_skills!$1:$1,0)+1),MATCH(D$1,enemy_skills!$1:$1,0)-MATCH("enemy_skill_id",enemy_skills!$1:$1,0)+1,FALSE)</f>
        <v>『…おヒメ…ちゃん？』</v>
      </c>
      <c r="E86" s="46" t="str">
        <f ca="1">VLOOKUP($C86,OFFSET(enemy_skills!$A$1,0,0,COUNTA(enemy_skills!$A:$A),MATCH(E$1,enemy_skills!$1:$1,0)-MATCH("enemy_skill_id",enemy_skills!$1:$1,0)+1),MATCH(E$1,enemy_skills!$1:$1,0)-MATCH("enemy_skill_id",enemy_skills!$1:$1,0)+1,FALSE)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86" s="196">
        <v>40043085</v>
      </c>
      <c r="G86" s="48">
        <f ca="1">VLOOKUP($F86,OFFSET(enemy_skill_triggers!$A$1,0,0,COUNTA(enemy_skill_triggers!$A:$A),MATCH(G$1,enemy_skill_triggers!$1:$1,0)-MATCH($F$1,enemy_skill_triggers!$1:$1,0)+1),MATCH(G$1,enemy_skill_triggers!$1:$1,0)-MATCH($F$1,enemy_skill_triggers!$1:$1,0)+1,FALSE)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6" s="48">
        <f ca="1">VLOOKUP($F86,OFFSET(enemy_skill_triggers!$A$1,0,0,COUNTA(enemy_skill_triggers!$A:$A),MATCH(H$1,enemy_skill_triggers!$1:$1,0)-MATCH($F$1,enemy_skill_triggers!$1:$1,0)+1),MATCH(H$1,enemy_skill_triggers!$1:$1,0)-MATCH($F$1,enemy_skill_triggers!$1:$1,0)+1,FALSE)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86" s="48">
        <f ca="1">VLOOKUP($F86,OFFSET(enemy_skill_triggers!$A$1,0,0,COUNTA(enemy_skill_triggers!$A:$A),MATCH(I$1,enemy_skill_triggers!$1:$1,0)-MATCH($F$1,enemy_skill_triggers!$1:$1,0)+1),MATCH(I$1,enemy_skill_triggers!$1:$1,0)-MATCH($F$1,enemy_skill_triggers!$1:$1,0)+1,FALSE)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6" s="48" t="str">
        <f ca="1">VLOOKUP($F86,OFFSET(enemy_skill_triggers!$A$1,0,0,COUNTA(enemy_skill_triggers!$A:$A),MATCH(J$1,enemy_skill_triggers!$1:$1,0)-MATCH($F$1,enemy_skill_triggers!$1:$1,0)+1),MATCH(J$1,enemy_skill_triggers!$1:$1,0)-MATCH($F$1,enemy_skill_triggers!$1:$1,0)+1,FALSE)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6" s="48" t="str">
        <f ca="1">VLOOKUP($F86,OFFSET(enemy_skill_triggers!$A$1,0,0,COUNTA(enemy_skill_triggers!$A:$A),MATCH(K$1,enemy_skill_triggers!$1:$1,0)-MATCH($F$1,enemy_skill_triggers!$1:$1,0)+1),MATCH(K$1,enemy_skill_triggers!$1:$1,0)-MATCH($F$1,enemy_skill_triggers!$1:$1,0)+1,FALSE)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6" s="48">
        <f ca="1">VLOOKUP($F86,OFFSET(enemy_skill_triggers!$A$1,0,0,COUNTA(enemy_skill_triggers!$A:$A),MATCH(L$1,enemy_skill_triggers!$1:$1,0)-MATCH($F$1,enemy_skill_triggers!$1:$1,0)+1),MATCH(L$1,enemy_skill_triggers!$1:$1,0)-MATCH($F$1,enemy_skill_triggers!$1:$1,0)+1,FALSE)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6" s="48" t="str">
        <f ca="1">VLOOKUP($F86,OFFSET(enemy_skill_triggers!$A$1,0,0,COUNTA(enemy_skill_triggers!$A:$A),MATCH(M$1,enemy_skill_triggers!$1:$1,0)-MATCH($F$1,enemy_skill_triggers!$1:$1,0)+1),MATCH(M$1,enemy_skill_triggers!$1:$1,0)-MATCH($F$1,enemy_skill_triggers!$1:$1,0)+1,FALSE)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6" s="48">
        <f ca="1">VLOOKUP($F86,OFFSET(enemy_skill_triggers!$A$1,0,0,COUNTA(enemy_skill_triggers!$A:$A),MATCH(N$1,enemy_skill_triggers!$1:$1,0)-MATCH($F$1,enemy_skill_triggers!$1:$1,0)+1),MATCH(N$1,enemy_skill_triggers!$1:$1,0)-MATCH($F$1,enemy_skill_triggers!$1:$1,0)+1,FALSE)</f>
        <v>1332</v>
      </c>
      <c r="O86" s="48">
        <f ca="1">VLOOKUP($F86,OFFSET(enemy_skill_triggers!$A$1,0,0,COUNTA(enemy_skill_triggers!$A:$A),MATCH(O$1,enemy_skill_triggers!$1:$1,0)-MATCH($F$1,enemy_skill_triggers!$1:$1,0)+1),MATCH(O$1,enemy_skill_triggers!$1:$1,0)-MATCH($F$1,enemy_skill_triggers!$1:$1,0)+1,FALSE)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6" s="47"/>
      <c r="Q86" s="47"/>
      <c r="R86" s="47"/>
    </row>
    <row r="87" spans="1:18" ht="21" customHeight="1" thickBot="1" x14ac:dyDescent="0.2">
      <c r="A87" s="39" t="str">
        <f t="shared" si="6"/>
        <v>40043001_40043085</v>
      </c>
      <c r="B87" s="47">
        <v>40043001</v>
      </c>
      <c r="C87" s="198">
        <v>40043085</v>
      </c>
      <c r="D87" s="176" t="str">
        <f ca="1">VLOOKUP($C87,OFFSET(enemy_skills!$A$1,0,0,COUNTA(enemy_skills!$A:$A),MATCH(D$1,enemy_skills!$1:$1,0)-MATCH("enemy_skill_id",enemy_skills!$1:$1,0)+1),MATCH(D$1,enemy_skills!$1:$1,0)-MATCH("enemy_skill_id",enemy_skills!$1:$1,0)+1,FALSE)</f>
        <v>『…おヒメ…ちゃん？』</v>
      </c>
      <c r="E87" s="176" t="str">
        <f ca="1">VLOOKUP($C87,OFFSET(enemy_skills!$A$1,0,0,COUNTA(enemy_skills!$A:$A),MATCH(E$1,enemy_skills!$1:$1,0)-MATCH("enemy_skill_id",enemy_skills!$1:$1,0)+1),MATCH(E$1,enemy_skills!$1:$1,0)-MATCH("enemy_skill_id",enemy_skills!$1:$1,0)+1,FALSE)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87" s="198">
        <v>40043086</v>
      </c>
      <c r="G87" s="151">
        <f ca="1">VLOOKUP($F87,OFFSET(enemy_skill_triggers!$A$1,0,0,COUNTA(enemy_skill_triggers!$A:$A),MATCH(G$1,enemy_skill_triggers!$1:$1,0)-MATCH($F$1,enemy_skill_triggers!$1:$1,0)+1),MATCH(G$1,enemy_skill_triggers!$1:$1,0)-MATCH($F$1,enemy_skill_triggers!$1:$1,0)+1,FALSE)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7" s="151">
        <f ca="1">VLOOKUP($F87,OFFSET(enemy_skill_triggers!$A$1,0,0,COUNTA(enemy_skill_triggers!$A:$A),MATCH(H$1,enemy_skill_triggers!$1:$1,0)-MATCH($F$1,enemy_skill_triggers!$1:$1,0)+1),MATCH(H$1,enemy_skill_triggers!$1:$1,0)-MATCH($F$1,enemy_skill_triggers!$1:$1,0)+1,FALSE)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87" s="151">
        <f ca="1">VLOOKUP($F87,OFFSET(enemy_skill_triggers!$A$1,0,0,COUNTA(enemy_skill_triggers!$A:$A),MATCH(I$1,enemy_skill_triggers!$1:$1,0)-MATCH($F$1,enemy_skill_triggers!$1:$1,0)+1),MATCH(I$1,enemy_skill_triggers!$1:$1,0)-MATCH($F$1,enemy_skill_triggers!$1:$1,0)+1,FALSE)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7" s="151" t="str">
        <f ca="1">VLOOKUP($F87,OFFSET(enemy_skill_triggers!$A$1,0,0,COUNTA(enemy_skill_triggers!$A:$A),MATCH(J$1,enemy_skill_triggers!$1:$1,0)-MATCH($F$1,enemy_skill_triggers!$1:$1,0)+1),MATCH(J$1,enemy_skill_triggers!$1:$1,0)-MATCH($F$1,enemy_skill_triggers!$1:$1,0)+1,FALSE)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7" s="151" t="str">
        <f ca="1">VLOOKUP($F87,OFFSET(enemy_skill_triggers!$A$1,0,0,COUNTA(enemy_skill_triggers!$A:$A),MATCH(K$1,enemy_skill_triggers!$1:$1,0)-MATCH($F$1,enemy_skill_triggers!$1:$1,0)+1),MATCH(K$1,enemy_skill_triggers!$1:$1,0)-MATCH($F$1,enemy_skill_triggers!$1:$1,0)+1,FALSE)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7" s="151">
        <f ca="1">VLOOKUP($F87,OFFSET(enemy_skill_triggers!$A$1,0,0,COUNTA(enemy_skill_triggers!$A:$A),MATCH(L$1,enemy_skill_triggers!$1:$1,0)-MATCH($F$1,enemy_skill_triggers!$1:$1,0)+1),MATCH(L$1,enemy_skill_triggers!$1:$1,0)-MATCH($F$1,enemy_skill_triggers!$1:$1,0)+1,FALSE)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7" s="151" t="str">
        <f ca="1">VLOOKUP($F87,OFFSET(enemy_skill_triggers!$A$1,0,0,COUNTA(enemy_skill_triggers!$A:$A),MATCH(M$1,enemy_skill_triggers!$1:$1,0)-MATCH($F$1,enemy_skill_triggers!$1:$1,0)+1),MATCH(M$1,enemy_skill_triggers!$1:$1,0)-MATCH($F$1,enemy_skill_triggers!$1:$1,0)+1,FALSE)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7" s="151">
        <f ca="1">VLOOKUP($F87,OFFSET(enemy_skill_triggers!$A$1,0,0,COUNTA(enemy_skill_triggers!$A:$A),MATCH(N$1,enemy_skill_triggers!$1:$1,0)-MATCH($F$1,enemy_skill_triggers!$1:$1,0)+1),MATCH(N$1,enemy_skill_triggers!$1:$1,0)-MATCH($F$1,enemy_skill_triggers!$1:$1,0)+1,FALSE)</f>
        <v>1333</v>
      </c>
      <c r="O87" s="151">
        <f ca="1">VLOOKUP($F87,OFFSET(enemy_skill_triggers!$A$1,0,0,COUNTA(enemy_skill_triggers!$A:$A),MATCH(O$1,enemy_skill_triggers!$1:$1,0)-MATCH($F$1,enemy_skill_triggers!$1:$1,0)+1),MATCH(O$1,enemy_skill_triggers!$1:$1,0)-MATCH($F$1,enemy_skill_triggers!$1:$1,0)+1,FALSE)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7" s="47"/>
      <c r="Q87" s="47"/>
      <c r="R87" s="47"/>
    </row>
    <row r="88" spans="1:18" ht="21" customHeight="1" x14ac:dyDescent="0.15">
      <c r="A88" s="39" t="str">
        <f t="shared" si="6"/>
        <v>40043001_40043088</v>
      </c>
      <c r="B88" s="47">
        <v>40043001</v>
      </c>
      <c r="C88" s="199">
        <v>40043088</v>
      </c>
      <c r="D88" s="175" t="str">
        <f ca="1">VLOOKUP($C88,OFFSET(enemy_skills!$A$1,0,0,COUNTA(enemy_skills!$A:$A),MATCH(D$1,enemy_skills!$1:$1,0)-MATCH("enemy_skill_id",enemy_skills!$1:$1,0)+1),MATCH(D$1,enemy_skills!$1:$1,0)-MATCH("enemy_skill_id",enemy_skills!$1:$1,0)+1,FALSE)</f>
        <v>『おねえ…さま？』</v>
      </c>
      <c r="E88" s="175" t="str">
        <f ca="1">VLOOKUP($C88,OFFSET(enemy_skills!$A$1,0,0,COUNTA(enemy_skills!$A:$A),MATCH(E$1,enemy_skills!$1:$1,0)-MATCH("enemy_skill_id",enemy_skills!$1:$1,0)+1),MATCH(E$1,enemy_skills!$1:$1,0)-MATCH("enemy_skill_id",enemy_skills!$1:$1,0)+1,FALSE)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88" s="200">
        <v>40043091</v>
      </c>
      <c r="G88" s="145">
        <f ca="1">VLOOKUP($F88,OFFSET(enemy_skill_triggers!$A$1,0,0,COUNTA(enemy_skill_triggers!$A:$A),MATCH(G$1,enemy_skill_triggers!$1:$1,0)-MATCH($F$1,enemy_skill_triggers!$1:$1,0)+1),MATCH(G$1,enemy_skill_triggers!$1:$1,0)-MATCH($F$1,enemy_skill_triggers!$1:$1,0)+1,FALSE)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8" s="145">
        <f ca="1">VLOOKUP($F88,OFFSET(enemy_skill_triggers!$A$1,0,0,COUNTA(enemy_skill_triggers!$A:$A),MATCH(H$1,enemy_skill_triggers!$1:$1,0)-MATCH($F$1,enemy_skill_triggers!$1:$1,0)+1),MATCH(H$1,enemy_skill_triggers!$1:$1,0)-MATCH($F$1,enemy_skill_triggers!$1:$1,0)+1,FALSE)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88" s="145">
        <f ca="1">VLOOKUP($F88,OFFSET(enemy_skill_triggers!$A$1,0,0,COUNTA(enemy_skill_triggers!$A:$A),MATCH(I$1,enemy_skill_triggers!$1:$1,0)-MATCH($F$1,enemy_skill_triggers!$1:$1,0)+1),MATCH(I$1,enemy_skill_triggers!$1:$1,0)-MATCH($F$1,enemy_skill_triggers!$1:$1,0)+1,FALSE)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8" s="145" t="str">
        <f ca="1">VLOOKUP($F88,OFFSET(enemy_skill_triggers!$A$1,0,0,COUNTA(enemy_skill_triggers!$A:$A),MATCH(J$1,enemy_skill_triggers!$1:$1,0)-MATCH($F$1,enemy_skill_triggers!$1:$1,0)+1),MATCH(J$1,enemy_skill_triggers!$1:$1,0)-MATCH($F$1,enemy_skill_triggers!$1:$1,0)+1,FALSE)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8" s="145" t="str">
        <f ca="1">VLOOKUP($F88,OFFSET(enemy_skill_triggers!$A$1,0,0,COUNTA(enemy_skill_triggers!$A:$A),MATCH(K$1,enemy_skill_triggers!$1:$1,0)-MATCH($F$1,enemy_skill_triggers!$1:$1,0)+1),MATCH(K$1,enemy_skill_triggers!$1:$1,0)-MATCH($F$1,enemy_skill_triggers!$1:$1,0)+1,FALSE)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8" s="145">
        <f ca="1">VLOOKUP($F88,OFFSET(enemy_skill_triggers!$A$1,0,0,COUNTA(enemy_skill_triggers!$A:$A),MATCH(L$1,enemy_skill_triggers!$1:$1,0)-MATCH($F$1,enemy_skill_triggers!$1:$1,0)+1),MATCH(L$1,enemy_skill_triggers!$1:$1,0)-MATCH($F$1,enemy_skill_triggers!$1:$1,0)+1,FALSE)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8" s="145" t="str">
        <f ca="1">VLOOKUP($F88,OFFSET(enemy_skill_triggers!$A$1,0,0,COUNTA(enemy_skill_triggers!$A:$A),MATCH(M$1,enemy_skill_triggers!$1:$1,0)-MATCH($F$1,enemy_skill_triggers!$1:$1,0)+1),MATCH(M$1,enemy_skill_triggers!$1:$1,0)-MATCH($F$1,enemy_skill_triggers!$1:$1,0)+1,FALSE)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8" s="145">
        <f ca="1">VLOOKUP($F88,OFFSET(enemy_skill_triggers!$A$1,0,0,COUNTA(enemy_skill_triggers!$A:$A),MATCH(N$1,enemy_skill_triggers!$1:$1,0)-MATCH($F$1,enemy_skill_triggers!$1:$1,0)+1),MATCH(N$1,enemy_skill_triggers!$1:$1,0)-MATCH($F$1,enemy_skill_triggers!$1:$1,0)+1,FALSE)</f>
        <v>278</v>
      </c>
      <c r="O88" s="145">
        <f ca="1">VLOOKUP($F88,OFFSET(enemy_skill_triggers!$A$1,0,0,COUNTA(enemy_skill_triggers!$A:$A),MATCH(O$1,enemy_skill_triggers!$1:$1,0)-MATCH($F$1,enemy_skill_triggers!$1:$1,0)+1),MATCH(O$1,enemy_skill_triggers!$1:$1,0)-MATCH($F$1,enemy_skill_triggers!$1:$1,0)+1,FALSE)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8" s="47"/>
      <c r="Q88" s="47"/>
      <c r="R88" s="47"/>
    </row>
    <row r="89" spans="1:18" ht="21" customHeight="1" x14ac:dyDescent="0.15">
      <c r="A89" s="39" t="str">
        <f t="shared" si="6"/>
        <v>40043001_40043088</v>
      </c>
      <c r="B89" s="47">
        <v>40043001</v>
      </c>
      <c r="C89" s="197">
        <v>40043088</v>
      </c>
      <c r="D89" s="46" t="str">
        <f ca="1">VLOOKUP($C89,OFFSET(enemy_skills!$A$1,0,0,COUNTA(enemy_skills!$A:$A),MATCH(D$1,enemy_skills!$1:$1,0)-MATCH("enemy_skill_id",enemy_skills!$1:$1,0)+1),MATCH(D$1,enemy_skills!$1:$1,0)-MATCH("enemy_skill_id",enemy_skills!$1:$1,0)+1,FALSE)</f>
        <v>『おねえ…さま？』</v>
      </c>
      <c r="E89" s="46" t="str">
        <f ca="1">VLOOKUP($C89,OFFSET(enemy_skills!$A$1,0,0,COUNTA(enemy_skills!$A:$A),MATCH(E$1,enemy_skills!$1:$1,0)-MATCH("enemy_skill_id",enemy_skills!$1:$1,0)+1),MATCH(E$1,enemy_skills!$1:$1,0)-MATCH("enemy_skill_id",enemy_skills!$1:$1,0)+1,FALSE)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89" s="196">
        <v>40043092</v>
      </c>
      <c r="G89" s="48">
        <f ca="1">VLOOKUP($F89,OFFSET(enemy_skill_triggers!$A$1,0,0,COUNTA(enemy_skill_triggers!$A:$A),MATCH(G$1,enemy_skill_triggers!$1:$1,0)-MATCH($F$1,enemy_skill_triggers!$1:$1,0)+1),MATCH(G$1,enemy_skill_triggers!$1:$1,0)-MATCH($F$1,enemy_skill_triggers!$1:$1,0)+1,FALSE)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9" s="48">
        <f ca="1">VLOOKUP($F89,OFFSET(enemy_skill_triggers!$A$1,0,0,COUNTA(enemy_skill_triggers!$A:$A),MATCH(H$1,enemy_skill_triggers!$1:$1,0)-MATCH($F$1,enemy_skill_triggers!$1:$1,0)+1),MATCH(H$1,enemy_skill_triggers!$1:$1,0)-MATCH($F$1,enemy_skill_triggers!$1:$1,0)+1,FALSE)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89" s="48">
        <f ca="1">VLOOKUP($F89,OFFSET(enemy_skill_triggers!$A$1,0,0,COUNTA(enemy_skill_triggers!$A:$A),MATCH(I$1,enemy_skill_triggers!$1:$1,0)-MATCH($F$1,enemy_skill_triggers!$1:$1,0)+1),MATCH(I$1,enemy_skill_triggers!$1:$1,0)-MATCH($F$1,enemy_skill_triggers!$1:$1,0)+1,FALSE)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9" s="48" t="str">
        <f ca="1">VLOOKUP($F89,OFFSET(enemy_skill_triggers!$A$1,0,0,COUNTA(enemy_skill_triggers!$A:$A),MATCH(J$1,enemy_skill_triggers!$1:$1,0)-MATCH($F$1,enemy_skill_triggers!$1:$1,0)+1),MATCH(J$1,enemy_skill_triggers!$1:$1,0)-MATCH($F$1,enemy_skill_triggers!$1:$1,0)+1,FALSE)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9" s="48" t="str">
        <f ca="1">VLOOKUP($F89,OFFSET(enemy_skill_triggers!$A$1,0,0,COUNTA(enemy_skill_triggers!$A:$A),MATCH(K$1,enemy_skill_triggers!$1:$1,0)-MATCH($F$1,enemy_skill_triggers!$1:$1,0)+1),MATCH(K$1,enemy_skill_triggers!$1:$1,0)-MATCH($F$1,enemy_skill_triggers!$1:$1,0)+1,FALSE)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9" s="48">
        <f ca="1">VLOOKUP($F89,OFFSET(enemy_skill_triggers!$A$1,0,0,COUNTA(enemy_skill_triggers!$A:$A),MATCH(L$1,enemy_skill_triggers!$1:$1,0)-MATCH($F$1,enemy_skill_triggers!$1:$1,0)+1),MATCH(L$1,enemy_skill_triggers!$1:$1,0)-MATCH($F$1,enemy_skill_triggers!$1:$1,0)+1,FALSE)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9" s="48" t="str">
        <f ca="1">VLOOKUP($F89,OFFSET(enemy_skill_triggers!$A$1,0,0,COUNTA(enemy_skill_triggers!$A:$A),MATCH(M$1,enemy_skill_triggers!$1:$1,0)-MATCH($F$1,enemy_skill_triggers!$1:$1,0)+1),MATCH(M$1,enemy_skill_triggers!$1:$1,0)-MATCH($F$1,enemy_skill_triggers!$1:$1,0)+1,FALSE)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9" s="48">
        <f ca="1">VLOOKUP($F89,OFFSET(enemy_skill_triggers!$A$1,0,0,COUNTA(enemy_skill_triggers!$A:$A),MATCH(N$1,enemy_skill_triggers!$1:$1,0)-MATCH($F$1,enemy_skill_triggers!$1:$1,0)+1),MATCH(N$1,enemy_skill_triggers!$1:$1,0)-MATCH($F$1,enemy_skill_triggers!$1:$1,0)+1,FALSE)</f>
        <v>279</v>
      </c>
      <c r="O89" s="48">
        <f ca="1">VLOOKUP($F89,OFFSET(enemy_skill_triggers!$A$1,0,0,COUNTA(enemy_skill_triggers!$A:$A),MATCH(O$1,enemy_skill_triggers!$1:$1,0)-MATCH($F$1,enemy_skill_triggers!$1:$1,0)+1),MATCH(O$1,enemy_skill_triggers!$1:$1,0)-MATCH($F$1,enemy_skill_triggers!$1:$1,0)+1,FALSE)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9" s="47"/>
      <c r="Q89" s="47"/>
      <c r="R89" s="47"/>
    </row>
    <row r="90" spans="1:18" ht="21" customHeight="1" x14ac:dyDescent="0.15">
      <c r="A90" s="39" t="str">
        <f t="shared" si="6"/>
        <v>40043001_40043088</v>
      </c>
      <c r="B90" s="47">
        <v>40043001</v>
      </c>
      <c r="C90" s="197">
        <v>40043088</v>
      </c>
      <c r="D90" s="46" t="str">
        <f ca="1">VLOOKUP($C90,OFFSET(enemy_skills!$A$1,0,0,COUNTA(enemy_skills!$A:$A),MATCH(D$1,enemy_skills!$1:$1,0)-MATCH("enemy_skill_id",enemy_skills!$1:$1,0)+1),MATCH(D$1,enemy_skills!$1:$1,0)-MATCH("enemy_skill_id",enemy_skills!$1:$1,0)+1,FALSE)</f>
        <v>『おねえ…さま？』</v>
      </c>
      <c r="E90" s="46" t="str">
        <f ca="1">VLOOKUP($C90,OFFSET(enemy_skills!$A$1,0,0,COUNTA(enemy_skills!$A:$A),MATCH(E$1,enemy_skills!$1:$1,0)-MATCH("enemy_skill_id",enemy_skills!$1:$1,0)+1),MATCH(E$1,enemy_skills!$1:$1,0)-MATCH("enemy_skill_id",enemy_skills!$1:$1,0)+1,FALSE)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90" s="196">
        <v>40043093</v>
      </c>
      <c r="G90" s="48">
        <f ca="1">VLOOKUP($F90,OFFSET(enemy_skill_triggers!$A$1,0,0,COUNTA(enemy_skill_triggers!$A:$A),MATCH(G$1,enemy_skill_triggers!$1:$1,0)-MATCH($F$1,enemy_skill_triggers!$1:$1,0)+1),MATCH(G$1,enemy_skill_triggers!$1:$1,0)-MATCH($F$1,enemy_skill_triggers!$1:$1,0)+1,FALSE)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0" s="48">
        <f ca="1">VLOOKUP($F90,OFFSET(enemy_skill_triggers!$A$1,0,0,COUNTA(enemy_skill_triggers!$A:$A),MATCH(H$1,enemy_skill_triggers!$1:$1,0)-MATCH($F$1,enemy_skill_triggers!$1:$1,0)+1),MATCH(H$1,enemy_skill_triggers!$1:$1,0)-MATCH($F$1,enemy_skill_triggers!$1:$1,0)+1,FALSE)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90" s="48">
        <f ca="1">VLOOKUP($F90,OFFSET(enemy_skill_triggers!$A$1,0,0,COUNTA(enemy_skill_triggers!$A:$A),MATCH(I$1,enemy_skill_triggers!$1:$1,0)-MATCH($F$1,enemy_skill_triggers!$1:$1,0)+1),MATCH(I$1,enemy_skill_triggers!$1:$1,0)-MATCH($F$1,enemy_skill_triggers!$1:$1,0)+1,FALSE)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0" s="48" t="str">
        <f ca="1">VLOOKUP($F90,OFFSET(enemy_skill_triggers!$A$1,0,0,COUNTA(enemy_skill_triggers!$A:$A),MATCH(J$1,enemy_skill_triggers!$1:$1,0)-MATCH($F$1,enemy_skill_triggers!$1:$1,0)+1),MATCH(J$1,enemy_skill_triggers!$1:$1,0)-MATCH($F$1,enemy_skill_triggers!$1:$1,0)+1,FALSE)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0" s="48" t="str">
        <f ca="1">VLOOKUP($F90,OFFSET(enemy_skill_triggers!$A$1,0,0,COUNTA(enemy_skill_triggers!$A:$A),MATCH(K$1,enemy_skill_triggers!$1:$1,0)-MATCH($F$1,enemy_skill_triggers!$1:$1,0)+1),MATCH(K$1,enemy_skill_triggers!$1:$1,0)-MATCH($F$1,enemy_skill_triggers!$1:$1,0)+1,FALSE)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0" s="48">
        <f ca="1">VLOOKUP($F90,OFFSET(enemy_skill_triggers!$A$1,0,0,COUNTA(enemy_skill_triggers!$A:$A),MATCH(L$1,enemy_skill_triggers!$1:$1,0)-MATCH($F$1,enemy_skill_triggers!$1:$1,0)+1),MATCH(L$1,enemy_skill_triggers!$1:$1,0)-MATCH($F$1,enemy_skill_triggers!$1:$1,0)+1,FALSE)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0" s="48" t="str">
        <f ca="1">VLOOKUP($F90,OFFSET(enemy_skill_triggers!$A$1,0,0,COUNTA(enemy_skill_triggers!$A:$A),MATCH(M$1,enemy_skill_triggers!$1:$1,0)-MATCH($F$1,enemy_skill_triggers!$1:$1,0)+1),MATCH(M$1,enemy_skill_triggers!$1:$1,0)-MATCH($F$1,enemy_skill_triggers!$1:$1,0)+1,FALSE)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0" s="48">
        <f ca="1">VLOOKUP($F90,OFFSET(enemy_skill_triggers!$A$1,0,0,COUNTA(enemy_skill_triggers!$A:$A),MATCH(N$1,enemy_skill_triggers!$1:$1,0)-MATCH($F$1,enemy_skill_triggers!$1:$1,0)+1),MATCH(N$1,enemy_skill_triggers!$1:$1,0)-MATCH($F$1,enemy_skill_triggers!$1:$1,0)+1,FALSE)</f>
        <v>810</v>
      </c>
      <c r="O90" s="48">
        <f ca="1">VLOOKUP($F90,OFFSET(enemy_skill_triggers!$A$1,0,0,COUNTA(enemy_skill_triggers!$A:$A),MATCH(O$1,enemy_skill_triggers!$1:$1,0)-MATCH($F$1,enemy_skill_triggers!$1:$1,0)+1),MATCH(O$1,enemy_skill_triggers!$1:$1,0)-MATCH($F$1,enemy_skill_triggers!$1:$1,0)+1,FALSE)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0" s="47"/>
      <c r="Q90" s="47"/>
      <c r="R90" s="47"/>
    </row>
    <row r="91" spans="1:18" ht="21" customHeight="1" thickBot="1" x14ac:dyDescent="0.2">
      <c r="A91" s="169" t="str">
        <f t="shared" si="6"/>
        <v>40043001_40043088</v>
      </c>
      <c r="B91" s="147">
        <v>40043001</v>
      </c>
      <c r="C91" s="198">
        <v>40043088</v>
      </c>
      <c r="D91" s="176" t="str">
        <f ca="1">VLOOKUP($C91,OFFSET(enemy_skills!$A$1,0,0,COUNTA(enemy_skills!$A:$A),MATCH(D$1,enemy_skills!$1:$1,0)-MATCH("enemy_skill_id",enemy_skills!$1:$1,0)+1),MATCH(D$1,enemy_skills!$1:$1,0)-MATCH("enemy_skill_id",enemy_skills!$1:$1,0)+1,FALSE)</f>
        <v>『おねえ…さま？』</v>
      </c>
      <c r="E91" s="176" t="str">
        <f ca="1">VLOOKUP($C91,OFFSET(enemy_skills!$A$1,0,0,COUNTA(enemy_skills!$A:$A),MATCH(E$1,enemy_skills!$1:$1,0)-MATCH("enemy_skill_id",enemy_skills!$1:$1,0)+1),MATCH(E$1,enemy_skills!$1:$1,0)-MATCH("enemy_skill_id",enemy_skills!$1:$1,0)+1,FALSE)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91" s="198">
        <v>40043094</v>
      </c>
      <c r="G91" s="151">
        <f ca="1">VLOOKUP($F91,OFFSET(enemy_skill_triggers!$A$1,0,0,COUNTA(enemy_skill_triggers!$A:$A),MATCH(G$1,enemy_skill_triggers!$1:$1,0)-MATCH($F$1,enemy_skill_triggers!$1:$1,0)+1),MATCH(G$1,enemy_skill_triggers!$1:$1,0)-MATCH($F$1,enemy_skill_triggers!$1:$1,0)+1,FALSE)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1" s="151">
        <f ca="1">VLOOKUP($F91,OFFSET(enemy_skill_triggers!$A$1,0,0,COUNTA(enemy_skill_triggers!$A:$A),MATCH(H$1,enemy_skill_triggers!$1:$1,0)-MATCH($F$1,enemy_skill_triggers!$1:$1,0)+1),MATCH(H$1,enemy_skill_triggers!$1:$1,0)-MATCH($F$1,enemy_skill_triggers!$1:$1,0)+1,FALSE)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91" s="151">
        <f ca="1">VLOOKUP($F91,OFFSET(enemy_skill_triggers!$A$1,0,0,COUNTA(enemy_skill_triggers!$A:$A),MATCH(I$1,enemy_skill_triggers!$1:$1,0)-MATCH($F$1,enemy_skill_triggers!$1:$1,0)+1),MATCH(I$1,enemy_skill_triggers!$1:$1,0)-MATCH($F$1,enemy_skill_triggers!$1:$1,0)+1,FALSE)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1" s="151" t="str">
        <f ca="1">VLOOKUP($F91,OFFSET(enemy_skill_triggers!$A$1,0,0,COUNTA(enemy_skill_triggers!$A:$A),MATCH(J$1,enemy_skill_triggers!$1:$1,0)-MATCH($F$1,enemy_skill_triggers!$1:$1,0)+1),MATCH(J$1,enemy_skill_triggers!$1:$1,0)-MATCH($F$1,enemy_skill_triggers!$1:$1,0)+1,FALSE)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1" s="151" t="str">
        <f ca="1">VLOOKUP($F91,OFFSET(enemy_skill_triggers!$A$1,0,0,COUNTA(enemy_skill_triggers!$A:$A),MATCH(K$1,enemy_skill_triggers!$1:$1,0)-MATCH($F$1,enemy_skill_triggers!$1:$1,0)+1),MATCH(K$1,enemy_skill_triggers!$1:$1,0)-MATCH($F$1,enemy_skill_triggers!$1:$1,0)+1,FALSE)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1" s="151">
        <f ca="1">VLOOKUP($F91,OFFSET(enemy_skill_triggers!$A$1,0,0,COUNTA(enemy_skill_triggers!$A:$A),MATCH(L$1,enemy_skill_triggers!$1:$1,0)-MATCH($F$1,enemy_skill_triggers!$1:$1,0)+1),MATCH(L$1,enemy_skill_triggers!$1:$1,0)-MATCH($F$1,enemy_skill_triggers!$1:$1,0)+1,FALSE)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1" s="151" t="str">
        <f ca="1">VLOOKUP($F91,OFFSET(enemy_skill_triggers!$A$1,0,0,COUNTA(enemy_skill_triggers!$A:$A),MATCH(M$1,enemy_skill_triggers!$1:$1,0)-MATCH($F$1,enemy_skill_triggers!$1:$1,0)+1),MATCH(M$1,enemy_skill_triggers!$1:$1,0)-MATCH($F$1,enemy_skill_triggers!$1:$1,0)+1,FALSE)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1" s="151">
        <f ca="1">VLOOKUP($F91,OFFSET(enemy_skill_triggers!$A$1,0,0,COUNTA(enemy_skill_triggers!$A:$A),MATCH(N$1,enemy_skill_triggers!$1:$1,0)-MATCH($F$1,enemy_skill_triggers!$1:$1,0)+1),MATCH(N$1,enemy_skill_triggers!$1:$1,0)-MATCH($F$1,enemy_skill_triggers!$1:$1,0)+1,FALSE)</f>
        <v>1116</v>
      </c>
      <c r="O91" s="151">
        <f ca="1">VLOOKUP($F91,OFFSET(enemy_skill_triggers!$A$1,0,0,COUNTA(enemy_skill_triggers!$A:$A),MATCH(O$1,enemy_skill_triggers!$1:$1,0)-MATCH($F$1,enemy_skill_triggers!$1:$1,0)+1),MATCH(O$1,enemy_skill_triggers!$1:$1,0)-MATCH($F$1,enemy_skill_triggers!$1:$1,0)+1,FALSE)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1" s="47"/>
      <c r="Q91" s="47"/>
      <c r="R91" s="47"/>
    </row>
    <row r="92" spans="1:18" ht="21" customHeight="1" x14ac:dyDescent="0.15">
      <c r="A92" s="39" t="str">
        <f t="shared" ref="A92:A97" si="7">B92&amp;"_"&amp;C92</f>
        <v>40043007_40043086</v>
      </c>
      <c r="B92" s="141">
        <v>40043007</v>
      </c>
      <c r="C92" s="199">
        <v>40043086</v>
      </c>
      <c r="D92" s="175" t="str">
        <f ca="1">VLOOKUP($C92,OFFSET(enemy_skills!$A$1,0,0,COUNTA(enemy_skills!$A:$A),MATCH(D$1,enemy_skills!$1:$1,0)-MATCH("enemy_skill_id",enemy_skills!$1:$1,0)+1),MATCH(D$1,enemy_skills!$1:$1,0)-MATCH("enemy_skill_id",enemy_skills!$1:$1,0)+1,FALSE)</f>
        <v>『なンでいじワルすルノ？』</v>
      </c>
      <c r="E92" s="175" t="str">
        <f ca="1">VLOOKUP($C92,OFFSET(enemy_skills!$A$1,0,0,COUNTA(enemy_skills!$A:$A),MATCH(E$1,enemy_skills!$1:$1,0)-MATCH("enemy_skill_id",enemy_skills!$1:$1,0)+1),MATCH(E$1,enemy_skills!$1:$1,0)-MATCH("enemy_skill_id",enemy_skills!$1:$1,0)+1,FALSE)</f>
        <v>状態異常耐性+4ターン自身の攻撃力UP</v>
      </c>
      <c r="F92" s="200">
        <v>40043087</v>
      </c>
      <c r="G92" s="145">
        <f ca="1">VLOOKUP($F92,OFFSET(enemy_skill_triggers!$A$1,0,0,COUNTA(enemy_skill_triggers!$A:$A),MATCH(G$1,enemy_skill_triggers!$1:$1,0)-MATCH($F$1,enemy_skill_triggers!$1:$1,0)+1),MATCH(G$1,enemy_skill_triggers!$1:$1,0)-MATCH($F$1,enemy_skill_triggers!$1:$1,0)+1,FALSE)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2" s="145">
        <f ca="1">VLOOKUP($F92,OFFSET(enemy_skill_triggers!$A$1,0,0,COUNTA(enemy_skill_triggers!$A:$A),MATCH(H$1,enemy_skill_triggers!$1:$1,0)-MATCH($F$1,enemy_skill_triggers!$1:$1,0)+1),MATCH(H$1,enemy_skill_triggers!$1:$1,0)-MATCH($F$1,enemy_skill_triggers!$1:$1,0)+1,FALSE)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92" s="145">
        <f ca="1">VLOOKUP($F92,OFFSET(enemy_skill_triggers!$A$1,0,0,COUNTA(enemy_skill_triggers!$A:$A),MATCH(I$1,enemy_skill_triggers!$1:$1,0)-MATCH($F$1,enemy_skill_triggers!$1:$1,0)+1),MATCH(I$1,enemy_skill_triggers!$1:$1,0)-MATCH($F$1,enemy_skill_triggers!$1:$1,0)+1,FALSE)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2" s="145" t="str">
        <f ca="1">VLOOKUP($F92,OFFSET(enemy_skill_triggers!$A$1,0,0,COUNTA(enemy_skill_triggers!$A:$A),MATCH(J$1,enemy_skill_triggers!$1:$1,0)-MATCH($F$1,enemy_skill_triggers!$1:$1,0)+1),MATCH(J$1,enemy_skill_triggers!$1:$1,0)-MATCH($F$1,enemy_skill_triggers!$1:$1,0)+1,FALSE)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2" s="145" t="str">
        <f ca="1">VLOOKUP($F92,OFFSET(enemy_skill_triggers!$A$1,0,0,COUNTA(enemy_skill_triggers!$A:$A),MATCH(K$1,enemy_skill_triggers!$1:$1,0)-MATCH($F$1,enemy_skill_triggers!$1:$1,0)+1),MATCH(K$1,enemy_skill_triggers!$1:$1,0)-MATCH($F$1,enemy_skill_triggers!$1:$1,0)+1,FALSE)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2" s="145">
        <f ca="1">VLOOKUP($F92,OFFSET(enemy_skill_triggers!$A$1,0,0,COUNTA(enemy_skill_triggers!$A:$A),MATCH(L$1,enemy_skill_triggers!$1:$1,0)-MATCH($F$1,enemy_skill_triggers!$1:$1,0)+1),MATCH(L$1,enemy_skill_triggers!$1:$1,0)-MATCH($F$1,enemy_skill_triggers!$1:$1,0)+1,FALSE)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2" s="145" t="str">
        <f ca="1">VLOOKUP($F92,OFFSET(enemy_skill_triggers!$A$1,0,0,COUNTA(enemy_skill_triggers!$A:$A),MATCH(M$1,enemy_skill_triggers!$1:$1,0)-MATCH($F$1,enemy_skill_triggers!$1:$1,0)+1),MATCH(M$1,enemy_skill_triggers!$1:$1,0)-MATCH($F$1,enemy_skill_triggers!$1:$1,0)+1,FALSE)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2" s="145">
        <f ca="1">VLOOKUP($F92,OFFSET(enemy_skill_triggers!$A$1,0,0,COUNTA(enemy_skill_triggers!$A:$A),MATCH(N$1,enemy_skill_triggers!$1:$1,0)-MATCH($F$1,enemy_skill_triggers!$1:$1,0)+1),MATCH(N$1,enemy_skill_triggers!$1:$1,0)-MATCH($F$1,enemy_skill_triggers!$1:$1,0)+1,FALSE)</f>
        <v>1332</v>
      </c>
      <c r="O92" s="145">
        <f ca="1">VLOOKUP($F92,OFFSET(enemy_skill_triggers!$A$1,0,0,COUNTA(enemy_skill_triggers!$A:$A),MATCH(O$1,enemy_skill_triggers!$1:$1,0)-MATCH($F$1,enemy_skill_triggers!$1:$1,0)+1),MATCH(O$1,enemy_skill_triggers!$1:$1,0)-MATCH($F$1,enemy_skill_triggers!$1:$1,0)+1,FALSE)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2" s="141"/>
      <c r="Q92" s="141"/>
      <c r="R92" s="141"/>
    </row>
    <row r="93" spans="1:18" ht="21" customHeight="1" thickBot="1" x14ac:dyDescent="0.2">
      <c r="A93" s="39" t="str">
        <f t="shared" si="7"/>
        <v>40043007_40043086</v>
      </c>
      <c r="B93" s="141">
        <v>40043007</v>
      </c>
      <c r="C93" s="198">
        <v>40043086</v>
      </c>
      <c r="D93" s="176" t="str">
        <f ca="1">VLOOKUP($C93,OFFSET(enemy_skills!$A$1,0,0,COUNTA(enemy_skills!$A:$A),MATCH(D$1,enemy_skills!$1:$1,0)-MATCH("enemy_skill_id",enemy_skills!$1:$1,0)+1),MATCH(D$1,enemy_skills!$1:$1,0)-MATCH("enemy_skill_id",enemy_skills!$1:$1,0)+1,FALSE)</f>
        <v>『なンでいじワルすルノ？』</v>
      </c>
      <c r="E93" s="176" t="str">
        <f ca="1">VLOOKUP($C93,OFFSET(enemy_skills!$A$1,0,0,COUNTA(enemy_skills!$A:$A),MATCH(E$1,enemy_skills!$1:$1,0)-MATCH("enemy_skill_id",enemy_skills!$1:$1,0)+1),MATCH(E$1,enemy_skills!$1:$1,0)-MATCH("enemy_skill_id",enemy_skills!$1:$1,0)+1,FALSE)</f>
        <v>状態異常耐性+4ターン自身の攻撃力UP</v>
      </c>
      <c r="F93" s="198">
        <v>40043088</v>
      </c>
      <c r="G93" s="151">
        <f ca="1">VLOOKUP($F93,OFFSET(enemy_skill_triggers!$A$1,0,0,COUNTA(enemy_skill_triggers!$A:$A),MATCH(G$1,enemy_skill_triggers!$1:$1,0)-MATCH($F$1,enemy_skill_triggers!$1:$1,0)+1),MATCH(G$1,enemy_skill_triggers!$1:$1,0)-MATCH($F$1,enemy_skill_triggers!$1:$1,0)+1,FALSE)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3" s="151">
        <f ca="1">VLOOKUP($F93,OFFSET(enemy_skill_triggers!$A$1,0,0,COUNTA(enemy_skill_triggers!$A:$A),MATCH(H$1,enemy_skill_triggers!$1:$1,0)-MATCH($F$1,enemy_skill_triggers!$1:$1,0)+1),MATCH(H$1,enemy_skill_triggers!$1:$1,0)-MATCH($F$1,enemy_skill_triggers!$1:$1,0)+1,FALSE)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93" s="151">
        <f ca="1">VLOOKUP($F93,OFFSET(enemy_skill_triggers!$A$1,0,0,COUNTA(enemy_skill_triggers!$A:$A),MATCH(I$1,enemy_skill_triggers!$1:$1,0)-MATCH($F$1,enemy_skill_triggers!$1:$1,0)+1),MATCH(I$1,enemy_skill_triggers!$1:$1,0)-MATCH($F$1,enemy_skill_triggers!$1:$1,0)+1,FALSE)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3" s="151" t="str">
        <f ca="1">VLOOKUP($F93,OFFSET(enemy_skill_triggers!$A$1,0,0,COUNTA(enemy_skill_triggers!$A:$A),MATCH(J$1,enemy_skill_triggers!$1:$1,0)-MATCH($F$1,enemy_skill_triggers!$1:$1,0)+1),MATCH(J$1,enemy_skill_triggers!$1:$1,0)-MATCH($F$1,enemy_skill_triggers!$1:$1,0)+1,FALSE)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3" s="151" t="str">
        <f ca="1">VLOOKUP($F93,OFFSET(enemy_skill_triggers!$A$1,0,0,COUNTA(enemy_skill_triggers!$A:$A),MATCH(K$1,enemy_skill_triggers!$1:$1,0)-MATCH($F$1,enemy_skill_triggers!$1:$1,0)+1),MATCH(K$1,enemy_skill_triggers!$1:$1,0)-MATCH($F$1,enemy_skill_triggers!$1:$1,0)+1,FALSE)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3" s="151">
        <f ca="1">VLOOKUP($F93,OFFSET(enemy_skill_triggers!$A$1,0,0,COUNTA(enemy_skill_triggers!$A:$A),MATCH(L$1,enemy_skill_triggers!$1:$1,0)-MATCH($F$1,enemy_skill_triggers!$1:$1,0)+1),MATCH(L$1,enemy_skill_triggers!$1:$1,0)-MATCH($F$1,enemy_skill_triggers!$1:$1,0)+1,FALSE)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3" s="151" t="str">
        <f ca="1">VLOOKUP($F93,OFFSET(enemy_skill_triggers!$A$1,0,0,COUNTA(enemy_skill_triggers!$A:$A),MATCH(M$1,enemy_skill_triggers!$1:$1,0)-MATCH($F$1,enemy_skill_triggers!$1:$1,0)+1),MATCH(M$1,enemy_skill_triggers!$1:$1,0)-MATCH($F$1,enemy_skill_triggers!$1:$1,0)+1,FALSE)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3" s="151">
        <f ca="1">VLOOKUP($F93,OFFSET(enemy_skill_triggers!$A$1,0,0,COUNTA(enemy_skill_triggers!$A:$A),MATCH(N$1,enemy_skill_triggers!$1:$1,0)-MATCH($F$1,enemy_skill_triggers!$1:$1,0)+1),MATCH(N$1,enemy_skill_triggers!$1:$1,0)-MATCH($F$1,enemy_skill_triggers!$1:$1,0)+1,FALSE)</f>
        <v>1333</v>
      </c>
      <c r="O93" s="151">
        <f ca="1">VLOOKUP($F93,OFFSET(enemy_skill_triggers!$A$1,0,0,COUNTA(enemy_skill_triggers!$A:$A),MATCH(O$1,enemy_skill_triggers!$1:$1,0)-MATCH($F$1,enemy_skill_triggers!$1:$1,0)+1),MATCH(O$1,enemy_skill_triggers!$1:$1,0)-MATCH($F$1,enemy_skill_triggers!$1:$1,0)+1,FALSE)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3" s="147"/>
      <c r="Q93" s="147"/>
      <c r="R93" s="147"/>
    </row>
    <row r="94" spans="1:18" ht="21" customHeight="1" x14ac:dyDescent="0.15">
      <c r="A94" s="39" t="str">
        <f t="shared" si="7"/>
        <v>40043007_40043089</v>
      </c>
      <c r="B94" s="141">
        <v>40043007</v>
      </c>
      <c r="C94" s="199">
        <v>40043089</v>
      </c>
      <c r="D94" s="175" t="str">
        <f ca="1">VLOOKUP($C94,OFFSET(enemy_skills!$A$1,0,0,COUNTA(enemy_skills!$A:$A),MATCH(D$1,enemy_skills!$1:$1,0)-MATCH("enemy_skill_id",enemy_skills!$1:$1,0)+1),MATCH(D$1,enemy_skills!$1:$1,0)-MATCH("enemy_skill_id",enemy_skills!$1:$1,0)+1,FALSE)</f>
        <v>『おねえさまオコっテる？』</v>
      </c>
      <c r="E94" s="175" t="str">
        <f ca="1">VLOOKUP($C94,OFFSET(enemy_skills!$A$1,0,0,COUNTA(enemy_skills!$A:$A),MATCH(E$1,enemy_skills!$1:$1,0)-MATCH("enemy_skill_id",enemy_skills!$1:$1,0)+1),MATCH(E$1,enemy_skills!$1:$1,0)-MATCH("enemy_skill_id",enemy_skills!$1:$1,0)+1,FALSE)</f>
        <v>状態異常耐性+4ターン自身の攻撃力UP</v>
      </c>
      <c r="F94" s="200">
        <v>40043095</v>
      </c>
      <c r="G94" s="145">
        <f ca="1">VLOOKUP($F94,OFFSET(enemy_skill_triggers!$A$1,0,0,COUNTA(enemy_skill_triggers!$A:$A),MATCH(G$1,enemy_skill_triggers!$1:$1,0)-MATCH($F$1,enemy_skill_triggers!$1:$1,0)+1),MATCH(G$1,enemy_skill_triggers!$1:$1,0)-MATCH($F$1,enemy_skill_triggers!$1:$1,0)+1,FALSE)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4" s="145">
        <f ca="1">VLOOKUP($F94,OFFSET(enemy_skill_triggers!$A$1,0,0,COUNTA(enemy_skill_triggers!$A:$A),MATCH(H$1,enemy_skill_triggers!$1:$1,0)-MATCH($F$1,enemy_skill_triggers!$1:$1,0)+1),MATCH(H$1,enemy_skill_triggers!$1:$1,0)-MATCH($F$1,enemy_skill_triggers!$1:$1,0)+1,FALSE)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94" s="145">
        <f ca="1">VLOOKUP($F94,OFFSET(enemy_skill_triggers!$A$1,0,0,COUNTA(enemy_skill_triggers!$A:$A),MATCH(I$1,enemy_skill_triggers!$1:$1,0)-MATCH($F$1,enemy_skill_triggers!$1:$1,0)+1),MATCH(I$1,enemy_skill_triggers!$1:$1,0)-MATCH($F$1,enemy_skill_triggers!$1:$1,0)+1,FALSE)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4" s="145" t="str">
        <f ca="1">VLOOKUP($F94,OFFSET(enemy_skill_triggers!$A$1,0,0,COUNTA(enemy_skill_triggers!$A:$A),MATCH(J$1,enemy_skill_triggers!$1:$1,0)-MATCH($F$1,enemy_skill_triggers!$1:$1,0)+1),MATCH(J$1,enemy_skill_triggers!$1:$1,0)-MATCH($F$1,enemy_skill_triggers!$1:$1,0)+1,FALSE)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4" s="145" t="str">
        <f ca="1">VLOOKUP($F94,OFFSET(enemy_skill_triggers!$A$1,0,0,COUNTA(enemy_skill_triggers!$A:$A),MATCH(K$1,enemy_skill_triggers!$1:$1,0)-MATCH($F$1,enemy_skill_triggers!$1:$1,0)+1),MATCH(K$1,enemy_skill_triggers!$1:$1,0)-MATCH($F$1,enemy_skill_triggers!$1:$1,0)+1,FALSE)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4" s="145">
        <f ca="1">VLOOKUP($F94,OFFSET(enemy_skill_triggers!$A$1,0,0,COUNTA(enemy_skill_triggers!$A:$A),MATCH(L$1,enemy_skill_triggers!$1:$1,0)-MATCH($F$1,enemy_skill_triggers!$1:$1,0)+1),MATCH(L$1,enemy_skill_triggers!$1:$1,0)-MATCH($F$1,enemy_skill_triggers!$1:$1,0)+1,FALSE)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4" s="145" t="str">
        <f ca="1">VLOOKUP($F94,OFFSET(enemy_skill_triggers!$A$1,0,0,COUNTA(enemy_skill_triggers!$A:$A),MATCH(M$1,enemy_skill_triggers!$1:$1,0)-MATCH($F$1,enemy_skill_triggers!$1:$1,0)+1),MATCH(M$1,enemy_skill_triggers!$1:$1,0)-MATCH($F$1,enemy_skill_triggers!$1:$1,0)+1,FALSE)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4" s="145">
        <f ca="1">VLOOKUP($F94,OFFSET(enemy_skill_triggers!$A$1,0,0,COUNTA(enemy_skill_triggers!$A:$A),MATCH(N$1,enemy_skill_triggers!$1:$1,0)-MATCH($F$1,enemy_skill_triggers!$1:$1,0)+1),MATCH(N$1,enemy_skill_triggers!$1:$1,0)-MATCH($F$1,enemy_skill_triggers!$1:$1,0)+1,FALSE)</f>
        <v>278</v>
      </c>
      <c r="O94" s="145">
        <f ca="1">VLOOKUP($F94,OFFSET(enemy_skill_triggers!$A$1,0,0,COUNTA(enemy_skill_triggers!$A:$A),MATCH(O$1,enemy_skill_triggers!$1:$1,0)-MATCH($F$1,enemy_skill_triggers!$1:$1,0)+1),MATCH(O$1,enemy_skill_triggers!$1:$1,0)-MATCH($F$1,enemy_skill_triggers!$1:$1,0)+1,FALSE)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4" s="141"/>
      <c r="Q94" s="141"/>
      <c r="R94" s="141"/>
    </row>
    <row r="95" spans="1:18" ht="21" customHeight="1" x14ac:dyDescent="0.15">
      <c r="A95" s="39" t="str">
        <f t="shared" si="7"/>
        <v>40043007_40043089</v>
      </c>
      <c r="B95" s="141">
        <v>40043007</v>
      </c>
      <c r="C95" s="197">
        <v>40043089</v>
      </c>
      <c r="D95" s="46" t="str">
        <f ca="1">VLOOKUP($C95,OFFSET(enemy_skills!$A$1,0,0,COUNTA(enemy_skills!$A:$A),MATCH(D$1,enemy_skills!$1:$1,0)-MATCH("enemy_skill_id",enemy_skills!$1:$1,0)+1),MATCH(D$1,enemy_skills!$1:$1,0)-MATCH("enemy_skill_id",enemy_skills!$1:$1,0)+1,FALSE)</f>
        <v>『おねえさまオコっテる？』</v>
      </c>
      <c r="E95" s="46" t="str">
        <f ca="1">VLOOKUP($C95,OFFSET(enemy_skills!$A$1,0,0,COUNTA(enemy_skills!$A:$A),MATCH(E$1,enemy_skills!$1:$1,0)-MATCH("enemy_skill_id",enemy_skills!$1:$1,0)+1),MATCH(E$1,enemy_skills!$1:$1,0)-MATCH("enemy_skill_id",enemy_skills!$1:$1,0)+1,FALSE)</f>
        <v>状態異常耐性+4ターン自身の攻撃力UP</v>
      </c>
      <c r="F95" s="196">
        <v>40043096</v>
      </c>
      <c r="G95" s="48">
        <f ca="1">VLOOKUP($F95,OFFSET(enemy_skill_triggers!$A$1,0,0,COUNTA(enemy_skill_triggers!$A:$A),MATCH(G$1,enemy_skill_triggers!$1:$1,0)-MATCH($F$1,enemy_skill_triggers!$1:$1,0)+1),MATCH(G$1,enemy_skill_triggers!$1:$1,0)-MATCH($F$1,enemy_skill_triggers!$1:$1,0)+1,FALSE)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5" s="48">
        <f ca="1">VLOOKUP($F95,OFFSET(enemy_skill_triggers!$A$1,0,0,COUNTA(enemy_skill_triggers!$A:$A),MATCH(H$1,enemy_skill_triggers!$1:$1,0)-MATCH($F$1,enemy_skill_triggers!$1:$1,0)+1),MATCH(H$1,enemy_skill_triggers!$1:$1,0)-MATCH($F$1,enemy_skill_triggers!$1:$1,0)+1,FALSE)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95" s="48">
        <f ca="1">VLOOKUP($F95,OFFSET(enemy_skill_triggers!$A$1,0,0,COUNTA(enemy_skill_triggers!$A:$A),MATCH(I$1,enemy_skill_triggers!$1:$1,0)-MATCH($F$1,enemy_skill_triggers!$1:$1,0)+1),MATCH(I$1,enemy_skill_triggers!$1:$1,0)-MATCH($F$1,enemy_skill_triggers!$1:$1,0)+1,FALSE)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5" s="48" t="str">
        <f ca="1">VLOOKUP($F95,OFFSET(enemy_skill_triggers!$A$1,0,0,COUNTA(enemy_skill_triggers!$A:$A),MATCH(J$1,enemy_skill_triggers!$1:$1,0)-MATCH($F$1,enemy_skill_triggers!$1:$1,0)+1),MATCH(J$1,enemy_skill_triggers!$1:$1,0)-MATCH($F$1,enemy_skill_triggers!$1:$1,0)+1,FALSE)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5" s="48" t="str">
        <f ca="1">VLOOKUP($F95,OFFSET(enemy_skill_triggers!$A$1,0,0,COUNTA(enemy_skill_triggers!$A:$A),MATCH(K$1,enemy_skill_triggers!$1:$1,0)-MATCH($F$1,enemy_skill_triggers!$1:$1,0)+1),MATCH(K$1,enemy_skill_triggers!$1:$1,0)-MATCH($F$1,enemy_skill_triggers!$1:$1,0)+1,FALSE)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5" s="48">
        <f ca="1">VLOOKUP($F95,OFFSET(enemy_skill_triggers!$A$1,0,0,COUNTA(enemy_skill_triggers!$A:$A),MATCH(L$1,enemy_skill_triggers!$1:$1,0)-MATCH($F$1,enemy_skill_triggers!$1:$1,0)+1),MATCH(L$1,enemy_skill_triggers!$1:$1,0)-MATCH($F$1,enemy_skill_triggers!$1:$1,0)+1,FALSE)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5" s="48" t="str">
        <f ca="1">VLOOKUP($F95,OFFSET(enemy_skill_triggers!$A$1,0,0,COUNTA(enemy_skill_triggers!$A:$A),MATCH(M$1,enemy_skill_triggers!$1:$1,0)-MATCH($F$1,enemy_skill_triggers!$1:$1,0)+1),MATCH(M$1,enemy_skill_triggers!$1:$1,0)-MATCH($F$1,enemy_skill_triggers!$1:$1,0)+1,FALSE)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5" s="48">
        <f ca="1">VLOOKUP($F95,OFFSET(enemy_skill_triggers!$A$1,0,0,COUNTA(enemy_skill_triggers!$A:$A),MATCH(N$1,enemy_skill_triggers!$1:$1,0)-MATCH($F$1,enemy_skill_triggers!$1:$1,0)+1),MATCH(N$1,enemy_skill_triggers!$1:$1,0)-MATCH($F$1,enemy_skill_triggers!$1:$1,0)+1,FALSE)</f>
        <v>279</v>
      </c>
      <c r="O95" s="48">
        <f ca="1">VLOOKUP($F95,OFFSET(enemy_skill_triggers!$A$1,0,0,COUNTA(enemy_skill_triggers!$A:$A),MATCH(O$1,enemy_skill_triggers!$1:$1,0)-MATCH($F$1,enemy_skill_triggers!$1:$1,0)+1),MATCH(O$1,enemy_skill_triggers!$1:$1,0)-MATCH($F$1,enemy_skill_triggers!$1:$1,0)+1,FALSE)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5" s="47"/>
      <c r="Q95" s="47"/>
      <c r="R95" s="47"/>
    </row>
    <row r="96" spans="1:18" ht="21" customHeight="1" x14ac:dyDescent="0.15">
      <c r="A96" s="39" t="str">
        <f t="shared" si="7"/>
        <v>40043007_40043089</v>
      </c>
      <c r="B96" s="141">
        <v>40043007</v>
      </c>
      <c r="C96" s="197">
        <v>40043089</v>
      </c>
      <c r="D96" s="46" t="str">
        <f ca="1">VLOOKUP($C96,OFFSET(enemy_skills!$A$1,0,0,COUNTA(enemy_skills!$A:$A),MATCH(D$1,enemy_skills!$1:$1,0)-MATCH("enemy_skill_id",enemy_skills!$1:$1,0)+1),MATCH(D$1,enemy_skills!$1:$1,0)-MATCH("enemy_skill_id",enemy_skills!$1:$1,0)+1,FALSE)</f>
        <v>『おねえさまオコっテる？』</v>
      </c>
      <c r="E96" s="46" t="str">
        <f ca="1">VLOOKUP($C96,OFFSET(enemy_skills!$A$1,0,0,COUNTA(enemy_skills!$A:$A),MATCH(E$1,enemy_skills!$1:$1,0)-MATCH("enemy_skill_id",enemy_skills!$1:$1,0)+1),MATCH(E$1,enemy_skills!$1:$1,0)-MATCH("enemy_skill_id",enemy_skills!$1:$1,0)+1,FALSE)</f>
        <v>状態異常耐性+4ターン自身の攻撃力UP</v>
      </c>
      <c r="F96" s="196">
        <v>40043097</v>
      </c>
      <c r="G96" s="48">
        <f ca="1">VLOOKUP($F96,OFFSET(enemy_skill_triggers!$A$1,0,0,COUNTA(enemy_skill_triggers!$A:$A),MATCH(G$1,enemy_skill_triggers!$1:$1,0)-MATCH($F$1,enemy_skill_triggers!$1:$1,0)+1),MATCH(G$1,enemy_skill_triggers!$1:$1,0)-MATCH($F$1,enemy_skill_triggers!$1:$1,0)+1,FALSE)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6" s="48">
        <f ca="1">VLOOKUP($F96,OFFSET(enemy_skill_triggers!$A$1,0,0,COUNTA(enemy_skill_triggers!$A:$A),MATCH(H$1,enemy_skill_triggers!$1:$1,0)-MATCH($F$1,enemy_skill_triggers!$1:$1,0)+1),MATCH(H$1,enemy_skill_triggers!$1:$1,0)-MATCH($F$1,enemy_skill_triggers!$1:$1,0)+1,FALSE)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96" s="48">
        <f ca="1">VLOOKUP($F96,OFFSET(enemy_skill_triggers!$A$1,0,0,COUNTA(enemy_skill_triggers!$A:$A),MATCH(I$1,enemy_skill_triggers!$1:$1,0)-MATCH($F$1,enemy_skill_triggers!$1:$1,0)+1),MATCH(I$1,enemy_skill_triggers!$1:$1,0)-MATCH($F$1,enemy_skill_triggers!$1:$1,0)+1,FALSE)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6" s="48" t="str">
        <f ca="1">VLOOKUP($F96,OFFSET(enemy_skill_triggers!$A$1,0,0,COUNTA(enemy_skill_triggers!$A:$A),MATCH(J$1,enemy_skill_triggers!$1:$1,0)-MATCH($F$1,enemy_skill_triggers!$1:$1,0)+1),MATCH(J$1,enemy_skill_triggers!$1:$1,0)-MATCH($F$1,enemy_skill_triggers!$1:$1,0)+1,FALSE)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6" s="48" t="str">
        <f ca="1">VLOOKUP($F96,OFFSET(enemy_skill_triggers!$A$1,0,0,COUNTA(enemy_skill_triggers!$A:$A),MATCH(K$1,enemy_skill_triggers!$1:$1,0)-MATCH($F$1,enemy_skill_triggers!$1:$1,0)+1),MATCH(K$1,enemy_skill_triggers!$1:$1,0)-MATCH($F$1,enemy_skill_triggers!$1:$1,0)+1,FALSE)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6" s="48">
        <f ca="1">VLOOKUP($F96,OFFSET(enemy_skill_triggers!$A$1,0,0,COUNTA(enemy_skill_triggers!$A:$A),MATCH(L$1,enemy_skill_triggers!$1:$1,0)-MATCH($F$1,enemy_skill_triggers!$1:$1,0)+1),MATCH(L$1,enemy_skill_triggers!$1:$1,0)-MATCH($F$1,enemy_skill_triggers!$1:$1,0)+1,FALSE)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6" s="48" t="str">
        <f ca="1">VLOOKUP($F96,OFFSET(enemy_skill_triggers!$A$1,0,0,COUNTA(enemy_skill_triggers!$A:$A),MATCH(M$1,enemy_skill_triggers!$1:$1,0)-MATCH($F$1,enemy_skill_triggers!$1:$1,0)+1),MATCH(M$1,enemy_skill_triggers!$1:$1,0)-MATCH($F$1,enemy_skill_triggers!$1:$1,0)+1,FALSE)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6" s="48">
        <f ca="1">VLOOKUP($F96,OFFSET(enemy_skill_triggers!$A$1,0,0,COUNTA(enemy_skill_triggers!$A:$A),MATCH(N$1,enemy_skill_triggers!$1:$1,0)-MATCH($F$1,enemy_skill_triggers!$1:$1,0)+1),MATCH(N$1,enemy_skill_triggers!$1:$1,0)-MATCH($F$1,enemy_skill_triggers!$1:$1,0)+1,FALSE)</f>
        <v>810</v>
      </c>
      <c r="O96" s="48">
        <f ca="1">VLOOKUP($F96,OFFSET(enemy_skill_triggers!$A$1,0,0,COUNTA(enemy_skill_triggers!$A:$A),MATCH(O$1,enemy_skill_triggers!$1:$1,0)-MATCH($F$1,enemy_skill_triggers!$1:$1,0)+1),MATCH(O$1,enemy_skill_triggers!$1:$1,0)-MATCH($F$1,enemy_skill_triggers!$1:$1,0)+1,FALSE)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6" s="47"/>
      <c r="Q96" s="47"/>
      <c r="R96" s="47"/>
    </row>
    <row r="97" spans="1:18" ht="21" customHeight="1" thickBot="1" x14ac:dyDescent="0.2">
      <c r="A97" s="39" t="str">
        <f t="shared" si="7"/>
        <v>40043007_40043089</v>
      </c>
      <c r="B97" s="147">
        <v>40043007</v>
      </c>
      <c r="C97" s="198">
        <v>40043089</v>
      </c>
      <c r="D97" s="176" t="str">
        <f ca="1">VLOOKUP($C97,OFFSET(enemy_skills!$A$1,0,0,COUNTA(enemy_skills!$A:$A),MATCH(D$1,enemy_skills!$1:$1,0)-MATCH("enemy_skill_id",enemy_skills!$1:$1,0)+1),MATCH(D$1,enemy_skills!$1:$1,0)-MATCH("enemy_skill_id",enemy_skills!$1:$1,0)+1,FALSE)</f>
        <v>『おねえさまオコっテる？』</v>
      </c>
      <c r="E97" s="176" t="str">
        <f ca="1">VLOOKUP($C97,OFFSET(enemy_skills!$A$1,0,0,COUNTA(enemy_skills!$A:$A),MATCH(E$1,enemy_skills!$1:$1,0)-MATCH("enemy_skill_id",enemy_skills!$1:$1,0)+1),MATCH(E$1,enemy_skills!$1:$1,0)-MATCH("enemy_skill_id",enemy_skills!$1:$1,0)+1,FALSE)</f>
        <v>状態異常耐性+4ターン自身の攻撃力UP</v>
      </c>
      <c r="F97" s="198">
        <v>40043098</v>
      </c>
      <c r="G97" s="151">
        <f ca="1">VLOOKUP($F97,OFFSET(enemy_skill_triggers!$A$1,0,0,COUNTA(enemy_skill_triggers!$A:$A),MATCH(G$1,enemy_skill_triggers!$1:$1,0)-MATCH($F$1,enemy_skill_triggers!$1:$1,0)+1),MATCH(G$1,enemy_skill_triggers!$1:$1,0)-MATCH($F$1,enemy_skill_triggers!$1:$1,0)+1,FALSE)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7" s="151">
        <f ca="1">VLOOKUP($F97,OFFSET(enemy_skill_triggers!$A$1,0,0,COUNTA(enemy_skill_triggers!$A:$A),MATCH(H$1,enemy_skill_triggers!$1:$1,0)-MATCH($F$1,enemy_skill_triggers!$1:$1,0)+1),MATCH(H$1,enemy_skill_triggers!$1:$1,0)-MATCH($F$1,enemy_skill_triggers!$1:$1,0)+1,FALSE)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97" s="151">
        <f ca="1">VLOOKUP($F97,OFFSET(enemy_skill_triggers!$A$1,0,0,COUNTA(enemy_skill_triggers!$A:$A),MATCH(I$1,enemy_skill_triggers!$1:$1,0)-MATCH($F$1,enemy_skill_triggers!$1:$1,0)+1),MATCH(I$1,enemy_skill_triggers!$1:$1,0)-MATCH($F$1,enemy_skill_triggers!$1:$1,0)+1,FALSE)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7" s="151" t="str">
        <f ca="1">VLOOKUP($F97,OFFSET(enemy_skill_triggers!$A$1,0,0,COUNTA(enemy_skill_triggers!$A:$A),MATCH(J$1,enemy_skill_triggers!$1:$1,0)-MATCH($F$1,enemy_skill_triggers!$1:$1,0)+1),MATCH(J$1,enemy_skill_triggers!$1:$1,0)-MATCH($F$1,enemy_skill_triggers!$1:$1,0)+1,FALSE)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7" s="151" t="str">
        <f ca="1">VLOOKUP($F97,OFFSET(enemy_skill_triggers!$A$1,0,0,COUNTA(enemy_skill_triggers!$A:$A),MATCH(K$1,enemy_skill_triggers!$1:$1,0)-MATCH($F$1,enemy_skill_triggers!$1:$1,0)+1),MATCH(K$1,enemy_skill_triggers!$1:$1,0)-MATCH($F$1,enemy_skill_triggers!$1:$1,0)+1,FALSE)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7" s="151">
        <f ca="1">VLOOKUP($F97,OFFSET(enemy_skill_triggers!$A$1,0,0,COUNTA(enemy_skill_triggers!$A:$A),MATCH(L$1,enemy_skill_triggers!$1:$1,0)-MATCH($F$1,enemy_skill_triggers!$1:$1,0)+1),MATCH(L$1,enemy_skill_triggers!$1:$1,0)-MATCH($F$1,enemy_skill_triggers!$1:$1,0)+1,FALSE)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7" s="151" t="str">
        <f ca="1">VLOOKUP($F97,OFFSET(enemy_skill_triggers!$A$1,0,0,COUNTA(enemy_skill_triggers!$A:$A),MATCH(M$1,enemy_skill_triggers!$1:$1,0)-MATCH($F$1,enemy_skill_triggers!$1:$1,0)+1),MATCH(M$1,enemy_skill_triggers!$1:$1,0)-MATCH($F$1,enemy_skill_triggers!$1:$1,0)+1,FALSE)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7" s="151">
        <f ca="1">VLOOKUP($F97,OFFSET(enemy_skill_triggers!$A$1,0,0,COUNTA(enemy_skill_triggers!$A:$A),MATCH(N$1,enemy_skill_triggers!$1:$1,0)-MATCH($F$1,enemy_skill_triggers!$1:$1,0)+1),MATCH(N$1,enemy_skill_triggers!$1:$1,0)-MATCH($F$1,enemy_skill_triggers!$1:$1,0)+1,FALSE)</f>
        <v>1116</v>
      </c>
      <c r="O97" s="151">
        <f ca="1">VLOOKUP($F97,OFFSET(enemy_skill_triggers!$A$1,0,0,COUNTA(enemy_skill_triggers!$A:$A),MATCH(O$1,enemy_skill_triggers!$1:$1,0)-MATCH($F$1,enemy_skill_triggers!$1:$1,0)+1),MATCH(O$1,enemy_skill_triggers!$1:$1,0)-MATCH($F$1,enemy_skill_triggers!$1:$1,0)+1,FALSE)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7" s="147"/>
      <c r="Q97" s="147"/>
      <c r="R97" s="147"/>
    </row>
    <row r="98" spans="1:18" ht="21" customHeight="1" thickBot="1" x14ac:dyDescent="0.2">
      <c r="A98" s="169" t="str">
        <f t="shared" ref="A98:A99" si="8">B98&amp;"_"&amp;C98</f>
        <v>40043009_40043087</v>
      </c>
      <c r="B98" s="141">
        <v>40043009</v>
      </c>
      <c r="C98" s="200">
        <v>40043087</v>
      </c>
      <c r="D98" s="201" t="str">
        <f ca="1">VLOOKUP($C98,OFFSET(enemy_skills!$A$1,0,0,COUNTA(enemy_skills!$A:$A),MATCH(D$1,enemy_skills!$1:$1,0)-MATCH("enemy_skill_id",enemy_skills!$1:$1,0)+1),MATCH(D$1,enemy_skills!$1:$1,0)-MATCH("enemy_skill_id",enemy_skills!$1:$1,0)+1,FALSE)</f>
        <v>おヒメちゃんもおねえさまに助けられたの？</v>
      </c>
      <c r="E98" s="201" t="str">
        <f ca="1">VLOOKUP($C98,OFFSET(enemy_skills!$A$1,0,0,COUNTA(enemy_skills!$A:$A),MATCH(E$1,enemy_skills!$1:$1,0)-MATCH("enemy_skill_id",enemy_skills!$1:$1,0)+1),MATCH(E$1,enemy_skills!$1:$1,0)-MATCH("enemy_skill_id",enemy_skills!$1:$1,0)+1,FALSE)</f>
        <v>やっぱりおねえさまはすごいわ！</v>
      </c>
      <c r="F98" s="200">
        <v>40043089</v>
      </c>
      <c r="G98" s="203">
        <f ca="1">VLOOKUP($F98,OFFSET(enemy_skill_triggers!$A$1,0,0,COUNTA(enemy_skill_triggers!$A:$A),MATCH(G$1,enemy_skill_triggers!$1:$1,0)-MATCH($F$1,enemy_skill_triggers!$1:$1,0)+1),MATCH(G$1,enemy_skill_triggers!$1:$1,0)-MATCH($F$1,enemy_skill_triggers!$1:$1,0)+1,FALSE)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8" s="203">
        <f ca="1">VLOOKUP($F98,OFFSET(enemy_skill_triggers!$A$1,0,0,COUNTA(enemy_skill_triggers!$A:$A),MATCH(H$1,enemy_skill_triggers!$1:$1,0)-MATCH($F$1,enemy_skill_triggers!$1:$1,0)+1),MATCH(H$1,enemy_skill_triggers!$1:$1,0)-MATCH($F$1,enemy_skill_triggers!$1:$1,0)+1,FALSE)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98" s="203">
        <f ca="1">VLOOKUP($F98,OFFSET(enemy_skill_triggers!$A$1,0,0,COUNTA(enemy_skill_triggers!$A:$A),MATCH(I$1,enemy_skill_triggers!$1:$1,0)-MATCH($F$1,enemy_skill_triggers!$1:$1,0)+1),MATCH(I$1,enemy_skill_triggers!$1:$1,0)-MATCH($F$1,enemy_skill_triggers!$1:$1,0)+1,FALSE)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8" s="203" t="str">
        <f ca="1">VLOOKUP($F98,OFFSET(enemy_skill_triggers!$A$1,0,0,COUNTA(enemy_skill_triggers!$A:$A),MATCH(J$1,enemy_skill_triggers!$1:$1,0)-MATCH($F$1,enemy_skill_triggers!$1:$1,0)+1),MATCH(J$1,enemy_skill_triggers!$1:$1,0)-MATCH($F$1,enemy_skill_triggers!$1:$1,0)+1,FALSE)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8" s="203" t="str">
        <f ca="1">VLOOKUP($F98,OFFSET(enemy_skill_triggers!$A$1,0,0,COUNTA(enemy_skill_triggers!$A:$A),MATCH(K$1,enemy_skill_triggers!$1:$1,0)-MATCH($F$1,enemy_skill_triggers!$1:$1,0)+1),MATCH(K$1,enemy_skill_triggers!$1:$1,0)-MATCH($F$1,enemy_skill_triggers!$1:$1,0)+1,FALSE)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8" s="203">
        <f ca="1">VLOOKUP($F98,OFFSET(enemy_skill_triggers!$A$1,0,0,COUNTA(enemy_skill_triggers!$A:$A),MATCH(L$1,enemy_skill_triggers!$1:$1,0)-MATCH($F$1,enemy_skill_triggers!$1:$1,0)+1),MATCH(L$1,enemy_skill_triggers!$1:$1,0)-MATCH($F$1,enemy_skill_triggers!$1:$1,0)+1,FALSE)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8" s="203" t="str">
        <f ca="1">VLOOKUP($F98,OFFSET(enemy_skill_triggers!$A$1,0,0,COUNTA(enemy_skill_triggers!$A:$A),MATCH(M$1,enemy_skill_triggers!$1:$1,0)-MATCH($F$1,enemy_skill_triggers!$1:$1,0)+1),MATCH(M$1,enemy_skill_triggers!$1:$1,0)-MATCH($F$1,enemy_skill_triggers!$1:$1,0)+1,FALSE)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8" s="203">
        <f ca="1">VLOOKUP($F98,OFFSET(enemy_skill_triggers!$A$1,0,0,COUNTA(enemy_skill_triggers!$A:$A),MATCH(N$1,enemy_skill_triggers!$1:$1,0)-MATCH($F$1,enemy_skill_triggers!$1:$1,0)+1),MATCH(N$1,enemy_skill_triggers!$1:$1,0)-MATCH($F$1,enemy_skill_triggers!$1:$1,0)+1,FALSE)</f>
        <v>1332</v>
      </c>
      <c r="O98" s="203">
        <f ca="1">VLOOKUP($F98,OFFSET(enemy_skill_triggers!$A$1,0,0,COUNTA(enemy_skill_triggers!$A:$A),MATCH(O$1,enemy_skill_triggers!$1:$1,0)-MATCH($F$1,enemy_skill_triggers!$1:$1,0)+1),MATCH(O$1,enemy_skill_triggers!$1:$1,0)-MATCH($F$1,enemy_skill_triggers!$1:$1,0)+1,FALSE)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8" s="202"/>
      <c r="Q98" s="202"/>
      <c r="R98" s="202"/>
    </row>
    <row r="99" spans="1:18" ht="21" customHeight="1" thickBot="1" x14ac:dyDescent="0.2">
      <c r="A99" s="169" t="str">
        <f t="shared" si="8"/>
        <v>40043009_40043087</v>
      </c>
      <c r="B99" s="141">
        <v>40043009</v>
      </c>
      <c r="C99" s="198">
        <v>40043087</v>
      </c>
      <c r="D99" s="176" t="str">
        <f ca="1">VLOOKUP($C99,OFFSET(enemy_skills!$A$1,0,0,COUNTA(enemy_skills!$A:$A),MATCH(D$1,enemy_skills!$1:$1,0)-MATCH("enemy_skill_id",enemy_skills!$1:$1,0)+1),MATCH(D$1,enemy_skills!$1:$1,0)-MATCH("enemy_skill_id",enemy_skills!$1:$1,0)+1,FALSE)</f>
        <v>おヒメちゃんもおねえさまに助けられたの？</v>
      </c>
      <c r="E99" s="176" t="str">
        <f ca="1">VLOOKUP($C99,OFFSET(enemy_skills!$A$1,0,0,COUNTA(enemy_skills!$A:$A),MATCH(E$1,enemy_skills!$1:$1,0)-MATCH("enemy_skill_id",enemy_skills!$1:$1,0)+1),MATCH(E$1,enemy_skills!$1:$1,0)-MATCH("enemy_skill_id",enemy_skills!$1:$1,0)+1,FALSE)</f>
        <v>やっぱりおねえさまはすごいわ！</v>
      </c>
      <c r="F99" s="198">
        <v>40043090</v>
      </c>
      <c r="G99" s="151">
        <f ca="1">VLOOKUP($F99,OFFSET(enemy_skill_triggers!$A$1,0,0,COUNTA(enemy_skill_triggers!$A:$A),MATCH(G$1,enemy_skill_triggers!$1:$1,0)-MATCH($F$1,enemy_skill_triggers!$1:$1,0)+1),MATCH(G$1,enemy_skill_triggers!$1:$1,0)-MATCH($F$1,enemy_skill_triggers!$1:$1,0)+1,FALSE)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9" s="151">
        <f ca="1">VLOOKUP($F99,OFFSET(enemy_skill_triggers!$A$1,0,0,COUNTA(enemy_skill_triggers!$A:$A),MATCH(H$1,enemy_skill_triggers!$1:$1,0)-MATCH($F$1,enemy_skill_triggers!$1:$1,0)+1),MATCH(H$1,enemy_skill_triggers!$1:$1,0)-MATCH($F$1,enemy_skill_triggers!$1:$1,0)+1,FALSE)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99" s="151">
        <f ca="1">VLOOKUP($F99,OFFSET(enemy_skill_triggers!$A$1,0,0,COUNTA(enemy_skill_triggers!$A:$A),MATCH(I$1,enemy_skill_triggers!$1:$1,0)-MATCH($F$1,enemy_skill_triggers!$1:$1,0)+1),MATCH(I$1,enemy_skill_triggers!$1:$1,0)-MATCH($F$1,enemy_skill_triggers!$1:$1,0)+1,FALSE)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9" s="151" t="str">
        <f ca="1">VLOOKUP($F99,OFFSET(enemy_skill_triggers!$A$1,0,0,COUNTA(enemy_skill_triggers!$A:$A),MATCH(J$1,enemy_skill_triggers!$1:$1,0)-MATCH($F$1,enemy_skill_triggers!$1:$1,0)+1),MATCH(J$1,enemy_skill_triggers!$1:$1,0)-MATCH($F$1,enemy_skill_triggers!$1:$1,0)+1,FALSE)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9" s="151" t="str">
        <f ca="1">VLOOKUP($F99,OFFSET(enemy_skill_triggers!$A$1,0,0,COUNTA(enemy_skill_triggers!$A:$A),MATCH(K$1,enemy_skill_triggers!$1:$1,0)-MATCH($F$1,enemy_skill_triggers!$1:$1,0)+1),MATCH(K$1,enemy_skill_triggers!$1:$1,0)-MATCH($F$1,enemy_skill_triggers!$1:$1,0)+1,FALSE)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9" s="151">
        <f ca="1">VLOOKUP($F99,OFFSET(enemy_skill_triggers!$A$1,0,0,COUNTA(enemy_skill_triggers!$A:$A),MATCH(L$1,enemy_skill_triggers!$1:$1,0)-MATCH($F$1,enemy_skill_triggers!$1:$1,0)+1),MATCH(L$1,enemy_skill_triggers!$1:$1,0)-MATCH($F$1,enemy_skill_triggers!$1:$1,0)+1,FALSE)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9" s="151" t="str">
        <f ca="1">VLOOKUP($F99,OFFSET(enemy_skill_triggers!$A$1,0,0,COUNTA(enemy_skill_triggers!$A:$A),MATCH(M$1,enemy_skill_triggers!$1:$1,0)-MATCH($F$1,enemy_skill_triggers!$1:$1,0)+1),MATCH(M$1,enemy_skill_triggers!$1:$1,0)-MATCH($F$1,enemy_skill_triggers!$1:$1,0)+1,FALSE)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9" s="151">
        <f ca="1">VLOOKUP($F99,OFFSET(enemy_skill_triggers!$A$1,0,0,COUNTA(enemy_skill_triggers!$A:$A),MATCH(N$1,enemy_skill_triggers!$1:$1,0)-MATCH($F$1,enemy_skill_triggers!$1:$1,0)+1),MATCH(N$1,enemy_skill_triggers!$1:$1,0)-MATCH($F$1,enemy_skill_triggers!$1:$1,0)+1,FALSE)</f>
        <v>1333</v>
      </c>
      <c r="O99" s="151">
        <f ca="1">VLOOKUP($F99,OFFSET(enemy_skill_triggers!$A$1,0,0,COUNTA(enemy_skill_triggers!$A:$A),MATCH(O$1,enemy_skill_triggers!$1:$1,0)-MATCH($F$1,enemy_skill_triggers!$1:$1,0)+1),MATCH(O$1,enemy_skill_triggers!$1:$1,0)-MATCH($F$1,enemy_skill_triggers!$1:$1,0)+1,FALSE)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9" s="147"/>
      <c r="Q99" s="147"/>
      <c r="R99" s="147"/>
    </row>
    <row r="100" spans="1:18" ht="21" customHeight="1" thickBot="1" x14ac:dyDescent="0.2">
      <c r="A100" s="169" t="str">
        <f t="shared" ref="A100" si="9">B100&amp;"_"&amp;C100</f>
        <v>40043009_40043090</v>
      </c>
      <c r="B100" s="141">
        <v>40043009</v>
      </c>
      <c r="C100" s="199">
        <v>40043090</v>
      </c>
      <c r="D100" s="175" t="str">
        <f ca="1">VLOOKUP($C100,OFFSET(enemy_skills!$A$1,0,0,COUNTA(enemy_skills!$A:$A),MATCH(D$1,enemy_skills!$1:$1,0)-MATCH("enemy_skill_id",enemy_skills!$1:$1,0)+1),MATCH(D$1,enemy_skills!$1:$1,0)-MATCH("enemy_skill_id",enemy_skills!$1:$1,0)+1,FALSE)</f>
        <v>ごめんなさいおねえさま…</v>
      </c>
      <c r="E100" s="175" t="str">
        <f ca="1">VLOOKUP($C100,OFFSET(enemy_skills!$A$1,0,0,COUNTA(enemy_skills!$A:$A),MATCH(E$1,enemy_skills!$1:$1,0)-MATCH("enemy_skill_id",enemy_skills!$1:$1,0)+1),MATCH(E$1,enemy_skills!$1:$1,0)-MATCH("enemy_skill_id",enemy_skills!$1:$1,0)+1,FALSE)</f>
        <v>次はウィルスなんかに負けないよう強くなります！</v>
      </c>
      <c r="F100" s="200">
        <v>40043099</v>
      </c>
      <c r="G100" s="145">
        <f ca="1">VLOOKUP($F100,OFFSET(enemy_skill_triggers!$A$1,0,0,COUNTA(enemy_skill_triggers!$A:$A),MATCH(G$1,enemy_skill_triggers!$1:$1,0)-MATCH($F$1,enemy_skill_triggers!$1:$1,0)+1),MATCH(G$1,enemy_skill_triggers!$1:$1,0)-MATCH($F$1,enemy_skill_triggers!$1:$1,0)+1,FALSE)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0" s="145">
        <f ca="1">VLOOKUP($F100,OFFSET(enemy_skill_triggers!$A$1,0,0,COUNTA(enemy_skill_triggers!$A:$A),MATCH(H$1,enemy_skill_triggers!$1:$1,0)-MATCH($F$1,enemy_skill_triggers!$1:$1,0)+1),MATCH(H$1,enemy_skill_triggers!$1:$1,0)-MATCH($F$1,enemy_skill_triggers!$1:$1,0)+1,FALSE)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100" s="145">
        <f ca="1">VLOOKUP($F100,OFFSET(enemy_skill_triggers!$A$1,0,0,COUNTA(enemy_skill_triggers!$A:$A),MATCH(I$1,enemy_skill_triggers!$1:$1,0)-MATCH($F$1,enemy_skill_triggers!$1:$1,0)+1),MATCH(I$1,enemy_skill_triggers!$1:$1,0)-MATCH($F$1,enemy_skill_triggers!$1:$1,0)+1,FALSE)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0" s="145" t="str">
        <f ca="1">VLOOKUP($F100,OFFSET(enemy_skill_triggers!$A$1,0,0,COUNTA(enemy_skill_triggers!$A:$A),MATCH(J$1,enemy_skill_triggers!$1:$1,0)-MATCH($F$1,enemy_skill_triggers!$1:$1,0)+1),MATCH(J$1,enemy_skill_triggers!$1:$1,0)-MATCH($F$1,enemy_skill_triggers!$1:$1,0)+1,FALSE)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0" s="145" t="str">
        <f ca="1">VLOOKUP($F100,OFFSET(enemy_skill_triggers!$A$1,0,0,COUNTA(enemy_skill_triggers!$A:$A),MATCH(K$1,enemy_skill_triggers!$1:$1,0)-MATCH($F$1,enemy_skill_triggers!$1:$1,0)+1),MATCH(K$1,enemy_skill_triggers!$1:$1,0)-MATCH($F$1,enemy_skill_triggers!$1:$1,0)+1,FALSE)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0" s="145">
        <f ca="1">VLOOKUP($F100,OFFSET(enemy_skill_triggers!$A$1,0,0,COUNTA(enemy_skill_triggers!$A:$A),MATCH(L$1,enemy_skill_triggers!$1:$1,0)-MATCH($F$1,enemy_skill_triggers!$1:$1,0)+1),MATCH(L$1,enemy_skill_triggers!$1:$1,0)-MATCH($F$1,enemy_skill_triggers!$1:$1,0)+1,FALSE)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0" s="145" t="str">
        <f ca="1">VLOOKUP($F100,OFFSET(enemy_skill_triggers!$A$1,0,0,COUNTA(enemy_skill_triggers!$A:$A),MATCH(M$1,enemy_skill_triggers!$1:$1,0)-MATCH($F$1,enemy_skill_triggers!$1:$1,0)+1),MATCH(M$1,enemy_skill_triggers!$1:$1,0)-MATCH($F$1,enemy_skill_triggers!$1:$1,0)+1,FALSE)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0" s="145">
        <f ca="1">VLOOKUP($F100,OFFSET(enemy_skill_triggers!$A$1,0,0,COUNTA(enemy_skill_triggers!$A:$A),MATCH(N$1,enemy_skill_triggers!$1:$1,0)-MATCH($F$1,enemy_skill_triggers!$1:$1,0)+1),MATCH(N$1,enemy_skill_triggers!$1:$1,0)-MATCH($F$1,enemy_skill_triggers!$1:$1,0)+1,FALSE)</f>
        <v>278</v>
      </c>
      <c r="O100" s="145">
        <f ca="1">VLOOKUP($F100,OFFSET(enemy_skill_triggers!$A$1,0,0,COUNTA(enemy_skill_triggers!$A:$A),MATCH(O$1,enemy_skill_triggers!$1:$1,0)-MATCH($F$1,enemy_skill_triggers!$1:$1,0)+1),MATCH(O$1,enemy_skill_triggers!$1:$1,0)-MATCH($F$1,enemy_skill_triggers!$1:$1,0)+1,FALSE)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0" s="141"/>
      <c r="Q100" s="141"/>
      <c r="R100" s="141"/>
    </row>
    <row r="101" spans="1:18" ht="21" customHeight="1" thickBot="1" x14ac:dyDescent="0.2">
      <c r="A101" s="169" t="str">
        <f t="shared" ref="A101:A109" si="10">B101&amp;"_"&amp;C101</f>
        <v>40043009_40043090</v>
      </c>
      <c r="B101" s="141">
        <v>40043009</v>
      </c>
      <c r="C101" s="199">
        <v>40043090</v>
      </c>
      <c r="D101" s="46" t="str">
        <f ca="1">VLOOKUP($C101,OFFSET(enemy_skills!$A$1,0,0,COUNTA(enemy_skills!$A:$A),MATCH(D$1,enemy_skills!$1:$1,0)-MATCH("enemy_skill_id",enemy_skills!$1:$1,0)+1),MATCH(D$1,enemy_skills!$1:$1,0)-MATCH("enemy_skill_id",enemy_skills!$1:$1,0)+1,FALSE)</f>
        <v>ごめんなさいおねえさま…</v>
      </c>
      <c r="E101" s="46" t="str">
        <f ca="1">VLOOKUP($C101,OFFSET(enemy_skills!$A$1,0,0,COUNTA(enemy_skills!$A:$A),MATCH(E$1,enemy_skills!$1:$1,0)-MATCH("enemy_skill_id",enemy_skills!$1:$1,0)+1),MATCH(E$1,enemy_skills!$1:$1,0)-MATCH("enemy_skill_id",enemy_skills!$1:$1,0)+1,FALSE)</f>
        <v>次はウィルスなんかに負けないよう強くなります！</v>
      </c>
      <c r="F101" s="196">
        <v>40043100</v>
      </c>
      <c r="G101" s="48">
        <f ca="1">VLOOKUP($F101,OFFSET(enemy_skill_triggers!$A$1,0,0,COUNTA(enemy_skill_triggers!$A:$A),MATCH(G$1,enemy_skill_triggers!$1:$1,0)-MATCH($F$1,enemy_skill_triggers!$1:$1,0)+1),MATCH(G$1,enemy_skill_triggers!$1:$1,0)-MATCH($F$1,enemy_skill_triggers!$1:$1,0)+1,FALSE)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1" s="48">
        <f ca="1">VLOOKUP($F101,OFFSET(enemy_skill_triggers!$A$1,0,0,COUNTA(enemy_skill_triggers!$A:$A),MATCH(H$1,enemy_skill_triggers!$1:$1,0)-MATCH($F$1,enemy_skill_triggers!$1:$1,0)+1),MATCH(H$1,enemy_skill_triggers!$1:$1,0)-MATCH($F$1,enemy_skill_triggers!$1:$1,0)+1,FALSE)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101" s="48">
        <f ca="1">VLOOKUP($F101,OFFSET(enemy_skill_triggers!$A$1,0,0,COUNTA(enemy_skill_triggers!$A:$A),MATCH(I$1,enemy_skill_triggers!$1:$1,0)-MATCH($F$1,enemy_skill_triggers!$1:$1,0)+1),MATCH(I$1,enemy_skill_triggers!$1:$1,0)-MATCH($F$1,enemy_skill_triggers!$1:$1,0)+1,FALSE)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1" s="48" t="str">
        <f ca="1">VLOOKUP($F101,OFFSET(enemy_skill_triggers!$A$1,0,0,COUNTA(enemy_skill_triggers!$A:$A),MATCH(J$1,enemy_skill_triggers!$1:$1,0)-MATCH($F$1,enemy_skill_triggers!$1:$1,0)+1),MATCH(J$1,enemy_skill_triggers!$1:$1,0)-MATCH($F$1,enemy_skill_triggers!$1:$1,0)+1,FALSE)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1" s="48" t="str">
        <f ca="1">VLOOKUP($F101,OFFSET(enemy_skill_triggers!$A$1,0,0,COUNTA(enemy_skill_triggers!$A:$A),MATCH(K$1,enemy_skill_triggers!$1:$1,0)-MATCH($F$1,enemy_skill_triggers!$1:$1,0)+1),MATCH(K$1,enemy_skill_triggers!$1:$1,0)-MATCH($F$1,enemy_skill_triggers!$1:$1,0)+1,FALSE)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1" s="48">
        <f ca="1">VLOOKUP($F101,OFFSET(enemy_skill_triggers!$A$1,0,0,COUNTA(enemy_skill_triggers!$A:$A),MATCH(L$1,enemy_skill_triggers!$1:$1,0)-MATCH($F$1,enemy_skill_triggers!$1:$1,0)+1),MATCH(L$1,enemy_skill_triggers!$1:$1,0)-MATCH($F$1,enemy_skill_triggers!$1:$1,0)+1,FALSE)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1" s="48" t="str">
        <f ca="1">VLOOKUP($F101,OFFSET(enemy_skill_triggers!$A$1,0,0,COUNTA(enemy_skill_triggers!$A:$A),MATCH(M$1,enemy_skill_triggers!$1:$1,0)-MATCH($F$1,enemy_skill_triggers!$1:$1,0)+1),MATCH(M$1,enemy_skill_triggers!$1:$1,0)-MATCH($F$1,enemy_skill_triggers!$1:$1,0)+1,FALSE)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1" s="48">
        <f ca="1">VLOOKUP($F101,OFFSET(enemy_skill_triggers!$A$1,0,0,COUNTA(enemy_skill_triggers!$A:$A),MATCH(N$1,enemy_skill_triggers!$1:$1,0)-MATCH($F$1,enemy_skill_triggers!$1:$1,0)+1),MATCH(N$1,enemy_skill_triggers!$1:$1,0)-MATCH($F$1,enemy_skill_triggers!$1:$1,0)+1,FALSE)</f>
        <v>279</v>
      </c>
      <c r="O101" s="48">
        <f ca="1">VLOOKUP($F101,OFFSET(enemy_skill_triggers!$A$1,0,0,COUNTA(enemy_skill_triggers!$A:$A),MATCH(O$1,enemy_skill_triggers!$1:$1,0)-MATCH($F$1,enemy_skill_triggers!$1:$1,0)+1),MATCH(O$1,enemy_skill_triggers!$1:$1,0)-MATCH($F$1,enemy_skill_triggers!$1:$1,0)+1,FALSE)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1" s="47"/>
      <c r="Q101" s="47"/>
      <c r="R101" s="47"/>
    </row>
    <row r="102" spans="1:18" ht="21" customHeight="1" thickBot="1" x14ac:dyDescent="0.2">
      <c r="A102" s="169" t="str">
        <f t="shared" si="10"/>
        <v>40043009_40043090</v>
      </c>
      <c r="B102" s="141">
        <v>40043009</v>
      </c>
      <c r="C102" s="199">
        <v>40043090</v>
      </c>
      <c r="D102" s="46" t="str">
        <f ca="1">VLOOKUP($C102,OFFSET(enemy_skills!$A$1,0,0,COUNTA(enemy_skills!$A:$A),MATCH(D$1,enemy_skills!$1:$1,0)-MATCH("enemy_skill_id",enemy_skills!$1:$1,0)+1),MATCH(D$1,enemy_skills!$1:$1,0)-MATCH("enemy_skill_id",enemy_skills!$1:$1,0)+1,FALSE)</f>
        <v>ごめんなさいおねえさま…</v>
      </c>
      <c r="E102" s="46" t="str">
        <f ca="1">VLOOKUP($C102,OFFSET(enemy_skills!$A$1,0,0,COUNTA(enemy_skills!$A:$A),MATCH(E$1,enemy_skills!$1:$1,0)-MATCH("enemy_skill_id",enemy_skills!$1:$1,0)+1),MATCH(E$1,enemy_skills!$1:$1,0)-MATCH("enemy_skill_id",enemy_skills!$1:$1,0)+1,FALSE)</f>
        <v>次はウィルスなんかに負けないよう強くなります！</v>
      </c>
      <c r="F102" s="196">
        <v>40043101</v>
      </c>
      <c r="G102" s="48">
        <f ca="1">VLOOKUP($F102,OFFSET(enemy_skill_triggers!$A$1,0,0,COUNTA(enemy_skill_triggers!$A:$A),MATCH(G$1,enemy_skill_triggers!$1:$1,0)-MATCH($F$1,enemy_skill_triggers!$1:$1,0)+1),MATCH(G$1,enemy_skill_triggers!$1:$1,0)-MATCH($F$1,enemy_skill_triggers!$1:$1,0)+1,FALSE)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2" s="48">
        <f ca="1">VLOOKUP($F102,OFFSET(enemy_skill_triggers!$A$1,0,0,COUNTA(enemy_skill_triggers!$A:$A),MATCH(H$1,enemy_skill_triggers!$1:$1,0)-MATCH($F$1,enemy_skill_triggers!$1:$1,0)+1),MATCH(H$1,enemy_skill_triggers!$1:$1,0)-MATCH($F$1,enemy_skill_triggers!$1:$1,0)+1,FALSE)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102" s="48">
        <f ca="1">VLOOKUP($F102,OFFSET(enemy_skill_triggers!$A$1,0,0,COUNTA(enemy_skill_triggers!$A:$A),MATCH(I$1,enemy_skill_triggers!$1:$1,0)-MATCH($F$1,enemy_skill_triggers!$1:$1,0)+1),MATCH(I$1,enemy_skill_triggers!$1:$1,0)-MATCH($F$1,enemy_skill_triggers!$1:$1,0)+1,FALSE)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2" s="48" t="str">
        <f ca="1">VLOOKUP($F102,OFFSET(enemy_skill_triggers!$A$1,0,0,COUNTA(enemy_skill_triggers!$A:$A),MATCH(J$1,enemy_skill_triggers!$1:$1,0)-MATCH($F$1,enemy_skill_triggers!$1:$1,0)+1),MATCH(J$1,enemy_skill_triggers!$1:$1,0)-MATCH($F$1,enemy_skill_triggers!$1:$1,0)+1,FALSE)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2" s="48" t="str">
        <f ca="1">VLOOKUP($F102,OFFSET(enemy_skill_triggers!$A$1,0,0,COUNTA(enemy_skill_triggers!$A:$A),MATCH(K$1,enemy_skill_triggers!$1:$1,0)-MATCH($F$1,enemy_skill_triggers!$1:$1,0)+1),MATCH(K$1,enemy_skill_triggers!$1:$1,0)-MATCH($F$1,enemy_skill_triggers!$1:$1,0)+1,FALSE)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2" s="48">
        <f ca="1">VLOOKUP($F102,OFFSET(enemy_skill_triggers!$A$1,0,0,COUNTA(enemy_skill_triggers!$A:$A),MATCH(L$1,enemy_skill_triggers!$1:$1,0)-MATCH($F$1,enemy_skill_triggers!$1:$1,0)+1),MATCH(L$1,enemy_skill_triggers!$1:$1,0)-MATCH($F$1,enemy_skill_triggers!$1:$1,0)+1,FALSE)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2" s="48" t="str">
        <f ca="1">VLOOKUP($F102,OFFSET(enemy_skill_triggers!$A$1,0,0,COUNTA(enemy_skill_triggers!$A:$A),MATCH(M$1,enemy_skill_triggers!$1:$1,0)-MATCH($F$1,enemy_skill_triggers!$1:$1,0)+1),MATCH(M$1,enemy_skill_triggers!$1:$1,0)-MATCH($F$1,enemy_skill_triggers!$1:$1,0)+1,FALSE)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2" s="48">
        <f ca="1">VLOOKUP($F102,OFFSET(enemy_skill_triggers!$A$1,0,0,COUNTA(enemy_skill_triggers!$A:$A),MATCH(N$1,enemy_skill_triggers!$1:$1,0)-MATCH($F$1,enemy_skill_triggers!$1:$1,0)+1),MATCH(N$1,enemy_skill_triggers!$1:$1,0)-MATCH($F$1,enemy_skill_triggers!$1:$1,0)+1,FALSE)</f>
        <v>810</v>
      </c>
      <c r="O102" s="48">
        <f ca="1">VLOOKUP($F102,OFFSET(enemy_skill_triggers!$A$1,0,0,COUNTA(enemy_skill_triggers!$A:$A),MATCH(O$1,enemy_skill_triggers!$1:$1,0)-MATCH($F$1,enemy_skill_triggers!$1:$1,0)+1),MATCH(O$1,enemy_skill_triggers!$1:$1,0)-MATCH($F$1,enemy_skill_triggers!$1:$1,0)+1,FALSE)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2" s="47"/>
      <c r="Q102" s="47"/>
      <c r="R102" s="47"/>
    </row>
    <row r="103" spans="1:18" ht="21" customHeight="1" thickBot="1" x14ac:dyDescent="0.2">
      <c r="A103" s="169" t="str">
        <f t="shared" si="10"/>
        <v>40043009_40043090</v>
      </c>
      <c r="B103" s="147">
        <v>40043009</v>
      </c>
      <c r="C103" s="198">
        <v>40043090</v>
      </c>
      <c r="D103" s="176" t="str">
        <f ca="1">VLOOKUP($C103,OFFSET(enemy_skills!$A$1,0,0,COUNTA(enemy_skills!$A:$A),MATCH(D$1,enemy_skills!$1:$1,0)-MATCH("enemy_skill_id",enemy_skills!$1:$1,0)+1),MATCH(D$1,enemy_skills!$1:$1,0)-MATCH("enemy_skill_id",enemy_skills!$1:$1,0)+1,FALSE)</f>
        <v>ごめんなさいおねえさま…</v>
      </c>
      <c r="E103" s="176" t="str">
        <f ca="1">VLOOKUP($C103,OFFSET(enemy_skills!$A$1,0,0,COUNTA(enemy_skills!$A:$A),MATCH(E$1,enemy_skills!$1:$1,0)-MATCH("enemy_skill_id",enemy_skills!$1:$1,0)+1),MATCH(E$1,enemy_skills!$1:$1,0)-MATCH("enemy_skill_id",enemy_skills!$1:$1,0)+1,FALSE)</f>
        <v>次はウィルスなんかに負けないよう強くなります！</v>
      </c>
      <c r="F103" s="198">
        <v>40043102</v>
      </c>
      <c r="G103" s="151">
        <f ca="1">VLOOKUP($F103,OFFSET(enemy_skill_triggers!$A$1,0,0,COUNTA(enemy_skill_triggers!$A:$A),MATCH(G$1,enemy_skill_triggers!$1:$1,0)-MATCH($F$1,enemy_skill_triggers!$1:$1,0)+1),MATCH(G$1,enemy_skill_triggers!$1:$1,0)-MATCH($F$1,enemy_skill_triggers!$1:$1,0)+1,FALSE)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3" s="151">
        <f ca="1">VLOOKUP($F103,OFFSET(enemy_skill_triggers!$A$1,0,0,COUNTA(enemy_skill_triggers!$A:$A),MATCH(H$1,enemy_skill_triggers!$1:$1,0)-MATCH($F$1,enemy_skill_triggers!$1:$1,0)+1),MATCH(H$1,enemy_skill_triggers!$1:$1,0)-MATCH($F$1,enemy_skill_triggers!$1:$1,0)+1,FALSE)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103" s="151">
        <f ca="1">VLOOKUP($F103,OFFSET(enemy_skill_triggers!$A$1,0,0,COUNTA(enemy_skill_triggers!$A:$A),MATCH(I$1,enemy_skill_triggers!$1:$1,0)-MATCH($F$1,enemy_skill_triggers!$1:$1,0)+1),MATCH(I$1,enemy_skill_triggers!$1:$1,0)-MATCH($F$1,enemy_skill_triggers!$1:$1,0)+1,FALSE)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3" s="151" t="str">
        <f ca="1">VLOOKUP($F103,OFFSET(enemy_skill_triggers!$A$1,0,0,COUNTA(enemy_skill_triggers!$A:$A),MATCH(J$1,enemy_skill_triggers!$1:$1,0)-MATCH($F$1,enemy_skill_triggers!$1:$1,0)+1),MATCH(J$1,enemy_skill_triggers!$1:$1,0)-MATCH($F$1,enemy_skill_triggers!$1:$1,0)+1,FALSE)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3" s="151" t="str">
        <f ca="1">VLOOKUP($F103,OFFSET(enemy_skill_triggers!$A$1,0,0,COUNTA(enemy_skill_triggers!$A:$A),MATCH(K$1,enemy_skill_triggers!$1:$1,0)-MATCH($F$1,enemy_skill_triggers!$1:$1,0)+1),MATCH(K$1,enemy_skill_triggers!$1:$1,0)-MATCH($F$1,enemy_skill_triggers!$1:$1,0)+1,FALSE)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3" s="151">
        <f ca="1">VLOOKUP($F103,OFFSET(enemy_skill_triggers!$A$1,0,0,COUNTA(enemy_skill_triggers!$A:$A),MATCH(L$1,enemy_skill_triggers!$1:$1,0)-MATCH($F$1,enemy_skill_triggers!$1:$1,0)+1),MATCH(L$1,enemy_skill_triggers!$1:$1,0)-MATCH($F$1,enemy_skill_triggers!$1:$1,0)+1,FALSE)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3" s="151" t="str">
        <f ca="1">VLOOKUP($F103,OFFSET(enemy_skill_triggers!$A$1,0,0,COUNTA(enemy_skill_triggers!$A:$A),MATCH(M$1,enemy_skill_triggers!$1:$1,0)-MATCH($F$1,enemy_skill_triggers!$1:$1,0)+1),MATCH(M$1,enemy_skill_triggers!$1:$1,0)-MATCH($F$1,enemy_skill_triggers!$1:$1,0)+1,FALSE)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3" s="151">
        <f ca="1">VLOOKUP($F103,OFFSET(enemy_skill_triggers!$A$1,0,0,COUNTA(enemy_skill_triggers!$A:$A),MATCH(N$1,enemy_skill_triggers!$1:$1,0)-MATCH($F$1,enemy_skill_triggers!$1:$1,0)+1),MATCH(N$1,enemy_skill_triggers!$1:$1,0)-MATCH($F$1,enemy_skill_triggers!$1:$1,0)+1,FALSE)</f>
        <v>1116</v>
      </c>
      <c r="O103" s="151">
        <f ca="1">VLOOKUP($F103,OFFSET(enemy_skill_triggers!$A$1,0,0,COUNTA(enemy_skill_triggers!$A:$A),MATCH(O$1,enemy_skill_triggers!$1:$1,0)-MATCH($F$1,enemy_skill_triggers!$1:$1,0)+1),MATCH(O$1,enemy_skill_triggers!$1:$1,0)-MATCH($F$1,enemy_skill_triggers!$1:$1,0)+1,FALSE)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3" s="147"/>
      <c r="Q103" s="147"/>
      <c r="R103" s="147"/>
    </row>
    <row r="104" spans="1:18" ht="21" customHeight="1" x14ac:dyDescent="0.15">
      <c r="A104" s="39" t="str">
        <f t="shared" si="10"/>
        <v>40043010_40043085</v>
      </c>
      <c r="B104" s="47">
        <v>40043010</v>
      </c>
      <c r="C104" s="199">
        <v>40043085</v>
      </c>
      <c r="D104" s="46" t="str">
        <f ca="1">VLOOKUP($C104,OFFSET(enemy_skills!$A$1,0,0,COUNTA(enemy_skills!$A:$A),MATCH(D$1,enemy_skills!$1:$1,0)-MATCH("enemy_skill_id",enemy_skills!$1:$1,0)+1),MATCH(D$1,enemy_skills!$1:$1,0)-MATCH("enemy_skill_id",enemy_skills!$1:$1,0)+1,FALSE)</f>
        <v>『…おヒメ…ちゃん？』</v>
      </c>
      <c r="E104" s="46" t="str">
        <f ca="1">VLOOKUP($C104,OFFSET(enemy_skills!$A$1,0,0,COUNTA(enemy_skills!$A:$A),MATCH(E$1,enemy_skills!$1:$1,0)-MATCH("enemy_skill_id",enemy_skills!$1:$1,0)+1),MATCH(E$1,enemy_skills!$1:$1,0)-MATCH("enemy_skill_id",enemy_skills!$1:$1,0)+1,FALSE)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104" s="196">
        <v>40043085</v>
      </c>
      <c r="G104" s="48">
        <f ca="1">VLOOKUP($F104,OFFSET(enemy_skill_triggers!$A$1,0,0,COUNTA(enemy_skill_triggers!$A:$A),MATCH(G$1,enemy_skill_triggers!$1:$1,0)-MATCH($F$1,enemy_skill_triggers!$1:$1,0)+1),MATCH(G$1,enemy_skill_triggers!$1:$1,0)-MATCH($F$1,enemy_skill_triggers!$1:$1,0)+1,FALSE)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4" s="48">
        <f ca="1">VLOOKUP($F104,OFFSET(enemy_skill_triggers!$A$1,0,0,COUNTA(enemy_skill_triggers!$A:$A),MATCH(H$1,enemy_skill_triggers!$1:$1,0)-MATCH($F$1,enemy_skill_triggers!$1:$1,0)+1),MATCH(H$1,enemy_skill_triggers!$1:$1,0)-MATCH($F$1,enemy_skill_triggers!$1:$1,0)+1,FALSE)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04" s="48">
        <f ca="1">VLOOKUP($F104,OFFSET(enemy_skill_triggers!$A$1,0,0,COUNTA(enemy_skill_triggers!$A:$A),MATCH(I$1,enemy_skill_triggers!$1:$1,0)-MATCH($F$1,enemy_skill_triggers!$1:$1,0)+1),MATCH(I$1,enemy_skill_triggers!$1:$1,0)-MATCH($F$1,enemy_skill_triggers!$1:$1,0)+1,FALSE)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4" s="48" t="str">
        <f ca="1">VLOOKUP($F104,OFFSET(enemy_skill_triggers!$A$1,0,0,COUNTA(enemy_skill_triggers!$A:$A),MATCH(J$1,enemy_skill_triggers!$1:$1,0)-MATCH($F$1,enemy_skill_triggers!$1:$1,0)+1),MATCH(J$1,enemy_skill_triggers!$1:$1,0)-MATCH($F$1,enemy_skill_triggers!$1:$1,0)+1,FALSE)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4" s="48" t="str">
        <f ca="1">VLOOKUP($F104,OFFSET(enemy_skill_triggers!$A$1,0,0,COUNTA(enemy_skill_triggers!$A:$A),MATCH(K$1,enemy_skill_triggers!$1:$1,0)-MATCH($F$1,enemy_skill_triggers!$1:$1,0)+1),MATCH(K$1,enemy_skill_triggers!$1:$1,0)-MATCH($F$1,enemy_skill_triggers!$1:$1,0)+1,FALSE)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4" s="48">
        <f ca="1">VLOOKUP($F104,OFFSET(enemy_skill_triggers!$A$1,0,0,COUNTA(enemy_skill_triggers!$A:$A),MATCH(L$1,enemy_skill_triggers!$1:$1,0)-MATCH($F$1,enemy_skill_triggers!$1:$1,0)+1),MATCH(L$1,enemy_skill_triggers!$1:$1,0)-MATCH($F$1,enemy_skill_triggers!$1:$1,0)+1,FALSE)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4" s="48" t="str">
        <f ca="1">VLOOKUP($F104,OFFSET(enemy_skill_triggers!$A$1,0,0,COUNTA(enemy_skill_triggers!$A:$A),MATCH(M$1,enemy_skill_triggers!$1:$1,0)-MATCH($F$1,enemy_skill_triggers!$1:$1,0)+1),MATCH(M$1,enemy_skill_triggers!$1:$1,0)-MATCH($F$1,enemy_skill_triggers!$1:$1,0)+1,FALSE)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4" s="48">
        <f ca="1">VLOOKUP($F104,OFFSET(enemy_skill_triggers!$A$1,0,0,COUNTA(enemy_skill_triggers!$A:$A),MATCH(N$1,enemy_skill_triggers!$1:$1,0)-MATCH($F$1,enemy_skill_triggers!$1:$1,0)+1),MATCH(N$1,enemy_skill_triggers!$1:$1,0)-MATCH($F$1,enemy_skill_triggers!$1:$1,0)+1,FALSE)</f>
        <v>1332</v>
      </c>
      <c r="O104" s="48">
        <f ca="1">VLOOKUP($F104,OFFSET(enemy_skill_triggers!$A$1,0,0,COUNTA(enemy_skill_triggers!$A:$A),MATCH(O$1,enemy_skill_triggers!$1:$1,0)-MATCH($F$1,enemy_skill_triggers!$1:$1,0)+1),MATCH(O$1,enemy_skill_triggers!$1:$1,0)-MATCH($F$1,enemy_skill_triggers!$1:$1,0)+1,FALSE)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4" s="47"/>
      <c r="Q104" s="47"/>
      <c r="R104" s="47"/>
    </row>
    <row r="105" spans="1:18" ht="21" customHeight="1" thickBot="1" x14ac:dyDescent="0.2">
      <c r="A105" s="39" t="str">
        <f t="shared" si="10"/>
        <v>40043010_40043085</v>
      </c>
      <c r="B105" s="47">
        <v>40043010</v>
      </c>
      <c r="C105" s="198">
        <v>40043085</v>
      </c>
      <c r="D105" s="176" t="str">
        <f ca="1">VLOOKUP($C105,OFFSET(enemy_skills!$A$1,0,0,COUNTA(enemy_skills!$A:$A),MATCH(D$1,enemy_skills!$1:$1,0)-MATCH("enemy_skill_id",enemy_skills!$1:$1,0)+1),MATCH(D$1,enemy_skills!$1:$1,0)-MATCH("enemy_skill_id",enemy_skills!$1:$1,0)+1,FALSE)</f>
        <v>『…おヒメ…ちゃん？』</v>
      </c>
      <c r="E105" s="176" t="str">
        <f ca="1">VLOOKUP($C105,OFFSET(enemy_skills!$A$1,0,0,COUNTA(enemy_skills!$A:$A),MATCH(E$1,enemy_skills!$1:$1,0)-MATCH("enemy_skill_id",enemy_skills!$1:$1,0)+1),MATCH(E$1,enemy_skills!$1:$1,0)-MATCH("enemy_skill_id",enemy_skills!$1:$1,0)+1,FALSE)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105" s="198">
        <v>40043086</v>
      </c>
      <c r="G105" s="151">
        <f ca="1">VLOOKUP($F105,OFFSET(enemy_skill_triggers!$A$1,0,0,COUNTA(enemy_skill_triggers!$A:$A),MATCH(G$1,enemy_skill_triggers!$1:$1,0)-MATCH($F$1,enemy_skill_triggers!$1:$1,0)+1),MATCH(G$1,enemy_skill_triggers!$1:$1,0)-MATCH($F$1,enemy_skill_triggers!$1:$1,0)+1,FALSE)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5" s="151">
        <f ca="1">VLOOKUP($F105,OFFSET(enemy_skill_triggers!$A$1,0,0,COUNTA(enemy_skill_triggers!$A:$A),MATCH(H$1,enemy_skill_triggers!$1:$1,0)-MATCH($F$1,enemy_skill_triggers!$1:$1,0)+1),MATCH(H$1,enemy_skill_triggers!$1:$1,0)-MATCH($F$1,enemy_skill_triggers!$1:$1,0)+1,FALSE)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05" s="151">
        <f ca="1">VLOOKUP($F105,OFFSET(enemy_skill_triggers!$A$1,0,0,COUNTA(enemy_skill_triggers!$A:$A),MATCH(I$1,enemy_skill_triggers!$1:$1,0)-MATCH($F$1,enemy_skill_triggers!$1:$1,0)+1),MATCH(I$1,enemy_skill_triggers!$1:$1,0)-MATCH($F$1,enemy_skill_triggers!$1:$1,0)+1,FALSE)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5" s="151" t="str">
        <f ca="1">VLOOKUP($F105,OFFSET(enemy_skill_triggers!$A$1,0,0,COUNTA(enemy_skill_triggers!$A:$A),MATCH(J$1,enemy_skill_triggers!$1:$1,0)-MATCH($F$1,enemy_skill_triggers!$1:$1,0)+1),MATCH(J$1,enemy_skill_triggers!$1:$1,0)-MATCH($F$1,enemy_skill_triggers!$1:$1,0)+1,FALSE)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5" s="151" t="str">
        <f ca="1">VLOOKUP($F105,OFFSET(enemy_skill_triggers!$A$1,0,0,COUNTA(enemy_skill_triggers!$A:$A),MATCH(K$1,enemy_skill_triggers!$1:$1,0)-MATCH($F$1,enemy_skill_triggers!$1:$1,0)+1),MATCH(K$1,enemy_skill_triggers!$1:$1,0)-MATCH($F$1,enemy_skill_triggers!$1:$1,0)+1,FALSE)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5" s="151">
        <f ca="1">VLOOKUP($F105,OFFSET(enemy_skill_triggers!$A$1,0,0,COUNTA(enemy_skill_triggers!$A:$A),MATCH(L$1,enemy_skill_triggers!$1:$1,0)-MATCH($F$1,enemy_skill_triggers!$1:$1,0)+1),MATCH(L$1,enemy_skill_triggers!$1:$1,0)-MATCH($F$1,enemy_skill_triggers!$1:$1,0)+1,FALSE)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5" s="151" t="str">
        <f ca="1">VLOOKUP($F105,OFFSET(enemy_skill_triggers!$A$1,0,0,COUNTA(enemy_skill_triggers!$A:$A),MATCH(M$1,enemy_skill_triggers!$1:$1,0)-MATCH($F$1,enemy_skill_triggers!$1:$1,0)+1),MATCH(M$1,enemy_skill_triggers!$1:$1,0)-MATCH($F$1,enemy_skill_triggers!$1:$1,0)+1,FALSE)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5" s="151">
        <f ca="1">VLOOKUP($F105,OFFSET(enemy_skill_triggers!$A$1,0,0,COUNTA(enemy_skill_triggers!$A:$A),MATCH(N$1,enemy_skill_triggers!$1:$1,0)-MATCH($F$1,enemy_skill_triggers!$1:$1,0)+1),MATCH(N$1,enemy_skill_triggers!$1:$1,0)-MATCH($F$1,enemy_skill_triggers!$1:$1,0)+1,FALSE)</f>
        <v>1333</v>
      </c>
      <c r="O105" s="151">
        <f ca="1">VLOOKUP($F105,OFFSET(enemy_skill_triggers!$A$1,0,0,COUNTA(enemy_skill_triggers!$A:$A),MATCH(O$1,enemy_skill_triggers!$1:$1,0)-MATCH($F$1,enemy_skill_triggers!$1:$1,0)+1),MATCH(O$1,enemy_skill_triggers!$1:$1,0)-MATCH($F$1,enemy_skill_triggers!$1:$1,0)+1,FALSE)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5" s="47"/>
      <c r="Q105" s="47"/>
      <c r="R105" s="47"/>
    </row>
    <row r="106" spans="1:18" ht="21" customHeight="1" x14ac:dyDescent="0.15">
      <c r="A106" s="39" t="str">
        <f t="shared" si="10"/>
        <v>40043010_40043088</v>
      </c>
      <c r="B106" s="47">
        <v>40043010</v>
      </c>
      <c r="C106" s="199">
        <v>40043088</v>
      </c>
      <c r="D106" s="175" t="str">
        <f ca="1">VLOOKUP($C106,OFFSET(enemy_skills!$A$1,0,0,COUNTA(enemy_skills!$A:$A),MATCH(D$1,enemy_skills!$1:$1,0)-MATCH("enemy_skill_id",enemy_skills!$1:$1,0)+1),MATCH(D$1,enemy_skills!$1:$1,0)-MATCH("enemy_skill_id",enemy_skills!$1:$1,0)+1,FALSE)</f>
        <v>『おねえ…さま？』</v>
      </c>
      <c r="E106" s="175" t="str">
        <f ca="1">VLOOKUP($C106,OFFSET(enemy_skills!$A$1,0,0,COUNTA(enemy_skills!$A:$A),MATCH(E$1,enemy_skills!$1:$1,0)-MATCH("enemy_skill_id",enemy_skills!$1:$1,0)+1),MATCH(E$1,enemy_skills!$1:$1,0)-MATCH("enemy_skill_id",enemy_skills!$1:$1,0)+1,FALSE)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106" s="200">
        <v>40043091</v>
      </c>
      <c r="G106" s="145">
        <f ca="1">VLOOKUP($F106,OFFSET(enemy_skill_triggers!$A$1,0,0,COUNTA(enemy_skill_triggers!$A:$A),MATCH(G$1,enemy_skill_triggers!$1:$1,0)-MATCH($F$1,enemy_skill_triggers!$1:$1,0)+1),MATCH(G$1,enemy_skill_triggers!$1:$1,0)-MATCH($F$1,enemy_skill_triggers!$1:$1,0)+1,FALSE)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6" s="145">
        <f ca="1">VLOOKUP($F106,OFFSET(enemy_skill_triggers!$A$1,0,0,COUNTA(enemy_skill_triggers!$A:$A),MATCH(H$1,enemy_skill_triggers!$1:$1,0)-MATCH($F$1,enemy_skill_triggers!$1:$1,0)+1),MATCH(H$1,enemy_skill_triggers!$1:$1,0)-MATCH($F$1,enemy_skill_triggers!$1:$1,0)+1,FALSE)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06" s="145">
        <f ca="1">VLOOKUP($F106,OFFSET(enemy_skill_triggers!$A$1,0,0,COUNTA(enemy_skill_triggers!$A:$A),MATCH(I$1,enemy_skill_triggers!$1:$1,0)-MATCH($F$1,enemy_skill_triggers!$1:$1,0)+1),MATCH(I$1,enemy_skill_triggers!$1:$1,0)-MATCH($F$1,enemy_skill_triggers!$1:$1,0)+1,FALSE)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6" s="145" t="str">
        <f ca="1">VLOOKUP($F106,OFFSET(enemy_skill_triggers!$A$1,0,0,COUNTA(enemy_skill_triggers!$A:$A),MATCH(J$1,enemy_skill_triggers!$1:$1,0)-MATCH($F$1,enemy_skill_triggers!$1:$1,0)+1),MATCH(J$1,enemy_skill_triggers!$1:$1,0)-MATCH($F$1,enemy_skill_triggers!$1:$1,0)+1,FALSE)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6" s="145" t="str">
        <f ca="1">VLOOKUP($F106,OFFSET(enemy_skill_triggers!$A$1,0,0,COUNTA(enemy_skill_triggers!$A:$A),MATCH(K$1,enemy_skill_triggers!$1:$1,0)-MATCH($F$1,enemy_skill_triggers!$1:$1,0)+1),MATCH(K$1,enemy_skill_triggers!$1:$1,0)-MATCH($F$1,enemy_skill_triggers!$1:$1,0)+1,FALSE)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6" s="145">
        <f ca="1">VLOOKUP($F106,OFFSET(enemy_skill_triggers!$A$1,0,0,COUNTA(enemy_skill_triggers!$A:$A),MATCH(L$1,enemy_skill_triggers!$1:$1,0)-MATCH($F$1,enemy_skill_triggers!$1:$1,0)+1),MATCH(L$1,enemy_skill_triggers!$1:$1,0)-MATCH($F$1,enemy_skill_triggers!$1:$1,0)+1,FALSE)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6" s="145" t="str">
        <f ca="1">VLOOKUP($F106,OFFSET(enemy_skill_triggers!$A$1,0,0,COUNTA(enemy_skill_triggers!$A:$A),MATCH(M$1,enemy_skill_triggers!$1:$1,0)-MATCH($F$1,enemy_skill_triggers!$1:$1,0)+1),MATCH(M$1,enemy_skill_triggers!$1:$1,0)-MATCH($F$1,enemy_skill_triggers!$1:$1,0)+1,FALSE)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6" s="145">
        <f ca="1">VLOOKUP($F106,OFFSET(enemy_skill_triggers!$A$1,0,0,COUNTA(enemy_skill_triggers!$A:$A),MATCH(N$1,enemy_skill_triggers!$1:$1,0)-MATCH($F$1,enemy_skill_triggers!$1:$1,0)+1),MATCH(N$1,enemy_skill_triggers!$1:$1,0)-MATCH($F$1,enemy_skill_triggers!$1:$1,0)+1,FALSE)</f>
        <v>278</v>
      </c>
      <c r="O106" s="145">
        <f ca="1">VLOOKUP($F106,OFFSET(enemy_skill_triggers!$A$1,0,0,COUNTA(enemy_skill_triggers!$A:$A),MATCH(O$1,enemy_skill_triggers!$1:$1,0)-MATCH($F$1,enemy_skill_triggers!$1:$1,0)+1),MATCH(O$1,enemy_skill_triggers!$1:$1,0)-MATCH($F$1,enemy_skill_triggers!$1:$1,0)+1,FALSE)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6" s="47"/>
      <c r="Q106" s="47"/>
      <c r="R106" s="47"/>
    </row>
    <row r="107" spans="1:18" ht="21" customHeight="1" x14ac:dyDescent="0.15">
      <c r="A107" s="39" t="str">
        <f t="shared" si="10"/>
        <v>40043010_40043088</v>
      </c>
      <c r="B107" s="47">
        <v>40043010</v>
      </c>
      <c r="C107" s="197">
        <v>40043088</v>
      </c>
      <c r="D107" s="46" t="str">
        <f ca="1">VLOOKUP($C107,OFFSET(enemy_skills!$A$1,0,0,COUNTA(enemy_skills!$A:$A),MATCH(D$1,enemy_skills!$1:$1,0)-MATCH("enemy_skill_id",enemy_skills!$1:$1,0)+1),MATCH(D$1,enemy_skills!$1:$1,0)-MATCH("enemy_skill_id",enemy_skills!$1:$1,0)+1,FALSE)</f>
        <v>『おねえ…さま？』</v>
      </c>
      <c r="E107" s="46" t="str">
        <f ca="1">VLOOKUP($C107,OFFSET(enemy_skills!$A$1,0,0,COUNTA(enemy_skills!$A:$A),MATCH(E$1,enemy_skills!$1:$1,0)-MATCH("enemy_skill_id",enemy_skills!$1:$1,0)+1),MATCH(E$1,enemy_skills!$1:$1,0)-MATCH("enemy_skill_id",enemy_skills!$1:$1,0)+1,FALSE)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107" s="196">
        <v>40043092</v>
      </c>
      <c r="G107" s="48">
        <f ca="1">VLOOKUP($F107,OFFSET(enemy_skill_triggers!$A$1,0,0,COUNTA(enemy_skill_triggers!$A:$A),MATCH(G$1,enemy_skill_triggers!$1:$1,0)-MATCH($F$1,enemy_skill_triggers!$1:$1,0)+1),MATCH(G$1,enemy_skill_triggers!$1:$1,0)-MATCH($F$1,enemy_skill_triggers!$1:$1,0)+1,FALSE)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7" s="48">
        <f ca="1">VLOOKUP($F107,OFFSET(enemy_skill_triggers!$A$1,0,0,COUNTA(enemy_skill_triggers!$A:$A),MATCH(H$1,enemy_skill_triggers!$1:$1,0)-MATCH($F$1,enemy_skill_triggers!$1:$1,0)+1),MATCH(H$1,enemy_skill_triggers!$1:$1,0)-MATCH($F$1,enemy_skill_triggers!$1:$1,0)+1,FALSE)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107" s="48">
        <f ca="1">VLOOKUP($F107,OFFSET(enemy_skill_triggers!$A$1,0,0,COUNTA(enemy_skill_triggers!$A:$A),MATCH(I$1,enemy_skill_triggers!$1:$1,0)-MATCH($F$1,enemy_skill_triggers!$1:$1,0)+1),MATCH(I$1,enemy_skill_triggers!$1:$1,0)-MATCH($F$1,enemy_skill_triggers!$1:$1,0)+1,FALSE)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7" s="48" t="str">
        <f ca="1">VLOOKUP($F107,OFFSET(enemy_skill_triggers!$A$1,0,0,COUNTA(enemy_skill_triggers!$A:$A),MATCH(J$1,enemy_skill_triggers!$1:$1,0)-MATCH($F$1,enemy_skill_triggers!$1:$1,0)+1),MATCH(J$1,enemy_skill_triggers!$1:$1,0)-MATCH($F$1,enemy_skill_triggers!$1:$1,0)+1,FALSE)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7" s="48" t="str">
        <f ca="1">VLOOKUP($F107,OFFSET(enemy_skill_triggers!$A$1,0,0,COUNTA(enemy_skill_triggers!$A:$A),MATCH(K$1,enemy_skill_triggers!$1:$1,0)-MATCH($F$1,enemy_skill_triggers!$1:$1,0)+1),MATCH(K$1,enemy_skill_triggers!$1:$1,0)-MATCH($F$1,enemy_skill_triggers!$1:$1,0)+1,FALSE)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7" s="48">
        <f ca="1">VLOOKUP($F107,OFFSET(enemy_skill_triggers!$A$1,0,0,COUNTA(enemy_skill_triggers!$A:$A),MATCH(L$1,enemy_skill_triggers!$1:$1,0)-MATCH($F$1,enemy_skill_triggers!$1:$1,0)+1),MATCH(L$1,enemy_skill_triggers!$1:$1,0)-MATCH($F$1,enemy_skill_triggers!$1:$1,0)+1,FALSE)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7" s="48" t="str">
        <f ca="1">VLOOKUP($F107,OFFSET(enemy_skill_triggers!$A$1,0,0,COUNTA(enemy_skill_triggers!$A:$A),MATCH(M$1,enemy_skill_triggers!$1:$1,0)-MATCH($F$1,enemy_skill_triggers!$1:$1,0)+1),MATCH(M$1,enemy_skill_triggers!$1:$1,0)-MATCH($F$1,enemy_skill_triggers!$1:$1,0)+1,FALSE)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7" s="48">
        <f ca="1">VLOOKUP($F107,OFFSET(enemy_skill_triggers!$A$1,0,0,COUNTA(enemy_skill_triggers!$A:$A),MATCH(N$1,enemy_skill_triggers!$1:$1,0)-MATCH($F$1,enemy_skill_triggers!$1:$1,0)+1),MATCH(N$1,enemy_skill_triggers!$1:$1,0)-MATCH($F$1,enemy_skill_triggers!$1:$1,0)+1,FALSE)</f>
        <v>279</v>
      </c>
      <c r="O107" s="48">
        <f ca="1">VLOOKUP($F107,OFFSET(enemy_skill_triggers!$A$1,0,0,COUNTA(enemy_skill_triggers!$A:$A),MATCH(O$1,enemy_skill_triggers!$1:$1,0)-MATCH($F$1,enemy_skill_triggers!$1:$1,0)+1),MATCH(O$1,enemy_skill_triggers!$1:$1,0)-MATCH($F$1,enemy_skill_triggers!$1:$1,0)+1,FALSE)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7" s="47"/>
      <c r="Q107" s="47"/>
      <c r="R107" s="47"/>
    </row>
    <row r="108" spans="1:18" ht="21" customHeight="1" x14ac:dyDescent="0.15">
      <c r="A108" s="39" t="str">
        <f t="shared" si="10"/>
        <v>40043010_40043088</v>
      </c>
      <c r="B108" s="47">
        <v>40043010</v>
      </c>
      <c r="C108" s="197">
        <v>40043088</v>
      </c>
      <c r="D108" s="46" t="str">
        <f ca="1">VLOOKUP($C108,OFFSET(enemy_skills!$A$1,0,0,COUNTA(enemy_skills!$A:$A),MATCH(D$1,enemy_skills!$1:$1,0)-MATCH("enemy_skill_id",enemy_skills!$1:$1,0)+1),MATCH(D$1,enemy_skills!$1:$1,0)-MATCH("enemy_skill_id",enemy_skills!$1:$1,0)+1,FALSE)</f>
        <v>『おねえ…さま？』</v>
      </c>
      <c r="E108" s="46" t="str">
        <f ca="1">VLOOKUP($C108,OFFSET(enemy_skills!$A$1,0,0,COUNTA(enemy_skills!$A:$A),MATCH(E$1,enemy_skills!$1:$1,0)-MATCH("enemy_skill_id",enemy_skills!$1:$1,0)+1),MATCH(E$1,enemy_skills!$1:$1,0)-MATCH("enemy_skill_id",enemy_skills!$1:$1,0)+1,FALSE)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108" s="196">
        <v>40043093</v>
      </c>
      <c r="G108" s="48">
        <f ca="1">VLOOKUP($F108,OFFSET(enemy_skill_triggers!$A$1,0,0,COUNTA(enemy_skill_triggers!$A:$A),MATCH(G$1,enemy_skill_triggers!$1:$1,0)-MATCH($F$1,enemy_skill_triggers!$1:$1,0)+1),MATCH(G$1,enemy_skill_triggers!$1:$1,0)-MATCH($F$1,enemy_skill_triggers!$1:$1,0)+1,FALSE)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8" s="48">
        <f ca="1">VLOOKUP($F108,OFFSET(enemy_skill_triggers!$A$1,0,0,COUNTA(enemy_skill_triggers!$A:$A),MATCH(H$1,enemy_skill_triggers!$1:$1,0)-MATCH($F$1,enemy_skill_triggers!$1:$1,0)+1),MATCH(H$1,enemy_skill_triggers!$1:$1,0)-MATCH($F$1,enemy_skill_triggers!$1:$1,0)+1,FALSE)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108" s="48">
        <f ca="1">VLOOKUP($F108,OFFSET(enemy_skill_triggers!$A$1,0,0,COUNTA(enemy_skill_triggers!$A:$A),MATCH(I$1,enemy_skill_triggers!$1:$1,0)-MATCH($F$1,enemy_skill_triggers!$1:$1,0)+1),MATCH(I$1,enemy_skill_triggers!$1:$1,0)-MATCH($F$1,enemy_skill_triggers!$1:$1,0)+1,FALSE)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8" s="48" t="str">
        <f ca="1">VLOOKUP($F108,OFFSET(enemy_skill_triggers!$A$1,0,0,COUNTA(enemy_skill_triggers!$A:$A),MATCH(J$1,enemy_skill_triggers!$1:$1,0)-MATCH($F$1,enemy_skill_triggers!$1:$1,0)+1),MATCH(J$1,enemy_skill_triggers!$1:$1,0)-MATCH($F$1,enemy_skill_triggers!$1:$1,0)+1,FALSE)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8" s="48" t="str">
        <f ca="1">VLOOKUP($F108,OFFSET(enemy_skill_triggers!$A$1,0,0,COUNTA(enemy_skill_triggers!$A:$A),MATCH(K$1,enemy_skill_triggers!$1:$1,0)-MATCH($F$1,enemy_skill_triggers!$1:$1,0)+1),MATCH(K$1,enemy_skill_triggers!$1:$1,0)-MATCH($F$1,enemy_skill_triggers!$1:$1,0)+1,FALSE)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8" s="48">
        <f ca="1">VLOOKUP($F108,OFFSET(enemy_skill_triggers!$A$1,0,0,COUNTA(enemy_skill_triggers!$A:$A),MATCH(L$1,enemy_skill_triggers!$1:$1,0)-MATCH($F$1,enemy_skill_triggers!$1:$1,0)+1),MATCH(L$1,enemy_skill_triggers!$1:$1,0)-MATCH($F$1,enemy_skill_triggers!$1:$1,0)+1,FALSE)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8" s="48" t="str">
        <f ca="1">VLOOKUP($F108,OFFSET(enemy_skill_triggers!$A$1,0,0,COUNTA(enemy_skill_triggers!$A:$A),MATCH(M$1,enemy_skill_triggers!$1:$1,0)-MATCH($F$1,enemy_skill_triggers!$1:$1,0)+1),MATCH(M$1,enemy_skill_triggers!$1:$1,0)-MATCH($F$1,enemy_skill_triggers!$1:$1,0)+1,FALSE)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8" s="48">
        <f ca="1">VLOOKUP($F108,OFFSET(enemy_skill_triggers!$A$1,0,0,COUNTA(enemy_skill_triggers!$A:$A),MATCH(N$1,enemy_skill_triggers!$1:$1,0)-MATCH($F$1,enemy_skill_triggers!$1:$1,0)+1),MATCH(N$1,enemy_skill_triggers!$1:$1,0)-MATCH($F$1,enemy_skill_triggers!$1:$1,0)+1,FALSE)</f>
        <v>810</v>
      </c>
      <c r="O108" s="48">
        <f ca="1">VLOOKUP($F108,OFFSET(enemy_skill_triggers!$A$1,0,0,COUNTA(enemy_skill_triggers!$A:$A),MATCH(O$1,enemy_skill_triggers!$1:$1,0)-MATCH($F$1,enemy_skill_triggers!$1:$1,0)+1),MATCH(O$1,enemy_skill_triggers!$1:$1,0)-MATCH($F$1,enemy_skill_triggers!$1:$1,0)+1,FALSE)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8" s="47"/>
      <c r="Q108" s="47"/>
      <c r="R108" s="47"/>
    </row>
    <row r="109" spans="1:18" ht="21" customHeight="1" thickBot="1" x14ac:dyDescent="0.2">
      <c r="A109" s="169" t="str">
        <f t="shared" si="10"/>
        <v>40043010_40043088</v>
      </c>
      <c r="B109" s="47">
        <v>40043010</v>
      </c>
      <c r="C109" s="198">
        <v>40043088</v>
      </c>
      <c r="D109" s="176" t="str">
        <f ca="1">VLOOKUP($C109,OFFSET(enemy_skills!$A$1,0,0,COUNTA(enemy_skills!$A:$A),MATCH(D$1,enemy_skills!$1:$1,0)-MATCH("enemy_skill_id",enemy_skills!$1:$1,0)+1),MATCH(D$1,enemy_skills!$1:$1,0)-MATCH("enemy_skill_id",enemy_skills!$1:$1,0)+1,FALSE)</f>
        <v>『おねえ…さま？』</v>
      </c>
      <c r="E109" s="176" t="str">
        <f ca="1">VLOOKUP($C109,OFFSET(enemy_skills!$A$1,0,0,COUNTA(enemy_skills!$A:$A),MATCH(E$1,enemy_skills!$1:$1,0)-MATCH("enemy_skill_id",enemy_skills!$1:$1,0)+1),MATCH(E$1,enemy_skills!$1:$1,0)-MATCH("enemy_skill_id",enemy_skills!$1:$1,0)+1,FALSE)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109" s="198">
        <v>40043094</v>
      </c>
      <c r="G109" s="151">
        <f ca="1">VLOOKUP($F109,OFFSET(enemy_skill_triggers!$A$1,0,0,COUNTA(enemy_skill_triggers!$A:$A),MATCH(G$1,enemy_skill_triggers!$1:$1,0)-MATCH($F$1,enemy_skill_triggers!$1:$1,0)+1),MATCH(G$1,enemy_skill_triggers!$1:$1,0)-MATCH($F$1,enemy_skill_triggers!$1:$1,0)+1,FALSE)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9" s="151">
        <f ca="1">VLOOKUP($F109,OFFSET(enemy_skill_triggers!$A$1,0,0,COUNTA(enemy_skill_triggers!$A:$A),MATCH(H$1,enemy_skill_triggers!$1:$1,0)-MATCH($F$1,enemy_skill_triggers!$1:$1,0)+1),MATCH(H$1,enemy_skill_triggers!$1:$1,0)-MATCH($F$1,enemy_skill_triggers!$1:$1,0)+1,FALSE)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109" s="151">
        <f ca="1">VLOOKUP($F109,OFFSET(enemy_skill_triggers!$A$1,0,0,COUNTA(enemy_skill_triggers!$A:$A),MATCH(I$1,enemy_skill_triggers!$1:$1,0)-MATCH($F$1,enemy_skill_triggers!$1:$1,0)+1),MATCH(I$1,enemy_skill_triggers!$1:$1,0)-MATCH($F$1,enemy_skill_triggers!$1:$1,0)+1,FALSE)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9" s="151" t="str">
        <f ca="1">VLOOKUP($F109,OFFSET(enemy_skill_triggers!$A$1,0,0,COUNTA(enemy_skill_triggers!$A:$A),MATCH(J$1,enemy_skill_triggers!$1:$1,0)-MATCH($F$1,enemy_skill_triggers!$1:$1,0)+1),MATCH(J$1,enemy_skill_triggers!$1:$1,0)-MATCH($F$1,enemy_skill_triggers!$1:$1,0)+1,FALSE)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9" s="151" t="str">
        <f ca="1">VLOOKUP($F109,OFFSET(enemy_skill_triggers!$A$1,0,0,COUNTA(enemy_skill_triggers!$A:$A),MATCH(K$1,enemy_skill_triggers!$1:$1,0)-MATCH($F$1,enemy_skill_triggers!$1:$1,0)+1),MATCH(K$1,enemy_skill_triggers!$1:$1,0)-MATCH($F$1,enemy_skill_triggers!$1:$1,0)+1,FALSE)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9" s="151">
        <f ca="1">VLOOKUP($F109,OFFSET(enemy_skill_triggers!$A$1,0,0,COUNTA(enemy_skill_triggers!$A:$A),MATCH(L$1,enemy_skill_triggers!$1:$1,0)-MATCH($F$1,enemy_skill_triggers!$1:$1,0)+1),MATCH(L$1,enemy_skill_triggers!$1:$1,0)-MATCH($F$1,enemy_skill_triggers!$1:$1,0)+1,FALSE)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9" s="151" t="str">
        <f ca="1">VLOOKUP($F109,OFFSET(enemy_skill_triggers!$A$1,0,0,COUNTA(enemy_skill_triggers!$A:$A),MATCH(M$1,enemy_skill_triggers!$1:$1,0)-MATCH($F$1,enemy_skill_triggers!$1:$1,0)+1),MATCH(M$1,enemy_skill_triggers!$1:$1,0)-MATCH($F$1,enemy_skill_triggers!$1:$1,0)+1,FALSE)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9" s="151">
        <f ca="1">VLOOKUP($F109,OFFSET(enemy_skill_triggers!$A$1,0,0,COUNTA(enemy_skill_triggers!$A:$A),MATCH(N$1,enemy_skill_triggers!$1:$1,0)-MATCH($F$1,enemy_skill_triggers!$1:$1,0)+1),MATCH(N$1,enemy_skill_triggers!$1:$1,0)-MATCH($F$1,enemy_skill_triggers!$1:$1,0)+1,FALSE)</f>
        <v>1116</v>
      </c>
      <c r="O109" s="151">
        <f ca="1">VLOOKUP($F109,OFFSET(enemy_skill_triggers!$A$1,0,0,COUNTA(enemy_skill_triggers!$A:$A),MATCH(O$1,enemy_skill_triggers!$1:$1,0)-MATCH($F$1,enemy_skill_triggers!$1:$1,0)+1),MATCH(O$1,enemy_skill_triggers!$1:$1,0)-MATCH($F$1,enemy_skill_triggers!$1:$1,0)+1,FALSE)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9" s="47"/>
      <c r="Q109" s="47"/>
      <c r="R109" s="47"/>
    </row>
    <row r="110" spans="1:18" ht="21" customHeight="1" x14ac:dyDescent="0.15">
      <c r="A110" s="39" t="str">
        <f t="shared" ref="A110:A115" si="11">B110&amp;"_"&amp;C110</f>
        <v>40043016_40043086</v>
      </c>
      <c r="B110" s="141">
        <v>40043016</v>
      </c>
      <c r="C110" s="199">
        <v>40043086</v>
      </c>
      <c r="D110" s="175" t="str">
        <f ca="1">VLOOKUP($C110,OFFSET(enemy_skills!$A$1,0,0,COUNTA(enemy_skills!$A:$A),MATCH(D$1,enemy_skills!$1:$1,0)-MATCH("enemy_skill_id",enemy_skills!$1:$1,0)+1),MATCH(D$1,enemy_skills!$1:$1,0)-MATCH("enemy_skill_id",enemy_skills!$1:$1,0)+1,FALSE)</f>
        <v>『なンでいじワルすルノ？』</v>
      </c>
      <c r="E110" s="175" t="str">
        <f ca="1">VLOOKUP($C110,OFFSET(enemy_skills!$A$1,0,0,COUNTA(enemy_skills!$A:$A),MATCH(E$1,enemy_skills!$1:$1,0)-MATCH("enemy_skill_id",enemy_skills!$1:$1,0)+1),MATCH(E$1,enemy_skills!$1:$1,0)-MATCH("enemy_skill_id",enemy_skills!$1:$1,0)+1,FALSE)</f>
        <v>状態異常耐性+4ターン自身の攻撃力UP</v>
      </c>
      <c r="F110" s="200">
        <v>40043087</v>
      </c>
      <c r="G110" s="145">
        <f ca="1">VLOOKUP($F110,OFFSET(enemy_skill_triggers!$A$1,0,0,COUNTA(enemy_skill_triggers!$A:$A),MATCH(G$1,enemy_skill_triggers!$1:$1,0)-MATCH($F$1,enemy_skill_triggers!$1:$1,0)+1),MATCH(G$1,enemy_skill_triggers!$1:$1,0)-MATCH($F$1,enemy_skill_triggers!$1:$1,0)+1,FALSE)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0" s="145">
        <f ca="1">VLOOKUP($F110,OFFSET(enemy_skill_triggers!$A$1,0,0,COUNTA(enemy_skill_triggers!$A:$A),MATCH(H$1,enemy_skill_triggers!$1:$1,0)-MATCH($F$1,enemy_skill_triggers!$1:$1,0)+1),MATCH(H$1,enemy_skill_triggers!$1:$1,0)-MATCH($F$1,enemy_skill_triggers!$1:$1,0)+1,FALSE)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10" s="145">
        <f ca="1">VLOOKUP($F110,OFFSET(enemy_skill_triggers!$A$1,0,0,COUNTA(enemy_skill_triggers!$A:$A),MATCH(I$1,enemy_skill_triggers!$1:$1,0)-MATCH($F$1,enemy_skill_triggers!$1:$1,0)+1),MATCH(I$1,enemy_skill_triggers!$1:$1,0)-MATCH($F$1,enemy_skill_triggers!$1:$1,0)+1,FALSE)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0" s="145" t="str">
        <f ca="1">VLOOKUP($F110,OFFSET(enemy_skill_triggers!$A$1,0,0,COUNTA(enemy_skill_triggers!$A:$A),MATCH(J$1,enemy_skill_triggers!$1:$1,0)-MATCH($F$1,enemy_skill_triggers!$1:$1,0)+1),MATCH(J$1,enemy_skill_triggers!$1:$1,0)-MATCH($F$1,enemy_skill_triggers!$1:$1,0)+1,FALSE)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0" s="145" t="str">
        <f ca="1">VLOOKUP($F110,OFFSET(enemy_skill_triggers!$A$1,0,0,COUNTA(enemy_skill_triggers!$A:$A),MATCH(K$1,enemy_skill_triggers!$1:$1,0)-MATCH($F$1,enemy_skill_triggers!$1:$1,0)+1),MATCH(K$1,enemy_skill_triggers!$1:$1,0)-MATCH($F$1,enemy_skill_triggers!$1:$1,0)+1,FALSE)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0" s="145">
        <f ca="1">VLOOKUP($F110,OFFSET(enemy_skill_triggers!$A$1,0,0,COUNTA(enemy_skill_triggers!$A:$A),MATCH(L$1,enemy_skill_triggers!$1:$1,0)-MATCH($F$1,enemy_skill_triggers!$1:$1,0)+1),MATCH(L$1,enemy_skill_triggers!$1:$1,0)-MATCH($F$1,enemy_skill_triggers!$1:$1,0)+1,FALSE)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0" s="145" t="str">
        <f ca="1">VLOOKUP($F110,OFFSET(enemy_skill_triggers!$A$1,0,0,COUNTA(enemy_skill_triggers!$A:$A),MATCH(M$1,enemy_skill_triggers!$1:$1,0)-MATCH($F$1,enemy_skill_triggers!$1:$1,0)+1),MATCH(M$1,enemy_skill_triggers!$1:$1,0)-MATCH($F$1,enemy_skill_triggers!$1:$1,0)+1,FALSE)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0" s="145">
        <f ca="1">VLOOKUP($F110,OFFSET(enemy_skill_triggers!$A$1,0,0,COUNTA(enemy_skill_triggers!$A:$A),MATCH(N$1,enemy_skill_triggers!$1:$1,0)-MATCH($F$1,enemy_skill_triggers!$1:$1,0)+1),MATCH(N$1,enemy_skill_triggers!$1:$1,0)-MATCH($F$1,enemy_skill_triggers!$1:$1,0)+1,FALSE)</f>
        <v>1332</v>
      </c>
      <c r="O110" s="145">
        <f ca="1">VLOOKUP($F110,OFFSET(enemy_skill_triggers!$A$1,0,0,COUNTA(enemy_skill_triggers!$A:$A),MATCH(O$1,enemy_skill_triggers!$1:$1,0)-MATCH($F$1,enemy_skill_triggers!$1:$1,0)+1),MATCH(O$1,enemy_skill_triggers!$1:$1,0)-MATCH($F$1,enemy_skill_triggers!$1:$1,0)+1,FALSE)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0" s="141"/>
      <c r="Q110" s="141"/>
      <c r="R110" s="141"/>
    </row>
    <row r="111" spans="1:18" ht="21" customHeight="1" thickBot="1" x14ac:dyDescent="0.2">
      <c r="A111" s="39" t="str">
        <f t="shared" si="11"/>
        <v>40043016_40043086</v>
      </c>
      <c r="B111" s="141">
        <v>40043016</v>
      </c>
      <c r="C111" s="198">
        <v>40043086</v>
      </c>
      <c r="D111" s="176" t="str">
        <f ca="1">VLOOKUP($C111,OFFSET(enemy_skills!$A$1,0,0,COUNTA(enemy_skills!$A:$A),MATCH(D$1,enemy_skills!$1:$1,0)-MATCH("enemy_skill_id",enemy_skills!$1:$1,0)+1),MATCH(D$1,enemy_skills!$1:$1,0)-MATCH("enemy_skill_id",enemy_skills!$1:$1,0)+1,FALSE)</f>
        <v>『なンでいじワルすルノ？』</v>
      </c>
      <c r="E111" s="176" t="str">
        <f ca="1">VLOOKUP($C111,OFFSET(enemy_skills!$A$1,0,0,COUNTA(enemy_skills!$A:$A),MATCH(E$1,enemy_skills!$1:$1,0)-MATCH("enemy_skill_id",enemy_skills!$1:$1,0)+1),MATCH(E$1,enemy_skills!$1:$1,0)-MATCH("enemy_skill_id",enemy_skills!$1:$1,0)+1,FALSE)</f>
        <v>状態異常耐性+4ターン自身の攻撃力UP</v>
      </c>
      <c r="F111" s="198">
        <v>40043088</v>
      </c>
      <c r="G111" s="151">
        <f ca="1">VLOOKUP($F111,OFFSET(enemy_skill_triggers!$A$1,0,0,COUNTA(enemy_skill_triggers!$A:$A),MATCH(G$1,enemy_skill_triggers!$1:$1,0)-MATCH($F$1,enemy_skill_triggers!$1:$1,0)+1),MATCH(G$1,enemy_skill_triggers!$1:$1,0)-MATCH($F$1,enemy_skill_triggers!$1:$1,0)+1,FALSE)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1" s="151">
        <f ca="1">VLOOKUP($F111,OFFSET(enemy_skill_triggers!$A$1,0,0,COUNTA(enemy_skill_triggers!$A:$A),MATCH(H$1,enemy_skill_triggers!$1:$1,0)-MATCH($F$1,enemy_skill_triggers!$1:$1,0)+1),MATCH(H$1,enemy_skill_triggers!$1:$1,0)-MATCH($F$1,enemy_skill_triggers!$1:$1,0)+1,FALSE)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111" s="151">
        <f ca="1">VLOOKUP($F111,OFFSET(enemy_skill_triggers!$A$1,0,0,COUNTA(enemy_skill_triggers!$A:$A),MATCH(I$1,enemy_skill_triggers!$1:$1,0)-MATCH($F$1,enemy_skill_triggers!$1:$1,0)+1),MATCH(I$1,enemy_skill_triggers!$1:$1,0)-MATCH($F$1,enemy_skill_triggers!$1:$1,0)+1,FALSE)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1" s="151" t="str">
        <f ca="1">VLOOKUP($F111,OFFSET(enemy_skill_triggers!$A$1,0,0,COUNTA(enemy_skill_triggers!$A:$A),MATCH(J$1,enemy_skill_triggers!$1:$1,0)-MATCH($F$1,enemy_skill_triggers!$1:$1,0)+1),MATCH(J$1,enemy_skill_triggers!$1:$1,0)-MATCH($F$1,enemy_skill_triggers!$1:$1,0)+1,FALSE)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1" s="151" t="str">
        <f ca="1">VLOOKUP($F111,OFFSET(enemy_skill_triggers!$A$1,0,0,COUNTA(enemy_skill_triggers!$A:$A),MATCH(K$1,enemy_skill_triggers!$1:$1,0)-MATCH($F$1,enemy_skill_triggers!$1:$1,0)+1),MATCH(K$1,enemy_skill_triggers!$1:$1,0)-MATCH($F$1,enemy_skill_triggers!$1:$1,0)+1,FALSE)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1" s="151">
        <f ca="1">VLOOKUP($F111,OFFSET(enemy_skill_triggers!$A$1,0,0,COUNTA(enemy_skill_triggers!$A:$A),MATCH(L$1,enemy_skill_triggers!$1:$1,0)-MATCH($F$1,enemy_skill_triggers!$1:$1,0)+1),MATCH(L$1,enemy_skill_triggers!$1:$1,0)-MATCH($F$1,enemy_skill_triggers!$1:$1,0)+1,FALSE)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1" s="151" t="str">
        <f ca="1">VLOOKUP($F111,OFFSET(enemy_skill_triggers!$A$1,0,0,COUNTA(enemy_skill_triggers!$A:$A),MATCH(M$1,enemy_skill_triggers!$1:$1,0)-MATCH($F$1,enemy_skill_triggers!$1:$1,0)+1),MATCH(M$1,enemy_skill_triggers!$1:$1,0)-MATCH($F$1,enemy_skill_triggers!$1:$1,0)+1,FALSE)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1" s="151">
        <f ca="1">VLOOKUP($F111,OFFSET(enemy_skill_triggers!$A$1,0,0,COUNTA(enemy_skill_triggers!$A:$A),MATCH(N$1,enemy_skill_triggers!$1:$1,0)-MATCH($F$1,enemy_skill_triggers!$1:$1,0)+1),MATCH(N$1,enemy_skill_triggers!$1:$1,0)-MATCH($F$1,enemy_skill_triggers!$1:$1,0)+1,FALSE)</f>
        <v>1333</v>
      </c>
      <c r="O111" s="151">
        <f ca="1">VLOOKUP($F111,OFFSET(enemy_skill_triggers!$A$1,0,0,COUNTA(enemy_skill_triggers!$A:$A),MATCH(O$1,enemy_skill_triggers!$1:$1,0)-MATCH($F$1,enemy_skill_triggers!$1:$1,0)+1),MATCH(O$1,enemy_skill_triggers!$1:$1,0)-MATCH($F$1,enemy_skill_triggers!$1:$1,0)+1,FALSE)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1" s="147"/>
      <c r="Q111" s="147"/>
      <c r="R111" s="147"/>
    </row>
    <row r="112" spans="1:18" ht="21" customHeight="1" x14ac:dyDescent="0.15">
      <c r="A112" s="39" t="str">
        <f t="shared" si="11"/>
        <v>40043016_40043089</v>
      </c>
      <c r="B112" s="141">
        <v>40043016</v>
      </c>
      <c r="C112" s="199">
        <v>40043089</v>
      </c>
      <c r="D112" s="175" t="str">
        <f ca="1">VLOOKUP($C112,OFFSET(enemy_skills!$A$1,0,0,COUNTA(enemy_skills!$A:$A),MATCH(D$1,enemy_skills!$1:$1,0)-MATCH("enemy_skill_id",enemy_skills!$1:$1,0)+1),MATCH(D$1,enemy_skills!$1:$1,0)-MATCH("enemy_skill_id",enemy_skills!$1:$1,0)+1,FALSE)</f>
        <v>『おねえさまオコっテる？』</v>
      </c>
      <c r="E112" s="175" t="str">
        <f ca="1">VLOOKUP($C112,OFFSET(enemy_skills!$A$1,0,0,COUNTA(enemy_skills!$A:$A),MATCH(E$1,enemy_skills!$1:$1,0)-MATCH("enemy_skill_id",enemy_skills!$1:$1,0)+1),MATCH(E$1,enemy_skills!$1:$1,0)-MATCH("enemy_skill_id",enemy_skills!$1:$1,0)+1,FALSE)</f>
        <v>状態異常耐性+4ターン自身の攻撃力UP</v>
      </c>
      <c r="F112" s="200">
        <v>40043095</v>
      </c>
      <c r="G112" s="145">
        <f ca="1">VLOOKUP($F112,OFFSET(enemy_skill_triggers!$A$1,0,0,COUNTA(enemy_skill_triggers!$A:$A),MATCH(G$1,enemy_skill_triggers!$1:$1,0)-MATCH($F$1,enemy_skill_triggers!$1:$1,0)+1),MATCH(G$1,enemy_skill_triggers!$1:$1,0)-MATCH($F$1,enemy_skill_triggers!$1:$1,0)+1,FALSE)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2" s="145">
        <f ca="1">VLOOKUP($F112,OFFSET(enemy_skill_triggers!$A$1,0,0,COUNTA(enemy_skill_triggers!$A:$A),MATCH(H$1,enemy_skill_triggers!$1:$1,0)-MATCH($F$1,enemy_skill_triggers!$1:$1,0)+1),MATCH(H$1,enemy_skill_triggers!$1:$1,0)-MATCH($F$1,enemy_skill_triggers!$1:$1,0)+1,FALSE)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112" s="145">
        <f ca="1">VLOOKUP($F112,OFFSET(enemy_skill_triggers!$A$1,0,0,COUNTA(enemy_skill_triggers!$A:$A),MATCH(I$1,enemy_skill_triggers!$1:$1,0)-MATCH($F$1,enemy_skill_triggers!$1:$1,0)+1),MATCH(I$1,enemy_skill_triggers!$1:$1,0)-MATCH($F$1,enemy_skill_triggers!$1:$1,0)+1,FALSE)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2" s="145" t="str">
        <f ca="1">VLOOKUP($F112,OFFSET(enemy_skill_triggers!$A$1,0,0,COUNTA(enemy_skill_triggers!$A:$A),MATCH(J$1,enemy_skill_triggers!$1:$1,0)-MATCH($F$1,enemy_skill_triggers!$1:$1,0)+1),MATCH(J$1,enemy_skill_triggers!$1:$1,0)-MATCH($F$1,enemy_skill_triggers!$1:$1,0)+1,FALSE)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2" s="145" t="str">
        <f ca="1">VLOOKUP($F112,OFFSET(enemy_skill_triggers!$A$1,0,0,COUNTA(enemy_skill_triggers!$A:$A),MATCH(K$1,enemy_skill_triggers!$1:$1,0)-MATCH($F$1,enemy_skill_triggers!$1:$1,0)+1),MATCH(K$1,enemy_skill_triggers!$1:$1,0)-MATCH($F$1,enemy_skill_triggers!$1:$1,0)+1,FALSE)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2" s="145">
        <f ca="1">VLOOKUP($F112,OFFSET(enemy_skill_triggers!$A$1,0,0,COUNTA(enemy_skill_triggers!$A:$A),MATCH(L$1,enemy_skill_triggers!$1:$1,0)-MATCH($F$1,enemy_skill_triggers!$1:$1,0)+1),MATCH(L$1,enemy_skill_triggers!$1:$1,0)-MATCH($F$1,enemy_skill_triggers!$1:$1,0)+1,FALSE)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2" s="145" t="str">
        <f ca="1">VLOOKUP($F112,OFFSET(enemy_skill_triggers!$A$1,0,0,COUNTA(enemy_skill_triggers!$A:$A),MATCH(M$1,enemy_skill_triggers!$1:$1,0)-MATCH($F$1,enemy_skill_triggers!$1:$1,0)+1),MATCH(M$1,enemy_skill_triggers!$1:$1,0)-MATCH($F$1,enemy_skill_triggers!$1:$1,0)+1,FALSE)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2" s="145">
        <f ca="1">VLOOKUP($F112,OFFSET(enemy_skill_triggers!$A$1,0,0,COUNTA(enemy_skill_triggers!$A:$A),MATCH(N$1,enemy_skill_triggers!$1:$1,0)-MATCH($F$1,enemy_skill_triggers!$1:$1,0)+1),MATCH(N$1,enemy_skill_triggers!$1:$1,0)-MATCH($F$1,enemy_skill_triggers!$1:$1,0)+1,FALSE)</f>
        <v>278</v>
      </c>
      <c r="O112" s="145">
        <f ca="1">VLOOKUP($F112,OFFSET(enemy_skill_triggers!$A$1,0,0,COUNTA(enemy_skill_triggers!$A:$A),MATCH(O$1,enemy_skill_triggers!$1:$1,0)-MATCH($F$1,enemy_skill_triggers!$1:$1,0)+1),MATCH(O$1,enemy_skill_triggers!$1:$1,0)-MATCH($F$1,enemy_skill_triggers!$1:$1,0)+1,FALSE)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2" s="141"/>
      <c r="Q112" s="141"/>
      <c r="R112" s="141"/>
    </row>
    <row r="113" spans="1:18" ht="21" customHeight="1" x14ac:dyDescent="0.15">
      <c r="A113" s="39" t="str">
        <f t="shared" si="11"/>
        <v>40043016_40043089</v>
      </c>
      <c r="B113" s="141">
        <v>40043016</v>
      </c>
      <c r="C113" s="197">
        <v>40043089</v>
      </c>
      <c r="D113" s="46" t="str">
        <f ca="1">VLOOKUP($C113,OFFSET(enemy_skills!$A$1,0,0,COUNTA(enemy_skills!$A:$A),MATCH(D$1,enemy_skills!$1:$1,0)-MATCH("enemy_skill_id",enemy_skills!$1:$1,0)+1),MATCH(D$1,enemy_skills!$1:$1,0)-MATCH("enemy_skill_id",enemy_skills!$1:$1,0)+1,FALSE)</f>
        <v>『おねえさまオコっテる？』</v>
      </c>
      <c r="E113" s="46" t="str">
        <f ca="1">VLOOKUP($C113,OFFSET(enemy_skills!$A$1,0,0,COUNTA(enemy_skills!$A:$A),MATCH(E$1,enemy_skills!$1:$1,0)-MATCH("enemy_skill_id",enemy_skills!$1:$1,0)+1),MATCH(E$1,enemy_skills!$1:$1,0)-MATCH("enemy_skill_id",enemy_skills!$1:$1,0)+1,FALSE)</f>
        <v>状態異常耐性+4ターン自身の攻撃力UP</v>
      </c>
      <c r="F113" s="196">
        <v>40043096</v>
      </c>
      <c r="G113" s="48">
        <f ca="1">VLOOKUP($F113,OFFSET(enemy_skill_triggers!$A$1,0,0,COUNTA(enemy_skill_triggers!$A:$A),MATCH(G$1,enemy_skill_triggers!$1:$1,0)-MATCH($F$1,enemy_skill_triggers!$1:$1,0)+1),MATCH(G$1,enemy_skill_triggers!$1:$1,0)-MATCH($F$1,enemy_skill_triggers!$1:$1,0)+1,FALSE)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3" s="48">
        <f ca="1">VLOOKUP($F113,OFFSET(enemy_skill_triggers!$A$1,0,0,COUNTA(enemy_skill_triggers!$A:$A),MATCH(H$1,enemy_skill_triggers!$1:$1,0)-MATCH($F$1,enemy_skill_triggers!$1:$1,0)+1),MATCH(H$1,enemy_skill_triggers!$1:$1,0)-MATCH($F$1,enemy_skill_triggers!$1:$1,0)+1,FALSE)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113" s="48">
        <f ca="1">VLOOKUP($F113,OFFSET(enemy_skill_triggers!$A$1,0,0,COUNTA(enemy_skill_triggers!$A:$A),MATCH(I$1,enemy_skill_triggers!$1:$1,0)-MATCH($F$1,enemy_skill_triggers!$1:$1,0)+1),MATCH(I$1,enemy_skill_triggers!$1:$1,0)-MATCH($F$1,enemy_skill_triggers!$1:$1,0)+1,FALSE)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3" s="48" t="str">
        <f ca="1">VLOOKUP($F113,OFFSET(enemy_skill_triggers!$A$1,0,0,COUNTA(enemy_skill_triggers!$A:$A),MATCH(J$1,enemy_skill_triggers!$1:$1,0)-MATCH($F$1,enemy_skill_triggers!$1:$1,0)+1),MATCH(J$1,enemy_skill_triggers!$1:$1,0)-MATCH($F$1,enemy_skill_triggers!$1:$1,0)+1,FALSE)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3" s="48" t="str">
        <f ca="1">VLOOKUP($F113,OFFSET(enemy_skill_triggers!$A$1,0,0,COUNTA(enemy_skill_triggers!$A:$A),MATCH(K$1,enemy_skill_triggers!$1:$1,0)-MATCH($F$1,enemy_skill_triggers!$1:$1,0)+1),MATCH(K$1,enemy_skill_triggers!$1:$1,0)-MATCH($F$1,enemy_skill_triggers!$1:$1,0)+1,FALSE)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3" s="48">
        <f ca="1">VLOOKUP($F113,OFFSET(enemy_skill_triggers!$A$1,0,0,COUNTA(enemy_skill_triggers!$A:$A),MATCH(L$1,enemy_skill_triggers!$1:$1,0)-MATCH($F$1,enemy_skill_triggers!$1:$1,0)+1),MATCH(L$1,enemy_skill_triggers!$1:$1,0)-MATCH($F$1,enemy_skill_triggers!$1:$1,0)+1,FALSE)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3" s="48" t="str">
        <f ca="1">VLOOKUP($F113,OFFSET(enemy_skill_triggers!$A$1,0,0,COUNTA(enemy_skill_triggers!$A:$A),MATCH(M$1,enemy_skill_triggers!$1:$1,0)-MATCH($F$1,enemy_skill_triggers!$1:$1,0)+1),MATCH(M$1,enemy_skill_triggers!$1:$1,0)-MATCH($F$1,enemy_skill_triggers!$1:$1,0)+1,FALSE)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3" s="48">
        <f ca="1">VLOOKUP($F113,OFFSET(enemy_skill_triggers!$A$1,0,0,COUNTA(enemy_skill_triggers!$A:$A),MATCH(N$1,enemy_skill_triggers!$1:$1,0)-MATCH($F$1,enemy_skill_triggers!$1:$1,0)+1),MATCH(N$1,enemy_skill_triggers!$1:$1,0)-MATCH($F$1,enemy_skill_triggers!$1:$1,0)+1,FALSE)</f>
        <v>279</v>
      </c>
      <c r="O113" s="48">
        <f ca="1">VLOOKUP($F113,OFFSET(enemy_skill_triggers!$A$1,0,0,COUNTA(enemy_skill_triggers!$A:$A),MATCH(O$1,enemy_skill_triggers!$1:$1,0)-MATCH($F$1,enemy_skill_triggers!$1:$1,0)+1),MATCH(O$1,enemy_skill_triggers!$1:$1,0)-MATCH($F$1,enemy_skill_triggers!$1:$1,0)+1,FALSE)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3" s="47"/>
      <c r="Q113" s="47"/>
      <c r="R113" s="47"/>
    </row>
    <row r="114" spans="1:18" ht="21" customHeight="1" x14ac:dyDescent="0.15">
      <c r="A114" s="39" t="str">
        <f t="shared" si="11"/>
        <v>40043016_40043089</v>
      </c>
      <c r="B114" s="141">
        <v>40043016</v>
      </c>
      <c r="C114" s="197">
        <v>40043089</v>
      </c>
      <c r="D114" s="46" t="str">
        <f ca="1">VLOOKUP($C114,OFFSET(enemy_skills!$A$1,0,0,COUNTA(enemy_skills!$A:$A),MATCH(D$1,enemy_skills!$1:$1,0)-MATCH("enemy_skill_id",enemy_skills!$1:$1,0)+1),MATCH(D$1,enemy_skills!$1:$1,0)-MATCH("enemy_skill_id",enemy_skills!$1:$1,0)+1,FALSE)</f>
        <v>『おねえさまオコっテる？』</v>
      </c>
      <c r="E114" s="46" t="str">
        <f ca="1">VLOOKUP($C114,OFFSET(enemy_skills!$A$1,0,0,COUNTA(enemy_skills!$A:$A),MATCH(E$1,enemy_skills!$1:$1,0)-MATCH("enemy_skill_id",enemy_skills!$1:$1,0)+1),MATCH(E$1,enemy_skills!$1:$1,0)-MATCH("enemy_skill_id",enemy_skills!$1:$1,0)+1,FALSE)</f>
        <v>状態異常耐性+4ターン自身の攻撃力UP</v>
      </c>
      <c r="F114" s="196">
        <v>40043097</v>
      </c>
      <c r="G114" s="48">
        <f ca="1">VLOOKUP($F114,OFFSET(enemy_skill_triggers!$A$1,0,0,COUNTA(enemy_skill_triggers!$A:$A),MATCH(G$1,enemy_skill_triggers!$1:$1,0)-MATCH($F$1,enemy_skill_triggers!$1:$1,0)+1),MATCH(G$1,enemy_skill_triggers!$1:$1,0)-MATCH($F$1,enemy_skill_triggers!$1:$1,0)+1,FALSE)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4" s="48">
        <f ca="1">VLOOKUP($F114,OFFSET(enemy_skill_triggers!$A$1,0,0,COUNTA(enemy_skill_triggers!$A:$A),MATCH(H$1,enemy_skill_triggers!$1:$1,0)-MATCH($F$1,enemy_skill_triggers!$1:$1,0)+1),MATCH(H$1,enemy_skill_triggers!$1:$1,0)-MATCH($F$1,enemy_skill_triggers!$1:$1,0)+1,FALSE)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114" s="48">
        <f ca="1">VLOOKUP($F114,OFFSET(enemy_skill_triggers!$A$1,0,0,COUNTA(enemy_skill_triggers!$A:$A),MATCH(I$1,enemy_skill_triggers!$1:$1,0)-MATCH($F$1,enemy_skill_triggers!$1:$1,0)+1),MATCH(I$1,enemy_skill_triggers!$1:$1,0)-MATCH($F$1,enemy_skill_triggers!$1:$1,0)+1,FALSE)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4" s="48" t="str">
        <f ca="1">VLOOKUP($F114,OFFSET(enemy_skill_triggers!$A$1,0,0,COUNTA(enemy_skill_triggers!$A:$A),MATCH(J$1,enemy_skill_triggers!$1:$1,0)-MATCH($F$1,enemy_skill_triggers!$1:$1,0)+1),MATCH(J$1,enemy_skill_triggers!$1:$1,0)-MATCH($F$1,enemy_skill_triggers!$1:$1,0)+1,FALSE)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4" s="48" t="str">
        <f ca="1">VLOOKUP($F114,OFFSET(enemy_skill_triggers!$A$1,0,0,COUNTA(enemy_skill_triggers!$A:$A),MATCH(K$1,enemy_skill_triggers!$1:$1,0)-MATCH($F$1,enemy_skill_triggers!$1:$1,0)+1),MATCH(K$1,enemy_skill_triggers!$1:$1,0)-MATCH($F$1,enemy_skill_triggers!$1:$1,0)+1,FALSE)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4" s="48">
        <f ca="1">VLOOKUP($F114,OFFSET(enemy_skill_triggers!$A$1,0,0,COUNTA(enemy_skill_triggers!$A:$A),MATCH(L$1,enemy_skill_triggers!$1:$1,0)-MATCH($F$1,enemy_skill_triggers!$1:$1,0)+1),MATCH(L$1,enemy_skill_triggers!$1:$1,0)-MATCH($F$1,enemy_skill_triggers!$1:$1,0)+1,FALSE)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4" s="48" t="str">
        <f ca="1">VLOOKUP($F114,OFFSET(enemy_skill_triggers!$A$1,0,0,COUNTA(enemy_skill_triggers!$A:$A),MATCH(M$1,enemy_skill_triggers!$1:$1,0)-MATCH($F$1,enemy_skill_triggers!$1:$1,0)+1),MATCH(M$1,enemy_skill_triggers!$1:$1,0)-MATCH($F$1,enemy_skill_triggers!$1:$1,0)+1,FALSE)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4" s="48">
        <f ca="1">VLOOKUP($F114,OFFSET(enemy_skill_triggers!$A$1,0,0,COUNTA(enemy_skill_triggers!$A:$A),MATCH(N$1,enemy_skill_triggers!$1:$1,0)-MATCH($F$1,enemy_skill_triggers!$1:$1,0)+1),MATCH(N$1,enemy_skill_triggers!$1:$1,0)-MATCH($F$1,enemy_skill_triggers!$1:$1,0)+1,FALSE)</f>
        <v>810</v>
      </c>
      <c r="O114" s="48">
        <f ca="1">VLOOKUP($F114,OFFSET(enemy_skill_triggers!$A$1,0,0,COUNTA(enemy_skill_triggers!$A:$A),MATCH(O$1,enemy_skill_triggers!$1:$1,0)-MATCH($F$1,enemy_skill_triggers!$1:$1,0)+1),MATCH(O$1,enemy_skill_triggers!$1:$1,0)-MATCH($F$1,enemy_skill_triggers!$1:$1,0)+1,FALSE)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4" s="47"/>
      <c r="Q114" s="47"/>
      <c r="R114" s="47"/>
    </row>
    <row r="115" spans="1:18" ht="21" customHeight="1" thickBot="1" x14ac:dyDescent="0.2">
      <c r="A115" s="39" t="str">
        <f t="shared" si="11"/>
        <v>40043016_40043089</v>
      </c>
      <c r="B115" s="147">
        <v>40043016</v>
      </c>
      <c r="C115" s="198">
        <v>40043089</v>
      </c>
      <c r="D115" s="176" t="str">
        <f ca="1">VLOOKUP($C115,OFFSET(enemy_skills!$A$1,0,0,COUNTA(enemy_skills!$A:$A),MATCH(D$1,enemy_skills!$1:$1,0)-MATCH("enemy_skill_id",enemy_skills!$1:$1,0)+1),MATCH(D$1,enemy_skills!$1:$1,0)-MATCH("enemy_skill_id",enemy_skills!$1:$1,0)+1,FALSE)</f>
        <v>『おねえさまオコっテる？』</v>
      </c>
      <c r="E115" s="176" t="str">
        <f ca="1">VLOOKUP($C115,OFFSET(enemy_skills!$A$1,0,0,COUNTA(enemy_skills!$A:$A),MATCH(E$1,enemy_skills!$1:$1,0)-MATCH("enemy_skill_id",enemy_skills!$1:$1,0)+1),MATCH(E$1,enemy_skills!$1:$1,0)-MATCH("enemy_skill_id",enemy_skills!$1:$1,0)+1,FALSE)</f>
        <v>状態異常耐性+4ターン自身の攻撃力UP</v>
      </c>
      <c r="F115" s="198">
        <v>40043098</v>
      </c>
      <c r="G115" s="151">
        <f ca="1">VLOOKUP($F115,OFFSET(enemy_skill_triggers!$A$1,0,0,COUNTA(enemy_skill_triggers!$A:$A),MATCH(G$1,enemy_skill_triggers!$1:$1,0)-MATCH($F$1,enemy_skill_triggers!$1:$1,0)+1),MATCH(G$1,enemy_skill_triggers!$1:$1,0)-MATCH($F$1,enemy_skill_triggers!$1:$1,0)+1,FALSE)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5" s="151">
        <f ca="1">VLOOKUP($F115,OFFSET(enemy_skill_triggers!$A$1,0,0,COUNTA(enemy_skill_triggers!$A:$A),MATCH(H$1,enemy_skill_triggers!$1:$1,0)-MATCH($F$1,enemy_skill_triggers!$1:$1,0)+1),MATCH(H$1,enemy_skill_triggers!$1:$1,0)-MATCH($F$1,enemy_skill_triggers!$1:$1,0)+1,FALSE)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115" s="151">
        <f ca="1">VLOOKUP($F115,OFFSET(enemy_skill_triggers!$A$1,0,0,COUNTA(enemy_skill_triggers!$A:$A),MATCH(I$1,enemy_skill_triggers!$1:$1,0)-MATCH($F$1,enemy_skill_triggers!$1:$1,0)+1),MATCH(I$1,enemy_skill_triggers!$1:$1,0)-MATCH($F$1,enemy_skill_triggers!$1:$1,0)+1,FALSE)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5" s="151" t="str">
        <f ca="1">VLOOKUP($F115,OFFSET(enemy_skill_triggers!$A$1,0,0,COUNTA(enemy_skill_triggers!$A:$A),MATCH(J$1,enemy_skill_triggers!$1:$1,0)-MATCH($F$1,enemy_skill_triggers!$1:$1,0)+1),MATCH(J$1,enemy_skill_triggers!$1:$1,0)-MATCH($F$1,enemy_skill_triggers!$1:$1,0)+1,FALSE)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5" s="151" t="str">
        <f ca="1">VLOOKUP($F115,OFFSET(enemy_skill_triggers!$A$1,0,0,COUNTA(enemy_skill_triggers!$A:$A),MATCH(K$1,enemy_skill_triggers!$1:$1,0)-MATCH($F$1,enemy_skill_triggers!$1:$1,0)+1),MATCH(K$1,enemy_skill_triggers!$1:$1,0)-MATCH($F$1,enemy_skill_triggers!$1:$1,0)+1,FALSE)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5" s="151">
        <f ca="1">VLOOKUP($F115,OFFSET(enemy_skill_triggers!$A$1,0,0,COUNTA(enemy_skill_triggers!$A:$A),MATCH(L$1,enemy_skill_triggers!$1:$1,0)-MATCH($F$1,enemy_skill_triggers!$1:$1,0)+1),MATCH(L$1,enemy_skill_triggers!$1:$1,0)-MATCH($F$1,enemy_skill_triggers!$1:$1,0)+1,FALSE)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5" s="151" t="str">
        <f ca="1">VLOOKUP($F115,OFFSET(enemy_skill_triggers!$A$1,0,0,COUNTA(enemy_skill_triggers!$A:$A),MATCH(M$1,enemy_skill_triggers!$1:$1,0)-MATCH($F$1,enemy_skill_triggers!$1:$1,0)+1),MATCH(M$1,enemy_skill_triggers!$1:$1,0)-MATCH($F$1,enemy_skill_triggers!$1:$1,0)+1,FALSE)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5" s="151">
        <f ca="1">VLOOKUP($F115,OFFSET(enemy_skill_triggers!$A$1,0,0,COUNTA(enemy_skill_triggers!$A:$A),MATCH(N$1,enemy_skill_triggers!$1:$1,0)-MATCH($F$1,enemy_skill_triggers!$1:$1,0)+1),MATCH(N$1,enemy_skill_triggers!$1:$1,0)-MATCH($F$1,enemy_skill_triggers!$1:$1,0)+1,FALSE)</f>
        <v>1116</v>
      </c>
      <c r="O115" s="151">
        <f ca="1">VLOOKUP($F115,OFFSET(enemy_skill_triggers!$A$1,0,0,COUNTA(enemy_skill_triggers!$A:$A),MATCH(O$1,enemy_skill_triggers!$1:$1,0)-MATCH($F$1,enemy_skill_triggers!$1:$1,0)+1),MATCH(O$1,enemy_skill_triggers!$1:$1,0)-MATCH($F$1,enemy_skill_triggers!$1:$1,0)+1,FALSE)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5" s="147"/>
      <c r="Q115" s="147"/>
      <c r="R115" s="147"/>
    </row>
    <row r="116" spans="1:18" ht="21" customHeight="1" thickBot="1" x14ac:dyDescent="0.2">
      <c r="A116" s="169" t="str">
        <f t="shared" ref="A116:A121" si="12">B116&amp;"_"&amp;C116</f>
        <v>40043018_40043087</v>
      </c>
      <c r="B116" s="141">
        <v>40043018</v>
      </c>
      <c r="C116" s="200">
        <v>40043087</v>
      </c>
      <c r="D116" s="175" t="str">
        <f ca="1">VLOOKUP($C116,OFFSET(enemy_skills!$A$1,0,0,COUNTA(enemy_skills!$A:$A),MATCH(D$1,enemy_skills!$1:$1,0)-MATCH("enemy_skill_id",enemy_skills!$1:$1,0)+1),MATCH(D$1,enemy_skills!$1:$1,0)-MATCH("enemy_skill_id",enemy_skills!$1:$1,0)+1,FALSE)</f>
        <v>おヒメちゃんもおねえさまに助けられたの？</v>
      </c>
      <c r="E116" s="175" t="str">
        <f ca="1">VLOOKUP($C116,OFFSET(enemy_skills!$A$1,0,0,COUNTA(enemy_skills!$A:$A),MATCH(E$1,enemy_skills!$1:$1,0)-MATCH("enemy_skill_id",enemy_skills!$1:$1,0)+1),MATCH(E$1,enemy_skills!$1:$1,0)-MATCH("enemy_skill_id",enemy_skills!$1:$1,0)+1,FALSE)</f>
        <v>やっぱりおねえさまはすごいわ！</v>
      </c>
      <c r="F116" s="200">
        <v>40043089</v>
      </c>
      <c r="G116" s="145">
        <f ca="1">VLOOKUP($F116,OFFSET(enemy_skill_triggers!$A$1,0,0,COUNTA(enemy_skill_triggers!$A:$A),MATCH(G$1,enemy_skill_triggers!$1:$1,0)-MATCH($F$1,enemy_skill_triggers!$1:$1,0)+1),MATCH(G$1,enemy_skill_triggers!$1:$1,0)-MATCH($F$1,enemy_skill_triggers!$1:$1,0)+1,FALSE)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6" s="145">
        <f ca="1">VLOOKUP($F116,OFFSET(enemy_skill_triggers!$A$1,0,0,COUNTA(enemy_skill_triggers!$A:$A),MATCH(H$1,enemy_skill_triggers!$1:$1,0)-MATCH($F$1,enemy_skill_triggers!$1:$1,0)+1),MATCH(H$1,enemy_skill_triggers!$1:$1,0)-MATCH($F$1,enemy_skill_triggers!$1:$1,0)+1,FALSE)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16" s="145">
        <f ca="1">VLOOKUP($F116,OFFSET(enemy_skill_triggers!$A$1,0,0,COUNTA(enemy_skill_triggers!$A:$A),MATCH(I$1,enemy_skill_triggers!$1:$1,0)-MATCH($F$1,enemy_skill_triggers!$1:$1,0)+1),MATCH(I$1,enemy_skill_triggers!$1:$1,0)-MATCH($F$1,enemy_skill_triggers!$1:$1,0)+1,FALSE)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6" s="145" t="str">
        <f ca="1">VLOOKUP($F116,OFFSET(enemy_skill_triggers!$A$1,0,0,COUNTA(enemy_skill_triggers!$A:$A),MATCH(J$1,enemy_skill_triggers!$1:$1,0)-MATCH($F$1,enemy_skill_triggers!$1:$1,0)+1),MATCH(J$1,enemy_skill_triggers!$1:$1,0)-MATCH($F$1,enemy_skill_triggers!$1:$1,0)+1,FALSE)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6" s="145" t="str">
        <f ca="1">VLOOKUP($F116,OFFSET(enemy_skill_triggers!$A$1,0,0,COUNTA(enemy_skill_triggers!$A:$A),MATCH(K$1,enemy_skill_triggers!$1:$1,0)-MATCH($F$1,enemy_skill_triggers!$1:$1,0)+1),MATCH(K$1,enemy_skill_triggers!$1:$1,0)-MATCH($F$1,enemy_skill_triggers!$1:$1,0)+1,FALSE)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6" s="145">
        <f ca="1">VLOOKUP($F116,OFFSET(enemy_skill_triggers!$A$1,0,0,COUNTA(enemy_skill_triggers!$A:$A),MATCH(L$1,enemy_skill_triggers!$1:$1,0)-MATCH($F$1,enemy_skill_triggers!$1:$1,0)+1),MATCH(L$1,enemy_skill_triggers!$1:$1,0)-MATCH($F$1,enemy_skill_triggers!$1:$1,0)+1,FALSE)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16" s="145" t="str">
        <f ca="1">VLOOKUP($F116,OFFSET(enemy_skill_triggers!$A$1,0,0,COUNTA(enemy_skill_triggers!$A:$A),MATCH(M$1,enemy_skill_triggers!$1:$1,0)-MATCH($F$1,enemy_skill_triggers!$1:$1,0)+1),MATCH(M$1,enemy_skill_triggers!$1:$1,0)-MATCH($F$1,enemy_skill_triggers!$1:$1,0)+1,FALSE)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6" s="145">
        <f ca="1">VLOOKUP($F116,OFFSET(enemy_skill_triggers!$A$1,0,0,COUNTA(enemy_skill_triggers!$A:$A),MATCH(N$1,enemy_skill_triggers!$1:$1,0)-MATCH($F$1,enemy_skill_triggers!$1:$1,0)+1),MATCH(N$1,enemy_skill_triggers!$1:$1,0)-MATCH($F$1,enemy_skill_triggers!$1:$1,0)+1,FALSE)</f>
        <v>1332</v>
      </c>
      <c r="O116" s="145">
        <f ca="1">VLOOKUP($F116,OFFSET(enemy_skill_triggers!$A$1,0,0,COUNTA(enemy_skill_triggers!$A:$A),MATCH(O$1,enemy_skill_triggers!$1:$1,0)-MATCH($F$1,enemy_skill_triggers!$1:$1,0)+1),MATCH(O$1,enemy_skill_triggers!$1:$1,0)-MATCH($F$1,enemy_skill_triggers!$1:$1,0)+1,FALSE)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6" s="141"/>
      <c r="Q116" s="141"/>
      <c r="R116" s="141"/>
    </row>
    <row r="117" spans="1:18" ht="21" customHeight="1" thickBot="1" x14ac:dyDescent="0.2">
      <c r="A117" s="169" t="str">
        <f t="shared" si="12"/>
        <v>40043018_40043087</v>
      </c>
      <c r="B117" s="141">
        <v>40043018</v>
      </c>
      <c r="C117" s="198">
        <v>40043087</v>
      </c>
      <c r="D117" s="176" t="str">
        <f ca="1">VLOOKUP($C117,OFFSET(enemy_skills!$A$1,0,0,COUNTA(enemy_skills!$A:$A),MATCH(D$1,enemy_skills!$1:$1,0)-MATCH("enemy_skill_id",enemy_skills!$1:$1,0)+1),MATCH(D$1,enemy_skills!$1:$1,0)-MATCH("enemy_skill_id",enemy_skills!$1:$1,0)+1,FALSE)</f>
        <v>おヒメちゃんもおねえさまに助けられたの？</v>
      </c>
      <c r="E117" s="176" t="str">
        <f ca="1">VLOOKUP($C117,OFFSET(enemy_skills!$A$1,0,0,COUNTA(enemy_skills!$A:$A),MATCH(E$1,enemy_skills!$1:$1,0)-MATCH("enemy_skill_id",enemy_skills!$1:$1,0)+1),MATCH(E$1,enemy_skills!$1:$1,0)-MATCH("enemy_skill_id",enemy_skills!$1:$1,0)+1,FALSE)</f>
        <v>やっぱりおねえさまはすごいわ！</v>
      </c>
      <c r="F117" s="198">
        <v>40043090</v>
      </c>
      <c r="G117" s="151">
        <f ca="1">VLOOKUP($F117,OFFSET(enemy_skill_triggers!$A$1,0,0,COUNTA(enemy_skill_triggers!$A:$A),MATCH(G$1,enemy_skill_triggers!$1:$1,0)-MATCH($F$1,enemy_skill_triggers!$1:$1,0)+1),MATCH(G$1,enemy_skill_triggers!$1:$1,0)-MATCH($F$1,enemy_skill_triggers!$1:$1,0)+1,FALSE)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7" s="151">
        <f ca="1">VLOOKUP($F117,OFFSET(enemy_skill_triggers!$A$1,0,0,COUNTA(enemy_skill_triggers!$A:$A),MATCH(H$1,enemy_skill_triggers!$1:$1,0)-MATCH($F$1,enemy_skill_triggers!$1:$1,0)+1),MATCH(H$1,enemy_skill_triggers!$1:$1,0)-MATCH($F$1,enemy_skill_triggers!$1:$1,0)+1,FALSE)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117" s="151">
        <f ca="1">VLOOKUP($F117,OFFSET(enemy_skill_triggers!$A$1,0,0,COUNTA(enemy_skill_triggers!$A:$A),MATCH(I$1,enemy_skill_triggers!$1:$1,0)-MATCH($F$1,enemy_skill_triggers!$1:$1,0)+1),MATCH(I$1,enemy_skill_triggers!$1:$1,0)-MATCH($F$1,enemy_skill_triggers!$1:$1,0)+1,FALSE)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7" s="151" t="str">
        <f ca="1">VLOOKUP($F117,OFFSET(enemy_skill_triggers!$A$1,0,0,COUNTA(enemy_skill_triggers!$A:$A),MATCH(J$1,enemy_skill_triggers!$1:$1,0)-MATCH($F$1,enemy_skill_triggers!$1:$1,0)+1),MATCH(J$1,enemy_skill_triggers!$1:$1,0)-MATCH($F$1,enemy_skill_triggers!$1:$1,0)+1,FALSE)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7" s="151" t="str">
        <f ca="1">VLOOKUP($F117,OFFSET(enemy_skill_triggers!$A$1,0,0,COUNTA(enemy_skill_triggers!$A:$A),MATCH(K$1,enemy_skill_triggers!$1:$1,0)-MATCH($F$1,enemy_skill_triggers!$1:$1,0)+1),MATCH(K$1,enemy_skill_triggers!$1:$1,0)-MATCH($F$1,enemy_skill_triggers!$1:$1,0)+1,FALSE)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7" s="151">
        <f ca="1">VLOOKUP($F117,OFFSET(enemy_skill_triggers!$A$1,0,0,COUNTA(enemy_skill_triggers!$A:$A),MATCH(L$1,enemy_skill_triggers!$1:$1,0)-MATCH($F$1,enemy_skill_triggers!$1:$1,0)+1),MATCH(L$1,enemy_skill_triggers!$1:$1,0)-MATCH($F$1,enemy_skill_triggers!$1:$1,0)+1,FALSE)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17" s="151" t="str">
        <f ca="1">VLOOKUP($F117,OFFSET(enemy_skill_triggers!$A$1,0,0,COUNTA(enemy_skill_triggers!$A:$A),MATCH(M$1,enemy_skill_triggers!$1:$1,0)-MATCH($F$1,enemy_skill_triggers!$1:$1,0)+1),MATCH(M$1,enemy_skill_triggers!$1:$1,0)-MATCH($F$1,enemy_skill_triggers!$1:$1,0)+1,FALSE)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7" s="151">
        <f ca="1">VLOOKUP($F117,OFFSET(enemy_skill_triggers!$A$1,0,0,COUNTA(enemy_skill_triggers!$A:$A),MATCH(N$1,enemy_skill_triggers!$1:$1,0)-MATCH($F$1,enemy_skill_triggers!$1:$1,0)+1),MATCH(N$1,enemy_skill_triggers!$1:$1,0)-MATCH($F$1,enemy_skill_triggers!$1:$1,0)+1,FALSE)</f>
        <v>1333</v>
      </c>
      <c r="O117" s="151">
        <f ca="1">VLOOKUP($F117,OFFSET(enemy_skill_triggers!$A$1,0,0,COUNTA(enemy_skill_triggers!$A:$A),MATCH(O$1,enemy_skill_triggers!$1:$1,0)-MATCH($F$1,enemy_skill_triggers!$1:$1,0)+1),MATCH(O$1,enemy_skill_triggers!$1:$1,0)-MATCH($F$1,enemy_skill_triggers!$1:$1,0)+1,FALSE)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7" s="147"/>
      <c r="Q117" s="147"/>
      <c r="R117" s="147"/>
    </row>
    <row r="118" spans="1:18" ht="21" customHeight="1" thickBot="1" x14ac:dyDescent="0.2">
      <c r="A118" s="169" t="str">
        <f t="shared" si="12"/>
        <v>40043018_40043090</v>
      </c>
      <c r="B118" s="141">
        <v>40043018</v>
      </c>
      <c r="C118" s="199">
        <v>40043090</v>
      </c>
      <c r="D118" s="175" t="str">
        <f ca="1">VLOOKUP($C118,OFFSET(enemy_skills!$A$1,0,0,COUNTA(enemy_skills!$A:$A),MATCH(D$1,enemy_skills!$1:$1,0)-MATCH("enemy_skill_id",enemy_skills!$1:$1,0)+1),MATCH(D$1,enemy_skills!$1:$1,0)-MATCH("enemy_skill_id",enemy_skills!$1:$1,0)+1,FALSE)</f>
        <v>ごめんなさいおねえさま…</v>
      </c>
      <c r="E118" s="175" t="str">
        <f ca="1">VLOOKUP($C118,OFFSET(enemy_skills!$A$1,0,0,COUNTA(enemy_skills!$A:$A),MATCH(E$1,enemy_skills!$1:$1,0)-MATCH("enemy_skill_id",enemy_skills!$1:$1,0)+1),MATCH(E$1,enemy_skills!$1:$1,0)-MATCH("enemy_skill_id",enemy_skills!$1:$1,0)+1,FALSE)</f>
        <v>次はウィルスなんかに負けないよう強くなります！</v>
      </c>
      <c r="F118" s="200">
        <v>40043099</v>
      </c>
      <c r="G118" s="145">
        <f ca="1">VLOOKUP($F118,OFFSET(enemy_skill_triggers!$A$1,0,0,COUNTA(enemy_skill_triggers!$A:$A),MATCH(G$1,enemy_skill_triggers!$1:$1,0)-MATCH($F$1,enemy_skill_triggers!$1:$1,0)+1),MATCH(G$1,enemy_skill_triggers!$1:$1,0)-MATCH($F$1,enemy_skill_triggers!$1:$1,0)+1,FALSE)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8" s="145">
        <f ca="1">VLOOKUP($F118,OFFSET(enemy_skill_triggers!$A$1,0,0,COUNTA(enemy_skill_triggers!$A:$A),MATCH(H$1,enemy_skill_triggers!$1:$1,0)-MATCH($F$1,enemy_skill_triggers!$1:$1,0)+1),MATCH(H$1,enemy_skill_triggers!$1:$1,0)-MATCH($F$1,enemy_skill_triggers!$1:$1,0)+1,FALSE)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118" s="145">
        <f ca="1">VLOOKUP($F118,OFFSET(enemy_skill_triggers!$A$1,0,0,COUNTA(enemy_skill_triggers!$A:$A),MATCH(I$1,enemy_skill_triggers!$1:$1,0)-MATCH($F$1,enemy_skill_triggers!$1:$1,0)+1),MATCH(I$1,enemy_skill_triggers!$1:$1,0)-MATCH($F$1,enemy_skill_triggers!$1:$1,0)+1,FALSE)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8" s="145" t="str">
        <f ca="1">VLOOKUP($F118,OFFSET(enemy_skill_triggers!$A$1,0,0,COUNTA(enemy_skill_triggers!$A:$A),MATCH(J$1,enemy_skill_triggers!$1:$1,0)-MATCH($F$1,enemy_skill_triggers!$1:$1,0)+1),MATCH(J$1,enemy_skill_triggers!$1:$1,0)-MATCH($F$1,enemy_skill_triggers!$1:$1,0)+1,FALSE)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8" s="145" t="str">
        <f ca="1">VLOOKUP($F118,OFFSET(enemy_skill_triggers!$A$1,0,0,COUNTA(enemy_skill_triggers!$A:$A),MATCH(K$1,enemy_skill_triggers!$1:$1,0)-MATCH($F$1,enemy_skill_triggers!$1:$1,0)+1),MATCH(K$1,enemy_skill_triggers!$1:$1,0)-MATCH($F$1,enemy_skill_triggers!$1:$1,0)+1,FALSE)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8" s="145">
        <f ca="1">VLOOKUP($F118,OFFSET(enemy_skill_triggers!$A$1,0,0,COUNTA(enemy_skill_triggers!$A:$A),MATCH(L$1,enemy_skill_triggers!$1:$1,0)-MATCH($F$1,enemy_skill_triggers!$1:$1,0)+1),MATCH(L$1,enemy_skill_triggers!$1:$1,0)-MATCH($F$1,enemy_skill_triggers!$1:$1,0)+1,FALSE)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18" s="145" t="str">
        <f ca="1">VLOOKUP($F118,OFFSET(enemy_skill_triggers!$A$1,0,0,COUNTA(enemy_skill_triggers!$A:$A),MATCH(M$1,enemy_skill_triggers!$1:$1,0)-MATCH($F$1,enemy_skill_triggers!$1:$1,0)+1),MATCH(M$1,enemy_skill_triggers!$1:$1,0)-MATCH($F$1,enemy_skill_triggers!$1:$1,0)+1,FALSE)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8" s="145">
        <f ca="1">VLOOKUP($F118,OFFSET(enemy_skill_triggers!$A$1,0,0,COUNTA(enemy_skill_triggers!$A:$A),MATCH(N$1,enemy_skill_triggers!$1:$1,0)-MATCH($F$1,enemy_skill_triggers!$1:$1,0)+1),MATCH(N$1,enemy_skill_triggers!$1:$1,0)-MATCH($F$1,enemy_skill_triggers!$1:$1,0)+1,FALSE)</f>
        <v>278</v>
      </c>
      <c r="O118" s="145">
        <f ca="1">VLOOKUP($F118,OFFSET(enemy_skill_triggers!$A$1,0,0,COUNTA(enemy_skill_triggers!$A:$A),MATCH(O$1,enemy_skill_triggers!$1:$1,0)-MATCH($F$1,enemy_skill_triggers!$1:$1,0)+1),MATCH(O$1,enemy_skill_triggers!$1:$1,0)-MATCH($F$1,enemy_skill_triggers!$1:$1,0)+1,FALSE)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8" s="141"/>
      <c r="Q118" s="141"/>
      <c r="R118" s="141"/>
    </row>
    <row r="119" spans="1:18" ht="21" customHeight="1" thickBot="1" x14ac:dyDescent="0.2">
      <c r="A119" s="169" t="str">
        <f t="shared" si="12"/>
        <v>40043018_40043090</v>
      </c>
      <c r="B119" s="141">
        <v>40043018</v>
      </c>
      <c r="C119" s="199">
        <v>40043090</v>
      </c>
      <c r="D119" s="46" t="str">
        <f ca="1">VLOOKUP($C119,OFFSET(enemy_skills!$A$1,0,0,COUNTA(enemy_skills!$A:$A),MATCH(D$1,enemy_skills!$1:$1,0)-MATCH("enemy_skill_id",enemy_skills!$1:$1,0)+1),MATCH(D$1,enemy_skills!$1:$1,0)-MATCH("enemy_skill_id",enemy_skills!$1:$1,0)+1,FALSE)</f>
        <v>ごめんなさいおねえさま…</v>
      </c>
      <c r="E119" s="46" t="str">
        <f ca="1">VLOOKUP($C119,OFFSET(enemy_skills!$A$1,0,0,COUNTA(enemy_skills!$A:$A),MATCH(E$1,enemy_skills!$1:$1,0)-MATCH("enemy_skill_id",enemy_skills!$1:$1,0)+1),MATCH(E$1,enemy_skills!$1:$1,0)-MATCH("enemy_skill_id",enemy_skills!$1:$1,0)+1,FALSE)</f>
        <v>次はウィルスなんかに負けないよう強くなります！</v>
      </c>
      <c r="F119" s="196">
        <v>40043100</v>
      </c>
      <c r="G119" s="48">
        <f ca="1">VLOOKUP($F119,OFFSET(enemy_skill_triggers!$A$1,0,0,COUNTA(enemy_skill_triggers!$A:$A),MATCH(G$1,enemy_skill_triggers!$1:$1,0)-MATCH($F$1,enemy_skill_triggers!$1:$1,0)+1),MATCH(G$1,enemy_skill_triggers!$1:$1,0)-MATCH($F$1,enemy_skill_triggers!$1:$1,0)+1,FALSE)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9" s="48">
        <f ca="1">VLOOKUP($F119,OFFSET(enemy_skill_triggers!$A$1,0,0,COUNTA(enemy_skill_triggers!$A:$A),MATCH(H$1,enemy_skill_triggers!$1:$1,0)-MATCH($F$1,enemy_skill_triggers!$1:$1,0)+1),MATCH(H$1,enemy_skill_triggers!$1:$1,0)-MATCH($F$1,enemy_skill_triggers!$1:$1,0)+1,FALSE)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119" s="48">
        <f ca="1">VLOOKUP($F119,OFFSET(enemy_skill_triggers!$A$1,0,0,COUNTA(enemy_skill_triggers!$A:$A),MATCH(I$1,enemy_skill_triggers!$1:$1,0)-MATCH($F$1,enemy_skill_triggers!$1:$1,0)+1),MATCH(I$1,enemy_skill_triggers!$1:$1,0)-MATCH($F$1,enemy_skill_triggers!$1:$1,0)+1,FALSE)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9" s="48" t="str">
        <f ca="1">VLOOKUP($F119,OFFSET(enemy_skill_triggers!$A$1,0,0,COUNTA(enemy_skill_triggers!$A:$A),MATCH(J$1,enemy_skill_triggers!$1:$1,0)-MATCH($F$1,enemy_skill_triggers!$1:$1,0)+1),MATCH(J$1,enemy_skill_triggers!$1:$1,0)-MATCH($F$1,enemy_skill_triggers!$1:$1,0)+1,FALSE)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9" s="48" t="str">
        <f ca="1">VLOOKUP($F119,OFFSET(enemy_skill_triggers!$A$1,0,0,COUNTA(enemy_skill_triggers!$A:$A),MATCH(K$1,enemy_skill_triggers!$1:$1,0)-MATCH($F$1,enemy_skill_triggers!$1:$1,0)+1),MATCH(K$1,enemy_skill_triggers!$1:$1,0)-MATCH($F$1,enemy_skill_triggers!$1:$1,0)+1,FALSE)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9" s="48">
        <f ca="1">VLOOKUP($F119,OFFSET(enemy_skill_triggers!$A$1,0,0,COUNTA(enemy_skill_triggers!$A:$A),MATCH(L$1,enemy_skill_triggers!$1:$1,0)-MATCH($F$1,enemy_skill_triggers!$1:$1,0)+1),MATCH(L$1,enemy_skill_triggers!$1:$1,0)-MATCH($F$1,enemy_skill_triggers!$1:$1,0)+1,FALSE)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19" s="48" t="str">
        <f ca="1">VLOOKUP($F119,OFFSET(enemy_skill_triggers!$A$1,0,0,COUNTA(enemy_skill_triggers!$A:$A),MATCH(M$1,enemy_skill_triggers!$1:$1,0)-MATCH($F$1,enemy_skill_triggers!$1:$1,0)+1),MATCH(M$1,enemy_skill_triggers!$1:$1,0)-MATCH($F$1,enemy_skill_triggers!$1:$1,0)+1,FALSE)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9" s="48">
        <f ca="1">VLOOKUP($F119,OFFSET(enemy_skill_triggers!$A$1,0,0,COUNTA(enemy_skill_triggers!$A:$A),MATCH(N$1,enemy_skill_triggers!$1:$1,0)-MATCH($F$1,enemy_skill_triggers!$1:$1,0)+1),MATCH(N$1,enemy_skill_triggers!$1:$1,0)-MATCH($F$1,enemy_skill_triggers!$1:$1,0)+1,FALSE)</f>
        <v>279</v>
      </c>
      <c r="O119" s="48">
        <f ca="1">VLOOKUP($F119,OFFSET(enemy_skill_triggers!$A$1,0,0,COUNTA(enemy_skill_triggers!$A:$A),MATCH(O$1,enemy_skill_triggers!$1:$1,0)-MATCH($F$1,enemy_skill_triggers!$1:$1,0)+1),MATCH(O$1,enemy_skill_triggers!$1:$1,0)-MATCH($F$1,enemy_skill_triggers!$1:$1,0)+1,FALSE)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9" s="47"/>
      <c r="Q119" s="47"/>
      <c r="R119" s="47"/>
    </row>
    <row r="120" spans="1:18" ht="21" customHeight="1" thickBot="1" x14ac:dyDescent="0.2">
      <c r="A120" s="169" t="str">
        <f t="shared" si="12"/>
        <v>40043018_40043090</v>
      </c>
      <c r="B120" s="141">
        <v>40043018</v>
      </c>
      <c r="C120" s="199">
        <v>40043090</v>
      </c>
      <c r="D120" s="46" t="str">
        <f ca="1">VLOOKUP($C120,OFFSET(enemy_skills!$A$1,0,0,COUNTA(enemy_skills!$A:$A),MATCH(D$1,enemy_skills!$1:$1,0)-MATCH("enemy_skill_id",enemy_skills!$1:$1,0)+1),MATCH(D$1,enemy_skills!$1:$1,0)-MATCH("enemy_skill_id",enemy_skills!$1:$1,0)+1,FALSE)</f>
        <v>ごめんなさいおねえさま…</v>
      </c>
      <c r="E120" s="46" t="str">
        <f ca="1">VLOOKUP($C120,OFFSET(enemy_skills!$A$1,0,0,COUNTA(enemy_skills!$A:$A),MATCH(E$1,enemy_skills!$1:$1,0)-MATCH("enemy_skill_id",enemy_skills!$1:$1,0)+1),MATCH(E$1,enemy_skills!$1:$1,0)-MATCH("enemy_skill_id",enemy_skills!$1:$1,0)+1,FALSE)</f>
        <v>次はウィルスなんかに負けないよう強くなります！</v>
      </c>
      <c r="F120" s="196">
        <v>40043101</v>
      </c>
      <c r="G120" s="48">
        <f ca="1">VLOOKUP($F120,OFFSET(enemy_skill_triggers!$A$1,0,0,COUNTA(enemy_skill_triggers!$A:$A),MATCH(G$1,enemy_skill_triggers!$1:$1,0)-MATCH($F$1,enemy_skill_triggers!$1:$1,0)+1),MATCH(G$1,enemy_skill_triggers!$1:$1,0)-MATCH($F$1,enemy_skill_triggers!$1:$1,0)+1,FALSE)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0" s="48">
        <f ca="1">VLOOKUP($F120,OFFSET(enemy_skill_triggers!$A$1,0,0,COUNTA(enemy_skill_triggers!$A:$A),MATCH(H$1,enemy_skill_triggers!$1:$1,0)-MATCH($F$1,enemy_skill_triggers!$1:$1,0)+1),MATCH(H$1,enemy_skill_triggers!$1:$1,0)-MATCH($F$1,enemy_skill_triggers!$1:$1,0)+1,FALSE)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120" s="48">
        <f ca="1">VLOOKUP($F120,OFFSET(enemy_skill_triggers!$A$1,0,0,COUNTA(enemy_skill_triggers!$A:$A),MATCH(I$1,enemy_skill_triggers!$1:$1,0)-MATCH($F$1,enemy_skill_triggers!$1:$1,0)+1),MATCH(I$1,enemy_skill_triggers!$1:$1,0)-MATCH($F$1,enemy_skill_triggers!$1:$1,0)+1,FALSE)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0" s="48" t="str">
        <f ca="1">VLOOKUP($F120,OFFSET(enemy_skill_triggers!$A$1,0,0,COUNTA(enemy_skill_triggers!$A:$A),MATCH(J$1,enemy_skill_triggers!$1:$1,0)-MATCH($F$1,enemy_skill_triggers!$1:$1,0)+1),MATCH(J$1,enemy_skill_triggers!$1:$1,0)-MATCH($F$1,enemy_skill_triggers!$1:$1,0)+1,FALSE)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0" s="48" t="str">
        <f ca="1">VLOOKUP($F120,OFFSET(enemy_skill_triggers!$A$1,0,0,COUNTA(enemy_skill_triggers!$A:$A),MATCH(K$1,enemy_skill_triggers!$1:$1,0)-MATCH($F$1,enemy_skill_triggers!$1:$1,0)+1),MATCH(K$1,enemy_skill_triggers!$1:$1,0)-MATCH($F$1,enemy_skill_triggers!$1:$1,0)+1,FALSE)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0" s="48">
        <f ca="1">VLOOKUP($F120,OFFSET(enemy_skill_triggers!$A$1,0,0,COUNTA(enemy_skill_triggers!$A:$A),MATCH(L$1,enemy_skill_triggers!$1:$1,0)-MATCH($F$1,enemy_skill_triggers!$1:$1,0)+1),MATCH(L$1,enemy_skill_triggers!$1:$1,0)-MATCH($F$1,enemy_skill_triggers!$1:$1,0)+1,FALSE)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20" s="48" t="str">
        <f ca="1">VLOOKUP($F120,OFFSET(enemy_skill_triggers!$A$1,0,0,COUNTA(enemy_skill_triggers!$A:$A),MATCH(M$1,enemy_skill_triggers!$1:$1,0)-MATCH($F$1,enemy_skill_triggers!$1:$1,0)+1),MATCH(M$1,enemy_skill_triggers!$1:$1,0)-MATCH($F$1,enemy_skill_triggers!$1:$1,0)+1,FALSE)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0" s="48">
        <f ca="1">VLOOKUP($F120,OFFSET(enemy_skill_triggers!$A$1,0,0,COUNTA(enemy_skill_triggers!$A:$A),MATCH(N$1,enemy_skill_triggers!$1:$1,0)-MATCH($F$1,enemy_skill_triggers!$1:$1,0)+1),MATCH(N$1,enemy_skill_triggers!$1:$1,0)-MATCH($F$1,enemy_skill_triggers!$1:$1,0)+1,FALSE)</f>
        <v>810</v>
      </c>
      <c r="O120" s="48">
        <f ca="1">VLOOKUP($F120,OFFSET(enemy_skill_triggers!$A$1,0,0,COUNTA(enemy_skill_triggers!$A:$A),MATCH(O$1,enemy_skill_triggers!$1:$1,0)-MATCH($F$1,enemy_skill_triggers!$1:$1,0)+1),MATCH(O$1,enemy_skill_triggers!$1:$1,0)-MATCH($F$1,enemy_skill_triggers!$1:$1,0)+1,FALSE)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0" s="47"/>
      <c r="Q120" s="47"/>
      <c r="R120" s="47"/>
    </row>
    <row r="121" spans="1:18" ht="21" customHeight="1" thickBot="1" x14ac:dyDescent="0.2">
      <c r="A121" s="169" t="str">
        <f t="shared" si="12"/>
        <v>40043018_40043090</v>
      </c>
      <c r="B121" s="147">
        <v>40043018</v>
      </c>
      <c r="C121" s="198">
        <v>40043090</v>
      </c>
      <c r="D121" s="176" t="str">
        <f ca="1">VLOOKUP($C121,OFFSET(enemy_skills!$A$1,0,0,COUNTA(enemy_skills!$A:$A),MATCH(D$1,enemy_skills!$1:$1,0)-MATCH("enemy_skill_id",enemy_skills!$1:$1,0)+1),MATCH(D$1,enemy_skills!$1:$1,0)-MATCH("enemy_skill_id",enemy_skills!$1:$1,0)+1,FALSE)</f>
        <v>ごめんなさいおねえさま…</v>
      </c>
      <c r="E121" s="176" t="str">
        <f ca="1">VLOOKUP($C121,OFFSET(enemy_skills!$A$1,0,0,COUNTA(enemy_skills!$A:$A),MATCH(E$1,enemy_skills!$1:$1,0)-MATCH("enemy_skill_id",enemy_skills!$1:$1,0)+1),MATCH(E$1,enemy_skills!$1:$1,0)-MATCH("enemy_skill_id",enemy_skills!$1:$1,0)+1,FALSE)</f>
        <v>次はウィルスなんかに負けないよう強くなります！</v>
      </c>
      <c r="F121" s="198">
        <v>40043102</v>
      </c>
      <c r="G121" s="151">
        <f ca="1">VLOOKUP($F121,OFFSET(enemy_skill_triggers!$A$1,0,0,COUNTA(enemy_skill_triggers!$A:$A),MATCH(G$1,enemy_skill_triggers!$1:$1,0)-MATCH($F$1,enemy_skill_triggers!$1:$1,0)+1),MATCH(G$1,enemy_skill_triggers!$1:$1,0)-MATCH($F$1,enemy_skill_triggers!$1:$1,0)+1,FALSE)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1" s="151">
        <f ca="1">VLOOKUP($F121,OFFSET(enemy_skill_triggers!$A$1,0,0,COUNTA(enemy_skill_triggers!$A:$A),MATCH(H$1,enemy_skill_triggers!$1:$1,0)-MATCH($F$1,enemy_skill_triggers!$1:$1,0)+1),MATCH(H$1,enemy_skill_triggers!$1:$1,0)-MATCH($F$1,enemy_skill_triggers!$1:$1,0)+1,FALSE)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121" s="151">
        <f ca="1">VLOOKUP($F121,OFFSET(enemy_skill_triggers!$A$1,0,0,COUNTA(enemy_skill_triggers!$A:$A),MATCH(I$1,enemy_skill_triggers!$1:$1,0)-MATCH($F$1,enemy_skill_triggers!$1:$1,0)+1),MATCH(I$1,enemy_skill_triggers!$1:$1,0)-MATCH($F$1,enemy_skill_triggers!$1:$1,0)+1,FALSE)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1" s="151" t="str">
        <f ca="1">VLOOKUP($F121,OFFSET(enemy_skill_triggers!$A$1,0,0,COUNTA(enemy_skill_triggers!$A:$A),MATCH(J$1,enemy_skill_triggers!$1:$1,0)-MATCH($F$1,enemy_skill_triggers!$1:$1,0)+1),MATCH(J$1,enemy_skill_triggers!$1:$1,0)-MATCH($F$1,enemy_skill_triggers!$1:$1,0)+1,FALSE)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1" s="151" t="str">
        <f ca="1">VLOOKUP($F121,OFFSET(enemy_skill_triggers!$A$1,0,0,COUNTA(enemy_skill_triggers!$A:$A),MATCH(K$1,enemy_skill_triggers!$1:$1,0)-MATCH($F$1,enemy_skill_triggers!$1:$1,0)+1),MATCH(K$1,enemy_skill_triggers!$1:$1,0)-MATCH($F$1,enemy_skill_triggers!$1:$1,0)+1,FALSE)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1" s="151">
        <f ca="1">VLOOKUP($F121,OFFSET(enemy_skill_triggers!$A$1,0,0,COUNTA(enemy_skill_triggers!$A:$A),MATCH(L$1,enemy_skill_triggers!$1:$1,0)-MATCH($F$1,enemy_skill_triggers!$1:$1,0)+1),MATCH(L$1,enemy_skill_triggers!$1:$1,0)-MATCH($F$1,enemy_skill_triggers!$1:$1,0)+1,FALSE)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21" s="151" t="str">
        <f ca="1">VLOOKUP($F121,OFFSET(enemy_skill_triggers!$A$1,0,0,COUNTA(enemy_skill_triggers!$A:$A),MATCH(M$1,enemy_skill_triggers!$1:$1,0)-MATCH($F$1,enemy_skill_triggers!$1:$1,0)+1),MATCH(M$1,enemy_skill_triggers!$1:$1,0)-MATCH($F$1,enemy_skill_triggers!$1:$1,0)+1,FALSE)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1" s="151">
        <f ca="1">VLOOKUP($F121,OFFSET(enemy_skill_triggers!$A$1,0,0,COUNTA(enemy_skill_triggers!$A:$A),MATCH(N$1,enemy_skill_triggers!$1:$1,0)-MATCH($F$1,enemy_skill_triggers!$1:$1,0)+1),MATCH(N$1,enemy_skill_triggers!$1:$1,0)-MATCH($F$1,enemy_skill_triggers!$1:$1,0)+1,FALSE)</f>
        <v>1116</v>
      </c>
      <c r="O121" s="151">
        <f ca="1">VLOOKUP($F121,OFFSET(enemy_skill_triggers!$A$1,0,0,COUNTA(enemy_skill_triggers!$A:$A),MATCH(O$1,enemy_skill_triggers!$1:$1,0)-MATCH($F$1,enemy_skill_triggers!$1:$1,0)+1),MATCH(O$1,enemy_skill_triggers!$1:$1,0)-MATCH($F$1,enemy_skill_triggers!$1:$1,0)+1,FALSE)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1" s="147"/>
      <c r="Q121" s="147"/>
      <c r="R121" s="1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8"/>
  <sheetViews>
    <sheetView workbookViewId="0">
      <selection activeCell="H17" sqref="H17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5" t="s">
        <v>150</v>
      </c>
      <c r="B1" s="65" t="s">
        <v>151</v>
      </c>
      <c r="C1" s="66" t="s">
        <v>152</v>
      </c>
      <c r="D1" s="73" t="s">
        <v>153</v>
      </c>
      <c r="E1" s="67" t="s">
        <v>154</v>
      </c>
      <c r="F1" s="65" t="s">
        <v>155</v>
      </c>
      <c r="G1" s="65" t="s">
        <v>156</v>
      </c>
      <c r="H1" s="65" t="s">
        <v>157</v>
      </c>
      <c r="I1" s="65" t="s">
        <v>158</v>
      </c>
      <c r="J1" s="65" t="s">
        <v>159</v>
      </c>
      <c r="K1" s="65" t="s">
        <v>160</v>
      </c>
      <c r="L1" s="65" t="s">
        <v>161</v>
      </c>
      <c r="M1" s="65" t="s">
        <v>162</v>
      </c>
      <c r="N1" s="65" t="s">
        <v>163</v>
      </c>
      <c r="O1" s="65" t="s">
        <v>164</v>
      </c>
      <c r="P1" s="65" t="s">
        <v>165</v>
      </c>
      <c r="Q1" s="65" t="s">
        <v>166</v>
      </c>
      <c r="R1" s="65" t="s">
        <v>167</v>
      </c>
    </row>
    <row r="2" spans="1:18" x14ac:dyDescent="0.15">
      <c r="A2" s="57">
        <v>40043</v>
      </c>
      <c r="B2" s="57">
        <v>2</v>
      </c>
      <c r="C2" s="72" t="str">
        <f t="shared" ref="C2:C18" si="0">A2&amp; "_"&amp;B2</f>
        <v>40043_2</v>
      </c>
      <c r="D2" s="11" t="str">
        <f ca="1">VLOOKUP($C2,OFFSET([2]stages!$A$1,0,0,COUNTA([2]stages!$A:$A),MATCH(D$1,[2]stages!$2:$2,0)-MATCH($C$1,[2]stages!$2:$2,0)+1),MATCH(D$1,[2]stages!$2:$2,0)-MATCH($C$1,[2]stages!$2:$2,0)+1,FALSE)</f>
        <v>everyone</v>
      </c>
      <c r="E2" s="57">
        <v>1</v>
      </c>
      <c r="F2" s="57" t="s">
        <v>306</v>
      </c>
      <c r="G2" s="57">
        <v>1326</v>
      </c>
      <c r="H2" s="57">
        <v>1</v>
      </c>
      <c r="I2" s="57">
        <v>1</v>
      </c>
      <c r="J2" s="57">
        <v>1</v>
      </c>
      <c r="K2" s="57">
        <v>0</v>
      </c>
      <c r="L2" s="57">
        <v>0</v>
      </c>
      <c r="M2" s="57">
        <v>0</v>
      </c>
      <c r="N2" s="57">
        <v>0</v>
      </c>
      <c r="O2" s="57">
        <v>1</v>
      </c>
      <c r="P2" s="57">
        <v>500</v>
      </c>
      <c r="Q2" s="57" t="s">
        <v>169</v>
      </c>
      <c r="R2" s="57" t="s">
        <v>170</v>
      </c>
    </row>
    <row r="3" spans="1:18" x14ac:dyDescent="0.15">
      <c r="A3" s="57">
        <v>40043</v>
      </c>
      <c r="B3" s="57">
        <v>2</v>
      </c>
      <c r="C3" s="72" t="str">
        <f t="shared" si="0"/>
        <v>40043_2</v>
      </c>
      <c r="D3" s="11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7">
        <v>2</v>
      </c>
      <c r="F3" s="57" t="s">
        <v>306</v>
      </c>
      <c r="G3" s="57">
        <v>338</v>
      </c>
      <c r="H3" s="57">
        <v>1</v>
      </c>
      <c r="I3" s="57">
        <v>1</v>
      </c>
      <c r="J3" s="57">
        <v>1</v>
      </c>
      <c r="K3" s="57">
        <v>0</v>
      </c>
      <c r="L3" s="57">
        <v>0</v>
      </c>
      <c r="M3" s="57">
        <v>0</v>
      </c>
      <c r="N3" s="57">
        <v>0</v>
      </c>
      <c r="O3" s="57">
        <v>1</v>
      </c>
      <c r="P3" s="57">
        <v>50</v>
      </c>
      <c r="Q3" s="57" t="s">
        <v>169</v>
      </c>
      <c r="R3" s="57" t="s">
        <v>170</v>
      </c>
    </row>
    <row r="4" spans="1:18" x14ac:dyDescent="0.15">
      <c r="A4" s="57">
        <v>40043</v>
      </c>
      <c r="B4" s="57">
        <v>2</v>
      </c>
      <c r="C4" s="72" t="str">
        <f t="shared" si="0"/>
        <v>40043_2</v>
      </c>
      <c r="D4" s="11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7">
        <v>3</v>
      </c>
      <c r="F4" s="57" t="s">
        <v>306</v>
      </c>
      <c r="G4" s="57">
        <v>350</v>
      </c>
      <c r="H4" s="57">
        <v>1</v>
      </c>
      <c r="I4" s="57">
        <v>1</v>
      </c>
      <c r="J4" s="57">
        <v>1</v>
      </c>
      <c r="K4" s="57">
        <v>0</v>
      </c>
      <c r="L4" s="57">
        <v>0</v>
      </c>
      <c r="M4" s="57">
        <v>0</v>
      </c>
      <c r="N4" s="57">
        <v>0</v>
      </c>
      <c r="O4" s="57">
        <v>1</v>
      </c>
      <c r="P4" s="57">
        <v>120</v>
      </c>
      <c r="Q4" s="57" t="s">
        <v>169</v>
      </c>
      <c r="R4" s="57" t="s">
        <v>170</v>
      </c>
    </row>
    <row r="5" spans="1:18" x14ac:dyDescent="0.15">
      <c r="A5" s="57">
        <v>40043</v>
      </c>
      <c r="B5" s="57">
        <v>2</v>
      </c>
      <c r="C5" s="72" t="str">
        <f t="shared" si="0"/>
        <v>40043_2</v>
      </c>
      <c r="D5" s="18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7">
        <v>4</v>
      </c>
      <c r="F5" s="57" t="s">
        <v>306</v>
      </c>
      <c r="G5" s="57">
        <v>607</v>
      </c>
      <c r="H5" s="57">
        <v>1</v>
      </c>
      <c r="I5" s="57">
        <v>1</v>
      </c>
      <c r="J5" s="57">
        <v>1</v>
      </c>
      <c r="K5" s="57">
        <v>0</v>
      </c>
      <c r="L5" s="57">
        <v>0</v>
      </c>
      <c r="M5" s="57">
        <v>0</v>
      </c>
      <c r="N5" s="57">
        <v>0</v>
      </c>
      <c r="O5" s="57">
        <v>1</v>
      </c>
      <c r="P5" s="57">
        <v>100</v>
      </c>
      <c r="Q5" s="57" t="s">
        <v>169</v>
      </c>
      <c r="R5" s="57" t="s">
        <v>170</v>
      </c>
    </row>
    <row r="6" spans="1:18" x14ac:dyDescent="0.15">
      <c r="A6" s="57">
        <v>40043</v>
      </c>
      <c r="B6" s="57">
        <v>2</v>
      </c>
      <c r="C6" s="72" t="str">
        <f t="shared" si="0"/>
        <v>40043_2</v>
      </c>
      <c r="D6" s="18" t="str">
        <f ca="1">VLOOKUP($C6,OFFSET([2]stages!$A$1,0,0,COUNTA([2]stages!$A:$A),MATCH(D$1,[2]stages!$2:$2,0)-MATCH($C$1,[2]stages!$2:$2,0)+1),MATCH(D$1,[2]stages!$2:$2,0)-MATCH($C$1,[2]stages!$2:$2,0)+1,FALSE)</f>
        <v>everyone</v>
      </c>
      <c r="E6" s="57">
        <v>5</v>
      </c>
      <c r="F6" s="57" t="s">
        <v>306</v>
      </c>
      <c r="G6" s="57">
        <v>608</v>
      </c>
      <c r="H6" s="57">
        <v>1</v>
      </c>
      <c r="I6" s="57">
        <v>1</v>
      </c>
      <c r="J6" s="57">
        <v>1</v>
      </c>
      <c r="K6" s="57">
        <v>0</v>
      </c>
      <c r="L6" s="57">
        <v>0</v>
      </c>
      <c r="M6" s="57">
        <v>0</v>
      </c>
      <c r="N6" s="57">
        <v>0</v>
      </c>
      <c r="O6" s="57">
        <v>1</v>
      </c>
      <c r="P6" s="57">
        <v>100</v>
      </c>
      <c r="Q6" s="57" t="s">
        <v>169</v>
      </c>
      <c r="R6" s="57" t="s">
        <v>170</v>
      </c>
    </row>
    <row r="7" spans="1:18" x14ac:dyDescent="0.15">
      <c r="A7" s="57">
        <v>40043</v>
      </c>
      <c r="B7" s="57">
        <v>2</v>
      </c>
      <c r="C7" s="72" t="str">
        <f t="shared" si="0"/>
        <v>40043_2</v>
      </c>
      <c r="D7" s="18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7">
        <v>6</v>
      </c>
      <c r="F7" s="57" t="s">
        <v>306</v>
      </c>
      <c r="G7" s="57">
        <v>609</v>
      </c>
      <c r="H7" s="57">
        <v>1</v>
      </c>
      <c r="I7" s="57">
        <v>1</v>
      </c>
      <c r="J7" s="57">
        <v>1</v>
      </c>
      <c r="K7" s="57">
        <v>0</v>
      </c>
      <c r="L7" s="57">
        <v>0</v>
      </c>
      <c r="M7" s="57">
        <v>0</v>
      </c>
      <c r="N7" s="57">
        <v>0</v>
      </c>
      <c r="O7" s="57">
        <v>1</v>
      </c>
      <c r="P7" s="57">
        <v>100</v>
      </c>
      <c r="Q7" s="57" t="s">
        <v>169</v>
      </c>
      <c r="R7" s="57" t="s">
        <v>170</v>
      </c>
    </row>
    <row r="8" spans="1:18" ht="16" thickBot="1" x14ac:dyDescent="0.2">
      <c r="A8" s="181">
        <v>40043</v>
      </c>
      <c r="B8" s="181">
        <v>2</v>
      </c>
      <c r="C8" s="182" t="str">
        <f t="shared" si="0"/>
        <v>40043_2</v>
      </c>
      <c r="D8" s="114" t="str">
        <f ca="1">VLOOKUP($C8,OFFSET([2]stages!$A$1,0,0,COUNTA([2]stages!$A:$A),MATCH(D$1,[2]stages!$2:$2,0)-MATCH($C$1,[2]stages!$2:$2,0)+1),MATCH(D$1,[2]stages!$2:$2,0)-MATCH($C$1,[2]stages!$2:$2,0)+1,FALSE)</f>
        <v>everyone</v>
      </c>
      <c r="E8" s="181">
        <v>7</v>
      </c>
      <c r="F8" s="181" t="s">
        <v>306</v>
      </c>
      <c r="G8" s="181">
        <v>125</v>
      </c>
      <c r="H8" s="181">
        <v>1</v>
      </c>
      <c r="I8" s="181">
        <v>1</v>
      </c>
      <c r="J8" s="181">
        <v>1</v>
      </c>
      <c r="K8" s="181">
        <v>0</v>
      </c>
      <c r="L8" s="181">
        <v>0</v>
      </c>
      <c r="M8" s="181">
        <v>0</v>
      </c>
      <c r="N8" s="181">
        <v>0</v>
      </c>
      <c r="O8" s="181">
        <v>1</v>
      </c>
      <c r="P8" s="181">
        <v>30</v>
      </c>
      <c r="Q8" s="181" t="s">
        <v>169</v>
      </c>
      <c r="R8" s="181" t="s">
        <v>170</v>
      </c>
    </row>
    <row r="9" spans="1:18" x14ac:dyDescent="0.15">
      <c r="A9" s="183">
        <v>40043</v>
      </c>
      <c r="B9" s="57">
        <v>1</v>
      </c>
      <c r="C9" s="72" t="str">
        <f t="shared" si="0"/>
        <v>40043_1</v>
      </c>
      <c r="D9" s="11" t="str">
        <f ca="1">VLOOKUP($C9,OFFSET([2]stages!$A$1,0,0,COUNTA([2]stages!$A:$A),MATCH(D$1,[2]stages!$2:$2,0)-MATCH($C$1,[2]stages!$2:$2,0)+1),MATCH(D$1,[2]stages!$2:$2,0)-MATCH($C$1,[2]stages!$2:$2,0)+1,FALSE)</f>
        <v>everyone</v>
      </c>
      <c r="E9" s="57">
        <v>8</v>
      </c>
      <c r="F9" s="57" t="s">
        <v>168</v>
      </c>
      <c r="G9" s="57">
        <v>40000</v>
      </c>
      <c r="H9" s="57" t="s">
        <v>88</v>
      </c>
      <c r="I9" s="57">
        <v>1</v>
      </c>
      <c r="J9" s="57">
        <v>1</v>
      </c>
      <c r="K9" s="57">
        <v>0</v>
      </c>
      <c r="L9" s="57">
        <v>0</v>
      </c>
      <c r="M9" s="57">
        <v>0</v>
      </c>
      <c r="N9" s="57">
        <v>0</v>
      </c>
      <c r="O9" s="57">
        <v>1</v>
      </c>
      <c r="P9" s="57">
        <v>150</v>
      </c>
      <c r="Q9" s="57" t="s">
        <v>169</v>
      </c>
      <c r="R9" s="57" t="s">
        <v>170</v>
      </c>
    </row>
    <row r="10" spans="1:18" x14ac:dyDescent="0.15">
      <c r="A10" s="57">
        <v>40043</v>
      </c>
      <c r="B10" s="57">
        <v>1</v>
      </c>
      <c r="C10" s="72" t="str">
        <f t="shared" si="0"/>
        <v>40043_1</v>
      </c>
      <c r="D10" s="11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57">
        <v>9</v>
      </c>
      <c r="F10" s="57" t="s">
        <v>305</v>
      </c>
      <c r="G10" s="57">
        <v>30</v>
      </c>
      <c r="H10" s="57" t="s">
        <v>88</v>
      </c>
      <c r="I10" s="57">
        <v>1</v>
      </c>
      <c r="J10" s="57">
        <v>1</v>
      </c>
      <c r="K10" s="57">
        <v>0</v>
      </c>
      <c r="L10" s="57">
        <v>0</v>
      </c>
      <c r="M10" s="57">
        <v>0</v>
      </c>
      <c r="N10" s="57">
        <v>0</v>
      </c>
      <c r="O10" s="57">
        <v>1</v>
      </c>
      <c r="P10" s="57">
        <v>150</v>
      </c>
      <c r="Q10" s="57" t="s">
        <v>169</v>
      </c>
      <c r="R10" s="57" t="s">
        <v>170</v>
      </c>
    </row>
    <row r="11" spans="1:18" x14ac:dyDescent="0.15">
      <c r="A11" s="57">
        <v>40043</v>
      </c>
      <c r="B11" s="57">
        <v>1</v>
      </c>
      <c r="C11" s="72" t="str">
        <f t="shared" si="0"/>
        <v>40043_1</v>
      </c>
      <c r="D11" s="11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57">
        <v>10</v>
      </c>
      <c r="F11" s="57" t="s">
        <v>306</v>
      </c>
      <c r="G11" s="57">
        <v>1326</v>
      </c>
      <c r="H11" s="57">
        <v>1</v>
      </c>
      <c r="I11" s="57">
        <v>1</v>
      </c>
      <c r="J11" s="57">
        <v>1</v>
      </c>
      <c r="K11" s="57">
        <v>0</v>
      </c>
      <c r="L11" s="57">
        <v>0</v>
      </c>
      <c r="M11" s="57">
        <v>0</v>
      </c>
      <c r="N11" s="57">
        <v>0</v>
      </c>
      <c r="O11" s="57">
        <v>1</v>
      </c>
      <c r="P11" s="57">
        <v>100</v>
      </c>
      <c r="Q11" s="57" t="s">
        <v>169</v>
      </c>
      <c r="R11" s="57" t="s">
        <v>170</v>
      </c>
    </row>
    <row r="12" spans="1:18" x14ac:dyDescent="0.15">
      <c r="A12" s="57">
        <v>40043</v>
      </c>
      <c r="B12" s="57">
        <v>1</v>
      </c>
      <c r="C12" s="72" t="str">
        <f t="shared" si="0"/>
        <v>40043_1</v>
      </c>
      <c r="D12" s="18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57">
        <v>11</v>
      </c>
      <c r="F12" s="57" t="s">
        <v>306</v>
      </c>
      <c r="G12" s="57">
        <v>337</v>
      </c>
      <c r="H12" s="57">
        <v>1</v>
      </c>
      <c r="I12" s="57">
        <v>1</v>
      </c>
      <c r="J12" s="57">
        <v>1</v>
      </c>
      <c r="K12" s="57">
        <v>0</v>
      </c>
      <c r="L12" s="57">
        <v>0</v>
      </c>
      <c r="M12" s="57">
        <v>0</v>
      </c>
      <c r="N12" s="57">
        <v>0</v>
      </c>
      <c r="O12" s="57">
        <v>1</v>
      </c>
      <c r="P12" s="57">
        <v>28</v>
      </c>
      <c r="Q12" s="57" t="s">
        <v>169</v>
      </c>
      <c r="R12" s="57" t="s">
        <v>170</v>
      </c>
    </row>
    <row r="13" spans="1:18" x14ac:dyDescent="0.15">
      <c r="A13" s="57">
        <v>40043</v>
      </c>
      <c r="B13" s="57">
        <v>1</v>
      </c>
      <c r="C13" s="72" t="str">
        <f t="shared" si="0"/>
        <v>40043_1</v>
      </c>
      <c r="D13" s="18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57">
        <v>12</v>
      </c>
      <c r="F13" s="57" t="s">
        <v>306</v>
      </c>
      <c r="G13" s="57">
        <v>338</v>
      </c>
      <c r="H13" s="57">
        <v>1</v>
      </c>
      <c r="I13" s="57">
        <v>1</v>
      </c>
      <c r="J13" s="57">
        <v>1</v>
      </c>
      <c r="K13" s="57">
        <v>0</v>
      </c>
      <c r="L13" s="57">
        <v>0</v>
      </c>
      <c r="M13" s="57">
        <v>0</v>
      </c>
      <c r="N13" s="57">
        <v>0</v>
      </c>
      <c r="O13" s="57">
        <v>1</v>
      </c>
      <c r="P13" s="57">
        <v>112</v>
      </c>
      <c r="Q13" s="57" t="s">
        <v>169</v>
      </c>
      <c r="R13" s="57" t="s">
        <v>170</v>
      </c>
    </row>
    <row r="14" spans="1:18" x14ac:dyDescent="0.15">
      <c r="A14" s="57">
        <v>40043</v>
      </c>
      <c r="B14" s="57">
        <v>1</v>
      </c>
      <c r="C14" s="72" t="str">
        <f t="shared" si="0"/>
        <v>40043_1</v>
      </c>
      <c r="D14" s="18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57">
        <v>13</v>
      </c>
      <c r="F14" s="57" t="s">
        <v>306</v>
      </c>
      <c r="G14" s="57">
        <v>350</v>
      </c>
      <c r="H14" s="57">
        <v>1</v>
      </c>
      <c r="I14" s="57">
        <v>1</v>
      </c>
      <c r="J14" s="57">
        <v>1</v>
      </c>
      <c r="K14" s="57">
        <v>0</v>
      </c>
      <c r="L14" s="57">
        <v>0</v>
      </c>
      <c r="M14" s="57">
        <v>0</v>
      </c>
      <c r="N14" s="57">
        <v>0</v>
      </c>
      <c r="O14" s="57">
        <v>1</v>
      </c>
      <c r="P14" s="57">
        <v>150</v>
      </c>
      <c r="Q14" s="57" t="s">
        <v>169</v>
      </c>
      <c r="R14" s="57" t="s">
        <v>170</v>
      </c>
    </row>
    <row r="15" spans="1:18" x14ac:dyDescent="0.15">
      <c r="A15" s="57">
        <v>40043</v>
      </c>
      <c r="B15" s="57">
        <v>1</v>
      </c>
      <c r="C15" s="72" t="str">
        <f t="shared" si="0"/>
        <v>40043_1</v>
      </c>
      <c r="D15" s="18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57">
        <v>14</v>
      </c>
      <c r="F15" s="57" t="s">
        <v>306</v>
      </c>
      <c r="G15" s="57">
        <v>121</v>
      </c>
      <c r="H15" s="57">
        <v>1</v>
      </c>
      <c r="I15" s="57">
        <v>1</v>
      </c>
      <c r="J15" s="57">
        <v>1</v>
      </c>
      <c r="K15" s="57">
        <v>0</v>
      </c>
      <c r="L15" s="57">
        <v>0</v>
      </c>
      <c r="M15" s="57">
        <v>0</v>
      </c>
      <c r="N15" s="57">
        <v>0</v>
      </c>
      <c r="O15" s="57">
        <v>1</v>
      </c>
      <c r="P15" s="57">
        <v>100</v>
      </c>
      <c r="Q15" s="57" t="s">
        <v>169</v>
      </c>
      <c r="R15" s="57" t="s">
        <v>170</v>
      </c>
    </row>
    <row r="16" spans="1:18" x14ac:dyDescent="0.15">
      <c r="A16" s="57">
        <v>40043</v>
      </c>
      <c r="B16" s="183">
        <v>1</v>
      </c>
      <c r="C16" s="184" t="str">
        <f t="shared" si="0"/>
        <v>40043_1</v>
      </c>
      <c r="D16" s="107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57">
        <v>15</v>
      </c>
      <c r="F16" s="183" t="s">
        <v>306</v>
      </c>
      <c r="G16" s="183">
        <v>122</v>
      </c>
      <c r="H16" s="183">
        <v>1</v>
      </c>
      <c r="I16" s="183">
        <v>1</v>
      </c>
      <c r="J16" s="183">
        <v>1</v>
      </c>
      <c r="K16" s="183">
        <v>0</v>
      </c>
      <c r="L16" s="183">
        <v>0</v>
      </c>
      <c r="M16" s="183">
        <v>0</v>
      </c>
      <c r="N16" s="183">
        <v>0</v>
      </c>
      <c r="O16" s="183">
        <v>1</v>
      </c>
      <c r="P16" s="183">
        <v>100</v>
      </c>
      <c r="Q16" s="183" t="s">
        <v>169</v>
      </c>
      <c r="R16" s="183" t="s">
        <v>170</v>
      </c>
    </row>
    <row r="17" spans="1:18" x14ac:dyDescent="0.15">
      <c r="A17" s="57">
        <v>40043</v>
      </c>
      <c r="B17" s="57">
        <v>1</v>
      </c>
      <c r="C17" s="72" t="str">
        <f t="shared" si="0"/>
        <v>40043_1</v>
      </c>
      <c r="D17" s="18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57">
        <v>16</v>
      </c>
      <c r="F17" s="57" t="s">
        <v>306</v>
      </c>
      <c r="G17" s="57">
        <v>123</v>
      </c>
      <c r="H17" s="57">
        <v>1</v>
      </c>
      <c r="I17" s="57">
        <v>1</v>
      </c>
      <c r="J17" s="57">
        <v>1</v>
      </c>
      <c r="K17" s="57">
        <v>0</v>
      </c>
      <c r="L17" s="57">
        <v>0</v>
      </c>
      <c r="M17" s="57">
        <v>0</v>
      </c>
      <c r="N17" s="57">
        <v>0</v>
      </c>
      <c r="O17" s="57">
        <v>1</v>
      </c>
      <c r="P17" s="57">
        <v>100</v>
      </c>
      <c r="Q17" s="57" t="s">
        <v>169</v>
      </c>
      <c r="R17" s="57" t="s">
        <v>170</v>
      </c>
    </row>
    <row r="18" spans="1:18" ht="16" thickBot="1" x14ac:dyDescent="0.2">
      <c r="A18" s="181">
        <v>40043</v>
      </c>
      <c r="B18" s="181">
        <v>1</v>
      </c>
      <c r="C18" s="182" t="str">
        <f t="shared" si="0"/>
        <v>40043_1</v>
      </c>
      <c r="D18" s="114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181">
        <v>17</v>
      </c>
      <c r="F18" s="181" t="s">
        <v>306</v>
      </c>
      <c r="G18" s="181">
        <v>125</v>
      </c>
      <c r="H18" s="181">
        <v>1</v>
      </c>
      <c r="I18" s="181">
        <v>1</v>
      </c>
      <c r="J18" s="181">
        <v>1</v>
      </c>
      <c r="K18" s="181">
        <v>0</v>
      </c>
      <c r="L18" s="181">
        <v>0</v>
      </c>
      <c r="M18" s="181">
        <v>0</v>
      </c>
      <c r="N18" s="181">
        <v>0</v>
      </c>
      <c r="O18" s="181">
        <v>1</v>
      </c>
      <c r="P18" s="181">
        <v>10</v>
      </c>
      <c r="Q18" s="181" t="s">
        <v>169</v>
      </c>
      <c r="R18" s="181" t="s">
        <v>170</v>
      </c>
    </row>
  </sheetData>
  <phoneticPr fontId="5"/>
  <dataValidations count="1">
    <dataValidation type="list" allowBlank="1" showInputMessage="1" showErrorMessage="1" sqref="F2:F18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M40" sqref="M40"/>
    </sheetView>
  </sheetViews>
  <sheetFormatPr baseColWidth="12" defaultColWidth="13" defaultRowHeight="15" outlineLevelCol="1" x14ac:dyDescent="0.15"/>
  <cols>
    <col min="1" max="1" width="13" style="89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7" t="s">
        <v>187</v>
      </c>
      <c r="B1" s="74" t="s">
        <v>188</v>
      </c>
      <c r="C1" s="78" t="s">
        <v>189</v>
      </c>
      <c r="D1" s="78" t="s">
        <v>33</v>
      </c>
      <c r="E1" s="74" t="s">
        <v>190</v>
      </c>
      <c r="F1" s="78" t="s">
        <v>191</v>
      </c>
      <c r="G1" s="78" t="s">
        <v>33</v>
      </c>
      <c r="H1" s="74" t="s">
        <v>192</v>
      </c>
      <c r="I1" s="92" t="s">
        <v>194</v>
      </c>
      <c r="J1" s="80" t="s">
        <v>126</v>
      </c>
      <c r="K1" s="79" t="s">
        <v>186</v>
      </c>
      <c r="L1" s="93" t="s">
        <v>185</v>
      </c>
      <c r="M1" s="81" t="s">
        <v>195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25"/>
  <sheetViews>
    <sheetView showGridLines="0" workbookViewId="0">
      <pane ySplit="1" topLeftCell="A2" activePane="bottomLeft" state="frozen"/>
      <selection pane="bottomLeft" activeCell="M11" sqref="M11"/>
    </sheetView>
  </sheetViews>
  <sheetFormatPr baseColWidth="12" defaultColWidth="13" defaultRowHeight="15" outlineLevelCol="1" x14ac:dyDescent="0.15"/>
  <cols>
    <col min="1" max="1" width="13" style="89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7" t="s">
        <v>184</v>
      </c>
      <c r="B1" s="74" t="s">
        <v>150</v>
      </c>
      <c r="C1" s="78" t="s">
        <v>189</v>
      </c>
      <c r="D1" s="78" t="s">
        <v>33</v>
      </c>
      <c r="E1" s="74" t="s">
        <v>190</v>
      </c>
      <c r="F1" s="78" t="s">
        <v>18</v>
      </c>
      <c r="G1" s="78" t="s">
        <v>33</v>
      </c>
      <c r="H1" s="74" t="s">
        <v>192</v>
      </c>
      <c r="I1" s="90" t="s">
        <v>193</v>
      </c>
      <c r="J1" s="92" t="s">
        <v>194</v>
      </c>
      <c r="K1" s="80" t="s">
        <v>126</v>
      </c>
      <c r="L1" s="79" t="s">
        <v>186</v>
      </c>
      <c r="M1" s="93" t="s">
        <v>185</v>
      </c>
      <c r="N1" s="81" t="s">
        <v>195</v>
      </c>
    </row>
    <row r="2" spans="1:14" ht="70" x14ac:dyDescent="0.15">
      <c r="A2" s="82" t="s">
        <v>196</v>
      </c>
      <c r="B2" s="83">
        <f>floors!$C$2</f>
        <v>40043</v>
      </c>
      <c r="C2" s="84" t="str">
        <f ca="1">VLOOKUP($B2,OFFSET([2]quests!$A$1,0,0,COUNTA([2]quests!$A:$A),MATCH(C$1,[2]quests!$1:$1,0)-MATCH($B$1,[2]quests!$1:$1,0)+1),MATCH(C$1,[2]quests!$1:$1,0)-MATCH($B$1,[2]quests!$1:$1,0)+1,FALSE)</f>
        <v>ワカヒルメ襲来！</v>
      </c>
      <c r="D2" s="84" t="str">
        <f ca="1">VLOOKUP($B2,OFFSET([2]quests!$A$1,0,0,COUNTA([2]quests!$A:$A),MATCH(D$1,[2]quests!$1:$1,0)-MATCH($B$1,[2]quests!$1:$1,0)+1),MATCH(D$1,[2]quests!$1:$1,0)-MATCH($B$1,[2]quests!$1:$1,0)+1,FALSE)</f>
        <v>降臨43</v>
      </c>
      <c r="E2" s="85">
        <v>2</v>
      </c>
      <c r="F2" s="84" t="str">
        <f ca="1">VLOOKUP($B2&amp;"_"&amp;$E2,OFFSET([2]stages!$A$1,0,0,COUNTA([2]stages!$A:$A),MATCH(F$1,[2]stages!$2:$2,0)-MATCH("temp_stage",[2]stages!$2:$2,0)+1),MATCH(F$1,[2]stages!$2:$2,0)-MATCH("temp_stage",[2]stages!$2:$2,0)+1,FALSE)</f>
        <v>【ウィザード級】ワカヒルメ襲来</v>
      </c>
      <c r="G2" s="84" t="str">
        <f ca="1">VLOOKUP($B2&amp;"_"&amp;$E2,OFFSET([2]stages!$A$1,0,0,COUNTA([2]stages!$A:$A),MATCH(G$1,[2]stages!$2:$2,0)-MATCH("temp_stage",[2]stages!$2:$2,0)+1),MATCH(G$1,[2]stages!$2:$2,0)-MATCH("temp_stage",[2]stages!$2:$2,0)+1,FALSE)</f>
        <v>降臨43</v>
      </c>
      <c r="H2" s="86">
        <v>1</v>
      </c>
      <c r="I2" s="91">
        <f t="shared" ref="I2:I25" si="0">ROW()-1</f>
        <v>1</v>
      </c>
      <c r="J2" s="87" t="str">
        <f t="shared" ref="J2:J13" si="1">B2&amp;TEXT(I2,"00")</f>
        <v>4004301</v>
      </c>
      <c r="K2" s="85" t="s">
        <v>197</v>
      </c>
      <c r="L2" s="88" t="s">
        <v>253</v>
      </c>
      <c r="M2" s="178" t="s">
        <v>416</v>
      </c>
      <c r="N2" s="57" t="s">
        <v>198</v>
      </c>
    </row>
    <row r="3" spans="1:14" ht="56" x14ac:dyDescent="0.15">
      <c r="A3" s="82" t="s">
        <v>196</v>
      </c>
      <c r="B3" s="83">
        <f>floors!$C$2</f>
        <v>40043</v>
      </c>
      <c r="C3" s="84" t="str">
        <f ca="1">VLOOKUP($B3,OFFSET([2]quests!$A$1,0,0,COUNTA([2]quests!$A:$A),MATCH(C$1,[2]quests!$1:$1,0)-MATCH($B$1,[2]quests!$1:$1,0)+1),MATCH(C$1,[2]quests!$1:$1,0)-MATCH($B$1,[2]quests!$1:$1,0)+1,FALSE)</f>
        <v>ワカヒルメ襲来！</v>
      </c>
      <c r="D3" s="84" t="str">
        <f ca="1">VLOOKUP($B3,OFFSET([2]quests!$A$1,0,0,COUNTA([2]quests!$A:$A),MATCH(D$1,[2]quests!$1:$1,0)-MATCH($B$1,[2]quests!$1:$1,0)+1),MATCH(D$1,[2]quests!$1:$1,0)-MATCH($B$1,[2]quests!$1:$1,0)+1,FALSE)</f>
        <v>降臨43</v>
      </c>
      <c r="E3" s="85">
        <v>2</v>
      </c>
      <c r="F3" s="84" t="str">
        <f ca="1">VLOOKUP($B3&amp;"_"&amp;$E3,OFFSET([2]stages!$A$1,0,0,COUNTA([2]stages!$A:$A),MATCH(F$1,[2]stages!$2:$2,0)-MATCH("temp_stage",[2]stages!$2:$2,0)+1),MATCH(F$1,[2]stages!$2:$2,0)-MATCH("temp_stage",[2]stages!$2:$2,0)+1,FALSE)</f>
        <v>【ウィザード級】ワカヒルメ襲来</v>
      </c>
      <c r="G3" s="84" t="str">
        <f ca="1">VLOOKUP($B3&amp;"_"&amp;$E3,OFFSET([2]stages!$A$1,0,0,COUNTA([2]stages!$A:$A),MATCH(G$1,[2]stages!$2:$2,0)-MATCH("temp_stage",[2]stages!$2:$2,0)+1),MATCH(G$1,[2]stages!$2:$2,0)-MATCH("temp_stage",[2]stages!$2:$2,0)+1,FALSE)</f>
        <v>降臨43</v>
      </c>
      <c r="H3" s="86">
        <v>2</v>
      </c>
      <c r="I3" s="91">
        <f t="shared" si="0"/>
        <v>2</v>
      </c>
      <c r="J3" s="87" t="str">
        <f t="shared" si="1"/>
        <v>4004302</v>
      </c>
      <c r="K3" s="85" t="s">
        <v>197</v>
      </c>
      <c r="L3" s="88" t="s">
        <v>253</v>
      </c>
      <c r="M3" s="178" t="s">
        <v>329</v>
      </c>
      <c r="N3" s="57" t="s">
        <v>198</v>
      </c>
    </row>
    <row r="4" spans="1:14" ht="56" x14ac:dyDescent="0.15">
      <c r="A4" s="82" t="s">
        <v>196</v>
      </c>
      <c r="B4" s="83">
        <f>floors!$C$2</f>
        <v>40043</v>
      </c>
      <c r="C4" s="84" t="str">
        <f ca="1">VLOOKUP($B4,OFFSET([2]quests!$A$1,0,0,COUNTA([2]quests!$A:$A),MATCH(C$1,[2]quests!$1:$1,0)-MATCH($B$1,[2]quests!$1:$1,0)+1),MATCH(C$1,[2]quests!$1:$1,0)-MATCH($B$1,[2]quests!$1:$1,0)+1,FALSE)</f>
        <v>ワカヒルメ襲来！</v>
      </c>
      <c r="D4" s="84" t="str">
        <f ca="1">VLOOKUP($B4,OFFSET([2]quests!$A$1,0,0,COUNTA([2]quests!$A:$A),MATCH(D$1,[2]quests!$1:$1,0)-MATCH($B$1,[2]quests!$1:$1,0)+1),MATCH(D$1,[2]quests!$1:$1,0)-MATCH($B$1,[2]quests!$1:$1,0)+1,FALSE)</f>
        <v>降臨43</v>
      </c>
      <c r="E4" s="85">
        <v>2</v>
      </c>
      <c r="F4" s="84" t="str">
        <f ca="1">VLOOKUP($B4&amp;"_"&amp;$E4,OFFSET([2]stages!$A$1,0,0,COUNTA([2]stages!$A:$A),MATCH(F$1,[2]stages!$2:$2,0)-MATCH("temp_stage",[2]stages!$2:$2,0)+1),MATCH(F$1,[2]stages!$2:$2,0)-MATCH("temp_stage",[2]stages!$2:$2,0)+1,FALSE)</f>
        <v>【ウィザード級】ワカヒルメ襲来</v>
      </c>
      <c r="G4" s="84" t="str">
        <f ca="1">VLOOKUP($B4&amp;"_"&amp;$E4,OFFSET([2]stages!$A$1,0,0,COUNTA([2]stages!$A:$A),MATCH(G$1,[2]stages!$2:$2,0)-MATCH("temp_stage",[2]stages!$2:$2,0)+1),MATCH(G$1,[2]stages!$2:$2,0)-MATCH("temp_stage",[2]stages!$2:$2,0)+1,FALSE)</f>
        <v>降臨43</v>
      </c>
      <c r="H4" s="86">
        <v>2</v>
      </c>
      <c r="I4" s="91">
        <f t="shared" si="0"/>
        <v>3</v>
      </c>
      <c r="J4" s="87" t="str">
        <f t="shared" si="1"/>
        <v>4004303</v>
      </c>
      <c r="K4" s="85" t="s">
        <v>197</v>
      </c>
      <c r="L4" s="88" t="s">
        <v>253</v>
      </c>
      <c r="M4" s="178" t="s">
        <v>330</v>
      </c>
      <c r="N4" s="57" t="s">
        <v>198</v>
      </c>
    </row>
    <row r="5" spans="1:14" ht="56" x14ac:dyDescent="0.15">
      <c r="A5" s="82" t="s">
        <v>196</v>
      </c>
      <c r="B5" s="83">
        <f>floors!$C$2</f>
        <v>40043</v>
      </c>
      <c r="C5" s="84" t="str">
        <f ca="1">VLOOKUP($B5,OFFSET([2]quests!$A$1,0,0,COUNTA([2]quests!$A:$A),MATCH(C$1,[2]quests!$1:$1,0)-MATCH($B$1,[2]quests!$1:$1,0)+1),MATCH(C$1,[2]quests!$1:$1,0)-MATCH($B$1,[2]quests!$1:$1,0)+1,FALSE)</f>
        <v>ワカヒルメ襲来！</v>
      </c>
      <c r="D5" s="84" t="str">
        <f ca="1">VLOOKUP($B5,OFFSET([2]quests!$A$1,0,0,COUNTA([2]quests!$A:$A),MATCH(D$1,[2]quests!$1:$1,0)-MATCH($B$1,[2]quests!$1:$1,0)+1),MATCH(D$1,[2]quests!$1:$1,0)-MATCH($B$1,[2]quests!$1:$1,0)+1,FALSE)</f>
        <v>降臨43</v>
      </c>
      <c r="E5" s="85">
        <v>2</v>
      </c>
      <c r="F5" s="84" t="str">
        <f ca="1">VLOOKUP($B5&amp;"_"&amp;$E5,OFFSET([2]stages!$A$1,0,0,COUNTA([2]stages!$A:$A),MATCH(F$1,[2]stages!$2:$2,0)-MATCH("temp_stage",[2]stages!$2:$2,0)+1),MATCH(F$1,[2]stages!$2:$2,0)-MATCH("temp_stage",[2]stages!$2:$2,0)+1,FALSE)</f>
        <v>【ウィザード級】ワカヒルメ襲来</v>
      </c>
      <c r="G5" s="84" t="str">
        <f ca="1">VLOOKUP($B5&amp;"_"&amp;$E5,OFFSET([2]stages!$A$1,0,0,COUNTA([2]stages!$A:$A),MATCH(G$1,[2]stages!$2:$2,0)-MATCH("temp_stage",[2]stages!$2:$2,0)+1),MATCH(G$1,[2]stages!$2:$2,0)-MATCH("temp_stage",[2]stages!$2:$2,0)+1,FALSE)</f>
        <v>降臨43</v>
      </c>
      <c r="H5" s="86">
        <v>3</v>
      </c>
      <c r="I5" s="91">
        <f t="shared" si="0"/>
        <v>4</v>
      </c>
      <c r="J5" s="87" t="str">
        <f t="shared" si="1"/>
        <v>4004304</v>
      </c>
      <c r="K5" s="85" t="s">
        <v>197</v>
      </c>
      <c r="L5" s="88" t="s">
        <v>253</v>
      </c>
      <c r="M5" s="178" t="s">
        <v>331</v>
      </c>
      <c r="N5" s="57" t="s">
        <v>198</v>
      </c>
    </row>
    <row r="6" spans="1:14" ht="56" x14ac:dyDescent="0.15">
      <c r="A6" s="82" t="s">
        <v>196</v>
      </c>
      <c r="B6" s="83">
        <f>floors!$C$2</f>
        <v>40043</v>
      </c>
      <c r="C6" s="84" t="str">
        <f ca="1">VLOOKUP($B6,OFFSET([2]quests!$A$1,0,0,COUNTA([2]quests!$A:$A),MATCH(C$1,[2]quests!$1:$1,0)-MATCH($B$1,[2]quests!$1:$1,0)+1),MATCH(C$1,[2]quests!$1:$1,0)-MATCH($B$1,[2]quests!$1:$1,0)+1,FALSE)</f>
        <v>ワカヒルメ襲来！</v>
      </c>
      <c r="D6" s="84" t="str">
        <f ca="1">VLOOKUP($B6,OFFSET([2]quests!$A$1,0,0,COUNTA([2]quests!$A:$A),MATCH(D$1,[2]quests!$1:$1,0)-MATCH($B$1,[2]quests!$1:$1,0)+1),MATCH(D$1,[2]quests!$1:$1,0)-MATCH($B$1,[2]quests!$1:$1,0)+1,FALSE)</f>
        <v>降臨43</v>
      </c>
      <c r="E6" s="85">
        <v>2</v>
      </c>
      <c r="F6" s="84" t="str">
        <f ca="1">VLOOKUP($B6&amp;"_"&amp;$E6,OFFSET([2]stages!$A$1,0,0,COUNTA([2]stages!$A:$A),MATCH(F$1,[2]stages!$2:$2,0)-MATCH("temp_stage",[2]stages!$2:$2,0)+1),MATCH(F$1,[2]stages!$2:$2,0)-MATCH("temp_stage",[2]stages!$2:$2,0)+1,FALSE)</f>
        <v>【ウィザード級】ワカヒルメ襲来</v>
      </c>
      <c r="G6" s="84" t="str">
        <f ca="1">VLOOKUP($B6&amp;"_"&amp;$E6,OFFSET([2]stages!$A$1,0,0,COUNTA([2]stages!$A:$A),MATCH(G$1,[2]stages!$2:$2,0)-MATCH("temp_stage",[2]stages!$2:$2,0)+1),MATCH(G$1,[2]stages!$2:$2,0)-MATCH("temp_stage",[2]stages!$2:$2,0)+1,FALSE)</f>
        <v>降臨43</v>
      </c>
      <c r="H6" s="86">
        <v>4</v>
      </c>
      <c r="I6" s="91">
        <f t="shared" si="0"/>
        <v>5</v>
      </c>
      <c r="J6" s="87" t="str">
        <f t="shared" si="1"/>
        <v>4004305</v>
      </c>
      <c r="K6" s="85" t="s">
        <v>197</v>
      </c>
      <c r="L6" s="88" t="s">
        <v>253</v>
      </c>
      <c r="M6" s="178" t="s">
        <v>354</v>
      </c>
      <c r="N6" s="57" t="s">
        <v>198</v>
      </c>
    </row>
    <row r="7" spans="1:14" ht="56" x14ac:dyDescent="0.15">
      <c r="A7" s="82" t="s">
        <v>196</v>
      </c>
      <c r="B7" s="83">
        <f>floors!$C$2</f>
        <v>40043</v>
      </c>
      <c r="C7" s="84" t="str">
        <f ca="1">VLOOKUP($B7,OFFSET([2]quests!$A$1,0,0,COUNTA([2]quests!$A:$A),MATCH(C$1,[2]quests!$1:$1,0)-MATCH($B$1,[2]quests!$1:$1,0)+1),MATCH(C$1,[2]quests!$1:$1,0)-MATCH($B$1,[2]quests!$1:$1,0)+1,FALSE)</f>
        <v>ワカヒルメ襲来！</v>
      </c>
      <c r="D7" s="84" t="str">
        <f ca="1">VLOOKUP($B7,OFFSET([2]quests!$A$1,0,0,COUNTA([2]quests!$A:$A),MATCH(D$1,[2]quests!$1:$1,0)-MATCH($B$1,[2]quests!$1:$1,0)+1),MATCH(D$1,[2]quests!$1:$1,0)-MATCH($B$1,[2]quests!$1:$1,0)+1,FALSE)</f>
        <v>降臨43</v>
      </c>
      <c r="E7" s="85">
        <v>2</v>
      </c>
      <c r="F7" s="84" t="str">
        <f ca="1">VLOOKUP($B7&amp;"_"&amp;$E7,OFFSET([2]stages!$A$1,0,0,COUNTA([2]stages!$A:$A),MATCH(F$1,[2]stages!$2:$2,0)-MATCH("temp_stage",[2]stages!$2:$2,0)+1),MATCH(F$1,[2]stages!$2:$2,0)-MATCH("temp_stage",[2]stages!$2:$2,0)+1,FALSE)</f>
        <v>【ウィザード級】ワカヒルメ襲来</v>
      </c>
      <c r="G7" s="84" t="str">
        <f ca="1">VLOOKUP($B7&amp;"_"&amp;$E7,OFFSET([2]stages!$A$1,0,0,COUNTA([2]stages!$A:$A),MATCH(G$1,[2]stages!$2:$2,0)-MATCH("temp_stage",[2]stages!$2:$2,0)+1),MATCH(G$1,[2]stages!$2:$2,0)-MATCH("temp_stage",[2]stages!$2:$2,0)+1,FALSE)</f>
        <v>降臨43</v>
      </c>
      <c r="H7" s="86">
        <v>4</v>
      </c>
      <c r="I7" s="91">
        <f t="shared" si="0"/>
        <v>6</v>
      </c>
      <c r="J7" s="87" t="str">
        <f t="shared" si="1"/>
        <v>4004306</v>
      </c>
      <c r="K7" s="85" t="s">
        <v>197</v>
      </c>
      <c r="L7" s="88" t="s">
        <v>253</v>
      </c>
      <c r="M7" s="178" t="s">
        <v>333</v>
      </c>
      <c r="N7" s="57" t="s">
        <v>198</v>
      </c>
    </row>
    <row r="8" spans="1:14" ht="70" x14ac:dyDescent="0.15">
      <c r="A8" s="82" t="s">
        <v>196</v>
      </c>
      <c r="B8" s="83">
        <f>floors!$C$2</f>
        <v>40043</v>
      </c>
      <c r="C8" s="84" t="str">
        <f ca="1">VLOOKUP($B8,OFFSET([2]quests!$A$1,0,0,COUNTA([2]quests!$A:$A),MATCH(C$1,[2]quests!$1:$1,0)-MATCH($B$1,[2]quests!$1:$1,0)+1),MATCH(C$1,[2]quests!$1:$1,0)-MATCH($B$1,[2]quests!$1:$1,0)+1,FALSE)</f>
        <v>ワカヒルメ襲来！</v>
      </c>
      <c r="D8" s="84" t="str">
        <f ca="1">VLOOKUP($B8,OFFSET([2]quests!$A$1,0,0,COUNTA([2]quests!$A:$A),MATCH(D$1,[2]quests!$1:$1,0)-MATCH($B$1,[2]quests!$1:$1,0)+1),MATCH(D$1,[2]quests!$1:$1,0)-MATCH($B$1,[2]quests!$1:$1,0)+1,FALSE)</f>
        <v>降臨43</v>
      </c>
      <c r="E8" s="85">
        <v>2</v>
      </c>
      <c r="F8" s="84" t="str">
        <f ca="1">VLOOKUP($B8&amp;"_"&amp;$E8,OFFSET([2]stages!$A$1,0,0,COUNTA([2]stages!$A:$A),MATCH(F$1,[2]stages!$2:$2,0)-MATCH("temp_stage",[2]stages!$2:$2,0)+1),MATCH(F$1,[2]stages!$2:$2,0)-MATCH("temp_stage",[2]stages!$2:$2,0)+1,FALSE)</f>
        <v>【ウィザード級】ワカヒルメ襲来</v>
      </c>
      <c r="G8" s="84" t="str">
        <f ca="1">VLOOKUP($B8&amp;"_"&amp;$E8,OFFSET([2]stages!$A$1,0,0,COUNTA([2]stages!$A:$A),MATCH(G$1,[2]stages!$2:$2,0)-MATCH("temp_stage",[2]stages!$2:$2,0)+1),MATCH(G$1,[2]stages!$2:$2,0)-MATCH("temp_stage",[2]stages!$2:$2,0)+1,FALSE)</f>
        <v>降臨43</v>
      </c>
      <c r="H8" s="86">
        <v>4</v>
      </c>
      <c r="I8" s="91">
        <f t="shared" si="0"/>
        <v>7</v>
      </c>
      <c r="J8" s="87" t="str">
        <f t="shared" si="1"/>
        <v>4004307</v>
      </c>
      <c r="K8" s="85" t="s">
        <v>197</v>
      </c>
      <c r="L8" s="88" t="s">
        <v>253</v>
      </c>
      <c r="M8" s="178" t="s">
        <v>353</v>
      </c>
      <c r="N8" s="57" t="s">
        <v>198</v>
      </c>
    </row>
    <row r="9" spans="1:14" ht="56" x14ac:dyDescent="0.15">
      <c r="A9" s="82" t="s">
        <v>196</v>
      </c>
      <c r="B9" s="83">
        <f>floors!$C$2</f>
        <v>40043</v>
      </c>
      <c r="C9" s="84" t="str">
        <f ca="1">VLOOKUP($B9,OFFSET([2]quests!$A$1,0,0,COUNTA([2]quests!$A:$A),MATCH(C$1,[2]quests!$1:$1,0)-MATCH($B$1,[2]quests!$1:$1,0)+1),MATCH(C$1,[2]quests!$1:$1,0)-MATCH($B$1,[2]quests!$1:$1,0)+1,FALSE)</f>
        <v>ワカヒルメ襲来！</v>
      </c>
      <c r="D9" s="84" t="str">
        <f ca="1">VLOOKUP($B9,OFFSET([2]quests!$A$1,0,0,COUNTA([2]quests!$A:$A),MATCH(D$1,[2]quests!$1:$1,0)-MATCH($B$1,[2]quests!$1:$1,0)+1),MATCH(D$1,[2]quests!$1:$1,0)-MATCH($B$1,[2]quests!$1:$1,0)+1,FALSE)</f>
        <v>降臨43</v>
      </c>
      <c r="E9" s="85">
        <v>2</v>
      </c>
      <c r="F9" s="84" t="str">
        <f ca="1">VLOOKUP($B9&amp;"_"&amp;$E9,OFFSET([2]stages!$A$1,0,0,COUNTA([2]stages!$A:$A),MATCH(F$1,[2]stages!$2:$2,0)-MATCH("temp_stage",[2]stages!$2:$2,0)+1),MATCH(F$1,[2]stages!$2:$2,0)-MATCH("temp_stage",[2]stages!$2:$2,0)+1,FALSE)</f>
        <v>【ウィザード級】ワカヒルメ襲来</v>
      </c>
      <c r="G9" s="84" t="str">
        <f ca="1">VLOOKUP($B9&amp;"_"&amp;$E9,OFFSET([2]stages!$A$1,0,0,COUNTA([2]stages!$A:$A),MATCH(G$1,[2]stages!$2:$2,0)-MATCH("temp_stage",[2]stages!$2:$2,0)+1),MATCH(G$1,[2]stages!$2:$2,0)-MATCH("temp_stage",[2]stages!$2:$2,0)+1,FALSE)</f>
        <v>降臨43</v>
      </c>
      <c r="H9" s="86">
        <v>4</v>
      </c>
      <c r="I9" s="91">
        <f t="shared" si="0"/>
        <v>8</v>
      </c>
      <c r="J9" s="87" t="str">
        <f t="shared" ref="J9" si="2">B9&amp;TEXT(I9,"00")</f>
        <v>4004308</v>
      </c>
      <c r="K9" s="85" t="s">
        <v>197</v>
      </c>
      <c r="L9" s="88" t="s">
        <v>253</v>
      </c>
      <c r="M9" s="178" t="s">
        <v>334</v>
      </c>
      <c r="N9" s="57" t="s">
        <v>198</v>
      </c>
    </row>
    <row r="10" spans="1:14" ht="42" x14ac:dyDescent="0.15">
      <c r="A10" s="82" t="s">
        <v>199</v>
      </c>
      <c r="B10" s="83">
        <f>floors!$C$2</f>
        <v>40043</v>
      </c>
      <c r="C10" s="84" t="str">
        <f ca="1">VLOOKUP($B10,OFFSET([2]quests!$A$1,0,0,COUNTA([2]quests!$A:$A),MATCH(C$1,[2]quests!$1:$1,0)-MATCH($B$1,[2]quests!$1:$1,0)+1),MATCH(C$1,[2]quests!$1:$1,0)-MATCH($B$1,[2]quests!$1:$1,0)+1,FALSE)</f>
        <v>ワカヒルメ襲来！</v>
      </c>
      <c r="D10" s="84" t="str">
        <f ca="1">VLOOKUP($B10,OFFSET([2]quests!$A$1,0,0,COUNTA([2]quests!$A:$A),MATCH(D$1,[2]quests!$1:$1,0)-MATCH($B$1,[2]quests!$1:$1,0)+1),MATCH(D$1,[2]quests!$1:$1,0)-MATCH($B$1,[2]quests!$1:$1,0)+1,FALSE)</f>
        <v>降臨43</v>
      </c>
      <c r="E10" s="85">
        <v>2</v>
      </c>
      <c r="F10" s="84" t="str">
        <f ca="1">VLOOKUP($B10&amp;"_"&amp;$E10,OFFSET([2]stages!$A$1,0,0,COUNTA([2]stages!$A:$A),MATCH(F$1,[2]stages!$2:$2,0)-MATCH("temp_stage",[2]stages!$2:$2,0)+1),MATCH(F$1,[2]stages!$2:$2,0)-MATCH("temp_stage",[2]stages!$2:$2,0)+1,FALSE)</f>
        <v>【ウィザード級】ワカヒルメ襲来</v>
      </c>
      <c r="G10" s="84" t="str">
        <f ca="1">VLOOKUP($B10&amp;"_"&amp;$E10,OFFSET([2]stages!$A$1,0,0,COUNTA([2]stages!$A:$A),MATCH(G$1,[2]stages!$2:$2,0)-MATCH("temp_stage",[2]stages!$2:$2,0)+1),MATCH(G$1,[2]stages!$2:$2,0)-MATCH("temp_stage",[2]stages!$2:$2,0)+1,FALSE)</f>
        <v>降臨43</v>
      </c>
      <c r="H10" s="86">
        <v>0</v>
      </c>
      <c r="I10" s="91">
        <f t="shared" si="0"/>
        <v>9</v>
      </c>
      <c r="J10" s="87" t="str">
        <f t="shared" si="1"/>
        <v>4004309</v>
      </c>
      <c r="K10" s="85" t="s">
        <v>197</v>
      </c>
      <c r="L10" s="88" t="s">
        <v>352</v>
      </c>
      <c r="M10" s="178" t="s">
        <v>355</v>
      </c>
      <c r="N10" s="57" t="s">
        <v>198</v>
      </c>
    </row>
    <row r="11" spans="1:14" ht="70" x14ac:dyDescent="0.15">
      <c r="A11" s="82" t="s">
        <v>199</v>
      </c>
      <c r="B11" s="83">
        <f>floors!$C$2</f>
        <v>40043</v>
      </c>
      <c r="C11" s="84" t="str">
        <f ca="1">VLOOKUP($B11,OFFSET([2]quests!$A$1,0,0,COUNTA([2]quests!$A:$A),MATCH(C$1,[2]quests!$1:$1,0)-MATCH($B$1,[2]quests!$1:$1,0)+1),MATCH(C$1,[2]quests!$1:$1,0)-MATCH($B$1,[2]quests!$1:$1,0)+1,FALSE)</f>
        <v>ワカヒルメ襲来！</v>
      </c>
      <c r="D11" s="84" t="str">
        <f ca="1">VLOOKUP($B11,OFFSET([2]quests!$A$1,0,0,COUNTA([2]quests!$A:$A),MATCH(D$1,[2]quests!$1:$1,0)-MATCH($B$1,[2]quests!$1:$1,0)+1),MATCH(D$1,[2]quests!$1:$1,0)-MATCH($B$1,[2]quests!$1:$1,0)+1,FALSE)</f>
        <v>降臨43</v>
      </c>
      <c r="E11" s="85">
        <v>2</v>
      </c>
      <c r="F11" s="84" t="str">
        <f ca="1">VLOOKUP($B11&amp;"_"&amp;$E11,OFFSET([2]stages!$A$1,0,0,COUNTA([2]stages!$A:$A),MATCH(F$1,[2]stages!$2:$2,0)-MATCH("temp_stage",[2]stages!$2:$2,0)+1),MATCH(F$1,[2]stages!$2:$2,0)-MATCH("temp_stage",[2]stages!$2:$2,0)+1,FALSE)</f>
        <v>【ウィザード級】ワカヒルメ襲来</v>
      </c>
      <c r="G11" s="84" t="str">
        <f ca="1">VLOOKUP($B11&amp;"_"&amp;$E11,OFFSET([2]stages!$A$1,0,0,COUNTA([2]stages!$A:$A),MATCH(G$1,[2]stages!$2:$2,0)-MATCH("temp_stage",[2]stages!$2:$2,0)+1),MATCH(G$1,[2]stages!$2:$2,0)-MATCH("temp_stage",[2]stages!$2:$2,0)+1,FALSE)</f>
        <v>降臨43</v>
      </c>
      <c r="H11" s="86">
        <v>0</v>
      </c>
      <c r="I11" s="91">
        <f t="shared" si="0"/>
        <v>10</v>
      </c>
      <c r="J11" s="87" t="str">
        <f t="shared" si="1"/>
        <v>4004310</v>
      </c>
      <c r="K11" s="85" t="s">
        <v>197</v>
      </c>
      <c r="L11" s="180" t="s">
        <v>304</v>
      </c>
      <c r="M11" s="178" t="s">
        <v>363</v>
      </c>
      <c r="N11" s="57" t="s">
        <v>198</v>
      </c>
    </row>
    <row r="12" spans="1:14" ht="70" x14ac:dyDescent="0.15">
      <c r="A12" s="82" t="s">
        <v>199</v>
      </c>
      <c r="B12" s="83">
        <f>floors!$C$2</f>
        <v>40043</v>
      </c>
      <c r="C12" s="84" t="str">
        <f ca="1">VLOOKUP($B12,OFFSET([2]quests!$A$1,0,0,COUNTA([2]quests!$A:$A),MATCH(C$1,[2]quests!$1:$1,0)-MATCH($B$1,[2]quests!$1:$1,0)+1),MATCH(C$1,[2]quests!$1:$1,0)-MATCH($B$1,[2]quests!$1:$1,0)+1,FALSE)</f>
        <v>ワカヒルメ襲来！</v>
      </c>
      <c r="D12" s="84" t="str">
        <f ca="1">VLOOKUP($B12,OFFSET([2]quests!$A$1,0,0,COUNTA([2]quests!$A:$A),MATCH(D$1,[2]quests!$1:$1,0)-MATCH($B$1,[2]quests!$1:$1,0)+1),MATCH(D$1,[2]quests!$1:$1,0)-MATCH($B$1,[2]quests!$1:$1,0)+1,FALSE)</f>
        <v>降臨43</v>
      </c>
      <c r="E12" s="85">
        <v>2</v>
      </c>
      <c r="F12" s="84" t="str">
        <f ca="1">VLOOKUP($B12&amp;"_"&amp;$E12,OFFSET([2]stages!$A$1,0,0,COUNTA([2]stages!$A:$A),MATCH(F$1,[2]stages!$2:$2,0)-MATCH("temp_stage",[2]stages!$2:$2,0)+1),MATCH(F$1,[2]stages!$2:$2,0)-MATCH("temp_stage",[2]stages!$2:$2,0)+1,FALSE)</f>
        <v>【ウィザード級】ワカヒルメ襲来</v>
      </c>
      <c r="G12" s="84" t="str">
        <f ca="1">VLOOKUP($B12&amp;"_"&amp;$E12,OFFSET([2]stages!$A$1,0,0,COUNTA([2]stages!$A:$A),MATCH(G$1,[2]stages!$2:$2,0)-MATCH("temp_stage",[2]stages!$2:$2,0)+1),MATCH(G$1,[2]stages!$2:$2,0)-MATCH("temp_stage",[2]stages!$2:$2,0)+1,FALSE)</f>
        <v>降臨43</v>
      </c>
      <c r="H12" s="86">
        <v>0</v>
      </c>
      <c r="I12" s="91">
        <f t="shared" si="0"/>
        <v>11</v>
      </c>
      <c r="J12" s="87" t="str">
        <f t="shared" si="1"/>
        <v>4004311</v>
      </c>
      <c r="K12" s="85" t="s">
        <v>197</v>
      </c>
      <c r="L12" s="179" t="s">
        <v>335</v>
      </c>
      <c r="M12" s="178" t="s">
        <v>357</v>
      </c>
      <c r="N12" s="57" t="s">
        <v>198</v>
      </c>
    </row>
    <row r="13" spans="1:14" ht="43" thickBot="1" x14ac:dyDescent="0.2">
      <c r="A13" s="186" t="s">
        <v>199</v>
      </c>
      <c r="B13" s="187">
        <f>floors!$C$2</f>
        <v>40043</v>
      </c>
      <c r="C13" s="188" t="str">
        <f ca="1">VLOOKUP($B13,OFFSET([2]quests!$A$1,0,0,COUNTA([2]quests!$A:$A),MATCH(C$1,[2]quests!$1:$1,0)-MATCH($B$1,[2]quests!$1:$1,0)+1),MATCH(C$1,[2]quests!$1:$1,0)-MATCH($B$1,[2]quests!$1:$1,0)+1,FALSE)</f>
        <v>ワカヒルメ襲来！</v>
      </c>
      <c r="D13" s="188" t="str">
        <f ca="1">VLOOKUP($B13,OFFSET([2]quests!$A$1,0,0,COUNTA([2]quests!$A:$A),MATCH(D$1,[2]quests!$1:$1,0)-MATCH($B$1,[2]quests!$1:$1,0)+1),MATCH(D$1,[2]quests!$1:$1,0)-MATCH($B$1,[2]quests!$1:$1,0)+1,FALSE)</f>
        <v>降臨43</v>
      </c>
      <c r="E13" s="189">
        <v>2</v>
      </c>
      <c r="F13" s="188" t="str">
        <f ca="1">VLOOKUP($B13&amp;"_"&amp;$E13,OFFSET([2]stages!$A$1,0,0,COUNTA([2]stages!$A:$A),MATCH(F$1,[2]stages!$2:$2,0)-MATCH("temp_stage",[2]stages!$2:$2,0)+1),MATCH(F$1,[2]stages!$2:$2,0)-MATCH("temp_stage",[2]stages!$2:$2,0)+1,FALSE)</f>
        <v>【ウィザード級】ワカヒルメ襲来</v>
      </c>
      <c r="G13" s="188" t="str">
        <f ca="1">VLOOKUP($B13&amp;"_"&amp;$E13,OFFSET([2]stages!$A$1,0,0,COUNTA([2]stages!$A:$A),MATCH(G$1,[2]stages!$2:$2,0)-MATCH("temp_stage",[2]stages!$2:$2,0)+1),MATCH(G$1,[2]stages!$2:$2,0)-MATCH("temp_stage",[2]stages!$2:$2,0)+1,FALSE)</f>
        <v>降臨43</v>
      </c>
      <c r="H13" s="190">
        <v>0</v>
      </c>
      <c r="I13" s="191">
        <f t="shared" si="0"/>
        <v>12</v>
      </c>
      <c r="J13" s="192" t="str">
        <f t="shared" si="1"/>
        <v>4004312</v>
      </c>
      <c r="K13" s="189" t="s">
        <v>197</v>
      </c>
      <c r="L13" s="193" t="s">
        <v>336</v>
      </c>
      <c r="M13" s="194" t="s">
        <v>356</v>
      </c>
      <c r="N13" s="181" t="s">
        <v>198</v>
      </c>
    </row>
    <row r="14" spans="1:14" ht="70" x14ac:dyDescent="0.15">
      <c r="A14" s="82" t="s">
        <v>196</v>
      </c>
      <c r="B14" s="83">
        <f>floors!$C$2</f>
        <v>40043</v>
      </c>
      <c r="C14" s="84" t="str">
        <f ca="1">VLOOKUP($B14,OFFSET([2]quests!$A$1,0,0,COUNTA([2]quests!$A:$A),MATCH(C$1,[2]quests!$1:$1,0)-MATCH($B$1,[2]quests!$1:$1,0)+1),MATCH(C$1,[2]quests!$1:$1,0)-MATCH($B$1,[2]quests!$1:$1,0)+1,FALSE)</f>
        <v>ワカヒルメ襲来！</v>
      </c>
      <c r="D14" s="84" t="str">
        <f ca="1">VLOOKUP($B14,OFFSET([2]quests!$A$1,0,0,COUNTA([2]quests!$A:$A),MATCH(D$1,[2]quests!$1:$1,0)-MATCH($B$1,[2]quests!$1:$1,0)+1),MATCH(D$1,[2]quests!$1:$1,0)-MATCH($B$1,[2]quests!$1:$1,0)+1,FALSE)</f>
        <v>降臨43</v>
      </c>
      <c r="E14" s="85">
        <v>1</v>
      </c>
      <c r="F14" s="84" t="str">
        <f ca="1">VLOOKUP($B14&amp;"_"&amp;$E14,OFFSET([2]stages!$A$1,0,0,COUNTA([2]stages!$A:$A),MATCH(F$1,[2]stages!$2:$2,0)-MATCH("temp_stage",[2]stages!$2:$2,0)+1),MATCH(F$1,[2]stages!$2:$2,0)-MATCH("temp_stage",[2]stages!$2:$2,0)+1,FALSE)</f>
        <v>【超絶級】ワカヒルメ襲来</v>
      </c>
      <c r="G14" s="84" t="str">
        <f ca="1">VLOOKUP($B14&amp;"_"&amp;$E14,OFFSET([2]stages!$A$1,0,0,COUNTA([2]stages!$A:$A),MATCH(G$1,[2]stages!$2:$2,0)-MATCH("temp_stage",[2]stages!$2:$2,0)+1),MATCH(G$1,[2]stages!$2:$2,0)-MATCH("temp_stage",[2]stages!$2:$2,0)+1,FALSE)</f>
        <v>降臨43</v>
      </c>
      <c r="H14" s="86">
        <v>1</v>
      </c>
      <c r="I14" s="91">
        <f t="shared" si="0"/>
        <v>13</v>
      </c>
      <c r="J14" s="87" t="str">
        <f t="shared" ref="J14:J25" si="3">B14&amp;TEXT(I14,"00")</f>
        <v>4004313</v>
      </c>
      <c r="K14" s="85" t="s">
        <v>197</v>
      </c>
      <c r="L14" s="88" t="s">
        <v>253</v>
      </c>
      <c r="M14" s="178" t="s">
        <v>416</v>
      </c>
      <c r="N14" s="57" t="s">
        <v>198</v>
      </c>
    </row>
    <row r="15" spans="1:14" ht="56" x14ac:dyDescent="0.15">
      <c r="A15" s="82" t="s">
        <v>196</v>
      </c>
      <c r="B15" s="83">
        <f>floors!$C$2</f>
        <v>40043</v>
      </c>
      <c r="C15" s="84" t="str">
        <f ca="1">VLOOKUP($B15,OFFSET([2]quests!$A$1,0,0,COUNTA([2]quests!$A:$A),MATCH(C$1,[2]quests!$1:$1,0)-MATCH($B$1,[2]quests!$1:$1,0)+1),MATCH(C$1,[2]quests!$1:$1,0)-MATCH($B$1,[2]quests!$1:$1,0)+1,FALSE)</f>
        <v>ワカヒルメ襲来！</v>
      </c>
      <c r="D15" s="84" t="str">
        <f ca="1">VLOOKUP($B15,OFFSET([2]quests!$A$1,0,0,COUNTA([2]quests!$A:$A),MATCH(D$1,[2]quests!$1:$1,0)-MATCH($B$1,[2]quests!$1:$1,0)+1),MATCH(D$1,[2]quests!$1:$1,0)-MATCH($B$1,[2]quests!$1:$1,0)+1,FALSE)</f>
        <v>降臨43</v>
      </c>
      <c r="E15" s="85">
        <v>1</v>
      </c>
      <c r="F15" s="84" t="str">
        <f ca="1">VLOOKUP($B15&amp;"_"&amp;$E15,OFFSET([2]stages!$A$1,0,0,COUNTA([2]stages!$A:$A),MATCH(F$1,[2]stages!$2:$2,0)-MATCH("temp_stage",[2]stages!$2:$2,0)+1),MATCH(F$1,[2]stages!$2:$2,0)-MATCH("temp_stage",[2]stages!$2:$2,0)+1,FALSE)</f>
        <v>【超絶級】ワカヒルメ襲来</v>
      </c>
      <c r="G15" s="84" t="str">
        <f ca="1">VLOOKUP($B15&amp;"_"&amp;$E15,OFFSET([2]stages!$A$1,0,0,COUNTA([2]stages!$A:$A),MATCH(G$1,[2]stages!$2:$2,0)-MATCH("temp_stage",[2]stages!$2:$2,0)+1),MATCH(G$1,[2]stages!$2:$2,0)-MATCH("temp_stage",[2]stages!$2:$2,0)+1,FALSE)</f>
        <v>降臨43</v>
      </c>
      <c r="H15" s="86">
        <v>2</v>
      </c>
      <c r="I15" s="91">
        <f t="shared" si="0"/>
        <v>14</v>
      </c>
      <c r="J15" s="87" t="str">
        <f t="shared" si="3"/>
        <v>4004314</v>
      </c>
      <c r="K15" s="85" t="s">
        <v>197</v>
      </c>
      <c r="L15" s="88" t="s">
        <v>253</v>
      </c>
      <c r="M15" s="178" t="s">
        <v>329</v>
      </c>
      <c r="N15" s="57" t="s">
        <v>198</v>
      </c>
    </row>
    <row r="16" spans="1:14" ht="56" x14ac:dyDescent="0.15">
      <c r="A16" s="82" t="s">
        <v>196</v>
      </c>
      <c r="B16" s="83">
        <f>floors!$C$2</f>
        <v>40043</v>
      </c>
      <c r="C16" s="84" t="str">
        <f ca="1">VLOOKUP($B16,OFFSET([2]quests!$A$1,0,0,COUNTA([2]quests!$A:$A),MATCH(C$1,[2]quests!$1:$1,0)-MATCH($B$1,[2]quests!$1:$1,0)+1),MATCH(C$1,[2]quests!$1:$1,0)-MATCH($B$1,[2]quests!$1:$1,0)+1,FALSE)</f>
        <v>ワカヒルメ襲来！</v>
      </c>
      <c r="D16" s="84" t="str">
        <f ca="1">VLOOKUP($B16,OFFSET([2]quests!$A$1,0,0,COUNTA([2]quests!$A:$A),MATCH(D$1,[2]quests!$1:$1,0)-MATCH($B$1,[2]quests!$1:$1,0)+1),MATCH(D$1,[2]quests!$1:$1,0)-MATCH($B$1,[2]quests!$1:$1,0)+1,FALSE)</f>
        <v>降臨43</v>
      </c>
      <c r="E16" s="85">
        <v>1</v>
      </c>
      <c r="F16" s="84" t="str">
        <f ca="1">VLOOKUP($B16&amp;"_"&amp;$E16,OFFSET([2]stages!$A$1,0,0,COUNTA([2]stages!$A:$A),MATCH(F$1,[2]stages!$2:$2,0)-MATCH("temp_stage",[2]stages!$2:$2,0)+1),MATCH(F$1,[2]stages!$2:$2,0)-MATCH("temp_stage",[2]stages!$2:$2,0)+1,FALSE)</f>
        <v>【超絶級】ワカヒルメ襲来</v>
      </c>
      <c r="G16" s="84" t="str">
        <f ca="1">VLOOKUP($B16&amp;"_"&amp;$E16,OFFSET([2]stages!$A$1,0,0,COUNTA([2]stages!$A:$A),MATCH(G$1,[2]stages!$2:$2,0)-MATCH("temp_stage",[2]stages!$2:$2,0)+1),MATCH(G$1,[2]stages!$2:$2,0)-MATCH("temp_stage",[2]stages!$2:$2,0)+1,FALSE)</f>
        <v>降臨43</v>
      </c>
      <c r="H16" s="86">
        <v>2</v>
      </c>
      <c r="I16" s="91">
        <f t="shared" si="0"/>
        <v>15</v>
      </c>
      <c r="J16" s="87" t="str">
        <f t="shared" si="3"/>
        <v>4004315</v>
      </c>
      <c r="K16" s="85" t="s">
        <v>197</v>
      </c>
      <c r="L16" s="88" t="s">
        <v>253</v>
      </c>
      <c r="M16" s="178" t="s">
        <v>330</v>
      </c>
      <c r="N16" s="57" t="s">
        <v>198</v>
      </c>
    </row>
    <row r="17" spans="1:14" ht="56" x14ac:dyDescent="0.15">
      <c r="A17" s="82" t="s">
        <v>196</v>
      </c>
      <c r="B17" s="83">
        <f>floors!$C$2</f>
        <v>40043</v>
      </c>
      <c r="C17" s="84" t="str">
        <f ca="1">VLOOKUP($B17,OFFSET([2]quests!$A$1,0,0,COUNTA([2]quests!$A:$A),MATCH(C$1,[2]quests!$1:$1,0)-MATCH($B$1,[2]quests!$1:$1,0)+1),MATCH(C$1,[2]quests!$1:$1,0)-MATCH($B$1,[2]quests!$1:$1,0)+1,FALSE)</f>
        <v>ワカヒルメ襲来！</v>
      </c>
      <c r="D17" s="84" t="str">
        <f ca="1">VLOOKUP($B17,OFFSET([2]quests!$A$1,0,0,COUNTA([2]quests!$A:$A),MATCH(D$1,[2]quests!$1:$1,0)-MATCH($B$1,[2]quests!$1:$1,0)+1),MATCH(D$1,[2]quests!$1:$1,0)-MATCH($B$1,[2]quests!$1:$1,0)+1,FALSE)</f>
        <v>降臨43</v>
      </c>
      <c r="E17" s="85">
        <v>1</v>
      </c>
      <c r="F17" s="84" t="str">
        <f ca="1">VLOOKUP($B17&amp;"_"&amp;$E17,OFFSET([2]stages!$A$1,0,0,COUNTA([2]stages!$A:$A),MATCH(F$1,[2]stages!$2:$2,0)-MATCH("temp_stage",[2]stages!$2:$2,0)+1),MATCH(F$1,[2]stages!$2:$2,0)-MATCH("temp_stage",[2]stages!$2:$2,0)+1,FALSE)</f>
        <v>【超絶級】ワカヒルメ襲来</v>
      </c>
      <c r="G17" s="84" t="str">
        <f ca="1">VLOOKUP($B17&amp;"_"&amp;$E17,OFFSET([2]stages!$A$1,0,0,COUNTA([2]stages!$A:$A),MATCH(G$1,[2]stages!$2:$2,0)-MATCH("temp_stage",[2]stages!$2:$2,0)+1),MATCH(G$1,[2]stages!$2:$2,0)-MATCH("temp_stage",[2]stages!$2:$2,0)+1,FALSE)</f>
        <v>降臨43</v>
      </c>
      <c r="H17" s="86">
        <v>3</v>
      </c>
      <c r="I17" s="91">
        <f t="shared" si="0"/>
        <v>16</v>
      </c>
      <c r="J17" s="87" t="str">
        <f t="shared" si="3"/>
        <v>4004316</v>
      </c>
      <c r="K17" s="85" t="s">
        <v>197</v>
      </c>
      <c r="L17" s="88" t="s">
        <v>253</v>
      </c>
      <c r="M17" s="178" t="s">
        <v>331</v>
      </c>
      <c r="N17" s="57" t="s">
        <v>198</v>
      </c>
    </row>
    <row r="18" spans="1:14" ht="56" x14ac:dyDescent="0.15">
      <c r="A18" s="82" t="s">
        <v>196</v>
      </c>
      <c r="B18" s="83">
        <f>floors!$C$2</f>
        <v>40043</v>
      </c>
      <c r="C18" s="84" t="str">
        <f ca="1">VLOOKUP($B18,OFFSET([2]quests!$A$1,0,0,COUNTA([2]quests!$A:$A),MATCH(C$1,[2]quests!$1:$1,0)-MATCH($B$1,[2]quests!$1:$1,0)+1),MATCH(C$1,[2]quests!$1:$1,0)-MATCH($B$1,[2]quests!$1:$1,0)+1,FALSE)</f>
        <v>ワカヒルメ襲来！</v>
      </c>
      <c r="D18" s="84" t="str">
        <f ca="1">VLOOKUP($B18,OFFSET([2]quests!$A$1,0,0,COUNTA([2]quests!$A:$A),MATCH(D$1,[2]quests!$1:$1,0)-MATCH($B$1,[2]quests!$1:$1,0)+1),MATCH(D$1,[2]quests!$1:$1,0)-MATCH($B$1,[2]quests!$1:$1,0)+1,FALSE)</f>
        <v>降臨43</v>
      </c>
      <c r="E18" s="85">
        <v>1</v>
      </c>
      <c r="F18" s="84" t="str">
        <f ca="1">VLOOKUP($B18&amp;"_"&amp;$E18,OFFSET([2]stages!$A$1,0,0,COUNTA([2]stages!$A:$A),MATCH(F$1,[2]stages!$2:$2,0)-MATCH("temp_stage",[2]stages!$2:$2,0)+1),MATCH(F$1,[2]stages!$2:$2,0)-MATCH("temp_stage",[2]stages!$2:$2,0)+1,FALSE)</f>
        <v>【超絶級】ワカヒルメ襲来</v>
      </c>
      <c r="G18" s="84" t="str">
        <f ca="1">VLOOKUP($B18&amp;"_"&amp;$E18,OFFSET([2]stages!$A$1,0,0,COUNTA([2]stages!$A:$A),MATCH(G$1,[2]stages!$2:$2,0)-MATCH("temp_stage",[2]stages!$2:$2,0)+1),MATCH(G$1,[2]stages!$2:$2,0)-MATCH("temp_stage",[2]stages!$2:$2,0)+1,FALSE)</f>
        <v>降臨43</v>
      </c>
      <c r="H18" s="86">
        <v>4</v>
      </c>
      <c r="I18" s="91">
        <f t="shared" si="0"/>
        <v>17</v>
      </c>
      <c r="J18" s="87" t="str">
        <f t="shared" si="3"/>
        <v>4004317</v>
      </c>
      <c r="K18" s="85" t="s">
        <v>197</v>
      </c>
      <c r="L18" s="88" t="s">
        <v>253</v>
      </c>
      <c r="M18" s="178" t="s">
        <v>332</v>
      </c>
      <c r="N18" s="57" t="s">
        <v>198</v>
      </c>
    </row>
    <row r="19" spans="1:14" ht="56" x14ac:dyDescent="0.15">
      <c r="A19" s="82" t="s">
        <v>196</v>
      </c>
      <c r="B19" s="83">
        <f>floors!$C$2</f>
        <v>40043</v>
      </c>
      <c r="C19" s="84" t="str">
        <f ca="1">VLOOKUP($B19,OFFSET([2]quests!$A$1,0,0,COUNTA([2]quests!$A:$A),MATCH(C$1,[2]quests!$1:$1,0)-MATCH($B$1,[2]quests!$1:$1,0)+1),MATCH(C$1,[2]quests!$1:$1,0)-MATCH($B$1,[2]quests!$1:$1,0)+1,FALSE)</f>
        <v>ワカヒルメ襲来！</v>
      </c>
      <c r="D19" s="84" t="str">
        <f ca="1">VLOOKUP($B19,OFFSET([2]quests!$A$1,0,0,COUNTA([2]quests!$A:$A),MATCH(D$1,[2]quests!$1:$1,0)-MATCH($B$1,[2]quests!$1:$1,0)+1),MATCH(D$1,[2]quests!$1:$1,0)-MATCH($B$1,[2]quests!$1:$1,0)+1,FALSE)</f>
        <v>降臨43</v>
      </c>
      <c r="E19" s="85">
        <v>1</v>
      </c>
      <c r="F19" s="84" t="str">
        <f ca="1">VLOOKUP($B19&amp;"_"&amp;$E19,OFFSET([2]stages!$A$1,0,0,COUNTA([2]stages!$A:$A),MATCH(F$1,[2]stages!$2:$2,0)-MATCH("temp_stage",[2]stages!$2:$2,0)+1),MATCH(F$1,[2]stages!$2:$2,0)-MATCH("temp_stage",[2]stages!$2:$2,0)+1,FALSE)</f>
        <v>【超絶級】ワカヒルメ襲来</v>
      </c>
      <c r="G19" s="84" t="str">
        <f ca="1">VLOOKUP($B19&amp;"_"&amp;$E19,OFFSET([2]stages!$A$1,0,0,COUNTA([2]stages!$A:$A),MATCH(G$1,[2]stages!$2:$2,0)-MATCH("temp_stage",[2]stages!$2:$2,0)+1),MATCH(G$1,[2]stages!$2:$2,0)-MATCH("temp_stage",[2]stages!$2:$2,0)+1,FALSE)</f>
        <v>降臨43</v>
      </c>
      <c r="H19" s="86">
        <v>4</v>
      </c>
      <c r="I19" s="91">
        <f t="shared" si="0"/>
        <v>18</v>
      </c>
      <c r="J19" s="87" t="str">
        <f t="shared" si="3"/>
        <v>4004318</v>
      </c>
      <c r="K19" s="85" t="s">
        <v>197</v>
      </c>
      <c r="L19" s="88" t="s">
        <v>253</v>
      </c>
      <c r="M19" s="178" t="s">
        <v>333</v>
      </c>
      <c r="N19" s="57" t="s">
        <v>198</v>
      </c>
    </row>
    <row r="20" spans="1:14" ht="70" x14ac:dyDescent="0.15">
      <c r="A20" s="82" t="s">
        <v>196</v>
      </c>
      <c r="B20" s="83">
        <f>floors!$C$2</f>
        <v>40043</v>
      </c>
      <c r="C20" s="84" t="str">
        <f ca="1">VLOOKUP($B20,OFFSET([2]quests!$A$1,0,0,COUNTA([2]quests!$A:$A),MATCH(C$1,[2]quests!$1:$1,0)-MATCH($B$1,[2]quests!$1:$1,0)+1),MATCH(C$1,[2]quests!$1:$1,0)-MATCH($B$1,[2]quests!$1:$1,0)+1,FALSE)</f>
        <v>ワカヒルメ襲来！</v>
      </c>
      <c r="D20" s="84" t="str">
        <f ca="1">VLOOKUP($B20,OFFSET([2]quests!$A$1,0,0,COUNTA([2]quests!$A:$A),MATCH(D$1,[2]quests!$1:$1,0)-MATCH($B$1,[2]quests!$1:$1,0)+1),MATCH(D$1,[2]quests!$1:$1,0)-MATCH($B$1,[2]quests!$1:$1,0)+1,FALSE)</f>
        <v>降臨43</v>
      </c>
      <c r="E20" s="85">
        <v>1</v>
      </c>
      <c r="F20" s="84" t="str">
        <f ca="1">VLOOKUP($B20&amp;"_"&amp;$E20,OFFSET([2]stages!$A$1,0,0,COUNTA([2]stages!$A:$A),MATCH(F$1,[2]stages!$2:$2,0)-MATCH("temp_stage",[2]stages!$2:$2,0)+1),MATCH(F$1,[2]stages!$2:$2,0)-MATCH("temp_stage",[2]stages!$2:$2,0)+1,FALSE)</f>
        <v>【超絶級】ワカヒルメ襲来</v>
      </c>
      <c r="G20" s="84" t="str">
        <f ca="1">VLOOKUP($B20&amp;"_"&amp;$E20,OFFSET([2]stages!$A$1,0,0,COUNTA([2]stages!$A:$A),MATCH(G$1,[2]stages!$2:$2,0)-MATCH("temp_stage",[2]stages!$2:$2,0)+1),MATCH(G$1,[2]stages!$2:$2,0)-MATCH("temp_stage",[2]stages!$2:$2,0)+1,FALSE)</f>
        <v>降臨43</v>
      </c>
      <c r="H20" s="86">
        <v>4</v>
      </c>
      <c r="I20" s="91">
        <f t="shared" si="0"/>
        <v>19</v>
      </c>
      <c r="J20" s="87" t="str">
        <f t="shared" si="3"/>
        <v>4004319</v>
      </c>
      <c r="K20" s="85" t="s">
        <v>197</v>
      </c>
      <c r="L20" s="88" t="s">
        <v>253</v>
      </c>
      <c r="M20" s="178" t="s">
        <v>353</v>
      </c>
      <c r="N20" s="57" t="s">
        <v>198</v>
      </c>
    </row>
    <row r="21" spans="1:14" ht="56" x14ac:dyDescent="0.15">
      <c r="A21" s="82" t="s">
        <v>196</v>
      </c>
      <c r="B21" s="83">
        <f>floors!$C$2</f>
        <v>40043</v>
      </c>
      <c r="C21" s="84" t="str">
        <f ca="1">VLOOKUP($B21,OFFSET([2]quests!$A$1,0,0,COUNTA([2]quests!$A:$A),MATCH(C$1,[2]quests!$1:$1,0)-MATCH($B$1,[2]quests!$1:$1,0)+1),MATCH(C$1,[2]quests!$1:$1,0)-MATCH($B$1,[2]quests!$1:$1,0)+1,FALSE)</f>
        <v>ワカヒルメ襲来！</v>
      </c>
      <c r="D21" s="84" t="str">
        <f ca="1">VLOOKUP($B21,OFFSET([2]quests!$A$1,0,0,COUNTA([2]quests!$A:$A),MATCH(D$1,[2]quests!$1:$1,0)-MATCH($B$1,[2]quests!$1:$1,0)+1),MATCH(D$1,[2]quests!$1:$1,0)-MATCH($B$1,[2]quests!$1:$1,0)+1,FALSE)</f>
        <v>降臨43</v>
      </c>
      <c r="E21" s="85">
        <v>1</v>
      </c>
      <c r="F21" s="84" t="str">
        <f ca="1">VLOOKUP($B21&amp;"_"&amp;$E21,OFFSET([2]stages!$A$1,0,0,COUNTA([2]stages!$A:$A),MATCH(F$1,[2]stages!$2:$2,0)-MATCH("temp_stage",[2]stages!$2:$2,0)+1),MATCH(F$1,[2]stages!$2:$2,0)-MATCH("temp_stage",[2]stages!$2:$2,0)+1,FALSE)</f>
        <v>【超絶級】ワカヒルメ襲来</v>
      </c>
      <c r="G21" s="84" t="str">
        <f ca="1">VLOOKUP($B21&amp;"_"&amp;$E21,OFFSET([2]stages!$A$1,0,0,COUNTA([2]stages!$A:$A),MATCH(G$1,[2]stages!$2:$2,0)-MATCH("temp_stage",[2]stages!$2:$2,0)+1),MATCH(G$1,[2]stages!$2:$2,0)-MATCH("temp_stage",[2]stages!$2:$2,0)+1,FALSE)</f>
        <v>降臨43</v>
      </c>
      <c r="H21" s="86">
        <v>4</v>
      </c>
      <c r="I21" s="91">
        <f t="shared" si="0"/>
        <v>20</v>
      </c>
      <c r="J21" s="87" t="str">
        <f t="shared" si="3"/>
        <v>4004320</v>
      </c>
      <c r="K21" s="85" t="s">
        <v>197</v>
      </c>
      <c r="L21" s="88" t="s">
        <v>253</v>
      </c>
      <c r="M21" s="178" t="s">
        <v>334</v>
      </c>
      <c r="N21" s="57" t="s">
        <v>198</v>
      </c>
    </row>
    <row r="22" spans="1:14" ht="42" x14ac:dyDescent="0.15">
      <c r="A22" s="82" t="s">
        <v>199</v>
      </c>
      <c r="B22" s="83">
        <f>floors!$C$2</f>
        <v>40043</v>
      </c>
      <c r="C22" s="84" t="str">
        <f ca="1">VLOOKUP($B22,OFFSET([2]quests!$A$1,0,0,COUNTA([2]quests!$A:$A),MATCH(C$1,[2]quests!$1:$1,0)-MATCH($B$1,[2]quests!$1:$1,0)+1),MATCH(C$1,[2]quests!$1:$1,0)-MATCH($B$1,[2]quests!$1:$1,0)+1,FALSE)</f>
        <v>ワカヒルメ襲来！</v>
      </c>
      <c r="D22" s="84" t="str">
        <f ca="1">VLOOKUP($B22,OFFSET([2]quests!$A$1,0,0,COUNTA([2]quests!$A:$A),MATCH(D$1,[2]quests!$1:$1,0)-MATCH($B$1,[2]quests!$1:$1,0)+1),MATCH(D$1,[2]quests!$1:$1,0)-MATCH($B$1,[2]quests!$1:$1,0)+1,FALSE)</f>
        <v>降臨43</v>
      </c>
      <c r="E22" s="85">
        <v>1</v>
      </c>
      <c r="F22" s="84" t="str">
        <f ca="1">VLOOKUP($B22&amp;"_"&amp;$E22,OFFSET([2]stages!$A$1,0,0,COUNTA([2]stages!$A:$A),MATCH(F$1,[2]stages!$2:$2,0)-MATCH("temp_stage",[2]stages!$2:$2,0)+1),MATCH(F$1,[2]stages!$2:$2,0)-MATCH("temp_stage",[2]stages!$2:$2,0)+1,FALSE)</f>
        <v>【超絶級】ワカヒルメ襲来</v>
      </c>
      <c r="G22" s="84" t="str">
        <f ca="1">VLOOKUP($B22&amp;"_"&amp;$E22,OFFSET([2]stages!$A$1,0,0,COUNTA([2]stages!$A:$A),MATCH(G$1,[2]stages!$2:$2,0)-MATCH("temp_stage",[2]stages!$2:$2,0)+1),MATCH(G$1,[2]stages!$2:$2,0)-MATCH("temp_stage",[2]stages!$2:$2,0)+1,FALSE)</f>
        <v>降臨43</v>
      </c>
      <c r="H22" s="86">
        <v>0</v>
      </c>
      <c r="I22" s="91">
        <f t="shared" si="0"/>
        <v>21</v>
      </c>
      <c r="J22" s="87" t="str">
        <f t="shared" si="3"/>
        <v>4004321</v>
      </c>
      <c r="K22" s="85" t="s">
        <v>197</v>
      </c>
      <c r="L22" s="88" t="s">
        <v>352</v>
      </c>
      <c r="M22" s="178" t="s">
        <v>355</v>
      </c>
      <c r="N22" s="57" t="s">
        <v>198</v>
      </c>
    </row>
    <row r="23" spans="1:14" ht="70" x14ac:dyDescent="0.15">
      <c r="A23" s="82" t="s">
        <v>199</v>
      </c>
      <c r="B23" s="83">
        <f>floors!$C$2</f>
        <v>40043</v>
      </c>
      <c r="C23" s="84" t="str">
        <f ca="1">VLOOKUP($B23,OFFSET([2]quests!$A$1,0,0,COUNTA([2]quests!$A:$A),MATCH(C$1,[2]quests!$1:$1,0)-MATCH($B$1,[2]quests!$1:$1,0)+1),MATCH(C$1,[2]quests!$1:$1,0)-MATCH($B$1,[2]quests!$1:$1,0)+1,FALSE)</f>
        <v>ワカヒルメ襲来！</v>
      </c>
      <c r="D23" s="84" t="str">
        <f ca="1">VLOOKUP($B23,OFFSET([2]quests!$A$1,0,0,COUNTA([2]quests!$A:$A),MATCH(D$1,[2]quests!$1:$1,0)-MATCH($B$1,[2]quests!$1:$1,0)+1),MATCH(D$1,[2]quests!$1:$1,0)-MATCH($B$1,[2]quests!$1:$1,0)+1,FALSE)</f>
        <v>降臨43</v>
      </c>
      <c r="E23" s="85">
        <v>1</v>
      </c>
      <c r="F23" s="84" t="str">
        <f ca="1">VLOOKUP($B23&amp;"_"&amp;$E23,OFFSET([2]stages!$A$1,0,0,COUNTA([2]stages!$A:$A),MATCH(F$1,[2]stages!$2:$2,0)-MATCH("temp_stage",[2]stages!$2:$2,0)+1),MATCH(F$1,[2]stages!$2:$2,0)-MATCH("temp_stage",[2]stages!$2:$2,0)+1,FALSE)</f>
        <v>【超絶級】ワカヒルメ襲来</v>
      </c>
      <c r="G23" s="84" t="str">
        <f ca="1">VLOOKUP($B23&amp;"_"&amp;$E23,OFFSET([2]stages!$A$1,0,0,COUNTA([2]stages!$A:$A),MATCH(G$1,[2]stages!$2:$2,0)-MATCH("temp_stage",[2]stages!$2:$2,0)+1),MATCH(G$1,[2]stages!$2:$2,0)-MATCH("temp_stage",[2]stages!$2:$2,0)+1,FALSE)</f>
        <v>降臨43</v>
      </c>
      <c r="H23" s="86">
        <v>0</v>
      </c>
      <c r="I23" s="91">
        <f t="shared" si="0"/>
        <v>22</v>
      </c>
      <c r="J23" s="87" t="str">
        <f t="shared" si="3"/>
        <v>4004322</v>
      </c>
      <c r="K23" s="85" t="s">
        <v>197</v>
      </c>
      <c r="L23" s="180" t="s">
        <v>304</v>
      </c>
      <c r="M23" s="178" t="s">
        <v>363</v>
      </c>
      <c r="N23" s="57" t="s">
        <v>198</v>
      </c>
    </row>
    <row r="24" spans="1:14" ht="70" x14ac:dyDescent="0.15">
      <c r="A24" s="82" t="s">
        <v>199</v>
      </c>
      <c r="B24" s="83">
        <f>floors!$C$2</f>
        <v>40043</v>
      </c>
      <c r="C24" s="84" t="str">
        <f ca="1">VLOOKUP($B24,OFFSET([2]quests!$A$1,0,0,COUNTA([2]quests!$A:$A),MATCH(C$1,[2]quests!$1:$1,0)-MATCH($B$1,[2]quests!$1:$1,0)+1),MATCH(C$1,[2]quests!$1:$1,0)-MATCH($B$1,[2]quests!$1:$1,0)+1,FALSE)</f>
        <v>ワカヒルメ襲来！</v>
      </c>
      <c r="D24" s="84" t="str">
        <f ca="1">VLOOKUP($B24,OFFSET([2]quests!$A$1,0,0,COUNTA([2]quests!$A:$A),MATCH(D$1,[2]quests!$1:$1,0)-MATCH($B$1,[2]quests!$1:$1,0)+1),MATCH(D$1,[2]quests!$1:$1,0)-MATCH($B$1,[2]quests!$1:$1,0)+1,FALSE)</f>
        <v>降臨43</v>
      </c>
      <c r="E24" s="85">
        <v>1</v>
      </c>
      <c r="F24" s="84" t="str">
        <f ca="1">VLOOKUP($B24&amp;"_"&amp;$E24,OFFSET([2]stages!$A$1,0,0,COUNTA([2]stages!$A:$A),MATCH(F$1,[2]stages!$2:$2,0)-MATCH("temp_stage",[2]stages!$2:$2,0)+1),MATCH(F$1,[2]stages!$2:$2,0)-MATCH("temp_stage",[2]stages!$2:$2,0)+1,FALSE)</f>
        <v>【超絶級】ワカヒルメ襲来</v>
      </c>
      <c r="G24" s="84" t="str">
        <f ca="1">VLOOKUP($B24&amp;"_"&amp;$E24,OFFSET([2]stages!$A$1,0,0,COUNTA([2]stages!$A:$A),MATCH(G$1,[2]stages!$2:$2,0)-MATCH("temp_stage",[2]stages!$2:$2,0)+1),MATCH(G$1,[2]stages!$2:$2,0)-MATCH("temp_stage",[2]stages!$2:$2,0)+1,FALSE)</f>
        <v>降臨43</v>
      </c>
      <c r="H24" s="86">
        <v>0</v>
      </c>
      <c r="I24" s="91">
        <f t="shared" si="0"/>
        <v>23</v>
      </c>
      <c r="J24" s="87" t="str">
        <f t="shared" si="3"/>
        <v>4004323</v>
      </c>
      <c r="K24" s="85" t="s">
        <v>197</v>
      </c>
      <c r="L24" s="179" t="s">
        <v>335</v>
      </c>
      <c r="M24" s="178" t="s">
        <v>357</v>
      </c>
      <c r="N24" s="57" t="s">
        <v>198</v>
      </c>
    </row>
    <row r="25" spans="1:14" ht="43" thickBot="1" x14ac:dyDescent="0.2">
      <c r="A25" s="186" t="s">
        <v>199</v>
      </c>
      <c r="B25" s="187">
        <f>floors!$C$2</f>
        <v>40043</v>
      </c>
      <c r="C25" s="188" t="str">
        <f ca="1">VLOOKUP($B25,OFFSET([2]quests!$A$1,0,0,COUNTA([2]quests!$A:$A),MATCH(C$1,[2]quests!$1:$1,0)-MATCH($B$1,[2]quests!$1:$1,0)+1),MATCH(C$1,[2]quests!$1:$1,0)-MATCH($B$1,[2]quests!$1:$1,0)+1,FALSE)</f>
        <v>ワカヒルメ襲来！</v>
      </c>
      <c r="D25" s="188" t="str">
        <f ca="1">VLOOKUP($B25,OFFSET([2]quests!$A$1,0,0,COUNTA([2]quests!$A:$A),MATCH(D$1,[2]quests!$1:$1,0)-MATCH($B$1,[2]quests!$1:$1,0)+1),MATCH(D$1,[2]quests!$1:$1,0)-MATCH($B$1,[2]quests!$1:$1,0)+1,FALSE)</f>
        <v>降臨43</v>
      </c>
      <c r="E25" s="189">
        <v>1</v>
      </c>
      <c r="F25" s="188" t="str">
        <f ca="1">VLOOKUP($B25&amp;"_"&amp;$E25,OFFSET([2]stages!$A$1,0,0,COUNTA([2]stages!$A:$A),MATCH(F$1,[2]stages!$2:$2,0)-MATCH("temp_stage",[2]stages!$2:$2,0)+1),MATCH(F$1,[2]stages!$2:$2,0)-MATCH("temp_stage",[2]stages!$2:$2,0)+1,FALSE)</f>
        <v>【超絶級】ワカヒルメ襲来</v>
      </c>
      <c r="G25" s="188" t="str">
        <f ca="1">VLOOKUP($B25&amp;"_"&amp;$E25,OFFSET([2]stages!$A$1,0,0,COUNTA([2]stages!$A:$A),MATCH(G$1,[2]stages!$2:$2,0)-MATCH("temp_stage",[2]stages!$2:$2,0)+1),MATCH(G$1,[2]stages!$2:$2,0)-MATCH("temp_stage",[2]stages!$2:$2,0)+1,FALSE)</f>
        <v>降臨43</v>
      </c>
      <c r="H25" s="190">
        <v>0</v>
      </c>
      <c r="I25" s="191">
        <f t="shared" si="0"/>
        <v>24</v>
      </c>
      <c r="J25" s="192" t="str">
        <f t="shared" si="3"/>
        <v>4004324</v>
      </c>
      <c r="K25" s="189" t="s">
        <v>197</v>
      </c>
      <c r="L25" s="193" t="s">
        <v>336</v>
      </c>
      <c r="M25" s="194" t="s">
        <v>356</v>
      </c>
      <c r="N25" s="181" t="s">
        <v>198</v>
      </c>
    </row>
  </sheetData>
  <phoneticPr fontId="5"/>
  <dataValidations count="1">
    <dataValidation type="list" allowBlank="1" showInputMessage="1" showErrorMessage="1" sqref="A2:A25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 activeCell="E3" sqref="E3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5" t="s">
        <v>211</v>
      </c>
      <c r="B1" s="96" t="s">
        <v>212</v>
      </c>
      <c r="C1" s="78" t="s">
        <v>213</v>
      </c>
      <c r="D1" s="78" t="s">
        <v>33</v>
      </c>
      <c r="E1" s="96" t="s">
        <v>214</v>
      </c>
      <c r="F1" s="78" t="s">
        <v>215</v>
      </c>
      <c r="G1" s="78" t="s">
        <v>33</v>
      </c>
      <c r="H1" s="96" t="s">
        <v>216</v>
      </c>
      <c r="I1" s="96" t="s">
        <v>217</v>
      </c>
      <c r="J1" s="96" t="s">
        <v>218</v>
      </c>
      <c r="K1" s="74" t="s">
        <v>219</v>
      </c>
      <c r="L1" s="74" t="s">
        <v>220</v>
      </c>
      <c r="M1" s="74" t="s">
        <v>156</v>
      </c>
      <c r="N1" s="78" t="s">
        <v>16</v>
      </c>
      <c r="O1" s="74" t="s">
        <v>221</v>
      </c>
      <c r="P1" s="74" t="s">
        <v>56</v>
      </c>
      <c r="Q1" s="74" t="s">
        <v>222</v>
      </c>
      <c r="R1" s="74" t="s">
        <v>38</v>
      </c>
      <c r="S1" s="74" t="s">
        <v>40</v>
      </c>
      <c r="T1" s="74" t="s">
        <v>42</v>
      </c>
      <c r="U1" s="74" t="s">
        <v>44</v>
      </c>
      <c r="V1" s="74" t="s">
        <v>46</v>
      </c>
      <c r="W1" s="74" t="s">
        <v>223</v>
      </c>
      <c r="X1" s="74" t="s">
        <v>224</v>
      </c>
    </row>
    <row r="2" spans="1:24" x14ac:dyDescent="0.15">
      <c r="A2" s="97" t="str">
        <f>B2&amp;"_"&amp;E2&amp;"_"&amp;H2&amp;"_"&amp;I2&amp;"_"&amp;J2</f>
        <v>40043_2_everyone_full_member_1</v>
      </c>
      <c r="B2" s="83">
        <v>40043</v>
      </c>
      <c r="C2" s="84" t="str">
        <f ca="1">VLOOKUP($B2,OFFSET([2]quests!$A$1,0,0,COUNTA([2]quests!$A:$A),MATCH(C$1,[2]quests!$1:$1,0)-MATCH($B$1,[2]quests!$1:$1,0)+1),MATCH(C$1,[2]quests!$1:$1,0)-MATCH($B$1,[2]quests!$1:$1,0)+1,FALSE)</f>
        <v>ワカヒルメ襲来！</v>
      </c>
      <c r="D2" s="84" t="str">
        <f ca="1">VLOOKUP($B2,OFFSET([2]quests!$A$1,0,0,COUNTA([2]quests!$A:$A),MATCH(D$1,[2]quests!$1:$1,0)-MATCH($B$1,[2]quests!$1:$1,0)+1),MATCH(D$1,[2]quests!$1:$1,0)-MATCH($B$1,[2]quests!$1:$1,0)+1,FALSE)</f>
        <v>降臨43</v>
      </c>
      <c r="E2" s="85">
        <v>2</v>
      </c>
      <c r="F2" s="84" t="str">
        <f ca="1">VLOOKUP($B2&amp;"_"&amp;$E2,OFFSET([2]stages!$A$1,0,0,COUNTA([2]stages!$A:$A),MATCH(F$1,[2]stages!$2:$2,0)-MATCH("temp_stage",[2]stages!$2:$2,0)+1),MATCH(F$1,[2]stages!$2:$2,0)-MATCH("temp_stage",[2]stages!$2:$2,0)+1,FALSE)</f>
        <v>【ウィザード級】ワカヒルメ襲来</v>
      </c>
      <c r="G2" s="84" t="str">
        <f ca="1">VLOOKUP($B2&amp;"_"&amp;$E2,OFFSET([2]stages!$A$1,0,0,COUNTA([2]stages!$A:$A),MATCH(G$1,[2]stages!$2:$2,0)-MATCH("temp_stage",[2]stages!$2:$2,0)+1),MATCH(G$1,[2]stages!$2:$2,0)-MATCH("temp_stage",[2]stages!$2:$2,0)+1,FALSE)</f>
        <v>降臨43</v>
      </c>
      <c r="H2" s="86" t="s">
        <v>225</v>
      </c>
      <c r="I2" s="85" t="s">
        <v>307</v>
      </c>
      <c r="J2" s="85">
        <v>1</v>
      </c>
      <c r="K2" s="85">
        <v>1000</v>
      </c>
      <c r="L2" s="85" t="s">
        <v>226</v>
      </c>
      <c r="M2" s="85">
        <v>1326</v>
      </c>
      <c r="N2" s="98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ワカヒルメ</v>
      </c>
      <c r="O2" s="85">
        <v>1</v>
      </c>
      <c r="P2" s="85">
        <v>1</v>
      </c>
      <c r="Q2" s="85">
        <v>1</v>
      </c>
      <c r="R2" s="85">
        <v>0</v>
      </c>
      <c r="S2" s="85">
        <v>0</v>
      </c>
      <c r="T2" s="85">
        <v>0</v>
      </c>
      <c r="U2" s="85">
        <v>0</v>
      </c>
      <c r="V2" s="85">
        <v>1</v>
      </c>
      <c r="W2" s="99" t="s">
        <v>227</v>
      </c>
      <c r="X2" s="100" t="s">
        <v>228</v>
      </c>
    </row>
    <row r="3" spans="1:24" x14ac:dyDescent="0.15">
      <c r="A3" s="97" t="str">
        <f>B3&amp;"_"&amp;E3&amp;"_"&amp;H3&amp;"_"&amp;I3&amp;"_"&amp;J3</f>
        <v>40043_2_everyone_no_continue_1</v>
      </c>
      <c r="B3" s="83">
        <v>40043</v>
      </c>
      <c r="C3" s="84" t="str">
        <f ca="1">VLOOKUP($B3,OFFSET([2]quests!$A$1,0,0,COUNTA([2]quests!$A:$A),MATCH(C$1,[2]quests!$1:$1,0)-MATCH($B$1,[2]quests!$1:$1,0)+1),MATCH(C$1,[2]quests!$1:$1,0)-MATCH($B$1,[2]quests!$1:$1,0)+1,FALSE)</f>
        <v>ワカヒルメ襲来！</v>
      </c>
      <c r="D3" s="84" t="str">
        <f ca="1">VLOOKUP($B3,OFFSET([2]quests!$A$1,0,0,COUNTA([2]quests!$A:$A),MATCH(D$1,[2]quests!$1:$1,0)-MATCH($B$1,[2]quests!$1:$1,0)+1),MATCH(D$1,[2]quests!$1:$1,0)-MATCH($B$1,[2]quests!$1:$1,0)+1,FALSE)</f>
        <v>降臨43</v>
      </c>
      <c r="E3" s="85">
        <v>2</v>
      </c>
      <c r="F3" s="84" t="str">
        <f ca="1">VLOOKUP($B3&amp;"_"&amp;$E3,OFFSET([2]stages!$A$1,0,0,COUNTA([2]stages!$A:$A),MATCH(F$1,[2]stages!$2:$2,0)-MATCH("temp_stage",[2]stages!$2:$2,0)+1),MATCH(F$1,[2]stages!$2:$2,0)-MATCH("temp_stage",[2]stages!$2:$2,0)+1,FALSE)</f>
        <v>【ウィザード級】ワカヒルメ襲来</v>
      </c>
      <c r="G3" s="84" t="str">
        <f ca="1">VLOOKUP($B3&amp;"_"&amp;$E3,OFFSET([2]stages!$A$1,0,0,COUNTA([2]stages!$A:$A),MATCH(G$1,[2]stages!$2:$2,0)-MATCH("temp_stage",[2]stages!$2:$2,0)+1),MATCH(G$1,[2]stages!$2:$2,0)-MATCH("temp_stage",[2]stages!$2:$2,0)+1,FALSE)</f>
        <v>降臨43</v>
      </c>
      <c r="H3" s="86" t="s">
        <v>225</v>
      </c>
      <c r="I3" s="85" t="s">
        <v>229</v>
      </c>
      <c r="J3" s="85">
        <v>1</v>
      </c>
      <c r="K3" s="85">
        <v>1000</v>
      </c>
      <c r="L3" s="85" t="s">
        <v>226</v>
      </c>
      <c r="M3" s="85">
        <v>1326</v>
      </c>
      <c r="N3" s="98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>ワカヒルメ</v>
      </c>
      <c r="O3" s="85">
        <v>1</v>
      </c>
      <c r="P3" s="85">
        <v>1</v>
      </c>
      <c r="Q3" s="85">
        <v>1</v>
      </c>
      <c r="R3" s="85">
        <v>0</v>
      </c>
      <c r="S3" s="85">
        <v>0</v>
      </c>
      <c r="T3" s="85">
        <v>0</v>
      </c>
      <c r="U3" s="85">
        <v>0</v>
      </c>
      <c r="V3" s="85">
        <v>1</v>
      </c>
      <c r="W3" s="99" t="s">
        <v>227</v>
      </c>
      <c r="X3" s="100" t="s">
        <v>228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enemy_skills</vt:lpstr>
      <vt:lpstr>enemy_skill_triggers</vt:lpstr>
      <vt:lpstr>enemy_skill_sets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2017-04-04T10:16:17Z</dcterms:modified>
</cp:coreProperties>
</file>