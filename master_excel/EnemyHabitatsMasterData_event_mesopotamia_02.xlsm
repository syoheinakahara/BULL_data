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800" yWindow="460" windowWidth="36600" windowHeight="19360" tabRatio="740" firstSheet="1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stage_hints_failure!$B$1:$M$18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1" l="1"/>
  <c r="O59" i="9"/>
  <c r="N59" i="9"/>
  <c r="M59" i="9"/>
  <c r="L59" i="9"/>
  <c r="K59" i="9"/>
  <c r="J59" i="9"/>
  <c r="I59" i="9"/>
  <c r="H59" i="9"/>
  <c r="G59" i="9"/>
  <c r="E59" i="9"/>
  <c r="D59" i="9"/>
  <c r="A59" i="9"/>
  <c r="O32" i="9"/>
  <c r="N32" i="9"/>
  <c r="M32" i="9"/>
  <c r="L32" i="9"/>
  <c r="K32" i="9"/>
  <c r="J32" i="9"/>
  <c r="I32" i="9"/>
  <c r="H32" i="9"/>
  <c r="G32" i="9"/>
  <c r="E32" i="9"/>
  <c r="D32" i="9"/>
  <c r="A32" i="9"/>
  <c r="J33" i="11"/>
  <c r="J45" i="11"/>
  <c r="O73" i="9"/>
  <c r="N73" i="9"/>
  <c r="M73" i="9"/>
  <c r="L73" i="9"/>
  <c r="K73" i="9"/>
  <c r="J73" i="9"/>
  <c r="I73" i="9"/>
  <c r="H73" i="9"/>
  <c r="G73" i="9"/>
  <c r="E73" i="9"/>
  <c r="D73" i="9"/>
  <c r="A73" i="9"/>
  <c r="J44" i="11"/>
  <c r="O72" i="9"/>
  <c r="N72" i="9"/>
  <c r="M72" i="9"/>
  <c r="L72" i="9"/>
  <c r="K72" i="9"/>
  <c r="J72" i="9"/>
  <c r="I72" i="9"/>
  <c r="H72" i="9"/>
  <c r="G72" i="9"/>
  <c r="E72" i="9"/>
  <c r="D72" i="9"/>
  <c r="A72" i="9"/>
  <c r="J43" i="11"/>
  <c r="O71" i="9"/>
  <c r="N71" i="9"/>
  <c r="M71" i="9"/>
  <c r="L71" i="9"/>
  <c r="K71" i="9"/>
  <c r="J71" i="9"/>
  <c r="I71" i="9"/>
  <c r="H71" i="9"/>
  <c r="G71" i="9"/>
  <c r="E71" i="9"/>
  <c r="D71" i="9"/>
  <c r="A71" i="9"/>
  <c r="J54" i="11"/>
  <c r="O70" i="9"/>
  <c r="N70" i="9"/>
  <c r="M70" i="9"/>
  <c r="L70" i="9"/>
  <c r="K70" i="9"/>
  <c r="J70" i="9"/>
  <c r="I70" i="9"/>
  <c r="H70" i="9"/>
  <c r="G70" i="9"/>
  <c r="E70" i="9"/>
  <c r="D70" i="9"/>
  <c r="A70" i="9"/>
  <c r="J41" i="11"/>
  <c r="O69" i="9"/>
  <c r="N69" i="9"/>
  <c r="M69" i="9"/>
  <c r="L69" i="9"/>
  <c r="K69" i="9"/>
  <c r="J69" i="9"/>
  <c r="I69" i="9"/>
  <c r="H69" i="9"/>
  <c r="G69" i="9"/>
  <c r="E69" i="9"/>
  <c r="D69" i="9"/>
  <c r="A69" i="9"/>
  <c r="J40" i="11"/>
  <c r="O68" i="9"/>
  <c r="N68" i="9"/>
  <c r="M68" i="9"/>
  <c r="L68" i="9"/>
  <c r="K68" i="9"/>
  <c r="J68" i="9"/>
  <c r="I68" i="9"/>
  <c r="H68" i="9"/>
  <c r="G68" i="9"/>
  <c r="E68" i="9"/>
  <c r="D68" i="9"/>
  <c r="A68" i="9"/>
  <c r="J39" i="11"/>
  <c r="O67" i="9"/>
  <c r="N67" i="9"/>
  <c r="M67" i="9"/>
  <c r="L67" i="9"/>
  <c r="K67" i="9"/>
  <c r="J67" i="9"/>
  <c r="I67" i="9"/>
  <c r="H67" i="9"/>
  <c r="G67" i="9"/>
  <c r="E67" i="9"/>
  <c r="D67" i="9"/>
  <c r="A67" i="9"/>
  <c r="J38" i="11"/>
  <c r="O66" i="9"/>
  <c r="N66" i="9"/>
  <c r="M66" i="9"/>
  <c r="L66" i="9"/>
  <c r="K66" i="9"/>
  <c r="J66" i="9"/>
  <c r="I66" i="9"/>
  <c r="H66" i="9"/>
  <c r="G66" i="9"/>
  <c r="E66" i="9"/>
  <c r="D66" i="9"/>
  <c r="A66" i="9"/>
  <c r="J37" i="11"/>
  <c r="O65" i="9"/>
  <c r="N65" i="9"/>
  <c r="M65" i="9"/>
  <c r="L65" i="9"/>
  <c r="K65" i="9"/>
  <c r="J65" i="9"/>
  <c r="I65" i="9"/>
  <c r="H65" i="9"/>
  <c r="G65" i="9"/>
  <c r="E65" i="9"/>
  <c r="D65" i="9"/>
  <c r="A65" i="9"/>
  <c r="J36" i="11"/>
  <c r="O64" i="9"/>
  <c r="N64" i="9"/>
  <c r="M64" i="9"/>
  <c r="L64" i="9"/>
  <c r="K64" i="9"/>
  <c r="J64" i="9"/>
  <c r="I64" i="9"/>
  <c r="H64" i="9"/>
  <c r="G64" i="9"/>
  <c r="E64" i="9"/>
  <c r="D64" i="9"/>
  <c r="A64" i="9"/>
  <c r="J35" i="11"/>
  <c r="O63" i="9"/>
  <c r="N63" i="9"/>
  <c r="M63" i="9"/>
  <c r="L63" i="9"/>
  <c r="K63" i="9"/>
  <c r="J63" i="9"/>
  <c r="I63" i="9"/>
  <c r="H63" i="9"/>
  <c r="G63" i="9"/>
  <c r="E63" i="9"/>
  <c r="D63" i="9"/>
  <c r="A63" i="9"/>
  <c r="J34" i="11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J32" i="11"/>
  <c r="O60" i="9"/>
  <c r="N60" i="9"/>
  <c r="M60" i="9"/>
  <c r="L60" i="9"/>
  <c r="K60" i="9"/>
  <c r="J60" i="9"/>
  <c r="I60" i="9"/>
  <c r="H60" i="9"/>
  <c r="G60" i="9"/>
  <c r="E60" i="9"/>
  <c r="D60" i="9"/>
  <c r="A60" i="9"/>
  <c r="J30" i="11"/>
  <c r="O58" i="9"/>
  <c r="N58" i="9"/>
  <c r="M58" i="9"/>
  <c r="L58" i="9"/>
  <c r="K58" i="9"/>
  <c r="J58" i="9"/>
  <c r="I58" i="9"/>
  <c r="H58" i="9"/>
  <c r="G58" i="9"/>
  <c r="E58" i="9"/>
  <c r="D58" i="9"/>
  <c r="A58" i="9"/>
  <c r="J29" i="11"/>
  <c r="O57" i="9"/>
  <c r="N57" i="9"/>
  <c r="M57" i="9"/>
  <c r="L57" i="9"/>
  <c r="K57" i="9"/>
  <c r="J57" i="9"/>
  <c r="I57" i="9"/>
  <c r="H57" i="9"/>
  <c r="G57" i="9"/>
  <c r="E57" i="9"/>
  <c r="D57" i="9"/>
  <c r="A57" i="9"/>
  <c r="J28" i="11"/>
  <c r="O56" i="9"/>
  <c r="N56" i="9"/>
  <c r="M56" i="9"/>
  <c r="L56" i="9"/>
  <c r="K56" i="9"/>
  <c r="J56" i="9"/>
  <c r="I56" i="9"/>
  <c r="H56" i="9"/>
  <c r="G56" i="9"/>
  <c r="E56" i="9"/>
  <c r="D56" i="9"/>
  <c r="A56" i="9"/>
  <c r="J27" i="11"/>
  <c r="O55" i="9"/>
  <c r="N55" i="9"/>
  <c r="M55" i="9"/>
  <c r="L55" i="9"/>
  <c r="K55" i="9"/>
  <c r="J55" i="9"/>
  <c r="I55" i="9"/>
  <c r="H55" i="9"/>
  <c r="G55" i="9"/>
  <c r="E55" i="9"/>
  <c r="D55" i="9"/>
  <c r="A55" i="9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2" i="18"/>
  <c r="B18" i="21"/>
  <c r="B2" i="19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25" i="11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AD11" i="1"/>
  <c r="AF11" i="1"/>
  <c r="AI11" i="1"/>
  <c r="AG11" i="1"/>
  <c r="AE11" i="1"/>
  <c r="E28" i="9"/>
  <c r="X11" i="1"/>
  <c r="V11" i="1"/>
  <c r="T11" i="1"/>
  <c r="Q11" i="1"/>
  <c r="P11" i="1"/>
  <c r="O11" i="1"/>
  <c r="N11" i="1"/>
  <c r="M11" i="1"/>
  <c r="H11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11" i="1"/>
  <c r="I11" i="1"/>
  <c r="D11" i="1"/>
  <c r="F11" i="1"/>
  <c r="E11" i="1"/>
  <c r="A11" i="1"/>
  <c r="AD10" i="1"/>
  <c r="AF10" i="1"/>
  <c r="AI10" i="1"/>
  <c r="AG10" i="1"/>
  <c r="AE10" i="1"/>
  <c r="E26" i="9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24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19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E13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E2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J24" i="11"/>
  <c r="O26" i="9"/>
  <c r="N26" i="9"/>
  <c r="M26" i="9"/>
  <c r="L26" i="9"/>
  <c r="K26" i="9"/>
  <c r="J26" i="9"/>
  <c r="I26" i="9"/>
  <c r="H26" i="9"/>
  <c r="G26" i="9"/>
  <c r="D26" i="9"/>
  <c r="A26" i="9"/>
  <c r="J26" i="11"/>
  <c r="O27" i="9"/>
  <c r="N27" i="9"/>
  <c r="M27" i="9"/>
  <c r="L27" i="9"/>
  <c r="K27" i="9"/>
  <c r="J27" i="9"/>
  <c r="I27" i="9"/>
  <c r="H27" i="9"/>
  <c r="G27" i="9"/>
  <c r="E27" i="9"/>
  <c r="D27" i="9"/>
  <c r="A27" i="9"/>
  <c r="B26" i="21"/>
  <c r="I26" i="21"/>
  <c r="J26" i="21"/>
  <c r="G26" i="21"/>
  <c r="F26" i="21"/>
  <c r="D26" i="21"/>
  <c r="C2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J48" i="11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AD15" i="1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53" i="11"/>
  <c r="J52" i="11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J50" i="11"/>
  <c r="J51" i="11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J49" i="11"/>
  <c r="O50" i="9"/>
  <c r="N50" i="9"/>
  <c r="M50" i="9"/>
  <c r="L50" i="9"/>
  <c r="K50" i="9"/>
  <c r="J50" i="9"/>
  <c r="I50" i="9"/>
  <c r="H50" i="9"/>
  <c r="G50" i="9"/>
  <c r="E50" i="9"/>
  <c r="D50" i="9"/>
  <c r="A50" i="9"/>
  <c r="J46" i="11"/>
  <c r="O49" i="9"/>
  <c r="N49" i="9"/>
  <c r="M49" i="9"/>
  <c r="L49" i="9"/>
  <c r="K49" i="9"/>
  <c r="J49" i="9"/>
  <c r="I49" i="9"/>
  <c r="H49" i="9"/>
  <c r="G49" i="9"/>
  <c r="E49" i="9"/>
  <c r="D49" i="9"/>
  <c r="A49" i="9"/>
  <c r="J47" i="11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J42" i="11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D28" i="9"/>
  <c r="A28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M33" i="10"/>
  <c r="M35" i="10"/>
  <c r="N35" i="10"/>
  <c r="Q35" i="10"/>
  <c r="P35" i="10"/>
  <c r="R35" i="10"/>
  <c r="O35" i="10"/>
  <c r="S35" i="10"/>
  <c r="N33" i="10"/>
  <c r="Q33" i="10"/>
  <c r="P33" i="10"/>
  <c r="R33" i="10"/>
  <c r="O33" i="10"/>
  <c r="S33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W15" i="7"/>
  <c r="U15" i="7"/>
  <c r="R15" i="7"/>
  <c r="Q15" i="7"/>
  <c r="P15" i="7"/>
  <c r="O15" i="7"/>
  <c r="N15" i="7"/>
  <c r="H15" i="7"/>
  <c r="J15" i="7"/>
  <c r="I15" i="7"/>
  <c r="D15" i="7"/>
  <c r="F15" i="7"/>
  <c r="E15" i="7"/>
  <c r="A15" i="7"/>
  <c r="W14" i="7"/>
  <c r="U14" i="7"/>
  <c r="R14" i="7"/>
  <c r="Q14" i="7"/>
  <c r="P14" i="7"/>
  <c r="O14" i="7"/>
  <c r="N14" i="7"/>
  <c r="H14" i="7"/>
  <c r="J14" i="7"/>
  <c r="I14" i="7"/>
  <c r="D14" i="7"/>
  <c r="F14" i="7"/>
  <c r="E14" i="7"/>
  <c r="A14" i="7"/>
  <c r="W13" i="7"/>
  <c r="U13" i="7"/>
  <c r="R13" i="7"/>
  <c r="Q13" i="7"/>
  <c r="P13" i="7"/>
  <c r="O13" i="7"/>
  <c r="N13" i="7"/>
  <c r="H13" i="7"/>
  <c r="J13" i="7"/>
  <c r="I13" i="7"/>
  <c r="D13" i="7"/>
  <c r="F13" i="7"/>
  <c r="E13" i="7"/>
  <c r="A13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C2" i="19"/>
  <c r="D2" i="19"/>
  <c r="F2" i="19"/>
  <c r="G2" i="19"/>
  <c r="I18" i="21"/>
  <c r="J18" i="21"/>
  <c r="G18" i="21"/>
  <c r="F18" i="21"/>
  <c r="D18" i="21"/>
  <c r="C18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<sst xmlns="http://schemas.openxmlformats.org/spreadsheetml/2006/main" count="1214" uniqueCount="379">
  <si>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</si>
  <si>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</si>
  <si>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</si>
  <si>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</si>
  <si>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</si>
  <si>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</si>
  <si>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</si>
  <si>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</si>
  <si>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</si>
  <si>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</si>
  <si>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</si>
  <si>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</si>
  <si>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</si>
  <si>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</si>
  <si>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</si>
  <si>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</si>
  <si>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</si>
  <si>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</si>
  <si>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</si>
  <si>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</si>
  <si>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</si>
  <si>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</si>
  <si>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</si>
  <si>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</si>
  <si>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</si>
  <si>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</si>
  <si>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</si>
  <si>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</si>
  <si>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</si>
  <si>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</si>
  <si>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</si>
  <si>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</si>
  <si>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</si>
  <si>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</si>
  <si>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</si>
  <si>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</si>
  <si>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</si>
  <si>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</si>
  <si>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</si>
  <si>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</si>
  <si>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</si>
  <si>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</si>
  <si>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</si>
  <si>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</si>
  <si>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</si>
  <si>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</si>
  <si>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</si>
  <si>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</si>
  <si>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</si>
  <si>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</si>
  <si>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</si>
  <si>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</si>
  <si>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</si>
  <si>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</si>
  <si>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</si>
  <si>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</si>
  <si>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</si>
  <si>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</si>
  <si>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</si>
  <si>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</si>
  <si>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</si>
  <si>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</si>
  <si>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</si>
  <si>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</si>
  <si>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</si>
  <si>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</si>
  <si>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</si>
  <si>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</si>
  <si>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</si>
  <si>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</si>
  <si>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</si>
  <si>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</si>
  <si>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</si>
  <si>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</si>
  <si>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</si>
  <si>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</si>
  <si>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</si>
  <si>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</si>
  <si>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</si>
  <si>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</si>
  <si>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</si>
  <si>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</si>
  <si>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</si>
  <si>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</si>
  <si>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</si>
  <si>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</si>
  <si>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</si>
  <si>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</si>
  <si>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</si>
  <si>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</si>
  <si>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</si>
  <si>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</si>
  <si>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</si>
  <si>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</si>
  <si>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</si>
  <si>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</si>
  <si>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</si>
  <si>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</si>
  <si>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</si>
  <si>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</si>
  <si>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</si>
  <si>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</si>
  <si>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</si>
  <si>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</si>
  <si>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</si>
  <si>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</si>
  <si>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</si>
  <si>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</si>
  <si>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</si>
  <si>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</si>
  <si>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</si>
  <si>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</si>
  <si>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</si>
  <si>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</si>
  <si>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</si>
  <si>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</si>
  <si>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</si>
  <si>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</si>
  <si>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</si>
  <si>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</si>
  <si>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</si>
  <si>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</si>
  <si>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</si>
  <si>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</si>
  <si>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</si>
  <si>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</si>
  <si>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</si>
  <si>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</si>
  <si>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</si>
  <si>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</si>
  <si>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</si>
  <si>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</si>
  <si>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</si>
  <si>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</si>
  <si>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</si>
  <si>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</si>
  <si>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</si>
  <si>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</si>
  <si>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</si>
  <si>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</si>
  <si>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</si>
  <si>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</si>
  <si>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</si>
  <si>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</si>
  <si>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</si>
  <si>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</si>
  <si>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</si>
  <si>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</si>
  <si>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</si>
  <si>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</si>
  <si>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</si>
  <si>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</si>
  <si>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</si>
  <si>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</si>
  <si>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</si>
  <si>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</si>
  <si>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</si>
  <si>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</si>
  <si>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</si>
  <si>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</si>
  <si>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</si>
  <si>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</si>
  <si>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</si>
  <si>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</si>
  <si>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</si>
  <si>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</si>
  <si>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</si>
  <si>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</si>
  <si>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</si>
  <si>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</si>
  <si>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</si>
  <si>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</si>
  <si>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</si>
  <si>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</si>
  <si>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</si>
  <si>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</si>
  <si>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</si>
  <si>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</si>
  <si>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</si>
  <si>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</si>
  <si>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</si>
  <si>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</si>
  <si>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</si>
  <si>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</si>
  <si>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</si>
  <si>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</si>
  <si>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</si>
  <si>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</si>
  <si>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</si>
  <si>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</si>
  <si>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</si>
  <si>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</si>
  <si>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</si>
  <si>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</si>
  <si>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</si>
  <si>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</si>
  <si>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</si>
  <si>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</si>
  <si>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</si>
  <si>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</si>
  <si>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</si>
  <si>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</si>
  <si>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</si>
  <si>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</si>
  <si>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</si>
  <si>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</si>
  <si>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</si>
  <si>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</si>
  <si>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</si>
  <si>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</si>
  <si>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</si>
  <si>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</si>
  <si>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</si>
  <si>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</si>
  <si>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</si>
  <si>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</si>
  <si>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</si>
  <si>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</si>
  <si>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</si>
  <si>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</si>
  <si>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</si>
  <si>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</si>
  <si>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</si>
  <si>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</si>
  <si>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</si>
  <si>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</si>
  <si>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</si>
  <si>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</si>
  <si>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</si>
  <si>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</si>
  <si>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</si>
  <si>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</si>
  <si>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</si>
  <si>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</si>
  <si>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</si>
  <si>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</si>
  <si>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</si>
  <si>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</si>
  <si>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</si>
  <si>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</si>
  <si>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</si>
  <si>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</si>
  <si>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</si>
  <si>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</si>
  <si>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</si>
  <si>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</si>
  <si>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</si>
  <si>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</si>
  <si>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</si>
  <si>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</si>
  <si>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</si>
  <si>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この先へは行かせん！</t>
    <phoneticPr fontId="5"/>
  </si>
  <si>
    <t>ローレンスが襲いかかってきた！</t>
    <phoneticPr fontId="5"/>
  </si>
  <si>
    <t>消し炭にしてやる</t>
    <phoneticPr fontId="5"/>
  </si>
  <si>
    <t>湧き上がる衝動</t>
    <phoneticPr fontId="5"/>
  </si>
  <si>
    <t>クラッシュパネルを吸収して単体攻撃</t>
    <phoneticPr fontId="5"/>
  </si>
  <si>
    <t>2ターンスキルバインド＋単体攻撃</t>
  </si>
  <si>
    <t>我狼連衝</t>
    <phoneticPr fontId="5"/>
  </si>
  <si>
    <t>4回連続攻撃＋残りHPが少ないほど威力UP</t>
    <phoneticPr fontId="5"/>
  </si>
  <si>
    <t>文明淘汰</t>
    <phoneticPr fontId="5"/>
  </si>
  <si>
    <t>弱肉強食</t>
    <phoneticPr fontId="5"/>
  </si>
  <si>
    <t>火走り</t>
    <phoneticPr fontId="5"/>
  </si>
  <si>
    <t>2ターンウィルス</t>
    <phoneticPr fontId="5"/>
  </si>
  <si>
    <t xml:space="preserve">[effect:virus, turn:2, rate:1, val:0.2, animation:enemy_virus] </t>
    <phoneticPr fontId="5"/>
  </si>
  <si>
    <t>身を震わせて威嚇している</t>
    <phoneticPr fontId="5"/>
  </si>
  <si>
    <t>[effect:enemy_message, val1:2, val2:1.8]</t>
    <phoneticPr fontId="5"/>
  </si>
  <si>
    <t>アンガー・イグニッション</t>
    <phoneticPr fontId="5"/>
  </si>
  <si>
    <t>4ターン後強力な攻撃</t>
    <phoneticPr fontId="5"/>
  </si>
  <si>
    <t>3ターン後強力な攻撃</t>
    <phoneticPr fontId="5"/>
  </si>
  <si>
    <t>2ターン後強力な攻撃</t>
    <phoneticPr fontId="5"/>
  </si>
  <si>
    <t>[effect:enemy_message, val1:2, val2:1.8]</t>
    <phoneticPr fontId="5"/>
  </si>
  <si>
    <t>[effect:spread, val:1.25]</t>
    <phoneticPr fontId="5"/>
  </si>
  <si>
    <t>[effect:change_panel_ratio, turn:12, block_type:heal, val:0.6, animation:block_incidence04]</t>
    <phoneticPr fontId="5"/>
  </si>
  <si>
    <t>ハートフル・インサート</t>
    <phoneticPr fontId="5"/>
  </si>
  <si>
    <t>12ターンハートパネルドロップ率UP</t>
    <phoneticPr fontId="5"/>
  </si>
  <si>
    <r>
      <rPr>
        <b/>
        <sz val="10"/>
        <color theme="1"/>
        <rFont val="ＭＳ Ｐゴシック"/>
        <family val="3"/>
        <charset val="128"/>
        <scheme val="minor"/>
      </rPr>
      <t>次のターン</t>
    </r>
    <r>
      <rPr>
        <sz val="10"/>
        <color theme="1"/>
        <rFont val="ＭＳ Ｐゴシック"/>
        <family val="3"/>
        <charset val="128"/>
        <scheme val="minor"/>
      </rPr>
      <t>強力な攻撃</t>
    </r>
    <phoneticPr fontId="5"/>
  </si>
  <si>
    <t>次のターンハートパネルを吸収</t>
    <phoneticPr fontId="5"/>
  </si>
  <si>
    <t>クリティカル！</t>
    <phoneticPr fontId="5"/>
  </si>
  <si>
    <t>シシシ！力が漲ってくるゾ！</t>
  </si>
  <si>
    <t>全体攻撃</t>
    <phoneticPr fontId="5"/>
  </si>
  <si>
    <t>null</t>
    <phoneticPr fontId="5"/>
  </si>
  <si>
    <t>ハートパネルを吸収して攻撃力UP</t>
    <phoneticPr fontId="5"/>
  </si>
  <si>
    <t>自身の防御力UP＋状態異常耐性</t>
    <phoneticPr fontId="5"/>
  </si>
  <si>
    <t>[effect:virus, turn:-1, rate:1, val:0.1, animation:enemy_virus]</t>
    <phoneticPr fontId="5"/>
  </si>
  <si>
    <t>フワワ・ウィルス</t>
    <phoneticPr fontId="5"/>
  </si>
  <si>
    <t>4回連続攻撃＋残りHPが少ないほど威力UP</t>
    <phoneticPr fontId="5"/>
  </si>
  <si>
    <t>クリティカル！</t>
    <phoneticPr fontId="5"/>
  </si>
  <si>
    <t>解除するまでウィルス</t>
    <phoneticPr fontId="5"/>
  </si>
  <si>
    <t>クラッシュパネルを吸収して回復(最大5個)
＋残りHPの50%ダメージ！＋攻撃頻度UP</t>
    <phoneticPr fontId="5"/>
  </si>
  <si>
    <t>圧壊</t>
    <phoneticPr fontId="5"/>
  </si>
  <si>
    <t>悪性イレギュラー</t>
    <phoneticPr fontId="5"/>
  </si>
  <si>
    <t>真正面からかかってこい！</t>
    <phoneticPr fontId="5"/>
  </si>
  <si>
    <t>old</t>
    <phoneticPr fontId="5"/>
  </si>
  <si>
    <t>ハック・ワイルド</t>
    <phoneticPr fontId="5"/>
  </si>
  <si>
    <t>シシシ！ハッキング成功だ！</t>
    <phoneticPr fontId="5"/>
  </si>
  <si>
    <t>電力供給先指定完了だ！</t>
    <phoneticPr fontId="5"/>
  </si>
  <si>
    <t>[effect:suicide, val:1, dead_type:suicide, target:myself, animation:enemy_suicide],[effect:enemy_message, val1:1.5, val2:1.8]</t>
    <phoneticPr fontId="5"/>
  </si>
  <si>
    <t>[effect:suicide, val:1, dead_type:suicide, target:myself, animation:enemy_suicide]</t>
    <phoneticPr fontId="5"/>
  </si>
  <si>
    <t>[effect:suicide, val:1, dead_type:suicide, target:myself, animation:enemy_suicide]</t>
    <phoneticPr fontId="5"/>
  </si>
  <si>
    <t>[effect:critical, val:1.3, animation:enemy_critical]</t>
    <phoneticPr fontId="5"/>
  </si>
  <si>
    <t>[effect:rush, count:4, val:0.25]</t>
    <phoneticPr fontId="5"/>
  </si>
  <si>
    <t>[effect:rush, count:4, val:0.3]</t>
    <phoneticPr fontId="5"/>
  </si>
  <si>
    <t>[effect:rush, count:4, val:0.35]</t>
    <phoneticPr fontId="5"/>
  </si>
  <si>
    <t>[effect:damage_anti_tribe, target:unit_one, tribe:human, val1:0.8, val2:0.5],[effect:damage_anti_tribe, target:unit_one, tribe:machine, val1:0.8, val2:0.5],[effect:enemy_message, val1:1, val2:3]</t>
    <phoneticPr fontId="5"/>
  </si>
  <si>
    <t>[effect:damage_anti_tribe, target:unit_one, tribe:animal, val1:0.8, val2:0.5],[effect:damage_anti_tribe, target:unit_one, tribe:dragon, val1:0.8, val2:0.5],[effect:enemy_message, val1:1, val2:3]</t>
    <phoneticPr fontId="5"/>
  </si>
  <si>
    <t>[effect:damage_anti_tribe, target:unit_one, tribe:god, val1:0.8, val2:0.5],[effect:damage_anti_tribe, target:unit_one, tribe:unknown, val1:0.8, val2:0.5],[effect:enemy_message, val1:1, val2:3]</t>
    <phoneticPr fontId="5"/>
  </si>
  <si>
    <t>[effect:critical, val:1.3, animation:enemy_critical]</t>
    <phoneticPr fontId="5"/>
  </si>
  <si>
    <t>[effect:break_enchance_enemy, val:0.02, lowest_val:0.2, count :20, status:attack, turn:-1, block:block_heart, target:myself, calc:mul, animation:enemy_enhance_attack]</t>
    <phoneticPr fontId="5"/>
  </si>
  <si>
    <t>[effect:critical, val:1.3, animation:enemy_critical]</t>
    <phoneticPr fontId="5"/>
  </si>
  <si>
    <t>old</t>
    <phoneticPr fontId="5"/>
  </si>
  <si>
    <t>ローレンスは攻撃力が高く
HPが半分以下になるとスキルバインド
などを使用してきます</t>
    <phoneticPr fontId="5"/>
  </si>
  <si>
    <t>ローレンスは2ゲージ目で様々な種族に
キラー攻撃を行います
パーティ編成に気をつけましょう</t>
    <phoneticPr fontId="5"/>
  </si>
  <si>
    <t>ファイアフォックスは2ゲージ目になると
数ターンの間力をため続けます
攻撃される前に倒しましょう</t>
    <phoneticPr fontId="5"/>
  </si>
  <si>
    <t>ストールは2ゲージ目になると
ハートパネル吸収スキルを使用します</t>
    <phoneticPr fontId="5"/>
  </si>
  <si>
    <t>フンババはある特定のユニットを
連れて行くと　強さを見抜いて
動揺してしまうようです</t>
    <phoneticPr fontId="5"/>
  </si>
  <si>
    <t>フンババは様々な種族に
キラー攻撃を行います
パーティ編成に気をつけましょう</t>
    <phoneticPr fontId="5"/>
  </si>
  <si>
    <t>[effect:fix_speed, target:myself, turn:1],[effect:enhance_enemy, target:myself, turn:-1, status:defense, val:2000, calc:add, animation:enemy_enhance_defense],[effect:tolerance, target:myself, turn:-1, tolerance_effect:all, count:-1, animation:enemy_tolerance]</t>
    <phoneticPr fontId="5"/>
  </si>
  <si>
    <t>[effect:fix_speed, target:myself, turn:1]</t>
    <phoneticPr fontId="5"/>
  </si>
  <si>
    <t>身を震わせて威嚇している
炎が体の周りを廻っている</t>
    <phoneticPr fontId="5"/>
  </si>
  <si>
    <t>身を震わせて威嚇している
燃えさかる炎を纏い始めた</t>
    <phoneticPr fontId="5"/>
  </si>
  <si>
    <t>身を震わせて威嚇している
体毛が赤々と赤熱している</t>
    <phoneticPr fontId="5"/>
  </si>
  <si>
    <t>自身の防御力超大UP</t>
    <phoneticPr fontId="5"/>
  </si>
  <si>
    <t>[effect:fix_speed, target:myself, turn:3],[effect:enhance_enemy, target:myself, turn:-1, status:defense, val:10000, calc:add, animation:enemy_enhance_defense]</t>
    <phoneticPr fontId="5"/>
  </si>
  <si>
    <t>お前　ぎルがめっしュ　好きか？</t>
    <phoneticPr fontId="5"/>
  </si>
  <si>
    <t>すごくつヨい！　お前！</t>
    <phoneticPr fontId="5"/>
  </si>
  <si>
    <t>おレ　つヨいヤつに従う！</t>
    <phoneticPr fontId="5"/>
  </si>
  <si>
    <t>嘘　違う！　こレ　しョうこ！</t>
    <phoneticPr fontId="5"/>
  </si>
  <si>
    <t>ぎルがめっしュ…！？</t>
    <phoneticPr fontId="5"/>
  </si>
  <si>
    <t>この先　お前　通さない</t>
    <phoneticPr fontId="5"/>
  </si>
  <si>
    <t>[effect:fix_speed, target:myself, turn:1]</t>
    <phoneticPr fontId="5"/>
  </si>
  <si>
    <t>[effect:nothing]</t>
    <phoneticPr fontId="5"/>
  </si>
  <si>
    <t>[effect:hungup, target:unit_all, turn:2, rate:1, animation:hungup01],[effect:rush, count:1, val:1]</t>
    <phoneticPr fontId="5"/>
  </si>
  <si>
    <t>[effect:break_attack_fix, target:unit_one, val:1200, lowest_val:2000, count:-1, color:blue, block01:crash]</t>
    <phoneticPr fontId="5"/>
  </si>
  <si>
    <t>[effect:damage_anti_tribe, target:unit_one, tribe:animal, val1:0.75, val2:0.2],[effect:damage_anti_tribe, target:unit_one, tribe:dragon, val1:0.75, val2:0.2],[effect:damage_anti_tribe, target:unit_one, tribe:unknown, val1:0.75, val2:0.2],[effect:damage_anti_tribe, target:unit_one, tribe:demon, val1:0.75, val2:0.2],[effect:enemy_message, val1:1, val2:3.5]</t>
  </si>
  <si>
    <t>[effect:damage_anti_tribe, target:unit_one, tribe:human, val1:0.75, val2:0.2],[effect:damage_anti_tribe, target:unit_one, tribe:machine, val1:0.75, val2:0.2],[effect:damage_anti_tribe, target:unit_one, tribe:god, val1:0.75, val2:0.2],[effect:damage_anti_tribe, target:unit_one, tribe:samurai, val1:0.75, val2:0.2],[effect:enemy_message, val1:1, val2:3.5]</t>
  </si>
  <si>
    <t>[effect:break_heal_ratio, target:enemy_one, val:0.2, lowest_val:20000, count:5, block01:crash, animation:enemy_heal],[effect:damage_gravity, val:0.5, animation:fevergauge_down],[effect:freq_turn, target:myself, turn:-1, val:1, animation:enemy_freq_turn],[effect:enemy_message, val1:1.5, val2:3.5]</t>
    <phoneticPr fontId="5"/>
  </si>
  <si>
    <t>残りHPの30%ダメージ！＋状態異常耐性</t>
    <phoneticPr fontId="5"/>
  </si>
  <si>
    <t>[effect:damage_gravity, val:0.2, animation:fevergauge_down]</t>
    <phoneticPr fontId="5"/>
  </si>
  <si>
    <t>改悪プログラム</t>
    <phoneticPr fontId="5"/>
  </si>
  <si>
    <t>1ターン全体スキルバインド＋単体攻撃</t>
    <phoneticPr fontId="5"/>
  </si>
  <si>
    <t>1ターン全体スキルバインド</t>
    <phoneticPr fontId="5"/>
  </si>
  <si>
    <t>[effect:hungup, target:unit_all, turn:1, rate:1, calc_type:target_all, animation:hungup01],[effect:rush, count:1, val:1]</t>
    <phoneticPr fontId="5"/>
  </si>
  <si>
    <t>[effect:hungup, target:unit_all, turn:1, rate:1, calc_type:target_all, animation:hungup01]</t>
    <phoneticPr fontId="5"/>
  </si>
  <si>
    <t>残りHPの20%ダメージ！</t>
    <phoneticPr fontId="5"/>
  </si>
  <si>
    <t>null</t>
  </si>
  <si>
    <t>link</t>
  </si>
  <si>
    <t>unit</t>
  </si>
  <si>
    <t>フンババは3ゲージ目の最初に
残りHPの3割を削る
割合ダメージ攻撃を使用します</t>
    <phoneticPr fontId="5"/>
  </si>
  <si>
    <t>フンババの2ゲージ目は
全パネルをハートパネルに変換後
Cパネル吸収回復や残りHPの5割を削る
割合ダメージ攻撃を使用します</t>
    <phoneticPr fontId="5"/>
  </si>
  <si>
    <t>フンババの1ゲージ目は
最初に敵全体が防御力UPをしてきます
ジェリーの防御力UPは効果量が高いので
フンババを攻撃しましょう</t>
    <phoneticPr fontId="5"/>
  </si>
  <si>
    <t>フンババは2ゲージ目の最初に
残りHPの3割を削る
割合ダメージ攻撃を使用します</t>
    <phoneticPr fontId="5"/>
  </si>
  <si>
    <t>[effect:fix_speed, target:myself, turn:1],[effect:damage_gravity, val:0.3, animation:fevergauge_down],[effect:tolerance, target:myself, turn:-1, tolerance_effect:all, count:-1, animation:enemy_tolerance]</t>
    <phoneticPr fontId="5"/>
  </si>
  <si>
    <t>おレ　負けル　あリえない！</t>
    <phoneticPr fontId="5"/>
  </si>
  <si>
    <t>お…　お前　つヨい！</t>
    <phoneticPr fontId="5"/>
  </si>
  <si>
    <t>ぎルがめっしュ　なンでここにいル？</t>
    <phoneticPr fontId="5"/>
  </si>
  <si>
    <t>お前　おレにまンまと騙さレル！</t>
    <phoneticPr fontId="5"/>
  </si>
  <si>
    <t>お前　ぎルがめっしュとけンかした</t>
    <phoneticPr fontId="5"/>
  </si>
  <si>
    <t>お前　なンで　戻ってきた？</t>
    <phoneticPr fontId="5"/>
  </si>
  <si>
    <t>おレはつヨいヤつ　好きだ！</t>
    <phoneticPr fontId="5"/>
  </si>
  <si>
    <t>状態異常耐性</t>
    <phoneticPr fontId="5"/>
  </si>
  <si>
    <t>[effect:fix_speed, target:myself, turn:1],[effect:tolerance, target:myself, turn:-1, tolerance_effect:all, count:-1, animation:enemy_tolerance]</t>
    <phoneticPr fontId="5"/>
  </si>
  <si>
    <t>フンババの1ゲージ目は
ジェリーのHP割合ダメージ攻撃と
フンババのウィルス攻撃で
常にダメージを受けてしまいます</t>
    <phoneticPr fontId="5"/>
  </si>
  <si>
    <t>最終防衛ライン</t>
    <phoneticPr fontId="5"/>
  </si>
  <si>
    <t>[effect:suicide, val:1, dead_type:suicide, target:myself, animation:enemy_suicide],[effect:enemy_message, val1:1.5, val2:1.8]</t>
    <phoneticPr fontId="5"/>
  </si>
  <si>
    <t>この先　お前　通さない</t>
    <phoneticPr fontId="5"/>
  </si>
  <si>
    <t>不浄の爪痕</t>
    <phoneticPr fontId="5"/>
  </si>
  <si>
    <t>魔獣の牙傷</t>
    <phoneticPr fontId="5"/>
  </si>
  <si>
    <t>天涯地角</t>
    <phoneticPr fontId="5"/>
  </si>
  <si>
    <t>2回連続攻撃
（種族ヒューマン・マシンに大ダメージ）</t>
    <phoneticPr fontId="5"/>
  </si>
  <si>
    <t>2回連続攻撃
（種族アニマル・ドラゴンに大ダメージ）</t>
    <phoneticPr fontId="5"/>
  </si>
  <si>
    <t>2回連続攻撃
（種族ゴッド・Unknownに大ダメージ）</t>
    <phoneticPr fontId="5"/>
  </si>
  <si>
    <t>4回連続攻撃（種族ヒューマン・マシン
ゴッド・サムライに大ダメージ）</t>
    <phoneticPr fontId="5"/>
  </si>
  <si>
    <t>4回連続攻撃（種族ヒューマン・マシン
ゴッド・サムライに大ダメージ）</t>
    <phoneticPr fontId="5"/>
  </si>
  <si>
    <t>4回連続攻撃（種族アニマル・ドラゴン
Unknown・デーモンに大ダメージ）</t>
    <phoneticPr fontId="5"/>
  </si>
  <si>
    <t>4回連続攻撃（種族アニマル・ドラゴン
Unknown・デーモンに大ダメージ）</t>
    <phoneticPr fontId="5"/>
  </si>
  <si>
    <t>お前とは　もう　たたかワない！
全ての効果を解除＋ジェリーに大ダメージ＋状態異常耐性</t>
    <phoneticPr fontId="5"/>
  </si>
  <si>
    <t>全てのパネルをハートパネルに変換＋攻撃頻度DOWN</t>
    <phoneticPr fontId="5"/>
  </si>
  <si>
    <t>[effect:force_change_block, new_block:block_heart, target:block_all, count:0, val:0, animation:change_block],[effect:fix_speed, target:myself, turn:2],[effect:enemy_message, val1:1, val2:2]</t>
    <phoneticPr fontId="5"/>
  </si>
  <si>
    <t>[effect:fix_speed, target:myself, turn:1],[effect:remove_enhancement, target:unit_all, target_effect:all, animation:frozen_wave],[effect:suicide, val:1, dead_type:suicide, target:enemy_unknown, animation:enemy_suicide],[effect:tolerance, target:myself, turn:-1, tolerance_effect:all, count:-1, animation:enemy_tolerance],[effect:enemy_message, val1:1, val2:3.5]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</si>
</sst>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52" fillId="33" borderId="7" xfId="0" applyFont="1" applyFill="1" applyBorder="1" applyAlignment="1">
      <alignment vertical="center"/>
    </xf>
    <xf numFmtId="0" fontId="52" fillId="34" borderId="7" xfId="0" applyFont="1" applyFill="1" applyBorder="1" applyAlignment="1">
      <alignment vertical="center"/>
    </xf>
    <xf numFmtId="0" fontId="52" fillId="36" borderId="7" xfId="0" applyFont="1" applyFill="1" applyBorder="1" applyAlignment="1">
      <alignment vertical="center"/>
    </xf>
    <xf numFmtId="0" fontId="52" fillId="35" borderId="7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38" fontId="16" fillId="0" borderId="7" xfId="628" applyFont="1" applyFill="1" applyBorder="1" applyAlignment="1">
      <alignment wrapText="1"/>
    </xf>
    <xf numFmtId="0" fontId="29" fillId="0" borderId="12" xfId="0" applyFont="1" applyFill="1" applyBorder="1" applyAlignment="1"/>
    <xf numFmtId="0" fontId="16" fillId="15" borderId="7" xfId="0" applyFont="1" applyFill="1" applyBorder="1" applyAlignment="1">
      <alignment vertical="center"/>
    </xf>
    <xf numFmtId="0" fontId="52" fillId="15" borderId="7" xfId="0" applyFont="1" applyFill="1" applyBorder="1" applyAlignment="1">
      <alignment vertical="center"/>
    </xf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0" fillId="0" borderId="23" xfId="0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3" borderId="29" xfId="0" applyFill="1" applyBorder="1"/>
    <xf numFmtId="0" fontId="6" fillId="5" borderId="29" xfId="0" applyFont="1" applyFill="1" applyBorder="1" applyAlignment="1">
      <alignment vertical="center"/>
    </xf>
    <xf numFmtId="0" fontId="0" fillId="0" borderId="30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292</v>
      </c>
      <c r="B2" s="57" t="s">
        <v>106</v>
      </c>
      <c r="C2" s="63">
        <v>30040</v>
      </c>
      <c r="D2" s="57" t="s">
        <v>107</v>
      </c>
      <c r="E2" s="56" t="str">
        <f>B2&amp;C2&amp;D2</f>
        <v>floors_30040.tmp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292</v>
      </c>
      <c r="B3" s="57" t="s">
        <v>109</v>
      </c>
      <c r="C3" s="63">
        <v>30040</v>
      </c>
      <c r="D3" s="57" t="s">
        <v>107</v>
      </c>
      <c r="E3" s="56" t="str">
        <f>B3&amp;C3&amp;D3</f>
        <v>enemy_habitats_30040.tmp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292</v>
      </c>
      <c r="B4" s="57" t="s">
        <v>111</v>
      </c>
      <c r="C4" s="63">
        <v>30040</v>
      </c>
      <c r="D4" s="57" t="s">
        <v>107</v>
      </c>
      <c r="E4" s="56" t="str">
        <f>B4&amp;C4&amp;D4</f>
        <v>enemy_habitat_S_30040.tmp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292</v>
      </c>
      <c r="B5" s="57" t="s">
        <v>113</v>
      </c>
      <c r="C5" s="63">
        <v>30040</v>
      </c>
      <c r="D5" s="57" t="s">
        <v>107</v>
      </c>
      <c r="E5" s="56" t="str">
        <f>B5&amp;C5&amp;D5</f>
        <v>enemy_skill_sets_30040.tmp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292</v>
      </c>
      <c r="B6" s="57" t="s">
        <v>115</v>
      </c>
      <c r="C6" s="63">
        <v>30040</v>
      </c>
      <c r="D6" s="57" t="s">
        <v>116</v>
      </c>
      <c r="E6" s="56" t="str">
        <f t="shared" ref="E6:E10" si="0">B6&amp;C6&amp;D6</f>
        <v>enemy_skills_tmp_30040.tmp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292</v>
      </c>
      <c r="B7" s="57" t="s">
        <v>117</v>
      </c>
      <c r="C7" s="63">
        <v>30040</v>
      </c>
      <c r="D7" s="57" t="s">
        <v>107</v>
      </c>
      <c r="E7" s="56" t="str">
        <f>B7&amp;C7&amp;D7</f>
        <v>enemy_skills_i18n_30040.tmp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292</v>
      </c>
      <c r="B8" s="57" t="s">
        <v>119</v>
      </c>
      <c r="C8" s="63">
        <v>30040</v>
      </c>
      <c r="D8" s="57" t="s">
        <v>120</v>
      </c>
      <c r="E8" s="56" t="str">
        <f t="shared" si="0"/>
        <v>enemy_skill_triggers_30040.tmp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292</v>
      </c>
      <c r="B9" s="68" t="s">
        <v>177</v>
      </c>
      <c r="C9" s="63">
        <v>30040</v>
      </c>
      <c r="D9" s="68" t="s">
        <v>171</v>
      </c>
      <c r="E9" s="69" t="str">
        <f t="shared" si="0"/>
        <v>stage_bug_bonuses_30040.tmp</v>
      </c>
      <c r="F9" s="68" t="s">
        <v>172</v>
      </c>
      <c r="G9" s="65" t="s">
        <v>150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309</v>
      </c>
      <c r="B10" s="68" t="s">
        <v>201</v>
      </c>
      <c r="C10" s="63">
        <v>30040</v>
      </c>
      <c r="D10" s="68" t="s">
        <v>180</v>
      </c>
      <c r="E10" s="69" t="str">
        <f t="shared" si="0"/>
        <v>stage_hints_data_c_30040.tmp</v>
      </c>
      <c r="F10" s="68" t="s">
        <v>209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309</v>
      </c>
      <c r="B11" s="68" t="s">
        <v>202</v>
      </c>
      <c r="C11" s="63">
        <v>30040</v>
      </c>
      <c r="D11" s="68" t="s">
        <v>171</v>
      </c>
      <c r="E11" s="69" t="str">
        <f t="shared" ref="E11:E13" si="1">B11&amp;C11&amp;D11</f>
        <v>stage_hints_data_f_30040.tmp</v>
      </c>
      <c r="F11" s="68" t="s">
        <v>211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309</v>
      </c>
      <c r="B12" s="68" t="s">
        <v>203</v>
      </c>
      <c r="C12" s="63">
        <v>30040</v>
      </c>
      <c r="D12" s="68" t="s">
        <v>171</v>
      </c>
      <c r="E12" s="69" t="str">
        <f t="shared" si="1"/>
        <v>stage_hints_i18n_30040.tmp</v>
      </c>
      <c r="F12" s="68" t="s">
        <v>212</v>
      </c>
      <c r="G12" s="74" t="s">
        <v>204</v>
      </c>
      <c r="H12" s="95" t="s">
        <v>205</v>
      </c>
      <c r="I12" s="73" t="s">
        <v>206</v>
      </c>
      <c r="J12" s="100" t="s">
        <v>207</v>
      </c>
      <c r="K12" s="67" t="s">
        <v>208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8" t="s">
        <v>248</v>
      </c>
      <c r="B13" s="68" t="s">
        <v>247</v>
      </c>
      <c r="C13" s="63">
        <v>30040</v>
      </c>
      <c r="D13" s="68" t="s">
        <v>228</v>
      </c>
      <c r="E13" s="69" t="str">
        <f t="shared" si="1"/>
        <v>stage_bonuses_30040.tmp</v>
      </c>
      <c r="F13" s="68" t="s">
        <v>227</v>
      </c>
      <c r="G13" s="73" t="s">
        <v>229</v>
      </c>
      <c r="H13" s="73" t="s">
        <v>230</v>
      </c>
      <c r="I13" s="73" t="s">
        <v>231</v>
      </c>
      <c r="J13" s="73" t="s">
        <v>232</v>
      </c>
      <c r="K13" s="73" t="s">
        <v>233</v>
      </c>
      <c r="L13" s="73" t="s">
        <v>234</v>
      </c>
      <c r="M13" s="73" t="s">
        <v>235</v>
      </c>
      <c r="N13" s="73" t="s">
        <v>236</v>
      </c>
      <c r="O13" s="73" t="s">
        <v>237</v>
      </c>
      <c r="P13" s="73" t="s">
        <v>238</v>
      </c>
      <c r="Q13" s="73" t="s">
        <v>239</v>
      </c>
      <c r="R13" s="73" t="s">
        <v>240</v>
      </c>
      <c r="S13" s="73" t="s">
        <v>241</v>
      </c>
      <c r="T13" s="73" t="s">
        <v>242</v>
      </c>
      <c r="U13" s="73" t="s">
        <v>243</v>
      </c>
      <c r="V13" s="73" t="s">
        <v>244</v>
      </c>
      <c r="W13" s="73" t="s">
        <v>245</v>
      </c>
      <c r="X13" s="73" t="s">
        <v>246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L6" sqref="L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30040_1-1</v>
      </c>
      <c r="B2" s="16" t="str">
        <f>IF(COUNTIF(enemy_habitats!$H:$H,A2),"OK","NG")</f>
        <v>OK</v>
      </c>
      <c r="C2" s="7">
        <v>30040</v>
      </c>
      <c r="D2" s="11" t="str">
        <f ca="1">VLOOKUP($C2,OFFSET([2]quests!$A$1,0,0,COUNTA([2]quests!$A:$A),MATCH(D$1,[2]quests!$1:$1,0)-MATCH($C$1,[2]quests!$1:$1,0)+1),MATCH(D$1,[2]quests!$1:$1,0)-MATCH($C$1,[2]quests!$1:$1,0)+1,FALSE)</f>
        <v>闇ヨリ出ル魔獣</v>
      </c>
      <c r="E2" s="18" t="str">
        <f ca="1">VLOOKUP($C2,OFFSET([2]quests!$A$1,0,0,COUNTA([2]quests!$A:$A),MATCH(E$1,[2]quests!$1:$1,0)-MATCH($C$1,[2]quests!$1:$1,0)+1),MATCH(E$1,[2]quests!$1:$1,0)-MATCH($C$1,[2]quests!$1:$1,0)+1,FALSE)</f>
        <v>メソポタミア文明シリーズ超級</v>
      </c>
      <c r="F2" s="21">
        <v>1</v>
      </c>
      <c r="G2" s="23" t="str">
        <f t="shared" ref="G2:G10" si="1">C2&amp;"_"&amp;F2</f>
        <v>30040_1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【中級】闇ヨリ出ル魔獣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30040_1-2</v>
      </c>
      <c r="B3" s="16" t="str">
        <f>IF(COUNTIF(enemy_habitats!$H:$H,A3),"OK","NG")</f>
        <v>OK</v>
      </c>
      <c r="C3" s="7">
        <v>30040</v>
      </c>
      <c r="D3" s="11" t="str">
        <f ca="1">VLOOKUP($C3,OFFSET([2]quests!$A$1,0,0,COUNTA([2]quests!$A:$A),MATCH(D$1,[2]quests!$1:$1,0)-MATCH($C$1,[2]quests!$1:$1,0)+1),MATCH(D$1,[2]quests!$1:$1,0)-MATCH($C$1,[2]quests!$1:$1,0)+1,FALSE)</f>
        <v>闇ヨリ出ル魔獣</v>
      </c>
      <c r="E3" s="18" t="str">
        <f ca="1">VLOOKUP($C3,OFFSET([2]quests!$A$1,0,0,COUNTA([2]quests!$A:$A),MATCH(E$1,[2]quests!$1:$1,0)-MATCH($C$1,[2]quests!$1:$1,0)+1),MATCH(E$1,[2]quests!$1:$1,0)-MATCH($C$1,[2]quests!$1:$1,0)+1,FALSE)</f>
        <v>メソポタミア文明シリーズ超級</v>
      </c>
      <c r="F3" s="21">
        <v>1</v>
      </c>
      <c r="G3" s="23" t="str">
        <f t="shared" si="1"/>
        <v>30040_1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【中級】闇ヨリ出ル魔獣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 t="shared" si="0"/>
        <v>30040_1-3</v>
      </c>
      <c r="B4" s="16" t="str">
        <f>IF(COUNTIF(enemy_habitats!$H:$H,A4),"OK","NG")</f>
        <v>OK</v>
      </c>
      <c r="C4" s="7">
        <v>30040</v>
      </c>
      <c r="D4" s="11" t="str">
        <f ca="1">VLOOKUP($C4,OFFSET([2]quests!$A$1,0,0,COUNTA([2]quests!$A:$A),MATCH(D$1,[2]quests!$1:$1,0)-MATCH($C$1,[2]quests!$1:$1,0)+1),MATCH(D$1,[2]quests!$1:$1,0)-MATCH($C$1,[2]quests!$1:$1,0)+1,FALSE)</f>
        <v>闇ヨリ出ル魔獣</v>
      </c>
      <c r="E4" s="18" t="str">
        <f ca="1">VLOOKUP($C4,OFFSET([2]quests!$A$1,0,0,COUNTA([2]quests!$A:$A),MATCH(E$1,[2]quests!$1:$1,0)-MATCH($C$1,[2]quests!$1:$1,0)+1),MATCH(E$1,[2]quests!$1:$1,0)-MATCH($C$1,[2]quests!$1:$1,0)+1,FALSE)</f>
        <v>メソポタミア文明シリーズ超級</v>
      </c>
      <c r="F4" s="21">
        <v>1</v>
      </c>
      <c r="G4" s="23" t="str">
        <f t="shared" si="1"/>
        <v>30040_1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【中級】闇ヨリ出ル魔獣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30040_2-1</v>
      </c>
      <c r="B5" s="16" t="str">
        <f>IF(COUNTIF(enemy_habitats!$H:$H,A5),"OK","NG")</f>
        <v>OK</v>
      </c>
      <c r="C5" s="7">
        <v>30040</v>
      </c>
      <c r="D5" s="11" t="str">
        <f ca="1">VLOOKUP($C5,OFFSET([2]quests!$A$1,0,0,COUNTA([2]quests!$A:$A),MATCH(D$1,[2]quests!$1:$1,0)-MATCH($C$1,[2]quests!$1:$1,0)+1),MATCH(D$1,[2]quests!$1:$1,0)-MATCH($C$1,[2]quests!$1:$1,0)+1,FALSE)</f>
        <v>闇ヨリ出ル魔獣</v>
      </c>
      <c r="E5" s="18" t="str">
        <f ca="1">VLOOKUP($C5,OFFSET([2]quests!$A$1,0,0,COUNTA([2]quests!$A:$A),MATCH(E$1,[2]quests!$1:$1,0)-MATCH($C$1,[2]quests!$1:$1,0)+1),MATCH(E$1,[2]quests!$1:$1,0)-MATCH($C$1,[2]quests!$1:$1,0)+1,FALSE)</f>
        <v>メソポタミア文明シリーズ超級</v>
      </c>
      <c r="F5" s="21">
        <v>2</v>
      </c>
      <c r="G5" s="23" t="str">
        <f t="shared" si="1"/>
        <v>30040_2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【上級】闇ヨリ出ル魔獣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30040_2-2</v>
      </c>
      <c r="B6" s="16" t="str">
        <f>IF(COUNTIF(enemy_habitats!$H:$H,A6),"OK","NG")</f>
        <v>OK</v>
      </c>
      <c r="C6" s="7">
        <v>30040</v>
      </c>
      <c r="D6" s="11" t="str">
        <f ca="1">VLOOKUP($C6,OFFSET([2]quests!$A$1,0,0,COUNTA([2]quests!$A:$A),MATCH(D$1,[2]quests!$1:$1,0)-MATCH($C$1,[2]quests!$1:$1,0)+1),MATCH(D$1,[2]quests!$1:$1,0)-MATCH($C$1,[2]quests!$1:$1,0)+1,FALSE)</f>
        <v>闇ヨリ出ル魔獣</v>
      </c>
      <c r="E6" s="18" t="str">
        <f ca="1">VLOOKUP($C6,OFFSET([2]quests!$A$1,0,0,COUNTA([2]quests!$A:$A),MATCH(E$1,[2]quests!$1:$1,0)-MATCH($C$1,[2]quests!$1:$1,0)+1),MATCH(E$1,[2]quests!$1:$1,0)-MATCH($C$1,[2]quests!$1:$1,0)+1,FALSE)</f>
        <v>メソポタミア文明シリーズ超級</v>
      </c>
      <c r="F6" s="21">
        <v>2</v>
      </c>
      <c r="G6" s="23" t="str">
        <f t="shared" si="1"/>
        <v>30040_2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【上級】闇ヨリ出ル魔獣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30040_2-3</v>
      </c>
      <c r="B7" s="16" t="str">
        <f>IF(COUNTIF(enemy_habitats!$H:$H,A7),"OK","NG")</f>
        <v>OK</v>
      </c>
      <c r="C7" s="7">
        <v>30040</v>
      </c>
      <c r="D7" s="11" t="str">
        <f ca="1">VLOOKUP($C7,OFFSET([2]quests!$A$1,0,0,COUNTA([2]quests!$A:$A),MATCH(D$1,[2]quests!$1:$1,0)-MATCH($C$1,[2]quests!$1:$1,0)+1),MATCH(D$1,[2]quests!$1:$1,0)-MATCH($C$1,[2]quests!$1:$1,0)+1,FALSE)</f>
        <v>闇ヨリ出ル魔獣</v>
      </c>
      <c r="E7" s="18" t="str">
        <f ca="1">VLOOKUP($C7,OFFSET([2]quests!$A$1,0,0,COUNTA([2]quests!$A:$A),MATCH(E$1,[2]quests!$1:$1,0)-MATCH($C$1,[2]quests!$1:$1,0)+1),MATCH(E$1,[2]quests!$1:$1,0)-MATCH($C$1,[2]quests!$1:$1,0)+1,FALSE)</f>
        <v>メソポタミア文明シリーズ超級</v>
      </c>
      <c r="F7" s="21">
        <v>2</v>
      </c>
      <c r="G7" s="23" t="str">
        <f t="shared" si="1"/>
        <v>30040_2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【上級】闇ヨリ出ル魔獣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30040_3-1</v>
      </c>
      <c r="B8" s="16" t="str">
        <f>IF(COUNTIF(enemy_habitats!$H:$H,A8),"OK","NG")</f>
        <v>OK</v>
      </c>
      <c r="C8" s="7">
        <v>30040</v>
      </c>
      <c r="D8" s="11" t="str">
        <f ca="1">VLOOKUP($C8,OFFSET([2]quests!$A$1,0,0,COUNTA([2]quests!$A:$A),MATCH(D$1,[2]quests!$1:$1,0)-MATCH($C$1,[2]quests!$1:$1,0)+1),MATCH(D$1,[2]quests!$1:$1,0)-MATCH($C$1,[2]quests!$1:$1,0)+1,FALSE)</f>
        <v>闇ヨリ出ル魔獣</v>
      </c>
      <c r="E8" s="18" t="str">
        <f ca="1">VLOOKUP($C8,OFFSET([2]quests!$A$1,0,0,COUNTA([2]quests!$A:$A),MATCH(E$1,[2]quests!$1:$1,0)-MATCH($C$1,[2]quests!$1:$1,0)+1),MATCH(E$1,[2]quests!$1:$1,0)-MATCH($C$1,[2]quests!$1:$1,0)+1,FALSE)</f>
        <v>メソポタミア文明シリーズ超級</v>
      </c>
      <c r="F8" s="21">
        <v>3</v>
      </c>
      <c r="G8" s="23" t="str">
        <f t="shared" si="1"/>
        <v>30040_3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【超級】闇ヨリ出ル魔獣</v>
      </c>
      <c r="I8" s="21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30040_3-2</v>
      </c>
      <c r="B9" s="16" t="str">
        <f>IF(COUNTIF(enemy_habitats!$H:$H,A9),"OK","NG")</f>
        <v>OK</v>
      </c>
      <c r="C9" s="7">
        <v>30040</v>
      </c>
      <c r="D9" s="11" t="str">
        <f ca="1">VLOOKUP($C9,OFFSET([2]quests!$A$1,0,0,COUNTA([2]quests!$A:$A),MATCH(D$1,[2]quests!$1:$1,0)-MATCH($C$1,[2]quests!$1:$1,0)+1),MATCH(D$1,[2]quests!$1:$1,0)-MATCH($C$1,[2]quests!$1:$1,0)+1,FALSE)</f>
        <v>闇ヨリ出ル魔獣</v>
      </c>
      <c r="E9" s="18" t="str">
        <f ca="1">VLOOKUP($C9,OFFSET([2]quests!$A$1,0,0,COUNTA([2]quests!$A:$A),MATCH(E$1,[2]quests!$1:$1,0)-MATCH($C$1,[2]quests!$1:$1,0)+1),MATCH(E$1,[2]quests!$1:$1,0)-MATCH($C$1,[2]quests!$1:$1,0)+1,FALSE)</f>
        <v>メソポタミア文明シリーズ超級</v>
      </c>
      <c r="F9" s="21">
        <v>3</v>
      </c>
      <c r="G9" s="23" t="str">
        <f t="shared" si="1"/>
        <v>30040_3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【超級】闇ヨリ出ル魔獣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30040_3-3</v>
      </c>
      <c r="B10" s="16" t="str">
        <f>IF(COUNTIF(enemy_habitats!$H:$H,A10),"OK","NG")</f>
        <v>OK</v>
      </c>
      <c r="C10" s="7">
        <v>30040</v>
      </c>
      <c r="D10" s="11" t="str">
        <f ca="1">VLOOKUP($C10,OFFSET([2]quests!$A$1,0,0,COUNTA([2]quests!$A:$A),MATCH(D$1,[2]quests!$1:$1,0)-MATCH($C$1,[2]quests!$1:$1,0)+1),MATCH(D$1,[2]quests!$1:$1,0)-MATCH($C$1,[2]quests!$1:$1,0)+1,FALSE)</f>
        <v>闇ヨリ出ル魔獣</v>
      </c>
      <c r="E10" s="18" t="str">
        <f ca="1">VLOOKUP($C10,OFFSET([2]quests!$A$1,0,0,COUNTA([2]quests!$A:$A),MATCH(E$1,[2]quests!$1:$1,0)-MATCH($C$1,[2]quests!$1:$1,0)+1),MATCH(E$1,[2]quests!$1:$1,0)-MATCH($C$1,[2]quests!$1:$1,0)+1,FALSE)</f>
        <v>メソポタミア文明シリーズ超級</v>
      </c>
      <c r="F10" s="21">
        <v>3</v>
      </c>
      <c r="G10" s="23" t="str">
        <f t="shared" si="1"/>
        <v>30040_3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【超級】闇ヨリ出ル魔獣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J12" sqref="AJ1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249</v>
      </c>
      <c r="U1" s="26" t="s">
        <v>50</v>
      </c>
      <c r="V1" s="101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1" si="0">B2&amp;"_"&amp;C2&amp;"-"&amp;G2&amp;"/"&amp;L2&amp;"&lt;lv"&amp;R2&amp;"&gt;s"&amp;AC2</f>
        <v>30040_1-1/131&lt;lv30&gt;s2</v>
      </c>
      <c r="B2" s="22">
        <v>30040</v>
      </c>
      <c r="C2" s="117">
        <v>1</v>
      </c>
      <c r="D2" s="2" t="str">
        <f t="shared" ref="D2:D11" si="1">B2&amp;"_"&amp;C2</f>
        <v>30040_1</v>
      </c>
      <c r="E2" s="4" t="str">
        <f ca="1">VLOOKUP($B2,OFFSET([2]quests!$A$1,0,0,COUNTA([2]quests!$A:$A),MATCH(E$1,[2]quests!$1:$1,0)-MATCH($B$1,[2]quests!$1:$1,0)+1),MATCH(E$1,[2]quests!$1:$1,0)-MATCH($B$1,[2]quests!$1:$1,0)+1,FALSE)</f>
        <v>闇ヨリ出ル魔獣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【中級】闇ヨリ出ル魔獣</v>
      </c>
      <c r="G2" s="21">
        <v>1</v>
      </c>
      <c r="H2" s="15" t="str">
        <f t="shared" ref="H2:H11" si="2">B2&amp;"_"&amp;C2&amp;"-"&amp;G2</f>
        <v>30040_1-1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20">
        <v>131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月下の人狼 ローレンス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30</v>
      </c>
      <c r="S2" s="25">
        <v>0.6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24570</v>
      </c>
      <c r="U2" s="25">
        <v>0.7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3206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ローレンスが襲いかかってきた！</v>
      </c>
      <c r="Y2" s="62">
        <v>30040001</v>
      </c>
      <c r="Z2" s="6">
        <v>1</v>
      </c>
      <c r="AA2" s="6">
        <v>100</v>
      </c>
      <c r="AB2" s="6">
        <v>0</v>
      </c>
      <c r="AC2" s="114">
        <v>2</v>
      </c>
      <c r="AD2" s="24">
        <f t="shared" ref="AD2:AD11" si="3">L2</f>
        <v>131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月下の人狼 ローレンス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4">
        <f t="shared" ref="AI2:AI11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30040_1-2/66&lt;lv30&gt;s1</v>
      </c>
      <c r="B3" s="22">
        <v>30040</v>
      </c>
      <c r="C3" s="117">
        <v>1</v>
      </c>
      <c r="D3" s="2" t="str">
        <f t="shared" si="1"/>
        <v>30040_1</v>
      </c>
      <c r="E3" s="4" t="str">
        <f ca="1">VLOOKUP($B3,OFFSET([2]quests!$A$1,0,0,COUNTA([2]quests!$A:$A),MATCH(E$1,[2]quests!$1:$1,0)-MATCH($B$1,[2]quests!$1:$1,0)+1),MATCH(E$1,[2]quests!$1:$1,0)-MATCH($B$1,[2]quests!$1:$1,0)+1,FALSE)</f>
        <v>闇ヨリ出ル魔獣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【中級】闇ヨリ出ル魔獣</v>
      </c>
      <c r="G3" s="21">
        <v>2</v>
      </c>
      <c r="H3" s="15" t="str">
        <f t="shared" si="2"/>
        <v>30040_1-2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2</v>
      </c>
      <c r="L3" s="20">
        <v>66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探索者 ファイアフォックス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30</v>
      </c>
      <c r="S3" s="25">
        <v>1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20790</v>
      </c>
      <c r="U3" s="25">
        <v>0.6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2842.7999999999997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3" s="62">
        <v>30040003</v>
      </c>
      <c r="Z3" s="6">
        <v>1</v>
      </c>
      <c r="AA3" s="6">
        <v>100</v>
      </c>
      <c r="AB3" s="6">
        <v>0</v>
      </c>
      <c r="AC3" s="114">
        <v>1</v>
      </c>
      <c r="AD3" s="24">
        <f t="shared" si="3"/>
        <v>66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探索者 ファイアフォックス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30040_1-2/69&lt;lv30&gt;s2</v>
      </c>
      <c r="B4" s="22">
        <v>30040</v>
      </c>
      <c r="C4" s="117">
        <v>1</v>
      </c>
      <c r="D4" s="2" t="str">
        <f t="shared" si="1"/>
        <v>30040_1</v>
      </c>
      <c r="E4" s="4" t="str">
        <f ca="1">VLOOKUP($B4,OFFSET([2]quests!$A$1,0,0,COUNTA([2]quests!$A:$A),MATCH(E$1,[2]quests!$1:$1,0)-MATCH($B$1,[2]quests!$1:$1,0)+1),MATCH(E$1,[2]quests!$1:$1,0)-MATCH($B$1,[2]quests!$1:$1,0)+1,FALSE)</f>
        <v>闇ヨリ出ル魔獣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【中級】闇ヨリ出ル魔獣</v>
      </c>
      <c r="G4" s="21">
        <v>2</v>
      </c>
      <c r="H4" s="15" t="str">
        <f t="shared" si="2"/>
        <v>30040_1-2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>
        <v>3</v>
      </c>
      <c r="L4" s="20">
        <v>69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思想家 ストール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30</v>
      </c>
      <c r="S4" s="25">
        <v>0.6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18448.8</v>
      </c>
      <c r="U4" s="25">
        <v>0.28000000000000003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814.5200000000001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12ターンハートパネルドロップ率UP</v>
      </c>
      <c r="Y4" s="62">
        <v>30040005</v>
      </c>
      <c r="Z4" s="6">
        <v>1</v>
      </c>
      <c r="AA4" s="6">
        <v>100</v>
      </c>
      <c r="AB4" s="6">
        <v>0</v>
      </c>
      <c r="AC4" s="114">
        <v>2</v>
      </c>
      <c r="AD4" s="24">
        <f t="shared" si="3"/>
        <v>69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思想家 ストール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30040_1-3/1061&lt;lv30&gt;s1</v>
      </c>
      <c r="B5" s="22">
        <v>30040</v>
      </c>
      <c r="C5" s="117">
        <v>1</v>
      </c>
      <c r="D5" s="2" t="str">
        <f t="shared" si="1"/>
        <v>30040_1</v>
      </c>
      <c r="E5" s="4" t="str">
        <f ca="1">VLOOKUP($B5,OFFSET([2]quests!$A$1,0,0,COUNTA([2]quests!$A:$A),MATCH(E$1,[2]quests!$1:$1,0)-MATCH($B$1,[2]quests!$1:$1,0)+1),MATCH(E$1,[2]quests!$1:$1,0)-MATCH($B$1,[2]quests!$1:$1,0)+1,FALSE)</f>
        <v>闇ヨリ出ル魔獣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【中級】闇ヨリ出ル魔獣</v>
      </c>
      <c r="G5" s="21">
        <v>3</v>
      </c>
      <c r="H5" s="15" t="str">
        <f t="shared" si="2"/>
        <v>30040_1-3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>
        <v>4</v>
      </c>
      <c r="L5" s="20">
        <v>1061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フンババ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30</v>
      </c>
      <c r="S5" s="25">
        <v>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58190</v>
      </c>
      <c r="U5" s="25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3016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ぎルがめっしュ　なンでここにいル？</v>
      </c>
      <c r="Y5" s="62">
        <v>30040012</v>
      </c>
      <c r="Z5" s="6">
        <v>1</v>
      </c>
      <c r="AA5" s="6">
        <v>100</v>
      </c>
      <c r="AB5" s="6">
        <v>1</v>
      </c>
      <c r="AC5" s="114">
        <v>1</v>
      </c>
      <c r="AD5" s="24">
        <f t="shared" si="3"/>
        <v>1061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フンババ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30040_2-1/562&lt;lv40&gt;s2</v>
      </c>
      <c r="B6" s="22">
        <v>30040</v>
      </c>
      <c r="C6" s="116">
        <v>2</v>
      </c>
      <c r="D6" s="2" t="str">
        <f t="shared" si="1"/>
        <v>30040_2</v>
      </c>
      <c r="E6" s="4" t="str">
        <f ca="1">VLOOKUP($B6,OFFSET([2]quests!$A$1,0,0,COUNTA([2]quests!$A:$A),MATCH(E$1,[2]quests!$1:$1,0)-MATCH($B$1,[2]quests!$1:$1,0)+1),MATCH(E$1,[2]quests!$1:$1,0)-MATCH($B$1,[2]quests!$1:$1,0)+1,FALSE)</f>
        <v>闇ヨリ出ル魔獣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【上級】闇ヨリ出ル魔獣</v>
      </c>
      <c r="G6" s="21">
        <v>1</v>
      </c>
      <c r="H6" s="15" t="str">
        <f t="shared" si="2"/>
        <v>30040_2-1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562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月夜砕く蒼狂狼 ローレンス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40</v>
      </c>
      <c r="S6" s="25">
        <v>0.6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27390</v>
      </c>
      <c r="U6" s="25">
        <v>0.7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3898.2999999999997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ローレンスが襲いかかってきた！</v>
      </c>
      <c r="Y6" s="62">
        <v>30040001</v>
      </c>
      <c r="Z6" s="6">
        <v>1</v>
      </c>
      <c r="AA6" s="6">
        <v>100</v>
      </c>
      <c r="AB6" s="6">
        <v>0</v>
      </c>
      <c r="AC6" s="114">
        <v>2</v>
      </c>
      <c r="AD6" s="24">
        <f t="shared" si="3"/>
        <v>562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月夜砕く蒼狂狼 ローレンス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30040_2-2/66&lt;lv40&gt;s1</v>
      </c>
      <c r="B7" s="22">
        <v>30040</v>
      </c>
      <c r="C7" s="116">
        <v>2</v>
      </c>
      <c r="D7" s="2" t="str">
        <f t="shared" si="1"/>
        <v>30040_2</v>
      </c>
      <c r="E7" s="4" t="str">
        <f ca="1">VLOOKUP($B7,OFFSET([2]quests!$A$1,0,0,COUNTA([2]quests!$A:$A),MATCH(E$1,[2]quests!$1:$1,0)-MATCH($B$1,[2]quests!$1:$1,0)+1),MATCH(E$1,[2]quests!$1:$1,0)-MATCH($B$1,[2]quests!$1:$1,0)+1,FALSE)</f>
        <v>闇ヨリ出ル魔獣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【上級】闇ヨリ出ル魔獣</v>
      </c>
      <c r="G7" s="21">
        <v>2</v>
      </c>
      <c r="H7" s="15" t="str">
        <f t="shared" si="2"/>
        <v>30040_2-2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66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探索者 ファイアフォックス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40</v>
      </c>
      <c r="S7" s="25">
        <v>1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27390</v>
      </c>
      <c r="U7" s="25">
        <v>0.6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3745.2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7" s="62">
        <v>30040003</v>
      </c>
      <c r="Z7" s="6">
        <v>1</v>
      </c>
      <c r="AA7" s="6">
        <v>100</v>
      </c>
      <c r="AB7" s="6">
        <v>0</v>
      </c>
      <c r="AC7" s="114">
        <v>1</v>
      </c>
      <c r="AD7" s="24">
        <f t="shared" si="3"/>
        <v>66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探索者 ファイアフォックス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30040_2-2/69&lt;lv40&gt;s2</v>
      </c>
      <c r="B8" s="22">
        <v>30040</v>
      </c>
      <c r="C8" s="116">
        <v>2</v>
      </c>
      <c r="D8" s="2" t="str">
        <f t="shared" si="1"/>
        <v>30040_2</v>
      </c>
      <c r="E8" s="4" t="str">
        <f ca="1">VLOOKUP($B8,OFFSET([2]quests!$A$1,0,0,COUNTA([2]quests!$A:$A),MATCH(E$1,[2]quests!$1:$1,0)-MATCH($B$1,[2]quests!$1:$1,0)+1),MATCH(E$1,[2]quests!$1:$1,0)-MATCH($B$1,[2]quests!$1:$1,0)+1,FALSE)</f>
        <v>闇ヨリ出ル魔獣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【上級】闇ヨリ出ル魔獣</v>
      </c>
      <c r="G8" s="21">
        <v>2</v>
      </c>
      <c r="H8" s="15" t="str">
        <f t="shared" si="2"/>
        <v>30040_2-2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20">
        <v>69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思想家 ストール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40</v>
      </c>
      <c r="S8" s="25">
        <v>0.6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24306</v>
      </c>
      <c r="U8" s="25">
        <v>0.65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2491.4500000000003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12ターンハートパネルドロップ率UP</v>
      </c>
      <c r="Y8" s="62">
        <v>30040005</v>
      </c>
      <c r="Z8" s="6">
        <v>1</v>
      </c>
      <c r="AA8" s="6">
        <v>100</v>
      </c>
      <c r="AB8" s="6">
        <v>0</v>
      </c>
      <c r="AC8" s="114">
        <v>2</v>
      </c>
      <c r="AD8" s="24">
        <f t="shared" si="3"/>
        <v>69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思想家 ストール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30040_2-3/1&lt;lv40&gt;s3</v>
      </c>
      <c r="B9" s="22">
        <v>30040</v>
      </c>
      <c r="C9" s="116">
        <v>2</v>
      </c>
      <c r="D9" s="2" t="str">
        <f t="shared" si="1"/>
        <v>30040_2</v>
      </c>
      <c r="E9" s="4" t="str">
        <f ca="1">VLOOKUP($B9,OFFSET([2]quests!$A$1,0,0,COUNTA([2]quests!$A:$A),MATCH(E$1,[2]quests!$1:$1,0)-MATCH($B$1,[2]quests!$1:$1,0)+1),MATCH(E$1,[2]quests!$1:$1,0)-MATCH($B$1,[2]quests!$1:$1,0)+1,FALSE)</f>
        <v>闇ヨリ出ル魔獣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【上級】闇ヨリ出ル魔獣</v>
      </c>
      <c r="G9" s="21">
        <v>3</v>
      </c>
      <c r="H9" s="15" t="str">
        <f t="shared" si="2"/>
        <v>30040_2-3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280</v>
      </c>
      <c r="L9" s="20">
        <v>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ジェリー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40</v>
      </c>
      <c r="S9" s="25">
        <v>1.6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13280</v>
      </c>
      <c r="U9" s="25">
        <v>1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3040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自身の防御力超大UP</v>
      </c>
      <c r="Y9" s="62">
        <v>30040007</v>
      </c>
      <c r="Z9" s="6">
        <v>1</v>
      </c>
      <c r="AA9" s="6">
        <v>100</v>
      </c>
      <c r="AB9" s="6">
        <v>0</v>
      </c>
      <c r="AC9" s="114">
        <v>3</v>
      </c>
      <c r="AD9" s="24">
        <f t="shared" si="3"/>
        <v>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Drop1T</v>
      </c>
      <c r="AH9" s="7">
        <v>1</v>
      </c>
      <c r="AI9" s="24">
        <f t="shared" ca="1" si="4"/>
        <v>1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30040_2-3/1&lt;lv39&gt;s3</v>
      </c>
      <c r="B10" s="22">
        <v>30040</v>
      </c>
      <c r="C10" s="116">
        <v>2</v>
      </c>
      <c r="D10" s="2" t="str">
        <f t="shared" si="1"/>
        <v>30040_2</v>
      </c>
      <c r="E10" s="4" t="str">
        <f ca="1">VLOOKUP($B10,OFFSET([2]quests!$A$1,0,0,COUNTA([2]quests!$A:$A),MATCH(E$1,[2]quests!$1:$1,0)-MATCH($B$1,[2]quests!$1:$1,0)+1),MATCH(E$1,[2]quests!$1:$1,0)-MATCH($B$1,[2]quests!$1:$1,0)+1,FALSE)</f>
        <v>闇ヨリ出ル魔獣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【上級】闇ヨリ出ル魔獣</v>
      </c>
      <c r="G10" s="21">
        <v>3</v>
      </c>
      <c r="H10" s="15" t="str">
        <f t="shared" si="2"/>
        <v>30040_2-3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280</v>
      </c>
      <c r="L10" s="20">
        <v>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ジェリー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39</v>
      </c>
      <c r="S10" s="25">
        <v>1.6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12960</v>
      </c>
      <c r="U10" s="25">
        <v>1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2967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自身の防御力超大UP</v>
      </c>
      <c r="Y10" s="62">
        <v>30040008</v>
      </c>
      <c r="Z10" s="6">
        <v>1</v>
      </c>
      <c r="AA10" s="6">
        <v>100</v>
      </c>
      <c r="AB10" s="6">
        <v>0</v>
      </c>
      <c r="AC10" s="114">
        <v>3</v>
      </c>
      <c r="AD10" s="24">
        <f t="shared" si="3"/>
        <v>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" s="7">
        <v>1</v>
      </c>
      <c r="AI10" s="24">
        <f t="shared" ca="1" si="4"/>
        <v>1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30040_2-3/1061&lt;lv40&gt;s1</v>
      </c>
      <c r="B11" s="22">
        <v>30040</v>
      </c>
      <c r="C11" s="116">
        <v>2</v>
      </c>
      <c r="D11" s="2" t="str">
        <f t="shared" si="1"/>
        <v>30040_2</v>
      </c>
      <c r="E11" s="4" t="str">
        <f ca="1">VLOOKUP($B11,OFFSET([2]quests!$A$1,0,0,COUNTA([2]quests!$A:$A),MATCH(E$1,[2]quests!$1:$1,0)-MATCH($B$1,[2]quests!$1:$1,0)+1),MATCH(E$1,[2]quests!$1:$1,0)-MATCH($B$1,[2]quests!$1:$1,0)+1,FALSE)</f>
        <v>闇ヨリ出ル魔獣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【上級】闇ヨリ出ル魔獣</v>
      </c>
      <c r="G11" s="21">
        <v>3</v>
      </c>
      <c r="H11" s="15" t="str">
        <f t="shared" si="2"/>
        <v>30040_2-3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4</v>
      </c>
      <c r="L11" s="20">
        <v>1061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フンババ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40</v>
      </c>
      <c r="S11" s="25">
        <v>1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76663</v>
      </c>
      <c r="U11" s="25">
        <v>1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3974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ぎルがめっしュ　なンでここにいル？</v>
      </c>
      <c r="Y11" s="62">
        <v>30040012</v>
      </c>
      <c r="Z11" s="6">
        <v>1</v>
      </c>
      <c r="AA11" s="6">
        <v>100</v>
      </c>
      <c r="AB11" s="6">
        <v>1</v>
      </c>
      <c r="AC11" s="114">
        <v>1</v>
      </c>
      <c r="AD11" s="24">
        <f t="shared" si="3"/>
        <v>1061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フンババ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4</v>
      </c>
      <c r="AJ11" s="8">
        <v>50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ref="A12:A17" si="5">B12&amp;"_"&amp;C12&amp;"-"&amp;G12&amp;"/"&amp;L12&amp;"&lt;lv"&amp;R12&amp;"&gt;s"&amp;AC12</f>
        <v>30040_3-1/562&lt;lv60&gt;s2</v>
      </c>
      <c r="B12" s="22">
        <v>30040</v>
      </c>
      <c r="C12" s="115">
        <v>3</v>
      </c>
      <c r="D12" s="2" t="str">
        <f t="shared" ref="D12:D17" si="6">B12&amp;"_"&amp;C12</f>
        <v>30040_3</v>
      </c>
      <c r="E12" s="4" t="str">
        <f ca="1">VLOOKUP($B12,OFFSET([2]quests!$A$1,0,0,COUNTA([2]quests!$A:$A),MATCH(E$1,[2]quests!$1:$1,0)-MATCH($B$1,[2]quests!$1:$1,0)+1),MATCH(E$1,[2]quests!$1:$1,0)-MATCH($B$1,[2]quests!$1:$1,0)+1,FALSE)</f>
        <v>闇ヨリ出ル魔獣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【超級】闇ヨリ出ル魔獣</v>
      </c>
      <c r="G12" s="21">
        <v>1</v>
      </c>
      <c r="H12" s="15" t="str">
        <f t="shared" ref="H12:H17" si="7">B12&amp;"_"&amp;C12&amp;"-"&amp;G12</f>
        <v>30040_3-1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562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月夜砕く蒼狂狼 ローレンス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60</v>
      </c>
      <c r="S12" s="25">
        <v>0.6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40590</v>
      </c>
      <c r="U12" s="25">
        <v>0.7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5777.0999999999995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ローレンスが襲いかかってきた！</v>
      </c>
      <c r="Y12" s="62">
        <v>30040001</v>
      </c>
      <c r="Z12" s="6">
        <v>1</v>
      </c>
      <c r="AA12" s="6">
        <v>100</v>
      </c>
      <c r="AB12" s="6">
        <v>0</v>
      </c>
      <c r="AC12" s="114">
        <v>2</v>
      </c>
      <c r="AD12" s="24">
        <f t="shared" ref="AD12:AD17" si="8">L12</f>
        <v>562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月夜砕く蒼狂狼 ローレンス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ref="AI12:AI17" ca="1" si="9">AF12</f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30040_3-2/67&lt;lv60&gt;s1</v>
      </c>
      <c r="B13" s="22">
        <v>30040</v>
      </c>
      <c r="C13" s="115">
        <v>3</v>
      </c>
      <c r="D13" s="2" t="str">
        <f t="shared" si="6"/>
        <v>30040_3</v>
      </c>
      <c r="E13" s="4" t="str">
        <f ca="1">VLOOKUP($B13,OFFSET([2]quests!$A$1,0,0,COUNTA([2]quests!$A:$A),MATCH(E$1,[2]quests!$1:$1,0)-MATCH($B$1,[2]quests!$1:$1,0)+1),MATCH(E$1,[2]quests!$1:$1,0)-MATCH($B$1,[2]quests!$1:$1,0)+1,FALSE)</f>
        <v>闇ヨリ出ル魔獣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【超級】闇ヨリ出ル魔獣</v>
      </c>
      <c r="G13" s="21">
        <v>2</v>
      </c>
      <c r="H13" s="15" t="str">
        <f t="shared" si="7"/>
        <v>30040_3-2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67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双炎の探索者 ファイアフォックス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60</v>
      </c>
      <c r="S13" s="25">
        <v>0.5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39975</v>
      </c>
      <c r="U13" s="25">
        <v>0.6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5583.5999999999995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13" s="62">
        <v>30040003</v>
      </c>
      <c r="Z13" s="6">
        <v>1</v>
      </c>
      <c r="AA13" s="6">
        <v>100</v>
      </c>
      <c r="AB13" s="6">
        <v>0</v>
      </c>
      <c r="AC13" s="114">
        <v>1</v>
      </c>
      <c r="AD13" s="24">
        <f t="shared" si="8"/>
        <v>67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双炎の探索者 ファイアフォックス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7">
        <v>1</v>
      </c>
      <c r="AI13" s="24">
        <f t="shared" ca="1" si="9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5"/>
        <v>30040_3-2/70&lt;lv60&gt;s2</v>
      </c>
      <c r="B14" s="22">
        <v>30040</v>
      </c>
      <c r="C14" s="115">
        <v>3</v>
      </c>
      <c r="D14" s="2" t="str">
        <f t="shared" si="6"/>
        <v>30040_3</v>
      </c>
      <c r="E14" s="4" t="str">
        <f ca="1">VLOOKUP($B14,OFFSET([2]quests!$A$1,0,0,COUNTA([2]quests!$A:$A),MATCH(E$1,[2]quests!$1:$1,0)-MATCH($B$1,[2]quests!$1:$1,0)+1),MATCH(E$1,[2]quests!$1:$1,0)-MATCH($B$1,[2]quests!$1:$1,0)+1,FALSE)</f>
        <v>闇ヨリ出ル魔獣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【超級】闇ヨリ出ル魔獣</v>
      </c>
      <c r="G14" s="21">
        <v>2</v>
      </c>
      <c r="H14" s="15" t="str">
        <f t="shared" si="7"/>
        <v>30040_3-2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3</v>
      </c>
      <c r="L14" s="20">
        <v>70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自由の思想家 ストール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5">
        <v>0.3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35473.799999999996</v>
      </c>
      <c r="U14" s="25">
        <v>0.9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5142.6000000000004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12ターンハートパネルドロップ率UP</v>
      </c>
      <c r="Y14" s="62">
        <v>30040005</v>
      </c>
      <c r="Z14" s="6">
        <v>1</v>
      </c>
      <c r="AA14" s="6">
        <v>100</v>
      </c>
      <c r="AB14" s="6">
        <v>0</v>
      </c>
      <c r="AC14" s="114">
        <v>2</v>
      </c>
      <c r="AD14" s="24">
        <f t="shared" si="8"/>
        <v>70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自由の思想家 ストール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9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ref="A15" si="10">B15&amp;"_"&amp;C15&amp;"-"&amp;G15&amp;"/"&amp;L15&amp;"&lt;lv"&amp;R15&amp;"&gt;s"&amp;AC15</f>
        <v>30040_3-3/2&lt;lv60&gt;s3</v>
      </c>
      <c r="B15" s="22">
        <v>30040</v>
      </c>
      <c r="C15" s="115">
        <v>3</v>
      </c>
      <c r="D15" s="2" t="str">
        <f t="shared" ref="D15" si="11">B15&amp;"_"&amp;C15</f>
        <v>30040_3</v>
      </c>
      <c r="E15" s="4" t="str">
        <f ca="1">VLOOKUP($B15,OFFSET([2]quests!$A$1,0,0,COUNTA([2]quests!$A:$A),MATCH(E$1,[2]quests!$1:$1,0)-MATCH($B$1,[2]quests!$1:$1,0)+1),MATCH(E$1,[2]quests!$1:$1,0)-MATCH($B$1,[2]quests!$1:$1,0)+1,FALSE)</f>
        <v>闇ヨリ出ル魔獣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【超級】闇ヨリ出ル魔獣</v>
      </c>
      <c r="G15" s="21">
        <v>3</v>
      </c>
      <c r="H15" s="15" t="str">
        <f t="shared" ref="H15" si="12">B15&amp;"_"&amp;C15&amp;"-"&amp;G15</f>
        <v>30040_3-3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280</v>
      </c>
      <c r="L15" s="20">
        <v>2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イレギュラー・ジェリー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25">
        <v>1.6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19680</v>
      </c>
      <c r="U15" s="25">
        <v>1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5006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自身の防御力超大UP</v>
      </c>
      <c r="Y15" s="62">
        <v>30040007</v>
      </c>
      <c r="Z15" s="6">
        <v>1</v>
      </c>
      <c r="AA15" s="6">
        <v>100</v>
      </c>
      <c r="AB15" s="6">
        <v>0</v>
      </c>
      <c r="AC15" s="114">
        <v>3</v>
      </c>
      <c r="AD15" s="24">
        <f t="shared" si="8"/>
        <v>2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Drop1T</v>
      </c>
      <c r="AH15" s="7">
        <v>1</v>
      </c>
      <c r="AI15" s="24">
        <f t="shared" ref="AI15" ca="1" si="13">AF15</f>
        <v>2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ref="A16" si="14">B16&amp;"_"&amp;C16&amp;"-"&amp;G16&amp;"/"&amp;L16&amp;"&lt;lv"&amp;R16&amp;"&gt;s"&amp;AC16</f>
        <v>30040_3-3/2&lt;lv59&gt;s3</v>
      </c>
      <c r="B16" s="22">
        <v>30040</v>
      </c>
      <c r="C16" s="115">
        <v>3</v>
      </c>
      <c r="D16" s="2" t="str">
        <f t="shared" ref="D16" si="15">B16&amp;"_"&amp;C16</f>
        <v>30040_3</v>
      </c>
      <c r="E16" s="4" t="str">
        <f ca="1">VLOOKUP($B16,OFFSET([2]quests!$A$1,0,0,COUNTA([2]quests!$A:$A),MATCH(E$1,[2]quests!$1:$1,0)-MATCH($B$1,[2]quests!$1:$1,0)+1),MATCH(E$1,[2]quests!$1:$1,0)-MATCH($B$1,[2]quests!$1:$1,0)+1,FALSE)</f>
        <v>闇ヨリ出ル魔獣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【超級】闇ヨリ出ル魔獣</v>
      </c>
      <c r="G16" s="21">
        <v>3</v>
      </c>
      <c r="H16" s="15" t="str">
        <f t="shared" ref="H16" si="16">B16&amp;"_"&amp;C16&amp;"-"&amp;G16</f>
        <v>30040_3-3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280</v>
      </c>
      <c r="L16" s="20">
        <v>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イレギュラー・ジェリー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Drop1T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59</v>
      </c>
      <c r="S16" s="25">
        <v>1.6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19360</v>
      </c>
      <c r="U16" s="25">
        <v>1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4924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自身の防御力超大UP</v>
      </c>
      <c r="Y16" s="62">
        <v>30040008</v>
      </c>
      <c r="Z16" s="6">
        <v>1</v>
      </c>
      <c r="AA16" s="6">
        <v>100</v>
      </c>
      <c r="AB16" s="6">
        <v>0</v>
      </c>
      <c r="AC16" s="114">
        <v>3</v>
      </c>
      <c r="AD16" s="24">
        <f t="shared" ref="AD16" si="17">L16</f>
        <v>2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Drop1T</v>
      </c>
      <c r="AH16" s="7">
        <v>1</v>
      </c>
      <c r="AI16" s="24">
        <f t="shared" ref="AI16" ca="1" si="18">AF16</f>
        <v>2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5"/>
        <v>30040_3-3/1061&lt;lv60&gt;s1</v>
      </c>
      <c r="B17" s="22">
        <v>30040</v>
      </c>
      <c r="C17" s="115">
        <v>3</v>
      </c>
      <c r="D17" s="2" t="str">
        <f t="shared" si="6"/>
        <v>30040_3</v>
      </c>
      <c r="E17" s="4" t="str">
        <f ca="1">VLOOKUP($B17,OFFSET([2]quests!$A$1,0,0,COUNTA([2]quests!$A:$A),MATCH(E$1,[2]quests!$1:$1,0)-MATCH($B$1,[2]quests!$1:$1,0)+1),MATCH(E$1,[2]quests!$1:$1,0)-MATCH($B$1,[2]quests!$1:$1,0)+1,FALSE)</f>
        <v>闇ヨリ出ル魔獣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【超級】闇ヨリ出ル魔獣</v>
      </c>
      <c r="G17" s="21">
        <v>3</v>
      </c>
      <c r="H17" s="15" t="str">
        <f t="shared" si="7"/>
        <v>30040_3-3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4</v>
      </c>
      <c r="L17" s="20">
        <v>1061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フンババ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5">
        <v>1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113609</v>
      </c>
      <c r="U17" s="25">
        <v>1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5889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ぎルがめっしュ　なンでここにいル？</v>
      </c>
      <c r="Y17" s="62">
        <v>30040009</v>
      </c>
      <c r="Z17" s="6">
        <v>1</v>
      </c>
      <c r="AA17" s="6">
        <v>100</v>
      </c>
      <c r="AB17" s="6">
        <v>1</v>
      </c>
      <c r="AC17" s="114">
        <v>1</v>
      </c>
      <c r="AD17" s="24">
        <f t="shared" si="8"/>
        <v>1061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フンババ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Drop2N</v>
      </c>
      <c r="AH17" s="7">
        <v>1</v>
      </c>
      <c r="AI17" s="24">
        <f t="shared" ca="1" si="9"/>
        <v>4</v>
      </c>
      <c r="AJ17" s="8">
        <v>100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5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G35" sqref="G35:M3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249</v>
      </c>
      <c r="V1" s="26" t="s">
        <v>50</v>
      </c>
      <c r="W1" s="101" t="s">
        <v>250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15" si="0">B2&amp;"_"&amp;C2&amp;"-"&amp;G2&amp;"/"&amp;M2&amp;"&lt;lv"&amp;S2&amp;"&gt;sq"&amp;K2&amp;"st"&amp;L2</f>
        <v>30040_1-1/131&lt;lv30&gt;sq1st2</v>
      </c>
      <c r="B2" s="22">
        <v>30040</v>
      </c>
      <c r="C2" s="117">
        <v>1</v>
      </c>
      <c r="D2" s="2" t="str">
        <f t="shared" ref="D2:D15" si="1">B2&amp;"_"&amp;C2</f>
        <v>30040_1</v>
      </c>
      <c r="E2" s="4" t="str">
        <f ca="1">VLOOKUP($B2,OFFSET([2]quests!$A$1,0,0,COUNTA([2]quests!$A:$A),MATCH(E$1,[2]quests!$1:$1,0)-MATCH($B$1,[2]quests!$1:$1,0)+1),MATCH(E$1,[2]quests!$1:$1,0)-MATCH($B$1,[2]quests!$1:$1,0)+1,FALSE)</f>
        <v>闇ヨリ出ル魔獣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【中級】闇ヨリ出ル魔獣</v>
      </c>
      <c r="G2" s="21">
        <v>1</v>
      </c>
      <c r="H2" s="15" t="str">
        <f t="shared" ref="H2:H15" si="2">B2&amp;"_"&amp;C2&amp;"-"&amp;G2</f>
        <v>30040_1-1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131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月下の人狼 ローレンス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30</v>
      </c>
      <c r="T2" s="25">
        <v>0.6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24570</v>
      </c>
      <c r="V2" s="25">
        <v>0.7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3206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2回連続攻撃_x000D_（種族ヒューマン・マシンに大ダメージ）</v>
      </c>
      <c r="Z2" s="62">
        <v>30040002</v>
      </c>
      <c r="AA2" s="113">
        <v>2</v>
      </c>
    </row>
    <row r="3" spans="1:27" ht="21" customHeight="1" x14ac:dyDescent="0.15">
      <c r="A3" s="16" t="str">
        <f t="shared" si="0"/>
        <v>30040_1-2/66&lt;lv30&gt;sq2st2</v>
      </c>
      <c r="B3" s="22">
        <v>30040</v>
      </c>
      <c r="C3" s="117">
        <v>1</v>
      </c>
      <c r="D3" s="2" t="str">
        <f t="shared" si="1"/>
        <v>30040_1</v>
      </c>
      <c r="E3" s="4" t="str">
        <f ca="1">VLOOKUP($B3,OFFSET([2]quests!$A$1,0,0,COUNTA([2]quests!$A:$A),MATCH(E$1,[2]quests!$1:$1,0)-MATCH($B$1,[2]quests!$1:$1,0)+1),MATCH(E$1,[2]quests!$1:$1,0)-MATCH($B$1,[2]quests!$1:$1,0)+1,FALSE)</f>
        <v>闇ヨリ出ル魔獣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【中級】闇ヨリ出ル魔獣</v>
      </c>
      <c r="G3" s="21">
        <v>2</v>
      </c>
      <c r="H3" s="15" t="str">
        <f t="shared" si="2"/>
        <v>30040_1-2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2</v>
      </c>
      <c r="L3" s="38">
        <v>2</v>
      </c>
      <c r="M3" s="20">
        <v>66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探索者 ファイアフォックス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Drop1S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30</v>
      </c>
      <c r="T3" s="25">
        <v>1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20790</v>
      </c>
      <c r="V3" s="25">
        <v>0.6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2842.7999999999997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4ターン後強力な攻撃</v>
      </c>
      <c r="Z3" s="62">
        <v>30040004</v>
      </c>
      <c r="AA3" s="113">
        <v>1</v>
      </c>
    </row>
    <row r="4" spans="1:27" ht="21" customHeight="1" x14ac:dyDescent="0.15">
      <c r="A4" s="16" t="str">
        <f t="shared" si="0"/>
        <v>30040_1-2/69&lt;lv30&gt;sq3st2</v>
      </c>
      <c r="B4" s="22">
        <v>30040</v>
      </c>
      <c r="C4" s="117">
        <v>1</v>
      </c>
      <c r="D4" s="2" t="str">
        <f t="shared" si="1"/>
        <v>30040_1</v>
      </c>
      <c r="E4" s="4" t="str">
        <f ca="1">VLOOKUP($B4,OFFSET([2]quests!$A$1,0,0,COUNTA([2]quests!$A:$A),MATCH(E$1,[2]quests!$1:$1,0)-MATCH($B$1,[2]quests!$1:$1,0)+1),MATCH(E$1,[2]quests!$1:$1,0)-MATCH($B$1,[2]quests!$1:$1,0)+1,FALSE)</f>
        <v>闇ヨリ出ル魔獣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【中級】闇ヨリ出ル魔獣</v>
      </c>
      <c r="G4" s="21">
        <v>2</v>
      </c>
      <c r="H4" s="15" t="str">
        <f t="shared" si="2"/>
        <v>30040_1-2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>
        <v>3</v>
      </c>
      <c r="L4" s="38">
        <v>2</v>
      </c>
      <c r="M4" s="20">
        <v>69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思想家 ストール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Drop1S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30</v>
      </c>
      <c r="T4" s="25">
        <v>0.6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18448.8</v>
      </c>
      <c r="V4" s="25">
        <v>0.6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1745.3999999999999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次のターンハートパネルを吸収</v>
      </c>
      <c r="Z4" s="62">
        <v>30040006</v>
      </c>
      <c r="AA4" s="113">
        <v>1</v>
      </c>
    </row>
    <row r="5" spans="1:27" ht="21" customHeight="1" x14ac:dyDescent="0.15">
      <c r="A5" s="16" t="str">
        <f t="shared" si="0"/>
        <v>30040_1-3/1061&lt;lv30&gt;sq4st2</v>
      </c>
      <c r="B5" s="22">
        <v>30040</v>
      </c>
      <c r="C5" s="117">
        <v>1</v>
      </c>
      <c r="D5" s="2" t="str">
        <f t="shared" si="1"/>
        <v>30040_1</v>
      </c>
      <c r="E5" s="4" t="str">
        <f ca="1">VLOOKUP($B5,OFFSET([2]quests!$A$1,0,0,COUNTA([2]quests!$A:$A),MATCH(E$1,[2]quests!$1:$1,0)-MATCH($B$1,[2]quests!$1:$1,0)+1),MATCH(E$1,[2]quests!$1:$1,0)-MATCH($B$1,[2]quests!$1:$1,0)+1,FALSE)</f>
        <v>闇ヨリ出ル魔獣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【中級】闇ヨリ出ル魔獣</v>
      </c>
      <c r="G5" s="21">
        <v>3</v>
      </c>
      <c r="H5" s="15" t="str">
        <f t="shared" si="2"/>
        <v>30040_1-3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>
        <v>4</v>
      </c>
      <c r="L5" s="38">
        <v>2</v>
      </c>
      <c r="M5" s="20">
        <v>1061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フンババ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30</v>
      </c>
      <c r="T5" s="25">
        <v>1.6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93104</v>
      </c>
      <c r="V5" s="25">
        <v>1.1000000000000001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3317.6000000000004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残りHPの30%ダメージ！＋状態異常耐性</v>
      </c>
      <c r="Z5" s="62">
        <v>30040011</v>
      </c>
      <c r="AA5" s="113">
        <v>1</v>
      </c>
    </row>
    <row r="6" spans="1:27" ht="21" customHeight="1" x14ac:dyDescent="0.15">
      <c r="A6" s="16" t="str">
        <f t="shared" si="0"/>
        <v>30040_2-1/562&lt;lv40&gt;sq1st2</v>
      </c>
      <c r="B6" s="22">
        <v>30040</v>
      </c>
      <c r="C6" s="116">
        <v>2</v>
      </c>
      <c r="D6" s="2" t="str">
        <f t="shared" si="1"/>
        <v>30040_2</v>
      </c>
      <c r="E6" s="4" t="str">
        <f ca="1">VLOOKUP($B6,OFFSET([2]quests!$A$1,0,0,COUNTA([2]quests!$A:$A),MATCH(E$1,[2]quests!$1:$1,0)-MATCH($B$1,[2]quests!$1:$1,0)+1),MATCH(E$1,[2]quests!$1:$1,0)-MATCH($B$1,[2]quests!$1:$1,0)+1,FALSE)</f>
        <v>闇ヨリ出ル魔獣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【上級】闇ヨリ出ル魔獣</v>
      </c>
      <c r="G6" s="21">
        <v>1</v>
      </c>
      <c r="H6" s="15" t="str">
        <f t="shared" si="2"/>
        <v>30040_2-1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562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月夜砕く蒼狂狼 ローレンス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PremiumW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40</v>
      </c>
      <c r="T6" s="25">
        <v>0.6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27390</v>
      </c>
      <c r="V6" s="25">
        <v>0.7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3898.2999999999997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2回連続攻撃_x000D_（種族ヒューマン・マシンに大ダメージ）</v>
      </c>
      <c r="Z6" s="62">
        <v>30040002</v>
      </c>
      <c r="AA6" s="113">
        <v>2</v>
      </c>
    </row>
    <row r="7" spans="1:27" ht="21" customHeight="1" x14ac:dyDescent="0.15">
      <c r="A7" s="16" t="str">
        <f t="shared" si="0"/>
        <v>30040_2-2/67&lt;lv40&gt;sq2st2</v>
      </c>
      <c r="B7" s="22">
        <v>30040</v>
      </c>
      <c r="C7" s="116">
        <v>2</v>
      </c>
      <c r="D7" s="2" t="str">
        <f t="shared" si="1"/>
        <v>30040_2</v>
      </c>
      <c r="E7" s="4" t="str">
        <f ca="1">VLOOKUP($B7,OFFSET([2]quests!$A$1,0,0,COUNTA([2]quests!$A:$A),MATCH(E$1,[2]quests!$1:$1,0)-MATCH($B$1,[2]quests!$1:$1,0)+1),MATCH(E$1,[2]quests!$1:$1,0)-MATCH($B$1,[2]quests!$1:$1,0)+1,FALSE)</f>
        <v>闇ヨリ出ル魔獣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【上級】闇ヨリ出ル魔獣</v>
      </c>
      <c r="G7" s="21">
        <v>2</v>
      </c>
      <c r="H7" s="15" t="str">
        <f t="shared" si="2"/>
        <v>30040_2-2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38">
        <v>2</v>
      </c>
      <c r="M7" s="20">
        <v>67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双炎の探索者 ファイアフォックス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Drop1S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">
        <f ca="1">VLOOKUP($M7,OFFSET([3]enemies!$A$1,0,0,COUNTA([3]enemies!$A:$A),MATCH(R$1,[3]enemies!$1:$1,0)-MATCH($M$1,[3]enemies!$1:$1,0)+1),MATCH(R$1,[3]enemies!$1:$1,0)-MATCH($M$1,[3]enemies!$1:$1,0)+1,FALSE)</f>
        <v>30</v>
      </c>
      <c r="S7" s="5">
        <v>40</v>
      </c>
      <c r="T7" s="25">
        <v>0.5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26975</v>
      </c>
      <c r="V7" s="25">
        <v>0.6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3768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4ターン後強力な攻撃</v>
      </c>
      <c r="Z7" s="62">
        <v>30040004</v>
      </c>
      <c r="AA7" s="113">
        <v>1</v>
      </c>
    </row>
    <row r="8" spans="1:27" ht="21" customHeight="1" x14ac:dyDescent="0.15">
      <c r="A8" s="16" t="str">
        <f t="shared" si="0"/>
        <v>30040_2-2/70&lt;lv40&gt;sq3st2</v>
      </c>
      <c r="B8" s="22">
        <v>30040</v>
      </c>
      <c r="C8" s="116">
        <v>2</v>
      </c>
      <c r="D8" s="2" t="str">
        <f t="shared" si="1"/>
        <v>30040_2</v>
      </c>
      <c r="E8" s="4" t="str">
        <f ca="1">VLOOKUP($B8,OFFSET([2]quests!$A$1,0,0,COUNTA([2]quests!$A:$A),MATCH(E$1,[2]quests!$1:$1,0)-MATCH($B$1,[2]quests!$1:$1,0)+1),MATCH(E$1,[2]quests!$1:$1,0)-MATCH($B$1,[2]quests!$1:$1,0)+1,FALSE)</f>
        <v>闇ヨリ出ル魔獣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【上級】闇ヨリ出ル魔獣</v>
      </c>
      <c r="G8" s="21">
        <v>2</v>
      </c>
      <c r="H8" s="15" t="str">
        <f t="shared" si="2"/>
        <v>30040_2-2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38">
        <v>2</v>
      </c>
      <c r="M8" s="20">
        <v>70</v>
      </c>
      <c r="N8" s="17" t="str">
        <f ca="1">VLOOKUP($M8,OFFSET([3]enemies!$A$1,0,0,COUNTA([3]enemies!$A:$A),MATCH(N$1,[3]enemies!$1:$1,0)-MATCH($M$1,[3]enemies!$1:$1,0)+1),MATCH(N$1,[3]enemies!$1:$1,0)-MATCH($M$1,[3]enemies!$1:$1,0)+1,FALSE)</f>
        <v>自由の思想家 ストール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Drop1S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animal</v>
      </c>
      <c r="R8" s="17">
        <f ca="1">VLOOKUP($M8,OFFSET([3]enemies!$A$1,0,0,COUNTA([3]enemies!$A:$A),MATCH(R$1,[3]enemies!$1:$1,0)-MATCH($M$1,[3]enemies!$1:$1,0)+1),MATCH(R$1,[3]enemies!$1:$1,0)-MATCH($M$1,[3]enemies!$1:$1,0)+1,FALSE)</f>
        <v>30</v>
      </c>
      <c r="S8" s="5">
        <v>40</v>
      </c>
      <c r="T8" s="25">
        <v>0.3</v>
      </c>
      <c r="U8" s="102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23937.599999999999</v>
      </c>
      <c r="V8" s="25">
        <v>0.6</v>
      </c>
      <c r="W8" s="102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2313.6</v>
      </c>
      <c r="X8" s="5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次のターンハートパネルを吸収</v>
      </c>
      <c r="Z8" s="62">
        <v>30040006</v>
      </c>
      <c r="AA8" s="113">
        <v>1</v>
      </c>
    </row>
    <row r="9" spans="1:27" ht="21" customHeight="1" x14ac:dyDescent="0.15">
      <c r="A9" s="16" t="str">
        <f t="shared" si="0"/>
        <v>30040_2-3/1061&lt;lv40&gt;sq4st2</v>
      </c>
      <c r="B9" s="22">
        <v>30040</v>
      </c>
      <c r="C9" s="116">
        <v>2</v>
      </c>
      <c r="D9" s="2" t="str">
        <f t="shared" si="1"/>
        <v>30040_2</v>
      </c>
      <c r="E9" s="4" t="str">
        <f ca="1">VLOOKUP($B9,OFFSET([2]quests!$A$1,0,0,COUNTA([2]quests!$A:$A),MATCH(E$1,[2]quests!$1:$1,0)-MATCH($B$1,[2]quests!$1:$1,0)+1),MATCH(E$1,[2]quests!$1:$1,0)-MATCH($B$1,[2]quests!$1:$1,0)+1,FALSE)</f>
        <v>闇ヨリ出ル魔獣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【上級】闇ヨリ出ル魔獣</v>
      </c>
      <c r="G9" s="21">
        <v>3</v>
      </c>
      <c r="H9" s="15" t="str">
        <f t="shared" si="2"/>
        <v>30040_2-3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4</v>
      </c>
      <c r="L9" s="38">
        <v>2</v>
      </c>
      <c r="M9" s="20">
        <v>1061</v>
      </c>
      <c r="N9" s="17" t="str">
        <f ca="1">VLOOKUP($M9,OFFSET([3]enemies!$A$1,0,0,COUNTA([3]enemies!$A:$A),MATCH(N$1,[3]enemies!$1:$1,0)-MATCH($M$1,[3]enemies!$1:$1,0)+1),MATCH(N$1,[3]enemies!$1:$1,0)-MATCH($M$1,[3]enemies!$1:$1,0)+1,FALSE)</f>
        <v>フンババ</v>
      </c>
      <c r="O9" s="17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Drop2N</v>
      </c>
      <c r="Q9" s="17" t="str">
        <f ca="1">VLOOKUP($M9,OFFSET([3]enemies!$A$1,0,0,COUNTA([3]enemies!$A:$A),MATCH(Q$1,[3]enemies!$1:$1,0)-MATCH($M$1,[3]enemies!$1:$1,0)+1),MATCH(Q$1,[3]enemies!$1:$1,0)-MATCH($M$1,[3]enemies!$1:$1,0)+1,FALSE)</f>
        <v>animal</v>
      </c>
      <c r="R9" s="17">
        <f ca="1">VLOOKUP($M9,OFFSET([3]enemies!$A$1,0,0,COUNTA([3]enemies!$A:$A),MATCH(R$1,[3]enemies!$1:$1,0)-MATCH($M$1,[3]enemies!$1:$1,0)+1),MATCH(R$1,[3]enemies!$1:$1,0)-MATCH($M$1,[3]enemies!$1:$1,0)+1,FALSE)</f>
        <v>30</v>
      </c>
      <c r="S9" s="5">
        <v>40</v>
      </c>
      <c r="T9" s="25">
        <v>1.2</v>
      </c>
      <c r="U9" s="102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91995.599999999991</v>
      </c>
      <c r="V9" s="25">
        <v>1</v>
      </c>
      <c r="W9" s="102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3974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お前とは　もう　たたかワない！_x000D_全ての効果を解除＋ジェリーに大ダメージ＋状態異常耐性</v>
      </c>
      <c r="Z9" s="62">
        <v>30040010</v>
      </c>
      <c r="AA9" s="113">
        <v>1</v>
      </c>
    </row>
    <row r="10" spans="1:27" ht="21" customHeight="1" x14ac:dyDescent="0.15">
      <c r="A10" s="16" t="str">
        <f t="shared" si="0"/>
        <v>30040_2-3/1062&lt;lv40&gt;sq4st3</v>
      </c>
      <c r="B10" s="22">
        <v>30040</v>
      </c>
      <c r="C10" s="116">
        <v>2</v>
      </c>
      <c r="D10" s="2" t="str">
        <f t="shared" si="1"/>
        <v>30040_2</v>
      </c>
      <c r="E10" s="4" t="str">
        <f ca="1">VLOOKUP($B10,OFFSET([2]quests!$A$1,0,0,COUNTA([2]quests!$A:$A),MATCH(E$1,[2]quests!$1:$1,0)-MATCH($B$1,[2]quests!$1:$1,0)+1),MATCH(E$1,[2]quests!$1:$1,0)-MATCH($B$1,[2]quests!$1:$1,0)+1,FALSE)</f>
        <v>闇ヨリ出ル魔獣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【上級】闇ヨリ出ル魔獣</v>
      </c>
      <c r="G10" s="21">
        <v>3</v>
      </c>
      <c r="H10" s="15" t="str">
        <f t="shared" si="2"/>
        <v>30040_2-3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4</v>
      </c>
      <c r="L10" s="38">
        <v>3</v>
      </c>
      <c r="M10" s="20">
        <v>1062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停止不能の蛮躯 フンババ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yellow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Drop2N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animal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40</v>
      </c>
      <c r="T10" s="25">
        <v>1.2</v>
      </c>
      <c r="U10" s="102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120302.39999999999</v>
      </c>
      <c r="V10" s="25">
        <v>1</v>
      </c>
      <c r="W10" s="102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4280</v>
      </c>
      <c r="X10" s="5">
        <v>0</v>
      </c>
      <c r="Y10" s="4" t="str">
        <f ca="1">VLOOKUP($Z10,OFFSET(enemy_skill_sets!$B$1,0,0,COUNTA(enemy_skill_sets!$B:$B),MATCH(N$1,enemy_skill_sets!$1:$1,0)-MATCH($Z$1,enemy_skill_sets!$1:$1,0)+2),MATCH(N$1,enemy_skill_sets!$1:$1,0)-MATCH($Z$1,enemy_skill_sets!$1:$1,0)+2,FALSE)</f>
        <v>残りHPの30%ダメージ！＋状態異常耐性</v>
      </c>
      <c r="Z10" s="62">
        <v>30040011</v>
      </c>
      <c r="AA10" s="113">
        <v>1</v>
      </c>
    </row>
    <row r="11" spans="1:27" ht="21" customHeight="1" x14ac:dyDescent="0.15">
      <c r="A11" s="16" t="str">
        <f t="shared" si="0"/>
        <v>30040_3-1/562&lt;lv60&gt;sq1st2</v>
      </c>
      <c r="B11" s="22">
        <v>30040</v>
      </c>
      <c r="C11" s="115">
        <v>3</v>
      </c>
      <c r="D11" s="2" t="str">
        <f t="shared" si="1"/>
        <v>30040_3</v>
      </c>
      <c r="E11" s="4" t="str">
        <f ca="1">VLOOKUP($B11,OFFSET([2]quests!$A$1,0,0,COUNTA([2]quests!$A:$A),MATCH(E$1,[2]quests!$1:$1,0)-MATCH($B$1,[2]quests!$1:$1,0)+1),MATCH(E$1,[2]quests!$1:$1,0)-MATCH($B$1,[2]quests!$1:$1,0)+1,FALSE)</f>
        <v>闇ヨリ出ル魔獣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【超級】闇ヨリ出ル魔獣</v>
      </c>
      <c r="G11" s="21">
        <v>1</v>
      </c>
      <c r="H11" s="15" t="str">
        <f t="shared" si="2"/>
        <v>30040_3-1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38">
        <v>2</v>
      </c>
      <c r="M11" s="20">
        <v>562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月夜砕く蒼狂狼 ローレンス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blue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PremiumW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animal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60</v>
      </c>
      <c r="T11" s="25">
        <v>0.6</v>
      </c>
      <c r="U11" s="102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40590</v>
      </c>
      <c r="V11" s="25">
        <v>0.7</v>
      </c>
      <c r="W11" s="102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5777.0999999999995</v>
      </c>
      <c r="X11" s="5">
        <v>0</v>
      </c>
      <c r="Y11" s="4" t="str">
        <f ca="1">VLOOKUP($Z11,OFFSET(enemy_skill_sets!$B$1,0,0,COUNTA(enemy_skill_sets!$B:$B),MATCH(N$1,enemy_skill_sets!$1:$1,0)-MATCH($Z$1,enemy_skill_sets!$1:$1,0)+2),MATCH(N$1,enemy_skill_sets!$1:$1,0)-MATCH($Z$1,enemy_skill_sets!$1:$1,0)+2,FALSE)</f>
        <v>2回連続攻撃_x000D_（種族ヒューマン・マシンに大ダメージ）</v>
      </c>
      <c r="Z11" s="62">
        <v>30040002</v>
      </c>
      <c r="AA11" s="113">
        <v>2</v>
      </c>
    </row>
    <row r="12" spans="1:27" ht="21" customHeight="1" x14ac:dyDescent="0.15">
      <c r="A12" s="16" t="str">
        <f t="shared" si="0"/>
        <v>30040_3-2/67&lt;lv60&gt;sq2st2</v>
      </c>
      <c r="B12" s="22">
        <v>30040</v>
      </c>
      <c r="C12" s="115">
        <v>3</v>
      </c>
      <c r="D12" s="2" t="str">
        <f t="shared" si="1"/>
        <v>30040_3</v>
      </c>
      <c r="E12" s="4" t="str">
        <f ca="1">VLOOKUP($B12,OFFSET([2]quests!$A$1,0,0,COUNTA([2]quests!$A:$A),MATCH(E$1,[2]quests!$1:$1,0)-MATCH($B$1,[2]quests!$1:$1,0)+1),MATCH(E$1,[2]quests!$1:$1,0)-MATCH($B$1,[2]quests!$1:$1,0)+1,FALSE)</f>
        <v>闇ヨリ出ル魔獣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【超級】闇ヨリ出ル魔獣</v>
      </c>
      <c r="G12" s="21">
        <v>2</v>
      </c>
      <c r="H12" s="15" t="str">
        <f t="shared" si="2"/>
        <v>30040_3-2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2</v>
      </c>
      <c r="L12" s="38">
        <v>2</v>
      </c>
      <c r="M12" s="20">
        <v>67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双炎の探索者 ファイアフォックス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red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Drop1S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animal</v>
      </c>
      <c r="R12" s="17">
        <f ca="1">VLOOKUP($M12,OFFSET([3]enemies!$A$1,0,0,COUNTA([3]enemies!$A:$A),MATCH(R$1,[3]enemies!$1:$1,0)-MATCH($M$1,[3]enemies!$1:$1,0)+1),MATCH(R$1,[3]enemies!$1:$1,0)-MATCH($M$1,[3]enemies!$1:$1,0)+1,FALSE)</f>
        <v>30</v>
      </c>
      <c r="S12" s="5">
        <v>60</v>
      </c>
      <c r="T12" s="25">
        <v>0.5</v>
      </c>
      <c r="U12" s="102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39975</v>
      </c>
      <c r="V12" s="25">
        <v>0.6</v>
      </c>
      <c r="W12" s="102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5583.5999999999995</v>
      </c>
      <c r="X12" s="5">
        <v>0</v>
      </c>
      <c r="Y12" s="4" t="str">
        <f ca="1">VLOOKUP($Z12,OFFSET(enemy_skill_sets!$B$1,0,0,COUNTA(enemy_skill_sets!$B:$B),MATCH(N$1,enemy_skill_sets!$1:$1,0)-MATCH($Z$1,enemy_skill_sets!$1:$1,0)+2),MATCH(N$1,enemy_skill_sets!$1:$1,0)-MATCH($Z$1,enemy_skill_sets!$1:$1,0)+2,FALSE)</f>
        <v>4ターン後強力な攻撃</v>
      </c>
      <c r="Z12" s="62">
        <v>30040004</v>
      </c>
      <c r="AA12" s="113">
        <v>1</v>
      </c>
    </row>
    <row r="13" spans="1:27" ht="21" customHeight="1" x14ac:dyDescent="0.15">
      <c r="A13" s="16" t="str">
        <f t="shared" si="0"/>
        <v>30040_3-2/70&lt;lv60&gt;sq3st2</v>
      </c>
      <c r="B13" s="22">
        <v>30040</v>
      </c>
      <c r="C13" s="115">
        <v>3</v>
      </c>
      <c r="D13" s="2" t="str">
        <f t="shared" si="1"/>
        <v>30040_3</v>
      </c>
      <c r="E13" s="4" t="str">
        <f ca="1">VLOOKUP($B13,OFFSET([2]quests!$A$1,0,0,COUNTA([2]quests!$A:$A),MATCH(E$1,[2]quests!$1:$1,0)-MATCH($B$1,[2]quests!$1:$1,0)+1),MATCH(E$1,[2]quests!$1:$1,0)-MATCH($B$1,[2]quests!$1:$1,0)+1,FALSE)</f>
        <v>闇ヨリ出ル魔獣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【超級】闇ヨリ出ル魔獣</v>
      </c>
      <c r="G13" s="21">
        <v>2</v>
      </c>
      <c r="H13" s="15" t="str">
        <f t="shared" si="2"/>
        <v>30040_3-2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3</v>
      </c>
      <c r="L13" s="38">
        <v>2</v>
      </c>
      <c r="M13" s="20">
        <v>70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自由の思想家 ストール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Drop1S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animal</v>
      </c>
      <c r="R13" s="17">
        <f ca="1">VLOOKUP($M13,OFFSET([3]enemies!$A$1,0,0,COUNTA([3]enemies!$A:$A),MATCH(R$1,[3]enemies!$1:$1,0)-MATCH($M$1,[3]enemies!$1:$1,0)+1),MATCH(R$1,[3]enemies!$1:$1,0)-MATCH($M$1,[3]enemies!$1:$1,0)+1,FALSE)</f>
        <v>30</v>
      </c>
      <c r="S13" s="5">
        <v>60</v>
      </c>
      <c r="T13" s="25">
        <v>0.3</v>
      </c>
      <c r="U13" s="102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35473.799999999996</v>
      </c>
      <c r="V13" s="25">
        <v>0.6</v>
      </c>
      <c r="W13" s="102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3428.4</v>
      </c>
      <c r="X13" s="5">
        <v>0</v>
      </c>
      <c r="Y13" s="4" t="str">
        <f ca="1">VLOOKUP($Z13,OFFSET(enemy_skill_sets!$B$1,0,0,COUNTA(enemy_skill_sets!$B:$B),MATCH(N$1,enemy_skill_sets!$1:$1,0)-MATCH($Z$1,enemy_skill_sets!$1:$1,0)+2),MATCH(N$1,enemy_skill_sets!$1:$1,0)-MATCH($Z$1,enemy_skill_sets!$1:$1,0)+2,FALSE)</f>
        <v>次のターンハートパネルを吸収</v>
      </c>
      <c r="Z13" s="62">
        <v>30040006</v>
      </c>
      <c r="AA13" s="113">
        <v>1</v>
      </c>
    </row>
    <row r="14" spans="1:27" ht="21" customHeight="1" x14ac:dyDescent="0.15">
      <c r="A14" s="16" t="str">
        <f t="shared" si="0"/>
        <v>30040_3-3/1061&lt;lv60&gt;sq4st2</v>
      </c>
      <c r="B14" s="22">
        <v>30040</v>
      </c>
      <c r="C14" s="115">
        <v>3</v>
      </c>
      <c r="D14" s="2" t="str">
        <f t="shared" si="1"/>
        <v>30040_3</v>
      </c>
      <c r="E14" s="4" t="str">
        <f ca="1">VLOOKUP($B14,OFFSET([2]quests!$A$1,0,0,COUNTA([2]quests!$A:$A),MATCH(E$1,[2]quests!$1:$1,0)-MATCH($B$1,[2]quests!$1:$1,0)+1),MATCH(E$1,[2]quests!$1:$1,0)-MATCH($B$1,[2]quests!$1:$1,0)+1,FALSE)</f>
        <v>闇ヨリ出ル魔獣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【超級】闇ヨリ出ル魔獣</v>
      </c>
      <c r="G14" s="21">
        <v>3</v>
      </c>
      <c r="H14" s="15" t="str">
        <f t="shared" si="2"/>
        <v>30040_3-3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4</v>
      </c>
      <c r="L14" s="38">
        <v>2</v>
      </c>
      <c r="M14" s="20">
        <v>1061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フンババ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yellow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Drop2N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animal</v>
      </c>
      <c r="R14" s="17">
        <f ca="1">VLOOKUP($M14,OFFSET([3]enemies!$A$1,0,0,COUNTA([3]enemies!$A:$A),MATCH(R$1,[3]enemies!$1:$1,0)-MATCH($M$1,[3]enemies!$1:$1,0)+1),MATCH(R$1,[3]enemies!$1:$1,0)-MATCH($M$1,[3]enemies!$1:$1,0)+1,FALSE)</f>
        <v>30</v>
      </c>
      <c r="S14" s="5">
        <v>60</v>
      </c>
      <c r="T14" s="25">
        <v>1.2</v>
      </c>
      <c r="U14" s="102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136330.79999999999</v>
      </c>
      <c r="V14" s="25">
        <v>1</v>
      </c>
      <c r="W14" s="102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5889</v>
      </c>
      <c r="X14" s="5">
        <v>0</v>
      </c>
      <c r="Y14" s="4" t="str">
        <f ca="1">VLOOKUP($Z14,OFFSET(enemy_skill_sets!$B$1,0,0,COUNTA(enemy_skill_sets!$B:$B),MATCH(N$1,enemy_skill_sets!$1:$1,0)-MATCH($Z$1,enemy_skill_sets!$1:$1,0)+2),MATCH(N$1,enemy_skill_sets!$1:$1,0)-MATCH($Z$1,enemy_skill_sets!$1:$1,0)+2,FALSE)</f>
        <v>お前とは　もう　たたかワない！_x000D_全ての効果を解除＋ジェリーに大ダメージ＋状態異常耐性</v>
      </c>
      <c r="Z14" s="62">
        <v>30040010</v>
      </c>
      <c r="AA14" s="113">
        <v>1</v>
      </c>
    </row>
    <row r="15" spans="1:27" ht="21" customHeight="1" x14ac:dyDescent="0.15">
      <c r="A15" s="16" t="str">
        <f t="shared" si="0"/>
        <v>30040_3-3/1062&lt;lv60&gt;sq4st3</v>
      </c>
      <c r="B15" s="22">
        <v>30040</v>
      </c>
      <c r="C15" s="115">
        <v>3</v>
      </c>
      <c r="D15" s="2" t="str">
        <f t="shared" si="1"/>
        <v>30040_3</v>
      </c>
      <c r="E15" s="4" t="str">
        <f ca="1">VLOOKUP($B15,OFFSET([2]quests!$A$1,0,0,COUNTA([2]quests!$A:$A),MATCH(E$1,[2]quests!$1:$1,0)-MATCH($B$1,[2]quests!$1:$1,0)+1),MATCH(E$1,[2]quests!$1:$1,0)-MATCH($B$1,[2]quests!$1:$1,0)+1,FALSE)</f>
        <v>闇ヨリ出ル魔獣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【超級】闇ヨリ出ル魔獣</v>
      </c>
      <c r="G15" s="21">
        <v>3</v>
      </c>
      <c r="H15" s="15" t="str">
        <f t="shared" si="2"/>
        <v>30040_3-3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4</v>
      </c>
      <c r="L15" s="38">
        <v>3</v>
      </c>
      <c r="M15" s="20">
        <v>1062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停止不能の蛮躯 フンババ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yellow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Drop2N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animal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60</v>
      </c>
      <c r="T15" s="25">
        <v>1.2</v>
      </c>
      <c r="U15" s="102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178279.19999999998</v>
      </c>
      <c r="V15" s="25">
        <v>1</v>
      </c>
      <c r="W15" s="102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6342</v>
      </c>
      <c r="X15" s="5">
        <v>0</v>
      </c>
      <c r="Y15" s="4" t="str">
        <f ca="1">VLOOKUP($Z15,OFFSET(enemy_skill_sets!$B$1,0,0,COUNTA(enemy_skill_sets!$B:$B),MATCH(N$1,enemy_skill_sets!$1:$1,0)-MATCH($Z$1,enemy_skill_sets!$1:$1,0)+2),MATCH(N$1,enemy_skill_sets!$1:$1,0)-MATCH($Z$1,enemy_skill_sets!$1:$1,0)+2,FALSE)</f>
        <v>残りHPの30%ダメージ！＋状態異常耐性</v>
      </c>
      <c r="Z15" s="62">
        <v>30040011</v>
      </c>
      <c r="AA15" s="11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2"/>
  <sheetViews>
    <sheetView showGridLines="0" zoomScale="118" zoomScaleNormal="118" zoomScalePageLayoutView="118" workbookViewId="0">
      <pane ySplit="1" topLeftCell="A18" activePane="bottomLeft" state="frozenSplit"/>
      <selection pane="bottomLeft" activeCell="B35" sqref="B3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104">
        <v>30040001</v>
      </c>
      <c r="B2" s="47" t="s">
        <v>330</v>
      </c>
      <c r="C2" s="50">
        <v>3</v>
      </c>
      <c r="D2" s="50" t="s">
        <v>127</v>
      </c>
      <c r="E2" s="51" t="s">
        <v>251</v>
      </c>
      <c r="F2" s="51" t="s">
        <v>252</v>
      </c>
      <c r="G2" s="64" t="str">
        <f t="shared" ref="G2:G17" si="0">IFERROR(LEFT(B2,FIND("],",B2)),B2)</f>
        <v>[effect:nothing]</v>
      </c>
      <c r="H2" s="64">
        <f t="shared" ref="H2:H41" si="1">FIND("effect:",G2)+7</f>
        <v>9</v>
      </c>
      <c r="I2" s="64">
        <f t="shared" ref="I2:I17" si="2">IFERROR(FIND(",",G2),LEN(G2))</f>
        <v>16</v>
      </c>
      <c r="J2" s="64" t="e">
        <f t="shared" ref="J2:J17" si="3">FIND("target:",G2)+7</f>
        <v>#VALUE!</v>
      </c>
      <c r="K2" s="64" t="e">
        <f t="shared" ref="K2:K17" si="4">FIND(",",G2,I2+1)</f>
        <v>#VALUE!</v>
      </c>
      <c r="L2" s="64" t="str">
        <f>IFERROR(VLOOKUP(MID(G2,J2,K2-J2),[5]skilldef!$C:$D,2,FALSE),"-") &amp; " / " &amp; IFERROR(VLOOKUP(MID(G2,H2,I2-H2),[5]skilldef!$A:$B,2,FALSE),"-")</f>
        <v>- / 何もしない</v>
      </c>
      <c r="M2" s="64" t="str">
        <f t="shared" ref="M2:M17" si="5">IFERROR(RIGHT(B2,LEN(B2)-FIND("],",B2)-1),"none")</f>
        <v>none</v>
      </c>
      <c r="N2" s="48" t="str">
        <f t="shared" ref="N2:N6" si="6">IFERROR(LEFT(M2,FIND("],",M2)+S12),M2)</f>
        <v>none</v>
      </c>
      <c r="O2" s="64" t="e">
        <f t="shared" ref="O2:O41" si="7">FIND("effect:",N2)+7</f>
        <v>#VALUE!</v>
      </c>
      <c r="P2" s="64">
        <f t="shared" ref="P2:P17" si="8">IFERROR(FIND(",",N2),LEN(N2))</f>
        <v>4</v>
      </c>
      <c r="Q2" s="64" t="e">
        <f t="shared" ref="Q2:Q17" si="9">FIND("target:",N2)+7</f>
        <v>#VALUE!</v>
      </c>
      <c r="R2" s="64" t="e">
        <f t="shared" ref="R2:R17" si="10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17" si="11">IFERROR(RIGHT(M2,LEN(M2)-FIND("],",M2)-1),"none")</f>
        <v>none</v>
      </c>
      <c r="U2" s="64" t="e">
        <f t="shared" ref="U2:U41" si="12">FIND("effect:",T2)+7</f>
        <v>#VALUE!</v>
      </c>
      <c r="V2" s="64">
        <f t="shared" ref="V2:V17" si="13">IFERROR(FIND(",",T2),LEN(T2))</f>
        <v>4</v>
      </c>
      <c r="W2" s="64" t="e">
        <f t="shared" ref="W2:W17" si="14">FIND("target:",T2)+7</f>
        <v>#VALUE!</v>
      </c>
      <c r="X2" s="64" t="e">
        <f t="shared" ref="X2:X17" si="15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104">
        <v>30040002</v>
      </c>
      <c r="B3" s="47" t="s">
        <v>299</v>
      </c>
      <c r="C3" s="50">
        <v>3</v>
      </c>
      <c r="D3" s="50" t="s">
        <v>127</v>
      </c>
      <c r="E3" s="51" t="s">
        <v>253</v>
      </c>
      <c r="F3" s="51" t="s">
        <v>277</v>
      </c>
      <c r="G3" s="64" t="str">
        <f t="shared" si="0"/>
        <v>[effect:critical, val:1.3, animation:enemy_critical]</v>
      </c>
      <c r="H3" s="64">
        <f t="shared" si="1"/>
        <v>9</v>
      </c>
      <c r="I3" s="64">
        <f t="shared" si="2"/>
        <v>17</v>
      </c>
      <c r="J3" s="64" t="e">
        <f t="shared" si="3"/>
        <v>#VALUE!</v>
      </c>
      <c r="K3" s="64">
        <f t="shared" si="4"/>
        <v>26</v>
      </c>
      <c r="L3" s="64" t="str">
        <f>IFERROR(VLOOKUP(MID(G3,J3,K3-J3),[5]skilldef!$C:$D,2,FALSE),"-") &amp; " / " &amp; IFERROR(VLOOKUP(MID(G3,H3,I3-H3),[5]skilldef!$A:$B,2,FALSE),"-")</f>
        <v>- / 大攻撃</v>
      </c>
      <c r="M3" s="64" t="str">
        <f t="shared" si="5"/>
        <v>none</v>
      </c>
      <c r="N3" s="48" t="str">
        <f t="shared" si="6"/>
        <v>none</v>
      </c>
      <c r="O3" s="64" t="e">
        <f t="shared" si="7"/>
        <v>#VALUE!</v>
      </c>
      <c r="P3" s="64">
        <f t="shared" si="8"/>
        <v>4</v>
      </c>
      <c r="Q3" s="64" t="e">
        <f t="shared" si="9"/>
        <v>#VALUE!</v>
      </c>
      <c r="R3" s="64" t="e">
        <f t="shared" si="10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104">
        <v>30040003</v>
      </c>
      <c r="B4" s="47" t="s">
        <v>332</v>
      </c>
      <c r="C4" s="50">
        <v>3</v>
      </c>
      <c r="D4" s="50" t="s">
        <v>127</v>
      </c>
      <c r="E4" s="51" t="s">
        <v>254</v>
      </c>
      <c r="F4" s="51" t="s">
        <v>255</v>
      </c>
      <c r="G4" s="64" t="str">
        <f t="shared" si="0"/>
        <v>[effect:break_attack_fix, target:unit_one, val:1200, lowest_val:2000, count:-1, color:blue, block01:crash]</v>
      </c>
      <c r="H4" s="64">
        <f t="shared" si="1"/>
        <v>9</v>
      </c>
      <c r="I4" s="64">
        <f t="shared" si="2"/>
        <v>25</v>
      </c>
      <c r="J4" s="64">
        <f t="shared" si="3"/>
        <v>34</v>
      </c>
      <c r="K4" s="64">
        <f t="shared" si="4"/>
        <v>42</v>
      </c>
      <c r="L4" s="64" t="str">
        <f>IFERROR(VLOOKUP(MID(G4,J4,K4-J4),[5]skilldef!$C:$D,2,FALSE),"-") &amp; " / " &amp; IFERROR(VLOOKUP(MID(G4,H4,I4-H4),[5]skilldef!$A:$B,2,FALSE),"-")</f>
        <v>味方単体に / -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104">
        <v>30040004</v>
      </c>
      <c r="B5" s="47" t="s">
        <v>331</v>
      </c>
      <c r="C5" s="50">
        <v>3</v>
      </c>
      <c r="D5" s="50" t="s">
        <v>127</v>
      </c>
      <c r="E5" s="51" t="s">
        <v>291</v>
      </c>
      <c r="F5" s="51" t="s">
        <v>256</v>
      </c>
      <c r="G5" s="64" t="str">
        <f t="shared" si="0"/>
        <v>[effect:hungup, target:unit_all, turn:2, rate:1, animation:hungup01]</v>
      </c>
      <c r="H5" s="64">
        <f t="shared" si="1"/>
        <v>9</v>
      </c>
      <c r="I5" s="64">
        <f t="shared" si="2"/>
        <v>15</v>
      </c>
      <c r="J5" s="64">
        <f t="shared" si="3"/>
        <v>24</v>
      </c>
      <c r="K5" s="64">
        <f t="shared" si="4"/>
        <v>32</v>
      </c>
      <c r="L5" s="64" t="str">
        <f>IFERROR(VLOOKUP(MID(G5,J5,K5-J5),[5]skilldef!$C:$D,2,FALSE),"-") &amp; " / " &amp; IFERROR(VLOOKUP(MID(G5,H5,I5-H5),[5]skilldef!$A:$B,2,FALSE),"-")</f>
        <v>味方全体に / ハングアップ</v>
      </c>
      <c r="M5" s="64" t="str">
        <f t="shared" si="5"/>
        <v>[effect:rush, count:1, val:1]</v>
      </c>
      <c r="N5" s="48" t="str">
        <f t="shared" si="6"/>
        <v>[effect:rush, count:1, val:1]</v>
      </c>
      <c r="O5" s="64">
        <f t="shared" si="7"/>
        <v>9</v>
      </c>
      <c r="P5" s="64">
        <f t="shared" si="8"/>
        <v>13</v>
      </c>
      <c r="Q5" s="64" t="e">
        <f t="shared" si="9"/>
        <v>#VALUE!</v>
      </c>
      <c r="R5" s="64">
        <f t="shared" si="10"/>
        <v>22</v>
      </c>
      <c r="S5" s="64" t="str">
        <f>IFERROR(VLOOKUP(MID(N5,Q5,R5-Q5),[5]skilldef!$C:$D,2,FALSE),"-") &amp; " / " &amp; IFERROR(VLOOKUP(MID(N5,O5,P5-O5),[5]skilldef!$A:$B,2,FALSE),"-")</f>
        <v>- / 連続攻撃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104">
        <v>30040005</v>
      </c>
      <c r="B6" s="47" t="s">
        <v>300</v>
      </c>
      <c r="C6" s="50">
        <v>3</v>
      </c>
      <c r="D6" s="50" t="s">
        <v>127</v>
      </c>
      <c r="E6" s="51" t="s">
        <v>257</v>
      </c>
      <c r="F6" s="51" t="s">
        <v>285</v>
      </c>
      <c r="G6" s="64" t="str">
        <f t="shared" si="0"/>
        <v>[effect:rush, count:4, val:0.25]</v>
      </c>
      <c r="H6" s="64">
        <f t="shared" si="1"/>
        <v>9</v>
      </c>
      <c r="I6" s="64">
        <f t="shared" si="2"/>
        <v>13</v>
      </c>
      <c r="J6" s="64" t="e">
        <f t="shared" si="3"/>
        <v>#VALUE!</v>
      </c>
      <c r="K6" s="64">
        <f t="shared" si="4"/>
        <v>22</v>
      </c>
      <c r="L6" s="64" t="str">
        <f>IFERROR(VLOOKUP(MID(G6,J6,K6-J6),[5]skilldef!$C:$D,2,FALSE),"-") &amp; " / " &amp; IFERROR(VLOOKUP(MID(G6,H6,I6-H6),[5]skilldef!$A:$B,2,FALSE),"-")</f>
        <v>- / 連続攻撃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104">
        <v>30040006</v>
      </c>
      <c r="B7" s="47" t="s">
        <v>301</v>
      </c>
      <c r="C7" s="50">
        <v>3</v>
      </c>
      <c r="D7" s="50" t="s">
        <v>127</v>
      </c>
      <c r="E7" s="51" t="s">
        <v>257</v>
      </c>
      <c r="F7" s="51" t="s">
        <v>258</v>
      </c>
      <c r="G7" s="64" t="str">
        <f t="shared" si="0"/>
        <v>[effect:rush, count:4, val:0.3]</v>
      </c>
      <c r="H7" s="64">
        <f t="shared" si="1"/>
        <v>9</v>
      </c>
      <c r="I7" s="64">
        <f t="shared" si="2"/>
        <v>13</v>
      </c>
      <c r="J7" s="64" t="e">
        <f t="shared" si="3"/>
        <v>#VALUE!</v>
      </c>
      <c r="K7" s="64">
        <f t="shared" si="4"/>
        <v>22</v>
      </c>
      <c r="L7" s="64" t="str">
        <f>IFERROR(VLOOKUP(MID(G7,J7,K7-J7),[5]skilldef!$C:$D,2,FALSE),"-") &amp; " / " &amp; IFERROR(VLOOKUP(MID(G7,H7,I7-H7),[5]skilldef!$A:$B,2,FALSE),"-")</f>
        <v>- / 連続攻撃</v>
      </c>
      <c r="M7" s="64" t="str">
        <f t="shared" si="5"/>
        <v>none</v>
      </c>
      <c r="N7" s="48" t="str">
        <f>IFERROR(LEFT(M7,FIND("],",M7)+#REF!),M7)</f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104">
        <v>30040007</v>
      </c>
      <c r="B8" s="47" t="s">
        <v>302</v>
      </c>
      <c r="C8" s="50">
        <v>3</v>
      </c>
      <c r="D8" s="50" t="s">
        <v>127</v>
      </c>
      <c r="E8" s="51" t="s">
        <v>257</v>
      </c>
      <c r="F8" s="51" t="s">
        <v>258</v>
      </c>
      <c r="G8" s="64" t="str">
        <f t="shared" si="0"/>
        <v>[effect:rush, count:4, val:0.35]</v>
      </c>
      <c r="H8" s="64">
        <f t="shared" si="1"/>
        <v>9</v>
      </c>
      <c r="I8" s="64">
        <f t="shared" si="2"/>
        <v>13</v>
      </c>
      <c r="J8" s="64" t="e">
        <f t="shared" si="3"/>
        <v>#VALUE!</v>
      </c>
      <c r="K8" s="64">
        <f t="shared" si="4"/>
        <v>22</v>
      </c>
      <c r="L8" s="64" t="str">
        <f>IFERROR(VLOOKUP(MID(G8,J8,K8-J8),[5]skilldef!$C:$D,2,FALSE),"-") &amp; " / " &amp; IFERROR(VLOOKUP(MID(G8,H8,I8-H8),[5]skilldef!$A:$B,2,FALSE),"-")</f>
        <v>- / 連続攻撃</v>
      </c>
      <c r="M8" s="64" t="str">
        <f t="shared" si="5"/>
        <v>none</v>
      </c>
      <c r="N8" s="48" t="str">
        <f t="shared" ref="N8:N14" si="16">IFERROR(LEFT(M8,FIND("],",M8)+S17),M8)</f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104">
        <v>30040008</v>
      </c>
      <c r="B9" s="47" t="s">
        <v>303</v>
      </c>
      <c r="C9" s="50">
        <v>3</v>
      </c>
      <c r="D9" s="50" t="s">
        <v>127</v>
      </c>
      <c r="E9" s="51" t="s">
        <v>259</v>
      </c>
      <c r="F9" s="51" t="s">
        <v>368</v>
      </c>
      <c r="G9" s="64" t="str">
        <f t="shared" si="0"/>
        <v>[effect:damage_anti_tribe, target:unit_one, tribe:human, val1:0.8, val2:0.5]</v>
      </c>
      <c r="H9" s="64">
        <f t="shared" si="1"/>
        <v>9</v>
      </c>
      <c r="I9" s="64">
        <f t="shared" si="2"/>
        <v>26</v>
      </c>
      <c r="J9" s="64">
        <f t="shared" si="3"/>
        <v>35</v>
      </c>
      <c r="K9" s="64">
        <f t="shared" si="4"/>
        <v>43</v>
      </c>
      <c r="L9" s="64" t="str">
        <f>IFERROR(VLOOKUP(MID(G9,J9,K9-J9),[5]skilldef!$C:$D,2,FALSE),"-") &amp; " / " &amp; IFERROR(VLOOKUP(MID(G9,H9,I9-H9),[5]skilldef!$A:$B,2,FALSE),"-")</f>
        <v>味方単体に / 種族キラー</v>
      </c>
      <c r="M9" s="64" t="str">
        <f t="shared" si="5"/>
        <v>[effect:damage_anti_tribe, target:unit_one, tribe:machine, val1:0.8, val2:0.5],[effect:enemy_message, val1:1, val2:3]</v>
      </c>
      <c r="N9" s="48" t="str">
        <f t="shared" si="16"/>
        <v>[effect:damage_anti_tribe, target:unit_one, tribe:machine, val1:0.8, val2:0.5],[effect:enemy_message, val1:1, val2:3]</v>
      </c>
      <c r="O9" s="64">
        <f t="shared" si="7"/>
        <v>9</v>
      </c>
      <c r="P9" s="64">
        <f t="shared" si="8"/>
        <v>26</v>
      </c>
      <c r="Q9" s="64">
        <f t="shared" si="9"/>
        <v>35</v>
      </c>
      <c r="R9" s="64">
        <f t="shared" si="10"/>
        <v>43</v>
      </c>
      <c r="S9" s="64" t="str">
        <f>IFERROR(VLOOKUP(MID(N9,Q9,R9-Q9),[5]skilldef!$C:$D,2,FALSE),"-") &amp; " / " &amp; IFERROR(VLOOKUP(MID(N9,O9,P9-O9),[5]skilldef!$A:$B,2,FALSE),"-")</f>
        <v>味方単体に / 種族キラー</v>
      </c>
      <c r="T9" s="48" t="str">
        <f t="shared" si="11"/>
        <v>[effect:enemy_message, val1:1, val2:3]</v>
      </c>
      <c r="U9" s="64">
        <f t="shared" si="12"/>
        <v>9</v>
      </c>
      <c r="V9" s="64">
        <f t="shared" si="13"/>
        <v>22</v>
      </c>
      <c r="W9" s="64" t="e">
        <f t="shared" si="14"/>
        <v>#VALUE!</v>
      </c>
      <c r="X9" s="64">
        <f t="shared" si="15"/>
        <v>30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104">
        <v>30040009</v>
      </c>
      <c r="B10" s="47" t="s">
        <v>304</v>
      </c>
      <c r="C10" s="50">
        <v>3</v>
      </c>
      <c r="D10" s="50" t="s">
        <v>127</v>
      </c>
      <c r="E10" s="51" t="s">
        <v>260</v>
      </c>
      <c r="F10" s="51" t="s">
        <v>369</v>
      </c>
      <c r="G10" s="64" t="str">
        <f t="shared" si="0"/>
        <v>[effect:damage_anti_tribe, target:unit_one, tribe:animal, val1:0.8, val2:0.5]</v>
      </c>
      <c r="H10" s="64">
        <f t="shared" si="1"/>
        <v>9</v>
      </c>
      <c r="I10" s="64">
        <f t="shared" si="2"/>
        <v>26</v>
      </c>
      <c r="J10" s="64">
        <f t="shared" si="3"/>
        <v>35</v>
      </c>
      <c r="K10" s="64">
        <f t="shared" si="4"/>
        <v>43</v>
      </c>
      <c r="L10" s="64" t="str">
        <f>IFERROR(VLOOKUP(MID(G10,J10,K10-J10),[5]skilldef!$C:$D,2,FALSE),"-") &amp; " / " &amp; IFERROR(VLOOKUP(MID(G10,H10,I10-H10),[5]skilldef!$A:$B,2,FALSE),"-")</f>
        <v>味方単体に / 種族キラー</v>
      </c>
      <c r="M10" s="64" t="str">
        <f t="shared" si="5"/>
        <v>[effect:damage_anti_tribe, target:unit_one, tribe:dragon, val1:0.8, val2:0.5],[effect:enemy_message, val1:1, val2:3]</v>
      </c>
      <c r="N10" s="48" t="str">
        <f t="shared" si="16"/>
        <v>[effect:damage_anti_tribe, target:unit_one, tribe:dragon, val1:0.8, val2:0.5],[effect:enemy_message, val1:1, val2:3]</v>
      </c>
      <c r="O10" s="64">
        <f t="shared" si="7"/>
        <v>9</v>
      </c>
      <c r="P10" s="64">
        <f t="shared" si="8"/>
        <v>26</v>
      </c>
      <c r="Q10" s="64">
        <f t="shared" si="9"/>
        <v>35</v>
      </c>
      <c r="R10" s="64">
        <f t="shared" si="10"/>
        <v>43</v>
      </c>
      <c r="S10" s="64" t="str">
        <f>IFERROR(VLOOKUP(MID(N10,Q10,R10-Q10),[5]skilldef!$C:$D,2,FALSE),"-") &amp; " / " &amp; IFERROR(VLOOKUP(MID(N10,O10,P10-O10),[5]skilldef!$A:$B,2,FALSE),"-")</f>
        <v>味方単体に / 種族キラー</v>
      </c>
      <c r="T10" s="48" t="str">
        <f t="shared" si="11"/>
        <v>[effect:enemy_message, val1:1, val2:3]</v>
      </c>
      <c r="U10" s="64">
        <f t="shared" si="12"/>
        <v>9</v>
      </c>
      <c r="V10" s="64">
        <f t="shared" si="13"/>
        <v>22</v>
      </c>
      <c r="W10" s="64" t="e">
        <f t="shared" si="14"/>
        <v>#VALUE!</v>
      </c>
      <c r="X10" s="64">
        <f t="shared" si="15"/>
        <v>30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104">
        <v>30040010</v>
      </c>
      <c r="B11" s="47" t="s">
        <v>305</v>
      </c>
      <c r="C11" s="50">
        <v>3</v>
      </c>
      <c r="D11" s="50" t="s">
        <v>127</v>
      </c>
      <c r="E11" s="51" t="s">
        <v>367</v>
      </c>
      <c r="F11" s="51" t="s">
        <v>370</v>
      </c>
      <c r="G11" s="64" t="str">
        <f t="shared" si="0"/>
        <v>[effect:damage_anti_tribe, target:unit_one, tribe:god, val1:0.8, val2:0.5]</v>
      </c>
      <c r="H11" s="64">
        <f t="shared" si="1"/>
        <v>9</v>
      </c>
      <c r="I11" s="64">
        <f t="shared" si="2"/>
        <v>26</v>
      </c>
      <c r="J11" s="64">
        <f t="shared" si="3"/>
        <v>35</v>
      </c>
      <c r="K11" s="64">
        <f t="shared" si="4"/>
        <v>43</v>
      </c>
      <c r="L11" s="64" t="str">
        <f>IFERROR(VLOOKUP(MID(G11,J11,K11-J11),[5]skilldef!$C:$D,2,FALSE),"-") &amp; " / " &amp; IFERROR(VLOOKUP(MID(G11,H11,I11-H11),[5]skilldef!$A:$B,2,FALSE),"-")</f>
        <v>味方単体に / 種族キラー</v>
      </c>
      <c r="M11" s="64" t="str">
        <f t="shared" si="5"/>
        <v>[effect:damage_anti_tribe, target:unit_one, tribe:unknown, val1:0.8, val2:0.5],[effect:enemy_message, val1:1, val2:3]</v>
      </c>
      <c r="N11" s="48" t="str">
        <f t="shared" si="16"/>
        <v>[effect:damage_anti_tribe, target:unit_one, tribe:unknown, val1:0.8, val2:0.5],[effect:enemy_message, val1:1, val2:3]</v>
      </c>
      <c r="O11" s="64">
        <f t="shared" si="7"/>
        <v>9</v>
      </c>
      <c r="P11" s="64">
        <f t="shared" si="8"/>
        <v>26</v>
      </c>
      <c r="Q11" s="64">
        <f t="shared" si="9"/>
        <v>35</v>
      </c>
      <c r="R11" s="64">
        <f t="shared" si="10"/>
        <v>43</v>
      </c>
      <c r="S11" s="64" t="str">
        <f>IFERROR(VLOOKUP(MID(N11,Q11,R11-Q11),[5]skilldef!$C:$D,2,FALSE),"-") &amp; " / " &amp; IFERROR(VLOOKUP(MID(N11,O11,P11-O11),[5]skilldef!$A:$B,2,FALSE),"-")</f>
        <v>味方単体に / 種族キラー</v>
      </c>
      <c r="T11" s="48" t="str">
        <f t="shared" si="11"/>
        <v>[effect:enemy_message, val1:1, val2:3]</v>
      </c>
      <c r="U11" s="64">
        <f t="shared" si="12"/>
        <v>9</v>
      </c>
      <c r="V11" s="64">
        <f t="shared" si="13"/>
        <v>22</v>
      </c>
      <c r="W11" s="64" t="e">
        <f t="shared" si="14"/>
        <v>#VALUE!</v>
      </c>
      <c r="X11" s="64">
        <f t="shared" si="15"/>
        <v>30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105">
        <v>30040011</v>
      </c>
      <c r="B12" s="47" t="s">
        <v>263</v>
      </c>
      <c r="C12" s="50">
        <v>3</v>
      </c>
      <c r="D12" s="50" t="s">
        <v>127</v>
      </c>
      <c r="E12" s="51" t="s">
        <v>261</v>
      </c>
      <c r="F12" s="51" t="s">
        <v>262</v>
      </c>
      <c r="G12" s="64" t="str">
        <f t="shared" si="0"/>
        <v xml:space="preserve">[effect:virus, turn:2, rate:1, val:0.2, animation:enemy_virus] </v>
      </c>
      <c r="H12" s="64">
        <f t="shared" si="1"/>
        <v>9</v>
      </c>
      <c r="I12" s="64">
        <f t="shared" si="2"/>
        <v>14</v>
      </c>
      <c r="J12" s="64" t="e">
        <f t="shared" si="3"/>
        <v>#VALUE!</v>
      </c>
      <c r="K12" s="64">
        <f t="shared" si="4"/>
        <v>22</v>
      </c>
      <c r="L12" s="64" t="str">
        <f>IFERROR(VLOOKUP(MID(G12,J12,K12-J12),[5]skilldef!$C:$D,2,FALSE),"-") &amp; " / " &amp; IFERROR(VLOOKUP(MID(G12,H12,I12-H12),[5]skilldef!$A:$B,2,FALSE),"-")</f>
        <v>- / ウィルス</v>
      </c>
      <c r="M12" s="64" t="str">
        <f t="shared" si="5"/>
        <v>none</v>
      </c>
      <c r="N12" s="48" t="str">
        <f t="shared" si="16"/>
        <v>none</v>
      </c>
      <c r="O12" s="64" t="e">
        <f t="shared" si="7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105">
        <v>30040012</v>
      </c>
      <c r="B13" s="47" t="s">
        <v>317</v>
      </c>
      <c r="C13" s="50">
        <v>3</v>
      </c>
      <c r="D13" s="50" t="s">
        <v>127</v>
      </c>
      <c r="E13" s="51" t="s">
        <v>264</v>
      </c>
      <c r="F13" s="51" t="s">
        <v>267</v>
      </c>
      <c r="G13" s="64" t="str">
        <f t="shared" si="0"/>
        <v>[effect:fix_speed, target:myself, turn:1]</v>
      </c>
      <c r="H13" s="64">
        <f t="shared" si="1"/>
        <v>9</v>
      </c>
      <c r="I13" s="64">
        <f t="shared" si="2"/>
        <v>18</v>
      </c>
      <c r="J13" s="64">
        <f t="shared" si="3"/>
        <v>27</v>
      </c>
      <c r="K13" s="64">
        <f t="shared" si="4"/>
        <v>33</v>
      </c>
      <c r="L13" s="64" t="str">
        <f>IFERROR(VLOOKUP(MID(G13,J13,K13-J13),[5]skilldef!$C:$D,2,FALSE),"-") &amp; " / " &amp; IFERROR(VLOOKUP(MID(G13,H13,I13-H13),[5]skilldef!$A:$B,2,FALSE),"-")</f>
        <v>自分自身に / 行動値設定</v>
      </c>
      <c r="M13" s="64" t="str">
        <f t="shared" si="5"/>
        <v>none</v>
      </c>
      <c r="N13" s="48" t="str">
        <f t="shared" si="16"/>
        <v>none</v>
      </c>
      <c r="O13" s="64" t="e">
        <f t="shared" si="7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105">
        <v>30040013</v>
      </c>
      <c r="B14" s="47" t="s">
        <v>265</v>
      </c>
      <c r="C14" s="50">
        <v>3</v>
      </c>
      <c r="D14" s="50" t="s">
        <v>127</v>
      </c>
      <c r="E14" s="51" t="s">
        <v>319</v>
      </c>
      <c r="F14" s="51" t="s">
        <v>268</v>
      </c>
      <c r="G14" s="64" t="str">
        <f t="shared" si="0"/>
        <v>[effect:enemy_message, val1:2, val2:1.8]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30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none</v>
      </c>
      <c r="N14" s="48" t="str">
        <f t="shared" si="16"/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05">
        <v>30040014</v>
      </c>
      <c r="B15" s="47" t="s">
        <v>270</v>
      </c>
      <c r="C15" s="50">
        <v>3</v>
      </c>
      <c r="D15" s="50" t="s">
        <v>127</v>
      </c>
      <c r="E15" s="51" t="s">
        <v>318</v>
      </c>
      <c r="F15" s="51" t="s">
        <v>269</v>
      </c>
      <c r="G15" s="64" t="str">
        <f t="shared" si="0"/>
        <v>[effect:enemy_message, val1:2, val2:1.8]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none</v>
      </c>
      <c r="N15" s="48" t="str">
        <f>IFERROR(LEFT(M15,FIND("],",M15)+S25),M15)</f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105">
        <v>30040015</v>
      </c>
      <c r="B16" s="47" t="s">
        <v>265</v>
      </c>
      <c r="C16" s="50">
        <v>3</v>
      </c>
      <c r="D16" s="50" t="s">
        <v>127</v>
      </c>
      <c r="E16" s="51" t="s">
        <v>320</v>
      </c>
      <c r="F16" s="51" t="s">
        <v>275</v>
      </c>
      <c r="G16" s="64" t="str">
        <f t="shared" si="0"/>
        <v>[effect:enemy_message, val1:2, val2:1.8]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30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none</v>
      </c>
      <c r="N16" s="48" t="str">
        <f>IFERROR(LEFT(M16,FIND("],",M16)+S26),M16)</f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05">
        <v>30040016</v>
      </c>
      <c r="B17" s="47" t="s">
        <v>271</v>
      </c>
      <c r="C17" s="50">
        <v>3</v>
      </c>
      <c r="D17" s="50" t="s">
        <v>127</v>
      </c>
      <c r="E17" s="51" t="s">
        <v>266</v>
      </c>
      <c r="F17" s="51" t="s">
        <v>279</v>
      </c>
      <c r="G17" s="64" t="str">
        <f t="shared" si="0"/>
        <v>[effect:spread, val:1.25]</v>
      </c>
      <c r="H17" s="64">
        <f t="shared" si="1"/>
        <v>9</v>
      </c>
      <c r="I17" s="64">
        <f t="shared" si="2"/>
        <v>15</v>
      </c>
      <c r="J17" s="64" t="e">
        <f t="shared" si="3"/>
        <v>#VALUE!</v>
      </c>
      <c r="K17" s="64" t="e">
        <f t="shared" si="4"/>
        <v>#VALUE!</v>
      </c>
      <c r="L17" s="64" t="str">
        <f>IFERROR(VLOOKUP(MID(G17,J17,K17-J17),[5]skilldef!$C:$D,2,FALSE),"-") &amp; " / " &amp; IFERROR(VLOOKUP(MID(G17,H17,I17-H17),[5]skilldef!$A:$B,2,FALSE),"-")</f>
        <v>- / 全体攻撃</v>
      </c>
      <c r="M17" s="64" t="str">
        <f t="shared" si="5"/>
        <v>none</v>
      </c>
      <c r="N17" s="48" t="str">
        <f>IFERROR(LEFT(M17,FIND("],",M17)+S32),M17)</f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106">
        <v>30040017</v>
      </c>
      <c r="B18" s="47" t="s">
        <v>272</v>
      </c>
      <c r="C18" s="50">
        <v>3</v>
      </c>
      <c r="D18" s="50" t="s">
        <v>127</v>
      </c>
      <c r="E18" s="51" t="s">
        <v>273</v>
      </c>
      <c r="F18" s="51" t="s">
        <v>274</v>
      </c>
      <c r="G18" s="64" t="str">
        <f t="shared" ref="G18" si="17">IFERROR(LEFT(B18,FIND("],",B18)),B18)</f>
        <v>[effect:change_panel_ratio, turn:12, block_type:heal, val:0.6, animation:block_incidence04]</v>
      </c>
      <c r="H18" s="64">
        <f t="shared" si="1"/>
        <v>9</v>
      </c>
      <c r="I18" s="64">
        <f t="shared" ref="I18" si="18">IFERROR(FIND(",",G18),LEN(G18))</f>
        <v>27</v>
      </c>
      <c r="J18" s="64" t="e">
        <f t="shared" ref="J18" si="19">FIND("target:",G18)+7</f>
        <v>#VALUE!</v>
      </c>
      <c r="K18" s="64">
        <f t="shared" ref="K18" si="20">FIND(",",G18,I18+1)</f>
        <v>36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ref="M18" si="21">IFERROR(RIGHT(B18,LEN(B18)-FIND("],",B18)-1),"none")</f>
        <v>none</v>
      </c>
      <c r="N18" s="48" t="str">
        <f>IFERROR(LEFT(M18,FIND("],",M18)+S33),M18)</f>
        <v>none</v>
      </c>
      <c r="O18" s="64" t="e">
        <f t="shared" si="7"/>
        <v>#VALUE!</v>
      </c>
      <c r="P18" s="64">
        <f t="shared" ref="P18" si="22">IFERROR(FIND(",",N18),LEN(N18))</f>
        <v>4</v>
      </c>
      <c r="Q18" s="64" t="e">
        <f t="shared" ref="Q18" si="23">FIND("target:",N18)+7</f>
        <v>#VALUE!</v>
      </c>
      <c r="R18" s="64" t="e">
        <f t="shared" ref="R18" si="24">FIND(",",N18,P18+1)</f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25">IFERROR(RIGHT(M18,LEN(M18)-FIND("],",M18)-1),"none")</f>
        <v>none</v>
      </c>
      <c r="U18" s="64" t="e">
        <f t="shared" si="12"/>
        <v>#VALUE!</v>
      </c>
      <c r="V18" s="64">
        <f t="shared" ref="V18" si="26">IFERROR(FIND(",",T18),LEN(T18))</f>
        <v>4</v>
      </c>
      <c r="W18" s="64" t="e">
        <f t="shared" ref="W18" si="27">FIND("target:",T18)+7</f>
        <v>#VALUE!</v>
      </c>
      <c r="X18" s="64" t="e">
        <f t="shared" ref="X18" si="28">FIND(",",T18,V18+1)</f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106">
        <v>30040018</v>
      </c>
      <c r="B19" s="47" t="s">
        <v>341</v>
      </c>
      <c r="C19" s="50">
        <v>3</v>
      </c>
      <c r="D19" s="50" t="s">
        <v>127</v>
      </c>
      <c r="E19" s="51" t="s">
        <v>294</v>
      </c>
      <c r="F19" s="51" t="s">
        <v>339</v>
      </c>
      <c r="G19" s="64" t="str">
        <f t="shared" ref="G19" si="29">IFERROR(LEFT(B19,FIND("],",B19)),B19)</f>
        <v>[effect:hungup, target:unit_all, turn:1, rate:1, calc_type:target_all, animation:hungup01]</v>
      </c>
      <c r="H19" s="64">
        <f t="shared" si="1"/>
        <v>9</v>
      </c>
      <c r="I19" s="64">
        <f t="shared" ref="I19" si="30">IFERROR(FIND(",",G19),LEN(G19))</f>
        <v>15</v>
      </c>
      <c r="J19" s="64">
        <f t="shared" ref="J19" si="31">FIND("target:",G19)+7</f>
        <v>24</v>
      </c>
      <c r="K19" s="64">
        <f t="shared" ref="K19" si="32">FIND(",",G19,I19+1)</f>
        <v>32</v>
      </c>
      <c r="L19" s="64" t="str">
        <f>IFERROR(VLOOKUP(MID(G19,J19,K19-J19),[5]skilldef!$C:$D,2,FALSE),"-") &amp; " / " &amp; IFERROR(VLOOKUP(MID(G19,H19,I19-H19),[5]skilldef!$A:$B,2,FALSE),"-")</f>
        <v>味方全体に / ハングアップ</v>
      </c>
      <c r="M19" s="64" t="str">
        <f t="shared" ref="M19" si="33">IFERROR(RIGHT(B19,LEN(B19)-FIND("],",B19)-1),"none")</f>
        <v>[effect:rush, count:1, val:1]</v>
      </c>
      <c r="N19" s="48" t="str">
        <f>IFERROR(LEFT(M19,FIND("],",M19)+#REF!),M19)</f>
        <v>[effect:rush, count:1, val:1]</v>
      </c>
      <c r="O19" s="64">
        <f t="shared" si="7"/>
        <v>9</v>
      </c>
      <c r="P19" s="64">
        <f t="shared" ref="P19" si="34">IFERROR(FIND(",",N19),LEN(N19))</f>
        <v>13</v>
      </c>
      <c r="Q19" s="64" t="e">
        <f t="shared" ref="Q19" si="35">FIND("target:",N19)+7</f>
        <v>#VALUE!</v>
      </c>
      <c r="R19" s="64">
        <f t="shared" ref="R19" si="36">FIND(",",N19,P19+1)</f>
        <v>22</v>
      </c>
      <c r="S19" s="64" t="str">
        <f>IFERROR(VLOOKUP(MID(N19,Q19,R19-Q19),[5]skilldef!$C:$D,2,FALSE),"-") &amp; " / " &amp; IFERROR(VLOOKUP(MID(N19,O19,P19-O19),[5]skilldef!$A:$B,2,FALSE),"-")</f>
        <v>- / 連続攻撃</v>
      </c>
      <c r="T19" s="48" t="str">
        <f t="shared" ref="T19" si="37">IFERROR(RIGHT(M19,LEN(M19)-FIND("],",M19)-1),"none")</f>
        <v>none</v>
      </c>
      <c r="U19" s="64" t="e">
        <f t="shared" si="12"/>
        <v>#VALUE!</v>
      </c>
      <c r="V19" s="64">
        <f t="shared" ref="V19" si="38">IFERROR(FIND(",",T19),LEN(T19))</f>
        <v>4</v>
      </c>
      <c r="W19" s="64" t="e">
        <f t="shared" ref="W19" si="39">FIND("target:",T19)+7</f>
        <v>#VALUE!</v>
      </c>
      <c r="X19" s="64" t="e">
        <f t="shared" ref="X19" si="40">FIND(",",T19,V19+1)</f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106">
        <v>30040019</v>
      </c>
      <c r="B20" s="47" t="s">
        <v>329</v>
      </c>
      <c r="C20" s="50">
        <v>3</v>
      </c>
      <c r="D20" s="50" t="s">
        <v>127</v>
      </c>
      <c r="E20" s="51" t="s">
        <v>295</v>
      </c>
      <c r="F20" s="51" t="s">
        <v>276</v>
      </c>
      <c r="G20" s="64" t="str">
        <f t="shared" ref="G20" si="41">IFERROR(LEFT(B20,FIND("],",B20)),B20)</f>
        <v>[effect:fix_speed, target:myself, turn:1]</v>
      </c>
      <c r="H20" s="64">
        <f t="shared" si="1"/>
        <v>9</v>
      </c>
      <c r="I20" s="64">
        <f t="shared" ref="I20" si="42">IFERROR(FIND(",",G20),LEN(G20))</f>
        <v>18</v>
      </c>
      <c r="J20" s="64">
        <f t="shared" ref="J20" si="43">FIND("target:",G20)+7</f>
        <v>27</v>
      </c>
      <c r="K20" s="64">
        <f t="shared" ref="K20" si="44">FIND(",",G20,I20+1)</f>
        <v>33</v>
      </c>
      <c r="L20" s="64" t="str">
        <f>IFERROR(VLOOKUP(MID(G20,J20,K20-J20),[5]skilldef!$C:$D,2,FALSE),"-") &amp; " / " &amp; IFERROR(VLOOKUP(MID(G20,H20,I20-H20),[5]skilldef!$A:$B,2,FALSE),"-")</f>
        <v>自分自身に / 行動値設定</v>
      </c>
      <c r="M20" s="64" t="str">
        <f t="shared" ref="M20" si="45">IFERROR(RIGHT(B20,LEN(B20)-FIND("],",B20)-1),"none")</f>
        <v>none</v>
      </c>
      <c r="N20" s="48" t="str">
        <f>IFERROR(LEFT(M20,FIND("],",M20)+#REF!),M20)</f>
        <v>none</v>
      </c>
      <c r="O20" s="64" t="e">
        <f t="shared" si="7"/>
        <v>#VALUE!</v>
      </c>
      <c r="P20" s="64">
        <f t="shared" ref="P20" si="46">IFERROR(FIND(",",N20),LEN(N20))</f>
        <v>4</v>
      </c>
      <c r="Q20" s="64" t="e">
        <f t="shared" ref="Q20" si="47">FIND("target:",N20)+7</f>
        <v>#VALUE!</v>
      </c>
      <c r="R20" s="64" t="e">
        <f t="shared" ref="R20" si="48">FIND(",",N20,P20+1)</f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49">IFERROR(RIGHT(M20,LEN(M20)-FIND("],",M20)-1),"none")</f>
        <v>none</v>
      </c>
      <c r="U20" s="64" t="e">
        <f t="shared" si="12"/>
        <v>#VALUE!</v>
      </c>
      <c r="V20" s="64">
        <f t="shared" ref="V20" si="50">IFERROR(FIND(",",T20),LEN(T20))</f>
        <v>4</v>
      </c>
      <c r="W20" s="64" t="e">
        <f t="shared" ref="W20" si="51">FIND("target:",T20)+7</f>
        <v>#VALUE!</v>
      </c>
      <c r="X20" s="64" t="e">
        <f t="shared" ref="X20" si="52">FIND(",",T20,V20+1)</f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106">
        <v>30040020</v>
      </c>
      <c r="B21" s="47" t="s">
        <v>307</v>
      </c>
      <c r="C21" s="50">
        <v>3</v>
      </c>
      <c r="D21" s="50" t="s">
        <v>127</v>
      </c>
      <c r="E21" s="51" t="s">
        <v>278</v>
      </c>
      <c r="F21" s="51" t="s">
        <v>281</v>
      </c>
      <c r="G21" s="64" t="str">
        <f t="shared" ref="G21" si="53">IFERROR(LEFT(B21,FIND("],",B21)),B21)</f>
        <v>[effect:break_enchance_enemy, val:0.02, lowest_val:0.2, count :20, status:attack, turn:-1, block:block_heart, target:myself, calc:mul, animation:enemy_enhance_attack]</v>
      </c>
      <c r="H21" s="64">
        <f t="shared" si="1"/>
        <v>9</v>
      </c>
      <c r="I21" s="64">
        <f t="shared" ref="I21" si="54">IFERROR(FIND(",",G21),LEN(G21))</f>
        <v>29</v>
      </c>
      <c r="J21" s="64">
        <f t="shared" ref="J21" si="55">FIND("target:",G21)+7</f>
        <v>118</v>
      </c>
      <c r="K21" s="64">
        <f t="shared" ref="K21" si="56">FIND(",",G21,I21+1)</f>
        <v>39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ref="M21" si="57">IFERROR(RIGHT(B21,LEN(B21)-FIND("],",B21)-1),"none")</f>
        <v>none</v>
      </c>
      <c r="N21" s="48" t="str">
        <f>IFERROR(LEFT(M21,FIND("],",M21)+#REF!),M21)</f>
        <v>none</v>
      </c>
      <c r="O21" s="64" t="e">
        <f t="shared" si="7"/>
        <v>#VALUE!</v>
      </c>
      <c r="P21" s="64">
        <f t="shared" ref="P21" si="58">IFERROR(FIND(",",N21),LEN(N21))</f>
        <v>4</v>
      </c>
      <c r="Q21" s="64" t="e">
        <f t="shared" ref="Q21" si="59">FIND("target:",N21)+7</f>
        <v>#VALUE!</v>
      </c>
      <c r="R21" s="64" t="e">
        <f t="shared" ref="R21" si="60">FIND(",",N21,P21+1)</f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61">IFERROR(RIGHT(M21,LEN(M21)-FIND("],",M21)-1),"none")</f>
        <v>none</v>
      </c>
      <c r="U21" s="64" t="e">
        <f t="shared" si="12"/>
        <v>#VALUE!</v>
      </c>
      <c r="V21" s="64">
        <f t="shared" ref="V21" si="62">IFERROR(FIND(",",T21),LEN(T21))</f>
        <v>4</v>
      </c>
      <c r="W21" s="64" t="e">
        <f t="shared" ref="W21" si="63">FIND("target:",T21)+7</f>
        <v>#VALUE!</v>
      </c>
      <c r="X21" s="64" t="e">
        <f t="shared" ref="X21" si="64">FIND(",",T21,V21+1)</f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106">
        <v>30040021</v>
      </c>
      <c r="B22" s="47" t="s">
        <v>306</v>
      </c>
      <c r="C22" s="50">
        <v>3</v>
      </c>
      <c r="D22" s="50" t="s">
        <v>127</v>
      </c>
      <c r="E22" s="51" t="s">
        <v>293</v>
      </c>
      <c r="F22" s="51" t="s">
        <v>286</v>
      </c>
      <c r="G22" s="64" t="str">
        <f t="shared" ref="G22" si="65">IFERROR(LEFT(B22,FIND("],",B22)),B22)</f>
        <v>[effect:critical, val:1.3, animation:enemy_critical]</v>
      </c>
      <c r="H22" s="64">
        <f t="shared" si="1"/>
        <v>9</v>
      </c>
      <c r="I22" s="64">
        <f t="shared" ref="I22" si="66">IFERROR(FIND(",",G22),LEN(G22))</f>
        <v>17</v>
      </c>
      <c r="J22" s="64" t="e">
        <f t="shared" ref="J22" si="67">FIND("target:",G22)+7</f>
        <v>#VALUE!</v>
      </c>
      <c r="K22" s="64">
        <f t="shared" ref="K22" si="68">FIND(",",G22,I22+1)</f>
        <v>26</v>
      </c>
      <c r="L22" s="64" t="str">
        <f>IFERROR(VLOOKUP(MID(G22,J22,K22-J22),[5]skilldef!$C:$D,2,FALSE),"-") &amp; " / " &amp; IFERROR(VLOOKUP(MID(G22,H22,I22-H22),[5]skilldef!$A:$B,2,FALSE),"-")</f>
        <v>- / 大攻撃</v>
      </c>
      <c r="M22" s="64" t="str">
        <f t="shared" ref="M22" si="69">IFERROR(RIGHT(B22,LEN(B22)-FIND("],",B22)-1),"none")</f>
        <v>none</v>
      </c>
      <c r="N22" s="48" t="str">
        <f>IFERROR(LEFT(M22,FIND("],",M22)+#REF!),M22)</f>
        <v>none</v>
      </c>
      <c r="O22" s="64" t="e">
        <f t="shared" si="7"/>
        <v>#VALUE!</v>
      </c>
      <c r="P22" s="64">
        <f t="shared" ref="P22" si="70">IFERROR(FIND(",",N22),LEN(N22))</f>
        <v>4</v>
      </c>
      <c r="Q22" s="64" t="e">
        <f t="shared" ref="Q22" si="71">FIND("target:",N22)+7</f>
        <v>#VALUE!</v>
      </c>
      <c r="R22" s="64" t="e">
        <f t="shared" ref="R22" si="72">FIND(",",N22,P22+1)</f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73">IFERROR(RIGHT(M22,LEN(M22)-FIND("],",M22)-1),"none")</f>
        <v>none</v>
      </c>
      <c r="U22" s="64" t="e">
        <f t="shared" si="12"/>
        <v>#VALUE!</v>
      </c>
      <c r="V22" s="64">
        <f t="shared" ref="V22" si="74">IFERROR(FIND(",",T22),LEN(T22))</f>
        <v>4</v>
      </c>
      <c r="W22" s="64" t="e">
        <f t="shared" ref="W22" si="75">FIND("target:",T22)+7</f>
        <v>#VALUE!</v>
      </c>
      <c r="X22" s="64" t="e">
        <f t="shared" ref="X22" si="76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107">
        <v>30040022</v>
      </c>
      <c r="B23" s="47" t="s">
        <v>322</v>
      </c>
      <c r="C23" s="50">
        <v>3</v>
      </c>
      <c r="D23" s="50" t="s">
        <v>127</v>
      </c>
      <c r="E23" s="51" t="s">
        <v>362</v>
      </c>
      <c r="F23" s="51" t="s">
        <v>321</v>
      </c>
      <c r="G23" s="64" t="str">
        <f t="shared" ref="G23:G25" si="77">IFERROR(LEFT(B23,FIND("],",B23)),B23)</f>
        <v>[effect:fix_speed, target:myself, turn:3]</v>
      </c>
      <c r="H23" s="64">
        <f t="shared" si="1"/>
        <v>9</v>
      </c>
      <c r="I23" s="64">
        <f t="shared" ref="I23:I25" si="78">IFERROR(FIND(",",G23),LEN(G23))</f>
        <v>18</v>
      </c>
      <c r="J23" s="64">
        <f t="shared" ref="J23:J25" si="79">FIND("target:",G23)+7</f>
        <v>27</v>
      </c>
      <c r="K23" s="64">
        <f t="shared" ref="K23:K25" si="80">FIND(",",G23,I23+1)</f>
        <v>33</v>
      </c>
      <c r="L23" s="64" t="str">
        <f>IFERROR(VLOOKUP(MID(G23,J23,K23-J23),[5]skilldef!$C:$D,2,FALSE),"-") &amp; " / " &amp; IFERROR(VLOOKUP(MID(G23,H23,I23-H23),[5]skilldef!$A:$B,2,FALSE),"-")</f>
        <v>自分自身に / 行動値設定</v>
      </c>
      <c r="M23" s="64" t="str">
        <f t="shared" ref="M23:M25" si="81">IFERROR(RIGHT(B23,LEN(B23)-FIND("],",B23)-1),"none")</f>
        <v>[effect:enhance_enemy, target:myself, turn:-1, status:defense, val:10000, calc:add, animation:enemy_enhance_defense]</v>
      </c>
      <c r="N23" s="48" t="str">
        <f>IFERROR(LEFT(M23,FIND("],",M23)+#REF!),M23)</f>
        <v>[effect:enhance_enemy, target:myself, turn:-1, status:defense, val:10000, calc:add, animation:enemy_enhance_defense]</v>
      </c>
      <c r="O23" s="64">
        <f t="shared" si="7"/>
        <v>9</v>
      </c>
      <c r="P23" s="64">
        <f t="shared" ref="P23:P25" si="82">IFERROR(FIND(",",N23),LEN(N23))</f>
        <v>22</v>
      </c>
      <c r="Q23" s="64">
        <f t="shared" ref="Q23:Q25" si="83">FIND("target:",N23)+7</f>
        <v>31</v>
      </c>
      <c r="R23" s="64">
        <f t="shared" ref="R23:R25" si="84">FIND(",",N23,P23+1)</f>
        <v>37</v>
      </c>
      <c r="S23" s="64" t="str">
        <f>IFERROR(VLOOKUP(MID(N23,Q23,R23-Q23),[5]skilldef!$C:$D,2,FALSE),"-") &amp; " / " &amp; IFERROR(VLOOKUP(MID(N23,O23,P23-O23),[5]skilldef!$A:$B,2,FALSE),"-")</f>
        <v>自分自身に / ステータス強化</v>
      </c>
      <c r="T23" s="48" t="str">
        <f t="shared" ref="T23:T25" si="85">IFERROR(RIGHT(M23,LEN(M23)-FIND("],",M23)-1),"none")</f>
        <v>none</v>
      </c>
      <c r="U23" s="64" t="e">
        <f t="shared" si="12"/>
        <v>#VALUE!</v>
      </c>
      <c r="V23" s="64">
        <f t="shared" ref="V23:V25" si="86">IFERROR(FIND(",",T23),LEN(T23))</f>
        <v>4</v>
      </c>
      <c r="W23" s="64" t="e">
        <f t="shared" ref="W23:W25" si="87">FIND("target:",T23)+7</f>
        <v>#VALUE!</v>
      </c>
      <c r="X23" s="64" t="e">
        <f t="shared" ref="X23:X25" si="88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107">
        <v>30040023</v>
      </c>
      <c r="B24" s="47" t="s">
        <v>342</v>
      </c>
      <c r="C24" s="50">
        <v>3</v>
      </c>
      <c r="D24" s="50" t="s">
        <v>127</v>
      </c>
      <c r="E24" s="51" t="s">
        <v>338</v>
      </c>
      <c r="F24" s="51" t="s">
        <v>340</v>
      </c>
      <c r="G24" s="64" t="str">
        <f t="shared" ref="G24" si="89">IFERROR(LEFT(B24,FIND("],",B24)),B24)</f>
        <v>[effect:hungup, target:unit_all, turn:1, rate:1, calc_type:target_all, animation:hungup01]</v>
      </c>
      <c r="H24" s="64">
        <f t="shared" si="1"/>
        <v>9</v>
      </c>
      <c r="I24" s="64">
        <f t="shared" ref="I24" si="90">IFERROR(FIND(",",G24),LEN(G24))</f>
        <v>15</v>
      </c>
      <c r="J24" s="64">
        <f t="shared" ref="J24" si="91">FIND("target:",G24)+7</f>
        <v>24</v>
      </c>
      <c r="K24" s="64">
        <f t="shared" ref="K24" si="92">FIND(",",G24,I24+1)</f>
        <v>32</v>
      </c>
      <c r="L24" s="64" t="str">
        <f>IFERROR(VLOOKUP(MID(G24,J24,K24-J24),[5]skilldef!$C:$D,2,FALSE),"-") &amp; " / " &amp; IFERROR(VLOOKUP(MID(G24,H24,I24-H24),[5]skilldef!$A:$B,2,FALSE),"-")</f>
        <v>味方全体に / ハングアップ</v>
      </c>
      <c r="M24" s="64" t="str">
        <f t="shared" ref="M24" si="93">IFERROR(RIGHT(B24,LEN(B24)-FIND("],",B24)-1),"none")</f>
        <v>none</v>
      </c>
      <c r="N24" s="48" t="str">
        <f>IFERROR(LEFT(M24,FIND("],",M24)+#REF!),M24)</f>
        <v>none</v>
      </c>
      <c r="O24" s="64" t="e">
        <f t="shared" si="7"/>
        <v>#VALUE!</v>
      </c>
      <c r="P24" s="64">
        <f t="shared" ref="P24" si="94">IFERROR(FIND(",",N24),LEN(N24))</f>
        <v>4</v>
      </c>
      <c r="Q24" s="64" t="e">
        <f t="shared" ref="Q24" si="95">FIND("target:",N24)+7</f>
        <v>#VALUE!</v>
      </c>
      <c r="R24" s="64" t="e">
        <f t="shared" ref="R24" si="96">FIND(",",N24,P24+1)</f>
        <v>#VALUE!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" si="97">IFERROR(RIGHT(M24,LEN(M24)-FIND("],",M24)-1),"none")</f>
        <v>none</v>
      </c>
      <c r="U24" s="64" t="e">
        <f t="shared" si="12"/>
        <v>#VALUE!</v>
      </c>
      <c r="V24" s="64">
        <f t="shared" ref="V24" si="98">IFERROR(FIND(",",T24),LEN(T24))</f>
        <v>4</v>
      </c>
      <c r="W24" s="64" t="e">
        <f t="shared" ref="W24" si="99">FIND("target:",T24)+7</f>
        <v>#VALUE!</v>
      </c>
      <c r="X24" s="64" t="e">
        <f t="shared" ref="X24" si="100">FIND(",",T24,V24+1)</f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107">
        <v>30040024</v>
      </c>
      <c r="B25" s="47" t="s">
        <v>337</v>
      </c>
      <c r="C25" s="50">
        <v>3</v>
      </c>
      <c r="D25" s="50" t="s">
        <v>127</v>
      </c>
      <c r="E25" s="51" t="s">
        <v>290</v>
      </c>
      <c r="F25" s="51" t="s">
        <v>343</v>
      </c>
      <c r="G25" s="64" t="str">
        <f t="shared" si="77"/>
        <v>[effect:damage_gravity, val:0.2, animation:fevergauge_down]</v>
      </c>
      <c r="H25" s="64">
        <f t="shared" si="1"/>
        <v>9</v>
      </c>
      <c r="I25" s="64">
        <f t="shared" si="78"/>
        <v>23</v>
      </c>
      <c r="J25" s="64" t="e">
        <f t="shared" si="79"/>
        <v>#VALUE!</v>
      </c>
      <c r="K25" s="64">
        <f t="shared" si="80"/>
        <v>32</v>
      </c>
      <c r="L25" s="64" t="str">
        <f>IFERROR(VLOOKUP(MID(G25,J25,K25-J25),[5]skilldef!$C:$D,2,FALSE),"-") &amp; " / " &amp; IFERROR(VLOOKUP(MID(G25,H25,I25-H25),[5]skilldef!$A:$B,2,FALSE),"-")</f>
        <v>- / 割合ダメージ</v>
      </c>
      <c r="M25" s="64" t="str">
        <f t="shared" si="81"/>
        <v>none</v>
      </c>
      <c r="N25" s="48" t="str">
        <f>IFERROR(LEFT(M25,FIND("],",M25)+#REF!),M25)</f>
        <v>none</v>
      </c>
      <c r="O25" s="64" t="e">
        <f t="shared" si="7"/>
        <v>#VALUE!</v>
      </c>
      <c r="P25" s="64">
        <f t="shared" si="82"/>
        <v>4</v>
      </c>
      <c r="Q25" s="64" t="e">
        <f t="shared" si="83"/>
        <v>#VALUE!</v>
      </c>
      <c r="R25" s="64" t="e">
        <f t="shared" si="84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85"/>
        <v>none</v>
      </c>
      <c r="U25" s="64" t="e">
        <f t="shared" si="12"/>
        <v>#VALUE!</v>
      </c>
      <c r="V25" s="64">
        <f t="shared" si="86"/>
        <v>4</v>
      </c>
      <c r="W25" s="64" t="e">
        <f t="shared" si="87"/>
        <v>#VALUE!</v>
      </c>
      <c r="X25" s="64" t="e">
        <f t="shared" si="88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108">
        <v>30040025</v>
      </c>
      <c r="B26" s="47" t="s">
        <v>297</v>
      </c>
      <c r="C26" s="50">
        <v>3</v>
      </c>
      <c r="D26" s="50" t="s">
        <v>127</v>
      </c>
      <c r="E26" s="51" t="s">
        <v>327</v>
      </c>
      <c r="F26" s="51" t="s">
        <v>354</v>
      </c>
      <c r="G26" s="64" t="str">
        <f t="shared" ref="G26:G30" si="101">IFERROR(LEFT(B26,FIND("],",B26)),B26)</f>
        <v>[effect:suicide, val:1, dead_type:suicide, target:myself, animation:enemy_suicide]</v>
      </c>
      <c r="H26" s="64">
        <f t="shared" si="1"/>
        <v>9</v>
      </c>
      <c r="I26" s="64">
        <f t="shared" ref="I26:I30" si="102">IFERROR(FIND(",",G26),LEN(G26))</f>
        <v>16</v>
      </c>
      <c r="J26" s="64">
        <f t="shared" ref="J26:J30" si="103">FIND("target:",G26)+7</f>
        <v>51</v>
      </c>
      <c r="K26" s="64">
        <f t="shared" ref="K26:K30" si="104">FIND(",",G26,I26+1)</f>
        <v>23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ref="M26:M30" si="105">IFERROR(RIGHT(B26,LEN(B26)-FIND("],",B26)-1),"none")</f>
        <v>none</v>
      </c>
      <c r="N26" s="48" t="str">
        <f>IFERROR(LEFT(M26,FIND("],",M26)+#REF!),M26)</f>
        <v>none</v>
      </c>
      <c r="O26" s="64" t="e">
        <f t="shared" si="7"/>
        <v>#VALUE!</v>
      </c>
      <c r="P26" s="64">
        <f t="shared" ref="P26:P30" si="106">IFERROR(FIND(",",N26),LEN(N26))</f>
        <v>4</v>
      </c>
      <c r="Q26" s="64" t="e">
        <f t="shared" ref="Q26:Q30" si="107">FIND("target:",N26)+7</f>
        <v>#VALUE!</v>
      </c>
      <c r="R26" s="64" t="e">
        <f t="shared" ref="R26:R30" si="108">FIND(",",N26,P26+1)</f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ref="T26:T30" si="109">IFERROR(RIGHT(M26,LEN(M26)-FIND("],",M26)-1),"none")</f>
        <v>none</v>
      </c>
      <c r="U26" s="64" t="e">
        <f t="shared" si="12"/>
        <v>#VALUE!</v>
      </c>
      <c r="V26" s="64">
        <f t="shared" ref="V26:V30" si="110">IFERROR(FIND(",",T26),LEN(T26))</f>
        <v>4</v>
      </c>
      <c r="W26" s="64" t="e">
        <f t="shared" ref="W26:W30" si="111">FIND("target:",T26)+7</f>
        <v>#VALUE!</v>
      </c>
      <c r="X26" s="64" t="e">
        <f t="shared" ref="X26:X30" si="112">FIND(",",T26,V26+1)</f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108">
        <v>30040026</v>
      </c>
      <c r="B27" s="47" t="s">
        <v>296</v>
      </c>
      <c r="C27" s="50">
        <v>3</v>
      </c>
      <c r="D27" s="50" t="s">
        <v>127</v>
      </c>
      <c r="E27" s="51" t="s">
        <v>323</v>
      </c>
      <c r="F27" s="51" t="s">
        <v>358</v>
      </c>
      <c r="G27" s="64" t="str">
        <f t="shared" si="101"/>
        <v>[effect:suicide, val:1, dead_type:suicide, target:myself, animation:enemy_suicide]</v>
      </c>
      <c r="H27" s="64">
        <f t="shared" si="1"/>
        <v>9</v>
      </c>
      <c r="I27" s="64">
        <f t="shared" si="102"/>
        <v>16</v>
      </c>
      <c r="J27" s="64">
        <f t="shared" si="103"/>
        <v>51</v>
      </c>
      <c r="K27" s="64">
        <f t="shared" si="104"/>
        <v>23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105"/>
        <v>[effect:enemy_message, val1:1.5, val2:1.8]</v>
      </c>
      <c r="N27" s="48" t="str">
        <f>IFERROR(LEFT(M27,FIND("],",M27)+S33),M27)</f>
        <v>[effect:enemy_message, val1:1.5, val2:1.8]</v>
      </c>
      <c r="O27" s="64">
        <f t="shared" si="7"/>
        <v>9</v>
      </c>
      <c r="P27" s="64">
        <f t="shared" si="106"/>
        <v>22</v>
      </c>
      <c r="Q27" s="64" t="e">
        <f t="shared" si="107"/>
        <v>#VALUE!</v>
      </c>
      <c r="R27" s="64">
        <f t="shared" si="108"/>
        <v>32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9"/>
        <v>none</v>
      </c>
      <c r="U27" s="64" t="e">
        <f t="shared" si="12"/>
        <v>#VALUE!</v>
      </c>
      <c r="V27" s="64">
        <f t="shared" si="110"/>
        <v>4</v>
      </c>
      <c r="W27" s="64" t="e">
        <f t="shared" si="111"/>
        <v>#VALUE!</v>
      </c>
      <c r="X27" s="64" t="e">
        <f t="shared" si="112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108">
        <v>30040027</v>
      </c>
      <c r="B28" s="47" t="s">
        <v>363</v>
      </c>
      <c r="C28" s="50">
        <v>3</v>
      </c>
      <c r="D28" s="50" t="s">
        <v>127</v>
      </c>
      <c r="E28" s="51" t="s">
        <v>356</v>
      </c>
      <c r="F28" s="51" t="s">
        <v>357</v>
      </c>
      <c r="G28" s="64" t="str">
        <f t="shared" si="101"/>
        <v>[effect:suicide, val:1, dead_type:suicide, target:myself, animation:enemy_suicide]</v>
      </c>
      <c r="H28" s="64">
        <f t="shared" si="1"/>
        <v>9</v>
      </c>
      <c r="I28" s="64">
        <f t="shared" si="102"/>
        <v>16</v>
      </c>
      <c r="J28" s="64">
        <f t="shared" si="103"/>
        <v>51</v>
      </c>
      <c r="K28" s="64">
        <f t="shared" si="104"/>
        <v>23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105"/>
        <v>[effect:enemy_message, val1:1.5, val2:1.8]</v>
      </c>
      <c r="N28" s="48" t="str">
        <f>IFERROR(LEFT(M28,FIND("],",M28)+#REF!),M28)</f>
        <v>[effect:enemy_message, val1:1.5, val2:1.8]</v>
      </c>
      <c r="O28" s="64">
        <f t="shared" si="7"/>
        <v>9</v>
      </c>
      <c r="P28" s="64">
        <f t="shared" si="106"/>
        <v>22</v>
      </c>
      <c r="Q28" s="64" t="e">
        <f t="shared" si="107"/>
        <v>#VALUE!</v>
      </c>
      <c r="R28" s="64">
        <f t="shared" si="108"/>
        <v>32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09"/>
        <v>none</v>
      </c>
      <c r="U28" s="64" t="e">
        <f t="shared" si="12"/>
        <v>#VALUE!</v>
      </c>
      <c r="V28" s="64">
        <f t="shared" si="110"/>
        <v>4</v>
      </c>
      <c r="W28" s="64" t="e">
        <f t="shared" si="111"/>
        <v>#VALUE!</v>
      </c>
      <c r="X28" s="64" t="e">
        <f t="shared" si="112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108">
        <v>30040028</v>
      </c>
      <c r="B29" s="47" t="s">
        <v>298</v>
      </c>
      <c r="C29" s="50">
        <v>3</v>
      </c>
      <c r="D29" s="50" t="s">
        <v>127</v>
      </c>
      <c r="E29" s="51" t="s">
        <v>353</v>
      </c>
      <c r="F29" s="51" t="s">
        <v>324</v>
      </c>
      <c r="G29" s="64" t="str">
        <f t="shared" si="101"/>
        <v>[effect:suicide, val:1, dead_type:suicide, target:myself, animation:enemy_suicide]</v>
      </c>
      <c r="H29" s="64">
        <f t="shared" si="1"/>
        <v>9</v>
      </c>
      <c r="I29" s="64">
        <f t="shared" si="102"/>
        <v>16</v>
      </c>
      <c r="J29" s="64">
        <f t="shared" si="103"/>
        <v>51</v>
      </c>
      <c r="K29" s="64">
        <f t="shared" si="104"/>
        <v>23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105"/>
        <v>none</v>
      </c>
      <c r="N29" s="48" t="str">
        <f>IFERROR(LEFT(M29,FIND("],",M29)+#REF!),M29)</f>
        <v>none</v>
      </c>
      <c r="O29" s="64" t="e">
        <f t="shared" si="7"/>
        <v>#VALUE!</v>
      </c>
      <c r="P29" s="64">
        <f t="shared" si="106"/>
        <v>4</v>
      </c>
      <c r="Q29" s="64" t="e">
        <f t="shared" si="107"/>
        <v>#VALUE!</v>
      </c>
      <c r="R29" s="64" t="e">
        <f t="shared" si="108"/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si="109"/>
        <v>none</v>
      </c>
      <c r="U29" s="64" t="e">
        <f t="shared" si="12"/>
        <v>#VALUE!</v>
      </c>
      <c r="V29" s="64">
        <f t="shared" si="110"/>
        <v>4</v>
      </c>
      <c r="W29" s="64" t="e">
        <f t="shared" si="111"/>
        <v>#VALUE!</v>
      </c>
      <c r="X29" s="64" t="e">
        <f t="shared" si="112"/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108">
        <v>30040029</v>
      </c>
      <c r="B30" s="47" t="s">
        <v>316</v>
      </c>
      <c r="C30" s="50">
        <v>3</v>
      </c>
      <c r="D30" s="50" t="s">
        <v>127</v>
      </c>
      <c r="E30" s="51" t="s">
        <v>328</v>
      </c>
      <c r="F30" s="51" t="s">
        <v>282</v>
      </c>
      <c r="G30" s="64" t="str">
        <f t="shared" si="101"/>
        <v>[effect:fix_speed, target:myself, turn:1]</v>
      </c>
      <c r="H30" s="64">
        <f t="shared" si="1"/>
        <v>9</v>
      </c>
      <c r="I30" s="64">
        <f t="shared" si="102"/>
        <v>18</v>
      </c>
      <c r="J30" s="64">
        <f t="shared" si="103"/>
        <v>27</v>
      </c>
      <c r="K30" s="64">
        <f t="shared" si="104"/>
        <v>33</v>
      </c>
      <c r="L30" s="64" t="str">
        <f>IFERROR(VLOOKUP(MID(G30,J30,K30-J30),[5]skilldef!$C:$D,2,FALSE),"-") &amp; " / " &amp; IFERROR(VLOOKUP(MID(G30,H30,I30-H30),[5]skilldef!$A:$B,2,FALSE),"-")</f>
        <v>自分自身に / 行動値設定</v>
      </c>
      <c r="M30" s="64" t="str">
        <f t="shared" si="105"/>
        <v>[effect:enhance_enemy, target:myself, turn:-1, status:defense, val:2000, calc:add, animation:enemy_enhance_defense],[effect:tolerance, target:myself, turn:-1, tolerance_effect:all, count:-1, animation:enemy_tolerance]</v>
      </c>
      <c r="N30" s="48" t="str">
        <f>IFERROR(LEFT(M30,FIND("],",M30)+#REF!),M30)</f>
        <v>[effect:enhance_enemy, target:myself, turn:-1, status:defense, val:2000, calc:add, animation:enemy_enhance_defense],[effect:tolerance, target:myself, turn:-1, tolerance_effect:all, count:-1, animation:enemy_tolerance]</v>
      </c>
      <c r="O30" s="64">
        <f t="shared" si="7"/>
        <v>9</v>
      </c>
      <c r="P30" s="64">
        <f t="shared" si="106"/>
        <v>22</v>
      </c>
      <c r="Q30" s="64">
        <f t="shared" si="107"/>
        <v>31</v>
      </c>
      <c r="R30" s="64">
        <f t="shared" si="108"/>
        <v>37</v>
      </c>
      <c r="S30" s="64" t="str">
        <f>IFERROR(VLOOKUP(MID(N30,Q30,R30-Q30),[5]skilldef!$C:$D,2,FALSE),"-") &amp; " / " &amp; IFERROR(VLOOKUP(MID(N30,O30,P30-O30),[5]skilldef!$A:$B,2,FALSE),"-")</f>
        <v>自分自身に / ステータス強化</v>
      </c>
      <c r="T30" s="48" t="str">
        <f t="shared" si="109"/>
        <v>[effect:tolerance, target:myself, turn:-1, tolerance_effect:all, count:-1, animation:enemy_tolerance]</v>
      </c>
      <c r="U30" s="64">
        <f t="shared" si="12"/>
        <v>9</v>
      </c>
      <c r="V30" s="64">
        <f t="shared" si="110"/>
        <v>18</v>
      </c>
      <c r="W30" s="64">
        <f t="shared" si="111"/>
        <v>27</v>
      </c>
      <c r="X30" s="64">
        <f t="shared" si="112"/>
        <v>33</v>
      </c>
      <c r="Y30" s="64" t="str">
        <f>IFERROR(VLOOKUP(MID(T30,W30,X30-W30),[5]skilldef!$C:$D,2,FALSE),"-") &amp; " / " &amp; IFERROR(VLOOKUP(MID(T30,U30,V30-U30),[5]skilldef!$A:$B,2,FALSE),"-")</f>
        <v>自分自身に / 状態異常耐性</v>
      </c>
      <c r="Z30" s="50"/>
      <c r="AA30" s="52"/>
      <c r="AB30" s="50"/>
    </row>
    <row r="31" spans="1:28" ht="21" customHeight="1" x14ac:dyDescent="0.15">
      <c r="A31" s="108">
        <v>30040030</v>
      </c>
      <c r="B31" s="47" t="s">
        <v>283</v>
      </c>
      <c r="C31" s="50">
        <v>3</v>
      </c>
      <c r="D31" s="50" t="s">
        <v>127</v>
      </c>
      <c r="E31" s="51" t="s">
        <v>284</v>
      </c>
      <c r="F31" s="51" t="s">
        <v>287</v>
      </c>
      <c r="G31" s="64" t="str">
        <f t="shared" ref="G31" si="113">IFERROR(LEFT(B31,FIND("],",B31)),B31)</f>
        <v>[effect:virus, turn:-1, rate:1, val:0.1, animation:enemy_virus]</v>
      </c>
      <c r="H31" s="64">
        <f t="shared" si="1"/>
        <v>9</v>
      </c>
      <c r="I31" s="64">
        <f t="shared" ref="I31" si="114">IFERROR(FIND(",",G31),LEN(G31))</f>
        <v>14</v>
      </c>
      <c r="J31" s="64" t="e">
        <f t="shared" ref="J31" si="115">FIND("target:",G31)+7</f>
        <v>#VALUE!</v>
      </c>
      <c r="K31" s="64">
        <f t="shared" ref="K31" si="116">FIND(",",G31,I31+1)</f>
        <v>23</v>
      </c>
      <c r="L31" s="64" t="str">
        <f>IFERROR(VLOOKUP(MID(G31,J31,K31-J31),[5]skilldef!$C:$D,2,FALSE),"-") &amp; " / " &amp; IFERROR(VLOOKUP(MID(G31,H31,I31-H31),[5]skilldef!$A:$B,2,FALSE),"-")</f>
        <v>- / ウィルス</v>
      </c>
      <c r="M31" s="64" t="str">
        <f t="shared" ref="M31" si="117">IFERROR(RIGHT(B31,LEN(B31)-FIND("],",B31)-1),"none")</f>
        <v>none</v>
      </c>
      <c r="N31" s="48" t="str">
        <f>IFERROR(LEFT(M31,FIND("],",M31)+#REF!),M31)</f>
        <v>none</v>
      </c>
      <c r="O31" s="64" t="e">
        <f t="shared" si="7"/>
        <v>#VALUE!</v>
      </c>
      <c r="P31" s="64">
        <f t="shared" ref="P31" si="118">IFERROR(FIND(",",N31),LEN(N31))</f>
        <v>4</v>
      </c>
      <c r="Q31" s="64" t="e">
        <f t="shared" ref="Q31" si="119">FIND("target:",N31)+7</f>
        <v>#VALUE!</v>
      </c>
      <c r="R31" s="64" t="e">
        <f t="shared" ref="R31" si="120">FIND(",",N31,P31+1)</f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ref="T31" si="121">IFERROR(RIGHT(M31,LEN(M31)-FIND("],",M31)-1),"none")</f>
        <v>none</v>
      </c>
      <c r="U31" s="64" t="e">
        <f t="shared" si="12"/>
        <v>#VALUE!</v>
      </c>
      <c r="V31" s="64">
        <f t="shared" ref="V31" si="122">IFERROR(FIND(",",T31),LEN(T31))</f>
        <v>4</v>
      </c>
      <c r="W31" s="64" t="e">
        <f t="shared" ref="W31" si="123">FIND("target:",T31)+7</f>
        <v>#VALUE!</v>
      </c>
      <c r="X31" s="64" t="e">
        <f t="shared" ref="X31" si="124">FIND(",",T31,V31+1)</f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108">
        <v>30040031</v>
      </c>
      <c r="B32" s="47" t="s">
        <v>334</v>
      </c>
      <c r="C32" s="50">
        <v>3</v>
      </c>
      <c r="D32" s="50" t="s">
        <v>127</v>
      </c>
      <c r="E32" s="51" t="s">
        <v>365</v>
      </c>
      <c r="F32" s="51" t="s">
        <v>371</v>
      </c>
      <c r="G32" s="64" t="str">
        <f t="shared" ref="G32" si="125">IFERROR(LEFT(B32,FIND("],",B32)),B32)</f>
        <v>[effect:damage_anti_tribe, target:unit_one, tribe:human, val1:0.75, val2:0.2]</v>
      </c>
      <c r="H32" s="64">
        <f t="shared" si="1"/>
        <v>9</v>
      </c>
      <c r="I32" s="64">
        <f t="shared" ref="I32" si="126">IFERROR(FIND(",",G32),LEN(G32))</f>
        <v>26</v>
      </c>
      <c r="J32" s="64">
        <f t="shared" ref="J32" si="127">FIND("target:",G32)+7</f>
        <v>35</v>
      </c>
      <c r="K32" s="64">
        <f t="shared" ref="K32" si="128">FIND(",",G32,I32+1)</f>
        <v>43</v>
      </c>
      <c r="L32" s="64" t="str">
        <f>IFERROR(VLOOKUP(MID(G32,J32,K32-J32),[5]skilldef!$C:$D,2,FALSE),"-") &amp; " / " &amp; IFERROR(VLOOKUP(MID(G32,H32,I32-H32),[5]skilldef!$A:$B,2,FALSE),"-")</f>
        <v>味方単体に / 種族キラー</v>
      </c>
      <c r="M32" s="64" t="str">
        <f t="shared" ref="M32" si="129">IFERROR(RIGHT(B32,LEN(B32)-FIND("],",B32)-1),"none")</f>
        <v>[effect:damage_anti_tribe, target:unit_one, tribe:machine, val1:0.75, val2:0.2],[effect:damage_anti_tribe, target:unit_one, tribe:god, val1:0.75, val2:0.2],[effect:damage_anti_tribe, target:unit_one, tribe:samurai, val1:0.75, val2:0.2],[effect:enemy_message, val1:1, val2:3.5]</v>
      </c>
      <c r="N32" s="48" t="str">
        <f>IFERROR(LEFT(M32,FIND("],",M32)+S34),M32)</f>
        <v>[effect:damage_anti_tribe, target:unit_one, tribe:machine, val1:0.75, val2:0.2],[effect:damage_anti_tribe, target:unit_one, tribe:god, val1:0.75, val2:0.2],[effect:damage_anti_tribe, target:unit_one, tribe:samurai, val1:0.75, val2:0.2],[effect:enemy_message, val1:1, val2:3.5]</v>
      </c>
      <c r="O32" s="64">
        <f t="shared" si="7"/>
        <v>9</v>
      </c>
      <c r="P32" s="64">
        <f t="shared" ref="P32" si="130">IFERROR(FIND(",",N32),LEN(N32))</f>
        <v>26</v>
      </c>
      <c r="Q32" s="64">
        <f t="shared" ref="Q32" si="131">FIND("target:",N32)+7</f>
        <v>35</v>
      </c>
      <c r="R32" s="64">
        <f t="shared" ref="R32" si="132">FIND(",",N32,P32+1)</f>
        <v>43</v>
      </c>
      <c r="S32" s="64" t="str">
        <f>IFERROR(VLOOKUP(MID(N32,Q32,R32-Q32),[5]skilldef!$C:$D,2,FALSE),"-") &amp; " / " &amp; IFERROR(VLOOKUP(MID(N32,O32,P32-O32),[5]skilldef!$A:$B,2,FALSE),"-")</f>
        <v>味方単体に / 種族キラー</v>
      </c>
      <c r="T32" s="48" t="str">
        <f t="shared" ref="T32" si="133">IFERROR(RIGHT(M32,LEN(M32)-FIND("],",M32)-1),"none")</f>
        <v>[effect:damage_anti_tribe, target:unit_one, tribe:god, val1:0.75, val2:0.2],[effect:damage_anti_tribe, target:unit_one, tribe:samurai, val1:0.75, val2:0.2],[effect:enemy_message, val1:1, val2:3.5]</v>
      </c>
      <c r="U32" s="64">
        <f t="shared" si="12"/>
        <v>9</v>
      </c>
      <c r="V32" s="64">
        <f t="shared" ref="V32" si="134">IFERROR(FIND(",",T32),LEN(T32))</f>
        <v>26</v>
      </c>
      <c r="W32" s="64">
        <f t="shared" ref="W32" si="135">FIND("target:",T32)+7</f>
        <v>35</v>
      </c>
      <c r="X32" s="64">
        <f t="shared" ref="X32" si="136">FIND(",",T32,V32+1)</f>
        <v>43</v>
      </c>
      <c r="Y32" s="64" t="str">
        <f>IFERROR(VLOOKUP(MID(T32,W32,X32-W32),[5]skilldef!$C:$D,2,FALSE),"-") &amp; " / " &amp; IFERROR(VLOOKUP(MID(T32,U32,V32-U32),[5]skilldef!$A:$B,2,FALSE),"-")</f>
        <v>味方単体に / 種族キラー</v>
      </c>
      <c r="Z32" s="50"/>
      <c r="AA32" s="52"/>
      <c r="AB32" s="50"/>
    </row>
    <row r="33" spans="1:28" ht="21" customHeight="1" x14ac:dyDescent="0.15">
      <c r="A33" s="108">
        <v>30040032</v>
      </c>
      <c r="B33" s="47" t="s">
        <v>333</v>
      </c>
      <c r="C33" s="50">
        <v>3</v>
      </c>
      <c r="D33" s="50" t="s">
        <v>127</v>
      </c>
      <c r="E33" s="51" t="s">
        <v>366</v>
      </c>
      <c r="F33" s="51" t="s">
        <v>374</v>
      </c>
      <c r="G33" s="64" t="str">
        <f t="shared" ref="G33" si="137">IFERROR(LEFT(B33,FIND("],",B33)),B33)</f>
        <v>[effect:damage_anti_tribe, target:unit_one, tribe:animal, val1:0.75, val2:0.2]</v>
      </c>
      <c r="H33" s="64">
        <f t="shared" si="1"/>
        <v>9</v>
      </c>
      <c r="I33" s="64">
        <f t="shared" ref="I33" si="138">IFERROR(FIND(",",G33),LEN(G33))</f>
        <v>26</v>
      </c>
      <c r="J33" s="64">
        <f t="shared" ref="J33" si="139">FIND("target:",G33)+7</f>
        <v>35</v>
      </c>
      <c r="K33" s="64">
        <f t="shared" ref="K33" si="140">FIND(",",G33,I33+1)</f>
        <v>43</v>
      </c>
      <c r="L33" s="64" t="str">
        <f>IFERROR(VLOOKUP(MID(G33,J33,K33-J33),[5]skilldef!$C:$D,2,FALSE),"-") &amp; " / " &amp; IFERROR(VLOOKUP(MID(G33,H33,I33-H33),[5]skilldef!$A:$B,2,FALSE),"-")</f>
        <v>味方単体に / 種族キラー</v>
      </c>
      <c r="M33" s="64" t="str">
        <f t="shared" ref="M33" si="141">IFERROR(RIGHT(B33,LEN(B33)-FIND("],",B33)-1),"none")</f>
        <v>[effect:damage_anti_tribe, target:unit_one, tribe:dragon, val1:0.75, val2:0.2],[effect:damage_anti_tribe, target:unit_one, tribe:unknown, val1:0.75, val2:0.2],[effect:damage_anti_tribe, target:unit_one, tribe:demon, val1:0.75, val2:0.2],[effect:enemy_message, val1:1, val2:3.5]</v>
      </c>
      <c r="N33" s="48" t="str">
        <f>IFERROR(LEFT(M33,FIND("],",M33)+S35),M33)</f>
        <v>[effect:damage_anti_tribe, target:unit_one, tribe:dragon, val1:0.75, val2:0.2],[effect:damage_anti_tribe, target:unit_one, tribe:unknown, val1:0.75, val2:0.2],[effect:damage_anti_tribe, target:unit_one, tribe:demon, val1:0.75, val2:0.2],[effect:enemy_message, val1:1, val2:3.5]</v>
      </c>
      <c r="O33" s="64">
        <f t="shared" si="7"/>
        <v>9</v>
      </c>
      <c r="P33" s="64">
        <f t="shared" ref="P33" si="142">IFERROR(FIND(",",N33),LEN(N33))</f>
        <v>26</v>
      </c>
      <c r="Q33" s="64">
        <f t="shared" ref="Q33" si="143">FIND("target:",N33)+7</f>
        <v>35</v>
      </c>
      <c r="R33" s="64">
        <f t="shared" ref="R33" si="144">FIND(",",N33,P33+1)</f>
        <v>43</v>
      </c>
      <c r="S33" s="64" t="str">
        <f>IFERROR(VLOOKUP(MID(N33,Q33,R33-Q33),[5]skilldef!$C:$D,2,FALSE),"-") &amp; " / " &amp; IFERROR(VLOOKUP(MID(N33,O33,P33-O33),[5]skilldef!$A:$B,2,FALSE),"-")</f>
        <v>味方単体に / 種族キラー</v>
      </c>
      <c r="T33" s="48" t="str">
        <f t="shared" ref="T33" si="145">IFERROR(RIGHT(M33,LEN(M33)-FIND("],",M33)-1),"none")</f>
        <v>[effect:damage_anti_tribe, target:unit_one, tribe:unknown, val1:0.75, val2:0.2],[effect:damage_anti_tribe, target:unit_one, tribe:demon, val1:0.75, val2:0.2],[effect:enemy_message, val1:1, val2:3.5]</v>
      </c>
      <c r="U33" s="64">
        <f t="shared" si="12"/>
        <v>9</v>
      </c>
      <c r="V33" s="64">
        <f t="shared" ref="V33" si="146">IFERROR(FIND(",",T33),LEN(T33))</f>
        <v>26</v>
      </c>
      <c r="W33" s="64">
        <f t="shared" ref="W33" si="147">FIND("target:",T33)+7</f>
        <v>35</v>
      </c>
      <c r="X33" s="64">
        <f t="shared" ref="X33" si="148">FIND(",",T33,V33+1)</f>
        <v>43</v>
      </c>
      <c r="Y33" s="64" t="str">
        <f>IFERROR(VLOOKUP(MID(T33,W33,X33-W33),[5]skilldef!$C:$D,2,FALSE),"-") &amp; " / " &amp; IFERROR(VLOOKUP(MID(T33,U33,V33-U33),[5]skilldef!$A:$B,2,FALSE),"-")</f>
        <v>味方単体に / 種族キラー</v>
      </c>
      <c r="Z33" s="50"/>
      <c r="AA33" s="52"/>
      <c r="AB33" s="50"/>
    </row>
    <row r="34" spans="1:28" ht="21" customHeight="1" x14ac:dyDescent="0.15">
      <c r="A34" s="108">
        <v>30040033</v>
      </c>
      <c r="B34" s="47" t="s">
        <v>378</v>
      </c>
      <c r="C34" s="50">
        <v>3</v>
      </c>
      <c r="D34" s="50" t="s">
        <v>127</v>
      </c>
      <c r="E34" s="51" t="s">
        <v>325</v>
      </c>
      <c r="F34" s="51" t="s">
        <v>375</v>
      </c>
      <c r="G34" s="64" t="str">
        <f t="shared" ref="G34" si="149">IFERROR(LEFT(B34,FIND("],",B34)),B34)</f>
        <v>[effect:fix_speed, target:myself, turn:1]</v>
      </c>
      <c r="H34" s="64">
        <f t="shared" si="1"/>
        <v>9</v>
      </c>
      <c r="I34" s="64">
        <f t="shared" ref="I34" si="150">IFERROR(FIND(",",G34),LEN(G34))</f>
        <v>18</v>
      </c>
      <c r="J34" s="64">
        <f t="shared" ref="J34" si="151">FIND("target:",G34)+7</f>
        <v>27</v>
      </c>
      <c r="K34" s="64">
        <f t="shared" ref="K34" si="152">FIND(",",G34,I34+1)</f>
        <v>33</v>
      </c>
      <c r="L34" s="64" t="str">
        <f>IFERROR(VLOOKUP(MID(G34,J34,K34-J34),[5]skilldef!$C:$D,2,FALSE),"-") &amp; " / " &amp; IFERROR(VLOOKUP(MID(G34,H34,I34-H34),[5]skilldef!$A:$B,2,FALSE),"-")</f>
        <v>自分自身に / 行動値設定</v>
      </c>
      <c r="M34" s="64" t="str">
        <f t="shared" ref="M34" si="153">IFERROR(RIGHT(B34,LEN(B34)-FIND("],",B34)-1),"none")</f>
        <v>[effect:remove_enhancement, target:unit_all, target_effect:all, animation:frozen_wave],[effect:suicide, val:1, dead_type:suicide, target:enemy_unknown, animation:enemy_suicide],[effect:tolerance, target:myself, turn:-1, tolerance_effect:all, count:-1, animation:enemy_tolerance],[effect:enemy_message, val1:1, val2:3.5]</v>
      </c>
      <c r="N34" s="48" t="str">
        <f>IFERROR(LEFT(M34,FIND("],",M34)+S43),M34)</f>
        <v>[effect:remove_enhancement, target:unit_all, target_effect:all, animation:frozen_wave]</v>
      </c>
      <c r="O34" s="64">
        <f t="shared" si="7"/>
        <v>9</v>
      </c>
      <c r="P34" s="64">
        <f t="shared" ref="P34" si="154">IFERROR(FIND(",",N34),LEN(N34))</f>
        <v>27</v>
      </c>
      <c r="Q34" s="64">
        <f t="shared" ref="Q34" si="155">FIND("target:",N34)+7</f>
        <v>36</v>
      </c>
      <c r="R34" s="64">
        <f t="shared" ref="R34" si="156">FIND(",",N34,P34+1)</f>
        <v>44</v>
      </c>
      <c r="S34" s="64" t="str">
        <f>IFERROR(VLOOKUP(MID(N34,Q34,R34-Q34),[5]skilldef!$C:$D,2,FALSE),"-") &amp; " / " &amp; IFERROR(VLOOKUP(MID(N34,O34,P34-O34),[5]skilldef!$A:$B,2,FALSE),"-")</f>
        <v>味方全体に / -</v>
      </c>
      <c r="T34" s="48" t="str">
        <f t="shared" ref="T34" si="157">IFERROR(RIGHT(M34,LEN(M34)-FIND("],",M34)-1),"none")</f>
        <v>[effect:suicide, val:1, dead_type:suicide, target:enemy_unknown, animation:enemy_suicide],[effect:tolerance, target:myself, turn:-1, tolerance_effect:all, count:-1, animation:enemy_tolerance],[effect:enemy_message, val1:1, val2:3.5]</v>
      </c>
      <c r="U34" s="64">
        <f t="shared" si="12"/>
        <v>9</v>
      </c>
      <c r="V34" s="64">
        <f t="shared" ref="V34" si="158">IFERROR(FIND(",",T34),LEN(T34))</f>
        <v>16</v>
      </c>
      <c r="W34" s="64">
        <f t="shared" ref="W34" si="159">FIND("target:",T34)+7</f>
        <v>51</v>
      </c>
      <c r="X34" s="64">
        <f t="shared" ref="X34" si="160">FIND(",",T34,V34+1)</f>
        <v>23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108">
        <v>30040034</v>
      </c>
      <c r="B35" s="47" t="s">
        <v>377</v>
      </c>
      <c r="C35" s="50">
        <v>3</v>
      </c>
      <c r="D35" s="50" t="s">
        <v>127</v>
      </c>
      <c r="E35" s="51" t="s">
        <v>326</v>
      </c>
      <c r="F35" s="51" t="s">
        <v>376</v>
      </c>
      <c r="G35" s="64" t="str">
        <f t="shared" ref="G35" si="161">IFERROR(LEFT(B35,FIND("],",B35)),B35)</f>
        <v>[effect:force_change_block, new_block:block_heart, target:block_all, count:0, val:0, animation:change_block]</v>
      </c>
      <c r="H35" s="64">
        <f t="shared" si="1"/>
        <v>9</v>
      </c>
      <c r="I35" s="64">
        <f t="shared" ref="I35" si="162">IFERROR(FIND(",",G35),LEN(G35))</f>
        <v>27</v>
      </c>
      <c r="J35" s="64">
        <f t="shared" ref="J35" si="163">FIND("target:",G35)+7</f>
        <v>59</v>
      </c>
      <c r="K35" s="64">
        <f t="shared" ref="K35" si="164">FIND(",",G35,I35+1)</f>
        <v>50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ref="M35" si="165">IFERROR(RIGHT(B35,LEN(B35)-FIND("],",B35)-1),"none")</f>
        <v>[effect:fix_speed, target:myself, turn:2],[effect:enemy_message, val1:1, val2:2]</v>
      </c>
      <c r="N35" s="48" t="str">
        <f>IFERROR(LEFT(M35,FIND("],",M35)+Q44),M35)</f>
        <v>[effect:fix_speed, target:myself, turn:2]</v>
      </c>
      <c r="O35" s="64">
        <f t="shared" si="7"/>
        <v>9</v>
      </c>
      <c r="P35" s="64">
        <f t="shared" ref="P35" si="166">IFERROR(FIND(",",N35),LEN(N35))</f>
        <v>18</v>
      </c>
      <c r="Q35" s="64">
        <f t="shared" ref="Q35" si="167">FIND("target:",N35)+7</f>
        <v>27</v>
      </c>
      <c r="R35" s="64">
        <f t="shared" ref="R35" si="168">FIND(",",N35,P35+1)</f>
        <v>33</v>
      </c>
      <c r="S35" s="64" t="str">
        <f>IFERROR(VLOOKUP(MID(N35,Q35,R35-Q35),[5]skilldef!$C:$D,2,FALSE),"-") &amp; " / " &amp; IFERROR(VLOOKUP(MID(N35,O35,P35-O35),[5]skilldef!$A:$B,2,FALSE),"-")</f>
        <v>自分自身に / 行動値設定</v>
      </c>
      <c r="T35" s="48" t="str">
        <f t="shared" ref="T35" si="169">IFERROR(RIGHT(M35,LEN(M35)-FIND("],",M35)-1),"none")</f>
        <v>[effect:enemy_message, val1:1, val2:2]</v>
      </c>
      <c r="U35" s="64">
        <f t="shared" si="12"/>
        <v>9</v>
      </c>
      <c r="V35" s="64">
        <f t="shared" ref="V35" si="170">IFERROR(FIND(",",T35),LEN(T35))</f>
        <v>22</v>
      </c>
      <c r="W35" s="64" t="e">
        <f t="shared" ref="W35" si="171">FIND("target:",T35)+7</f>
        <v>#VALUE!</v>
      </c>
      <c r="X35" s="64">
        <f t="shared" ref="X35" si="172">FIND(",",T35,V35+1)</f>
        <v>30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108">
        <v>30040035</v>
      </c>
      <c r="B36" s="47" t="s">
        <v>335</v>
      </c>
      <c r="C36" s="50">
        <v>3</v>
      </c>
      <c r="D36" s="50" t="s">
        <v>127</v>
      </c>
      <c r="E36" s="51" t="s">
        <v>355</v>
      </c>
      <c r="F36" s="51" t="s">
        <v>288</v>
      </c>
      <c r="G36" s="64" t="str">
        <f t="shared" ref="G36" si="173">IFERROR(LEFT(B36,FIND("],",B36)),B36)</f>
        <v>[effect:break_heal_ratio, target:enemy_one, val:0.2, lowest_val:20000, count:5, block01:crash, animation:enemy_heal]</v>
      </c>
      <c r="H36" s="64">
        <f t="shared" ref="H36" si="174">FIND("effect:",G36)+7</f>
        <v>9</v>
      </c>
      <c r="I36" s="64">
        <f t="shared" ref="I36" si="175">IFERROR(FIND(",",G36),LEN(G36))</f>
        <v>25</v>
      </c>
      <c r="J36" s="64">
        <f t="shared" ref="J36" si="176">FIND("target:",G36)+7</f>
        <v>34</v>
      </c>
      <c r="K36" s="64">
        <f t="shared" ref="K36" si="177">FIND(",",G36,I36+1)</f>
        <v>43</v>
      </c>
      <c r="L36" s="64" t="str">
        <f>IFERROR(VLOOKUP(MID(G36,J36,K36-J36),[5]skilldef!$C:$D,2,FALSE),"-") &amp; " / " &amp; IFERROR(VLOOKUP(MID(G36,H36,I36-H36),[5]skilldef!$A:$B,2,FALSE),"-")</f>
        <v>敵単体に / -</v>
      </c>
      <c r="M36" s="64" t="str">
        <f t="shared" ref="M36" si="178">IFERROR(RIGHT(B36,LEN(B36)-FIND("],",B36)-1),"none")</f>
        <v>[effect:damage_gravity, val:0.5, animation:fevergauge_down],[effect:freq_turn, target:myself, turn:-1, val:1, animation:enemy_freq_turn],[effect:enemy_message, val1:1.5, val2:3.5]</v>
      </c>
      <c r="N36" s="48" t="str">
        <f>IFERROR(LEFT(M36,FIND("],",M36)+S47),M36)</f>
        <v>[effect:damage_gravity, val:0.5, animation:fevergauge_down]</v>
      </c>
      <c r="O36" s="64">
        <f t="shared" ref="O36" si="179">FIND("effect:",N36)+7</f>
        <v>9</v>
      </c>
      <c r="P36" s="64">
        <f t="shared" ref="P36" si="180">IFERROR(FIND(",",N36),LEN(N36))</f>
        <v>23</v>
      </c>
      <c r="Q36" s="64" t="e">
        <f t="shared" ref="Q36" si="181">FIND("target:",N36)+7</f>
        <v>#VALUE!</v>
      </c>
      <c r="R36" s="64">
        <f t="shared" ref="R36" si="182">FIND(",",N36,P36+1)</f>
        <v>32</v>
      </c>
      <c r="S36" s="64" t="str">
        <f>IFERROR(VLOOKUP(MID(N36,Q36,R36-Q36),[5]skilldef!$C:$D,2,FALSE),"-") &amp; " / " &amp; IFERROR(VLOOKUP(MID(N36,O36,P36-O36),[5]skilldef!$A:$B,2,FALSE),"-")</f>
        <v>- / 割合ダメージ</v>
      </c>
      <c r="T36" s="48" t="str">
        <f t="shared" ref="T36" si="183">IFERROR(RIGHT(M36,LEN(M36)-FIND("],",M36)-1),"none")</f>
        <v>[effect:freq_turn, target:myself, turn:-1, val:1, animation:enemy_freq_turn],[effect:enemy_message, val1:1.5, val2:3.5]</v>
      </c>
      <c r="U36" s="64">
        <f t="shared" ref="U36" si="184">FIND("effect:",T36)+7</f>
        <v>9</v>
      </c>
      <c r="V36" s="64">
        <f t="shared" ref="V36" si="185">IFERROR(FIND(",",T36),LEN(T36))</f>
        <v>18</v>
      </c>
      <c r="W36" s="64">
        <f t="shared" ref="W36" si="186">FIND("target:",T36)+7</f>
        <v>27</v>
      </c>
      <c r="X36" s="64">
        <f t="shared" ref="X36" si="187">FIND(",",T36,V36+1)</f>
        <v>33</v>
      </c>
      <c r="Y36" s="64" t="str">
        <f>IFERROR(VLOOKUP(MID(T36,W36,X36-W36),[5]skilldef!$C:$D,2,FALSE),"-") &amp; " / " &amp; IFERROR(VLOOKUP(MID(T36,U36,V36-U36),[5]skilldef!$A:$B,2,FALSE),"-")</f>
        <v>自分自身に / 攻撃頻度がUP</v>
      </c>
      <c r="Z36" s="50"/>
      <c r="AA36" s="52"/>
      <c r="AB36" s="50"/>
    </row>
    <row r="37" spans="1:28" ht="21" customHeight="1" x14ac:dyDescent="0.15">
      <c r="A37" s="108">
        <v>30040036</v>
      </c>
      <c r="B37" s="47" t="s">
        <v>308</v>
      </c>
      <c r="C37" s="50">
        <v>3</v>
      </c>
      <c r="D37" s="50" t="s">
        <v>127</v>
      </c>
      <c r="E37" s="51" t="s">
        <v>289</v>
      </c>
      <c r="F37" s="51" t="s">
        <v>286</v>
      </c>
      <c r="G37" s="64" t="str">
        <f>IFERROR(LEFT(B37,FIND("],",B37)),B37)</f>
        <v>[effect:critical, val:1.3, animation:enemy_critical]</v>
      </c>
      <c r="H37" s="64">
        <f>FIND("effect:",G37)+7</f>
        <v>9</v>
      </c>
      <c r="I37" s="64">
        <f>IFERROR(FIND(",",G37),LEN(G37))</f>
        <v>17</v>
      </c>
      <c r="J37" s="64" t="e">
        <f>FIND("target:",G37)+7</f>
        <v>#VALUE!</v>
      </c>
      <c r="K37" s="64">
        <f>FIND(",",G37,I37+1)</f>
        <v>26</v>
      </c>
      <c r="L37" s="64" t="str">
        <f>IFERROR(VLOOKUP(MID(G37,J37,K37-J37),[5]skilldef!$C:$D,2,FALSE),"-") &amp; " / " &amp; IFERROR(VLOOKUP(MID(G37,H37,I37-H37),[5]skilldef!$A:$B,2,FALSE),"-")</f>
        <v>- / 大攻撃</v>
      </c>
      <c r="M37" s="64" t="str">
        <f>IFERROR(RIGHT(B37,LEN(B37)-FIND("],",B37)-1),"none")</f>
        <v>none</v>
      </c>
      <c r="N37" s="48" t="str">
        <f>IFERROR(LEFT(M37,FIND("],",M37)+S46),M37)</f>
        <v>none</v>
      </c>
      <c r="O37" s="64" t="e">
        <f>FIND("effect:",N37)+7</f>
        <v>#VALUE!</v>
      </c>
      <c r="P37" s="64">
        <f>IFERROR(FIND(",",N37),LEN(N37))</f>
        <v>4</v>
      </c>
      <c r="Q37" s="64" t="e">
        <f>FIND("target:",N37)+7</f>
        <v>#VALUE!</v>
      </c>
      <c r="R37" s="64" t="e">
        <f>FIND(",",N37,P37+1)</f>
        <v>#VALUE!</v>
      </c>
      <c r="S37" s="64" t="str">
        <f>IFERROR(VLOOKUP(MID(N37,Q37,R37-Q37),[5]skilldef!$C:$D,2,FALSE),"-") &amp; " / " &amp; IFERROR(VLOOKUP(MID(N37,O37,P37-O37),[5]skilldef!$A:$B,2,FALSE),"-")</f>
        <v>- / -</v>
      </c>
      <c r="T37" s="48" t="str">
        <f>IFERROR(RIGHT(M37,LEN(M37)-FIND("],",M37)-1),"none")</f>
        <v>none</v>
      </c>
      <c r="U37" s="64" t="e">
        <f>FIND("effect:",T37)+7</f>
        <v>#VALUE!</v>
      </c>
      <c r="V37" s="64">
        <f>IFERROR(FIND(",",T37),LEN(T37))</f>
        <v>4</v>
      </c>
      <c r="W37" s="64" t="e">
        <f>FIND("target:",T37)+7</f>
        <v>#VALUE!</v>
      </c>
      <c r="X37" s="64" t="e">
        <f>FIND(",",T37,V37+1)</f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108">
        <v>30040037</v>
      </c>
      <c r="B38" s="47" t="s">
        <v>351</v>
      </c>
      <c r="C38" s="50">
        <v>3</v>
      </c>
      <c r="D38" s="50" t="s">
        <v>127</v>
      </c>
      <c r="E38" s="51" t="s">
        <v>352</v>
      </c>
      <c r="F38" s="51" t="s">
        <v>336</v>
      </c>
      <c r="G38" s="64" t="str">
        <f t="shared" ref="G38" si="188">IFERROR(LEFT(B38,FIND("],",B38)),B38)</f>
        <v>[effect:fix_speed, target:myself, turn:1]</v>
      </c>
      <c r="H38" s="64">
        <f t="shared" si="1"/>
        <v>9</v>
      </c>
      <c r="I38" s="64">
        <f t="shared" ref="I38" si="189">IFERROR(FIND(",",G38),LEN(G38))</f>
        <v>18</v>
      </c>
      <c r="J38" s="64">
        <f t="shared" ref="J38" si="190">FIND("target:",G38)+7</f>
        <v>27</v>
      </c>
      <c r="K38" s="64">
        <f t="shared" ref="K38" si="191">FIND(",",G38,I38+1)</f>
        <v>33</v>
      </c>
      <c r="L38" s="64" t="str">
        <f>IFERROR(VLOOKUP(MID(G38,J38,K38-J38),[5]skilldef!$C:$D,2,FALSE),"-") &amp; " / " &amp; IFERROR(VLOOKUP(MID(G38,H38,I38-H38),[5]skilldef!$A:$B,2,FALSE),"-")</f>
        <v>自分自身に / 行動値設定</v>
      </c>
      <c r="M38" s="64" t="str">
        <f t="shared" ref="M38" si="192">IFERROR(RIGHT(B38,LEN(B38)-FIND("],",B38)-1),"none")</f>
        <v>[effect:damage_gravity, val:0.3, animation:fevergauge_down],[effect:tolerance, target:myself, turn:-1, tolerance_effect:all, count:-1, animation:enemy_tolerance]</v>
      </c>
      <c r="N38" s="48" t="str">
        <f>IFERROR(LEFT(M38,FIND("],",M38)+S47),M38)</f>
        <v>[effect:damage_gravity, val:0.3, animation:fevergauge_down]</v>
      </c>
      <c r="O38" s="64">
        <f t="shared" si="7"/>
        <v>9</v>
      </c>
      <c r="P38" s="64">
        <f t="shared" ref="P38" si="193">IFERROR(FIND(",",N38),LEN(N38))</f>
        <v>23</v>
      </c>
      <c r="Q38" s="64" t="e">
        <f t="shared" ref="Q38" si="194">FIND("target:",N38)+7</f>
        <v>#VALUE!</v>
      </c>
      <c r="R38" s="64">
        <f t="shared" ref="R38" si="195">FIND(",",N38,P38+1)</f>
        <v>32</v>
      </c>
      <c r="S38" s="64" t="str">
        <f>IFERROR(VLOOKUP(MID(N38,Q38,R38-Q38),[5]skilldef!$C:$D,2,FALSE),"-") &amp; " / " &amp; IFERROR(VLOOKUP(MID(N38,O38,P38-O38),[5]skilldef!$A:$B,2,FALSE),"-")</f>
        <v>- / 割合ダメージ</v>
      </c>
      <c r="T38" s="48" t="str">
        <f t="shared" ref="T38" si="196">IFERROR(RIGHT(M38,LEN(M38)-FIND("],",M38)-1),"none")</f>
        <v>[effect:tolerance, target:myself, turn:-1, tolerance_effect:all, count:-1, animation:enemy_tolerance]</v>
      </c>
      <c r="U38" s="64">
        <f t="shared" si="12"/>
        <v>9</v>
      </c>
      <c r="V38" s="64">
        <f t="shared" ref="V38" si="197">IFERROR(FIND(",",T38),LEN(T38))</f>
        <v>18</v>
      </c>
      <c r="W38" s="64">
        <f t="shared" ref="W38" si="198">FIND("target:",T38)+7</f>
        <v>27</v>
      </c>
      <c r="X38" s="64">
        <f t="shared" ref="X38" si="199">FIND(",",T38,V38+1)</f>
        <v>33</v>
      </c>
      <c r="Y38" s="64" t="str">
        <f>IFERROR(VLOOKUP(MID(T38,W38,X38-W38),[5]skilldef!$C:$D,2,FALSE),"-") &amp; " / " &amp; IFERROR(VLOOKUP(MID(T38,U38,V38-U38),[5]skilldef!$A:$B,2,FALSE),"-")</f>
        <v>自分自身に / 状態異常耐性</v>
      </c>
      <c r="Z38" s="50"/>
      <c r="AA38" s="52"/>
      <c r="AB38" s="50"/>
    </row>
    <row r="39" spans="1:28" ht="21" customHeight="1" x14ac:dyDescent="0.15">
      <c r="A39" s="108">
        <v>30040038</v>
      </c>
      <c r="B39" s="47" t="s">
        <v>283</v>
      </c>
      <c r="C39" s="50">
        <v>3</v>
      </c>
      <c r="D39" s="50" t="s">
        <v>127</v>
      </c>
      <c r="E39" s="51" t="s">
        <v>284</v>
      </c>
      <c r="F39" s="51" t="s">
        <v>287</v>
      </c>
      <c r="G39" s="64" t="str">
        <f t="shared" ref="G39" si="200">IFERROR(LEFT(B39,FIND("],",B39)),B39)</f>
        <v>[effect:virus, turn:-1, rate:1, val:0.1, animation:enemy_virus]</v>
      </c>
      <c r="H39" s="64">
        <f t="shared" si="1"/>
        <v>9</v>
      </c>
      <c r="I39" s="64">
        <f t="shared" ref="I39" si="201">IFERROR(FIND(",",G39),LEN(G39))</f>
        <v>14</v>
      </c>
      <c r="J39" s="64" t="e">
        <f t="shared" ref="J39" si="202">FIND("target:",G39)+7</f>
        <v>#VALUE!</v>
      </c>
      <c r="K39" s="64">
        <f t="shared" ref="K39" si="203">FIND(",",G39,I39+1)</f>
        <v>23</v>
      </c>
      <c r="L39" s="64" t="str">
        <f>IFERROR(VLOOKUP(MID(G39,J39,K39-J39),[5]skilldef!$C:$D,2,FALSE),"-") &amp; " / " &amp; IFERROR(VLOOKUP(MID(G39,H39,I39-H39),[5]skilldef!$A:$B,2,FALSE),"-")</f>
        <v>- / ウィルス</v>
      </c>
      <c r="M39" s="64" t="str">
        <f t="shared" ref="M39" si="204">IFERROR(RIGHT(B39,LEN(B39)-FIND("],",B39)-1),"none")</f>
        <v>none</v>
      </c>
      <c r="N39" s="48" t="str">
        <f>IFERROR(LEFT(M39,FIND("],",M39)+S48),M39)</f>
        <v>none</v>
      </c>
      <c r="O39" s="64" t="e">
        <f t="shared" si="7"/>
        <v>#VALUE!</v>
      </c>
      <c r="P39" s="64">
        <f t="shared" ref="P39" si="205">IFERROR(FIND(",",N39),LEN(N39))</f>
        <v>4</v>
      </c>
      <c r="Q39" s="64" t="e">
        <f t="shared" ref="Q39" si="206">FIND("target:",N39)+7</f>
        <v>#VALUE!</v>
      </c>
      <c r="R39" s="64" t="e">
        <f t="shared" ref="R39" si="207">FIND(",",N39,P39+1)</f>
        <v>#VALUE!</v>
      </c>
      <c r="S39" s="64" t="str">
        <f>IFERROR(VLOOKUP(MID(N39,Q39,R39-Q39),[5]skilldef!$C:$D,2,FALSE),"-") &amp; " / " &amp; IFERROR(VLOOKUP(MID(N39,O39,P39-O39),[5]skilldef!$A:$B,2,FALSE),"-")</f>
        <v>- / -</v>
      </c>
      <c r="T39" s="48" t="str">
        <f t="shared" ref="T39" si="208">IFERROR(RIGHT(M39,LEN(M39)-FIND("],",M39)-1),"none")</f>
        <v>none</v>
      </c>
      <c r="U39" s="64" t="e">
        <f t="shared" si="12"/>
        <v>#VALUE!</v>
      </c>
      <c r="V39" s="64">
        <f t="shared" ref="V39" si="209">IFERROR(FIND(",",T39),LEN(T39))</f>
        <v>4</v>
      </c>
      <c r="W39" s="64" t="e">
        <f t="shared" ref="W39" si="210">FIND("target:",T39)+7</f>
        <v>#VALUE!</v>
      </c>
      <c r="X39" s="64" t="e">
        <f t="shared" ref="X39" si="211">FIND(",",T39,V39+1)</f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108">
        <v>30040039</v>
      </c>
      <c r="B40" s="47" t="s">
        <v>333</v>
      </c>
      <c r="C40" s="50">
        <v>3</v>
      </c>
      <c r="D40" s="50" t="s">
        <v>127</v>
      </c>
      <c r="E40" s="51" t="s">
        <v>366</v>
      </c>
      <c r="F40" s="51" t="s">
        <v>373</v>
      </c>
      <c r="G40" s="64" t="str">
        <f t="shared" ref="G40:G42" si="212">IFERROR(LEFT(B40,FIND("],",B40)),B40)</f>
        <v>[effect:damage_anti_tribe, target:unit_one, tribe:animal, val1:0.75, val2:0.2]</v>
      </c>
      <c r="H40" s="64">
        <f t="shared" si="1"/>
        <v>9</v>
      </c>
      <c r="I40" s="64">
        <f t="shared" ref="I40:I42" si="213">IFERROR(FIND(",",G40),LEN(G40))</f>
        <v>26</v>
      </c>
      <c r="J40" s="64">
        <f t="shared" ref="J40:J42" si="214">FIND("target:",G40)+7</f>
        <v>35</v>
      </c>
      <c r="K40" s="64">
        <f t="shared" ref="K40:K42" si="215">FIND(",",G40,I40+1)</f>
        <v>43</v>
      </c>
      <c r="L40" s="64" t="str">
        <f>IFERROR(VLOOKUP(MID(G40,J40,K40-J40),[5]skilldef!$C:$D,2,FALSE),"-") &amp; " / " &amp; IFERROR(VLOOKUP(MID(G40,H40,I40-H40),[5]skilldef!$A:$B,2,FALSE),"-")</f>
        <v>味方単体に / 種族キラー</v>
      </c>
      <c r="M40" s="64" t="str">
        <f t="shared" ref="M40:M42" si="216">IFERROR(RIGHT(B40,LEN(B40)-FIND("],",B40)-1),"none")</f>
        <v>[effect:damage_anti_tribe, target:unit_one, tribe:dragon, val1:0.75, val2:0.2],[effect:damage_anti_tribe, target:unit_one, tribe:unknown, val1:0.75, val2:0.2],[effect:damage_anti_tribe, target:unit_one, tribe:demon, val1:0.75, val2:0.2],[effect:enemy_message, val1:1, val2:3.5]</v>
      </c>
      <c r="N40" s="48" t="str">
        <f>IFERROR(LEFT(M40,FIND("],",M40)+S42),M40)</f>
        <v>[effect:damage_anti_tribe, target:unit_one, tribe:dragon, val1:0.75, val2:0.2],[effect:damage_anti_tribe, target:unit_one, tribe:unknown, val1:0.75, val2:0.2],[effect:damage_anti_tribe, target:unit_one, tribe:demon, val1:0.75, val2:0.2],[effect:enemy_message, val1:1, val2:3.5]</v>
      </c>
      <c r="O40" s="64">
        <f t="shared" si="7"/>
        <v>9</v>
      </c>
      <c r="P40" s="64">
        <f t="shared" ref="P40:P42" si="217">IFERROR(FIND(",",N40),LEN(N40))</f>
        <v>26</v>
      </c>
      <c r="Q40" s="64">
        <f t="shared" ref="Q40:Q42" si="218">FIND("target:",N40)+7</f>
        <v>35</v>
      </c>
      <c r="R40" s="64">
        <f t="shared" ref="R40:R42" si="219">FIND(",",N40,P40+1)</f>
        <v>43</v>
      </c>
      <c r="S40" s="64" t="str">
        <f>IFERROR(VLOOKUP(MID(N40,Q40,R40-Q40),[5]skilldef!$C:$D,2,FALSE),"-") &amp; " / " &amp; IFERROR(VLOOKUP(MID(N40,O40,P40-O40),[5]skilldef!$A:$B,2,FALSE),"-")</f>
        <v>味方単体に / 種族キラー</v>
      </c>
      <c r="T40" s="48" t="str">
        <f t="shared" ref="T40:T42" si="220">IFERROR(RIGHT(M40,LEN(M40)-FIND("],",M40)-1),"none")</f>
        <v>[effect:damage_anti_tribe, target:unit_one, tribe:unknown, val1:0.75, val2:0.2],[effect:damage_anti_tribe, target:unit_one, tribe:demon, val1:0.75, val2:0.2],[effect:enemy_message, val1:1, val2:3.5]</v>
      </c>
      <c r="U40" s="64">
        <f t="shared" si="12"/>
        <v>9</v>
      </c>
      <c r="V40" s="64">
        <f t="shared" ref="V40:V42" si="221">IFERROR(FIND(",",T40),LEN(T40))</f>
        <v>26</v>
      </c>
      <c r="W40" s="64">
        <f t="shared" ref="W40:W42" si="222">FIND("target:",T40)+7</f>
        <v>35</v>
      </c>
      <c r="X40" s="64">
        <f t="shared" ref="X40:X42" si="223">FIND(",",T40,V40+1)</f>
        <v>43</v>
      </c>
      <c r="Y40" s="64" t="str">
        <f>IFERROR(VLOOKUP(MID(T40,W40,X40-W40),[5]skilldef!$C:$D,2,FALSE),"-") &amp; " / " &amp; IFERROR(VLOOKUP(MID(T40,U40,V40-U40),[5]skilldef!$A:$B,2,FALSE),"-")</f>
        <v>味方単体に / 種族キラー</v>
      </c>
      <c r="Z40" s="50"/>
      <c r="AA40" s="52"/>
      <c r="AB40" s="50"/>
    </row>
    <row r="41" spans="1:28" ht="21" customHeight="1" x14ac:dyDescent="0.15">
      <c r="A41" s="108">
        <v>30040040</v>
      </c>
      <c r="B41" s="47" t="s">
        <v>334</v>
      </c>
      <c r="C41" s="50">
        <v>3</v>
      </c>
      <c r="D41" s="50" t="s">
        <v>127</v>
      </c>
      <c r="E41" s="51" t="s">
        <v>365</v>
      </c>
      <c r="F41" s="51" t="s">
        <v>372</v>
      </c>
      <c r="G41" s="64" t="str">
        <f t="shared" si="212"/>
        <v>[effect:damage_anti_tribe, target:unit_one, tribe:human, val1:0.75, val2:0.2]</v>
      </c>
      <c r="H41" s="64">
        <f t="shared" si="1"/>
        <v>9</v>
      </c>
      <c r="I41" s="64">
        <f t="shared" si="213"/>
        <v>26</v>
      </c>
      <c r="J41" s="64">
        <f t="shared" si="214"/>
        <v>35</v>
      </c>
      <c r="K41" s="64">
        <f t="shared" si="215"/>
        <v>43</v>
      </c>
      <c r="L41" s="64" t="str">
        <f>IFERROR(VLOOKUP(MID(G41,J41,K41-J41),[5]skilldef!$C:$D,2,FALSE),"-") &amp; " / " &amp; IFERROR(VLOOKUP(MID(G41,H41,I41-H41),[5]skilldef!$A:$B,2,FALSE),"-")</f>
        <v>味方単体に / 種族キラー</v>
      </c>
      <c r="M41" s="64" t="str">
        <f t="shared" si="216"/>
        <v>[effect:damage_anti_tribe, target:unit_one, tribe:machine, val1:0.75, val2:0.2],[effect:damage_anti_tribe, target:unit_one, tribe:god, val1:0.75, val2:0.2],[effect:damage_anti_tribe, target:unit_one, tribe:samurai, val1:0.75, val2:0.2],[effect:enemy_message, val1:1, val2:3.5]</v>
      </c>
      <c r="N41" s="48" t="str">
        <f>IFERROR(LEFT(M41,FIND("],",M41)+S43),M41)</f>
        <v>[effect:damage_anti_tribe, target:unit_one, tribe:machine, val1:0.75, val2:0.2]</v>
      </c>
      <c r="O41" s="64">
        <f t="shared" si="7"/>
        <v>9</v>
      </c>
      <c r="P41" s="64">
        <f t="shared" si="217"/>
        <v>26</v>
      </c>
      <c r="Q41" s="64">
        <f t="shared" si="218"/>
        <v>35</v>
      </c>
      <c r="R41" s="64">
        <f t="shared" si="219"/>
        <v>43</v>
      </c>
      <c r="S41" s="64" t="str">
        <f>IFERROR(VLOOKUP(MID(N41,Q41,R41-Q41),[5]skilldef!$C:$D,2,FALSE),"-") &amp; " / " &amp; IFERROR(VLOOKUP(MID(N41,O41,P41-O41),[5]skilldef!$A:$B,2,FALSE),"-")</f>
        <v>味方単体に / 種族キラー</v>
      </c>
      <c r="T41" s="48" t="str">
        <f t="shared" si="220"/>
        <v>[effect:damage_anti_tribe, target:unit_one, tribe:god, val1:0.75, val2:0.2],[effect:damage_anti_tribe, target:unit_one, tribe:samurai, val1:0.75, val2:0.2],[effect:enemy_message, val1:1, val2:3.5]</v>
      </c>
      <c r="U41" s="64">
        <f t="shared" si="12"/>
        <v>9</v>
      </c>
      <c r="V41" s="64">
        <f t="shared" si="221"/>
        <v>26</v>
      </c>
      <c r="W41" s="64">
        <f t="shared" si="222"/>
        <v>35</v>
      </c>
      <c r="X41" s="64">
        <f t="shared" si="223"/>
        <v>43</v>
      </c>
      <c r="Y41" s="64" t="str">
        <f>IFERROR(VLOOKUP(MID(T41,W41,X41-W41),[5]skilldef!$C:$D,2,FALSE),"-") &amp; " / " &amp; IFERROR(VLOOKUP(MID(T41,U41,V41-U41),[5]skilldef!$A:$B,2,FALSE),"-")</f>
        <v>味方単体に / 種族キラー</v>
      </c>
      <c r="Z41" s="50"/>
      <c r="AA41" s="52"/>
      <c r="AB41" s="50"/>
    </row>
    <row r="42" spans="1:28" ht="21" customHeight="1" x14ac:dyDescent="0.15">
      <c r="A42" s="120">
        <v>30040041</v>
      </c>
      <c r="B42" s="47" t="s">
        <v>360</v>
      </c>
      <c r="C42" s="50">
        <v>3</v>
      </c>
      <c r="D42" s="50" t="s">
        <v>127</v>
      </c>
      <c r="E42" s="51" t="s">
        <v>364</v>
      </c>
      <c r="F42" s="51" t="s">
        <v>359</v>
      </c>
      <c r="G42" s="64" t="str">
        <f t="shared" si="212"/>
        <v>[effect:fix_speed, target:myself, turn:1]</v>
      </c>
      <c r="H42" s="64">
        <f t="shared" ref="H42" si="224">FIND("effect:",G42)+7</f>
        <v>9</v>
      </c>
      <c r="I42" s="64">
        <f t="shared" si="213"/>
        <v>18</v>
      </c>
      <c r="J42" s="64">
        <f t="shared" si="214"/>
        <v>27</v>
      </c>
      <c r="K42" s="64">
        <f t="shared" si="215"/>
        <v>33</v>
      </c>
      <c r="L42" s="64" t="str">
        <f>IFERROR(VLOOKUP(MID(G42,J42,K42-J42),[5]skilldef!$C:$D,2,FALSE),"-") &amp; " / " &amp; IFERROR(VLOOKUP(MID(G42,H42,I42-H42),[5]skilldef!$A:$B,2,FALSE),"-")</f>
        <v>自分自身に / 行動値設定</v>
      </c>
      <c r="M42" s="64" t="str">
        <f t="shared" si="216"/>
        <v>[effect:tolerance, target:myself, turn:-1, tolerance_effect:all, count:-1, animation:enemy_tolerance]</v>
      </c>
      <c r="N42" s="48" t="str">
        <f>IFERROR(LEFT(M42,FIND("],",M42)+#REF!),M42)</f>
        <v>[effect:tolerance, target:myself, turn:-1, tolerance_effect:all, count:-1, animation:enemy_tolerance]</v>
      </c>
      <c r="O42" s="64">
        <f t="shared" ref="O42" si="225">FIND("effect:",N42)+7</f>
        <v>9</v>
      </c>
      <c r="P42" s="64">
        <f t="shared" si="217"/>
        <v>18</v>
      </c>
      <c r="Q42" s="64">
        <f t="shared" si="218"/>
        <v>27</v>
      </c>
      <c r="R42" s="64">
        <f t="shared" si="219"/>
        <v>33</v>
      </c>
      <c r="S42" s="64" t="str">
        <f>IFERROR(VLOOKUP(MID(N42,Q42,R42-Q42),[5]skilldef!$C:$D,2,FALSE),"-") &amp; " / " &amp; IFERROR(VLOOKUP(MID(N42,O42,P42-O42),[5]skilldef!$A:$B,2,FALSE),"-")</f>
        <v>自分自身に / 状態異常耐性</v>
      </c>
      <c r="T42" s="48" t="str">
        <f t="shared" si="220"/>
        <v>none</v>
      </c>
      <c r="U42" s="64" t="e">
        <f t="shared" ref="U42" si="226">FIND("effect:",T42)+7</f>
        <v>#VALUE!</v>
      </c>
      <c r="V42" s="64">
        <f t="shared" si="221"/>
        <v>4</v>
      </c>
      <c r="W42" s="64" t="e">
        <f t="shared" si="222"/>
        <v>#VALUE!</v>
      </c>
      <c r="X42" s="64" t="e">
        <f t="shared" si="223"/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4"/>
  <sheetViews>
    <sheetView showGridLines="0" zoomScale="75" zoomScaleNormal="75" zoomScalePageLayoutView="75" workbookViewId="0">
      <pane ySplit="1" topLeftCell="A23" activePane="bottomLeft" state="frozenSplit"/>
      <selection pane="bottomLeft" activeCell="F55" sqref="F5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104">
        <v>30040001</v>
      </c>
      <c r="B2" s="47">
        <v>1</v>
      </c>
      <c r="C2" s="47" t="s">
        <v>88</v>
      </c>
      <c r="D2" s="47">
        <v>100</v>
      </c>
      <c r="E2" s="47" t="s">
        <v>89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04">
        <v>30040002</v>
      </c>
      <c r="B3" s="47">
        <v>0</v>
      </c>
      <c r="C3" s="47" t="s">
        <v>88</v>
      </c>
      <c r="D3" s="47">
        <v>100</v>
      </c>
      <c r="E3" s="47" t="s">
        <v>89</v>
      </c>
      <c r="F3" s="47" t="s">
        <v>89</v>
      </c>
      <c r="G3" s="47">
        <v>1</v>
      </c>
      <c r="H3" s="47">
        <v>1</v>
      </c>
      <c r="I3" s="47" t="s">
        <v>89</v>
      </c>
      <c r="J3" s="48">
        <f t="shared" ref="J3:J52" si="1">D3</f>
        <v>100</v>
      </c>
    </row>
    <row r="4" spans="1:11" ht="21" customHeight="1" x14ac:dyDescent="0.15">
      <c r="A4" s="104">
        <v>30040003</v>
      </c>
      <c r="B4" s="47">
        <v>0</v>
      </c>
      <c r="C4" s="47" t="s">
        <v>88</v>
      </c>
      <c r="D4" s="47">
        <v>100</v>
      </c>
      <c r="E4" s="47" t="s">
        <v>89</v>
      </c>
      <c r="F4" s="47">
        <v>50</v>
      </c>
      <c r="G4" s="47" t="s">
        <v>89</v>
      </c>
      <c r="H4" s="47" t="s">
        <v>89</v>
      </c>
      <c r="I4" s="47" t="s">
        <v>89</v>
      </c>
      <c r="J4" s="48">
        <f t="shared" si="1"/>
        <v>100</v>
      </c>
    </row>
    <row r="5" spans="1:11" ht="21" customHeight="1" x14ac:dyDescent="0.15">
      <c r="A5" s="104">
        <v>30040004</v>
      </c>
      <c r="B5" s="47">
        <v>0</v>
      </c>
      <c r="C5" s="47" t="s">
        <v>88</v>
      </c>
      <c r="D5" s="47">
        <v>100</v>
      </c>
      <c r="E5" s="47">
        <v>50</v>
      </c>
      <c r="F5" s="47" t="s">
        <v>89</v>
      </c>
      <c r="G5" s="47">
        <v>1</v>
      </c>
      <c r="H5" s="47">
        <v>1</v>
      </c>
      <c r="I5" s="47" t="s">
        <v>89</v>
      </c>
      <c r="J5" s="48">
        <f t="shared" si="1"/>
        <v>100</v>
      </c>
    </row>
    <row r="6" spans="1:11" ht="21" customHeight="1" x14ac:dyDescent="0.15">
      <c r="A6" s="104">
        <v>30040005</v>
      </c>
      <c r="B6" s="47">
        <v>0</v>
      </c>
      <c r="C6" s="47" t="s">
        <v>88</v>
      </c>
      <c r="D6" s="47">
        <v>100</v>
      </c>
      <c r="E6" s="47">
        <v>50</v>
      </c>
      <c r="F6" s="47" t="s">
        <v>89</v>
      </c>
      <c r="G6" s="47">
        <v>1</v>
      </c>
      <c r="H6" s="47">
        <v>1</v>
      </c>
      <c r="I6" s="47" t="s">
        <v>89</v>
      </c>
      <c r="J6" s="48">
        <f t="shared" si="1"/>
        <v>100</v>
      </c>
    </row>
    <row r="7" spans="1:11" ht="21" customHeight="1" x14ac:dyDescent="0.15">
      <c r="A7" s="104">
        <v>30040006</v>
      </c>
      <c r="B7" s="47">
        <v>0</v>
      </c>
      <c r="C7" s="47" t="s">
        <v>88</v>
      </c>
      <c r="D7" s="47">
        <v>100</v>
      </c>
      <c r="E7" s="47">
        <v>50</v>
      </c>
      <c r="F7" s="47">
        <v>35</v>
      </c>
      <c r="G7" s="47" t="s">
        <v>89</v>
      </c>
      <c r="H7" s="47">
        <v>1</v>
      </c>
      <c r="I7" s="47" t="s">
        <v>89</v>
      </c>
      <c r="J7" s="48">
        <f t="shared" si="1"/>
        <v>100</v>
      </c>
    </row>
    <row r="8" spans="1:11" ht="21" customHeight="1" x14ac:dyDescent="0.15">
      <c r="A8" s="104">
        <v>30040007</v>
      </c>
      <c r="B8" s="47">
        <v>0</v>
      </c>
      <c r="C8" s="47" t="s">
        <v>88</v>
      </c>
      <c r="D8" s="47">
        <v>100</v>
      </c>
      <c r="E8" s="47">
        <v>35</v>
      </c>
      <c r="F8" s="47">
        <v>20</v>
      </c>
      <c r="G8" s="47" t="s">
        <v>89</v>
      </c>
      <c r="H8" s="47">
        <v>1</v>
      </c>
      <c r="I8" s="47" t="s">
        <v>89</v>
      </c>
      <c r="J8" s="48">
        <f t="shared" si="1"/>
        <v>100</v>
      </c>
    </row>
    <row r="9" spans="1:11" ht="21" customHeight="1" x14ac:dyDescent="0.15">
      <c r="A9" s="104">
        <v>30040008</v>
      </c>
      <c r="B9" s="47">
        <v>0</v>
      </c>
      <c r="C9" s="47" t="s">
        <v>88</v>
      </c>
      <c r="D9" s="47">
        <v>100</v>
      </c>
      <c r="E9" s="47">
        <v>20</v>
      </c>
      <c r="F9" s="47" t="s">
        <v>89</v>
      </c>
      <c r="G9" s="47" t="s">
        <v>89</v>
      </c>
      <c r="H9" s="47">
        <v>1</v>
      </c>
      <c r="I9" s="47" t="s">
        <v>89</v>
      </c>
      <c r="J9" s="48">
        <f t="shared" si="1"/>
        <v>100</v>
      </c>
    </row>
    <row r="10" spans="1:11" ht="21" customHeight="1" x14ac:dyDescent="0.15">
      <c r="A10" s="104">
        <v>30040009</v>
      </c>
      <c r="B10" s="47">
        <v>0</v>
      </c>
      <c r="C10" s="47">
        <v>3</v>
      </c>
      <c r="D10" s="47">
        <v>50</v>
      </c>
      <c r="E10" s="47" t="s">
        <v>89</v>
      </c>
      <c r="F10" s="47" t="s">
        <v>89</v>
      </c>
      <c r="G10" s="47" t="s">
        <v>89</v>
      </c>
      <c r="H10" s="47" t="s">
        <v>89</v>
      </c>
      <c r="I10" s="47" t="s">
        <v>89</v>
      </c>
      <c r="J10" s="48">
        <f t="shared" si="1"/>
        <v>50</v>
      </c>
    </row>
    <row r="11" spans="1:11" ht="21" customHeight="1" x14ac:dyDescent="0.15">
      <c r="A11" s="104">
        <v>30040010</v>
      </c>
      <c r="B11" s="47">
        <v>0</v>
      </c>
      <c r="C11" s="47">
        <v>2</v>
      </c>
      <c r="D11" s="47">
        <v>50</v>
      </c>
      <c r="E11" s="47" t="s">
        <v>89</v>
      </c>
      <c r="F11" s="47" t="s">
        <v>89</v>
      </c>
      <c r="G11" s="47" t="s">
        <v>89</v>
      </c>
      <c r="H11" s="47" t="s">
        <v>89</v>
      </c>
      <c r="I11" s="47" t="s">
        <v>89</v>
      </c>
      <c r="J11" s="48">
        <f t="shared" si="1"/>
        <v>50</v>
      </c>
    </row>
    <row r="12" spans="1:11" ht="21" customHeight="1" x14ac:dyDescent="0.15">
      <c r="A12" s="104">
        <v>30040011</v>
      </c>
      <c r="B12" s="47">
        <v>0</v>
      </c>
      <c r="C12" s="47">
        <v>1</v>
      </c>
      <c r="D12" s="47">
        <v>100</v>
      </c>
      <c r="E12" s="47" t="s">
        <v>89</v>
      </c>
      <c r="F12" s="47" t="s">
        <v>89</v>
      </c>
      <c r="G12" s="47" t="s">
        <v>89</v>
      </c>
      <c r="H12" s="47" t="s">
        <v>89</v>
      </c>
      <c r="I12" s="47" t="s">
        <v>89</v>
      </c>
      <c r="J12" s="48">
        <f t="shared" si="1"/>
        <v>100</v>
      </c>
    </row>
    <row r="13" spans="1:11" ht="21" customHeight="1" x14ac:dyDescent="0.15">
      <c r="A13" s="105">
        <v>30040012</v>
      </c>
      <c r="B13" s="47">
        <v>0</v>
      </c>
      <c r="C13" s="47" t="s">
        <v>88</v>
      </c>
      <c r="D13" s="47">
        <v>100</v>
      </c>
      <c r="E13" s="47" t="s">
        <v>89</v>
      </c>
      <c r="F13" s="47" t="s">
        <v>89</v>
      </c>
      <c r="G13" s="47" t="s">
        <v>89</v>
      </c>
      <c r="H13" s="47">
        <v>2</v>
      </c>
      <c r="I13" s="47" t="s">
        <v>89</v>
      </c>
      <c r="J13" s="48">
        <f t="shared" si="1"/>
        <v>100</v>
      </c>
    </row>
    <row r="14" spans="1:11" ht="21" customHeight="1" x14ac:dyDescent="0.15">
      <c r="A14" s="105">
        <v>30040013</v>
      </c>
      <c r="B14" s="47">
        <v>1</v>
      </c>
      <c r="C14" s="47">
        <v>5</v>
      </c>
      <c r="D14" s="47">
        <v>100</v>
      </c>
      <c r="E14" s="47" t="s">
        <v>89</v>
      </c>
      <c r="F14" s="47" t="s">
        <v>89</v>
      </c>
      <c r="G14" s="47">
        <v>1</v>
      </c>
      <c r="H14" s="47" t="s">
        <v>89</v>
      </c>
      <c r="I14" s="47" t="s">
        <v>89</v>
      </c>
      <c r="J14" s="48">
        <f t="shared" si="1"/>
        <v>100</v>
      </c>
    </row>
    <row r="15" spans="1:11" ht="21" customHeight="1" x14ac:dyDescent="0.15">
      <c r="A15" s="105">
        <v>30040014</v>
      </c>
      <c r="B15" s="47">
        <v>0</v>
      </c>
      <c r="C15" s="47">
        <v>4</v>
      </c>
      <c r="D15" s="47">
        <v>100</v>
      </c>
      <c r="E15" s="47" t="s">
        <v>89</v>
      </c>
      <c r="F15" s="47" t="s">
        <v>89</v>
      </c>
      <c r="G15" s="47">
        <v>1</v>
      </c>
      <c r="H15" s="47">
        <v>1</v>
      </c>
      <c r="I15" s="47" t="s">
        <v>89</v>
      </c>
      <c r="J15" s="48">
        <f t="shared" si="1"/>
        <v>100</v>
      </c>
    </row>
    <row r="16" spans="1:11" ht="21" customHeight="1" x14ac:dyDescent="0.15">
      <c r="A16" s="105">
        <v>30040015</v>
      </c>
      <c r="B16" s="47">
        <v>0</v>
      </c>
      <c r="C16" s="47">
        <v>3</v>
      </c>
      <c r="D16" s="47">
        <v>100</v>
      </c>
      <c r="E16" s="47" t="s">
        <v>89</v>
      </c>
      <c r="F16" s="47" t="s">
        <v>89</v>
      </c>
      <c r="G16" s="47">
        <v>1</v>
      </c>
      <c r="H16" s="47">
        <v>2</v>
      </c>
      <c r="I16" s="47" t="s">
        <v>89</v>
      </c>
      <c r="J16" s="48">
        <f t="shared" si="1"/>
        <v>100</v>
      </c>
    </row>
    <row r="17" spans="1:10" ht="21" customHeight="1" x14ac:dyDescent="0.15">
      <c r="A17" s="105">
        <v>30040016</v>
      </c>
      <c r="B17" s="47">
        <v>0</v>
      </c>
      <c r="C17" s="47">
        <v>2</v>
      </c>
      <c r="D17" s="47">
        <v>100</v>
      </c>
      <c r="E17" s="47" t="s">
        <v>89</v>
      </c>
      <c r="F17" s="47" t="s">
        <v>89</v>
      </c>
      <c r="G17" s="47">
        <v>1</v>
      </c>
      <c r="H17" s="47">
        <v>3</v>
      </c>
      <c r="I17" s="47" t="s">
        <v>89</v>
      </c>
      <c r="J17" s="48">
        <f t="shared" si="1"/>
        <v>100</v>
      </c>
    </row>
    <row r="18" spans="1:10" ht="21" customHeight="1" x14ac:dyDescent="0.15">
      <c r="A18" s="105">
        <v>30040017</v>
      </c>
      <c r="B18" s="47">
        <v>0</v>
      </c>
      <c r="C18" s="47">
        <v>1</v>
      </c>
      <c r="D18" s="47">
        <v>100</v>
      </c>
      <c r="E18" s="47" t="s">
        <v>89</v>
      </c>
      <c r="F18" s="47" t="s">
        <v>89</v>
      </c>
      <c r="G18" s="47">
        <v>1</v>
      </c>
      <c r="H18" s="47">
        <v>4</v>
      </c>
      <c r="I18" s="47" t="s">
        <v>89</v>
      </c>
      <c r="J18" s="48">
        <f t="shared" si="1"/>
        <v>100</v>
      </c>
    </row>
    <row r="19" spans="1:10" ht="21" customHeight="1" x14ac:dyDescent="0.15">
      <c r="A19" s="106">
        <v>30040018</v>
      </c>
      <c r="B19" s="47">
        <v>1</v>
      </c>
      <c r="C19" s="47" t="s">
        <v>88</v>
      </c>
      <c r="D19" s="47">
        <v>100</v>
      </c>
      <c r="E19" s="47" t="s">
        <v>89</v>
      </c>
      <c r="F19" s="47" t="s">
        <v>89</v>
      </c>
      <c r="G19" s="47">
        <v>1</v>
      </c>
      <c r="H19" s="47" t="s">
        <v>89</v>
      </c>
      <c r="I19" s="47" t="s">
        <v>89</v>
      </c>
      <c r="J19" s="48">
        <f t="shared" si="1"/>
        <v>100</v>
      </c>
    </row>
    <row r="20" spans="1:10" ht="21" customHeight="1" x14ac:dyDescent="0.15">
      <c r="A20" s="106">
        <v>30040019</v>
      </c>
      <c r="B20" s="47">
        <v>0</v>
      </c>
      <c r="C20" s="47" t="s">
        <v>88</v>
      </c>
      <c r="D20" s="47">
        <v>100</v>
      </c>
      <c r="E20" s="47" t="s">
        <v>89</v>
      </c>
      <c r="F20" s="47" t="s">
        <v>89</v>
      </c>
      <c r="G20" s="47" t="s">
        <v>89</v>
      </c>
      <c r="H20" s="47">
        <v>2</v>
      </c>
      <c r="I20" s="47" t="s">
        <v>89</v>
      </c>
      <c r="J20" s="48">
        <f t="shared" si="1"/>
        <v>100</v>
      </c>
    </row>
    <row r="21" spans="1:10" ht="21" customHeight="1" x14ac:dyDescent="0.15">
      <c r="A21" s="106">
        <v>30040020</v>
      </c>
      <c r="B21" s="47">
        <v>1</v>
      </c>
      <c r="C21" s="47" t="s">
        <v>88</v>
      </c>
      <c r="D21" s="47">
        <v>100</v>
      </c>
      <c r="E21" s="47" t="s">
        <v>89</v>
      </c>
      <c r="F21" s="47" t="s">
        <v>89</v>
      </c>
      <c r="G21" s="47">
        <v>1</v>
      </c>
      <c r="H21" s="47" t="s">
        <v>89</v>
      </c>
      <c r="I21" s="47" t="s">
        <v>89</v>
      </c>
      <c r="J21" s="48">
        <f t="shared" si="1"/>
        <v>100</v>
      </c>
    </row>
    <row r="22" spans="1:10" ht="21" customHeight="1" x14ac:dyDescent="0.15">
      <c r="A22" s="106">
        <v>30040021</v>
      </c>
      <c r="B22" s="47">
        <v>0</v>
      </c>
      <c r="C22" s="47">
        <v>1</v>
      </c>
      <c r="D22" s="47">
        <v>100</v>
      </c>
      <c r="E22" s="47" t="s">
        <v>89</v>
      </c>
      <c r="F22" s="47" t="s">
        <v>89</v>
      </c>
      <c r="G22" s="47">
        <v>1</v>
      </c>
      <c r="H22" s="47">
        <v>1</v>
      </c>
      <c r="I22" s="47" t="s">
        <v>89</v>
      </c>
      <c r="J22" s="48">
        <f t="shared" si="1"/>
        <v>100</v>
      </c>
    </row>
    <row r="23" spans="1:10" ht="21" customHeight="1" x14ac:dyDescent="0.15">
      <c r="A23" s="106">
        <v>30040022</v>
      </c>
      <c r="B23" s="47">
        <v>0</v>
      </c>
      <c r="C23" s="47" t="s">
        <v>88</v>
      </c>
      <c r="D23" s="47">
        <v>100</v>
      </c>
      <c r="E23" s="47" t="s">
        <v>89</v>
      </c>
      <c r="F23" s="47" t="s">
        <v>89</v>
      </c>
      <c r="G23" s="47" t="s">
        <v>89</v>
      </c>
      <c r="H23" s="47">
        <v>2</v>
      </c>
      <c r="I23" s="47" t="s">
        <v>89</v>
      </c>
      <c r="J23" s="48">
        <f t="shared" si="1"/>
        <v>100</v>
      </c>
    </row>
    <row r="24" spans="1:10" ht="21" customHeight="1" x14ac:dyDescent="0.15">
      <c r="A24" s="107">
        <v>30040023</v>
      </c>
      <c r="B24" s="47">
        <v>1</v>
      </c>
      <c r="C24" s="47" t="s">
        <v>88</v>
      </c>
      <c r="D24" s="47">
        <v>100</v>
      </c>
      <c r="E24" s="47" t="s">
        <v>89</v>
      </c>
      <c r="F24" s="47" t="s">
        <v>89</v>
      </c>
      <c r="G24" s="47">
        <v>1</v>
      </c>
      <c r="H24" s="47" t="s">
        <v>89</v>
      </c>
      <c r="I24" s="47" t="s">
        <v>89</v>
      </c>
      <c r="J24" s="48">
        <f t="shared" si="1"/>
        <v>100</v>
      </c>
    </row>
    <row r="25" spans="1:10" ht="21" customHeight="1" x14ac:dyDescent="0.15">
      <c r="A25" s="107">
        <v>30040024</v>
      </c>
      <c r="B25" s="47">
        <v>0</v>
      </c>
      <c r="C25" s="47" t="s">
        <v>88</v>
      </c>
      <c r="D25" s="47">
        <v>100</v>
      </c>
      <c r="E25" s="47" t="s">
        <v>89</v>
      </c>
      <c r="F25" s="47" t="s">
        <v>89</v>
      </c>
      <c r="G25" s="47" t="s">
        <v>89</v>
      </c>
      <c r="H25" s="47" t="s">
        <v>89</v>
      </c>
      <c r="I25" s="47" t="s">
        <v>89</v>
      </c>
      <c r="J25" s="48">
        <f t="shared" si="1"/>
        <v>100</v>
      </c>
    </row>
    <row r="26" spans="1:10" ht="21" customHeight="1" x14ac:dyDescent="0.15">
      <c r="A26" s="107">
        <v>30040025</v>
      </c>
      <c r="B26" s="47">
        <v>0</v>
      </c>
      <c r="C26" s="47" t="s">
        <v>88</v>
      </c>
      <c r="D26" s="47">
        <v>100</v>
      </c>
      <c r="E26" s="47" t="s">
        <v>89</v>
      </c>
      <c r="F26" s="47" t="s">
        <v>89</v>
      </c>
      <c r="G26" s="47" t="s">
        <v>89</v>
      </c>
      <c r="H26" s="47" t="s">
        <v>89</v>
      </c>
      <c r="I26" s="47" t="s">
        <v>89</v>
      </c>
      <c r="J26" s="48">
        <f t="shared" si="1"/>
        <v>100</v>
      </c>
    </row>
    <row r="27" spans="1:10" ht="21" customHeight="1" x14ac:dyDescent="0.15">
      <c r="A27" s="108">
        <v>30040026</v>
      </c>
      <c r="B27" s="47">
        <v>1</v>
      </c>
      <c r="C27" s="47">
        <v>4</v>
      </c>
      <c r="D27" s="47">
        <v>100</v>
      </c>
      <c r="E27" s="47" t="s">
        <v>89</v>
      </c>
      <c r="F27" s="47" t="s">
        <v>89</v>
      </c>
      <c r="G27" s="47">
        <v>1</v>
      </c>
      <c r="H27" s="47" t="s">
        <v>89</v>
      </c>
      <c r="I27" s="47">
        <v>1065</v>
      </c>
      <c r="J27" s="48">
        <f t="shared" si="1"/>
        <v>100</v>
      </c>
    </row>
    <row r="28" spans="1:10" ht="21" customHeight="1" x14ac:dyDescent="0.15">
      <c r="A28" s="108">
        <v>30040027</v>
      </c>
      <c r="B28" s="47">
        <v>1</v>
      </c>
      <c r="C28" s="47">
        <v>4</v>
      </c>
      <c r="D28" s="47">
        <v>100</v>
      </c>
      <c r="E28" s="47" t="s">
        <v>89</v>
      </c>
      <c r="F28" s="47" t="s">
        <v>89</v>
      </c>
      <c r="G28" s="47">
        <v>1</v>
      </c>
      <c r="H28" s="47" t="s">
        <v>89</v>
      </c>
      <c r="I28" s="47">
        <v>1066</v>
      </c>
      <c r="J28" s="48">
        <f t="shared" si="1"/>
        <v>100</v>
      </c>
    </row>
    <row r="29" spans="1:10" ht="21" customHeight="1" x14ac:dyDescent="0.15">
      <c r="A29" s="108">
        <v>30040028</v>
      </c>
      <c r="B29" s="47">
        <v>1</v>
      </c>
      <c r="C29" s="47">
        <v>4</v>
      </c>
      <c r="D29" s="47">
        <v>100</v>
      </c>
      <c r="E29" s="47" t="s">
        <v>89</v>
      </c>
      <c r="F29" s="47" t="s">
        <v>89</v>
      </c>
      <c r="G29" s="47">
        <v>1</v>
      </c>
      <c r="H29" s="47" t="s">
        <v>89</v>
      </c>
      <c r="I29" s="47">
        <v>1069</v>
      </c>
      <c r="J29" s="48">
        <f t="shared" si="1"/>
        <v>100</v>
      </c>
    </row>
    <row r="30" spans="1:10" ht="21" customHeight="1" x14ac:dyDescent="0.15">
      <c r="A30" s="108">
        <v>30040029</v>
      </c>
      <c r="B30" s="47">
        <v>1</v>
      </c>
      <c r="C30" s="47">
        <v>4</v>
      </c>
      <c r="D30" s="47">
        <v>100</v>
      </c>
      <c r="E30" s="47" t="s">
        <v>89</v>
      </c>
      <c r="F30" s="47" t="s">
        <v>89</v>
      </c>
      <c r="G30" s="47">
        <v>1</v>
      </c>
      <c r="H30" s="47" t="s">
        <v>89</v>
      </c>
      <c r="I30" s="47">
        <v>1070</v>
      </c>
      <c r="J30" s="48">
        <f t="shared" si="1"/>
        <v>100</v>
      </c>
    </row>
    <row r="31" spans="1:10" ht="21" customHeight="1" x14ac:dyDescent="0.15">
      <c r="A31" s="108">
        <v>30040030</v>
      </c>
      <c r="B31" s="47">
        <v>1</v>
      </c>
      <c r="C31" s="47">
        <v>4</v>
      </c>
      <c r="D31" s="47">
        <v>100</v>
      </c>
      <c r="E31" s="47" t="s">
        <v>89</v>
      </c>
      <c r="F31" s="47" t="s">
        <v>89</v>
      </c>
      <c r="G31" s="47">
        <v>1</v>
      </c>
      <c r="H31" s="47" t="s">
        <v>89</v>
      </c>
      <c r="I31" s="47">
        <v>1071</v>
      </c>
      <c r="J31" s="48">
        <f t="shared" si="1"/>
        <v>100</v>
      </c>
    </row>
    <row r="32" spans="1:10" ht="21" customHeight="1" x14ac:dyDescent="0.15">
      <c r="A32" s="108">
        <v>30040031</v>
      </c>
      <c r="B32" s="47">
        <v>1</v>
      </c>
      <c r="C32" s="47">
        <v>4</v>
      </c>
      <c r="D32" s="47">
        <v>100</v>
      </c>
      <c r="E32" s="47" t="s">
        <v>89</v>
      </c>
      <c r="F32" s="47" t="s">
        <v>89</v>
      </c>
      <c r="G32" s="47">
        <v>1</v>
      </c>
      <c r="H32" s="47" t="s">
        <v>89</v>
      </c>
      <c r="I32" s="47">
        <v>1072</v>
      </c>
      <c r="J32" s="48">
        <f t="shared" si="1"/>
        <v>100</v>
      </c>
    </row>
    <row r="33" spans="1:10" ht="21" customHeight="1" x14ac:dyDescent="0.15">
      <c r="A33" s="108">
        <v>30040032</v>
      </c>
      <c r="B33" s="47">
        <v>1</v>
      </c>
      <c r="C33" s="47">
        <v>4</v>
      </c>
      <c r="D33" s="47">
        <v>100</v>
      </c>
      <c r="E33" s="47" t="s">
        <v>88</v>
      </c>
      <c r="F33" s="47" t="s">
        <v>88</v>
      </c>
      <c r="G33" s="47">
        <v>1</v>
      </c>
      <c r="H33" s="47" t="s">
        <v>88</v>
      </c>
      <c r="I33" s="47">
        <v>1073</v>
      </c>
      <c r="J33" s="48">
        <f t="shared" ref="J33" si="2">D33</f>
        <v>100</v>
      </c>
    </row>
    <row r="34" spans="1:10" ht="21" customHeight="1" x14ac:dyDescent="0.15">
      <c r="A34" s="108">
        <v>30040033</v>
      </c>
      <c r="B34" s="47">
        <v>1</v>
      </c>
      <c r="C34" s="47">
        <v>4</v>
      </c>
      <c r="D34" s="47">
        <v>100</v>
      </c>
      <c r="E34" s="47" t="s">
        <v>89</v>
      </c>
      <c r="F34" s="47" t="s">
        <v>89</v>
      </c>
      <c r="G34" s="47">
        <v>1</v>
      </c>
      <c r="H34" s="47" t="s">
        <v>89</v>
      </c>
      <c r="I34" s="47">
        <v>1059</v>
      </c>
      <c r="J34" s="48">
        <f t="shared" si="1"/>
        <v>100</v>
      </c>
    </row>
    <row r="35" spans="1:10" ht="21" customHeight="1" x14ac:dyDescent="0.15">
      <c r="A35" s="108">
        <v>30040034</v>
      </c>
      <c r="B35" s="47">
        <v>1</v>
      </c>
      <c r="C35" s="47">
        <v>4</v>
      </c>
      <c r="D35" s="47">
        <v>100</v>
      </c>
      <c r="E35" s="47" t="s">
        <v>89</v>
      </c>
      <c r="F35" s="47" t="s">
        <v>89</v>
      </c>
      <c r="G35" s="47">
        <v>1</v>
      </c>
      <c r="H35" s="47" t="s">
        <v>89</v>
      </c>
      <c r="I35" s="47">
        <v>1060</v>
      </c>
      <c r="J35" s="48">
        <f t="shared" si="1"/>
        <v>100</v>
      </c>
    </row>
    <row r="36" spans="1:10" ht="21" customHeight="1" x14ac:dyDescent="0.15">
      <c r="A36" s="108">
        <v>30040035</v>
      </c>
      <c r="B36" s="47">
        <v>1</v>
      </c>
      <c r="C36" s="47">
        <v>4</v>
      </c>
      <c r="D36" s="47">
        <v>100</v>
      </c>
      <c r="E36" s="47" t="s">
        <v>89</v>
      </c>
      <c r="F36" s="47" t="s">
        <v>89</v>
      </c>
      <c r="G36" s="47">
        <v>1</v>
      </c>
      <c r="H36" s="47" t="s">
        <v>89</v>
      </c>
      <c r="I36" s="47">
        <v>1063</v>
      </c>
      <c r="J36" s="48">
        <f t="shared" si="1"/>
        <v>100</v>
      </c>
    </row>
    <row r="37" spans="1:10" ht="21" customHeight="1" x14ac:dyDescent="0.15">
      <c r="A37" s="108">
        <v>30040036</v>
      </c>
      <c r="B37" s="47">
        <v>1</v>
      </c>
      <c r="C37" s="47">
        <v>4</v>
      </c>
      <c r="D37" s="47">
        <v>100</v>
      </c>
      <c r="E37" s="47" t="s">
        <v>89</v>
      </c>
      <c r="F37" s="47" t="s">
        <v>89</v>
      </c>
      <c r="G37" s="47">
        <v>1</v>
      </c>
      <c r="H37" s="47" t="s">
        <v>89</v>
      </c>
      <c r="I37" s="47">
        <v>1064</v>
      </c>
      <c r="J37" s="48">
        <f t="shared" si="1"/>
        <v>100</v>
      </c>
    </row>
    <row r="38" spans="1:10" ht="21" customHeight="1" x14ac:dyDescent="0.15">
      <c r="A38" s="108">
        <v>30040037</v>
      </c>
      <c r="B38" s="47">
        <v>1</v>
      </c>
      <c r="C38" s="47">
        <v>4</v>
      </c>
      <c r="D38" s="47">
        <v>100</v>
      </c>
      <c r="E38" s="47" t="s">
        <v>89</v>
      </c>
      <c r="F38" s="47" t="s">
        <v>89</v>
      </c>
      <c r="G38" s="47">
        <v>1</v>
      </c>
      <c r="H38" s="47" t="s">
        <v>89</v>
      </c>
      <c r="I38" s="47">
        <v>1067</v>
      </c>
      <c r="J38" s="48">
        <f t="shared" si="1"/>
        <v>100</v>
      </c>
    </row>
    <row r="39" spans="1:10" ht="21" customHeight="1" x14ac:dyDescent="0.15">
      <c r="A39" s="108">
        <v>30040038</v>
      </c>
      <c r="B39" s="47">
        <v>1</v>
      </c>
      <c r="C39" s="47">
        <v>4</v>
      </c>
      <c r="D39" s="47">
        <v>100</v>
      </c>
      <c r="E39" s="47" t="s">
        <v>89</v>
      </c>
      <c r="F39" s="47" t="s">
        <v>89</v>
      </c>
      <c r="G39" s="47">
        <v>1</v>
      </c>
      <c r="H39" s="47" t="s">
        <v>89</v>
      </c>
      <c r="I39" s="47">
        <v>1068</v>
      </c>
      <c r="J39" s="48">
        <f t="shared" si="1"/>
        <v>100</v>
      </c>
    </row>
    <row r="40" spans="1:10" ht="21" customHeight="1" x14ac:dyDescent="0.15">
      <c r="A40" s="108">
        <v>30040039</v>
      </c>
      <c r="B40" s="47">
        <v>1</v>
      </c>
      <c r="C40" s="47">
        <v>4</v>
      </c>
      <c r="D40" s="47">
        <v>100</v>
      </c>
      <c r="E40" s="47" t="s">
        <v>89</v>
      </c>
      <c r="F40" s="47" t="s">
        <v>89</v>
      </c>
      <c r="G40" s="47">
        <v>1</v>
      </c>
      <c r="H40" s="47" t="s">
        <v>89</v>
      </c>
      <c r="I40" s="47">
        <v>1074</v>
      </c>
      <c r="J40" s="48">
        <f t="shared" ref="J40" si="3">D40</f>
        <v>100</v>
      </c>
    </row>
    <row r="41" spans="1:10" ht="21" customHeight="1" x14ac:dyDescent="0.15">
      <c r="A41" s="108">
        <v>30040040</v>
      </c>
      <c r="B41" s="47">
        <v>1</v>
      </c>
      <c r="C41" s="47">
        <v>4</v>
      </c>
      <c r="D41" s="47">
        <v>100</v>
      </c>
      <c r="E41" s="47" t="s">
        <v>89</v>
      </c>
      <c r="F41" s="47" t="s">
        <v>89</v>
      </c>
      <c r="G41" s="47">
        <v>1</v>
      </c>
      <c r="H41" s="47" t="s">
        <v>89</v>
      </c>
      <c r="I41" s="47">
        <v>1075</v>
      </c>
      <c r="J41" s="48">
        <f t="shared" ref="J41" si="4">D41</f>
        <v>100</v>
      </c>
    </row>
    <row r="42" spans="1:10" ht="21" customHeight="1" x14ac:dyDescent="0.15">
      <c r="A42" s="108">
        <v>30040041</v>
      </c>
      <c r="B42" s="47">
        <v>1</v>
      </c>
      <c r="C42" s="47" t="s">
        <v>88</v>
      </c>
      <c r="D42" s="47">
        <v>100</v>
      </c>
      <c r="E42" s="47" t="s">
        <v>89</v>
      </c>
      <c r="F42" s="47" t="s">
        <v>89</v>
      </c>
      <c r="G42" s="47">
        <v>1</v>
      </c>
      <c r="H42" s="47" t="s">
        <v>89</v>
      </c>
      <c r="I42" s="47" t="s">
        <v>89</v>
      </c>
      <c r="J42" s="48">
        <f t="shared" si="1"/>
        <v>100</v>
      </c>
    </row>
    <row r="43" spans="1:10" ht="21" customHeight="1" x14ac:dyDescent="0.15">
      <c r="A43" s="108">
        <v>30040042</v>
      </c>
      <c r="B43" s="47">
        <v>0</v>
      </c>
      <c r="C43" s="47">
        <v>3</v>
      </c>
      <c r="D43" s="47">
        <v>100</v>
      </c>
      <c r="E43" s="47" t="s">
        <v>89</v>
      </c>
      <c r="F43" s="47" t="s">
        <v>89</v>
      </c>
      <c r="G43" s="47">
        <v>1</v>
      </c>
      <c r="H43" s="47">
        <v>1</v>
      </c>
      <c r="I43" s="47" t="s">
        <v>89</v>
      </c>
      <c r="J43" s="48">
        <f t="shared" si="1"/>
        <v>100</v>
      </c>
    </row>
    <row r="44" spans="1:10" ht="21" customHeight="1" x14ac:dyDescent="0.15">
      <c r="A44" s="108">
        <v>30040043</v>
      </c>
      <c r="B44" s="47">
        <v>0</v>
      </c>
      <c r="C44" s="47">
        <v>2</v>
      </c>
      <c r="D44" s="47">
        <v>50</v>
      </c>
      <c r="E44" s="47" t="s">
        <v>89</v>
      </c>
      <c r="F44" s="47" t="s">
        <v>89</v>
      </c>
      <c r="G44" s="47" t="s">
        <v>89</v>
      </c>
      <c r="H44" s="47">
        <v>2</v>
      </c>
      <c r="I44" s="47" t="s">
        <v>89</v>
      </c>
      <c r="J44" s="48">
        <f t="shared" si="1"/>
        <v>50</v>
      </c>
    </row>
    <row r="45" spans="1:10" ht="21" customHeight="1" x14ac:dyDescent="0.15">
      <c r="A45" s="108">
        <v>30040044</v>
      </c>
      <c r="B45" s="47">
        <v>0</v>
      </c>
      <c r="C45" s="47">
        <v>1</v>
      </c>
      <c r="D45" s="47">
        <v>100</v>
      </c>
      <c r="E45" s="47" t="s">
        <v>89</v>
      </c>
      <c r="F45" s="47" t="s">
        <v>89</v>
      </c>
      <c r="G45" s="47" t="s">
        <v>89</v>
      </c>
      <c r="H45" s="47">
        <v>2</v>
      </c>
      <c r="I45" s="47" t="s">
        <v>89</v>
      </c>
      <c r="J45" s="48">
        <f t="shared" si="1"/>
        <v>100</v>
      </c>
    </row>
    <row r="46" spans="1:10" ht="21" customHeight="1" x14ac:dyDescent="0.15">
      <c r="A46" s="108">
        <v>30040045</v>
      </c>
      <c r="B46" s="47">
        <v>1</v>
      </c>
      <c r="C46" s="47" t="s">
        <v>88</v>
      </c>
      <c r="D46" s="47">
        <v>100</v>
      </c>
      <c r="E46" s="47" t="s">
        <v>89</v>
      </c>
      <c r="F46" s="47" t="s">
        <v>89</v>
      </c>
      <c r="G46" s="47">
        <v>1</v>
      </c>
      <c r="H46" s="47" t="s">
        <v>89</v>
      </c>
      <c r="I46" s="47" t="s">
        <v>89</v>
      </c>
      <c r="J46" s="48">
        <f t="shared" si="1"/>
        <v>100</v>
      </c>
    </row>
    <row r="47" spans="1:10" ht="21" customHeight="1" x14ac:dyDescent="0.15">
      <c r="A47" s="108">
        <v>30040046</v>
      </c>
      <c r="B47" s="47">
        <v>0</v>
      </c>
      <c r="C47" s="47">
        <v>2</v>
      </c>
      <c r="D47" s="47">
        <v>100</v>
      </c>
      <c r="E47" s="47" t="s">
        <v>89</v>
      </c>
      <c r="F47" s="47" t="s">
        <v>89</v>
      </c>
      <c r="G47" s="47">
        <v>1</v>
      </c>
      <c r="H47" s="47">
        <v>1</v>
      </c>
      <c r="I47" s="47" t="s">
        <v>89</v>
      </c>
      <c r="J47" s="48">
        <f t="shared" si="1"/>
        <v>100</v>
      </c>
    </row>
    <row r="48" spans="1:10" ht="21" customHeight="1" x14ac:dyDescent="0.15">
      <c r="A48" s="108">
        <v>30040047</v>
      </c>
      <c r="B48" s="47">
        <v>0</v>
      </c>
      <c r="C48" s="47">
        <v>1</v>
      </c>
      <c r="D48" s="47">
        <v>100</v>
      </c>
      <c r="E48" s="47" t="s">
        <v>88</v>
      </c>
      <c r="F48" s="47" t="s">
        <v>88</v>
      </c>
      <c r="G48" s="47">
        <v>1</v>
      </c>
      <c r="H48" s="47">
        <v>2</v>
      </c>
      <c r="I48" s="47" t="s">
        <v>88</v>
      </c>
      <c r="J48" s="48">
        <f t="shared" ref="J48" si="5">D48</f>
        <v>100</v>
      </c>
    </row>
    <row r="49" spans="1:10" ht="21" customHeight="1" x14ac:dyDescent="0.15">
      <c r="A49" s="108">
        <v>30040048</v>
      </c>
      <c r="B49" s="47">
        <v>0</v>
      </c>
      <c r="C49" s="47" t="s">
        <v>88</v>
      </c>
      <c r="D49" s="47">
        <v>100</v>
      </c>
      <c r="E49" s="47" t="s">
        <v>89</v>
      </c>
      <c r="F49" s="47" t="s">
        <v>89</v>
      </c>
      <c r="G49" s="47" t="s">
        <v>89</v>
      </c>
      <c r="H49" s="47">
        <v>2</v>
      </c>
      <c r="I49" s="47" t="s">
        <v>89</v>
      </c>
      <c r="J49" s="48">
        <f>D49</f>
        <v>100</v>
      </c>
    </row>
    <row r="50" spans="1:10" ht="21" customHeight="1" x14ac:dyDescent="0.15">
      <c r="A50" s="108">
        <v>30040049</v>
      </c>
      <c r="B50" s="47">
        <v>1</v>
      </c>
      <c r="C50" s="47" t="s">
        <v>88</v>
      </c>
      <c r="D50" s="47">
        <v>100</v>
      </c>
      <c r="E50" s="47" t="s">
        <v>89</v>
      </c>
      <c r="F50" s="47" t="s">
        <v>89</v>
      </c>
      <c r="G50" s="47">
        <v>1</v>
      </c>
      <c r="H50" s="47" t="s">
        <v>89</v>
      </c>
      <c r="I50" s="47" t="s">
        <v>89</v>
      </c>
      <c r="J50" s="48">
        <f t="shared" si="1"/>
        <v>100</v>
      </c>
    </row>
    <row r="51" spans="1:10" ht="21" customHeight="1" x14ac:dyDescent="0.15">
      <c r="A51" s="108">
        <v>30040050</v>
      </c>
      <c r="B51" s="47">
        <v>0</v>
      </c>
      <c r="C51" s="47">
        <v>3</v>
      </c>
      <c r="D51" s="47">
        <v>100</v>
      </c>
      <c r="E51" s="47" t="s">
        <v>89</v>
      </c>
      <c r="F51" s="47" t="s">
        <v>89</v>
      </c>
      <c r="G51" s="47">
        <v>1</v>
      </c>
      <c r="H51" s="47">
        <v>1</v>
      </c>
      <c r="I51" s="47" t="s">
        <v>89</v>
      </c>
      <c r="J51" s="48">
        <f t="shared" si="1"/>
        <v>100</v>
      </c>
    </row>
    <row r="52" spans="1:10" ht="21" customHeight="1" x14ac:dyDescent="0.15">
      <c r="A52" s="108">
        <v>30040051</v>
      </c>
      <c r="B52" s="47">
        <v>0</v>
      </c>
      <c r="C52" s="47">
        <v>2</v>
      </c>
      <c r="D52" s="47">
        <v>50</v>
      </c>
      <c r="E52" s="47" t="s">
        <v>89</v>
      </c>
      <c r="F52" s="47" t="s">
        <v>89</v>
      </c>
      <c r="G52" s="47" t="s">
        <v>89</v>
      </c>
      <c r="H52" s="47">
        <v>2</v>
      </c>
      <c r="I52" s="47" t="s">
        <v>89</v>
      </c>
      <c r="J52" s="48">
        <f t="shared" si="1"/>
        <v>50</v>
      </c>
    </row>
    <row r="53" spans="1:10" ht="21" customHeight="1" x14ac:dyDescent="0.15">
      <c r="A53" s="108">
        <v>30040052</v>
      </c>
      <c r="B53" s="47">
        <v>0</v>
      </c>
      <c r="C53" s="47">
        <v>1</v>
      </c>
      <c r="D53" s="47">
        <v>100</v>
      </c>
      <c r="E53" s="47" t="s">
        <v>89</v>
      </c>
      <c r="F53" s="47" t="s">
        <v>89</v>
      </c>
      <c r="G53" s="47" t="s">
        <v>89</v>
      </c>
      <c r="H53" s="47">
        <v>2</v>
      </c>
      <c r="I53" s="47" t="s">
        <v>89</v>
      </c>
      <c r="J53" s="48">
        <f t="shared" ref="J53:J54" si="6">D53</f>
        <v>100</v>
      </c>
    </row>
    <row r="54" spans="1:10" ht="21" customHeight="1" x14ac:dyDescent="0.15">
      <c r="A54" s="120">
        <v>30040053</v>
      </c>
      <c r="B54" s="47">
        <v>1</v>
      </c>
      <c r="C54" s="47" t="s">
        <v>88</v>
      </c>
      <c r="D54" s="47">
        <v>100</v>
      </c>
      <c r="E54" s="47" t="s">
        <v>88</v>
      </c>
      <c r="F54" s="47" t="s">
        <v>88</v>
      </c>
      <c r="G54" s="47">
        <v>1</v>
      </c>
      <c r="H54" s="47" t="s">
        <v>88</v>
      </c>
      <c r="I54" s="47" t="s">
        <v>88</v>
      </c>
      <c r="J54" s="48">
        <f t="shared" si="6"/>
        <v>100</v>
      </c>
    </row>
  </sheetData>
  <autoFilter ref="A1:G1"/>
  <phoneticPr fontId="5"/>
  <conditionalFormatting sqref="K52">
    <cfRule type="duplicateValues" dxfId="12" priority="13"/>
  </conditionalFormatting>
  <conditionalFormatting sqref="K53">
    <cfRule type="duplicateValues" dxfId="11" priority="12"/>
  </conditionalFormatting>
  <conditionalFormatting sqref="K41">
    <cfRule type="duplicateValues" dxfId="10" priority="11"/>
  </conditionalFormatting>
  <conditionalFormatting sqref="K35">
    <cfRule type="duplicateValues" dxfId="9" priority="10"/>
  </conditionalFormatting>
  <conditionalFormatting sqref="K37">
    <cfRule type="duplicateValues" dxfId="8" priority="9"/>
  </conditionalFormatting>
  <conditionalFormatting sqref="K38">
    <cfRule type="duplicateValues" dxfId="7" priority="8"/>
  </conditionalFormatting>
  <conditionalFormatting sqref="K39">
    <cfRule type="duplicateValues" dxfId="6" priority="7"/>
  </conditionalFormatting>
  <conditionalFormatting sqref="K40">
    <cfRule type="duplicateValues" dxfId="5" priority="6"/>
  </conditionalFormatting>
  <conditionalFormatting sqref="K48">
    <cfRule type="duplicateValues" dxfId="4" priority="5"/>
  </conditionalFormatting>
  <conditionalFormatting sqref="K55:K1048576 K1:K24 K42:K47 K36 K49:K51 K26:K32 K34">
    <cfRule type="duplicateValues" dxfId="3" priority="16"/>
  </conditionalFormatting>
  <conditionalFormatting sqref="K25">
    <cfRule type="duplicateValues" dxfId="2" priority="3"/>
  </conditionalFormatting>
  <conditionalFormatting sqref="K54">
    <cfRule type="duplicateValues" dxfId="1" priority="2"/>
  </conditionalFormatting>
  <conditionalFormatting sqref="K3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3"/>
  <sheetViews>
    <sheetView showGridLines="0" workbookViewId="0">
      <pane xSplit="5" ySplit="1" topLeftCell="F55" activePane="bottomRight" state="frozen"/>
      <selection pane="topRight"/>
      <selection pane="bottomLeft"/>
      <selection pane="bottomRight" activeCell="F70" sqref="F7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30040001_30040001</v>
      </c>
      <c r="B2" s="104">
        <v>30040001</v>
      </c>
      <c r="C2" s="47">
        <v>30040001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この先へは行かせん！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ローレンスが襲いかかってきた！</v>
      </c>
      <c r="F2" s="47">
        <v>30040001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4" si="1">B3&amp;"_"&amp;C3</f>
        <v>30040001_30040002</v>
      </c>
      <c r="B3" s="104">
        <v>30040001</v>
      </c>
      <c r="C3" s="47">
        <v>30040002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消し炭にしてやる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30040002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30040001_30040002</v>
      </c>
      <c r="B4" s="104">
        <v>30040001</v>
      </c>
      <c r="C4" s="47">
        <v>30040002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消し炭にしてやる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7">
        <v>30040003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30040001_30040003</v>
      </c>
      <c r="B5" s="104">
        <v>30040001</v>
      </c>
      <c r="C5" s="47">
        <v>30040003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湧き上がる衝動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クラッシュパネルを吸収して単体攻撃</v>
      </c>
      <c r="F5" s="47">
        <v>30040004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30040001_30040004</v>
      </c>
      <c r="B6" s="104">
        <v>30040001</v>
      </c>
      <c r="C6" s="47">
        <v>30040004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真正面からかかってこい！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2ターンスキルバインド＋単体攻撃</v>
      </c>
      <c r="F6" s="47">
        <v>30040005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30040001_30040005</v>
      </c>
      <c r="B7" s="104">
        <v>30040001</v>
      </c>
      <c r="C7" s="47">
        <v>30040005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我狼連衝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4回連続攻撃＋残りHPが少ないほど威力UP</v>
      </c>
      <c r="F7" s="47">
        <v>30040006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35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30040001_30040006</v>
      </c>
      <c r="B8" s="104">
        <v>30040001</v>
      </c>
      <c r="C8" s="47">
        <v>30040006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我狼連衝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4回連続攻撃＋残りHPが少ないほど威力UP</v>
      </c>
      <c r="F8" s="47">
        <v>30040007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8" s="48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30040001_30040007</v>
      </c>
      <c r="B9" s="104">
        <v>30040001</v>
      </c>
      <c r="C9" s="47">
        <v>30040007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我狼連衝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4回連続攻撃＋残りHPが少ないほど威力UP</v>
      </c>
      <c r="F9" s="47">
        <v>30040008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30040002_30040008</v>
      </c>
      <c r="B10" s="104">
        <v>30040002</v>
      </c>
      <c r="C10" s="47">
        <v>30040008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文明淘汰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2回連続攻撃_x000D_（種族ヒューマン・マシンに大ダメージ）</v>
      </c>
      <c r="F10" s="47">
        <v>30040009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7"/>
      <c r="Q10" s="47"/>
      <c r="R10" s="47"/>
    </row>
    <row r="11" spans="1:18" ht="21" customHeight="1" x14ac:dyDescent="0.15">
      <c r="A11" s="39" t="str">
        <f t="shared" si="1"/>
        <v>30040002_30040009</v>
      </c>
      <c r="B11" s="104">
        <v>30040002</v>
      </c>
      <c r="C11" s="47">
        <v>30040009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弱肉強食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2回連続攻撃_x000D_（種族アニマル・ドラゴンに大ダメージ）</v>
      </c>
      <c r="F11" s="47">
        <v>30040010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1"/>
        <v>30040002_30040010</v>
      </c>
      <c r="B12" s="104">
        <v>30040002</v>
      </c>
      <c r="C12" s="47">
        <v>30040010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天涯地角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2回連続攻撃_x000D_（種族ゴッド・Unknownに大ダメージ）</v>
      </c>
      <c r="F12" s="47">
        <v>30040011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30040003_30040011</v>
      </c>
      <c r="B13" s="109">
        <v>30040003</v>
      </c>
      <c r="C13" s="47">
        <v>30040011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火走り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13" s="47">
        <v>30040012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30040004_30040012</v>
      </c>
      <c r="B14" s="109">
        <v>30040004</v>
      </c>
      <c r="C14" s="47">
        <v>30040012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身を震わせて威嚇している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4ターン後強力な攻撃</v>
      </c>
      <c r="F14" s="47">
        <v>30040013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30040004_30040013</v>
      </c>
      <c r="B15" s="109">
        <v>30040004</v>
      </c>
      <c r="C15" s="47">
        <v>30040013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身を震わせて威嚇している_x000D_燃えさかる炎を纏い始めた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3ターン後強力な攻撃</v>
      </c>
      <c r="F15" s="47">
        <v>30040014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30040004_30040014</v>
      </c>
      <c r="B16" s="109">
        <v>30040004</v>
      </c>
      <c r="C16" s="47">
        <v>30040014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身を震わせて威嚇している_x000D_炎が体の周りを廻っている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2ターン後強力な攻撃</v>
      </c>
      <c r="F16" s="47">
        <v>30040015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30040004_30040015</v>
      </c>
      <c r="B17" s="109">
        <v>30040004</v>
      </c>
      <c r="C17" s="47">
        <v>30040015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身を震わせて威嚇している_x000D_体毛が赤々と赤熱している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7" s="47">
        <v>30040016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30040004_30040016</v>
      </c>
      <c r="B18" s="109">
        <v>30040004</v>
      </c>
      <c r="C18" s="47">
        <v>30040016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アンガー・イグニッション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47">
        <v>30040017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30040005_30040017</v>
      </c>
      <c r="B19" s="110">
        <v>30040005</v>
      </c>
      <c r="C19" s="47">
        <v>30040017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ハートフル・インサート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12ターンハートパネルドロップ率UP</v>
      </c>
      <c r="F19" s="47">
        <v>30040018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30040005_30040018</v>
      </c>
      <c r="B20" s="110">
        <v>30040005</v>
      </c>
      <c r="C20" s="47">
        <v>30040018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シシシ！ハッキング成功だ！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1ターン全体スキルバインド＋単体攻撃</v>
      </c>
      <c r="F20" s="47">
        <v>30040019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30040006_30040019</v>
      </c>
      <c r="B21" s="110">
        <v>30040006</v>
      </c>
      <c r="C21" s="47">
        <v>30040019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電力供給先指定完了だ！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次のターンハートパネルを吸収</v>
      </c>
      <c r="F21" s="47">
        <v>30040020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30040006_30040020</v>
      </c>
      <c r="B22" s="110">
        <v>30040006</v>
      </c>
      <c r="C22" s="47">
        <v>30040020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シシシ！力が漲ってくるゾ！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ハートパネルを吸収して攻撃力UP</v>
      </c>
      <c r="F22" s="47">
        <v>30040021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30040006_30040021</v>
      </c>
      <c r="B23" s="110">
        <v>30040006</v>
      </c>
      <c r="C23" s="47">
        <v>30040021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ハック・ワイルド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3" s="47">
        <v>30040022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30040007_30040022</v>
      </c>
      <c r="B24" s="112">
        <v>30040007</v>
      </c>
      <c r="C24" s="47">
        <v>30040022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最終防衛ライン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自身の防御力超大UP</v>
      </c>
      <c r="F24" s="47">
        <v>30040023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30040007_30040023</v>
      </c>
      <c r="B25" s="112">
        <v>30040007</v>
      </c>
      <c r="C25" s="47">
        <v>30040023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改悪プログラム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1ターン全体スキルバインド</v>
      </c>
      <c r="F25" s="47">
        <v>30040024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3">B26&amp;"_"&amp;C26</f>
        <v>30040008_30040022</v>
      </c>
      <c r="B26" s="112">
        <v>30040008</v>
      </c>
      <c r="C26" s="47">
        <v>30040022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最終防衛ライン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自身の防御力超大UP</v>
      </c>
      <c r="F26" s="47">
        <v>30040023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4">B27&amp;"_"&amp;C27</f>
        <v>30040008_30040024</v>
      </c>
      <c r="B27" s="112">
        <v>30040008</v>
      </c>
      <c r="C27" s="47">
        <v>30040024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悪性イレギュラー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残りHPの20%ダメージ！</v>
      </c>
      <c r="F27" s="47">
        <v>30040025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30040009_30040025</v>
      </c>
      <c r="B28" s="111">
        <v>30040009</v>
      </c>
      <c r="C28" s="47">
        <v>30040025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ぎルがめっしュ…！？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ぎルがめっしュ　なンでここにいル？</v>
      </c>
      <c r="F28" s="47">
        <v>30040026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1065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30040009_30040025</v>
      </c>
      <c r="B29" s="111">
        <v>30040009</v>
      </c>
      <c r="C29" s="47">
        <v>30040025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ぎルがめっしュ…！？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ぎルがめっしュ　なンでここにいル？</v>
      </c>
      <c r="F29" s="47">
        <v>30040027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1066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30040009_30040026</v>
      </c>
      <c r="B30" s="111">
        <v>30040009</v>
      </c>
      <c r="C30" s="47">
        <v>30040026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お前　ぎルがめっしュ　好きか？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おレはつヨいヤつ　好きだ！</v>
      </c>
      <c r="F30" s="47">
        <v>30040028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1069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30040009_30040026</v>
      </c>
      <c r="B31" s="111">
        <v>30040009</v>
      </c>
      <c r="C31" s="47">
        <v>30040026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お前　ぎルがめっしュ　好きか？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おレはつヨいヤつ　好きだ！</v>
      </c>
      <c r="F31" s="47">
        <v>30040029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1070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5">B32&amp;"_"&amp;C32</f>
        <v>30040009_30040026</v>
      </c>
      <c r="B32" s="111">
        <v>30040009</v>
      </c>
      <c r="C32" s="47">
        <v>30040026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お前　ぎルがめっしュ　好きか？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おレはつヨいヤつ　好きだ！</v>
      </c>
      <c r="F32" s="47">
        <v>30040030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1071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30040009_30040027</v>
      </c>
      <c r="B33" s="111">
        <v>30040009</v>
      </c>
      <c r="C33" s="47">
        <v>30040027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お前　ぎルがめっしュとけンかした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お前　なンで　戻ってきた？</v>
      </c>
      <c r="F33" s="47">
        <v>30040031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1072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30040009_30040027</v>
      </c>
      <c r="B34" s="111">
        <v>30040009</v>
      </c>
      <c r="C34" s="47">
        <v>30040027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お前　ぎルがめっしュとけンかした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お前　なンで　戻ってきた？</v>
      </c>
      <c r="F34" s="47">
        <v>30040032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1073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"/>
        <v>30040009_30040028</v>
      </c>
      <c r="B35" s="111">
        <v>30040009</v>
      </c>
      <c r="C35" s="47">
        <v>30040028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35" s="47">
        <v>30040033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1059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41" si="6">B36&amp;"_"&amp;C36</f>
        <v>30040009_30040028</v>
      </c>
      <c r="B36" s="111">
        <v>30040009</v>
      </c>
      <c r="C36" s="47">
        <v>30040028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36" s="47">
        <v>30040034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1060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6"/>
        <v>30040009_30040028</v>
      </c>
      <c r="B37" s="111">
        <v>30040009</v>
      </c>
      <c r="C37" s="47">
        <v>30040028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37" s="47">
        <v>30040035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1063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30040009_30040028</v>
      </c>
      <c r="B38" s="111">
        <v>30040009</v>
      </c>
      <c r="C38" s="47">
        <v>30040028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38" s="47">
        <v>30040036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1064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30040009_30040028</v>
      </c>
      <c r="B39" s="111">
        <v>30040009</v>
      </c>
      <c r="C39" s="47">
        <v>30040028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39" s="47">
        <v>30040037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1067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6"/>
        <v>30040009_30040028</v>
      </c>
      <c r="B40" s="111">
        <v>30040009</v>
      </c>
      <c r="C40" s="47">
        <v>30040028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40" s="47">
        <v>30040038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1068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6"/>
        <v>30040009_30040028</v>
      </c>
      <c r="B41" s="111">
        <v>30040009</v>
      </c>
      <c r="C41" s="47">
        <v>30040028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41" s="47">
        <v>30040039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30040009_30040028</v>
      </c>
      <c r="B42" s="111">
        <v>30040009</v>
      </c>
      <c r="C42" s="47">
        <v>30040028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42" s="47">
        <v>30040040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30040009_30040029</v>
      </c>
      <c r="B43" s="111">
        <v>30040009</v>
      </c>
      <c r="C43" s="47">
        <v>30040029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この先　お前　通さない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自身の防御力UP＋状態異常耐性</v>
      </c>
      <c r="F43" s="47">
        <v>30040041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30040009_30040030</v>
      </c>
      <c r="B44" s="111">
        <v>30040009</v>
      </c>
      <c r="C44" s="47">
        <v>30040030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フワワ・ウィルス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44" s="47">
        <v>30040042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30040009_30040031</v>
      </c>
      <c r="B45" s="111">
        <v>30040009</v>
      </c>
      <c r="C45" s="47">
        <v>30040031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不浄の爪痕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4回連続攻撃（種族ヒューマン・マシン_x000D_ゴッド・サムライに大ダメージ）</v>
      </c>
      <c r="F45" s="47">
        <v>30040043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47"/>
      <c r="Q45" s="47"/>
      <c r="R45" s="47"/>
    </row>
    <row r="46" spans="1:18" ht="21" customHeight="1" x14ac:dyDescent="0.15">
      <c r="A46" s="39" t="str">
        <f t="shared" si="1"/>
        <v>30040009_30040032</v>
      </c>
      <c r="B46" s="111">
        <v>30040009</v>
      </c>
      <c r="C46" s="47">
        <v>30040032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魔獣の牙傷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4回連続攻撃（種族アニマル・ドラゴン_x000D_Unknown・デーモンに大ダメージ）</v>
      </c>
      <c r="F46" s="47">
        <v>30040044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"/>
        <v>30040010_30040033</v>
      </c>
      <c r="B47" s="111">
        <v>30040010</v>
      </c>
      <c r="C47" s="47">
        <v>30040033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おレ　つヨいヤつに従う！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お前とは　もう　たたかワない！_x000D_全ての効果を解除＋ジェリーに大ダメージ＋状態異常耐性</v>
      </c>
      <c r="F47" s="47">
        <v>30040045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30040010_30040034</v>
      </c>
      <c r="B48" s="111">
        <v>30040010</v>
      </c>
      <c r="C48" s="47">
        <v>30040034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嘘　違う！　こレ　しョうこ！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全てのパネルをハートパネルに変換＋攻撃頻度DOWN</v>
      </c>
      <c r="F48" s="47">
        <v>30040046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30040010_30040035</v>
      </c>
      <c r="B49" s="111">
        <v>30040010</v>
      </c>
      <c r="C49" s="47">
        <v>30040035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お前　おレにまンまと騙さレル！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クラッシュパネルを吸収して回復(最大5個)_x000D_＋残りHPの50%ダメージ！＋攻撃頻度UP</v>
      </c>
      <c r="F49" s="47">
        <v>30040047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"/>
        <v>30040010_30040036</v>
      </c>
      <c r="B50" s="111">
        <v>30040010</v>
      </c>
      <c r="C50" s="47">
        <v>30040036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圧壊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0" s="47">
        <v>30040048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"/>
        <v>30040011_30040037</v>
      </c>
      <c r="B51" s="111">
        <v>30040011</v>
      </c>
      <c r="C51" s="47">
        <v>30040037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おレ　負けル　あリえない！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残りHPの30%ダメージ！＋状態異常耐性</v>
      </c>
      <c r="F51" s="47">
        <v>30040049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"/>
        <v>30040011_30040038</v>
      </c>
      <c r="B52" s="111">
        <v>30040011</v>
      </c>
      <c r="C52" s="47">
        <v>30040038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フワワ・ウィルス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52" s="47">
        <v>30040050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"/>
        <v>30040011_30040039</v>
      </c>
      <c r="B53" s="111">
        <v>30040011</v>
      </c>
      <c r="C53" s="47">
        <v>30040039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魔獣の牙傷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4回連続攻撃（種族アニマル・ドラゴン_x000D_Unknown・デーモンに大ダメージ）</v>
      </c>
      <c r="F53" s="47">
        <v>30040051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3" s="47"/>
      <c r="Q53" s="47"/>
      <c r="R53" s="47"/>
    </row>
    <row r="54" spans="1:18" ht="21" customHeight="1" x14ac:dyDescent="0.15">
      <c r="A54" s="39" t="str">
        <f t="shared" si="1"/>
        <v>30040011_30040040</v>
      </c>
      <c r="B54" s="111">
        <v>30040011</v>
      </c>
      <c r="C54" s="47">
        <v>30040040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不浄の爪痕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4回連続攻撃（種族ヒューマン・マシン_x000D_ゴッド・サムライに大ダメージ）</v>
      </c>
      <c r="F54" s="47">
        <v>30040052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ref="A55:A73" si="7">B55&amp;"_"&amp;C55</f>
        <v>30040012_30040025</v>
      </c>
      <c r="B55" s="121">
        <v>30040012</v>
      </c>
      <c r="C55" s="47">
        <v>30040025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ぎルがめっしュ…！？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ぎルがめっしュ　なンでここにいル？</v>
      </c>
      <c r="F55" s="47">
        <v>30040026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1065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7"/>
        <v>30040012_30040025</v>
      </c>
      <c r="B56" s="121">
        <v>30040012</v>
      </c>
      <c r="C56" s="47">
        <v>30040025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ぎルがめっしュ…！？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ぎルがめっしュ　なンでここにいル？</v>
      </c>
      <c r="F56" s="47">
        <v>30040027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1066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7"/>
        <v>30040012_30040026</v>
      </c>
      <c r="B57" s="121">
        <v>30040012</v>
      </c>
      <c r="C57" s="47">
        <v>30040026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お前　ぎルがめっしュ　好きか？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おレはつヨいヤつ　好きだ！</v>
      </c>
      <c r="F57" s="47">
        <v>30040028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1069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7"/>
        <v>30040012_30040026</v>
      </c>
      <c r="B58" s="121">
        <v>30040012</v>
      </c>
      <c r="C58" s="47">
        <v>30040026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お前　ぎルがめっしュ　好きか？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おレはつヨいヤつ　好きだ！</v>
      </c>
      <c r="F58" s="47">
        <v>30040029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1070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ref="A59" si="8">B59&amp;"_"&amp;C59</f>
        <v>30040012_30040026</v>
      </c>
      <c r="B59" s="121">
        <v>30040012</v>
      </c>
      <c r="C59" s="47">
        <v>30040026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お前　ぎルがめっしュ　好きか？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おレはつヨいヤつ　好きだ！</v>
      </c>
      <c r="F59" s="47">
        <v>30040030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1071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7"/>
        <v>30040012_30040027</v>
      </c>
      <c r="B60" s="121">
        <v>30040012</v>
      </c>
      <c r="C60" s="47">
        <v>30040027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お前　ぎルがめっしュとけンかした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お前　なンで　戻ってきた？</v>
      </c>
      <c r="F60" s="47">
        <v>30040031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1072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7"/>
        <v>30040012_30040027</v>
      </c>
      <c r="B61" s="121">
        <v>30040012</v>
      </c>
      <c r="C61" s="47">
        <v>30040027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お前　ぎルがめっしュとけンかした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お前　なンで　戻ってきた？</v>
      </c>
      <c r="F61" s="47">
        <v>30040032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1073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7"/>
        <v>30040012_30040028</v>
      </c>
      <c r="B62" s="121">
        <v>30040012</v>
      </c>
      <c r="C62" s="47">
        <v>30040028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2" s="47">
        <v>30040033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1059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7"/>
        <v>30040012_30040028</v>
      </c>
      <c r="B63" s="121">
        <v>30040012</v>
      </c>
      <c r="C63" s="47">
        <v>30040028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3" s="47">
        <v>30040034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1060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7"/>
        <v>30040012_30040028</v>
      </c>
      <c r="B64" s="121">
        <v>30040012</v>
      </c>
      <c r="C64" s="47">
        <v>30040028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4" s="47">
        <v>30040035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1063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7"/>
        <v>30040012_30040028</v>
      </c>
      <c r="B65" s="121">
        <v>30040012</v>
      </c>
      <c r="C65" s="47">
        <v>30040028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5" s="47">
        <v>30040036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1064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7"/>
        <v>30040012_30040028</v>
      </c>
      <c r="B66" s="121">
        <v>30040012</v>
      </c>
      <c r="C66" s="47">
        <v>30040028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6" s="47">
        <v>30040037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1067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7"/>
        <v>30040012_30040028</v>
      </c>
      <c r="B67" s="121">
        <v>30040012</v>
      </c>
      <c r="C67" s="47">
        <v>30040028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7" s="47">
        <v>30040038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1068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7"/>
        <v>30040012_30040028</v>
      </c>
      <c r="B68" s="121">
        <v>30040012</v>
      </c>
      <c r="C68" s="47">
        <v>30040028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8" s="47">
        <v>30040039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7"/>
        <v>30040012_30040028</v>
      </c>
      <c r="B69" s="121">
        <v>30040012</v>
      </c>
      <c r="C69" s="47">
        <v>30040028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お…　お前　つヨい！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すごくつヨい！　お前！</v>
      </c>
      <c r="F69" s="47">
        <v>30040040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7"/>
        <v>30040012_30040041</v>
      </c>
      <c r="B70" s="121">
        <v>30040012</v>
      </c>
      <c r="C70" s="47">
        <v>30040041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この先　お前　通さない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0" s="47">
        <v>30040053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7"/>
        <v>30040012_30040030</v>
      </c>
      <c r="B71" s="121">
        <v>30040012</v>
      </c>
      <c r="C71" s="47">
        <v>30040030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フワワ・ウィルス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71" s="47">
        <v>30040042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7"/>
        <v>30040012_30040031</v>
      </c>
      <c r="B72" s="121">
        <v>30040012</v>
      </c>
      <c r="C72" s="47">
        <v>30040031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不浄の爪痕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4回連続攻撃（種族ヒューマン・マシン_x000D_ゴッド・サムライに大ダメージ）</v>
      </c>
      <c r="F72" s="47">
        <v>30040043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" s="47"/>
      <c r="Q72" s="47"/>
      <c r="R72" s="47"/>
    </row>
    <row r="73" spans="1:18" ht="21" customHeight="1" x14ac:dyDescent="0.15">
      <c r="A73" s="39" t="str">
        <f t="shared" si="7"/>
        <v>30040012_30040032</v>
      </c>
      <c r="B73" s="121">
        <v>30040012</v>
      </c>
      <c r="C73" s="47">
        <v>30040032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魔獣の牙傷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4回連続攻撃（種族アニマル・ドラゴン_x000D_Unknown・デーモンに大ダメージ）</v>
      </c>
      <c r="F73" s="47">
        <v>30040044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O23" sqref="O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f>floors!$C$2</f>
        <v>30040</v>
      </c>
      <c r="B2" s="57">
        <v>1</v>
      </c>
      <c r="C2" s="71" t="str">
        <f>A2&amp; "_"&amp;B2</f>
        <v>30040_1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3200</v>
      </c>
      <c r="H2" s="57" t="s">
        <v>344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169</v>
      </c>
      <c r="R2" s="57" t="s">
        <v>170</v>
      </c>
    </row>
    <row r="3" spans="1:18" x14ac:dyDescent="0.15">
      <c r="A3" s="57">
        <f>floors!$C$2</f>
        <v>30040</v>
      </c>
      <c r="B3" s="57">
        <v>1</v>
      </c>
      <c r="C3" s="71" t="str">
        <f t="shared" ref="C3:C33" si="0">A3&amp; "_"&amp;B3</f>
        <v>30040_1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345</v>
      </c>
      <c r="G3" s="57">
        <v>20</v>
      </c>
      <c r="H3" s="57" t="s">
        <v>344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200</v>
      </c>
      <c r="Q3" s="57" t="s">
        <v>169</v>
      </c>
      <c r="R3" s="57" t="s">
        <v>170</v>
      </c>
    </row>
    <row r="4" spans="1:18" x14ac:dyDescent="0.15">
      <c r="A4" s="57">
        <f>floors!$C$2</f>
        <v>30040</v>
      </c>
      <c r="B4" s="57">
        <v>1</v>
      </c>
      <c r="C4" s="71" t="str">
        <f t="shared" si="0"/>
        <v>30040_1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346</v>
      </c>
      <c r="G4" s="57">
        <v>344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169</v>
      </c>
      <c r="R4" s="57" t="s">
        <v>170</v>
      </c>
    </row>
    <row r="5" spans="1:18" x14ac:dyDescent="0.15">
      <c r="A5" s="57">
        <f>floors!$C$2</f>
        <v>30040</v>
      </c>
      <c r="B5" s="57">
        <v>1</v>
      </c>
      <c r="C5" s="71" t="str">
        <f t="shared" si="0"/>
        <v>30040_1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346</v>
      </c>
      <c r="G5" s="57">
        <v>345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169</v>
      </c>
      <c r="R5" s="57" t="s">
        <v>170</v>
      </c>
    </row>
    <row r="6" spans="1:18" x14ac:dyDescent="0.15">
      <c r="A6" s="57">
        <f>floors!$C$2</f>
        <v>30040</v>
      </c>
      <c r="B6" s="57">
        <v>1</v>
      </c>
      <c r="C6" s="71" t="str">
        <f t="shared" si="0"/>
        <v>30040_1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346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50</v>
      </c>
      <c r="Q6" s="57" t="s">
        <v>169</v>
      </c>
      <c r="R6" s="57" t="s">
        <v>170</v>
      </c>
    </row>
    <row r="7" spans="1:18" x14ac:dyDescent="0.15">
      <c r="A7" s="57">
        <f>floors!$C$2</f>
        <v>30040</v>
      </c>
      <c r="B7" s="57">
        <v>1</v>
      </c>
      <c r="C7" s="71" t="str">
        <f t="shared" si="0"/>
        <v>30040_1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346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</v>
      </c>
      <c r="Q7" s="57" t="s">
        <v>169</v>
      </c>
      <c r="R7" s="57" t="s">
        <v>170</v>
      </c>
    </row>
    <row r="8" spans="1:18" x14ac:dyDescent="0.15">
      <c r="A8" s="57">
        <f>floors!$C$2</f>
        <v>30040</v>
      </c>
      <c r="B8" s="57">
        <v>1</v>
      </c>
      <c r="C8" s="71" t="str">
        <f t="shared" si="0"/>
        <v>30040_1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346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169</v>
      </c>
      <c r="R8" s="57" t="s">
        <v>170</v>
      </c>
    </row>
    <row r="9" spans="1:18" x14ac:dyDescent="0.15">
      <c r="A9" s="57">
        <f>floors!$C$2</f>
        <v>30040</v>
      </c>
      <c r="B9" s="57">
        <v>1</v>
      </c>
      <c r="C9" s="71" t="str">
        <f t="shared" si="0"/>
        <v>30040_1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346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169</v>
      </c>
      <c r="R9" s="57" t="s">
        <v>170</v>
      </c>
    </row>
    <row r="10" spans="1:18" x14ac:dyDescent="0.15">
      <c r="A10" s="57">
        <f>floors!$C$2</f>
        <v>30040</v>
      </c>
      <c r="B10" s="57">
        <v>1</v>
      </c>
      <c r="C10" s="71" t="str">
        <f t="shared" si="0"/>
        <v>30040_1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346</v>
      </c>
      <c r="G10" s="57">
        <v>1061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200</v>
      </c>
      <c r="Q10" s="57" t="s">
        <v>169</v>
      </c>
      <c r="R10" s="57" t="s">
        <v>170</v>
      </c>
    </row>
    <row r="11" spans="1:18" ht="16" thickBot="1" x14ac:dyDescent="0.2">
      <c r="A11" s="122">
        <f>floors!$C$2</f>
        <v>30040</v>
      </c>
      <c r="B11" s="122">
        <v>1</v>
      </c>
      <c r="C11" s="123" t="str">
        <f t="shared" si="0"/>
        <v>30040_1</v>
      </c>
      <c r="D11" s="12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2">
        <v>10</v>
      </c>
      <c r="F11" s="122" t="s">
        <v>346</v>
      </c>
      <c r="G11" s="122">
        <v>354</v>
      </c>
      <c r="H11" s="122">
        <v>1</v>
      </c>
      <c r="I11" s="122">
        <v>1</v>
      </c>
      <c r="J11" s="122">
        <v>1</v>
      </c>
      <c r="K11" s="122">
        <v>0</v>
      </c>
      <c r="L11" s="122">
        <v>0</v>
      </c>
      <c r="M11" s="122">
        <v>0</v>
      </c>
      <c r="N11" s="122">
        <v>0</v>
      </c>
      <c r="O11" s="122">
        <v>1</v>
      </c>
      <c r="P11" s="122">
        <v>100</v>
      </c>
      <c r="Q11" s="122" t="s">
        <v>169</v>
      </c>
      <c r="R11" s="122" t="s">
        <v>170</v>
      </c>
    </row>
    <row r="12" spans="1:18" x14ac:dyDescent="0.15">
      <c r="A12" s="125">
        <f>floors!$C$2</f>
        <v>30040</v>
      </c>
      <c r="B12" s="126">
        <v>2</v>
      </c>
      <c r="C12" s="127" t="str">
        <f t="shared" si="0"/>
        <v>30040_2</v>
      </c>
      <c r="D12" s="12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26">
        <v>11</v>
      </c>
      <c r="F12" s="126" t="s">
        <v>168</v>
      </c>
      <c r="G12" s="126">
        <v>5000</v>
      </c>
      <c r="H12" s="126" t="s">
        <v>344</v>
      </c>
      <c r="I12" s="126">
        <v>1</v>
      </c>
      <c r="J12" s="126">
        <v>1</v>
      </c>
      <c r="K12" s="126">
        <v>0</v>
      </c>
      <c r="L12" s="126">
        <v>0</v>
      </c>
      <c r="M12" s="126">
        <v>0</v>
      </c>
      <c r="N12" s="126">
        <v>0</v>
      </c>
      <c r="O12" s="126">
        <v>1</v>
      </c>
      <c r="P12" s="126">
        <v>200</v>
      </c>
      <c r="Q12" s="126" t="s">
        <v>169</v>
      </c>
      <c r="R12" s="129" t="s">
        <v>170</v>
      </c>
    </row>
    <row r="13" spans="1:18" x14ac:dyDescent="0.15">
      <c r="A13" s="130">
        <f>floors!$C$2</f>
        <v>30040</v>
      </c>
      <c r="B13" s="57">
        <v>2</v>
      </c>
      <c r="C13" s="71" t="str">
        <f t="shared" si="0"/>
        <v>30040_2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345</v>
      </c>
      <c r="G13" s="57">
        <v>25</v>
      </c>
      <c r="H13" s="57" t="s">
        <v>344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150</v>
      </c>
      <c r="Q13" s="57" t="s">
        <v>169</v>
      </c>
      <c r="R13" s="131" t="s">
        <v>170</v>
      </c>
    </row>
    <row r="14" spans="1:18" x14ac:dyDescent="0.15">
      <c r="A14" s="130">
        <f>floors!$C$2</f>
        <v>30040</v>
      </c>
      <c r="B14" s="57">
        <v>2</v>
      </c>
      <c r="C14" s="71" t="str">
        <f t="shared" si="0"/>
        <v>30040_2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346</v>
      </c>
      <c r="G14" s="57">
        <v>344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56</v>
      </c>
      <c r="Q14" s="57" t="s">
        <v>169</v>
      </c>
      <c r="R14" s="131" t="s">
        <v>170</v>
      </c>
    </row>
    <row r="15" spans="1:18" x14ac:dyDescent="0.15">
      <c r="A15" s="130">
        <f>floors!$C$2</f>
        <v>30040</v>
      </c>
      <c r="B15" s="57">
        <v>2</v>
      </c>
      <c r="C15" s="71" t="str">
        <f t="shared" si="0"/>
        <v>30040_2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346</v>
      </c>
      <c r="G15" s="57">
        <v>345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56</v>
      </c>
      <c r="Q15" s="57" t="s">
        <v>169</v>
      </c>
      <c r="R15" s="131" t="s">
        <v>170</v>
      </c>
    </row>
    <row r="16" spans="1:18" x14ac:dyDescent="0.15">
      <c r="A16" s="130">
        <f>floors!$C$2</f>
        <v>30040</v>
      </c>
      <c r="B16" s="57">
        <v>2</v>
      </c>
      <c r="C16" s="71" t="str">
        <f t="shared" si="0"/>
        <v>30040_2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346</v>
      </c>
      <c r="G16" s="57">
        <v>346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28</v>
      </c>
      <c r="Q16" s="57" t="s">
        <v>169</v>
      </c>
      <c r="R16" s="131" t="s">
        <v>170</v>
      </c>
    </row>
    <row r="17" spans="1:18" x14ac:dyDescent="0.15">
      <c r="A17" s="130">
        <f>floors!$C$2</f>
        <v>30040</v>
      </c>
      <c r="B17" s="57">
        <v>2</v>
      </c>
      <c r="C17" s="71" t="str">
        <f t="shared" si="0"/>
        <v>30040_2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346</v>
      </c>
      <c r="G17" s="57">
        <v>121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169</v>
      </c>
      <c r="R17" s="131" t="s">
        <v>170</v>
      </c>
    </row>
    <row r="18" spans="1:18" x14ac:dyDescent="0.15">
      <c r="A18" s="130">
        <f>floors!$C$2</f>
        <v>30040</v>
      </c>
      <c r="B18" s="57">
        <v>2</v>
      </c>
      <c r="C18" s="71" t="str">
        <f t="shared" si="0"/>
        <v>30040_2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346</v>
      </c>
      <c r="G18" s="57">
        <v>122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50</v>
      </c>
      <c r="Q18" s="57" t="s">
        <v>169</v>
      </c>
      <c r="R18" s="131" t="s">
        <v>170</v>
      </c>
    </row>
    <row r="19" spans="1:18" x14ac:dyDescent="0.15">
      <c r="A19" s="130">
        <f>floors!$C$2</f>
        <v>30040</v>
      </c>
      <c r="B19" s="57">
        <v>2</v>
      </c>
      <c r="C19" s="71" t="str">
        <f t="shared" si="0"/>
        <v>30040_2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346</v>
      </c>
      <c r="G19" s="57">
        <v>123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50</v>
      </c>
      <c r="Q19" s="57" t="s">
        <v>169</v>
      </c>
      <c r="R19" s="131" t="s">
        <v>170</v>
      </c>
    </row>
    <row r="20" spans="1:18" x14ac:dyDescent="0.15">
      <c r="A20" s="130">
        <f>floors!$C$2</f>
        <v>30040</v>
      </c>
      <c r="B20" s="57">
        <v>2</v>
      </c>
      <c r="C20" s="71" t="str">
        <f t="shared" si="0"/>
        <v>30040_2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346</v>
      </c>
      <c r="G20" s="57">
        <v>125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10</v>
      </c>
      <c r="Q20" s="57" t="s">
        <v>169</v>
      </c>
      <c r="R20" s="131" t="s">
        <v>170</v>
      </c>
    </row>
    <row r="21" spans="1:18" x14ac:dyDescent="0.15">
      <c r="A21" s="130">
        <f>floors!$C$2</f>
        <v>30040</v>
      </c>
      <c r="B21" s="57">
        <v>2</v>
      </c>
      <c r="C21" s="71" t="str">
        <f t="shared" si="0"/>
        <v>30040_2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57" t="s">
        <v>346</v>
      </c>
      <c r="G21" s="57">
        <v>1061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250</v>
      </c>
      <c r="Q21" s="57" t="s">
        <v>169</v>
      </c>
      <c r="R21" s="131" t="s">
        <v>170</v>
      </c>
    </row>
    <row r="22" spans="1:18" ht="16" thickBot="1" x14ac:dyDescent="0.2">
      <c r="A22" s="132">
        <f>floors!$C$2</f>
        <v>30040</v>
      </c>
      <c r="B22" s="133">
        <v>2</v>
      </c>
      <c r="C22" s="134" t="str">
        <f t="shared" si="0"/>
        <v>30040_2</v>
      </c>
      <c r="D22" s="135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33">
        <v>21</v>
      </c>
      <c r="F22" s="133" t="s">
        <v>346</v>
      </c>
      <c r="G22" s="133">
        <v>354</v>
      </c>
      <c r="H22" s="133">
        <v>1</v>
      </c>
      <c r="I22" s="133">
        <v>1</v>
      </c>
      <c r="J22" s="133">
        <v>1</v>
      </c>
      <c r="K22" s="133">
        <v>0</v>
      </c>
      <c r="L22" s="133">
        <v>0</v>
      </c>
      <c r="M22" s="133">
        <v>0</v>
      </c>
      <c r="N22" s="133">
        <v>0</v>
      </c>
      <c r="O22" s="133">
        <v>1</v>
      </c>
      <c r="P22" s="133">
        <v>100</v>
      </c>
      <c r="Q22" s="133" t="s">
        <v>169</v>
      </c>
      <c r="R22" s="136" t="s">
        <v>170</v>
      </c>
    </row>
    <row r="23" spans="1:18" x14ac:dyDescent="0.15">
      <c r="A23" s="125">
        <f>floors!$C$2</f>
        <v>30040</v>
      </c>
      <c r="B23" s="126">
        <v>3</v>
      </c>
      <c r="C23" s="127" t="str">
        <f t="shared" si="0"/>
        <v>30040_3</v>
      </c>
      <c r="D23" s="12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26">
        <v>22</v>
      </c>
      <c r="F23" s="126" t="s">
        <v>168</v>
      </c>
      <c r="G23" s="126">
        <v>6500</v>
      </c>
      <c r="H23" s="126" t="s">
        <v>344</v>
      </c>
      <c r="I23" s="126">
        <v>1</v>
      </c>
      <c r="J23" s="126">
        <v>1</v>
      </c>
      <c r="K23" s="126">
        <v>0</v>
      </c>
      <c r="L23" s="126">
        <v>0</v>
      </c>
      <c r="M23" s="126">
        <v>0</v>
      </c>
      <c r="N23" s="126">
        <v>0</v>
      </c>
      <c r="O23" s="126">
        <v>1</v>
      </c>
      <c r="P23" s="126">
        <v>100</v>
      </c>
      <c r="Q23" s="126" t="s">
        <v>169</v>
      </c>
      <c r="R23" s="129" t="s">
        <v>170</v>
      </c>
    </row>
    <row r="24" spans="1:18" x14ac:dyDescent="0.15">
      <c r="A24" s="130">
        <f>floors!$C$2</f>
        <v>30040</v>
      </c>
      <c r="B24" s="57">
        <v>3</v>
      </c>
      <c r="C24" s="71" t="str">
        <f t="shared" si="0"/>
        <v>30040_3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345</v>
      </c>
      <c r="G24" s="57">
        <v>25</v>
      </c>
      <c r="H24" s="57" t="s">
        <v>344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100</v>
      </c>
      <c r="Q24" s="57" t="s">
        <v>169</v>
      </c>
      <c r="R24" s="131" t="s">
        <v>170</v>
      </c>
    </row>
    <row r="25" spans="1:18" x14ac:dyDescent="0.15">
      <c r="A25" s="130">
        <f>floors!$C$2</f>
        <v>30040</v>
      </c>
      <c r="B25" s="57">
        <v>3</v>
      </c>
      <c r="C25" s="71" t="str">
        <f t="shared" si="0"/>
        <v>30040_3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346</v>
      </c>
      <c r="G25" s="57">
        <v>344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28</v>
      </c>
      <c r="Q25" s="57" t="s">
        <v>169</v>
      </c>
      <c r="R25" s="131" t="s">
        <v>170</v>
      </c>
    </row>
    <row r="26" spans="1:18" x14ac:dyDescent="0.15">
      <c r="A26" s="130">
        <f>floors!$C$2</f>
        <v>30040</v>
      </c>
      <c r="B26" s="57">
        <v>3</v>
      </c>
      <c r="C26" s="71" t="str">
        <f t="shared" si="0"/>
        <v>30040_3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346</v>
      </c>
      <c r="G26" s="57">
        <v>345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169</v>
      </c>
      <c r="R26" s="131" t="s">
        <v>170</v>
      </c>
    </row>
    <row r="27" spans="1:18" x14ac:dyDescent="0.15">
      <c r="A27" s="130">
        <f>floors!$C$2</f>
        <v>30040</v>
      </c>
      <c r="B27" s="57">
        <v>3</v>
      </c>
      <c r="C27" s="71" t="str">
        <f t="shared" si="0"/>
        <v>30040_3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346</v>
      </c>
      <c r="G27" s="57">
        <v>346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169</v>
      </c>
      <c r="R27" s="131" t="s">
        <v>170</v>
      </c>
    </row>
    <row r="28" spans="1:18" x14ac:dyDescent="0.15">
      <c r="A28" s="130">
        <f>floors!$C$2</f>
        <v>30040</v>
      </c>
      <c r="B28" s="57">
        <v>3</v>
      </c>
      <c r="C28" s="71" t="str">
        <f t="shared" si="0"/>
        <v>30040_3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346</v>
      </c>
      <c r="G28" s="57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169</v>
      </c>
      <c r="R28" s="131" t="s">
        <v>170</v>
      </c>
    </row>
    <row r="29" spans="1:18" x14ac:dyDescent="0.15">
      <c r="A29" s="130">
        <f>floors!$C$2</f>
        <v>30040</v>
      </c>
      <c r="B29" s="57">
        <v>3</v>
      </c>
      <c r="C29" s="71" t="str">
        <f t="shared" si="0"/>
        <v>30040_3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346</v>
      </c>
      <c r="G29" s="57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169</v>
      </c>
      <c r="R29" s="131" t="s">
        <v>170</v>
      </c>
    </row>
    <row r="30" spans="1:18" x14ac:dyDescent="0.15">
      <c r="A30" s="130">
        <f>floors!$C$2</f>
        <v>30040</v>
      </c>
      <c r="B30" s="57">
        <v>3</v>
      </c>
      <c r="C30" s="71" t="str">
        <f t="shared" si="0"/>
        <v>30040_3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346</v>
      </c>
      <c r="G30" s="57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169</v>
      </c>
      <c r="R30" s="131" t="s">
        <v>170</v>
      </c>
    </row>
    <row r="31" spans="1:18" x14ac:dyDescent="0.15">
      <c r="A31" s="130">
        <f>floors!$C$2</f>
        <v>30040</v>
      </c>
      <c r="B31" s="57">
        <v>3</v>
      </c>
      <c r="C31" s="71" t="str">
        <f t="shared" si="0"/>
        <v>30040_3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346</v>
      </c>
      <c r="G31" s="57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169</v>
      </c>
      <c r="R31" s="131" t="s">
        <v>170</v>
      </c>
    </row>
    <row r="32" spans="1:18" x14ac:dyDescent="0.15">
      <c r="A32" s="130">
        <f>floors!$C$2</f>
        <v>30040</v>
      </c>
      <c r="B32" s="57">
        <v>3</v>
      </c>
      <c r="C32" s="71" t="str">
        <f t="shared" si="0"/>
        <v>30040_3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346</v>
      </c>
      <c r="G32" s="57">
        <v>1061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400</v>
      </c>
      <c r="Q32" s="57" t="s">
        <v>169</v>
      </c>
      <c r="R32" s="131" t="s">
        <v>170</v>
      </c>
    </row>
    <row r="33" spans="1:18" ht="16" thickBot="1" x14ac:dyDescent="0.2">
      <c r="A33" s="132">
        <f>floors!$C$2</f>
        <v>30040</v>
      </c>
      <c r="B33" s="133">
        <v>3</v>
      </c>
      <c r="C33" s="134" t="str">
        <f t="shared" si="0"/>
        <v>30040_3</v>
      </c>
      <c r="D33" s="135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33">
        <v>32</v>
      </c>
      <c r="F33" s="133" t="s">
        <v>346</v>
      </c>
      <c r="G33" s="133">
        <v>354</v>
      </c>
      <c r="H33" s="133">
        <v>1</v>
      </c>
      <c r="I33" s="133">
        <v>1</v>
      </c>
      <c r="J33" s="133">
        <v>1</v>
      </c>
      <c r="K33" s="133">
        <v>0</v>
      </c>
      <c r="L33" s="133">
        <v>0</v>
      </c>
      <c r="M33" s="133">
        <v>0</v>
      </c>
      <c r="N33" s="133">
        <v>0</v>
      </c>
      <c r="O33" s="133">
        <v>1</v>
      </c>
      <c r="P33" s="133">
        <v>100</v>
      </c>
      <c r="Q33" s="133" t="s">
        <v>169</v>
      </c>
      <c r="R33" s="136" t="s">
        <v>170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10" activePane="bottomLeft" state="frozen"/>
      <selection pane="bottomLeft" activeCell="B3" sqref="B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126</v>
      </c>
      <c r="K1" s="78" t="s">
        <v>186</v>
      </c>
      <c r="L1" s="92" t="s">
        <v>185</v>
      </c>
      <c r="M1" s="80" t="s">
        <v>195</v>
      </c>
    </row>
    <row r="2" spans="1:13" x14ac:dyDescent="0.15">
      <c r="A2" s="81" t="s">
        <v>200</v>
      </c>
      <c r="B2" s="82">
        <f>floors!$C$2</f>
        <v>30040</v>
      </c>
      <c r="C2" s="83" t="str">
        <f ca="1">VLOOKUP($B2,OFFSET([2]quests!$A$1,0,0,COUNTA([2]quests!$A:$A),MATCH(C$1,[2]quests!$1:$1,0)-MATCH($B$1,[2]quests!$1:$1,0)+1),MATCH(C$1,[2]quests!$1:$1,0)-MATCH($B$1,[2]quests!$1:$1,0)+1,FALSE)</f>
        <v>闇ヨリ出ル魔獣</v>
      </c>
      <c r="D2" s="83" t="str">
        <f ca="1">VLOOKUP($B2,OFFSET([2]quests!$A$1,0,0,COUNTA([2]quests!$A:$A),MATCH(D$1,[2]quests!$1:$1,0)-MATCH($B$1,[2]quests!$1:$1,0)+1),MATCH(D$1,[2]quests!$1:$1,0)-MATCH($B$1,[2]quests!$1:$1,0)+1,FALSE)</f>
        <v>メソポタミア文明シリーズ超級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【中級】闇ヨリ出ル魔獣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" s="85">
        <v>0</v>
      </c>
      <c r="I2">
        <v>3</v>
      </c>
      <c r="J2" s="84" t="s">
        <v>197</v>
      </c>
      <c r="K2" s="93" t="str">
        <f>VLOOKUP(I2,[6]stage_hints!$A:$C,3,FALSE)</f>
        <v>ターゲット</v>
      </c>
      <c r="L2" s="94" t="str">
        <f>VLOOKUP(I2,[6]stage_hints!$A:$D,4,FALSE)</f>
        <v>敵ユニットをタップすると_x000D_その敵を狙い撃ちできます</v>
      </c>
      <c r="M2" s="57" t="s">
        <v>210</v>
      </c>
    </row>
    <row r="3" spans="1:13" x14ac:dyDescent="0.15">
      <c r="A3" s="81" t="s">
        <v>200</v>
      </c>
      <c r="B3" s="82">
        <f>floors!$C$2</f>
        <v>30040</v>
      </c>
      <c r="C3" s="83" t="str">
        <f ca="1">VLOOKUP($B3,OFFSET([2]quests!$A$1,0,0,COUNTA([2]quests!$A:$A),MATCH(C$1,[2]quests!$1:$1,0)-MATCH($B$1,[2]quests!$1:$1,0)+1),MATCH(C$1,[2]quests!$1:$1,0)-MATCH($B$1,[2]quests!$1:$1,0)+1,FALSE)</f>
        <v>闇ヨリ出ル魔獣</v>
      </c>
      <c r="D3" s="83" t="str">
        <f ca="1">VLOOKUP($B3,OFFSET([2]quests!$A$1,0,0,COUNTA([2]quests!$A:$A),MATCH(D$1,[2]quests!$1:$1,0)-MATCH($B$1,[2]quests!$1:$1,0)+1),MATCH(D$1,[2]quests!$1:$1,0)-MATCH($B$1,[2]quests!$1:$1,0)+1,FALSE)</f>
        <v>メソポタミア文明シリーズ超級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【中級】闇ヨリ出ル魔獣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" s="85">
        <v>0</v>
      </c>
      <c r="I3">
        <v>6</v>
      </c>
      <c r="J3" s="84" t="s">
        <v>197</v>
      </c>
      <c r="K3" s="93" t="str">
        <f>VLOOKUP(I3,[6]stage_hints!$A:$C,3,FALSE)</f>
        <v>ユニット強化の属性ボーナス</v>
      </c>
      <c r="L3" s="94" t="str">
        <f>VLOOKUP(I3,[6]stage_hints!$A:$D,4,FALSE)</f>
        <v>同属性ユニットを強化素材にすると_x000D_経験値が多くもらえます</v>
      </c>
      <c r="M3" s="57" t="s">
        <v>210</v>
      </c>
    </row>
    <row r="4" spans="1:13" x14ac:dyDescent="0.15">
      <c r="A4" s="81" t="s">
        <v>200</v>
      </c>
      <c r="B4" s="82">
        <f>floors!$C$2</f>
        <v>30040</v>
      </c>
      <c r="C4" s="83" t="str">
        <f ca="1">VLOOKUP($B4,OFFSET([2]quests!$A$1,0,0,COUNTA([2]quests!$A:$A),MATCH(C$1,[2]quests!$1:$1,0)-MATCH($B$1,[2]quests!$1:$1,0)+1),MATCH(C$1,[2]quests!$1:$1,0)-MATCH($B$1,[2]quests!$1:$1,0)+1,FALSE)</f>
        <v>闇ヨリ出ル魔獣</v>
      </c>
      <c r="D4" s="83" t="str">
        <f ca="1">VLOOKUP($B4,OFFSET([2]quests!$A$1,0,0,COUNTA([2]quests!$A:$A),MATCH(D$1,[2]quests!$1:$1,0)-MATCH($B$1,[2]quests!$1:$1,0)+1),MATCH(D$1,[2]quests!$1:$1,0)-MATCH($B$1,[2]quests!$1:$1,0)+1,FALSE)</f>
        <v>メソポタミア文明シリーズ超級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【中級】闇ヨリ出ル魔獣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" s="85">
        <v>0</v>
      </c>
      <c r="I4">
        <v>7</v>
      </c>
      <c r="J4" s="84" t="s">
        <v>197</v>
      </c>
      <c r="K4" s="93" t="str">
        <f>VLOOKUP(I4,[6]stage_hints!$A:$C,3,FALSE)</f>
        <v>メタルダックで経験値を獲得</v>
      </c>
      <c r="L4" s="94" t="str">
        <f>VLOOKUP(I4,[6]stage_hints!$A:$D,4,FALSE)</f>
        <v>「メタルなアヒル」を強化素材にすると_x000D_大量の経験値がもらえます</v>
      </c>
      <c r="M4" s="57" t="s">
        <v>210</v>
      </c>
    </row>
    <row r="5" spans="1:13" x14ac:dyDescent="0.15">
      <c r="A5" s="81" t="s">
        <v>200</v>
      </c>
      <c r="B5" s="82">
        <f>floors!$C$2</f>
        <v>30040</v>
      </c>
      <c r="C5" s="83" t="str">
        <f ca="1">VLOOKUP($B5,OFFSET([2]quests!$A$1,0,0,COUNTA([2]quests!$A:$A),MATCH(C$1,[2]quests!$1:$1,0)-MATCH($B$1,[2]quests!$1:$1,0)+1),MATCH(C$1,[2]quests!$1:$1,0)-MATCH($B$1,[2]quests!$1:$1,0)+1,FALSE)</f>
        <v>闇ヨリ出ル魔獣</v>
      </c>
      <c r="D5" s="83" t="str">
        <f ca="1">VLOOKUP($B5,OFFSET([2]quests!$A$1,0,0,COUNTA([2]quests!$A:$A),MATCH(D$1,[2]quests!$1:$1,0)-MATCH($B$1,[2]quests!$1:$1,0)+1),MATCH(D$1,[2]quests!$1:$1,0)-MATCH($B$1,[2]quests!$1:$1,0)+1,FALSE)</f>
        <v>メソポタミア文明シリーズ超級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【中級】闇ヨリ出ル魔獣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" s="85">
        <v>0</v>
      </c>
      <c r="I5">
        <v>8</v>
      </c>
      <c r="J5" s="84" t="s">
        <v>197</v>
      </c>
      <c r="K5" s="93" t="str">
        <f>VLOOKUP(I5,[6]stage_hints!$A:$C,3,FALSE)</f>
        <v>ゲリラクエストは要チェック</v>
      </c>
      <c r="L5" s="94" t="str">
        <f>VLOOKUP(I5,[6]stage_hints!$A:$D,4,FALSE)</f>
        <v>時間限定の「アヒル捕獲作戦」では_x000D_経験値素材ユニットが多く手に入ります</v>
      </c>
      <c r="M5" s="57" t="s">
        <v>210</v>
      </c>
    </row>
    <row r="6" spans="1:13" x14ac:dyDescent="0.15">
      <c r="A6" s="81" t="s">
        <v>200</v>
      </c>
      <c r="B6" s="82">
        <f>floors!$C$2</f>
        <v>30040</v>
      </c>
      <c r="C6" s="83" t="str">
        <f ca="1">VLOOKUP($B6,OFFSET([2]quests!$A$1,0,0,COUNTA([2]quests!$A:$A),MATCH(C$1,[2]quests!$1:$1,0)-MATCH($B$1,[2]quests!$1:$1,0)+1),MATCH(C$1,[2]quests!$1:$1,0)-MATCH($B$1,[2]quests!$1:$1,0)+1,FALSE)</f>
        <v>闇ヨリ出ル魔獣</v>
      </c>
      <c r="D6" s="83" t="str">
        <f ca="1">VLOOKUP($B6,OFFSET([2]quests!$A$1,0,0,COUNTA([2]quests!$A:$A),MATCH(D$1,[2]quests!$1:$1,0)-MATCH($B$1,[2]quests!$1:$1,0)+1),MATCH(D$1,[2]quests!$1:$1,0)-MATCH($B$1,[2]quests!$1:$1,0)+1,FALSE)</f>
        <v>メソポタミア文明シリーズ超級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【中級】闇ヨリ出ル魔獣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" s="85">
        <v>0</v>
      </c>
      <c r="I6">
        <v>9</v>
      </c>
      <c r="J6" s="84" t="s">
        <v>197</v>
      </c>
      <c r="K6" s="93" t="str">
        <f>VLOOKUP(I6,[6]stage_hints!$A:$C,3,FALSE)</f>
        <v>ゴールドダックでビットを獲得</v>
      </c>
      <c r="L6" s="94" t="str">
        <f>VLOOKUP(I6,[6]stage_hints!$A:$D,4,FALSE)</f>
        <v>「ゴールドなアヒル」を売却すると_x000D_大量のビットがもらえます</v>
      </c>
      <c r="M6" s="57" t="s">
        <v>210</v>
      </c>
    </row>
    <row r="7" spans="1:13" x14ac:dyDescent="0.15">
      <c r="A7" s="81" t="s">
        <v>200</v>
      </c>
      <c r="B7" s="82">
        <f>floors!$C$2</f>
        <v>30040</v>
      </c>
      <c r="C7" s="83" t="str">
        <f ca="1">VLOOKUP($B7,OFFSET([2]quests!$A$1,0,0,COUNTA([2]quests!$A:$A),MATCH(C$1,[2]quests!$1:$1,0)-MATCH($B$1,[2]quests!$1:$1,0)+1),MATCH(C$1,[2]quests!$1:$1,0)-MATCH($B$1,[2]quests!$1:$1,0)+1,FALSE)</f>
        <v>闇ヨリ出ル魔獣</v>
      </c>
      <c r="D7" s="83" t="str">
        <f ca="1">VLOOKUP($B7,OFFSET([2]quests!$A$1,0,0,COUNTA([2]quests!$A:$A),MATCH(D$1,[2]quests!$1:$1,0)-MATCH($B$1,[2]quests!$1:$1,0)+1),MATCH(D$1,[2]quests!$1:$1,0)-MATCH($B$1,[2]quests!$1:$1,0)+1,FALSE)</f>
        <v>メソポタミア文明シリーズ超級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【中級】闇ヨリ出ル魔獣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" s="85">
        <v>0</v>
      </c>
      <c r="I7">
        <v>10</v>
      </c>
      <c r="J7" s="84" t="s">
        <v>197</v>
      </c>
      <c r="K7" s="93" t="str">
        <f>VLOOKUP(I7,[6]stage_hints!$A:$C,3,FALSE)</f>
        <v>土日に大量のビットを獲得</v>
      </c>
      <c r="L7" s="94" t="str">
        <f>VLOOKUP(I7,[6]stage_hints!$A:$D,4,FALSE)</f>
        <v>土日限定の「ゴールドカジノ」では_x000D_売却素材ユニットが多く手に入ります</v>
      </c>
      <c r="M7" s="57" t="s">
        <v>210</v>
      </c>
    </row>
    <row r="8" spans="1:13" x14ac:dyDescent="0.15">
      <c r="A8" s="81" t="s">
        <v>200</v>
      </c>
      <c r="B8" s="82">
        <f>floors!$C$2</f>
        <v>30040</v>
      </c>
      <c r="C8" s="83" t="str">
        <f ca="1">VLOOKUP($B8,OFFSET([2]quests!$A$1,0,0,COUNTA([2]quests!$A:$A),MATCH(C$1,[2]quests!$1:$1,0)-MATCH($B$1,[2]quests!$1:$1,0)+1),MATCH(C$1,[2]quests!$1:$1,0)-MATCH($B$1,[2]quests!$1:$1,0)+1,FALSE)</f>
        <v>闇ヨリ出ル魔獣</v>
      </c>
      <c r="D8" s="83" t="str">
        <f ca="1">VLOOKUP($B8,OFFSET([2]quests!$A$1,0,0,COUNTA([2]quests!$A:$A),MATCH(D$1,[2]quests!$1:$1,0)-MATCH($B$1,[2]quests!$1:$1,0)+1),MATCH(D$1,[2]quests!$1:$1,0)-MATCH($B$1,[2]quests!$1:$1,0)+1,FALSE)</f>
        <v>メソポタミア文明シリーズ超級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【中級】闇ヨリ出ル魔獣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8" s="85">
        <v>0</v>
      </c>
      <c r="I8">
        <v>11</v>
      </c>
      <c r="J8" s="84" t="s">
        <v>197</v>
      </c>
      <c r="K8" s="93" t="str">
        <f>VLOOKUP(I8,[6]stage_hints!$A:$C,3,FALSE)</f>
        <v>ランク解放クエスト</v>
      </c>
      <c r="L8" s="94" t="str">
        <f>VLOOKUP(I8,[6]stage_hints!$A:$D,4,FALSE)</f>
        <v>一定ランクに到達すると_x000D_報酬付きのランク開放クエストが現れます</v>
      </c>
      <c r="M8" s="57" t="s">
        <v>210</v>
      </c>
    </row>
    <row r="9" spans="1:13" x14ac:dyDescent="0.15">
      <c r="A9" s="81" t="s">
        <v>200</v>
      </c>
      <c r="B9" s="82">
        <f>floors!$C$2</f>
        <v>30040</v>
      </c>
      <c r="C9" s="83" t="str">
        <f ca="1">VLOOKUP($B9,OFFSET([2]quests!$A$1,0,0,COUNTA([2]quests!$A:$A),MATCH(C$1,[2]quests!$1:$1,0)-MATCH($B$1,[2]quests!$1:$1,0)+1),MATCH(C$1,[2]quests!$1:$1,0)-MATCH($B$1,[2]quests!$1:$1,0)+1,FALSE)</f>
        <v>闇ヨリ出ル魔獣</v>
      </c>
      <c r="D9" s="83" t="str">
        <f ca="1">VLOOKUP($B9,OFFSET([2]quests!$A$1,0,0,COUNTA([2]quests!$A:$A),MATCH(D$1,[2]quests!$1:$1,0)-MATCH($B$1,[2]quests!$1:$1,0)+1),MATCH(D$1,[2]quests!$1:$1,0)-MATCH($B$1,[2]quests!$1:$1,0)+1,FALSE)</f>
        <v>メソポタミア文明シリーズ超級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【中級】闇ヨリ出ル魔獣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9" s="85">
        <v>0</v>
      </c>
      <c r="I9">
        <v>12</v>
      </c>
      <c r="J9" s="84" t="s">
        <v>197</v>
      </c>
      <c r="K9" s="93" t="str">
        <f>VLOOKUP(I9,[6]stage_hints!$A:$C,3,FALSE)</f>
        <v>ユニットのお気に入り登録</v>
      </c>
      <c r="L9" s="94" t="str">
        <f>VLOOKUP(I9,[6]stage_hints!$A:$D,4,FALSE)</f>
        <v>大事なユニットを誤って消さないように_x000D_フォルダから「お気に入り登録」しましょう</v>
      </c>
      <c r="M9" s="57" t="s">
        <v>210</v>
      </c>
    </row>
    <row r="10" spans="1:13" x14ac:dyDescent="0.15">
      <c r="A10" s="81" t="s">
        <v>200</v>
      </c>
      <c r="B10" s="82">
        <f>floors!$C$2</f>
        <v>30040</v>
      </c>
      <c r="C10" s="83" t="str">
        <f ca="1">VLOOKUP($B10,OFFSET([2]quests!$A$1,0,0,COUNTA([2]quests!$A:$A),MATCH(C$1,[2]quests!$1:$1,0)-MATCH($B$1,[2]quests!$1:$1,0)+1),MATCH(C$1,[2]quests!$1:$1,0)-MATCH($B$1,[2]quests!$1:$1,0)+1,FALSE)</f>
        <v>闇ヨリ出ル魔獣</v>
      </c>
      <c r="D10" s="83" t="str">
        <f ca="1">VLOOKUP($B10,OFFSET([2]quests!$A$1,0,0,COUNTA([2]quests!$A:$A),MATCH(D$1,[2]quests!$1:$1,0)-MATCH($B$1,[2]quests!$1:$1,0)+1),MATCH(D$1,[2]quests!$1:$1,0)-MATCH($B$1,[2]quests!$1:$1,0)+1,FALSE)</f>
        <v>メソポタミア文明シリーズ超級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【中級】闇ヨリ出ル魔獣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0" s="85">
        <v>0</v>
      </c>
      <c r="I10">
        <v>13</v>
      </c>
      <c r="J10" s="84" t="s">
        <v>197</v>
      </c>
      <c r="K10" s="93" t="str">
        <f>VLOOKUP(I10,[6]stage_hints!$A:$C,3,FALSE)</f>
        <v>ユニットの覚醒</v>
      </c>
      <c r="L10" s="94" t="str">
        <f>VLOOKUP(I10,[6]stage_hints!$A:$D,4,FALSE)</f>
        <v>ユニットを覚醒させると_x000D_比べものにならない強さが手に入ります</v>
      </c>
      <c r="M10" s="57" t="s">
        <v>210</v>
      </c>
    </row>
    <row r="11" spans="1:13" x14ac:dyDescent="0.15">
      <c r="A11" s="81" t="s">
        <v>200</v>
      </c>
      <c r="B11" s="82">
        <f>floors!$C$2</f>
        <v>30040</v>
      </c>
      <c r="C11" s="83" t="str">
        <f ca="1">VLOOKUP($B11,OFFSET([2]quests!$A$1,0,0,COUNTA([2]quests!$A:$A),MATCH(C$1,[2]quests!$1:$1,0)-MATCH($B$1,[2]quests!$1:$1,0)+1),MATCH(C$1,[2]quests!$1:$1,0)-MATCH($B$1,[2]quests!$1:$1,0)+1,FALSE)</f>
        <v>闇ヨリ出ル魔獣</v>
      </c>
      <c r="D11" s="83" t="str">
        <f ca="1">VLOOKUP($B11,OFFSET([2]quests!$A$1,0,0,COUNTA([2]quests!$A:$A),MATCH(D$1,[2]quests!$1:$1,0)-MATCH($B$1,[2]quests!$1:$1,0)+1),MATCH(D$1,[2]quests!$1:$1,0)-MATCH($B$1,[2]quests!$1:$1,0)+1,FALSE)</f>
        <v>メソポタミア文明シリーズ超級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【中級】闇ヨリ出ル魔獣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1" s="85">
        <v>0</v>
      </c>
      <c r="I11">
        <v>14</v>
      </c>
      <c r="J11" s="84" t="s">
        <v>197</v>
      </c>
      <c r="K11" s="93" t="str">
        <f>VLOOKUP(I11,[6]stage_hints!$A:$C,3,FALSE)</f>
        <v>覚醒するにはレベルを最大に</v>
      </c>
      <c r="L11" s="94" t="str">
        <f>VLOOKUP(I11,[6]stage_hints!$A:$D,4,FALSE)</f>
        <v>覚醒するにはユニットのレベルを_x000D_最大まで上げる必要があります</v>
      </c>
      <c r="M11" s="57" t="s">
        <v>210</v>
      </c>
    </row>
    <row r="12" spans="1:13" x14ac:dyDescent="0.15">
      <c r="A12" s="81" t="s">
        <v>200</v>
      </c>
      <c r="B12" s="82">
        <f>floors!$C$2</f>
        <v>30040</v>
      </c>
      <c r="C12" s="83" t="str">
        <f ca="1">VLOOKUP($B12,OFFSET([2]quests!$A$1,0,0,COUNTA([2]quests!$A:$A),MATCH(C$1,[2]quests!$1:$1,0)-MATCH($B$1,[2]quests!$1:$1,0)+1),MATCH(C$1,[2]quests!$1:$1,0)-MATCH($B$1,[2]quests!$1:$1,0)+1,FALSE)</f>
        <v>闇ヨリ出ル魔獣</v>
      </c>
      <c r="D12" s="83" t="str">
        <f ca="1">VLOOKUP($B12,OFFSET([2]quests!$A$1,0,0,COUNTA([2]quests!$A:$A),MATCH(D$1,[2]quests!$1:$1,0)-MATCH($B$1,[2]quests!$1:$1,0)+1),MATCH(D$1,[2]quests!$1:$1,0)-MATCH($B$1,[2]quests!$1:$1,0)+1,FALSE)</f>
        <v>メソポタミア文明シリーズ超級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【中級】闇ヨリ出ル魔獣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2" s="85">
        <v>0</v>
      </c>
      <c r="I12">
        <v>15</v>
      </c>
      <c r="J12" s="84" t="s">
        <v>197</v>
      </c>
      <c r="K12" s="93" t="str">
        <f>VLOOKUP(I12,[6]stage_hints!$A:$C,3,FALSE)</f>
        <v>覚醒素材を獲得</v>
      </c>
      <c r="L12" s="94" t="str">
        <f>VLOOKUP(I12,[6]stage_hints!$A:$D,4,FALSE)</f>
        <v>「曜日クエスト」では_x000D_ユニットの覚醒に必要な素材が手に入ります</v>
      </c>
      <c r="M12" s="57" t="s">
        <v>210</v>
      </c>
    </row>
    <row r="13" spans="1:13" x14ac:dyDescent="0.15">
      <c r="A13" s="81" t="s">
        <v>200</v>
      </c>
      <c r="B13" s="82">
        <f>floors!$C$2</f>
        <v>30040</v>
      </c>
      <c r="C13" s="83" t="str">
        <f ca="1">VLOOKUP($B13,OFFSET([2]quests!$A$1,0,0,COUNTA([2]quests!$A:$A),MATCH(C$1,[2]quests!$1:$1,0)-MATCH($B$1,[2]quests!$1:$1,0)+1),MATCH(C$1,[2]quests!$1:$1,0)-MATCH($B$1,[2]quests!$1:$1,0)+1,FALSE)</f>
        <v>闇ヨリ出ル魔獣</v>
      </c>
      <c r="D13" s="83" t="str">
        <f ca="1">VLOOKUP($B13,OFFSET([2]quests!$A$1,0,0,COUNTA([2]quests!$A:$A),MATCH(D$1,[2]quests!$1:$1,0)-MATCH($B$1,[2]quests!$1:$1,0)+1),MATCH(D$1,[2]quests!$1:$1,0)-MATCH($B$1,[2]quests!$1:$1,0)+1,FALSE)</f>
        <v>メソポタミア文明シリーズ超級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【中級】闇ヨリ出ル魔獣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3" s="85">
        <v>0</v>
      </c>
      <c r="I13">
        <v>16</v>
      </c>
      <c r="J13" s="84" t="s">
        <v>197</v>
      </c>
      <c r="K13" s="93" t="str">
        <f>VLOOKUP(I13,[6]stage_hints!$A:$C,3,FALSE)</f>
        <v>マルチプレイのメリット（その1）</v>
      </c>
      <c r="L13" s="94" t="str">
        <f>VLOOKUP(I13,[6]stage_hints!$A:$D,4,FALSE)</f>
        <v>他のプレイヤーとマルチプレイで遊ぶと_x000D_ポリゴンがもらえます（100人まで）</v>
      </c>
      <c r="M13" s="57" t="s">
        <v>210</v>
      </c>
    </row>
    <row r="14" spans="1:13" x14ac:dyDescent="0.15">
      <c r="A14" s="81" t="s">
        <v>200</v>
      </c>
      <c r="B14" s="82">
        <f>floors!$C$2</f>
        <v>30040</v>
      </c>
      <c r="C14" s="83" t="str">
        <f ca="1">VLOOKUP($B14,OFFSET([2]quests!$A$1,0,0,COUNTA([2]quests!$A:$A),MATCH(C$1,[2]quests!$1:$1,0)-MATCH($B$1,[2]quests!$1:$1,0)+1),MATCH(C$1,[2]quests!$1:$1,0)-MATCH($B$1,[2]quests!$1:$1,0)+1,FALSE)</f>
        <v>闇ヨリ出ル魔獣</v>
      </c>
      <c r="D14" s="83" t="str">
        <f ca="1">VLOOKUP($B14,OFFSET([2]quests!$A$1,0,0,COUNTA([2]quests!$A:$A),MATCH(D$1,[2]quests!$1:$1,0)-MATCH($B$1,[2]quests!$1:$1,0)+1),MATCH(D$1,[2]quests!$1:$1,0)-MATCH($B$1,[2]quests!$1:$1,0)+1,FALSE)</f>
        <v>メソポタミア文明シリーズ超級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【中級】闇ヨリ出ル魔獣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4" s="85">
        <v>0</v>
      </c>
      <c r="I14">
        <v>17</v>
      </c>
      <c r="J14" s="84" t="s">
        <v>197</v>
      </c>
      <c r="K14" s="93" t="str">
        <f>VLOOKUP(I14,[6]stage_hints!$A:$C,3,FALSE)</f>
        <v>リンクガチャ</v>
      </c>
      <c r="L14" s="94" t="str">
        <f>VLOOKUP(I14,[6]stage_hints!$A:$D,4,FALSE)</f>
        <v>無料のリンクガチャを回して_x000D_経験値素材や売却素材を獲得しましょう</v>
      </c>
      <c r="M14" s="57" t="s">
        <v>210</v>
      </c>
    </row>
    <row r="15" spans="1:13" x14ac:dyDescent="0.15">
      <c r="A15" s="81" t="s">
        <v>200</v>
      </c>
      <c r="B15" s="82">
        <f>floors!$C$2</f>
        <v>30040</v>
      </c>
      <c r="C15" s="83" t="str">
        <f ca="1">VLOOKUP($B15,OFFSET([2]quests!$A$1,0,0,COUNTA([2]quests!$A:$A),MATCH(C$1,[2]quests!$1:$1,0)-MATCH($B$1,[2]quests!$1:$1,0)+1),MATCH(C$1,[2]quests!$1:$1,0)-MATCH($B$1,[2]quests!$1:$1,0)+1,FALSE)</f>
        <v>闇ヨリ出ル魔獣</v>
      </c>
      <c r="D15" s="83" t="str">
        <f ca="1">VLOOKUP($B15,OFFSET([2]quests!$A$1,0,0,COUNTA([2]quests!$A:$A),MATCH(D$1,[2]quests!$1:$1,0)-MATCH($B$1,[2]quests!$1:$1,0)+1),MATCH(D$1,[2]quests!$1:$1,0)-MATCH($B$1,[2]quests!$1:$1,0)+1,FALSE)</f>
        <v>メソポタミア文明シリーズ超級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【中級】闇ヨリ出ル魔獣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5" s="85">
        <v>0</v>
      </c>
      <c r="I15">
        <v>18</v>
      </c>
      <c r="J15" s="84" t="s">
        <v>197</v>
      </c>
      <c r="K15" s="93" t="str">
        <f>VLOOKUP(I15,[6]stage_hints!$A:$C,3,FALSE)</f>
        <v>マルチプレイのメリット（その2）</v>
      </c>
      <c r="L15" s="94" t="str">
        <f>VLOOKUP(I15,[6]stage_hints!$A:$D,4,FALSE)</f>
        <v>マルチプレイならリンクが2倍もらえます_x000D_リンクガチャをたくさん回しましょう</v>
      </c>
      <c r="M15" s="57" t="s">
        <v>210</v>
      </c>
    </row>
    <row r="16" spans="1:13" x14ac:dyDescent="0.15">
      <c r="A16" s="81" t="s">
        <v>200</v>
      </c>
      <c r="B16" s="82">
        <f>floors!$C$2</f>
        <v>30040</v>
      </c>
      <c r="C16" s="83" t="str">
        <f ca="1">VLOOKUP($B16,OFFSET([2]quests!$A$1,0,0,COUNTA([2]quests!$A:$A),MATCH(C$1,[2]quests!$1:$1,0)-MATCH($B$1,[2]quests!$1:$1,0)+1),MATCH(C$1,[2]quests!$1:$1,0)-MATCH($B$1,[2]quests!$1:$1,0)+1,FALSE)</f>
        <v>闇ヨリ出ル魔獣</v>
      </c>
      <c r="D16" s="83" t="str">
        <f ca="1">VLOOKUP($B16,OFFSET([2]quests!$A$1,0,0,COUNTA([2]quests!$A:$A),MATCH(D$1,[2]quests!$1:$1,0)-MATCH($B$1,[2]quests!$1:$1,0)+1),MATCH(D$1,[2]quests!$1:$1,0)-MATCH($B$1,[2]quests!$1:$1,0)+1,FALSE)</f>
        <v>メソポタミア文明シリーズ超級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【中級】闇ヨリ出ル魔獣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6" s="85">
        <v>0</v>
      </c>
      <c r="I16">
        <v>19</v>
      </c>
      <c r="J16" s="84" t="s">
        <v>197</v>
      </c>
      <c r="K16" s="93" t="str">
        <f>VLOOKUP(I16,[6]stage_hints!$A:$C,3,FALSE)</f>
        <v>ソロ専用チャレンジタワー</v>
      </c>
      <c r="L16" s="94" t="str">
        <f>VLOOKUP(I16,[6]stage_hints!$A:$D,4,FALSE)</f>
        <v>ソロ専用の「チャレンジタワー」では_x000D_各フロアごとにクリア報酬がもらえます</v>
      </c>
      <c r="M16" s="57" t="s">
        <v>210</v>
      </c>
    </row>
    <row r="17" spans="1:13" x14ac:dyDescent="0.15">
      <c r="A17" s="81" t="s">
        <v>200</v>
      </c>
      <c r="B17" s="82">
        <f>floors!$C$2</f>
        <v>30040</v>
      </c>
      <c r="C17" s="83" t="str">
        <f ca="1">VLOOKUP($B17,OFFSET([2]quests!$A$1,0,0,COUNTA([2]quests!$A:$A),MATCH(C$1,[2]quests!$1:$1,0)-MATCH($B$1,[2]quests!$1:$1,0)+1),MATCH(C$1,[2]quests!$1:$1,0)-MATCH($B$1,[2]quests!$1:$1,0)+1,FALSE)</f>
        <v>闇ヨリ出ル魔獣</v>
      </c>
      <c r="D17" s="83" t="str">
        <f ca="1">VLOOKUP($B17,OFFSET([2]quests!$A$1,0,0,COUNTA([2]quests!$A:$A),MATCH(D$1,[2]quests!$1:$1,0)-MATCH($B$1,[2]quests!$1:$1,0)+1),MATCH(D$1,[2]quests!$1:$1,0)-MATCH($B$1,[2]quests!$1:$1,0)+1,FALSE)</f>
        <v>メソポタミア文明シリーズ超級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【中級】闇ヨリ出ル魔獣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7" s="85">
        <v>0</v>
      </c>
      <c r="I17">
        <v>20</v>
      </c>
      <c r="J17" s="84" t="s">
        <v>197</v>
      </c>
      <c r="K17" s="93" t="str">
        <f>VLOOKUP(I17,[6]stage_hints!$A:$C,3,FALSE)</f>
        <v>マルチプレイのメリット（その3）</v>
      </c>
      <c r="L17" s="94" t="str">
        <f>VLOOKUP(I17,[6]stage_hints!$A:$D,4,FALSE)</f>
        <v>マルチプレイへの参加はエナジー消費ゼロ_x000D_いつでも好きなだけ遊ぶことができます</v>
      </c>
      <c r="M17" s="57" t="s">
        <v>210</v>
      </c>
    </row>
    <row r="18" spans="1:13" x14ac:dyDescent="0.15">
      <c r="A18" s="81" t="s">
        <v>200</v>
      </c>
      <c r="B18" s="82">
        <f>floors!$C$2</f>
        <v>30040</v>
      </c>
      <c r="C18" s="83" t="str">
        <f ca="1">VLOOKUP($B18,OFFSET([2]quests!$A$1,0,0,COUNTA([2]quests!$A:$A),MATCH(C$1,[2]quests!$1:$1,0)-MATCH($B$1,[2]quests!$1:$1,0)+1),MATCH(C$1,[2]quests!$1:$1,0)-MATCH($B$1,[2]quests!$1:$1,0)+1,FALSE)</f>
        <v>闇ヨリ出ル魔獣</v>
      </c>
      <c r="D18" s="83" t="str">
        <f ca="1">VLOOKUP($B18,OFFSET([2]quests!$A$1,0,0,COUNTA([2]quests!$A:$A),MATCH(D$1,[2]quests!$1:$1,0)-MATCH($B$1,[2]quests!$1:$1,0)+1),MATCH(D$1,[2]quests!$1:$1,0)-MATCH($B$1,[2]quests!$1:$1,0)+1,FALSE)</f>
        <v>メソポタミア文明シリーズ超級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【中級】闇ヨリ出ル魔獣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8" s="85">
        <v>0</v>
      </c>
      <c r="I18">
        <v>21</v>
      </c>
      <c r="J18" s="84" t="s">
        <v>197</v>
      </c>
      <c r="K18" s="93" t="str">
        <f>VLOOKUP(I18,[6]stage_hints!$A:$C,3,FALSE)</f>
        <v>スキルを有効に</v>
      </c>
      <c r="L18" s="94" t="str">
        <f>VLOOKUP(I18,[6]stage_hints!$A:$D,4,FALSE)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1" t="s">
        <v>200</v>
      </c>
      <c r="B19" s="82">
        <f>floors!$C$2</f>
        <v>30040</v>
      </c>
      <c r="C19" s="83" t="str">
        <f ca="1">VLOOKUP($B19,OFFSET([2]quests!$A$1,0,0,COUNTA([2]quests!$A:$A),MATCH(C$1,[2]quests!$1:$1,0)-MATCH($B$1,[2]quests!$1:$1,0)+1),MATCH(C$1,[2]quests!$1:$1,0)-MATCH($B$1,[2]quests!$1:$1,0)+1,FALSE)</f>
        <v>闇ヨリ出ル魔獣</v>
      </c>
      <c r="D19" s="83" t="str">
        <f ca="1">VLOOKUP($B19,OFFSET([2]quests!$A$1,0,0,COUNTA([2]quests!$A:$A),MATCH(D$1,[2]quests!$1:$1,0)-MATCH($B$1,[2]quests!$1:$1,0)+1),MATCH(D$1,[2]quests!$1:$1,0)-MATCH($B$1,[2]quests!$1:$1,0)+1,FALSE)</f>
        <v>メソポタミア文明シリーズ超級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【中級】闇ヨリ出ル魔獣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9" s="85">
        <v>0</v>
      </c>
      <c r="I19">
        <v>22</v>
      </c>
      <c r="J19" s="84" t="s">
        <v>197</v>
      </c>
      <c r="K19" s="93" t="str">
        <f>VLOOKUP(I19,[6]stage_hints!$A:$C,3,FALSE)</f>
        <v>フィーバーで一発逆転（その1）</v>
      </c>
      <c r="L19" s="94" t="str">
        <f>VLOOKUP(I19,[6]stage_hints!$A:$D,4,FALSE)</f>
        <v>フィーバーは攻撃と回復を兼ね備えます_x000D_ピンチからの一発逆転を狙いましょう</v>
      </c>
      <c r="M19" s="57" t="s">
        <v>210</v>
      </c>
    </row>
    <row r="20" spans="1:13" x14ac:dyDescent="0.15">
      <c r="A20" s="81" t="s">
        <v>200</v>
      </c>
      <c r="B20" s="82">
        <f>floors!$C$2</f>
        <v>30040</v>
      </c>
      <c r="C20" s="83" t="str">
        <f ca="1">VLOOKUP($B20,OFFSET([2]quests!$A$1,0,0,COUNTA([2]quests!$A:$A),MATCH(C$1,[2]quests!$1:$1,0)-MATCH($B$1,[2]quests!$1:$1,0)+1),MATCH(C$1,[2]quests!$1:$1,0)-MATCH($B$1,[2]quests!$1:$1,0)+1,FALSE)</f>
        <v>闇ヨリ出ル魔獣</v>
      </c>
      <c r="D20" s="83" t="str">
        <f ca="1">VLOOKUP($B20,OFFSET([2]quests!$A$1,0,0,COUNTA([2]quests!$A:$A),MATCH(D$1,[2]quests!$1:$1,0)-MATCH($B$1,[2]quests!$1:$1,0)+1),MATCH(D$1,[2]quests!$1:$1,0)-MATCH($B$1,[2]quests!$1:$1,0)+1,FALSE)</f>
        <v>メソポタミア文明シリーズ超級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【中級】闇ヨリ出ル魔獣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0" s="85">
        <v>0</v>
      </c>
      <c r="I20">
        <v>23</v>
      </c>
      <c r="J20" s="84" t="s">
        <v>197</v>
      </c>
      <c r="K20" s="93" t="str">
        <f>VLOOKUP(I20,[6]stage_hints!$A:$C,3,FALSE)</f>
        <v>フィーバーで一発逆転（その2）</v>
      </c>
      <c r="L20" s="94" t="str">
        <f>VLOOKUP(I20,[6]stage_hints!$A:$D,4,FALSE)</f>
        <v>フィーバー中は虹色のボムパネルを狙って_x000D_画面上のパネルを一気に破壊しましょう</v>
      </c>
      <c r="M20" s="57" t="s">
        <v>210</v>
      </c>
    </row>
    <row r="21" spans="1:13" x14ac:dyDescent="0.15">
      <c r="A21" s="81" t="s">
        <v>200</v>
      </c>
      <c r="B21" s="82">
        <f>floors!$C$2</f>
        <v>30040</v>
      </c>
      <c r="C21" s="83" t="str">
        <f ca="1">VLOOKUP($B21,OFFSET([2]quests!$A$1,0,0,COUNTA([2]quests!$A:$A),MATCH(C$1,[2]quests!$1:$1,0)-MATCH($B$1,[2]quests!$1:$1,0)+1),MATCH(C$1,[2]quests!$1:$1,0)-MATCH($B$1,[2]quests!$1:$1,0)+1,FALSE)</f>
        <v>闇ヨリ出ル魔獣</v>
      </c>
      <c r="D21" s="83" t="str">
        <f ca="1">VLOOKUP($B21,OFFSET([2]quests!$A$1,0,0,COUNTA([2]quests!$A:$A),MATCH(D$1,[2]quests!$1:$1,0)-MATCH($B$1,[2]quests!$1:$1,0)+1),MATCH(D$1,[2]quests!$1:$1,0)-MATCH($B$1,[2]quests!$1:$1,0)+1,FALSE)</f>
        <v>メソポタミア文明シリーズ超級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【中級】闇ヨリ出ル魔獣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1" s="85">
        <v>0</v>
      </c>
      <c r="I21">
        <v>24</v>
      </c>
      <c r="J21" s="84" t="s">
        <v>197</v>
      </c>
      <c r="K21" s="93" t="str">
        <f>VLOOKUP(I21,[6]stage_hints!$A:$C,3,FALSE)</f>
        <v>りんごを使って限界突破</v>
      </c>
      <c r="L21" s="94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7" t="s">
        <v>210</v>
      </c>
    </row>
    <row r="22" spans="1:13" x14ac:dyDescent="0.15">
      <c r="A22" s="81" t="s">
        <v>200</v>
      </c>
      <c r="B22" s="82">
        <f>floors!$C$2</f>
        <v>30040</v>
      </c>
      <c r="C22" s="83" t="str">
        <f ca="1">VLOOKUP($B22,OFFSET([2]quests!$A$1,0,0,COUNTA([2]quests!$A:$A),MATCH(C$1,[2]quests!$1:$1,0)-MATCH($B$1,[2]quests!$1:$1,0)+1),MATCH(C$1,[2]quests!$1:$1,0)-MATCH($B$1,[2]quests!$1:$1,0)+1,FALSE)</f>
        <v>闇ヨリ出ル魔獣</v>
      </c>
      <c r="D22" s="83" t="str">
        <f ca="1">VLOOKUP($B22,OFFSET([2]quests!$A$1,0,0,COUNTA([2]quests!$A:$A),MATCH(D$1,[2]quests!$1:$1,0)-MATCH($B$1,[2]quests!$1:$1,0)+1),MATCH(D$1,[2]quests!$1:$1,0)-MATCH($B$1,[2]quests!$1:$1,0)+1,FALSE)</f>
        <v>メソポタミア文明シリーズ超級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【中級】闇ヨリ出ル魔獣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2" s="85">
        <v>0</v>
      </c>
      <c r="I22">
        <v>25</v>
      </c>
      <c r="J22" s="84" t="s">
        <v>197</v>
      </c>
      <c r="K22" s="93" t="str">
        <f>VLOOKUP(I22,[6]stage_hints!$A:$C,3,FALSE)</f>
        <v>スキルレベルアップ</v>
      </c>
      <c r="L22" s="94" t="str">
        <f>VLOOKUP(I22,[6]stage_hints!$A:$D,4,FALSE)</f>
        <v>「クリスタルのりんご」を強化に使うと_x000D_スキルレベルを上げることができます</v>
      </c>
      <c r="M22" s="57" t="s">
        <v>210</v>
      </c>
    </row>
    <row r="23" spans="1:13" x14ac:dyDescent="0.15">
      <c r="A23" s="81" t="s">
        <v>200</v>
      </c>
      <c r="B23" s="82">
        <f>floors!$C$2</f>
        <v>30040</v>
      </c>
      <c r="C23" s="83" t="str">
        <f ca="1">VLOOKUP($B23,OFFSET([2]quests!$A$1,0,0,COUNTA([2]quests!$A:$A),MATCH(C$1,[2]quests!$1:$1,0)-MATCH($B$1,[2]quests!$1:$1,0)+1),MATCH(C$1,[2]quests!$1:$1,0)-MATCH($B$1,[2]quests!$1:$1,0)+1,FALSE)</f>
        <v>闇ヨリ出ル魔獣</v>
      </c>
      <c r="D23" s="83" t="str">
        <f ca="1">VLOOKUP($B23,OFFSET([2]quests!$A$1,0,0,COUNTA([2]quests!$A:$A),MATCH(D$1,[2]quests!$1:$1,0)-MATCH($B$1,[2]quests!$1:$1,0)+1),MATCH(D$1,[2]quests!$1:$1,0)-MATCH($B$1,[2]quests!$1:$1,0)+1,FALSE)</f>
        <v>メソポタミア文明シリーズ超級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【中級】闇ヨリ出ル魔獣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3" s="85">
        <v>0</v>
      </c>
      <c r="I23">
        <v>26</v>
      </c>
      <c r="J23" s="84" t="s">
        <v>197</v>
      </c>
      <c r="K23" s="93" t="str">
        <f>VLOOKUP(I23,[6]stage_hints!$A:$C,3,FALSE)</f>
        <v>スキルレベルの効果</v>
      </c>
      <c r="L23" s="94" t="str">
        <f>VLOOKUP(I23,[6]stage_hints!$A:$D,4,FALSE)</f>
        <v>スキルレベルが上がると_x000D_短いターンでスキルを使うことができます</v>
      </c>
      <c r="M23" s="57" t="s">
        <v>210</v>
      </c>
    </row>
    <row r="24" spans="1:13" x14ac:dyDescent="0.15">
      <c r="A24" s="81" t="s">
        <v>200</v>
      </c>
      <c r="B24" s="82">
        <f>floors!$C$2</f>
        <v>30040</v>
      </c>
      <c r="C24" s="83" t="str">
        <f ca="1">VLOOKUP($B24,OFFSET([2]quests!$A$1,0,0,COUNTA([2]quests!$A:$A),MATCH(C$1,[2]quests!$1:$1,0)-MATCH($B$1,[2]quests!$1:$1,0)+1),MATCH(C$1,[2]quests!$1:$1,0)-MATCH($B$1,[2]quests!$1:$1,0)+1,FALSE)</f>
        <v>闇ヨリ出ル魔獣</v>
      </c>
      <c r="D24" s="83" t="str">
        <f ca="1">VLOOKUP($B24,OFFSET([2]quests!$A$1,0,0,COUNTA([2]quests!$A:$A),MATCH(D$1,[2]quests!$1:$1,0)-MATCH($B$1,[2]quests!$1:$1,0)+1),MATCH(D$1,[2]quests!$1:$1,0)-MATCH($B$1,[2]quests!$1:$1,0)+1,FALSE)</f>
        <v>メソポタミア文明シリーズ超級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【中級】闇ヨリ出ル魔獣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4" s="85">
        <v>0</v>
      </c>
      <c r="I24">
        <v>27</v>
      </c>
      <c r="J24" s="84" t="s">
        <v>197</v>
      </c>
      <c r="K24" s="93" t="str">
        <f>VLOOKUP(I24,[6]stage_hints!$A:$C,3,FALSE)</f>
        <v>ホーム画面からデッキを編成</v>
      </c>
      <c r="L24" s="94" t="str">
        <f>VLOOKUP(I24,[6]stage_hints!$A:$D,4,FALSE)</f>
        <v>ホーム画面でユニットを長押しすると_x000D_すぐにパーティ編成に移動できます</v>
      </c>
      <c r="M24" s="57" t="s">
        <v>210</v>
      </c>
    </row>
    <row r="25" spans="1:13" x14ac:dyDescent="0.15">
      <c r="A25" s="81" t="s">
        <v>200</v>
      </c>
      <c r="B25" s="82">
        <f>floors!$C$2</f>
        <v>30040</v>
      </c>
      <c r="C25" s="83" t="str">
        <f ca="1">VLOOKUP($B25,OFFSET([2]quests!$A$1,0,0,COUNTA([2]quests!$A:$A),MATCH(C$1,[2]quests!$1:$1,0)-MATCH($B$1,[2]quests!$1:$1,0)+1),MATCH(C$1,[2]quests!$1:$1,0)-MATCH($B$1,[2]quests!$1:$1,0)+1,FALSE)</f>
        <v>闇ヨリ出ル魔獣</v>
      </c>
      <c r="D25" s="83" t="str">
        <f ca="1">VLOOKUP($B25,OFFSET([2]quests!$A$1,0,0,COUNTA([2]quests!$A:$A),MATCH(D$1,[2]quests!$1:$1,0)-MATCH($B$1,[2]quests!$1:$1,0)+1),MATCH(D$1,[2]quests!$1:$1,0)-MATCH($B$1,[2]quests!$1:$1,0)+1,FALSE)</f>
        <v>メソポタミア文明シリーズ超級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【中級】闇ヨリ出ル魔獣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5" s="85">
        <v>0</v>
      </c>
      <c r="I25">
        <v>28</v>
      </c>
      <c r="J25" s="84" t="s">
        <v>197</v>
      </c>
      <c r="K25" s="93" t="str">
        <f>VLOOKUP(I25,[6]stage_hints!$A:$C,3,FALSE)</f>
        <v>ステータス情報は長押しで</v>
      </c>
      <c r="L25" s="94" t="str">
        <f>VLOOKUP(I25,[6]stage_hints!$A:$D,4,FALSE)</f>
        <v>ユニットのアイコンを長押しすると_x000D_ステータス情報を確認することができます</v>
      </c>
      <c r="M25" s="57" t="s">
        <v>210</v>
      </c>
    </row>
    <row r="26" spans="1:13" x14ac:dyDescent="0.15">
      <c r="A26" s="81" t="s">
        <v>200</v>
      </c>
      <c r="B26" s="82">
        <f>floors!$C$2</f>
        <v>30040</v>
      </c>
      <c r="C26" s="83" t="str">
        <f ca="1">VLOOKUP($B26,OFFSET([2]quests!$A$1,0,0,COUNTA([2]quests!$A:$A),MATCH(C$1,[2]quests!$1:$1,0)-MATCH($B$1,[2]quests!$1:$1,0)+1),MATCH(C$1,[2]quests!$1:$1,0)-MATCH($B$1,[2]quests!$1:$1,0)+1,FALSE)</f>
        <v>闇ヨリ出ル魔獣</v>
      </c>
      <c r="D26" s="83" t="str">
        <f ca="1">VLOOKUP($B26,OFFSET([2]quests!$A$1,0,0,COUNTA([2]quests!$A:$A),MATCH(D$1,[2]quests!$1:$1,0)-MATCH($B$1,[2]quests!$1:$1,0)+1),MATCH(D$1,[2]quests!$1:$1,0)-MATCH($B$1,[2]quests!$1:$1,0)+1,FALSE)</f>
        <v>メソポタミア文明シリーズ超級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【中級】闇ヨリ出ル魔獣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6" s="85">
        <v>0</v>
      </c>
      <c r="I26">
        <v>29</v>
      </c>
      <c r="J26" s="84" t="s">
        <v>197</v>
      </c>
      <c r="K26" s="93" t="str">
        <f>VLOOKUP(I26,[6]stage_hints!$A:$C,3,FALSE)</f>
        <v>「バグ」のメリット</v>
      </c>
      <c r="L26" s="94" t="str">
        <f>VLOOKUP(I26,[6]stage_hints!$A:$D,4,FALSE)</f>
        <v>ユニットの「バグ」を増やすと_x000D_報酬をもらえる確率がアップします</v>
      </c>
      <c r="M26" s="57" t="s">
        <v>210</v>
      </c>
    </row>
    <row r="27" spans="1:13" x14ac:dyDescent="0.15">
      <c r="A27" s="81" t="s">
        <v>200</v>
      </c>
      <c r="B27" s="82">
        <f>floors!$C$2</f>
        <v>30040</v>
      </c>
      <c r="C27" s="83" t="str">
        <f ca="1">VLOOKUP($B27,OFFSET([2]quests!$A$1,0,0,COUNTA([2]quests!$A:$A),MATCH(C$1,[2]quests!$1:$1,0)-MATCH($B$1,[2]quests!$1:$1,0)+1),MATCH(C$1,[2]quests!$1:$1,0)-MATCH($B$1,[2]quests!$1:$1,0)+1,FALSE)</f>
        <v>闇ヨリ出ル魔獣</v>
      </c>
      <c r="D27" s="83" t="str">
        <f ca="1">VLOOKUP($B27,OFFSET([2]quests!$A$1,0,0,COUNTA([2]quests!$A:$A),MATCH(D$1,[2]quests!$1:$1,0)-MATCH($B$1,[2]quests!$1:$1,0)+1),MATCH(D$1,[2]quests!$1:$1,0)-MATCH($B$1,[2]quests!$1:$1,0)+1,FALSE)</f>
        <v>メソポタミア文明シリーズ超級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【中級】闇ヨリ出ル魔獣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7" s="85">
        <v>0</v>
      </c>
      <c r="I27">
        <v>30</v>
      </c>
      <c r="J27" s="84" t="s">
        <v>197</v>
      </c>
      <c r="K27" s="93" t="str">
        <f>VLOOKUP(I27,[6]stage_hints!$A:$C,3,FALSE)</f>
        <v>「バグ」の増やし方</v>
      </c>
      <c r="L27" s="94" t="str">
        <f>VLOOKUP(I27,[6]stage_hints!$A:$D,4,FALSE)</f>
        <v>同じユニット同士を強化で合成すると_x000D_「バグ」を増やすことができます</v>
      </c>
      <c r="M27" s="57" t="s">
        <v>210</v>
      </c>
    </row>
    <row r="28" spans="1:13" x14ac:dyDescent="0.15">
      <c r="A28" s="81" t="s">
        <v>200</v>
      </c>
      <c r="B28" s="82">
        <f>floors!$C$2</f>
        <v>30040</v>
      </c>
      <c r="C28" s="83" t="str">
        <f ca="1">VLOOKUP($B28,OFFSET([2]quests!$A$1,0,0,COUNTA([2]quests!$A:$A),MATCH(C$1,[2]quests!$1:$1,0)-MATCH($B$1,[2]quests!$1:$1,0)+1),MATCH(C$1,[2]quests!$1:$1,0)-MATCH($B$1,[2]quests!$1:$1,0)+1,FALSE)</f>
        <v>闇ヨリ出ル魔獣</v>
      </c>
      <c r="D28" s="83" t="str">
        <f ca="1">VLOOKUP($B28,OFFSET([2]quests!$A$1,0,0,COUNTA([2]quests!$A:$A),MATCH(D$1,[2]quests!$1:$1,0)-MATCH($B$1,[2]quests!$1:$1,0)+1),MATCH(D$1,[2]quests!$1:$1,0)-MATCH($B$1,[2]quests!$1:$1,0)+1,FALSE)</f>
        <v>メソポタミア文明シリーズ超級</v>
      </c>
      <c r="E28" s="87">
        <v>1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【中級】闇ヨリ出ル魔獣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8" s="85">
        <v>0</v>
      </c>
      <c r="I28">
        <v>31</v>
      </c>
      <c r="J28" s="84" t="s">
        <v>197</v>
      </c>
      <c r="K28" s="93" t="str">
        <f>VLOOKUP(I28,[6]stage_hints!$A:$C,3,FALSE)</f>
        <v>イベントはお知らせでチェック</v>
      </c>
      <c r="L28" s="94" t="str">
        <f>VLOOKUP(I28,[6]stage_hints!$A:$D,4,FALSE)</f>
        <v>イベント限定ユニットを取り忘れないように_x000D_お知らせをこまめにチェックしましょう</v>
      </c>
      <c r="M28" s="57" t="s">
        <v>210</v>
      </c>
    </row>
    <row r="29" spans="1:13" x14ac:dyDescent="0.15">
      <c r="A29" s="81" t="s">
        <v>200</v>
      </c>
      <c r="B29" s="82">
        <f>floors!$C$2</f>
        <v>30040</v>
      </c>
      <c r="C29" s="83" t="str">
        <f ca="1">VLOOKUP($B29,OFFSET([2]quests!$A$1,0,0,COUNTA([2]quests!$A:$A),MATCH(C$1,[2]quests!$1:$1,0)-MATCH($B$1,[2]quests!$1:$1,0)+1),MATCH(C$1,[2]quests!$1:$1,0)-MATCH($B$1,[2]quests!$1:$1,0)+1,FALSE)</f>
        <v>闇ヨリ出ル魔獣</v>
      </c>
      <c r="D29" s="83" t="str">
        <f ca="1">VLOOKUP($B29,OFFSET([2]quests!$A$1,0,0,COUNTA([2]quests!$A:$A),MATCH(D$1,[2]quests!$1:$1,0)-MATCH($B$1,[2]quests!$1:$1,0)+1),MATCH(D$1,[2]quests!$1:$1,0)-MATCH($B$1,[2]quests!$1:$1,0)+1,FALSE)</f>
        <v>メソポタミア文明シリーズ超級</v>
      </c>
      <c r="E29" s="87">
        <v>1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【中級】闇ヨリ出ル魔獣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9" s="85">
        <v>0</v>
      </c>
      <c r="I29">
        <v>32</v>
      </c>
      <c r="J29" s="84" t="s">
        <v>197</v>
      </c>
      <c r="K29" s="93" t="str">
        <f>VLOOKUP(I29,[6]stage_hints!$A:$C,3,FALSE)</f>
        <v>敵の連続攻撃には</v>
      </c>
      <c r="L29" s="94" t="str">
        <f>VLOOKUP(I29,[6]stage_hints!$A:$D,4,FALSE)</f>
        <v>カウンタースキルを持つユニットがいれば_x000D_ダメージ回数分の反撃ができます</v>
      </c>
      <c r="M29" s="57" t="s">
        <v>210</v>
      </c>
    </row>
    <row r="30" spans="1:13" x14ac:dyDescent="0.15">
      <c r="A30" s="81" t="s">
        <v>200</v>
      </c>
      <c r="B30" s="82">
        <f>floors!$C$2</f>
        <v>30040</v>
      </c>
      <c r="C30" s="83" t="str">
        <f ca="1">VLOOKUP($B30,OFFSET([2]quests!$A$1,0,0,COUNTA([2]quests!$A:$A),MATCH(C$1,[2]quests!$1:$1,0)-MATCH($B$1,[2]quests!$1:$1,0)+1),MATCH(C$1,[2]quests!$1:$1,0)-MATCH($B$1,[2]quests!$1:$1,0)+1,FALSE)</f>
        <v>闇ヨリ出ル魔獣</v>
      </c>
      <c r="D30" s="83" t="str">
        <f ca="1">VLOOKUP($B30,OFFSET([2]quests!$A$1,0,0,COUNTA([2]quests!$A:$A),MATCH(D$1,[2]quests!$1:$1,0)-MATCH($B$1,[2]quests!$1:$1,0)+1),MATCH(D$1,[2]quests!$1:$1,0)-MATCH($B$1,[2]quests!$1:$1,0)+1,FALSE)</f>
        <v>メソポタミア文明シリーズ超級</v>
      </c>
      <c r="E30" s="87">
        <v>1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【中級】闇ヨリ出ル魔獣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0" s="85">
        <v>0</v>
      </c>
      <c r="I30">
        <v>33</v>
      </c>
      <c r="J30" s="84" t="s">
        <v>197</v>
      </c>
      <c r="K30" s="93" t="str">
        <f>VLOOKUP(I30,[6]stage_hints!$A:$C,3,FALSE)</f>
        <v>敵のカウンター攻撃には</v>
      </c>
      <c r="L30" s="94" t="str">
        <f>VLOOKUP(I30,[6]stage_hints!$A:$D,4,FALSE)</f>
        <v>カウンターブレイクスキルを持っていれば_x000D_敵のカウンターを解除して攻撃ができます</v>
      </c>
      <c r="M30" s="57" t="s">
        <v>210</v>
      </c>
    </row>
    <row r="31" spans="1:13" x14ac:dyDescent="0.15">
      <c r="A31" s="81" t="s">
        <v>200</v>
      </c>
      <c r="B31" s="82">
        <f>floors!$C$2</f>
        <v>30040</v>
      </c>
      <c r="C31" s="83" t="str">
        <f ca="1">VLOOKUP($B31,OFFSET([2]quests!$A$1,0,0,COUNTA([2]quests!$A:$A),MATCH(C$1,[2]quests!$1:$1,0)-MATCH($B$1,[2]quests!$1:$1,0)+1),MATCH(C$1,[2]quests!$1:$1,0)-MATCH($B$1,[2]quests!$1:$1,0)+1,FALSE)</f>
        <v>闇ヨリ出ル魔獣</v>
      </c>
      <c r="D31" s="83" t="str">
        <f ca="1">VLOOKUP($B31,OFFSET([2]quests!$A$1,0,0,COUNTA([2]quests!$A:$A),MATCH(D$1,[2]quests!$1:$1,0)-MATCH($B$1,[2]quests!$1:$1,0)+1),MATCH(D$1,[2]quests!$1:$1,0)-MATCH($B$1,[2]quests!$1:$1,0)+1,FALSE)</f>
        <v>メソポタミア文明シリーズ超級</v>
      </c>
      <c r="E31" s="87">
        <v>1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【中級】闇ヨリ出ル魔獣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1" s="85">
        <v>0</v>
      </c>
      <c r="I31">
        <v>34</v>
      </c>
      <c r="J31" s="84" t="s">
        <v>197</v>
      </c>
      <c r="K31" s="93" t="str">
        <f>VLOOKUP(I31,[6]stage_hints!$A:$C,3,FALSE)</f>
        <v>ステータスをスキルで下げられたら</v>
      </c>
      <c r="L31" s="94" t="str">
        <f>VLOOKUP(I31,[6]stage_hints!$A:$D,4,FALSE)</f>
        <v>ステータスダウンのスキルを受けたら_x000D_ステータスアップスキルで上書きしましょう</v>
      </c>
      <c r="M31" s="57" t="s">
        <v>210</v>
      </c>
    </row>
    <row r="32" spans="1:13" x14ac:dyDescent="0.15">
      <c r="A32" s="81" t="s">
        <v>200</v>
      </c>
      <c r="B32" s="82">
        <f>floors!$C$2</f>
        <v>30040</v>
      </c>
      <c r="C32" s="83" t="str">
        <f ca="1">VLOOKUP($B32,OFFSET([2]quests!$A$1,0,0,COUNTA([2]quests!$A:$A),MATCH(C$1,[2]quests!$1:$1,0)-MATCH($B$1,[2]quests!$1:$1,0)+1),MATCH(C$1,[2]quests!$1:$1,0)-MATCH($B$1,[2]quests!$1:$1,0)+1,FALSE)</f>
        <v>闇ヨリ出ル魔獣</v>
      </c>
      <c r="D32" s="83" t="str">
        <f ca="1">VLOOKUP($B32,OFFSET([2]quests!$A$1,0,0,COUNTA([2]quests!$A:$A),MATCH(D$1,[2]quests!$1:$1,0)-MATCH($B$1,[2]quests!$1:$1,0)+1),MATCH(D$1,[2]quests!$1:$1,0)-MATCH($B$1,[2]quests!$1:$1,0)+1,FALSE)</f>
        <v>メソポタミア文明シリーズ超級</v>
      </c>
      <c r="E32" s="87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【中級】闇ヨリ出ル魔獣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2" s="85">
        <v>0</v>
      </c>
      <c r="I32">
        <v>35</v>
      </c>
      <c r="J32" s="84" t="s">
        <v>197</v>
      </c>
      <c r="K32" s="93" t="str">
        <f>VLOOKUP(I32,[6]stage_hints!$A:$C,3,FALSE)</f>
        <v>敵のステータスがスキルで上がったら</v>
      </c>
      <c r="L32" s="94" t="str">
        <f>VLOOKUP(I32,[6]stage_hints!$A:$D,4,FALSE)</f>
        <v>敵のステータスがスキルでアップしたときは_x000D_ステータスダウンスキルで上書きしましょう</v>
      </c>
      <c r="M32" s="57" t="s">
        <v>210</v>
      </c>
    </row>
    <row r="33" spans="1:13" x14ac:dyDescent="0.15">
      <c r="A33" s="81" t="s">
        <v>200</v>
      </c>
      <c r="B33" s="82">
        <f>floors!$C$2</f>
        <v>30040</v>
      </c>
      <c r="C33" s="83" t="str">
        <f ca="1">VLOOKUP($B33,OFFSET([2]quests!$A$1,0,0,COUNTA([2]quests!$A:$A),MATCH(C$1,[2]quests!$1:$1,0)-MATCH($B$1,[2]quests!$1:$1,0)+1),MATCH(C$1,[2]quests!$1:$1,0)-MATCH($B$1,[2]quests!$1:$1,0)+1,FALSE)</f>
        <v>闇ヨリ出ル魔獣</v>
      </c>
      <c r="D33" s="83" t="str">
        <f ca="1">VLOOKUP($B33,OFFSET([2]quests!$A$1,0,0,COUNTA([2]quests!$A:$A),MATCH(D$1,[2]quests!$1:$1,0)-MATCH($B$1,[2]quests!$1:$1,0)+1),MATCH(D$1,[2]quests!$1:$1,0)-MATCH($B$1,[2]quests!$1:$1,0)+1,FALSE)</f>
        <v>メソポタミア文明シリーズ超級</v>
      </c>
      <c r="E33" s="87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【中級】闇ヨリ出ル魔獣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3" s="85">
        <v>0</v>
      </c>
      <c r="I33">
        <v>39</v>
      </c>
      <c r="J33" s="84" t="s">
        <v>197</v>
      </c>
      <c r="K33" s="93" t="str">
        <f>VLOOKUP(I33,[6]stage_hints!$A:$C,3,FALSE)</f>
        <v>システム適合者を確認</v>
      </c>
      <c r="L33" s="94" t="str">
        <f>VLOOKUP(I33,[6]stage_hints!$A:$D,4,FALSE)</f>
        <v>ALICEが 「アナタ」を呼んでいます</v>
      </c>
      <c r="M33" s="57" t="s">
        <v>210</v>
      </c>
    </row>
    <row r="34" spans="1:13" x14ac:dyDescent="0.15">
      <c r="A34" s="81" t="s">
        <v>200</v>
      </c>
      <c r="B34" s="82">
        <f>floors!$C$2</f>
        <v>30040</v>
      </c>
      <c r="C34" s="83" t="str">
        <f ca="1">VLOOKUP($B34,OFFSET([2]quests!$A$1,0,0,COUNTA([2]quests!$A:$A),MATCH(C$1,[2]quests!$1:$1,0)-MATCH($B$1,[2]quests!$1:$1,0)+1),MATCH(C$1,[2]quests!$1:$1,0)-MATCH($B$1,[2]quests!$1:$1,0)+1,FALSE)</f>
        <v>闇ヨリ出ル魔獣</v>
      </c>
      <c r="D34" s="83" t="str">
        <f ca="1">VLOOKUP($B34,OFFSET([2]quests!$A$1,0,0,COUNTA([2]quests!$A:$A),MATCH(D$1,[2]quests!$1:$1,0)-MATCH($B$1,[2]quests!$1:$1,0)+1),MATCH(D$1,[2]quests!$1:$1,0)-MATCH($B$1,[2]quests!$1:$1,0)+1,FALSE)</f>
        <v>メソポタミア文明シリーズ超級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【上級】闇ヨリ出ル魔獣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4" s="85">
        <v>0</v>
      </c>
      <c r="I34" s="96">
        <v>3</v>
      </c>
      <c r="J34" s="84" t="s">
        <v>197</v>
      </c>
      <c r="K34" s="93" t="str">
        <f>VLOOKUP(I34,[6]stage_hints!$A:$C,3,FALSE)</f>
        <v>ターゲット</v>
      </c>
      <c r="L34" s="94" t="str">
        <f>VLOOKUP(I34,[6]stage_hints!$A:$D,4,FALSE)</f>
        <v>敵ユニットをタップすると_x000D_その敵を狙い撃ちできます</v>
      </c>
      <c r="M34" s="57" t="s">
        <v>210</v>
      </c>
    </row>
    <row r="35" spans="1:13" x14ac:dyDescent="0.15">
      <c r="A35" s="81" t="s">
        <v>200</v>
      </c>
      <c r="B35" s="82">
        <f>floors!$C$2</f>
        <v>30040</v>
      </c>
      <c r="C35" s="83" t="str">
        <f ca="1">VLOOKUP($B35,OFFSET([2]quests!$A$1,0,0,COUNTA([2]quests!$A:$A),MATCH(C$1,[2]quests!$1:$1,0)-MATCH($B$1,[2]quests!$1:$1,0)+1),MATCH(C$1,[2]quests!$1:$1,0)-MATCH($B$1,[2]quests!$1:$1,0)+1,FALSE)</f>
        <v>闇ヨリ出ル魔獣</v>
      </c>
      <c r="D35" s="83" t="str">
        <f ca="1">VLOOKUP($B35,OFFSET([2]quests!$A$1,0,0,COUNTA([2]quests!$A:$A),MATCH(D$1,[2]quests!$1:$1,0)-MATCH($B$1,[2]quests!$1:$1,0)+1),MATCH(D$1,[2]quests!$1:$1,0)-MATCH($B$1,[2]quests!$1:$1,0)+1,FALSE)</f>
        <v>メソポタミア文明シリーズ超級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【上級】闇ヨリ出ル魔獣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5" s="85">
        <v>0</v>
      </c>
      <c r="I35" s="96">
        <v>6</v>
      </c>
      <c r="J35" s="84" t="s">
        <v>197</v>
      </c>
      <c r="K35" s="93" t="str">
        <f>VLOOKUP(I35,[6]stage_hints!$A:$C,3,FALSE)</f>
        <v>ユニット強化の属性ボーナス</v>
      </c>
      <c r="L35" s="94" t="str">
        <f>VLOOKUP(I35,[6]stage_hints!$A:$D,4,FALSE)</f>
        <v>同属性ユニットを強化素材にすると_x000D_経験値が多くもらえます</v>
      </c>
      <c r="M35" s="57" t="s">
        <v>210</v>
      </c>
    </row>
    <row r="36" spans="1:13" x14ac:dyDescent="0.15">
      <c r="A36" s="81" t="s">
        <v>200</v>
      </c>
      <c r="B36" s="82">
        <f>floors!$C$2</f>
        <v>30040</v>
      </c>
      <c r="C36" s="83" t="str">
        <f ca="1">VLOOKUP($B36,OFFSET([2]quests!$A$1,0,0,COUNTA([2]quests!$A:$A),MATCH(C$1,[2]quests!$1:$1,0)-MATCH($B$1,[2]quests!$1:$1,0)+1),MATCH(C$1,[2]quests!$1:$1,0)-MATCH($B$1,[2]quests!$1:$1,0)+1,FALSE)</f>
        <v>闇ヨリ出ル魔獣</v>
      </c>
      <c r="D36" s="83" t="str">
        <f ca="1">VLOOKUP($B36,OFFSET([2]quests!$A$1,0,0,COUNTA([2]quests!$A:$A),MATCH(D$1,[2]quests!$1:$1,0)-MATCH($B$1,[2]quests!$1:$1,0)+1),MATCH(D$1,[2]quests!$1:$1,0)-MATCH($B$1,[2]quests!$1:$1,0)+1,FALSE)</f>
        <v>メソポタミア文明シリーズ超級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【上級】闇ヨリ出ル魔獣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6" s="85">
        <v>0</v>
      </c>
      <c r="I36" s="96">
        <v>7</v>
      </c>
      <c r="J36" s="84" t="s">
        <v>197</v>
      </c>
      <c r="K36" s="93" t="str">
        <f>VLOOKUP(I36,[6]stage_hints!$A:$C,3,FALSE)</f>
        <v>メタルダックで経験値を獲得</v>
      </c>
      <c r="L36" s="94" t="str">
        <f>VLOOKUP(I36,[6]stage_hints!$A:$D,4,FALSE)</f>
        <v>「メタルなアヒル」を強化素材にすると_x000D_大量の経験値がもらえます</v>
      </c>
      <c r="M36" s="57" t="s">
        <v>210</v>
      </c>
    </row>
    <row r="37" spans="1:13" x14ac:dyDescent="0.15">
      <c r="A37" s="81" t="s">
        <v>200</v>
      </c>
      <c r="B37" s="82">
        <f>floors!$C$2</f>
        <v>30040</v>
      </c>
      <c r="C37" s="83" t="str">
        <f ca="1">VLOOKUP($B37,OFFSET([2]quests!$A$1,0,0,COUNTA([2]quests!$A:$A),MATCH(C$1,[2]quests!$1:$1,0)-MATCH($B$1,[2]quests!$1:$1,0)+1),MATCH(C$1,[2]quests!$1:$1,0)-MATCH($B$1,[2]quests!$1:$1,0)+1,FALSE)</f>
        <v>闇ヨリ出ル魔獣</v>
      </c>
      <c r="D37" s="83" t="str">
        <f ca="1">VLOOKUP($B37,OFFSET([2]quests!$A$1,0,0,COUNTA([2]quests!$A:$A),MATCH(D$1,[2]quests!$1:$1,0)-MATCH($B$1,[2]quests!$1:$1,0)+1),MATCH(D$1,[2]quests!$1:$1,0)-MATCH($B$1,[2]quests!$1:$1,0)+1,FALSE)</f>
        <v>メソポタミア文明シリーズ超級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【上級】闇ヨリ出ル魔獣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7" s="85">
        <v>0</v>
      </c>
      <c r="I37" s="96">
        <v>8</v>
      </c>
      <c r="J37" s="84" t="s">
        <v>197</v>
      </c>
      <c r="K37" s="93" t="str">
        <f>VLOOKUP(I37,[6]stage_hints!$A:$C,3,FALSE)</f>
        <v>ゲリラクエストは要チェック</v>
      </c>
      <c r="L37" s="94" t="str">
        <f>VLOOKUP(I37,[6]stage_hints!$A:$D,4,FALSE)</f>
        <v>時間限定の「アヒル捕獲作戦」では_x000D_経験値素材ユニットが多く手に入ります</v>
      </c>
      <c r="M37" s="57" t="s">
        <v>210</v>
      </c>
    </row>
    <row r="38" spans="1:13" x14ac:dyDescent="0.15">
      <c r="A38" s="81" t="s">
        <v>200</v>
      </c>
      <c r="B38" s="82">
        <f>floors!$C$2</f>
        <v>30040</v>
      </c>
      <c r="C38" s="83" t="str">
        <f ca="1">VLOOKUP($B38,OFFSET([2]quests!$A$1,0,0,COUNTA([2]quests!$A:$A),MATCH(C$1,[2]quests!$1:$1,0)-MATCH($B$1,[2]quests!$1:$1,0)+1),MATCH(C$1,[2]quests!$1:$1,0)-MATCH($B$1,[2]quests!$1:$1,0)+1,FALSE)</f>
        <v>闇ヨリ出ル魔獣</v>
      </c>
      <c r="D38" s="83" t="str">
        <f ca="1">VLOOKUP($B38,OFFSET([2]quests!$A$1,0,0,COUNTA([2]quests!$A:$A),MATCH(D$1,[2]quests!$1:$1,0)-MATCH($B$1,[2]quests!$1:$1,0)+1),MATCH(D$1,[2]quests!$1:$1,0)-MATCH($B$1,[2]quests!$1:$1,0)+1,FALSE)</f>
        <v>メソポタミア文明シリーズ超級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【上級】闇ヨリ出ル魔獣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8" s="85">
        <v>0</v>
      </c>
      <c r="I38" s="96">
        <v>9</v>
      </c>
      <c r="J38" s="84" t="s">
        <v>197</v>
      </c>
      <c r="K38" s="93" t="str">
        <f>VLOOKUP(I38,[6]stage_hints!$A:$C,3,FALSE)</f>
        <v>ゴールドダックでビットを獲得</v>
      </c>
      <c r="L38" s="94" t="str">
        <f>VLOOKUP(I38,[6]stage_hints!$A:$D,4,FALSE)</f>
        <v>「ゴールドなアヒル」を売却すると_x000D_大量のビットがもらえます</v>
      </c>
      <c r="M38" s="57" t="s">
        <v>210</v>
      </c>
    </row>
    <row r="39" spans="1:13" x14ac:dyDescent="0.15">
      <c r="A39" s="81" t="s">
        <v>200</v>
      </c>
      <c r="B39" s="82">
        <f>floors!$C$2</f>
        <v>30040</v>
      </c>
      <c r="C39" s="83" t="str">
        <f ca="1">VLOOKUP($B39,OFFSET([2]quests!$A$1,0,0,COUNTA([2]quests!$A:$A),MATCH(C$1,[2]quests!$1:$1,0)-MATCH($B$1,[2]quests!$1:$1,0)+1),MATCH(C$1,[2]quests!$1:$1,0)-MATCH($B$1,[2]quests!$1:$1,0)+1,FALSE)</f>
        <v>闇ヨリ出ル魔獣</v>
      </c>
      <c r="D39" s="83" t="str">
        <f ca="1">VLOOKUP($B39,OFFSET([2]quests!$A$1,0,0,COUNTA([2]quests!$A:$A),MATCH(D$1,[2]quests!$1:$1,0)-MATCH($B$1,[2]quests!$1:$1,0)+1),MATCH(D$1,[2]quests!$1:$1,0)-MATCH($B$1,[2]quests!$1:$1,0)+1,FALSE)</f>
        <v>メソポタミア文明シリーズ超級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【上級】闇ヨリ出ル魔獣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9" s="85">
        <v>0</v>
      </c>
      <c r="I39" s="96">
        <v>10</v>
      </c>
      <c r="J39" s="84" t="s">
        <v>197</v>
      </c>
      <c r="K39" s="93" t="str">
        <f>VLOOKUP(I39,[6]stage_hints!$A:$C,3,FALSE)</f>
        <v>土日に大量のビットを獲得</v>
      </c>
      <c r="L39" s="94" t="str">
        <f>VLOOKUP(I39,[6]stage_hints!$A:$D,4,FALSE)</f>
        <v>土日限定の「ゴールドカジノ」では_x000D_売却素材ユニットが多く手に入ります</v>
      </c>
      <c r="M39" s="57" t="s">
        <v>210</v>
      </c>
    </row>
    <row r="40" spans="1:13" x14ac:dyDescent="0.15">
      <c r="A40" s="81" t="s">
        <v>200</v>
      </c>
      <c r="B40" s="82">
        <f>floors!$C$2</f>
        <v>30040</v>
      </c>
      <c r="C40" s="83" t="str">
        <f ca="1">VLOOKUP($B40,OFFSET([2]quests!$A$1,0,0,COUNTA([2]quests!$A:$A),MATCH(C$1,[2]quests!$1:$1,0)-MATCH($B$1,[2]quests!$1:$1,0)+1),MATCH(C$1,[2]quests!$1:$1,0)-MATCH($B$1,[2]quests!$1:$1,0)+1,FALSE)</f>
        <v>闇ヨリ出ル魔獣</v>
      </c>
      <c r="D40" s="83" t="str">
        <f ca="1">VLOOKUP($B40,OFFSET([2]quests!$A$1,0,0,COUNTA([2]quests!$A:$A),MATCH(D$1,[2]quests!$1:$1,0)-MATCH($B$1,[2]quests!$1:$1,0)+1),MATCH(D$1,[2]quests!$1:$1,0)-MATCH($B$1,[2]quests!$1:$1,0)+1,FALSE)</f>
        <v>メソポタミア文明シリーズ超級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【上級】闇ヨリ出ル魔獣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0" s="85">
        <v>0</v>
      </c>
      <c r="I40" s="96">
        <v>11</v>
      </c>
      <c r="J40" s="84" t="s">
        <v>197</v>
      </c>
      <c r="K40" s="93" t="str">
        <f>VLOOKUP(I40,[6]stage_hints!$A:$C,3,FALSE)</f>
        <v>ランク解放クエスト</v>
      </c>
      <c r="L40" s="94" t="str">
        <f>VLOOKUP(I40,[6]stage_hints!$A:$D,4,FALSE)</f>
        <v>一定ランクに到達すると_x000D_報酬付きのランク開放クエストが現れます</v>
      </c>
      <c r="M40" s="57" t="s">
        <v>210</v>
      </c>
    </row>
    <row r="41" spans="1:13" x14ac:dyDescent="0.15">
      <c r="A41" s="81" t="s">
        <v>200</v>
      </c>
      <c r="B41" s="82">
        <f>floors!$C$2</f>
        <v>30040</v>
      </c>
      <c r="C41" s="83" t="str">
        <f ca="1">VLOOKUP($B41,OFFSET([2]quests!$A$1,0,0,COUNTA([2]quests!$A:$A),MATCH(C$1,[2]quests!$1:$1,0)-MATCH($B$1,[2]quests!$1:$1,0)+1),MATCH(C$1,[2]quests!$1:$1,0)-MATCH($B$1,[2]quests!$1:$1,0)+1,FALSE)</f>
        <v>闇ヨリ出ル魔獣</v>
      </c>
      <c r="D41" s="83" t="str">
        <f ca="1">VLOOKUP($B41,OFFSET([2]quests!$A$1,0,0,COUNTA([2]quests!$A:$A),MATCH(D$1,[2]quests!$1:$1,0)-MATCH($B$1,[2]quests!$1:$1,0)+1),MATCH(D$1,[2]quests!$1:$1,0)-MATCH($B$1,[2]quests!$1:$1,0)+1,FALSE)</f>
        <v>メソポタミア文明シリーズ超級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【上級】闇ヨリ出ル魔獣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1" s="85">
        <v>0</v>
      </c>
      <c r="I41" s="96">
        <v>12</v>
      </c>
      <c r="J41" s="84" t="s">
        <v>197</v>
      </c>
      <c r="K41" s="93" t="str">
        <f>VLOOKUP(I41,[6]stage_hints!$A:$C,3,FALSE)</f>
        <v>ユニットのお気に入り登録</v>
      </c>
      <c r="L41" s="94" t="str">
        <f>VLOOKUP(I41,[6]stage_hints!$A:$D,4,FALSE)</f>
        <v>大事なユニットを誤って消さないように_x000D_フォルダから「お気に入り登録」しましょう</v>
      </c>
      <c r="M41" s="57" t="s">
        <v>210</v>
      </c>
    </row>
    <row r="42" spans="1:13" x14ac:dyDescent="0.15">
      <c r="A42" s="81" t="s">
        <v>200</v>
      </c>
      <c r="B42" s="82">
        <f>floors!$C$2</f>
        <v>30040</v>
      </c>
      <c r="C42" s="83" t="str">
        <f ca="1">VLOOKUP($B42,OFFSET([2]quests!$A$1,0,0,COUNTA([2]quests!$A:$A),MATCH(C$1,[2]quests!$1:$1,0)-MATCH($B$1,[2]quests!$1:$1,0)+1),MATCH(C$1,[2]quests!$1:$1,0)-MATCH($B$1,[2]quests!$1:$1,0)+1,FALSE)</f>
        <v>闇ヨリ出ル魔獣</v>
      </c>
      <c r="D42" s="83" t="str">
        <f ca="1">VLOOKUP($B42,OFFSET([2]quests!$A$1,0,0,COUNTA([2]quests!$A:$A),MATCH(D$1,[2]quests!$1:$1,0)-MATCH($B$1,[2]quests!$1:$1,0)+1),MATCH(D$1,[2]quests!$1:$1,0)-MATCH($B$1,[2]quests!$1:$1,0)+1,FALSE)</f>
        <v>メソポタミア文明シリーズ超級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【上級】闇ヨリ出ル魔獣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2" s="85">
        <v>0</v>
      </c>
      <c r="I42" s="96">
        <v>13</v>
      </c>
      <c r="J42" s="84" t="s">
        <v>197</v>
      </c>
      <c r="K42" s="93" t="str">
        <f>VLOOKUP(I42,[6]stage_hints!$A:$C,3,FALSE)</f>
        <v>ユニットの覚醒</v>
      </c>
      <c r="L42" s="94" t="str">
        <f>VLOOKUP(I42,[6]stage_hints!$A:$D,4,FALSE)</f>
        <v>ユニットを覚醒させると_x000D_比べものにならない強さが手に入ります</v>
      </c>
      <c r="M42" s="57" t="s">
        <v>210</v>
      </c>
    </row>
    <row r="43" spans="1:13" x14ac:dyDescent="0.15">
      <c r="A43" s="81" t="s">
        <v>200</v>
      </c>
      <c r="B43" s="82">
        <f>floors!$C$2</f>
        <v>30040</v>
      </c>
      <c r="C43" s="83" t="str">
        <f ca="1">VLOOKUP($B43,OFFSET([2]quests!$A$1,0,0,COUNTA([2]quests!$A:$A),MATCH(C$1,[2]quests!$1:$1,0)-MATCH($B$1,[2]quests!$1:$1,0)+1),MATCH(C$1,[2]quests!$1:$1,0)-MATCH($B$1,[2]quests!$1:$1,0)+1,FALSE)</f>
        <v>闇ヨリ出ル魔獣</v>
      </c>
      <c r="D43" s="83" t="str">
        <f ca="1">VLOOKUP($B43,OFFSET([2]quests!$A$1,0,0,COUNTA([2]quests!$A:$A),MATCH(D$1,[2]quests!$1:$1,0)-MATCH($B$1,[2]quests!$1:$1,0)+1),MATCH(D$1,[2]quests!$1:$1,0)-MATCH($B$1,[2]quests!$1:$1,0)+1,FALSE)</f>
        <v>メソポタミア文明シリーズ超級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【上級】闇ヨリ出ル魔獣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3" s="85">
        <v>0</v>
      </c>
      <c r="I43" s="96">
        <v>14</v>
      </c>
      <c r="J43" s="84" t="s">
        <v>197</v>
      </c>
      <c r="K43" s="93" t="str">
        <f>VLOOKUP(I43,[6]stage_hints!$A:$C,3,FALSE)</f>
        <v>覚醒するにはレベルを最大に</v>
      </c>
      <c r="L43" s="94" t="str">
        <f>VLOOKUP(I43,[6]stage_hints!$A:$D,4,FALSE)</f>
        <v>覚醒するにはユニットのレベルを_x000D_最大まで上げる必要があります</v>
      </c>
      <c r="M43" s="57" t="s">
        <v>210</v>
      </c>
    </row>
    <row r="44" spans="1:13" x14ac:dyDescent="0.15">
      <c r="A44" s="81" t="s">
        <v>200</v>
      </c>
      <c r="B44" s="82">
        <f>floors!$C$2</f>
        <v>30040</v>
      </c>
      <c r="C44" s="83" t="str">
        <f ca="1">VLOOKUP($B44,OFFSET([2]quests!$A$1,0,0,COUNTA([2]quests!$A:$A),MATCH(C$1,[2]quests!$1:$1,0)-MATCH($B$1,[2]quests!$1:$1,0)+1),MATCH(C$1,[2]quests!$1:$1,0)-MATCH($B$1,[2]quests!$1:$1,0)+1,FALSE)</f>
        <v>闇ヨリ出ル魔獣</v>
      </c>
      <c r="D44" s="83" t="str">
        <f ca="1">VLOOKUP($B44,OFFSET([2]quests!$A$1,0,0,COUNTA([2]quests!$A:$A),MATCH(D$1,[2]quests!$1:$1,0)-MATCH($B$1,[2]quests!$1:$1,0)+1),MATCH(D$1,[2]quests!$1:$1,0)-MATCH($B$1,[2]quests!$1:$1,0)+1,FALSE)</f>
        <v>メソポタミア文明シリーズ超級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【上級】闇ヨリ出ル魔獣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4" s="85">
        <v>0</v>
      </c>
      <c r="I44" s="96">
        <v>15</v>
      </c>
      <c r="J44" s="84" t="s">
        <v>197</v>
      </c>
      <c r="K44" s="93" t="str">
        <f>VLOOKUP(I44,[6]stage_hints!$A:$C,3,FALSE)</f>
        <v>覚醒素材を獲得</v>
      </c>
      <c r="L44" s="94" t="str">
        <f>VLOOKUP(I44,[6]stage_hints!$A:$D,4,FALSE)</f>
        <v>「曜日クエスト」では_x000D_ユニットの覚醒に必要な素材が手に入ります</v>
      </c>
      <c r="M44" s="57" t="s">
        <v>210</v>
      </c>
    </row>
    <row r="45" spans="1:13" x14ac:dyDescent="0.15">
      <c r="A45" s="81" t="s">
        <v>200</v>
      </c>
      <c r="B45" s="82">
        <f>floors!$C$2</f>
        <v>30040</v>
      </c>
      <c r="C45" s="83" t="str">
        <f ca="1">VLOOKUP($B45,OFFSET([2]quests!$A$1,0,0,COUNTA([2]quests!$A:$A),MATCH(C$1,[2]quests!$1:$1,0)-MATCH($B$1,[2]quests!$1:$1,0)+1),MATCH(C$1,[2]quests!$1:$1,0)-MATCH($B$1,[2]quests!$1:$1,0)+1,FALSE)</f>
        <v>闇ヨリ出ル魔獣</v>
      </c>
      <c r="D45" s="83" t="str">
        <f ca="1">VLOOKUP($B45,OFFSET([2]quests!$A$1,0,0,COUNTA([2]quests!$A:$A),MATCH(D$1,[2]quests!$1:$1,0)-MATCH($B$1,[2]quests!$1:$1,0)+1),MATCH(D$1,[2]quests!$1:$1,0)-MATCH($B$1,[2]quests!$1:$1,0)+1,FALSE)</f>
        <v>メソポタミア文明シリーズ超級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【上級】闇ヨリ出ル魔獣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5" s="85">
        <v>0</v>
      </c>
      <c r="I45" s="96">
        <v>16</v>
      </c>
      <c r="J45" s="84" t="s">
        <v>197</v>
      </c>
      <c r="K45" s="93" t="str">
        <f>VLOOKUP(I45,[6]stage_hints!$A:$C,3,FALSE)</f>
        <v>マルチプレイのメリット（その1）</v>
      </c>
      <c r="L45" s="94" t="str">
        <f>VLOOKUP(I45,[6]stage_hints!$A:$D,4,FALSE)</f>
        <v>他のプレイヤーとマルチプレイで遊ぶと_x000D_ポリゴンがもらえます（100人まで）</v>
      </c>
      <c r="M45" s="57" t="s">
        <v>210</v>
      </c>
    </row>
    <row r="46" spans="1:13" x14ac:dyDescent="0.15">
      <c r="A46" s="81" t="s">
        <v>200</v>
      </c>
      <c r="B46" s="82">
        <f>floors!$C$2</f>
        <v>30040</v>
      </c>
      <c r="C46" s="83" t="str">
        <f ca="1">VLOOKUP($B46,OFFSET([2]quests!$A$1,0,0,COUNTA([2]quests!$A:$A),MATCH(C$1,[2]quests!$1:$1,0)-MATCH($B$1,[2]quests!$1:$1,0)+1),MATCH(C$1,[2]quests!$1:$1,0)-MATCH($B$1,[2]quests!$1:$1,0)+1,FALSE)</f>
        <v>闇ヨリ出ル魔獣</v>
      </c>
      <c r="D46" s="83" t="str">
        <f ca="1">VLOOKUP($B46,OFFSET([2]quests!$A$1,0,0,COUNTA([2]quests!$A:$A),MATCH(D$1,[2]quests!$1:$1,0)-MATCH($B$1,[2]quests!$1:$1,0)+1),MATCH(D$1,[2]quests!$1:$1,0)-MATCH($B$1,[2]quests!$1:$1,0)+1,FALSE)</f>
        <v>メソポタミア文明シリーズ超級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【上級】闇ヨリ出ル魔獣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6" s="85">
        <v>0</v>
      </c>
      <c r="I46" s="96">
        <v>17</v>
      </c>
      <c r="J46" s="84" t="s">
        <v>197</v>
      </c>
      <c r="K46" s="93" t="str">
        <f>VLOOKUP(I46,[6]stage_hints!$A:$C,3,FALSE)</f>
        <v>リンクガチャ</v>
      </c>
      <c r="L46" s="94" t="str">
        <f>VLOOKUP(I46,[6]stage_hints!$A:$D,4,FALSE)</f>
        <v>無料のリンクガチャを回して_x000D_経験値素材や売却素材を獲得しましょう</v>
      </c>
      <c r="M46" s="57" t="s">
        <v>210</v>
      </c>
    </row>
    <row r="47" spans="1:13" x14ac:dyDescent="0.15">
      <c r="A47" s="81" t="s">
        <v>200</v>
      </c>
      <c r="B47" s="82">
        <f>floors!$C$2</f>
        <v>30040</v>
      </c>
      <c r="C47" s="83" t="str">
        <f ca="1">VLOOKUP($B47,OFFSET([2]quests!$A$1,0,0,COUNTA([2]quests!$A:$A),MATCH(C$1,[2]quests!$1:$1,0)-MATCH($B$1,[2]quests!$1:$1,0)+1),MATCH(C$1,[2]quests!$1:$1,0)-MATCH($B$1,[2]quests!$1:$1,0)+1,FALSE)</f>
        <v>闇ヨリ出ル魔獣</v>
      </c>
      <c r="D47" s="83" t="str">
        <f ca="1">VLOOKUP($B47,OFFSET([2]quests!$A$1,0,0,COUNTA([2]quests!$A:$A),MATCH(D$1,[2]quests!$1:$1,0)-MATCH($B$1,[2]quests!$1:$1,0)+1),MATCH(D$1,[2]quests!$1:$1,0)-MATCH($B$1,[2]quests!$1:$1,0)+1,FALSE)</f>
        <v>メソポタミア文明シリーズ超級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【上級】闇ヨリ出ル魔獣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7" s="85">
        <v>0</v>
      </c>
      <c r="I47" s="96">
        <v>18</v>
      </c>
      <c r="J47" s="84" t="s">
        <v>197</v>
      </c>
      <c r="K47" s="93" t="str">
        <f>VLOOKUP(I47,[6]stage_hints!$A:$C,3,FALSE)</f>
        <v>マルチプレイのメリット（その2）</v>
      </c>
      <c r="L47" s="94" t="str">
        <f>VLOOKUP(I47,[6]stage_hints!$A:$D,4,FALSE)</f>
        <v>マルチプレイならリンクが2倍もらえます_x000D_リンクガチャをたくさん回しましょう</v>
      </c>
      <c r="M47" s="57" t="s">
        <v>210</v>
      </c>
    </row>
    <row r="48" spans="1:13" x14ac:dyDescent="0.15">
      <c r="A48" s="81" t="s">
        <v>200</v>
      </c>
      <c r="B48" s="82">
        <f>floors!$C$2</f>
        <v>30040</v>
      </c>
      <c r="C48" s="83" t="str">
        <f ca="1">VLOOKUP($B48,OFFSET([2]quests!$A$1,0,0,COUNTA([2]quests!$A:$A),MATCH(C$1,[2]quests!$1:$1,0)-MATCH($B$1,[2]quests!$1:$1,0)+1),MATCH(C$1,[2]quests!$1:$1,0)-MATCH($B$1,[2]quests!$1:$1,0)+1,FALSE)</f>
        <v>闇ヨリ出ル魔獣</v>
      </c>
      <c r="D48" s="83" t="str">
        <f ca="1">VLOOKUP($B48,OFFSET([2]quests!$A$1,0,0,COUNTA([2]quests!$A:$A),MATCH(D$1,[2]quests!$1:$1,0)-MATCH($B$1,[2]quests!$1:$1,0)+1),MATCH(D$1,[2]quests!$1:$1,0)-MATCH($B$1,[2]quests!$1:$1,0)+1,FALSE)</f>
        <v>メソポタミア文明シリーズ超級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【上級】闇ヨリ出ル魔獣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8" s="85">
        <v>0</v>
      </c>
      <c r="I48" s="96">
        <v>19</v>
      </c>
      <c r="J48" s="84" t="s">
        <v>197</v>
      </c>
      <c r="K48" s="93" t="str">
        <f>VLOOKUP(I48,[6]stage_hints!$A:$C,3,FALSE)</f>
        <v>ソロ専用チャレンジタワー</v>
      </c>
      <c r="L48" s="94" t="str">
        <f>VLOOKUP(I48,[6]stage_hints!$A:$D,4,FALSE)</f>
        <v>ソロ専用の「チャレンジタワー」では_x000D_各フロアごとにクリア報酬がもらえます</v>
      </c>
      <c r="M48" s="57" t="s">
        <v>210</v>
      </c>
    </row>
    <row r="49" spans="1:13" x14ac:dyDescent="0.15">
      <c r="A49" s="81" t="s">
        <v>200</v>
      </c>
      <c r="B49" s="82">
        <f>floors!$C$2</f>
        <v>30040</v>
      </c>
      <c r="C49" s="83" t="str">
        <f ca="1">VLOOKUP($B49,OFFSET([2]quests!$A$1,0,0,COUNTA([2]quests!$A:$A),MATCH(C$1,[2]quests!$1:$1,0)-MATCH($B$1,[2]quests!$1:$1,0)+1),MATCH(C$1,[2]quests!$1:$1,0)-MATCH($B$1,[2]quests!$1:$1,0)+1,FALSE)</f>
        <v>闇ヨリ出ル魔獣</v>
      </c>
      <c r="D49" s="83" t="str">
        <f ca="1">VLOOKUP($B49,OFFSET([2]quests!$A$1,0,0,COUNTA([2]quests!$A:$A),MATCH(D$1,[2]quests!$1:$1,0)-MATCH($B$1,[2]quests!$1:$1,0)+1),MATCH(D$1,[2]quests!$1:$1,0)-MATCH($B$1,[2]quests!$1:$1,0)+1,FALSE)</f>
        <v>メソポタミア文明シリーズ超級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【上級】闇ヨリ出ル魔獣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9" s="85">
        <v>0</v>
      </c>
      <c r="I49" s="96">
        <v>20</v>
      </c>
      <c r="J49" s="84" t="s">
        <v>197</v>
      </c>
      <c r="K49" s="93" t="str">
        <f>VLOOKUP(I49,[6]stage_hints!$A:$C,3,FALSE)</f>
        <v>マルチプレイのメリット（その3）</v>
      </c>
      <c r="L49" s="94" t="str">
        <f>VLOOKUP(I49,[6]stage_hints!$A:$D,4,FALSE)</f>
        <v>マルチプレイへの参加はエナジー消費ゼロ_x000D_いつでも好きなだけ遊ぶことができます</v>
      </c>
      <c r="M49" s="57" t="s">
        <v>210</v>
      </c>
    </row>
    <row r="50" spans="1:13" x14ac:dyDescent="0.15">
      <c r="A50" s="81" t="s">
        <v>200</v>
      </c>
      <c r="B50" s="82">
        <f>floors!$C$2</f>
        <v>30040</v>
      </c>
      <c r="C50" s="83" t="str">
        <f ca="1">VLOOKUP($B50,OFFSET([2]quests!$A$1,0,0,COUNTA([2]quests!$A:$A),MATCH(C$1,[2]quests!$1:$1,0)-MATCH($B$1,[2]quests!$1:$1,0)+1),MATCH(C$1,[2]quests!$1:$1,0)-MATCH($B$1,[2]quests!$1:$1,0)+1,FALSE)</f>
        <v>闇ヨリ出ル魔獣</v>
      </c>
      <c r="D50" s="83" t="str">
        <f ca="1">VLOOKUP($B50,OFFSET([2]quests!$A$1,0,0,COUNTA([2]quests!$A:$A),MATCH(D$1,[2]quests!$1:$1,0)-MATCH($B$1,[2]quests!$1:$1,0)+1),MATCH(D$1,[2]quests!$1:$1,0)-MATCH($B$1,[2]quests!$1:$1,0)+1,FALSE)</f>
        <v>メソポタミア文明シリーズ超級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【上級】闇ヨリ出ル魔獣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0" s="85">
        <v>0</v>
      </c>
      <c r="I50" s="96">
        <v>21</v>
      </c>
      <c r="J50" s="84" t="s">
        <v>197</v>
      </c>
      <c r="K50" s="93" t="str">
        <f>VLOOKUP(I50,[6]stage_hints!$A:$C,3,FALSE)</f>
        <v>スキルを有効に</v>
      </c>
      <c r="L50" s="94" t="str">
        <f>VLOOKUP(I50,[6]stage_hints!$A:$D,4,FALSE)</f>
        <v>ターン経過でユニットのスキルが使えます_x000D_強力スキルでバトルを有利に進めましょう</v>
      </c>
      <c r="M50" s="57" t="s">
        <v>210</v>
      </c>
    </row>
    <row r="51" spans="1:13" x14ac:dyDescent="0.15">
      <c r="A51" s="81" t="s">
        <v>200</v>
      </c>
      <c r="B51" s="82">
        <f>floors!$C$2</f>
        <v>30040</v>
      </c>
      <c r="C51" s="83" t="str">
        <f ca="1">VLOOKUP($B51,OFFSET([2]quests!$A$1,0,0,COUNTA([2]quests!$A:$A),MATCH(C$1,[2]quests!$1:$1,0)-MATCH($B$1,[2]quests!$1:$1,0)+1),MATCH(C$1,[2]quests!$1:$1,0)-MATCH($B$1,[2]quests!$1:$1,0)+1,FALSE)</f>
        <v>闇ヨリ出ル魔獣</v>
      </c>
      <c r="D51" s="83" t="str">
        <f ca="1">VLOOKUP($B51,OFFSET([2]quests!$A$1,0,0,COUNTA([2]quests!$A:$A),MATCH(D$1,[2]quests!$1:$1,0)-MATCH($B$1,[2]quests!$1:$1,0)+1),MATCH(D$1,[2]quests!$1:$1,0)-MATCH($B$1,[2]quests!$1:$1,0)+1,FALSE)</f>
        <v>メソポタミア文明シリーズ超級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【上級】闇ヨリ出ル魔獣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1" s="85">
        <v>0</v>
      </c>
      <c r="I51" s="96">
        <v>22</v>
      </c>
      <c r="J51" s="84" t="s">
        <v>197</v>
      </c>
      <c r="K51" s="93" t="str">
        <f>VLOOKUP(I51,[6]stage_hints!$A:$C,3,FALSE)</f>
        <v>フィーバーで一発逆転（その1）</v>
      </c>
      <c r="L51" s="94" t="str">
        <f>VLOOKUP(I51,[6]stage_hints!$A:$D,4,FALSE)</f>
        <v>フィーバーは攻撃と回復を兼ね備えます_x000D_ピンチからの一発逆転を狙いましょう</v>
      </c>
      <c r="M51" s="57" t="s">
        <v>210</v>
      </c>
    </row>
    <row r="52" spans="1:13" x14ac:dyDescent="0.15">
      <c r="A52" s="81" t="s">
        <v>200</v>
      </c>
      <c r="B52" s="82">
        <f>floors!$C$2</f>
        <v>30040</v>
      </c>
      <c r="C52" s="83" t="str">
        <f ca="1">VLOOKUP($B52,OFFSET([2]quests!$A$1,0,0,COUNTA([2]quests!$A:$A),MATCH(C$1,[2]quests!$1:$1,0)-MATCH($B$1,[2]quests!$1:$1,0)+1),MATCH(C$1,[2]quests!$1:$1,0)-MATCH($B$1,[2]quests!$1:$1,0)+1,FALSE)</f>
        <v>闇ヨリ出ル魔獣</v>
      </c>
      <c r="D52" s="83" t="str">
        <f ca="1">VLOOKUP($B52,OFFSET([2]quests!$A$1,0,0,COUNTA([2]quests!$A:$A),MATCH(D$1,[2]quests!$1:$1,0)-MATCH($B$1,[2]quests!$1:$1,0)+1),MATCH(D$1,[2]quests!$1:$1,0)-MATCH($B$1,[2]quests!$1:$1,0)+1,FALSE)</f>
        <v>メソポタミア文明シリーズ超級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【上級】闇ヨリ出ル魔獣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2" s="85">
        <v>0</v>
      </c>
      <c r="I52" s="96">
        <v>23</v>
      </c>
      <c r="J52" s="84" t="s">
        <v>197</v>
      </c>
      <c r="K52" s="93" t="str">
        <f>VLOOKUP(I52,[6]stage_hints!$A:$C,3,FALSE)</f>
        <v>フィーバーで一発逆転（その2）</v>
      </c>
      <c r="L52" s="94" t="str">
        <f>VLOOKUP(I52,[6]stage_hints!$A:$D,4,FALSE)</f>
        <v>フィーバー中は虹色のボムパネルを狙って_x000D_画面上のパネルを一気に破壊しましょう</v>
      </c>
      <c r="M52" s="57" t="s">
        <v>210</v>
      </c>
    </row>
    <row r="53" spans="1:13" x14ac:dyDescent="0.15">
      <c r="A53" s="81" t="s">
        <v>200</v>
      </c>
      <c r="B53" s="82">
        <f>floors!$C$2</f>
        <v>30040</v>
      </c>
      <c r="C53" s="83" t="str">
        <f ca="1">VLOOKUP($B53,OFFSET([2]quests!$A$1,0,0,COUNTA([2]quests!$A:$A),MATCH(C$1,[2]quests!$1:$1,0)-MATCH($B$1,[2]quests!$1:$1,0)+1),MATCH(C$1,[2]quests!$1:$1,0)-MATCH($B$1,[2]quests!$1:$1,0)+1,FALSE)</f>
        <v>闇ヨリ出ル魔獣</v>
      </c>
      <c r="D53" s="83" t="str">
        <f ca="1">VLOOKUP($B53,OFFSET([2]quests!$A$1,0,0,COUNTA([2]quests!$A:$A),MATCH(D$1,[2]quests!$1:$1,0)-MATCH($B$1,[2]quests!$1:$1,0)+1),MATCH(D$1,[2]quests!$1:$1,0)-MATCH($B$1,[2]quests!$1:$1,0)+1,FALSE)</f>
        <v>メソポタミア文明シリーズ超級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【上級】闇ヨリ出ル魔獣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3" s="85">
        <v>0</v>
      </c>
      <c r="I53" s="96">
        <v>24</v>
      </c>
      <c r="J53" s="84" t="s">
        <v>197</v>
      </c>
      <c r="K53" s="93" t="str">
        <f>VLOOKUP(I53,[6]stage_hints!$A:$C,3,FALSE)</f>
        <v>りんごを使って限界突破</v>
      </c>
      <c r="L53" s="94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7" t="s">
        <v>210</v>
      </c>
    </row>
    <row r="54" spans="1:13" x14ac:dyDescent="0.15">
      <c r="A54" s="81" t="s">
        <v>200</v>
      </c>
      <c r="B54" s="82">
        <f>floors!$C$2</f>
        <v>30040</v>
      </c>
      <c r="C54" s="83" t="str">
        <f ca="1">VLOOKUP($B54,OFFSET([2]quests!$A$1,0,0,COUNTA([2]quests!$A:$A),MATCH(C$1,[2]quests!$1:$1,0)-MATCH($B$1,[2]quests!$1:$1,0)+1),MATCH(C$1,[2]quests!$1:$1,0)-MATCH($B$1,[2]quests!$1:$1,0)+1,FALSE)</f>
        <v>闇ヨリ出ル魔獣</v>
      </c>
      <c r="D54" s="83" t="str">
        <f ca="1">VLOOKUP($B54,OFFSET([2]quests!$A$1,0,0,COUNTA([2]quests!$A:$A),MATCH(D$1,[2]quests!$1:$1,0)-MATCH($B$1,[2]quests!$1:$1,0)+1),MATCH(D$1,[2]quests!$1:$1,0)-MATCH($B$1,[2]quests!$1:$1,0)+1,FALSE)</f>
        <v>メソポタミア文明シリーズ超級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【上級】闇ヨリ出ル魔獣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4" s="85">
        <v>0</v>
      </c>
      <c r="I54" s="96">
        <v>25</v>
      </c>
      <c r="J54" s="84" t="s">
        <v>197</v>
      </c>
      <c r="K54" s="93" t="str">
        <f>VLOOKUP(I54,[6]stage_hints!$A:$C,3,FALSE)</f>
        <v>スキルレベルアップ</v>
      </c>
      <c r="L54" s="94" t="str">
        <f>VLOOKUP(I54,[6]stage_hints!$A:$D,4,FALSE)</f>
        <v>「クリスタルのりんご」を強化に使うと_x000D_スキルレベルを上げることができます</v>
      </c>
      <c r="M54" s="57" t="s">
        <v>210</v>
      </c>
    </row>
    <row r="55" spans="1:13" x14ac:dyDescent="0.15">
      <c r="A55" s="81" t="s">
        <v>200</v>
      </c>
      <c r="B55" s="82">
        <f>floors!$C$2</f>
        <v>30040</v>
      </c>
      <c r="C55" s="83" t="str">
        <f ca="1">VLOOKUP($B55,OFFSET([2]quests!$A$1,0,0,COUNTA([2]quests!$A:$A),MATCH(C$1,[2]quests!$1:$1,0)-MATCH($B$1,[2]quests!$1:$1,0)+1),MATCH(C$1,[2]quests!$1:$1,0)-MATCH($B$1,[2]quests!$1:$1,0)+1,FALSE)</f>
        <v>闇ヨリ出ル魔獣</v>
      </c>
      <c r="D55" s="83" t="str">
        <f ca="1">VLOOKUP($B55,OFFSET([2]quests!$A$1,0,0,COUNTA([2]quests!$A:$A),MATCH(D$1,[2]quests!$1:$1,0)-MATCH($B$1,[2]quests!$1:$1,0)+1),MATCH(D$1,[2]quests!$1:$1,0)-MATCH($B$1,[2]quests!$1:$1,0)+1,FALSE)</f>
        <v>メソポタミア文明シリーズ超級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【上級】闇ヨリ出ル魔獣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5" s="85">
        <v>0</v>
      </c>
      <c r="I55" s="96">
        <v>26</v>
      </c>
      <c r="J55" s="84" t="s">
        <v>197</v>
      </c>
      <c r="K55" s="93" t="str">
        <f>VLOOKUP(I55,[6]stage_hints!$A:$C,3,FALSE)</f>
        <v>スキルレベルの効果</v>
      </c>
      <c r="L55" s="94" t="str">
        <f>VLOOKUP(I55,[6]stage_hints!$A:$D,4,FALSE)</f>
        <v>スキルレベルが上がると_x000D_短いターンでスキルを使うことができます</v>
      </c>
      <c r="M55" s="57" t="s">
        <v>210</v>
      </c>
    </row>
    <row r="56" spans="1:13" x14ac:dyDescent="0.15">
      <c r="A56" s="81" t="s">
        <v>200</v>
      </c>
      <c r="B56" s="82">
        <f>floors!$C$2</f>
        <v>30040</v>
      </c>
      <c r="C56" s="83" t="str">
        <f ca="1">VLOOKUP($B56,OFFSET([2]quests!$A$1,0,0,COUNTA([2]quests!$A:$A),MATCH(C$1,[2]quests!$1:$1,0)-MATCH($B$1,[2]quests!$1:$1,0)+1),MATCH(C$1,[2]quests!$1:$1,0)-MATCH($B$1,[2]quests!$1:$1,0)+1,FALSE)</f>
        <v>闇ヨリ出ル魔獣</v>
      </c>
      <c r="D56" s="83" t="str">
        <f ca="1">VLOOKUP($B56,OFFSET([2]quests!$A$1,0,0,COUNTA([2]quests!$A:$A),MATCH(D$1,[2]quests!$1:$1,0)-MATCH($B$1,[2]quests!$1:$1,0)+1),MATCH(D$1,[2]quests!$1:$1,0)-MATCH($B$1,[2]quests!$1:$1,0)+1,FALSE)</f>
        <v>メソポタミア文明シリーズ超級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【上級】闇ヨリ出ル魔獣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6" s="85">
        <v>0</v>
      </c>
      <c r="I56" s="96">
        <v>27</v>
      </c>
      <c r="J56" s="84" t="s">
        <v>197</v>
      </c>
      <c r="K56" s="93" t="str">
        <f>VLOOKUP(I56,[6]stage_hints!$A:$C,3,FALSE)</f>
        <v>ホーム画面からデッキを編成</v>
      </c>
      <c r="L56" s="94" t="str">
        <f>VLOOKUP(I56,[6]stage_hints!$A:$D,4,FALSE)</f>
        <v>ホーム画面でユニットを長押しすると_x000D_すぐにパーティ編成に移動できます</v>
      </c>
      <c r="M56" s="57" t="s">
        <v>210</v>
      </c>
    </row>
    <row r="57" spans="1:13" x14ac:dyDescent="0.15">
      <c r="A57" s="81" t="s">
        <v>200</v>
      </c>
      <c r="B57" s="82">
        <f>floors!$C$2</f>
        <v>30040</v>
      </c>
      <c r="C57" s="83" t="str">
        <f ca="1">VLOOKUP($B57,OFFSET([2]quests!$A$1,0,0,COUNTA([2]quests!$A:$A),MATCH(C$1,[2]quests!$1:$1,0)-MATCH($B$1,[2]quests!$1:$1,0)+1),MATCH(C$1,[2]quests!$1:$1,0)-MATCH($B$1,[2]quests!$1:$1,0)+1,FALSE)</f>
        <v>闇ヨリ出ル魔獣</v>
      </c>
      <c r="D57" s="83" t="str">
        <f ca="1">VLOOKUP($B57,OFFSET([2]quests!$A$1,0,0,COUNTA([2]quests!$A:$A),MATCH(D$1,[2]quests!$1:$1,0)-MATCH($B$1,[2]quests!$1:$1,0)+1),MATCH(D$1,[2]quests!$1:$1,0)-MATCH($B$1,[2]quests!$1:$1,0)+1,FALSE)</f>
        <v>メソポタミア文明シリーズ超級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【上級】闇ヨリ出ル魔獣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7" s="85">
        <v>0</v>
      </c>
      <c r="I57" s="96">
        <v>28</v>
      </c>
      <c r="J57" s="84" t="s">
        <v>197</v>
      </c>
      <c r="K57" s="93" t="str">
        <f>VLOOKUP(I57,[6]stage_hints!$A:$C,3,FALSE)</f>
        <v>ステータス情報は長押しで</v>
      </c>
      <c r="L57" s="94" t="str">
        <f>VLOOKUP(I57,[6]stage_hints!$A:$D,4,FALSE)</f>
        <v>ユニットのアイコンを長押しすると_x000D_ステータス情報を確認することができます</v>
      </c>
      <c r="M57" s="57" t="s">
        <v>210</v>
      </c>
    </row>
    <row r="58" spans="1:13" x14ac:dyDescent="0.15">
      <c r="A58" s="81" t="s">
        <v>200</v>
      </c>
      <c r="B58" s="82">
        <f>floors!$C$2</f>
        <v>30040</v>
      </c>
      <c r="C58" s="83" t="str">
        <f ca="1">VLOOKUP($B58,OFFSET([2]quests!$A$1,0,0,COUNTA([2]quests!$A:$A),MATCH(C$1,[2]quests!$1:$1,0)-MATCH($B$1,[2]quests!$1:$1,0)+1),MATCH(C$1,[2]quests!$1:$1,0)-MATCH($B$1,[2]quests!$1:$1,0)+1,FALSE)</f>
        <v>闇ヨリ出ル魔獣</v>
      </c>
      <c r="D58" s="83" t="str">
        <f ca="1">VLOOKUP($B58,OFFSET([2]quests!$A$1,0,0,COUNTA([2]quests!$A:$A),MATCH(D$1,[2]quests!$1:$1,0)-MATCH($B$1,[2]quests!$1:$1,0)+1),MATCH(D$1,[2]quests!$1:$1,0)-MATCH($B$1,[2]quests!$1:$1,0)+1,FALSE)</f>
        <v>メソポタミア文明シリーズ超級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【上級】闇ヨリ出ル魔獣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8" s="85">
        <v>0</v>
      </c>
      <c r="I58" s="96">
        <v>29</v>
      </c>
      <c r="J58" s="84" t="s">
        <v>197</v>
      </c>
      <c r="K58" s="93" t="str">
        <f>VLOOKUP(I58,[6]stage_hints!$A:$C,3,FALSE)</f>
        <v>「バグ」のメリット</v>
      </c>
      <c r="L58" s="94" t="str">
        <f>VLOOKUP(I58,[6]stage_hints!$A:$D,4,FALSE)</f>
        <v>ユニットの「バグ」を増やすと_x000D_報酬をもらえる確率がアップします</v>
      </c>
      <c r="M58" s="57" t="s">
        <v>210</v>
      </c>
    </row>
    <row r="59" spans="1:13" x14ac:dyDescent="0.15">
      <c r="A59" s="81" t="s">
        <v>200</v>
      </c>
      <c r="B59" s="82">
        <f>floors!$C$2</f>
        <v>30040</v>
      </c>
      <c r="C59" s="83" t="str">
        <f ca="1">VLOOKUP($B59,OFFSET([2]quests!$A$1,0,0,COUNTA([2]quests!$A:$A),MATCH(C$1,[2]quests!$1:$1,0)-MATCH($B$1,[2]quests!$1:$1,0)+1),MATCH(C$1,[2]quests!$1:$1,0)-MATCH($B$1,[2]quests!$1:$1,0)+1,FALSE)</f>
        <v>闇ヨリ出ル魔獣</v>
      </c>
      <c r="D59" s="83" t="str">
        <f ca="1">VLOOKUP($B59,OFFSET([2]quests!$A$1,0,0,COUNTA([2]quests!$A:$A),MATCH(D$1,[2]quests!$1:$1,0)-MATCH($B$1,[2]quests!$1:$1,0)+1),MATCH(D$1,[2]quests!$1:$1,0)-MATCH($B$1,[2]quests!$1:$1,0)+1,FALSE)</f>
        <v>メソポタミア文明シリーズ超級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【上級】闇ヨリ出ル魔獣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9" s="85">
        <v>0</v>
      </c>
      <c r="I59" s="96">
        <v>30</v>
      </c>
      <c r="J59" s="84" t="s">
        <v>197</v>
      </c>
      <c r="K59" s="93" t="str">
        <f>VLOOKUP(I59,[6]stage_hints!$A:$C,3,FALSE)</f>
        <v>「バグ」の増やし方</v>
      </c>
      <c r="L59" s="94" t="str">
        <f>VLOOKUP(I59,[6]stage_hints!$A:$D,4,FALSE)</f>
        <v>同じユニット同士を強化で合成すると_x000D_「バグ」を増やすことができます</v>
      </c>
      <c r="M59" s="57" t="s">
        <v>210</v>
      </c>
    </row>
    <row r="60" spans="1:13" x14ac:dyDescent="0.15">
      <c r="A60" s="81" t="s">
        <v>200</v>
      </c>
      <c r="B60" s="82">
        <f>floors!$C$2</f>
        <v>30040</v>
      </c>
      <c r="C60" s="83" t="str">
        <f ca="1">VLOOKUP($B60,OFFSET([2]quests!$A$1,0,0,COUNTA([2]quests!$A:$A),MATCH(C$1,[2]quests!$1:$1,0)-MATCH($B$1,[2]quests!$1:$1,0)+1),MATCH(C$1,[2]quests!$1:$1,0)-MATCH($B$1,[2]quests!$1:$1,0)+1,FALSE)</f>
        <v>闇ヨリ出ル魔獣</v>
      </c>
      <c r="D60" s="83" t="str">
        <f ca="1">VLOOKUP($B60,OFFSET([2]quests!$A$1,0,0,COUNTA([2]quests!$A:$A),MATCH(D$1,[2]quests!$1:$1,0)-MATCH($B$1,[2]quests!$1:$1,0)+1),MATCH(D$1,[2]quests!$1:$1,0)-MATCH($B$1,[2]quests!$1:$1,0)+1,FALSE)</f>
        <v>メソポタミア文明シリーズ超級</v>
      </c>
      <c r="E60" s="87">
        <v>2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【上級】闇ヨリ出ル魔獣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0" s="85">
        <v>0</v>
      </c>
      <c r="I60" s="96">
        <v>31</v>
      </c>
      <c r="J60" s="84" t="s">
        <v>197</v>
      </c>
      <c r="K60" s="93" t="str">
        <f>VLOOKUP(I60,[6]stage_hints!$A:$C,3,FALSE)</f>
        <v>イベントはお知らせでチェック</v>
      </c>
      <c r="L60" s="94" t="str">
        <f>VLOOKUP(I60,[6]stage_hints!$A:$D,4,FALSE)</f>
        <v>イベント限定ユニットを取り忘れないように_x000D_お知らせをこまめにチェックしましょう</v>
      </c>
      <c r="M60" s="57" t="s">
        <v>210</v>
      </c>
    </row>
    <row r="61" spans="1:13" x14ac:dyDescent="0.15">
      <c r="A61" s="81" t="s">
        <v>200</v>
      </c>
      <c r="B61" s="82">
        <f>floors!$C$2</f>
        <v>30040</v>
      </c>
      <c r="C61" s="83" t="str">
        <f ca="1">VLOOKUP($B61,OFFSET([2]quests!$A$1,0,0,COUNTA([2]quests!$A:$A),MATCH(C$1,[2]quests!$1:$1,0)-MATCH($B$1,[2]quests!$1:$1,0)+1),MATCH(C$1,[2]quests!$1:$1,0)-MATCH($B$1,[2]quests!$1:$1,0)+1,FALSE)</f>
        <v>闇ヨリ出ル魔獣</v>
      </c>
      <c r="D61" s="83" t="str">
        <f ca="1">VLOOKUP($B61,OFFSET([2]quests!$A$1,0,0,COUNTA([2]quests!$A:$A),MATCH(D$1,[2]quests!$1:$1,0)-MATCH($B$1,[2]quests!$1:$1,0)+1),MATCH(D$1,[2]quests!$1:$1,0)-MATCH($B$1,[2]quests!$1:$1,0)+1,FALSE)</f>
        <v>メソポタミア文明シリーズ超級</v>
      </c>
      <c r="E61" s="87">
        <v>2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【上級】闇ヨリ出ル魔獣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1" s="85">
        <v>0</v>
      </c>
      <c r="I61" s="96">
        <v>32</v>
      </c>
      <c r="J61" s="84" t="s">
        <v>197</v>
      </c>
      <c r="K61" s="93" t="str">
        <f>VLOOKUP(I61,[6]stage_hints!$A:$C,3,FALSE)</f>
        <v>敵の連続攻撃には</v>
      </c>
      <c r="L61" s="94" t="str">
        <f>VLOOKUP(I61,[6]stage_hints!$A:$D,4,FALSE)</f>
        <v>カウンタースキルを持つユニットがいれば_x000D_ダメージ回数分の反撃ができます</v>
      </c>
      <c r="M61" s="57" t="s">
        <v>210</v>
      </c>
    </row>
    <row r="62" spans="1:13" x14ac:dyDescent="0.15">
      <c r="A62" s="81" t="s">
        <v>200</v>
      </c>
      <c r="B62" s="82">
        <f>floors!$C$2</f>
        <v>30040</v>
      </c>
      <c r="C62" s="83" t="str">
        <f ca="1">VLOOKUP($B62,OFFSET([2]quests!$A$1,0,0,COUNTA([2]quests!$A:$A),MATCH(C$1,[2]quests!$1:$1,0)-MATCH($B$1,[2]quests!$1:$1,0)+1),MATCH(C$1,[2]quests!$1:$1,0)-MATCH($B$1,[2]quests!$1:$1,0)+1,FALSE)</f>
        <v>闇ヨリ出ル魔獣</v>
      </c>
      <c r="D62" s="83" t="str">
        <f ca="1">VLOOKUP($B62,OFFSET([2]quests!$A$1,0,0,COUNTA([2]quests!$A:$A),MATCH(D$1,[2]quests!$1:$1,0)-MATCH($B$1,[2]quests!$1:$1,0)+1),MATCH(D$1,[2]quests!$1:$1,0)-MATCH($B$1,[2]quests!$1:$1,0)+1,FALSE)</f>
        <v>メソポタミア文明シリーズ超級</v>
      </c>
      <c r="E62" s="87">
        <v>2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【上級】闇ヨリ出ル魔獣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2" s="85">
        <v>0</v>
      </c>
      <c r="I62" s="96">
        <v>33</v>
      </c>
      <c r="J62" s="84" t="s">
        <v>197</v>
      </c>
      <c r="K62" s="93" t="str">
        <f>VLOOKUP(I62,[6]stage_hints!$A:$C,3,FALSE)</f>
        <v>敵のカウンター攻撃には</v>
      </c>
      <c r="L62" s="94" t="str">
        <f>VLOOKUP(I62,[6]stage_hints!$A:$D,4,FALSE)</f>
        <v>カウンターブレイクスキルを持っていれば_x000D_敵のカウンターを解除して攻撃ができます</v>
      </c>
      <c r="M62" s="57" t="s">
        <v>210</v>
      </c>
    </row>
    <row r="63" spans="1:13" x14ac:dyDescent="0.15">
      <c r="A63" s="81" t="s">
        <v>200</v>
      </c>
      <c r="B63" s="82">
        <f>floors!$C$2</f>
        <v>30040</v>
      </c>
      <c r="C63" s="83" t="str">
        <f ca="1">VLOOKUP($B63,OFFSET([2]quests!$A$1,0,0,COUNTA([2]quests!$A:$A),MATCH(C$1,[2]quests!$1:$1,0)-MATCH($B$1,[2]quests!$1:$1,0)+1),MATCH(C$1,[2]quests!$1:$1,0)-MATCH($B$1,[2]quests!$1:$1,0)+1,FALSE)</f>
        <v>闇ヨリ出ル魔獣</v>
      </c>
      <c r="D63" s="83" t="str">
        <f ca="1">VLOOKUP($B63,OFFSET([2]quests!$A$1,0,0,COUNTA([2]quests!$A:$A),MATCH(D$1,[2]quests!$1:$1,0)-MATCH($B$1,[2]quests!$1:$1,0)+1),MATCH(D$1,[2]quests!$1:$1,0)-MATCH($B$1,[2]quests!$1:$1,0)+1,FALSE)</f>
        <v>メソポタミア文明シリーズ超級</v>
      </c>
      <c r="E63" s="87">
        <v>2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【上級】闇ヨリ出ル魔獣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3" s="85">
        <v>0</v>
      </c>
      <c r="I63" s="96">
        <v>34</v>
      </c>
      <c r="J63" s="84" t="s">
        <v>197</v>
      </c>
      <c r="K63" s="93" t="str">
        <f>VLOOKUP(I63,[6]stage_hints!$A:$C,3,FALSE)</f>
        <v>ステータスをスキルで下げられたら</v>
      </c>
      <c r="L63" s="94" t="str">
        <f>VLOOKUP(I63,[6]stage_hints!$A:$D,4,FALSE)</f>
        <v>ステータスダウンのスキルを受けたら_x000D_ステータスアップスキルで上書きしましょう</v>
      </c>
      <c r="M63" s="57" t="s">
        <v>210</v>
      </c>
    </row>
    <row r="64" spans="1:13" x14ac:dyDescent="0.15">
      <c r="A64" s="81" t="s">
        <v>200</v>
      </c>
      <c r="B64" s="82">
        <f>floors!$C$2</f>
        <v>30040</v>
      </c>
      <c r="C64" s="83" t="str">
        <f ca="1">VLOOKUP($B64,OFFSET([2]quests!$A$1,0,0,COUNTA([2]quests!$A:$A),MATCH(C$1,[2]quests!$1:$1,0)-MATCH($B$1,[2]quests!$1:$1,0)+1),MATCH(C$1,[2]quests!$1:$1,0)-MATCH($B$1,[2]quests!$1:$1,0)+1,FALSE)</f>
        <v>闇ヨリ出ル魔獣</v>
      </c>
      <c r="D64" s="83" t="str">
        <f ca="1">VLOOKUP($B64,OFFSET([2]quests!$A$1,0,0,COUNTA([2]quests!$A:$A),MATCH(D$1,[2]quests!$1:$1,0)-MATCH($B$1,[2]quests!$1:$1,0)+1),MATCH(D$1,[2]quests!$1:$1,0)-MATCH($B$1,[2]quests!$1:$1,0)+1,FALSE)</f>
        <v>メソポタミア文明シリーズ超級</v>
      </c>
      <c r="E64" s="87">
        <v>2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【上級】闇ヨリ出ル魔獣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4" s="85">
        <v>0</v>
      </c>
      <c r="I64" s="96">
        <v>35</v>
      </c>
      <c r="J64" s="84" t="s">
        <v>197</v>
      </c>
      <c r="K64" s="93" t="str">
        <f>VLOOKUP(I64,[6]stage_hints!$A:$C,3,FALSE)</f>
        <v>敵のステータスがスキルで上がったら</v>
      </c>
      <c r="L64" s="94" t="str">
        <f>VLOOKUP(I64,[6]stage_hints!$A:$D,4,FALSE)</f>
        <v>敵のステータスがスキルでアップしたときは_x000D_ステータスダウンスキルで上書きしましょう</v>
      </c>
      <c r="M64" s="57" t="s">
        <v>210</v>
      </c>
    </row>
    <row r="65" spans="1:13" x14ac:dyDescent="0.15">
      <c r="A65" s="81" t="s">
        <v>200</v>
      </c>
      <c r="B65" s="82">
        <f>floors!$C$2</f>
        <v>30040</v>
      </c>
      <c r="C65" s="83" t="str">
        <f ca="1">VLOOKUP($B65,OFFSET([2]quests!$A$1,0,0,COUNTA([2]quests!$A:$A),MATCH(C$1,[2]quests!$1:$1,0)-MATCH($B$1,[2]quests!$1:$1,0)+1),MATCH(C$1,[2]quests!$1:$1,0)-MATCH($B$1,[2]quests!$1:$1,0)+1,FALSE)</f>
        <v>闇ヨリ出ル魔獣</v>
      </c>
      <c r="D65" s="83" t="str">
        <f ca="1">VLOOKUP($B65,OFFSET([2]quests!$A$1,0,0,COUNTA([2]quests!$A:$A),MATCH(D$1,[2]quests!$1:$1,0)-MATCH($B$1,[2]quests!$1:$1,0)+1),MATCH(D$1,[2]quests!$1:$1,0)-MATCH($B$1,[2]quests!$1:$1,0)+1,FALSE)</f>
        <v>メソポタミア文明シリーズ超級</v>
      </c>
      <c r="E65" s="87">
        <v>2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【上級】闇ヨリ出ル魔獣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5" s="85">
        <v>0</v>
      </c>
      <c r="I65" s="96">
        <v>36</v>
      </c>
      <c r="J65" s="84" t="s">
        <v>197</v>
      </c>
      <c r="K65" s="93" t="str">
        <f>VLOOKUP(I65,[6]stage_hints!$A:$C,3,FALSE)</f>
        <v>チャレンジタワーのボス</v>
      </c>
      <c r="L65" s="94" t="str">
        <f>VLOOKUP(I65,[6]stage_hints!$A:$D,4,FALSE)</f>
        <v>チャレンジタワーでのみ登場するボスは_x000D_一定確率で獲得することができます</v>
      </c>
      <c r="M65" s="57" t="s">
        <v>210</v>
      </c>
    </row>
    <row r="66" spans="1:13" x14ac:dyDescent="0.15">
      <c r="A66" s="81" t="s">
        <v>200</v>
      </c>
      <c r="B66" s="82">
        <f>floors!$C$2</f>
        <v>30040</v>
      </c>
      <c r="C66" s="83" t="str">
        <f ca="1">VLOOKUP($B66,OFFSET([2]quests!$A$1,0,0,COUNTA([2]quests!$A:$A),MATCH(C$1,[2]quests!$1:$1,0)-MATCH($B$1,[2]quests!$1:$1,0)+1),MATCH(C$1,[2]quests!$1:$1,0)-MATCH($B$1,[2]quests!$1:$1,0)+1,FALSE)</f>
        <v>闇ヨリ出ル魔獣</v>
      </c>
      <c r="D66" s="83" t="str">
        <f ca="1">VLOOKUP($B66,OFFSET([2]quests!$A$1,0,0,COUNTA([2]quests!$A:$A),MATCH(D$1,[2]quests!$1:$1,0)-MATCH($B$1,[2]quests!$1:$1,0)+1),MATCH(D$1,[2]quests!$1:$1,0)-MATCH($B$1,[2]quests!$1:$1,0)+1,FALSE)</f>
        <v>メソポタミア文明シリーズ超級</v>
      </c>
      <c r="E66" s="87">
        <v>2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【上級】闇ヨリ出ル魔獣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6" s="85">
        <v>0</v>
      </c>
      <c r="I66" s="96">
        <v>37</v>
      </c>
      <c r="J66" s="84" t="s">
        <v>197</v>
      </c>
      <c r="K66" s="93" t="str">
        <f>VLOOKUP(I66,[6]stage_hints!$A:$C,3,FALSE)</f>
        <v>限界突破値の引き継ぎ</v>
      </c>
      <c r="L66" s="94" t="str">
        <f>VLOOKUP(I66,[6]stage_hints!$A:$D,4,FALSE)</f>
        <v>同じユニットを強化で合成すると_x000D_限界突破値を引き継げます（覚醒前後も可）</v>
      </c>
      <c r="M66" s="57" t="s">
        <v>210</v>
      </c>
    </row>
    <row r="67" spans="1:13" x14ac:dyDescent="0.15">
      <c r="A67" s="81" t="s">
        <v>200</v>
      </c>
      <c r="B67" s="82">
        <f>floors!$C$2</f>
        <v>30040</v>
      </c>
      <c r="C67" s="83" t="str">
        <f ca="1">VLOOKUP($B67,OFFSET([2]quests!$A$1,0,0,COUNTA([2]quests!$A:$A),MATCH(C$1,[2]quests!$1:$1,0)-MATCH($B$1,[2]quests!$1:$1,0)+1),MATCH(C$1,[2]quests!$1:$1,0)-MATCH($B$1,[2]quests!$1:$1,0)+1,FALSE)</f>
        <v>闇ヨリ出ル魔獣</v>
      </c>
      <c r="D67" s="83" t="str">
        <f ca="1">VLOOKUP($B67,OFFSET([2]quests!$A$1,0,0,COUNTA([2]quests!$A:$A),MATCH(D$1,[2]quests!$1:$1,0)-MATCH($B$1,[2]quests!$1:$1,0)+1),MATCH(D$1,[2]quests!$1:$1,0)-MATCH($B$1,[2]quests!$1:$1,0)+1,FALSE)</f>
        <v>メソポタミア文明シリーズ超級</v>
      </c>
      <c r="E67" s="87">
        <v>2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【上級】闇ヨリ出ル魔獣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7" s="85">
        <v>0</v>
      </c>
      <c r="I67" s="96">
        <v>39</v>
      </c>
      <c r="J67" s="84" t="s">
        <v>197</v>
      </c>
      <c r="K67" s="93" t="str">
        <f>VLOOKUP(I67,[6]stage_hints!$A:$C,3,FALSE)</f>
        <v>システム適合者を確認</v>
      </c>
      <c r="L67" s="94" t="str">
        <f>VLOOKUP(I67,[6]stage_hints!$A:$D,4,FALSE)</f>
        <v>ALICEが 「アナタ」を呼んでいます</v>
      </c>
      <c r="M67" s="57" t="s">
        <v>210</v>
      </c>
    </row>
    <row r="68" spans="1:13" x14ac:dyDescent="0.15">
      <c r="A68" s="81" t="s">
        <v>200</v>
      </c>
      <c r="B68" s="82">
        <f>floors!$C$2</f>
        <v>30040</v>
      </c>
      <c r="C68" s="83" t="str">
        <f ca="1">VLOOKUP($B68,OFFSET([2]quests!$A$1,0,0,COUNTA([2]quests!$A:$A),MATCH(C$1,[2]quests!$1:$1,0)-MATCH($B$1,[2]quests!$1:$1,0)+1),MATCH(C$1,[2]quests!$1:$1,0)-MATCH($B$1,[2]quests!$1:$1,0)+1,FALSE)</f>
        <v>闇ヨリ出ル魔獣</v>
      </c>
      <c r="D68" s="83" t="str">
        <f ca="1">VLOOKUP($B68,OFFSET([2]quests!$A$1,0,0,COUNTA([2]quests!$A:$A),MATCH(D$1,[2]quests!$1:$1,0)-MATCH($B$1,[2]quests!$1:$1,0)+1),MATCH(D$1,[2]quests!$1:$1,0)-MATCH($B$1,[2]quests!$1:$1,0)+1,FALSE)</f>
        <v>メソポタミア文明シリーズ超級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【超級】闇ヨリ出ル魔獣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8" s="85">
        <v>0</v>
      </c>
      <c r="I68">
        <v>12</v>
      </c>
      <c r="J68" s="84" t="s">
        <v>197</v>
      </c>
      <c r="K68" s="93" t="str">
        <f>VLOOKUP(I68,[6]stage_hints!$A:$C,3,FALSE)</f>
        <v>ユニットのお気に入り登録</v>
      </c>
      <c r="L68" s="94" t="str">
        <f>VLOOKUP(I68,[6]stage_hints!$A:$D,4,FALSE)</f>
        <v>大事なユニットを誤って消さないように_x000D_フォルダから「お気に入り登録」しましょう</v>
      </c>
      <c r="M68" s="57" t="s">
        <v>210</v>
      </c>
    </row>
    <row r="69" spans="1:13" x14ac:dyDescent="0.15">
      <c r="A69" s="81" t="s">
        <v>200</v>
      </c>
      <c r="B69" s="82">
        <f>floors!$C$2</f>
        <v>30040</v>
      </c>
      <c r="C69" s="83" t="str">
        <f ca="1">VLOOKUP($B69,OFFSET([2]quests!$A$1,0,0,COUNTA([2]quests!$A:$A),MATCH(C$1,[2]quests!$1:$1,0)-MATCH($B$1,[2]quests!$1:$1,0)+1),MATCH(C$1,[2]quests!$1:$1,0)-MATCH($B$1,[2]quests!$1:$1,0)+1,FALSE)</f>
        <v>闇ヨリ出ル魔獣</v>
      </c>
      <c r="D69" s="83" t="str">
        <f ca="1">VLOOKUP($B69,OFFSET([2]quests!$A$1,0,0,COUNTA([2]quests!$A:$A),MATCH(D$1,[2]quests!$1:$1,0)-MATCH($B$1,[2]quests!$1:$1,0)+1),MATCH(D$1,[2]quests!$1:$1,0)-MATCH($B$1,[2]quests!$1:$1,0)+1,FALSE)</f>
        <v>メソポタミア文明シリーズ超級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【超級】闇ヨリ出ル魔獣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9" s="85">
        <v>0</v>
      </c>
      <c r="I69">
        <v>17</v>
      </c>
      <c r="J69" s="84" t="s">
        <v>197</v>
      </c>
      <c r="K69" s="93" t="str">
        <f>VLOOKUP(I69,[6]stage_hints!$A:$C,3,FALSE)</f>
        <v>リンクガチャ</v>
      </c>
      <c r="L69" s="94" t="str">
        <f>VLOOKUP(I69,[6]stage_hints!$A:$D,4,FALSE)</f>
        <v>無料のリンクガチャを回して_x000D_経験値素材や売却素材を獲得しましょう</v>
      </c>
      <c r="M69" s="57" t="s">
        <v>210</v>
      </c>
    </row>
    <row r="70" spans="1:13" x14ac:dyDescent="0.15">
      <c r="A70" s="81" t="s">
        <v>200</v>
      </c>
      <c r="B70" s="82">
        <f>floors!$C$2</f>
        <v>30040</v>
      </c>
      <c r="C70" s="83" t="str">
        <f ca="1">VLOOKUP($B70,OFFSET([2]quests!$A$1,0,0,COUNTA([2]quests!$A:$A),MATCH(C$1,[2]quests!$1:$1,0)-MATCH($B$1,[2]quests!$1:$1,0)+1),MATCH(C$1,[2]quests!$1:$1,0)-MATCH($B$1,[2]quests!$1:$1,0)+1,FALSE)</f>
        <v>闇ヨリ出ル魔獣</v>
      </c>
      <c r="D70" s="83" t="str">
        <f ca="1">VLOOKUP($B70,OFFSET([2]quests!$A$1,0,0,COUNTA([2]quests!$A:$A),MATCH(D$1,[2]quests!$1:$1,0)-MATCH($B$1,[2]quests!$1:$1,0)+1),MATCH(D$1,[2]quests!$1:$1,0)-MATCH($B$1,[2]quests!$1:$1,0)+1,FALSE)</f>
        <v>メソポタミア文明シリーズ超級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【超級】闇ヨリ出ル魔獣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0" s="85">
        <v>0</v>
      </c>
      <c r="I70">
        <v>19</v>
      </c>
      <c r="J70" s="84" t="s">
        <v>197</v>
      </c>
      <c r="K70" s="93" t="str">
        <f>VLOOKUP(I70,[6]stage_hints!$A:$C,3,FALSE)</f>
        <v>ソロ専用チャレンジタワー</v>
      </c>
      <c r="L70" s="94" t="str">
        <f>VLOOKUP(I70,[6]stage_hints!$A:$D,4,FALSE)</f>
        <v>ソロ専用の「チャレンジタワー」では_x000D_各フロアごとにクリア報酬がもらえます</v>
      </c>
      <c r="M70" s="57" t="s">
        <v>210</v>
      </c>
    </row>
    <row r="71" spans="1:13" x14ac:dyDescent="0.15">
      <c r="A71" s="81" t="s">
        <v>200</v>
      </c>
      <c r="B71" s="82">
        <f>floors!$C$2</f>
        <v>30040</v>
      </c>
      <c r="C71" s="83" t="str">
        <f ca="1">VLOOKUP($B71,OFFSET([2]quests!$A$1,0,0,COUNTA([2]quests!$A:$A),MATCH(C$1,[2]quests!$1:$1,0)-MATCH($B$1,[2]quests!$1:$1,0)+1),MATCH(C$1,[2]quests!$1:$1,0)-MATCH($B$1,[2]quests!$1:$1,0)+1,FALSE)</f>
        <v>闇ヨリ出ル魔獣</v>
      </c>
      <c r="D71" s="83" t="str">
        <f ca="1">VLOOKUP($B71,OFFSET([2]quests!$A$1,0,0,COUNTA([2]quests!$A:$A),MATCH(D$1,[2]quests!$1:$1,0)-MATCH($B$1,[2]quests!$1:$1,0)+1),MATCH(D$1,[2]quests!$1:$1,0)-MATCH($B$1,[2]quests!$1:$1,0)+1,FALSE)</f>
        <v>メソポタミア文明シリーズ超級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【超級】闇ヨリ出ル魔獣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1" s="85">
        <v>0</v>
      </c>
      <c r="I71">
        <v>21</v>
      </c>
      <c r="J71" s="84" t="s">
        <v>197</v>
      </c>
      <c r="K71" s="93" t="str">
        <f>VLOOKUP(I71,[6]stage_hints!$A:$C,3,FALSE)</f>
        <v>スキルを有効に</v>
      </c>
      <c r="L71" s="94" t="str">
        <f>VLOOKUP(I71,[6]stage_hints!$A:$D,4,FALSE)</f>
        <v>ターン経過でユニットのスキルが使えます_x000D_強力スキルでバトルを有利に進めましょう</v>
      </c>
      <c r="M71" s="57" t="s">
        <v>210</v>
      </c>
    </row>
    <row r="72" spans="1:13" x14ac:dyDescent="0.15">
      <c r="A72" s="81" t="s">
        <v>200</v>
      </c>
      <c r="B72" s="82">
        <f>floors!$C$2</f>
        <v>30040</v>
      </c>
      <c r="C72" s="83" t="str">
        <f ca="1">VLOOKUP($B72,OFFSET([2]quests!$A$1,0,0,COUNTA([2]quests!$A:$A),MATCH(C$1,[2]quests!$1:$1,0)-MATCH($B$1,[2]quests!$1:$1,0)+1),MATCH(C$1,[2]quests!$1:$1,0)-MATCH($B$1,[2]quests!$1:$1,0)+1,FALSE)</f>
        <v>闇ヨリ出ル魔獣</v>
      </c>
      <c r="D72" s="83" t="str">
        <f ca="1">VLOOKUP($B72,OFFSET([2]quests!$A$1,0,0,COUNTA([2]quests!$A:$A),MATCH(D$1,[2]quests!$1:$1,0)-MATCH($B$1,[2]quests!$1:$1,0)+1),MATCH(D$1,[2]quests!$1:$1,0)-MATCH($B$1,[2]quests!$1:$1,0)+1,FALSE)</f>
        <v>メソポタミア文明シリーズ超級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【超級】闇ヨリ出ル魔獣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2" s="85">
        <v>0</v>
      </c>
      <c r="I72">
        <v>27</v>
      </c>
      <c r="J72" s="84" t="s">
        <v>197</v>
      </c>
      <c r="K72" s="93" t="str">
        <f>VLOOKUP(I72,[6]stage_hints!$A:$C,3,FALSE)</f>
        <v>ホーム画面からデッキを編成</v>
      </c>
      <c r="L72" s="94" t="str">
        <f>VLOOKUP(I72,[6]stage_hints!$A:$D,4,FALSE)</f>
        <v>ホーム画面でユニットを長押しすると_x000D_すぐにパーティ編成に移動できます</v>
      </c>
      <c r="M72" s="57" t="s">
        <v>210</v>
      </c>
    </row>
    <row r="73" spans="1:13" x14ac:dyDescent="0.15">
      <c r="A73" s="81" t="s">
        <v>200</v>
      </c>
      <c r="B73" s="82">
        <f>floors!$C$2</f>
        <v>30040</v>
      </c>
      <c r="C73" s="83" t="str">
        <f ca="1">VLOOKUP($B73,OFFSET([2]quests!$A$1,0,0,COUNTA([2]quests!$A:$A),MATCH(C$1,[2]quests!$1:$1,0)-MATCH($B$1,[2]quests!$1:$1,0)+1),MATCH(C$1,[2]quests!$1:$1,0)-MATCH($B$1,[2]quests!$1:$1,0)+1,FALSE)</f>
        <v>闇ヨリ出ル魔獣</v>
      </c>
      <c r="D73" s="83" t="str">
        <f ca="1">VLOOKUP($B73,OFFSET([2]quests!$A$1,0,0,COUNTA([2]quests!$A:$A),MATCH(D$1,[2]quests!$1:$1,0)-MATCH($B$1,[2]quests!$1:$1,0)+1),MATCH(D$1,[2]quests!$1:$1,0)-MATCH($B$1,[2]quests!$1:$1,0)+1,FALSE)</f>
        <v>メソポタミア文明シリーズ超級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【超級】闇ヨリ出ル魔獣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3" s="85">
        <v>0</v>
      </c>
      <c r="I73">
        <v>28</v>
      </c>
      <c r="J73" s="84" t="s">
        <v>197</v>
      </c>
      <c r="K73" s="93" t="str">
        <f>VLOOKUP(I73,[6]stage_hints!$A:$C,3,FALSE)</f>
        <v>ステータス情報は長押しで</v>
      </c>
      <c r="L73" s="94" t="str">
        <f>VLOOKUP(I73,[6]stage_hints!$A:$D,4,FALSE)</f>
        <v>ユニットのアイコンを長押しすると_x000D_ステータス情報を確認することができます</v>
      </c>
      <c r="M73" s="57" t="s">
        <v>210</v>
      </c>
    </row>
    <row r="74" spans="1:13" x14ac:dyDescent="0.15">
      <c r="A74" s="81" t="s">
        <v>200</v>
      </c>
      <c r="B74" s="82">
        <f>floors!$C$2</f>
        <v>30040</v>
      </c>
      <c r="C74" s="83" t="str">
        <f ca="1">VLOOKUP($B74,OFFSET([2]quests!$A$1,0,0,COUNTA([2]quests!$A:$A),MATCH(C$1,[2]quests!$1:$1,0)-MATCH($B$1,[2]quests!$1:$1,0)+1),MATCH(C$1,[2]quests!$1:$1,0)-MATCH($B$1,[2]quests!$1:$1,0)+1,FALSE)</f>
        <v>闇ヨリ出ル魔獣</v>
      </c>
      <c r="D74" s="83" t="str">
        <f ca="1">VLOOKUP($B74,OFFSET([2]quests!$A$1,0,0,COUNTA([2]quests!$A:$A),MATCH(D$1,[2]quests!$1:$1,0)-MATCH($B$1,[2]quests!$1:$1,0)+1),MATCH(D$1,[2]quests!$1:$1,0)-MATCH($B$1,[2]quests!$1:$1,0)+1,FALSE)</f>
        <v>メソポタミア文明シリーズ超級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【超級】闇ヨリ出ル魔獣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4" s="85">
        <v>0</v>
      </c>
      <c r="I74">
        <v>29</v>
      </c>
      <c r="J74" s="84" t="s">
        <v>197</v>
      </c>
      <c r="K74" s="93" t="str">
        <f>VLOOKUP(I74,[6]stage_hints!$A:$C,3,FALSE)</f>
        <v>「バグ」のメリット</v>
      </c>
      <c r="L74" s="94" t="str">
        <f>VLOOKUP(I74,[6]stage_hints!$A:$D,4,FALSE)</f>
        <v>ユニットの「バグ」を増やすと_x000D_報酬をもらえる確率がアップします</v>
      </c>
      <c r="M74" s="57" t="s">
        <v>210</v>
      </c>
    </row>
    <row r="75" spans="1:13" x14ac:dyDescent="0.15">
      <c r="A75" s="81" t="s">
        <v>200</v>
      </c>
      <c r="B75" s="82">
        <f>floors!$C$2</f>
        <v>30040</v>
      </c>
      <c r="C75" s="83" t="str">
        <f ca="1">VLOOKUP($B75,OFFSET([2]quests!$A$1,0,0,COUNTA([2]quests!$A:$A),MATCH(C$1,[2]quests!$1:$1,0)-MATCH($B$1,[2]quests!$1:$1,0)+1),MATCH(C$1,[2]quests!$1:$1,0)-MATCH($B$1,[2]quests!$1:$1,0)+1,FALSE)</f>
        <v>闇ヨリ出ル魔獣</v>
      </c>
      <c r="D75" s="83" t="str">
        <f ca="1">VLOOKUP($B75,OFFSET([2]quests!$A$1,0,0,COUNTA([2]quests!$A:$A),MATCH(D$1,[2]quests!$1:$1,0)-MATCH($B$1,[2]quests!$1:$1,0)+1),MATCH(D$1,[2]quests!$1:$1,0)-MATCH($B$1,[2]quests!$1:$1,0)+1,FALSE)</f>
        <v>メソポタミア文明シリーズ超級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【超級】闇ヨリ出ル魔獣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5" s="85">
        <v>0</v>
      </c>
      <c r="I75">
        <v>30</v>
      </c>
      <c r="J75" s="84" t="s">
        <v>197</v>
      </c>
      <c r="K75" s="93" t="str">
        <f>VLOOKUP(I75,[6]stage_hints!$A:$C,3,FALSE)</f>
        <v>「バグ」の増やし方</v>
      </c>
      <c r="L75" s="94" t="str">
        <f>VLOOKUP(I75,[6]stage_hints!$A:$D,4,FALSE)</f>
        <v>同じユニット同士を強化で合成すると_x000D_「バグ」を増やすことができます</v>
      </c>
      <c r="M75" s="57" t="s">
        <v>210</v>
      </c>
    </row>
    <row r="76" spans="1:13" x14ac:dyDescent="0.15">
      <c r="A76" s="81" t="s">
        <v>200</v>
      </c>
      <c r="B76" s="82">
        <f>floors!$C$2</f>
        <v>30040</v>
      </c>
      <c r="C76" s="83" t="str">
        <f ca="1">VLOOKUP($B76,OFFSET([2]quests!$A$1,0,0,COUNTA([2]quests!$A:$A),MATCH(C$1,[2]quests!$1:$1,0)-MATCH($B$1,[2]quests!$1:$1,0)+1),MATCH(C$1,[2]quests!$1:$1,0)-MATCH($B$1,[2]quests!$1:$1,0)+1,FALSE)</f>
        <v>闇ヨリ出ル魔獣</v>
      </c>
      <c r="D76" s="83" t="str">
        <f ca="1">VLOOKUP($B76,OFFSET([2]quests!$A$1,0,0,COUNTA([2]quests!$A:$A),MATCH(D$1,[2]quests!$1:$1,0)-MATCH($B$1,[2]quests!$1:$1,0)+1),MATCH(D$1,[2]quests!$1:$1,0)-MATCH($B$1,[2]quests!$1:$1,0)+1,FALSE)</f>
        <v>メソポタミア文明シリーズ超級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【超級】闇ヨリ出ル魔獣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6" s="85">
        <v>0</v>
      </c>
      <c r="I76">
        <v>32</v>
      </c>
      <c r="J76" s="84" t="s">
        <v>197</v>
      </c>
      <c r="K76" s="93" t="str">
        <f>VLOOKUP(I76,[6]stage_hints!$A:$C,3,FALSE)</f>
        <v>敵の連続攻撃には</v>
      </c>
      <c r="L76" s="94" t="str">
        <f>VLOOKUP(I76,[6]stage_hints!$A:$D,4,FALSE)</f>
        <v>カウンタースキルを持つユニットがいれば_x000D_ダメージ回数分の反撃ができます</v>
      </c>
      <c r="M76" s="57" t="s">
        <v>210</v>
      </c>
    </row>
    <row r="77" spans="1:13" x14ac:dyDescent="0.15">
      <c r="A77" s="81" t="s">
        <v>200</v>
      </c>
      <c r="B77" s="82">
        <f>floors!$C$2</f>
        <v>30040</v>
      </c>
      <c r="C77" s="83" t="str">
        <f ca="1">VLOOKUP($B77,OFFSET([2]quests!$A$1,0,0,COUNTA([2]quests!$A:$A),MATCH(C$1,[2]quests!$1:$1,0)-MATCH($B$1,[2]quests!$1:$1,0)+1),MATCH(C$1,[2]quests!$1:$1,0)-MATCH($B$1,[2]quests!$1:$1,0)+1,FALSE)</f>
        <v>闇ヨリ出ル魔獣</v>
      </c>
      <c r="D77" s="83" t="str">
        <f ca="1">VLOOKUP($B77,OFFSET([2]quests!$A$1,0,0,COUNTA([2]quests!$A:$A),MATCH(D$1,[2]quests!$1:$1,0)-MATCH($B$1,[2]quests!$1:$1,0)+1),MATCH(D$1,[2]quests!$1:$1,0)-MATCH($B$1,[2]quests!$1:$1,0)+1,FALSE)</f>
        <v>メソポタミア文明シリーズ超級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【超級】闇ヨリ出ル魔獣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7" s="85">
        <v>0</v>
      </c>
      <c r="I77">
        <v>33</v>
      </c>
      <c r="J77" s="84" t="s">
        <v>197</v>
      </c>
      <c r="K77" s="93" t="str">
        <f>VLOOKUP(I77,[6]stage_hints!$A:$C,3,FALSE)</f>
        <v>敵のカウンター攻撃には</v>
      </c>
      <c r="L77" s="94" t="str">
        <f>VLOOKUP(I77,[6]stage_hints!$A:$D,4,FALSE)</f>
        <v>カウンターブレイクスキルを持っていれば_x000D_敵のカウンターを解除して攻撃ができます</v>
      </c>
      <c r="M77" s="57" t="s">
        <v>210</v>
      </c>
    </row>
    <row r="78" spans="1:13" x14ac:dyDescent="0.15">
      <c r="A78" s="81" t="s">
        <v>200</v>
      </c>
      <c r="B78" s="82">
        <f>floors!$C$2</f>
        <v>30040</v>
      </c>
      <c r="C78" s="83" t="str">
        <f ca="1">VLOOKUP($B78,OFFSET([2]quests!$A$1,0,0,COUNTA([2]quests!$A:$A),MATCH(C$1,[2]quests!$1:$1,0)-MATCH($B$1,[2]quests!$1:$1,0)+1),MATCH(C$1,[2]quests!$1:$1,0)-MATCH($B$1,[2]quests!$1:$1,0)+1,FALSE)</f>
        <v>闇ヨリ出ル魔獣</v>
      </c>
      <c r="D78" s="83" t="str">
        <f ca="1">VLOOKUP($B78,OFFSET([2]quests!$A$1,0,0,COUNTA([2]quests!$A:$A),MATCH(D$1,[2]quests!$1:$1,0)-MATCH($B$1,[2]quests!$1:$1,0)+1),MATCH(D$1,[2]quests!$1:$1,0)-MATCH($B$1,[2]quests!$1:$1,0)+1,FALSE)</f>
        <v>メソポタミア文明シリーズ超級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【超級】闇ヨリ出ル魔獣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8" s="85">
        <v>0</v>
      </c>
      <c r="I78">
        <v>34</v>
      </c>
      <c r="J78" s="84" t="s">
        <v>197</v>
      </c>
      <c r="K78" s="93" t="str">
        <f>VLOOKUP(I78,[6]stage_hints!$A:$C,3,FALSE)</f>
        <v>ステータスをスキルで下げられたら</v>
      </c>
      <c r="L78" s="94" t="str">
        <f>VLOOKUP(I78,[6]stage_hints!$A:$D,4,FALSE)</f>
        <v>ステータスダウンのスキルを受けたら_x000D_ステータスアップスキルで上書きしましょう</v>
      </c>
      <c r="M78" s="57" t="s">
        <v>210</v>
      </c>
    </row>
    <row r="79" spans="1:13" x14ac:dyDescent="0.15">
      <c r="A79" s="81" t="s">
        <v>200</v>
      </c>
      <c r="B79" s="82">
        <f>floors!$C$2</f>
        <v>30040</v>
      </c>
      <c r="C79" s="83" t="str">
        <f ca="1">VLOOKUP($B79,OFFSET([2]quests!$A$1,0,0,COUNTA([2]quests!$A:$A),MATCH(C$1,[2]quests!$1:$1,0)-MATCH($B$1,[2]quests!$1:$1,0)+1),MATCH(C$1,[2]quests!$1:$1,0)-MATCH($B$1,[2]quests!$1:$1,0)+1,FALSE)</f>
        <v>闇ヨリ出ル魔獣</v>
      </c>
      <c r="D79" s="83" t="str">
        <f ca="1">VLOOKUP($B79,OFFSET([2]quests!$A$1,0,0,COUNTA([2]quests!$A:$A),MATCH(D$1,[2]quests!$1:$1,0)-MATCH($B$1,[2]quests!$1:$1,0)+1),MATCH(D$1,[2]quests!$1:$1,0)-MATCH($B$1,[2]quests!$1:$1,0)+1,FALSE)</f>
        <v>メソポタミア文明シリーズ超級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【超級】闇ヨリ出ル魔獣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9" s="85">
        <v>0</v>
      </c>
      <c r="I79">
        <v>35</v>
      </c>
      <c r="J79" s="84" t="s">
        <v>197</v>
      </c>
      <c r="K79" s="93" t="str">
        <f>VLOOKUP(I79,[6]stage_hints!$A:$C,3,FALSE)</f>
        <v>敵のステータスがスキルで上がったら</v>
      </c>
      <c r="L79" s="94" t="str">
        <f>VLOOKUP(I79,[6]stage_hints!$A:$D,4,FALSE)</f>
        <v>敵のステータスがスキルでアップしたときは_x000D_ステータスダウンスキルで上書きしましょう</v>
      </c>
      <c r="M79" s="57" t="s">
        <v>210</v>
      </c>
    </row>
    <row r="80" spans="1:13" x14ac:dyDescent="0.15">
      <c r="A80" s="81" t="s">
        <v>200</v>
      </c>
      <c r="B80" s="82">
        <f>floors!$C$2</f>
        <v>30040</v>
      </c>
      <c r="C80" s="83" t="str">
        <f ca="1">VLOOKUP($B80,OFFSET([2]quests!$A$1,0,0,COUNTA([2]quests!$A:$A),MATCH(C$1,[2]quests!$1:$1,0)-MATCH($B$1,[2]quests!$1:$1,0)+1),MATCH(C$1,[2]quests!$1:$1,0)-MATCH($B$1,[2]quests!$1:$1,0)+1,FALSE)</f>
        <v>闇ヨリ出ル魔獣</v>
      </c>
      <c r="D80" s="83" t="str">
        <f ca="1">VLOOKUP($B80,OFFSET([2]quests!$A$1,0,0,COUNTA([2]quests!$A:$A),MATCH(D$1,[2]quests!$1:$1,0)-MATCH($B$1,[2]quests!$1:$1,0)+1),MATCH(D$1,[2]quests!$1:$1,0)-MATCH($B$1,[2]quests!$1:$1,0)+1,FALSE)</f>
        <v>メソポタミア文明シリーズ超級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【超級】闇ヨリ出ル魔獣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80" s="85">
        <v>0</v>
      </c>
      <c r="I80">
        <v>36</v>
      </c>
      <c r="J80" s="84" t="s">
        <v>197</v>
      </c>
      <c r="K80" s="93" t="str">
        <f>VLOOKUP(I80,[6]stage_hints!$A:$C,3,FALSE)</f>
        <v>チャレンジタワーのボス</v>
      </c>
      <c r="L80" s="94" t="str">
        <f>VLOOKUP(I80,[6]stage_hints!$A:$D,4,FALSE)</f>
        <v>チャレンジタワーでのみ登場するボスは_x000D_一定確率で獲得することができます</v>
      </c>
      <c r="M80" s="57" t="s">
        <v>210</v>
      </c>
    </row>
    <row r="81" spans="1:13" x14ac:dyDescent="0.15">
      <c r="A81" s="81" t="s">
        <v>200</v>
      </c>
      <c r="B81" s="82">
        <f>floors!$C$2</f>
        <v>30040</v>
      </c>
      <c r="C81" s="83" t="str">
        <f ca="1">VLOOKUP($B81,OFFSET([2]quests!$A$1,0,0,COUNTA([2]quests!$A:$A),MATCH(C$1,[2]quests!$1:$1,0)-MATCH($B$1,[2]quests!$1:$1,0)+1),MATCH(C$1,[2]quests!$1:$1,0)-MATCH($B$1,[2]quests!$1:$1,0)+1,FALSE)</f>
        <v>闇ヨリ出ル魔獣</v>
      </c>
      <c r="D81" s="83" t="str">
        <f ca="1">VLOOKUP($B81,OFFSET([2]quests!$A$1,0,0,COUNTA([2]quests!$A:$A),MATCH(D$1,[2]quests!$1:$1,0)-MATCH($B$1,[2]quests!$1:$1,0)+1),MATCH(D$1,[2]quests!$1:$1,0)-MATCH($B$1,[2]quests!$1:$1,0)+1,FALSE)</f>
        <v>メソポタミア文明シリーズ超級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【超級】闇ヨリ出ル魔獣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81" s="85">
        <v>0</v>
      </c>
      <c r="I81">
        <v>37</v>
      </c>
      <c r="J81" s="84" t="s">
        <v>197</v>
      </c>
      <c r="K81" s="93" t="str">
        <f>VLOOKUP(I81,[6]stage_hints!$A:$C,3,FALSE)</f>
        <v>限界突破値の引き継ぎ</v>
      </c>
      <c r="L81" s="94" t="str">
        <f>VLOOKUP(I81,[6]stage_hints!$A:$D,4,FALSE)</f>
        <v>同じユニットを強化で合成すると_x000D_限界突破値を引き継げます（覚醒前後も可）</v>
      </c>
      <c r="M81" s="57" t="s">
        <v>210</v>
      </c>
    </row>
    <row r="82" spans="1:13" x14ac:dyDescent="0.15">
      <c r="A82" s="81" t="s">
        <v>200</v>
      </c>
      <c r="B82" s="82">
        <f>floors!$C$2</f>
        <v>30040</v>
      </c>
      <c r="C82" s="83" t="str">
        <f ca="1">VLOOKUP($B82,OFFSET([2]quests!$A$1,0,0,COUNTA([2]quests!$A:$A),MATCH(C$1,[2]quests!$1:$1,0)-MATCH($B$1,[2]quests!$1:$1,0)+1),MATCH(C$1,[2]quests!$1:$1,0)-MATCH($B$1,[2]quests!$1:$1,0)+1,FALSE)</f>
        <v>闇ヨリ出ル魔獣</v>
      </c>
      <c r="D82" s="83" t="str">
        <f ca="1">VLOOKUP($B82,OFFSET([2]quests!$A$1,0,0,COUNTA([2]quests!$A:$A),MATCH(D$1,[2]quests!$1:$1,0)-MATCH($B$1,[2]quests!$1:$1,0)+1),MATCH(D$1,[2]quests!$1:$1,0)-MATCH($B$1,[2]quests!$1:$1,0)+1,FALSE)</f>
        <v>メソポタミア文明シリーズ超級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【超級】闇ヨリ出ル魔獣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82" s="85">
        <v>0</v>
      </c>
      <c r="I82">
        <v>39</v>
      </c>
      <c r="J82" s="84" t="s">
        <v>197</v>
      </c>
      <c r="K82" s="93" t="str">
        <f>VLOOKUP(I82,[6]stage_hints!$A:$C,3,FALSE)</f>
        <v>システム適合者を確認</v>
      </c>
      <c r="L82" s="94" t="str">
        <f>VLOOKUP(I82,[6]stage_hints!$A:$D,4,FALSE)</f>
        <v>ALICEが 「アナタ」を呼んでいます</v>
      </c>
      <c r="M82" s="57" t="s">
        <v>210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6"/>
  <sheetViews>
    <sheetView showGridLines="0" topLeftCell="E1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150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126</v>
      </c>
      <c r="L1" s="78" t="s">
        <v>186</v>
      </c>
      <c r="M1" s="92" t="s">
        <v>185</v>
      </c>
      <c r="N1" s="80" t="s">
        <v>195</v>
      </c>
    </row>
    <row r="2" spans="1:14" ht="42" x14ac:dyDescent="0.15">
      <c r="A2" s="81" t="s">
        <v>196</v>
      </c>
      <c r="B2" s="82">
        <f>floors!$C$2</f>
        <v>30040</v>
      </c>
      <c r="C2" s="83" t="str">
        <f ca="1">VLOOKUP($B2,OFFSET([2]quests!$A$1,0,0,COUNTA([2]quests!$A:$A),MATCH(C$1,[2]quests!$1:$1,0)-MATCH($B$1,[2]quests!$1:$1,0)+1),MATCH(C$1,[2]quests!$1:$1,0)-MATCH($B$1,[2]quests!$1:$1,0)+1,FALSE)</f>
        <v>闇ヨリ出ル魔獣</v>
      </c>
      <c r="D2" s="83" t="str">
        <f ca="1">VLOOKUP($B2,OFFSET([2]quests!$A$1,0,0,COUNTA([2]quests!$A:$A),MATCH(D$1,[2]quests!$1:$1,0)-MATCH($B$1,[2]quests!$1:$1,0)+1),MATCH(D$1,[2]quests!$1:$1,0)-MATCH($B$1,[2]quests!$1:$1,0)+1,FALSE)</f>
        <v>メソポタミア文明シリーズ超級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【中級】闇ヨリ出ル魔獣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" s="119">
        <v>1</v>
      </c>
      <c r="I2" s="90">
        <f t="shared" ref="I2:I8" si="0">ROW()-1</f>
        <v>1</v>
      </c>
      <c r="J2" s="86" t="str">
        <f t="shared" ref="J2:J8" si="1">B2&amp;TEXT(I2,"00")</f>
        <v>3004001</v>
      </c>
      <c r="K2" s="84" t="s">
        <v>197</v>
      </c>
      <c r="L2" s="87" t="s">
        <v>198</v>
      </c>
      <c r="M2" s="118" t="s">
        <v>310</v>
      </c>
      <c r="N2" s="57" t="s">
        <v>199</v>
      </c>
    </row>
    <row r="3" spans="1:14" ht="42" x14ac:dyDescent="0.15">
      <c r="A3" s="81" t="s">
        <v>196</v>
      </c>
      <c r="B3" s="82">
        <f>floors!$C$2</f>
        <v>30040</v>
      </c>
      <c r="C3" s="83" t="str">
        <f ca="1">VLOOKUP($B3,OFFSET([2]quests!$A$1,0,0,COUNTA([2]quests!$A:$A),MATCH(C$1,[2]quests!$1:$1,0)-MATCH($B$1,[2]quests!$1:$1,0)+1),MATCH(C$1,[2]quests!$1:$1,0)-MATCH($B$1,[2]quests!$1:$1,0)+1,FALSE)</f>
        <v>闇ヨリ出ル魔獣</v>
      </c>
      <c r="D3" s="83" t="str">
        <f ca="1">VLOOKUP($B3,OFFSET([2]quests!$A$1,0,0,COUNTA([2]quests!$A:$A),MATCH(D$1,[2]quests!$1:$1,0)-MATCH($B$1,[2]quests!$1:$1,0)+1),MATCH(D$1,[2]quests!$1:$1,0)-MATCH($B$1,[2]quests!$1:$1,0)+1,FALSE)</f>
        <v>メソポタミア文明シリーズ超級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【中級】闇ヨリ出ル魔獣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3" s="119">
        <v>1</v>
      </c>
      <c r="I3" s="90">
        <f t="shared" si="0"/>
        <v>2</v>
      </c>
      <c r="J3" s="86" t="str">
        <f t="shared" si="1"/>
        <v>3004002</v>
      </c>
      <c r="K3" s="84" t="s">
        <v>197</v>
      </c>
      <c r="L3" s="87" t="s">
        <v>198</v>
      </c>
      <c r="M3" s="118" t="s">
        <v>311</v>
      </c>
      <c r="N3" s="57" t="s">
        <v>199</v>
      </c>
    </row>
    <row r="4" spans="1:14" ht="42" x14ac:dyDescent="0.15">
      <c r="A4" s="81" t="s">
        <v>196</v>
      </c>
      <c r="B4" s="82">
        <f>floors!$C$2</f>
        <v>30040</v>
      </c>
      <c r="C4" s="83" t="str">
        <f ca="1">VLOOKUP($B4,OFFSET([2]quests!$A$1,0,0,COUNTA([2]quests!$A:$A),MATCH(C$1,[2]quests!$1:$1,0)-MATCH($B$1,[2]quests!$1:$1,0)+1),MATCH(C$1,[2]quests!$1:$1,0)-MATCH($B$1,[2]quests!$1:$1,0)+1,FALSE)</f>
        <v>闇ヨリ出ル魔獣</v>
      </c>
      <c r="D4" s="83" t="str">
        <f ca="1">VLOOKUP($B4,OFFSET([2]quests!$A$1,0,0,COUNTA([2]quests!$A:$A),MATCH(D$1,[2]quests!$1:$1,0)-MATCH($B$1,[2]quests!$1:$1,0)+1),MATCH(D$1,[2]quests!$1:$1,0)-MATCH($B$1,[2]quests!$1:$1,0)+1,FALSE)</f>
        <v>メソポタミア文明シリーズ超級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【中級】闇ヨリ出ル魔獣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4" s="119">
        <v>2</v>
      </c>
      <c r="I4" s="90">
        <f t="shared" si="0"/>
        <v>3</v>
      </c>
      <c r="J4" s="86" t="str">
        <f t="shared" si="1"/>
        <v>3004003</v>
      </c>
      <c r="K4" s="84" t="s">
        <v>197</v>
      </c>
      <c r="L4" s="87" t="s">
        <v>198</v>
      </c>
      <c r="M4" s="118" t="s">
        <v>312</v>
      </c>
      <c r="N4" s="57" t="s">
        <v>199</v>
      </c>
    </row>
    <row r="5" spans="1:14" ht="28" x14ac:dyDescent="0.15">
      <c r="A5" s="81" t="s">
        <v>196</v>
      </c>
      <c r="B5" s="82">
        <f>floors!$C$2</f>
        <v>30040</v>
      </c>
      <c r="C5" s="83" t="str">
        <f ca="1">VLOOKUP($B5,OFFSET([2]quests!$A$1,0,0,COUNTA([2]quests!$A:$A),MATCH(C$1,[2]quests!$1:$1,0)-MATCH($B$1,[2]quests!$1:$1,0)+1),MATCH(C$1,[2]quests!$1:$1,0)-MATCH($B$1,[2]quests!$1:$1,0)+1,FALSE)</f>
        <v>闇ヨリ出ル魔獣</v>
      </c>
      <c r="D5" s="83" t="str">
        <f ca="1">VLOOKUP($B5,OFFSET([2]quests!$A$1,0,0,COUNTA([2]quests!$A:$A),MATCH(D$1,[2]quests!$1:$1,0)-MATCH($B$1,[2]quests!$1:$1,0)+1),MATCH(D$1,[2]quests!$1:$1,0)-MATCH($B$1,[2]quests!$1:$1,0)+1,FALSE)</f>
        <v>メソポタミア文明シリーズ超級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【中級】闇ヨリ出ル魔獣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5" s="119">
        <v>2</v>
      </c>
      <c r="I5" s="90">
        <f t="shared" si="0"/>
        <v>4</v>
      </c>
      <c r="J5" s="86" t="str">
        <f t="shared" si="1"/>
        <v>3004004</v>
      </c>
      <c r="K5" s="84" t="s">
        <v>197</v>
      </c>
      <c r="L5" s="87" t="s">
        <v>198</v>
      </c>
      <c r="M5" s="118" t="s">
        <v>313</v>
      </c>
      <c r="N5" s="57" t="s">
        <v>199</v>
      </c>
    </row>
    <row r="6" spans="1:14" ht="42" x14ac:dyDescent="0.15">
      <c r="A6" s="81" t="s">
        <v>196</v>
      </c>
      <c r="B6" s="82">
        <f>floors!$C$2</f>
        <v>30040</v>
      </c>
      <c r="C6" s="83" t="str">
        <f ca="1">VLOOKUP($B6,OFFSET([2]quests!$A$1,0,0,COUNTA([2]quests!$A:$A),MATCH(C$1,[2]quests!$1:$1,0)-MATCH($B$1,[2]quests!$1:$1,0)+1),MATCH(C$1,[2]quests!$1:$1,0)-MATCH($B$1,[2]quests!$1:$1,0)+1,FALSE)</f>
        <v>闇ヨリ出ル魔獣</v>
      </c>
      <c r="D6" s="83" t="str">
        <f ca="1">VLOOKUP($B6,OFFSET([2]quests!$A$1,0,0,COUNTA([2]quests!$A:$A),MATCH(D$1,[2]quests!$1:$1,0)-MATCH($B$1,[2]quests!$1:$1,0)+1),MATCH(D$1,[2]quests!$1:$1,0)-MATCH($B$1,[2]quests!$1:$1,0)+1,FALSE)</f>
        <v>メソポタミア文明シリーズ超級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【中級】闇ヨリ出ル魔獣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6" s="119">
        <v>3</v>
      </c>
      <c r="I6" s="90">
        <f t="shared" si="0"/>
        <v>5</v>
      </c>
      <c r="J6" s="86" t="str">
        <f t="shared" si="1"/>
        <v>3004005</v>
      </c>
      <c r="K6" s="84" t="s">
        <v>197</v>
      </c>
      <c r="L6" s="87" t="s">
        <v>198</v>
      </c>
      <c r="M6" s="118" t="s">
        <v>314</v>
      </c>
      <c r="N6" s="57" t="s">
        <v>199</v>
      </c>
    </row>
    <row r="7" spans="1:14" ht="42" x14ac:dyDescent="0.15">
      <c r="A7" s="81" t="s">
        <v>196</v>
      </c>
      <c r="B7" s="82">
        <f>floors!$C$2</f>
        <v>30040</v>
      </c>
      <c r="C7" s="83" t="str">
        <f ca="1">VLOOKUP($B7,OFFSET([2]quests!$A$1,0,0,COUNTA([2]quests!$A:$A),MATCH(C$1,[2]quests!$1:$1,0)-MATCH($B$1,[2]quests!$1:$1,0)+1),MATCH(C$1,[2]quests!$1:$1,0)-MATCH($B$1,[2]quests!$1:$1,0)+1,FALSE)</f>
        <v>闇ヨリ出ル魔獣</v>
      </c>
      <c r="D7" s="83" t="str">
        <f ca="1">VLOOKUP($B7,OFFSET([2]quests!$A$1,0,0,COUNTA([2]quests!$A:$A),MATCH(D$1,[2]quests!$1:$1,0)-MATCH($B$1,[2]quests!$1:$1,0)+1),MATCH(D$1,[2]quests!$1:$1,0)-MATCH($B$1,[2]quests!$1:$1,0)+1,FALSE)</f>
        <v>メソポタミア文明シリーズ超級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【中級】闇ヨリ出ル魔獣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7" s="119">
        <v>3</v>
      </c>
      <c r="I7" s="90">
        <f t="shared" si="0"/>
        <v>6</v>
      </c>
      <c r="J7" s="86" t="str">
        <f t="shared" si="1"/>
        <v>3004006</v>
      </c>
      <c r="K7" s="84" t="s">
        <v>197</v>
      </c>
      <c r="L7" s="87" t="s">
        <v>198</v>
      </c>
      <c r="M7" s="118" t="s">
        <v>315</v>
      </c>
      <c r="N7" s="57" t="s">
        <v>199</v>
      </c>
    </row>
    <row r="8" spans="1:14" ht="42" x14ac:dyDescent="0.15">
      <c r="A8" s="81" t="s">
        <v>196</v>
      </c>
      <c r="B8" s="82">
        <f>floors!$C$2</f>
        <v>30040</v>
      </c>
      <c r="C8" s="83" t="str">
        <f ca="1">VLOOKUP($B8,OFFSET([2]quests!$A$1,0,0,COUNTA([2]quests!$A:$A),MATCH(C$1,[2]quests!$1:$1,0)-MATCH($B$1,[2]quests!$1:$1,0)+1),MATCH(C$1,[2]quests!$1:$1,0)-MATCH($B$1,[2]quests!$1:$1,0)+1,FALSE)</f>
        <v>闇ヨリ出ル魔獣</v>
      </c>
      <c r="D8" s="83" t="str">
        <f ca="1">VLOOKUP($B8,OFFSET([2]quests!$A$1,0,0,COUNTA([2]quests!$A:$A),MATCH(D$1,[2]quests!$1:$1,0)-MATCH($B$1,[2]quests!$1:$1,0)+1),MATCH(D$1,[2]quests!$1:$1,0)-MATCH($B$1,[2]quests!$1:$1,0)+1,FALSE)</f>
        <v>メソポタミア文明シリーズ超級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【中級】闇ヨリ出ル魔獣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8" s="119">
        <v>3</v>
      </c>
      <c r="I8" s="90">
        <f t="shared" si="0"/>
        <v>7</v>
      </c>
      <c r="J8" s="86" t="str">
        <f t="shared" si="1"/>
        <v>3004007</v>
      </c>
      <c r="K8" s="84" t="s">
        <v>197</v>
      </c>
      <c r="L8" s="87" t="s">
        <v>198</v>
      </c>
      <c r="M8" s="118" t="s">
        <v>350</v>
      </c>
      <c r="N8" s="57" t="s">
        <v>199</v>
      </c>
    </row>
    <row r="9" spans="1:14" ht="42" x14ac:dyDescent="0.15">
      <c r="A9" s="81" t="s">
        <v>196</v>
      </c>
      <c r="B9" s="82">
        <f>floors!$C$2</f>
        <v>30040</v>
      </c>
      <c r="C9" s="83" t="str">
        <f ca="1">VLOOKUP($B9,OFFSET([2]quests!$A$1,0,0,COUNTA([2]quests!$A:$A),MATCH(C$1,[2]quests!$1:$1,0)-MATCH($B$1,[2]quests!$1:$1,0)+1),MATCH(C$1,[2]quests!$1:$1,0)-MATCH($B$1,[2]quests!$1:$1,0)+1,FALSE)</f>
        <v>闇ヨリ出ル魔獣</v>
      </c>
      <c r="D9" s="83" t="str">
        <f ca="1">VLOOKUP($B9,OFFSET([2]quests!$A$1,0,0,COUNTA([2]quests!$A:$A),MATCH(D$1,[2]quests!$1:$1,0)-MATCH($B$1,[2]quests!$1:$1,0)+1),MATCH(D$1,[2]quests!$1:$1,0)-MATCH($B$1,[2]quests!$1:$1,0)+1,FALSE)</f>
        <v>メソポタミア文明シリーズ超級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【上級】闇ヨリ出ル魔獣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9" s="119">
        <v>1</v>
      </c>
      <c r="I9" s="90">
        <f t="shared" ref="I9:I17" si="2">ROW()-1</f>
        <v>8</v>
      </c>
      <c r="J9" s="86" t="str">
        <f t="shared" ref="J9:J17" si="3">B9&amp;TEXT(I9,"00")</f>
        <v>3004008</v>
      </c>
      <c r="K9" s="84" t="s">
        <v>197</v>
      </c>
      <c r="L9" s="87" t="s">
        <v>198</v>
      </c>
      <c r="M9" s="118" t="s">
        <v>310</v>
      </c>
      <c r="N9" s="57" t="s">
        <v>199</v>
      </c>
    </row>
    <row r="10" spans="1:14" ht="42" x14ac:dyDescent="0.15">
      <c r="A10" s="81" t="s">
        <v>196</v>
      </c>
      <c r="B10" s="82">
        <f>floors!$C$2</f>
        <v>30040</v>
      </c>
      <c r="C10" s="83" t="str">
        <f ca="1">VLOOKUP($B10,OFFSET([2]quests!$A$1,0,0,COUNTA([2]quests!$A:$A),MATCH(C$1,[2]quests!$1:$1,0)-MATCH($B$1,[2]quests!$1:$1,0)+1),MATCH(C$1,[2]quests!$1:$1,0)-MATCH($B$1,[2]quests!$1:$1,0)+1,FALSE)</f>
        <v>闇ヨリ出ル魔獣</v>
      </c>
      <c r="D10" s="83" t="str">
        <f ca="1">VLOOKUP($B10,OFFSET([2]quests!$A$1,0,0,COUNTA([2]quests!$A:$A),MATCH(D$1,[2]quests!$1:$1,0)-MATCH($B$1,[2]quests!$1:$1,0)+1),MATCH(D$1,[2]quests!$1:$1,0)-MATCH($B$1,[2]quests!$1:$1,0)+1,FALSE)</f>
        <v>メソポタミア文明シリーズ超級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【上級】闇ヨリ出ル魔獣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0" s="119">
        <v>1</v>
      </c>
      <c r="I10" s="90">
        <f t="shared" si="2"/>
        <v>9</v>
      </c>
      <c r="J10" s="86" t="str">
        <f t="shared" si="3"/>
        <v>3004009</v>
      </c>
      <c r="K10" s="84" t="s">
        <v>197</v>
      </c>
      <c r="L10" s="87" t="s">
        <v>198</v>
      </c>
      <c r="M10" s="118" t="s">
        <v>311</v>
      </c>
      <c r="N10" s="57" t="s">
        <v>199</v>
      </c>
    </row>
    <row r="11" spans="1:14" ht="42" x14ac:dyDescent="0.15">
      <c r="A11" s="81" t="s">
        <v>196</v>
      </c>
      <c r="B11" s="82">
        <f>floors!$C$2</f>
        <v>30040</v>
      </c>
      <c r="C11" s="83" t="str">
        <f ca="1">VLOOKUP($B11,OFFSET([2]quests!$A$1,0,0,COUNTA([2]quests!$A:$A),MATCH(C$1,[2]quests!$1:$1,0)-MATCH($B$1,[2]quests!$1:$1,0)+1),MATCH(C$1,[2]quests!$1:$1,0)-MATCH($B$1,[2]quests!$1:$1,0)+1,FALSE)</f>
        <v>闇ヨリ出ル魔獣</v>
      </c>
      <c r="D11" s="83" t="str">
        <f ca="1">VLOOKUP($B11,OFFSET([2]quests!$A$1,0,0,COUNTA([2]quests!$A:$A),MATCH(D$1,[2]quests!$1:$1,0)-MATCH($B$1,[2]quests!$1:$1,0)+1),MATCH(D$1,[2]quests!$1:$1,0)-MATCH($B$1,[2]quests!$1:$1,0)+1,FALSE)</f>
        <v>メソポタミア文明シリーズ超級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【上級】闇ヨリ出ル魔獣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1" s="119">
        <v>2</v>
      </c>
      <c r="I11" s="90">
        <f t="shared" si="2"/>
        <v>10</v>
      </c>
      <c r="J11" s="86" t="str">
        <f t="shared" si="3"/>
        <v>3004010</v>
      </c>
      <c r="K11" s="84" t="s">
        <v>197</v>
      </c>
      <c r="L11" s="87" t="s">
        <v>198</v>
      </c>
      <c r="M11" s="118" t="s">
        <v>312</v>
      </c>
      <c r="N11" s="57" t="s">
        <v>199</v>
      </c>
    </row>
    <row r="12" spans="1:14" ht="28" x14ac:dyDescent="0.15">
      <c r="A12" s="81" t="s">
        <v>196</v>
      </c>
      <c r="B12" s="82">
        <f>floors!$C$2</f>
        <v>30040</v>
      </c>
      <c r="C12" s="83" t="str">
        <f ca="1">VLOOKUP($B12,OFFSET([2]quests!$A$1,0,0,COUNTA([2]quests!$A:$A),MATCH(C$1,[2]quests!$1:$1,0)-MATCH($B$1,[2]quests!$1:$1,0)+1),MATCH(C$1,[2]quests!$1:$1,0)-MATCH($B$1,[2]quests!$1:$1,0)+1,FALSE)</f>
        <v>闇ヨリ出ル魔獣</v>
      </c>
      <c r="D12" s="83" t="str">
        <f ca="1">VLOOKUP($B12,OFFSET([2]quests!$A$1,0,0,COUNTA([2]quests!$A:$A),MATCH(D$1,[2]quests!$1:$1,0)-MATCH($B$1,[2]quests!$1:$1,0)+1),MATCH(D$1,[2]quests!$1:$1,0)-MATCH($B$1,[2]quests!$1:$1,0)+1,FALSE)</f>
        <v>メソポタミア文明シリーズ超級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【上級】闇ヨリ出ル魔獣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2" s="119">
        <v>2</v>
      </c>
      <c r="I12" s="90">
        <f t="shared" si="2"/>
        <v>11</v>
      </c>
      <c r="J12" s="86" t="str">
        <f t="shared" si="3"/>
        <v>3004011</v>
      </c>
      <c r="K12" s="84" t="s">
        <v>197</v>
      </c>
      <c r="L12" s="87" t="s">
        <v>198</v>
      </c>
      <c r="M12" s="118" t="s">
        <v>313</v>
      </c>
      <c r="N12" s="57" t="s">
        <v>199</v>
      </c>
    </row>
    <row r="13" spans="1:14" ht="42" x14ac:dyDescent="0.15">
      <c r="A13" s="81" t="s">
        <v>196</v>
      </c>
      <c r="B13" s="82">
        <f>floors!$C$2</f>
        <v>30040</v>
      </c>
      <c r="C13" s="83" t="str">
        <f ca="1">VLOOKUP($B13,OFFSET([2]quests!$A$1,0,0,COUNTA([2]quests!$A:$A),MATCH(C$1,[2]quests!$1:$1,0)-MATCH($B$1,[2]quests!$1:$1,0)+1),MATCH(C$1,[2]quests!$1:$1,0)-MATCH($B$1,[2]quests!$1:$1,0)+1,FALSE)</f>
        <v>闇ヨリ出ル魔獣</v>
      </c>
      <c r="D13" s="83" t="str">
        <f ca="1">VLOOKUP($B13,OFFSET([2]quests!$A$1,0,0,COUNTA([2]quests!$A:$A),MATCH(D$1,[2]quests!$1:$1,0)-MATCH($B$1,[2]quests!$1:$1,0)+1),MATCH(D$1,[2]quests!$1:$1,0)-MATCH($B$1,[2]quests!$1:$1,0)+1,FALSE)</f>
        <v>メソポタミア文明シリーズ超級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【上級】闇ヨリ出ル魔獣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3" s="119">
        <v>3</v>
      </c>
      <c r="I13" s="90">
        <f t="shared" si="2"/>
        <v>12</v>
      </c>
      <c r="J13" s="86" t="str">
        <f t="shared" si="3"/>
        <v>3004012</v>
      </c>
      <c r="K13" s="84" t="s">
        <v>197</v>
      </c>
      <c r="L13" s="87" t="s">
        <v>198</v>
      </c>
      <c r="M13" s="118" t="s">
        <v>314</v>
      </c>
      <c r="N13" s="57" t="s">
        <v>199</v>
      </c>
    </row>
    <row r="14" spans="1:14" ht="42" x14ac:dyDescent="0.15">
      <c r="A14" s="81" t="s">
        <v>196</v>
      </c>
      <c r="B14" s="82">
        <f>floors!$C$2</f>
        <v>30040</v>
      </c>
      <c r="C14" s="83" t="str">
        <f ca="1">VLOOKUP($B14,OFFSET([2]quests!$A$1,0,0,COUNTA([2]quests!$A:$A),MATCH(C$1,[2]quests!$1:$1,0)-MATCH($B$1,[2]quests!$1:$1,0)+1),MATCH(C$1,[2]quests!$1:$1,0)-MATCH($B$1,[2]quests!$1:$1,0)+1,FALSE)</f>
        <v>闇ヨリ出ル魔獣</v>
      </c>
      <c r="D14" s="83" t="str">
        <f ca="1">VLOOKUP($B14,OFFSET([2]quests!$A$1,0,0,COUNTA([2]quests!$A:$A),MATCH(D$1,[2]quests!$1:$1,0)-MATCH($B$1,[2]quests!$1:$1,0)+1),MATCH(D$1,[2]quests!$1:$1,0)-MATCH($B$1,[2]quests!$1:$1,0)+1,FALSE)</f>
        <v>メソポタミア文明シリーズ超級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【上級】闇ヨリ出ル魔獣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4" s="119">
        <v>3</v>
      </c>
      <c r="I14" s="90">
        <f t="shared" si="2"/>
        <v>13</v>
      </c>
      <c r="J14" s="86" t="str">
        <f t="shared" si="3"/>
        <v>3004013</v>
      </c>
      <c r="K14" s="84" t="s">
        <v>197</v>
      </c>
      <c r="L14" s="87" t="s">
        <v>198</v>
      </c>
      <c r="M14" s="118" t="s">
        <v>315</v>
      </c>
      <c r="N14" s="57" t="s">
        <v>199</v>
      </c>
    </row>
    <row r="15" spans="1:14" ht="56" x14ac:dyDescent="0.15">
      <c r="A15" s="81" t="s">
        <v>196</v>
      </c>
      <c r="B15" s="82">
        <f>floors!$C$2</f>
        <v>30040</v>
      </c>
      <c r="C15" s="83" t="str">
        <f ca="1">VLOOKUP($B15,OFFSET([2]quests!$A$1,0,0,COUNTA([2]quests!$A:$A),MATCH(C$1,[2]quests!$1:$1,0)-MATCH($B$1,[2]quests!$1:$1,0)+1),MATCH(C$1,[2]quests!$1:$1,0)-MATCH($B$1,[2]quests!$1:$1,0)+1,FALSE)</f>
        <v>闇ヨリ出ル魔獣</v>
      </c>
      <c r="D15" s="83" t="str">
        <f ca="1">VLOOKUP($B15,OFFSET([2]quests!$A$1,0,0,COUNTA([2]quests!$A:$A),MATCH(D$1,[2]quests!$1:$1,0)-MATCH($B$1,[2]quests!$1:$1,0)+1),MATCH(D$1,[2]quests!$1:$1,0)-MATCH($B$1,[2]quests!$1:$1,0)+1,FALSE)</f>
        <v>メソポタミア文明シリーズ超級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【上級】闇ヨリ出ル魔獣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5" s="119">
        <v>3</v>
      </c>
      <c r="I15" s="90">
        <f t="shared" si="2"/>
        <v>14</v>
      </c>
      <c r="J15" s="86" t="str">
        <f t="shared" si="3"/>
        <v>3004014</v>
      </c>
      <c r="K15" s="84" t="s">
        <v>197</v>
      </c>
      <c r="L15" s="87" t="s">
        <v>198</v>
      </c>
      <c r="M15" s="118" t="s">
        <v>361</v>
      </c>
      <c r="N15" s="57" t="s">
        <v>199</v>
      </c>
    </row>
    <row r="16" spans="1:14" ht="56" x14ac:dyDescent="0.15">
      <c r="A16" s="81" t="s">
        <v>196</v>
      </c>
      <c r="B16" s="82">
        <f>floors!$C$2</f>
        <v>30040</v>
      </c>
      <c r="C16" s="83" t="str">
        <f ca="1">VLOOKUP($B16,OFFSET([2]quests!$A$1,0,0,COUNTA([2]quests!$A:$A),MATCH(C$1,[2]quests!$1:$1,0)-MATCH($B$1,[2]quests!$1:$1,0)+1),MATCH(C$1,[2]quests!$1:$1,0)-MATCH($B$1,[2]quests!$1:$1,0)+1,FALSE)</f>
        <v>闇ヨリ出ル魔獣</v>
      </c>
      <c r="D16" s="83" t="str">
        <f ca="1">VLOOKUP($B16,OFFSET([2]quests!$A$1,0,0,COUNTA([2]quests!$A:$A),MATCH(D$1,[2]quests!$1:$1,0)-MATCH($B$1,[2]quests!$1:$1,0)+1),MATCH(D$1,[2]quests!$1:$1,0)-MATCH($B$1,[2]quests!$1:$1,0)+1,FALSE)</f>
        <v>メソポタミア文明シリーズ超級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【上級】闇ヨリ出ル魔獣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6" s="119">
        <v>3</v>
      </c>
      <c r="I16" s="90">
        <f t="shared" si="2"/>
        <v>15</v>
      </c>
      <c r="J16" s="86" t="str">
        <f t="shared" si="3"/>
        <v>3004015</v>
      </c>
      <c r="K16" s="84" t="s">
        <v>197</v>
      </c>
      <c r="L16" s="87" t="s">
        <v>198</v>
      </c>
      <c r="M16" s="118" t="s">
        <v>348</v>
      </c>
      <c r="N16" s="57" t="s">
        <v>199</v>
      </c>
    </row>
    <row r="17" spans="1:14" ht="42" x14ac:dyDescent="0.15">
      <c r="A17" s="81" t="s">
        <v>196</v>
      </c>
      <c r="B17" s="82">
        <f>floors!$C$2</f>
        <v>30040</v>
      </c>
      <c r="C17" s="83" t="str">
        <f ca="1">VLOOKUP($B17,OFFSET([2]quests!$A$1,0,0,COUNTA([2]quests!$A:$A),MATCH(C$1,[2]quests!$1:$1,0)-MATCH($B$1,[2]quests!$1:$1,0)+1),MATCH(C$1,[2]quests!$1:$1,0)-MATCH($B$1,[2]quests!$1:$1,0)+1,FALSE)</f>
        <v>闇ヨリ出ル魔獣</v>
      </c>
      <c r="D17" s="83" t="str">
        <f ca="1">VLOOKUP($B17,OFFSET([2]quests!$A$1,0,0,COUNTA([2]quests!$A:$A),MATCH(D$1,[2]quests!$1:$1,0)-MATCH($B$1,[2]quests!$1:$1,0)+1),MATCH(D$1,[2]quests!$1:$1,0)-MATCH($B$1,[2]quests!$1:$1,0)+1,FALSE)</f>
        <v>メソポタミア文明シリーズ超級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【上級】闇ヨリ出ル魔獣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7" s="119">
        <v>3</v>
      </c>
      <c r="I17" s="90">
        <f t="shared" si="2"/>
        <v>16</v>
      </c>
      <c r="J17" s="86" t="str">
        <f t="shared" si="3"/>
        <v>3004016</v>
      </c>
      <c r="K17" s="84" t="s">
        <v>197</v>
      </c>
      <c r="L17" s="87" t="s">
        <v>198</v>
      </c>
      <c r="M17" s="118" t="s">
        <v>347</v>
      </c>
      <c r="N17" s="57" t="s">
        <v>199</v>
      </c>
    </row>
    <row r="18" spans="1:14" ht="42" x14ac:dyDescent="0.15">
      <c r="A18" s="81" t="s">
        <v>196</v>
      </c>
      <c r="B18" s="82">
        <f>floors!$C$2</f>
        <v>30040</v>
      </c>
      <c r="C18" s="83" t="str">
        <f ca="1">VLOOKUP($B18,OFFSET([2]quests!$A$1,0,0,COUNTA([2]quests!$A:$A),MATCH(C$1,[2]quests!$1:$1,0)-MATCH($B$1,[2]quests!$1:$1,0)+1),MATCH(C$1,[2]quests!$1:$1,0)-MATCH($B$1,[2]quests!$1:$1,0)+1,FALSE)</f>
        <v>闇ヨリ出ル魔獣</v>
      </c>
      <c r="D18" s="83" t="str">
        <f ca="1">VLOOKUP($B18,OFFSET([2]quests!$A$1,0,0,COUNTA([2]quests!$A:$A),MATCH(D$1,[2]quests!$1:$1,0)-MATCH($B$1,[2]quests!$1:$1,0)+1),MATCH(D$1,[2]quests!$1:$1,0)-MATCH($B$1,[2]quests!$1:$1,0)+1,FALSE)</f>
        <v>メソポタミア文明シリーズ超級</v>
      </c>
      <c r="E18" s="84">
        <v>3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【超級】闇ヨリ出ル魔獣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8" s="119">
        <v>1</v>
      </c>
      <c r="I18" s="90">
        <f t="shared" ref="I18:I26" si="4">ROW()-1</f>
        <v>17</v>
      </c>
      <c r="J18" s="86" t="str">
        <f t="shared" ref="J18:J26" si="5">B18&amp;TEXT(I18,"00")</f>
        <v>3004017</v>
      </c>
      <c r="K18" s="84" t="s">
        <v>197</v>
      </c>
      <c r="L18" s="87" t="s">
        <v>198</v>
      </c>
      <c r="M18" s="118" t="s">
        <v>310</v>
      </c>
      <c r="N18" s="57" t="s">
        <v>199</v>
      </c>
    </row>
    <row r="19" spans="1:14" ht="42" x14ac:dyDescent="0.15">
      <c r="A19" s="81" t="s">
        <v>196</v>
      </c>
      <c r="B19" s="82">
        <f>floors!$C$2</f>
        <v>30040</v>
      </c>
      <c r="C19" s="83" t="str">
        <f ca="1">VLOOKUP($B19,OFFSET([2]quests!$A$1,0,0,COUNTA([2]quests!$A:$A),MATCH(C$1,[2]quests!$1:$1,0)-MATCH($B$1,[2]quests!$1:$1,0)+1),MATCH(C$1,[2]quests!$1:$1,0)-MATCH($B$1,[2]quests!$1:$1,0)+1,FALSE)</f>
        <v>闇ヨリ出ル魔獣</v>
      </c>
      <c r="D19" s="83" t="str">
        <f ca="1">VLOOKUP($B19,OFFSET([2]quests!$A$1,0,0,COUNTA([2]quests!$A:$A),MATCH(D$1,[2]quests!$1:$1,0)-MATCH($B$1,[2]quests!$1:$1,0)+1),MATCH(D$1,[2]quests!$1:$1,0)-MATCH($B$1,[2]quests!$1:$1,0)+1,FALSE)</f>
        <v>メソポタミア文明シリーズ超級</v>
      </c>
      <c r="E19" s="84">
        <v>3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【超級】闇ヨリ出ル魔獣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19" s="119">
        <v>1</v>
      </c>
      <c r="I19" s="90">
        <f t="shared" si="4"/>
        <v>18</v>
      </c>
      <c r="J19" s="86" t="str">
        <f t="shared" si="5"/>
        <v>3004018</v>
      </c>
      <c r="K19" s="84" t="s">
        <v>197</v>
      </c>
      <c r="L19" s="87" t="s">
        <v>198</v>
      </c>
      <c r="M19" s="118" t="s">
        <v>311</v>
      </c>
      <c r="N19" s="57" t="s">
        <v>199</v>
      </c>
    </row>
    <row r="20" spans="1:14" ht="42" x14ac:dyDescent="0.15">
      <c r="A20" s="81" t="s">
        <v>196</v>
      </c>
      <c r="B20" s="82">
        <f>floors!$C$2</f>
        <v>30040</v>
      </c>
      <c r="C20" s="83" t="str">
        <f ca="1">VLOOKUP($B20,OFFSET([2]quests!$A$1,0,0,COUNTA([2]quests!$A:$A),MATCH(C$1,[2]quests!$1:$1,0)-MATCH($B$1,[2]quests!$1:$1,0)+1),MATCH(C$1,[2]quests!$1:$1,0)-MATCH($B$1,[2]quests!$1:$1,0)+1,FALSE)</f>
        <v>闇ヨリ出ル魔獣</v>
      </c>
      <c r="D20" s="83" t="str">
        <f ca="1">VLOOKUP($B20,OFFSET([2]quests!$A$1,0,0,COUNTA([2]quests!$A:$A),MATCH(D$1,[2]quests!$1:$1,0)-MATCH($B$1,[2]quests!$1:$1,0)+1),MATCH(D$1,[2]quests!$1:$1,0)-MATCH($B$1,[2]quests!$1:$1,0)+1,FALSE)</f>
        <v>メソポタミア文明シリーズ超級</v>
      </c>
      <c r="E20" s="84">
        <v>3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【超級】闇ヨリ出ル魔獣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0" s="119">
        <v>2</v>
      </c>
      <c r="I20" s="90">
        <f t="shared" si="4"/>
        <v>19</v>
      </c>
      <c r="J20" s="86" t="str">
        <f t="shared" si="5"/>
        <v>3004019</v>
      </c>
      <c r="K20" s="84" t="s">
        <v>197</v>
      </c>
      <c r="L20" s="87" t="s">
        <v>198</v>
      </c>
      <c r="M20" s="118" t="s">
        <v>312</v>
      </c>
      <c r="N20" s="57" t="s">
        <v>199</v>
      </c>
    </row>
    <row r="21" spans="1:14" ht="28" x14ac:dyDescent="0.15">
      <c r="A21" s="81" t="s">
        <v>196</v>
      </c>
      <c r="B21" s="82">
        <f>floors!$C$2</f>
        <v>30040</v>
      </c>
      <c r="C21" s="83" t="str">
        <f ca="1">VLOOKUP($B21,OFFSET([2]quests!$A$1,0,0,COUNTA([2]quests!$A:$A),MATCH(C$1,[2]quests!$1:$1,0)-MATCH($B$1,[2]quests!$1:$1,0)+1),MATCH(C$1,[2]quests!$1:$1,0)-MATCH($B$1,[2]quests!$1:$1,0)+1,FALSE)</f>
        <v>闇ヨリ出ル魔獣</v>
      </c>
      <c r="D21" s="83" t="str">
        <f ca="1">VLOOKUP($B21,OFFSET([2]quests!$A$1,0,0,COUNTA([2]quests!$A:$A),MATCH(D$1,[2]quests!$1:$1,0)-MATCH($B$1,[2]quests!$1:$1,0)+1),MATCH(D$1,[2]quests!$1:$1,0)-MATCH($B$1,[2]quests!$1:$1,0)+1,FALSE)</f>
        <v>メソポタミア文明シリーズ超級</v>
      </c>
      <c r="E21" s="84">
        <v>3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【超級】闇ヨリ出ル魔獣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1" s="119">
        <v>2</v>
      </c>
      <c r="I21" s="90">
        <f t="shared" si="4"/>
        <v>20</v>
      </c>
      <c r="J21" s="86" t="str">
        <f t="shared" si="5"/>
        <v>3004020</v>
      </c>
      <c r="K21" s="84" t="s">
        <v>197</v>
      </c>
      <c r="L21" s="87" t="s">
        <v>198</v>
      </c>
      <c r="M21" s="118" t="s">
        <v>313</v>
      </c>
      <c r="N21" s="57" t="s">
        <v>199</v>
      </c>
    </row>
    <row r="22" spans="1:14" ht="42" x14ac:dyDescent="0.15">
      <c r="A22" s="81" t="s">
        <v>196</v>
      </c>
      <c r="B22" s="82">
        <f>floors!$C$2</f>
        <v>30040</v>
      </c>
      <c r="C22" s="83" t="str">
        <f ca="1">VLOOKUP($B22,OFFSET([2]quests!$A$1,0,0,COUNTA([2]quests!$A:$A),MATCH(C$1,[2]quests!$1:$1,0)-MATCH($B$1,[2]quests!$1:$1,0)+1),MATCH(C$1,[2]quests!$1:$1,0)-MATCH($B$1,[2]quests!$1:$1,0)+1,FALSE)</f>
        <v>闇ヨリ出ル魔獣</v>
      </c>
      <c r="D22" s="83" t="str">
        <f ca="1">VLOOKUP($B22,OFFSET([2]quests!$A$1,0,0,COUNTA([2]quests!$A:$A),MATCH(D$1,[2]quests!$1:$1,0)-MATCH($B$1,[2]quests!$1:$1,0)+1),MATCH(D$1,[2]quests!$1:$1,0)-MATCH($B$1,[2]quests!$1:$1,0)+1,FALSE)</f>
        <v>メソポタミア文明シリーズ超級</v>
      </c>
      <c r="E22" s="84">
        <v>3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【超級】闇ヨリ出ル魔獣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2" s="119">
        <v>3</v>
      </c>
      <c r="I22" s="90">
        <f t="shared" si="4"/>
        <v>21</v>
      </c>
      <c r="J22" s="86" t="str">
        <f t="shared" si="5"/>
        <v>3004021</v>
      </c>
      <c r="K22" s="84" t="s">
        <v>197</v>
      </c>
      <c r="L22" s="87" t="s">
        <v>198</v>
      </c>
      <c r="M22" s="118" t="s">
        <v>314</v>
      </c>
      <c r="N22" s="57" t="s">
        <v>199</v>
      </c>
    </row>
    <row r="23" spans="1:14" ht="42" x14ac:dyDescent="0.15">
      <c r="A23" s="81" t="s">
        <v>196</v>
      </c>
      <c r="B23" s="82">
        <f>floors!$C$2</f>
        <v>30040</v>
      </c>
      <c r="C23" s="83" t="str">
        <f ca="1">VLOOKUP($B23,OFFSET([2]quests!$A$1,0,0,COUNTA([2]quests!$A:$A),MATCH(C$1,[2]quests!$1:$1,0)-MATCH($B$1,[2]quests!$1:$1,0)+1),MATCH(C$1,[2]quests!$1:$1,0)-MATCH($B$1,[2]quests!$1:$1,0)+1,FALSE)</f>
        <v>闇ヨリ出ル魔獣</v>
      </c>
      <c r="D23" s="83" t="str">
        <f ca="1">VLOOKUP($B23,OFFSET([2]quests!$A$1,0,0,COUNTA([2]quests!$A:$A),MATCH(D$1,[2]quests!$1:$1,0)-MATCH($B$1,[2]quests!$1:$1,0)+1),MATCH(D$1,[2]quests!$1:$1,0)-MATCH($B$1,[2]quests!$1:$1,0)+1,FALSE)</f>
        <v>メソポタミア文明シリーズ超級</v>
      </c>
      <c r="E23" s="84">
        <v>3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【超級】闇ヨリ出ル魔獣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3" s="119">
        <v>3</v>
      </c>
      <c r="I23" s="90">
        <f t="shared" si="4"/>
        <v>22</v>
      </c>
      <c r="J23" s="86" t="str">
        <f t="shared" si="5"/>
        <v>3004022</v>
      </c>
      <c r="K23" s="84" t="s">
        <v>197</v>
      </c>
      <c r="L23" s="87" t="s">
        <v>198</v>
      </c>
      <c r="M23" s="118" t="s">
        <v>315</v>
      </c>
      <c r="N23" s="57" t="s">
        <v>199</v>
      </c>
    </row>
    <row r="24" spans="1:14" ht="56" x14ac:dyDescent="0.15">
      <c r="A24" s="81" t="s">
        <v>196</v>
      </c>
      <c r="B24" s="82">
        <f>floors!$C$2</f>
        <v>30040</v>
      </c>
      <c r="C24" s="83" t="str">
        <f ca="1">VLOOKUP($B24,OFFSET([2]quests!$A$1,0,0,COUNTA([2]quests!$A:$A),MATCH(C$1,[2]quests!$1:$1,0)-MATCH($B$1,[2]quests!$1:$1,0)+1),MATCH(C$1,[2]quests!$1:$1,0)-MATCH($B$1,[2]quests!$1:$1,0)+1,FALSE)</f>
        <v>闇ヨリ出ル魔獣</v>
      </c>
      <c r="D24" s="83" t="str">
        <f ca="1">VLOOKUP($B24,OFFSET([2]quests!$A$1,0,0,COUNTA([2]quests!$A:$A),MATCH(D$1,[2]quests!$1:$1,0)-MATCH($B$1,[2]quests!$1:$1,0)+1),MATCH(D$1,[2]quests!$1:$1,0)-MATCH($B$1,[2]quests!$1:$1,0)+1,FALSE)</f>
        <v>メソポタミア文明シリーズ超級</v>
      </c>
      <c r="E24" s="84">
        <v>3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【超級】闇ヨリ出ル魔獣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4" s="119">
        <v>3</v>
      </c>
      <c r="I24" s="90">
        <f t="shared" si="4"/>
        <v>23</v>
      </c>
      <c r="J24" s="86" t="str">
        <f t="shared" si="5"/>
        <v>3004023</v>
      </c>
      <c r="K24" s="84" t="s">
        <v>197</v>
      </c>
      <c r="L24" s="87" t="s">
        <v>198</v>
      </c>
      <c r="M24" s="118" t="s">
        <v>349</v>
      </c>
      <c r="N24" s="57" t="s">
        <v>199</v>
      </c>
    </row>
    <row r="25" spans="1:14" ht="56" x14ac:dyDescent="0.15">
      <c r="A25" s="81" t="s">
        <v>196</v>
      </c>
      <c r="B25" s="82">
        <f>floors!$C$2</f>
        <v>30040</v>
      </c>
      <c r="C25" s="83" t="str">
        <f ca="1">VLOOKUP($B25,OFFSET([2]quests!$A$1,0,0,COUNTA([2]quests!$A:$A),MATCH(C$1,[2]quests!$1:$1,0)-MATCH($B$1,[2]quests!$1:$1,0)+1),MATCH(C$1,[2]quests!$1:$1,0)-MATCH($B$1,[2]quests!$1:$1,0)+1,FALSE)</f>
        <v>闇ヨリ出ル魔獣</v>
      </c>
      <c r="D25" s="83" t="str">
        <f ca="1">VLOOKUP($B25,OFFSET([2]quests!$A$1,0,0,COUNTA([2]quests!$A:$A),MATCH(D$1,[2]quests!$1:$1,0)-MATCH($B$1,[2]quests!$1:$1,0)+1),MATCH(D$1,[2]quests!$1:$1,0)-MATCH($B$1,[2]quests!$1:$1,0)+1,FALSE)</f>
        <v>メソポタミア文明シリーズ超級</v>
      </c>
      <c r="E25" s="84">
        <v>3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【超級】闇ヨリ出ル魔獣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5" s="119">
        <v>3</v>
      </c>
      <c r="I25" s="90">
        <f t="shared" si="4"/>
        <v>24</v>
      </c>
      <c r="J25" s="86" t="str">
        <f t="shared" si="5"/>
        <v>3004024</v>
      </c>
      <c r="K25" s="84" t="s">
        <v>197</v>
      </c>
      <c r="L25" s="87" t="s">
        <v>198</v>
      </c>
      <c r="M25" s="118" t="s">
        <v>348</v>
      </c>
      <c r="N25" s="57" t="s">
        <v>199</v>
      </c>
    </row>
    <row r="26" spans="1:14" ht="42" x14ac:dyDescent="0.15">
      <c r="A26" s="81" t="s">
        <v>196</v>
      </c>
      <c r="B26" s="82">
        <f>floors!$C$2</f>
        <v>30040</v>
      </c>
      <c r="C26" s="83" t="str">
        <f ca="1">VLOOKUP($B26,OFFSET([2]quests!$A$1,0,0,COUNTA([2]quests!$A:$A),MATCH(C$1,[2]quests!$1:$1,0)-MATCH($B$1,[2]quests!$1:$1,0)+1),MATCH(C$1,[2]quests!$1:$1,0)-MATCH($B$1,[2]quests!$1:$1,0)+1,FALSE)</f>
        <v>闇ヨリ出ル魔獣</v>
      </c>
      <c r="D26" s="83" t="str">
        <f ca="1">VLOOKUP($B26,OFFSET([2]quests!$A$1,0,0,COUNTA([2]quests!$A:$A),MATCH(D$1,[2]quests!$1:$1,0)-MATCH($B$1,[2]quests!$1:$1,0)+1),MATCH(D$1,[2]quests!$1:$1,0)-MATCH($B$1,[2]quests!$1:$1,0)+1,FALSE)</f>
        <v>メソポタミア文明シリーズ超級</v>
      </c>
      <c r="E26" s="84">
        <v>3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【超級】闇ヨリ出ル魔獣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メソポタミア文明シリーズ超級</v>
      </c>
      <c r="H26" s="119">
        <v>3</v>
      </c>
      <c r="I26" s="90">
        <f t="shared" si="4"/>
        <v>25</v>
      </c>
      <c r="J26" s="86" t="str">
        <f t="shared" si="5"/>
        <v>3004025</v>
      </c>
      <c r="K26" s="84" t="s">
        <v>197</v>
      </c>
      <c r="L26" s="87" t="s">
        <v>198</v>
      </c>
      <c r="M26" s="118" t="s">
        <v>347</v>
      </c>
      <c r="N26" s="57" t="s">
        <v>199</v>
      </c>
    </row>
  </sheetData>
  <phoneticPr fontId="5"/>
  <dataValidations count="1">
    <dataValidation type="list" allowBlank="1" showInputMessage="1" showErrorMessage="1" sqref="A2:A2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F7" sqref="F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213</v>
      </c>
      <c r="B1" s="98" t="s">
        <v>214</v>
      </c>
      <c r="C1" s="77" t="s">
        <v>215</v>
      </c>
      <c r="D1" s="77" t="s">
        <v>33</v>
      </c>
      <c r="E1" s="98" t="s">
        <v>216</v>
      </c>
      <c r="F1" s="77" t="s">
        <v>217</v>
      </c>
      <c r="G1" s="77" t="s">
        <v>33</v>
      </c>
      <c r="H1" s="98" t="s">
        <v>218</v>
      </c>
      <c r="I1" s="98" t="s">
        <v>219</v>
      </c>
      <c r="J1" s="98" t="s">
        <v>220</v>
      </c>
      <c r="K1" s="73" t="s">
        <v>221</v>
      </c>
      <c r="L1" s="73" t="s">
        <v>222</v>
      </c>
      <c r="M1" s="73" t="s">
        <v>156</v>
      </c>
      <c r="N1" s="77" t="s">
        <v>16</v>
      </c>
      <c r="O1" s="73" t="s">
        <v>223</v>
      </c>
      <c r="P1" s="73" t="s">
        <v>56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2017-03-08T06:32:27Z</dcterms:modified>
</cp:coreProperties>
</file>