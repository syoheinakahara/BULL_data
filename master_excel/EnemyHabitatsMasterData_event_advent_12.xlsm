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codeName="ThisWorkbook" autoCompressPictures="0"/>
  <bookViews>
    <workbookView xWindow="320" yWindow="100" windowWidth="30860" windowHeight="202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1" l="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52" i="11"/>
  <c r="J51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7" i="9"/>
  <c r="N7" i="9"/>
  <c r="M7" i="9"/>
  <c r="L7" i="9"/>
  <c r="K7" i="9"/>
  <c r="J7" i="9"/>
  <c r="I7" i="9"/>
  <c r="H7" i="9"/>
  <c r="G7" i="9"/>
  <c r="E7" i="9"/>
  <c r="D7" i="9"/>
  <c r="A7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50" i="11"/>
  <c r="J49" i="11"/>
  <c r="O6" i="9"/>
  <c r="N6" i="9"/>
  <c r="M6" i="9"/>
  <c r="L6" i="9"/>
  <c r="K6" i="9"/>
  <c r="J6" i="9"/>
  <c r="I6" i="9"/>
  <c r="H6" i="9"/>
  <c r="G6" i="9"/>
  <c r="E6" i="9"/>
  <c r="D6" i="9"/>
  <c r="A6" i="9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52" i="9"/>
  <c r="N52" i="9"/>
  <c r="M52" i="9"/>
  <c r="L52" i="9"/>
  <c r="K52" i="9"/>
  <c r="J52" i="9"/>
  <c r="I52" i="9"/>
  <c r="H52" i="9"/>
  <c r="G52" i="9"/>
  <c r="E52" i="9"/>
  <c r="D52" i="9"/>
  <c r="A52" i="9"/>
  <c r="J48" i="11"/>
  <c r="G36" i="10"/>
  <c r="H36" i="10"/>
  <c r="I36" i="10"/>
  <c r="K36" i="10"/>
  <c r="J36" i="10"/>
  <c r="M36" i="10"/>
  <c r="T36" i="10"/>
  <c r="U36" i="10"/>
  <c r="V36" i="10"/>
  <c r="X36" i="10"/>
  <c r="W36" i="10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3" i="9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E42" i="9"/>
  <c r="D42" i="9"/>
  <c r="A42" i="9"/>
  <c r="O41" i="9"/>
  <c r="E41" i="9"/>
  <c r="D41" i="9"/>
  <c r="A41" i="9"/>
  <c r="O40" i="9"/>
  <c r="E40" i="9"/>
  <c r="D40" i="9"/>
  <c r="A40" i="9"/>
  <c r="O37" i="9"/>
  <c r="E37" i="9"/>
  <c r="D37" i="9"/>
  <c r="A37" i="9"/>
  <c r="O36" i="9"/>
  <c r="E36" i="9"/>
  <c r="D36" i="9"/>
  <c r="A36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M34" i="10"/>
  <c r="T34" i="10"/>
  <c r="W34" i="10"/>
  <c r="V34" i="10"/>
  <c r="X34" i="10"/>
  <c r="U34" i="10"/>
  <c r="Y34" i="10"/>
  <c r="M46" i="10"/>
  <c r="N46" i="10"/>
  <c r="Q46" i="10"/>
  <c r="P46" i="10"/>
  <c r="R46" i="10"/>
  <c r="O46" i="10"/>
  <c r="S46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33" i="10"/>
  <c r="T33" i="10"/>
  <c r="W33" i="10"/>
  <c r="V33" i="10"/>
  <c r="X33" i="10"/>
  <c r="U33" i="10"/>
  <c r="Y33" i="10"/>
  <c r="M45" i="10"/>
  <c r="N45" i="10"/>
  <c r="Q45" i="10"/>
  <c r="P45" i="10"/>
  <c r="R45" i="10"/>
  <c r="O45" i="10"/>
  <c r="S45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M44" i="10"/>
  <c r="N44" i="10"/>
  <c r="Q44" i="10"/>
  <c r="P44" i="10"/>
  <c r="R44" i="10"/>
  <c r="O44" i="10"/>
  <c r="S44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M43" i="10"/>
  <c r="N43" i="10"/>
  <c r="Q43" i="10"/>
  <c r="P43" i="10"/>
  <c r="R43" i="10"/>
  <c r="O43" i="10"/>
  <c r="S43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M42" i="10"/>
  <c r="N42" i="10"/>
  <c r="Q42" i="10"/>
  <c r="P42" i="10"/>
  <c r="R42" i="10"/>
  <c r="O42" i="10"/>
  <c r="S42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J6" i="11"/>
  <c r="J5" i="11"/>
  <c r="J4" i="11"/>
  <c r="J3" i="11"/>
  <c r="E4" i="9"/>
  <c r="V3" i="1"/>
  <c r="E8" i="9"/>
  <c r="E9" i="9"/>
  <c r="V4" i="1"/>
  <c r="E12" i="9"/>
  <c r="E13" i="9"/>
  <c r="V5" i="1"/>
  <c r="E16" i="9"/>
  <c r="V6" i="1"/>
  <c r="E20" i="9"/>
  <c r="V7" i="1"/>
  <c r="E24" i="9"/>
  <c r="V8" i="1"/>
  <c r="V9" i="1"/>
  <c r="V10" i="1"/>
  <c r="E2" i="9"/>
  <c r="V2" i="1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D20" i="9"/>
  <c r="A20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D16" i="9"/>
  <c r="A16" i="9"/>
  <c r="O15" i="9"/>
  <c r="E15" i="9"/>
  <c r="D15" i="9"/>
  <c r="A15" i="9"/>
  <c r="O14" i="9"/>
  <c r="E14" i="9"/>
  <c r="D14" i="9"/>
  <c r="A14" i="9"/>
  <c r="O13" i="9"/>
  <c r="D13" i="9"/>
  <c r="A13" i="9"/>
  <c r="O12" i="9"/>
  <c r="D12" i="9"/>
  <c r="A12" i="9"/>
  <c r="O11" i="9"/>
  <c r="E11" i="9"/>
  <c r="D11" i="9"/>
  <c r="A11" i="9"/>
  <c r="O10" i="9"/>
  <c r="E10" i="9"/>
  <c r="D10" i="9"/>
  <c r="A10" i="9"/>
  <c r="O9" i="9"/>
  <c r="D9" i="9"/>
  <c r="A9" i="9"/>
  <c r="O8" i="9"/>
  <c r="N8" i="9"/>
  <c r="M8" i="9"/>
  <c r="L8" i="9"/>
  <c r="K8" i="9"/>
  <c r="J8" i="9"/>
  <c r="I8" i="9"/>
  <c r="H8" i="9"/>
  <c r="G8" i="9"/>
  <c r="D8" i="9"/>
  <c r="A8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E3" i="9"/>
  <c r="D3" i="9"/>
  <c r="A3" i="9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W3" i="7"/>
  <c r="R3" i="7"/>
  <c r="Q3" i="7"/>
  <c r="P3" i="7"/>
  <c r="O3" i="7"/>
  <c r="N3" i="7"/>
  <c r="H3" i="7"/>
  <c r="J3" i="7"/>
  <c r="I3" i="7"/>
  <c r="D3" i="7"/>
  <c r="F3" i="7"/>
  <c r="E3" i="7"/>
  <c r="A3" i="7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H3" i="1"/>
  <c r="J3" i="1"/>
  <c r="I3" i="1"/>
  <c r="D3" i="1"/>
  <c r="F3" i="1"/>
  <c r="E3" i="1"/>
  <c r="A3" i="1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H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<sst xmlns="http://schemas.openxmlformats.org/spreadsheetml/2006/main" count="844" uniqueCount="385">
  <si>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</si>
  <si>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</si>
  <si>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</si>
  <si>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</si>
  <si>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</si>
  <si>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</si>
  <si>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</si>
  <si>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</si>
  <si>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</si>
  <si>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</si>
  <si>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</si>
  <si>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</si>
  <si>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</si>
  <si>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</si>
  <si>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</si>
  <si>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</si>
  <si>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</si>
  <si>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</si>
  <si>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</si>
  <si>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</si>
  <si>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</si>
  <si>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</si>
  <si>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</si>
  <si>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</si>
  <si>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</si>
  <si>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</si>
  <si>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</si>
  <si>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</si>
  <si>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</si>
  <si>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</si>
  <si>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</si>
  <si>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</si>
  <si>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</si>
  <si>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</si>
  <si>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</si>
  <si>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</si>
  <si>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</si>
  <si>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</si>
  <si>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</si>
  <si>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</si>
  <si>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</si>
  <si>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</si>
  <si>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</si>
  <si>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</si>
  <si>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</si>
  <si>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</si>
  <si>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</si>
  <si>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</si>
  <si>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</si>
  <si>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</si>
  <si>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</si>
  <si>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</si>
  <si>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</si>
  <si>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</si>
  <si>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</si>
  <si>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</si>
  <si>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</si>
  <si>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</si>
  <si>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</si>
  <si>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</si>
  <si>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</si>
  <si>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</si>
  <si>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</si>
  <si>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</si>
  <si>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</si>
  <si>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</si>
  <si>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</si>
  <si>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</si>
  <si>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</si>
  <si>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</si>
  <si>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</si>
  <si>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</si>
  <si>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</si>
  <si>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</si>
  <si>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</si>
  <si>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</si>
  <si>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</si>
  <si>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</si>
  <si>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</si>
  <si>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</si>
  <si>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</si>
  <si>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</si>
  <si>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</si>
  <si>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</si>
  <si>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</si>
  <si>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</si>
  <si>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</si>
  <si>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</si>
  <si>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</si>
  <si>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</si>
  <si>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</si>
  <si>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</si>
  <si>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</si>
  <si>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</si>
  <si>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</si>
  <si>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</si>
  <si>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</si>
  <si>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</si>
  <si>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</si>
  <si>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</si>
  <si>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</si>
  <si>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</si>
  <si>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</si>
  <si>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</si>
  <si>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</si>
  <si>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</si>
  <si>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</si>
  <si>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</si>
  <si>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</si>
  <si>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</si>
  <si>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</si>
  <si>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</si>
  <si>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</si>
  <si>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</si>
  <si>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</si>
  <si>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</si>
  <si>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</si>
  <si>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</si>
  <si>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</si>
  <si>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</si>
  <si>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</si>
  <si>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</si>
  <si>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</si>
  <si>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</si>
  <si>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</si>
  <si>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</si>
  <si>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</si>
  <si>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</si>
  <si>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</si>
  <si>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</si>
  <si>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</si>
  <si>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</si>
  <si>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</si>
  <si>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</si>
  <si>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</si>
  <si>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</si>
  <si>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</si>
  <si>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</si>
  <si>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</si>
  <si>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</si>
  <si>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</si>
  <si>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</si>
  <si>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</si>
  <si>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</si>
  <si>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</si>
  <si>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</si>
  <si>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</si>
  <si>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</si>
  <si>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</si>
  <si>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</si>
  <si>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</si>
  <si>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</si>
  <si>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</si>
  <si>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</si>
  <si>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</si>
  <si>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</si>
  <si>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</si>
  <si>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</si>
  <si>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</si>
  <si>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</si>
  <si>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</si>
  <si>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</si>
  <si>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</si>
  <si>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</si>
  <si>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</si>
  <si>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</si>
  <si>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</si>
  <si>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</si>
  <si>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</si>
  <si>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</si>
  <si>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</si>
  <si>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</si>
  <si>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</si>
  <si>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</si>
  <si>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</si>
  <si>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</si>
  <si>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</si>
  <si>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</si>
  <si>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</si>
  <si>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</si>
  <si>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</si>
  <si>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</si>
  <si>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</si>
  <si>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</si>
  <si>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</si>
  <si>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</si>
  <si>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</si>
  <si>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</si>
  <si>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</si>
  <si>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</si>
  <si>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</si>
  <si>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</si>
  <si>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</si>
  <si>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</si>
  <si>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</si>
  <si>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</si>
  <si>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</si>
  <si>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</si>
  <si>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</si>
  <si>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</si>
  <si>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</si>
  <si>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</si>
  <si>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</si>
  <si>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</si>
  <si>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</si>
  <si>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</si>
  <si>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</si>
  <si>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</si>
  <si>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</si>
  <si>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</si>
  <si>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</si>
  <si>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</si>
  <si>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</si>
  <si>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ハッピー！！</t>
    <phoneticPr fontId="5"/>
  </si>
  <si>
    <t>ハッピーがショウキを止めようとしている！</t>
    <rPh sb="10" eb="11">
      <t>ト</t>
    </rPh>
    <phoneticPr fontId="5"/>
  </si>
  <si>
    <t>null</t>
    <phoneticPr fontId="5"/>
  </si>
  <si>
    <t>old</t>
  </si>
  <si>
    <t>泡雪の抱擁</t>
    <rPh sb="0" eb="1">
      <t>アワ</t>
    </rPh>
    <rPh sb="1" eb="2">
      <t>ユキ</t>
    </rPh>
    <rPh sb="3" eb="5">
      <t>ホウヨウ</t>
    </rPh>
    <phoneticPr fontId="5"/>
  </si>
  <si>
    <t>3ターン攻撃力50%DOWN</t>
    <rPh sb="4" eb="7">
      <t>コウゲキリョク</t>
    </rPh>
    <phoneticPr fontId="5"/>
  </si>
  <si>
    <t>フフ…全部凍らせてあげる！</t>
    <rPh sb="3" eb="5">
      <t>ゼンブ</t>
    </rPh>
    <rPh sb="5" eb="6">
      <t>コオ</t>
    </rPh>
    <phoneticPr fontId="5"/>
  </si>
  <si>
    <t>[effect:nothing]</t>
    <phoneticPr fontId="5"/>
  </si>
  <si>
    <t>全体攻撃＋HP回復</t>
    <rPh sb="0" eb="4">
      <t>ゼンタイコウゲキ</t>
    </rPh>
    <rPh sb="7" eb="9">
      <t>カイフク</t>
    </rPh>
    <phoneticPr fontId="5"/>
  </si>
  <si>
    <t>ウィルス状態のユニットに大ダメージ</t>
    <rPh sb="4" eb="6">
      <t>ジョウタイ</t>
    </rPh>
    <rPh sb="12" eb="13">
      <t>ダイ</t>
    </rPh>
    <phoneticPr fontId="5"/>
  </si>
  <si>
    <t>[effect:suicide, val:1.0, dead_type:escape, target:myself]</t>
    <phoneticPr fontId="5"/>
  </si>
  <si>
    <t>[effect:sleep, target:unit_all, turn:1, rate:1],[effect:suicide, val:0.9, dead_type:suicide, target:enemy_heal, animation:enemy_suicide]</t>
    <phoneticPr fontId="5"/>
  </si>
  <si>
    <t>5回連続攻撃</t>
    <rPh sb="1" eb="2">
      <t>カイ</t>
    </rPh>
    <rPh sb="2" eb="6">
      <t>レンゾクコウゲキ</t>
    </rPh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</si>
  <si>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</si>
  <si>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</si>
  <si>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無双連撃</t>
    <rPh sb="0" eb="2">
      <t>ムソウ</t>
    </rPh>
    <rPh sb="2" eb="4">
      <t>レンゲキ</t>
    </rPh>
    <phoneticPr fontId="5"/>
  </si>
  <si>
    <t>闘気爆発</t>
    <rPh sb="0" eb="2">
      <t>トウキ</t>
    </rPh>
    <rPh sb="2" eb="4">
      <t>バクハツ</t>
    </rPh>
    <phoneticPr fontId="5"/>
  </si>
  <si>
    <t>3ターン攻撃力UP</t>
    <rPh sb="4" eb="7">
      <t>コウゲキリョク</t>
    </rPh>
    <phoneticPr fontId="5"/>
  </si>
  <si>
    <t>強力な緑パネル破壊攻撃</t>
    <rPh sb="0" eb="2">
      <t>キョウリョク</t>
    </rPh>
    <rPh sb="3" eb="4">
      <t>ミドリ</t>
    </rPh>
    <rPh sb="7" eb="9">
      <t>ハカイ</t>
    </rPh>
    <rPh sb="9" eb="11">
      <t>コウゲキ</t>
    </rPh>
    <phoneticPr fontId="5"/>
  </si>
  <si>
    <t>【！】次のターン強力な緑パネル破壊攻撃【！】</t>
    <rPh sb="3" eb="4">
      <t>ツギ</t>
    </rPh>
    <rPh sb="8" eb="10">
      <t>キョウリョク</t>
    </rPh>
    <rPh sb="11" eb="12">
      <t>ミドリ</t>
    </rPh>
    <rPh sb="15" eb="17">
      <t>ハカイ</t>
    </rPh>
    <rPh sb="17" eb="19">
      <t>コウゲキ</t>
    </rPh>
    <phoneticPr fontId="5"/>
  </si>
  <si>
    <t>投擲遊戯・風羽</t>
    <rPh sb="0" eb="2">
      <t>トウテキ</t>
    </rPh>
    <rPh sb="2" eb="4">
      <t>ユウギ</t>
    </rPh>
    <rPh sb="5" eb="6">
      <t>カゼ</t>
    </rPh>
    <rPh sb="6" eb="7">
      <t>ハネ</t>
    </rPh>
    <phoneticPr fontId="5"/>
  </si>
  <si>
    <t>舞踏遊戯・風車</t>
    <rPh sb="0" eb="2">
      <t>ブトウ</t>
    </rPh>
    <rPh sb="2" eb="4">
      <t>ユウギ</t>
    </rPh>
    <rPh sb="5" eb="6">
      <t>カゼ</t>
    </rPh>
    <rPh sb="6" eb="7">
      <t>グルマ</t>
    </rPh>
    <phoneticPr fontId="5"/>
  </si>
  <si>
    <t>これより掃討を開始する――</t>
    <rPh sb="4" eb="6">
      <t>ソウトウセン</t>
    </rPh>
    <rPh sb="7" eb="9">
      <t>カイシ</t>
    </rPh>
    <phoneticPr fontId="5"/>
  </si>
  <si>
    <t>見つけたわよ　あんた達！</t>
    <rPh sb="0" eb="1">
      <t>ミ</t>
    </rPh>
    <rPh sb="10" eb="11">
      <t>タチ</t>
    </rPh>
    <phoneticPr fontId="5"/>
  </si>
  <si>
    <t>邪魔だけはしないでね　蜘蛛さん♪</t>
    <rPh sb="0" eb="2">
      <t>ジャマ</t>
    </rPh>
    <rPh sb="11" eb="13">
      <t>クモ</t>
    </rPh>
    <phoneticPr fontId="5"/>
  </si>
  <si>
    <t>あァ？誰に言ってやがる！？</t>
    <rPh sb="3" eb="4">
      <t>ダレ</t>
    </rPh>
    <rPh sb="5" eb="6">
      <t>イ</t>
    </rPh>
    <phoneticPr fontId="5"/>
  </si>
  <si>
    <t>足踏み</t>
    <rPh sb="0" eb="2">
      <t>アシブ</t>
    </rPh>
    <phoneticPr fontId="5"/>
  </si>
  <si>
    <t>土盛り</t>
    <rPh sb="0" eb="2">
      <t>ツチモ</t>
    </rPh>
    <phoneticPr fontId="5"/>
  </si>
  <si>
    <t>テメェこそ足引っ張ンじゃねェぞ！</t>
    <rPh sb="5" eb="6">
      <t>アシ</t>
    </rPh>
    <rPh sb="6" eb="7">
      <t>ヒ</t>
    </rPh>
    <rPh sb="8" eb="9">
      <t>パ</t>
    </rPh>
    <phoneticPr fontId="5"/>
  </si>
  <si>
    <t>…自然発生のウィルスか</t>
    <rPh sb="1" eb="5">
      <t>シゼンハッセイ</t>
    </rPh>
    <phoneticPr fontId="5"/>
  </si>
  <si>
    <t>[effect:fix_speed, target:enemy_all, turn:1],[effect:suicide, val:0.03, dead_type:suicide, target:enemy_human, animation:enemy_suicide]</t>
    <phoneticPr fontId="5"/>
  </si>
  <si>
    <t>天眼逆流・一式</t>
    <rPh sb="0" eb="2">
      <t>テンガンツウ</t>
    </rPh>
    <rPh sb="2" eb="4">
      <t>ギャクリュウ</t>
    </rPh>
    <rPh sb="5" eb="7">
      <t>イチシキ</t>
    </rPh>
    <phoneticPr fontId="5"/>
  </si>
  <si>
    <t>宿命劣化・一式</t>
    <rPh sb="0" eb="2">
      <t>シュクメイ</t>
    </rPh>
    <rPh sb="2" eb="4">
      <t>レッカ</t>
    </rPh>
    <rPh sb="5" eb="7">
      <t>イチシキ</t>
    </rPh>
    <phoneticPr fontId="5"/>
  </si>
  <si>
    <t>天眼逆流・二式</t>
    <rPh sb="0" eb="2">
      <t>テンガンツウ</t>
    </rPh>
    <rPh sb="2" eb="4">
      <t>ギャクリュウ</t>
    </rPh>
    <rPh sb="5" eb="6">
      <t>ニ</t>
    </rPh>
    <rPh sb="6" eb="7">
      <t>イチシキ</t>
    </rPh>
    <phoneticPr fontId="5"/>
  </si>
  <si>
    <t>宿命劣化・二式</t>
    <rPh sb="0" eb="2">
      <t>シュクメイ</t>
    </rPh>
    <rPh sb="2" eb="4">
      <t>レッカ</t>
    </rPh>
    <rPh sb="5" eb="6">
      <t>ニ</t>
    </rPh>
    <rPh sb="6" eb="7">
      <t>イチシキ</t>
    </rPh>
    <phoneticPr fontId="5"/>
  </si>
  <si>
    <t>天眼逆流・三式</t>
    <rPh sb="5" eb="6">
      <t>サン</t>
    </rPh>
    <rPh sb="6" eb="7">
      <t>シキ</t>
    </rPh>
    <phoneticPr fontId="5"/>
  </si>
  <si>
    <t>宿命劣化・三式</t>
    <rPh sb="5" eb="6">
      <t>サン</t>
    </rPh>
    <phoneticPr fontId="5"/>
  </si>
  <si>
    <t>雪花の舞・雹</t>
    <rPh sb="0" eb="2">
      <t>セッカ</t>
    </rPh>
    <rPh sb="3" eb="4">
      <t>マイ</t>
    </rPh>
    <rPh sb="5" eb="6">
      <t>ヒョウ</t>
    </rPh>
    <phoneticPr fontId="5"/>
  </si>
  <si>
    <t>クリティカル！</t>
    <phoneticPr fontId="5"/>
  </si>
  <si>
    <t>[effect:degrade_unit, target:unit_all, turn:3, status:attack, val:0.5]</t>
    <phoneticPr fontId="5"/>
  </si>
  <si>
    <t>3ターン攻撃力66%DOWN＋攻撃</t>
    <rPh sb="4" eb="7">
      <t>コウゲキリョク</t>
    </rPh>
    <rPh sb="15" eb="17">
      <t>コウゲキ</t>
    </rPh>
    <phoneticPr fontId="5"/>
  </si>
  <si>
    <t>3ターン回復力66%DOWN＋攻撃</t>
    <rPh sb="4" eb="6">
      <t>カイフク</t>
    </rPh>
    <rPh sb="6" eb="7">
      <t>コウゲキリョク</t>
    </rPh>
    <rPh sb="15" eb="17">
      <t>コウゲキ</t>
    </rPh>
    <phoneticPr fontId="5"/>
  </si>
  <si>
    <t>[effect:fix_speed, target:myself, turn:1]</t>
    <phoneticPr fontId="5"/>
  </si>
  <si>
    <t>[effect:nothing]</t>
    <phoneticPr fontId="5"/>
  </si>
  <si>
    <t>これで仕留めてみせる…！</t>
    <rPh sb="3" eb="5">
      <t>シト</t>
    </rPh>
    <phoneticPr fontId="5"/>
  </si>
  <si>
    <t>黄泉送りの太刀</t>
    <rPh sb="0" eb="2">
      <t>ヨミ</t>
    </rPh>
    <rPh sb="2" eb="3">
      <t>オク</t>
    </rPh>
    <rPh sb="5" eb="7">
      <t>タチ</t>
    </rPh>
    <phoneticPr fontId="5"/>
  </si>
  <si>
    <t>[effect:spread, val:0.3],[effect:heal, target:myself, val:0.1, animation:enemy_heal]</t>
    <phoneticPr fontId="5"/>
  </si>
  <si>
    <t>[effect:rush, count:5, val:0.3]</t>
    <phoneticPr fontId="5"/>
  </si>
  <si>
    <t>[effect:rush, count:4, val:0.35]</t>
    <phoneticPr fontId="5"/>
  </si>
  <si>
    <t>[effect:critical, val:1.2]</t>
    <phoneticPr fontId="5"/>
  </si>
  <si>
    <t>[effect:rush, count:3, val:0.45]</t>
    <phoneticPr fontId="5"/>
  </si>
  <si>
    <t>種族ゴッドのユニットに大ダメージ</t>
    <phoneticPr fontId="5"/>
  </si>
  <si>
    <t>エラソーなヤツは嫌いでね！</t>
    <rPh sb="8" eb="9">
      <t>キラ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</si>
  <si>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</si>
  <si>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</si>
  <si>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</si>
  <si>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</si>
  <si>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</si>
  <si>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ハッピーはアナタに力を託して消え去った</t>
    <rPh sb="9" eb="10">
      <t>チカラ</t>
    </rPh>
    <rPh sb="11" eb="12">
      <t>タク</t>
    </rPh>
    <rPh sb="14" eb="15">
      <t>キ</t>
    </rPh>
    <rPh sb="16" eb="17">
      <t>サ</t>
    </rPh>
    <phoneticPr fontId="5"/>
  </si>
  <si>
    <t>全体に5ターンウィルス</t>
    <rPh sb="0" eb="2">
      <t>ゼンタイ</t>
    </rPh>
    <phoneticPr fontId="5"/>
  </si>
  <si>
    <t>[effect:hungup, target:unit_all, turn:3, rate:1, animation:hungup01]</t>
    <phoneticPr fontId="5"/>
  </si>
  <si>
    <t>全体に3ターンスキルバインド</t>
    <rPh sb="0" eb="2">
      <t>ゼンタイ</t>
    </rPh>
    <phoneticPr fontId="5"/>
  </si>
  <si>
    <t>3ターン黄パネルが使えない！</t>
    <rPh sb="4" eb="5">
      <t>キイロ</t>
    </rPh>
    <rPh sb="9" eb="10">
      <t>ツカ</t>
    </rPh>
    <phoneticPr fontId="5"/>
  </si>
  <si>
    <t>[effect:dis_panel, target:block_yellow, turn:3, animation:enemy_dis_yellow]</t>
    <phoneticPr fontId="5"/>
  </si>
  <si>
    <t>ja</t>
    <phoneticPr fontId="5"/>
  </si>
  <si>
    <t>万物催眠『ナイトメア』</t>
    <rPh sb="0" eb="2">
      <t>バンブツ</t>
    </rPh>
    <rPh sb="2" eb="4">
      <t>サイミン</t>
    </rPh>
    <phoneticPr fontId="5"/>
  </si>
  <si>
    <t>[effect:panel_freeze, target:block_blue, count:-1, break_count:1],[effect:rush, count:1, val:1.0]</t>
    <phoneticPr fontId="5"/>
  </si>
  <si>
    <t>[effect:panel_freeze, target:block_green, count:-1, break_count:1],[effect:rush, count:1, val:1.0]</t>
    <phoneticPr fontId="5"/>
  </si>
  <si>
    <t>[effect:panel_freeze, target:block_yellow, count:-1, break_count:1],[effect:rush, count:1, val:1.0]</t>
    <phoneticPr fontId="5"/>
  </si>
  <si>
    <t>[effect:enemy_counter, target:myself, invoke_condition:unit_all, counter_target:attacker, turn:3, val:1, animation:enemy_counter],[effect:freq_turn, target:myself, turn:3, val:1, animation:enemy_freq_turn]</t>
    <phoneticPr fontId="5"/>
  </si>
  <si>
    <t>[effect:panel_freeze, target:time_bomb, count:-1, break_count:1],[effect:rush, count:1, val:1.0]</t>
    <phoneticPr fontId="5"/>
  </si>
  <si>
    <t>null</t>
    <phoneticPr fontId="5"/>
  </si>
  <si>
    <t>null</t>
    <phoneticPr fontId="5"/>
  </si>
  <si>
    <t>[effect:damage_anti_tribe, target:unit_all, tribe:god, val1:0.6, val2:0.3]</t>
    <phoneticPr fontId="5"/>
  </si>
  <si>
    <t>[effect:fix_speed, target:myself, turn:2]</t>
    <phoneticPr fontId="5"/>
  </si>
  <si>
    <t>…想像以上の強さだな</t>
    <rPh sb="1" eb="5">
      <t>ソウゾウイジョウ</t>
    </rPh>
    <rPh sb="6" eb="7">
      <t>ツヨ</t>
    </rPh>
    <phoneticPr fontId="5"/>
  </si>
  <si>
    <t>出し惜しみはナシでいくぜ？
【！】次のターン永続スリープ発動【！】</t>
    <rPh sb="0" eb="1">
      <t>ダ</t>
    </rPh>
    <rPh sb="2" eb="3">
      <t>オ</t>
    </rPh>
    <rPh sb="17" eb="18">
      <t>ツギ</t>
    </rPh>
    <rPh sb="22" eb="24">
      <t>エイゾク</t>
    </rPh>
    <rPh sb="28" eb="30">
      <t>ハツドウ</t>
    </rPh>
    <phoneticPr fontId="5"/>
  </si>
  <si>
    <t>[effect:panel_freeze, target:block_heart, count:10, break_count:1],[effect:rush, count:1, val:1.0]</t>
    <phoneticPr fontId="5"/>
  </si>
  <si>
    <t>3ターン全属性カウンター&amp;攻撃頻度UP</t>
    <rPh sb="4" eb="5">
      <t>スベ</t>
    </rPh>
    <rPh sb="5" eb="7">
      <t>ゾクセイ</t>
    </rPh>
    <phoneticPr fontId="5"/>
  </si>
  <si>
    <t>[effect:sleep, target:unit_all, turn:-1, rate:1, animation:sleep01],[effect:fix_speed, target:myself, turn:2]</t>
    <phoneticPr fontId="5"/>
  </si>
  <si>
    <t>お邪魔パネル4個出現＋攻撃</t>
    <rPh sb="1" eb="3">
      <t>ジャマ</t>
    </rPh>
    <rPh sb="7" eb="8">
      <t>コ</t>
    </rPh>
    <rPh sb="8" eb="10">
      <t>シュツゲン</t>
    </rPh>
    <rPh sb="11" eb="13">
      <t>コウゲキ</t>
    </rPh>
    <phoneticPr fontId="5"/>
  </si>
  <si>
    <t>[effect:critical, val:1.2]</t>
    <phoneticPr fontId="5"/>
  </si>
  <si>
    <t>[effect:tolerance, target:unit_all, turn:40, tolerance_effect:sleep, count:-1, animation:prevent_abnormal_Unit04],[effect:suicide, val:1.0, dead_type:escape, target:myself]</t>
    <phoneticPr fontId="5"/>
  </si>
  <si>
    <t>5ターン攻撃力44%DOWN＋攻撃</t>
    <rPh sb="4" eb="7">
      <t>コウゲキリョク</t>
    </rPh>
    <rPh sb="15" eb="17">
      <t>コウゲキ</t>
    </rPh>
    <phoneticPr fontId="5"/>
  </si>
  <si>
    <t>5ターン回復力44%DOWN＋攻撃</t>
    <rPh sb="4" eb="6">
      <t>カイフク</t>
    </rPh>
    <rPh sb="6" eb="7">
      <t>コウゲキリョク</t>
    </rPh>
    <rPh sb="15" eb="17">
      <t>コウゲキ</t>
    </rPh>
    <phoneticPr fontId="5"/>
  </si>
  <si>
    <t>4ターン攻撃力55%DOWN＋攻撃</t>
    <rPh sb="4" eb="7">
      <t>コウゲキリョク</t>
    </rPh>
    <rPh sb="15" eb="17">
      <t>コウゲキ</t>
    </rPh>
    <phoneticPr fontId="5"/>
  </si>
  <si>
    <t>4ターン回復力55%DOWN＋攻撃</t>
    <rPh sb="4" eb="6">
      <t>カイフク</t>
    </rPh>
    <rPh sb="6" eb="7">
      <t>コウゲキリョク</t>
    </rPh>
    <rPh sb="15" eb="17">
      <t>コウゲキ</t>
    </rPh>
    <phoneticPr fontId="5"/>
  </si>
  <si>
    <t>[effect:degrade_unit, target:unit_all, turn:5, status:attack, val:0.44],[effect:rush, count:1, val:1.0]</t>
    <phoneticPr fontId="5"/>
  </si>
  <si>
    <t>[effect:degrade_unit, target:unit_all, turn:5, status:heal, val:0.44, animation:degrade_unit_all_heal],[effect:rush, count:1, val:1.0]</t>
    <phoneticPr fontId="5"/>
  </si>
  <si>
    <t>[effect:degrade_unit, target:unit_all, turn:4, status:attack, val:0.55],[effect:rush, count:1, val:1.0]</t>
    <phoneticPr fontId="5"/>
  </si>
  <si>
    <t>[effect:degrade_unit, target:unit_all, turn:4, status:heal, val:0.55, animation:degrade_unit_all_heal],[effect:rush, count:1, val:1.0]</t>
    <phoneticPr fontId="5"/>
  </si>
  <si>
    <t>[effect:degrade_unit, target:unit_all, turn:3, status:attack, val:0.66],[effect:rush, count:1, val:1.5]</t>
    <phoneticPr fontId="5"/>
  </si>
  <si>
    <t>[effect:degrade_unit, target:unit_all, turn:3, status:heal, val:0.66, animation:degrade_unit_all_heal],[effect:rush, count:1, val:1.5]</t>
    <phoneticPr fontId="5"/>
  </si>
  <si>
    <t>こいつで一生お寝んねしてな！</t>
    <rPh sb="4" eb="6">
      <t>イッショウ</t>
    </rPh>
    <rPh sb="7" eb="8">
      <t>ネ</t>
    </rPh>
    <phoneticPr fontId="5"/>
  </si>
  <si>
    <t>ハハッなぶり殺しだ！</t>
    <rPh sb="6" eb="7">
      <t>ゴロ</t>
    </rPh>
    <phoneticPr fontId="5"/>
  </si>
  <si>
    <t>手も足も出ないって感じだな！</t>
    <rPh sb="0" eb="1">
      <t>テ</t>
    </rPh>
    <rPh sb="2" eb="3">
      <t>アシ</t>
    </rPh>
    <rPh sb="4" eb="5">
      <t>デ</t>
    </rPh>
    <rPh sb="9" eb="10">
      <t>カン</t>
    </rPh>
    <phoneticPr fontId="5"/>
  </si>
  <si>
    <t>次はこの一手だ</t>
    <rPh sb="0" eb="1">
      <t>ツギ</t>
    </rPh>
    <rPh sb="4" eb="6">
      <t>イッテ</t>
    </rPh>
    <phoneticPr fontId="5"/>
  </si>
  <si>
    <t>対処しきれるか？</t>
    <rPh sb="0" eb="2">
      <t>タイショ</t>
    </rPh>
    <phoneticPr fontId="5"/>
  </si>
  <si>
    <t>さぁ　詰めていくぞ</t>
    <rPh sb="3" eb="4">
      <t>ツ</t>
    </rPh>
    <phoneticPr fontId="5"/>
  </si>
  <si>
    <t>いつまで保つかな！？</t>
    <rPh sb="4" eb="5">
      <t>モ</t>
    </rPh>
    <phoneticPr fontId="5"/>
  </si>
  <si>
    <t>なら次のカードを切るだけだ</t>
    <rPh sb="2" eb="3">
      <t>ツギ</t>
    </rPh>
    <rPh sb="8" eb="9">
      <t>キ</t>
    </rPh>
    <phoneticPr fontId="5"/>
  </si>
  <si>
    <t>[effect:fix_speed, target:myself, turn:1]</t>
    <phoneticPr fontId="5"/>
  </si>
  <si>
    <t>[effect:nothing]</t>
    <phoneticPr fontId="5"/>
  </si>
  <si>
    <t>[effect:break_attack, val:0.4, lowest_val:1000, count:10, block:block_green, target:unit_one]</t>
    <phoneticPr fontId="5"/>
  </si>
  <si>
    <t>ここで変化の一手だ！</t>
    <rPh sb="3" eb="5">
      <t>ヘンカ</t>
    </rPh>
    <rPh sb="6" eb="8">
      <t>イッテ</t>
    </rPh>
    <phoneticPr fontId="5"/>
  </si>
  <si>
    <t>[effect:virus, turn:5, rate:1, val:0.02, animation:enemy_virus]</t>
    <phoneticPr fontId="5"/>
  </si>
  <si>
    <t>[effect:fix_speed, target:myself, turn:2]</t>
    <phoneticPr fontId="5"/>
  </si>
  <si>
    <t>null</t>
    <phoneticPr fontId="5"/>
  </si>
  <si>
    <t>null</t>
    <phoneticPr fontId="5"/>
  </si>
  <si>
    <t>勝ちの目は全て潰す…！</t>
    <rPh sb="0" eb="1">
      <t>カ</t>
    </rPh>
    <rPh sb="3" eb="4">
      <t>メ</t>
    </rPh>
    <rPh sb="5" eb="6">
      <t>スベ</t>
    </rPh>
    <rPh sb="7" eb="8">
      <t>ツブ</t>
    </rPh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</si>
  <si>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</si>
  <si>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</si>
  <si>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</si>
  <si>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</si>
  <si>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</si>
  <si>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</si>
  <si>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そろそろ終わらせようか</t>
    <rPh sb="4" eb="5">
      <t>オ</t>
    </rPh>
    <phoneticPr fontId="5"/>
  </si>
  <si>
    <t>[effect:panel_freeze, target:block_all, count:12, break_count:1],[effect:rush, count:1, val:1.0]</t>
    <phoneticPr fontId="5"/>
  </si>
  <si>
    <t>[effect:force_change_block, new_block:jammer, target:block_all, ignore:jammer, ignore02:crash, count:4, val:0, animation:change_block],[effect:rush, count:1, val:0.5]</t>
    <phoneticPr fontId="5"/>
  </si>
  <si>
    <t>[effect:damage_anti_abnormal, target:unit_all, target_effect01:virus, val1:0.35, val2:0.2]</t>
    <phoneticPr fontId="5"/>
  </si>
  <si>
    <t>[effect:enhance_enemy, target:enemy_all, turn:2, status:defense, val:2000, calc:add, animation:enemy_enhance_defense]</t>
    <phoneticPr fontId="5"/>
  </si>
  <si>
    <t>[effect:enhance_enemy, target:myself, turn:3, status:attack, val:0.5, animation:enemy_enhance_attack]</t>
    <phoneticPr fontId="5"/>
  </si>
  <si>
    <t>3ターンの間攻撃頻度が1ターンにUP</t>
    <rPh sb="5" eb="6">
      <t>アイダ</t>
    </rPh>
    <rPh sb="6" eb="10">
      <t>コウゲキヒンド</t>
    </rPh>
    <phoneticPr fontId="5"/>
  </si>
  <si>
    <t>[effect:freq_turn, target:myself, turn:3, val:1, animation:enemy_freq_turn]</t>
    <phoneticPr fontId="5"/>
  </si>
  <si>
    <t>2ターン防御力UP</t>
    <rPh sb="4" eb="7">
      <t>ボウギョリョク</t>
    </rPh>
    <phoneticPr fontId="5"/>
  </si>
  <si>
    <t>[effect:enemy_counter, target:enemy_all, invoke_condition:unit_all, counter_target:attacker, turn:3, val:0.5, animation:enemy_counter]</t>
    <phoneticPr fontId="5"/>
  </si>
  <si>
    <t>3ターン全属性カウンター</t>
    <rPh sb="4" eb="5">
      <t>ゼンゾクセイ</t>
    </rPh>
    <rPh sb="5" eb="7">
      <t>ゾクセイ</t>
    </rPh>
    <phoneticPr fontId="5"/>
  </si>
  <si>
    <t>次は何して遊ぶんだなー？</t>
    <rPh sb="0" eb="1">
      <t>ツギ</t>
    </rPh>
    <rPh sb="2" eb="3">
      <t>ナニ</t>
    </rPh>
    <rPh sb="5" eb="6">
      <t>アソ</t>
    </rPh>
    <phoneticPr fontId="5"/>
  </si>
  <si>
    <t>ダイダラとテマリが相談している</t>
    <rPh sb="9" eb="11">
      <t>ソウダン</t>
    </rPh>
    <phoneticPr fontId="5"/>
  </si>
  <si>
    <t>あ　いいこと考えた！</t>
    <rPh sb="6" eb="7">
      <t>カンガ</t>
    </rPh>
    <phoneticPr fontId="5"/>
  </si>
  <si>
    <t>ヨミとフウガが立ちはだかる！</t>
    <rPh sb="7" eb="8">
      <t>タ</t>
    </rPh>
    <phoneticPr fontId="5"/>
  </si>
  <si>
    <t>目標を捕捉した</t>
    <rPh sb="0" eb="2">
      <t>モクヒョウ</t>
    </rPh>
    <rPh sb="3" eb="5">
      <t>ホソク</t>
    </rPh>
    <phoneticPr fontId="5"/>
  </si>
  <si>
    <t>[effect:sleep, target:unit_all, turn:1, rate:1],[effect:suicide, val:0.8, dead_type:suicide, target:enemy_heal, animation:enemy_suicide]</t>
    <phoneticPr fontId="5"/>
  </si>
  <si>
    <t>待たせて悪かった</t>
    <rPh sb="0" eb="1">
      <t>マ</t>
    </rPh>
    <rPh sb="4" eb="5">
      <t>ワル</t>
    </rPh>
    <phoneticPr fontId="5"/>
  </si>
  <si>
    <t>俺の百鬼夜行で歓迎してやろう！</t>
    <rPh sb="0" eb="1">
      <t>オレ</t>
    </rPh>
    <rPh sb="2" eb="6">
      <t>ヒャッキヤコウ</t>
    </rPh>
    <rPh sb="7" eb="9">
      <t>カンゲイ</t>
    </rPh>
    <phoneticPr fontId="5"/>
  </si>
  <si>
    <t>その力…やはりクルミか！</t>
    <rPh sb="2" eb="3">
      <t>チカラ</t>
    </rPh>
    <phoneticPr fontId="5"/>
  </si>
  <si>
    <t>そこにいる人をやっつけて遊ぼうよ！</t>
    <rPh sb="5" eb="6">
      <t>ヒト</t>
    </rPh>
    <rPh sb="12" eb="13">
      <t>アソ</t>
    </rPh>
    <phoneticPr fontId="5"/>
  </si>
  <si>
    <t>Cパネル変換禁止
＋3ターンCパネル生成延長（特大）</t>
    <rPh sb="4" eb="6">
      <t>ヘンカン</t>
    </rPh>
    <rPh sb="6" eb="8">
      <t>キンシ</t>
    </rPh>
    <rPh sb="18" eb="20">
      <t>セイセイ</t>
    </rPh>
    <rPh sb="20" eb="22">
      <t>エンチョウ</t>
    </rPh>
    <rPh sb="23" eb="25">
      <t>トクダイ</t>
    </rPh>
    <phoneticPr fontId="5"/>
  </si>
  <si>
    <t>ハッピー…</t>
    <phoneticPr fontId="5"/>
  </si>
  <si>
    <t>ユキのクリティカル攻撃と
ユウヤのウィルスキラーは強烈です
片方を集中攻撃して倒すと楽になります</t>
    <rPh sb="9" eb="11">
      <t>コウゲキ</t>
    </rPh>
    <rPh sb="25" eb="27">
      <t>キョウレツ</t>
    </rPh>
    <rPh sb="31" eb="33">
      <t>カタホウ</t>
    </rPh>
    <rPh sb="34" eb="38">
      <t>シュウチュウコウゲキ</t>
    </rPh>
    <rPh sb="40" eb="41">
      <t>タオ</t>
    </rPh>
    <rPh sb="43" eb="44">
      <t>ラク</t>
    </rPh>
    <phoneticPr fontId="5"/>
  </si>
  <si>
    <t>ダイダラはテマリが倒されると
一度だけ全属性カウンターを発動します
すぐに手を出さないように注意しましょう</t>
    <rPh sb="9" eb="10">
      <t>タオ</t>
    </rPh>
    <rPh sb="15" eb="17">
      <t>イチド</t>
    </rPh>
    <rPh sb="19" eb="22">
      <t>ゼンゾクセイ</t>
    </rPh>
    <rPh sb="28" eb="30">
      <t>ハツドウ</t>
    </rPh>
    <rPh sb="38" eb="39">
      <t>テ</t>
    </rPh>
    <rPh sb="40" eb="41">
      <t>ダ</t>
    </rPh>
    <rPh sb="47" eb="49">
      <t>チュウイ</t>
    </rPh>
    <phoneticPr fontId="5"/>
  </si>
  <si>
    <t>ヨミが自身の攻撃力をアップしたら
回復を徹底して大ダメージに備えましょう</t>
    <rPh sb="3" eb="5">
      <t>ジシン</t>
    </rPh>
    <rPh sb="6" eb="9">
      <t>コウゲキリョク</t>
    </rPh>
    <rPh sb="17" eb="19">
      <t>カイフク</t>
    </rPh>
    <rPh sb="20" eb="22">
      <t>テッテイ</t>
    </rPh>
    <rPh sb="24" eb="25">
      <t>ダイ</t>
    </rPh>
    <rPh sb="30" eb="31">
      <t>ソナ</t>
    </rPh>
    <phoneticPr fontId="5"/>
  </si>
  <si>
    <t>フウガが使用する妨害スキルは
HPが減るたび性能が強化されていきます</t>
    <rPh sb="4" eb="6">
      <t>シヨウ</t>
    </rPh>
    <rPh sb="8" eb="10">
      <t>ボウガイ</t>
    </rPh>
    <rPh sb="18" eb="19">
      <t>ヘ</t>
    </rPh>
    <rPh sb="22" eb="24">
      <t>セイノウ</t>
    </rPh>
    <rPh sb="25" eb="27">
      <t>キョウカ</t>
    </rPh>
    <phoneticPr fontId="5"/>
  </si>
  <si>
    <t>ショウキの万物催眠『ナイトメア』は
全体に永続スリープの超極悪スキルです
ハッピーに託された力がアナタを導くでしょう</t>
    <rPh sb="5" eb="7">
      <t>バンブツ</t>
    </rPh>
    <rPh sb="7" eb="9">
      <t>サイミン</t>
    </rPh>
    <rPh sb="18" eb="20">
      <t>ゼンタイ</t>
    </rPh>
    <rPh sb="21" eb="23">
      <t>エイゾク</t>
    </rPh>
    <rPh sb="28" eb="29">
      <t>チョウ</t>
    </rPh>
    <rPh sb="29" eb="31">
      <t>ゴクアク</t>
    </rPh>
    <rPh sb="43" eb="44">
      <t>タク</t>
    </rPh>
    <rPh sb="47" eb="48">
      <t>チカラ</t>
    </rPh>
    <rPh sb="53" eb="54">
      <t>ミチビ</t>
    </rPh>
    <phoneticPr fontId="5"/>
  </si>
  <si>
    <t>ヨミは攻撃的な行動が多く
フウガは妨害的な行動が多いです
先に倒すべき敵を見極めましょう</t>
    <rPh sb="3" eb="6">
      <t>コウゲキテキ</t>
    </rPh>
    <rPh sb="7" eb="9">
      <t>コウドウ</t>
    </rPh>
    <rPh sb="10" eb="11">
      <t>オオ</t>
    </rPh>
    <rPh sb="17" eb="20">
      <t>ボウガイテキ</t>
    </rPh>
    <rPh sb="21" eb="23">
      <t>コウドウ</t>
    </rPh>
    <rPh sb="24" eb="25">
      <t>オオ</t>
    </rPh>
    <rPh sb="30" eb="31">
      <t>サキ</t>
    </rPh>
    <rPh sb="32" eb="33">
      <t>タオ</t>
    </rPh>
    <rPh sb="36" eb="37">
      <t>テキ</t>
    </rPh>
    <rPh sb="38" eb="40">
      <t>ミキワ</t>
    </rPh>
    <phoneticPr fontId="5"/>
  </si>
  <si>
    <t>テマリは攻撃的な行動が多く
ダイダラは守備的な行動が多いです
先に攻撃役のテマリを封じて
じっくり態勢を整えるのがオススメです</t>
    <rPh sb="4" eb="7">
      <t>コウゲキテキ</t>
    </rPh>
    <rPh sb="8" eb="10">
      <t>コウドウ</t>
    </rPh>
    <rPh sb="11" eb="12">
      <t>オオ</t>
    </rPh>
    <rPh sb="19" eb="22">
      <t>シュビテキ</t>
    </rPh>
    <rPh sb="23" eb="25">
      <t>コウドウ</t>
    </rPh>
    <rPh sb="26" eb="27">
      <t>オオ</t>
    </rPh>
    <rPh sb="32" eb="33">
      <t>サキ</t>
    </rPh>
    <rPh sb="34" eb="37">
      <t>コウゲキヤク</t>
    </rPh>
    <rPh sb="42" eb="43">
      <t>フウ</t>
    </rPh>
    <rPh sb="50" eb="52">
      <t>タイセイ</t>
    </rPh>
    <rPh sb="53" eb="54">
      <t>トトノ</t>
    </rPh>
    <phoneticPr fontId="5"/>
  </si>
  <si>
    <t>ショウキは特定のタイミングで
カウンターと攻撃頻度UPを同時発動します
何らかの対策が必要になります</t>
    <rPh sb="5" eb="7">
      <t>トクテイ</t>
    </rPh>
    <rPh sb="21" eb="25">
      <t>コウゲキヒンド</t>
    </rPh>
    <rPh sb="28" eb="32">
      <t>ドウジハツドウ</t>
    </rPh>
    <rPh sb="37" eb="38">
      <t>ナン</t>
    </rPh>
    <rPh sb="41" eb="43">
      <t>タイサク</t>
    </rPh>
    <rPh sb="44" eb="46">
      <t>ヒツヨウ</t>
    </rPh>
    <phoneticPr fontId="5"/>
  </si>
  <si>
    <t>超高確率で時限式赤パネルが出現！</t>
    <rPh sb="0" eb="1">
      <t>チョウ</t>
    </rPh>
    <rPh sb="8" eb="9">
      <t>アカ</t>
    </rPh>
    <phoneticPr fontId="5"/>
  </si>
  <si>
    <t>[effect:tolerance, target:myself, turn:-1, tolerance_effect:hungup, count:-1, animation:enemy_tolerance],[effect:tolerance, target:myself, turn:-1, tolerance_effect:sleep, count:-1, animation:enemy_tolerance],[effect:fix_speed, target:myself, turn:1]</t>
    <phoneticPr fontId="5"/>
  </si>
  <si>
    <t>[effect:tolerance, target:myself, turn:-1, tolerance_effect:hungup, count:-1, animation:enemy_tolerance],[effect:tolerance, target:myself, turn:-1, tolerance_effect:sleep, count:-1, animation:enemy_tolerance],[effect:drop_block, block_type:time_bomb, color:block_red, val:33, rate:0.9, turn:-1, min_time_count:3, max_time_count:4, animation:time_bomb_influence04]</t>
    <phoneticPr fontId="5"/>
  </si>
  <si>
    <t>[effect:tolerance, target:myself, turn:-1, tolerance_effect:hungup, count:-1, animation:enemy_tolerance],[effect:tolerance, target:myself, turn:-1, tolerance_effect:sleep, count:-1, animation:enemy_tolerance],[effect:invalidate_change_block, target:unit_all, block_type01:crash, turn:-1, animation:panel_conversion_off],[effect:crash_condition, target:unit_all, val:4, turn:3, animation:crash_panel_reduce03]</t>
    <phoneticPr fontId="5"/>
  </si>
  <si>
    <t>ランダムで12個プロテクト＋攻撃</t>
    <rPh sb="7" eb="8">
      <t>コ</t>
    </rPh>
    <rPh sb="14" eb="16">
      <t>コウゲキ</t>
    </rPh>
    <phoneticPr fontId="5"/>
  </si>
  <si>
    <t>ハートプロテクト＋攻撃</t>
    <rPh sb="9" eb="11">
      <t>コウゲキ</t>
    </rPh>
    <phoneticPr fontId="5"/>
  </si>
  <si>
    <t>時限式パネルプロテクト＋攻撃</t>
    <rPh sb="0" eb="3">
      <t>ジゲンシキ</t>
    </rPh>
    <rPh sb="12" eb="14">
      <t>コウゲキ</t>
    </rPh>
    <phoneticPr fontId="5"/>
  </si>
  <si>
    <t>黄パネルプロテクト＋攻撃</t>
    <rPh sb="0" eb="1">
      <t>キイロ</t>
    </rPh>
    <rPh sb="10" eb="12">
      <t>コウゲキ</t>
    </rPh>
    <phoneticPr fontId="5"/>
  </si>
  <si>
    <t>緑パネルプロテクト＋攻撃</t>
    <rPh sb="0" eb="1">
      <t>ミドリ</t>
    </rPh>
    <rPh sb="10" eb="12">
      <t>コウゲキ</t>
    </rPh>
    <phoneticPr fontId="5"/>
  </si>
  <si>
    <t>青パネルプロテクト＋攻撃</t>
    <rPh sb="0" eb="1">
      <t>アオ</t>
    </rPh>
    <rPh sb="10" eb="12">
      <t>コウゲキ</t>
    </rPh>
    <phoneticPr fontId="5"/>
  </si>
  <si>
    <t>ショウキのプロテクトを受けたパネルは
1タップでは破壊できなくなってしまいます
パネル吸収や破壊のスキルが有効です</t>
    <rPh sb="11" eb="12">
      <t>ウ</t>
    </rPh>
    <rPh sb="25" eb="27">
      <t>ハカイ</t>
    </rPh>
    <rPh sb="44" eb="46">
      <t>キュウシュウ</t>
    </rPh>
    <rPh sb="47" eb="49">
      <t>ハカイ</t>
    </rPh>
    <rPh sb="54" eb="56">
      <t>ユウコウ</t>
    </rPh>
    <phoneticPr fontId="5"/>
  </si>
  <si>
    <t>ショウキの時限式パネルを解除するには
赤属性の起点をうまく作る必要があります
フィーバーやスキルでの対処も有効です</t>
    <rPh sb="5" eb="8">
      <t>ジゲンシキ</t>
    </rPh>
    <rPh sb="12" eb="14">
      <t>カイジョ</t>
    </rPh>
    <rPh sb="19" eb="22">
      <t>アカゾクセイ</t>
    </rPh>
    <rPh sb="23" eb="25">
      <t>キテン</t>
    </rPh>
    <rPh sb="29" eb="30">
      <t>ツク</t>
    </rPh>
    <rPh sb="31" eb="33">
      <t>ヒツヨウ</t>
    </rPh>
    <rPh sb="51" eb="53">
      <t>タイショ</t>
    </rPh>
    <rPh sb="54" eb="56">
      <t>ユウコウ</t>
    </rPh>
    <phoneticPr fontId="5"/>
  </si>
  <si>
    <t>ショウキは特定のタイミングで
Cパネル変換系のスキルを封じてきます
盤面の連鎖を使ってCパネルを作りましょう</t>
    <rPh sb="5" eb="7">
      <t>トクテイ</t>
    </rPh>
    <rPh sb="19" eb="21">
      <t>ヘンカン</t>
    </rPh>
    <rPh sb="21" eb="22">
      <t>ケイ</t>
    </rPh>
    <rPh sb="27" eb="28">
      <t>フウ</t>
    </rPh>
    <rPh sb="35" eb="37">
      <t>バンメン</t>
    </rPh>
    <rPh sb="38" eb="40">
      <t>レンサ</t>
    </rPh>
    <rPh sb="41" eb="42">
      <t>ツカ</t>
    </rPh>
    <rPh sb="49" eb="50">
      <t>ツク</t>
    </rPh>
    <phoneticPr fontId="5"/>
  </si>
  <si>
    <t>データ受領…動作を最適化する</t>
    <rPh sb="3" eb="5">
      <t>ジュリョウ</t>
    </rPh>
    <rPh sb="6" eb="8">
      <t>ドウサ</t>
    </rPh>
    <rPh sb="9" eb="12">
      <t>サイテキカ</t>
    </rPh>
    <phoneticPr fontId="5"/>
  </si>
  <si>
    <t>今度こそ確実に処分する…！
【！】次のターン永続スリープ発動【！】</t>
    <rPh sb="0" eb="2">
      <t>コンド</t>
    </rPh>
    <rPh sb="4" eb="6">
      <t>カクジツ</t>
    </rPh>
    <rPh sb="7" eb="9">
      <t>ショブン</t>
    </rPh>
    <phoneticPr fontId="5"/>
  </si>
  <si>
    <t>まだまだ帰らせないよっ！</t>
    <rPh sb="4" eb="5">
      <t>カエ</t>
    </rPh>
    <phoneticPr fontId="5"/>
  </si>
  <si>
    <t>フゥ…少し疲れたんだなー</t>
    <rPh sb="3" eb="4">
      <t>スコ</t>
    </rPh>
    <rPh sb="5" eb="6">
      <t>ツカ</t>
    </rPh>
    <phoneticPr fontId="5"/>
  </si>
  <si>
    <t>凍らせてあげる！</t>
    <rPh sb="0" eb="1">
      <t>コオ</t>
    </rPh>
    <phoneticPr fontId="5"/>
  </si>
  <si>
    <t>ヒャハハ！これでも喰らいな！</t>
    <rPh sb="9" eb="10">
      <t>ク</t>
    </rPh>
    <phoneticPr fontId="5"/>
  </si>
  <si>
    <t>悪あがきは止めとけよ！</t>
    <rPh sb="0" eb="1">
      <t>ワル</t>
    </rPh>
    <rPh sb="5" eb="6">
      <t>ト</t>
    </rPh>
    <phoneticPr fontId="5"/>
  </si>
  <si>
    <t>追い打ちだァ！！</t>
    <phoneticPr fontId="5"/>
  </si>
  <si>
    <t>お前を喰ってやるぜ！</t>
    <phoneticPr fontId="5"/>
  </si>
  <si>
    <t>………</t>
    <phoneticPr fontId="5"/>
  </si>
  <si>
    <t>………いや、まさかな…</t>
    <phoneticPr fontId="5"/>
  </si>
  <si>
    <t>この俺を倒せるとでも思ったのか？</t>
    <rPh sb="2" eb="3">
      <t>オレ</t>
    </rPh>
    <rPh sb="4" eb="5">
      <t>タオ</t>
    </rPh>
    <rPh sb="10" eb="11">
      <t>オモ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</si>
</sst>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63AAFE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8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6" fillId="31" borderId="11" xfId="0" applyFont="1" applyFill="1" applyBorder="1" applyAlignment="1">
      <alignment vertical="center"/>
    </xf>
    <xf numFmtId="0" fontId="6" fillId="31" borderId="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1" fillId="35" borderId="7" xfId="0" applyFont="1" applyFill="1" applyBorder="1" applyAlignment="1">
      <alignment horizontal="left" vertical="center" wrapText="1"/>
    </xf>
    <xf numFmtId="0" fontId="11" fillId="35" borderId="12" xfId="0" applyFont="1" applyFill="1" applyBorder="1" applyAlignment="1">
      <alignment horizontal="left" vertical="center" wrapText="1"/>
    </xf>
    <xf numFmtId="0" fontId="51" fillId="36" borderId="23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4" fillId="15" borderId="7" xfId="0" applyFont="1" applyFill="1" applyBorder="1" applyAlignment="1">
      <alignment horizontal="right" vertical="center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52" fillId="33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848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無題1" xfId="43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30001</v>
          </cell>
        </row>
        <row r="107">
          <cell r="A107">
            <v>30002</v>
          </cell>
        </row>
        <row r="108">
          <cell r="A108">
            <v>30003</v>
          </cell>
        </row>
        <row r="109">
          <cell r="A109">
            <v>30004</v>
          </cell>
        </row>
        <row r="110">
          <cell r="A110">
            <v>30005</v>
          </cell>
        </row>
        <row r="111">
          <cell r="A111">
            <v>30006</v>
          </cell>
        </row>
        <row r="112">
          <cell r="A112">
            <v>30007</v>
          </cell>
        </row>
        <row r="113">
          <cell r="A113">
            <v>30008</v>
          </cell>
        </row>
        <row r="114">
          <cell r="A114">
            <v>30009</v>
          </cell>
        </row>
        <row r="115">
          <cell r="A115">
            <v>30010</v>
          </cell>
        </row>
        <row r="116">
          <cell r="A116">
            <v>30011</v>
          </cell>
        </row>
        <row r="117">
          <cell r="A117">
            <v>30012</v>
          </cell>
        </row>
        <row r="118">
          <cell r="A118">
            <v>30013</v>
          </cell>
        </row>
        <row r="119">
          <cell r="A119">
            <v>30014</v>
          </cell>
        </row>
        <row r="120">
          <cell r="A120">
            <v>30015</v>
          </cell>
        </row>
        <row r="121">
          <cell r="A121">
            <v>30016</v>
          </cell>
        </row>
        <row r="122">
          <cell r="A122">
            <v>30017</v>
          </cell>
        </row>
        <row r="123">
          <cell r="A123">
            <v>30018</v>
          </cell>
        </row>
        <row r="124">
          <cell r="A124">
            <v>30019</v>
          </cell>
        </row>
        <row r="125">
          <cell r="A125">
            <v>30020</v>
          </cell>
        </row>
        <row r="126">
          <cell r="A126">
            <v>30021</v>
          </cell>
        </row>
        <row r="127">
          <cell r="A127">
            <v>30022</v>
          </cell>
        </row>
        <row r="128">
          <cell r="A128">
            <v>30023</v>
          </cell>
        </row>
        <row r="129">
          <cell r="A129">
            <v>30024</v>
          </cell>
        </row>
        <row r="130">
          <cell r="A130">
            <v>30025</v>
          </cell>
        </row>
        <row r="131">
          <cell r="A131">
            <v>30026</v>
          </cell>
        </row>
        <row r="132">
          <cell r="A132">
            <v>30027</v>
          </cell>
        </row>
        <row r="133">
          <cell r="A133">
            <v>30028</v>
          </cell>
        </row>
        <row r="134">
          <cell r="A134">
            <v>30029</v>
          </cell>
        </row>
        <row r="135">
          <cell r="A135">
            <v>30030</v>
          </cell>
        </row>
        <row r="136">
          <cell r="A136">
            <v>30031</v>
          </cell>
        </row>
        <row r="137">
          <cell r="A137">
            <v>30032</v>
          </cell>
        </row>
        <row r="138">
          <cell r="A138">
            <v>39001</v>
          </cell>
        </row>
        <row r="139">
          <cell r="A139">
            <v>40001</v>
          </cell>
        </row>
        <row r="140">
          <cell r="A140">
            <v>40002</v>
          </cell>
        </row>
        <row r="141">
          <cell r="A141">
            <v>40003</v>
          </cell>
        </row>
        <row r="142">
          <cell r="A142">
            <v>40004</v>
          </cell>
        </row>
        <row r="143">
          <cell r="A143">
            <v>40005</v>
          </cell>
        </row>
        <row r="144">
          <cell r="A144">
            <v>40006</v>
          </cell>
        </row>
        <row r="145">
          <cell r="A145">
            <v>40007</v>
          </cell>
        </row>
        <row r="146">
          <cell r="A146">
            <v>40008</v>
          </cell>
        </row>
        <row r="147">
          <cell r="A147">
            <v>40009</v>
          </cell>
        </row>
        <row r="148">
          <cell r="A148">
            <v>40010</v>
          </cell>
        </row>
        <row r="149">
          <cell r="A149">
            <v>40011</v>
          </cell>
        </row>
        <row r="150">
          <cell r="A150">
            <v>40012</v>
          </cell>
        </row>
        <row r="151">
          <cell r="A151">
            <v>40013</v>
          </cell>
        </row>
        <row r="152">
          <cell r="A152">
            <v>40014</v>
          </cell>
        </row>
        <row r="153">
          <cell r="A153">
            <v>49001</v>
          </cell>
        </row>
        <row r="154">
          <cell r="A154">
            <v>50001</v>
          </cell>
        </row>
        <row r="155">
          <cell r="A155">
            <v>50002</v>
          </cell>
        </row>
        <row r="156">
          <cell r="A156">
            <v>60001</v>
          </cell>
        </row>
        <row r="157">
          <cell r="A157">
            <v>60002</v>
          </cell>
        </row>
        <row r="158">
          <cell r="A158">
            <v>60003</v>
          </cell>
        </row>
        <row r="159">
          <cell r="A159">
            <v>60004</v>
          </cell>
        </row>
        <row r="160">
          <cell r="A160">
            <v>65535</v>
          </cell>
        </row>
        <row r="161">
          <cell r="A161">
            <v>60021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3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ミリオンダックより愛を込めて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200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polygon</v>
          </cell>
          <cell r="T261">
            <v>1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11220_1</v>
          </cell>
          <cell r="B262">
            <v>3</v>
          </cell>
          <cell r="C262">
            <v>11220</v>
          </cell>
          <cell r="D262" t="str">
            <v>ホワイトデー★特別クエスト</v>
          </cell>
          <cell r="E262" t="str">
            <v>2016年ホワイトデークエスト</v>
          </cell>
          <cell r="F262">
            <v>1</v>
          </cell>
          <cell r="G262" t="str">
            <v>ja</v>
          </cell>
          <cell r="H262" t="str">
            <v>【ストーリー】ホワイトデー独騒曲</v>
          </cell>
          <cell r="I262" t="str">
            <v>2016年ホワイトデークエスト</v>
          </cell>
          <cell r="J262">
            <v>350</v>
          </cell>
          <cell r="K262">
            <v>1</v>
          </cell>
          <cell r="L262">
            <v>314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polygon</v>
          </cell>
          <cell r="T262">
            <v>1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once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11221_1</v>
          </cell>
          <cell r="B263">
            <v>1</v>
          </cell>
          <cell r="C263">
            <v>11221</v>
          </cell>
          <cell r="D263" t="str">
            <v>新生活★応援クエスト</v>
          </cell>
          <cell r="E263" t="str">
            <v>2016年卒業クエスト</v>
          </cell>
          <cell r="F263">
            <v>1</v>
          </cell>
          <cell r="G263" t="str">
            <v>ja</v>
          </cell>
          <cell r="H263" t="str">
            <v>【ストーリー】伝説の樹の下で</v>
          </cell>
          <cell r="I263" t="str">
            <v>2016年卒業クエスト</v>
          </cell>
          <cell r="J263">
            <v>79</v>
          </cell>
          <cell r="K263">
            <v>1</v>
          </cell>
          <cell r="L263">
            <v>314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polygon</v>
          </cell>
          <cell r="T263">
            <v>1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</v>
          </cell>
          <cell r="AD263">
            <v>6</v>
          </cell>
          <cell r="AE263" t="str">
            <v>singleonly</v>
          </cell>
        </row>
        <row r="264">
          <cell r="A264" t="str">
            <v>12001_1</v>
          </cell>
          <cell r="B264">
            <v>3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1</v>
          </cell>
          <cell r="G264" t="str">
            <v>ja</v>
          </cell>
          <cell r="H264" t="str">
            <v xml:space="preserve">【初級】メタルダックを捕獲せよ！ </v>
          </cell>
          <cell r="I264" t="str">
            <v>経験値ゲリラ</v>
          </cell>
          <cell r="J264">
            <v>334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12001_2</v>
          </cell>
          <cell r="B265">
            <v>3</v>
          </cell>
          <cell r="C265">
            <v>12001</v>
          </cell>
          <cell r="D265" t="str">
            <v>【緊急！！】 アヒル捕獲作戦</v>
          </cell>
          <cell r="E265" t="str">
            <v>ゲリラクエスト</v>
          </cell>
          <cell r="F265">
            <v>2</v>
          </cell>
          <cell r="G265" t="str">
            <v>ja</v>
          </cell>
          <cell r="H265" t="str">
            <v xml:space="preserve">【上級】メタルダックを捕獲せよ！ </v>
          </cell>
          <cell r="I265" t="str">
            <v>経験値ゲリラ</v>
          </cell>
          <cell r="J265">
            <v>334</v>
          </cell>
          <cell r="K265">
            <v>20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12001_3</v>
          </cell>
          <cell r="B266">
            <v>0</v>
          </cell>
          <cell r="C266">
            <v>12001</v>
          </cell>
          <cell r="D266" t="str">
            <v>【緊急！！】 アヒル捕獲作戦</v>
          </cell>
          <cell r="E266" t="str">
            <v>ゲリラクエスト</v>
          </cell>
          <cell r="F266">
            <v>3</v>
          </cell>
          <cell r="G266" t="str">
            <v>ja</v>
          </cell>
          <cell r="H266" t="str">
            <v>★100DL記念 マルチ専用★_x000D_【上級】メタルダックを捕獲せよ！</v>
          </cell>
          <cell r="I266" t="str">
            <v>経験値ゲリラ</v>
          </cell>
          <cell r="J266">
            <v>334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multionly</v>
          </cell>
        </row>
        <row r="267">
          <cell r="A267" t="str">
            <v>12002_3</v>
          </cell>
          <cell r="B267">
            <v>0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3</v>
          </cell>
          <cell r="G267" t="str">
            <v>ja</v>
          </cell>
          <cell r="H267" t="str">
            <v xml:space="preserve">【初級】メタルダックを捕獲せよ！ </v>
          </cell>
          <cell r="I267" t="str">
            <v>経験値ゲリラ</v>
          </cell>
          <cell r="J267">
            <v>334</v>
          </cell>
          <cell r="K267">
            <v>8</v>
          </cell>
          <cell r="L267">
            <v>140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everyone</v>
          </cell>
        </row>
        <row r="268">
          <cell r="A268" t="str">
            <v>12002_2</v>
          </cell>
          <cell r="B268">
            <v>0</v>
          </cell>
          <cell r="C268">
            <v>12002</v>
          </cell>
          <cell r="D268" t="str">
            <v>【マルチ専用1/2】 アヒル捕獲作戦</v>
          </cell>
          <cell r="E268" t="str">
            <v>ゲリラクエスト</v>
          </cell>
          <cell r="F268">
            <v>2</v>
          </cell>
          <cell r="G268" t="str">
            <v>ja</v>
          </cell>
          <cell r="H268" t="str">
            <v xml:space="preserve">【上級】メタルダックを捕獲せよ！ </v>
          </cell>
          <cell r="I268" t="str">
            <v>経験値ゲリラ</v>
          </cell>
          <cell r="J268">
            <v>334</v>
          </cell>
          <cell r="K268">
            <v>20</v>
          </cell>
          <cell r="L268">
            <v>350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201</v>
          </cell>
          <cell r="AD268">
            <v>6</v>
          </cell>
          <cell r="AE268" t="str">
            <v>everyone</v>
          </cell>
        </row>
        <row r="269">
          <cell r="A269" t="str">
            <v>12002_1</v>
          </cell>
          <cell r="B269">
            <v>3</v>
          </cell>
          <cell r="C269">
            <v>12002</v>
          </cell>
          <cell r="D269" t="str">
            <v>【マルチ専用1/2】 アヒル捕獲作戦</v>
          </cell>
          <cell r="E269" t="str">
            <v>ゲリラクエスト</v>
          </cell>
          <cell r="F269">
            <v>1</v>
          </cell>
          <cell r="G269" t="str">
            <v>ja</v>
          </cell>
          <cell r="H269" t="str">
            <v>【上級】メタルダックを捕獲せよ！</v>
          </cell>
          <cell r="I269" t="str">
            <v>経験値ゲリラ</v>
          </cell>
          <cell r="J269">
            <v>334</v>
          </cell>
          <cell r="K269">
            <v>10</v>
          </cell>
          <cell r="L269">
            <v>350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201</v>
          </cell>
          <cell r="AD269">
            <v>6</v>
          </cell>
          <cell r="AE269" t="str">
            <v>multionly</v>
          </cell>
        </row>
        <row r="270">
          <cell r="A270" t="str">
            <v>12003_1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1</v>
          </cell>
          <cell r="G270" t="str">
            <v>ja</v>
          </cell>
          <cell r="H270" t="str">
            <v>【超級】雷のジェントルを追え！</v>
          </cell>
          <cell r="I270" t="str">
            <v>超級ゲリラ</v>
          </cell>
          <cell r="J270">
            <v>347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12</v>
          </cell>
          <cell r="AD270">
            <v>6</v>
          </cell>
          <cell r="AE270" t="str">
            <v>singleonly</v>
          </cell>
        </row>
        <row r="271">
          <cell r="A271" t="str">
            <v>12003_2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2</v>
          </cell>
          <cell r="G271" t="str">
            <v>ja</v>
          </cell>
          <cell r="H271" t="str">
            <v>【超級】水のジェントルを追え！</v>
          </cell>
          <cell r="I271" t="str">
            <v>超級ゲリラ</v>
          </cell>
          <cell r="J271">
            <v>343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5</v>
          </cell>
          <cell r="AD271">
            <v>6</v>
          </cell>
          <cell r="AE271" t="str">
            <v>singleonly</v>
          </cell>
        </row>
        <row r="272">
          <cell r="A272" t="str">
            <v>12003_3</v>
          </cell>
          <cell r="B272">
            <v>3</v>
          </cell>
          <cell r="C272">
            <v>12003</v>
          </cell>
          <cell r="D272" t="str">
            <v>【超緊急！！】メタルジェントルを追え</v>
          </cell>
          <cell r="E272" t="str">
            <v>ゲリラ【超級】</v>
          </cell>
          <cell r="F272">
            <v>3</v>
          </cell>
          <cell r="G272" t="str">
            <v>ja</v>
          </cell>
          <cell r="H272" t="str">
            <v>【超級】森のジェントルを追え！</v>
          </cell>
          <cell r="I272" t="str">
            <v>超級ゲリラ</v>
          </cell>
          <cell r="J272">
            <v>339</v>
          </cell>
          <cell r="K272">
            <v>40</v>
          </cell>
          <cell r="L272">
            <v>500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7</v>
          </cell>
          <cell r="AD272">
            <v>6</v>
          </cell>
          <cell r="AE272" t="str">
            <v>singleonly</v>
          </cell>
        </row>
        <row r="273">
          <cell r="A273" t="str">
            <v>12003_4</v>
          </cell>
          <cell r="B273">
            <v>3</v>
          </cell>
          <cell r="C273">
            <v>12003</v>
          </cell>
          <cell r="D273" t="str">
            <v>【超緊急！！】メタルジェントルを追え</v>
          </cell>
          <cell r="E273" t="str">
            <v>ゲリラ【超級】</v>
          </cell>
          <cell r="F273">
            <v>4</v>
          </cell>
          <cell r="G273" t="str">
            <v>ja</v>
          </cell>
          <cell r="H273" t="str">
            <v>【超級】炎のジェントルを追え！</v>
          </cell>
          <cell r="I273" t="str">
            <v>超級ゲリラ</v>
          </cell>
          <cell r="J273">
            <v>335</v>
          </cell>
          <cell r="K273">
            <v>40</v>
          </cell>
          <cell r="L273">
            <v>500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</v>
          </cell>
          <cell r="AD273">
            <v>6</v>
          </cell>
          <cell r="AE273" t="str">
            <v>singleonly</v>
          </cell>
        </row>
        <row r="274">
          <cell r="A274" t="str">
            <v>12004_1</v>
          </cell>
          <cell r="B274">
            <v>3</v>
          </cell>
          <cell r="C274">
            <v>12004</v>
          </cell>
          <cell r="D274" t="str">
            <v>メタルフロッグをもとめて</v>
          </cell>
          <cell r="E274" t="str">
            <v>イベントクエスト</v>
          </cell>
          <cell r="F274">
            <v>1</v>
          </cell>
          <cell r="G274" t="str">
            <v>ja</v>
          </cell>
          <cell r="H274" t="str">
            <v>【上級】メタルフロッグをもとめて</v>
          </cell>
          <cell r="I274" t="str">
            <v>経験値イベント</v>
          </cell>
          <cell r="J274">
            <v>351</v>
          </cell>
          <cell r="K274">
            <v>20</v>
          </cell>
          <cell r="L274">
            <v>100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23</v>
          </cell>
          <cell r="AD274">
            <v>6</v>
          </cell>
          <cell r="AE274" t="str">
            <v>everyone</v>
          </cell>
        </row>
        <row r="275">
          <cell r="A275" t="str">
            <v>13001_1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1</v>
          </cell>
          <cell r="G275" t="str">
            <v>ja</v>
          </cell>
          <cell r="H275" t="str">
            <v>チャレンジタワー 1F</v>
          </cell>
          <cell r="I275" t="str">
            <v>試練の塔</v>
          </cell>
          <cell r="J275">
            <v>345</v>
          </cell>
          <cell r="K275">
            <v>3</v>
          </cell>
          <cell r="L275">
            <v>120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345,345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13001_2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2</v>
          </cell>
          <cell r="G276" t="str">
            <v>ja</v>
          </cell>
          <cell r="H276" t="str">
            <v>チャレンジタワー 2F</v>
          </cell>
          <cell r="I276" t="str">
            <v>試練の塔</v>
          </cell>
          <cell r="J276">
            <v>333</v>
          </cell>
          <cell r="K276">
            <v>4</v>
          </cell>
          <cell r="L276">
            <v>176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333,333</v>
          </cell>
          <cell r="U276">
            <v>13001</v>
          </cell>
          <cell r="V276">
            <v>1</v>
          </cell>
          <cell r="W276" t="str">
            <v>チャレンジタワー 1F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13001_3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3</v>
          </cell>
          <cell r="G277" t="str">
            <v>ja</v>
          </cell>
          <cell r="H277" t="str">
            <v>チャレンジタワー 3F</v>
          </cell>
          <cell r="I277" t="str">
            <v>試練の塔</v>
          </cell>
          <cell r="J277">
            <v>337</v>
          </cell>
          <cell r="K277">
            <v>5</v>
          </cell>
          <cell r="L277">
            <v>242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337,337</v>
          </cell>
          <cell r="U277">
            <v>13001</v>
          </cell>
          <cell r="V277">
            <v>2</v>
          </cell>
          <cell r="W277" t="str">
            <v>チャレンジタワー 2F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13001_4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4</v>
          </cell>
          <cell r="G278" t="str">
            <v>ja</v>
          </cell>
          <cell r="H278" t="str">
            <v>チャレンジタワー 4F</v>
          </cell>
          <cell r="I278" t="str">
            <v>試練の塔</v>
          </cell>
          <cell r="J278">
            <v>341</v>
          </cell>
          <cell r="K278">
            <v>7</v>
          </cell>
          <cell r="L278">
            <v>508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341,341</v>
          </cell>
          <cell r="U278">
            <v>13001</v>
          </cell>
          <cell r="V278">
            <v>3</v>
          </cell>
          <cell r="W278" t="str">
            <v>チャレンジタワー 3F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13001_5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5</v>
          </cell>
          <cell r="G279" t="str">
            <v>ja</v>
          </cell>
          <cell r="H279" t="str">
            <v>チャレンジタワー 5F</v>
          </cell>
          <cell r="I279" t="str">
            <v>試練の塔</v>
          </cell>
          <cell r="J279">
            <v>333</v>
          </cell>
          <cell r="K279">
            <v>7</v>
          </cell>
          <cell r="L279">
            <v>280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333,337,341,345</v>
          </cell>
          <cell r="U279">
            <v>13001</v>
          </cell>
          <cell r="V279">
            <v>4</v>
          </cell>
          <cell r="W279" t="str">
            <v>チャレンジタワー 4F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13001_6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6</v>
          </cell>
          <cell r="G280" t="str">
            <v>ja</v>
          </cell>
          <cell r="H280" t="str">
            <v>チャレンジタワー 6F</v>
          </cell>
          <cell r="I280" t="str">
            <v>試練の塔</v>
          </cell>
          <cell r="J280">
            <v>346</v>
          </cell>
          <cell r="K280">
            <v>8</v>
          </cell>
          <cell r="L280">
            <v>474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346,345</v>
          </cell>
          <cell r="U280">
            <v>13001</v>
          </cell>
          <cell r="V280">
            <v>5</v>
          </cell>
          <cell r="W280" t="str">
            <v>チャレンジタワー 5F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13001_7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7</v>
          </cell>
          <cell r="G281" t="str">
            <v>ja</v>
          </cell>
          <cell r="H281" t="str">
            <v>チャレンジタワー 7F</v>
          </cell>
          <cell r="I281" t="str">
            <v>試練の塔</v>
          </cell>
          <cell r="J281">
            <v>342</v>
          </cell>
          <cell r="K281">
            <v>8</v>
          </cell>
          <cell r="L281">
            <v>486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342,341</v>
          </cell>
          <cell r="U281">
            <v>13001</v>
          </cell>
          <cell r="V281">
            <v>6</v>
          </cell>
          <cell r="W281" t="str">
            <v>チャレンジタワー 6F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13001_8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8</v>
          </cell>
          <cell r="G282" t="str">
            <v>ja</v>
          </cell>
          <cell r="H282" t="str">
            <v>チャレンジタワー 8F</v>
          </cell>
          <cell r="I282" t="str">
            <v>試練の塔</v>
          </cell>
          <cell r="J282">
            <v>334</v>
          </cell>
          <cell r="K282">
            <v>10</v>
          </cell>
          <cell r="L282">
            <v>1006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334,333</v>
          </cell>
          <cell r="U282">
            <v>13001</v>
          </cell>
          <cell r="V282">
            <v>7</v>
          </cell>
          <cell r="W282" t="str">
            <v>チャレンジタワー 7F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13001_9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9</v>
          </cell>
          <cell r="G283" t="str">
            <v>ja</v>
          </cell>
          <cell r="H283" t="str">
            <v>チャレンジタワー 9F</v>
          </cell>
          <cell r="I283" t="str">
            <v>試練の塔</v>
          </cell>
          <cell r="J283">
            <v>338</v>
          </cell>
          <cell r="K283">
            <v>10</v>
          </cell>
          <cell r="L283">
            <v>702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337,337,338</v>
          </cell>
          <cell r="U283">
            <v>13001</v>
          </cell>
          <cell r="V283">
            <v>8</v>
          </cell>
          <cell r="W283" t="str">
            <v>チャレンジタワー 8F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13001_10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10</v>
          </cell>
          <cell r="G284" t="str">
            <v>ja</v>
          </cell>
          <cell r="H284" t="str">
            <v>チャレンジタワー 10F</v>
          </cell>
          <cell r="I284" t="str">
            <v>試練の塔</v>
          </cell>
          <cell r="J284">
            <v>346</v>
          </cell>
          <cell r="K284">
            <v>11</v>
          </cell>
          <cell r="L284">
            <v>788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346,333,337,341</v>
          </cell>
          <cell r="U284">
            <v>13001</v>
          </cell>
          <cell r="V284">
            <v>9</v>
          </cell>
          <cell r="W284" t="str">
            <v>チャレンジタワー 9F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13001_11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11</v>
          </cell>
          <cell r="G285" t="str">
            <v>ja</v>
          </cell>
          <cell r="H285" t="str">
            <v>チャレンジタワー 11F</v>
          </cell>
          <cell r="I285" t="str">
            <v>試練の塔</v>
          </cell>
          <cell r="J285">
            <v>346</v>
          </cell>
          <cell r="K285">
            <v>12</v>
          </cell>
          <cell r="L285">
            <v>936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346,346</v>
          </cell>
          <cell r="U285">
            <v>13001</v>
          </cell>
          <cell r="V285">
            <v>10</v>
          </cell>
          <cell r="W285" t="str">
            <v>チャレンジタワー 10F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13001_12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12</v>
          </cell>
          <cell r="G286" t="str">
            <v>ja</v>
          </cell>
          <cell r="H286" t="str">
            <v>チャレンジタワー 12F</v>
          </cell>
          <cell r="I286" t="str">
            <v>試練の塔</v>
          </cell>
          <cell r="J286">
            <v>342</v>
          </cell>
          <cell r="K286">
            <v>13</v>
          </cell>
          <cell r="L286">
            <v>1601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</v>
          </cell>
          <cell r="U286">
            <v>13001</v>
          </cell>
          <cell r="V286">
            <v>11</v>
          </cell>
          <cell r="W286" t="str">
            <v>チャレンジタワー 11F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13001_13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13</v>
          </cell>
          <cell r="G287" t="str">
            <v>ja</v>
          </cell>
          <cell r="H287" t="str">
            <v>チャレンジタワー 13F</v>
          </cell>
          <cell r="I287" t="str">
            <v>試練の塔</v>
          </cell>
          <cell r="J287">
            <v>338</v>
          </cell>
          <cell r="K287">
            <v>14</v>
          </cell>
          <cell r="L287">
            <v>945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338,338</v>
          </cell>
          <cell r="U287">
            <v>13001</v>
          </cell>
          <cell r="V287">
            <v>12</v>
          </cell>
          <cell r="W287" t="str">
            <v>チャレンジタワー 12F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13001_14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14</v>
          </cell>
          <cell r="G288" t="str">
            <v>ja</v>
          </cell>
          <cell r="H288" t="str">
            <v>チャレンジタワー 14F</v>
          </cell>
          <cell r="I288" t="str">
            <v>試練の塔</v>
          </cell>
          <cell r="J288">
            <v>334</v>
          </cell>
          <cell r="K288">
            <v>14</v>
          </cell>
          <cell r="L288">
            <v>1188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334,334</v>
          </cell>
          <cell r="U288">
            <v>13001</v>
          </cell>
          <cell r="V288">
            <v>13</v>
          </cell>
          <cell r="W288" t="str">
            <v>チャレンジタワー 13F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13001_15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15</v>
          </cell>
          <cell r="G289" t="str">
            <v>ja</v>
          </cell>
          <cell r="H289" t="str">
            <v>チャレンジタワー 15F</v>
          </cell>
          <cell r="I289" t="str">
            <v>試練の塔</v>
          </cell>
          <cell r="J289">
            <v>316</v>
          </cell>
          <cell r="K289">
            <v>14</v>
          </cell>
          <cell r="L289">
            <v>1008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316</v>
          </cell>
          <cell r="U289">
            <v>13001</v>
          </cell>
          <cell r="V289">
            <v>14</v>
          </cell>
          <cell r="W289" t="str">
            <v>チャレンジタワー 14F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13001_16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16</v>
          </cell>
          <cell r="G290" t="str">
            <v>ja</v>
          </cell>
          <cell r="H290" t="str">
            <v>チャレンジタワー 16F</v>
          </cell>
          <cell r="I290" t="str">
            <v>試練の塔</v>
          </cell>
          <cell r="J290">
            <v>338</v>
          </cell>
          <cell r="K290">
            <v>16</v>
          </cell>
          <cell r="L290">
            <v>2573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338,338,337</v>
          </cell>
          <cell r="U290">
            <v>13001</v>
          </cell>
          <cell r="V290">
            <v>15</v>
          </cell>
          <cell r="W290" t="str">
            <v>チャレンジタワー 15F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13001_17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17</v>
          </cell>
          <cell r="G291" t="str">
            <v>ja</v>
          </cell>
          <cell r="H291" t="str">
            <v>チャレンジタワー 17F</v>
          </cell>
          <cell r="I291" t="str">
            <v>試練の塔</v>
          </cell>
          <cell r="J291">
            <v>346</v>
          </cell>
          <cell r="K291">
            <v>16</v>
          </cell>
          <cell r="L291">
            <v>1568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346,346,345</v>
          </cell>
          <cell r="U291">
            <v>13001</v>
          </cell>
          <cell r="V291">
            <v>16</v>
          </cell>
          <cell r="W291" t="str">
            <v>チャレンジタワー 16F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13001_18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18</v>
          </cell>
          <cell r="G292" t="str">
            <v>ja</v>
          </cell>
          <cell r="H292" t="str">
            <v>チャレンジタワー 18F</v>
          </cell>
          <cell r="I292" t="str">
            <v>試練の塔</v>
          </cell>
          <cell r="J292">
            <v>334</v>
          </cell>
          <cell r="K292">
            <v>17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334,334,333</v>
          </cell>
          <cell r="U292">
            <v>13001</v>
          </cell>
          <cell r="V292">
            <v>17</v>
          </cell>
          <cell r="W292" t="str">
            <v>チャレンジタワー 17F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13001_19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19</v>
          </cell>
          <cell r="G293" t="str">
            <v>ja</v>
          </cell>
          <cell r="H293" t="str">
            <v>チャレンジタワー 19F</v>
          </cell>
          <cell r="I293" t="str">
            <v>試練の塔</v>
          </cell>
          <cell r="J293">
            <v>342</v>
          </cell>
          <cell r="K293">
            <v>18</v>
          </cell>
          <cell r="L293">
            <v>2108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342,342,341</v>
          </cell>
          <cell r="U293">
            <v>13001</v>
          </cell>
          <cell r="V293">
            <v>18</v>
          </cell>
          <cell r="W293" t="str">
            <v>チャレンジタワー 18F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13001_20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20</v>
          </cell>
          <cell r="G294" t="str">
            <v>ja</v>
          </cell>
          <cell r="H294" t="str">
            <v>チャレンジタワー 20F</v>
          </cell>
          <cell r="I294" t="str">
            <v>試練の塔</v>
          </cell>
          <cell r="J294">
            <v>318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318</v>
          </cell>
          <cell r="U294">
            <v>13001</v>
          </cell>
          <cell r="V294">
            <v>19</v>
          </cell>
          <cell r="W294" t="str">
            <v>チャレンジタワー 19F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13001_21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21</v>
          </cell>
          <cell r="G295" t="str">
            <v>ja</v>
          </cell>
          <cell r="H295" t="str">
            <v>チャレンジタワー 21F</v>
          </cell>
          <cell r="I295" t="str">
            <v>試練の塔</v>
          </cell>
          <cell r="J295" t="str">
            <v>335</v>
          </cell>
          <cell r="K295">
            <v>18</v>
          </cell>
          <cell r="L295">
            <v>1620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334,335,335</v>
          </cell>
          <cell r="U295">
            <v>13001</v>
          </cell>
          <cell r="V295">
            <v>20</v>
          </cell>
          <cell r="W295" t="str">
            <v>チャレンジタワー 20F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13001_22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22</v>
          </cell>
          <cell r="G296" t="str">
            <v>ja</v>
          </cell>
          <cell r="H296" t="str">
            <v>チャレンジタワー 22F</v>
          </cell>
          <cell r="I296" t="str">
            <v>試練の塔</v>
          </cell>
          <cell r="J296" t="str">
            <v>339</v>
          </cell>
          <cell r="K296">
            <v>18</v>
          </cell>
          <cell r="L296">
            <v>1620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338,339,339</v>
          </cell>
          <cell r="U296">
            <v>13001</v>
          </cell>
          <cell r="V296">
            <v>21</v>
          </cell>
          <cell r="W296" t="str">
            <v>チャレンジタワー 21F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13001_23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23</v>
          </cell>
          <cell r="G297" t="str">
            <v>ja</v>
          </cell>
          <cell r="H297" t="str">
            <v>チャレンジタワー 23F</v>
          </cell>
          <cell r="I297" t="str">
            <v>試練の塔</v>
          </cell>
          <cell r="J297" t="str">
            <v>347</v>
          </cell>
          <cell r="K297">
            <v>20</v>
          </cell>
          <cell r="L297">
            <v>1821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346,347,347</v>
          </cell>
          <cell r="U297">
            <v>13001</v>
          </cell>
          <cell r="V297">
            <v>22</v>
          </cell>
          <cell r="W297" t="str">
            <v>チャレンジタワー 22F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13001_24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24</v>
          </cell>
          <cell r="G298" t="str">
            <v>ja</v>
          </cell>
          <cell r="H298" t="str">
            <v>チャレンジタワー 24F</v>
          </cell>
          <cell r="I298" t="str">
            <v>試練の塔</v>
          </cell>
          <cell r="J298" t="str">
            <v>343</v>
          </cell>
          <cell r="K298">
            <v>20</v>
          </cell>
          <cell r="L298">
            <v>2871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342,343,343</v>
          </cell>
          <cell r="U298">
            <v>13001</v>
          </cell>
          <cell r="V298">
            <v>23</v>
          </cell>
          <cell r="W298" t="str">
            <v>チャレンジタワー 23F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13001_25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25</v>
          </cell>
          <cell r="G299" t="str">
            <v>ja</v>
          </cell>
          <cell r="H299" t="str">
            <v>チャレンジタワー 25F</v>
          </cell>
          <cell r="I299" t="str">
            <v>試練の塔</v>
          </cell>
          <cell r="J299" t="str">
            <v>368</v>
          </cell>
          <cell r="K299">
            <v>22</v>
          </cell>
          <cell r="L299">
            <v>3740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368</v>
          </cell>
          <cell r="U299">
            <v>13001</v>
          </cell>
          <cell r="V299">
            <v>24</v>
          </cell>
          <cell r="W299" t="str">
            <v>チャレンジタワー 24F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14001_1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1</v>
          </cell>
          <cell r="G300" t="str">
            <v>ja</v>
          </cell>
          <cell r="H300" t="str">
            <v>【超級】雷ファミリー（ハートなし）</v>
          </cell>
          <cell r="I300" t="str">
            <v>【ロッククエスト】経験値</v>
          </cell>
          <cell r="J300">
            <v>347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12</v>
          </cell>
          <cell r="AD300">
            <v>6</v>
          </cell>
          <cell r="AE300" t="str">
            <v>singleonly</v>
          </cell>
        </row>
        <row r="301">
          <cell r="A301" t="str">
            <v>14001_2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2</v>
          </cell>
          <cell r="G301" t="str">
            <v>ja</v>
          </cell>
          <cell r="H301" t="str">
            <v>【超級】水ファミリー（ハートなし）</v>
          </cell>
          <cell r="I301" t="str">
            <v>【ロッククエスト】経験値</v>
          </cell>
          <cell r="J301">
            <v>343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5</v>
          </cell>
          <cell r="AD301">
            <v>6</v>
          </cell>
          <cell r="AE301" t="str">
            <v>singleonly</v>
          </cell>
        </row>
        <row r="302">
          <cell r="A302" t="str">
            <v>14001_3</v>
          </cell>
          <cell r="B302">
            <v>3</v>
          </cell>
          <cell r="C302">
            <v>14001</v>
          </cell>
          <cell r="D302" t="str">
            <v>【ロック】経験値/ソロ</v>
          </cell>
          <cell r="E302" t="str">
            <v>【ロック】経験値/ソロ</v>
          </cell>
          <cell r="F302">
            <v>3</v>
          </cell>
          <cell r="G302" t="str">
            <v>ja</v>
          </cell>
          <cell r="H302" t="str">
            <v>【超級】森ファミリー（ハートなし）</v>
          </cell>
          <cell r="I302" t="str">
            <v>【ロッククエスト】経験値</v>
          </cell>
          <cell r="J302">
            <v>339</v>
          </cell>
          <cell r="K302">
            <v>1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7</v>
          </cell>
          <cell r="AD302">
            <v>6</v>
          </cell>
          <cell r="AE302" t="str">
            <v>singleonly</v>
          </cell>
        </row>
        <row r="303">
          <cell r="A303" t="str">
            <v>14001_4</v>
          </cell>
          <cell r="B303">
            <v>3</v>
          </cell>
          <cell r="C303">
            <v>14001</v>
          </cell>
          <cell r="D303" t="str">
            <v>【ロック】経験値/ソロ</v>
          </cell>
          <cell r="E303" t="str">
            <v>【ロック】経験値/ソロ</v>
          </cell>
          <cell r="F303">
            <v>4</v>
          </cell>
          <cell r="G303" t="str">
            <v>ja</v>
          </cell>
          <cell r="H303" t="str">
            <v>【超級】炎ファミリー（ハートなし）</v>
          </cell>
          <cell r="I303" t="str">
            <v>【ロッククエスト】経験値</v>
          </cell>
          <cell r="J303">
            <v>335</v>
          </cell>
          <cell r="K303">
            <v>1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10</v>
          </cell>
          <cell r="AD303">
            <v>6</v>
          </cell>
          <cell r="AE303" t="str">
            <v>singleonly</v>
          </cell>
        </row>
        <row r="304">
          <cell r="A304" t="str">
            <v>14002_1</v>
          </cell>
          <cell r="B304">
            <v>3</v>
          </cell>
          <cell r="C304">
            <v>14002</v>
          </cell>
          <cell r="D304" t="str">
            <v>【ロック】ビット/ソロ</v>
          </cell>
          <cell r="E304" t="str">
            <v>【ロック】ビット/ソロ</v>
          </cell>
          <cell r="F304">
            <v>1</v>
          </cell>
          <cell r="G304" t="str">
            <v>ja</v>
          </cell>
          <cell r="H304" t="str">
            <v>【超級】ハイローラー（ハートなし）</v>
          </cell>
          <cell r="I304" t="str">
            <v>【ロッククエスト】ビット</v>
          </cell>
          <cell r="J304">
            <v>119</v>
          </cell>
          <cell r="K304">
            <v>1</v>
          </cell>
          <cell r="L304">
            <v>777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105</v>
          </cell>
          <cell r="AD304">
            <v>6</v>
          </cell>
          <cell r="AE304" t="str">
            <v>singleonly</v>
          </cell>
        </row>
        <row r="305">
          <cell r="A305" t="str">
            <v>14003_1</v>
          </cell>
          <cell r="B305">
            <v>3</v>
          </cell>
          <cell r="C305">
            <v>14003</v>
          </cell>
          <cell r="D305" t="str">
            <v>【ロック】限界突破/ソロ</v>
          </cell>
          <cell r="E305" t="str">
            <v>【ロック】限界突破/ソロ</v>
          </cell>
          <cell r="F305">
            <v>1</v>
          </cell>
          <cell r="G305" t="str">
            <v>ja</v>
          </cell>
          <cell r="H305" t="str">
            <v>【超級】果実の楽園（ハートなし）</v>
          </cell>
          <cell r="I305" t="str">
            <v>【ロッククエスト】限界突破</v>
          </cell>
          <cell r="J305">
            <v>125</v>
          </cell>
          <cell r="K305">
            <v>1</v>
          </cell>
          <cell r="L305">
            <v>860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singleonly</v>
          </cell>
        </row>
        <row r="306">
          <cell r="A306" t="str">
            <v>14004_1</v>
          </cell>
          <cell r="B306">
            <v>1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1</v>
          </cell>
          <cell r="G306" t="str">
            <v>ja</v>
          </cell>
          <cell r="H306" t="str">
            <v>【超級】雷ファミリー（ハートなし）</v>
          </cell>
          <cell r="I306" t="str">
            <v>【ロッククエスト】経験値</v>
          </cell>
          <cell r="J306">
            <v>347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lineonly</v>
          </cell>
        </row>
        <row r="307">
          <cell r="A307" t="str">
            <v>14004_2</v>
          </cell>
          <cell r="B307">
            <v>1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2</v>
          </cell>
          <cell r="G307" t="str">
            <v>ja</v>
          </cell>
          <cell r="H307" t="str">
            <v>【超級】水ファミリー（ハートなし）</v>
          </cell>
          <cell r="I307" t="str">
            <v>【ロッククエスト】経験値</v>
          </cell>
          <cell r="J307">
            <v>343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lineonly</v>
          </cell>
        </row>
        <row r="308">
          <cell r="A308" t="str">
            <v>14004_3</v>
          </cell>
          <cell r="B308">
            <v>1</v>
          </cell>
          <cell r="C308">
            <v>14004</v>
          </cell>
          <cell r="D308" t="str">
            <v>【ロック】経験値/LINEマルチ</v>
          </cell>
          <cell r="E308" t="str">
            <v>【ロック】経験値/LINEマルチ</v>
          </cell>
          <cell r="F308">
            <v>3</v>
          </cell>
          <cell r="G308" t="str">
            <v>ja</v>
          </cell>
          <cell r="H308" t="str">
            <v>【超級】森ファミリー（ハートなし）</v>
          </cell>
          <cell r="I308" t="str">
            <v>【ロッククエスト】経験値</v>
          </cell>
          <cell r="J308">
            <v>339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lineonly</v>
          </cell>
        </row>
        <row r="309">
          <cell r="A309" t="str">
            <v>14004_4</v>
          </cell>
          <cell r="B309">
            <v>1</v>
          </cell>
          <cell r="C309">
            <v>14004</v>
          </cell>
          <cell r="D309" t="str">
            <v>【ロック】経験値/LINEマルチ</v>
          </cell>
          <cell r="E309" t="str">
            <v>【ロック】経験値/LINEマルチ</v>
          </cell>
          <cell r="F309">
            <v>4</v>
          </cell>
          <cell r="G309" t="str">
            <v>ja</v>
          </cell>
          <cell r="H309" t="str">
            <v>【超級】炎ファミリー（ハートなし）</v>
          </cell>
          <cell r="I309" t="str">
            <v>【ロッククエスト】経験値</v>
          </cell>
          <cell r="J309">
            <v>335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lineonly</v>
          </cell>
        </row>
        <row r="310">
          <cell r="A310" t="str">
            <v>14005_1</v>
          </cell>
          <cell r="B310">
            <v>1</v>
          </cell>
          <cell r="C310">
            <v>14005</v>
          </cell>
          <cell r="D310" t="str">
            <v>【ロック】ビット/LINEマルチ</v>
          </cell>
          <cell r="E310" t="str">
            <v>【ロック】ビット/LINEマルチ</v>
          </cell>
          <cell r="F310">
            <v>1</v>
          </cell>
          <cell r="G310" t="str">
            <v>ja</v>
          </cell>
          <cell r="H310" t="str">
            <v>【超級】ハイローラー（ハートなし）</v>
          </cell>
          <cell r="I310" t="str">
            <v>【ロッククエスト】ビット</v>
          </cell>
          <cell r="J310">
            <v>119</v>
          </cell>
          <cell r="K310">
            <v>1</v>
          </cell>
          <cell r="L310">
            <v>777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105</v>
          </cell>
          <cell r="AD310">
            <v>6</v>
          </cell>
          <cell r="AE310" t="str">
            <v>lineonly</v>
          </cell>
        </row>
        <row r="311">
          <cell r="A311" t="str">
            <v>14006_1</v>
          </cell>
          <cell r="B311">
            <v>1</v>
          </cell>
          <cell r="C311">
            <v>14006</v>
          </cell>
          <cell r="D311" t="str">
            <v>【ロック】限界突破/LINEマルチ</v>
          </cell>
          <cell r="E311" t="str">
            <v>【ロック】限界突破/LINEマルチ</v>
          </cell>
          <cell r="F311">
            <v>1</v>
          </cell>
          <cell r="G311" t="str">
            <v>ja</v>
          </cell>
          <cell r="H311" t="str">
            <v>【超級】果実の楽園（ハートなし）</v>
          </cell>
          <cell r="I311" t="str">
            <v>【ロッククエスト】限界突破</v>
          </cell>
          <cell r="J311">
            <v>125</v>
          </cell>
          <cell r="K311">
            <v>1</v>
          </cell>
          <cell r="L311">
            <v>860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lineonly</v>
          </cell>
        </row>
        <row r="312">
          <cell r="A312" t="str">
            <v>15027_1</v>
          </cell>
          <cell r="B312">
            <v>1</v>
          </cell>
          <cell r="C312">
            <v>15027</v>
          </cell>
          <cell r="D312">
            <v>27</v>
          </cell>
          <cell r="E312" t="str">
            <v>黄青DL6</v>
          </cell>
          <cell r="F312">
            <v>1</v>
          </cell>
          <cell r="G312" t="str">
            <v>ja</v>
          </cell>
          <cell r="H312" t="str">
            <v>27--1</v>
          </cell>
          <cell r="I312" t="str">
            <v>27--1</v>
          </cell>
          <cell r="J312" t="str">
            <v>NULL</v>
          </cell>
          <cell r="K312">
            <v>14</v>
          </cell>
          <cell r="L312">
            <v>14640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27</v>
          </cell>
          <cell r="AD312">
            <v>6</v>
          </cell>
          <cell r="AE312" t="str">
            <v>everyone</v>
          </cell>
        </row>
        <row r="313">
          <cell r="A313" t="str">
            <v>15027_2</v>
          </cell>
          <cell r="B313">
            <v>1</v>
          </cell>
          <cell r="C313">
            <v>15027</v>
          </cell>
          <cell r="D313">
            <v>27</v>
          </cell>
          <cell r="E313" t="str">
            <v>黄青DL6</v>
          </cell>
          <cell r="F313">
            <v>2</v>
          </cell>
          <cell r="G313" t="str">
            <v>ja</v>
          </cell>
          <cell r="H313" t="str">
            <v>27--2</v>
          </cell>
          <cell r="I313" t="str">
            <v>27--2</v>
          </cell>
          <cell r="J313" t="str">
            <v>NULL</v>
          </cell>
          <cell r="K313">
            <v>14</v>
          </cell>
          <cell r="L313">
            <v>14760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27</v>
          </cell>
          <cell r="AD313">
            <v>6</v>
          </cell>
          <cell r="AE313" t="str">
            <v>everyone</v>
          </cell>
        </row>
        <row r="314">
          <cell r="A314" t="str">
            <v>15027_3</v>
          </cell>
          <cell r="B314">
            <v>1</v>
          </cell>
          <cell r="C314">
            <v>15027</v>
          </cell>
          <cell r="D314">
            <v>27</v>
          </cell>
          <cell r="E314" t="str">
            <v>黄青DL6</v>
          </cell>
          <cell r="F314">
            <v>3</v>
          </cell>
          <cell r="G314" t="str">
            <v>ja</v>
          </cell>
          <cell r="H314" t="str">
            <v>27--3</v>
          </cell>
          <cell r="I314" t="str">
            <v>27--3</v>
          </cell>
          <cell r="J314" t="str">
            <v>NULL</v>
          </cell>
          <cell r="K314">
            <v>15</v>
          </cell>
          <cell r="L314">
            <v>14880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27</v>
          </cell>
          <cell r="AD314">
            <v>6</v>
          </cell>
          <cell r="AE314" t="str">
            <v>everyone</v>
          </cell>
        </row>
        <row r="315">
          <cell r="A315" t="str">
            <v>15027_4</v>
          </cell>
          <cell r="B315">
            <v>1</v>
          </cell>
          <cell r="C315">
            <v>15027</v>
          </cell>
          <cell r="D315">
            <v>27</v>
          </cell>
          <cell r="E315" t="str">
            <v>黄青DL6</v>
          </cell>
          <cell r="F315">
            <v>4</v>
          </cell>
          <cell r="G315" t="str">
            <v>ja</v>
          </cell>
          <cell r="H315" t="str">
            <v>27--4</v>
          </cell>
          <cell r="I315" t="str">
            <v>27--4</v>
          </cell>
          <cell r="J315">
            <v>125</v>
          </cell>
          <cell r="K315">
            <v>1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once</v>
          </cell>
          <cell r="AC315">
            <v>27</v>
          </cell>
          <cell r="AD315">
            <v>6</v>
          </cell>
          <cell r="AE315" t="str">
            <v>singleonly</v>
          </cell>
        </row>
        <row r="316">
          <cell r="A316" t="str">
            <v>15028_1</v>
          </cell>
          <cell r="B316">
            <v>1</v>
          </cell>
          <cell r="C316">
            <v>15028</v>
          </cell>
          <cell r="D316">
            <v>28</v>
          </cell>
          <cell r="E316" t="str">
            <v>赤緑DL6</v>
          </cell>
          <cell r="F316">
            <v>1</v>
          </cell>
          <cell r="G316" t="str">
            <v>ja</v>
          </cell>
          <cell r="H316" t="str">
            <v>28--1</v>
          </cell>
          <cell r="I316" t="str">
            <v>28--1</v>
          </cell>
          <cell r="J316" t="str">
            <v>NULL</v>
          </cell>
          <cell r="K316">
            <v>14</v>
          </cell>
          <cell r="L316">
            <v>14640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27</v>
          </cell>
          <cell r="AD316">
            <v>6</v>
          </cell>
          <cell r="AE316" t="str">
            <v>everyone</v>
          </cell>
        </row>
        <row r="317">
          <cell r="A317" t="str">
            <v>15028_2</v>
          </cell>
          <cell r="B317">
            <v>1</v>
          </cell>
          <cell r="C317">
            <v>15028</v>
          </cell>
          <cell r="D317">
            <v>28</v>
          </cell>
          <cell r="E317" t="str">
            <v>赤緑DL6</v>
          </cell>
          <cell r="F317">
            <v>2</v>
          </cell>
          <cell r="G317" t="str">
            <v>ja</v>
          </cell>
          <cell r="H317" t="str">
            <v>28--2</v>
          </cell>
          <cell r="I317" t="str">
            <v>28--2</v>
          </cell>
          <cell r="J317" t="str">
            <v>NULL</v>
          </cell>
          <cell r="K317">
            <v>14</v>
          </cell>
          <cell r="L317">
            <v>14760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27</v>
          </cell>
          <cell r="AD317">
            <v>6</v>
          </cell>
          <cell r="AE317" t="str">
            <v>everyone</v>
          </cell>
        </row>
        <row r="318">
          <cell r="A318" t="str">
            <v>15028_3</v>
          </cell>
          <cell r="B318">
            <v>1</v>
          </cell>
          <cell r="C318">
            <v>15028</v>
          </cell>
          <cell r="D318">
            <v>28</v>
          </cell>
          <cell r="E318" t="str">
            <v>赤緑DL6</v>
          </cell>
          <cell r="F318">
            <v>3</v>
          </cell>
          <cell r="G318" t="str">
            <v>ja</v>
          </cell>
          <cell r="H318" t="str">
            <v>28--3</v>
          </cell>
          <cell r="I318" t="str">
            <v>28--3</v>
          </cell>
          <cell r="J318" t="str">
            <v>NULL</v>
          </cell>
          <cell r="K318">
            <v>15</v>
          </cell>
          <cell r="L318">
            <v>14880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27</v>
          </cell>
          <cell r="AD318">
            <v>6</v>
          </cell>
          <cell r="AE318" t="str">
            <v>everyone</v>
          </cell>
        </row>
        <row r="319">
          <cell r="A319" t="str">
            <v>15028_4</v>
          </cell>
          <cell r="B319">
            <v>1</v>
          </cell>
          <cell r="C319">
            <v>15028</v>
          </cell>
          <cell r="D319">
            <v>28</v>
          </cell>
          <cell r="E319" t="str">
            <v>赤緑DL6</v>
          </cell>
          <cell r="F319">
            <v>4</v>
          </cell>
          <cell r="G319" t="str">
            <v>ja</v>
          </cell>
          <cell r="H319" t="str">
            <v>28--4</v>
          </cell>
          <cell r="I319" t="str">
            <v>28--4</v>
          </cell>
          <cell r="J319">
            <v>125</v>
          </cell>
          <cell r="K319">
            <v>1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once</v>
          </cell>
          <cell r="AC319">
            <v>27</v>
          </cell>
          <cell r="AD319">
            <v>6</v>
          </cell>
          <cell r="AE319" t="str">
            <v>singleonly</v>
          </cell>
        </row>
        <row r="320">
          <cell r="A320" t="str">
            <v>15029_1</v>
          </cell>
          <cell r="B320">
            <v>1</v>
          </cell>
          <cell r="C320">
            <v>15029</v>
          </cell>
          <cell r="D320">
            <v>29</v>
          </cell>
          <cell r="E320" t="str">
            <v>緑黄DL6</v>
          </cell>
          <cell r="F320">
            <v>1</v>
          </cell>
          <cell r="G320" t="str">
            <v>ja</v>
          </cell>
          <cell r="H320" t="str">
            <v>29--1</v>
          </cell>
          <cell r="I320" t="str">
            <v>29--1</v>
          </cell>
          <cell r="J320" t="str">
            <v>NULL</v>
          </cell>
          <cell r="K320">
            <v>14</v>
          </cell>
          <cell r="L320">
            <v>14640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27</v>
          </cell>
          <cell r="AD320">
            <v>6</v>
          </cell>
          <cell r="AE320" t="str">
            <v>everyone</v>
          </cell>
        </row>
        <row r="321">
          <cell r="A321" t="str">
            <v>15029_2</v>
          </cell>
          <cell r="B321">
            <v>1</v>
          </cell>
          <cell r="C321">
            <v>15029</v>
          </cell>
          <cell r="D321">
            <v>29</v>
          </cell>
          <cell r="E321" t="str">
            <v>緑黄DL6</v>
          </cell>
          <cell r="F321">
            <v>2</v>
          </cell>
          <cell r="G321" t="str">
            <v>ja</v>
          </cell>
          <cell r="H321" t="str">
            <v>29--2</v>
          </cell>
          <cell r="I321" t="str">
            <v>29--2</v>
          </cell>
          <cell r="J321" t="str">
            <v>NULL</v>
          </cell>
          <cell r="K321">
            <v>14</v>
          </cell>
          <cell r="L321">
            <v>14760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27</v>
          </cell>
          <cell r="AD321">
            <v>6</v>
          </cell>
          <cell r="AE321" t="str">
            <v>everyone</v>
          </cell>
        </row>
        <row r="322">
          <cell r="A322" t="str">
            <v>15029_3</v>
          </cell>
          <cell r="B322">
            <v>1</v>
          </cell>
          <cell r="C322">
            <v>15029</v>
          </cell>
          <cell r="D322">
            <v>29</v>
          </cell>
          <cell r="E322" t="str">
            <v>緑黄DL6</v>
          </cell>
          <cell r="F322">
            <v>3</v>
          </cell>
          <cell r="G322" t="str">
            <v>ja</v>
          </cell>
          <cell r="H322" t="str">
            <v>29--3</v>
          </cell>
          <cell r="I322" t="str">
            <v>29--3</v>
          </cell>
          <cell r="J322" t="str">
            <v>NULL</v>
          </cell>
          <cell r="K322">
            <v>15</v>
          </cell>
          <cell r="L322">
            <v>14880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27</v>
          </cell>
          <cell r="AD322">
            <v>6</v>
          </cell>
          <cell r="AE322" t="str">
            <v>everyone</v>
          </cell>
        </row>
        <row r="323">
          <cell r="A323" t="str">
            <v>15029_4</v>
          </cell>
          <cell r="B323">
            <v>1</v>
          </cell>
          <cell r="C323">
            <v>15029</v>
          </cell>
          <cell r="D323">
            <v>29</v>
          </cell>
          <cell r="E323" t="str">
            <v>緑黄DL6</v>
          </cell>
          <cell r="F323">
            <v>4</v>
          </cell>
          <cell r="G323" t="str">
            <v>ja</v>
          </cell>
          <cell r="H323" t="str">
            <v>29--4</v>
          </cell>
          <cell r="I323" t="str">
            <v>29--4</v>
          </cell>
          <cell r="J323">
            <v>125</v>
          </cell>
          <cell r="K323">
            <v>1</v>
          </cell>
          <cell r="L323">
            <v>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once</v>
          </cell>
          <cell r="AC323">
            <v>27</v>
          </cell>
          <cell r="AD323">
            <v>6</v>
          </cell>
          <cell r="AE323" t="str">
            <v>singleonly</v>
          </cell>
        </row>
        <row r="324">
          <cell r="A324" t="str">
            <v>15030_1</v>
          </cell>
          <cell r="B324">
            <v>1</v>
          </cell>
          <cell r="C324">
            <v>15030</v>
          </cell>
          <cell r="D324">
            <v>30</v>
          </cell>
          <cell r="E324" t="str">
            <v>赤青DL6</v>
          </cell>
          <cell r="F324">
            <v>1</v>
          </cell>
          <cell r="G324" t="str">
            <v>ja</v>
          </cell>
          <cell r="H324" t="str">
            <v>30--1</v>
          </cell>
          <cell r="I324" t="str">
            <v>30--1</v>
          </cell>
          <cell r="J324" t="str">
            <v>NULL</v>
          </cell>
          <cell r="K324">
            <v>14</v>
          </cell>
          <cell r="L324">
            <v>14640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27</v>
          </cell>
          <cell r="AD324">
            <v>6</v>
          </cell>
          <cell r="AE324" t="str">
            <v>everyone</v>
          </cell>
        </row>
        <row r="325">
          <cell r="A325" t="str">
            <v>15030_2</v>
          </cell>
          <cell r="B325">
            <v>1</v>
          </cell>
          <cell r="C325">
            <v>15030</v>
          </cell>
          <cell r="D325">
            <v>30</v>
          </cell>
          <cell r="E325" t="str">
            <v>赤青DL6</v>
          </cell>
          <cell r="F325">
            <v>2</v>
          </cell>
          <cell r="G325" t="str">
            <v>ja</v>
          </cell>
          <cell r="H325" t="str">
            <v>30--2</v>
          </cell>
          <cell r="I325" t="str">
            <v>30--2</v>
          </cell>
          <cell r="J325" t="str">
            <v>NULL</v>
          </cell>
          <cell r="K325">
            <v>14</v>
          </cell>
          <cell r="L325">
            <v>14760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27</v>
          </cell>
          <cell r="AD325">
            <v>6</v>
          </cell>
          <cell r="AE325" t="str">
            <v>everyone</v>
          </cell>
        </row>
        <row r="326">
          <cell r="A326" t="str">
            <v>15030_3</v>
          </cell>
          <cell r="B326">
            <v>1</v>
          </cell>
          <cell r="C326">
            <v>15030</v>
          </cell>
          <cell r="D326">
            <v>30</v>
          </cell>
          <cell r="E326" t="str">
            <v>赤青DL6</v>
          </cell>
          <cell r="F326">
            <v>3</v>
          </cell>
          <cell r="G326" t="str">
            <v>ja</v>
          </cell>
          <cell r="H326" t="str">
            <v>30--3</v>
          </cell>
          <cell r="I326" t="str">
            <v>30--3</v>
          </cell>
          <cell r="J326" t="str">
            <v>NULL</v>
          </cell>
          <cell r="K326">
            <v>15</v>
          </cell>
          <cell r="L326">
            <v>14880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27</v>
          </cell>
          <cell r="AD326">
            <v>6</v>
          </cell>
          <cell r="AE326" t="str">
            <v>everyone</v>
          </cell>
        </row>
        <row r="327">
          <cell r="A327" t="str">
            <v>15030_4</v>
          </cell>
          <cell r="B327">
            <v>1</v>
          </cell>
          <cell r="C327">
            <v>15030</v>
          </cell>
          <cell r="D327">
            <v>30</v>
          </cell>
          <cell r="E327" t="str">
            <v>赤青DL6</v>
          </cell>
          <cell r="F327">
            <v>4</v>
          </cell>
          <cell r="G327" t="str">
            <v>ja</v>
          </cell>
          <cell r="H327" t="str">
            <v>30--4</v>
          </cell>
          <cell r="I327" t="str">
            <v>30--4</v>
          </cell>
          <cell r="J327">
            <v>125</v>
          </cell>
          <cell r="K327">
            <v>1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once</v>
          </cell>
          <cell r="AC327">
            <v>27</v>
          </cell>
          <cell r="AD327">
            <v>6</v>
          </cell>
          <cell r="AE327" t="str">
            <v>singleonly</v>
          </cell>
        </row>
        <row r="328">
          <cell r="A328" t="str">
            <v>15031_1</v>
          </cell>
          <cell r="B328">
            <v>1</v>
          </cell>
          <cell r="C328">
            <v>15031</v>
          </cell>
          <cell r="D328">
            <v>31</v>
          </cell>
          <cell r="E328" t="str">
            <v>混色DL6</v>
          </cell>
          <cell r="F328">
            <v>1</v>
          </cell>
          <cell r="G328" t="str">
            <v>ja</v>
          </cell>
          <cell r="H328" t="str">
            <v>31--1</v>
          </cell>
          <cell r="I328" t="str">
            <v>31--1</v>
          </cell>
          <cell r="J328" t="str">
            <v>NULL</v>
          </cell>
          <cell r="K328">
            <v>14</v>
          </cell>
          <cell r="L328">
            <v>14640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15031_2</v>
          </cell>
          <cell r="B329">
            <v>1</v>
          </cell>
          <cell r="C329">
            <v>15031</v>
          </cell>
          <cell r="D329">
            <v>31</v>
          </cell>
          <cell r="E329" t="str">
            <v>混色DL6</v>
          </cell>
          <cell r="F329">
            <v>2</v>
          </cell>
          <cell r="G329" t="str">
            <v>ja</v>
          </cell>
          <cell r="H329" t="str">
            <v>31--2</v>
          </cell>
          <cell r="I329" t="str">
            <v>31--2</v>
          </cell>
          <cell r="J329" t="str">
            <v>NULL</v>
          </cell>
          <cell r="K329">
            <v>14</v>
          </cell>
          <cell r="L329">
            <v>14760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15031_3</v>
          </cell>
          <cell r="B330">
            <v>1</v>
          </cell>
          <cell r="C330">
            <v>15031</v>
          </cell>
          <cell r="D330">
            <v>31</v>
          </cell>
          <cell r="E330" t="str">
            <v>混色DL6</v>
          </cell>
          <cell r="F330">
            <v>3</v>
          </cell>
          <cell r="G330" t="str">
            <v>ja</v>
          </cell>
          <cell r="H330" t="str">
            <v>31--3</v>
          </cell>
          <cell r="I330" t="str">
            <v>31--3</v>
          </cell>
          <cell r="J330" t="str">
            <v>NULL</v>
          </cell>
          <cell r="K330">
            <v>15</v>
          </cell>
          <cell r="L330">
            <v>14880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15031_4</v>
          </cell>
          <cell r="B331">
            <v>1</v>
          </cell>
          <cell r="C331">
            <v>15031</v>
          </cell>
          <cell r="D331">
            <v>31</v>
          </cell>
          <cell r="E331" t="str">
            <v>混色DL6</v>
          </cell>
          <cell r="F331">
            <v>4</v>
          </cell>
          <cell r="G331" t="str">
            <v>ja</v>
          </cell>
          <cell r="H331" t="str">
            <v>31--4</v>
          </cell>
          <cell r="I331" t="str">
            <v>31--4</v>
          </cell>
          <cell r="J331">
            <v>125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20001_1</v>
          </cell>
          <cell r="B332">
            <v>3</v>
          </cell>
          <cell r="C332">
            <v>20001</v>
          </cell>
          <cell r="D332" t="str">
            <v>紅き執行者</v>
          </cell>
          <cell r="E332" t="str">
            <v>ドロップイベント1-1</v>
          </cell>
          <cell r="F332">
            <v>1</v>
          </cell>
          <cell r="G332" t="str">
            <v>ja</v>
          </cell>
          <cell r="H332" t="str">
            <v xml:space="preserve">【初級】紅き執行者 </v>
          </cell>
          <cell r="I332" t="str">
            <v>初級</v>
          </cell>
          <cell r="J332">
            <v>262</v>
          </cell>
          <cell r="K332">
            <v>8</v>
          </cell>
          <cell r="L332">
            <v>384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14</v>
          </cell>
          <cell r="AD332">
            <v>6</v>
          </cell>
          <cell r="AE332" t="str">
            <v>everyone</v>
          </cell>
        </row>
        <row r="333">
          <cell r="A333" t="str">
            <v>20001_2</v>
          </cell>
          <cell r="B333">
            <v>3</v>
          </cell>
          <cell r="C333">
            <v>20001</v>
          </cell>
          <cell r="D333" t="str">
            <v>紅き執行者</v>
          </cell>
          <cell r="E333" t="str">
            <v>ドロップイベント1-1</v>
          </cell>
          <cell r="F333">
            <v>2</v>
          </cell>
          <cell r="G333" t="str">
            <v>ja</v>
          </cell>
          <cell r="H333" t="str">
            <v>【中級】紅き執行者</v>
          </cell>
          <cell r="I333" t="str">
            <v>中級</v>
          </cell>
          <cell r="J333">
            <v>262</v>
          </cell>
          <cell r="K333">
            <v>15</v>
          </cell>
          <cell r="L333">
            <v>1200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14</v>
          </cell>
          <cell r="AD333">
            <v>6</v>
          </cell>
          <cell r="AE333" t="str">
            <v>everyone</v>
          </cell>
        </row>
        <row r="334">
          <cell r="A334" t="str">
            <v>20001_3</v>
          </cell>
          <cell r="B334">
            <v>3</v>
          </cell>
          <cell r="C334">
            <v>20001</v>
          </cell>
          <cell r="D334" t="str">
            <v>紅き執行者</v>
          </cell>
          <cell r="E334" t="str">
            <v>ドロップイベント1-1</v>
          </cell>
          <cell r="F334">
            <v>3</v>
          </cell>
          <cell r="G334" t="str">
            <v>ja</v>
          </cell>
          <cell r="H334" t="str">
            <v xml:space="preserve">【上級】紅き執行者 </v>
          </cell>
          <cell r="I334" t="str">
            <v>上級</v>
          </cell>
          <cell r="J334">
            <v>263</v>
          </cell>
          <cell r="K334">
            <v>20</v>
          </cell>
          <cell r="L334">
            <v>2000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14</v>
          </cell>
          <cell r="AD334">
            <v>6</v>
          </cell>
          <cell r="AE334" t="str">
            <v>everyone</v>
          </cell>
        </row>
        <row r="335">
          <cell r="A335" t="str">
            <v>20002_1</v>
          </cell>
          <cell r="B335">
            <v>3</v>
          </cell>
          <cell r="C335">
            <v>20002</v>
          </cell>
          <cell r="D335" t="str">
            <v>孤高の一角獣</v>
          </cell>
          <cell r="E335" t="str">
            <v>ドロップイベント1-2</v>
          </cell>
          <cell r="F335">
            <v>1</v>
          </cell>
          <cell r="G335" t="str">
            <v>ja</v>
          </cell>
          <cell r="H335" t="str">
            <v>【初級】孤高の一角獣(ハートなし)</v>
          </cell>
          <cell r="I335" t="str">
            <v>初級</v>
          </cell>
          <cell r="J335">
            <v>264</v>
          </cell>
          <cell r="K335">
            <v>8</v>
          </cell>
          <cell r="L335">
            <v>384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20002_2</v>
          </cell>
          <cell r="B336">
            <v>3</v>
          </cell>
          <cell r="C336">
            <v>20002</v>
          </cell>
          <cell r="D336" t="str">
            <v>孤高の一角獣</v>
          </cell>
          <cell r="E336" t="str">
            <v>ドロップイベント1-2</v>
          </cell>
          <cell r="F336">
            <v>2</v>
          </cell>
          <cell r="G336" t="str">
            <v>ja</v>
          </cell>
          <cell r="H336" t="str">
            <v>【中級】孤高の一角獣(ハートなし)</v>
          </cell>
          <cell r="I336" t="str">
            <v>中級</v>
          </cell>
          <cell r="J336">
            <v>264</v>
          </cell>
          <cell r="K336">
            <v>15</v>
          </cell>
          <cell r="L336">
            <v>1200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20002_3</v>
          </cell>
          <cell r="B337">
            <v>3</v>
          </cell>
          <cell r="C337">
            <v>20002</v>
          </cell>
          <cell r="D337" t="str">
            <v>孤高の一角獣</v>
          </cell>
          <cell r="E337" t="str">
            <v>ドロップイベント1-2</v>
          </cell>
          <cell r="F337">
            <v>3</v>
          </cell>
          <cell r="G337" t="str">
            <v>ja</v>
          </cell>
          <cell r="H337" t="str">
            <v>【上級】孤高の一角獣(ハートなし)</v>
          </cell>
          <cell r="I337" t="str">
            <v>上級</v>
          </cell>
          <cell r="J337">
            <v>265</v>
          </cell>
          <cell r="K337">
            <v>20</v>
          </cell>
          <cell r="L337">
            <v>2000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19</v>
          </cell>
          <cell r="AD337">
            <v>6</v>
          </cell>
          <cell r="AE337" t="str">
            <v>everyone</v>
          </cell>
        </row>
        <row r="338">
          <cell r="A338" t="str">
            <v>20003_1</v>
          </cell>
          <cell r="B338">
            <v>3</v>
          </cell>
          <cell r="C338">
            <v>20003</v>
          </cell>
          <cell r="D338" t="str">
            <v>忍び寄る短剣</v>
          </cell>
          <cell r="E338" t="str">
            <v>ドロップイベント1-3</v>
          </cell>
          <cell r="F338">
            <v>1</v>
          </cell>
          <cell r="G338" t="str">
            <v>ja</v>
          </cell>
          <cell r="H338" t="str">
            <v xml:space="preserve">【初級】忍び寄る短剣 </v>
          </cell>
          <cell r="I338" t="str">
            <v>初級</v>
          </cell>
          <cell r="J338">
            <v>266</v>
          </cell>
          <cell r="K338">
            <v>8</v>
          </cell>
          <cell r="L338">
            <v>384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11</v>
          </cell>
          <cell r="AD338">
            <v>6</v>
          </cell>
          <cell r="AE338" t="str">
            <v>everyone</v>
          </cell>
        </row>
        <row r="339">
          <cell r="A339" t="str">
            <v>20003_2</v>
          </cell>
          <cell r="B339">
            <v>3</v>
          </cell>
          <cell r="C339">
            <v>20003</v>
          </cell>
          <cell r="D339" t="str">
            <v>忍び寄る短剣</v>
          </cell>
          <cell r="E339" t="str">
            <v>ドロップイベント1-3</v>
          </cell>
          <cell r="F339">
            <v>2</v>
          </cell>
          <cell r="G339" t="str">
            <v>ja</v>
          </cell>
          <cell r="H339" t="str">
            <v xml:space="preserve">【中級】忍び寄る短剣 </v>
          </cell>
          <cell r="I339" t="str">
            <v>中級</v>
          </cell>
          <cell r="J339">
            <v>266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11</v>
          </cell>
          <cell r="AD339">
            <v>6</v>
          </cell>
          <cell r="AE339" t="str">
            <v>everyone</v>
          </cell>
        </row>
        <row r="340">
          <cell r="A340" t="str">
            <v>20003_3</v>
          </cell>
          <cell r="B340">
            <v>3</v>
          </cell>
          <cell r="C340">
            <v>20003</v>
          </cell>
          <cell r="D340" t="str">
            <v>忍び寄る短剣</v>
          </cell>
          <cell r="E340" t="str">
            <v>ドロップイベント1-3</v>
          </cell>
          <cell r="F340">
            <v>3</v>
          </cell>
          <cell r="G340" t="str">
            <v>ja</v>
          </cell>
          <cell r="H340" t="str">
            <v xml:space="preserve">【上級】忍び寄る短剣 </v>
          </cell>
          <cell r="I340" t="str">
            <v>上級</v>
          </cell>
          <cell r="J340">
            <v>267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11</v>
          </cell>
          <cell r="AD340">
            <v>6</v>
          </cell>
          <cell r="AE340" t="str">
            <v>everyone</v>
          </cell>
        </row>
        <row r="341">
          <cell r="A341" t="str">
            <v>20004_1</v>
          </cell>
          <cell r="B341">
            <v>3</v>
          </cell>
          <cell r="C341">
            <v>20004</v>
          </cell>
          <cell r="D341" t="str">
            <v>雷雲からの刺客</v>
          </cell>
          <cell r="E341" t="str">
            <v>ドロップイベント1-4</v>
          </cell>
          <cell r="F341">
            <v>1</v>
          </cell>
          <cell r="G341" t="str">
            <v>ja</v>
          </cell>
          <cell r="H341" t="str">
            <v>【初級】雷雲からの刺客(ハートなし)</v>
          </cell>
          <cell r="I341" t="str">
            <v>初級</v>
          </cell>
          <cell r="J341">
            <v>268</v>
          </cell>
          <cell r="K341">
            <v>8</v>
          </cell>
          <cell r="L341">
            <v>384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4</v>
          </cell>
          <cell r="AD341">
            <v>6</v>
          </cell>
          <cell r="AE341" t="str">
            <v>everyone</v>
          </cell>
        </row>
        <row r="342">
          <cell r="A342" t="str">
            <v>20004_2</v>
          </cell>
          <cell r="B342">
            <v>3</v>
          </cell>
          <cell r="C342">
            <v>20004</v>
          </cell>
          <cell r="D342" t="str">
            <v>雷雲からの刺客</v>
          </cell>
          <cell r="E342" t="str">
            <v>ドロップイベント1-4</v>
          </cell>
          <cell r="F342">
            <v>2</v>
          </cell>
          <cell r="G342" t="str">
            <v>ja</v>
          </cell>
          <cell r="H342" t="str">
            <v>【中級】雷雲からの刺客(ハートなし)</v>
          </cell>
          <cell r="I342" t="str">
            <v>中級</v>
          </cell>
          <cell r="J342">
            <v>268</v>
          </cell>
          <cell r="K342">
            <v>15</v>
          </cell>
          <cell r="L342">
            <v>1200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4</v>
          </cell>
          <cell r="AD342">
            <v>6</v>
          </cell>
          <cell r="AE342" t="str">
            <v>everyone</v>
          </cell>
        </row>
        <row r="343">
          <cell r="A343" t="str">
            <v>20004_3</v>
          </cell>
          <cell r="B343">
            <v>3</v>
          </cell>
          <cell r="C343">
            <v>20004</v>
          </cell>
          <cell r="D343" t="str">
            <v>雷雲からの刺客</v>
          </cell>
          <cell r="E343" t="str">
            <v>ドロップイベント1-4</v>
          </cell>
          <cell r="F343">
            <v>3</v>
          </cell>
          <cell r="G343" t="str">
            <v>ja</v>
          </cell>
          <cell r="H343" t="str">
            <v>【上級】雷雲からの刺客(ハートなし)</v>
          </cell>
          <cell r="I343" t="str">
            <v>上級</v>
          </cell>
          <cell r="J343">
            <v>269</v>
          </cell>
          <cell r="K343">
            <v>20</v>
          </cell>
          <cell r="L343">
            <v>2000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4</v>
          </cell>
          <cell r="AD343">
            <v>6</v>
          </cell>
          <cell r="AE343" t="str">
            <v>everyone</v>
          </cell>
        </row>
        <row r="344">
          <cell r="A344" t="str">
            <v>20005_1</v>
          </cell>
          <cell r="B344">
            <v>3</v>
          </cell>
          <cell r="C344">
            <v>20005</v>
          </cell>
          <cell r="D344" t="str">
            <v>ザ・キャノン</v>
          </cell>
          <cell r="E344" t="str">
            <v>ドロップイベント2-2</v>
          </cell>
          <cell r="F344">
            <v>1</v>
          </cell>
          <cell r="G344" t="str">
            <v>ja</v>
          </cell>
          <cell r="H344" t="str">
            <v>【初級】ザ・キャノン(4タップ）</v>
          </cell>
          <cell r="I344" t="str">
            <v>初級</v>
          </cell>
          <cell r="J344">
            <v>286</v>
          </cell>
          <cell r="K344">
            <v>8</v>
          </cell>
          <cell r="L344">
            <v>384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4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14</v>
          </cell>
          <cell r="AD344">
            <v>6</v>
          </cell>
          <cell r="AE344" t="str">
            <v>everyone</v>
          </cell>
        </row>
        <row r="345">
          <cell r="A345" t="str">
            <v>20005_2</v>
          </cell>
          <cell r="B345">
            <v>3</v>
          </cell>
          <cell r="C345">
            <v>20005</v>
          </cell>
          <cell r="D345" t="str">
            <v>ザ・キャノン</v>
          </cell>
          <cell r="E345" t="str">
            <v>ドロップイベント2-2</v>
          </cell>
          <cell r="F345">
            <v>2</v>
          </cell>
          <cell r="G345" t="str">
            <v>ja</v>
          </cell>
          <cell r="H345" t="str">
            <v>【中級】ザ・キャノン(4タップ)</v>
          </cell>
          <cell r="I345" t="str">
            <v>中級</v>
          </cell>
          <cell r="J345">
            <v>286</v>
          </cell>
          <cell r="K345">
            <v>15</v>
          </cell>
          <cell r="L345">
            <v>1200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4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14</v>
          </cell>
          <cell r="AD345">
            <v>6</v>
          </cell>
          <cell r="AE345" t="str">
            <v>everyone</v>
          </cell>
        </row>
        <row r="346">
          <cell r="A346" t="str">
            <v>20005_3</v>
          </cell>
          <cell r="B346">
            <v>3</v>
          </cell>
          <cell r="C346">
            <v>20005</v>
          </cell>
          <cell r="D346" t="str">
            <v>ザ・キャノン</v>
          </cell>
          <cell r="E346" t="str">
            <v>ドロップイベント2-2</v>
          </cell>
          <cell r="F346">
            <v>3</v>
          </cell>
          <cell r="G346" t="str">
            <v>ja</v>
          </cell>
          <cell r="H346" t="str">
            <v>【上級】ザ・キャノン(4タップ)</v>
          </cell>
          <cell r="I346" t="str">
            <v>上級</v>
          </cell>
          <cell r="J346">
            <v>287</v>
          </cell>
          <cell r="K346">
            <v>20</v>
          </cell>
          <cell r="L346">
            <v>2000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4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20006_1</v>
          </cell>
          <cell r="B347">
            <v>3</v>
          </cell>
          <cell r="C347">
            <v>20006</v>
          </cell>
          <cell r="D347" t="str">
            <v>スチール・プレデター</v>
          </cell>
          <cell r="E347" t="str">
            <v>ドロップイベント2-3</v>
          </cell>
          <cell r="F347">
            <v>1</v>
          </cell>
          <cell r="G347" t="str">
            <v>ja</v>
          </cell>
          <cell r="H347" t="str">
            <v>【初級】スチール・プレデター</v>
          </cell>
          <cell r="I347" t="str">
            <v>初級</v>
          </cell>
          <cell r="J347">
            <v>280</v>
          </cell>
          <cell r="K347">
            <v>8</v>
          </cell>
          <cell r="L347">
            <v>384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2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19</v>
          </cell>
          <cell r="AD347">
            <v>6</v>
          </cell>
          <cell r="AE347" t="str">
            <v>everyone</v>
          </cell>
        </row>
        <row r="348">
          <cell r="A348" t="str">
            <v>20006_2</v>
          </cell>
          <cell r="B348">
            <v>3</v>
          </cell>
          <cell r="C348">
            <v>20006</v>
          </cell>
          <cell r="D348" t="str">
            <v>スチール・プレデター</v>
          </cell>
          <cell r="E348" t="str">
            <v>ドロップイベント2-3</v>
          </cell>
          <cell r="F348">
            <v>2</v>
          </cell>
          <cell r="G348" t="str">
            <v>ja</v>
          </cell>
          <cell r="H348" t="str">
            <v>【中級】スチール・プレデター</v>
          </cell>
          <cell r="I348" t="str">
            <v>中級</v>
          </cell>
          <cell r="J348">
            <v>280</v>
          </cell>
          <cell r="K348">
            <v>15</v>
          </cell>
          <cell r="L348">
            <v>1200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2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19</v>
          </cell>
          <cell r="AD348">
            <v>6</v>
          </cell>
          <cell r="AE348" t="str">
            <v>everyone</v>
          </cell>
        </row>
        <row r="349">
          <cell r="A349" t="str">
            <v>20006_3</v>
          </cell>
          <cell r="B349">
            <v>3</v>
          </cell>
          <cell r="C349">
            <v>20006</v>
          </cell>
          <cell r="D349" t="str">
            <v>スチール・プレデター</v>
          </cell>
          <cell r="E349" t="str">
            <v>ドロップイベント2-3</v>
          </cell>
          <cell r="F349">
            <v>3</v>
          </cell>
          <cell r="G349" t="str">
            <v>ja</v>
          </cell>
          <cell r="H349" t="str">
            <v>【上級】スチール・プレデター</v>
          </cell>
          <cell r="I349" t="str">
            <v>上級</v>
          </cell>
          <cell r="J349">
            <v>281</v>
          </cell>
          <cell r="K349">
            <v>20</v>
          </cell>
          <cell r="L349">
            <v>2000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2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19</v>
          </cell>
          <cell r="AD349">
            <v>6</v>
          </cell>
          <cell r="AE349" t="str">
            <v>everyone</v>
          </cell>
        </row>
        <row r="350">
          <cell r="A350" t="str">
            <v>20007_1</v>
          </cell>
          <cell r="B350">
            <v>3</v>
          </cell>
          <cell r="C350">
            <v>20007</v>
          </cell>
          <cell r="D350" t="str">
            <v>女王陛下の処刑龍</v>
          </cell>
          <cell r="E350" t="str">
            <v>ドロップイベント2-1</v>
          </cell>
          <cell r="F350">
            <v>1</v>
          </cell>
          <cell r="G350" t="str">
            <v>ja</v>
          </cell>
          <cell r="H350" t="str">
            <v>【初級】女王陛下の処刑龍(4タップ)</v>
          </cell>
          <cell r="I350" t="str">
            <v>初級</v>
          </cell>
          <cell r="J350">
            <v>282</v>
          </cell>
          <cell r="K350">
            <v>8</v>
          </cell>
          <cell r="L350">
            <v>384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4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20007_2</v>
          </cell>
          <cell r="B351">
            <v>3</v>
          </cell>
          <cell r="C351">
            <v>20007</v>
          </cell>
          <cell r="D351" t="str">
            <v>女王陛下の処刑龍</v>
          </cell>
          <cell r="E351" t="str">
            <v>ドロップイベント2-1</v>
          </cell>
          <cell r="F351">
            <v>2</v>
          </cell>
          <cell r="G351" t="str">
            <v>ja</v>
          </cell>
          <cell r="H351" t="str">
            <v>【中級】女王陛下の処刑龍(4タップ)</v>
          </cell>
          <cell r="I351" t="str">
            <v>中級</v>
          </cell>
          <cell r="J351">
            <v>282</v>
          </cell>
          <cell r="K351">
            <v>15</v>
          </cell>
          <cell r="L351">
            <v>1200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4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20007_3</v>
          </cell>
          <cell r="B352">
            <v>3</v>
          </cell>
          <cell r="C352">
            <v>20007</v>
          </cell>
          <cell r="D352" t="str">
            <v>女王陛下の処刑龍</v>
          </cell>
          <cell r="E352" t="str">
            <v>ドロップイベント2-1</v>
          </cell>
          <cell r="F352">
            <v>3</v>
          </cell>
          <cell r="G352" t="str">
            <v>ja</v>
          </cell>
          <cell r="H352" t="str">
            <v>【上級】女王陛下の処刑龍(4タップ)</v>
          </cell>
          <cell r="I352" t="str">
            <v>上級</v>
          </cell>
          <cell r="J352">
            <v>283</v>
          </cell>
          <cell r="K352">
            <v>20</v>
          </cell>
          <cell r="L352">
            <v>2000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4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17</v>
          </cell>
          <cell r="AD352">
            <v>6</v>
          </cell>
          <cell r="AE352" t="str">
            <v>everyone</v>
          </cell>
        </row>
        <row r="353">
          <cell r="A353" t="str">
            <v>20008_1</v>
          </cell>
          <cell r="B353">
            <v>3</v>
          </cell>
          <cell r="C353">
            <v>20008</v>
          </cell>
          <cell r="D353" t="str">
            <v>天翔ける金轟機龍</v>
          </cell>
          <cell r="E353" t="str">
            <v>ドロップイベント2-4</v>
          </cell>
          <cell r="F353">
            <v>1</v>
          </cell>
          <cell r="G353" t="str">
            <v>ja</v>
          </cell>
          <cell r="H353" t="str">
            <v>【初級】天翔ける金轟機龍</v>
          </cell>
          <cell r="I353" t="str">
            <v>初級</v>
          </cell>
          <cell r="J353">
            <v>284</v>
          </cell>
          <cell r="K353">
            <v>8</v>
          </cell>
          <cell r="L353">
            <v>384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20008_2</v>
          </cell>
          <cell r="B354">
            <v>3</v>
          </cell>
          <cell r="C354">
            <v>20008</v>
          </cell>
          <cell r="D354" t="str">
            <v>天翔ける金轟機龍</v>
          </cell>
          <cell r="E354" t="str">
            <v>ドロップイベント2-4</v>
          </cell>
          <cell r="F354">
            <v>2</v>
          </cell>
          <cell r="G354" t="str">
            <v>ja</v>
          </cell>
          <cell r="H354" t="str">
            <v>【中級】天翔ける金轟機龍</v>
          </cell>
          <cell r="I354" t="str">
            <v>中級</v>
          </cell>
          <cell r="J354">
            <v>284</v>
          </cell>
          <cell r="K354">
            <v>15</v>
          </cell>
          <cell r="L354">
            <v>1200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20008_3</v>
          </cell>
          <cell r="B355">
            <v>3</v>
          </cell>
          <cell r="C355">
            <v>20008</v>
          </cell>
          <cell r="D355" t="str">
            <v>天翔ける金轟機龍</v>
          </cell>
          <cell r="E355" t="str">
            <v>ドロップイベント2-4</v>
          </cell>
          <cell r="F355">
            <v>3</v>
          </cell>
          <cell r="G355" t="str">
            <v>ja</v>
          </cell>
          <cell r="H355" t="str">
            <v>【上級】天翔ける金轟機龍</v>
          </cell>
          <cell r="I355" t="str">
            <v>上級</v>
          </cell>
          <cell r="J355">
            <v>285</v>
          </cell>
          <cell r="K355">
            <v>20</v>
          </cell>
          <cell r="L355">
            <v>2000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20009_1</v>
          </cell>
          <cell r="B356">
            <v>0</v>
          </cell>
          <cell r="C356">
            <v>20009</v>
          </cell>
          <cell r="D356" t="str">
            <v>迫り来る窒息</v>
          </cell>
          <cell r="E356" t="str">
            <v>ドロップイベント3</v>
          </cell>
          <cell r="F356">
            <v>1</v>
          </cell>
          <cell r="G356" t="str">
            <v>ja</v>
          </cell>
          <cell r="H356" t="str">
            <v>【初級】迫り来る窒息</v>
          </cell>
          <cell r="I356" t="str">
            <v>初級</v>
          </cell>
          <cell r="J356" t="str">
            <v>NULL</v>
          </cell>
          <cell r="K356">
            <v>8</v>
          </cell>
          <cell r="L356">
            <v>384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25</v>
          </cell>
          <cell r="AD356">
            <v>5</v>
          </cell>
          <cell r="AE356" t="str">
            <v>everyone</v>
          </cell>
        </row>
        <row r="357">
          <cell r="A357" t="str">
            <v>20009_2</v>
          </cell>
          <cell r="B357">
            <v>3</v>
          </cell>
          <cell r="C357">
            <v>20009</v>
          </cell>
          <cell r="D357" t="str">
            <v>迫り来る窒息</v>
          </cell>
          <cell r="E357" t="str">
            <v>ドロップイベント3</v>
          </cell>
          <cell r="F357">
            <v>2</v>
          </cell>
          <cell r="G357" t="str">
            <v>ja</v>
          </cell>
          <cell r="H357" t="str">
            <v>【中級】迫り来る窒息</v>
          </cell>
          <cell r="I357" t="str">
            <v>中級</v>
          </cell>
          <cell r="J357">
            <v>302</v>
          </cell>
          <cell r="K357">
            <v>15</v>
          </cell>
          <cell r="L357">
            <v>1200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25</v>
          </cell>
          <cell r="AD357">
            <v>5</v>
          </cell>
          <cell r="AE357" t="str">
            <v>everyone</v>
          </cell>
        </row>
        <row r="358">
          <cell r="A358" t="str">
            <v>20009_3</v>
          </cell>
          <cell r="B358">
            <v>3</v>
          </cell>
          <cell r="C358">
            <v>20009</v>
          </cell>
          <cell r="D358" t="str">
            <v>迫り来る窒息</v>
          </cell>
          <cell r="E358" t="str">
            <v>ドロップイベント3</v>
          </cell>
          <cell r="F358">
            <v>3</v>
          </cell>
          <cell r="G358" t="str">
            <v>ja</v>
          </cell>
          <cell r="H358" t="str">
            <v>【上級】迫り来る窒息</v>
          </cell>
          <cell r="I358" t="str">
            <v>上級</v>
          </cell>
          <cell r="J358">
            <v>303</v>
          </cell>
          <cell r="K358">
            <v>20</v>
          </cell>
          <cell r="L358">
            <v>2000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25</v>
          </cell>
          <cell r="AD358">
            <v>5</v>
          </cell>
          <cell r="AE358" t="str">
            <v>everyone</v>
          </cell>
        </row>
        <row r="359">
          <cell r="A359" t="str">
            <v>20010_1</v>
          </cell>
          <cell r="B359">
            <v>3</v>
          </cell>
          <cell r="C359">
            <v>20010</v>
          </cell>
          <cell r="D359" t="str">
            <v>悪夢の一目惚れ</v>
          </cell>
          <cell r="E359" t="str">
            <v>ドロップイベント3</v>
          </cell>
          <cell r="F359">
            <v>1</v>
          </cell>
          <cell r="G359" t="str">
            <v>ja</v>
          </cell>
          <cell r="H359" t="str">
            <v>【初級】悪夢の一目惚れ</v>
          </cell>
          <cell r="I359" t="str">
            <v>初級</v>
          </cell>
          <cell r="J359">
            <v>304</v>
          </cell>
          <cell r="K359">
            <v>8</v>
          </cell>
          <cell r="L359">
            <v>384</v>
          </cell>
          <cell r="M359">
            <v>1</v>
          </cell>
          <cell r="N359">
            <v>1</v>
          </cell>
          <cell r="O359">
            <v>0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2601</v>
          </cell>
          <cell r="AD359">
            <v>6</v>
          </cell>
          <cell r="AE359" t="str">
            <v>everyone</v>
          </cell>
        </row>
        <row r="360">
          <cell r="A360" t="str">
            <v>20010_2</v>
          </cell>
          <cell r="B360">
            <v>3</v>
          </cell>
          <cell r="C360">
            <v>20010</v>
          </cell>
          <cell r="D360" t="str">
            <v>悪夢の一目惚れ</v>
          </cell>
          <cell r="E360" t="str">
            <v>ドロップイベント3</v>
          </cell>
          <cell r="F360">
            <v>2</v>
          </cell>
          <cell r="G360" t="str">
            <v>ja</v>
          </cell>
          <cell r="H360" t="str">
            <v>【中級】悪夢の一目惚れ</v>
          </cell>
          <cell r="I360" t="str">
            <v>中級</v>
          </cell>
          <cell r="J360">
            <v>304</v>
          </cell>
          <cell r="K360">
            <v>15</v>
          </cell>
          <cell r="L360">
            <v>1200</v>
          </cell>
          <cell r="M360">
            <v>1</v>
          </cell>
          <cell r="N360">
            <v>1</v>
          </cell>
          <cell r="O360">
            <v>0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2601</v>
          </cell>
          <cell r="AD360">
            <v>6</v>
          </cell>
          <cell r="AE360" t="str">
            <v>everyone</v>
          </cell>
        </row>
        <row r="361">
          <cell r="A361" t="str">
            <v>20010_3</v>
          </cell>
          <cell r="B361">
            <v>3</v>
          </cell>
          <cell r="C361">
            <v>20010</v>
          </cell>
          <cell r="D361" t="str">
            <v>悪夢の一目惚れ</v>
          </cell>
          <cell r="E361" t="str">
            <v>ドロップイベント3</v>
          </cell>
          <cell r="F361">
            <v>3</v>
          </cell>
          <cell r="G361" t="str">
            <v>ja</v>
          </cell>
          <cell r="H361" t="str">
            <v>【上級】悪夢の一目惚れ</v>
          </cell>
          <cell r="I361" t="str">
            <v>上級</v>
          </cell>
          <cell r="J361">
            <v>305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0</v>
          </cell>
          <cell r="P361">
            <v>1</v>
          </cell>
          <cell r="Q361">
            <v>1</v>
          </cell>
          <cell r="R361">
            <v>3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2601</v>
          </cell>
          <cell r="AD361">
            <v>6</v>
          </cell>
          <cell r="AE361" t="str">
            <v>everyone</v>
          </cell>
        </row>
        <row r="362">
          <cell r="A362" t="str">
            <v>20011_1</v>
          </cell>
          <cell r="B362">
            <v>3</v>
          </cell>
          <cell r="C362">
            <v>20011</v>
          </cell>
          <cell r="D362" t="str">
            <v>すべてが灰になる</v>
          </cell>
          <cell r="E362" t="str">
            <v>ドロップイベント3</v>
          </cell>
          <cell r="F362">
            <v>1</v>
          </cell>
          <cell r="G362" t="str">
            <v>ja</v>
          </cell>
          <cell r="H362" t="str">
            <v>【初級】すべてが灰になる</v>
          </cell>
          <cell r="I362" t="str">
            <v>初級</v>
          </cell>
          <cell r="J362">
            <v>298</v>
          </cell>
          <cell r="K362">
            <v>8</v>
          </cell>
          <cell r="L362">
            <v>384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10</v>
          </cell>
          <cell r="AD362">
            <v>5</v>
          </cell>
          <cell r="AE362" t="str">
            <v>everyone</v>
          </cell>
        </row>
        <row r="363">
          <cell r="A363" t="str">
            <v>20011_2</v>
          </cell>
          <cell r="B363">
            <v>3</v>
          </cell>
          <cell r="C363">
            <v>20011</v>
          </cell>
          <cell r="D363" t="str">
            <v>すべてが灰になる</v>
          </cell>
          <cell r="E363" t="str">
            <v>ドロップイベント3</v>
          </cell>
          <cell r="F363">
            <v>2</v>
          </cell>
          <cell r="G363" t="str">
            <v>ja</v>
          </cell>
          <cell r="H363" t="str">
            <v>【中級】すべてが灰になる</v>
          </cell>
          <cell r="I363" t="str">
            <v>中級</v>
          </cell>
          <cell r="J363">
            <v>298</v>
          </cell>
          <cell r="K363">
            <v>15</v>
          </cell>
          <cell r="L363">
            <v>1200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10</v>
          </cell>
          <cell r="AD363">
            <v>5</v>
          </cell>
          <cell r="AE363" t="str">
            <v>everyone</v>
          </cell>
        </row>
        <row r="364">
          <cell r="A364" t="str">
            <v>20011_3</v>
          </cell>
          <cell r="B364">
            <v>3</v>
          </cell>
          <cell r="C364">
            <v>20011</v>
          </cell>
          <cell r="D364" t="str">
            <v>すべてが灰になる</v>
          </cell>
          <cell r="E364" t="str">
            <v>ドロップイベント3</v>
          </cell>
          <cell r="F364">
            <v>3</v>
          </cell>
          <cell r="G364" t="str">
            <v>ja</v>
          </cell>
          <cell r="H364" t="str">
            <v>【上級】すべてが灰になる</v>
          </cell>
          <cell r="I364" t="str">
            <v>上級</v>
          </cell>
          <cell r="J364">
            <v>299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10</v>
          </cell>
          <cell r="AD364">
            <v>5</v>
          </cell>
          <cell r="AE364" t="str">
            <v>everyone</v>
          </cell>
        </row>
        <row r="365">
          <cell r="A365" t="str">
            <v>20012_1</v>
          </cell>
          <cell r="B365">
            <v>3</v>
          </cell>
          <cell r="C365">
            <v>20012</v>
          </cell>
          <cell r="D365" t="str">
            <v>罪と劇薬</v>
          </cell>
          <cell r="E365" t="str">
            <v>ドロップイベント3</v>
          </cell>
          <cell r="F365">
            <v>1</v>
          </cell>
          <cell r="G365" t="str">
            <v>ja</v>
          </cell>
          <cell r="H365" t="str">
            <v>【初級】罪と劇薬</v>
          </cell>
          <cell r="I365" t="str">
            <v>初級</v>
          </cell>
          <cell r="J365">
            <v>300</v>
          </cell>
          <cell r="K365">
            <v>8</v>
          </cell>
          <cell r="L365">
            <v>384</v>
          </cell>
          <cell r="M365">
            <v>0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20012_2</v>
          </cell>
          <cell r="B366">
            <v>3</v>
          </cell>
          <cell r="C366">
            <v>20012</v>
          </cell>
          <cell r="D366" t="str">
            <v>罪と劇薬</v>
          </cell>
          <cell r="E366" t="str">
            <v>ドロップイベント3</v>
          </cell>
          <cell r="F366">
            <v>2</v>
          </cell>
          <cell r="G366" t="str">
            <v>ja</v>
          </cell>
          <cell r="H366" t="str">
            <v>【中級】罪と劇薬</v>
          </cell>
          <cell r="I366" t="str">
            <v>中級</v>
          </cell>
          <cell r="J366">
            <v>300</v>
          </cell>
          <cell r="K366">
            <v>15</v>
          </cell>
          <cell r="L366">
            <v>1200</v>
          </cell>
          <cell r="M366">
            <v>0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20012_3</v>
          </cell>
          <cell r="B367">
            <v>3</v>
          </cell>
          <cell r="C367">
            <v>20012</v>
          </cell>
          <cell r="D367" t="str">
            <v>罪と劇薬</v>
          </cell>
          <cell r="E367" t="str">
            <v>ドロップイベント3</v>
          </cell>
          <cell r="F367">
            <v>3</v>
          </cell>
          <cell r="G367" t="str">
            <v>ja</v>
          </cell>
          <cell r="H367" t="str">
            <v>【上級】罪と劇薬</v>
          </cell>
          <cell r="I367" t="str">
            <v>上級</v>
          </cell>
          <cell r="J367">
            <v>301</v>
          </cell>
          <cell r="K367">
            <v>20</v>
          </cell>
          <cell r="L367">
            <v>2000</v>
          </cell>
          <cell r="M367">
            <v>0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polygon</v>
          </cell>
          <cell r="T367">
            <v>1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30001_1</v>
          </cell>
          <cell r="B368">
            <v>3</v>
          </cell>
          <cell r="C368">
            <v>30001</v>
          </cell>
          <cell r="D368" t="str">
            <v>ハンター・オブ・ハンター</v>
          </cell>
          <cell r="E368" t="str">
            <v>ドロップイベント1-1（マルチ専用）</v>
          </cell>
          <cell r="F368">
            <v>1</v>
          </cell>
          <cell r="G368" t="str">
            <v>ja</v>
          </cell>
          <cell r="H368" t="str">
            <v xml:space="preserve">【中級】ハンター・オブ・ハンター </v>
          </cell>
          <cell r="I368" t="str">
            <v>中級</v>
          </cell>
          <cell r="J368">
            <v>270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7</v>
          </cell>
          <cell r="AD368">
            <v>6</v>
          </cell>
          <cell r="AE368" t="str">
            <v>everyone</v>
          </cell>
        </row>
        <row r="369">
          <cell r="A369" t="str">
            <v>30001_2</v>
          </cell>
          <cell r="B369">
            <v>3</v>
          </cell>
          <cell r="C369">
            <v>30001</v>
          </cell>
          <cell r="D369" t="str">
            <v>ハンター・オブ・ハンター</v>
          </cell>
          <cell r="E369" t="str">
            <v>ドロップイベント1-1（マルチ専用）</v>
          </cell>
          <cell r="F369">
            <v>2</v>
          </cell>
          <cell r="G369" t="str">
            <v>ja</v>
          </cell>
          <cell r="H369" t="str">
            <v xml:space="preserve">【上級】ハンター・オブ・ハンター </v>
          </cell>
          <cell r="I369" t="str">
            <v>上級</v>
          </cell>
          <cell r="J369">
            <v>270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7</v>
          </cell>
          <cell r="AD369">
            <v>6</v>
          </cell>
          <cell r="AE369" t="str">
            <v>everyone</v>
          </cell>
        </row>
        <row r="370">
          <cell r="A370" t="str">
            <v>30001_3</v>
          </cell>
          <cell r="B370">
            <v>3</v>
          </cell>
          <cell r="C370">
            <v>30001</v>
          </cell>
          <cell r="D370" t="str">
            <v>ハンター・オブ・ハンター</v>
          </cell>
          <cell r="E370" t="str">
            <v>ドロップイベント1-1（マルチ専用）</v>
          </cell>
          <cell r="F370">
            <v>3</v>
          </cell>
          <cell r="G370" t="str">
            <v>ja</v>
          </cell>
          <cell r="H370" t="str">
            <v xml:space="preserve">【超級】ハンター・オブ・ハンター </v>
          </cell>
          <cell r="I370" t="str">
            <v>超級</v>
          </cell>
          <cell r="J370">
            <v>271</v>
          </cell>
          <cell r="K370">
            <v>30</v>
          </cell>
          <cell r="L370">
            <v>3300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7</v>
          </cell>
          <cell r="AD370">
            <v>6</v>
          </cell>
          <cell r="AE370" t="str">
            <v>everyone</v>
          </cell>
        </row>
        <row r="371">
          <cell r="A371" t="str">
            <v>30002_1</v>
          </cell>
          <cell r="B371">
            <v>3</v>
          </cell>
          <cell r="C371">
            <v>30002</v>
          </cell>
          <cell r="D371" t="str">
            <v>トリックスター</v>
          </cell>
          <cell r="E371" t="str">
            <v>ドロップイベント1-2（マルチ専用）</v>
          </cell>
          <cell r="F371">
            <v>1</v>
          </cell>
          <cell r="G371" t="str">
            <v>ja</v>
          </cell>
          <cell r="H371" t="str">
            <v xml:space="preserve">【中級】トリックスター </v>
          </cell>
          <cell r="I371" t="str">
            <v>中級</v>
          </cell>
          <cell r="J371">
            <v>272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17</v>
          </cell>
          <cell r="AD371">
            <v>6</v>
          </cell>
          <cell r="AE371" t="str">
            <v>everyone</v>
          </cell>
        </row>
        <row r="372">
          <cell r="A372" t="str">
            <v>30002_2</v>
          </cell>
          <cell r="B372">
            <v>3</v>
          </cell>
          <cell r="C372">
            <v>30002</v>
          </cell>
          <cell r="D372" t="str">
            <v>トリックスター</v>
          </cell>
          <cell r="E372" t="str">
            <v>ドロップイベント1-2（マルチ専用）</v>
          </cell>
          <cell r="F372">
            <v>2</v>
          </cell>
          <cell r="G372" t="str">
            <v>ja</v>
          </cell>
          <cell r="H372" t="str">
            <v xml:space="preserve">【上級】トリックスター </v>
          </cell>
          <cell r="I372" t="str">
            <v>上級</v>
          </cell>
          <cell r="J372">
            <v>272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17</v>
          </cell>
          <cell r="AD372">
            <v>6</v>
          </cell>
          <cell r="AE372" t="str">
            <v>everyone</v>
          </cell>
        </row>
        <row r="373">
          <cell r="A373" t="str">
            <v>30002_3</v>
          </cell>
          <cell r="B373">
            <v>3</v>
          </cell>
          <cell r="C373">
            <v>30002</v>
          </cell>
          <cell r="D373" t="str">
            <v>トリックスター</v>
          </cell>
          <cell r="E373" t="str">
            <v>ドロップイベント1-2（マルチ専用）</v>
          </cell>
          <cell r="F373">
            <v>3</v>
          </cell>
          <cell r="G373" t="str">
            <v>ja</v>
          </cell>
          <cell r="H373" t="str">
            <v xml:space="preserve">【超級】トリックスター </v>
          </cell>
          <cell r="I373" t="str">
            <v>超級</v>
          </cell>
          <cell r="J373">
            <v>273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30003_1</v>
          </cell>
          <cell r="B374">
            <v>3</v>
          </cell>
          <cell r="C374">
            <v>30003</v>
          </cell>
          <cell r="D374" t="str">
            <v>打ち下ろされる砕棒</v>
          </cell>
          <cell r="E374" t="str">
            <v>ドロップイベント1-3（マルチ専用）</v>
          </cell>
          <cell r="F374">
            <v>1</v>
          </cell>
          <cell r="G374" t="str">
            <v>ja</v>
          </cell>
          <cell r="H374" t="str">
            <v xml:space="preserve">【中級】打ち下ろされる砕棒 </v>
          </cell>
          <cell r="I374" t="str">
            <v>中級</v>
          </cell>
          <cell r="J374">
            <v>274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everyone</v>
          </cell>
        </row>
        <row r="375">
          <cell r="A375" t="str">
            <v>30003_2</v>
          </cell>
          <cell r="B375">
            <v>3</v>
          </cell>
          <cell r="C375">
            <v>30003</v>
          </cell>
          <cell r="D375" t="str">
            <v>打ち下ろされる砕棒</v>
          </cell>
          <cell r="E375" t="str">
            <v>ドロップイベント1-3（マルチ専用）</v>
          </cell>
          <cell r="F375">
            <v>2</v>
          </cell>
          <cell r="G375" t="str">
            <v>ja</v>
          </cell>
          <cell r="H375" t="str">
            <v>【上級】打ち下ろされる砕棒</v>
          </cell>
          <cell r="I375" t="str">
            <v>上級</v>
          </cell>
          <cell r="J375">
            <v>274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20</v>
          </cell>
          <cell r="AD375">
            <v>6</v>
          </cell>
          <cell r="AE375" t="str">
            <v>everyone</v>
          </cell>
        </row>
        <row r="376">
          <cell r="A376" t="str">
            <v>30003_3</v>
          </cell>
          <cell r="B376">
            <v>3</v>
          </cell>
          <cell r="C376">
            <v>30003</v>
          </cell>
          <cell r="D376" t="str">
            <v>打ち下ろされる砕棒</v>
          </cell>
          <cell r="E376" t="str">
            <v>ドロップイベント1-3（マルチ専用）</v>
          </cell>
          <cell r="F376">
            <v>3</v>
          </cell>
          <cell r="G376" t="str">
            <v>ja</v>
          </cell>
          <cell r="H376" t="str">
            <v xml:space="preserve">【超級】打ち下ろされる砕棒 </v>
          </cell>
          <cell r="I376" t="str">
            <v>超級</v>
          </cell>
          <cell r="J376">
            <v>275</v>
          </cell>
          <cell r="K376">
            <v>30</v>
          </cell>
          <cell r="L376">
            <v>3300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20</v>
          </cell>
          <cell r="AD376">
            <v>6</v>
          </cell>
          <cell r="AE376" t="str">
            <v>everyone</v>
          </cell>
        </row>
        <row r="377">
          <cell r="A377" t="str">
            <v>30004_1</v>
          </cell>
          <cell r="B377">
            <v>3</v>
          </cell>
          <cell r="C377">
            <v>30004</v>
          </cell>
          <cell r="D377" t="str">
            <v>危険な仲裁者</v>
          </cell>
          <cell r="E377" t="str">
            <v>ドロップイベント1-4（マルチ専用）</v>
          </cell>
          <cell r="F377">
            <v>1</v>
          </cell>
          <cell r="G377" t="str">
            <v>ja</v>
          </cell>
          <cell r="H377" t="str">
            <v xml:space="preserve">【中級】危険な仲裁者 </v>
          </cell>
          <cell r="I377" t="str">
            <v>中級</v>
          </cell>
          <cell r="J377">
            <v>276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14</v>
          </cell>
          <cell r="AD377">
            <v>6</v>
          </cell>
          <cell r="AE377" t="str">
            <v>everyone</v>
          </cell>
        </row>
        <row r="378">
          <cell r="A378" t="str">
            <v>30004_2</v>
          </cell>
          <cell r="B378">
            <v>3</v>
          </cell>
          <cell r="C378">
            <v>30004</v>
          </cell>
          <cell r="D378" t="str">
            <v>危険な仲裁者</v>
          </cell>
          <cell r="E378" t="str">
            <v>ドロップイベント1-4（マルチ専用）</v>
          </cell>
          <cell r="F378">
            <v>2</v>
          </cell>
          <cell r="G378" t="str">
            <v>ja</v>
          </cell>
          <cell r="H378" t="str">
            <v xml:space="preserve">【上級】危険な仲裁者 </v>
          </cell>
          <cell r="I378" t="str">
            <v>上級</v>
          </cell>
          <cell r="J378">
            <v>276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14</v>
          </cell>
          <cell r="AD378">
            <v>6</v>
          </cell>
          <cell r="AE378" t="str">
            <v>everyone</v>
          </cell>
        </row>
        <row r="379">
          <cell r="A379" t="str">
            <v>30004_3</v>
          </cell>
          <cell r="B379">
            <v>3</v>
          </cell>
          <cell r="C379">
            <v>30004</v>
          </cell>
          <cell r="D379" t="str">
            <v>危険な仲裁者</v>
          </cell>
          <cell r="E379" t="str">
            <v>ドロップイベント1-4（マルチ専用）</v>
          </cell>
          <cell r="F379">
            <v>3</v>
          </cell>
          <cell r="G379" t="str">
            <v>ja</v>
          </cell>
          <cell r="H379" t="str">
            <v xml:space="preserve">【超級】危険な仲裁者 </v>
          </cell>
          <cell r="I379" t="str">
            <v>超級</v>
          </cell>
          <cell r="J379">
            <v>277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14</v>
          </cell>
          <cell r="AD379">
            <v>6</v>
          </cell>
          <cell r="AE379" t="str">
            <v>everyone</v>
          </cell>
        </row>
        <row r="380">
          <cell r="A380" t="str">
            <v>30005_1</v>
          </cell>
          <cell r="B380">
            <v>3</v>
          </cell>
          <cell r="C380">
            <v>30005</v>
          </cell>
          <cell r="D380" t="str">
            <v>ニンゲンにしてあげる☆</v>
          </cell>
          <cell r="E380" t="str">
            <v>ドロップイベント2-1（マルチ専用）</v>
          </cell>
          <cell r="F380">
            <v>1</v>
          </cell>
          <cell r="G380" t="str">
            <v>ja</v>
          </cell>
          <cell r="H380" t="str">
            <v xml:space="preserve">【中級】ニンゲンにしてあげる </v>
          </cell>
          <cell r="I380" t="str">
            <v>中級</v>
          </cell>
          <cell r="J380">
            <v>290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11</v>
          </cell>
          <cell r="AD380">
            <v>6</v>
          </cell>
          <cell r="AE380" t="str">
            <v>everyone</v>
          </cell>
        </row>
        <row r="381">
          <cell r="A381" t="str">
            <v>30005_2</v>
          </cell>
          <cell r="B381">
            <v>3</v>
          </cell>
          <cell r="C381">
            <v>30005</v>
          </cell>
          <cell r="D381" t="str">
            <v>ニンゲンにしてあげる☆</v>
          </cell>
          <cell r="E381" t="str">
            <v>ドロップイベント2-1（マルチ専用）</v>
          </cell>
          <cell r="F381">
            <v>2</v>
          </cell>
          <cell r="G381" t="str">
            <v>ja</v>
          </cell>
          <cell r="H381" t="str">
            <v xml:space="preserve">【上級】ニンゲンにしてあげる </v>
          </cell>
          <cell r="I381" t="str">
            <v>上級</v>
          </cell>
          <cell r="J381">
            <v>290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11</v>
          </cell>
          <cell r="AD381">
            <v>6</v>
          </cell>
          <cell r="AE381" t="str">
            <v>everyone</v>
          </cell>
        </row>
        <row r="382">
          <cell r="A382" t="str">
            <v>30005_3</v>
          </cell>
          <cell r="B382">
            <v>3</v>
          </cell>
          <cell r="C382">
            <v>30005</v>
          </cell>
          <cell r="D382" t="str">
            <v>ニンゲンにしてあげる☆</v>
          </cell>
          <cell r="E382" t="str">
            <v>ドロップイベント2-1（マルチ専用）</v>
          </cell>
          <cell r="F382">
            <v>3</v>
          </cell>
          <cell r="G382" t="str">
            <v>ja</v>
          </cell>
          <cell r="H382" t="str">
            <v>【超級】ニンゲンにしてあげる</v>
          </cell>
          <cell r="I382" t="str">
            <v>超級</v>
          </cell>
          <cell r="J382">
            <v>291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11</v>
          </cell>
          <cell r="AD382">
            <v>6</v>
          </cell>
          <cell r="AE382" t="str">
            <v>everyone</v>
          </cell>
        </row>
        <row r="383">
          <cell r="A383" t="str">
            <v>30006_1</v>
          </cell>
          <cell r="B383">
            <v>3</v>
          </cell>
          <cell r="C383">
            <v>30006</v>
          </cell>
          <cell r="D383" t="str">
            <v>それはお前を食べるためさ</v>
          </cell>
          <cell r="E383" t="str">
            <v>ドロップイベント2-3（マルチ専用）</v>
          </cell>
          <cell r="F383">
            <v>1</v>
          </cell>
          <cell r="G383" t="str">
            <v>ja</v>
          </cell>
          <cell r="H383" t="str">
            <v>【中級】それはお前を食べるためさ</v>
          </cell>
          <cell r="I383" t="str">
            <v>中級</v>
          </cell>
          <cell r="J383">
            <v>294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7</v>
          </cell>
          <cell r="AD383">
            <v>6</v>
          </cell>
          <cell r="AE383" t="str">
            <v>everyone</v>
          </cell>
        </row>
        <row r="384">
          <cell r="A384" t="str">
            <v>30006_2</v>
          </cell>
          <cell r="B384">
            <v>3</v>
          </cell>
          <cell r="C384">
            <v>30006</v>
          </cell>
          <cell r="D384" t="str">
            <v>それはお前を食べるためさ</v>
          </cell>
          <cell r="E384" t="str">
            <v>ドロップイベント2-3（マルチ専用）</v>
          </cell>
          <cell r="F384">
            <v>2</v>
          </cell>
          <cell r="G384" t="str">
            <v>ja</v>
          </cell>
          <cell r="H384" t="str">
            <v>【上級】それはお前を食べるためさ</v>
          </cell>
          <cell r="I384" t="str">
            <v>上級</v>
          </cell>
          <cell r="J384">
            <v>294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7</v>
          </cell>
          <cell r="AD384">
            <v>6</v>
          </cell>
          <cell r="AE384" t="str">
            <v>everyone</v>
          </cell>
        </row>
        <row r="385">
          <cell r="A385" t="str">
            <v>30006_3</v>
          </cell>
          <cell r="B385">
            <v>3</v>
          </cell>
          <cell r="C385">
            <v>30006</v>
          </cell>
          <cell r="D385" t="str">
            <v>それはお前を食べるためさ</v>
          </cell>
          <cell r="E385" t="str">
            <v>ドロップイベント2-3（マルチ専用）</v>
          </cell>
          <cell r="F385">
            <v>3</v>
          </cell>
          <cell r="G385" t="str">
            <v>ja</v>
          </cell>
          <cell r="H385" t="str">
            <v>【超級】それはお前を食べるためさ</v>
          </cell>
          <cell r="I385" t="str">
            <v>超級</v>
          </cell>
          <cell r="J385">
            <v>295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7</v>
          </cell>
          <cell r="AD385">
            <v>6</v>
          </cell>
          <cell r="AE385" t="str">
            <v>everyone</v>
          </cell>
        </row>
        <row r="386">
          <cell r="A386" t="str">
            <v>30007_1</v>
          </cell>
          <cell r="B386">
            <v>3</v>
          </cell>
          <cell r="C386">
            <v>30007</v>
          </cell>
          <cell r="D386" t="str">
            <v>ガラスの靴は私のもの</v>
          </cell>
          <cell r="E386" t="str">
            <v>ドロップイベント2-2（マルチ専用）</v>
          </cell>
          <cell r="F386">
            <v>1</v>
          </cell>
          <cell r="G386" t="str">
            <v>ja</v>
          </cell>
          <cell r="H386" t="str">
            <v xml:space="preserve">【中級】ガラスの靴は私のもの </v>
          </cell>
          <cell r="I386" t="str">
            <v>中級</v>
          </cell>
          <cell r="J386">
            <v>292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</v>
          </cell>
          <cell r="AD386">
            <v>6</v>
          </cell>
          <cell r="AE386" t="str">
            <v>everyone</v>
          </cell>
        </row>
        <row r="387">
          <cell r="A387" t="str">
            <v>30007_2</v>
          </cell>
          <cell r="B387">
            <v>3</v>
          </cell>
          <cell r="C387">
            <v>30007</v>
          </cell>
          <cell r="D387" t="str">
            <v>ガラスの靴は私のもの</v>
          </cell>
          <cell r="E387" t="str">
            <v>ドロップイベント2-2（マルチ専用）</v>
          </cell>
          <cell r="F387">
            <v>2</v>
          </cell>
          <cell r="G387" t="str">
            <v>ja</v>
          </cell>
          <cell r="H387" t="str">
            <v>【上級】ガラスの靴は私のもの</v>
          </cell>
          <cell r="I387" t="str">
            <v>上級</v>
          </cell>
          <cell r="J387">
            <v>292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</v>
          </cell>
          <cell r="AD387">
            <v>6</v>
          </cell>
          <cell r="AE387" t="str">
            <v>everyone</v>
          </cell>
        </row>
        <row r="388">
          <cell r="A388" t="str">
            <v>30007_3</v>
          </cell>
          <cell r="B388">
            <v>3</v>
          </cell>
          <cell r="C388">
            <v>30007</v>
          </cell>
          <cell r="D388" t="str">
            <v>ガラスの靴は私のもの</v>
          </cell>
          <cell r="E388" t="str">
            <v>ドロップイベント2-2（マルチ専用）</v>
          </cell>
          <cell r="F388">
            <v>3</v>
          </cell>
          <cell r="G388" t="str">
            <v>ja</v>
          </cell>
          <cell r="H388" t="str">
            <v xml:space="preserve">【超級】ガラスの靴は私のもの </v>
          </cell>
          <cell r="I388" t="str">
            <v>超級</v>
          </cell>
          <cell r="J388">
            <v>293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</v>
          </cell>
          <cell r="AD388">
            <v>6</v>
          </cell>
          <cell r="AE388" t="str">
            <v>everyone</v>
          </cell>
        </row>
        <row r="389">
          <cell r="A389" t="str">
            <v>30008_1</v>
          </cell>
          <cell r="B389">
            <v>3</v>
          </cell>
          <cell r="C389">
            <v>30008</v>
          </cell>
          <cell r="D389" t="str">
            <v>わたしの嫁を返してもらおう</v>
          </cell>
          <cell r="E389" t="str">
            <v>ドロップイベント2-4（マルチ専用）</v>
          </cell>
          <cell r="F389">
            <v>1</v>
          </cell>
          <cell r="G389" t="str">
            <v>ja</v>
          </cell>
          <cell r="H389" t="str">
            <v>【中級】わたしの嫁を返してもらおう</v>
          </cell>
          <cell r="I389" t="str">
            <v>中級</v>
          </cell>
          <cell r="J389">
            <v>288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22</v>
          </cell>
          <cell r="AD389">
            <v>6</v>
          </cell>
          <cell r="AE389" t="str">
            <v>everyone</v>
          </cell>
        </row>
        <row r="390">
          <cell r="A390" t="str">
            <v>30008_2</v>
          </cell>
          <cell r="B390">
            <v>3</v>
          </cell>
          <cell r="C390">
            <v>30008</v>
          </cell>
          <cell r="D390" t="str">
            <v>わたしの嫁を返してもらおう</v>
          </cell>
          <cell r="E390" t="str">
            <v>ドロップイベント2-4（マルチ専用）</v>
          </cell>
          <cell r="F390">
            <v>2</v>
          </cell>
          <cell r="G390" t="str">
            <v>ja</v>
          </cell>
          <cell r="H390" t="str">
            <v>【上級】わたしの嫁を返してもらおう</v>
          </cell>
          <cell r="I390" t="str">
            <v>上級</v>
          </cell>
          <cell r="J390">
            <v>288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22</v>
          </cell>
          <cell r="AD390">
            <v>6</v>
          </cell>
          <cell r="AE390" t="str">
            <v>everyone</v>
          </cell>
        </row>
        <row r="391">
          <cell r="A391" t="str">
            <v>30008_3</v>
          </cell>
          <cell r="B391">
            <v>3</v>
          </cell>
          <cell r="C391">
            <v>30008</v>
          </cell>
          <cell r="D391" t="str">
            <v>わたしの嫁を返してもらおう</v>
          </cell>
          <cell r="E391" t="str">
            <v>ドロップイベント2-4（マルチ専用）</v>
          </cell>
          <cell r="F391">
            <v>3</v>
          </cell>
          <cell r="G391" t="str">
            <v>ja</v>
          </cell>
          <cell r="H391" t="str">
            <v>【超級】わたしの嫁を返してもらおう</v>
          </cell>
          <cell r="I391" t="str">
            <v>超級</v>
          </cell>
          <cell r="J391">
            <v>289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22</v>
          </cell>
          <cell r="AD391">
            <v>6</v>
          </cell>
          <cell r="AE391" t="str">
            <v>everyone</v>
          </cell>
        </row>
        <row r="392">
          <cell r="A392" t="str">
            <v>30009_3</v>
          </cell>
          <cell r="B392">
            <v>0</v>
          </cell>
          <cell r="C392">
            <v>30009</v>
          </cell>
          <cell r="D392" t="str">
            <v>復活の捕食者</v>
          </cell>
          <cell r="E392" t="str">
            <v>ドロップイベント3（マルチ専用）</v>
          </cell>
          <cell r="F392">
            <v>3</v>
          </cell>
          <cell r="G392" t="str">
            <v>ja</v>
          </cell>
          <cell r="H392" t="str">
            <v>【上級】復活の捕食者</v>
          </cell>
          <cell r="I392" t="str">
            <v>上級</v>
          </cell>
          <cell r="J392">
            <v>312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2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8</v>
          </cell>
          <cell r="AD392">
            <v>6</v>
          </cell>
          <cell r="AE392" t="str">
            <v>everyone</v>
          </cell>
        </row>
        <row r="393">
          <cell r="A393" t="str">
            <v>30009_1</v>
          </cell>
          <cell r="B393">
            <v>3</v>
          </cell>
          <cell r="C393">
            <v>30009</v>
          </cell>
          <cell r="D393" t="str">
            <v>復活の捕食者</v>
          </cell>
          <cell r="E393" t="str">
            <v>ドロップイベント3（マルチ専用）</v>
          </cell>
          <cell r="F393">
            <v>1</v>
          </cell>
          <cell r="G393" t="str">
            <v>ja</v>
          </cell>
          <cell r="H393" t="str">
            <v>【超級】復活の捕食者</v>
          </cell>
          <cell r="I393" t="str">
            <v>超級</v>
          </cell>
          <cell r="J393">
            <v>312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2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8</v>
          </cell>
          <cell r="AD393">
            <v>6</v>
          </cell>
          <cell r="AE393" t="str">
            <v>everyone</v>
          </cell>
        </row>
        <row r="394">
          <cell r="A394" t="str">
            <v>30009_2</v>
          </cell>
          <cell r="B394">
            <v>3</v>
          </cell>
          <cell r="C394">
            <v>30009</v>
          </cell>
          <cell r="D394" t="str">
            <v>復活の捕食者</v>
          </cell>
          <cell r="E394" t="str">
            <v>ドロップイベント3（マルチ専用）</v>
          </cell>
          <cell r="F394">
            <v>2</v>
          </cell>
          <cell r="G394" t="str">
            <v>ja</v>
          </cell>
          <cell r="H394" t="str">
            <v>【超絶級】復活の捕食者</v>
          </cell>
          <cell r="I394" t="str">
            <v>超絶級</v>
          </cell>
          <cell r="J394">
            <v>312</v>
          </cell>
          <cell r="K394">
            <v>35</v>
          </cell>
          <cell r="L394">
            <v>4200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2</v>
          </cell>
          <cell r="S394" t="str">
            <v>polygon</v>
          </cell>
          <cell r="T394">
            <v>1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8</v>
          </cell>
          <cell r="AD394">
            <v>6</v>
          </cell>
          <cell r="AE394" t="str">
            <v>everyone</v>
          </cell>
        </row>
        <row r="395">
          <cell r="A395" t="str">
            <v>30010_1</v>
          </cell>
          <cell r="B395">
            <v>3</v>
          </cell>
          <cell r="C395">
            <v>30010</v>
          </cell>
          <cell r="D395" t="str">
            <v>最大最凶</v>
          </cell>
          <cell r="E395" t="str">
            <v>ドロップイベント3（マルチ専用）</v>
          </cell>
          <cell r="F395">
            <v>1</v>
          </cell>
          <cell r="G395" t="str">
            <v>ja</v>
          </cell>
          <cell r="H395" t="str">
            <v>【上級】最大最凶</v>
          </cell>
          <cell r="I395" t="str">
            <v>上級</v>
          </cell>
          <cell r="J395">
            <v>306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</v>
          </cell>
          <cell r="AD395">
            <v>7</v>
          </cell>
          <cell r="AE395" t="str">
            <v>everyone</v>
          </cell>
        </row>
        <row r="396">
          <cell r="A396" t="str">
            <v>30010_2</v>
          </cell>
          <cell r="B396">
            <v>3</v>
          </cell>
          <cell r="C396">
            <v>30010</v>
          </cell>
          <cell r="D396" t="str">
            <v>最大最凶</v>
          </cell>
          <cell r="E396" t="str">
            <v>ドロップイベント3（マルチ専用）</v>
          </cell>
          <cell r="F396">
            <v>2</v>
          </cell>
          <cell r="G396" t="str">
            <v>ja</v>
          </cell>
          <cell r="H396" t="str">
            <v>【超級】最大最凶</v>
          </cell>
          <cell r="I396" t="str">
            <v>超級</v>
          </cell>
          <cell r="J396">
            <v>306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</v>
          </cell>
          <cell r="AD396">
            <v>7</v>
          </cell>
          <cell r="AE396" t="str">
            <v>everyone</v>
          </cell>
        </row>
        <row r="397">
          <cell r="A397" t="str">
            <v>30010_3</v>
          </cell>
          <cell r="B397">
            <v>3</v>
          </cell>
          <cell r="C397">
            <v>30010</v>
          </cell>
          <cell r="D397" t="str">
            <v>最大最凶</v>
          </cell>
          <cell r="E397" t="str">
            <v>ドロップイベント3（マルチ専用）</v>
          </cell>
          <cell r="F397">
            <v>3</v>
          </cell>
          <cell r="G397" t="str">
            <v>ja</v>
          </cell>
          <cell r="H397" t="str">
            <v>【超絶級】最大最凶</v>
          </cell>
          <cell r="I397" t="str">
            <v>超絶級</v>
          </cell>
          <cell r="J397">
            <v>306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</v>
          </cell>
          <cell r="AD397">
            <v>7</v>
          </cell>
          <cell r="AE397" t="str">
            <v>everyone</v>
          </cell>
        </row>
        <row r="398">
          <cell r="A398" t="str">
            <v>30011_1</v>
          </cell>
          <cell r="B398">
            <v>3</v>
          </cell>
          <cell r="C398">
            <v>30011</v>
          </cell>
          <cell r="D398" t="str">
            <v>気怠い巨読者</v>
          </cell>
          <cell r="E398" t="str">
            <v>ドロップイベント3（マルチ専用）</v>
          </cell>
          <cell r="F398">
            <v>1</v>
          </cell>
          <cell r="G398" t="str">
            <v>ja</v>
          </cell>
          <cell r="H398" t="str">
            <v>【上級】気怠い巨読者</v>
          </cell>
          <cell r="I398" t="str">
            <v>上級</v>
          </cell>
          <cell r="J398">
            <v>308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2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19</v>
          </cell>
          <cell r="AD398">
            <v>6</v>
          </cell>
          <cell r="AE398" t="str">
            <v>everyone</v>
          </cell>
        </row>
        <row r="399">
          <cell r="A399" t="str">
            <v>30011_2</v>
          </cell>
          <cell r="B399">
            <v>3</v>
          </cell>
          <cell r="C399">
            <v>30011</v>
          </cell>
          <cell r="D399" t="str">
            <v>気怠い巨読者</v>
          </cell>
          <cell r="E399" t="str">
            <v>ドロップイベント3（マルチ専用）</v>
          </cell>
          <cell r="F399">
            <v>2</v>
          </cell>
          <cell r="G399" t="str">
            <v>ja</v>
          </cell>
          <cell r="H399" t="str">
            <v>【超級】気怠い巨読者</v>
          </cell>
          <cell r="I399" t="str">
            <v>超級</v>
          </cell>
          <cell r="J399">
            <v>308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2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19</v>
          </cell>
          <cell r="AD399">
            <v>6</v>
          </cell>
          <cell r="AE399" t="str">
            <v>everyone</v>
          </cell>
        </row>
        <row r="400">
          <cell r="A400" t="str">
            <v>30011_3</v>
          </cell>
          <cell r="B400">
            <v>3</v>
          </cell>
          <cell r="C400">
            <v>30011</v>
          </cell>
          <cell r="D400" t="str">
            <v>気怠い巨読者</v>
          </cell>
          <cell r="E400" t="str">
            <v>ドロップイベント3（マルチ専用）</v>
          </cell>
          <cell r="F400">
            <v>3</v>
          </cell>
          <cell r="G400" t="str">
            <v>ja</v>
          </cell>
          <cell r="H400" t="str">
            <v>【超絶級】気怠い巨読者</v>
          </cell>
          <cell r="I400" t="str">
            <v>超絶級</v>
          </cell>
          <cell r="J400">
            <v>309</v>
          </cell>
          <cell r="K400">
            <v>35</v>
          </cell>
          <cell r="L400">
            <v>4200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2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19</v>
          </cell>
          <cell r="AD400">
            <v>6</v>
          </cell>
          <cell r="AE400" t="str">
            <v>everyone</v>
          </cell>
        </row>
        <row r="401">
          <cell r="A401" t="str">
            <v>30012_1</v>
          </cell>
          <cell r="B401">
            <v>3</v>
          </cell>
          <cell r="C401">
            <v>30012</v>
          </cell>
          <cell r="D401" t="str">
            <v>底なしの胃袋</v>
          </cell>
          <cell r="E401" t="str">
            <v>ドロップイベント3（マルチ専用）</v>
          </cell>
          <cell r="F401">
            <v>1</v>
          </cell>
          <cell r="G401" t="str">
            <v>ja</v>
          </cell>
          <cell r="H401" t="str">
            <v>【上級】底なしの胃袋</v>
          </cell>
          <cell r="I401" t="str">
            <v>上級</v>
          </cell>
          <cell r="J401">
            <v>310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0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5</v>
          </cell>
          <cell r="AD401">
            <v>6</v>
          </cell>
          <cell r="AE401" t="str">
            <v>everyone</v>
          </cell>
        </row>
        <row r="402">
          <cell r="A402" t="str">
            <v>30012_2</v>
          </cell>
          <cell r="B402">
            <v>3</v>
          </cell>
          <cell r="C402">
            <v>30012</v>
          </cell>
          <cell r="D402" t="str">
            <v>底なしの胃袋</v>
          </cell>
          <cell r="E402" t="str">
            <v>ドロップイベント3（マルチ専用）</v>
          </cell>
          <cell r="F402">
            <v>2</v>
          </cell>
          <cell r="G402" t="str">
            <v>ja</v>
          </cell>
          <cell r="H402" t="str">
            <v>【超級】底なしの胃袋</v>
          </cell>
          <cell r="I402" t="str">
            <v>超級</v>
          </cell>
          <cell r="J402">
            <v>310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0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5</v>
          </cell>
          <cell r="AD402">
            <v>6</v>
          </cell>
          <cell r="AE402" t="str">
            <v>everyone</v>
          </cell>
        </row>
        <row r="403">
          <cell r="A403" t="str">
            <v>30012_3</v>
          </cell>
          <cell r="B403">
            <v>3</v>
          </cell>
          <cell r="C403">
            <v>30012</v>
          </cell>
          <cell r="D403" t="str">
            <v>底なしの胃袋</v>
          </cell>
          <cell r="E403" t="str">
            <v>ドロップイベント3（マルチ専用）</v>
          </cell>
          <cell r="F403">
            <v>3</v>
          </cell>
          <cell r="G403" t="str">
            <v>ja</v>
          </cell>
          <cell r="H403" t="str">
            <v>【超絶級】底なしの胃袋</v>
          </cell>
          <cell r="I403" t="str">
            <v>超絶級</v>
          </cell>
          <cell r="J403">
            <v>310</v>
          </cell>
          <cell r="K403">
            <v>35</v>
          </cell>
          <cell r="L403">
            <v>4200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0</v>
          </cell>
          <cell r="R403">
            <v>3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5</v>
          </cell>
          <cell r="AD403">
            <v>6</v>
          </cell>
          <cell r="AE403" t="str">
            <v>everyone</v>
          </cell>
        </row>
        <row r="404">
          <cell r="A404" t="str">
            <v>30013_1</v>
          </cell>
          <cell r="B404">
            <v>3</v>
          </cell>
          <cell r="C404">
            <v>30013</v>
          </cell>
          <cell r="D404" t="str">
            <v>決戦・竜宮城</v>
          </cell>
          <cell r="E404" t="str">
            <v>ドロップイベント4（マルチ専用）</v>
          </cell>
          <cell r="F404">
            <v>1</v>
          </cell>
          <cell r="G404" t="str">
            <v>ja</v>
          </cell>
          <cell r="H404" t="str">
            <v>【超級】決戦・竜宮城</v>
          </cell>
          <cell r="I404" t="str">
            <v>超級</v>
          </cell>
          <cell r="J404">
            <v>418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17</v>
          </cell>
          <cell r="AD404">
            <v>6</v>
          </cell>
          <cell r="AE404" t="str">
            <v>everyone</v>
          </cell>
        </row>
        <row r="405">
          <cell r="A405" t="str">
            <v>30013_2</v>
          </cell>
          <cell r="B405">
            <v>3</v>
          </cell>
          <cell r="C405">
            <v>30013</v>
          </cell>
          <cell r="D405" t="str">
            <v>決戦・竜宮城</v>
          </cell>
          <cell r="E405" t="str">
            <v>ドロップイベント4（マルチ専用）</v>
          </cell>
          <cell r="F405">
            <v>2</v>
          </cell>
          <cell r="G405" t="str">
            <v>ja</v>
          </cell>
          <cell r="H405" t="str">
            <v>【超絶級】決戦・竜宮城</v>
          </cell>
          <cell r="I405" t="str">
            <v>超絶級</v>
          </cell>
          <cell r="J405">
            <v>419</v>
          </cell>
          <cell r="K405">
            <v>35</v>
          </cell>
          <cell r="L405">
            <v>4200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17</v>
          </cell>
          <cell r="AD405">
            <v>6</v>
          </cell>
          <cell r="AE405" t="str">
            <v>everyone</v>
          </cell>
        </row>
        <row r="406">
          <cell r="A406" t="str">
            <v>30014_1</v>
          </cell>
          <cell r="B406">
            <v>3</v>
          </cell>
          <cell r="C406">
            <v>30014</v>
          </cell>
          <cell r="D406" t="str">
            <v>親指を突き立てろ！</v>
          </cell>
          <cell r="E406" t="str">
            <v>ドロップイベント4（マルチ専用）</v>
          </cell>
          <cell r="F406">
            <v>1</v>
          </cell>
          <cell r="G406" t="str">
            <v>ja</v>
          </cell>
          <cell r="H406" t="str">
            <v>【超級】親指を突き立てろ！</v>
          </cell>
          <cell r="I406" t="str">
            <v>超級</v>
          </cell>
          <cell r="J406">
            <v>420</v>
          </cell>
          <cell r="K406">
            <v>30</v>
          </cell>
          <cell r="L406">
            <v>3300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23</v>
          </cell>
          <cell r="AD406">
            <v>5</v>
          </cell>
          <cell r="AE406" t="str">
            <v>everyone</v>
          </cell>
        </row>
        <row r="407">
          <cell r="A407" t="str">
            <v>30014_2</v>
          </cell>
          <cell r="B407">
            <v>3</v>
          </cell>
          <cell r="C407">
            <v>30014</v>
          </cell>
          <cell r="D407" t="str">
            <v>親指を突き立てろ！</v>
          </cell>
          <cell r="E407" t="str">
            <v>ドロップイベント4（マルチ専用）</v>
          </cell>
          <cell r="F407">
            <v>2</v>
          </cell>
          <cell r="G407" t="str">
            <v>ja</v>
          </cell>
          <cell r="H407" t="str">
            <v>【超絶級】親指を突き立てろ！</v>
          </cell>
          <cell r="I407" t="str">
            <v>超絶級</v>
          </cell>
          <cell r="J407">
            <v>421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23</v>
          </cell>
          <cell r="AD407">
            <v>5</v>
          </cell>
          <cell r="AE407" t="str">
            <v>everyone</v>
          </cell>
        </row>
        <row r="408">
          <cell r="A408" t="str">
            <v>30015_1</v>
          </cell>
          <cell r="B408">
            <v>3</v>
          </cell>
          <cell r="C408">
            <v>30015</v>
          </cell>
          <cell r="D408" t="str">
            <v>兄妹の大冒険</v>
          </cell>
          <cell r="E408" t="str">
            <v>ドロップイベント4（マルチ専用）</v>
          </cell>
          <cell r="F408">
            <v>1</v>
          </cell>
          <cell r="G408" t="str">
            <v>ja</v>
          </cell>
          <cell r="H408" t="str">
            <v>【超級】兄妹の大冒険</v>
          </cell>
          <cell r="I408" t="str">
            <v>超級</v>
          </cell>
          <cell r="J408">
            <v>422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16</v>
          </cell>
          <cell r="AD408">
            <v>6</v>
          </cell>
          <cell r="AE408" t="str">
            <v>everyone</v>
          </cell>
        </row>
        <row r="409">
          <cell r="A409" t="str">
            <v>30015_2</v>
          </cell>
          <cell r="B409">
            <v>3</v>
          </cell>
          <cell r="C409">
            <v>30015</v>
          </cell>
          <cell r="D409" t="str">
            <v>兄妹の大冒険</v>
          </cell>
          <cell r="E409" t="str">
            <v>ドロップイベント4（マルチ専用）</v>
          </cell>
          <cell r="F409">
            <v>2</v>
          </cell>
          <cell r="G409" t="str">
            <v>ja</v>
          </cell>
          <cell r="H409" t="str">
            <v>【超絶級】兄妹の大冒険</v>
          </cell>
          <cell r="I409" t="str">
            <v>超絶級</v>
          </cell>
          <cell r="J409">
            <v>423</v>
          </cell>
          <cell r="K409">
            <v>35</v>
          </cell>
          <cell r="L409">
            <v>4200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polygon</v>
          </cell>
          <cell r="T409">
            <v>1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16</v>
          </cell>
          <cell r="AD409">
            <v>6</v>
          </cell>
          <cell r="AE409" t="str">
            <v>everyone</v>
          </cell>
        </row>
        <row r="410">
          <cell r="A410" t="str">
            <v>30016_1</v>
          </cell>
          <cell r="B410">
            <v>3</v>
          </cell>
          <cell r="C410">
            <v>30016</v>
          </cell>
          <cell r="D410" t="str">
            <v>私がワニの天敵よ？</v>
          </cell>
          <cell r="E410" t="str">
            <v>ドロップイベント4（マルチ専用）</v>
          </cell>
          <cell r="F410">
            <v>1</v>
          </cell>
          <cell r="G410" t="str">
            <v>ja</v>
          </cell>
          <cell r="H410" t="str">
            <v>【超級】私がワニの天敵よ？</v>
          </cell>
          <cell r="I410" t="str">
            <v>超級</v>
          </cell>
          <cell r="J410">
            <v>424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4</v>
          </cell>
          <cell r="AD410">
            <v>6</v>
          </cell>
          <cell r="AE410" t="str">
            <v>everyone</v>
          </cell>
        </row>
        <row r="411">
          <cell r="A411" t="str">
            <v>30016_2</v>
          </cell>
          <cell r="B411">
            <v>3</v>
          </cell>
          <cell r="C411">
            <v>30016</v>
          </cell>
          <cell r="D411" t="str">
            <v>私がワニの天敵よ？</v>
          </cell>
          <cell r="E411" t="str">
            <v>ドロップイベント4（マルチ専用）</v>
          </cell>
          <cell r="F411">
            <v>2</v>
          </cell>
          <cell r="G411" t="str">
            <v>ja</v>
          </cell>
          <cell r="H411" t="str">
            <v>【超絶級】私がワニの天敵よ？</v>
          </cell>
          <cell r="I411" t="str">
            <v>超絶級</v>
          </cell>
          <cell r="J411">
            <v>425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4</v>
          </cell>
          <cell r="AD411">
            <v>6</v>
          </cell>
          <cell r="AE411" t="str">
            <v>everyone</v>
          </cell>
        </row>
        <row r="412">
          <cell r="A412" t="str">
            <v>30017_1</v>
          </cell>
          <cell r="B412">
            <v>3</v>
          </cell>
          <cell r="C412">
            <v>30017</v>
          </cell>
          <cell r="D412" t="str">
            <v>狩人の挽歌</v>
          </cell>
          <cell r="E412" t="str">
            <v>ドロップイベント5（マルチ専用）</v>
          </cell>
          <cell r="F412">
            <v>1</v>
          </cell>
          <cell r="G412" t="str">
            <v>ja</v>
          </cell>
          <cell r="H412" t="str">
            <v>【超級】狩人の挽歌</v>
          </cell>
          <cell r="I412" t="str">
            <v>超級</v>
          </cell>
          <cell r="J412">
            <v>452</v>
          </cell>
          <cell r="K412">
            <v>30</v>
          </cell>
          <cell r="L412">
            <v>3300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20</v>
          </cell>
          <cell r="AD412">
            <v>6</v>
          </cell>
          <cell r="AE412" t="str">
            <v>multionly</v>
          </cell>
        </row>
        <row r="413">
          <cell r="A413" t="str">
            <v>30017_2</v>
          </cell>
          <cell r="B413">
            <v>3</v>
          </cell>
          <cell r="C413">
            <v>30017</v>
          </cell>
          <cell r="D413" t="str">
            <v>狩人の挽歌</v>
          </cell>
          <cell r="E413" t="str">
            <v>ドロップイベント5（マルチ専用）</v>
          </cell>
          <cell r="F413">
            <v>2</v>
          </cell>
          <cell r="G413" t="str">
            <v>ja</v>
          </cell>
          <cell r="H413" t="str">
            <v>【超絶級】狩人の挽歌</v>
          </cell>
          <cell r="I413" t="str">
            <v>超絶級</v>
          </cell>
          <cell r="J413">
            <v>453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20</v>
          </cell>
          <cell r="AD413">
            <v>6</v>
          </cell>
          <cell r="AE413" t="str">
            <v>multionly</v>
          </cell>
        </row>
        <row r="414">
          <cell r="A414" t="str">
            <v>30018_1</v>
          </cell>
          <cell r="B414">
            <v>3</v>
          </cell>
          <cell r="C414">
            <v>30018</v>
          </cell>
          <cell r="D414" t="str">
            <v>バックストリートファイト</v>
          </cell>
          <cell r="E414" t="str">
            <v>ドロップイベント5（マルチ専用）</v>
          </cell>
          <cell r="F414">
            <v>1</v>
          </cell>
          <cell r="G414" t="str">
            <v>ja</v>
          </cell>
          <cell r="H414" t="str">
            <v>【超級】バックストリートファイト</v>
          </cell>
          <cell r="I414" t="str">
            <v>超級</v>
          </cell>
          <cell r="J414">
            <v>454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0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14</v>
          </cell>
          <cell r="AD414">
            <v>6</v>
          </cell>
          <cell r="AE414" t="str">
            <v>everyone</v>
          </cell>
        </row>
        <row r="415">
          <cell r="A415" t="str">
            <v>30018_2</v>
          </cell>
          <cell r="B415">
            <v>3</v>
          </cell>
          <cell r="C415">
            <v>30018</v>
          </cell>
          <cell r="D415" t="str">
            <v>バックストリートファイト</v>
          </cell>
          <cell r="E415" t="str">
            <v>ドロップイベント5（マルチ専用）</v>
          </cell>
          <cell r="F415">
            <v>2</v>
          </cell>
          <cell r="G415" t="str">
            <v>ja</v>
          </cell>
          <cell r="H415" t="str">
            <v>【超絶級】バックストリートファイト</v>
          </cell>
          <cell r="I415" t="str">
            <v>超絶級</v>
          </cell>
          <cell r="J415">
            <v>455</v>
          </cell>
          <cell r="K415">
            <v>35</v>
          </cell>
          <cell r="L415">
            <v>4200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0</v>
          </cell>
          <cell r="R415">
            <v>3</v>
          </cell>
          <cell r="S415" t="str">
            <v>polygon</v>
          </cell>
          <cell r="T415">
            <v>1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14</v>
          </cell>
          <cell r="AD415">
            <v>6</v>
          </cell>
          <cell r="AE415" t="str">
            <v>everyone</v>
          </cell>
        </row>
        <row r="416">
          <cell r="A416" t="str">
            <v>30019_1</v>
          </cell>
          <cell r="B416">
            <v>3</v>
          </cell>
          <cell r="C416">
            <v>30019</v>
          </cell>
          <cell r="D416" t="str">
            <v>狙撃は終わらない</v>
          </cell>
          <cell r="E416" t="str">
            <v>ドロップイベント5（マルチ専用）</v>
          </cell>
          <cell r="F416">
            <v>1</v>
          </cell>
          <cell r="G416" t="str">
            <v>ja</v>
          </cell>
          <cell r="H416" t="str">
            <v>【超級】狙撃は終わらない</v>
          </cell>
          <cell r="I416" t="str">
            <v>超級</v>
          </cell>
          <cell r="J416">
            <v>456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24</v>
          </cell>
          <cell r="AD416">
            <v>6</v>
          </cell>
          <cell r="AE416" t="str">
            <v>multionly</v>
          </cell>
        </row>
        <row r="417">
          <cell r="A417" t="str">
            <v>30019_2</v>
          </cell>
          <cell r="B417">
            <v>3</v>
          </cell>
          <cell r="C417">
            <v>30019</v>
          </cell>
          <cell r="D417" t="str">
            <v>狙撃は終わらない</v>
          </cell>
          <cell r="E417" t="str">
            <v>ドロップイベント5（マルチ専用）</v>
          </cell>
          <cell r="F417">
            <v>2</v>
          </cell>
          <cell r="G417" t="str">
            <v>ja</v>
          </cell>
          <cell r="H417" t="str">
            <v>【超絶級】狙撃は終わらない</v>
          </cell>
          <cell r="I417" t="str">
            <v>超絶級</v>
          </cell>
          <cell r="J417">
            <v>457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24</v>
          </cell>
          <cell r="AD417">
            <v>6</v>
          </cell>
          <cell r="AE417" t="str">
            <v>multionly</v>
          </cell>
        </row>
        <row r="418">
          <cell r="A418" t="str">
            <v>30020_1</v>
          </cell>
          <cell r="B418">
            <v>3</v>
          </cell>
          <cell r="C418">
            <v>30020</v>
          </cell>
          <cell r="D418" t="str">
            <v>若造よ、身の程を知れ</v>
          </cell>
          <cell r="E418" t="str">
            <v>ドロップイベント5（マルチ専用）</v>
          </cell>
          <cell r="F418">
            <v>1</v>
          </cell>
          <cell r="G418" t="str">
            <v>ja</v>
          </cell>
          <cell r="H418" t="str">
            <v>【超級】若造よ、身の程を知れ</v>
          </cell>
          <cell r="I418" t="str">
            <v>超級</v>
          </cell>
          <cell r="J418">
            <v>458</v>
          </cell>
          <cell r="K418">
            <v>30</v>
          </cell>
          <cell r="L418">
            <v>3300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13</v>
          </cell>
          <cell r="AD418">
            <v>6</v>
          </cell>
          <cell r="AE418" t="str">
            <v>everyone</v>
          </cell>
        </row>
        <row r="419">
          <cell r="A419" t="str">
            <v>30020_2</v>
          </cell>
          <cell r="B419">
            <v>3</v>
          </cell>
          <cell r="C419">
            <v>30020</v>
          </cell>
          <cell r="D419" t="str">
            <v>若造よ、身の程を知れ</v>
          </cell>
          <cell r="E419" t="str">
            <v>ドロップイベント5（マルチ専用）</v>
          </cell>
          <cell r="F419">
            <v>2</v>
          </cell>
          <cell r="G419" t="str">
            <v>ja</v>
          </cell>
          <cell r="H419" t="str">
            <v>【超絶級】若造よ、身の程を知れ</v>
          </cell>
          <cell r="I419" t="str">
            <v>超絶級</v>
          </cell>
          <cell r="J419">
            <v>459</v>
          </cell>
          <cell r="K419">
            <v>35</v>
          </cell>
          <cell r="L419">
            <v>4200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13</v>
          </cell>
          <cell r="AD419">
            <v>6</v>
          </cell>
          <cell r="AE419" t="str">
            <v>everyone</v>
          </cell>
        </row>
        <row r="420">
          <cell r="A420" t="str">
            <v>30021_1</v>
          </cell>
          <cell r="B420">
            <v>3</v>
          </cell>
          <cell r="C420">
            <v>30021</v>
          </cell>
          <cell r="D420" t="str">
            <v>野獣死すべしっ！</v>
          </cell>
          <cell r="E420" t="str">
            <v>ドロップイベント6（マルチ専用）</v>
          </cell>
          <cell r="F420">
            <v>1</v>
          </cell>
          <cell r="G420" t="str">
            <v>ja</v>
          </cell>
          <cell r="H420" t="str">
            <v>【中級】野獣死すべしっ！</v>
          </cell>
          <cell r="I420" t="str">
            <v>中級</v>
          </cell>
          <cell r="J420">
            <v>502</v>
          </cell>
          <cell r="K420">
            <v>15</v>
          </cell>
          <cell r="L420">
            <v>1200</v>
          </cell>
          <cell r="M420">
            <v>1</v>
          </cell>
          <cell r="N420">
            <v>1</v>
          </cell>
          <cell r="O420">
            <v>0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14</v>
          </cell>
          <cell r="AD420">
            <v>6</v>
          </cell>
          <cell r="AE420" t="str">
            <v>everyone</v>
          </cell>
        </row>
        <row r="421">
          <cell r="A421" t="str">
            <v>30021_2</v>
          </cell>
          <cell r="B421">
            <v>3</v>
          </cell>
          <cell r="C421">
            <v>30021</v>
          </cell>
          <cell r="D421" t="str">
            <v>野獣死すべしっ！</v>
          </cell>
          <cell r="E421" t="str">
            <v>ドロップイベント6（マルチ専用）</v>
          </cell>
          <cell r="F421">
            <v>2</v>
          </cell>
          <cell r="G421" t="str">
            <v>ja</v>
          </cell>
          <cell r="H421" t="str">
            <v>【上級】野獣死すべしっ！</v>
          </cell>
          <cell r="I421" t="str">
            <v>上級</v>
          </cell>
          <cell r="J421">
            <v>502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0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14</v>
          </cell>
          <cell r="AD421">
            <v>6</v>
          </cell>
          <cell r="AE421" t="str">
            <v>everyone</v>
          </cell>
        </row>
        <row r="422">
          <cell r="A422" t="str">
            <v>30021_3</v>
          </cell>
          <cell r="B422">
            <v>3</v>
          </cell>
          <cell r="C422">
            <v>30021</v>
          </cell>
          <cell r="D422" t="str">
            <v>野獣死すべしっ！</v>
          </cell>
          <cell r="E422" t="str">
            <v>ドロップイベント6（マルチ専用）</v>
          </cell>
          <cell r="F422">
            <v>3</v>
          </cell>
          <cell r="G422" t="str">
            <v>ja</v>
          </cell>
          <cell r="H422" t="str">
            <v>【超級】野獣死すべしっ！</v>
          </cell>
          <cell r="I422" t="str">
            <v>超級</v>
          </cell>
          <cell r="J422">
            <v>503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0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14</v>
          </cell>
          <cell r="AD422">
            <v>6</v>
          </cell>
          <cell r="AE422" t="str">
            <v>everyone</v>
          </cell>
        </row>
        <row r="423">
          <cell r="A423" t="str">
            <v>30022_1</v>
          </cell>
          <cell r="B423">
            <v>3</v>
          </cell>
          <cell r="C423">
            <v>30022</v>
          </cell>
          <cell r="D423" t="str">
            <v>凶鼠ネコを咬む</v>
          </cell>
          <cell r="E423" t="str">
            <v>ドロップイベント6（マルチ専用）</v>
          </cell>
          <cell r="F423">
            <v>1</v>
          </cell>
          <cell r="G423" t="str">
            <v>ja</v>
          </cell>
          <cell r="H423" t="str">
            <v>【超級】凶鼠ネコを咬む</v>
          </cell>
          <cell r="I423" t="str">
            <v>超級</v>
          </cell>
          <cell r="J423">
            <v>504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6</v>
          </cell>
          <cell r="AD423">
            <v>6</v>
          </cell>
          <cell r="AE423" t="str">
            <v>everyone</v>
          </cell>
        </row>
        <row r="424">
          <cell r="A424" t="str">
            <v>30022_2</v>
          </cell>
          <cell r="B424">
            <v>3</v>
          </cell>
          <cell r="C424">
            <v>30022</v>
          </cell>
          <cell r="D424" t="str">
            <v>凶鼠ネコを咬む</v>
          </cell>
          <cell r="E424" t="str">
            <v>ドロップイベント6（マルチ専用）</v>
          </cell>
          <cell r="F424">
            <v>2</v>
          </cell>
          <cell r="G424" t="str">
            <v>ja</v>
          </cell>
          <cell r="H424" t="str">
            <v>【超絶級】凶鼠ネコを咬む</v>
          </cell>
          <cell r="I424" t="str">
            <v>超絶級</v>
          </cell>
          <cell r="J424">
            <v>505</v>
          </cell>
          <cell r="K424">
            <v>35</v>
          </cell>
          <cell r="L424">
            <v>4200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polygon</v>
          </cell>
          <cell r="T424">
            <v>1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6</v>
          </cell>
          <cell r="AD424">
            <v>6</v>
          </cell>
          <cell r="AE424" t="str">
            <v>everyone</v>
          </cell>
        </row>
        <row r="425">
          <cell r="A425" t="str">
            <v>30023_1</v>
          </cell>
          <cell r="B425">
            <v>3</v>
          </cell>
          <cell r="C425">
            <v>30023</v>
          </cell>
          <cell r="D425" t="str">
            <v>隔離からのエスケイプ</v>
          </cell>
          <cell r="E425" t="str">
            <v>ドロップイベント6（マルチ専用）</v>
          </cell>
          <cell r="F425">
            <v>1</v>
          </cell>
          <cell r="G425" t="str">
            <v>ja</v>
          </cell>
          <cell r="H425" t="str">
            <v>【中級】隔離からのエスケイプ</v>
          </cell>
          <cell r="I425" t="str">
            <v>中級</v>
          </cell>
          <cell r="J425">
            <v>506</v>
          </cell>
          <cell r="K425">
            <v>15</v>
          </cell>
          <cell r="L425">
            <v>1200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25</v>
          </cell>
          <cell r="AD425">
            <v>6</v>
          </cell>
          <cell r="AE425" t="str">
            <v>everyone</v>
          </cell>
        </row>
        <row r="426">
          <cell r="A426" t="str">
            <v>30023_2</v>
          </cell>
          <cell r="B426">
            <v>3</v>
          </cell>
          <cell r="C426">
            <v>30023</v>
          </cell>
          <cell r="D426" t="str">
            <v>隔離からのエスケイプ</v>
          </cell>
          <cell r="E426" t="str">
            <v>ドロップイベント6（マルチ専用）</v>
          </cell>
          <cell r="F426">
            <v>2</v>
          </cell>
          <cell r="G426" t="str">
            <v>ja</v>
          </cell>
          <cell r="H426" t="str">
            <v>【上級】隔離からのエスケイプ</v>
          </cell>
          <cell r="I426" t="str">
            <v>上級</v>
          </cell>
          <cell r="J426">
            <v>506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25</v>
          </cell>
          <cell r="AD426">
            <v>6</v>
          </cell>
          <cell r="AE426" t="str">
            <v>everyone</v>
          </cell>
        </row>
        <row r="427">
          <cell r="A427" t="str">
            <v>30023_3</v>
          </cell>
          <cell r="B427">
            <v>3</v>
          </cell>
          <cell r="C427">
            <v>30023</v>
          </cell>
          <cell r="D427" t="str">
            <v>隔離からのエスケイプ</v>
          </cell>
          <cell r="E427" t="str">
            <v>ドロップイベント6（マルチ専用）</v>
          </cell>
          <cell r="F427">
            <v>3</v>
          </cell>
          <cell r="G427" t="str">
            <v>ja</v>
          </cell>
          <cell r="H427" t="str">
            <v>【超級】隔離からのエスケイプ</v>
          </cell>
          <cell r="I427" t="str">
            <v>超級</v>
          </cell>
          <cell r="J427">
            <v>507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polygon</v>
          </cell>
          <cell r="T427">
            <v>1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25</v>
          </cell>
          <cell r="AD427">
            <v>6</v>
          </cell>
          <cell r="AE427" t="str">
            <v>everyone</v>
          </cell>
        </row>
        <row r="428">
          <cell r="A428" t="str">
            <v>30024_1</v>
          </cell>
          <cell r="B428">
            <v>3</v>
          </cell>
          <cell r="C428">
            <v>30024</v>
          </cell>
          <cell r="D428" t="str">
            <v>雷鎚の選定</v>
          </cell>
          <cell r="E428" t="str">
            <v>ドロップイベント7（マルチ専用）</v>
          </cell>
          <cell r="F428">
            <v>1</v>
          </cell>
          <cell r="G428" t="str">
            <v>ja</v>
          </cell>
          <cell r="H428" t="str">
            <v>【中級】雷鎚の選定</v>
          </cell>
          <cell r="I428" t="str">
            <v>中級</v>
          </cell>
          <cell r="J428">
            <v>583</v>
          </cell>
          <cell r="K428">
            <v>15</v>
          </cell>
          <cell r="L428">
            <v>1200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</v>
          </cell>
          <cell r="AD428">
            <v>6</v>
          </cell>
          <cell r="AE428" t="str">
            <v>multionly</v>
          </cell>
        </row>
        <row r="429">
          <cell r="A429" t="str">
            <v>30024_2</v>
          </cell>
          <cell r="B429">
            <v>3</v>
          </cell>
          <cell r="C429">
            <v>30024</v>
          </cell>
          <cell r="D429" t="str">
            <v>雷鎚の選定</v>
          </cell>
          <cell r="E429" t="str">
            <v>ドロップイベント7（マルチ専用）</v>
          </cell>
          <cell r="F429">
            <v>2</v>
          </cell>
          <cell r="G429" t="str">
            <v>ja</v>
          </cell>
          <cell r="H429" t="str">
            <v>【上級】雷鎚の選定</v>
          </cell>
          <cell r="I429" t="str">
            <v>上級</v>
          </cell>
          <cell r="J429">
            <v>583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</v>
          </cell>
          <cell r="AD429">
            <v>6</v>
          </cell>
          <cell r="AE429" t="str">
            <v>multionly</v>
          </cell>
        </row>
        <row r="430">
          <cell r="A430" t="str">
            <v>30024_3</v>
          </cell>
          <cell r="B430">
            <v>3</v>
          </cell>
          <cell r="C430">
            <v>30024</v>
          </cell>
          <cell r="D430" t="str">
            <v>雷鎚の選定</v>
          </cell>
          <cell r="E430" t="str">
            <v>ドロップイベント7（マルチ専用）</v>
          </cell>
          <cell r="F430">
            <v>3</v>
          </cell>
          <cell r="G430" t="str">
            <v>ja</v>
          </cell>
          <cell r="H430" t="str">
            <v>【超級】雷鎚の選定</v>
          </cell>
          <cell r="I430" t="str">
            <v>超級</v>
          </cell>
          <cell r="J430">
            <v>584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20</v>
          </cell>
          <cell r="AD430">
            <v>6</v>
          </cell>
          <cell r="AE430" t="str">
            <v>multionly</v>
          </cell>
        </row>
        <row r="431">
          <cell r="A431" t="str">
            <v>30025_1</v>
          </cell>
          <cell r="B431">
            <v>3</v>
          </cell>
          <cell r="C431">
            <v>30025</v>
          </cell>
          <cell r="D431" t="str">
            <v>真実の探求者</v>
          </cell>
          <cell r="E431" t="str">
            <v>ドロップイベント7（マルチ専用）</v>
          </cell>
          <cell r="F431">
            <v>1</v>
          </cell>
          <cell r="G431" t="str">
            <v>ja</v>
          </cell>
          <cell r="H431" t="str">
            <v>【中級】真実の探求者</v>
          </cell>
          <cell r="I431" t="str">
            <v>中級</v>
          </cell>
          <cell r="J431">
            <v>579</v>
          </cell>
          <cell r="K431">
            <v>15</v>
          </cell>
          <cell r="L431">
            <v>1200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7</v>
          </cell>
          <cell r="AD431">
            <v>6</v>
          </cell>
          <cell r="AE431" t="str">
            <v>everyone</v>
          </cell>
        </row>
        <row r="432">
          <cell r="A432" t="str">
            <v>30025_2</v>
          </cell>
          <cell r="B432">
            <v>3</v>
          </cell>
          <cell r="C432">
            <v>30025</v>
          </cell>
          <cell r="D432" t="str">
            <v>真実の探求者</v>
          </cell>
          <cell r="E432" t="str">
            <v>ドロップイベント7（マルチ専用）</v>
          </cell>
          <cell r="F432">
            <v>2</v>
          </cell>
          <cell r="G432" t="str">
            <v>ja</v>
          </cell>
          <cell r="H432" t="str">
            <v>【上級】真実の探求者</v>
          </cell>
          <cell r="I432" t="str">
            <v>上級</v>
          </cell>
          <cell r="J432">
            <v>579</v>
          </cell>
          <cell r="K432">
            <v>20</v>
          </cell>
          <cell r="L432">
            <v>2000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everyone</v>
          </cell>
        </row>
        <row r="433">
          <cell r="A433" t="str">
            <v>30025_3</v>
          </cell>
          <cell r="B433">
            <v>3</v>
          </cell>
          <cell r="C433">
            <v>30025</v>
          </cell>
          <cell r="D433" t="str">
            <v>真実の探求者</v>
          </cell>
          <cell r="E433" t="str">
            <v>ドロップイベント7（マルチ専用）</v>
          </cell>
          <cell r="F433">
            <v>3</v>
          </cell>
          <cell r="G433" t="str">
            <v>ja</v>
          </cell>
          <cell r="H433" t="str">
            <v>【超級】真実の探求者</v>
          </cell>
          <cell r="I433" t="str">
            <v>超級</v>
          </cell>
          <cell r="J433">
            <v>580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7</v>
          </cell>
          <cell r="AD433">
            <v>6</v>
          </cell>
          <cell r="AE433" t="str">
            <v>everyone</v>
          </cell>
        </row>
        <row r="434">
          <cell r="A434" t="str">
            <v>30026_1</v>
          </cell>
          <cell r="B434">
            <v>3</v>
          </cell>
          <cell r="C434">
            <v>30026</v>
          </cell>
          <cell r="D434" t="str">
            <v>道を阻む妖精夫婦</v>
          </cell>
          <cell r="E434" t="str">
            <v>ドロップイベント7（マルチ専用）</v>
          </cell>
          <cell r="F434">
            <v>1</v>
          </cell>
          <cell r="G434" t="str">
            <v>ja</v>
          </cell>
          <cell r="H434" t="str">
            <v>【中級】道を阻む妖精夫婦</v>
          </cell>
          <cell r="I434" t="str">
            <v>中級</v>
          </cell>
          <cell r="J434">
            <v>577</v>
          </cell>
          <cell r="K434">
            <v>15</v>
          </cell>
          <cell r="L434">
            <v>1200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21</v>
          </cell>
          <cell r="AD434">
            <v>6</v>
          </cell>
          <cell r="AE434" t="str">
            <v>everyone</v>
          </cell>
        </row>
        <row r="435">
          <cell r="A435" t="str">
            <v>30026_2</v>
          </cell>
          <cell r="B435">
            <v>3</v>
          </cell>
          <cell r="C435">
            <v>30026</v>
          </cell>
          <cell r="D435" t="str">
            <v>道を阻む妖精夫婦</v>
          </cell>
          <cell r="E435" t="str">
            <v>ドロップイベント7（マルチ専用）</v>
          </cell>
          <cell r="F435">
            <v>2</v>
          </cell>
          <cell r="G435" t="str">
            <v>ja</v>
          </cell>
          <cell r="H435" t="str">
            <v>【上級】道を阻む妖精夫婦</v>
          </cell>
          <cell r="I435" t="str">
            <v>上級</v>
          </cell>
          <cell r="J435">
            <v>577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21</v>
          </cell>
          <cell r="AD435">
            <v>6</v>
          </cell>
          <cell r="AE435" t="str">
            <v>everyone</v>
          </cell>
        </row>
        <row r="436">
          <cell r="A436" t="str">
            <v>30026_3</v>
          </cell>
          <cell r="B436">
            <v>3</v>
          </cell>
          <cell r="C436">
            <v>30026</v>
          </cell>
          <cell r="D436" t="str">
            <v>道を阻む妖精夫婦</v>
          </cell>
          <cell r="E436" t="str">
            <v>ドロップイベント7（マルチ専用）</v>
          </cell>
          <cell r="F436">
            <v>3</v>
          </cell>
          <cell r="G436" t="str">
            <v>ja</v>
          </cell>
          <cell r="H436" t="str">
            <v>【超級】道を阻む妖精夫婦</v>
          </cell>
          <cell r="I436" t="str">
            <v>超級</v>
          </cell>
          <cell r="J436">
            <v>578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21</v>
          </cell>
          <cell r="AD436">
            <v>6</v>
          </cell>
          <cell r="AE436" t="str">
            <v>everyone</v>
          </cell>
        </row>
        <row r="437">
          <cell r="A437" t="str">
            <v>30027_1</v>
          </cell>
          <cell r="B437">
            <v>3</v>
          </cell>
          <cell r="C437">
            <v>30027</v>
          </cell>
          <cell r="D437" t="str">
            <v>凍りつくまで愛してあげる</v>
          </cell>
          <cell r="E437" t="str">
            <v>ドロップイベント7（マルチ専用）</v>
          </cell>
          <cell r="F437">
            <v>1</v>
          </cell>
          <cell r="G437" t="str">
            <v>ja</v>
          </cell>
          <cell r="H437" t="str">
            <v>【中級】凍りつくまで愛してあげる</v>
          </cell>
          <cell r="I437" t="str">
            <v>中級</v>
          </cell>
          <cell r="J437">
            <v>646</v>
          </cell>
          <cell r="K437">
            <v>15</v>
          </cell>
          <cell r="L437">
            <v>1200</v>
          </cell>
          <cell r="M437">
            <v>0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9</v>
          </cell>
          <cell r="AD437">
            <v>6</v>
          </cell>
          <cell r="AE437" t="str">
            <v>everyone</v>
          </cell>
        </row>
        <row r="438">
          <cell r="A438" t="str">
            <v>30027_2</v>
          </cell>
          <cell r="B438">
            <v>3</v>
          </cell>
          <cell r="C438">
            <v>30027</v>
          </cell>
          <cell r="D438" t="str">
            <v>凍りつくまで愛してあげる</v>
          </cell>
          <cell r="E438" t="str">
            <v>ドロップイベント7（マルチ専用）</v>
          </cell>
          <cell r="F438">
            <v>2</v>
          </cell>
          <cell r="G438" t="str">
            <v>ja</v>
          </cell>
          <cell r="H438" t="str">
            <v>【上級】凍りつくまで愛してあげる</v>
          </cell>
          <cell r="I438" t="str">
            <v>上級</v>
          </cell>
          <cell r="J438">
            <v>646</v>
          </cell>
          <cell r="K438">
            <v>20</v>
          </cell>
          <cell r="L438">
            <v>2000</v>
          </cell>
          <cell r="M438">
            <v>0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9</v>
          </cell>
          <cell r="AD438">
            <v>6</v>
          </cell>
          <cell r="AE438" t="str">
            <v>everyone</v>
          </cell>
        </row>
        <row r="439">
          <cell r="A439" t="str">
            <v>30027_3</v>
          </cell>
          <cell r="B439">
            <v>3</v>
          </cell>
          <cell r="C439">
            <v>30027</v>
          </cell>
          <cell r="D439" t="str">
            <v>凍りつくまで愛してあげる</v>
          </cell>
          <cell r="E439" t="str">
            <v>ドロップイベント7（マルチ専用）</v>
          </cell>
          <cell r="F439">
            <v>3</v>
          </cell>
          <cell r="G439" t="str">
            <v>ja</v>
          </cell>
          <cell r="H439" t="str">
            <v>【超級】凍りつくまで愛してあげる</v>
          </cell>
          <cell r="I439" t="str">
            <v>超級</v>
          </cell>
          <cell r="J439">
            <v>647</v>
          </cell>
          <cell r="K439">
            <v>30</v>
          </cell>
          <cell r="L439">
            <v>3300</v>
          </cell>
          <cell r="M439">
            <v>0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9</v>
          </cell>
          <cell r="AD439">
            <v>6</v>
          </cell>
          <cell r="AE439" t="str">
            <v>everyone</v>
          </cell>
        </row>
        <row r="440">
          <cell r="A440" t="str">
            <v>30028_1</v>
          </cell>
          <cell r="B440">
            <v>3</v>
          </cell>
          <cell r="C440">
            <v>30028</v>
          </cell>
          <cell r="D440" t="str">
            <v>最悪の刺客</v>
          </cell>
          <cell r="E440" t="str">
            <v>ドロップイベント8（マルチ専用）</v>
          </cell>
          <cell r="F440">
            <v>1</v>
          </cell>
          <cell r="G440" t="str">
            <v>ja</v>
          </cell>
          <cell r="H440" t="str">
            <v>【中級】最悪の刺客</v>
          </cell>
          <cell r="I440" t="str">
            <v>中級</v>
          </cell>
          <cell r="J440">
            <v>650</v>
          </cell>
          <cell r="K440">
            <v>15</v>
          </cell>
          <cell r="L440">
            <v>1200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2601</v>
          </cell>
          <cell r="AD440">
            <v>6</v>
          </cell>
          <cell r="AE440" t="str">
            <v>everyone</v>
          </cell>
        </row>
        <row r="441">
          <cell r="A441" t="str">
            <v>30028_2</v>
          </cell>
          <cell r="B441">
            <v>3</v>
          </cell>
          <cell r="C441">
            <v>30028</v>
          </cell>
          <cell r="D441" t="str">
            <v>最悪の刺客</v>
          </cell>
          <cell r="E441" t="str">
            <v>ドロップイベント8（マルチ専用）</v>
          </cell>
          <cell r="F441">
            <v>2</v>
          </cell>
          <cell r="G441" t="str">
            <v>ja</v>
          </cell>
          <cell r="H441" t="str">
            <v>【上級】最悪の刺客</v>
          </cell>
          <cell r="I441" t="str">
            <v>上級</v>
          </cell>
          <cell r="J441">
            <v>650</v>
          </cell>
          <cell r="K441">
            <v>20</v>
          </cell>
          <cell r="L441">
            <v>2000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2601</v>
          </cell>
          <cell r="AD441">
            <v>6</v>
          </cell>
          <cell r="AE441" t="str">
            <v>everyone</v>
          </cell>
        </row>
        <row r="442">
          <cell r="A442" t="str">
            <v>30028_3</v>
          </cell>
          <cell r="B442">
            <v>3</v>
          </cell>
          <cell r="C442">
            <v>30028</v>
          </cell>
          <cell r="D442" t="str">
            <v>最悪の刺客</v>
          </cell>
          <cell r="E442" t="str">
            <v>ドロップイベント8（マルチ専用）</v>
          </cell>
          <cell r="F442">
            <v>3</v>
          </cell>
          <cell r="G442" t="str">
            <v>ja</v>
          </cell>
          <cell r="H442" t="str">
            <v>【超級】最悪の刺客</v>
          </cell>
          <cell r="I442" t="str">
            <v>超級</v>
          </cell>
          <cell r="J442">
            <v>651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2601</v>
          </cell>
          <cell r="AD442">
            <v>6</v>
          </cell>
          <cell r="AE442" t="str">
            <v>everyone</v>
          </cell>
        </row>
        <row r="443">
          <cell r="A443" t="str">
            <v>30029_1</v>
          </cell>
          <cell r="B443">
            <v>1</v>
          </cell>
          <cell r="C443">
            <v>30029</v>
          </cell>
          <cell r="D443" t="str">
            <v>パールヴァティ</v>
          </cell>
          <cell r="E443" t="str">
            <v>ドロップイベント8（マルチ専用）</v>
          </cell>
          <cell r="F443">
            <v>1</v>
          </cell>
          <cell r="G443" t="str">
            <v>ja</v>
          </cell>
          <cell r="H443" t="str">
            <v>【中級】パールヴァティ</v>
          </cell>
          <cell r="I443" t="str">
            <v>中級</v>
          </cell>
          <cell r="J443">
            <v>1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2601</v>
          </cell>
          <cell r="AD443">
            <v>6</v>
          </cell>
          <cell r="AE443" t="str">
            <v>everyone</v>
          </cell>
        </row>
        <row r="444">
          <cell r="A444" t="str">
            <v>30029_2</v>
          </cell>
          <cell r="B444">
            <v>1</v>
          </cell>
          <cell r="C444">
            <v>30029</v>
          </cell>
          <cell r="D444" t="str">
            <v>パールヴァティ</v>
          </cell>
          <cell r="E444" t="str">
            <v>ドロップイベント8（マルチ専用）</v>
          </cell>
          <cell r="F444">
            <v>2</v>
          </cell>
          <cell r="G444" t="str">
            <v>ja</v>
          </cell>
          <cell r="H444" t="str">
            <v>【上級】パールヴァティ</v>
          </cell>
          <cell r="I444" t="str">
            <v>上級</v>
          </cell>
          <cell r="J444">
            <v>1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2601</v>
          </cell>
          <cell r="AD444">
            <v>6</v>
          </cell>
          <cell r="AE444" t="str">
            <v>everyone</v>
          </cell>
        </row>
        <row r="445">
          <cell r="A445" t="str">
            <v>30029_3</v>
          </cell>
          <cell r="B445">
            <v>1</v>
          </cell>
          <cell r="C445">
            <v>30029</v>
          </cell>
          <cell r="D445" t="str">
            <v>パールヴァティ</v>
          </cell>
          <cell r="E445" t="str">
            <v>ドロップイベント8（マルチ専用）</v>
          </cell>
          <cell r="F445">
            <v>3</v>
          </cell>
          <cell r="G445" t="str">
            <v>ja</v>
          </cell>
          <cell r="H445" t="str">
            <v>【超級】パールヴァティ</v>
          </cell>
          <cell r="I445" t="str">
            <v>超級</v>
          </cell>
          <cell r="J445">
            <v>1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2601</v>
          </cell>
          <cell r="AD445">
            <v>6</v>
          </cell>
          <cell r="AE445" t="str">
            <v>everyone</v>
          </cell>
        </row>
        <row r="446">
          <cell r="A446" t="str">
            <v>30030_1</v>
          </cell>
          <cell r="B446">
            <v>1</v>
          </cell>
          <cell r="C446">
            <v>30030</v>
          </cell>
          <cell r="D446" t="str">
            <v>アナンタ</v>
          </cell>
          <cell r="E446" t="str">
            <v>ドロップイベント9（マルチ専用）</v>
          </cell>
          <cell r="F446">
            <v>1</v>
          </cell>
          <cell r="G446" t="str">
            <v>ja</v>
          </cell>
          <cell r="H446" t="str">
            <v>【中級】アナンタ</v>
          </cell>
          <cell r="I446" t="str">
            <v>中級</v>
          </cell>
          <cell r="J446">
            <v>1</v>
          </cell>
          <cell r="K446">
            <v>15</v>
          </cell>
          <cell r="L446">
            <v>1200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2601</v>
          </cell>
          <cell r="AD446">
            <v>6</v>
          </cell>
          <cell r="AE446" t="str">
            <v>everyone</v>
          </cell>
        </row>
        <row r="447">
          <cell r="A447" t="str">
            <v>30030_2</v>
          </cell>
          <cell r="B447">
            <v>1</v>
          </cell>
          <cell r="C447">
            <v>30030</v>
          </cell>
          <cell r="D447" t="str">
            <v>アナンタ</v>
          </cell>
          <cell r="E447" t="str">
            <v>ドロップイベント9（マルチ専用）</v>
          </cell>
          <cell r="F447">
            <v>2</v>
          </cell>
          <cell r="G447" t="str">
            <v>ja</v>
          </cell>
          <cell r="H447" t="str">
            <v>【上級】アナンタ</v>
          </cell>
          <cell r="I447" t="str">
            <v>上級</v>
          </cell>
          <cell r="J447">
            <v>1</v>
          </cell>
          <cell r="K447">
            <v>20</v>
          </cell>
          <cell r="L447">
            <v>2000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2601</v>
          </cell>
          <cell r="AD447">
            <v>6</v>
          </cell>
          <cell r="AE447" t="str">
            <v>everyone</v>
          </cell>
        </row>
        <row r="448">
          <cell r="A448" t="str">
            <v>30030_3</v>
          </cell>
          <cell r="B448">
            <v>1</v>
          </cell>
          <cell r="C448">
            <v>30030</v>
          </cell>
          <cell r="D448" t="str">
            <v>アナンタ</v>
          </cell>
          <cell r="E448" t="str">
            <v>ドロップイベント9（マルチ専用）</v>
          </cell>
          <cell r="F448">
            <v>3</v>
          </cell>
          <cell r="G448" t="str">
            <v>ja</v>
          </cell>
          <cell r="H448" t="str">
            <v>【超級】アナンタ</v>
          </cell>
          <cell r="I448" t="str">
            <v>超級</v>
          </cell>
          <cell r="J448">
            <v>1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2601</v>
          </cell>
          <cell r="AD448">
            <v>6</v>
          </cell>
          <cell r="AE448" t="str">
            <v>everyone</v>
          </cell>
        </row>
        <row r="449">
          <cell r="A449" t="str">
            <v>30031_1</v>
          </cell>
          <cell r="B449">
            <v>1</v>
          </cell>
          <cell r="C449">
            <v>30031</v>
          </cell>
          <cell r="D449" t="str">
            <v>ライオネル</v>
          </cell>
          <cell r="E449" t="str">
            <v>円卓1（マルチ専用）</v>
          </cell>
          <cell r="F449">
            <v>1</v>
          </cell>
          <cell r="G449" t="str">
            <v>ja</v>
          </cell>
          <cell r="H449" t="str">
            <v>【中級】ライオネル</v>
          </cell>
          <cell r="I449" t="str">
            <v>中級</v>
          </cell>
          <cell r="J449">
            <v>1</v>
          </cell>
          <cell r="K449">
            <v>15</v>
          </cell>
          <cell r="L449">
            <v>1200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2601</v>
          </cell>
          <cell r="AD449">
            <v>6</v>
          </cell>
          <cell r="AE449" t="str">
            <v>everyone</v>
          </cell>
        </row>
        <row r="450">
          <cell r="A450" t="str">
            <v>30031_2</v>
          </cell>
          <cell r="B450">
            <v>1</v>
          </cell>
          <cell r="C450">
            <v>30031</v>
          </cell>
          <cell r="D450" t="str">
            <v>ライオネル</v>
          </cell>
          <cell r="E450" t="str">
            <v>円卓1（マルチ専用）</v>
          </cell>
          <cell r="F450">
            <v>2</v>
          </cell>
          <cell r="G450" t="str">
            <v>ja</v>
          </cell>
          <cell r="H450" t="str">
            <v>【上級】ライオネル</v>
          </cell>
          <cell r="I450" t="str">
            <v>上級</v>
          </cell>
          <cell r="J450">
            <v>1</v>
          </cell>
          <cell r="K450">
            <v>20</v>
          </cell>
          <cell r="L450">
            <v>2000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2601</v>
          </cell>
          <cell r="AD450">
            <v>6</v>
          </cell>
          <cell r="AE450" t="str">
            <v>everyone</v>
          </cell>
        </row>
        <row r="451">
          <cell r="A451" t="str">
            <v>30031_3</v>
          </cell>
          <cell r="B451">
            <v>1</v>
          </cell>
          <cell r="C451">
            <v>30031</v>
          </cell>
          <cell r="D451" t="str">
            <v>ライオネル</v>
          </cell>
          <cell r="E451" t="str">
            <v>円卓1（マルチ専用）</v>
          </cell>
          <cell r="F451">
            <v>3</v>
          </cell>
          <cell r="G451" t="str">
            <v>ja</v>
          </cell>
          <cell r="H451" t="str">
            <v>【超級】ライオネル</v>
          </cell>
          <cell r="I451" t="str">
            <v>超級</v>
          </cell>
          <cell r="J451">
            <v>1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2601</v>
          </cell>
          <cell r="AD451">
            <v>6</v>
          </cell>
          <cell r="AE451" t="str">
            <v>everyone</v>
          </cell>
        </row>
        <row r="452">
          <cell r="A452" t="str">
            <v>30032_1</v>
          </cell>
          <cell r="B452">
            <v>1</v>
          </cell>
          <cell r="C452">
            <v>30032</v>
          </cell>
          <cell r="D452" t="str">
            <v>サラマンダー</v>
          </cell>
          <cell r="E452" t="str">
            <v>円卓2（マルチ専用）</v>
          </cell>
          <cell r="F452">
            <v>1</v>
          </cell>
          <cell r="G452" t="str">
            <v>ja</v>
          </cell>
          <cell r="H452" t="str">
            <v>【中級】サラマンダー</v>
          </cell>
          <cell r="I452" t="str">
            <v>中級</v>
          </cell>
          <cell r="J452">
            <v>1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2601</v>
          </cell>
          <cell r="AD452">
            <v>6</v>
          </cell>
          <cell r="AE452" t="str">
            <v>everyone</v>
          </cell>
        </row>
        <row r="453">
          <cell r="A453" t="str">
            <v>30032_2</v>
          </cell>
          <cell r="B453">
            <v>1</v>
          </cell>
          <cell r="C453">
            <v>30032</v>
          </cell>
          <cell r="D453" t="str">
            <v>サラマンダー</v>
          </cell>
          <cell r="E453" t="str">
            <v>円卓2（マルチ専用）</v>
          </cell>
          <cell r="F453">
            <v>2</v>
          </cell>
          <cell r="G453" t="str">
            <v>ja</v>
          </cell>
          <cell r="H453" t="str">
            <v>【上級】サラマンダー</v>
          </cell>
          <cell r="I453" t="str">
            <v>上級</v>
          </cell>
          <cell r="J453">
            <v>1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2601</v>
          </cell>
          <cell r="AD453">
            <v>6</v>
          </cell>
          <cell r="AE453" t="str">
            <v>everyone</v>
          </cell>
        </row>
        <row r="454">
          <cell r="A454" t="str">
            <v>30032_3</v>
          </cell>
          <cell r="B454">
            <v>1</v>
          </cell>
          <cell r="C454">
            <v>30032</v>
          </cell>
          <cell r="D454" t="str">
            <v>サラマンダー</v>
          </cell>
          <cell r="E454" t="str">
            <v>円卓2（マルチ専用）</v>
          </cell>
          <cell r="F454">
            <v>3</v>
          </cell>
          <cell r="G454" t="str">
            <v>ja</v>
          </cell>
          <cell r="H454" t="str">
            <v>【超級】サラマンダー</v>
          </cell>
          <cell r="I454" t="str">
            <v>超級</v>
          </cell>
          <cell r="J454">
            <v>1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2601</v>
          </cell>
          <cell r="AD454">
            <v>6</v>
          </cell>
          <cell r="AE454" t="str">
            <v>everyone</v>
          </cell>
        </row>
        <row r="455">
          <cell r="A455" t="str">
            <v>39001_1</v>
          </cell>
          <cell r="B455">
            <v>3</v>
          </cell>
          <cell r="C455">
            <v>39001</v>
          </cell>
          <cell r="D455" t="str">
            <v>雪の歌姫</v>
          </cell>
          <cell r="E455" t="str">
            <v>コラボクエスト</v>
          </cell>
          <cell r="F455">
            <v>1</v>
          </cell>
          <cell r="G455" t="str">
            <v>ja</v>
          </cell>
          <cell r="H455" t="str">
            <v>【初級】雪の歌姫</v>
          </cell>
          <cell r="I455" t="str">
            <v>初級</v>
          </cell>
          <cell r="J455">
            <v>525</v>
          </cell>
          <cell r="K455">
            <v>8</v>
          </cell>
          <cell r="L455">
            <v>384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909</v>
          </cell>
          <cell r="AD455">
            <v>6</v>
          </cell>
          <cell r="AE455" t="str">
            <v>everyone</v>
          </cell>
        </row>
        <row r="456">
          <cell r="A456" t="str">
            <v>39001_2</v>
          </cell>
          <cell r="B456">
            <v>3</v>
          </cell>
          <cell r="C456">
            <v>39001</v>
          </cell>
          <cell r="D456" t="str">
            <v>雪の歌姫</v>
          </cell>
          <cell r="E456" t="str">
            <v>コラボクエスト</v>
          </cell>
          <cell r="F456">
            <v>2</v>
          </cell>
          <cell r="G456" t="str">
            <v>ja</v>
          </cell>
          <cell r="H456" t="str">
            <v>【中級】雪の歌姫</v>
          </cell>
          <cell r="I456" t="str">
            <v>中級</v>
          </cell>
          <cell r="J456">
            <v>525</v>
          </cell>
          <cell r="K456">
            <v>15</v>
          </cell>
          <cell r="L456">
            <v>1200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909</v>
          </cell>
          <cell r="AD456">
            <v>6</v>
          </cell>
          <cell r="AE456" t="str">
            <v>everyone</v>
          </cell>
        </row>
        <row r="457">
          <cell r="A457" t="str">
            <v>39001_3</v>
          </cell>
          <cell r="B457">
            <v>3</v>
          </cell>
          <cell r="C457">
            <v>39001</v>
          </cell>
          <cell r="D457" t="str">
            <v>雪の歌姫</v>
          </cell>
          <cell r="E457" t="str">
            <v>コラボクエスト</v>
          </cell>
          <cell r="F457">
            <v>3</v>
          </cell>
          <cell r="G457" t="str">
            <v>ja</v>
          </cell>
          <cell r="H457" t="str">
            <v>【上級】雪の歌姫</v>
          </cell>
          <cell r="I457" t="str">
            <v>上級</v>
          </cell>
          <cell r="J457">
            <v>525</v>
          </cell>
          <cell r="K457">
            <v>20</v>
          </cell>
          <cell r="L457">
            <v>2000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909</v>
          </cell>
          <cell r="AD457">
            <v>6</v>
          </cell>
          <cell r="AE457" t="str">
            <v>everyone</v>
          </cell>
        </row>
        <row r="458">
          <cell r="A458" t="str">
            <v>39001_4</v>
          </cell>
          <cell r="B458">
            <v>3</v>
          </cell>
          <cell r="C458">
            <v>39001</v>
          </cell>
          <cell r="D458" t="str">
            <v>雪の歌姫</v>
          </cell>
          <cell r="E458" t="str">
            <v>コラボクエスト</v>
          </cell>
          <cell r="F458">
            <v>4</v>
          </cell>
          <cell r="G458" t="str">
            <v>ja</v>
          </cell>
          <cell r="H458" t="str">
            <v>【超級】雪の歌姫</v>
          </cell>
          <cell r="I458" t="str">
            <v>超級</v>
          </cell>
          <cell r="J458">
            <v>526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909</v>
          </cell>
          <cell r="AD458">
            <v>6</v>
          </cell>
          <cell r="AE458" t="str">
            <v>everyone</v>
          </cell>
        </row>
        <row r="459">
          <cell r="A459" t="str">
            <v>39001_5</v>
          </cell>
          <cell r="B459">
            <v>3</v>
          </cell>
          <cell r="C459">
            <v>39001</v>
          </cell>
          <cell r="D459" t="str">
            <v>雪の歌姫</v>
          </cell>
          <cell r="E459" t="str">
            <v>コラボクエスト</v>
          </cell>
          <cell r="F459">
            <v>5</v>
          </cell>
          <cell r="G459" t="str">
            <v>ja</v>
          </cell>
          <cell r="H459" t="str">
            <v>【超絶級】雪の歌姫</v>
          </cell>
          <cell r="I459" t="str">
            <v>超絶級</v>
          </cell>
          <cell r="J459">
            <v>526</v>
          </cell>
          <cell r="K459">
            <v>35</v>
          </cell>
          <cell r="L459">
            <v>4200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909</v>
          </cell>
          <cell r="AD459">
            <v>6</v>
          </cell>
          <cell r="AE459" t="str">
            <v>everyone</v>
          </cell>
        </row>
        <row r="460">
          <cell r="A460" t="str">
            <v>40001_1</v>
          </cell>
          <cell r="B460">
            <v>3</v>
          </cell>
          <cell r="C460">
            <v>40001</v>
          </cell>
          <cell r="D460" t="str">
            <v>アマテラス襲来！</v>
          </cell>
          <cell r="E460" t="str">
            <v>降臨1</v>
          </cell>
          <cell r="F460">
            <v>1</v>
          </cell>
          <cell r="G460" t="str">
            <v>ja</v>
          </cell>
          <cell r="H460" t="str">
            <v xml:space="preserve">【ウィザード級】アマテラス襲来 </v>
          </cell>
          <cell r="I460" t="str">
            <v>地獄級</v>
          </cell>
          <cell r="J460">
            <v>278</v>
          </cell>
          <cell r="K460">
            <v>35</v>
          </cell>
          <cell r="L460">
            <v>4200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901</v>
          </cell>
          <cell r="AD460">
            <v>6</v>
          </cell>
          <cell r="AE460" t="str">
            <v>everyone</v>
          </cell>
        </row>
        <row r="461">
          <cell r="A461" t="str">
            <v>40002_1</v>
          </cell>
          <cell r="B461">
            <v>3</v>
          </cell>
          <cell r="C461">
            <v>40002</v>
          </cell>
          <cell r="D461" t="str">
            <v>アザゼル襲来！</v>
          </cell>
          <cell r="E461" t="str">
            <v>降臨2</v>
          </cell>
          <cell r="F461">
            <v>1</v>
          </cell>
          <cell r="G461" t="str">
            <v>ja</v>
          </cell>
          <cell r="H461" t="str">
            <v xml:space="preserve">【超級】アザゼル襲来 </v>
          </cell>
          <cell r="I461" t="str">
            <v>超級</v>
          </cell>
          <cell r="J461">
            <v>296</v>
          </cell>
          <cell r="K461">
            <v>25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902</v>
          </cell>
          <cell r="AD461">
            <v>6</v>
          </cell>
          <cell r="AE461" t="str">
            <v>everyone</v>
          </cell>
        </row>
        <row r="462">
          <cell r="A462" t="str">
            <v>40002_2</v>
          </cell>
          <cell r="B462">
            <v>3</v>
          </cell>
          <cell r="C462">
            <v>40002</v>
          </cell>
          <cell r="D462" t="str">
            <v>アザゼル襲来！</v>
          </cell>
          <cell r="E462" t="str">
            <v>降臨2</v>
          </cell>
          <cell r="F462">
            <v>2</v>
          </cell>
          <cell r="G462" t="str">
            <v>ja</v>
          </cell>
          <cell r="H462" t="str">
            <v>【超絶級】アザゼル襲来</v>
          </cell>
          <cell r="I462" t="str">
            <v>超絶級</v>
          </cell>
          <cell r="J462">
            <v>297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902</v>
          </cell>
          <cell r="AD462">
            <v>6</v>
          </cell>
          <cell r="AE462" t="str">
            <v>everyone</v>
          </cell>
        </row>
        <row r="463">
          <cell r="A463" t="str">
            <v>40002_3</v>
          </cell>
          <cell r="B463">
            <v>3</v>
          </cell>
          <cell r="C463">
            <v>40002</v>
          </cell>
          <cell r="D463" t="str">
            <v>アザゼル襲来！</v>
          </cell>
          <cell r="E463" t="str">
            <v>降臨2</v>
          </cell>
          <cell r="F463">
            <v>3</v>
          </cell>
          <cell r="G463" t="str">
            <v>ja</v>
          </cell>
          <cell r="H463" t="str">
            <v xml:space="preserve">【ウィザード級】アザゼル襲来 </v>
          </cell>
          <cell r="I463" t="str">
            <v>地獄級</v>
          </cell>
          <cell r="J463">
            <v>297</v>
          </cell>
          <cell r="K463">
            <v>35</v>
          </cell>
          <cell r="L463">
            <v>4200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character</v>
          </cell>
          <cell r="T463">
            <v>296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902</v>
          </cell>
          <cell r="AD463">
            <v>6</v>
          </cell>
          <cell r="AE463" t="str">
            <v>everyone</v>
          </cell>
        </row>
        <row r="464">
          <cell r="A464" t="str">
            <v>40003_1</v>
          </cell>
          <cell r="B464">
            <v>3</v>
          </cell>
          <cell r="C464">
            <v>40003</v>
          </cell>
          <cell r="D464" t="str">
            <v>ジャンヌ襲来！</v>
          </cell>
          <cell r="E464" t="str">
            <v>降臨3</v>
          </cell>
          <cell r="F464">
            <v>1</v>
          </cell>
          <cell r="G464" t="str">
            <v>ja</v>
          </cell>
          <cell r="H464" t="str">
            <v xml:space="preserve">【ウィザード級】ジャンヌ襲来 </v>
          </cell>
          <cell r="I464" t="str">
            <v>地獄級</v>
          </cell>
          <cell r="J464">
            <v>315</v>
          </cell>
          <cell r="K464">
            <v>35</v>
          </cell>
          <cell r="L464">
            <v>4200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character</v>
          </cell>
          <cell r="T464">
            <v>314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903</v>
          </cell>
          <cell r="AD464">
            <v>6</v>
          </cell>
          <cell r="AE464" t="str">
            <v>everyone</v>
          </cell>
        </row>
        <row r="465">
          <cell r="A465" t="str">
            <v>40004_1</v>
          </cell>
          <cell r="B465">
            <v>3</v>
          </cell>
          <cell r="C465">
            <v>40004</v>
          </cell>
          <cell r="D465" t="str">
            <v>宮本武蔵襲来！</v>
          </cell>
          <cell r="E465" t="str">
            <v>降臨4</v>
          </cell>
          <cell r="F465">
            <v>1</v>
          </cell>
          <cell r="G465" t="str">
            <v>ja</v>
          </cell>
          <cell r="H465" t="str">
            <v xml:space="preserve">【ウィザード級】宮本武蔵襲来 </v>
          </cell>
          <cell r="I465" t="str">
            <v>地獄級</v>
          </cell>
          <cell r="J465">
            <v>427</v>
          </cell>
          <cell r="K465">
            <v>35</v>
          </cell>
          <cell r="L465">
            <v>4200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character</v>
          </cell>
          <cell r="T465">
            <v>426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904</v>
          </cell>
          <cell r="AD465">
            <v>6</v>
          </cell>
          <cell r="AE465" t="str">
            <v>everyone</v>
          </cell>
        </row>
        <row r="466">
          <cell r="A466" t="str">
            <v>40005_1</v>
          </cell>
          <cell r="B466">
            <v>3</v>
          </cell>
          <cell r="C466">
            <v>40005</v>
          </cell>
          <cell r="D466" t="str">
            <v>オズ襲来！</v>
          </cell>
          <cell r="E466" t="str">
            <v>降臨5</v>
          </cell>
          <cell r="F466">
            <v>1</v>
          </cell>
          <cell r="G466" t="str">
            <v>ja</v>
          </cell>
          <cell r="H466" t="str">
            <v xml:space="preserve">【ウィザード級】オズ襲来 </v>
          </cell>
          <cell r="I466" t="str">
            <v>地獄級</v>
          </cell>
          <cell r="J466">
            <v>461</v>
          </cell>
          <cell r="K466">
            <v>35</v>
          </cell>
          <cell r="L466">
            <v>4200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character</v>
          </cell>
          <cell r="T466">
            <v>460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906</v>
          </cell>
          <cell r="AD466">
            <v>6</v>
          </cell>
          <cell r="AE466" t="str">
            <v>everyone</v>
          </cell>
        </row>
        <row r="467">
          <cell r="A467" t="str">
            <v>40006_1</v>
          </cell>
          <cell r="B467">
            <v>3</v>
          </cell>
          <cell r="C467">
            <v>40006</v>
          </cell>
          <cell r="D467" t="str">
            <v>アーサー襲来！</v>
          </cell>
          <cell r="E467" t="str">
            <v>降臨6</v>
          </cell>
          <cell r="F467">
            <v>1</v>
          </cell>
          <cell r="G467" t="str">
            <v>ja</v>
          </cell>
          <cell r="H467" t="str">
            <v xml:space="preserve">【ウィザード級】アーサー襲来 </v>
          </cell>
          <cell r="I467" t="str">
            <v>地獄級</v>
          </cell>
          <cell r="J467">
            <v>473</v>
          </cell>
          <cell r="K467">
            <v>35</v>
          </cell>
          <cell r="L467">
            <v>4200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character</v>
          </cell>
          <cell r="T467">
            <v>472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907</v>
          </cell>
          <cell r="AD467">
            <v>6</v>
          </cell>
          <cell r="AE467" t="str">
            <v>everyone</v>
          </cell>
        </row>
        <row r="468">
          <cell r="A468" t="str">
            <v>40007_1</v>
          </cell>
          <cell r="B468">
            <v>3</v>
          </cell>
          <cell r="C468">
            <v>40007</v>
          </cell>
          <cell r="D468" t="str">
            <v>グリム襲来！</v>
          </cell>
          <cell r="E468" t="str">
            <v>降臨7</v>
          </cell>
          <cell r="F468">
            <v>1</v>
          </cell>
          <cell r="G468" t="str">
            <v>ja</v>
          </cell>
          <cell r="H468" t="str">
            <v xml:space="preserve">【ウィザード級】グリム襲来 </v>
          </cell>
          <cell r="I468" t="str">
            <v>地獄級</v>
          </cell>
          <cell r="J468">
            <v>491</v>
          </cell>
          <cell r="K468">
            <v>35</v>
          </cell>
          <cell r="L468">
            <v>4200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character</v>
          </cell>
          <cell r="T468">
            <v>490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908</v>
          </cell>
          <cell r="AD468">
            <v>6</v>
          </cell>
          <cell r="AE468" t="str">
            <v>everyone</v>
          </cell>
        </row>
        <row r="469">
          <cell r="A469" t="str">
            <v>40008_1</v>
          </cell>
          <cell r="B469">
            <v>3</v>
          </cell>
          <cell r="C469">
            <v>40008</v>
          </cell>
          <cell r="D469" t="str">
            <v>Gスター襲来！</v>
          </cell>
          <cell r="E469" t="str">
            <v>降臨8</v>
          </cell>
          <cell r="F469">
            <v>1</v>
          </cell>
          <cell r="G469" t="str">
            <v>ja</v>
          </cell>
          <cell r="H469" t="str">
            <v xml:space="preserve">【ウィザード級】Gスター襲来 </v>
          </cell>
          <cell r="I469" t="str">
            <v>地獄級</v>
          </cell>
          <cell r="J469">
            <v>509</v>
          </cell>
          <cell r="K469">
            <v>35</v>
          </cell>
          <cell r="L469">
            <v>4200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character</v>
          </cell>
          <cell r="T469">
            <v>508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2601</v>
          </cell>
          <cell r="AD469">
            <v>6</v>
          </cell>
          <cell r="AE469" t="str">
            <v>everyone</v>
          </cell>
        </row>
        <row r="470">
          <cell r="A470" t="str">
            <v>40009_1</v>
          </cell>
          <cell r="B470">
            <v>3</v>
          </cell>
          <cell r="C470">
            <v>40009</v>
          </cell>
          <cell r="D470" t="str">
            <v>フギンとムニン襲来！</v>
          </cell>
          <cell r="E470" t="str">
            <v>降臨9</v>
          </cell>
          <cell r="F470">
            <v>1</v>
          </cell>
          <cell r="G470" t="str">
            <v>ja</v>
          </cell>
          <cell r="H470" t="str">
            <v xml:space="preserve">【ウィザード級】フギンとムニン襲来 </v>
          </cell>
          <cell r="I470" t="str">
            <v>地獄級</v>
          </cell>
          <cell r="J470">
            <v>582</v>
          </cell>
          <cell r="K470">
            <v>35</v>
          </cell>
          <cell r="L470">
            <v>4200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character</v>
          </cell>
          <cell r="T470">
            <v>581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25</v>
          </cell>
          <cell r="AD470">
            <v>6</v>
          </cell>
          <cell r="AE470" t="str">
            <v>everyone</v>
          </cell>
        </row>
        <row r="471">
          <cell r="A471" t="str">
            <v>40010_1</v>
          </cell>
          <cell r="B471">
            <v>3</v>
          </cell>
          <cell r="C471">
            <v>40010</v>
          </cell>
          <cell r="D471" t="str">
            <v>フレイ襲来！</v>
          </cell>
          <cell r="E471" t="str">
            <v>降臨10</v>
          </cell>
          <cell r="F471">
            <v>1</v>
          </cell>
          <cell r="G471" t="str">
            <v>ja</v>
          </cell>
          <cell r="H471" t="str">
            <v xml:space="preserve">【ウィザード級】フレイ襲来 </v>
          </cell>
          <cell r="I471" t="str">
            <v>地獄級</v>
          </cell>
          <cell r="J471">
            <v>575</v>
          </cell>
          <cell r="K471">
            <v>35</v>
          </cell>
          <cell r="L471">
            <v>4200</v>
          </cell>
          <cell r="M471">
            <v>1</v>
          </cell>
          <cell r="N471">
            <v>1</v>
          </cell>
          <cell r="O471">
            <v>1</v>
          </cell>
          <cell r="P471">
            <v>0</v>
          </cell>
          <cell r="Q471">
            <v>1</v>
          </cell>
          <cell r="R471">
            <v>3</v>
          </cell>
          <cell r="S471" t="str">
            <v>character</v>
          </cell>
          <cell r="T471">
            <v>575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912</v>
          </cell>
          <cell r="AD471">
            <v>6</v>
          </cell>
          <cell r="AE471" t="str">
            <v>everyone</v>
          </cell>
        </row>
        <row r="472">
          <cell r="A472" t="str">
            <v>40011_1</v>
          </cell>
          <cell r="B472">
            <v>3</v>
          </cell>
          <cell r="C472">
            <v>40011</v>
          </cell>
          <cell r="D472" t="str">
            <v>ヨミ襲来！</v>
          </cell>
          <cell r="E472" t="str">
            <v>降臨11</v>
          </cell>
          <cell r="F472">
            <v>1</v>
          </cell>
          <cell r="G472" t="str">
            <v>ja</v>
          </cell>
          <cell r="H472" t="str">
            <v xml:space="preserve">【ウィザード級】ヨミ襲来 </v>
          </cell>
          <cell r="I472" t="str">
            <v>地獄級</v>
          </cell>
          <cell r="J472">
            <v>655</v>
          </cell>
          <cell r="K472">
            <v>35</v>
          </cell>
          <cell r="L472">
            <v>4200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character</v>
          </cell>
          <cell r="T472">
            <v>654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913</v>
          </cell>
          <cell r="AD472">
            <v>6</v>
          </cell>
          <cell r="AE472" t="str">
            <v>everyone</v>
          </cell>
        </row>
        <row r="473">
          <cell r="A473" t="str">
            <v>40012_1</v>
          </cell>
          <cell r="B473">
            <v>1</v>
          </cell>
          <cell r="C473">
            <v>40012</v>
          </cell>
          <cell r="D473" t="str">
            <v>ショウキ襲来！</v>
          </cell>
          <cell r="E473" t="str">
            <v>降臨12</v>
          </cell>
          <cell r="F473">
            <v>1</v>
          </cell>
          <cell r="G473" t="str">
            <v>ja</v>
          </cell>
          <cell r="H473" t="str">
            <v xml:space="preserve">【ウィザード級】ショウキ襲来 </v>
          </cell>
          <cell r="I473" t="str">
            <v>地獄級</v>
          </cell>
          <cell r="J473">
            <v>645</v>
          </cell>
          <cell r="K473">
            <v>35</v>
          </cell>
          <cell r="L473">
            <v>4200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character</v>
          </cell>
          <cell r="T473">
            <v>644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914</v>
          </cell>
          <cell r="AD473">
            <v>6</v>
          </cell>
          <cell r="AE473" t="str">
            <v>everyone</v>
          </cell>
        </row>
        <row r="474">
          <cell r="A474" t="str">
            <v>40013_1</v>
          </cell>
          <cell r="B474">
            <v>1</v>
          </cell>
          <cell r="C474">
            <v>40013</v>
          </cell>
          <cell r="D474" t="str">
            <v>カーマ襲来！</v>
          </cell>
          <cell r="E474" t="str">
            <v>降臨13</v>
          </cell>
          <cell r="F474">
            <v>1</v>
          </cell>
          <cell r="G474" t="str">
            <v>ja</v>
          </cell>
          <cell r="H474" t="str">
            <v xml:space="preserve">【ウィザード級】カーマ襲来 </v>
          </cell>
          <cell r="I474" t="str">
            <v>地獄級</v>
          </cell>
          <cell r="J474">
            <v>1</v>
          </cell>
          <cell r="K474">
            <v>35</v>
          </cell>
          <cell r="L474">
            <v>4200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0</v>
          </cell>
          <cell r="R474">
            <v>3</v>
          </cell>
          <cell r="S474" t="str">
            <v>character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</v>
          </cell>
          <cell r="AD474">
            <v>6</v>
          </cell>
          <cell r="AE474" t="str">
            <v>everyone</v>
          </cell>
        </row>
        <row r="475">
          <cell r="A475" t="str">
            <v>40014_1</v>
          </cell>
          <cell r="B475">
            <v>1</v>
          </cell>
          <cell r="C475">
            <v>40014</v>
          </cell>
          <cell r="D475" t="str">
            <v>シヴァ襲来！</v>
          </cell>
          <cell r="E475" t="str">
            <v>降臨14</v>
          </cell>
          <cell r="F475">
            <v>1</v>
          </cell>
          <cell r="G475" t="str">
            <v>ja</v>
          </cell>
          <cell r="H475" t="str">
            <v xml:space="preserve">【ウィザード級】シヴァ襲来 </v>
          </cell>
          <cell r="I475" t="str">
            <v>地獄級</v>
          </cell>
          <cell r="J475">
            <v>1</v>
          </cell>
          <cell r="K475">
            <v>35</v>
          </cell>
          <cell r="L475">
            <v>4200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character</v>
          </cell>
          <cell r="T475">
            <v>1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</v>
          </cell>
          <cell r="AD475">
            <v>6</v>
          </cell>
          <cell r="AE475" t="str">
            <v>everyone</v>
          </cell>
        </row>
        <row r="476">
          <cell r="A476" t="str">
            <v>49001_1</v>
          </cell>
          <cell r="B476">
            <v>3</v>
          </cell>
          <cell r="C476">
            <v>49001</v>
          </cell>
          <cell r="D476" t="str">
            <v>熱唱！初音ミクV3</v>
          </cell>
          <cell r="E476" t="str">
            <v>コラボ降臨1</v>
          </cell>
          <cell r="F476">
            <v>1</v>
          </cell>
          <cell r="G476" t="str">
            <v>ja</v>
          </cell>
          <cell r="H476" t="str">
            <v>【ウィザード級】熱唱！初音ミクV3</v>
          </cell>
          <cell r="I476" t="str">
            <v>地獄級</v>
          </cell>
          <cell r="J476">
            <v>528</v>
          </cell>
          <cell r="K476">
            <v>35</v>
          </cell>
          <cell r="L476">
            <v>4200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910</v>
          </cell>
          <cell r="AD476">
            <v>6</v>
          </cell>
          <cell r="AE476" t="str">
            <v>everyone</v>
          </cell>
        </row>
        <row r="477">
          <cell r="A477" t="str">
            <v>50001_1</v>
          </cell>
          <cell r="B477">
            <v>3</v>
          </cell>
          <cell r="C477">
            <v>50001</v>
          </cell>
          <cell r="D477" t="str">
            <v>麒麟襲来！</v>
          </cell>
          <cell r="E477" t="str">
            <v>超降臨1</v>
          </cell>
          <cell r="F477">
            <v>1</v>
          </cell>
          <cell r="G477" t="str">
            <v>ja</v>
          </cell>
          <cell r="H477" t="str">
            <v xml:space="preserve">【超ウィザード級】麒麟襲来 </v>
          </cell>
          <cell r="I477" t="str">
            <v>超地獄級</v>
          </cell>
          <cell r="J477">
            <v>328</v>
          </cell>
          <cell r="K477">
            <v>40</v>
          </cell>
          <cell r="L477">
            <v>5200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character</v>
          </cell>
          <cell r="T477">
            <v>432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905</v>
          </cell>
          <cell r="AD477">
            <v>6</v>
          </cell>
          <cell r="AE477" t="str">
            <v>everyone</v>
          </cell>
        </row>
        <row r="478">
          <cell r="A478" t="str">
            <v>50002_1</v>
          </cell>
          <cell r="B478">
            <v>3</v>
          </cell>
          <cell r="C478">
            <v>50002</v>
          </cell>
          <cell r="D478" t="str">
            <v>オーディン襲来！</v>
          </cell>
          <cell r="E478" t="str">
            <v>超降臨2</v>
          </cell>
          <cell r="F478">
            <v>1</v>
          </cell>
          <cell r="G478" t="str">
            <v>ja</v>
          </cell>
          <cell r="H478" t="str">
            <v xml:space="preserve">【超ウィザード級】オーディン襲来 </v>
          </cell>
          <cell r="I478" t="str">
            <v>超地獄級</v>
          </cell>
          <cell r="J478">
            <v>451</v>
          </cell>
          <cell r="K478">
            <v>40</v>
          </cell>
          <cell r="L478">
            <v>5200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character</v>
          </cell>
          <cell r="T478">
            <v>573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911</v>
          </cell>
          <cell r="AD478">
            <v>6</v>
          </cell>
          <cell r="AE478" t="str">
            <v>everyone</v>
          </cell>
        </row>
        <row r="479">
          <cell r="A479" t="str">
            <v>60001_1</v>
          </cell>
          <cell r="B479">
            <v>3</v>
          </cell>
          <cell r="C479">
            <v>60001</v>
          </cell>
          <cell r="D479" t="str">
            <v>ヘンペルチャレンジ</v>
          </cell>
          <cell r="E479" t="str">
            <v>ランキング1</v>
          </cell>
          <cell r="F479">
            <v>1</v>
          </cell>
          <cell r="G479" t="str">
            <v>ja</v>
          </cell>
          <cell r="H479" t="str">
            <v>[ウィザード] 第一回</v>
          </cell>
          <cell r="I479" t="str">
            <v>ランキング</v>
          </cell>
          <cell r="J479">
            <v>488</v>
          </cell>
          <cell r="K479">
            <v>5</v>
          </cell>
          <cell r="L479">
            <v>5200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911</v>
          </cell>
          <cell r="AD479">
            <v>6</v>
          </cell>
          <cell r="AE479" t="str">
            <v>singleonly</v>
          </cell>
        </row>
        <row r="480">
          <cell r="A480" t="str">
            <v>60002_1</v>
          </cell>
          <cell r="B480">
            <v>3</v>
          </cell>
          <cell r="C480">
            <v>60002</v>
          </cell>
          <cell r="D480" t="str">
            <v>ヘンペルチャレンジ</v>
          </cell>
          <cell r="E480" t="str">
            <v>ランキング1</v>
          </cell>
          <cell r="F480">
            <v>1</v>
          </cell>
          <cell r="G480" t="str">
            <v>ja</v>
          </cell>
          <cell r="H480" t="str">
            <v>[超級] 第2回　※Wizと難易度は同じ</v>
          </cell>
          <cell r="I480" t="str">
            <v>ランキング</v>
          </cell>
          <cell r="J480">
            <v>488</v>
          </cell>
          <cell r="K480">
            <v>5</v>
          </cell>
          <cell r="L480">
            <v>5200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911</v>
          </cell>
          <cell r="AD480">
            <v>6</v>
          </cell>
          <cell r="AE480" t="str">
            <v>singleonly</v>
          </cell>
        </row>
        <row r="481">
          <cell r="A481" t="str">
            <v>60002_2</v>
          </cell>
          <cell r="B481">
            <v>3</v>
          </cell>
          <cell r="C481">
            <v>60002</v>
          </cell>
          <cell r="D481" t="str">
            <v>ヘンペルチャレンジ</v>
          </cell>
          <cell r="E481" t="str">
            <v>ランキング1</v>
          </cell>
          <cell r="F481">
            <v>2</v>
          </cell>
          <cell r="G481" t="str">
            <v>ja</v>
          </cell>
          <cell r="H481" t="str">
            <v>[ウィザード] 第2回　※Wizと難易度は同じ</v>
          </cell>
          <cell r="I481" t="str">
            <v>ランキング</v>
          </cell>
          <cell r="J481">
            <v>488</v>
          </cell>
          <cell r="K481">
            <v>5</v>
          </cell>
          <cell r="L481">
            <v>5200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911</v>
          </cell>
          <cell r="AD481">
            <v>6</v>
          </cell>
          <cell r="AE481" t="str">
            <v>singleonly</v>
          </cell>
        </row>
        <row r="482">
          <cell r="A482" t="str">
            <v>60003_1</v>
          </cell>
          <cell r="B482">
            <v>3</v>
          </cell>
          <cell r="C482">
            <v>60003</v>
          </cell>
          <cell r="D482" t="str">
            <v>ヘンペルチャレンジ</v>
          </cell>
          <cell r="E482" t="str">
            <v>ランキング1</v>
          </cell>
          <cell r="F482">
            <v>1</v>
          </cell>
          <cell r="G482" t="str">
            <v>ja</v>
          </cell>
          <cell r="H482" t="str">
            <v>[中級] 第3回　※Wizと難易度は同じ</v>
          </cell>
          <cell r="I482" t="str">
            <v>ランキング</v>
          </cell>
          <cell r="J482">
            <v>488</v>
          </cell>
          <cell r="K482">
            <v>5</v>
          </cell>
          <cell r="L482">
            <v>5200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911</v>
          </cell>
          <cell r="AD482">
            <v>6</v>
          </cell>
          <cell r="AE482" t="str">
            <v>singleonly</v>
          </cell>
        </row>
        <row r="483">
          <cell r="A483" t="str">
            <v>60003_2</v>
          </cell>
          <cell r="B483">
            <v>3</v>
          </cell>
          <cell r="C483">
            <v>60003</v>
          </cell>
          <cell r="D483" t="str">
            <v>ヘンペルチャレンジ</v>
          </cell>
          <cell r="E483" t="str">
            <v>ランキング1</v>
          </cell>
          <cell r="F483">
            <v>2</v>
          </cell>
          <cell r="G483" t="str">
            <v>ja</v>
          </cell>
          <cell r="H483" t="str">
            <v>[超級] 第3回　※Wizと難易度は同じ</v>
          </cell>
          <cell r="I483" t="str">
            <v>ランキング</v>
          </cell>
          <cell r="J483">
            <v>488</v>
          </cell>
          <cell r="K483">
            <v>5</v>
          </cell>
          <cell r="L483">
            <v>5200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911</v>
          </cell>
          <cell r="AD483">
            <v>6</v>
          </cell>
          <cell r="AE483" t="str">
            <v>singleonly</v>
          </cell>
        </row>
        <row r="484">
          <cell r="A484" t="str">
            <v>60003_3</v>
          </cell>
          <cell r="B484">
            <v>3</v>
          </cell>
          <cell r="C484">
            <v>60003</v>
          </cell>
          <cell r="D484" t="str">
            <v>ヘンペルチャレンジ</v>
          </cell>
          <cell r="E484" t="str">
            <v>ランキング1</v>
          </cell>
          <cell r="F484">
            <v>3</v>
          </cell>
          <cell r="G484" t="str">
            <v>ja</v>
          </cell>
          <cell r="H484" t="str">
            <v>[ウィザード] 第3回　※Wizと難易度は同じ</v>
          </cell>
          <cell r="I484" t="str">
            <v>ランキング</v>
          </cell>
          <cell r="J484">
            <v>488</v>
          </cell>
          <cell r="K484">
            <v>5</v>
          </cell>
          <cell r="L484">
            <v>5200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911</v>
          </cell>
          <cell r="AD484">
            <v>6</v>
          </cell>
          <cell r="AE484" t="str">
            <v>singleonly</v>
          </cell>
        </row>
        <row r="485">
          <cell r="A485" t="str">
            <v>60004_1</v>
          </cell>
          <cell r="B485">
            <v>3</v>
          </cell>
          <cell r="C485">
            <v>60004</v>
          </cell>
          <cell r="D485" t="str">
            <v>ヘンペルチャレンジ</v>
          </cell>
          <cell r="E485" t="str">
            <v>ランキング1</v>
          </cell>
          <cell r="F485">
            <v>1</v>
          </cell>
          <cell r="G485" t="str">
            <v>ja</v>
          </cell>
          <cell r="H485" t="str">
            <v>[ウィザード] 第4回　※Wizと難易度は同じ</v>
          </cell>
          <cell r="I485" t="str">
            <v>ランキング</v>
          </cell>
          <cell r="J485">
            <v>488</v>
          </cell>
          <cell r="K485">
            <v>5</v>
          </cell>
          <cell r="L485">
            <v>5200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911</v>
          </cell>
          <cell r="AD485">
            <v>6</v>
          </cell>
          <cell r="AE485" t="str">
            <v>singleonly</v>
          </cell>
        </row>
        <row r="486">
          <cell r="A486" t="str">
            <v>65535_1</v>
          </cell>
          <cell r="B486">
            <v>1</v>
          </cell>
          <cell r="C486">
            <v>65535</v>
          </cell>
          <cell r="D486" t="str">
            <v>検証クエスト</v>
          </cell>
          <cell r="E486" t="str">
            <v>検証</v>
          </cell>
          <cell r="F486">
            <v>1</v>
          </cell>
          <cell r="G486" t="str">
            <v>ja</v>
          </cell>
          <cell r="H486" t="str">
            <v>テンプレート</v>
          </cell>
          <cell r="I486" t="str">
            <v>検証</v>
          </cell>
          <cell r="J486" t="str">
            <v>NULL</v>
          </cell>
          <cell r="K486">
            <v>1</v>
          </cell>
          <cell r="L486">
            <v>1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903</v>
          </cell>
          <cell r="AD486">
            <v>6</v>
          </cell>
          <cell r="AE486" t="str">
            <v>everyone</v>
          </cell>
        </row>
        <row r="487">
          <cell r="A487" t="str">
            <v>65535_2</v>
          </cell>
          <cell r="B487">
            <v>1</v>
          </cell>
          <cell r="C487">
            <v>65535</v>
          </cell>
          <cell r="D487" t="str">
            <v>検証クエスト</v>
          </cell>
          <cell r="E487" t="str">
            <v>検証</v>
          </cell>
          <cell r="F487">
            <v>2</v>
          </cell>
          <cell r="G487" t="str">
            <v>ja</v>
          </cell>
          <cell r="H487" t="str">
            <v>ランクアップクエスト</v>
          </cell>
          <cell r="I487" t="str">
            <v>検証</v>
          </cell>
          <cell r="J487" t="str">
            <v>NULL</v>
          </cell>
          <cell r="K487">
            <v>1</v>
          </cell>
          <cell r="L487">
            <v>65535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903</v>
          </cell>
          <cell r="AD487">
            <v>6</v>
          </cell>
          <cell r="AE487" t="str">
            <v>everyone</v>
          </cell>
        </row>
        <row r="488">
          <cell r="A488" t="str">
            <v>65535_3</v>
          </cell>
          <cell r="B488">
            <v>1</v>
          </cell>
          <cell r="C488">
            <v>65535</v>
          </cell>
          <cell r="D488" t="str">
            <v>検証クエスト</v>
          </cell>
          <cell r="E488" t="str">
            <v>検証</v>
          </cell>
          <cell r="F488">
            <v>3</v>
          </cell>
          <cell r="G488" t="str">
            <v>ja</v>
          </cell>
          <cell r="H488" t="str">
            <v>サンドボックス</v>
          </cell>
          <cell r="I488" t="str">
            <v>検証</v>
          </cell>
          <cell r="J488" t="str">
            <v>NULL</v>
          </cell>
          <cell r="K488">
            <v>1</v>
          </cell>
          <cell r="L488">
            <v>1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105</v>
          </cell>
          <cell r="AD488">
            <v>6</v>
          </cell>
          <cell r="AE488" t="str">
            <v>everyone</v>
          </cell>
        </row>
        <row r="489">
          <cell r="A489" t="str">
            <v>60021_3</v>
          </cell>
          <cell r="B489">
            <v>1</v>
          </cell>
          <cell r="C489">
            <v>60021</v>
          </cell>
          <cell r="D489" t="str">
            <v>【月曜限定】 黄の素材verハンプ検証</v>
          </cell>
          <cell r="E489" t="str">
            <v>検証</v>
          </cell>
          <cell r="F489">
            <v>3</v>
          </cell>
          <cell r="G489" t="str">
            <v>ja</v>
          </cell>
          <cell r="H489" t="str">
            <v>【上級】ハンプティ検証</v>
          </cell>
          <cell r="I489" t="str">
            <v>上級</v>
          </cell>
          <cell r="J489">
            <v>84</v>
          </cell>
          <cell r="K489">
            <v>20</v>
          </cell>
          <cell r="L489">
            <v>860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101</v>
          </cell>
          <cell r="AD489">
            <v>6</v>
          </cell>
          <cell r="AE489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J22" sqref="J22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>
      <c r="A2" s="60" t="s">
        <v>216</v>
      </c>
      <c r="B2" s="56" t="s">
        <v>106</v>
      </c>
      <c r="C2" s="61">
        <v>40012</v>
      </c>
      <c r="D2" s="56" t="s">
        <v>107</v>
      </c>
      <c r="E2" s="55" t="str">
        <f>B2&amp;C2&amp;D2</f>
        <v>floors_40012.tmp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>
      <c r="A3" s="60" t="s">
        <v>216</v>
      </c>
      <c r="B3" s="56" t="s">
        <v>109</v>
      </c>
      <c r="C3" s="61">
        <f>C$2</f>
        <v>40012</v>
      </c>
      <c r="D3" s="56" t="s">
        <v>107</v>
      </c>
      <c r="E3" s="55" t="str">
        <f>B3&amp;C3&amp;D3</f>
        <v>enemy_habitats_40012.tmp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>
      <c r="A4" s="60" t="s">
        <v>216</v>
      </c>
      <c r="B4" s="56" t="s">
        <v>111</v>
      </c>
      <c r="C4" s="61">
        <f t="shared" ref="C4:C12" si="0">C$2</f>
        <v>40012</v>
      </c>
      <c r="D4" s="56" t="s">
        <v>107</v>
      </c>
      <c r="E4" s="55" t="str">
        <f>B4&amp;C4&amp;D4</f>
        <v>enemy_habitat_S_40012.tmp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>
      <c r="A5" s="60" t="s">
        <v>216</v>
      </c>
      <c r="B5" s="56" t="s">
        <v>113</v>
      </c>
      <c r="C5" s="61">
        <f t="shared" si="0"/>
        <v>40012</v>
      </c>
      <c r="D5" s="56" t="s">
        <v>107</v>
      </c>
      <c r="E5" s="55" t="str">
        <f>B5&amp;C5&amp;D5</f>
        <v>enemy_skill_sets_40012.tmp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>
      <c r="A6" s="60" t="s">
        <v>216</v>
      </c>
      <c r="B6" s="56" t="s">
        <v>115</v>
      </c>
      <c r="C6" s="61">
        <f t="shared" si="0"/>
        <v>40012</v>
      </c>
      <c r="D6" s="56" t="s">
        <v>116</v>
      </c>
      <c r="E6" s="55" t="str">
        <f t="shared" ref="E6:E10" si="1">B6&amp;C6&amp;D6</f>
        <v>enemy_skills_tmp_40012.tmp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>
      <c r="A7" s="60" t="s">
        <v>216</v>
      </c>
      <c r="B7" s="56" t="s">
        <v>117</v>
      </c>
      <c r="C7" s="61">
        <f t="shared" si="0"/>
        <v>40012</v>
      </c>
      <c r="D7" s="56" t="s">
        <v>107</v>
      </c>
      <c r="E7" s="55" t="str">
        <f>B7&amp;C7&amp;D7</f>
        <v>enemy_skills_i18n_40012.tmp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>
      <c r="A8" s="60" t="s">
        <v>216</v>
      </c>
      <c r="B8" s="56" t="s">
        <v>119</v>
      </c>
      <c r="C8" s="61">
        <f t="shared" si="0"/>
        <v>40012</v>
      </c>
      <c r="D8" s="56" t="s">
        <v>120</v>
      </c>
      <c r="E8" s="55" t="str">
        <f t="shared" si="1"/>
        <v>enemy_skill_triggers_40012.tmp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>
      <c r="A9" s="60" t="s">
        <v>216</v>
      </c>
      <c r="B9" s="66" t="s">
        <v>177</v>
      </c>
      <c r="C9" s="61">
        <f t="shared" si="0"/>
        <v>40012</v>
      </c>
      <c r="D9" s="66" t="s">
        <v>171</v>
      </c>
      <c r="E9" s="67" t="str">
        <f t="shared" si="1"/>
        <v>stage_bug_bonuses_40012.tmp</v>
      </c>
      <c r="F9" s="66" t="s">
        <v>172</v>
      </c>
      <c r="G9" s="63" t="s">
        <v>150</v>
      </c>
      <c r="H9" s="63" t="s">
        <v>173</v>
      </c>
      <c r="I9" s="63" t="s">
        <v>174</v>
      </c>
      <c r="J9" s="65" t="s">
        <v>175</v>
      </c>
      <c r="K9" s="63" t="s">
        <v>176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</row>
    <row r="10" spans="1:30" s="73" customFormat="1">
      <c r="A10" s="60" t="s">
        <v>216</v>
      </c>
      <c r="B10" s="66" t="s">
        <v>201</v>
      </c>
      <c r="C10" s="61">
        <f>C$2</f>
        <v>40012</v>
      </c>
      <c r="D10" s="66" t="s">
        <v>180</v>
      </c>
      <c r="E10" s="67" t="str">
        <f t="shared" si="1"/>
        <v>stage_hints_data_c_40012.tmp</v>
      </c>
      <c r="F10" s="66" t="s">
        <v>209</v>
      </c>
      <c r="G10" s="70" t="s">
        <v>181</v>
      </c>
      <c r="H10" s="70" t="s">
        <v>173</v>
      </c>
      <c r="I10" s="71" t="s">
        <v>182</v>
      </c>
      <c r="J10" s="65" t="s">
        <v>183</v>
      </c>
      <c r="K10" s="72" t="s">
        <v>184</v>
      </c>
    </row>
    <row r="11" spans="1:30" s="73" customFormat="1">
      <c r="A11" s="60" t="s">
        <v>216</v>
      </c>
      <c r="B11" s="66" t="s">
        <v>202</v>
      </c>
      <c r="C11" s="61">
        <f t="shared" si="0"/>
        <v>40012</v>
      </c>
      <c r="D11" s="66" t="s">
        <v>171</v>
      </c>
      <c r="E11" s="67" t="str">
        <f t="shared" ref="E11:E12" si="2">B11&amp;C11&amp;D11</f>
        <v>stage_hints_data_f_40012.tmp</v>
      </c>
      <c r="F11" s="66" t="s">
        <v>211</v>
      </c>
      <c r="G11" s="70" t="s">
        <v>181</v>
      </c>
      <c r="H11" s="70" t="s">
        <v>173</v>
      </c>
      <c r="I11" s="71" t="s">
        <v>182</v>
      </c>
      <c r="J11" s="65" t="s">
        <v>183</v>
      </c>
      <c r="K11" s="72" t="s">
        <v>184</v>
      </c>
    </row>
    <row r="12" spans="1:30" s="73" customFormat="1">
      <c r="A12" s="60" t="s">
        <v>216</v>
      </c>
      <c r="B12" s="66" t="s">
        <v>203</v>
      </c>
      <c r="C12" s="61">
        <f t="shared" si="0"/>
        <v>40012</v>
      </c>
      <c r="D12" s="66" t="s">
        <v>171</v>
      </c>
      <c r="E12" s="67" t="str">
        <f t="shared" si="2"/>
        <v>stage_hints_i18n_40012.tmp</v>
      </c>
      <c r="F12" s="66" t="s">
        <v>212</v>
      </c>
      <c r="G12" s="71" t="s">
        <v>204</v>
      </c>
      <c r="H12" s="93" t="s">
        <v>205</v>
      </c>
      <c r="I12" s="70" t="s">
        <v>206</v>
      </c>
      <c r="J12" s="94" t="s">
        <v>207</v>
      </c>
      <c r="K12" s="72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O15" sqref="O15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40012_1-1</v>
      </c>
      <c r="B2" s="16" t="str">
        <f>IF(COUNTIF(enemy_habitats!$H:$H,A2),"OK","NG")</f>
        <v>OK</v>
      </c>
      <c r="C2" s="7">
        <v>40012</v>
      </c>
      <c r="D2" s="11" t="str">
        <f ca="1">VLOOKUP($C2,OFFSET([2]quests!$A$1,0,0,COUNTA([2]quests!$A:$A),MATCH(D$1,[2]quests!$1:$1,0)-MATCH($C$1,[2]quests!$1:$1,0)+1),MATCH(D$1,[2]quests!$1:$1,0)-MATCH($C$1,[2]quests!$1:$1,0)+1,FALSE)</f>
        <v>ショウキ襲来！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降臨12</v>
      </c>
      <c r="F2" s="21">
        <v>1</v>
      </c>
      <c r="G2" s="23" t="str">
        <f>C2&amp;"_"&amp;F2</f>
        <v>40012_1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【ウィザード級】ショウキ襲来 </v>
      </c>
      <c r="I2" s="21">
        <v>1</v>
      </c>
      <c r="J2" s="12">
        <v>50</v>
      </c>
      <c r="K2" s="12">
        <v>50</v>
      </c>
    </row>
    <row r="3" spans="1:11" ht="21" customHeight="1">
      <c r="A3" s="16" t="str">
        <f>G3&amp;"-"&amp;I3</f>
        <v>40012_1-2</v>
      </c>
      <c r="B3" s="16" t="str">
        <f>IF(COUNTIF(enemy_habitats!$H:$H,A3),"OK","NG")</f>
        <v>OK</v>
      </c>
      <c r="C3" s="7">
        <v>40012</v>
      </c>
      <c r="D3" s="11" t="str">
        <f ca="1">VLOOKUP($C3,OFFSET([2]quests!$A$1,0,0,COUNTA([2]quests!$A:$A),MATCH(D$1,[2]quests!$1:$1,0)-MATCH($C$1,[2]quests!$1:$1,0)+1),MATCH(D$1,[2]quests!$1:$1,0)-MATCH($C$1,[2]quests!$1:$1,0)+1,FALSE)</f>
        <v>ショウキ襲来！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降臨12</v>
      </c>
      <c r="F3" s="21">
        <v>1</v>
      </c>
      <c r="G3" s="23" t="str">
        <f>C3&amp;"_"&amp;F3</f>
        <v>40012_1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【ウィザード級】ショウキ襲来 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>G4&amp;"-"&amp;I4</f>
        <v>40012_1-3</v>
      </c>
      <c r="B4" s="16" t="str">
        <f>IF(COUNTIF(enemy_habitats!$H:$H,A4),"OK","NG")</f>
        <v>OK</v>
      </c>
      <c r="C4" s="7">
        <v>40012</v>
      </c>
      <c r="D4" s="11" t="str">
        <f ca="1">VLOOKUP($C4,OFFSET([2]quests!$A$1,0,0,COUNTA([2]quests!$A:$A),MATCH(D$1,[2]quests!$1:$1,0)-MATCH($C$1,[2]quests!$1:$1,0)+1),MATCH(D$1,[2]quests!$1:$1,0)-MATCH($C$1,[2]quests!$1:$1,0)+1,FALSE)</f>
        <v>ショウキ襲来！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降臨12</v>
      </c>
      <c r="F4" s="21">
        <v>1</v>
      </c>
      <c r="G4" s="23" t="str">
        <f>C4&amp;"_"&amp;F4</f>
        <v>40012_1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【ウィザード級】ショウキ襲来 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>G5&amp;"-"&amp;I5</f>
        <v>40012_1-4</v>
      </c>
      <c r="B5" s="16" t="str">
        <f>IF(COUNTIF(enemy_habitats!$H:$H,A5),"OK","NG")</f>
        <v>OK</v>
      </c>
      <c r="C5" s="7">
        <v>40012</v>
      </c>
      <c r="D5" s="11" t="str">
        <f ca="1">VLOOKUP($C5,OFFSET([2]quests!$A$1,0,0,COUNTA([2]quests!$A:$A),MATCH(D$1,[2]quests!$1:$1,0)-MATCH($C$1,[2]quests!$1:$1,0)+1),MATCH(D$1,[2]quests!$1:$1,0)-MATCH($C$1,[2]quests!$1:$1,0)+1,FALSE)</f>
        <v>ショウキ襲来！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降臨12</v>
      </c>
      <c r="F5" s="21">
        <v>1</v>
      </c>
      <c r="G5" s="23" t="str">
        <f>C5&amp;"_"&amp;F5</f>
        <v>40012_1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【ウィザード級】ショウキ襲来 </v>
      </c>
      <c r="I5" s="21">
        <v>4</v>
      </c>
      <c r="J5" s="12">
        <v>60</v>
      </c>
      <c r="K5" s="12">
        <v>60</v>
      </c>
    </row>
    <row r="6" spans="1:11" ht="21" customHeight="1">
      <c r="A6" s="16" t="str">
        <f>G6&amp;"-"&amp;I6</f>
        <v>40012_1-5</v>
      </c>
      <c r="B6" s="16" t="str">
        <f>IF(COUNTIF(enemy_habitats!$H:$H,A6),"OK","NG")</f>
        <v>OK</v>
      </c>
      <c r="C6" s="7">
        <v>40012</v>
      </c>
      <c r="D6" s="11" t="str">
        <f ca="1">VLOOKUP($C6,OFFSET([2]quests!$A$1,0,0,COUNTA([2]quests!$A:$A),MATCH(D$1,[2]quests!$1:$1,0)-MATCH($C$1,[2]quests!$1:$1,0)+1),MATCH(D$1,[2]quests!$1:$1,0)-MATCH($C$1,[2]quests!$1:$1,0)+1,FALSE)</f>
        <v>ショウキ襲来！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降臨12</v>
      </c>
      <c r="F6" s="21">
        <v>1</v>
      </c>
      <c r="G6" s="23" t="str">
        <f>C6&amp;"_"&amp;F6</f>
        <v>40012_1</v>
      </c>
      <c r="H6" s="15" t="str">
        <f ca="1">VLOOKUP($G6,OFFSET([2]stages!$A$1,0,0,COUNTA([2]stages!$A:$A),MATCH(H$1,[2]stages!$2:$2,0)-MATCH($G$1,[2]stages!$2:$2,0)+1),MATCH(H$1,[2]stages!$2:$2,0)-MATCH($G$1,[2]stages!$2:$2,0)+1,FALSE)</f>
        <v xml:space="preserve">【ウィザード級】ショウキ襲来 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85" zoomScaleNormal="85" zoomScalePageLayoutView="8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7" sqref="U17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>
      <c r="A2" s="16" t="str">
        <f t="shared" ref="A2:A10" si="0">B2&amp;"_"&amp;C2&amp;"-"&amp;G2&amp;"/"&amp;L2&amp;"&lt;lv"&amp;R2&amp;"&gt;s"&amp;AA2</f>
        <v>40012_1-1/79&lt;lv50&gt;s1</v>
      </c>
      <c r="B2" s="22">
        <v>40012</v>
      </c>
      <c r="C2" s="21">
        <v>1</v>
      </c>
      <c r="D2" s="2" t="str">
        <f t="shared" ref="D2:D10" si="1">B2&amp;"_"&amp;C2</f>
        <v>40012_1</v>
      </c>
      <c r="E2" s="4" t="str">
        <f ca="1">VLOOKUP($B2,OFFSET([2]quests!$A$1,0,0,COUNTA([2]quests!$A:$A),MATCH(E$1,[2]quests!$1:$1,0)-MATCH($B$1,[2]quests!$1:$1,0)+1),MATCH(E$1,[2]quests!$1:$1,0)-MATCH($B$1,[2]quests!$1:$1,0)+1,FALSE)</f>
        <v>ショウキ襲来！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2" s="21">
        <v>1</v>
      </c>
      <c r="H2" s="15" t="str">
        <f t="shared" ref="H2:H10" si="2">B2&amp;"_"&amp;C2&amp;"-"&amp;G2</f>
        <v>40012_1-1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ハッピー100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50</v>
      </c>
      <c r="S2" s="25">
        <v>1</v>
      </c>
      <c r="T2" s="25">
        <v>1</v>
      </c>
      <c r="U2" s="5">
        <v>0</v>
      </c>
      <c r="V2" s="108" t="str">
        <f ca="1">VLOOKUP($W2,OFFSET(enemy_skill_sets!$B$1,0,0,COUNTA(enemy_skill_sets!$B:$B),MATCH(M$1,enemy_skill_sets!$1:$1,0)-MATCH($W$1,enemy_skill_sets!$1:$1,0)+2),MATCH(M$1,enemy_skill_sets!$1:$1,0)-MATCH($W$1,enemy_skill_sets!$1:$1,0)+2,FALSE)</f>
        <v>ハッピーがショウキを止めようとしている！</v>
      </c>
      <c r="W2" s="96">
        <v>40012000</v>
      </c>
      <c r="X2" s="6">
        <v>1</v>
      </c>
      <c r="Y2" s="6">
        <v>100</v>
      </c>
      <c r="Z2" s="6">
        <v>0</v>
      </c>
      <c r="AA2" s="97">
        <v>1</v>
      </c>
      <c r="AB2" s="24">
        <f t="shared" ref="AB2:AB9" si="3">L2</f>
        <v>79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2" s="7">
        <v>1</v>
      </c>
      <c r="AG2" s="24">
        <f t="shared" ref="AG2:AG10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>
      <c r="A3" s="16" t="str">
        <f t="shared" si="0"/>
        <v>40012_1-1/644&lt;lv50&gt;s1</v>
      </c>
      <c r="B3" s="22">
        <v>40012</v>
      </c>
      <c r="C3" s="21">
        <v>1</v>
      </c>
      <c r="D3" s="2" t="str">
        <f t="shared" si="1"/>
        <v>40012_1</v>
      </c>
      <c r="E3" s="4" t="str">
        <f ca="1">VLOOKUP($B3,OFFSET([2]quests!$A$1,0,0,COUNTA([2]quests!$A:$A),MATCH(E$1,[2]quests!$1:$1,0)-MATCH($B$1,[2]quests!$1:$1,0)+1),MATCH(E$1,[2]quests!$1:$1,0)-MATCH($B$1,[2]quests!$1:$1,0)+1,FALSE)</f>
        <v>ショウキ襲来！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3" s="21">
        <v>1</v>
      </c>
      <c r="H3" s="15" t="str">
        <f t="shared" si="2"/>
        <v>40012_1-1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644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滑瓢 ショウキ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5">
        <v>4</v>
      </c>
      <c r="T3" s="25">
        <v>1</v>
      </c>
      <c r="U3" s="5">
        <v>0</v>
      </c>
      <c r="V3" s="108" t="str">
        <f ca="1">VLOOKUP($W3,OFFSET(enemy_skill_sets!$B$1,0,0,COUNTA(enemy_skill_sets!$B:$B),MATCH(M$1,enemy_skill_sets!$1:$1,0)-MATCH($W$1,enemy_skill_sets!$1:$1,0)+2),MATCH(M$1,enemy_skill_sets!$1:$1,0)-MATCH($W$1,enemy_skill_sets!$1:$1,0)+2,FALSE)</f>
        <v>この俺を倒せるとでも思ったのか？</v>
      </c>
      <c r="W3" s="96">
        <v>40012001</v>
      </c>
      <c r="X3" s="6">
        <v>1</v>
      </c>
      <c r="Y3" s="6">
        <v>100</v>
      </c>
      <c r="Z3" s="6">
        <v>1</v>
      </c>
      <c r="AA3" s="97">
        <v>1</v>
      </c>
      <c r="AB3" s="24">
        <f t="shared" si="3"/>
        <v>644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滑瓢 ショウキ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3" s="7">
        <v>1</v>
      </c>
      <c r="AG3" s="24">
        <f t="shared" ca="1" si="4"/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>
      <c r="A4" s="16" t="str">
        <f t="shared" si="0"/>
        <v>40012_1-2/646&lt;lv40&gt;s2</v>
      </c>
      <c r="B4" s="22">
        <v>40012</v>
      </c>
      <c r="C4" s="21">
        <v>1</v>
      </c>
      <c r="D4" s="2" t="str">
        <f t="shared" si="1"/>
        <v>40012_1</v>
      </c>
      <c r="E4" s="4" t="str">
        <f ca="1">VLOOKUP($B4,OFFSET([2]quests!$A$1,0,0,COUNTA([2]quests!$A:$A),MATCH(E$1,[2]quests!$1:$1,0)-MATCH($B$1,[2]quests!$1:$1,0)+1),MATCH(E$1,[2]quests!$1:$1,0)-MATCH($B$1,[2]quests!$1:$1,0)+1,FALSE)</f>
        <v>ショウキ襲来！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4" s="21">
        <v>2</v>
      </c>
      <c r="H4" s="15" t="str">
        <f t="shared" si="2"/>
        <v>40012_1-2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646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雪女 ユキ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40</v>
      </c>
      <c r="S4" s="25">
        <v>1.4</v>
      </c>
      <c r="T4" s="25">
        <v>1</v>
      </c>
      <c r="U4" s="5">
        <v>0</v>
      </c>
      <c r="V4" s="108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4" s="96">
        <v>40012002</v>
      </c>
      <c r="X4" s="6">
        <v>1</v>
      </c>
      <c r="Y4" s="6">
        <v>100</v>
      </c>
      <c r="Z4" s="6">
        <v>0</v>
      </c>
      <c r="AA4" s="97">
        <v>2</v>
      </c>
      <c r="AB4" s="24">
        <f t="shared" si="3"/>
        <v>646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雪女 ユキ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ca="1" si="4"/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>
      <c r="A5" s="16" t="str">
        <f t="shared" si="0"/>
        <v>40012_1-2/650&lt;lv40&gt;s2</v>
      </c>
      <c r="B5" s="22">
        <v>40012</v>
      </c>
      <c r="C5" s="21">
        <v>1</v>
      </c>
      <c r="D5" s="2" t="str">
        <f t="shared" si="1"/>
        <v>40012_1</v>
      </c>
      <c r="E5" s="4" t="str">
        <f ca="1">VLOOKUP($B5,OFFSET([2]quests!$A$1,0,0,COUNTA([2]quests!$A:$A),MATCH(E$1,[2]quests!$1:$1,0)-MATCH($B$1,[2]quests!$1:$1,0)+1),MATCH(E$1,[2]quests!$1:$1,0)-MATCH($B$1,[2]quests!$1:$1,0)+1,FALSE)</f>
        <v>ショウキ襲来！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5" s="21">
        <v>2</v>
      </c>
      <c r="H5" s="15" t="str">
        <f t="shared" si="2"/>
        <v>40012_1-2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650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土蜘蛛 ユウヤ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40</v>
      </c>
      <c r="S5" s="25">
        <v>2.1</v>
      </c>
      <c r="T5" s="25">
        <v>1.4</v>
      </c>
      <c r="U5" s="5">
        <v>0</v>
      </c>
      <c r="V5" s="108" t="str">
        <f ca="1">VLOOKUP($W5,OFFSET(enemy_skill_sets!$B$1,0,0,COUNTA(enemy_skill_sets!$B:$B),MATCH(M$1,enemy_skill_sets!$1:$1,0)-MATCH($W$1,enemy_skill_sets!$1:$1,0)+2),MATCH(M$1,enemy_skill_sets!$1:$1,0)-MATCH($W$1,enemy_skill_sets!$1:$1,0)+2,FALSE)</f>
        <v>全体に5ターンウィルス</v>
      </c>
      <c r="W5" s="96">
        <v>40012003</v>
      </c>
      <c r="X5" s="6">
        <v>1</v>
      </c>
      <c r="Y5" s="6">
        <v>100</v>
      </c>
      <c r="Z5" s="6">
        <v>1</v>
      </c>
      <c r="AA5" s="97">
        <v>2</v>
      </c>
      <c r="AB5" s="24">
        <f t="shared" si="3"/>
        <v>650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土蜘蛛 ユウヤ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>
      <c r="A6" s="16" t="str">
        <f t="shared" si="0"/>
        <v>40012_1-3/663&lt;lv40&gt;s2</v>
      </c>
      <c r="B6" s="22">
        <v>40012</v>
      </c>
      <c r="C6" s="21">
        <v>1</v>
      </c>
      <c r="D6" s="2" t="str">
        <f t="shared" si="1"/>
        <v>40012_1</v>
      </c>
      <c r="E6" s="4" t="str">
        <f ca="1">VLOOKUP($B6,OFFSET([2]quests!$A$1,0,0,COUNTA([2]quests!$A:$A),MATCH(E$1,[2]quests!$1:$1,0)-MATCH($B$1,[2]quests!$1:$1,0)+1),MATCH(E$1,[2]quests!$1:$1,0)-MATCH($B$1,[2]quests!$1:$1,0)+1,FALSE)</f>
        <v>ショウキ襲来！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6" s="21">
        <v>3</v>
      </c>
      <c r="H6" s="15" t="str">
        <f t="shared" si="2"/>
        <v>40012_1-3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663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都揺らす地響き ダイダラ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40</v>
      </c>
      <c r="S6" s="25">
        <v>1.1000000000000001</v>
      </c>
      <c r="T6" s="25">
        <v>1</v>
      </c>
      <c r="U6" s="5">
        <v>0</v>
      </c>
      <c r="V6" s="108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ダイダラとテマリが相談している</v>
      </c>
      <c r="W6" s="96">
        <v>40012004</v>
      </c>
      <c r="X6" s="6">
        <v>1</v>
      </c>
      <c r="Y6" s="6">
        <v>100</v>
      </c>
      <c r="Z6" s="6">
        <v>0</v>
      </c>
      <c r="AA6" s="97">
        <v>2</v>
      </c>
      <c r="AB6" s="24">
        <f t="shared" si="3"/>
        <v>663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都揺らす地響き ダイダラ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>
      <c r="A7" s="16" t="str">
        <f t="shared" si="0"/>
        <v>40012_1-3/666&lt;lv40&gt;s1</v>
      </c>
      <c r="B7" s="22">
        <v>40012</v>
      </c>
      <c r="C7" s="21">
        <v>1</v>
      </c>
      <c r="D7" s="2" t="str">
        <f t="shared" si="1"/>
        <v>40012_1</v>
      </c>
      <c r="E7" s="4" t="str">
        <f ca="1">VLOOKUP($B7,OFFSET([2]quests!$A$1,0,0,COUNTA([2]quests!$A:$A),MATCH(E$1,[2]quests!$1:$1,0)-MATCH($B$1,[2]quests!$1:$1,0)+1),MATCH(E$1,[2]quests!$1:$1,0)-MATCH($B$1,[2]quests!$1:$1,0)+1,FALSE)</f>
        <v>ショウキ襲来！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7" s="21">
        <v>3</v>
      </c>
      <c r="H7" s="15" t="str">
        <f t="shared" si="2"/>
        <v>40012_1-3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666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拡散する幸福 テマリ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40</v>
      </c>
      <c r="S7" s="25">
        <v>2.4</v>
      </c>
      <c r="T7" s="25">
        <v>1</v>
      </c>
      <c r="U7" s="5">
        <v>0</v>
      </c>
      <c r="V7" s="108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そこにいる人をやっつけて遊ぼうよ！</v>
      </c>
      <c r="W7" s="96">
        <v>40012005</v>
      </c>
      <c r="X7" s="6">
        <v>1</v>
      </c>
      <c r="Y7" s="6">
        <v>100</v>
      </c>
      <c r="Z7" s="6">
        <v>1</v>
      </c>
      <c r="AA7" s="97">
        <v>1</v>
      </c>
      <c r="AB7" s="24">
        <f t="shared" si="3"/>
        <v>666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拡散する幸福 テマリ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>
      <c r="A8" s="16" t="str">
        <f t="shared" si="0"/>
        <v>40012_1-4/654&lt;lv45&gt;s1</v>
      </c>
      <c r="B8" s="22">
        <v>40012</v>
      </c>
      <c r="C8" s="21">
        <v>1</v>
      </c>
      <c r="D8" s="2" t="str">
        <f t="shared" si="1"/>
        <v>40012_1</v>
      </c>
      <c r="E8" s="4" t="str">
        <f ca="1">VLOOKUP($B8,OFFSET([2]quests!$A$1,0,0,COUNTA([2]quests!$A:$A),MATCH(E$1,[2]quests!$1:$1,0)-MATCH($B$1,[2]quests!$1:$1,0)+1),MATCH(E$1,[2]quests!$1:$1,0)-MATCH($B$1,[2]quests!$1:$1,0)+1,FALSE)</f>
        <v>ショウキ襲来！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8" s="21">
        <v>4</v>
      </c>
      <c r="H8" s="15" t="str">
        <f t="shared" si="2"/>
        <v>40012_1-4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654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酒呑童子 ヨミ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45</v>
      </c>
      <c r="S8" s="25">
        <v>2.8</v>
      </c>
      <c r="T8" s="25">
        <v>1.1000000000000001</v>
      </c>
      <c r="U8" s="5">
        <v>0</v>
      </c>
      <c r="V8" s="108" t="str">
        <f ca="1">VLOOKUP($W8,OFFSET(enemy_skill_sets!$B$1,0,0,COUNTA(enemy_skill_sets!$B:$B),MATCH(M$1,enemy_skill_sets!$1:$1,0)-MATCH($W$1,enemy_skill_sets!$1:$1,0)+2),MATCH(M$1,enemy_skill_sets!$1:$1,0)-MATCH($W$1,enemy_skill_sets!$1:$1,0)+2,FALSE)</f>
        <v>ヨミとフウガが立ちはだかる！</v>
      </c>
      <c r="W8" s="96">
        <v>40012006</v>
      </c>
      <c r="X8" s="6">
        <v>1</v>
      </c>
      <c r="Y8" s="6">
        <v>100</v>
      </c>
      <c r="Z8" s="6">
        <v>0</v>
      </c>
      <c r="AA8" s="97">
        <v>1</v>
      </c>
      <c r="AB8" s="24">
        <f t="shared" si="3"/>
        <v>654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酒呑童子 ヨミ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>
      <c r="A9" s="16" t="str">
        <f t="shared" si="0"/>
        <v>40012_1-4/660&lt;lv45&gt;s2</v>
      </c>
      <c r="B9" s="22">
        <v>40012</v>
      </c>
      <c r="C9" s="21">
        <v>1</v>
      </c>
      <c r="D9" s="2" t="str">
        <f t="shared" si="1"/>
        <v>40012_1</v>
      </c>
      <c r="E9" s="4" t="str">
        <f ca="1">VLOOKUP($B9,OFFSET([2]quests!$A$1,0,0,COUNTA([2]quests!$A:$A),MATCH(E$1,[2]quests!$1:$1,0)-MATCH($B$1,[2]quests!$1:$1,0)+1),MATCH(E$1,[2]quests!$1:$1,0)-MATCH($B$1,[2]quests!$1:$1,0)+1,FALSE)</f>
        <v>ショウキ襲来！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9" s="21">
        <v>4</v>
      </c>
      <c r="H9" s="15" t="str">
        <f t="shared" si="2"/>
        <v>40012_1-4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660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烏天狗 フウガ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45</v>
      </c>
      <c r="S9" s="25">
        <v>2.8</v>
      </c>
      <c r="T9" s="25">
        <v>0.9</v>
      </c>
      <c r="U9" s="5">
        <v>0</v>
      </c>
      <c r="V9" s="108" t="str">
        <f ca="1">VLOOKUP($W9,OFFSET(enemy_skill_sets!$B$1,0,0,COUNTA(enemy_skill_sets!$B:$B),MATCH(M$1,enemy_skill_sets!$1:$1,0)-MATCH($W$1,enemy_skill_sets!$1:$1,0)+2),MATCH(M$1,enemy_skill_sets!$1:$1,0)-MATCH($W$1,enemy_skill_sets!$1:$1,0)+2,FALSE)</f>
        <v>これより掃討を開始する――</v>
      </c>
      <c r="W9" s="96">
        <v>40012007</v>
      </c>
      <c r="X9" s="6">
        <v>1</v>
      </c>
      <c r="Y9" s="6">
        <v>100</v>
      </c>
      <c r="Z9" s="6">
        <v>1</v>
      </c>
      <c r="AA9" s="97">
        <v>2</v>
      </c>
      <c r="AB9" s="24">
        <f t="shared" si="3"/>
        <v>660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烏天狗 フウガ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9" s="7">
        <v>1</v>
      </c>
      <c r="AG9" s="24">
        <f t="shared" ca="1" si="4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  <row r="10" spans="1:40" ht="21" customHeight="1">
      <c r="A10" s="16" t="str">
        <f t="shared" si="0"/>
        <v>40012_1-5/645&lt;lv50&gt;s2</v>
      </c>
      <c r="B10" s="22">
        <v>40012</v>
      </c>
      <c r="C10" s="21">
        <v>1</v>
      </c>
      <c r="D10" s="2" t="str">
        <f t="shared" si="1"/>
        <v>40012_1</v>
      </c>
      <c r="E10" s="4" t="str">
        <f ca="1">VLOOKUP($B10,OFFSET([2]quests!$A$1,0,0,COUNTA([2]quests!$A:$A),MATCH(E$1,[2]quests!$1:$1,0)-MATCH($B$1,[2]quests!$1:$1,0)+1),MATCH(E$1,[2]quests!$1:$1,0)-MATCH($B$1,[2]quests!$1:$1,0)+1,FALSE)</f>
        <v>ショウキ襲来！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10" s="21">
        <v>5</v>
      </c>
      <c r="H10" s="15" t="str">
        <f t="shared" si="2"/>
        <v>40012_1-5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645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百鬼夜行の創大将 ショウキ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50</v>
      </c>
      <c r="S10" s="25">
        <v>3</v>
      </c>
      <c r="T10" s="25">
        <v>3</v>
      </c>
      <c r="U10" s="5">
        <v>0</v>
      </c>
      <c r="V10" s="108" t="str">
        <f ca="1">VLOOKUP($W10,OFFSET(enemy_skill_sets!$B$1,0,0,COUNTA(enemy_skill_sets!$B:$B),MATCH(M$1,enemy_skill_sets!$1:$1,0)-MATCH($W$1,enemy_skill_sets!$1:$1,0)+2),MATCH(M$1,enemy_skill_sets!$1:$1,0)-MATCH($W$1,enemy_skill_sets!$1:$1,0)+2,FALSE)</f>
        <v>出し惜しみはナシでいくぜ？_x000D_【！】次のターン永続スリープ発動【！】</v>
      </c>
      <c r="W10" s="96">
        <v>40012008</v>
      </c>
      <c r="X10" s="6">
        <v>1</v>
      </c>
      <c r="Y10" s="6">
        <v>100</v>
      </c>
      <c r="Z10" s="6">
        <v>1</v>
      </c>
      <c r="AA10" s="97">
        <v>2</v>
      </c>
      <c r="AB10" s="98">
        <v>644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滑瓢 ショウキ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0" s="7">
        <v>1</v>
      </c>
      <c r="AG10" s="24">
        <f t="shared" ca="1" si="4"/>
        <v>4</v>
      </c>
      <c r="AH10" s="8">
        <v>30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85" zoomScaleNormal="85" zoomScalePageLayoutView="8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7" sqref="U17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40012_1-5/645&lt;lv50&gt;sq1st2</v>
      </c>
      <c r="B2" s="22">
        <v>40012</v>
      </c>
      <c r="C2" s="21">
        <v>1</v>
      </c>
      <c r="D2" s="2" t="str">
        <f>B2&amp;"_"&amp;C2</f>
        <v>40012_1</v>
      </c>
      <c r="E2" s="4" t="str">
        <f ca="1">VLOOKUP($B2,OFFSET([2]quests!$A$1,0,0,COUNTA([2]quests!$A:$A),MATCH(E$1,[2]quests!$1:$1,0)-MATCH($B$1,[2]quests!$1:$1,0)+1),MATCH(E$1,[2]quests!$1:$1,0)-MATCH($B$1,[2]quests!$1:$1,0)+1,FALSE)</f>
        <v>ショウキ襲来！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2" s="21">
        <v>5</v>
      </c>
      <c r="H2" s="15" t="str">
        <f>B2&amp;"_"&amp;C2&amp;"-"&amp;G2</f>
        <v>40012_1-5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645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百鬼夜行の創大将 ショウキ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3.6</v>
      </c>
      <c r="U2" s="25">
        <v>3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6">
        <v>40012009</v>
      </c>
      <c r="Y2" s="95">
        <v>2</v>
      </c>
    </row>
    <row r="3" spans="1:25" ht="21" customHeight="1">
      <c r="A3" s="16" t="str">
        <f>B3&amp;"_"&amp;C3&amp;"-"&amp;G3&amp;"/"&amp;M3&amp;"&lt;lv"&amp;S3&amp;"&gt;sq"&amp;K3&amp;"st"&amp;L3</f>
        <v>40012_1-5/645&lt;lv50&gt;sq1st3</v>
      </c>
      <c r="B3" s="22">
        <v>40012</v>
      </c>
      <c r="C3" s="21">
        <v>1</v>
      </c>
      <c r="D3" s="2" t="str">
        <f>B3&amp;"_"&amp;C3</f>
        <v>40012_1</v>
      </c>
      <c r="E3" s="4" t="str">
        <f ca="1">VLOOKUP($B3,OFFSET([2]quests!$A$1,0,0,COUNTA([2]quests!$A:$A),MATCH(E$1,[2]quests!$1:$1,0)-MATCH($B$1,[2]quests!$1:$1,0)+1),MATCH(E$1,[2]quests!$1:$1,0)-MATCH($B$1,[2]quests!$1:$1,0)+1,FALSE)</f>
        <v>ショウキ襲来！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【ウィザード級】ショウキ襲来 </v>
      </c>
      <c r="G3" s="21">
        <v>5</v>
      </c>
      <c r="H3" s="15" t="str">
        <f>B3&amp;"_"&amp;C3&amp;"-"&amp;G3</f>
        <v>40012_1-5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645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百鬼夜行の創大将 ショウキ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4</v>
      </c>
      <c r="U3" s="25">
        <v>3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6">
        <v>40012010</v>
      </c>
      <c r="Y3" s="95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2"/>
  <sheetViews>
    <sheetView showGridLines="0" zoomScale="85" zoomScaleNormal="85" zoomScalePageLayoutView="85" workbookViewId="0">
      <pane xSplit="5" ySplit="1" topLeftCell="F2" activePane="bottomRight" state="frozen"/>
      <selection pane="topRight"/>
      <selection pane="bottomLeft"/>
      <selection pane="bottomRight" activeCell="L22" sqref="L2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40012000_40012000</v>
      </c>
      <c r="B2" s="47">
        <v>40012000</v>
      </c>
      <c r="C2" s="47">
        <v>40012000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ハッピー！！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ハッピーがショウキを止めようとしている！</v>
      </c>
      <c r="F2" s="47">
        <v>40012000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ref="A3:A5" si="1">B3&amp;"_"&amp;C3</f>
        <v>40012000_40012002</v>
      </c>
      <c r="B3" s="47">
        <v>40012000</v>
      </c>
      <c r="C3" s="47">
        <v>40012002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ハッピー…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ハッピーはアナタに力を託して消え去った</v>
      </c>
      <c r="F3" s="47">
        <v>40012002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si="1"/>
        <v>40012001_40012001</v>
      </c>
      <c r="B4" s="47">
        <v>40012001</v>
      </c>
      <c r="C4" s="47">
        <v>40012001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…自然発生のウィルスか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この俺を倒せるとでも思ったのか？</v>
      </c>
      <c r="F4" s="47">
        <v>40012001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si="1"/>
        <v>40012001_40012003</v>
      </c>
      <c r="B5" s="47">
        <v>40012001</v>
      </c>
      <c r="C5" s="47">
        <v>40012003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待たせて悪かった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俺の百鬼夜行で歓迎してやろう！</v>
      </c>
      <c r="F5" s="47">
        <v>40012003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ref="A6" si="2">B6&amp;"_"&amp;C6</f>
        <v>40012001_40012047</v>
      </c>
      <c r="B6" s="47">
        <v>40012001</v>
      </c>
      <c r="C6" s="115">
        <v>40012047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………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………いや、まさかな…</v>
      </c>
      <c r="F6" s="47">
        <v>40012047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658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ref="A7" si="3">B7&amp;"_"&amp;C7</f>
        <v>40012001_40012048</v>
      </c>
      <c r="B7" s="47">
        <v>40012001</v>
      </c>
      <c r="C7" s="115">
        <v>40012048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………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………いや、まさかな…</v>
      </c>
      <c r="F7" s="47">
        <v>40012048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659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ref="A8:A19" si="4">B8&amp;"_"&amp;C8</f>
        <v>40012011_40012004</v>
      </c>
      <c r="B8" s="109">
        <v>40012011</v>
      </c>
      <c r="C8" s="109">
        <v>40012004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フフ…全部凍らせてあげる！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邪魔だけはしないでね　蜘蛛さん♪</v>
      </c>
      <c r="F8" s="47">
        <v>40012004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si="4"/>
        <v>40012002_40012005</v>
      </c>
      <c r="B9" s="47">
        <v>40012002</v>
      </c>
      <c r="C9" s="47">
        <v>40012005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雪花の舞・雹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" s="47">
        <v>40012005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7"/>
      <c r="Q9" s="47"/>
      <c r="R9" s="47"/>
    </row>
    <row r="10" spans="1:18" ht="21" customHeight="1">
      <c r="A10" s="39" t="str">
        <f t="shared" si="4"/>
        <v>40012002_40012006</v>
      </c>
      <c r="B10" s="47">
        <v>40012002</v>
      </c>
      <c r="C10" s="47">
        <v>40012006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泡雪の抱擁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3ターン攻撃力50%DOWN</v>
      </c>
      <c r="F10" s="47">
        <v>40012006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si="4"/>
        <v>40012002_40012007</v>
      </c>
      <c r="B11" s="47">
        <v>40012002</v>
      </c>
      <c r="C11" s="47">
        <v>40012007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凍らせてあげる！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3ターン黄パネルが使えない！</v>
      </c>
      <c r="F11" s="47">
        <v>40012007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si="4"/>
        <v>40012011_40012008</v>
      </c>
      <c r="B12" s="109">
        <v>40012011</v>
      </c>
      <c r="C12" s="109">
        <v>40012008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あァ？誰に言ってやがる！？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テメェこそ足引っ張ンじゃねェぞ！</v>
      </c>
      <c r="F12" s="47">
        <v>40012008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si="4"/>
        <v>40012003_40012009</v>
      </c>
      <c r="B13" s="47">
        <v>40012003</v>
      </c>
      <c r="C13" s="47">
        <v>40012009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ヒャハハ！これでも喰らいな！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全体に5ターンウィルス</v>
      </c>
      <c r="F13" s="47">
        <v>40012009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si="4"/>
        <v>40012003_40012010</v>
      </c>
      <c r="B14" s="47">
        <v>40012003</v>
      </c>
      <c r="C14" s="47">
        <v>40012010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追い打ちだァ！！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4" s="47">
        <v>40012010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" s="47"/>
      <c r="Q14" s="47"/>
      <c r="R14" s="47"/>
    </row>
    <row r="15" spans="1:18" ht="21" customHeight="1">
      <c r="A15" s="39" t="str">
        <f t="shared" si="4"/>
        <v>40012003_40012011</v>
      </c>
      <c r="B15" s="47">
        <v>40012003</v>
      </c>
      <c r="C15" s="47">
        <v>40012011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お前を喰ってやるぜ！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全体攻撃＋HP回復</v>
      </c>
      <c r="F15" s="47">
        <v>40012011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7"/>
      <c r="Q15" s="47"/>
      <c r="R15" s="47"/>
    </row>
    <row r="16" spans="1:18" ht="21" customHeight="1">
      <c r="A16" s="39" t="str">
        <f t="shared" si="4"/>
        <v>40012004_40012012</v>
      </c>
      <c r="B16" s="47">
        <v>40012004</v>
      </c>
      <c r="C16" s="47">
        <v>40012012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次は何して遊ぶんだなー？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ダイダラとテマリが相談している</v>
      </c>
      <c r="F16" s="47">
        <v>40012012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>
      <c r="A17" s="39" t="str">
        <f t="shared" si="4"/>
        <v>40012004_40012013</v>
      </c>
      <c r="B17" s="47">
        <v>40012004</v>
      </c>
      <c r="C17" s="47">
        <v>40012013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足踏み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お邪魔パネル4個出現＋攻撃</v>
      </c>
      <c r="F17" s="47">
        <v>40012013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si="4"/>
        <v>40012004_40012014</v>
      </c>
      <c r="B18" s="47">
        <v>40012004</v>
      </c>
      <c r="C18" s="47">
        <v>40012014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土盛り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18" s="47">
        <v>40012014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si="4"/>
        <v>40012004_40012015</v>
      </c>
      <c r="B19" s="47">
        <v>40012004</v>
      </c>
      <c r="C19" s="47">
        <v>40012015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フゥ…少し疲れたんだなー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3ターン全属性カウンター</v>
      </c>
      <c r="F19" s="47">
        <v>40012015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666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ref="A20:A34" si="5">B20&amp;"_"&amp;C20</f>
        <v>40012005_40012016</v>
      </c>
      <c r="B20" s="47">
        <v>40012005</v>
      </c>
      <c r="C20" s="47">
        <v>40012016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　いいこと考えた！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そこにいる人をやっつけて遊ぼうよ！</v>
      </c>
      <c r="F20" s="47">
        <v>40012016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si="5"/>
        <v>40012005_40012017</v>
      </c>
      <c r="B21" s="47">
        <v>40012005</v>
      </c>
      <c r="C21" s="47">
        <v>40012017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投擲遊戯・風羽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47">
        <v>40012017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1" s="47"/>
      <c r="Q21" s="47"/>
      <c r="R21" s="47"/>
    </row>
    <row r="22" spans="1:18" ht="21" customHeight="1">
      <c r="A22" s="39" t="str">
        <f t="shared" si="5"/>
        <v>40012005_40012018</v>
      </c>
      <c r="B22" s="47">
        <v>40012005</v>
      </c>
      <c r="C22" s="47">
        <v>40012018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舞踏遊戯・風車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2" s="47">
        <v>40012018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>
      <c r="A23" s="39" t="str">
        <f t="shared" si="5"/>
        <v>40012005_40012019</v>
      </c>
      <c r="B23" s="47">
        <v>40012005</v>
      </c>
      <c r="C23" s="47">
        <v>40012019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まだまだ帰らせないよっ！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全体に3ターンスキルバインド</v>
      </c>
      <c r="F23" s="47">
        <v>40012019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>
      <c r="A24" s="39" t="str">
        <f t="shared" si="5"/>
        <v>40012006_40012020</v>
      </c>
      <c r="B24" s="47">
        <v>40012006</v>
      </c>
      <c r="C24" s="47">
        <v>40012020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見つけたわよ　あんた達！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ヨミとフウガが立ちはだかる！</v>
      </c>
      <c r="F24" s="47">
        <v>40012020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si="5"/>
        <v>40012006_40012021</v>
      </c>
      <c r="B25" s="47">
        <v>40012006</v>
      </c>
      <c r="C25" s="47">
        <v>40012021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無双連撃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5" s="47">
        <v>40012021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5" s="47"/>
      <c r="Q25" s="47"/>
      <c r="R25" s="47"/>
    </row>
    <row r="26" spans="1:18" ht="21" customHeight="1">
      <c r="A26" s="39" t="str">
        <f t="shared" si="5"/>
        <v>40012006_40012022</v>
      </c>
      <c r="B26" s="47">
        <v>40012006</v>
      </c>
      <c r="C26" s="47">
        <v>40012022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闘気爆発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26" s="47">
        <v>40012022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5"/>
        <v>40012006_40012023</v>
      </c>
      <c r="B27" s="47">
        <v>40012006</v>
      </c>
      <c r="C27" s="47">
        <v>40012023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これで仕留めてみせる…！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【！】次のターン強力な緑パネル破壊攻撃【！】</v>
      </c>
      <c r="F27" s="47">
        <v>40012023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>
      <c r="A28" s="39" t="str">
        <f t="shared" si="5"/>
        <v>40012006_40012024</v>
      </c>
      <c r="B28" s="47">
        <v>40012006</v>
      </c>
      <c r="C28" s="47">
        <v>40012024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黄泉送りの太刀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強力な緑パネル破壊攻撃</v>
      </c>
      <c r="F28" s="47">
        <v>40012024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>
      <c r="A29" s="39" t="str">
        <f t="shared" si="5"/>
        <v>40012007_40012025</v>
      </c>
      <c r="B29" s="47">
        <v>40012007</v>
      </c>
      <c r="C29" s="47">
        <v>40012025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目標を捕捉した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これより掃討を開始する――</v>
      </c>
      <c r="F29" s="47">
        <v>40012025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>
      <c r="A30" s="39" t="str">
        <f t="shared" si="5"/>
        <v>40012007_40012026</v>
      </c>
      <c r="B30" s="47">
        <v>40012007</v>
      </c>
      <c r="C30" s="47">
        <v>40012026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天眼逆流・一式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5ターン攻撃力44%DOWN＋攻撃</v>
      </c>
      <c r="F30" s="47">
        <v>40012026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>
      <c r="A31" s="39" t="str">
        <f t="shared" si="5"/>
        <v>40012007_40012027</v>
      </c>
      <c r="B31" s="47">
        <v>40012007</v>
      </c>
      <c r="C31" s="47">
        <v>40012027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宿命劣化・一式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5ターン回復力44%DOWN＋攻撃</v>
      </c>
      <c r="F31" s="47">
        <v>40012027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>
      <c r="A32" s="39" t="str">
        <f t="shared" si="5"/>
        <v>40012007_40012028</v>
      </c>
      <c r="B32" s="47">
        <v>40012007</v>
      </c>
      <c r="C32" s="47">
        <v>40012028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天眼逆流・二式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4ターン攻撃力55%DOWN＋攻撃</v>
      </c>
      <c r="F32" s="47">
        <v>40012028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2" s="48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>
      <c r="A33" s="39" t="str">
        <f t="shared" si="5"/>
        <v>40012007_40012029</v>
      </c>
      <c r="B33" s="47">
        <v>40012007</v>
      </c>
      <c r="C33" s="47">
        <v>40012029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宿命劣化・二式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4ターン回復力55%DOWN＋攻撃</v>
      </c>
      <c r="F33" s="47">
        <v>40012029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>
      <c r="A34" s="39" t="str">
        <f t="shared" si="5"/>
        <v>40012007_40012030</v>
      </c>
      <c r="B34" s="47">
        <v>40012007</v>
      </c>
      <c r="C34" s="47">
        <v>40012030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天眼逆流・三式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3ターン攻撃力66%DOWN＋攻撃</v>
      </c>
      <c r="F34" s="47">
        <v>40012030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>
      <c r="A35" s="39" t="str">
        <f t="shared" ref="A35:A47" si="6">B35&amp;"_"&amp;C35</f>
        <v>40012007_40012031</v>
      </c>
      <c r="B35" s="47">
        <v>40012007</v>
      </c>
      <c r="C35" s="47">
        <v>40012031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宿命劣化・三式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3ターン回復力66%DOWN＋攻撃</v>
      </c>
      <c r="F35" s="47">
        <v>40012031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>
      <c r="A36" s="39" t="str">
        <f t="shared" si="6"/>
        <v>40012007_40012032</v>
      </c>
      <c r="B36" s="47">
        <v>40012007</v>
      </c>
      <c r="C36" s="47">
        <v>40012032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データ受領…動作を最適化する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3ターンの間攻撃頻度が1ターンにUP</v>
      </c>
      <c r="F36" s="47">
        <v>40012032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654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>
      <c r="A37" s="39" t="str">
        <f t="shared" si="6"/>
        <v>40012008_40012033</v>
      </c>
      <c r="B37" s="47">
        <v>40012008</v>
      </c>
      <c r="C37" s="47">
        <v>40012033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…想像以上の強さだな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出し惜しみはナシでいくぜ？_x000D_【！】次のターン永続スリープ発動【！】</v>
      </c>
      <c r="F37" s="47">
        <v>40012033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>
      <c r="A38" s="39" t="str">
        <f t="shared" ref="A38" si="7">B38&amp;"_"&amp;C38</f>
        <v>40012008_40012049</v>
      </c>
      <c r="B38" s="47">
        <v>40012008</v>
      </c>
      <c r="C38" s="115">
        <v>40012049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その力…やはりクルミか！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今度こそ確実に処分する…！_x000D_【！】次のターン永続スリープ発動【！】</v>
      </c>
      <c r="F38" s="47">
        <v>40012049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658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>
      <c r="A39" s="39" t="str">
        <f t="shared" ref="A39" si="8">B39&amp;"_"&amp;C39</f>
        <v>40012008_40012050</v>
      </c>
      <c r="B39" s="47">
        <v>40012008</v>
      </c>
      <c r="C39" s="115">
        <v>40012050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その力…やはりクルミか！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今度こそ確実に処分する…！_x000D_【！】次のターン永続スリープ発動【！】</v>
      </c>
      <c r="F39" s="47">
        <v>40012050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659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>
      <c r="A40" s="39" t="str">
        <f t="shared" si="6"/>
        <v>40012008_40012034</v>
      </c>
      <c r="B40" s="47">
        <v>40012008</v>
      </c>
      <c r="C40" s="47">
        <v>40012034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万物催眠『ナイトメア』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こいつで一生お寝んねしてな！</v>
      </c>
      <c r="F40" s="47">
        <v>40012034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>
      <c r="A41" s="39" t="str">
        <f t="shared" si="6"/>
        <v>40012008_40012035</v>
      </c>
      <c r="B41" s="47">
        <v>40012008</v>
      </c>
      <c r="C41" s="47">
        <v>40012035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ハハッなぶり殺しだ！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1" s="47">
        <v>40012035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>
      <c r="A42" s="39" t="str">
        <f t="shared" si="6"/>
        <v>40012008_40012036</v>
      </c>
      <c r="B42" s="47">
        <v>40012008</v>
      </c>
      <c r="C42" s="47">
        <v>40012036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エラソーなヤツは嫌いでね！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42" s="47">
        <v>40012036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47"/>
      <c r="Q42" s="47"/>
      <c r="R42" s="47"/>
    </row>
    <row r="43" spans="1:18" ht="21" customHeight="1">
      <c r="A43" s="39" t="str">
        <f t="shared" si="6"/>
        <v>40012009_40012037</v>
      </c>
      <c r="B43" s="47">
        <v>40012009</v>
      </c>
      <c r="C43" s="47">
        <v>40012037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なら次のカードを切るだけだ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超高確率で時限式赤パネルが出現！</v>
      </c>
      <c r="F43" s="47">
        <v>40012037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>
      <c r="A44" s="39" t="str">
        <f t="shared" si="6"/>
        <v>40012009_40012038</v>
      </c>
      <c r="B44" s="47">
        <v>40012009</v>
      </c>
      <c r="C44" s="47">
        <v>40012038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さぁ　詰めていくぞ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青パネルプロテクト＋攻撃</v>
      </c>
      <c r="F44" s="47">
        <v>40012038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>
      <c r="A45" s="39" t="str">
        <f t="shared" si="6"/>
        <v>40012009_40012039</v>
      </c>
      <c r="B45" s="47">
        <v>40012009</v>
      </c>
      <c r="C45" s="47">
        <v>40012039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次はこの一手だ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緑パネルプロテクト＋攻撃</v>
      </c>
      <c r="F45" s="47">
        <v>40012039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47"/>
      <c r="Q45" s="47"/>
      <c r="R45" s="47"/>
    </row>
    <row r="46" spans="1:18" ht="21" customHeight="1">
      <c r="A46" s="39" t="str">
        <f t="shared" si="6"/>
        <v>40012009_40012040</v>
      </c>
      <c r="B46" s="47">
        <v>40012009</v>
      </c>
      <c r="C46" s="47">
        <v>40012040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対処しきれるか？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黄パネルプロテクト＋攻撃</v>
      </c>
      <c r="F46" s="47">
        <v>40012040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6" s="47"/>
      <c r="Q46" s="47"/>
      <c r="R46" s="47"/>
    </row>
    <row r="47" spans="1:18" ht="21" customHeight="1">
      <c r="A47" s="39" t="str">
        <f t="shared" si="6"/>
        <v>40012009_40012041</v>
      </c>
      <c r="B47" s="47">
        <v>40012009</v>
      </c>
      <c r="C47" s="47">
        <v>40012041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手も足も出ないって感じだな！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3ターン全属性カウンター&amp;攻撃頻度UP</v>
      </c>
      <c r="F47" s="47">
        <v>40012041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>
      <c r="A48" s="39" t="str">
        <f t="shared" ref="A48:A51" si="9">B48&amp;"_"&amp;C48</f>
        <v>40012010_40012042</v>
      </c>
      <c r="B48" s="47">
        <v>40012010</v>
      </c>
      <c r="C48" s="47">
        <v>40012042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そろそろ終わらせようか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Cパネル変換禁止_x000D_＋3ターンCパネル生成延長（特大）</v>
      </c>
      <c r="F48" s="47">
        <v>40012042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>
      <c r="A49" s="39" t="str">
        <f t="shared" si="9"/>
        <v>40012010_40012043</v>
      </c>
      <c r="B49" s="47">
        <v>40012010</v>
      </c>
      <c r="C49" s="47">
        <v>40012043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悪あがきは止めとけよ！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ハートプロテクト＋攻撃</v>
      </c>
      <c r="F49" s="47">
        <v>40012043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>
      <c r="A50" s="39" t="str">
        <f t="shared" si="9"/>
        <v>40012010_40012044</v>
      </c>
      <c r="B50" s="47">
        <v>40012010</v>
      </c>
      <c r="C50" s="47">
        <v>40012044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いつまで保つかな！？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ランダムで12個プロテクト＋攻撃</v>
      </c>
      <c r="F50" s="47">
        <v>40012044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>
      <c r="A51" s="39" t="str">
        <f t="shared" si="9"/>
        <v>40012010_40012045</v>
      </c>
      <c r="B51" s="47">
        <v>40012010</v>
      </c>
      <c r="C51" s="47">
        <v>40012045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ここで変化の一手だ！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時限式パネルプロテクト＋攻撃</v>
      </c>
      <c r="F51" s="47">
        <v>40012045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>
      <c r="A52" s="39" t="str">
        <f t="shared" ref="A52" si="10">B52&amp;"_"&amp;C52</f>
        <v>40012010_40012046</v>
      </c>
      <c r="B52" s="47">
        <v>40012010</v>
      </c>
      <c r="C52" s="47">
        <v>40012046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勝ちの目は全て潰す…！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3ターン全属性カウンター&amp;攻撃頻度UP</v>
      </c>
      <c r="F52" s="47">
        <v>40012046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2"/>
  <sheetViews>
    <sheetView showGridLines="0" tabSelected="1" zoomScale="85" zoomScaleNormal="85" zoomScalePageLayoutView="85" workbookViewId="0">
      <pane ySplit="1" topLeftCell="A2" activePane="bottomLeft" state="frozenSplit"/>
      <selection pane="bottomLeft" activeCell="F20" sqref="F20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>
      <c r="A2" s="102">
        <v>40012000</v>
      </c>
      <c r="B2" s="99" t="s">
        <v>243</v>
      </c>
      <c r="C2" s="100">
        <v>3</v>
      </c>
      <c r="D2" s="100" t="s">
        <v>127</v>
      </c>
      <c r="E2" s="101" t="s">
        <v>213</v>
      </c>
      <c r="F2" s="101" t="s">
        <v>214</v>
      </c>
      <c r="G2" s="62" t="str">
        <f t="shared" ref="G2:G11" si="0">IFERROR(LEFT(B2,FIND("],",B2)),B2)</f>
        <v>[effect:fix_speed, target:enemy_all, turn:1]</v>
      </c>
      <c r="H2" s="62">
        <f t="shared" ref="H2:H11" si="1">FIND("effect:",G2)+7</f>
        <v>9</v>
      </c>
      <c r="I2" s="62">
        <f t="shared" ref="I2:I11" si="2">IFERROR(FIND(",",G2),LEN(G2))</f>
        <v>18</v>
      </c>
      <c r="J2" s="62">
        <f t="shared" ref="J2:J11" si="3">FIND("target:",G2)+7</f>
        <v>27</v>
      </c>
      <c r="K2" s="62">
        <f t="shared" ref="K2:K11" si="4">FIND(",",G2,I2+1)</f>
        <v>36</v>
      </c>
      <c r="L2" s="62" t="str">
        <f>IFERROR(VLOOKUP(MID(G2,J2,K2-J2),[6]skilldef!$C:$D,2,FALSE),"-") &amp; " / " &amp; IFERROR(VLOOKUP(MID(G2,H2,I2-H2),[6]skilldef!$A:$B,2,FALSE),"-")</f>
        <v>敵全体に / 行動値設定</v>
      </c>
      <c r="M2" s="62" t="str">
        <f t="shared" ref="M2:M11" si="5">IFERROR(RIGHT(B2,LEN(B2)-FIND("],",B2)-1),"none")</f>
        <v>[effect:suicide, val:0.03, dead_type:suicide, target:enemy_human, animation:enemy_suicide]</v>
      </c>
      <c r="N2" s="48" t="str">
        <f t="shared" ref="N2:N7" si="6">IFERROR(LEFT(M2,FIND("],",M2)+S12),M2)</f>
        <v>[effect:suicide, val:0.03, dead_type:suicide, target:enemy_human, animation:enemy_suicide]</v>
      </c>
      <c r="O2" s="62">
        <f t="shared" ref="O2:O11" si="7">FIND("effect:",N2)+7</f>
        <v>9</v>
      </c>
      <c r="P2" s="62">
        <f t="shared" ref="P2:P11" si="8">IFERROR(FIND(",",N2),LEN(N2))</f>
        <v>16</v>
      </c>
      <c r="Q2" s="62">
        <f t="shared" ref="Q2:Q11" si="9">FIND("target:",N2)+7</f>
        <v>54</v>
      </c>
      <c r="R2" s="62">
        <f t="shared" ref="R2:R11" si="10">FIND(",",N2,P2+1)</f>
        <v>26</v>
      </c>
      <c r="S2" s="62" t="str">
        <f>IFERROR(VLOOKUP(MID(N2,Q2,R2-Q2),[6]skilldef!$C:$D,2,FALSE),"-") &amp; " / " &amp; IFERROR(VLOOKUP(MID(N2,O2,P2-O2),[6]skilldef!$A:$B,2,FALSE),"-")</f>
        <v>- / -</v>
      </c>
      <c r="T2" s="48" t="str">
        <f t="shared" ref="T2:T11" si="11">IFERROR(RIGHT(M2,LEN(M2)-FIND("],",M2)-1),"none")</f>
        <v>none</v>
      </c>
      <c r="U2" s="62" t="e">
        <f t="shared" ref="U2:U11" si="12">FIND("effect:",T2)+7</f>
        <v>#VALUE!</v>
      </c>
      <c r="V2" s="62">
        <f t="shared" ref="V2:V11" si="13">IFERROR(FIND(",",T2),LEN(T2))</f>
        <v>4</v>
      </c>
      <c r="W2" s="62" t="e">
        <f t="shared" ref="W2:W11" si="14">FIND("target:",T2)+7</f>
        <v>#VALUE!</v>
      </c>
      <c r="X2" s="62" t="e">
        <f t="shared" ref="X2:X11" si="15"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>
      <c r="A3" s="102">
        <v>40012001</v>
      </c>
      <c r="B3" s="99" t="s">
        <v>224</v>
      </c>
      <c r="C3" s="100">
        <v>3</v>
      </c>
      <c r="D3" s="100" t="s">
        <v>127</v>
      </c>
      <c r="E3" s="101" t="s">
        <v>242</v>
      </c>
      <c r="F3" s="101" t="s">
        <v>384</v>
      </c>
      <c r="G3" s="62" t="str">
        <f t="shared" si="0"/>
        <v>[effect:sleep, target:unit_all, turn:1, rate:1]</v>
      </c>
      <c r="H3" s="62">
        <f t="shared" si="1"/>
        <v>9</v>
      </c>
      <c r="I3" s="62">
        <f t="shared" si="2"/>
        <v>14</v>
      </c>
      <c r="J3" s="62">
        <f t="shared" si="3"/>
        <v>23</v>
      </c>
      <c r="K3" s="62">
        <f t="shared" si="4"/>
        <v>31</v>
      </c>
      <c r="L3" s="62" t="str">
        <f>IFERROR(VLOOKUP(MID(G3,J3,K3-J3),[6]skilldef!$C:$D,2,FALSE),"-") &amp; " / " &amp; IFERROR(VLOOKUP(MID(G3,H3,I3-H3),[6]skilldef!$A:$B,2,FALSE),"-")</f>
        <v>味方全体に / スリープ</v>
      </c>
      <c r="M3" s="62" t="str">
        <f t="shared" si="5"/>
        <v>[effect:suicide, val:0.9, dead_type:suicide, target:enemy_heal, animation:enemy_suicide]</v>
      </c>
      <c r="N3" s="48" t="str">
        <f t="shared" si="6"/>
        <v>[effect:suicide, val:0.9, dead_type:suicide, target:enemy_heal, animation:enemy_suicide]</v>
      </c>
      <c r="O3" s="62">
        <f t="shared" si="7"/>
        <v>9</v>
      </c>
      <c r="P3" s="62">
        <f t="shared" si="8"/>
        <v>16</v>
      </c>
      <c r="Q3" s="62">
        <f t="shared" si="9"/>
        <v>53</v>
      </c>
      <c r="R3" s="62">
        <f t="shared" si="10"/>
        <v>25</v>
      </c>
      <c r="S3" s="62" t="str">
        <f>IFERROR(VLOOKUP(MID(N3,Q3,R3-Q3),[6]skilldef!$C:$D,2,FALSE),"-") &amp; " / " &amp; IFERROR(VLOOKUP(MID(N3,O3,P3-O3),[6]skilldef!$A:$B,2,FALSE),"-")</f>
        <v>- / -</v>
      </c>
      <c r="T3" s="48" t="str">
        <f t="shared" si="11"/>
        <v>none</v>
      </c>
      <c r="U3" s="62" t="e">
        <f t="shared" si="12"/>
        <v>#VALUE!</v>
      </c>
      <c r="V3" s="62">
        <f t="shared" si="13"/>
        <v>4</v>
      </c>
      <c r="W3" s="62" t="e">
        <f t="shared" si="14"/>
        <v>#VALUE!</v>
      </c>
      <c r="X3" s="62" t="e">
        <f t="shared" si="15"/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>
      <c r="A4" s="102">
        <v>40012002</v>
      </c>
      <c r="B4" s="99" t="s">
        <v>295</v>
      </c>
      <c r="C4" s="100">
        <v>3</v>
      </c>
      <c r="D4" s="100" t="s">
        <v>127</v>
      </c>
      <c r="E4" s="101" t="s">
        <v>351</v>
      </c>
      <c r="F4" s="101" t="s">
        <v>271</v>
      </c>
      <c r="G4" s="62" t="str">
        <f t="shared" si="0"/>
        <v>[effect:tolerance, target:unit_all, turn:40, tolerance_effect:sleep, count:-1, animation:prevent_abnormal_Unit04]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35</v>
      </c>
      <c r="L4" s="62" t="str">
        <f>IFERROR(VLOOKUP(MID(G4,J4,K4-J4),[6]skilldef!$C:$D,2,FALSE),"-") &amp; " / " &amp; IFERROR(VLOOKUP(MID(G4,H4,I4-H4),[6]skilldef!$A:$B,2,FALSE),"-")</f>
        <v>味方全体に / 状態異常耐性</v>
      </c>
      <c r="M4" s="62" t="str">
        <f t="shared" si="5"/>
        <v>[effect:suicide, val:1.0, dead_type:escape, target:myself]</v>
      </c>
      <c r="N4" s="48" t="str">
        <f t="shared" si="6"/>
        <v>[effect:suicide, val:1.0, dead_type:escape, target:myself]</v>
      </c>
      <c r="O4" s="62">
        <f t="shared" si="7"/>
        <v>9</v>
      </c>
      <c r="P4" s="62">
        <f t="shared" si="8"/>
        <v>16</v>
      </c>
      <c r="Q4" s="62">
        <f t="shared" si="9"/>
        <v>52</v>
      </c>
      <c r="R4" s="62">
        <f t="shared" si="10"/>
        <v>25</v>
      </c>
      <c r="S4" s="62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1" customHeight="1">
      <c r="A5" s="102">
        <v>40012003</v>
      </c>
      <c r="B5" s="99" t="s">
        <v>223</v>
      </c>
      <c r="C5" s="100">
        <v>3</v>
      </c>
      <c r="D5" s="100" t="s">
        <v>127</v>
      </c>
      <c r="E5" s="101" t="s">
        <v>346</v>
      </c>
      <c r="F5" s="101" t="s">
        <v>347</v>
      </c>
      <c r="G5" s="62" t="str">
        <f t="shared" si="0"/>
        <v>[effect:suicide, val:1.0, dead_type:escape, target:myself]</v>
      </c>
      <c r="H5" s="62">
        <f t="shared" si="1"/>
        <v>9</v>
      </c>
      <c r="I5" s="62">
        <f t="shared" si="2"/>
        <v>16</v>
      </c>
      <c r="J5" s="62">
        <f t="shared" si="3"/>
        <v>52</v>
      </c>
      <c r="K5" s="62">
        <f t="shared" si="4"/>
        <v>25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8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>
      <c r="A6" s="111">
        <v>40012004</v>
      </c>
      <c r="B6" s="111" t="s">
        <v>220</v>
      </c>
      <c r="C6" s="112">
        <v>3</v>
      </c>
      <c r="D6" s="112" t="s">
        <v>127</v>
      </c>
      <c r="E6" s="113" t="s">
        <v>219</v>
      </c>
      <c r="F6" s="113" t="s">
        <v>237</v>
      </c>
      <c r="G6" s="62" t="str">
        <f t="shared" si="0"/>
        <v>[effect:nothing]</v>
      </c>
      <c r="H6" s="62">
        <f t="shared" si="1"/>
        <v>9</v>
      </c>
      <c r="I6" s="62">
        <f t="shared" si="2"/>
        <v>16</v>
      </c>
      <c r="J6" s="62" t="e">
        <f t="shared" si="3"/>
        <v>#VALUE!</v>
      </c>
      <c r="K6" s="62" t="e">
        <f t="shared" si="4"/>
        <v>#VALUE!</v>
      </c>
      <c r="L6" s="62" t="str">
        <f>IFERROR(VLOOKUP(MID(G6,J6,K6-J6),[6]skilldef!$C:$D,2,FALSE),"-") &amp; " / " &amp; IFERROR(VLOOKUP(MID(G6,H6,I6-H6),[6]skilldef!$A:$B,2,FALSE),"-")</f>
        <v>- / 何もしない</v>
      </c>
      <c r="M6" s="62" t="str">
        <f t="shared" si="5"/>
        <v>none</v>
      </c>
      <c r="N6" s="48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1" customHeight="1">
      <c r="A7" s="102">
        <v>40012005</v>
      </c>
      <c r="B7" s="103" t="s">
        <v>294</v>
      </c>
      <c r="C7" s="104">
        <v>3</v>
      </c>
      <c r="D7" s="104" t="s">
        <v>127</v>
      </c>
      <c r="E7" s="105" t="s">
        <v>250</v>
      </c>
      <c r="F7" s="105" t="s">
        <v>251</v>
      </c>
      <c r="G7" s="62" t="str">
        <f t="shared" si="0"/>
        <v>[effect:critical, val:1.2]</v>
      </c>
      <c r="H7" s="62">
        <f t="shared" si="1"/>
        <v>9</v>
      </c>
      <c r="I7" s="62">
        <f t="shared" si="2"/>
        <v>17</v>
      </c>
      <c r="J7" s="62" t="e">
        <f t="shared" si="3"/>
        <v>#VALUE!</v>
      </c>
      <c r="K7" s="62" t="e">
        <f t="shared" si="4"/>
        <v>#VALUE!</v>
      </c>
      <c r="L7" s="62" t="str">
        <f>IFERROR(VLOOKUP(MID(G7,J7,K7-J7),[6]skilldef!$C:$D,2,FALSE),"-") &amp; " / " &amp; IFERROR(VLOOKUP(MID(G7,H7,I7-H7),[6]skilldef!$A:$B,2,FALSE),"-")</f>
        <v>- / 大攻撃</v>
      </c>
      <c r="M7" s="62" t="str">
        <f t="shared" si="5"/>
        <v>none</v>
      </c>
      <c r="N7" s="48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21" customHeight="1">
      <c r="A8" s="102">
        <v>40012006</v>
      </c>
      <c r="B8" s="103" t="s">
        <v>252</v>
      </c>
      <c r="C8" s="104">
        <v>3</v>
      </c>
      <c r="D8" s="104" t="s">
        <v>127</v>
      </c>
      <c r="E8" s="105" t="s">
        <v>217</v>
      </c>
      <c r="F8" s="105" t="s">
        <v>218</v>
      </c>
      <c r="G8" s="62" t="str">
        <f t="shared" si="0"/>
        <v>[effect:degrade_unit, target:unit_all, turn:3, status:attack, val:0.5]</v>
      </c>
      <c r="H8" s="62">
        <f t="shared" si="1"/>
        <v>9</v>
      </c>
      <c r="I8" s="62">
        <f t="shared" si="2"/>
        <v>21</v>
      </c>
      <c r="J8" s="62">
        <f t="shared" si="3"/>
        <v>30</v>
      </c>
      <c r="K8" s="62">
        <f t="shared" si="4"/>
        <v>38</v>
      </c>
      <c r="L8" s="62" t="str">
        <f>IFERROR(VLOOKUP(MID(G8,J8,K8-J8),[6]skilldef!$C:$D,2,FALSE),"-") &amp; " / " &amp; IFERROR(VLOOKUP(MID(G8,H8,I8-H8),[6]skilldef!$A:$B,2,FALSE),"-")</f>
        <v>味方全体に / ステータスDOWN</v>
      </c>
      <c r="M8" s="62" t="str">
        <f t="shared" si="5"/>
        <v>none</v>
      </c>
      <c r="N8" s="48" t="str">
        <f>IFERROR(LEFT(M8,FIND("],",M8)+#REF!),M8)</f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21" customHeight="1">
      <c r="A9" s="102">
        <v>40012007</v>
      </c>
      <c r="B9" s="103" t="s">
        <v>276</v>
      </c>
      <c r="C9" s="104">
        <v>3</v>
      </c>
      <c r="D9" s="104" t="s">
        <v>127</v>
      </c>
      <c r="E9" s="105" t="s">
        <v>377</v>
      </c>
      <c r="F9" s="105" t="s">
        <v>275</v>
      </c>
      <c r="G9" s="62" t="str">
        <f t="shared" si="0"/>
        <v>[effect:dis_panel, target:block_yellow, turn:3, animation:enemy_dis_yellow]</v>
      </c>
      <c r="H9" s="62">
        <f t="shared" si="1"/>
        <v>9</v>
      </c>
      <c r="I9" s="62">
        <f t="shared" si="2"/>
        <v>18</v>
      </c>
      <c r="J9" s="62">
        <f t="shared" si="3"/>
        <v>27</v>
      </c>
      <c r="K9" s="62">
        <f t="shared" si="4"/>
        <v>39</v>
      </c>
      <c r="L9" s="62" t="str">
        <f>IFERROR(VLOOKUP(MID(G9,J9,K9-J9),[6]skilldef!$C:$D,2,FALSE),"-") &amp; " / " &amp; IFERROR(VLOOKUP(MID(G9,H9,I9-H9),[6]skilldef!$A:$B,2,FALSE),"-")</f>
        <v>黄色パネルを / ディスパネル</v>
      </c>
      <c r="M9" s="62" t="str">
        <f t="shared" si="5"/>
        <v>none</v>
      </c>
      <c r="N9" s="48" t="str">
        <f>IFERROR(LEFT(M9,FIND("],",M9)+#REF!),M9)</f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21" customHeight="1">
      <c r="A10" s="111">
        <v>40012008</v>
      </c>
      <c r="B10" s="111" t="s">
        <v>256</v>
      </c>
      <c r="C10" s="112">
        <v>3</v>
      </c>
      <c r="D10" s="112" t="s">
        <v>127</v>
      </c>
      <c r="E10" s="113" t="s">
        <v>238</v>
      </c>
      <c r="F10" s="113" t="s">
        <v>241</v>
      </c>
      <c r="G10" s="62" t="str">
        <f t="shared" si="0"/>
        <v>[effect:nothing]</v>
      </c>
      <c r="H10" s="62">
        <f t="shared" si="1"/>
        <v>9</v>
      </c>
      <c r="I10" s="62">
        <f t="shared" si="2"/>
        <v>16</v>
      </c>
      <c r="J10" s="62" t="e">
        <f t="shared" si="3"/>
        <v>#VALUE!</v>
      </c>
      <c r="K10" s="62" t="e">
        <f t="shared" si="4"/>
        <v>#VALUE!</v>
      </c>
      <c r="L10" s="62" t="str">
        <f>IFERROR(VLOOKUP(MID(G10,J10,K10-J10),[6]skilldef!$C:$D,2,FALSE),"-") &amp; " / " &amp; IFERROR(VLOOKUP(MID(G10,H10,I10-H10),[6]skilldef!$A:$B,2,FALSE),"-")</f>
        <v>- / 何もしない</v>
      </c>
      <c r="M10" s="62" t="str">
        <f t="shared" si="5"/>
        <v>none</v>
      </c>
      <c r="N10" s="48" t="str">
        <f t="shared" ref="N10:N14" si="16">IFERROR(LEFT(M10,FIND("],",M10)+S18),M10)</f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21" customHeight="1">
      <c r="A11" s="102">
        <v>40012009</v>
      </c>
      <c r="B11" s="99" t="s">
        <v>318</v>
      </c>
      <c r="C11" s="100">
        <v>3</v>
      </c>
      <c r="D11" s="100" t="s">
        <v>127</v>
      </c>
      <c r="E11" s="101" t="s">
        <v>378</v>
      </c>
      <c r="F11" s="101" t="s">
        <v>272</v>
      </c>
      <c r="G11" s="62" t="str">
        <f t="shared" si="0"/>
        <v>[effect:virus, turn:5, rate:1, val:0.02, animation:enemy_virus]</v>
      </c>
      <c r="H11" s="62">
        <f t="shared" si="1"/>
        <v>9</v>
      </c>
      <c r="I11" s="62">
        <f t="shared" si="2"/>
        <v>14</v>
      </c>
      <c r="J11" s="62" t="e">
        <f t="shared" si="3"/>
        <v>#VALUE!</v>
      </c>
      <c r="K11" s="62">
        <f t="shared" si="4"/>
        <v>22</v>
      </c>
      <c r="L11" s="62" t="str">
        <f>IFERROR(VLOOKUP(MID(G11,J11,K11-J11),[6]skilldef!$C:$D,2,FALSE),"-") &amp; " / " &amp; IFERROR(VLOOKUP(MID(G11,H11,I11-H11),[6]skilldef!$A:$B,2,FALSE),"-")</f>
        <v>- / ウィルス</v>
      </c>
      <c r="M11" s="62" t="str">
        <f t="shared" si="5"/>
        <v>none</v>
      </c>
      <c r="N11" s="48" t="str">
        <f t="shared" si="1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21" customHeight="1">
      <c r="A12" s="102">
        <v>40012010</v>
      </c>
      <c r="B12" s="99" t="s">
        <v>332</v>
      </c>
      <c r="C12" s="100">
        <v>3</v>
      </c>
      <c r="D12" s="100" t="s">
        <v>127</v>
      </c>
      <c r="E12" s="101" t="s">
        <v>380</v>
      </c>
      <c r="F12" s="101" t="s">
        <v>222</v>
      </c>
      <c r="G12" s="62" t="str">
        <f t="shared" ref="G12:G21" si="17">IFERROR(LEFT(B12,FIND("],",B12)),B12)</f>
        <v>[effect:damage_anti_abnormal, target:unit_all, target_effect01:virus, val1:0.35, val2:0.2]</v>
      </c>
      <c r="H12" s="62">
        <f t="shared" ref="H12:H21" si="18">FIND("effect:",G12)+7</f>
        <v>9</v>
      </c>
      <c r="I12" s="62">
        <f t="shared" ref="I12:I21" si="19">IFERROR(FIND(",",G12),LEN(G12))</f>
        <v>29</v>
      </c>
      <c r="J12" s="62">
        <f t="shared" ref="J12:J21" si="20">FIND("target:",G12)+7</f>
        <v>38</v>
      </c>
      <c r="K12" s="62">
        <f t="shared" ref="K12:K21" si="21">FIND(",",G12,I12+1)</f>
        <v>46</v>
      </c>
      <c r="L12" s="62" t="str">
        <f>IFERROR(VLOOKUP(MID(G12,J12,K12-J12),[6]skilldef!$C:$D,2,FALSE),"-") &amp; " / " &amp; IFERROR(VLOOKUP(MID(G12,H12,I12-H12),[6]skilldef!$A:$B,2,FALSE),"-")</f>
        <v>味方全体に / -</v>
      </c>
      <c r="M12" s="62" t="str">
        <f t="shared" ref="M12:M21" si="22">IFERROR(RIGHT(B12,LEN(B12)-FIND("],",B12)-1),"none")</f>
        <v>none</v>
      </c>
      <c r="N12" s="48" t="str">
        <f t="shared" si="16"/>
        <v>none</v>
      </c>
      <c r="O12" s="62" t="e">
        <f t="shared" ref="O12:O21" si="23">FIND("effect:",N12)+7</f>
        <v>#VALUE!</v>
      </c>
      <c r="P12" s="62">
        <f t="shared" ref="P12:P21" si="24">IFERROR(FIND(",",N12),LEN(N12))</f>
        <v>4</v>
      </c>
      <c r="Q12" s="62" t="e">
        <f t="shared" ref="Q12:Q21" si="25">FIND("target:",N12)+7</f>
        <v>#VALUE!</v>
      </c>
      <c r="R12" s="62" t="e">
        <f t="shared" ref="R12:R21" si="26">FIND(",",N12,P12+1)</f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8" t="str">
        <f t="shared" ref="T12:T21" si="27">IFERROR(RIGHT(M12,LEN(M12)-FIND("],",M12)-1),"none")</f>
        <v>none</v>
      </c>
      <c r="U12" s="62" t="e">
        <f t="shared" ref="U12:U21" si="28">FIND("effect:",T12)+7</f>
        <v>#VALUE!</v>
      </c>
      <c r="V12" s="62">
        <f t="shared" ref="V12:V21" si="29">IFERROR(FIND(",",T12),LEN(T12))</f>
        <v>4</v>
      </c>
      <c r="W12" s="62" t="e">
        <f t="shared" ref="W12:W21" si="30">FIND("target:",T12)+7</f>
        <v>#VALUE!</v>
      </c>
      <c r="X12" s="62" t="e">
        <f t="shared" ref="X12:X21" si="31">FIND(",",T12,V12+1)</f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1" customHeight="1">
      <c r="A13" s="102">
        <v>40012011</v>
      </c>
      <c r="B13" s="99" t="s">
        <v>259</v>
      </c>
      <c r="C13" s="100">
        <v>3</v>
      </c>
      <c r="D13" s="100" t="s">
        <v>127</v>
      </c>
      <c r="E13" s="101" t="s">
        <v>381</v>
      </c>
      <c r="F13" s="101" t="s">
        <v>221</v>
      </c>
      <c r="G13" s="62" t="str">
        <f t="shared" si="17"/>
        <v>[effect:spread, val:0.3]</v>
      </c>
      <c r="H13" s="62">
        <f t="shared" si="18"/>
        <v>9</v>
      </c>
      <c r="I13" s="62">
        <f t="shared" si="19"/>
        <v>15</v>
      </c>
      <c r="J13" s="62" t="e">
        <f t="shared" si="20"/>
        <v>#VALUE!</v>
      </c>
      <c r="K13" s="62" t="e">
        <f t="shared" si="21"/>
        <v>#VALUE!</v>
      </c>
      <c r="L13" s="62" t="str">
        <f>IFERROR(VLOOKUP(MID(G13,J13,K13-J13),[6]skilldef!$C:$D,2,FALSE),"-") &amp; " / " &amp; IFERROR(VLOOKUP(MID(G13,H13,I13-H13),[6]skilldef!$A:$B,2,FALSE),"-")</f>
        <v>- / 全体攻撃</v>
      </c>
      <c r="M13" s="62" t="str">
        <f t="shared" si="22"/>
        <v>[effect:heal, target:myself, val:0.1, animation:enemy_heal]</v>
      </c>
      <c r="N13" s="48" t="str">
        <f t="shared" si="16"/>
        <v>[effect:heal, target:myself, val:0.1, animation:enemy_heal]</v>
      </c>
      <c r="O13" s="62">
        <f t="shared" si="23"/>
        <v>9</v>
      </c>
      <c r="P13" s="62">
        <f t="shared" si="24"/>
        <v>13</v>
      </c>
      <c r="Q13" s="62">
        <f t="shared" si="25"/>
        <v>22</v>
      </c>
      <c r="R13" s="62">
        <f t="shared" si="26"/>
        <v>28</v>
      </c>
      <c r="S13" s="62" t="str">
        <f>IFERROR(VLOOKUP(MID(N13,Q13,R13-Q13),[6]skilldef!$C:$D,2,FALSE),"-") &amp; " / " &amp; IFERROR(VLOOKUP(MID(N13,O13,P13-O13),[6]skilldef!$A:$B,2,FALSE),"-")</f>
        <v>自分自身に / 回復</v>
      </c>
      <c r="T13" s="48" t="str">
        <f t="shared" si="27"/>
        <v>none</v>
      </c>
      <c r="U13" s="62" t="e">
        <f t="shared" si="28"/>
        <v>#VALUE!</v>
      </c>
      <c r="V13" s="62">
        <f t="shared" si="29"/>
        <v>4</v>
      </c>
      <c r="W13" s="62" t="e">
        <f t="shared" si="30"/>
        <v>#VALUE!</v>
      </c>
      <c r="X13" s="62" t="e">
        <f t="shared" si="31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21" customHeight="1">
      <c r="A14" s="102">
        <v>40012012</v>
      </c>
      <c r="B14" s="103" t="s">
        <v>287</v>
      </c>
      <c r="C14" s="104">
        <v>3</v>
      </c>
      <c r="D14" s="104" t="s">
        <v>127</v>
      </c>
      <c r="E14" s="105" t="s">
        <v>340</v>
      </c>
      <c r="F14" s="105" t="s">
        <v>341</v>
      </c>
      <c r="G14" s="62" t="str">
        <f t="shared" si="17"/>
        <v>[effect:fix_speed, target:myself, turn:2]</v>
      </c>
      <c r="H14" s="62">
        <f t="shared" si="18"/>
        <v>9</v>
      </c>
      <c r="I14" s="62">
        <f t="shared" si="19"/>
        <v>18</v>
      </c>
      <c r="J14" s="62">
        <f t="shared" si="20"/>
        <v>27</v>
      </c>
      <c r="K14" s="62">
        <f t="shared" si="21"/>
        <v>33</v>
      </c>
      <c r="L14" s="62" t="str">
        <f>IFERROR(VLOOKUP(MID(G14,J14,K14-J14),[6]skilldef!$C:$D,2,FALSE),"-") &amp; " / " &amp; IFERROR(VLOOKUP(MID(G14,H14,I14-H14),[6]skilldef!$A:$B,2,FALSE),"-")</f>
        <v>自分自身に / 行動値設定</v>
      </c>
      <c r="M14" s="62" t="str">
        <f t="shared" si="22"/>
        <v>none</v>
      </c>
      <c r="N14" s="48" t="str">
        <f t="shared" si="16"/>
        <v>none</v>
      </c>
      <c r="O14" s="62" t="e">
        <f t="shared" si="23"/>
        <v>#VALUE!</v>
      </c>
      <c r="P14" s="62">
        <f t="shared" si="24"/>
        <v>4</v>
      </c>
      <c r="Q14" s="62" t="e">
        <f t="shared" si="25"/>
        <v>#VALUE!</v>
      </c>
      <c r="R14" s="62" t="e">
        <f t="shared" si="26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8" t="str">
        <f t="shared" si="27"/>
        <v>none</v>
      </c>
      <c r="U14" s="62" t="e">
        <f t="shared" si="28"/>
        <v>#VALUE!</v>
      </c>
      <c r="V14" s="62">
        <f t="shared" si="29"/>
        <v>4</v>
      </c>
      <c r="W14" s="62" t="e">
        <f t="shared" si="30"/>
        <v>#VALUE!</v>
      </c>
      <c r="X14" s="62" t="e">
        <f t="shared" si="31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21" customHeight="1">
      <c r="A15" s="102">
        <v>40012013</v>
      </c>
      <c r="B15" s="103" t="s">
        <v>331</v>
      </c>
      <c r="C15" s="104">
        <v>3</v>
      </c>
      <c r="D15" s="104" t="s">
        <v>127</v>
      </c>
      <c r="E15" s="105" t="s">
        <v>239</v>
      </c>
      <c r="F15" s="105" t="s">
        <v>293</v>
      </c>
      <c r="G15" s="62" t="str">
        <f t="shared" si="17"/>
        <v>[effect:force_change_block, new_block:jammer, target:block_all, ignore:jammer, ignore02:crash, count:4, val:0, animation:change_block]</v>
      </c>
      <c r="H15" s="62">
        <f t="shared" si="18"/>
        <v>9</v>
      </c>
      <c r="I15" s="62">
        <f t="shared" si="19"/>
        <v>27</v>
      </c>
      <c r="J15" s="62">
        <f t="shared" si="20"/>
        <v>54</v>
      </c>
      <c r="K15" s="62">
        <f t="shared" si="21"/>
        <v>45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22"/>
        <v>[effect:rush, count:1, val:0.5]</v>
      </c>
      <c r="N15" s="48" t="str">
        <f>IFERROR(LEFT(M15,FIND("],",M15)+#REF!),M15)</f>
        <v>[effect:rush, count:1, val:0.5]</v>
      </c>
      <c r="O15" s="62">
        <f t="shared" si="23"/>
        <v>9</v>
      </c>
      <c r="P15" s="62">
        <f t="shared" si="24"/>
        <v>13</v>
      </c>
      <c r="Q15" s="62" t="e">
        <f t="shared" si="25"/>
        <v>#VALUE!</v>
      </c>
      <c r="R15" s="62">
        <f t="shared" si="26"/>
        <v>22</v>
      </c>
      <c r="S15" s="62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27"/>
        <v>none</v>
      </c>
      <c r="U15" s="62" t="e">
        <f t="shared" si="28"/>
        <v>#VALUE!</v>
      </c>
      <c r="V15" s="62">
        <f t="shared" si="29"/>
        <v>4</v>
      </c>
      <c r="W15" s="62" t="e">
        <f t="shared" si="30"/>
        <v>#VALUE!</v>
      </c>
      <c r="X15" s="62" t="e">
        <f t="shared" si="31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21" customHeight="1">
      <c r="A16" s="102">
        <v>40012014</v>
      </c>
      <c r="B16" s="103" t="s">
        <v>333</v>
      </c>
      <c r="C16" s="104">
        <v>3</v>
      </c>
      <c r="D16" s="104" t="s">
        <v>127</v>
      </c>
      <c r="E16" s="105" t="s">
        <v>240</v>
      </c>
      <c r="F16" s="105" t="s">
        <v>337</v>
      </c>
      <c r="G16" s="62" t="str">
        <f t="shared" si="17"/>
        <v>[effect:enhance_enemy, target:enemy_all, turn:2, status:defense, val:2000, calc:add, animation:enemy_enhance_defense]</v>
      </c>
      <c r="H16" s="62">
        <f t="shared" si="18"/>
        <v>9</v>
      </c>
      <c r="I16" s="62">
        <f t="shared" si="19"/>
        <v>22</v>
      </c>
      <c r="J16" s="62">
        <f t="shared" si="20"/>
        <v>31</v>
      </c>
      <c r="K16" s="62">
        <f t="shared" si="21"/>
        <v>40</v>
      </c>
      <c r="L16" s="62" t="str">
        <f>IFERROR(VLOOKUP(MID(G16,J16,K16-J16),[6]skilldef!$C:$D,2,FALSE),"-") &amp; " / " &amp; IFERROR(VLOOKUP(MID(G16,H16,I16-H16),[6]skilldef!$A:$B,2,FALSE),"-")</f>
        <v>敵全体に / ステータス強化</v>
      </c>
      <c r="M16" s="62" t="str">
        <f t="shared" si="22"/>
        <v>none</v>
      </c>
      <c r="N16" s="48" t="str">
        <f>IFERROR(LEFT(M16,FIND("],",M16)+S23),M16)</f>
        <v>none</v>
      </c>
      <c r="O16" s="62" t="e">
        <f t="shared" si="23"/>
        <v>#VALUE!</v>
      </c>
      <c r="P16" s="62">
        <f t="shared" si="24"/>
        <v>4</v>
      </c>
      <c r="Q16" s="62" t="e">
        <f t="shared" si="25"/>
        <v>#VALUE!</v>
      </c>
      <c r="R16" s="62" t="e">
        <f t="shared" si="26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8" t="str">
        <f t="shared" si="27"/>
        <v>none</v>
      </c>
      <c r="U16" s="62" t="e">
        <f t="shared" si="28"/>
        <v>#VALUE!</v>
      </c>
      <c r="V16" s="62">
        <f t="shared" si="29"/>
        <v>4</v>
      </c>
      <c r="W16" s="62" t="e">
        <f t="shared" si="30"/>
        <v>#VALUE!</v>
      </c>
      <c r="X16" s="62" t="e">
        <f t="shared" si="31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1" customHeight="1">
      <c r="A17" s="102">
        <v>40012015</v>
      </c>
      <c r="B17" s="103" t="s">
        <v>338</v>
      </c>
      <c r="C17" s="104">
        <v>3</v>
      </c>
      <c r="D17" s="104" t="s">
        <v>127</v>
      </c>
      <c r="E17" s="105" t="s">
        <v>376</v>
      </c>
      <c r="F17" s="105" t="s">
        <v>339</v>
      </c>
      <c r="G17" s="62" t="str">
        <f t="shared" si="17"/>
        <v>[effect:enemy_counter, target:enemy_all, invoke_condition:unit_all, counter_target:attacker, turn:3, val:0.5, animation:enemy_counter]</v>
      </c>
      <c r="H17" s="62">
        <f t="shared" si="18"/>
        <v>9</v>
      </c>
      <c r="I17" s="62">
        <f t="shared" si="19"/>
        <v>22</v>
      </c>
      <c r="J17" s="62">
        <f t="shared" si="20"/>
        <v>31</v>
      </c>
      <c r="K17" s="62">
        <f t="shared" si="21"/>
        <v>40</v>
      </c>
      <c r="L17" s="62" t="str">
        <f>IFERROR(VLOOKUP(MID(G17,J17,K17-J17),[6]skilldef!$C:$D,2,FALSE),"-") &amp; " / " &amp; IFERROR(VLOOKUP(MID(G17,H17,I17-H17),[6]skilldef!$A:$B,2,FALSE),"-")</f>
        <v>敵全体に / カウンター</v>
      </c>
      <c r="M17" s="62" t="str">
        <f t="shared" si="22"/>
        <v>none</v>
      </c>
      <c r="N17" s="48" t="str">
        <f>IFERROR(LEFT(M17,FIND("],",M17)+S24),M17)</f>
        <v>none</v>
      </c>
      <c r="O17" s="62" t="e">
        <f t="shared" si="23"/>
        <v>#VALUE!</v>
      </c>
      <c r="P17" s="62">
        <f t="shared" si="24"/>
        <v>4</v>
      </c>
      <c r="Q17" s="62" t="e">
        <f t="shared" si="25"/>
        <v>#VALUE!</v>
      </c>
      <c r="R17" s="62" t="e">
        <f t="shared" si="26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8" t="str">
        <f t="shared" si="27"/>
        <v>none</v>
      </c>
      <c r="U17" s="62" t="e">
        <f t="shared" si="28"/>
        <v>#VALUE!</v>
      </c>
      <c r="V17" s="62">
        <f t="shared" si="29"/>
        <v>4</v>
      </c>
      <c r="W17" s="62" t="e">
        <f t="shared" si="30"/>
        <v>#VALUE!</v>
      </c>
      <c r="X17" s="62" t="e">
        <f t="shared" si="31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1" customHeight="1">
      <c r="A18" s="102">
        <v>40012016</v>
      </c>
      <c r="B18" s="99" t="s">
        <v>255</v>
      </c>
      <c r="C18" s="100">
        <v>3</v>
      </c>
      <c r="D18" s="100" t="s">
        <v>127</v>
      </c>
      <c r="E18" s="101" t="s">
        <v>342</v>
      </c>
      <c r="F18" s="101" t="s">
        <v>349</v>
      </c>
      <c r="G18" s="62" t="str">
        <f t="shared" si="17"/>
        <v>[effect:fix_speed, target:myself, turn:1]</v>
      </c>
      <c r="H18" s="62">
        <f t="shared" si="18"/>
        <v>9</v>
      </c>
      <c r="I18" s="62">
        <f t="shared" si="19"/>
        <v>18</v>
      </c>
      <c r="J18" s="62">
        <f t="shared" si="20"/>
        <v>27</v>
      </c>
      <c r="K18" s="62">
        <f t="shared" si="21"/>
        <v>33</v>
      </c>
      <c r="L18" s="62" t="str">
        <f>IFERROR(VLOOKUP(MID(G18,J18,K18-J18),[6]skilldef!$C:$D,2,FALSE),"-") &amp; " / " &amp; IFERROR(VLOOKUP(MID(G18,H18,I18-H18),[6]skilldef!$A:$B,2,FALSE),"-")</f>
        <v>自分自身に / 行動値設定</v>
      </c>
      <c r="M18" s="62" t="str">
        <f t="shared" si="22"/>
        <v>none</v>
      </c>
      <c r="N18" s="48" t="str">
        <f>IFERROR(LEFT(M18,FIND("],",M18)+S28),M18)</f>
        <v>none</v>
      </c>
      <c r="O18" s="62" t="e">
        <f t="shared" si="23"/>
        <v>#VALUE!</v>
      </c>
      <c r="P18" s="62">
        <f t="shared" si="24"/>
        <v>4</v>
      </c>
      <c r="Q18" s="62" t="e">
        <f t="shared" si="25"/>
        <v>#VALUE!</v>
      </c>
      <c r="R18" s="62" t="e">
        <f t="shared" si="26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8" t="str">
        <f t="shared" si="27"/>
        <v>none</v>
      </c>
      <c r="U18" s="62" t="e">
        <f t="shared" si="28"/>
        <v>#VALUE!</v>
      </c>
      <c r="V18" s="62">
        <f t="shared" si="29"/>
        <v>4</v>
      </c>
      <c r="W18" s="62" t="e">
        <f t="shared" si="30"/>
        <v>#VALUE!</v>
      </c>
      <c r="X18" s="62" t="e">
        <f t="shared" si="31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1" customHeight="1">
      <c r="A19" s="102">
        <v>40012017</v>
      </c>
      <c r="B19" s="99" t="s">
        <v>262</v>
      </c>
      <c r="C19" s="100">
        <v>3</v>
      </c>
      <c r="D19" s="100" t="s">
        <v>127</v>
      </c>
      <c r="E19" s="101" t="s">
        <v>233</v>
      </c>
      <c r="F19" s="101" t="s">
        <v>251</v>
      </c>
      <c r="G19" s="62" t="str">
        <f t="shared" si="17"/>
        <v>[effect:critical, val:1.2]</v>
      </c>
      <c r="H19" s="62">
        <f t="shared" si="18"/>
        <v>9</v>
      </c>
      <c r="I19" s="62">
        <f t="shared" si="19"/>
        <v>17</v>
      </c>
      <c r="J19" s="62" t="e">
        <f t="shared" si="20"/>
        <v>#VALUE!</v>
      </c>
      <c r="K19" s="62" t="e">
        <f t="shared" si="21"/>
        <v>#VALUE!</v>
      </c>
      <c r="L19" s="62" t="str">
        <f>IFERROR(VLOOKUP(MID(G19,J19,K19-J19),[6]skilldef!$C:$D,2,FALSE),"-") &amp; " / " &amp; IFERROR(VLOOKUP(MID(G19,H19,I19-H19),[6]skilldef!$A:$B,2,FALSE),"-")</f>
        <v>- / 大攻撃</v>
      </c>
      <c r="M19" s="62" t="str">
        <f t="shared" si="22"/>
        <v>none</v>
      </c>
      <c r="N19" s="48" t="str">
        <f>IFERROR(LEFT(M19,FIND("],",M19)+S29),M19)</f>
        <v>none</v>
      </c>
      <c r="O19" s="62" t="e">
        <f t="shared" si="23"/>
        <v>#VALUE!</v>
      </c>
      <c r="P19" s="62">
        <f t="shared" si="24"/>
        <v>4</v>
      </c>
      <c r="Q19" s="62" t="e">
        <f t="shared" si="25"/>
        <v>#VALUE!</v>
      </c>
      <c r="R19" s="62" t="e">
        <f t="shared" si="26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8" t="str">
        <f t="shared" si="27"/>
        <v>none</v>
      </c>
      <c r="U19" s="62" t="e">
        <f t="shared" si="28"/>
        <v>#VALUE!</v>
      </c>
      <c r="V19" s="62">
        <f t="shared" si="29"/>
        <v>4</v>
      </c>
      <c r="W19" s="62" t="e">
        <f t="shared" si="30"/>
        <v>#VALUE!</v>
      </c>
      <c r="X19" s="62" t="e">
        <f t="shared" si="31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>
      <c r="A20" s="102">
        <v>40012018</v>
      </c>
      <c r="B20" s="99" t="s">
        <v>260</v>
      </c>
      <c r="C20" s="100">
        <v>3</v>
      </c>
      <c r="D20" s="100" t="s">
        <v>127</v>
      </c>
      <c r="E20" s="101" t="s">
        <v>234</v>
      </c>
      <c r="F20" s="101" t="s">
        <v>225</v>
      </c>
      <c r="G20" s="62" t="str">
        <f t="shared" si="17"/>
        <v>[effect:rush, count:5, val:0.3]</v>
      </c>
      <c r="H20" s="62">
        <f t="shared" si="18"/>
        <v>9</v>
      </c>
      <c r="I20" s="62">
        <f t="shared" si="19"/>
        <v>13</v>
      </c>
      <c r="J20" s="62" t="e">
        <f t="shared" si="20"/>
        <v>#VALUE!</v>
      </c>
      <c r="K20" s="62">
        <f t="shared" si="21"/>
        <v>22</v>
      </c>
      <c r="L20" s="62" t="str">
        <f>IFERROR(VLOOKUP(MID(G20,J20,K20-J20),[6]skilldef!$C:$D,2,FALSE),"-") &amp; " / " &amp; IFERROR(VLOOKUP(MID(G20,H20,I20-H20),[6]skilldef!$A:$B,2,FALSE),"-")</f>
        <v>- / 連続攻撃</v>
      </c>
      <c r="M20" s="62" t="str">
        <f t="shared" si="22"/>
        <v>none</v>
      </c>
      <c r="N20" s="48" t="str">
        <f>IFERROR(LEFT(M20,FIND("],",M20)+#REF!),M20)</f>
        <v>none</v>
      </c>
      <c r="O20" s="62" t="e">
        <f t="shared" si="23"/>
        <v>#VALUE!</v>
      </c>
      <c r="P20" s="62">
        <f t="shared" si="24"/>
        <v>4</v>
      </c>
      <c r="Q20" s="62" t="e">
        <f t="shared" si="25"/>
        <v>#VALUE!</v>
      </c>
      <c r="R20" s="62" t="e">
        <f t="shared" si="26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8" t="str">
        <f t="shared" si="27"/>
        <v>none</v>
      </c>
      <c r="U20" s="62" t="e">
        <f t="shared" si="28"/>
        <v>#VALUE!</v>
      </c>
      <c r="V20" s="62">
        <f t="shared" si="29"/>
        <v>4</v>
      </c>
      <c r="W20" s="62" t="e">
        <f t="shared" si="30"/>
        <v>#VALUE!</v>
      </c>
      <c r="X20" s="62" t="e">
        <f t="shared" si="31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1" customHeight="1">
      <c r="A21" s="102">
        <v>40012019</v>
      </c>
      <c r="B21" s="99" t="s">
        <v>273</v>
      </c>
      <c r="C21" s="100">
        <v>3</v>
      </c>
      <c r="D21" s="100" t="s">
        <v>127</v>
      </c>
      <c r="E21" s="101" t="s">
        <v>375</v>
      </c>
      <c r="F21" s="101" t="s">
        <v>274</v>
      </c>
      <c r="G21" s="62" t="str">
        <f t="shared" si="17"/>
        <v>[effect:hungup, target:unit_all, turn:3, rate:1, animation:hungup01]</v>
      </c>
      <c r="H21" s="62">
        <f t="shared" si="18"/>
        <v>9</v>
      </c>
      <c r="I21" s="62">
        <f t="shared" si="19"/>
        <v>15</v>
      </c>
      <c r="J21" s="62">
        <f t="shared" si="20"/>
        <v>24</v>
      </c>
      <c r="K21" s="62">
        <f t="shared" si="21"/>
        <v>32</v>
      </c>
      <c r="L21" s="62" t="str">
        <f>IFERROR(VLOOKUP(MID(G21,J21,K21-J21),[6]skilldef!$C:$D,2,FALSE),"-") &amp; " / " &amp; IFERROR(VLOOKUP(MID(G21,H21,I21-H21),[6]skilldef!$A:$B,2,FALSE),"-")</f>
        <v>味方全体に / ハングアップ</v>
      </c>
      <c r="M21" s="62" t="str">
        <f t="shared" si="22"/>
        <v>none</v>
      </c>
      <c r="N21" s="48" t="str">
        <f>IFERROR(LEFT(M21,FIND("],",M21)+#REF!),M21)</f>
        <v>none</v>
      </c>
      <c r="O21" s="62" t="e">
        <f t="shared" si="23"/>
        <v>#VALUE!</v>
      </c>
      <c r="P21" s="62">
        <f t="shared" si="24"/>
        <v>4</v>
      </c>
      <c r="Q21" s="62" t="e">
        <f t="shared" si="25"/>
        <v>#VALUE!</v>
      </c>
      <c r="R21" s="62" t="e">
        <f t="shared" si="26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8" t="str">
        <f t="shared" si="27"/>
        <v>none</v>
      </c>
      <c r="U21" s="62" t="e">
        <f t="shared" si="28"/>
        <v>#VALUE!</v>
      </c>
      <c r="V21" s="62">
        <f t="shared" si="29"/>
        <v>4</v>
      </c>
      <c r="W21" s="62" t="e">
        <f t="shared" si="30"/>
        <v>#VALUE!</v>
      </c>
      <c r="X21" s="62" t="e">
        <f t="shared" si="31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21" customHeight="1">
      <c r="A22" s="102">
        <v>40012020</v>
      </c>
      <c r="B22" s="103" t="s">
        <v>314</v>
      </c>
      <c r="C22" s="104">
        <v>3</v>
      </c>
      <c r="D22" s="104" t="s">
        <v>127</v>
      </c>
      <c r="E22" s="105" t="s">
        <v>236</v>
      </c>
      <c r="F22" s="105" t="s">
        <v>343</v>
      </c>
      <c r="G22" s="62" t="str">
        <f t="shared" ref="G22:G38" si="32">IFERROR(LEFT(B22,FIND("],",B22)),B22)</f>
        <v>[effect:fix_speed, target:myself, turn:1]</v>
      </c>
      <c r="H22" s="62">
        <f t="shared" ref="H22:H38" si="33">FIND("effect:",G22)+7</f>
        <v>9</v>
      </c>
      <c r="I22" s="62">
        <f t="shared" ref="I22:I38" si="34">IFERROR(FIND(",",G22),LEN(G22))</f>
        <v>18</v>
      </c>
      <c r="J22" s="62">
        <f t="shared" ref="J22:J38" si="35">FIND("target:",G22)+7</f>
        <v>27</v>
      </c>
      <c r="K22" s="62">
        <f t="shared" ref="K22:K38" si="36">FIND(",",G22,I22+1)</f>
        <v>33</v>
      </c>
      <c r="L22" s="62" t="str">
        <f>IFERROR(VLOOKUP(MID(G22,J22,K22-J22),[6]skilldef!$C:$D,2,FALSE),"-") &amp; " / " &amp; IFERROR(VLOOKUP(MID(G22,H22,I22-H22),[6]skilldef!$A:$B,2,FALSE),"-")</f>
        <v>自分自身に / 行動値設定</v>
      </c>
      <c r="M22" s="62" t="str">
        <f t="shared" ref="M22:M38" si="37">IFERROR(RIGHT(B22,LEN(B22)-FIND("],",B22)-1),"none")</f>
        <v>none</v>
      </c>
      <c r="N22" s="48" t="str">
        <f>IFERROR(LEFT(M22,FIND("],",M22)+S35),M22)</f>
        <v>none</v>
      </c>
      <c r="O22" s="62" t="e">
        <f t="shared" ref="O22:O38" si="38">FIND("effect:",N22)+7</f>
        <v>#VALUE!</v>
      </c>
      <c r="P22" s="62">
        <f t="shared" ref="P22:P38" si="39">IFERROR(FIND(",",N22),LEN(N22))</f>
        <v>4</v>
      </c>
      <c r="Q22" s="62" t="e">
        <f t="shared" ref="Q22:Q38" si="40">FIND("target:",N22)+7</f>
        <v>#VALUE!</v>
      </c>
      <c r="R22" s="62" t="e">
        <f t="shared" ref="R22:R38" si="41">FIND(",",N22,P22+1)</f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8" t="str">
        <f t="shared" ref="T22:T38" si="42">IFERROR(RIGHT(M22,LEN(M22)-FIND("],",M22)-1),"none")</f>
        <v>none</v>
      </c>
      <c r="U22" s="62" t="e">
        <f t="shared" ref="U22:U38" si="43">FIND("effect:",T22)+7</f>
        <v>#VALUE!</v>
      </c>
      <c r="V22" s="62">
        <f t="shared" ref="V22:V38" si="44">IFERROR(FIND(",",T22),LEN(T22))</f>
        <v>4</v>
      </c>
      <c r="W22" s="62" t="e">
        <f t="shared" ref="W22:W38" si="45">FIND("target:",T22)+7</f>
        <v>#VALUE!</v>
      </c>
      <c r="X22" s="62" t="e">
        <f t="shared" ref="X22:X38" si="46">FIND(",",T22,V22+1)</f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21" customHeight="1">
      <c r="A23" s="102">
        <v>40012021</v>
      </c>
      <c r="B23" s="103" t="s">
        <v>261</v>
      </c>
      <c r="C23" s="104">
        <v>3</v>
      </c>
      <c r="D23" s="104" t="s">
        <v>127</v>
      </c>
      <c r="E23" s="105" t="s">
        <v>228</v>
      </c>
      <c r="F23" s="105" t="s">
        <v>227</v>
      </c>
      <c r="G23" s="62" t="str">
        <f t="shared" si="32"/>
        <v>[effect:rush, count:4, val:0.35]</v>
      </c>
      <c r="H23" s="62">
        <f t="shared" si="33"/>
        <v>9</v>
      </c>
      <c r="I23" s="62">
        <f t="shared" si="34"/>
        <v>13</v>
      </c>
      <c r="J23" s="62" t="e">
        <f t="shared" si="35"/>
        <v>#VALUE!</v>
      </c>
      <c r="K23" s="62">
        <f t="shared" si="36"/>
        <v>22</v>
      </c>
      <c r="L23" s="62" t="str">
        <f>IFERROR(VLOOKUP(MID(G23,J23,K23-J23),[6]skilldef!$C:$D,2,FALSE),"-") &amp; " / " &amp; IFERROR(VLOOKUP(MID(G23,H23,I23-H23),[6]skilldef!$A:$B,2,FALSE),"-")</f>
        <v>- / 連続攻撃</v>
      </c>
      <c r="M23" s="62" t="str">
        <f t="shared" si="37"/>
        <v>none</v>
      </c>
      <c r="N23" s="48" t="str">
        <f>IFERROR(LEFT(M23,FIND("],",M23)+S37),M23)</f>
        <v>none</v>
      </c>
      <c r="O23" s="62" t="e">
        <f t="shared" si="38"/>
        <v>#VALUE!</v>
      </c>
      <c r="P23" s="62">
        <f t="shared" si="39"/>
        <v>4</v>
      </c>
      <c r="Q23" s="62" t="e">
        <f t="shared" si="40"/>
        <v>#VALUE!</v>
      </c>
      <c r="R23" s="62" t="e">
        <f t="shared" si="41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8" t="str">
        <f t="shared" si="42"/>
        <v>none</v>
      </c>
      <c r="U23" s="62" t="e">
        <f t="shared" si="43"/>
        <v>#VALUE!</v>
      </c>
      <c r="V23" s="62">
        <f t="shared" si="44"/>
        <v>4</v>
      </c>
      <c r="W23" s="62" t="e">
        <f t="shared" si="45"/>
        <v>#VALUE!</v>
      </c>
      <c r="X23" s="62" t="e">
        <f t="shared" si="46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21" customHeight="1">
      <c r="A24" s="102">
        <v>40012022</v>
      </c>
      <c r="B24" s="103" t="s">
        <v>334</v>
      </c>
      <c r="C24" s="104">
        <v>3</v>
      </c>
      <c r="D24" s="104" t="s">
        <v>127</v>
      </c>
      <c r="E24" s="105" t="s">
        <v>229</v>
      </c>
      <c r="F24" s="105" t="s">
        <v>230</v>
      </c>
      <c r="G24" s="62" t="str">
        <f t="shared" si="32"/>
        <v>[effect:enhance_enemy, target:myself, turn:3, status:attack, val:0.5, animation:enemy_enhance_attack]</v>
      </c>
      <c r="H24" s="62">
        <f t="shared" si="33"/>
        <v>9</v>
      </c>
      <c r="I24" s="62">
        <f t="shared" si="34"/>
        <v>22</v>
      </c>
      <c r="J24" s="62">
        <f t="shared" si="35"/>
        <v>31</v>
      </c>
      <c r="K24" s="62">
        <f t="shared" si="36"/>
        <v>37</v>
      </c>
      <c r="L24" s="62" t="str">
        <f>IFERROR(VLOOKUP(MID(G24,J24,K24-J24),[6]skilldef!$C:$D,2,FALSE),"-") &amp; " / " &amp; IFERROR(VLOOKUP(MID(G24,H24,I24-H24),[6]skilldef!$A:$B,2,FALSE),"-")</f>
        <v>自分自身に / ステータス強化</v>
      </c>
      <c r="M24" s="62" t="str">
        <f t="shared" si="37"/>
        <v>none</v>
      </c>
      <c r="N24" s="48" t="str">
        <f>IFERROR(LEFT(M24,FIND("],",M24)+S38),M24)</f>
        <v>none</v>
      </c>
      <c r="O24" s="62" t="e">
        <f t="shared" si="38"/>
        <v>#VALUE!</v>
      </c>
      <c r="P24" s="62">
        <f t="shared" si="39"/>
        <v>4</v>
      </c>
      <c r="Q24" s="62" t="e">
        <f t="shared" si="40"/>
        <v>#VALUE!</v>
      </c>
      <c r="R24" s="62" t="e">
        <f t="shared" si="41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8" t="str">
        <f t="shared" si="42"/>
        <v>none</v>
      </c>
      <c r="U24" s="62" t="e">
        <f t="shared" si="43"/>
        <v>#VALUE!</v>
      </c>
      <c r="V24" s="62">
        <f t="shared" si="44"/>
        <v>4</v>
      </c>
      <c r="W24" s="62" t="e">
        <f t="shared" si="45"/>
        <v>#VALUE!</v>
      </c>
      <c r="X24" s="62" t="e">
        <f t="shared" si="46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21" customHeight="1">
      <c r="A25" s="102">
        <v>40012023</v>
      </c>
      <c r="B25" s="103" t="s">
        <v>315</v>
      </c>
      <c r="C25" s="104">
        <v>3</v>
      </c>
      <c r="D25" s="104" t="s">
        <v>127</v>
      </c>
      <c r="E25" s="105" t="s">
        <v>257</v>
      </c>
      <c r="F25" s="105" t="s">
        <v>232</v>
      </c>
      <c r="G25" s="62" t="str">
        <f t="shared" si="32"/>
        <v>[effect:nothing]</v>
      </c>
      <c r="H25" s="62">
        <f t="shared" si="33"/>
        <v>9</v>
      </c>
      <c r="I25" s="62">
        <f t="shared" si="34"/>
        <v>16</v>
      </c>
      <c r="J25" s="62" t="e">
        <f t="shared" si="35"/>
        <v>#VALUE!</v>
      </c>
      <c r="K25" s="62" t="e">
        <f t="shared" si="36"/>
        <v>#VALUE!</v>
      </c>
      <c r="L25" s="62" t="str">
        <f>IFERROR(VLOOKUP(MID(G25,J25,K25-J25),[6]skilldef!$C:$D,2,FALSE),"-") &amp; " / " &amp; IFERROR(VLOOKUP(MID(G25,H25,I25-H25),[6]skilldef!$A:$B,2,FALSE),"-")</f>
        <v>- / 何もしない</v>
      </c>
      <c r="M25" s="62" t="str">
        <f t="shared" si="37"/>
        <v>none</v>
      </c>
      <c r="N25" s="48" t="str">
        <f>IFERROR(LEFT(M25,FIND("],",M25)+#REF!),M25)</f>
        <v>none</v>
      </c>
      <c r="O25" s="62" t="e">
        <f t="shared" si="38"/>
        <v>#VALUE!</v>
      </c>
      <c r="P25" s="62">
        <f t="shared" si="39"/>
        <v>4</v>
      </c>
      <c r="Q25" s="62" t="e">
        <f t="shared" si="40"/>
        <v>#VALUE!</v>
      </c>
      <c r="R25" s="62" t="e">
        <f t="shared" si="41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8" t="str">
        <f t="shared" si="42"/>
        <v>none</v>
      </c>
      <c r="U25" s="62" t="e">
        <f t="shared" si="43"/>
        <v>#VALUE!</v>
      </c>
      <c r="V25" s="62">
        <f t="shared" si="44"/>
        <v>4</v>
      </c>
      <c r="W25" s="62" t="e">
        <f t="shared" si="45"/>
        <v>#VALUE!</v>
      </c>
      <c r="X25" s="62" t="e">
        <f t="shared" si="46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21" customHeight="1">
      <c r="A26" s="102">
        <v>40012024</v>
      </c>
      <c r="B26" s="103" t="s">
        <v>316</v>
      </c>
      <c r="C26" s="104">
        <v>3</v>
      </c>
      <c r="D26" s="104" t="s">
        <v>127</v>
      </c>
      <c r="E26" s="105" t="s">
        <v>258</v>
      </c>
      <c r="F26" s="105" t="s">
        <v>231</v>
      </c>
      <c r="G26" s="62" t="str">
        <f t="shared" ref="G26" si="47">IFERROR(LEFT(B26,FIND("],",B26)),B26)</f>
        <v>[effect:break_attack, val:0.4, lowest_val:1000, count:10, block:block_green, target:unit_one]</v>
      </c>
      <c r="H26" s="62">
        <f t="shared" ref="H26" si="48">FIND("effect:",G26)+7</f>
        <v>9</v>
      </c>
      <c r="I26" s="62">
        <f t="shared" ref="I26" si="49">IFERROR(FIND(",",G26),LEN(G26))</f>
        <v>21</v>
      </c>
      <c r="J26" s="62">
        <f t="shared" ref="J26" si="50">FIND("target:",G26)+7</f>
        <v>85</v>
      </c>
      <c r="K26" s="62">
        <f t="shared" ref="K26" si="51">FIND(",",G26,I26+1)</f>
        <v>30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ref="M26" si="52">IFERROR(RIGHT(B26,LEN(B26)-FIND("],",B26)-1),"none")</f>
        <v>none</v>
      </c>
      <c r="N26" s="48" t="str">
        <f>IFERROR(LEFT(M26,FIND("],",M26)+#REF!),M26)</f>
        <v>none</v>
      </c>
      <c r="O26" s="62" t="e">
        <f t="shared" ref="O26" si="53">FIND("effect:",N26)+7</f>
        <v>#VALUE!</v>
      </c>
      <c r="P26" s="62">
        <f t="shared" ref="P26" si="54">IFERROR(FIND(",",N26),LEN(N26))</f>
        <v>4</v>
      </c>
      <c r="Q26" s="62" t="e">
        <f t="shared" ref="Q26" si="55">FIND("target:",N26)+7</f>
        <v>#VALUE!</v>
      </c>
      <c r="R26" s="62" t="e">
        <f t="shared" ref="R26" si="56">FIND(",",N26,P26+1)</f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8" t="str">
        <f t="shared" ref="T26" si="57">IFERROR(RIGHT(M26,LEN(M26)-FIND("],",M26)-1),"none")</f>
        <v>none</v>
      </c>
      <c r="U26" s="62" t="e">
        <f t="shared" ref="U26" si="58">FIND("effect:",T26)+7</f>
        <v>#VALUE!</v>
      </c>
      <c r="V26" s="62">
        <f t="shared" ref="V26" si="59">IFERROR(FIND(",",T26),LEN(T26))</f>
        <v>4</v>
      </c>
      <c r="W26" s="62" t="e">
        <f t="shared" ref="W26" si="60">FIND("target:",T26)+7</f>
        <v>#VALUE!</v>
      </c>
      <c r="X26" s="62" t="e">
        <f t="shared" ref="X26" si="61">FIND(",",T26,V26+1)</f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1" customHeight="1">
      <c r="A27" s="102">
        <v>40012025</v>
      </c>
      <c r="B27" s="99" t="s">
        <v>319</v>
      </c>
      <c r="C27" s="100">
        <v>3</v>
      </c>
      <c r="D27" s="100" t="s">
        <v>127</v>
      </c>
      <c r="E27" s="101" t="s">
        <v>344</v>
      </c>
      <c r="F27" s="101" t="s">
        <v>235</v>
      </c>
      <c r="G27" s="62" t="str">
        <f t="shared" si="32"/>
        <v>[effect:fix_speed, target:myself, turn:2]</v>
      </c>
      <c r="H27" s="62">
        <f t="shared" si="33"/>
        <v>9</v>
      </c>
      <c r="I27" s="62">
        <f t="shared" si="34"/>
        <v>18</v>
      </c>
      <c r="J27" s="62">
        <f t="shared" si="35"/>
        <v>27</v>
      </c>
      <c r="K27" s="62">
        <f t="shared" si="36"/>
        <v>33</v>
      </c>
      <c r="L27" s="62" t="str">
        <f>IFERROR(VLOOKUP(MID(G27,J27,K27-J27),[6]skilldef!$C:$D,2,FALSE),"-") &amp; " / " &amp; IFERROR(VLOOKUP(MID(G27,H27,I27-H27),[6]skilldef!$A:$B,2,FALSE),"-")</f>
        <v>自分自身に / 行動値設定</v>
      </c>
      <c r="M27" s="62" t="str">
        <f t="shared" si="37"/>
        <v>none</v>
      </c>
      <c r="N27" s="48" t="str">
        <f t="shared" ref="N27:N34" si="62">IFERROR(LEFT(M27,FIND("],",M27)+S39),M27)</f>
        <v>none</v>
      </c>
      <c r="O27" s="62" t="e">
        <f t="shared" si="38"/>
        <v>#VALUE!</v>
      </c>
      <c r="P27" s="62">
        <f t="shared" si="39"/>
        <v>4</v>
      </c>
      <c r="Q27" s="62" t="e">
        <f t="shared" si="40"/>
        <v>#VALUE!</v>
      </c>
      <c r="R27" s="62" t="e">
        <f t="shared" si="41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8" t="str">
        <f t="shared" si="42"/>
        <v>none</v>
      </c>
      <c r="U27" s="62" t="e">
        <f t="shared" si="43"/>
        <v>#VALUE!</v>
      </c>
      <c r="V27" s="62">
        <f t="shared" si="44"/>
        <v>4</v>
      </c>
      <c r="W27" s="62" t="e">
        <f t="shared" si="45"/>
        <v>#VALUE!</v>
      </c>
      <c r="X27" s="62" t="e">
        <f t="shared" si="46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21" customHeight="1">
      <c r="A28" s="102">
        <v>40012026</v>
      </c>
      <c r="B28" s="99" t="s">
        <v>300</v>
      </c>
      <c r="C28" s="100">
        <v>3</v>
      </c>
      <c r="D28" s="100" t="s">
        <v>127</v>
      </c>
      <c r="E28" s="101" t="s">
        <v>244</v>
      </c>
      <c r="F28" s="101" t="s">
        <v>296</v>
      </c>
      <c r="G28" s="62" t="str">
        <f t="shared" si="32"/>
        <v>[effect:degrade_unit, target:unit_all, turn:5, status:attack, val:0.44]</v>
      </c>
      <c r="H28" s="62">
        <f t="shared" si="33"/>
        <v>9</v>
      </c>
      <c r="I28" s="62">
        <f t="shared" si="34"/>
        <v>21</v>
      </c>
      <c r="J28" s="62">
        <f t="shared" si="35"/>
        <v>30</v>
      </c>
      <c r="K28" s="62">
        <f t="shared" si="36"/>
        <v>38</v>
      </c>
      <c r="L28" s="62" t="str">
        <f>IFERROR(VLOOKUP(MID(G28,J28,K28-J28),[6]skilldef!$C:$D,2,FALSE),"-") &amp; " / " &amp; IFERROR(VLOOKUP(MID(G28,H28,I28-H28),[6]skilldef!$A:$B,2,FALSE),"-")</f>
        <v>味方全体に / ステータスDOWN</v>
      </c>
      <c r="M28" s="62" t="str">
        <f t="shared" si="37"/>
        <v>[effect:rush, count:1, val:1.0]</v>
      </c>
      <c r="N28" s="48" t="str">
        <f t="shared" si="62"/>
        <v>[effect:rush, count:1, val:1.0]</v>
      </c>
      <c r="O28" s="62">
        <f t="shared" si="38"/>
        <v>9</v>
      </c>
      <c r="P28" s="62">
        <f t="shared" si="39"/>
        <v>13</v>
      </c>
      <c r="Q28" s="62" t="e">
        <f t="shared" si="40"/>
        <v>#VALUE!</v>
      </c>
      <c r="R28" s="62">
        <f t="shared" si="41"/>
        <v>22</v>
      </c>
      <c r="S28" s="62" t="str">
        <f>IFERROR(VLOOKUP(MID(N28,Q28,R28-Q28),[6]skilldef!$C:$D,2,FALSE),"-") &amp; " / " &amp; IFERROR(VLOOKUP(MID(N28,O28,P28-O28),[6]skilldef!$A:$B,2,FALSE),"-")</f>
        <v>- / 連続攻撃</v>
      </c>
      <c r="T28" s="48" t="str">
        <f t="shared" si="42"/>
        <v>none</v>
      </c>
      <c r="U28" s="62" t="e">
        <f t="shared" si="43"/>
        <v>#VALUE!</v>
      </c>
      <c r="V28" s="62">
        <f t="shared" si="44"/>
        <v>4</v>
      </c>
      <c r="W28" s="62" t="e">
        <f t="shared" si="45"/>
        <v>#VALUE!</v>
      </c>
      <c r="X28" s="62" t="e">
        <f t="shared" si="46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1" customHeight="1">
      <c r="A29" s="102">
        <v>40012027</v>
      </c>
      <c r="B29" s="99" t="s">
        <v>301</v>
      </c>
      <c r="C29" s="100">
        <v>3</v>
      </c>
      <c r="D29" s="100" t="s">
        <v>127</v>
      </c>
      <c r="E29" s="101" t="s">
        <v>245</v>
      </c>
      <c r="F29" s="101" t="s">
        <v>297</v>
      </c>
      <c r="G29" s="62" t="str">
        <f t="shared" si="32"/>
        <v>[effect:degrade_unit, target:unit_all, turn:5, status:heal, val:0.44, animation:degrade_unit_all_heal]</v>
      </c>
      <c r="H29" s="62">
        <f t="shared" si="33"/>
        <v>9</v>
      </c>
      <c r="I29" s="62">
        <f t="shared" si="34"/>
        <v>21</v>
      </c>
      <c r="J29" s="62">
        <f t="shared" si="35"/>
        <v>30</v>
      </c>
      <c r="K29" s="62">
        <f t="shared" si="36"/>
        <v>38</v>
      </c>
      <c r="L29" s="62" t="str">
        <f>IFERROR(VLOOKUP(MID(G29,J29,K29-J29),[6]skilldef!$C:$D,2,FALSE),"-") &amp; " / " &amp; IFERROR(VLOOKUP(MID(G29,H29,I29-H29),[6]skilldef!$A:$B,2,FALSE),"-")</f>
        <v>味方全体に / ステータスDOWN</v>
      </c>
      <c r="M29" s="62" t="str">
        <f t="shared" si="37"/>
        <v>[effect:rush, count:1, val:1.0]</v>
      </c>
      <c r="N29" s="48" t="str">
        <f t="shared" si="62"/>
        <v>[effect:rush, count:1, val:1.0]</v>
      </c>
      <c r="O29" s="62">
        <f t="shared" si="38"/>
        <v>9</v>
      </c>
      <c r="P29" s="62">
        <f t="shared" si="39"/>
        <v>13</v>
      </c>
      <c r="Q29" s="62" t="e">
        <f t="shared" si="40"/>
        <v>#VALUE!</v>
      </c>
      <c r="R29" s="62">
        <f t="shared" si="41"/>
        <v>22</v>
      </c>
      <c r="S29" s="62" t="str">
        <f>IFERROR(VLOOKUP(MID(N29,Q29,R29-Q29),[6]skilldef!$C:$D,2,FALSE),"-") &amp; " / " &amp; IFERROR(VLOOKUP(MID(N29,O29,P29-O29),[6]skilldef!$A:$B,2,FALSE),"-")</f>
        <v>- / 連続攻撃</v>
      </c>
      <c r="T29" s="48" t="str">
        <f t="shared" si="42"/>
        <v>none</v>
      </c>
      <c r="U29" s="62" t="e">
        <f t="shared" si="43"/>
        <v>#VALUE!</v>
      </c>
      <c r="V29" s="62">
        <f t="shared" si="44"/>
        <v>4</v>
      </c>
      <c r="W29" s="62" t="e">
        <f t="shared" si="45"/>
        <v>#VALUE!</v>
      </c>
      <c r="X29" s="62" t="e">
        <f t="shared" si="46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21" customHeight="1">
      <c r="A30" s="102">
        <v>40012028</v>
      </c>
      <c r="B30" s="99" t="s">
        <v>302</v>
      </c>
      <c r="C30" s="100">
        <v>3</v>
      </c>
      <c r="D30" s="100" t="s">
        <v>127</v>
      </c>
      <c r="E30" s="101" t="s">
        <v>246</v>
      </c>
      <c r="F30" s="101" t="s">
        <v>298</v>
      </c>
      <c r="G30" s="62" t="str">
        <f t="shared" ref="G30:G33" si="63">IFERROR(LEFT(B30,FIND("],",B30)),B30)</f>
        <v>[effect:degrade_unit, target:unit_all, turn:4, status:attack, val:0.55]</v>
      </c>
      <c r="H30" s="62">
        <f t="shared" ref="H30:H33" si="64">FIND("effect:",G30)+7</f>
        <v>9</v>
      </c>
      <c r="I30" s="62">
        <f t="shared" ref="I30:I33" si="65">IFERROR(FIND(",",G30),LEN(G30))</f>
        <v>21</v>
      </c>
      <c r="J30" s="62">
        <f t="shared" ref="J30:J33" si="66">FIND("target:",G30)+7</f>
        <v>30</v>
      </c>
      <c r="K30" s="62">
        <f t="shared" ref="K30:K33" si="67">FIND(",",G30,I30+1)</f>
        <v>38</v>
      </c>
      <c r="L30" s="62" t="str">
        <f>IFERROR(VLOOKUP(MID(G30,J30,K30-J30),[6]skilldef!$C:$D,2,FALSE),"-") &amp; " / " &amp; IFERROR(VLOOKUP(MID(G30,H30,I30-H30),[6]skilldef!$A:$B,2,FALSE),"-")</f>
        <v>味方全体に / ステータスDOWN</v>
      </c>
      <c r="M30" s="62" t="str">
        <f t="shared" ref="M30:M33" si="68">IFERROR(RIGHT(B30,LEN(B30)-FIND("],",B30)-1),"none")</f>
        <v>[effect:rush, count:1, val:1.0]</v>
      </c>
      <c r="N30" s="48" t="str">
        <f t="shared" si="62"/>
        <v>[effect:rush, count:1, val:1.0]</v>
      </c>
      <c r="O30" s="62">
        <f t="shared" ref="O30:O33" si="69">FIND("effect:",N30)+7</f>
        <v>9</v>
      </c>
      <c r="P30" s="62">
        <f t="shared" ref="P30:P33" si="70">IFERROR(FIND(",",N30),LEN(N30))</f>
        <v>13</v>
      </c>
      <c r="Q30" s="62" t="e">
        <f t="shared" ref="Q30:Q33" si="71">FIND("target:",N30)+7</f>
        <v>#VALUE!</v>
      </c>
      <c r="R30" s="62">
        <f t="shared" ref="R30:R33" si="72">FIND(",",N30,P30+1)</f>
        <v>22</v>
      </c>
      <c r="S30" s="62" t="str">
        <f>IFERROR(VLOOKUP(MID(N30,Q30,R30-Q30),[6]skilldef!$C:$D,2,FALSE),"-") &amp; " / " &amp; IFERROR(VLOOKUP(MID(N30,O30,P30-O30),[6]skilldef!$A:$B,2,FALSE),"-")</f>
        <v>- / 連続攻撃</v>
      </c>
      <c r="T30" s="48" t="str">
        <f t="shared" ref="T30:T33" si="73">IFERROR(RIGHT(M30,LEN(M30)-FIND("],",M30)-1),"none")</f>
        <v>none</v>
      </c>
      <c r="U30" s="62" t="e">
        <f t="shared" ref="U30:U33" si="74">FIND("effect:",T30)+7</f>
        <v>#VALUE!</v>
      </c>
      <c r="V30" s="62">
        <f t="shared" ref="V30:V33" si="75">IFERROR(FIND(",",T30),LEN(T30))</f>
        <v>4</v>
      </c>
      <c r="W30" s="62" t="e">
        <f t="shared" ref="W30:W33" si="76">FIND("target:",T30)+7</f>
        <v>#VALUE!</v>
      </c>
      <c r="X30" s="62" t="e">
        <f t="shared" ref="X30:X33" si="77">FIND(",",T30,V30+1)</f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21" customHeight="1">
      <c r="A31" s="102">
        <v>40012029</v>
      </c>
      <c r="B31" s="99" t="s">
        <v>303</v>
      </c>
      <c r="C31" s="100">
        <v>3</v>
      </c>
      <c r="D31" s="100" t="s">
        <v>127</v>
      </c>
      <c r="E31" s="101" t="s">
        <v>247</v>
      </c>
      <c r="F31" s="101" t="s">
        <v>299</v>
      </c>
      <c r="G31" s="62" t="str">
        <f t="shared" si="63"/>
        <v>[effect:degrade_unit, target:unit_all, turn:4, status:heal, val:0.55, animation:degrade_unit_all_heal]</v>
      </c>
      <c r="H31" s="62">
        <f t="shared" si="64"/>
        <v>9</v>
      </c>
      <c r="I31" s="62">
        <f t="shared" si="65"/>
        <v>21</v>
      </c>
      <c r="J31" s="62">
        <f t="shared" si="66"/>
        <v>30</v>
      </c>
      <c r="K31" s="62">
        <f t="shared" si="67"/>
        <v>38</v>
      </c>
      <c r="L31" s="62" t="str">
        <f>IFERROR(VLOOKUP(MID(G31,J31,K31-J31),[6]skilldef!$C:$D,2,FALSE),"-") &amp; " / " &amp; IFERROR(VLOOKUP(MID(G31,H31,I31-H31),[6]skilldef!$A:$B,2,FALSE),"-")</f>
        <v>味方全体に / ステータスDOWN</v>
      </c>
      <c r="M31" s="62" t="str">
        <f t="shared" si="68"/>
        <v>[effect:rush, count:1, val:1.0]</v>
      </c>
      <c r="N31" s="48" t="str">
        <f t="shared" si="62"/>
        <v>[effect:rush, count:1, val:1.0]</v>
      </c>
      <c r="O31" s="62">
        <f t="shared" si="69"/>
        <v>9</v>
      </c>
      <c r="P31" s="62">
        <f t="shared" si="70"/>
        <v>13</v>
      </c>
      <c r="Q31" s="62" t="e">
        <f t="shared" si="71"/>
        <v>#VALUE!</v>
      </c>
      <c r="R31" s="62">
        <f t="shared" si="72"/>
        <v>22</v>
      </c>
      <c r="S31" s="62" t="str">
        <f>IFERROR(VLOOKUP(MID(N31,Q31,R31-Q31),[6]skilldef!$C:$D,2,FALSE),"-") &amp; " / " &amp; IFERROR(VLOOKUP(MID(N31,O31,P31-O31),[6]skilldef!$A:$B,2,FALSE),"-")</f>
        <v>- / 連続攻撃</v>
      </c>
      <c r="T31" s="48" t="str">
        <f t="shared" si="73"/>
        <v>none</v>
      </c>
      <c r="U31" s="62" t="e">
        <f t="shared" si="74"/>
        <v>#VALUE!</v>
      </c>
      <c r="V31" s="62">
        <f t="shared" si="75"/>
        <v>4</v>
      </c>
      <c r="W31" s="62" t="e">
        <f t="shared" si="76"/>
        <v>#VALUE!</v>
      </c>
      <c r="X31" s="62" t="e">
        <f t="shared" si="77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" customHeight="1">
      <c r="A32" s="102">
        <v>40012030</v>
      </c>
      <c r="B32" s="99" t="s">
        <v>304</v>
      </c>
      <c r="C32" s="100">
        <v>3</v>
      </c>
      <c r="D32" s="100" t="s">
        <v>127</v>
      </c>
      <c r="E32" s="106" t="s">
        <v>248</v>
      </c>
      <c r="F32" s="101" t="s">
        <v>253</v>
      </c>
      <c r="G32" s="62" t="str">
        <f t="shared" si="63"/>
        <v>[effect:degrade_unit, target:unit_all, turn:3, status:attack, val:0.66]</v>
      </c>
      <c r="H32" s="62">
        <f t="shared" si="64"/>
        <v>9</v>
      </c>
      <c r="I32" s="62">
        <f t="shared" si="65"/>
        <v>21</v>
      </c>
      <c r="J32" s="62">
        <f t="shared" si="66"/>
        <v>30</v>
      </c>
      <c r="K32" s="62">
        <f t="shared" si="67"/>
        <v>38</v>
      </c>
      <c r="L32" s="62" t="str">
        <f>IFERROR(VLOOKUP(MID(G32,J32,K32-J32),[6]skilldef!$C:$D,2,FALSE),"-") &amp; " / " &amp; IFERROR(VLOOKUP(MID(G32,H32,I32-H32),[6]skilldef!$A:$B,2,FALSE),"-")</f>
        <v>味方全体に / ステータスDOWN</v>
      </c>
      <c r="M32" s="62" t="str">
        <f t="shared" si="68"/>
        <v>[effect:rush, count:1, val:1.5]</v>
      </c>
      <c r="N32" s="48" t="str">
        <f t="shared" si="62"/>
        <v>[effect:rush, count:1, val:1.5]</v>
      </c>
      <c r="O32" s="62">
        <f t="shared" si="69"/>
        <v>9</v>
      </c>
      <c r="P32" s="62">
        <f t="shared" si="70"/>
        <v>13</v>
      </c>
      <c r="Q32" s="62" t="e">
        <f t="shared" si="71"/>
        <v>#VALUE!</v>
      </c>
      <c r="R32" s="62">
        <f t="shared" si="72"/>
        <v>22</v>
      </c>
      <c r="S32" s="62" t="str">
        <f>IFERROR(VLOOKUP(MID(N32,Q32,R32-Q32),[6]skilldef!$C:$D,2,FALSE),"-") &amp; " / " &amp; IFERROR(VLOOKUP(MID(N32,O32,P32-O32),[6]skilldef!$A:$B,2,FALSE),"-")</f>
        <v>- / 連続攻撃</v>
      </c>
      <c r="T32" s="48" t="str">
        <f t="shared" si="73"/>
        <v>none</v>
      </c>
      <c r="U32" s="62" t="e">
        <f t="shared" si="74"/>
        <v>#VALUE!</v>
      </c>
      <c r="V32" s="62">
        <f t="shared" si="75"/>
        <v>4</v>
      </c>
      <c r="W32" s="62" t="e">
        <f t="shared" si="76"/>
        <v>#VALUE!</v>
      </c>
      <c r="X32" s="62" t="e">
        <f t="shared" si="77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21" customHeight="1">
      <c r="A33" s="102">
        <v>40012031</v>
      </c>
      <c r="B33" s="99" t="s">
        <v>305</v>
      </c>
      <c r="C33" s="100">
        <v>3</v>
      </c>
      <c r="D33" s="100" t="s">
        <v>127</v>
      </c>
      <c r="E33" s="107" t="s">
        <v>249</v>
      </c>
      <c r="F33" s="101" t="s">
        <v>254</v>
      </c>
      <c r="G33" s="62" t="str">
        <f t="shared" si="63"/>
        <v>[effect:degrade_unit, target:unit_all, turn:3, status:heal, val:0.66, animation:degrade_unit_all_heal]</v>
      </c>
      <c r="H33" s="62">
        <f t="shared" si="64"/>
        <v>9</v>
      </c>
      <c r="I33" s="62">
        <f t="shared" si="65"/>
        <v>21</v>
      </c>
      <c r="J33" s="62">
        <f t="shared" si="66"/>
        <v>30</v>
      </c>
      <c r="K33" s="62">
        <f t="shared" si="67"/>
        <v>38</v>
      </c>
      <c r="L33" s="62" t="str">
        <f>IFERROR(VLOOKUP(MID(G33,J33,K33-J33),[6]skilldef!$C:$D,2,FALSE),"-") &amp; " / " &amp; IFERROR(VLOOKUP(MID(G33,H33,I33-H33),[6]skilldef!$A:$B,2,FALSE),"-")</f>
        <v>味方全体に / ステータスDOWN</v>
      </c>
      <c r="M33" s="62" t="str">
        <f t="shared" si="68"/>
        <v>[effect:rush, count:1, val:1.5]</v>
      </c>
      <c r="N33" s="48" t="str">
        <f t="shared" si="62"/>
        <v>[effect:rush, count:1, val:1.5]</v>
      </c>
      <c r="O33" s="62">
        <f t="shared" si="69"/>
        <v>9</v>
      </c>
      <c r="P33" s="62">
        <f t="shared" si="70"/>
        <v>13</v>
      </c>
      <c r="Q33" s="62" t="e">
        <f t="shared" si="71"/>
        <v>#VALUE!</v>
      </c>
      <c r="R33" s="62">
        <f t="shared" si="72"/>
        <v>22</v>
      </c>
      <c r="S33" s="62" t="str">
        <f>IFERROR(VLOOKUP(MID(N33,Q33,R33-Q33),[6]skilldef!$C:$D,2,FALSE),"-") &amp; " / " &amp; IFERROR(VLOOKUP(MID(N33,O33,P33-O33),[6]skilldef!$A:$B,2,FALSE),"-")</f>
        <v>- / 連続攻撃</v>
      </c>
      <c r="T33" s="48" t="str">
        <f t="shared" si="73"/>
        <v>none</v>
      </c>
      <c r="U33" s="62" t="e">
        <f t="shared" si="74"/>
        <v>#VALUE!</v>
      </c>
      <c r="V33" s="62">
        <f t="shared" si="75"/>
        <v>4</v>
      </c>
      <c r="W33" s="62" t="e">
        <f t="shared" si="76"/>
        <v>#VALUE!</v>
      </c>
      <c r="X33" s="62" t="e">
        <f t="shared" si="77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21" customHeight="1">
      <c r="A34" s="102">
        <v>40012032</v>
      </c>
      <c r="B34" s="99" t="s">
        <v>336</v>
      </c>
      <c r="C34" s="100">
        <v>3</v>
      </c>
      <c r="D34" s="100" t="s">
        <v>127</v>
      </c>
      <c r="E34" s="107" t="s">
        <v>373</v>
      </c>
      <c r="F34" s="101" t="s">
        <v>335</v>
      </c>
      <c r="G34" s="62" t="str">
        <f t="shared" ref="G34" si="78">IFERROR(LEFT(B34,FIND("],",B34)),B34)</f>
        <v>[effect:freq_turn, target:myself, turn:3, val:1, animation:enemy_freq_turn]</v>
      </c>
      <c r="H34" s="62">
        <f t="shared" ref="H34" si="79">FIND("effect:",G34)+7</f>
        <v>9</v>
      </c>
      <c r="I34" s="62">
        <f t="shared" ref="I34" si="80">IFERROR(FIND(",",G34),LEN(G34))</f>
        <v>18</v>
      </c>
      <c r="J34" s="62">
        <f t="shared" ref="J34" si="81">FIND("target:",G34)+7</f>
        <v>27</v>
      </c>
      <c r="K34" s="62">
        <f t="shared" ref="K34" si="82">FIND(",",G34,I34+1)</f>
        <v>33</v>
      </c>
      <c r="L34" s="62" t="str">
        <f>IFERROR(VLOOKUP(MID(G34,J34,K34-J34),[6]skilldef!$C:$D,2,FALSE),"-") &amp; " / " &amp; IFERROR(VLOOKUP(MID(G34,H34,I34-H34),[6]skilldef!$A:$B,2,FALSE),"-")</f>
        <v>自分自身に / 攻撃頻度がUP</v>
      </c>
      <c r="M34" s="62" t="str">
        <f t="shared" ref="M34" si="83">IFERROR(RIGHT(B34,LEN(B34)-FIND("],",B34)-1),"none")</f>
        <v>none</v>
      </c>
      <c r="N34" s="48" t="str">
        <f t="shared" si="62"/>
        <v>none</v>
      </c>
      <c r="O34" s="62" t="e">
        <f t="shared" ref="O34" si="84">FIND("effect:",N34)+7</f>
        <v>#VALUE!</v>
      </c>
      <c r="P34" s="62">
        <f t="shared" ref="P34" si="85">IFERROR(FIND(",",N34),LEN(N34))</f>
        <v>4</v>
      </c>
      <c r="Q34" s="62" t="e">
        <f t="shared" ref="Q34" si="86">FIND("target:",N34)+7</f>
        <v>#VALUE!</v>
      </c>
      <c r="R34" s="62" t="e">
        <f t="shared" ref="R34" si="87">FIND(",",N34,P34+1)</f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ref="T34" si="88">IFERROR(RIGHT(M34,LEN(M34)-FIND("],",M34)-1),"none")</f>
        <v>none</v>
      </c>
      <c r="U34" s="62" t="e">
        <f t="shared" ref="U34" si="89">FIND("effect:",T34)+7</f>
        <v>#VALUE!</v>
      </c>
      <c r="V34" s="62">
        <f t="shared" ref="V34" si="90">IFERROR(FIND(",",T34),LEN(T34))</f>
        <v>4</v>
      </c>
      <c r="W34" s="62" t="e">
        <f t="shared" ref="W34" si="91">FIND("target:",T34)+7</f>
        <v>#VALUE!</v>
      </c>
      <c r="X34" s="62" t="e">
        <f t="shared" ref="X34" si="92">FIND(",",T34,V34+1)</f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>
      <c r="A35" s="102">
        <v>40012033</v>
      </c>
      <c r="B35" s="103" t="s">
        <v>361</v>
      </c>
      <c r="C35" s="104">
        <v>3</v>
      </c>
      <c r="D35" s="104" t="s">
        <v>127</v>
      </c>
      <c r="E35" s="105" t="s">
        <v>288</v>
      </c>
      <c r="F35" s="105" t="s">
        <v>289</v>
      </c>
      <c r="G35" s="62" t="str">
        <f t="shared" si="32"/>
        <v>[effect:tolerance, target:myself, turn:-1, tolerance_effect:hungup, count:-1, animation:enemy_tolerance]</v>
      </c>
      <c r="H35" s="62">
        <f t="shared" si="33"/>
        <v>9</v>
      </c>
      <c r="I35" s="62">
        <f t="shared" si="34"/>
        <v>18</v>
      </c>
      <c r="J35" s="62">
        <f t="shared" si="35"/>
        <v>27</v>
      </c>
      <c r="K35" s="62">
        <f t="shared" si="36"/>
        <v>33</v>
      </c>
      <c r="L35" s="62" t="str">
        <f>IFERROR(VLOOKUP(MID(G35,J35,K35-J35),[6]skilldef!$C:$D,2,FALSE),"-") &amp; " / " &amp; IFERROR(VLOOKUP(MID(G35,H35,I35-H35),[6]skilldef!$A:$B,2,FALSE),"-")</f>
        <v>自分自身に / 状態異常耐性</v>
      </c>
      <c r="M35" s="62" t="str">
        <f t="shared" si="37"/>
        <v>[effect:tolerance, target:myself, turn:-1, tolerance_effect:sleep, count:-1, animation:enemy_tolerance],[effect:fix_speed, target:myself, turn:1]</v>
      </c>
      <c r="N35" s="48" t="str">
        <f>IFERROR(LEFT(M35,FIND("],",M35)+S44),M35)</f>
        <v>[effect:tolerance, target:myself, turn:-1, tolerance_effect:sleep, count:-1, animation:enemy_tolerance],[effect:fix_speed, target:myself, turn:1]</v>
      </c>
      <c r="O35" s="62">
        <f t="shared" si="38"/>
        <v>9</v>
      </c>
      <c r="P35" s="62">
        <f t="shared" si="39"/>
        <v>18</v>
      </c>
      <c r="Q35" s="62">
        <f t="shared" si="40"/>
        <v>27</v>
      </c>
      <c r="R35" s="62">
        <f t="shared" si="41"/>
        <v>33</v>
      </c>
      <c r="S35" s="62" t="str">
        <f>IFERROR(VLOOKUP(MID(N35,Q35,R35-Q35),[6]skilldef!$C:$D,2,FALSE),"-") &amp; " / " &amp; IFERROR(VLOOKUP(MID(N35,O35,P35-O35),[6]skilldef!$A:$B,2,FALSE),"-")</f>
        <v>自分自身に / 状態異常耐性</v>
      </c>
      <c r="T35" s="48" t="str">
        <f t="shared" si="42"/>
        <v>[effect:fix_speed, target:myself, turn:1]</v>
      </c>
      <c r="U35" s="62">
        <f t="shared" si="43"/>
        <v>9</v>
      </c>
      <c r="V35" s="62">
        <f t="shared" si="44"/>
        <v>18</v>
      </c>
      <c r="W35" s="62">
        <f t="shared" si="45"/>
        <v>27</v>
      </c>
      <c r="X35" s="62">
        <f t="shared" si="46"/>
        <v>33</v>
      </c>
      <c r="Y35" s="62" t="str">
        <f>IFERROR(VLOOKUP(MID(T35,W35,X35-W35),[6]skilldef!$C:$D,2,FALSE),"-") &amp; " / " &amp; IFERROR(VLOOKUP(MID(T35,U35,V35-U35),[6]skilldef!$A:$B,2,FALSE),"-")</f>
        <v>自分自身に / 行動値設定</v>
      </c>
      <c r="Z35" s="50"/>
      <c r="AA35" s="51"/>
      <c r="AB35" s="50"/>
    </row>
    <row r="36" spans="1:28" ht="21" customHeight="1">
      <c r="A36" s="102">
        <v>40012034</v>
      </c>
      <c r="B36" s="103" t="s">
        <v>292</v>
      </c>
      <c r="C36" s="104">
        <v>3</v>
      </c>
      <c r="D36" s="104" t="s">
        <v>277</v>
      </c>
      <c r="E36" s="105" t="s">
        <v>278</v>
      </c>
      <c r="F36" s="105" t="s">
        <v>306</v>
      </c>
      <c r="G36" s="62" t="str">
        <f t="shared" si="32"/>
        <v>[effect:sleep, target:unit_all, turn:-1, rate:1, animation:sleep01]</v>
      </c>
      <c r="H36" s="62">
        <f t="shared" si="33"/>
        <v>9</v>
      </c>
      <c r="I36" s="62">
        <f t="shared" si="34"/>
        <v>14</v>
      </c>
      <c r="J36" s="62">
        <f t="shared" si="35"/>
        <v>23</v>
      </c>
      <c r="K36" s="62">
        <f t="shared" si="36"/>
        <v>31</v>
      </c>
      <c r="L36" s="62"/>
      <c r="M36" s="62" t="str">
        <f t="shared" si="37"/>
        <v>[effect:fix_speed, target:myself, turn:2]</v>
      </c>
      <c r="N36" s="48"/>
      <c r="O36" s="62"/>
      <c r="P36" s="62"/>
      <c r="Q36" s="62"/>
      <c r="R36" s="62"/>
      <c r="S36" s="62"/>
      <c r="T36" s="48" t="str">
        <f t="shared" si="42"/>
        <v>none</v>
      </c>
      <c r="U36" s="62" t="e">
        <f t="shared" si="43"/>
        <v>#VALUE!</v>
      </c>
      <c r="V36" s="62">
        <f t="shared" si="44"/>
        <v>4</v>
      </c>
      <c r="W36" s="62" t="e">
        <f t="shared" si="45"/>
        <v>#VALUE!</v>
      </c>
      <c r="X36" s="62" t="e">
        <f t="shared" si="46"/>
        <v>#VALUE!</v>
      </c>
      <c r="Y36" s="62"/>
      <c r="Z36" s="50"/>
      <c r="AA36" s="51"/>
      <c r="AB36" s="50"/>
    </row>
    <row r="37" spans="1:28" ht="21" customHeight="1">
      <c r="A37" s="102">
        <v>40012035</v>
      </c>
      <c r="B37" s="103" t="s">
        <v>263</v>
      </c>
      <c r="C37" s="104">
        <v>3</v>
      </c>
      <c r="D37" s="104" t="s">
        <v>127</v>
      </c>
      <c r="E37" s="105" t="s">
        <v>307</v>
      </c>
      <c r="F37" s="105" t="s">
        <v>226</v>
      </c>
      <c r="G37" s="62" t="str">
        <f t="shared" si="32"/>
        <v>[effect:rush, count:3, val:0.45]</v>
      </c>
      <c r="H37" s="62">
        <f t="shared" si="33"/>
        <v>9</v>
      </c>
      <c r="I37" s="62">
        <f t="shared" si="34"/>
        <v>13</v>
      </c>
      <c r="J37" s="62" t="e">
        <f t="shared" si="35"/>
        <v>#VALUE!</v>
      </c>
      <c r="K37" s="62">
        <f t="shared" si="36"/>
        <v>22</v>
      </c>
      <c r="L37" s="62" t="str">
        <f>IFERROR(VLOOKUP(MID(G37,J37,K37-J37),[6]skilldef!$C:$D,2,FALSE),"-") &amp; " / " &amp; IFERROR(VLOOKUP(MID(G37,H37,I37-H37),[6]skilldef!$A:$B,2,FALSE),"-")</f>
        <v>- / 連続攻撃</v>
      </c>
      <c r="M37" s="62" t="str">
        <f t="shared" si="37"/>
        <v>none</v>
      </c>
      <c r="N37" s="48" t="str">
        <f t="shared" ref="N37:N38" si="93">IFERROR(LEFT(M37,FIND("],",M37)+S46),M37)</f>
        <v>none</v>
      </c>
      <c r="O37" s="62" t="e">
        <f t="shared" si="38"/>
        <v>#VALUE!</v>
      </c>
      <c r="P37" s="62">
        <f t="shared" si="39"/>
        <v>4</v>
      </c>
      <c r="Q37" s="62" t="e">
        <f t="shared" si="40"/>
        <v>#VALUE!</v>
      </c>
      <c r="R37" s="62" t="e">
        <f t="shared" si="41"/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8" t="str">
        <f t="shared" si="42"/>
        <v>none</v>
      </c>
      <c r="U37" s="62" t="e">
        <f t="shared" si="43"/>
        <v>#VALUE!</v>
      </c>
      <c r="V37" s="62">
        <f t="shared" si="44"/>
        <v>4</v>
      </c>
      <c r="W37" s="62" t="e">
        <f t="shared" si="45"/>
        <v>#VALUE!</v>
      </c>
      <c r="X37" s="62" t="e">
        <f t="shared" si="46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21" customHeight="1">
      <c r="A38" s="102">
        <v>40012036</v>
      </c>
      <c r="B38" s="103" t="s">
        <v>286</v>
      </c>
      <c r="C38" s="104">
        <v>3</v>
      </c>
      <c r="D38" s="104" t="s">
        <v>127</v>
      </c>
      <c r="E38" s="105" t="s">
        <v>265</v>
      </c>
      <c r="F38" s="105" t="s">
        <v>264</v>
      </c>
      <c r="G38" s="62" t="str">
        <f t="shared" si="32"/>
        <v>[effect:damage_anti_tribe, target:unit_all, tribe:god, val1:0.6, val2:0.3]</v>
      </c>
      <c r="H38" s="62">
        <f t="shared" si="33"/>
        <v>9</v>
      </c>
      <c r="I38" s="62">
        <f t="shared" si="34"/>
        <v>26</v>
      </c>
      <c r="J38" s="62">
        <f t="shared" si="35"/>
        <v>35</v>
      </c>
      <c r="K38" s="62">
        <f t="shared" si="36"/>
        <v>43</v>
      </c>
      <c r="L38" s="62" t="str">
        <f>IFERROR(VLOOKUP(MID(G38,J38,K38-J38),[6]skilldef!$C:$D,2,FALSE),"-") &amp; " / " &amp; IFERROR(VLOOKUP(MID(G38,H38,I38-H38),[6]skilldef!$A:$B,2,FALSE),"-")</f>
        <v>味方全体に / 種族キラー</v>
      </c>
      <c r="M38" s="62" t="str">
        <f t="shared" si="37"/>
        <v>none</v>
      </c>
      <c r="N38" s="48" t="str">
        <f t="shared" si="93"/>
        <v>none</v>
      </c>
      <c r="O38" s="62" t="e">
        <f t="shared" si="38"/>
        <v>#VALUE!</v>
      </c>
      <c r="P38" s="62">
        <f t="shared" si="39"/>
        <v>4</v>
      </c>
      <c r="Q38" s="62" t="e">
        <f t="shared" si="40"/>
        <v>#VALUE!</v>
      </c>
      <c r="R38" s="62" t="e">
        <f t="shared" si="41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8" t="str">
        <f t="shared" si="42"/>
        <v>none</v>
      </c>
      <c r="U38" s="62" t="e">
        <f t="shared" si="43"/>
        <v>#VALUE!</v>
      </c>
      <c r="V38" s="62">
        <f t="shared" si="44"/>
        <v>4</v>
      </c>
      <c r="W38" s="62" t="e">
        <f t="shared" si="45"/>
        <v>#VALUE!</v>
      </c>
      <c r="X38" s="62" t="e">
        <f t="shared" si="46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21" customHeight="1">
      <c r="A39" s="102">
        <v>40012037</v>
      </c>
      <c r="B39" s="99" t="s">
        <v>362</v>
      </c>
      <c r="C39" s="100">
        <v>3</v>
      </c>
      <c r="D39" s="100" t="s">
        <v>127</v>
      </c>
      <c r="E39" s="101" t="s">
        <v>313</v>
      </c>
      <c r="F39" s="101" t="s">
        <v>360</v>
      </c>
      <c r="G39" s="62" t="str">
        <f t="shared" ref="G39:G49" si="94">IFERROR(LEFT(B39,FIND("],",B39)),B39)</f>
        <v>[effect:tolerance, target:myself, turn:-1, tolerance_effect:hungup, count:-1, animation:enemy_tolerance]</v>
      </c>
      <c r="H39" s="62">
        <f t="shared" ref="H39:H49" si="95">FIND("effect:",G39)+7</f>
        <v>9</v>
      </c>
      <c r="I39" s="62">
        <f t="shared" ref="I39:I49" si="96">IFERROR(FIND(",",G39),LEN(G39))</f>
        <v>18</v>
      </c>
      <c r="J39" s="62">
        <f t="shared" ref="J39:J49" si="97">FIND("target:",G39)+7</f>
        <v>27</v>
      </c>
      <c r="K39" s="62">
        <f t="shared" ref="K39:K49" si="98">FIND(",",G39,I39+1)</f>
        <v>33</v>
      </c>
      <c r="L39" s="62" t="str">
        <f>IFERROR(VLOOKUP(MID(G39,J39,K39-J39),[6]skilldef!$C:$D,2,FALSE),"-") &amp; " / " &amp; IFERROR(VLOOKUP(MID(G39,H39,I39-H39),[6]skilldef!$A:$B,2,FALSE),"-")</f>
        <v>自分自身に / 状態異常耐性</v>
      </c>
      <c r="M39" s="62" t="str">
        <f t="shared" ref="M39:M49" si="99">IFERROR(RIGHT(B39,LEN(B39)-FIND("],",B39)-1),"none")</f>
        <v>[effect:tolerance, target:myself, turn:-1, tolerance_effect:sleep, count:-1, animation:enemy_tolerance],[effect:drop_block, block_type:time_bomb, color:block_red, val:33, rate:0.9, turn:-1, min_time_count:3, max_time_count:4, animation:time_bomb_influence04]</v>
      </c>
      <c r="N39" s="48" t="str">
        <f>IFERROR(LEFT(M39,FIND("],",M39)+#REF!),M39)</f>
        <v>[effect:tolerance, target:myself, turn:-1, tolerance_effect:sleep, count:-1, animation:enemy_tolerance],[effect:drop_block, block_type:time_bomb, color:block_red, val:33, rate:0.9, turn:-1, min_time_count:3, max_time_count:4, animation:time_bomb_influence04]</v>
      </c>
      <c r="O39" s="62">
        <f t="shared" ref="O39:O49" si="100">FIND("effect:",N39)+7</f>
        <v>9</v>
      </c>
      <c r="P39" s="62">
        <f t="shared" ref="P39:P49" si="101">IFERROR(FIND(",",N39),LEN(N39))</f>
        <v>18</v>
      </c>
      <c r="Q39" s="62">
        <f t="shared" ref="Q39:Q49" si="102">FIND("target:",N39)+7</f>
        <v>27</v>
      </c>
      <c r="R39" s="62">
        <f t="shared" ref="R39:R49" si="103">FIND(",",N39,P39+1)</f>
        <v>33</v>
      </c>
      <c r="S39" s="62" t="str">
        <f>IFERROR(VLOOKUP(MID(N39,Q39,R39-Q39),[6]skilldef!$C:$D,2,FALSE),"-") &amp; " / " &amp; IFERROR(VLOOKUP(MID(N39,O39,P39-O39),[6]skilldef!$A:$B,2,FALSE),"-")</f>
        <v>自分自身に / 状態異常耐性</v>
      </c>
      <c r="T39" s="48" t="str">
        <f t="shared" ref="T39:T49" si="104">IFERROR(RIGHT(M39,LEN(M39)-FIND("],",M39)-1),"none")</f>
        <v>[effect:drop_block, block_type:time_bomb, color:block_red, val:33, rate:0.9, turn:-1, min_time_count:3, max_time_count:4, animation:time_bomb_influence04]</v>
      </c>
      <c r="U39" s="62">
        <f t="shared" ref="U39:U49" si="105">FIND("effect:",T39)+7</f>
        <v>9</v>
      </c>
      <c r="V39" s="62">
        <f t="shared" ref="V39:V49" si="106">IFERROR(FIND(",",T39),LEN(T39))</f>
        <v>19</v>
      </c>
      <c r="W39" s="62" t="e">
        <f t="shared" ref="W39:W49" si="107">FIND("target:",T39)+7</f>
        <v>#VALUE!</v>
      </c>
      <c r="X39" s="62">
        <f t="shared" ref="X39:X49" si="108">FIND(",",T39,V39+1)</f>
        <v>41</v>
      </c>
      <c r="Y39" s="62" t="str">
        <f>IFERROR(VLOOKUP(MID(T39,W39,X39-W39),[6]skilldef!$C:$D,2,FALSE),"-") &amp; " / " &amp; IFERROR(VLOOKUP(MID(T39,U39,V39-U39),[6]skilldef!$A:$B,2,FALSE),"-")</f>
        <v>- / 特定ブロックの割合ドロップ</v>
      </c>
      <c r="Z39" s="50"/>
      <c r="AA39" s="51"/>
      <c r="AB39" s="50"/>
    </row>
    <row r="40" spans="1:28" ht="21" customHeight="1">
      <c r="A40" s="102">
        <v>40012038</v>
      </c>
      <c r="B40" s="99" t="s">
        <v>279</v>
      </c>
      <c r="C40" s="100">
        <v>3</v>
      </c>
      <c r="D40" s="100" t="s">
        <v>127</v>
      </c>
      <c r="E40" s="101" t="s">
        <v>311</v>
      </c>
      <c r="F40" s="101" t="s">
        <v>369</v>
      </c>
      <c r="G40" s="62" t="str">
        <f t="shared" si="94"/>
        <v>[effect:panel_freeze, target:block_blue, count:-1, break_count:1]</v>
      </c>
      <c r="H40" s="62">
        <f t="shared" si="95"/>
        <v>9</v>
      </c>
      <c r="I40" s="62">
        <f t="shared" si="96"/>
        <v>21</v>
      </c>
      <c r="J40" s="62">
        <f t="shared" si="97"/>
        <v>30</v>
      </c>
      <c r="K40" s="62">
        <f t="shared" si="98"/>
        <v>40</v>
      </c>
      <c r="L40" s="62" t="str">
        <f>IFERROR(VLOOKUP(MID(G40,J40,K40-J40),[6]skilldef!$C:$D,2,FALSE),"-") &amp; " / " &amp; IFERROR(VLOOKUP(MID(G40,H40,I40-H40),[6]skilldef!$A:$B,2,FALSE),"-")</f>
        <v>青パネルを / -</v>
      </c>
      <c r="M40" s="62" t="str">
        <f t="shared" si="99"/>
        <v>[effect:rush, count:1, val:1.0]</v>
      </c>
      <c r="N40" s="48" t="str">
        <f t="shared" ref="N40" si="109">IFERROR(LEFT(M40,FIND("],",M40)+S49),M40)</f>
        <v>[effect:rush, count:1, val:1.0]</v>
      </c>
      <c r="O40" s="62">
        <f t="shared" si="100"/>
        <v>9</v>
      </c>
      <c r="P40" s="62">
        <f t="shared" si="101"/>
        <v>13</v>
      </c>
      <c r="Q40" s="62" t="e">
        <f t="shared" si="102"/>
        <v>#VALUE!</v>
      </c>
      <c r="R40" s="62">
        <f t="shared" si="103"/>
        <v>22</v>
      </c>
      <c r="S40" s="62" t="str">
        <f>IFERROR(VLOOKUP(MID(N40,Q40,R40-Q40),[6]skilldef!$C:$D,2,FALSE),"-") &amp; " / " &amp; IFERROR(VLOOKUP(MID(N40,O40,P40-O40),[6]skilldef!$A:$B,2,FALSE),"-")</f>
        <v>- / 連続攻撃</v>
      </c>
      <c r="T40" s="48" t="str">
        <f t="shared" si="104"/>
        <v>none</v>
      </c>
      <c r="U40" s="62" t="e">
        <f t="shared" si="105"/>
        <v>#VALUE!</v>
      </c>
      <c r="V40" s="62">
        <f t="shared" si="106"/>
        <v>4</v>
      </c>
      <c r="W40" s="62" t="e">
        <f t="shared" si="107"/>
        <v>#VALUE!</v>
      </c>
      <c r="X40" s="62" t="e">
        <f t="shared" si="108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21" customHeight="1">
      <c r="A41" s="102">
        <v>40012039</v>
      </c>
      <c r="B41" s="99" t="s">
        <v>280</v>
      </c>
      <c r="C41" s="100">
        <v>3</v>
      </c>
      <c r="D41" s="100" t="s">
        <v>127</v>
      </c>
      <c r="E41" s="101" t="s">
        <v>309</v>
      </c>
      <c r="F41" s="101" t="s">
        <v>368</v>
      </c>
      <c r="G41" s="62" t="str">
        <f t="shared" si="94"/>
        <v>[effect:panel_freeze, target:block_green, count:-1, break_count:1]</v>
      </c>
      <c r="H41" s="62">
        <f t="shared" si="95"/>
        <v>9</v>
      </c>
      <c r="I41" s="62">
        <f t="shared" si="96"/>
        <v>21</v>
      </c>
      <c r="J41" s="62">
        <f t="shared" si="97"/>
        <v>30</v>
      </c>
      <c r="K41" s="62">
        <f t="shared" si="98"/>
        <v>41</v>
      </c>
      <c r="L41" s="62" t="str">
        <f>IFERROR(VLOOKUP(MID(G41,J41,K41-J41),[6]skilldef!$C:$D,2,FALSE),"-") &amp; " / " &amp; IFERROR(VLOOKUP(MID(G41,H41,I41-H41),[6]skilldef!$A:$B,2,FALSE),"-")</f>
        <v>緑パネルを / -</v>
      </c>
      <c r="M41" s="62" t="str">
        <f t="shared" si="99"/>
        <v>[effect:rush, count:1, val:1.0]</v>
      </c>
      <c r="N41" s="48" t="str">
        <f t="shared" ref="N41:N48" si="110">IFERROR(LEFT(M41,FIND("],",M41)+S51),M41)</f>
        <v>[effect:rush, count:1, val:1.0]</v>
      </c>
      <c r="O41" s="62">
        <f t="shared" si="100"/>
        <v>9</v>
      </c>
      <c r="P41" s="62">
        <f t="shared" si="101"/>
        <v>13</v>
      </c>
      <c r="Q41" s="62" t="e">
        <f t="shared" si="102"/>
        <v>#VALUE!</v>
      </c>
      <c r="R41" s="62">
        <f t="shared" si="103"/>
        <v>22</v>
      </c>
      <c r="S41" s="62" t="str">
        <f>IFERROR(VLOOKUP(MID(N41,Q41,R41-Q41),[6]skilldef!$C:$D,2,FALSE),"-") &amp; " / " &amp; IFERROR(VLOOKUP(MID(N41,O41,P41-O41),[6]skilldef!$A:$B,2,FALSE),"-")</f>
        <v>- / 連続攻撃</v>
      </c>
      <c r="T41" s="48" t="str">
        <f t="shared" si="104"/>
        <v>none</v>
      </c>
      <c r="U41" s="62" t="e">
        <f t="shared" si="105"/>
        <v>#VALUE!</v>
      </c>
      <c r="V41" s="62">
        <f t="shared" si="106"/>
        <v>4</v>
      </c>
      <c r="W41" s="62" t="e">
        <f t="shared" si="107"/>
        <v>#VALUE!</v>
      </c>
      <c r="X41" s="62" t="e">
        <f t="shared" si="108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21" customHeight="1">
      <c r="A42" s="102">
        <v>40012040</v>
      </c>
      <c r="B42" s="99" t="s">
        <v>281</v>
      </c>
      <c r="C42" s="100">
        <v>3</v>
      </c>
      <c r="D42" s="100" t="s">
        <v>127</v>
      </c>
      <c r="E42" s="101" t="s">
        <v>310</v>
      </c>
      <c r="F42" s="101" t="s">
        <v>367</v>
      </c>
      <c r="G42" s="62" t="str">
        <f t="shared" si="94"/>
        <v>[effect:panel_freeze, target:block_yellow, count:-1, break_count:1]</v>
      </c>
      <c r="H42" s="62">
        <f t="shared" si="95"/>
        <v>9</v>
      </c>
      <c r="I42" s="62">
        <f t="shared" si="96"/>
        <v>21</v>
      </c>
      <c r="J42" s="62">
        <f t="shared" si="97"/>
        <v>30</v>
      </c>
      <c r="K42" s="62">
        <f t="shared" si="98"/>
        <v>42</v>
      </c>
      <c r="L42" s="62" t="str">
        <f>IFERROR(VLOOKUP(MID(G42,J42,K42-J42),[6]skilldef!$C:$D,2,FALSE),"-") &amp; " / " &amp; IFERROR(VLOOKUP(MID(G42,H42,I42-H42),[6]skilldef!$A:$B,2,FALSE),"-")</f>
        <v>黄色パネルを / -</v>
      </c>
      <c r="M42" s="62" t="str">
        <f t="shared" si="99"/>
        <v>[effect:rush, count:1, val:1.0]</v>
      </c>
      <c r="N42" s="48" t="str">
        <f t="shared" si="110"/>
        <v>[effect:rush, count:1, val:1.0]</v>
      </c>
      <c r="O42" s="62">
        <f t="shared" si="100"/>
        <v>9</v>
      </c>
      <c r="P42" s="62">
        <f t="shared" si="101"/>
        <v>13</v>
      </c>
      <c r="Q42" s="62" t="e">
        <f t="shared" si="102"/>
        <v>#VALUE!</v>
      </c>
      <c r="R42" s="62">
        <f t="shared" si="103"/>
        <v>22</v>
      </c>
      <c r="S42" s="62" t="str">
        <f>IFERROR(VLOOKUP(MID(N42,Q42,R42-Q42),[6]skilldef!$C:$D,2,FALSE),"-") &amp; " / " &amp; IFERROR(VLOOKUP(MID(N42,O42,P42-O42),[6]skilldef!$A:$B,2,FALSE),"-")</f>
        <v>- / 連続攻撃</v>
      </c>
      <c r="T42" s="48" t="str">
        <f t="shared" si="104"/>
        <v>none</v>
      </c>
      <c r="U42" s="62" t="e">
        <f t="shared" si="105"/>
        <v>#VALUE!</v>
      </c>
      <c r="V42" s="62">
        <f t="shared" si="106"/>
        <v>4</v>
      </c>
      <c r="W42" s="62" t="e">
        <f t="shared" si="107"/>
        <v>#VALUE!</v>
      </c>
      <c r="X42" s="62" t="e">
        <f t="shared" si="108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21" customHeight="1">
      <c r="A43" s="102">
        <v>40012041</v>
      </c>
      <c r="B43" s="99" t="s">
        <v>282</v>
      </c>
      <c r="C43" s="100">
        <v>3</v>
      </c>
      <c r="D43" s="100" t="s">
        <v>127</v>
      </c>
      <c r="E43" s="101" t="s">
        <v>308</v>
      </c>
      <c r="F43" s="101" t="s">
        <v>291</v>
      </c>
      <c r="G43" s="62" t="str">
        <f t="shared" si="94"/>
        <v>[effect:enemy_counter, target:myself, invoke_condition:unit_all, counter_target:attacker, turn:3, val:1, animation:enemy_counter]</v>
      </c>
      <c r="H43" s="62">
        <f t="shared" si="95"/>
        <v>9</v>
      </c>
      <c r="I43" s="62">
        <f t="shared" si="96"/>
        <v>22</v>
      </c>
      <c r="J43" s="62">
        <f t="shared" si="97"/>
        <v>31</v>
      </c>
      <c r="K43" s="62">
        <f t="shared" si="98"/>
        <v>37</v>
      </c>
      <c r="L43" s="62" t="str">
        <f>IFERROR(VLOOKUP(MID(G43,J43,K43-J43),[6]skilldef!$C:$D,2,FALSE),"-") &amp; " / " &amp; IFERROR(VLOOKUP(MID(G43,H43,I43-H43),[6]skilldef!$A:$B,2,FALSE),"-")</f>
        <v>自分自身に / カウンター</v>
      </c>
      <c r="M43" s="62" t="str">
        <f t="shared" si="99"/>
        <v>[effect:freq_turn, target:myself, turn:3, val:1, animation:enemy_freq_turn]</v>
      </c>
      <c r="N43" s="48" t="str">
        <f t="shared" si="110"/>
        <v>[effect:freq_turn, target:myself, turn:3, val:1, animation:enemy_freq_turn]</v>
      </c>
      <c r="O43" s="62">
        <f t="shared" si="100"/>
        <v>9</v>
      </c>
      <c r="P43" s="62">
        <f t="shared" si="101"/>
        <v>18</v>
      </c>
      <c r="Q43" s="62">
        <f t="shared" si="102"/>
        <v>27</v>
      </c>
      <c r="R43" s="62">
        <f t="shared" si="103"/>
        <v>33</v>
      </c>
      <c r="S43" s="62" t="str">
        <f>IFERROR(VLOOKUP(MID(N43,Q43,R43-Q43),[6]skilldef!$C:$D,2,FALSE),"-") &amp; " / " &amp; IFERROR(VLOOKUP(MID(N43,O43,P43-O43),[6]skilldef!$A:$B,2,FALSE),"-")</f>
        <v>自分自身に / 攻撃頻度がUP</v>
      </c>
      <c r="T43" s="48" t="str">
        <f t="shared" si="104"/>
        <v>none</v>
      </c>
      <c r="U43" s="62" t="e">
        <f t="shared" si="105"/>
        <v>#VALUE!</v>
      </c>
      <c r="V43" s="62">
        <f t="shared" si="106"/>
        <v>4</v>
      </c>
      <c r="W43" s="62" t="e">
        <f t="shared" si="107"/>
        <v>#VALUE!</v>
      </c>
      <c r="X43" s="62" t="e">
        <f t="shared" si="108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21" customHeight="1">
      <c r="A44" s="102">
        <v>40012042</v>
      </c>
      <c r="B44" s="103" t="s">
        <v>363</v>
      </c>
      <c r="C44" s="104">
        <v>3</v>
      </c>
      <c r="D44" s="104" t="s">
        <v>127</v>
      </c>
      <c r="E44" s="105" t="s">
        <v>329</v>
      </c>
      <c r="F44" s="105" t="s">
        <v>350</v>
      </c>
      <c r="G44" s="62" t="str">
        <f t="shared" si="94"/>
        <v>[effect:tolerance, target:myself, turn:-1, tolerance_effect:hungup, count:-1, animation:enemy_tolerance]</v>
      </c>
      <c r="H44" s="62">
        <f t="shared" si="95"/>
        <v>9</v>
      </c>
      <c r="I44" s="62">
        <f t="shared" si="96"/>
        <v>18</v>
      </c>
      <c r="J44" s="62">
        <f t="shared" si="97"/>
        <v>27</v>
      </c>
      <c r="K44" s="62">
        <f t="shared" si="98"/>
        <v>33</v>
      </c>
      <c r="L44" s="62" t="str">
        <f>IFERROR(VLOOKUP(MID(G44,J44,K44-J44),[6]skilldef!$C:$D,2,FALSE),"-") &amp; " / " &amp; IFERROR(VLOOKUP(MID(G44,H44,I44-H44),[6]skilldef!$A:$B,2,FALSE),"-")</f>
        <v>自分自身に / 状態異常耐性</v>
      </c>
      <c r="M44" s="62" t="str">
        <f t="shared" si="99"/>
        <v>[effect:tolerance, target:myself, turn:-1, tolerance_effect:sleep, count:-1, animation:enemy_tolerance],[effect:invalidate_change_block, target:unit_all, block_type01:crash, turn:-1, animation:panel_conversion_off],[effect:crash_condition, target:unit_all, val:4, turn:3, animation:crash_panel_reduce03]</v>
      </c>
      <c r="N44" s="48" t="str">
        <f t="shared" si="110"/>
        <v>[effect:tolerance, target:myself, turn:-1, tolerance_effect:sleep, count:-1, animation:enemy_tolerance]</v>
      </c>
      <c r="O44" s="62">
        <f t="shared" si="100"/>
        <v>9</v>
      </c>
      <c r="P44" s="62">
        <f t="shared" si="101"/>
        <v>18</v>
      </c>
      <c r="Q44" s="62">
        <f t="shared" si="102"/>
        <v>27</v>
      </c>
      <c r="R44" s="62">
        <f t="shared" si="103"/>
        <v>33</v>
      </c>
      <c r="S44" s="62" t="str">
        <f>IFERROR(VLOOKUP(MID(N44,Q44,R44-Q44),[6]skilldef!$C:$D,2,FALSE),"-") &amp; " / " &amp; IFERROR(VLOOKUP(MID(N44,O44,P44-O44),[6]skilldef!$A:$B,2,FALSE),"-")</f>
        <v>自分自身に / 状態異常耐性</v>
      </c>
      <c r="T44" s="48" t="str">
        <f t="shared" si="104"/>
        <v>[effect:invalidate_change_block, target:unit_all, block_type01:crash, turn:-1, animation:panel_conversion_off],[effect:crash_condition, target:unit_all, val:4, turn:3, animation:crash_panel_reduce03]</v>
      </c>
      <c r="U44" s="62">
        <f t="shared" si="105"/>
        <v>9</v>
      </c>
      <c r="V44" s="62">
        <f t="shared" si="106"/>
        <v>32</v>
      </c>
      <c r="W44" s="62">
        <f t="shared" si="107"/>
        <v>41</v>
      </c>
      <c r="X44" s="62">
        <f t="shared" si="108"/>
        <v>49</v>
      </c>
      <c r="Y44" s="62" t="str">
        <f>IFERROR(VLOOKUP(MID(T44,W44,X44-W44),[6]skilldef!$C:$D,2,FALSE),"-") &amp; " / " &amp; IFERROR(VLOOKUP(MID(T44,U44,V44-U44),[6]skilldef!$A:$B,2,FALSE),"-")</f>
        <v>味方全体に / -</v>
      </c>
      <c r="Z44" s="50"/>
      <c r="AA44" s="51"/>
      <c r="AB44" s="50"/>
    </row>
    <row r="45" spans="1:28" ht="21" customHeight="1">
      <c r="A45" s="102">
        <v>40012043</v>
      </c>
      <c r="B45" s="103" t="s">
        <v>290</v>
      </c>
      <c r="C45" s="104">
        <v>3</v>
      </c>
      <c r="D45" s="104" t="s">
        <v>127</v>
      </c>
      <c r="E45" s="105" t="s">
        <v>379</v>
      </c>
      <c r="F45" s="105" t="s">
        <v>365</v>
      </c>
      <c r="G45" s="62" t="str">
        <f t="shared" si="94"/>
        <v>[effect:panel_freeze, target:block_heart, count:10, break_count:1]</v>
      </c>
      <c r="H45" s="62">
        <f t="shared" si="95"/>
        <v>9</v>
      </c>
      <c r="I45" s="62">
        <f t="shared" si="96"/>
        <v>21</v>
      </c>
      <c r="J45" s="62">
        <f t="shared" si="97"/>
        <v>30</v>
      </c>
      <c r="K45" s="62">
        <f t="shared" si="98"/>
        <v>41</v>
      </c>
      <c r="L45" s="62" t="str">
        <f>IFERROR(VLOOKUP(MID(G45,J45,K45-J45),[6]skilldef!$C:$D,2,FALSE),"-") &amp; " / " &amp; IFERROR(VLOOKUP(MID(G45,H45,I45-H45),[6]skilldef!$A:$B,2,FALSE),"-")</f>
        <v>ハートパネルを / -</v>
      </c>
      <c r="M45" s="62" t="str">
        <f t="shared" si="99"/>
        <v>[effect:rush, count:1, val:1.0]</v>
      </c>
      <c r="N45" s="48" t="str">
        <f t="shared" si="110"/>
        <v>[effect:rush, count:1, val:1.0]</v>
      </c>
      <c r="O45" s="62">
        <f t="shared" si="100"/>
        <v>9</v>
      </c>
      <c r="P45" s="62">
        <f t="shared" si="101"/>
        <v>13</v>
      </c>
      <c r="Q45" s="62" t="e">
        <f t="shared" si="102"/>
        <v>#VALUE!</v>
      </c>
      <c r="R45" s="62">
        <f t="shared" si="103"/>
        <v>22</v>
      </c>
      <c r="S45" s="62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104"/>
        <v>none</v>
      </c>
      <c r="U45" s="62" t="e">
        <f t="shared" si="105"/>
        <v>#VALUE!</v>
      </c>
      <c r="V45" s="62">
        <f t="shared" si="106"/>
        <v>4</v>
      </c>
      <c r="W45" s="62" t="e">
        <f t="shared" si="107"/>
        <v>#VALUE!</v>
      </c>
      <c r="X45" s="62" t="e">
        <f t="shared" si="108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21" customHeight="1">
      <c r="A46" s="102">
        <v>40012044</v>
      </c>
      <c r="B46" s="103" t="s">
        <v>330</v>
      </c>
      <c r="C46" s="104">
        <v>3</v>
      </c>
      <c r="D46" s="104" t="s">
        <v>127</v>
      </c>
      <c r="E46" s="105" t="s">
        <v>312</v>
      </c>
      <c r="F46" s="105" t="s">
        <v>364</v>
      </c>
      <c r="G46" s="62" t="str">
        <f t="shared" si="94"/>
        <v>[effect:panel_freeze, target:block_all, count:12, break_count:1]</v>
      </c>
      <c r="H46" s="62">
        <f t="shared" si="95"/>
        <v>9</v>
      </c>
      <c r="I46" s="62">
        <f t="shared" si="96"/>
        <v>21</v>
      </c>
      <c r="J46" s="62">
        <f t="shared" si="97"/>
        <v>30</v>
      </c>
      <c r="K46" s="62">
        <f t="shared" si="98"/>
        <v>39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99"/>
        <v>[effect:rush, count:1, val:1.0]</v>
      </c>
      <c r="N46" s="48" t="str">
        <f t="shared" si="110"/>
        <v>[effect:rush, count:1, val:1.0]</v>
      </c>
      <c r="O46" s="62">
        <f t="shared" si="100"/>
        <v>9</v>
      </c>
      <c r="P46" s="62">
        <f t="shared" si="101"/>
        <v>13</v>
      </c>
      <c r="Q46" s="62" t="e">
        <f t="shared" si="102"/>
        <v>#VALUE!</v>
      </c>
      <c r="R46" s="62">
        <f t="shared" si="103"/>
        <v>22</v>
      </c>
      <c r="S46" s="62" t="str">
        <f>IFERROR(VLOOKUP(MID(N46,Q46,R46-Q46),[6]skilldef!$C:$D,2,FALSE),"-") &amp; " / " &amp; IFERROR(VLOOKUP(MID(N46,O46,P46-O46),[6]skilldef!$A:$B,2,FALSE),"-")</f>
        <v>- / 連続攻撃</v>
      </c>
      <c r="T46" s="48" t="str">
        <f t="shared" si="104"/>
        <v>none</v>
      </c>
      <c r="U46" s="62" t="e">
        <f t="shared" si="105"/>
        <v>#VALUE!</v>
      </c>
      <c r="V46" s="62">
        <f t="shared" si="106"/>
        <v>4</v>
      </c>
      <c r="W46" s="62" t="e">
        <f t="shared" si="107"/>
        <v>#VALUE!</v>
      </c>
      <c r="X46" s="62" t="e">
        <f t="shared" si="108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</row>
    <row r="47" spans="1:28" ht="21" customHeight="1">
      <c r="A47" s="102">
        <v>40012045</v>
      </c>
      <c r="B47" s="103" t="s">
        <v>283</v>
      </c>
      <c r="C47" s="104">
        <v>3</v>
      </c>
      <c r="D47" s="104" t="s">
        <v>127</v>
      </c>
      <c r="E47" s="105" t="s">
        <v>317</v>
      </c>
      <c r="F47" s="105" t="s">
        <v>366</v>
      </c>
      <c r="G47" s="62" t="str">
        <f t="shared" si="94"/>
        <v>[effect:panel_freeze, target:time_bomb, count:-1, break_count:1]</v>
      </c>
      <c r="H47" s="62">
        <f t="shared" si="95"/>
        <v>9</v>
      </c>
      <c r="I47" s="62">
        <f t="shared" si="96"/>
        <v>21</v>
      </c>
      <c r="J47" s="62">
        <f t="shared" si="97"/>
        <v>30</v>
      </c>
      <c r="K47" s="62">
        <f t="shared" si="98"/>
        <v>39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99"/>
        <v>[effect:rush, count:1, val:1.0]</v>
      </c>
      <c r="N47" s="48" t="str">
        <f t="shared" si="110"/>
        <v>[effect:rush, count:1, val:1.0]</v>
      </c>
      <c r="O47" s="62">
        <f t="shared" si="100"/>
        <v>9</v>
      </c>
      <c r="P47" s="62">
        <f t="shared" si="101"/>
        <v>13</v>
      </c>
      <c r="Q47" s="62" t="e">
        <f t="shared" si="102"/>
        <v>#VALUE!</v>
      </c>
      <c r="R47" s="62">
        <f t="shared" si="103"/>
        <v>22</v>
      </c>
      <c r="S47" s="62" t="str">
        <f>IFERROR(VLOOKUP(MID(N47,Q47,R47-Q47),[6]skilldef!$C:$D,2,FALSE),"-") &amp; " / " &amp; IFERROR(VLOOKUP(MID(N47,O47,P47-O47),[6]skilldef!$A:$B,2,FALSE),"-")</f>
        <v>- / 連続攻撃</v>
      </c>
      <c r="T47" s="48" t="str">
        <f t="shared" si="104"/>
        <v>none</v>
      </c>
      <c r="U47" s="62" t="e">
        <f t="shared" si="105"/>
        <v>#VALUE!</v>
      </c>
      <c r="V47" s="62">
        <f t="shared" si="106"/>
        <v>4</v>
      </c>
      <c r="W47" s="62" t="e">
        <f t="shared" si="107"/>
        <v>#VALUE!</v>
      </c>
      <c r="X47" s="62" t="e">
        <f t="shared" si="108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</row>
    <row r="48" spans="1:28" ht="21" customHeight="1">
      <c r="A48" s="102">
        <v>40012046</v>
      </c>
      <c r="B48" s="103" t="s">
        <v>282</v>
      </c>
      <c r="C48" s="104">
        <v>3</v>
      </c>
      <c r="D48" s="104" t="s">
        <v>127</v>
      </c>
      <c r="E48" s="105" t="s">
        <v>322</v>
      </c>
      <c r="F48" s="105" t="s">
        <v>291</v>
      </c>
      <c r="G48" s="62" t="str">
        <f t="shared" si="94"/>
        <v>[effect:enemy_counter, target:myself, invoke_condition:unit_all, counter_target:attacker, turn:3, val:1, animation:enemy_counter]</v>
      </c>
      <c r="H48" s="62">
        <f t="shared" si="95"/>
        <v>9</v>
      </c>
      <c r="I48" s="62">
        <f t="shared" si="96"/>
        <v>22</v>
      </c>
      <c r="J48" s="62">
        <f t="shared" si="97"/>
        <v>31</v>
      </c>
      <c r="K48" s="62">
        <f t="shared" si="98"/>
        <v>37</v>
      </c>
      <c r="L48" s="62" t="str">
        <f>IFERROR(VLOOKUP(MID(G48,J48,K48-J48),[6]skilldef!$C:$D,2,FALSE),"-") &amp; " / " &amp; IFERROR(VLOOKUP(MID(G48,H48,I48-H48),[6]skilldef!$A:$B,2,FALSE),"-")</f>
        <v>自分自身に / カウンター</v>
      </c>
      <c r="M48" s="62" t="str">
        <f t="shared" si="99"/>
        <v>[effect:freq_turn, target:myself, turn:3, val:1, animation:enemy_freq_turn]</v>
      </c>
      <c r="N48" s="48" t="str">
        <f t="shared" si="110"/>
        <v>[effect:freq_turn, target:myself, turn:3, val:1, animation:enemy_freq_turn]</v>
      </c>
      <c r="O48" s="62">
        <f t="shared" si="100"/>
        <v>9</v>
      </c>
      <c r="P48" s="62">
        <f t="shared" si="101"/>
        <v>18</v>
      </c>
      <c r="Q48" s="62">
        <f t="shared" si="102"/>
        <v>27</v>
      </c>
      <c r="R48" s="62">
        <f t="shared" si="103"/>
        <v>33</v>
      </c>
      <c r="S48" s="62" t="str">
        <f>IFERROR(VLOOKUP(MID(N48,Q48,R48-Q48),[6]skilldef!$C:$D,2,FALSE),"-") &amp; " / " &amp; IFERROR(VLOOKUP(MID(N48,O48,P48-O48),[6]skilldef!$A:$B,2,FALSE),"-")</f>
        <v>自分自身に / 攻撃頻度がUP</v>
      </c>
      <c r="T48" s="48" t="str">
        <f t="shared" si="104"/>
        <v>none</v>
      </c>
      <c r="U48" s="62" t="e">
        <f t="shared" si="105"/>
        <v>#VALUE!</v>
      </c>
      <c r="V48" s="62">
        <f t="shared" si="106"/>
        <v>4</v>
      </c>
      <c r="W48" s="62" t="e">
        <f t="shared" si="107"/>
        <v>#VALUE!</v>
      </c>
      <c r="X48" s="62" t="e">
        <f t="shared" si="108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</row>
    <row r="49" spans="1:28" ht="21" customHeight="1">
      <c r="A49" s="114">
        <v>40012047</v>
      </c>
      <c r="B49" s="99" t="s">
        <v>345</v>
      </c>
      <c r="C49" s="100">
        <v>3</v>
      </c>
      <c r="D49" s="100" t="s">
        <v>127</v>
      </c>
      <c r="E49" s="101" t="s">
        <v>382</v>
      </c>
      <c r="F49" s="101" t="s">
        <v>383</v>
      </c>
      <c r="G49" s="62" t="str">
        <f t="shared" si="94"/>
        <v>[effect:sleep, target:unit_all, turn:1, rate:1]</v>
      </c>
      <c r="H49" s="62">
        <f t="shared" si="95"/>
        <v>9</v>
      </c>
      <c r="I49" s="62">
        <f t="shared" si="96"/>
        <v>14</v>
      </c>
      <c r="J49" s="62">
        <f t="shared" si="97"/>
        <v>23</v>
      </c>
      <c r="K49" s="62">
        <f t="shared" si="98"/>
        <v>31</v>
      </c>
      <c r="L49" s="62" t="str">
        <f>IFERROR(VLOOKUP(MID(G49,J49,K49-J49),[6]skilldef!$C:$D,2,FALSE),"-") &amp; " / " &amp; IFERROR(VLOOKUP(MID(G49,H49,I49-H49),[6]skilldef!$A:$B,2,FALSE),"-")</f>
        <v>味方全体に / スリープ</v>
      </c>
      <c r="M49" s="62" t="str">
        <f t="shared" si="99"/>
        <v>[effect:suicide, val:0.8, dead_type:suicide, target:enemy_heal, animation:enemy_suicide]</v>
      </c>
      <c r="N49" s="48" t="str">
        <f t="shared" ref="N49" si="111">IFERROR(LEFT(M49,FIND("],",M49)+S60),M49)</f>
        <v>[effect:suicide, val:0.8, dead_type:suicide, target:enemy_heal, animation:enemy_suicide]</v>
      </c>
      <c r="O49" s="62">
        <f t="shared" si="100"/>
        <v>9</v>
      </c>
      <c r="P49" s="62">
        <f t="shared" si="101"/>
        <v>16</v>
      </c>
      <c r="Q49" s="62">
        <f t="shared" si="102"/>
        <v>53</v>
      </c>
      <c r="R49" s="62">
        <f t="shared" si="103"/>
        <v>25</v>
      </c>
      <c r="S49" s="62" t="str">
        <f>IFERROR(VLOOKUP(MID(N49,Q49,R49-Q49),[6]skilldef!$C:$D,2,FALSE),"-") &amp; " / " &amp; IFERROR(VLOOKUP(MID(N49,O49,P49-O49),[6]skilldef!$A:$B,2,FALSE),"-")</f>
        <v>- / -</v>
      </c>
      <c r="T49" s="48" t="str">
        <f t="shared" si="104"/>
        <v>none</v>
      </c>
      <c r="U49" s="62" t="e">
        <f t="shared" si="105"/>
        <v>#VALUE!</v>
      </c>
      <c r="V49" s="62">
        <f t="shared" si="106"/>
        <v>4</v>
      </c>
      <c r="W49" s="62" t="e">
        <f t="shared" si="107"/>
        <v>#VALUE!</v>
      </c>
      <c r="X49" s="62" t="e">
        <f t="shared" si="108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50"/>
      <c r="AA49" s="51"/>
      <c r="AB49" s="50"/>
    </row>
    <row r="50" spans="1:28" ht="21" customHeight="1">
      <c r="A50" s="114">
        <v>40012048</v>
      </c>
      <c r="B50" s="99" t="s">
        <v>345</v>
      </c>
      <c r="C50" s="100">
        <v>3</v>
      </c>
      <c r="D50" s="100" t="s">
        <v>127</v>
      </c>
      <c r="E50" s="101" t="s">
        <v>382</v>
      </c>
      <c r="F50" s="101" t="s">
        <v>383</v>
      </c>
      <c r="G50" s="62" t="str">
        <f t="shared" ref="G50" si="112">IFERROR(LEFT(B50,FIND("],",B50)),B50)</f>
        <v>[effect:sleep, target:unit_all, turn:1, rate:1]</v>
      </c>
      <c r="H50" s="62">
        <f t="shared" ref="H50" si="113">FIND("effect:",G50)+7</f>
        <v>9</v>
      </c>
      <c r="I50" s="62">
        <f t="shared" ref="I50" si="114">IFERROR(FIND(",",G50),LEN(G50))</f>
        <v>14</v>
      </c>
      <c r="J50" s="62">
        <f t="shared" ref="J50" si="115">FIND("target:",G50)+7</f>
        <v>23</v>
      </c>
      <c r="K50" s="62">
        <f t="shared" ref="K50" si="116">FIND(",",G50,I50+1)</f>
        <v>31</v>
      </c>
      <c r="L50" s="62" t="str">
        <f>IFERROR(VLOOKUP(MID(G50,J50,K50-J50),[6]skilldef!$C:$D,2,FALSE),"-") &amp; " / " &amp; IFERROR(VLOOKUP(MID(G50,H50,I50-H50),[6]skilldef!$A:$B,2,FALSE),"-")</f>
        <v>味方全体に / スリープ</v>
      </c>
      <c r="M50" s="62" t="str">
        <f t="shared" ref="M50" si="117">IFERROR(RIGHT(B50,LEN(B50)-FIND("],",B50)-1),"none")</f>
        <v>[effect:suicide, val:0.8, dead_type:suicide, target:enemy_heal, animation:enemy_suicide]</v>
      </c>
      <c r="N50" s="48" t="str">
        <f t="shared" ref="N50" si="118">IFERROR(LEFT(M50,FIND("],",M50)+S61),M50)</f>
        <v>[effect:suicide, val:0.8, dead_type:suicide, target:enemy_heal, animation:enemy_suicide]</v>
      </c>
      <c r="O50" s="62">
        <f t="shared" ref="O50" si="119">FIND("effect:",N50)+7</f>
        <v>9</v>
      </c>
      <c r="P50" s="62">
        <f t="shared" ref="P50" si="120">IFERROR(FIND(",",N50),LEN(N50))</f>
        <v>16</v>
      </c>
      <c r="Q50" s="62">
        <f t="shared" ref="Q50" si="121">FIND("target:",N50)+7</f>
        <v>53</v>
      </c>
      <c r="R50" s="62">
        <f t="shared" ref="R50" si="122">FIND(",",N50,P50+1)</f>
        <v>25</v>
      </c>
      <c r="S50" s="62" t="str">
        <f>IFERROR(VLOOKUP(MID(N50,Q50,R50-Q50),[6]skilldef!$C:$D,2,FALSE),"-") &amp; " / " &amp; IFERROR(VLOOKUP(MID(N50,O50,P50-O50),[6]skilldef!$A:$B,2,FALSE),"-")</f>
        <v>- / -</v>
      </c>
      <c r="T50" s="48" t="str">
        <f t="shared" ref="T50" si="123">IFERROR(RIGHT(M50,LEN(M50)-FIND("],",M50)-1),"none")</f>
        <v>none</v>
      </c>
      <c r="U50" s="62" t="e">
        <f t="shared" ref="U50" si="124">FIND("effect:",T50)+7</f>
        <v>#VALUE!</v>
      </c>
      <c r="V50" s="62">
        <f t="shared" ref="V50" si="125">IFERROR(FIND(",",T50),LEN(T50))</f>
        <v>4</v>
      </c>
      <c r="W50" s="62" t="e">
        <f t="shared" ref="W50" si="126">FIND("target:",T50)+7</f>
        <v>#VALUE!</v>
      </c>
      <c r="X50" s="62" t="e">
        <f t="shared" ref="X50" si="127">FIND(",",T50,V50+1)</f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50"/>
      <c r="AA50" s="51"/>
      <c r="AB50" s="50"/>
    </row>
    <row r="51" spans="1:28" ht="21" customHeight="1">
      <c r="A51" s="114">
        <v>40012049</v>
      </c>
      <c r="B51" s="99" t="s">
        <v>361</v>
      </c>
      <c r="C51" s="100">
        <v>3</v>
      </c>
      <c r="D51" s="100" t="s">
        <v>127</v>
      </c>
      <c r="E51" s="101" t="s">
        <v>348</v>
      </c>
      <c r="F51" s="101" t="s">
        <v>374</v>
      </c>
      <c r="G51" s="62" t="str">
        <f t="shared" ref="G51" si="128">IFERROR(LEFT(B51,FIND("],",B51)),B51)</f>
        <v>[effect:tolerance, target:myself, turn:-1, tolerance_effect:hungup, count:-1, animation:enemy_tolerance]</v>
      </c>
      <c r="H51" s="62">
        <f t="shared" ref="H51" si="129">FIND("effect:",G51)+7</f>
        <v>9</v>
      </c>
      <c r="I51" s="62">
        <f t="shared" ref="I51" si="130">IFERROR(FIND(",",G51),LEN(G51))</f>
        <v>18</v>
      </c>
      <c r="J51" s="62">
        <f t="shared" ref="J51" si="131">FIND("target:",G51)+7</f>
        <v>27</v>
      </c>
      <c r="K51" s="62">
        <f t="shared" ref="K51" si="132">FIND(",",G51,I51+1)</f>
        <v>33</v>
      </c>
      <c r="L51" s="62" t="str">
        <f>IFERROR(VLOOKUP(MID(G51,J51,K51-J51),[6]skilldef!$C:$D,2,FALSE),"-") &amp; " / " &amp; IFERROR(VLOOKUP(MID(G51,H51,I51-H51),[6]skilldef!$A:$B,2,FALSE),"-")</f>
        <v>自分自身に / 状態異常耐性</v>
      </c>
      <c r="M51" s="62" t="str">
        <f t="shared" ref="M51" si="133">IFERROR(RIGHT(B51,LEN(B51)-FIND("],",B51)-1),"none")</f>
        <v>[effect:tolerance, target:myself, turn:-1, tolerance_effect:sleep, count:-1, animation:enemy_tolerance],[effect:fix_speed, target:myself, turn:1]</v>
      </c>
      <c r="N51" s="48" t="str">
        <f t="shared" ref="N51" si="134">IFERROR(LEFT(M51,FIND("],",M51)+S61),M51)</f>
        <v>[effect:tolerance, target:myself, turn:-1, tolerance_effect:sleep, count:-1, animation:enemy_tolerance]</v>
      </c>
      <c r="O51" s="62">
        <f t="shared" ref="O51" si="135">FIND("effect:",N51)+7</f>
        <v>9</v>
      </c>
      <c r="P51" s="62">
        <f t="shared" ref="P51" si="136">IFERROR(FIND(",",N51),LEN(N51))</f>
        <v>18</v>
      </c>
      <c r="Q51" s="62">
        <f t="shared" ref="Q51" si="137">FIND("target:",N51)+7</f>
        <v>27</v>
      </c>
      <c r="R51" s="62">
        <f t="shared" ref="R51" si="138">FIND(",",N51,P51+1)</f>
        <v>33</v>
      </c>
      <c r="S51" s="62" t="str">
        <f>IFERROR(VLOOKUP(MID(N51,Q51,R51-Q51),[6]skilldef!$C:$D,2,FALSE),"-") &amp; " / " &amp; IFERROR(VLOOKUP(MID(N51,O51,P51-O51),[6]skilldef!$A:$B,2,FALSE),"-")</f>
        <v>自分自身に / 状態異常耐性</v>
      </c>
      <c r="T51" s="48" t="str">
        <f t="shared" ref="T51" si="139">IFERROR(RIGHT(M51,LEN(M51)-FIND("],",M51)-1),"none")</f>
        <v>[effect:fix_speed, target:myself, turn:1]</v>
      </c>
      <c r="U51" s="62">
        <f t="shared" ref="U51" si="140">FIND("effect:",T51)+7</f>
        <v>9</v>
      </c>
      <c r="V51" s="62">
        <f t="shared" ref="V51" si="141">IFERROR(FIND(",",T51),LEN(T51))</f>
        <v>18</v>
      </c>
      <c r="W51" s="62">
        <f t="shared" ref="W51" si="142">FIND("target:",T51)+7</f>
        <v>27</v>
      </c>
      <c r="X51" s="62">
        <f t="shared" ref="X51" si="143">FIND(",",T51,V51+1)</f>
        <v>33</v>
      </c>
      <c r="Y51" s="62" t="str">
        <f>IFERROR(VLOOKUP(MID(T51,W51,X51-W51),[6]skilldef!$C:$D,2,FALSE),"-") &amp; " / " &amp; IFERROR(VLOOKUP(MID(T51,U51,V51-U51),[6]skilldef!$A:$B,2,FALSE),"-")</f>
        <v>自分自身に / 行動値設定</v>
      </c>
      <c r="Z51" s="50"/>
      <c r="AA51" s="51"/>
      <c r="AB51" s="50"/>
    </row>
    <row r="52" spans="1:28" ht="21" customHeight="1">
      <c r="A52" s="114">
        <v>40012050</v>
      </c>
      <c r="B52" s="99" t="s">
        <v>361</v>
      </c>
      <c r="C52" s="100">
        <v>3</v>
      </c>
      <c r="D52" s="100" t="s">
        <v>127</v>
      </c>
      <c r="E52" s="101" t="s">
        <v>348</v>
      </c>
      <c r="F52" s="101" t="s">
        <v>374</v>
      </c>
      <c r="G52" s="62" t="str">
        <f t="shared" ref="G52" si="144">IFERROR(LEFT(B52,FIND("],",B52)),B52)</f>
        <v>[effect:tolerance, target:myself, turn:-1, tolerance_effect:hungup, count:-1, animation:enemy_tolerance]</v>
      </c>
      <c r="H52" s="62">
        <f t="shared" ref="H52" si="145">FIND("effect:",G52)+7</f>
        <v>9</v>
      </c>
      <c r="I52" s="62">
        <f t="shared" ref="I52" si="146">IFERROR(FIND(",",G52),LEN(G52))</f>
        <v>18</v>
      </c>
      <c r="J52" s="62">
        <f t="shared" ref="J52" si="147">FIND("target:",G52)+7</f>
        <v>27</v>
      </c>
      <c r="K52" s="62">
        <f t="shared" ref="K52" si="148">FIND(",",G52,I52+1)</f>
        <v>33</v>
      </c>
      <c r="L52" s="62" t="str">
        <f>IFERROR(VLOOKUP(MID(G52,J52,K52-J52),[6]skilldef!$C:$D,2,FALSE),"-") &amp; " / " &amp; IFERROR(VLOOKUP(MID(G52,H52,I52-H52),[6]skilldef!$A:$B,2,FALSE),"-")</f>
        <v>自分自身に / 状態異常耐性</v>
      </c>
      <c r="M52" s="62" t="str">
        <f t="shared" ref="M52" si="149">IFERROR(RIGHT(B52,LEN(B52)-FIND("],",B52)-1),"none")</f>
        <v>[effect:tolerance, target:myself, turn:-1, tolerance_effect:sleep, count:-1, animation:enemy_tolerance],[effect:fix_speed, target:myself, turn:1]</v>
      </c>
      <c r="N52" s="48" t="str">
        <f t="shared" ref="N52" si="150">IFERROR(LEFT(M52,FIND("],",M52)+S62),M52)</f>
        <v>[effect:tolerance, target:myself, turn:-1, tolerance_effect:sleep, count:-1, animation:enemy_tolerance]</v>
      </c>
      <c r="O52" s="62">
        <f t="shared" ref="O52" si="151">FIND("effect:",N52)+7</f>
        <v>9</v>
      </c>
      <c r="P52" s="62">
        <f t="shared" ref="P52" si="152">IFERROR(FIND(",",N52),LEN(N52))</f>
        <v>18</v>
      </c>
      <c r="Q52" s="62">
        <f t="shared" ref="Q52" si="153">FIND("target:",N52)+7</f>
        <v>27</v>
      </c>
      <c r="R52" s="62">
        <f t="shared" ref="R52" si="154">FIND(",",N52,P52+1)</f>
        <v>33</v>
      </c>
      <c r="S52" s="62" t="str">
        <f>IFERROR(VLOOKUP(MID(N52,Q52,R52-Q52),[6]skilldef!$C:$D,2,FALSE),"-") &amp; " / " &amp; IFERROR(VLOOKUP(MID(N52,O52,P52-O52),[6]skilldef!$A:$B,2,FALSE),"-")</f>
        <v>自分自身に / 状態異常耐性</v>
      </c>
      <c r="T52" s="48" t="str">
        <f t="shared" ref="T52" si="155">IFERROR(RIGHT(M52,LEN(M52)-FIND("],",M52)-1),"none")</f>
        <v>[effect:fix_speed, target:myself, turn:1]</v>
      </c>
      <c r="U52" s="62">
        <f t="shared" ref="U52" si="156">FIND("effect:",T52)+7</f>
        <v>9</v>
      </c>
      <c r="V52" s="62">
        <f t="shared" ref="V52" si="157">IFERROR(FIND(",",T52),LEN(T52))</f>
        <v>18</v>
      </c>
      <c r="W52" s="62">
        <f t="shared" ref="W52" si="158">FIND("target:",T52)+7</f>
        <v>27</v>
      </c>
      <c r="X52" s="62">
        <f t="shared" ref="X52" si="159">FIND(",",T52,V52+1)</f>
        <v>33</v>
      </c>
      <c r="Y52" s="62" t="str">
        <f>IFERROR(VLOOKUP(MID(T52,W52,X52-W52),[6]skilldef!$C:$D,2,FALSE),"-") &amp; " / " &amp; IFERROR(VLOOKUP(MID(T52,U52,V52-U52),[6]skilldef!$A:$B,2,FALSE),"-")</f>
        <v>自分自身に / 行動値設定</v>
      </c>
      <c r="Z52" s="50"/>
      <c r="AA52" s="51"/>
      <c r="AB5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2"/>
  <sheetViews>
    <sheetView showGridLines="0" zoomScale="75" zoomScaleNormal="75" zoomScalePageLayoutView="75" workbookViewId="0">
      <pane ySplit="1" topLeftCell="A13" activePane="bottomLeft" state="frozenSplit"/>
      <selection pane="bottomLeft" activeCell="E56" sqref="E56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>
      <c r="A2" s="47">
        <v>40012000</v>
      </c>
      <c r="B2" s="47">
        <v>1</v>
      </c>
      <c r="C2" s="47">
        <v>2</v>
      </c>
      <c r="D2" s="47">
        <v>100</v>
      </c>
      <c r="E2" s="47" t="s">
        <v>215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>
      <c r="A3" s="47">
        <v>40012001</v>
      </c>
      <c r="B3" s="47">
        <v>1</v>
      </c>
      <c r="C3" s="47">
        <v>2</v>
      </c>
      <c r="D3" s="47">
        <v>100</v>
      </c>
      <c r="E3" s="47" t="s">
        <v>215</v>
      </c>
      <c r="F3" s="47" t="s">
        <v>89</v>
      </c>
      <c r="G3" s="47">
        <v>1</v>
      </c>
      <c r="H3" s="47" t="s">
        <v>89</v>
      </c>
      <c r="I3" s="47" t="s">
        <v>89</v>
      </c>
      <c r="J3" s="48">
        <f t="shared" ref="J3:J7" si="1">D3</f>
        <v>100</v>
      </c>
    </row>
    <row r="4" spans="1:11" ht="21" customHeight="1">
      <c r="A4" s="47">
        <v>40012002</v>
      </c>
      <c r="B4" s="47">
        <v>0</v>
      </c>
      <c r="C4" s="47">
        <v>1</v>
      </c>
      <c r="D4" s="47">
        <v>100</v>
      </c>
      <c r="E4" s="47" t="s">
        <v>215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1"/>
        <v>100</v>
      </c>
    </row>
    <row r="5" spans="1:11" ht="21" customHeight="1">
      <c r="A5" s="47">
        <v>40012003</v>
      </c>
      <c r="B5" s="47">
        <v>0</v>
      </c>
      <c r="C5" s="47">
        <v>1</v>
      </c>
      <c r="D5" s="47">
        <v>100</v>
      </c>
      <c r="E5" s="47" t="s">
        <v>215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1"/>
        <v>100</v>
      </c>
    </row>
    <row r="6" spans="1:11" ht="21" customHeight="1">
      <c r="A6" s="47">
        <v>40012004</v>
      </c>
      <c r="B6" s="47">
        <v>1</v>
      </c>
      <c r="C6" s="47">
        <v>50</v>
      </c>
      <c r="D6" s="47">
        <v>100</v>
      </c>
      <c r="E6" s="47" t="s">
        <v>215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si="1"/>
        <v>100</v>
      </c>
    </row>
    <row r="7" spans="1:11" ht="21" customHeight="1">
      <c r="A7" s="47">
        <v>40012005</v>
      </c>
      <c r="B7" s="47">
        <v>0</v>
      </c>
      <c r="C7" s="47">
        <v>30</v>
      </c>
      <c r="D7" s="47">
        <v>60</v>
      </c>
      <c r="E7" s="47" t="s">
        <v>266</v>
      </c>
      <c r="F7" s="47" t="s">
        <v>266</v>
      </c>
      <c r="G7" s="47" t="s">
        <v>267</v>
      </c>
      <c r="H7" s="47" t="s">
        <v>266</v>
      </c>
      <c r="I7" s="47" t="s">
        <v>268</v>
      </c>
      <c r="J7" s="48">
        <f t="shared" si="1"/>
        <v>60</v>
      </c>
    </row>
    <row r="8" spans="1:11" ht="21" customHeight="1">
      <c r="A8" s="47">
        <v>40012006</v>
      </c>
      <c r="B8" s="47">
        <v>0</v>
      </c>
      <c r="C8" s="47">
        <v>40</v>
      </c>
      <c r="D8" s="47">
        <v>100</v>
      </c>
      <c r="E8" s="47" t="s">
        <v>269</v>
      </c>
      <c r="F8" s="47" t="s">
        <v>266</v>
      </c>
      <c r="G8" s="47">
        <v>1</v>
      </c>
      <c r="H8" s="47">
        <v>3</v>
      </c>
      <c r="I8" s="47" t="s">
        <v>268</v>
      </c>
      <c r="J8" s="48">
        <f t="shared" ref="J8:J22" si="2">D8</f>
        <v>100</v>
      </c>
    </row>
    <row r="9" spans="1:11" ht="21" customHeight="1">
      <c r="A9" s="47">
        <v>40012007</v>
      </c>
      <c r="B9" s="47">
        <v>0</v>
      </c>
      <c r="C9" s="47">
        <v>41</v>
      </c>
      <c r="D9" s="47">
        <v>100</v>
      </c>
      <c r="E9" s="47">
        <v>50</v>
      </c>
      <c r="F9" s="47" t="s">
        <v>266</v>
      </c>
      <c r="G9" s="47">
        <v>1</v>
      </c>
      <c r="H9" s="47">
        <v>1</v>
      </c>
      <c r="I9" s="47" t="s">
        <v>268</v>
      </c>
      <c r="J9" s="48">
        <f t="shared" si="2"/>
        <v>100</v>
      </c>
    </row>
    <row r="10" spans="1:11" ht="21" customHeight="1">
      <c r="A10" s="47">
        <v>40012008</v>
      </c>
      <c r="B10" s="47">
        <v>1</v>
      </c>
      <c r="C10" s="47">
        <v>50</v>
      </c>
      <c r="D10" s="47">
        <v>100</v>
      </c>
      <c r="E10" s="47" t="s">
        <v>266</v>
      </c>
      <c r="F10" s="47" t="s">
        <v>266</v>
      </c>
      <c r="G10" s="47">
        <v>1</v>
      </c>
      <c r="H10" s="47" t="s">
        <v>266</v>
      </c>
      <c r="I10" s="47" t="s">
        <v>268</v>
      </c>
      <c r="J10" s="48">
        <f t="shared" si="2"/>
        <v>100</v>
      </c>
    </row>
    <row r="11" spans="1:11" ht="21" customHeight="1">
      <c r="A11" s="47">
        <v>40012009</v>
      </c>
      <c r="B11" s="47">
        <v>0</v>
      </c>
      <c r="C11" s="47">
        <v>49</v>
      </c>
      <c r="D11" s="47">
        <v>100</v>
      </c>
      <c r="E11" s="47" t="s">
        <v>266</v>
      </c>
      <c r="F11" s="47" t="s">
        <v>266</v>
      </c>
      <c r="G11" s="47">
        <v>1</v>
      </c>
      <c r="H11" s="47" t="s">
        <v>266</v>
      </c>
      <c r="I11" s="47" t="s">
        <v>268</v>
      </c>
      <c r="J11" s="48">
        <f t="shared" si="2"/>
        <v>100</v>
      </c>
    </row>
    <row r="12" spans="1:11" ht="21" customHeight="1">
      <c r="A12" s="47">
        <v>40012010</v>
      </c>
      <c r="B12" s="47">
        <v>0</v>
      </c>
      <c r="C12" s="47">
        <v>30</v>
      </c>
      <c r="D12" s="47">
        <v>60</v>
      </c>
      <c r="E12" s="47" t="s">
        <v>266</v>
      </c>
      <c r="F12" s="47" t="s">
        <v>266</v>
      </c>
      <c r="G12" s="47" t="s">
        <v>267</v>
      </c>
      <c r="H12" s="47" t="s">
        <v>266</v>
      </c>
      <c r="I12" s="47" t="s">
        <v>268</v>
      </c>
      <c r="J12" s="48">
        <f t="shared" si="2"/>
        <v>60</v>
      </c>
    </row>
    <row r="13" spans="1:11" ht="21" customHeight="1">
      <c r="A13" s="47">
        <v>40012011</v>
      </c>
      <c r="B13" s="47">
        <v>0</v>
      </c>
      <c r="C13" s="47">
        <v>40</v>
      </c>
      <c r="D13" s="47">
        <v>50</v>
      </c>
      <c r="E13" s="47">
        <v>50</v>
      </c>
      <c r="F13" s="47" t="s">
        <v>266</v>
      </c>
      <c r="G13" s="47">
        <v>3</v>
      </c>
      <c r="H13" s="47" t="s">
        <v>266</v>
      </c>
      <c r="I13" s="47" t="s">
        <v>268</v>
      </c>
      <c r="J13" s="48">
        <f t="shared" si="2"/>
        <v>50</v>
      </c>
    </row>
    <row r="14" spans="1:11" ht="21" customHeight="1">
      <c r="A14" s="47">
        <v>40012012</v>
      </c>
      <c r="B14" s="47">
        <v>1</v>
      </c>
      <c r="C14" s="47">
        <v>50</v>
      </c>
      <c r="D14" s="47">
        <v>100</v>
      </c>
      <c r="E14" s="47" t="s">
        <v>266</v>
      </c>
      <c r="F14" s="47" t="s">
        <v>266</v>
      </c>
      <c r="G14" s="47">
        <v>1</v>
      </c>
      <c r="H14" s="47" t="s">
        <v>266</v>
      </c>
      <c r="I14" s="47" t="s">
        <v>268</v>
      </c>
      <c r="J14" s="48">
        <f t="shared" si="2"/>
        <v>100</v>
      </c>
    </row>
    <row r="15" spans="1:11" ht="21" customHeight="1">
      <c r="A15" s="47">
        <v>40012013</v>
      </c>
      <c r="B15" s="47">
        <v>0</v>
      </c>
      <c r="C15" s="47">
        <v>30</v>
      </c>
      <c r="D15" s="47">
        <v>100</v>
      </c>
      <c r="E15" s="47" t="s">
        <v>266</v>
      </c>
      <c r="F15" s="47" t="s">
        <v>266</v>
      </c>
      <c r="G15" s="47" t="s">
        <v>267</v>
      </c>
      <c r="H15" s="47">
        <v>1</v>
      </c>
      <c r="I15" s="47" t="s">
        <v>268</v>
      </c>
      <c r="J15" s="48">
        <f t="shared" si="2"/>
        <v>100</v>
      </c>
    </row>
    <row r="16" spans="1:11" ht="21" customHeight="1">
      <c r="A16" s="47">
        <v>40012014</v>
      </c>
      <c r="B16" s="47">
        <v>0</v>
      </c>
      <c r="C16" s="47">
        <v>31</v>
      </c>
      <c r="D16" s="47">
        <v>100</v>
      </c>
      <c r="E16" s="47" t="s">
        <v>266</v>
      </c>
      <c r="F16" s="47" t="s">
        <v>266</v>
      </c>
      <c r="G16" s="47" t="s">
        <v>267</v>
      </c>
      <c r="H16" s="47">
        <v>2</v>
      </c>
      <c r="I16" s="47" t="s">
        <v>268</v>
      </c>
      <c r="J16" s="48">
        <f t="shared" si="2"/>
        <v>100</v>
      </c>
    </row>
    <row r="17" spans="1:10" ht="21" customHeight="1">
      <c r="A17" s="47">
        <v>40012015</v>
      </c>
      <c r="B17" s="47">
        <v>0</v>
      </c>
      <c r="C17" s="47">
        <v>49</v>
      </c>
      <c r="D17" s="47">
        <v>100</v>
      </c>
      <c r="E17" s="47" t="s">
        <v>266</v>
      </c>
      <c r="F17" s="47" t="s">
        <v>266</v>
      </c>
      <c r="G17" s="47" t="s">
        <v>267</v>
      </c>
      <c r="H17" s="47" t="s">
        <v>321</v>
      </c>
      <c r="I17" s="47">
        <v>666</v>
      </c>
      <c r="J17" s="48">
        <f t="shared" si="2"/>
        <v>100</v>
      </c>
    </row>
    <row r="18" spans="1:10" ht="21" customHeight="1">
      <c r="A18" s="47">
        <v>40012016</v>
      </c>
      <c r="B18" s="47">
        <v>1</v>
      </c>
      <c r="C18" s="47">
        <v>50</v>
      </c>
      <c r="D18" s="47">
        <v>100</v>
      </c>
      <c r="E18" s="47" t="s">
        <v>266</v>
      </c>
      <c r="F18" s="47" t="s">
        <v>266</v>
      </c>
      <c r="G18" s="47">
        <v>1</v>
      </c>
      <c r="H18" s="47" t="s">
        <v>266</v>
      </c>
      <c r="I18" s="47" t="s">
        <v>268</v>
      </c>
      <c r="J18" s="48">
        <f t="shared" si="2"/>
        <v>100</v>
      </c>
    </row>
    <row r="19" spans="1:10" ht="21" customHeight="1">
      <c r="A19" s="47">
        <v>40012017</v>
      </c>
      <c r="B19" s="47">
        <v>0</v>
      </c>
      <c r="C19" s="47">
        <v>30</v>
      </c>
      <c r="D19" s="47">
        <v>60</v>
      </c>
      <c r="E19" s="47" t="s">
        <v>266</v>
      </c>
      <c r="F19" s="47" t="s">
        <v>266</v>
      </c>
      <c r="G19" s="47" t="s">
        <v>267</v>
      </c>
      <c r="H19" s="47" t="s">
        <v>266</v>
      </c>
      <c r="I19" s="47" t="s">
        <v>268</v>
      </c>
      <c r="J19" s="48">
        <f t="shared" si="2"/>
        <v>60</v>
      </c>
    </row>
    <row r="20" spans="1:10" ht="21" customHeight="1">
      <c r="A20" s="47">
        <v>40012018</v>
      </c>
      <c r="B20" s="47">
        <v>0</v>
      </c>
      <c r="C20" s="47">
        <v>31</v>
      </c>
      <c r="D20" s="47">
        <v>50</v>
      </c>
      <c r="E20" s="47">
        <v>75</v>
      </c>
      <c r="F20" s="47" t="s">
        <v>266</v>
      </c>
      <c r="G20" s="47" t="s">
        <v>270</v>
      </c>
      <c r="H20" s="47" t="s">
        <v>266</v>
      </c>
      <c r="I20" s="47" t="s">
        <v>268</v>
      </c>
      <c r="J20" s="48">
        <f t="shared" si="2"/>
        <v>50</v>
      </c>
    </row>
    <row r="21" spans="1:10" ht="21" customHeight="1">
      <c r="A21" s="47">
        <v>40012019</v>
      </c>
      <c r="B21" s="47">
        <v>0</v>
      </c>
      <c r="C21" s="47">
        <v>40</v>
      </c>
      <c r="D21" s="47">
        <v>100</v>
      </c>
      <c r="E21" s="47">
        <v>50</v>
      </c>
      <c r="F21" s="47" t="s">
        <v>266</v>
      </c>
      <c r="G21" s="47">
        <v>1</v>
      </c>
      <c r="H21" s="47" t="s">
        <v>266</v>
      </c>
      <c r="I21" s="47" t="s">
        <v>268</v>
      </c>
      <c r="J21" s="48">
        <f t="shared" si="2"/>
        <v>100</v>
      </c>
    </row>
    <row r="22" spans="1:10" ht="21" customHeight="1">
      <c r="A22" s="47">
        <v>40012020</v>
      </c>
      <c r="B22" s="47">
        <v>1</v>
      </c>
      <c r="C22" s="47">
        <v>50</v>
      </c>
      <c r="D22" s="47">
        <v>100</v>
      </c>
      <c r="E22" s="47" t="s">
        <v>266</v>
      </c>
      <c r="F22" s="47" t="s">
        <v>266</v>
      </c>
      <c r="G22" s="47">
        <v>1</v>
      </c>
      <c r="H22" s="47" t="s">
        <v>266</v>
      </c>
      <c r="I22" s="47" t="s">
        <v>268</v>
      </c>
      <c r="J22" s="48">
        <f t="shared" si="2"/>
        <v>100</v>
      </c>
    </row>
    <row r="23" spans="1:10" ht="21" customHeight="1">
      <c r="A23" s="47">
        <v>40012021</v>
      </c>
      <c r="B23" s="47">
        <v>0</v>
      </c>
      <c r="C23" s="47">
        <v>30</v>
      </c>
      <c r="D23" s="47">
        <v>60</v>
      </c>
      <c r="E23" s="47" t="s">
        <v>266</v>
      </c>
      <c r="F23" s="47" t="s">
        <v>266</v>
      </c>
      <c r="G23" s="47" t="s">
        <v>267</v>
      </c>
      <c r="H23" s="47">
        <v>1</v>
      </c>
      <c r="I23" s="47" t="s">
        <v>268</v>
      </c>
      <c r="J23" s="48">
        <f t="shared" ref="J23:J46" si="3">D23</f>
        <v>60</v>
      </c>
    </row>
    <row r="24" spans="1:10" ht="21" customHeight="1">
      <c r="A24" s="47">
        <v>40012022</v>
      </c>
      <c r="B24" s="47">
        <v>0</v>
      </c>
      <c r="C24" s="47">
        <v>31</v>
      </c>
      <c r="D24" s="47">
        <v>100</v>
      </c>
      <c r="E24" s="47" t="s">
        <v>266</v>
      </c>
      <c r="F24" s="47" t="s">
        <v>266</v>
      </c>
      <c r="G24" s="47">
        <v>1</v>
      </c>
      <c r="H24" s="47">
        <v>3</v>
      </c>
      <c r="I24" s="47" t="s">
        <v>268</v>
      </c>
      <c r="J24" s="48">
        <f t="shared" si="3"/>
        <v>100</v>
      </c>
    </row>
    <row r="25" spans="1:10" ht="21" customHeight="1">
      <c r="A25" s="47">
        <v>40012023</v>
      </c>
      <c r="B25" s="47">
        <v>0</v>
      </c>
      <c r="C25" s="47">
        <v>41</v>
      </c>
      <c r="D25" s="47">
        <v>100</v>
      </c>
      <c r="E25" s="47">
        <v>30</v>
      </c>
      <c r="F25" s="47" t="s">
        <v>266</v>
      </c>
      <c r="G25" s="47">
        <v>1</v>
      </c>
      <c r="H25" s="47">
        <v>1</v>
      </c>
      <c r="I25" s="47" t="s">
        <v>268</v>
      </c>
      <c r="J25" s="48">
        <f t="shared" si="3"/>
        <v>100</v>
      </c>
    </row>
    <row r="26" spans="1:10" ht="21" customHeight="1">
      <c r="A26" s="47">
        <v>40012024</v>
      </c>
      <c r="B26" s="47">
        <v>0</v>
      </c>
      <c r="C26" s="47">
        <v>40</v>
      </c>
      <c r="D26" s="47">
        <v>100</v>
      </c>
      <c r="E26" s="47">
        <v>30</v>
      </c>
      <c r="F26" s="47" t="s">
        <v>266</v>
      </c>
      <c r="G26" s="47">
        <v>1</v>
      </c>
      <c r="H26" s="47">
        <v>1</v>
      </c>
      <c r="I26" s="47" t="s">
        <v>268</v>
      </c>
      <c r="J26" s="48">
        <f t="shared" si="3"/>
        <v>100</v>
      </c>
    </row>
    <row r="27" spans="1:10" ht="21" customHeight="1">
      <c r="A27" s="47">
        <v>40012025</v>
      </c>
      <c r="B27" s="47">
        <v>1</v>
      </c>
      <c r="C27" s="47">
        <v>50</v>
      </c>
      <c r="D27" s="47">
        <v>100</v>
      </c>
      <c r="E27" s="47" t="s">
        <v>266</v>
      </c>
      <c r="F27" s="47" t="s">
        <v>266</v>
      </c>
      <c r="G27" s="47">
        <v>1</v>
      </c>
      <c r="H27" s="47" t="s">
        <v>266</v>
      </c>
      <c r="I27" s="47" t="s">
        <v>268</v>
      </c>
      <c r="J27" s="48">
        <f t="shared" si="3"/>
        <v>100</v>
      </c>
    </row>
    <row r="28" spans="1:10" ht="21" customHeight="1">
      <c r="A28" s="47">
        <v>40012026</v>
      </c>
      <c r="B28" s="47">
        <v>0</v>
      </c>
      <c r="C28" s="47">
        <v>30</v>
      </c>
      <c r="D28" s="47">
        <v>100</v>
      </c>
      <c r="E28" s="47" t="s">
        <v>266</v>
      </c>
      <c r="F28" s="47">
        <v>75</v>
      </c>
      <c r="G28" s="47">
        <v>1</v>
      </c>
      <c r="H28" s="47" t="s">
        <v>266</v>
      </c>
      <c r="I28" s="47" t="s">
        <v>268</v>
      </c>
      <c r="J28" s="48">
        <f t="shared" si="3"/>
        <v>100</v>
      </c>
    </row>
    <row r="29" spans="1:10" ht="21" customHeight="1">
      <c r="A29" s="47">
        <v>40012027</v>
      </c>
      <c r="B29" s="47">
        <v>0</v>
      </c>
      <c r="C29" s="47">
        <v>30</v>
      </c>
      <c r="D29" s="47">
        <v>100</v>
      </c>
      <c r="E29" s="47" t="s">
        <v>270</v>
      </c>
      <c r="F29" s="47">
        <v>75</v>
      </c>
      <c r="G29" s="47">
        <v>1</v>
      </c>
      <c r="H29" s="47" t="s">
        <v>266</v>
      </c>
      <c r="I29" s="47" t="s">
        <v>268</v>
      </c>
      <c r="J29" s="48">
        <f t="shared" si="3"/>
        <v>100</v>
      </c>
    </row>
    <row r="30" spans="1:10" ht="21" customHeight="1">
      <c r="A30" s="47">
        <v>40012028</v>
      </c>
      <c r="B30" s="47">
        <v>0</v>
      </c>
      <c r="C30" s="47">
        <v>31</v>
      </c>
      <c r="D30" s="47">
        <v>100</v>
      </c>
      <c r="E30" s="47">
        <v>75</v>
      </c>
      <c r="F30" s="47">
        <v>50</v>
      </c>
      <c r="G30" s="47">
        <v>1</v>
      </c>
      <c r="H30" s="47" t="s">
        <v>266</v>
      </c>
      <c r="I30" s="47" t="s">
        <v>268</v>
      </c>
      <c r="J30" s="48">
        <f t="shared" si="3"/>
        <v>100</v>
      </c>
    </row>
    <row r="31" spans="1:10" ht="21" customHeight="1">
      <c r="A31" s="47">
        <v>40012029</v>
      </c>
      <c r="B31" s="47">
        <v>0</v>
      </c>
      <c r="C31" s="47">
        <v>31</v>
      </c>
      <c r="D31" s="47">
        <v>100</v>
      </c>
      <c r="E31" s="47">
        <v>75</v>
      </c>
      <c r="F31" s="47">
        <v>50</v>
      </c>
      <c r="G31" s="47">
        <v>1</v>
      </c>
      <c r="H31" s="47" t="s">
        <v>266</v>
      </c>
      <c r="I31" s="47" t="s">
        <v>268</v>
      </c>
      <c r="J31" s="48">
        <f t="shared" si="3"/>
        <v>100</v>
      </c>
    </row>
    <row r="32" spans="1:10" ht="21" customHeight="1">
      <c r="A32" s="47">
        <v>40012030</v>
      </c>
      <c r="B32" s="47">
        <v>0</v>
      </c>
      <c r="C32" s="47">
        <v>32</v>
      </c>
      <c r="D32" s="47">
        <v>100</v>
      </c>
      <c r="E32" s="47">
        <v>50</v>
      </c>
      <c r="F32" s="47">
        <v>25</v>
      </c>
      <c r="G32" s="47">
        <v>1</v>
      </c>
      <c r="H32" s="47" t="s">
        <v>266</v>
      </c>
      <c r="I32" s="47" t="s">
        <v>268</v>
      </c>
      <c r="J32" s="48">
        <f t="shared" si="3"/>
        <v>100</v>
      </c>
    </row>
    <row r="33" spans="1:10" ht="21" customHeight="1">
      <c r="A33" s="47">
        <v>40012031</v>
      </c>
      <c r="B33" s="47">
        <v>0</v>
      </c>
      <c r="C33" s="47">
        <v>32</v>
      </c>
      <c r="D33" s="47">
        <v>100</v>
      </c>
      <c r="E33" s="47">
        <v>50</v>
      </c>
      <c r="F33" s="47">
        <v>25</v>
      </c>
      <c r="G33" s="47">
        <v>1</v>
      </c>
      <c r="H33" s="47" t="s">
        <v>266</v>
      </c>
      <c r="I33" s="47" t="s">
        <v>268</v>
      </c>
      <c r="J33" s="48">
        <f t="shared" si="3"/>
        <v>100</v>
      </c>
    </row>
    <row r="34" spans="1:10" ht="21" customHeight="1">
      <c r="A34" s="47">
        <v>40012032</v>
      </c>
      <c r="B34" s="47">
        <v>0</v>
      </c>
      <c r="C34" s="47">
        <v>49</v>
      </c>
      <c r="D34" s="47">
        <v>100</v>
      </c>
      <c r="E34" s="47" t="s">
        <v>320</v>
      </c>
      <c r="F34" s="47" t="s">
        <v>266</v>
      </c>
      <c r="G34" s="47">
        <v>1</v>
      </c>
      <c r="H34" s="47" t="s">
        <v>266</v>
      </c>
      <c r="I34" s="47">
        <v>654</v>
      </c>
      <c r="J34" s="48">
        <f t="shared" si="3"/>
        <v>100</v>
      </c>
    </row>
    <row r="35" spans="1:10" ht="21" customHeight="1">
      <c r="A35" s="47">
        <v>40012033</v>
      </c>
      <c r="B35" s="47">
        <v>1</v>
      </c>
      <c r="C35" s="47">
        <v>50</v>
      </c>
      <c r="D35" s="47">
        <v>100</v>
      </c>
      <c r="E35" s="47" t="s">
        <v>266</v>
      </c>
      <c r="F35" s="47" t="s">
        <v>266</v>
      </c>
      <c r="G35" s="47">
        <v>1</v>
      </c>
      <c r="H35" s="47" t="s">
        <v>266</v>
      </c>
      <c r="I35" s="47" t="s">
        <v>268</v>
      </c>
      <c r="J35" s="48">
        <f t="shared" si="3"/>
        <v>100</v>
      </c>
    </row>
    <row r="36" spans="1:10" ht="21" customHeight="1">
      <c r="A36" s="47">
        <v>40012034</v>
      </c>
      <c r="B36" s="47">
        <v>0</v>
      </c>
      <c r="C36" s="47">
        <v>40</v>
      </c>
      <c r="D36" s="47">
        <v>100</v>
      </c>
      <c r="E36" s="47" t="s">
        <v>266</v>
      </c>
      <c r="F36" s="47" t="s">
        <v>266</v>
      </c>
      <c r="G36" s="47">
        <v>1</v>
      </c>
      <c r="H36" s="47" t="s">
        <v>266</v>
      </c>
      <c r="I36" s="47" t="s">
        <v>268</v>
      </c>
      <c r="J36" s="48">
        <f t="shared" si="3"/>
        <v>100</v>
      </c>
    </row>
    <row r="37" spans="1:10" ht="21" customHeight="1">
      <c r="A37" s="47">
        <v>40012035</v>
      </c>
      <c r="B37" s="47">
        <v>0</v>
      </c>
      <c r="C37" s="47">
        <v>30</v>
      </c>
      <c r="D37" s="47">
        <v>100</v>
      </c>
      <c r="E37" s="47" t="s">
        <v>266</v>
      </c>
      <c r="F37" s="47" t="s">
        <v>266</v>
      </c>
      <c r="G37" s="47" t="s">
        <v>267</v>
      </c>
      <c r="H37" s="47" t="s">
        <v>266</v>
      </c>
      <c r="I37" s="47" t="s">
        <v>268</v>
      </c>
      <c r="J37" s="48">
        <f t="shared" si="3"/>
        <v>100</v>
      </c>
    </row>
    <row r="38" spans="1:10" ht="21" customHeight="1">
      <c r="A38" s="47">
        <v>40012036</v>
      </c>
      <c r="B38" s="47">
        <v>0</v>
      </c>
      <c r="C38" s="47">
        <v>31</v>
      </c>
      <c r="D38" s="47">
        <v>40</v>
      </c>
      <c r="E38" s="47" t="s">
        <v>266</v>
      </c>
      <c r="F38" s="47" t="s">
        <v>266</v>
      </c>
      <c r="G38" s="47" t="s">
        <v>267</v>
      </c>
      <c r="H38" s="47" t="s">
        <v>266</v>
      </c>
      <c r="I38" s="47" t="s">
        <v>268</v>
      </c>
      <c r="J38" s="48">
        <f t="shared" si="3"/>
        <v>40</v>
      </c>
    </row>
    <row r="39" spans="1:10" ht="21" customHeight="1">
      <c r="A39" s="47">
        <v>40012037</v>
      </c>
      <c r="B39" s="47">
        <v>1</v>
      </c>
      <c r="C39" s="47">
        <v>50</v>
      </c>
      <c r="D39" s="47">
        <v>100</v>
      </c>
      <c r="E39" s="47" t="s">
        <v>266</v>
      </c>
      <c r="F39" s="47" t="s">
        <v>266</v>
      </c>
      <c r="G39" s="47">
        <v>1</v>
      </c>
      <c r="H39" s="47" t="s">
        <v>266</v>
      </c>
      <c r="I39" s="47" t="s">
        <v>268</v>
      </c>
      <c r="J39" s="48">
        <f t="shared" si="3"/>
        <v>100</v>
      </c>
    </row>
    <row r="40" spans="1:10" ht="21" customHeight="1">
      <c r="A40" s="47">
        <v>40012038</v>
      </c>
      <c r="B40" s="47">
        <v>0</v>
      </c>
      <c r="C40" s="47">
        <v>30</v>
      </c>
      <c r="D40" s="47">
        <v>100</v>
      </c>
      <c r="E40" s="47" t="s">
        <v>53</v>
      </c>
      <c r="F40" s="47" t="s">
        <v>89</v>
      </c>
      <c r="G40" s="47" t="s">
        <v>284</v>
      </c>
      <c r="H40" s="47" t="s">
        <v>89</v>
      </c>
      <c r="I40" s="47" t="s">
        <v>89</v>
      </c>
      <c r="J40" s="48">
        <f t="shared" si="3"/>
        <v>100</v>
      </c>
    </row>
    <row r="41" spans="1:10" ht="21" customHeight="1">
      <c r="A41" s="47">
        <v>40012039</v>
      </c>
      <c r="B41" s="47">
        <v>0</v>
      </c>
      <c r="C41" s="47">
        <v>31</v>
      </c>
      <c r="D41" s="47">
        <v>50</v>
      </c>
      <c r="E41" s="47" t="s">
        <v>53</v>
      </c>
      <c r="F41" s="47" t="s">
        <v>89</v>
      </c>
      <c r="G41" s="47" t="s">
        <v>284</v>
      </c>
      <c r="H41" s="47" t="s">
        <v>89</v>
      </c>
      <c r="I41" s="47" t="s">
        <v>89</v>
      </c>
      <c r="J41" s="48">
        <f t="shared" si="3"/>
        <v>50</v>
      </c>
    </row>
    <row r="42" spans="1:10" ht="21" customHeight="1">
      <c r="A42" s="47">
        <v>40012040</v>
      </c>
      <c r="B42" s="47">
        <v>0</v>
      </c>
      <c r="C42" s="47">
        <v>32</v>
      </c>
      <c r="D42" s="47">
        <v>33</v>
      </c>
      <c r="E42" s="47" t="s">
        <v>53</v>
      </c>
      <c r="F42" s="47" t="s">
        <v>89</v>
      </c>
      <c r="G42" s="47" t="s">
        <v>284</v>
      </c>
      <c r="H42" s="47" t="s">
        <v>89</v>
      </c>
      <c r="I42" s="47" t="s">
        <v>89</v>
      </c>
      <c r="J42" s="48">
        <f t="shared" si="3"/>
        <v>33</v>
      </c>
    </row>
    <row r="43" spans="1:10" ht="21" customHeight="1">
      <c r="A43" s="47">
        <v>40012041</v>
      </c>
      <c r="B43" s="47">
        <v>0</v>
      </c>
      <c r="C43" s="47">
        <v>40</v>
      </c>
      <c r="D43" s="47">
        <v>100</v>
      </c>
      <c r="E43" s="47">
        <v>70</v>
      </c>
      <c r="F43" s="47" t="s">
        <v>89</v>
      </c>
      <c r="G43" s="47">
        <v>1</v>
      </c>
      <c r="H43" s="47" t="s">
        <v>89</v>
      </c>
      <c r="I43" s="47" t="s">
        <v>89</v>
      </c>
      <c r="J43" s="48">
        <f t="shared" si="3"/>
        <v>100</v>
      </c>
    </row>
    <row r="44" spans="1:10" ht="21" customHeight="1">
      <c r="A44" s="47">
        <v>40012042</v>
      </c>
      <c r="B44" s="47">
        <v>1</v>
      </c>
      <c r="C44" s="47">
        <v>50</v>
      </c>
      <c r="D44" s="47">
        <v>100</v>
      </c>
      <c r="E44" s="47" t="s">
        <v>53</v>
      </c>
      <c r="F44" s="47" t="s">
        <v>89</v>
      </c>
      <c r="G44" s="47">
        <v>1</v>
      </c>
      <c r="H44" s="47" t="s">
        <v>89</v>
      </c>
      <c r="I44" s="47" t="s">
        <v>89</v>
      </c>
      <c r="J44" s="48">
        <f t="shared" si="3"/>
        <v>100</v>
      </c>
    </row>
    <row r="45" spans="1:10" ht="21" customHeight="1">
      <c r="A45" s="47">
        <v>40012043</v>
      </c>
      <c r="B45" s="47">
        <v>0</v>
      </c>
      <c r="C45" s="47">
        <v>30</v>
      </c>
      <c r="D45" s="47">
        <v>100</v>
      </c>
      <c r="E45" s="47" t="s">
        <v>53</v>
      </c>
      <c r="F45" s="47" t="s">
        <v>89</v>
      </c>
      <c r="G45" s="47" t="s">
        <v>284</v>
      </c>
      <c r="H45" s="47">
        <v>1</v>
      </c>
      <c r="I45" s="47" t="s">
        <v>89</v>
      </c>
      <c r="J45" s="48">
        <f t="shared" si="3"/>
        <v>100</v>
      </c>
    </row>
    <row r="46" spans="1:10" ht="21" customHeight="1">
      <c r="A46" s="47">
        <v>40012044</v>
      </c>
      <c r="B46" s="47">
        <v>0</v>
      </c>
      <c r="C46" s="47">
        <v>31</v>
      </c>
      <c r="D46" s="47">
        <v>100</v>
      </c>
      <c r="E46" s="47" t="s">
        <v>53</v>
      </c>
      <c r="F46" s="47" t="s">
        <v>89</v>
      </c>
      <c r="G46" s="47" t="s">
        <v>284</v>
      </c>
      <c r="H46" s="47">
        <v>2</v>
      </c>
      <c r="I46" s="47" t="s">
        <v>89</v>
      </c>
      <c r="J46" s="48">
        <f t="shared" si="3"/>
        <v>100</v>
      </c>
    </row>
    <row r="47" spans="1:10" ht="21" customHeight="1">
      <c r="A47" s="47">
        <v>40012045</v>
      </c>
      <c r="B47" s="47">
        <v>0</v>
      </c>
      <c r="C47" s="47">
        <v>32</v>
      </c>
      <c r="D47" s="47">
        <v>100</v>
      </c>
      <c r="E47" s="47" t="s">
        <v>53</v>
      </c>
      <c r="F47" s="47" t="s">
        <v>89</v>
      </c>
      <c r="G47" s="47" t="s">
        <v>285</v>
      </c>
      <c r="H47" s="47">
        <v>3</v>
      </c>
      <c r="I47" s="47" t="s">
        <v>89</v>
      </c>
      <c r="J47" s="48">
        <f t="shared" ref="J47" si="4">D47</f>
        <v>100</v>
      </c>
    </row>
    <row r="48" spans="1:10" ht="21" customHeight="1">
      <c r="A48" s="47">
        <v>40012046</v>
      </c>
      <c r="B48" s="47">
        <v>0</v>
      </c>
      <c r="C48" s="47">
        <v>40</v>
      </c>
      <c r="D48" s="47">
        <v>100</v>
      </c>
      <c r="E48" s="47">
        <v>50</v>
      </c>
      <c r="F48" s="47" t="s">
        <v>89</v>
      </c>
      <c r="G48" s="47">
        <v>1</v>
      </c>
      <c r="H48" s="47">
        <v>1</v>
      </c>
      <c r="I48" s="47" t="s">
        <v>89</v>
      </c>
      <c r="J48" s="48">
        <f t="shared" ref="J48:J49" si="5">D48</f>
        <v>100</v>
      </c>
    </row>
    <row r="49" spans="1:10" ht="21" customHeight="1">
      <c r="A49" s="47">
        <v>40012047</v>
      </c>
      <c r="B49" s="47">
        <v>1</v>
      </c>
      <c r="C49" s="47">
        <v>3</v>
      </c>
      <c r="D49" s="47">
        <v>100</v>
      </c>
      <c r="E49" s="47" t="s">
        <v>215</v>
      </c>
      <c r="F49" s="47" t="s">
        <v>89</v>
      </c>
      <c r="G49" s="47">
        <v>1</v>
      </c>
      <c r="H49" s="47" t="s">
        <v>89</v>
      </c>
      <c r="I49" s="47">
        <v>658</v>
      </c>
      <c r="J49" s="48">
        <f t="shared" si="5"/>
        <v>100</v>
      </c>
    </row>
    <row r="50" spans="1:10" ht="21" customHeight="1">
      <c r="A50" s="47">
        <v>40012048</v>
      </c>
      <c r="B50" s="47">
        <v>1</v>
      </c>
      <c r="C50" s="47">
        <v>3</v>
      </c>
      <c r="D50" s="47">
        <v>100</v>
      </c>
      <c r="E50" s="47" t="s">
        <v>215</v>
      </c>
      <c r="F50" s="47" t="s">
        <v>89</v>
      </c>
      <c r="G50" s="47">
        <v>1</v>
      </c>
      <c r="H50" s="47" t="s">
        <v>89</v>
      </c>
      <c r="I50" s="47">
        <v>659</v>
      </c>
      <c r="J50" s="48">
        <f t="shared" ref="J50:J51" si="6">D50</f>
        <v>100</v>
      </c>
    </row>
    <row r="51" spans="1:10" ht="21" customHeight="1">
      <c r="A51" s="47">
        <v>40012049</v>
      </c>
      <c r="B51" s="47">
        <v>1</v>
      </c>
      <c r="C51" s="47">
        <v>51</v>
      </c>
      <c r="D51" s="47">
        <v>100</v>
      </c>
      <c r="E51" s="47" t="s">
        <v>215</v>
      </c>
      <c r="F51" s="47" t="s">
        <v>89</v>
      </c>
      <c r="G51" s="47">
        <v>1</v>
      </c>
      <c r="H51" s="47" t="s">
        <v>89</v>
      </c>
      <c r="I51" s="47">
        <v>658</v>
      </c>
      <c r="J51" s="48">
        <f t="shared" si="6"/>
        <v>100</v>
      </c>
    </row>
    <row r="52" spans="1:10" ht="21" customHeight="1">
      <c r="A52" s="47">
        <v>40012050</v>
      </c>
      <c r="B52" s="47">
        <v>1</v>
      </c>
      <c r="C52" s="47">
        <v>51</v>
      </c>
      <c r="D52" s="47">
        <v>100</v>
      </c>
      <c r="E52" s="47" t="s">
        <v>215</v>
      </c>
      <c r="F52" s="47" t="s">
        <v>89</v>
      </c>
      <c r="G52" s="47">
        <v>1</v>
      </c>
      <c r="H52" s="47" t="s">
        <v>89</v>
      </c>
      <c r="I52" s="47">
        <v>659</v>
      </c>
      <c r="J52" s="48">
        <f t="shared" ref="J52" si="7">D52</f>
        <v>100</v>
      </c>
    </row>
  </sheetData>
  <autoFilter ref="A1:G1"/>
  <phoneticPr fontId="5"/>
  <conditionalFormatting sqref="K48:K50 K1:K6 K53:K1048576">
    <cfRule type="duplicateValues" dxfId="10" priority="11"/>
  </conditionalFormatting>
  <conditionalFormatting sqref="K7:K11">
    <cfRule type="duplicateValues" dxfId="9" priority="10"/>
  </conditionalFormatting>
  <conditionalFormatting sqref="K12:K16">
    <cfRule type="duplicateValues" dxfId="8" priority="9"/>
  </conditionalFormatting>
  <conditionalFormatting sqref="K17:K21">
    <cfRule type="duplicateValues" dxfId="7" priority="8"/>
  </conditionalFormatting>
  <conditionalFormatting sqref="K22:K26">
    <cfRule type="duplicateValues" dxfId="6" priority="7"/>
  </conditionalFormatting>
  <conditionalFormatting sqref="K27:K31">
    <cfRule type="duplicateValues" dxfId="5" priority="6"/>
  </conditionalFormatting>
  <conditionalFormatting sqref="K32:K36">
    <cfRule type="duplicateValues" dxfId="4" priority="5"/>
  </conditionalFormatting>
  <conditionalFormatting sqref="K37:K41">
    <cfRule type="duplicateValues" dxfId="3" priority="4"/>
  </conditionalFormatting>
  <conditionalFormatting sqref="K42:K46">
    <cfRule type="duplicateValues" dxfId="2" priority="3"/>
  </conditionalFormatting>
  <conditionalFormatting sqref="K47">
    <cfRule type="duplicateValues" dxfId="1" priority="13"/>
  </conditionalFormatting>
  <conditionalFormatting sqref="K51:K5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L21" sqref="L21"/>
    </sheetView>
  </sheetViews>
  <sheetFormatPr baseColWidth="12" defaultRowHeight="18" x14ac:dyDescent="0"/>
  <cols>
    <col min="17" max="18" width="19" bestFit="1" customWidth="1"/>
  </cols>
  <sheetData>
    <row r="1" spans="1:18">
      <c r="A1" s="63" t="s">
        <v>150</v>
      </c>
      <c r="B1" s="63" t="s">
        <v>151</v>
      </c>
      <c r="C1" s="64" t="s">
        <v>152</v>
      </c>
      <c r="D1" s="69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>
      <c r="A2" s="79">
        <v>40012</v>
      </c>
      <c r="B2" s="79">
        <v>1</v>
      </c>
      <c r="C2" s="79" t="str">
        <f t="shared" ref="C2:C11" si="0">A2&amp; "_"&amp;B2</f>
        <v>40012_1</v>
      </c>
      <c r="D2" s="79" t="str">
        <f>VLOOKUP(C2,[2]stages!$A:$AE,31,FALSE)</f>
        <v>everyone</v>
      </c>
      <c r="E2" s="79">
        <v>1</v>
      </c>
      <c r="F2" s="79" t="s">
        <v>168</v>
      </c>
      <c r="G2" s="79">
        <v>40000</v>
      </c>
      <c r="H2" s="79" t="s">
        <v>323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150</v>
      </c>
      <c r="Q2" s="79" t="s">
        <v>169</v>
      </c>
      <c r="R2" s="79" t="s">
        <v>170</v>
      </c>
    </row>
    <row r="3" spans="1:18">
      <c r="A3" s="79">
        <v>40012</v>
      </c>
      <c r="B3" s="79">
        <v>1</v>
      </c>
      <c r="C3" s="79" t="str">
        <f t="shared" si="0"/>
        <v>40012_1</v>
      </c>
      <c r="D3" s="79" t="str">
        <f>VLOOKUP(C3,[2]stages!$A:$AE,31,FALSE)</f>
        <v>everyone</v>
      </c>
      <c r="E3" s="79">
        <v>2</v>
      </c>
      <c r="F3" s="79" t="s">
        <v>324</v>
      </c>
      <c r="G3" s="79">
        <v>30</v>
      </c>
      <c r="H3" s="79" t="s">
        <v>325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150</v>
      </c>
      <c r="Q3" s="79" t="s">
        <v>169</v>
      </c>
      <c r="R3" s="79" t="s">
        <v>170</v>
      </c>
    </row>
    <row r="4" spans="1:18">
      <c r="A4" s="79">
        <v>40012</v>
      </c>
      <c r="B4" s="79">
        <v>1</v>
      </c>
      <c r="C4" s="79" t="str">
        <f t="shared" si="0"/>
        <v>40012_1</v>
      </c>
      <c r="D4" s="79" t="str">
        <f>VLOOKUP(C4,[2]stages!$A:$AE,31,FALSE)</f>
        <v>everyone</v>
      </c>
      <c r="E4" s="79">
        <v>3</v>
      </c>
      <c r="F4" s="79" t="s">
        <v>326</v>
      </c>
      <c r="G4" s="110">
        <v>337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28</v>
      </c>
      <c r="Q4" s="79" t="s">
        <v>169</v>
      </c>
      <c r="R4" s="79" t="s">
        <v>170</v>
      </c>
    </row>
    <row r="5" spans="1:18">
      <c r="A5" s="79">
        <v>40012</v>
      </c>
      <c r="B5" s="79">
        <v>1</v>
      </c>
      <c r="C5" s="79" t="str">
        <f t="shared" si="0"/>
        <v>40012_1</v>
      </c>
      <c r="D5" s="79" t="str">
        <f>VLOOKUP(C5,[2]stages!$A:$AE,31,FALSE)</f>
        <v>everyone</v>
      </c>
      <c r="E5" s="79">
        <v>4</v>
      </c>
      <c r="F5" s="79" t="s">
        <v>326</v>
      </c>
      <c r="G5" s="110">
        <v>338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112</v>
      </c>
      <c r="Q5" s="79" t="s">
        <v>169</v>
      </c>
      <c r="R5" s="79" t="s">
        <v>170</v>
      </c>
    </row>
    <row r="6" spans="1:18">
      <c r="A6" s="79">
        <v>40012</v>
      </c>
      <c r="B6" s="79">
        <v>1</v>
      </c>
      <c r="C6" s="79" t="str">
        <f t="shared" si="0"/>
        <v>40012_1</v>
      </c>
      <c r="D6" s="79" t="str">
        <f>VLOOKUP(C6,[2]stages!$A:$AE,31,FALSE)</f>
        <v>everyone</v>
      </c>
      <c r="E6" s="79">
        <v>5</v>
      </c>
      <c r="F6" s="79" t="s">
        <v>326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50</v>
      </c>
      <c r="Q6" s="79" t="s">
        <v>169</v>
      </c>
      <c r="R6" s="79" t="s">
        <v>170</v>
      </c>
    </row>
    <row r="7" spans="1:18">
      <c r="A7" s="79">
        <v>40012</v>
      </c>
      <c r="B7" s="79">
        <v>1</v>
      </c>
      <c r="C7" s="79" t="str">
        <f t="shared" si="0"/>
        <v>40012_1</v>
      </c>
      <c r="D7" s="79" t="str">
        <f>VLOOKUP(C7,[2]stages!$A:$AE,31,FALSE)</f>
        <v>everyone</v>
      </c>
      <c r="E7" s="79">
        <v>6</v>
      </c>
      <c r="F7" s="79" t="s">
        <v>326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50</v>
      </c>
      <c r="Q7" s="79" t="s">
        <v>169</v>
      </c>
      <c r="R7" s="79" t="s">
        <v>170</v>
      </c>
    </row>
    <row r="8" spans="1:18">
      <c r="A8" s="79">
        <v>40012</v>
      </c>
      <c r="B8" s="79">
        <v>1</v>
      </c>
      <c r="C8" s="79" t="str">
        <f t="shared" si="0"/>
        <v>40012_1</v>
      </c>
      <c r="D8" s="79" t="str">
        <f>VLOOKUP(C8,[2]stages!$A:$AE,31,FALSE)</f>
        <v>everyone</v>
      </c>
      <c r="E8" s="79">
        <v>7</v>
      </c>
      <c r="F8" s="79" t="s">
        <v>327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50</v>
      </c>
      <c r="Q8" s="79" t="s">
        <v>169</v>
      </c>
      <c r="R8" s="79" t="s">
        <v>170</v>
      </c>
    </row>
    <row r="9" spans="1:18">
      <c r="A9" s="79">
        <v>40012</v>
      </c>
      <c r="B9" s="79">
        <v>1</v>
      </c>
      <c r="C9" s="79" t="str">
        <f t="shared" si="0"/>
        <v>40012_1</v>
      </c>
      <c r="D9" s="79" t="str">
        <f>VLOOKUP(C9,[2]stages!$A:$AE,31,FALSE)</f>
        <v>everyone</v>
      </c>
      <c r="E9" s="79">
        <v>8</v>
      </c>
      <c r="F9" s="79" t="s">
        <v>327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10</v>
      </c>
      <c r="Q9" s="79" t="s">
        <v>169</v>
      </c>
      <c r="R9" s="79" t="s">
        <v>170</v>
      </c>
    </row>
    <row r="10" spans="1:18">
      <c r="A10" s="79">
        <v>40012</v>
      </c>
      <c r="B10" s="79">
        <v>1</v>
      </c>
      <c r="C10" s="79" t="str">
        <f t="shared" si="0"/>
        <v>40012_1</v>
      </c>
      <c r="D10" s="79" t="str">
        <f>VLOOKUP(C10,[2]stages!$A:$AE,31,FALSE)</f>
        <v>everyone</v>
      </c>
      <c r="E10" s="79">
        <v>9</v>
      </c>
      <c r="F10" s="79" t="s">
        <v>328</v>
      </c>
      <c r="G10" s="79">
        <v>644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250</v>
      </c>
      <c r="Q10" s="79" t="s">
        <v>169</v>
      </c>
      <c r="R10" s="79" t="s">
        <v>170</v>
      </c>
    </row>
    <row r="11" spans="1:18">
      <c r="A11" s="79">
        <v>40012</v>
      </c>
      <c r="B11" s="79">
        <v>1</v>
      </c>
      <c r="C11" s="79" t="str">
        <f t="shared" si="0"/>
        <v>40012_1</v>
      </c>
      <c r="D11" s="79" t="str">
        <f>VLOOKUP(C11,[2]stages!$A:$AE,31,FALSE)</f>
        <v>everyone</v>
      </c>
      <c r="E11" s="79">
        <v>10</v>
      </c>
      <c r="F11" s="79" t="s">
        <v>327</v>
      </c>
      <c r="G11" s="79">
        <v>350</v>
      </c>
      <c r="H11" s="79">
        <v>1</v>
      </c>
      <c r="I11" s="79">
        <v>1</v>
      </c>
      <c r="J11" s="79">
        <v>1</v>
      </c>
      <c r="K11" s="79">
        <v>0</v>
      </c>
      <c r="L11" s="79">
        <v>0</v>
      </c>
      <c r="M11" s="79">
        <v>0</v>
      </c>
      <c r="N11" s="79">
        <v>0</v>
      </c>
      <c r="O11" s="79">
        <v>1</v>
      </c>
      <c r="P11" s="79">
        <v>150</v>
      </c>
      <c r="Q11" s="79" t="s">
        <v>169</v>
      </c>
      <c r="R11" s="79" t="s">
        <v>170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M19" sqref="M19"/>
    </sheetView>
  </sheetViews>
  <sheetFormatPr baseColWidth="12" defaultColWidth="13" defaultRowHeight="18" outlineLevelCol="1" x14ac:dyDescent="0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4" t="s">
        <v>187</v>
      </c>
      <c r="B1" s="70" t="s">
        <v>188</v>
      </c>
      <c r="C1" s="75" t="s">
        <v>189</v>
      </c>
      <c r="D1" s="75" t="s">
        <v>33</v>
      </c>
      <c r="E1" s="70" t="s">
        <v>190</v>
      </c>
      <c r="F1" s="75" t="s">
        <v>191</v>
      </c>
      <c r="G1" s="75" t="s">
        <v>33</v>
      </c>
      <c r="H1" s="70" t="s">
        <v>192</v>
      </c>
      <c r="I1" s="89" t="s">
        <v>194</v>
      </c>
      <c r="J1" s="77" t="s">
        <v>126</v>
      </c>
      <c r="K1" s="76" t="s">
        <v>186</v>
      </c>
      <c r="L1" s="90" t="s">
        <v>185</v>
      </c>
      <c r="M1" s="78" t="s">
        <v>195</v>
      </c>
    </row>
    <row r="2" spans="1:13">
      <c r="A2" s="79" t="s">
        <v>200</v>
      </c>
      <c r="B2" s="80">
        <f>floors!$C$2</f>
        <v>40012</v>
      </c>
      <c r="C2" s="81" t="str">
        <f ca="1">VLOOKUP($B2,OFFSET([2]quests!$A$1,0,0,COUNTA([2]quests!$A:$A),MATCH(C$1,[2]quests!$1:$1,0)-MATCH($B$1,[2]quests!$1:$1,0)+1),MATCH(C$1,[2]quests!$1:$1,0)-MATCH($B$1,[2]quests!$1:$1,0)+1,FALSE)</f>
        <v>ショウキ襲来！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降臨12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降臨12</v>
      </c>
      <c r="H2" s="83">
        <v>0</v>
      </c>
      <c r="I2">
        <v>12</v>
      </c>
      <c r="J2" s="82" t="s">
        <v>197</v>
      </c>
      <c r="K2" s="91" t="str">
        <f>VLOOKUP(I2,[7]stage_hints!$A:$C,3,FALSE)</f>
        <v>ユニットのお気に入り登録</v>
      </c>
      <c r="L2" s="92" t="str">
        <f>VLOOKUP(I2,[7]stage_hints!$A:$D,4,FALSE)</f>
        <v>大事なユニットを誤って消さないように_x000D_フォルダから「お気に入り登録」しましょう</v>
      </c>
      <c r="M2" s="56" t="s">
        <v>210</v>
      </c>
    </row>
    <row r="3" spans="1:13">
      <c r="A3" s="79" t="s">
        <v>200</v>
      </c>
      <c r="B3" s="80">
        <f>floors!$C$2</f>
        <v>40012</v>
      </c>
      <c r="C3" s="81" t="str">
        <f ca="1">VLOOKUP($B3,OFFSET([2]quests!$A$1,0,0,COUNTA([2]quests!$A:$A),MATCH(C$1,[2]quests!$1:$1,0)-MATCH($B$1,[2]quests!$1:$1,0)+1),MATCH(C$1,[2]quests!$1:$1,0)-MATCH($B$1,[2]quests!$1:$1,0)+1,FALSE)</f>
        <v>ショウキ襲来！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降臨12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降臨12</v>
      </c>
      <c r="H3" s="83">
        <v>0</v>
      </c>
      <c r="I3">
        <v>17</v>
      </c>
      <c r="J3" s="82" t="s">
        <v>197</v>
      </c>
      <c r="K3" s="91" t="str">
        <f>VLOOKUP(I3,[7]stage_hints!$A:$C,3,FALSE)</f>
        <v>リンクガチャ</v>
      </c>
      <c r="L3" s="92" t="str">
        <f>VLOOKUP(I3,[7]stage_hints!$A:$D,4,FALSE)</f>
        <v>無料のリンクガチャを回して_x000D_経験値素材や売却素材を獲得しましょう</v>
      </c>
      <c r="M3" s="56" t="s">
        <v>210</v>
      </c>
    </row>
    <row r="4" spans="1:13">
      <c r="A4" s="79" t="s">
        <v>200</v>
      </c>
      <c r="B4" s="80">
        <f>floors!$C$2</f>
        <v>40012</v>
      </c>
      <c r="C4" s="81" t="str">
        <f ca="1">VLOOKUP($B4,OFFSET([2]quests!$A$1,0,0,COUNTA([2]quests!$A:$A),MATCH(C$1,[2]quests!$1:$1,0)-MATCH($B$1,[2]quests!$1:$1,0)+1),MATCH(C$1,[2]quests!$1:$1,0)-MATCH($B$1,[2]quests!$1:$1,0)+1,FALSE)</f>
        <v>ショウキ襲来！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降臨12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降臨12</v>
      </c>
      <c r="H4" s="83">
        <v>0</v>
      </c>
      <c r="I4">
        <v>19</v>
      </c>
      <c r="J4" s="82" t="s">
        <v>197</v>
      </c>
      <c r="K4" s="91" t="str">
        <f>VLOOKUP(I4,[7]stage_hints!$A:$C,3,FALSE)</f>
        <v>ソロ専用チャレンジタワー</v>
      </c>
      <c r="L4" s="92" t="str">
        <f>VLOOKUP(I4,[7]stage_hints!$A:$D,4,FALSE)</f>
        <v>ソロ専用の「チャレンジタワー」では_x000D_各フロアごとにクリア報酬がもらえます</v>
      </c>
      <c r="M4" s="56" t="s">
        <v>210</v>
      </c>
    </row>
    <row r="5" spans="1:13">
      <c r="A5" s="79" t="s">
        <v>200</v>
      </c>
      <c r="B5" s="80">
        <f>floors!$C$2</f>
        <v>40012</v>
      </c>
      <c r="C5" s="81" t="str">
        <f ca="1">VLOOKUP($B5,OFFSET([2]quests!$A$1,0,0,COUNTA([2]quests!$A:$A),MATCH(C$1,[2]quests!$1:$1,0)-MATCH($B$1,[2]quests!$1:$1,0)+1),MATCH(C$1,[2]quests!$1:$1,0)-MATCH($B$1,[2]quests!$1:$1,0)+1,FALSE)</f>
        <v>ショウキ襲来！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降臨12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降臨12</v>
      </c>
      <c r="H5" s="83">
        <v>0</v>
      </c>
      <c r="I5">
        <v>21</v>
      </c>
      <c r="J5" s="82" t="s">
        <v>197</v>
      </c>
      <c r="K5" s="91" t="str">
        <f>VLOOKUP(I5,[7]stage_hints!$A:$C,3,FALSE)</f>
        <v>スキルを有効に</v>
      </c>
      <c r="L5" s="92" t="str">
        <f>VLOOKUP(I5,[7]stage_hints!$A:$D,4,FALSE)</f>
        <v>ターン経過でユニットのスキルが使えます_x000D_強力スキルでバトルを有利に進めましょう</v>
      </c>
      <c r="M5" s="56" t="s">
        <v>210</v>
      </c>
    </row>
    <row r="6" spans="1:13">
      <c r="A6" s="79" t="s">
        <v>200</v>
      </c>
      <c r="B6" s="80">
        <f>floors!$C$2</f>
        <v>40012</v>
      </c>
      <c r="C6" s="81" t="str">
        <f ca="1">VLOOKUP($B6,OFFSET([2]quests!$A$1,0,0,COUNTA([2]quests!$A:$A),MATCH(C$1,[2]quests!$1:$1,0)-MATCH($B$1,[2]quests!$1:$1,0)+1),MATCH(C$1,[2]quests!$1:$1,0)-MATCH($B$1,[2]quests!$1:$1,0)+1,FALSE)</f>
        <v>ショウキ襲来！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降臨12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降臨12</v>
      </c>
      <c r="H6" s="83">
        <v>0</v>
      </c>
      <c r="I6">
        <v>29</v>
      </c>
      <c r="J6" s="82" t="s">
        <v>197</v>
      </c>
      <c r="K6" s="91" t="str">
        <f>VLOOKUP(I6,[7]stage_hints!$A:$C,3,FALSE)</f>
        <v>「バグ」のメリット</v>
      </c>
      <c r="L6" s="92" t="str">
        <f>VLOOKUP(I6,[7]stage_hints!$A:$D,4,FALSE)</f>
        <v>ユニットの「バグ」を増やすと_x000D_報酬をもらえる確率がアップします</v>
      </c>
      <c r="M6" s="56" t="s">
        <v>210</v>
      </c>
    </row>
    <row r="7" spans="1:13">
      <c r="A7" s="79" t="s">
        <v>200</v>
      </c>
      <c r="B7" s="80">
        <f>floors!$C$2</f>
        <v>40012</v>
      </c>
      <c r="C7" s="81" t="str">
        <f ca="1">VLOOKUP($B7,OFFSET([2]quests!$A$1,0,0,COUNTA([2]quests!$A:$A),MATCH(C$1,[2]quests!$1:$1,0)-MATCH($B$1,[2]quests!$1:$1,0)+1),MATCH(C$1,[2]quests!$1:$1,0)-MATCH($B$1,[2]quests!$1:$1,0)+1,FALSE)</f>
        <v>ショウキ襲来！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降臨12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降臨12</v>
      </c>
      <c r="H7" s="83">
        <v>0</v>
      </c>
      <c r="I7">
        <v>30</v>
      </c>
      <c r="J7" s="82" t="s">
        <v>197</v>
      </c>
      <c r="K7" s="91" t="str">
        <f>VLOOKUP(I7,[7]stage_hints!$A:$C,3,FALSE)</f>
        <v>「バグ」の増やし方</v>
      </c>
      <c r="L7" s="92" t="str">
        <f>VLOOKUP(I7,[7]stage_hints!$A:$D,4,FALSE)</f>
        <v>同じユニット同士を強化で合成すると_x000D_「バグ」を増やすことができます</v>
      </c>
      <c r="M7" s="56" t="s">
        <v>210</v>
      </c>
    </row>
    <row r="8" spans="1:13">
      <c r="A8" s="79" t="s">
        <v>200</v>
      </c>
      <c r="B8" s="80">
        <f>floors!$C$2</f>
        <v>40012</v>
      </c>
      <c r="C8" s="81" t="str">
        <f ca="1">VLOOKUP($B8,OFFSET([2]quests!$A$1,0,0,COUNTA([2]quests!$A:$A),MATCH(C$1,[2]quests!$1:$1,0)-MATCH($B$1,[2]quests!$1:$1,0)+1),MATCH(C$1,[2]quests!$1:$1,0)-MATCH($B$1,[2]quests!$1:$1,0)+1,FALSE)</f>
        <v>ショウキ襲来！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降臨12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降臨12</v>
      </c>
      <c r="H8" s="83">
        <v>0</v>
      </c>
      <c r="I8">
        <v>32</v>
      </c>
      <c r="J8" s="82" t="s">
        <v>197</v>
      </c>
      <c r="K8" s="91" t="str">
        <f>VLOOKUP(I8,[7]stage_hints!$A:$C,3,FALSE)</f>
        <v>敵の連続攻撃には</v>
      </c>
      <c r="L8" s="92" t="str">
        <f>VLOOKUP(I8,[7]stage_hints!$A:$D,4,FALSE)</f>
        <v>カウンタースキルを持つユニットがいれば_x000D_ダメージ回数分の反撃ができます</v>
      </c>
      <c r="M8" s="56" t="s">
        <v>210</v>
      </c>
    </row>
    <row r="9" spans="1:13">
      <c r="A9" s="79" t="s">
        <v>200</v>
      </c>
      <c r="B9" s="80">
        <f>floors!$C$2</f>
        <v>40012</v>
      </c>
      <c r="C9" s="81" t="str">
        <f ca="1">VLOOKUP($B9,OFFSET([2]quests!$A$1,0,0,COUNTA([2]quests!$A:$A),MATCH(C$1,[2]quests!$1:$1,0)-MATCH($B$1,[2]quests!$1:$1,0)+1),MATCH(C$1,[2]quests!$1:$1,0)-MATCH($B$1,[2]quests!$1:$1,0)+1,FALSE)</f>
        <v>ショウキ襲来！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降臨12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降臨12</v>
      </c>
      <c r="H9" s="83">
        <v>0</v>
      </c>
      <c r="I9">
        <v>33</v>
      </c>
      <c r="J9" s="82" t="s">
        <v>197</v>
      </c>
      <c r="K9" s="91" t="str">
        <f>VLOOKUP(I9,[7]stage_hints!$A:$C,3,FALSE)</f>
        <v>敵のカウンター攻撃には</v>
      </c>
      <c r="L9" s="92" t="str">
        <f>VLOOKUP(I9,[7]stage_hints!$A:$D,4,FALSE)</f>
        <v>カウンターブレイクスキルを持っていれば_x000D_敵のカウンターを解除して攻撃ができます</v>
      </c>
      <c r="M9" s="56" t="s">
        <v>210</v>
      </c>
    </row>
    <row r="10" spans="1:13">
      <c r="A10" s="79" t="s">
        <v>200</v>
      </c>
      <c r="B10" s="80">
        <f>floors!$C$2</f>
        <v>40012</v>
      </c>
      <c r="C10" s="81" t="str">
        <f ca="1">VLOOKUP($B10,OFFSET([2]quests!$A$1,0,0,COUNTA([2]quests!$A:$A),MATCH(C$1,[2]quests!$1:$1,0)-MATCH($B$1,[2]quests!$1:$1,0)+1),MATCH(C$1,[2]quests!$1:$1,0)-MATCH($B$1,[2]quests!$1:$1,0)+1,FALSE)</f>
        <v>ショウキ襲来！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降臨12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降臨12</v>
      </c>
      <c r="H10" s="83">
        <v>0</v>
      </c>
      <c r="I10">
        <v>34</v>
      </c>
      <c r="J10" s="82" t="s">
        <v>197</v>
      </c>
      <c r="K10" s="91" t="str">
        <f>VLOOKUP(I10,[7]stage_hints!$A:$C,3,FALSE)</f>
        <v>ステータスをスキルで下げられたら</v>
      </c>
      <c r="L10" s="92" t="str">
        <f>VLOOKUP(I10,[7]stage_hints!$A:$D,4,FALSE)</f>
        <v>ステータスダウンのスキルを受けたら_x000D_ステータスアップスキルで上書きしましょう</v>
      </c>
      <c r="M10" s="56" t="s">
        <v>210</v>
      </c>
    </row>
    <row r="11" spans="1:13">
      <c r="A11" s="79" t="s">
        <v>200</v>
      </c>
      <c r="B11" s="80">
        <f>floors!$C$2</f>
        <v>40012</v>
      </c>
      <c r="C11" s="81" t="str">
        <f ca="1">VLOOKUP($B11,OFFSET([2]quests!$A$1,0,0,COUNTA([2]quests!$A:$A),MATCH(C$1,[2]quests!$1:$1,0)-MATCH($B$1,[2]quests!$1:$1,0)+1),MATCH(C$1,[2]quests!$1:$1,0)-MATCH($B$1,[2]quests!$1:$1,0)+1,FALSE)</f>
        <v>ショウキ襲来！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降臨12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降臨12</v>
      </c>
      <c r="H11" s="83">
        <v>0</v>
      </c>
      <c r="I11">
        <v>35</v>
      </c>
      <c r="J11" s="82" t="s">
        <v>197</v>
      </c>
      <c r="K11" s="91" t="str">
        <f>VLOOKUP(I11,[7]stage_hints!$A:$C,3,FALSE)</f>
        <v>敵のステータスがスキルで上がったら</v>
      </c>
      <c r="L11" s="92" t="str">
        <f>VLOOKUP(I11,[7]stage_hints!$A:$D,4,FALSE)</f>
        <v>敵のステータスがスキルでアップしたときは_x000D_ステータスダウンスキルで上書きしましょう</v>
      </c>
      <c r="M11" s="56" t="s">
        <v>210</v>
      </c>
    </row>
    <row r="12" spans="1:13">
      <c r="A12" s="79" t="s">
        <v>200</v>
      </c>
      <c r="B12" s="80">
        <f>floors!$C$2</f>
        <v>40012</v>
      </c>
      <c r="C12" s="81" t="str">
        <f ca="1">VLOOKUP($B12,OFFSET([2]quests!$A$1,0,0,COUNTA([2]quests!$A:$A),MATCH(C$1,[2]quests!$1:$1,0)-MATCH($B$1,[2]quests!$1:$1,0)+1),MATCH(C$1,[2]quests!$1:$1,0)-MATCH($B$1,[2]quests!$1:$1,0)+1,FALSE)</f>
        <v>ショウキ襲来！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降臨12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降臨12</v>
      </c>
      <c r="H12" s="83">
        <v>0</v>
      </c>
      <c r="I12">
        <v>36</v>
      </c>
      <c r="J12" s="82" t="s">
        <v>197</v>
      </c>
      <c r="K12" s="91" t="str">
        <f>VLOOKUP(I12,[7]stage_hints!$A:$C,3,FALSE)</f>
        <v>チャレンジタワーのボス</v>
      </c>
      <c r="L12" s="92" t="str">
        <f>VLOOKUP(I12,[7]stage_hints!$A:$D,4,FALSE)</f>
        <v>チャレンジタワーでのみ登場するボスは_x000D_一定確率で獲得することができます</v>
      </c>
      <c r="M12" s="56" t="s">
        <v>210</v>
      </c>
    </row>
    <row r="13" spans="1:13">
      <c r="A13" s="79" t="s">
        <v>200</v>
      </c>
      <c r="B13" s="80">
        <f>floors!$C$2</f>
        <v>40012</v>
      </c>
      <c r="C13" s="81" t="str">
        <f ca="1">VLOOKUP($B13,OFFSET([2]quests!$A$1,0,0,COUNTA([2]quests!$A:$A),MATCH(C$1,[2]quests!$1:$1,0)-MATCH($B$1,[2]quests!$1:$1,0)+1),MATCH(C$1,[2]quests!$1:$1,0)-MATCH($B$1,[2]quests!$1:$1,0)+1,FALSE)</f>
        <v>ショウキ襲来！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降臨12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降臨12</v>
      </c>
      <c r="H13" s="83">
        <v>0</v>
      </c>
      <c r="I13">
        <v>37</v>
      </c>
      <c r="J13" s="82" t="s">
        <v>197</v>
      </c>
      <c r="K13" s="91" t="str">
        <f>VLOOKUP(I13,[7]stage_hints!$A:$C,3,FALSE)</f>
        <v>限界突破値の引き継ぎ</v>
      </c>
      <c r="L13" s="92" t="str">
        <f>VLOOKUP(I13,[7]stage_hints!$A:$D,4,FALSE)</f>
        <v>同じユニットを強化で合成すると_x000D_限界突破値を引き継げます（覚醒前後も可）</v>
      </c>
      <c r="M13" s="56" t="s">
        <v>210</v>
      </c>
    </row>
    <row r="14" spans="1:13">
      <c r="A14" s="79" t="s">
        <v>200</v>
      </c>
      <c r="B14" s="80">
        <f>floors!$C$2</f>
        <v>40012</v>
      </c>
      <c r="C14" s="81" t="str">
        <f ca="1">VLOOKUP($B14,OFFSET([2]quests!$A$1,0,0,COUNTA([2]quests!$A:$A),MATCH(C$1,[2]quests!$1:$1,0)-MATCH($B$1,[2]quests!$1:$1,0)+1),MATCH(C$1,[2]quests!$1:$1,0)-MATCH($B$1,[2]quests!$1:$1,0)+1,FALSE)</f>
        <v>ショウキ襲来！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降臨12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降臨12</v>
      </c>
      <c r="H14" s="83">
        <v>0</v>
      </c>
      <c r="I14">
        <v>39</v>
      </c>
      <c r="J14" s="82" t="s">
        <v>197</v>
      </c>
      <c r="K14" s="91" t="str">
        <f>VLOOKUP(I14,[7]stage_hints!$A:$C,3,FALSE)</f>
        <v>システム適合者を確認</v>
      </c>
      <c r="L14" s="92" t="str">
        <f>VLOOKUP(I14,[7]stage_hints!$A:$D,4,FALSE)</f>
        <v>ALICEが「アナタ」を呼んでいます</v>
      </c>
      <c r="M14" s="56" t="s">
        <v>210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2"/>
  <sheetViews>
    <sheetView showGridLines="0" workbookViewId="0">
      <pane ySplit="1" topLeftCell="A2" activePane="bottomLeft" state="frozen"/>
      <selection pane="bottomLeft" activeCell="M8" sqref="M8"/>
    </sheetView>
  </sheetViews>
  <sheetFormatPr baseColWidth="12" defaultColWidth="13" defaultRowHeight="18" outlineLevelCol="1" x14ac:dyDescent="0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4" t="s">
        <v>187</v>
      </c>
      <c r="B1" s="70" t="s">
        <v>150</v>
      </c>
      <c r="C1" s="75" t="s">
        <v>189</v>
      </c>
      <c r="D1" s="75" t="s">
        <v>33</v>
      </c>
      <c r="E1" s="70" t="s">
        <v>190</v>
      </c>
      <c r="F1" s="75" t="s">
        <v>18</v>
      </c>
      <c r="G1" s="75" t="s">
        <v>33</v>
      </c>
      <c r="H1" s="70" t="s">
        <v>192</v>
      </c>
      <c r="I1" s="87" t="s">
        <v>193</v>
      </c>
      <c r="J1" s="89" t="s">
        <v>194</v>
      </c>
      <c r="K1" s="77" t="s">
        <v>126</v>
      </c>
      <c r="L1" s="76" t="s">
        <v>186</v>
      </c>
      <c r="M1" s="90" t="s">
        <v>185</v>
      </c>
      <c r="N1" s="78" t="s">
        <v>195</v>
      </c>
    </row>
    <row r="2" spans="1:14" ht="55">
      <c r="A2" s="79" t="s">
        <v>196</v>
      </c>
      <c r="B2" s="80">
        <f>floors!$C$2</f>
        <v>40012</v>
      </c>
      <c r="C2" s="81" t="str">
        <f ca="1">VLOOKUP($B2,OFFSET([2]quests!$A$1,0,0,COUNTA([2]quests!$A:$A),MATCH(C$1,[2]quests!$1:$1,0)-MATCH($B$1,[2]quests!$1:$1,0)+1),MATCH(C$1,[2]quests!$1:$1,0)-MATCH($B$1,[2]quests!$1:$1,0)+1,FALSE)</f>
        <v>ショウキ襲来！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降臨12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降臨12</v>
      </c>
      <c r="H2" s="83">
        <v>2</v>
      </c>
      <c r="I2" s="88">
        <f t="shared" ref="I2:I12" si="0">ROW()-1</f>
        <v>1</v>
      </c>
      <c r="J2" s="84" t="str">
        <f t="shared" ref="J2:J11" si="1">B2&amp;TEXT(I2,"00")</f>
        <v>4001201</v>
      </c>
      <c r="K2" s="82" t="s">
        <v>197</v>
      </c>
      <c r="L2" s="85" t="s">
        <v>198</v>
      </c>
      <c r="M2" s="116" t="s">
        <v>352</v>
      </c>
      <c r="N2" s="56" t="s">
        <v>199</v>
      </c>
    </row>
    <row r="3" spans="1:14" ht="68">
      <c r="A3" s="79" t="s">
        <v>196</v>
      </c>
      <c r="B3" s="80">
        <f>floors!$C$2</f>
        <v>40012</v>
      </c>
      <c r="C3" s="81" t="str">
        <f ca="1">VLOOKUP($B3,OFFSET([2]quests!$A$1,0,0,COUNTA([2]quests!$A:$A),MATCH(C$1,[2]quests!$1:$1,0)-MATCH($B$1,[2]quests!$1:$1,0)+1),MATCH(C$1,[2]quests!$1:$1,0)-MATCH($B$1,[2]quests!$1:$1,0)+1,FALSE)</f>
        <v>ショウキ襲来！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降臨12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降臨12</v>
      </c>
      <c r="H3" s="83">
        <v>3</v>
      </c>
      <c r="I3" s="88">
        <f t="shared" si="0"/>
        <v>2</v>
      </c>
      <c r="J3" s="84" t="str">
        <f t="shared" si="1"/>
        <v>4001202</v>
      </c>
      <c r="K3" s="82" t="s">
        <v>127</v>
      </c>
      <c r="L3" s="85" t="s">
        <v>198</v>
      </c>
      <c r="M3" s="116" t="s">
        <v>358</v>
      </c>
      <c r="N3" s="56" t="s">
        <v>199</v>
      </c>
    </row>
    <row r="4" spans="1:14" ht="55">
      <c r="A4" s="79" t="s">
        <v>196</v>
      </c>
      <c r="B4" s="80">
        <f>floors!$C$2</f>
        <v>40012</v>
      </c>
      <c r="C4" s="81" t="str">
        <f ca="1">VLOOKUP($B4,OFFSET([2]quests!$A$1,0,0,COUNTA([2]quests!$A:$A),MATCH(C$1,[2]quests!$1:$1,0)-MATCH($B$1,[2]quests!$1:$1,0)+1),MATCH(C$1,[2]quests!$1:$1,0)-MATCH($B$1,[2]quests!$1:$1,0)+1,FALSE)</f>
        <v>ショウキ襲来！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降臨12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降臨12</v>
      </c>
      <c r="H4" s="83">
        <v>3</v>
      </c>
      <c r="I4" s="88">
        <f t="shared" si="0"/>
        <v>3</v>
      </c>
      <c r="J4" s="84" t="str">
        <f t="shared" si="1"/>
        <v>4001203</v>
      </c>
      <c r="K4" s="82" t="s">
        <v>127</v>
      </c>
      <c r="L4" s="85" t="s">
        <v>198</v>
      </c>
      <c r="M4" s="116" t="s">
        <v>353</v>
      </c>
      <c r="N4" s="56" t="s">
        <v>199</v>
      </c>
    </row>
    <row r="5" spans="1:14" ht="55">
      <c r="A5" s="79" t="s">
        <v>196</v>
      </c>
      <c r="B5" s="80">
        <f>floors!$C$2</f>
        <v>40012</v>
      </c>
      <c r="C5" s="81" t="str">
        <f ca="1">VLOOKUP($B5,OFFSET([2]quests!$A$1,0,0,COUNTA([2]quests!$A:$A),MATCH(C$1,[2]quests!$1:$1,0)-MATCH($B$1,[2]quests!$1:$1,0)+1),MATCH(C$1,[2]quests!$1:$1,0)-MATCH($B$1,[2]quests!$1:$1,0)+1,FALSE)</f>
        <v>ショウキ襲来！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降臨12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降臨12</v>
      </c>
      <c r="H5" s="83">
        <v>4</v>
      </c>
      <c r="I5" s="88">
        <f t="shared" si="0"/>
        <v>4</v>
      </c>
      <c r="J5" s="84" t="str">
        <f t="shared" si="1"/>
        <v>4001204</v>
      </c>
      <c r="K5" s="82" t="s">
        <v>127</v>
      </c>
      <c r="L5" s="85" t="s">
        <v>198</v>
      </c>
      <c r="M5" s="116" t="s">
        <v>357</v>
      </c>
      <c r="N5" s="56" t="s">
        <v>199</v>
      </c>
    </row>
    <row r="6" spans="1:14" ht="29">
      <c r="A6" s="79" t="s">
        <v>196</v>
      </c>
      <c r="B6" s="80">
        <f>floors!$C$2</f>
        <v>40012</v>
      </c>
      <c r="C6" s="81" t="str">
        <f ca="1">VLOOKUP($B6,OFFSET([2]quests!$A$1,0,0,COUNTA([2]quests!$A:$A),MATCH(C$1,[2]quests!$1:$1,0)-MATCH($B$1,[2]quests!$1:$1,0)+1),MATCH(C$1,[2]quests!$1:$1,0)-MATCH($B$1,[2]quests!$1:$1,0)+1,FALSE)</f>
        <v>ショウキ襲来！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降臨12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降臨12</v>
      </c>
      <c r="H6" s="83">
        <v>4</v>
      </c>
      <c r="I6" s="88">
        <f t="shared" si="0"/>
        <v>5</v>
      </c>
      <c r="J6" s="84" t="str">
        <f t="shared" si="1"/>
        <v>4001205</v>
      </c>
      <c r="K6" s="82" t="s">
        <v>127</v>
      </c>
      <c r="L6" s="85" t="s">
        <v>198</v>
      </c>
      <c r="M6" s="116" t="s">
        <v>354</v>
      </c>
      <c r="N6" s="56" t="s">
        <v>199</v>
      </c>
    </row>
    <row r="7" spans="1:14" ht="29">
      <c r="A7" s="79" t="s">
        <v>196</v>
      </c>
      <c r="B7" s="80">
        <f>floors!$C$2</f>
        <v>40012</v>
      </c>
      <c r="C7" s="81" t="str">
        <f ca="1">VLOOKUP($B7,OFFSET([2]quests!$A$1,0,0,COUNTA([2]quests!$A:$A),MATCH(C$1,[2]quests!$1:$1,0)-MATCH($B$1,[2]quests!$1:$1,0)+1),MATCH(C$1,[2]quests!$1:$1,0)-MATCH($B$1,[2]quests!$1:$1,0)+1,FALSE)</f>
        <v>ショウキ襲来！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降臨12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降臨12</v>
      </c>
      <c r="H7" s="83">
        <v>4</v>
      </c>
      <c r="I7" s="88">
        <f t="shared" si="0"/>
        <v>6</v>
      </c>
      <c r="J7" s="84" t="str">
        <f t="shared" si="1"/>
        <v>4001206</v>
      </c>
      <c r="K7" s="82" t="s">
        <v>127</v>
      </c>
      <c r="L7" s="85" t="s">
        <v>198</v>
      </c>
      <c r="M7" s="116" t="s">
        <v>355</v>
      </c>
      <c r="N7" s="56" t="s">
        <v>199</v>
      </c>
    </row>
    <row r="8" spans="1:14" ht="55">
      <c r="A8" s="79" t="s">
        <v>196</v>
      </c>
      <c r="B8" s="80">
        <f>floors!$C$2</f>
        <v>40012</v>
      </c>
      <c r="C8" s="81" t="str">
        <f ca="1">VLOOKUP($B8,OFFSET([2]quests!$A$1,0,0,COUNTA([2]quests!$A:$A),MATCH(C$1,[2]quests!$1:$1,0)-MATCH($B$1,[2]quests!$1:$1,0)+1),MATCH(C$1,[2]quests!$1:$1,0)-MATCH($B$1,[2]quests!$1:$1,0)+1,FALSE)</f>
        <v>ショウキ襲来！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降臨12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降臨12</v>
      </c>
      <c r="H8" s="83">
        <v>5</v>
      </c>
      <c r="I8" s="88">
        <f t="shared" si="0"/>
        <v>7</v>
      </c>
      <c r="J8" s="84" t="str">
        <f t="shared" si="1"/>
        <v>4001207</v>
      </c>
      <c r="K8" s="82" t="s">
        <v>127</v>
      </c>
      <c r="L8" s="85" t="s">
        <v>198</v>
      </c>
      <c r="M8" s="116" t="s">
        <v>356</v>
      </c>
      <c r="N8" s="56" t="s">
        <v>199</v>
      </c>
    </row>
    <row r="9" spans="1:14" ht="55">
      <c r="A9" s="79" t="s">
        <v>196</v>
      </c>
      <c r="B9" s="80">
        <f>floors!$C$2</f>
        <v>40012</v>
      </c>
      <c r="C9" s="81" t="str">
        <f ca="1">VLOOKUP($B9,OFFSET([2]quests!$A$1,0,0,COUNTA([2]quests!$A:$A),MATCH(C$1,[2]quests!$1:$1,0)-MATCH($B$1,[2]quests!$1:$1,0)+1),MATCH(C$1,[2]quests!$1:$1,0)-MATCH($B$1,[2]quests!$1:$1,0)+1,FALSE)</f>
        <v>ショウキ襲来！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降臨12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降臨12</v>
      </c>
      <c r="H9" s="83">
        <v>5</v>
      </c>
      <c r="I9" s="88">
        <f t="shared" si="0"/>
        <v>8</v>
      </c>
      <c r="J9" s="84" t="str">
        <f t="shared" si="1"/>
        <v>4001208</v>
      </c>
      <c r="K9" s="82" t="s">
        <v>127</v>
      </c>
      <c r="L9" s="85" t="s">
        <v>198</v>
      </c>
      <c r="M9" s="116" t="s">
        <v>371</v>
      </c>
      <c r="N9" s="56" t="s">
        <v>199</v>
      </c>
    </row>
    <row r="10" spans="1:14" ht="55">
      <c r="A10" s="79" t="s">
        <v>196</v>
      </c>
      <c r="B10" s="80">
        <f>floors!$C$2</f>
        <v>40012</v>
      </c>
      <c r="C10" s="81" t="str">
        <f ca="1">VLOOKUP($B10,OFFSET([2]quests!$A$1,0,0,COUNTA([2]quests!$A:$A),MATCH(C$1,[2]quests!$1:$1,0)-MATCH($B$1,[2]quests!$1:$1,0)+1),MATCH(C$1,[2]quests!$1:$1,0)-MATCH($B$1,[2]quests!$1:$1,0)+1,FALSE)</f>
        <v>ショウキ襲来！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降臨12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降臨12</v>
      </c>
      <c r="H10" s="83">
        <v>5</v>
      </c>
      <c r="I10" s="88">
        <f t="shared" si="0"/>
        <v>9</v>
      </c>
      <c r="J10" s="84" t="str">
        <f t="shared" si="1"/>
        <v>4001209</v>
      </c>
      <c r="K10" s="82" t="s">
        <v>127</v>
      </c>
      <c r="L10" s="85" t="s">
        <v>198</v>
      </c>
      <c r="M10" s="116" t="s">
        <v>372</v>
      </c>
      <c r="N10" s="56" t="s">
        <v>199</v>
      </c>
    </row>
    <row r="11" spans="1:14" ht="55">
      <c r="A11" s="79" t="s">
        <v>196</v>
      </c>
      <c r="B11" s="80">
        <f>floors!$C$2</f>
        <v>40012</v>
      </c>
      <c r="C11" s="81" t="str">
        <f ca="1">VLOOKUP($B11,OFFSET([2]quests!$A$1,0,0,COUNTA([2]quests!$A:$A),MATCH(C$1,[2]quests!$1:$1,0)-MATCH($B$1,[2]quests!$1:$1,0)+1),MATCH(C$1,[2]quests!$1:$1,0)-MATCH($B$1,[2]quests!$1:$1,0)+1,FALSE)</f>
        <v>ショウキ襲来！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降臨12</v>
      </c>
      <c r="E11" s="82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降臨12</v>
      </c>
      <c r="H11" s="83">
        <v>5</v>
      </c>
      <c r="I11" s="88">
        <f t="shared" si="0"/>
        <v>10</v>
      </c>
      <c r="J11" s="84" t="str">
        <f t="shared" si="1"/>
        <v>4001210</v>
      </c>
      <c r="K11" s="82" t="s">
        <v>127</v>
      </c>
      <c r="L11" s="85" t="s">
        <v>198</v>
      </c>
      <c r="M11" s="116" t="s">
        <v>359</v>
      </c>
      <c r="N11" s="56" t="s">
        <v>199</v>
      </c>
    </row>
    <row r="12" spans="1:14" ht="55">
      <c r="A12" s="79" t="s">
        <v>196</v>
      </c>
      <c r="B12" s="80">
        <f>floors!$C$2</f>
        <v>40012</v>
      </c>
      <c r="C12" s="81" t="str">
        <f ca="1">VLOOKUP($B12,OFFSET([2]quests!$A$1,0,0,COUNTA([2]quests!$A:$A),MATCH(C$1,[2]quests!$1:$1,0)-MATCH($B$1,[2]quests!$1:$1,0)+1),MATCH(C$1,[2]quests!$1:$1,0)-MATCH($B$1,[2]quests!$1:$1,0)+1,FALSE)</f>
        <v>ショウキ襲来！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降臨12</v>
      </c>
      <c r="E12" s="82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【ウィザード級】ショウキ襲来 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降臨12</v>
      </c>
      <c r="H12" s="83">
        <v>5</v>
      </c>
      <c r="I12" s="88">
        <f t="shared" si="0"/>
        <v>11</v>
      </c>
      <c r="J12" s="84" t="str">
        <f t="shared" ref="J12" si="2">B12&amp;TEXT(I12,"00")</f>
        <v>4001211</v>
      </c>
      <c r="K12" s="82" t="s">
        <v>127</v>
      </c>
      <c r="L12" s="85" t="s">
        <v>198</v>
      </c>
      <c r="M12" s="116" t="s">
        <v>370</v>
      </c>
      <c r="N12" s="56" t="s">
        <v>199</v>
      </c>
    </row>
  </sheetData>
  <phoneticPr fontId="5"/>
  <dataValidations count="1">
    <dataValidation type="list" allowBlank="1" showInputMessage="1" showErrorMessage="1" sqref="A2:A1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藤井 豊</cp:lastModifiedBy>
  <dcterms:created xsi:type="dcterms:W3CDTF">2015-01-30T13:36:44Z</dcterms:created>
  <dcterms:modified xsi:type="dcterms:W3CDTF">2016-03-15T05:27:35Z</dcterms:modified>
</cp:coreProperties>
</file>