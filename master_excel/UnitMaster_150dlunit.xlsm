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5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itani.k/BULL_data/master_excel/"/>
    </mc:Choice>
  </mc:AlternateContent>
  <bookViews>
    <workbookView xWindow="0" yWindow="460" windowWidth="28800" windowHeight="15940" tabRatio="963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→base値" sheetId="51" r:id="rId7"/>
    <sheet name="ghosts_label" sheetId="55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</sheets>
  <externalReferences>
    <externalReference r:id="rId14"/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units!$A$1:$BQ$2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G3" i="23"/>
  <c r="AL3" i="23"/>
  <c r="H4" i="23"/>
  <c r="G4" i="23"/>
  <c r="AL4" i="23"/>
  <c r="H5" i="23"/>
  <c r="G5" i="23"/>
  <c r="AL5" i="23"/>
  <c r="H6" i="23"/>
  <c r="G6" i="23"/>
  <c r="AL6" i="23"/>
  <c r="H7" i="23"/>
  <c r="G7" i="23"/>
  <c r="AL7" i="23"/>
  <c r="N3" i="23"/>
  <c r="O3" i="23"/>
  <c r="N4" i="23"/>
  <c r="O4" i="23"/>
  <c r="N5" i="23"/>
  <c r="O5" i="23"/>
  <c r="N6" i="23"/>
  <c r="O6" i="23"/>
  <c r="N7" i="23"/>
  <c r="O7" i="23"/>
  <c r="BC3" i="23"/>
  <c r="BC4" i="23"/>
  <c r="BC5" i="23"/>
  <c r="BC6" i="23"/>
  <c r="BC7" i="23"/>
  <c r="H2" i="23"/>
  <c r="G2" i="23"/>
  <c r="BC2" i="23"/>
  <c r="AL2" i="23"/>
  <c r="O2" i="23"/>
  <c r="N2" i="23"/>
  <c r="G11" i="13"/>
  <c r="G10" i="13"/>
  <c r="G9" i="13"/>
  <c r="G8" i="13"/>
  <c r="G4" i="13"/>
  <c r="G3" i="13"/>
  <c r="G2" i="13"/>
  <c r="BR3" i="23"/>
  <c r="BR4" i="23"/>
  <c r="BR5" i="23"/>
  <c r="BR6" i="23"/>
  <c r="BR7" i="23"/>
  <c r="BR2" i="23"/>
  <c r="BD6" i="23"/>
  <c r="Q6" i="23"/>
  <c r="S6" i="23"/>
  <c r="W6" i="23"/>
  <c r="AA6" i="23"/>
  <c r="I6" i="23"/>
  <c r="J6" i="23"/>
  <c r="BK6" i="23"/>
  <c r="BD7" i="23"/>
  <c r="Q7" i="23"/>
  <c r="S7" i="23"/>
  <c r="W7" i="23"/>
  <c r="AA7" i="23"/>
  <c r="I7" i="23"/>
  <c r="J7" i="23"/>
  <c r="BK7" i="23"/>
  <c r="G10" i="3"/>
  <c r="E10" i="3"/>
  <c r="D10" i="3"/>
  <c r="C10" i="3"/>
  <c r="A10" i="3"/>
  <c r="G9" i="3"/>
  <c r="E9" i="3"/>
  <c r="D9" i="3"/>
  <c r="C9" i="3"/>
  <c r="A9" i="3"/>
  <c r="G8" i="3"/>
  <c r="E8" i="3"/>
  <c r="D8" i="3"/>
  <c r="C8" i="3"/>
  <c r="A8" i="3"/>
  <c r="G7" i="3"/>
  <c r="E7" i="3"/>
  <c r="D7" i="3"/>
  <c r="C7" i="3"/>
  <c r="A7" i="3"/>
  <c r="G6" i="3"/>
  <c r="E6" i="3"/>
  <c r="D6" i="3"/>
  <c r="C6" i="3"/>
  <c r="A6" i="3"/>
  <c r="AT6" i="23"/>
  <c r="AU6" i="23"/>
  <c r="T6" i="23"/>
  <c r="AB6" i="23"/>
  <c r="K6" i="23"/>
  <c r="BL6" i="23"/>
  <c r="T7" i="23"/>
  <c r="AB7" i="23"/>
  <c r="K7" i="23"/>
  <c r="BL7" i="23"/>
  <c r="E6" i="53"/>
  <c r="G6" i="53"/>
  <c r="E7" i="53"/>
  <c r="G7" i="53"/>
  <c r="E6" i="52"/>
  <c r="H6" i="52"/>
  <c r="J6" i="52"/>
  <c r="E7" i="52"/>
  <c r="H7" i="52"/>
  <c r="J7" i="52"/>
  <c r="B6" i="23"/>
  <c r="C6" i="23"/>
  <c r="D6" i="23"/>
  <c r="E6" i="23"/>
  <c r="F6" i="23"/>
  <c r="L6" i="23"/>
  <c r="M6" i="23"/>
  <c r="P6" i="23"/>
  <c r="R6" i="23"/>
  <c r="U6" i="23"/>
  <c r="V6" i="23"/>
  <c r="X6" i="23"/>
  <c r="Y6" i="23"/>
  <c r="Z6" i="23"/>
  <c r="AC6" i="23"/>
  <c r="AD6" i="23"/>
  <c r="AF6" i="23"/>
  <c r="AH6" i="23"/>
  <c r="AI6" i="23"/>
  <c r="AK6" i="23"/>
  <c r="AM6" i="23"/>
  <c r="AN6" i="23"/>
  <c r="AP6" i="23"/>
  <c r="AQ6" i="23"/>
  <c r="AR6" i="23"/>
  <c r="AS6" i="23"/>
  <c r="AV6" i="23"/>
  <c r="AW6" i="23"/>
  <c r="AX6" i="23"/>
  <c r="BE6" i="23"/>
  <c r="BF6" i="23"/>
  <c r="BG6" i="23"/>
  <c r="BH6" i="23"/>
  <c r="BM6" i="23"/>
  <c r="BI6" i="23"/>
  <c r="BN6" i="23"/>
  <c r="BJ6" i="23"/>
  <c r="B7" i="23"/>
  <c r="C7" i="23"/>
  <c r="D7" i="23"/>
  <c r="E7" i="23"/>
  <c r="F7" i="23"/>
  <c r="L7" i="23"/>
  <c r="M7" i="23"/>
  <c r="P7" i="23"/>
  <c r="R7" i="23"/>
  <c r="U7" i="23"/>
  <c r="V7" i="23"/>
  <c r="X7" i="23"/>
  <c r="Y7" i="23"/>
  <c r="Z7" i="23"/>
  <c r="AC7" i="23"/>
  <c r="AD7" i="23"/>
  <c r="AF7" i="23"/>
  <c r="AH7" i="23"/>
  <c r="AI7" i="23"/>
  <c r="AK7" i="23"/>
  <c r="AM7" i="23"/>
  <c r="AN7" i="23"/>
  <c r="AP7" i="23"/>
  <c r="AQ7" i="23"/>
  <c r="AR7" i="23"/>
  <c r="AS7" i="23"/>
  <c r="AT7" i="23"/>
  <c r="AU7" i="23"/>
  <c r="AV7" i="23"/>
  <c r="AW7" i="23"/>
  <c r="AX7" i="23"/>
  <c r="BE7" i="23"/>
  <c r="BF7" i="23"/>
  <c r="BG7" i="23"/>
  <c r="BH7" i="23"/>
  <c r="BM7" i="23"/>
  <c r="BI7" i="23"/>
  <c r="BN7" i="23"/>
  <c r="BJ7" i="23"/>
  <c r="AH2" i="23"/>
  <c r="AH4" i="23"/>
  <c r="AH5" i="23"/>
  <c r="AH3" i="23"/>
  <c r="BD3" i="23"/>
  <c r="Q3" i="23"/>
  <c r="S3" i="23"/>
  <c r="W3" i="23"/>
  <c r="AA3" i="23"/>
  <c r="I3" i="23"/>
  <c r="J3" i="23"/>
  <c r="BK3" i="23"/>
  <c r="BD2" i="23"/>
  <c r="Q2" i="23"/>
  <c r="S2" i="23"/>
  <c r="W2" i="23"/>
  <c r="AA2" i="23"/>
  <c r="I2" i="23"/>
  <c r="J2" i="23"/>
  <c r="BK2" i="23"/>
  <c r="T3" i="23"/>
  <c r="AB3" i="23"/>
  <c r="K3" i="23"/>
  <c r="BL3" i="23"/>
  <c r="T2" i="23"/>
  <c r="AB2" i="23"/>
  <c r="K2" i="23"/>
  <c r="BL2" i="23"/>
  <c r="B7" i="54"/>
  <c r="B8" i="54"/>
  <c r="B9" i="54"/>
  <c r="B10" i="54"/>
  <c r="B11" i="54"/>
  <c r="B12" i="54"/>
  <c r="B13" i="54"/>
  <c r="B14" i="54"/>
  <c r="B15" i="54"/>
  <c r="B16" i="54"/>
  <c r="B17" i="54"/>
  <c r="B3" i="54"/>
  <c r="B2" i="54"/>
  <c r="E3" i="54"/>
  <c r="B4" i="54"/>
  <c r="E4" i="54"/>
  <c r="B5" i="54"/>
  <c r="E5" i="54"/>
  <c r="B6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2" i="54"/>
  <c r="G2" i="53"/>
  <c r="G3" i="53"/>
  <c r="G4" i="53"/>
  <c r="G5" i="53"/>
  <c r="E2" i="3"/>
  <c r="A4" i="3"/>
  <c r="B4" i="23"/>
  <c r="C4" i="3"/>
  <c r="D4" i="3"/>
  <c r="E4" i="3"/>
  <c r="G4" i="3"/>
  <c r="A5" i="3"/>
  <c r="B5" i="23"/>
  <c r="C5" i="3"/>
  <c r="D5" i="3"/>
  <c r="E5" i="3"/>
  <c r="G5" i="3"/>
  <c r="A3" i="3"/>
  <c r="B3" i="23"/>
  <c r="C3" i="3"/>
  <c r="D3" i="3"/>
  <c r="E3" i="3"/>
  <c r="G3" i="3"/>
  <c r="E3" i="53"/>
  <c r="E4" i="53"/>
  <c r="E5" i="53"/>
  <c r="J3" i="52"/>
  <c r="E3" i="52"/>
  <c r="H3" i="52"/>
  <c r="J4" i="52"/>
  <c r="E4" i="52"/>
  <c r="H4" i="52"/>
  <c r="J5" i="52"/>
  <c r="E5" i="52"/>
  <c r="H5" i="52"/>
  <c r="C3" i="23"/>
  <c r="D3" i="23"/>
  <c r="E3" i="23"/>
  <c r="F3" i="23"/>
  <c r="L3" i="23"/>
  <c r="M3" i="23"/>
  <c r="P3" i="23"/>
  <c r="R3" i="23"/>
  <c r="U3" i="23"/>
  <c r="V3" i="23"/>
  <c r="X3" i="23"/>
  <c r="Y3" i="23"/>
  <c r="Z3" i="23"/>
  <c r="AC3" i="23"/>
  <c r="AD3" i="23"/>
  <c r="AF3" i="23"/>
  <c r="AI3" i="23"/>
  <c r="AK3" i="23"/>
  <c r="AM3" i="23"/>
  <c r="AN3" i="23"/>
  <c r="AP3" i="23"/>
  <c r="AQ3" i="23"/>
  <c r="AR3" i="23"/>
  <c r="AS3" i="23"/>
  <c r="AT3" i="23"/>
  <c r="AU3" i="23"/>
  <c r="AV3" i="23"/>
  <c r="AW3" i="23"/>
  <c r="AX3" i="23"/>
  <c r="BE3" i="23"/>
  <c r="BF3" i="23"/>
  <c r="BG3" i="23"/>
  <c r="BH3" i="23"/>
  <c r="BM3" i="23"/>
  <c r="BI3" i="23"/>
  <c r="BN3" i="23"/>
  <c r="BJ3" i="23"/>
  <c r="C4" i="23"/>
  <c r="D4" i="23"/>
  <c r="E4" i="23"/>
  <c r="F4" i="23"/>
  <c r="I4" i="23"/>
  <c r="J4" i="23"/>
  <c r="K4" i="23"/>
  <c r="L4" i="23"/>
  <c r="M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I4" i="23"/>
  <c r="AK4" i="23"/>
  <c r="AM4" i="23"/>
  <c r="AN4" i="23"/>
  <c r="AP4" i="23"/>
  <c r="AQ4" i="23"/>
  <c r="AR4" i="23"/>
  <c r="AS4" i="23"/>
  <c r="AT4" i="23"/>
  <c r="AU4" i="23"/>
  <c r="AV4" i="23"/>
  <c r="AW4" i="23"/>
  <c r="AX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I5" i="23"/>
  <c r="J5" i="23"/>
  <c r="K5" i="23"/>
  <c r="L5" i="23"/>
  <c r="M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I5" i="23"/>
  <c r="AK5" i="23"/>
  <c r="AM5" i="23"/>
  <c r="AN5" i="23"/>
  <c r="AP5" i="23"/>
  <c r="AQ5" i="23"/>
  <c r="AR5" i="23"/>
  <c r="AS5" i="23"/>
  <c r="AT5" i="23"/>
  <c r="AU5" i="23"/>
  <c r="AV5" i="23"/>
  <c r="AW5" i="23"/>
  <c r="AX5" i="23"/>
  <c r="BD5" i="23"/>
  <c r="BE5" i="23"/>
  <c r="BF5" i="23"/>
  <c r="BK5" i="23"/>
  <c r="BG5" i="23"/>
  <c r="BL5" i="23"/>
  <c r="BH5" i="23"/>
  <c r="BM5" i="23"/>
  <c r="BI5" i="23"/>
  <c r="BN5" i="23"/>
  <c r="BJ5" i="23"/>
  <c r="AT2" i="23"/>
  <c r="AP2" i="23"/>
  <c r="E2" i="53"/>
  <c r="J2" i="52"/>
  <c r="H2" i="52"/>
  <c r="E2" i="52"/>
  <c r="G2" i="3"/>
  <c r="B2" i="23"/>
  <c r="C2" i="3"/>
  <c r="AN2" i="23"/>
  <c r="AM2" i="23"/>
  <c r="AI2" i="23"/>
  <c r="AS2" i="23"/>
  <c r="AR2" i="23"/>
  <c r="AQ2" i="23"/>
  <c r="V2" i="23"/>
  <c r="AD2" i="23"/>
  <c r="M2" i="23"/>
  <c r="BN2" i="23"/>
  <c r="U2" i="23"/>
  <c r="AC2" i="23"/>
  <c r="L2" i="23"/>
  <c r="BM2" i="23"/>
  <c r="BE2" i="23"/>
  <c r="BJ2" i="23"/>
  <c r="BI2" i="23"/>
  <c r="BH2" i="23"/>
  <c r="BG2" i="23"/>
  <c r="BF2" i="23"/>
  <c r="AX2" i="23"/>
  <c r="AW2" i="23"/>
  <c r="AV2" i="23"/>
  <c r="AU2" i="23"/>
  <c r="AK2" i="23"/>
  <c r="AF2" i="23"/>
  <c r="Y2" i="23"/>
  <c r="Z2" i="23"/>
  <c r="X2" i="23"/>
  <c r="R2" i="23"/>
  <c r="P2" i="23"/>
  <c r="F2" i="23"/>
  <c r="E2" i="23"/>
  <c r="D2" i="23"/>
  <c r="C2" i="23"/>
  <c r="E8" i="49"/>
  <c r="E7" i="49"/>
  <c r="E6" i="49"/>
  <c r="E5" i="49"/>
  <c r="E9" i="49"/>
  <c r="E10" i="49"/>
  <c r="E3" i="49"/>
  <c r="E4" i="49"/>
  <c r="E2" i="49"/>
  <c r="A2" i="3"/>
  <c r="D2" i="3"/>
</calcChain>
</file>

<file path=xl/sharedStrings.xml><?xml version="1.0" encoding="utf-8"?>
<sst xmlns="http://schemas.openxmlformats.org/spreadsheetml/2006/main" count="841" uniqueCount="352">
  <si>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</si>
  <si>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</si>
  <si>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</si>
  <si>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</si>
  <si>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</si>
  <si>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</si>
  <si>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</si>
  <si>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</si>
  <si>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</si>
  <si>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</si>
  <si>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</si>
  <si>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</si>
  <si>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</si>
  <si>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</si>
  <si>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</si>
  <si>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</si>
  <si>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</si>
  <si>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</si>
  <si>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</si>
  <si>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</si>
  <si>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</si>
  <si>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</si>
  <si>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</si>
  <si>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</si>
  <si>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</si>
  <si>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</si>
  <si>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</si>
  <si>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</si>
  <si>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</si>
  <si>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</si>
  <si>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</si>
  <si>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</si>
  <si>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</si>
  <si>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</si>
  <si>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</si>
  <si>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</si>
  <si>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</si>
  <si>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</si>
  <si>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</si>
  <si>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</si>
  <si>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</si>
  <si>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</si>
  <si>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</si>
  <si>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</si>
  <si>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</si>
  <si>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</si>
  <si>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</si>
  <si>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</si>
  <si>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</si>
  <si>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</si>
  <si>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</si>
  <si>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</si>
  <si>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</si>
  <si>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</si>
  <si>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</si>
  <si>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</si>
  <si>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</si>
  <si>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</si>
  <si>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</si>
  <si>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</si>
  <si>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</si>
  <si>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</si>
  <si>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</si>
  <si>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</si>
  <si>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</si>
  <si>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</si>
  <si>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</si>
  <si>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</si>
  <si>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</si>
  <si>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</si>
  <si>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</si>
  <si>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</si>
  <si>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</si>
  <si>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</si>
  <si>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</si>
  <si>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</si>
  <si>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</si>
  <si>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</si>
  <si>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</si>
  <si>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</si>
  <si>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</si>
  <si>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</si>
  <si>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</si>
  <si>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</si>
  <si>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</si>
  <si>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</si>
  <si>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</si>
  <si>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</si>
  <si>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</si>
  <si>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</si>
  <si>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</si>
  <si>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</si>
  <si>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</si>
  <si>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</si>
  <si>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</si>
  <si>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</si>
  <si>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</si>
  <si>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</si>
  <si>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</si>
  <si>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</si>
  <si>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</si>
  <si>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</si>
  <si>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</si>
  <si>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</si>
  <si>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</si>
  <si>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comment</t>
    <phoneticPr fontId="10"/>
  </si>
  <si>
    <t>character_id</t>
    <phoneticPr fontId="10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</si>
  <si>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</si>
  <si>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</si>
  <si>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</si>
  <si>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</si>
  <si>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</si>
  <si>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</si>
  <si>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</si>
  <si>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</si>
  <si>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</si>
  <si>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</si>
  <si>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</si>
  <si>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</si>
  <si>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</si>
  <si>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</si>
  <si>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</si>
  <si>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</si>
  <si>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</si>
  <si>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</si>
  <si>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</si>
  <si>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</si>
  <si>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</si>
  <si>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</si>
  <si>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</si>
  <si>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</si>
  <si>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</si>
  <si>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</si>
  <si>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</si>
  <si>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</si>
  <si>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</si>
  <si>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</si>
  <si>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</si>
  <si>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</si>
  <si>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</si>
  <si>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</si>
  <si>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</si>
  <si>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</si>
  <si>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</si>
  <si>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</si>
  <si>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</si>
  <si>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</si>
  <si>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</si>
  <si>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</si>
  <si>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</si>
  <si>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</si>
  <si>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</si>
  <si>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</si>
  <si>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</si>
  <si>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</si>
  <si>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</si>
  <si>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</si>
  <si>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</si>
  <si>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</si>
  <si>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</si>
  <si>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</si>
  <si>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</si>
  <si>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</si>
  <si>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</si>
  <si>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</si>
  <si>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</si>
  <si>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</si>
  <si>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</si>
  <si>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</si>
  <si>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</si>
  <si>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</si>
  <si>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</si>
  <si>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</si>
  <si>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</si>
  <si>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</si>
  <si>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</si>
  <si>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</si>
  <si>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</si>
  <si>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</si>
  <si>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</si>
  <si>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</si>
  <si>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</si>
  <si>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</si>
  <si>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</si>
  <si>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</si>
  <si>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</si>
  <si>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</si>
  <si>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</si>
  <si>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</si>
  <si>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</si>
  <si>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</si>
  <si>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old</t>
    <phoneticPr fontId="22"/>
  </si>
  <si>
    <t>150dlunit</t>
  </si>
  <si>
    <t>150dlunit</t>
    <phoneticPr fontId="22"/>
  </si>
  <si>
    <t>150dlunit</t>
    <phoneticPr fontId="22"/>
  </si>
  <si>
    <t>1体に大ダメージ</t>
  </si>
  <si>
    <t>1体に中ダメージ
ヒューマンに効果大</t>
    <phoneticPr fontId="9"/>
  </si>
  <si>
    <t>1体に中ダメージ
アニマルに効果大</t>
    <rPh sb="3" eb="4">
      <t>チュウ</t>
    </rPh>
    <phoneticPr fontId="22"/>
  </si>
  <si>
    <t>2ターンの間青属性の敵から受けるダメージを75%軽減する</t>
    <rPh sb="6" eb="7">
      <t>アオ</t>
    </rPh>
    <phoneticPr fontId="22"/>
  </si>
  <si>
    <t>[effect:damage_anti_tribe, target:enemy_one, tribe:animal, val1:2.63, val2:1.13,  animation:damage_one_yellow03]</t>
    <phoneticPr fontId="22"/>
  </si>
  <si>
    <t>[effect:damage, target:enemy_one, color:red, val:2.0, animation:damage_one_red04]</t>
  </si>
  <si>
    <t>[effect:reduction, target:unit_all, turn:2, color:blue, val:0.75, animation:reduction_one04]</t>
    <phoneticPr fontId="22"/>
  </si>
  <si>
    <t>赤パネルとお邪魔パネルを全て破壊し、破壊したパネルの数だけ全体に大ダメージ</t>
    <rPh sb="0" eb="1">
      <t>アカ</t>
    </rPh>
    <rPh sb="6" eb="11">
      <t>ジャm</t>
    </rPh>
    <rPh sb="12" eb="13">
      <t>スベ</t>
    </rPh>
    <rPh sb="14" eb="16">
      <t>ハカイ</t>
    </rPh>
    <rPh sb="18" eb="20">
      <t>ハカイ</t>
    </rPh>
    <rPh sb="26" eb="27">
      <t>カズ</t>
    </rPh>
    <rPh sb="29" eb="31">
      <t>ゼンタイ</t>
    </rPh>
    <rPh sb="32" eb="33">
      <t>ダイ</t>
    </rPh>
    <phoneticPr fontId="28"/>
  </si>
  <si>
    <t>赤属性をスリープ状態にして1ターン行動不能＋2ターン青属性のタップ回数を1増やす</t>
    <rPh sb="0" eb="3">
      <t>アカゾクセイ</t>
    </rPh>
    <rPh sb="8" eb="10">
      <t>ジョウタイ</t>
    </rPh>
    <rPh sb="17" eb="19">
      <t>コウドウ</t>
    </rPh>
    <rPh sb="19" eb="21">
      <t>フノウ</t>
    </rPh>
    <rPh sb="26" eb="30">
      <t>ア</t>
    </rPh>
    <rPh sb="33" eb="35">
      <t>カ</t>
    </rPh>
    <rPh sb="37" eb="40">
      <t>フヤs</t>
    </rPh>
    <phoneticPr fontId="9"/>
  </si>
  <si>
    <t>[effect:break_attack, val:0.531, lowest_val:0, count:-1, block01:block_red,block02:jammer, color:red, target:enemy_all, animation:damage_all_red05]</t>
    <phoneticPr fontId="22"/>
  </si>
  <si>
    <t>[effect:sleep,target:enemy_red, turn:1, rate:1.0, animation:sleep04],[effect:enhance_unit, target:unit_blue, turn:2, status:action, val:1.0, calc:mul, animation:enhance_unit_one_action01]</t>
    <phoneticPr fontId="22"/>
  </si>
  <si>
    <t>カタストロフジェノサイド</t>
    <phoneticPr fontId="30"/>
  </si>
  <si>
    <t>シュトルム・アングリフδ</t>
    <phoneticPr fontId="30"/>
  </si>
  <si>
    <t>絶青のジャミングフィールド</t>
    <rPh sb="0" eb="3">
      <t>ゼツ</t>
    </rPh>
    <phoneticPr fontId="30"/>
  </si>
  <si>
    <t>処刑龍の凝視</t>
    <rPh sb="0" eb="3">
      <t>sy</t>
    </rPh>
    <rPh sb="4" eb="6">
      <t>ギョウs</t>
    </rPh>
    <phoneticPr fontId="30"/>
  </si>
  <si>
    <t>ゼクスプロミネンス</t>
    <phoneticPr fontId="30"/>
  </si>
  <si>
    <t>アッシュボレアス</t>
    <phoneticPr fontId="30"/>
  </si>
  <si>
    <t>パスーアルバレスト</t>
    <phoneticPr fontId="30"/>
  </si>
  <si>
    <t>エクスターミネーション</t>
    <phoneticPr fontId="30"/>
  </si>
  <si>
    <t>skill</t>
    <phoneticPr fontId="22"/>
  </si>
  <si>
    <t>ja</t>
    <phoneticPr fontId="22"/>
  </si>
  <si>
    <t>maru</t>
    <phoneticPr fontId="22"/>
  </si>
  <si>
    <t>cskill</t>
    <phoneticPr fontId="22"/>
  </si>
  <si>
    <t>一掃するぞ!!</t>
    <rPh sb="0" eb="2">
      <t>イッソ</t>
    </rPh>
    <phoneticPr fontId="22"/>
  </si>
  <si>
    <t>集中砲火だ！</t>
    <rPh sb="0" eb="4">
      <t>sy</t>
    </rPh>
    <phoneticPr fontId="22"/>
  </si>
  <si>
    <t>少し揺れるぞ</t>
    <rPh sb="0" eb="6">
      <t>スコs</t>
    </rPh>
    <phoneticPr fontId="22"/>
  </si>
  <si>
    <t>照準良し、撃つぞ！</t>
    <rPh sb="0" eb="4">
      <t>ショウj</t>
    </rPh>
    <rPh sb="5" eb="8">
      <t>ウt</t>
    </rPh>
    <phoneticPr fontId="22"/>
  </si>
  <si>
    <t>giza</t>
    <phoneticPr fontId="22"/>
  </si>
  <si>
    <t>ブルァ！！！</t>
    <phoneticPr fontId="22"/>
  </si>
  <si>
    <t>対象ヲ…捕捉シタ…！</t>
  </si>
  <si>
    <t>アンチヒューマン実行</t>
    <rPh sb="8" eb="10">
      <t>ジッコ</t>
    </rPh>
    <phoneticPr fontId="22"/>
  </si>
  <si>
    <t>処刑執行スル！</t>
    <rPh sb="0" eb="4">
      <t>sy</t>
    </rPh>
    <phoneticPr fontId="22"/>
  </si>
  <si>
    <t>skill</t>
    <phoneticPr fontId="22"/>
  </si>
  <si>
    <t>ブルルルルアァァ！</t>
    <phoneticPr fontId="22"/>
  </si>
  <si>
    <t>消し飛べ！</t>
    <rPh sb="0" eb="4">
      <t>ケs</t>
    </rPh>
    <phoneticPr fontId="22"/>
  </si>
  <si>
    <t>逃ガサン…！</t>
    <rPh sb="0" eb="1">
      <t>ニg</t>
    </rPh>
    <phoneticPr fontId="22"/>
  </si>
  <si>
    <t>生命反応、駆逐します</t>
    <rPh sb="0" eb="2">
      <t>セイメ</t>
    </rPh>
    <rPh sb="2" eb="4">
      <t>セイタ</t>
    </rPh>
    <rPh sb="5" eb="7">
      <t>クt</t>
    </rPh>
    <phoneticPr fontId="22"/>
  </si>
  <si>
    <t>ジャミング展開、届きませんよ</t>
    <rPh sb="5" eb="7">
      <t>テンカ</t>
    </rPh>
    <rPh sb="8" eb="14">
      <t>トドk</t>
    </rPh>
    <phoneticPr fontId="22"/>
  </si>
  <si>
    <t>塵一つ残さん！</t>
    <rPh sb="0" eb="3">
      <t>チリヒt</t>
    </rPh>
    <rPh sb="3" eb="6">
      <t>ノコs</t>
    </rPh>
    <phoneticPr fontId="22"/>
  </si>
  <si>
    <t>逃しませんよ</t>
    <rPh sb="0" eb="5">
      <t>ノガs</t>
    </rPh>
    <phoneticPr fontId="22"/>
  </si>
  <si>
    <t>捕えましたよ</t>
    <rPh sb="0" eb="5">
      <t>トラエm</t>
    </rPh>
    <phoneticPr fontId="22"/>
  </si>
  <si>
    <t>全体に特大ダメージ</t>
    <rPh sb="3" eb="5">
      <t>トクダ</t>
    </rPh>
    <phoneticPr fontId="22"/>
  </si>
  <si>
    <t>[effect:damage, target:enemy_all, color:green, val:1.125, animation:damage_all_green04]</t>
    <phoneticPr fontId="22"/>
  </si>
  <si>
    <t>単体に防御力を無視した10000固定ダメージ+時限式ダメージパネルをボムパネル変換</t>
    <rPh sb="23" eb="26">
      <t>ジゲン</t>
    </rPh>
    <rPh sb="39" eb="41">
      <t>ヘン</t>
    </rPh>
    <phoneticPr fontId="22"/>
  </si>
  <si>
    <t>[effect:damage_anti_tribe, target:enemy_one, tribe:human, val1:2.25, val2:1.13,  animation:damage_one_blue03]</t>
    <phoneticPr fontId="22"/>
  </si>
  <si>
    <t xml:space="preserve">[effect:damage_fix_pierce, target:enemy_one, color:green, val:10000, animation:damage_fix_one_pierce04],[effect:change_block, new_block:crack_bomb, target:time_bomb, color:block_green, count:0, val:12, animation:change_block]    </t>
    <phoneticPr fontId="22"/>
  </si>
  <si>
    <t>フレイムバーンナップ</t>
  </si>
  <si>
    <t>メテオバーンナップ</t>
    <phoneticPr fontId="22"/>
  </si>
  <si>
    <t>1体にダメージ</t>
    <phoneticPr fontId="22"/>
  </si>
  <si>
    <t>ラヴァ・エクスプロージョン</t>
    <phoneticPr fontId="22"/>
  </si>
  <si>
    <t>全体に赤属性の大ダメージ</t>
    <rPh sb="7" eb="8">
      <t>ダイ</t>
    </rPh>
    <phoneticPr fontId="22"/>
  </si>
  <si>
    <t>全体に赤属性の特大ダメージ</t>
    <rPh sb="7" eb="9">
      <t>トクダ</t>
    </rPh>
    <phoneticPr fontId="22"/>
  </si>
  <si>
    <t>[effect:damage, target:enemy_all, color:red, val:3.0, animation:damage_all_red03]</t>
    <phoneticPr fontId="22"/>
  </si>
  <si>
    <t>[effect:damage, target:enemy_all, color:red, val:4.08, animation:damage_all_red04]</t>
    <phoneticPr fontId="22"/>
  </si>
  <si>
    <t>コロナ・エクスプロージョン</t>
    <phoneticPr fontId="22"/>
  </si>
  <si>
    <t>skip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</si>
  <si>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</si>
  <si>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</si>
  <si>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</si>
  <si>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</si>
  <si>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</si>
  <si>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</si>
  <si>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</si>
  <si>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</si>
  <si>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</si>
  <si>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</si>
  <si>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</si>
  <si>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</si>
  <si>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</si>
  <si>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</si>
  <si>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</si>
  <si>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</si>
  <si>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</si>
  <si>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</si>
  <si>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</si>
  <si>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</si>
  <si>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22"/>
  </si>
  <si>
    <t>sell_ghosts</t>
    <phoneticPr fontId="10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</si>
  <si>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</si>
  <si>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</si>
  <si>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</si>
  <si>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</si>
  <si>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-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</si>
  <si>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</si>
  <si>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</si>
  <si>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</si>
  <si>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</si>
  <si>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</si>
  <si>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PremiumSSw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</si>
  <si>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</si>
  <si>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</si>
  <si>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</si>
  <si>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</si>
  <si>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</si>
  <si>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</si>
  <si>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</si>
  <si>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</si>
  <si>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</si>
  <si>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</si>
  <si>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</si>
  <si>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</si>
  <si>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</si>
  <si>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</si>
  <si>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</si>
  <si>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</si>
  <si>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</si>
  <si>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PremiumSSw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</si>
  <si>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</si>
  <si>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</si>
  <si>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</si>
  <si>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</si>
  <si>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-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</si>
  <si>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</si>
  <si>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</si>
  <si>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</si>
  <si>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</si>
  <si>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</si>
  <si>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DropWizSSS</t>
    <phoneticPr fontId="9"/>
  </si>
  <si>
    <t>-</t>
    <phoneticPr fontId="9"/>
  </si>
  <si>
    <t>required_exp_300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</si>
  <si>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</si>
  <si>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</si>
  <si>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</si>
  <si>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</si>
  <si>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</si>
  <si>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</si>
  <si>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</si>
  <si>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PremiumSSw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</si>
  <si>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</si>
  <si>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</si>
  <si>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</si>
  <si>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</si>
  <si>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</si>
  <si>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</si>
  <si>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</si>
  <si>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</si>
  <si>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</si>
  <si>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DropWizSSS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</si>
  <si>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</si>
  <si>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</si>
  <si>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</si>
  <si>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</si>
  <si>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</si>
  <si>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</si>
  <si>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PremiumSSw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</si>
  <si>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</si>
  <si>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</si>
  <si>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</si>
  <si>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</si>
  <si>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</si>
  <si>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</si>
  <si>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</si>
  <si>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</si>
  <si>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</si>
  <si>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[effect:damage, target:enemy_one, color:red, val:1.75, animation:damage_one_red05]</t>
    <phoneticPr fontId="22"/>
  </si>
  <si>
    <t>[effect:damage, target:enemy_one, color:red, val:2.0, animation:damage_one_red05]</t>
    <phoneticPr fontId="22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</si>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</sst>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6"/>
      <name val="Arial"/>
    </font>
    <font>
      <sz val="10"/>
      <name val="ＭＳ Ｐゴシック"/>
      <charset val="128"/>
      <scheme val="major"/>
    </font>
    <font>
      <sz val="6"/>
      <name val="メイリオ"/>
      <family val="2"/>
      <charset val="128"/>
    </font>
  </fonts>
  <fills count="28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68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8" fillId="15" borderId="1" xfId="0" applyFont="1" applyFill="1" applyBorder="1" applyAlignment="1">
      <alignment vertical="center"/>
    </xf>
    <xf numFmtId="0" fontId="14" fillId="0" borderId="4" xfId="0" applyFont="1" applyBorder="1" applyAlignment="1">
      <alignment horizontal="left" vertical="center" wrapText="1"/>
    </xf>
    <xf numFmtId="0" fontId="26" fillId="0" borderId="4" xfId="0" applyFont="1" applyBorder="1" applyAlignment="1">
      <alignment vertical="center"/>
    </xf>
    <xf numFmtId="0" fontId="13" fillId="20" borderId="4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/>
    </xf>
    <xf numFmtId="0" fontId="25" fillId="0" borderId="7" xfId="0" applyFont="1" applyFill="1" applyBorder="1" applyAlignment="1">
      <alignment vertical="center" wrapText="1"/>
    </xf>
    <xf numFmtId="0" fontId="29" fillId="0" borderId="0" xfId="0" applyFont="1" applyAlignment="1">
      <alignment vertical="top"/>
    </xf>
    <xf numFmtId="0" fontId="0" fillId="0" borderId="4" xfId="0" applyBorder="1" applyAlignment="1">
      <alignment vertical="center"/>
    </xf>
    <xf numFmtId="0" fontId="13" fillId="0" borderId="4" xfId="0" applyFont="1" applyBorder="1" applyAlignment="1">
      <alignment vertical="center"/>
    </xf>
    <xf numFmtId="0" fontId="0" fillId="0" borderId="4" xfId="0" applyNumberFormat="1" applyFill="1" applyBorder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3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horizontal="center" vertical="center"/>
    </xf>
    <xf numFmtId="0" fontId="8" fillId="26" borderId="24" xfId="0" applyFont="1" applyFill="1" applyBorder="1" applyAlignment="1">
      <alignment vertical="center"/>
    </xf>
    <xf numFmtId="0" fontId="16" fillId="25" borderId="21" xfId="0" applyFont="1" applyFill="1" applyBorder="1" applyAlignment="1">
      <alignment horizontal="center" vertical="center"/>
    </xf>
    <xf numFmtId="0" fontId="8" fillId="25" borderId="25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16" fillId="26" borderId="4" xfId="0" applyFont="1" applyFill="1" applyBorder="1" applyAlignment="1">
      <alignment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16" fillId="15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17" fillId="26" borderId="12" xfId="0" applyFont="1" applyFill="1" applyBorder="1" applyAlignment="1">
      <alignment horizontal="center" vertical="center" wrapText="1"/>
    </xf>
    <xf numFmtId="0" fontId="18" fillId="1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vertical="center"/>
    </xf>
    <xf numFmtId="0" fontId="8" fillId="15" borderId="1" xfId="0" applyFont="1" applyFill="1" applyBorder="1" applyAlignment="1">
      <alignment horizontal="center" vertical="center"/>
    </xf>
    <xf numFmtId="0" fontId="25" fillId="27" borderId="7" xfId="0" applyFont="1" applyFill="1" applyBorder="1" applyAlignment="1">
      <alignment vertical="center" wrapText="1"/>
    </xf>
  </cellXfs>
  <cellStyles count="468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赤字強調" xfId="4"/>
    <cellStyle name="青字強調" xfId="3"/>
  </cellStyles>
  <dxfs count="29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externalLink" Target="externalLinks/externalLink2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</row>
        <row r="1386">
          <cell r="A1386">
            <v>1424</v>
          </cell>
          <cell r="B1386" t="str">
            <v>ja</v>
          </cell>
          <cell r="C1386" t="str">
            <v>snow01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abSelected="1" workbookViewId="0">
      <selection activeCell="A7" sqref="A7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7" t="s">
        <v>121</v>
      </c>
      <c r="B1" s="107" t="s">
        <v>112</v>
      </c>
      <c r="C1" s="107" t="s">
        <v>113</v>
      </c>
      <c r="D1" s="107" t="s">
        <v>114</v>
      </c>
      <c r="E1" s="107" t="s">
        <v>115</v>
      </c>
      <c r="F1" s="107" t="s">
        <v>116</v>
      </c>
      <c r="G1" s="107" t="s">
        <v>117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3" x14ac:dyDescent="0.15">
      <c r="A2" s="109" t="s">
        <v>191</v>
      </c>
      <c r="B2" s="109" t="s">
        <v>125</v>
      </c>
      <c r="C2" s="109" t="s">
        <v>193</v>
      </c>
      <c r="D2" s="109" t="s">
        <v>124</v>
      </c>
      <c r="E2" s="108" t="str">
        <f>B2&amp;C2&amp;D2</f>
        <v>units_150dlunit.tmp</v>
      </c>
      <c r="F2" s="109" t="s">
        <v>120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271</v>
      </c>
      <c r="S2" s="109"/>
      <c r="T2" s="109"/>
      <c r="U2" s="109"/>
      <c r="V2" s="109"/>
      <c r="W2" s="109"/>
    </row>
    <row r="3" spans="1:23" x14ac:dyDescent="0.15">
      <c r="A3" s="109" t="s">
        <v>250</v>
      </c>
      <c r="B3" s="109" t="s">
        <v>126</v>
      </c>
      <c r="C3" s="109" t="s">
        <v>194</v>
      </c>
      <c r="D3" s="109" t="s">
        <v>124</v>
      </c>
      <c r="E3" s="108" t="str">
        <f>B3&amp;C3&amp;D3</f>
        <v>awake_materials_150dlunit.tmp</v>
      </c>
      <c r="F3" s="109" t="s">
        <v>119</v>
      </c>
      <c r="G3" s="110" t="s">
        <v>38</v>
      </c>
      <c r="H3" s="111" t="s">
        <v>36</v>
      </c>
      <c r="I3" s="111" t="s">
        <v>37</v>
      </c>
      <c r="J3" s="113" t="s">
        <v>122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3" x14ac:dyDescent="0.15">
      <c r="A4" s="109" t="s">
        <v>250</v>
      </c>
      <c r="B4" s="109" t="s">
        <v>127</v>
      </c>
      <c r="C4" s="109" t="s">
        <v>192</v>
      </c>
      <c r="D4" s="109" t="s">
        <v>128</v>
      </c>
      <c r="E4" s="108" t="str">
        <f t="shared" ref="E4" si="0">B4&amp;C4&amp;D4</f>
        <v>unit_levels_calc_150dlunit.tmp</v>
      </c>
      <c r="F4" s="109" t="s">
        <v>118</v>
      </c>
      <c r="G4" s="59" t="s">
        <v>17</v>
      </c>
      <c r="H4" s="60" t="s">
        <v>2</v>
      </c>
      <c r="I4" s="61" t="s">
        <v>79</v>
      </c>
      <c r="J4" s="61" t="s">
        <v>80</v>
      </c>
      <c r="K4" s="61" t="s">
        <v>81</v>
      </c>
      <c r="L4" s="61" t="s">
        <v>82</v>
      </c>
      <c r="M4" s="61" t="s">
        <v>87</v>
      </c>
      <c r="N4" s="61" t="s">
        <v>88</v>
      </c>
      <c r="O4" s="61" t="s">
        <v>89</v>
      </c>
      <c r="P4" s="61" t="s">
        <v>90</v>
      </c>
      <c r="Q4" s="61" t="s">
        <v>91</v>
      </c>
      <c r="R4" s="61" t="s">
        <v>94</v>
      </c>
      <c r="S4" s="61" t="s">
        <v>92</v>
      </c>
      <c r="T4" s="61" t="s">
        <v>93</v>
      </c>
      <c r="U4" s="61" t="s">
        <v>83</v>
      </c>
      <c r="V4" s="61" t="s">
        <v>84</v>
      </c>
      <c r="W4" s="61" t="s">
        <v>85</v>
      </c>
    </row>
    <row r="5" spans="1:23" x14ac:dyDescent="0.15">
      <c r="A5" s="109" t="s">
        <v>250</v>
      </c>
      <c r="B5" s="109" t="s">
        <v>139</v>
      </c>
      <c r="C5" s="109" t="s">
        <v>192</v>
      </c>
      <c r="D5" s="109" t="s">
        <v>140</v>
      </c>
      <c r="E5" s="108" t="str">
        <f>B5&amp;C5&amp;D5</f>
        <v>unit_skills_data_150dlunit.tmp</v>
      </c>
      <c r="F5" s="109" t="s">
        <v>141</v>
      </c>
      <c r="G5" s="118" t="s">
        <v>20</v>
      </c>
      <c r="H5" s="118" t="s">
        <v>142</v>
      </c>
      <c r="I5" s="118" t="s">
        <v>2</v>
      </c>
      <c r="J5" s="118" t="s">
        <v>143</v>
      </c>
      <c r="K5" s="118" t="s">
        <v>144</v>
      </c>
      <c r="L5" s="118" t="s">
        <v>4</v>
      </c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x14ac:dyDescent="0.15">
      <c r="A6" s="109" t="s">
        <v>250</v>
      </c>
      <c r="B6" s="109" t="s">
        <v>145</v>
      </c>
      <c r="C6" s="109" t="s">
        <v>192</v>
      </c>
      <c r="D6" s="109" t="s">
        <v>124</v>
      </c>
      <c r="E6" s="108" t="str">
        <f>B6&amp;C6&amp;D6</f>
        <v>unit_skills_i18n_150dlunit.tmp</v>
      </c>
      <c r="F6" s="109" t="s">
        <v>141</v>
      </c>
      <c r="G6" s="118" t="s">
        <v>146</v>
      </c>
      <c r="H6" s="118" t="s">
        <v>130</v>
      </c>
      <c r="I6" s="118" t="s">
        <v>147</v>
      </c>
      <c r="J6" s="118" t="s">
        <v>148</v>
      </c>
      <c r="K6" s="112"/>
      <c r="L6" s="112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</row>
    <row r="7" spans="1:23" x14ac:dyDescent="0.15">
      <c r="A7" s="109" t="s">
        <v>351</v>
      </c>
      <c r="B7" s="109" t="s">
        <v>149</v>
      </c>
      <c r="C7" s="109" t="s">
        <v>192</v>
      </c>
      <c r="D7" s="109" t="s">
        <v>150</v>
      </c>
      <c r="E7" s="108" t="str">
        <f>B7&amp;C7&amp;D7</f>
        <v>crash_skills_data_150dlunit.tmp</v>
      </c>
      <c r="F7" s="109" t="s">
        <v>151</v>
      </c>
      <c r="G7" s="118" t="s">
        <v>152</v>
      </c>
      <c r="H7" s="118" t="s">
        <v>144</v>
      </c>
      <c r="I7" s="118" t="s">
        <v>4</v>
      </c>
      <c r="J7" s="112"/>
      <c r="K7" s="112"/>
      <c r="L7" s="112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3" x14ac:dyDescent="0.15">
      <c r="A8" s="109" t="s">
        <v>351</v>
      </c>
      <c r="B8" s="109" t="s">
        <v>153</v>
      </c>
      <c r="C8" s="109" t="s">
        <v>192</v>
      </c>
      <c r="D8" s="109" t="s">
        <v>154</v>
      </c>
      <c r="E8" s="108" t="str">
        <f t="shared" ref="E8" si="1">B8&amp;C8&amp;D8</f>
        <v>crash_skills_i18n_150dlunit.tmp</v>
      </c>
      <c r="F8" s="109" t="s">
        <v>151</v>
      </c>
      <c r="G8" s="118" t="s">
        <v>155</v>
      </c>
      <c r="H8" s="118" t="s">
        <v>156</v>
      </c>
      <c r="I8" s="118" t="s">
        <v>157</v>
      </c>
      <c r="J8" s="118" t="s">
        <v>158</v>
      </c>
      <c r="K8" s="119"/>
      <c r="L8" s="119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3" x14ac:dyDescent="0.15">
      <c r="A9" s="109" t="s">
        <v>250</v>
      </c>
      <c r="B9" s="112" t="s">
        <v>131</v>
      </c>
      <c r="C9" s="109" t="s">
        <v>192</v>
      </c>
      <c r="D9" s="109" t="s">
        <v>154</v>
      </c>
      <c r="E9" s="108" t="str">
        <f t="shared" ref="E9:E10" si="2">B9&amp;C9&amp;D9</f>
        <v>unit_serifs_data_150dlunit.tmp</v>
      </c>
      <c r="F9" s="112" t="s">
        <v>133</v>
      </c>
      <c r="G9" s="117" t="s">
        <v>134</v>
      </c>
      <c r="H9" s="118" t="s">
        <v>135</v>
      </c>
      <c r="I9" s="118" t="s">
        <v>129</v>
      </c>
      <c r="J9" s="116" t="s">
        <v>186</v>
      </c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3" x14ac:dyDescent="0.15">
      <c r="A10" s="109" t="s">
        <v>250</v>
      </c>
      <c r="B10" s="112" t="s">
        <v>132</v>
      </c>
      <c r="C10" s="109" t="s">
        <v>192</v>
      </c>
      <c r="D10" s="109" t="s">
        <v>154</v>
      </c>
      <c r="E10" s="108" t="str">
        <f t="shared" si="2"/>
        <v>unit_serifs_i18n_150dlunit.tmp</v>
      </c>
      <c r="F10" s="112" t="s">
        <v>133</v>
      </c>
      <c r="G10" s="117" t="s">
        <v>136</v>
      </c>
      <c r="H10" s="118" t="s">
        <v>137</v>
      </c>
      <c r="I10" s="118" t="s">
        <v>138</v>
      </c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7"/>
  <sheetViews>
    <sheetView showGridLines="0" workbookViewId="0">
      <pane xSplit="9" ySplit="1" topLeftCell="AS2" activePane="bottomRight" state="frozen"/>
      <selection pane="topRight" activeCell="J1" sqref="J1"/>
      <selection pane="bottomLeft" activeCell="A3" sqref="A3"/>
      <selection pane="bottomRight" activeCell="BR4" sqref="BR4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106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110</v>
      </c>
      <c r="AR1" s="96" t="s">
        <v>105</v>
      </c>
      <c r="AS1" s="80" t="s">
        <v>104</v>
      </c>
      <c r="AT1" s="91" t="s">
        <v>102</v>
      </c>
      <c r="AU1" s="80" t="s">
        <v>107</v>
      </c>
      <c r="AV1" s="96" t="s">
        <v>105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111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82" t="s">
        <v>86</v>
      </c>
      <c r="BR1" s="10" t="s">
        <v>272</v>
      </c>
    </row>
    <row r="2" spans="1:70" ht="21" customHeight="1" x14ac:dyDescent="0.15">
      <c r="A2" s="134">
        <v>615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ヒュドラ・コスモブラスト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イベント:150DL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DropWizN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INDEX(コスト!$A$1:$I$21,MATCH(H2,コスト!$A$1:$A$21,FALSE),MATCH(G2,コスト!$A$1:$I$1,FALSE))</f>
        <v>28</v>
      </c>
      <c r="O2" s="11">
        <f ca="1">INDEX(レベル!$A$1:$I$21,MATCH(H2,レベル!$A$1:$A$21,FALSE),MATCH(G2,レベル!$A$1:$I$1,FALSE))</f>
        <v>80</v>
      </c>
      <c r="P2" s="48">
        <f t="shared" ref="P2" ca="1" si="0">G2*15</f>
        <v>75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dragon</v>
      </c>
      <c r="X2" s="5" t="str">
        <f ca="1">VLOOKUP(W2,[1]character_tribe_i18n!$A:$H,3,FALSE)</f>
        <v>ドラゴン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machine</v>
      </c>
      <c r="Z2" s="5" t="str">
        <f ca="1">VLOOKUP(Y2,[1]character_tribe_i18n!$A:$H,3,FALSE)</f>
        <v>マシン</v>
      </c>
      <c r="AA2" s="11">
        <f ca="1">VLOOKUP(W2,[1]character_tribe_i18n!$A:$H,4,FALSE)</f>
        <v>1.1499999999999999</v>
      </c>
      <c r="AB2" s="11">
        <f ca="1">VLOOKUP(W2,[1]character_tribe_i18n!$A:$H,5,FALSE)</f>
        <v>1.1000000000000001</v>
      </c>
      <c r="AC2" s="11">
        <f ca="1">VLOOKUP(W2,[1]character_tribe_i18n!$A:$H,6,FALSE)</f>
        <v>1</v>
      </c>
      <c r="AD2" s="11">
        <f ca="1">VLOOKUP(W2,[1]character_tribe_i18n!$A:$H,7,FALSE)</f>
        <v>0.75</v>
      </c>
      <c r="AE2" s="9" t="s">
        <v>179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v>286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ヒュドラ</v>
      </c>
      <c r="AI2" s="11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7">
        <f ca="1">VLOOKUP(G2,ビット!$G$2:$H$7,2)</f>
        <v>900</v>
      </c>
      <c r="AO2" s="45"/>
      <c r="AP2" s="67">
        <f>A2</f>
        <v>615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カタストロフジェノサイド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赤パネルとお邪魔パネルを全て破壊し、破壊したパネルの数だけ全体に大ダメージ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615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ゼクスプロミネンス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0.94</v>
      </c>
      <c r="AZ2" s="68">
        <v>0.97</v>
      </c>
      <c r="BA2" s="68">
        <v>0</v>
      </c>
      <c r="BB2" s="68">
        <v>0.95</v>
      </c>
      <c r="BC2" s="11">
        <f ca="1">INDEX('RC6SV'!$A$1:$G$21,MATCH(H2,'RC6SV'!$A$1:$A$21,FALSE),MATCH(G2,'RC6SV'!$A$1:$G$1,FALSE))</f>
        <v>8500</v>
      </c>
      <c r="BD2" s="48">
        <f t="shared" ref="BD2" ca="1" si="2">ROUND(BC2*IF(AJ2=1,0.95,IF(AJ2=2,1,IF(AJ2,1.05,0))),0)</f>
        <v>8500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2297</v>
      </c>
      <c r="BH2" s="16">
        <f ca="1">IF($BE2&lt;=0,ROUND(BL2*0.5,0), ROUND($BE2*T2*AB2*K2*AZ2*0.8*[1]ステータス!$C$2,0))</f>
        <v>1846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497</v>
      </c>
      <c r="BK2" s="11">
        <f ca="1">ROUND(BD2*S2*AA2*J2*AY2*[1]ステータス!$B$2,0)</f>
        <v>4594</v>
      </c>
      <c r="BL2" s="11">
        <f ca="1">ROUND(BD2*T2*AB2*K2*AZ2*[1]ステータス!$C$2,0)</f>
        <v>3691</v>
      </c>
      <c r="BM2" s="11">
        <f ca="1">ROUND(BD2*U2*AC2*L2*BA2*[1]ステータス!$D$2,0)</f>
        <v>0</v>
      </c>
      <c r="BN2" s="11">
        <f ca="1">ROUND(BD2*V2*AD2*M2*BB2*[1]ステータス!$E$2,0)</f>
        <v>994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  <row r="3" spans="1:70" ht="21" customHeight="1" x14ac:dyDescent="0.15">
      <c r="A3" s="134">
        <v>616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リンドブルム・デルタクラスター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イベント:150DL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DropWizN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INDEX(コスト!$A$1:$I$21,MATCH(H3,コスト!$A$1:$A$21,FALSE),MATCH(G3,コスト!$A$1:$I$1,FALSE))</f>
        <v>28</v>
      </c>
      <c r="O3" s="11">
        <f ca="1">INDEX(レベル!$A$1:$I$21,MATCH(H3,レベル!$A$1:$A$21,FALSE),MATCH(G3,レベル!$A$1:$I$1,FALSE))</f>
        <v>80</v>
      </c>
      <c r="P3" s="48">
        <f t="shared" ref="P3:P5" ca="1" si="3">G3*15</f>
        <v>75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dragon</v>
      </c>
      <c r="X3" s="5" t="str">
        <f ca="1">VLOOKUP(W3,[1]character_tribe_i18n!$A:$H,3,FALSE)</f>
        <v>ドラゴン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machine</v>
      </c>
      <c r="Z3" s="5" t="str">
        <f ca="1">VLOOKUP(Y3,[1]character_tribe_i18n!$A:$H,3,FALSE)</f>
        <v>マシン</v>
      </c>
      <c r="AA3" s="11">
        <f ca="1">VLOOKUP(W3,[1]character_tribe_i18n!$A:$H,4,FALSE)</f>
        <v>1.1499999999999999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0.75</v>
      </c>
      <c r="AE3" s="9" t="s">
        <v>179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v>280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リンドブルム</v>
      </c>
      <c r="AI3" s="11" t="str">
        <f>IF(AE3="NULL","NULL",VLOOKUP(G3,ビット!$A$2:$B$7,2))</f>
        <v>NULL</v>
      </c>
      <c r="AJ3" s="6">
        <v>2</v>
      </c>
      <c r="AK3" s="7" t="str">
        <f t="shared" ref="AK3:AK5" si="4">IF(AJ3=1,"早熟",IF(AJ3=2,"普通",IF(AJ3=3,"晩成","")))</f>
        <v>普通</v>
      </c>
      <c r="AL3" s="11" t="str">
        <f ca="1">INDEX(経験値!$A$1:$I$21,MATCH(H3,経験値!$A$1:$A$21,FALSE),MATCH(G3,経験値!$A$1:$I$1,FALSE))</f>
        <v>required_exp_200</v>
      </c>
      <c r="AM3" s="8">
        <f ca="1">VLOOKUP(G3,経験値!$A$28:$B$32,2)</f>
        <v>6400</v>
      </c>
      <c r="AN3" s="17">
        <f ca="1">VLOOKUP(G3,ビット!$G$2:$H$7,2)</f>
        <v>900</v>
      </c>
      <c r="AO3" s="45"/>
      <c r="AP3" s="67">
        <f t="shared" ref="AP3:AP5" si="5">A3</f>
        <v>616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シュトルム・アングリフδ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単体に防御力を無視した10000固定ダメージ+時限式ダメージパネルをボムパネル変換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5" si="6">A3</f>
        <v>616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アッシュボレアス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全体に特大ダメージ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0.94</v>
      </c>
      <c r="AZ3" s="68">
        <v>1</v>
      </c>
      <c r="BA3" s="68">
        <v>0</v>
      </c>
      <c r="BB3" s="68">
        <v>0.95</v>
      </c>
      <c r="BC3" s="11">
        <f ca="1">INDEX('RC6SV'!$A$1:$G$21,MATCH(H3,'RC6SV'!$A$1:$A$21,FALSE),MATCH(G3,'RC6SV'!$A$1:$G$1,FALSE))</f>
        <v>8500</v>
      </c>
      <c r="BD3" s="48">
        <f t="shared" ref="BD3:BD5" ca="1" si="7">ROUND(BC3*IF(AJ3=1,0.95,IF(AJ3=2,1,IF(AJ3,1.05,0))),0)</f>
        <v>8500</v>
      </c>
      <c r="BE3" s="11">
        <f t="shared" ref="BE3:BE7" ca="1" si="8">ROUND(IFERROR(INDIRECT(ADDRESS(MATCH($A3,$AE:$AE,0),MATCH($BC$1,$1:$1,0))),0),0)</f>
        <v>0</v>
      </c>
      <c r="BF3" s="11">
        <f t="shared" ref="BF3:BF7" ca="1" si="9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2343</v>
      </c>
      <c r="BH3" s="16">
        <f ca="1">IF($BE3&lt;=0,ROUND(BL3*0.5,0), ROUND($BE3*T3*AB3*K3*AZ3*0.8*[1]ステータス!$C$2,0))</f>
        <v>1828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507</v>
      </c>
      <c r="BK3" s="11">
        <f ca="1">ROUND(BD3*S3*AA3*J3*AY3*[1]ステータス!$B$2,0)</f>
        <v>4686</v>
      </c>
      <c r="BL3" s="11">
        <f ca="1">ROUND(BD3*T3*AB3*K3*AZ3*[1]ステータス!$C$2,0)</f>
        <v>3656</v>
      </c>
      <c r="BM3" s="11">
        <f ca="1">ROUND(BD3*U3*AC3*L3*BA3*[1]ステータス!$D$2,0)</f>
        <v>0</v>
      </c>
      <c r="BN3" s="11">
        <f ca="1">ROUND(BD3*V3*AD3*M3*BB3*[1]ステータス!$E$2,0)</f>
        <v>1014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1</v>
      </c>
    </row>
    <row r="4" spans="1:70" ht="21" customHeight="1" x14ac:dyDescent="0.15">
      <c r="A4" s="134">
        <v>617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ラーフ・アルマゲドン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イベント:150DL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DropWizN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1">
        <f ca="1">VLOOKUP(I4,[1]属性!$A:$E,2,FALSE)</f>
        <v>1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1.02</v>
      </c>
      <c r="N4" s="11">
        <f ca="1">INDEX(コスト!$A$1:$I$21,MATCH(H4,コスト!$A$1:$A$21,FALSE),MATCH(G4,コスト!$A$1:$I$1,FALSE))</f>
        <v>28</v>
      </c>
      <c r="O4" s="11">
        <f ca="1">INDEX(レベル!$A$1:$I$21,MATCH(H4,レベル!$A$1:$A$21,FALSE),MATCH(G4,レベル!$A$1:$I$1,FALSE))</f>
        <v>80</v>
      </c>
      <c r="P4" s="48">
        <f t="shared" ca="1" si="3"/>
        <v>75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dragon</v>
      </c>
      <c r="X4" s="5" t="str">
        <f ca="1">VLOOKUP(W4,[1]character_tribe_i18n!$A:$H,3,FALSE)</f>
        <v>ドラゴン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machine</v>
      </c>
      <c r="Z4" s="5" t="str">
        <f ca="1">VLOOKUP(Y4,[1]character_tribe_i18n!$A:$H,3,FALSE)</f>
        <v>マシン</v>
      </c>
      <c r="AA4" s="11">
        <f ca="1">VLOOKUP(W4,[1]character_tribe_i18n!$A:$H,4,FALSE)</f>
        <v>1.1499999999999999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0.75</v>
      </c>
      <c r="AE4" s="9" t="s">
        <v>179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v>282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ラーフ</v>
      </c>
      <c r="AI4" s="11" t="str">
        <f>IF(AE4="NULL","NULL",VLOOKUP(G4,ビット!$A$2:$B$7,2))</f>
        <v>NULL</v>
      </c>
      <c r="AJ4" s="6">
        <v>2</v>
      </c>
      <c r="AK4" s="7" t="str">
        <f t="shared" si="4"/>
        <v>普通</v>
      </c>
      <c r="AL4" s="11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7">
        <f ca="1">VLOOKUP(G4,ビット!$G$2:$H$7,2)</f>
        <v>900</v>
      </c>
      <c r="AO4" s="45"/>
      <c r="AP4" s="67">
        <f t="shared" si="5"/>
        <v>617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処刑龍の凝視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赤属性をスリープ状態にして1ターン行動不能＋2ターン青属性のタップ回数を1増やす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6"/>
        <v>617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パスーアルバレスト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0.95</v>
      </c>
      <c r="AZ4" s="68">
        <v>1</v>
      </c>
      <c r="BA4" s="68">
        <v>0</v>
      </c>
      <c r="BB4" s="68">
        <v>1</v>
      </c>
      <c r="BC4" s="11">
        <f ca="1">INDEX('RC6SV'!$A$1:$G$21,MATCH(H4,'RC6SV'!$A$1:$A$21,FALSE),MATCH(G4,'RC6SV'!$A$1:$G$1,FALSE))</f>
        <v>8500</v>
      </c>
      <c r="BD4" s="48">
        <f t="shared" ca="1" si="7"/>
        <v>8500</v>
      </c>
      <c r="BE4" s="11">
        <f t="shared" ca="1" si="8"/>
        <v>0</v>
      </c>
      <c r="BF4" s="11">
        <f t="shared" ca="1" si="9"/>
        <v>1</v>
      </c>
      <c r="BG4" s="16">
        <f ca="1">IF($BE4&lt;=0,ROUND(BK4*0.5,0), ROUND($BE4*S4*AA4*J4*AY4*0.8*[1]ステータス!$B$2,0))</f>
        <v>2322</v>
      </c>
      <c r="BH4" s="16">
        <f ca="1">IF($BE4&lt;=0,ROUND(BL4*0.5,0), ROUND($BE4*T4*AB4*K4*AZ4*0.8*[1]ステータス!$C$2,0))</f>
        <v>1375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813</v>
      </c>
      <c r="BK4" s="11">
        <f ca="1">ROUND(BD4*S4*AA4*J4*AY4*[1]ステータス!$B$2,0)</f>
        <v>4643</v>
      </c>
      <c r="BL4" s="11">
        <f ca="1">ROUND(BD4*T4*AB4*K4*AZ4*[1]ステータス!$C$2,0)</f>
        <v>2749</v>
      </c>
      <c r="BM4" s="11">
        <f ca="1">ROUND(BD4*U4*AC4*L4*BA4*[1]ステータス!$D$2,0)</f>
        <v>0</v>
      </c>
      <c r="BN4" s="11">
        <f ca="1">ROUND(BD4*V4*AD4*M4*BB4*[1]ステータス!$E$2,0)</f>
        <v>1626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1</v>
      </c>
    </row>
    <row r="5" spans="1:70" ht="21" customHeight="1" x14ac:dyDescent="0.15">
      <c r="A5" s="134">
        <v>618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フェルニゲシュ・オメガドライブ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イベント:150DL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DropWizN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INDEX(コスト!$A$1:$I$21,MATCH(H5,コスト!$A$1:$A$21,FALSE),MATCH(G5,コスト!$A$1:$I$1,FALSE))</f>
        <v>28</v>
      </c>
      <c r="O5" s="11">
        <f ca="1">INDEX(レベル!$A$1:$I$21,MATCH(H5,レベル!$A$1:$A$21,FALSE),MATCH(G5,レベル!$A$1:$I$1,FALSE))</f>
        <v>80</v>
      </c>
      <c r="P5" s="48">
        <f t="shared" ca="1" si="3"/>
        <v>75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1">
        <f ca="1">VLOOKUP(Q5,[1]character_type_i18n!$A:$H,4,FALSE)</f>
        <v>0.9</v>
      </c>
      <c r="T5" s="11">
        <f ca="1">VLOOKUP(Q5,[1]character_type_i18n!$A:$H,5,FALSE)</f>
        <v>0.9</v>
      </c>
      <c r="U5" s="11">
        <f ca="1">VLOOKUP(Q5,[1]character_type_i18n!$A:$H,6,FALSE)</f>
        <v>1</v>
      </c>
      <c r="V5" s="11">
        <f ca="1">VLOOKUP(Q5,[1]character_type_i18n!$A:$H,7,FALSE)</f>
        <v>0.9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dragon</v>
      </c>
      <c r="X5" s="5" t="str">
        <f ca="1">VLOOKUP(W5,[1]character_tribe_i18n!$A:$H,3,FALSE)</f>
        <v>ドラゴン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machine</v>
      </c>
      <c r="Z5" s="5" t="str">
        <f ca="1">VLOOKUP(Y5,[1]character_tribe_i18n!$A:$H,3,FALSE)</f>
        <v>マシン</v>
      </c>
      <c r="AA5" s="11">
        <f ca="1">VLOOKUP(W5,[1]character_tribe_i18n!$A:$H,4,FALSE)</f>
        <v>1.1499999999999999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0.75</v>
      </c>
      <c r="AE5" s="9" t="s">
        <v>179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v>284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フェルニゲシュ</v>
      </c>
      <c r="AI5" s="11" t="str">
        <f>IF(AE5="NULL","NULL",VLOOKUP(G5,ビット!$A$2:$B$7,2))</f>
        <v>NULL</v>
      </c>
      <c r="AJ5" s="6">
        <v>2</v>
      </c>
      <c r="AK5" s="7" t="str">
        <f t="shared" si="4"/>
        <v>普通</v>
      </c>
      <c r="AL5" s="11" t="str">
        <f ca="1">INDEX(経験値!$A$1:$I$21,MATCH(H5,経験値!$A$1:$A$21,FALSE),MATCH(G5,経験値!$A$1:$I$1,FALSE))</f>
        <v>required_exp_200</v>
      </c>
      <c r="AM5" s="8">
        <f ca="1">VLOOKUP(G5,経験値!$A$28:$B$32,2)</f>
        <v>6400</v>
      </c>
      <c r="AN5" s="17">
        <f ca="1">VLOOKUP(G5,ビット!$G$2:$H$7,2)</f>
        <v>900</v>
      </c>
      <c r="AO5" s="45"/>
      <c r="AP5" s="67">
        <f t="shared" si="5"/>
        <v>618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絶青のジャミングフィールド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2ターンの間青属性の敵から受けるダメージを75%軽減する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6"/>
        <v>618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エクスターミネーション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1体に中ダメージ_x000D_アニマルに効果大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0.95</v>
      </c>
      <c r="AZ5" s="68">
        <v>1</v>
      </c>
      <c r="BA5" s="68">
        <v>0</v>
      </c>
      <c r="BB5" s="68">
        <v>1</v>
      </c>
      <c r="BC5" s="11">
        <f ca="1">INDEX('RC6SV'!$A$1:$G$21,MATCH(H5,'RC6SV'!$A$1:$A$21,FALSE),MATCH(G5,'RC6SV'!$A$1:$G$1,FALSE))</f>
        <v>8500</v>
      </c>
      <c r="BD5" s="48">
        <f t="shared" ca="1" si="7"/>
        <v>8500</v>
      </c>
      <c r="BE5" s="11">
        <f t="shared" ca="1" si="8"/>
        <v>0</v>
      </c>
      <c r="BF5" s="11">
        <f t="shared" ca="1" si="9"/>
        <v>1</v>
      </c>
      <c r="BG5" s="16">
        <f ca="1">IF($BE5&lt;=0,ROUND(BK5*0.5,0), ROUND($BE5*S5*AA5*J5*AY5*0.8*[1]ステータス!$B$2,0))</f>
        <v>2048</v>
      </c>
      <c r="BH5" s="16">
        <f ca="1">IF($BE5&lt;=0,ROUND(BL5*0.5,0), ROUND($BE5*T5*AB5*K5*AZ5*0.8*[1]ステータス!$C$2,0))</f>
        <v>1275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725</v>
      </c>
      <c r="BK5" s="11">
        <f ca="1">ROUND(BD5*S5*AA5*J5*AY5*[1]ステータス!$B$2,0)</f>
        <v>4095</v>
      </c>
      <c r="BL5" s="11">
        <f ca="1">ROUND(BD5*T5*AB5*K5*AZ5*[1]ステータス!$C$2,0)</f>
        <v>2550</v>
      </c>
      <c r="BM5" s="11">
        <f ca="1">ROUND(BD5*U5*AC5*L5*BA5*[1]ステータス!$D$2,0)</f>
        <v>0</v>
      </c>
      <c r="BN5" s="11">
        <f ca="1">ROUND(BD5*V5*AD5*M5*BB5*[1]ステータス!$E$2,0)</f>
        <v>1449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1</v>
      </c>
    </row>
    <row r="6" spans="1:70" ht="21" customHeight="1" x14ac:dyDescent="0.15">
      <c r="A6" s="134">
        <v>510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燃えさかる豪息 ヒュウガ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ノーマルクエスト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1">
        <f ca="1">VLOOKUP(I6,[1]属性!$A:$E,2,FALSE)</f>
        <v>1</v>
      </c>
      <c r="K6" s="11">
        <f ca="1">VLOOKUP(I6,[1]属性!$A:$E,3,FALSE)</f>
        <v>1.02</v>
      </c>
      <c r="L6" s="11">
        <f ca="1">VLOOKUP(I6,[1]属性!$A:$E,4,FALSE)</f>
        <v>1</v>
      </c>
      <c r="M6" s="11">
        <f ca="1">VLOOKUP(I6,[1]属性!$A:$E,5,FALSE)</f>
        <v>0.98</v>
      </c>
      <c r="N6" s="11">
        <f ca="1">INDEX(コスト!$A$1:$I$21,MATCH(H6,コスト!$A$1:$A$21,FALSE),MATCH(G6,コスト!$A$1:$I$1,FALSE))</f>
        <v>17</v>
      </c>
      <c r="O6" s="11">
        <f ca="1">INDEX(レベル!$A$1:$I$21,MATCH(H6,レベル!$A$1:$A$21,FALSE),MATCH(G6,レベル!$A$1:$I$1,FALSE))</f>
        <v>60</v>
      </c>
      <c r="P6" s="48">
        <f t="shared" ref="P6:P7" ca="1" si="10">G6*15</f>
        <v>60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dragon</v>
      </c>
      <c r="X6" s="5" t="str">
        <f ca="1">VLOOKUP(W6,[1]character_tribe_i18n!$A:$H,3,FALSE)</f>
        <v>ドラゴン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1.1499999999999999</v>
      </c>
      <c r="AB6" s="11">
        <f ca="1">VLOOKUP(W6,[1]character_tribe_i18n!$A:$H,5,FALSE)</f>
        <v>1.1000000000000001</v>
      </c>
      <c r="AC6" s="11">
        <f ca="1">VLOOKUP(W6,[1]character_tribe_i18n!$A:$H,6,FALSE)</f>
        <v>1</v>
      </c>
      <c r="AD6" s="11">
        <f ca="1">VLOOKUP(W6,[1]character_tribe_i18n!$A:$H,7,FALSE)</f>
        <v>0.75</v>
      </c>
      <c r="AE6" s="9">
        <v>511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灼き尽くす紅息 ヒュウガ・レアル</v>
      </c>
      <c r="AG6" s="5">
        <v>41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ヒュウガ</v>
      </c>
      <c r="AI6" s="11">
        <f ca="1">IF(AE6="NULL","NULL",VLOOKUP(G6,ビット!$A$2:$B$7,2))</f>
        <v>50000</v>
      </c>
      <c r="AJ6" s="6">
        <v>2</v>
      </c>
      <c r="AK6" s="7" t="str">
        <f t="shared" ref="AK6:AK7" si="11">IF(AJ6=1,"早熟",IF(AJ6=2,"普通",IF(AJ6=3,"晩成","")))</f>
        <v>普通</v>
      </c>
      <c r="AL6" s="11" t="str">
        <f ca="1">INDEX(経験値!$A$1:$I$21,MATCH(H6,経験値!$A$1:$A$21,FALSE),MATCH(G6,経験値!$A$1:$I$1,FALSE))</f>
        <v>required_exp_200</v>
      </c>
      <c r="AM6" s="8">
        <f ca="1">VLOOKUP(G6,経験値!$A$28:$B$32,2)</f>
        <v>3400</v>
      </c>
      <c r="AN6" s="17">
        <f ca="1">VLOOKUP(G6,ビット!$G$2:$H$7,2)</f>
        <v>600</v>
      </c>
      <c r="AO6" s="45"/>
      <c r="AP6" s="67">
        <f t="shared" ref="AP6:AP7" si="12">A6</f>
        <v>510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ラヴァ・エクスプロージョン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全体に赤属性の大ダメージ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ref="AT6:AT7" si="13">A6</f>
        <v>510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フレイムバーンナップ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1体にダメージ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0.91</v>
      </c>
      <c r="AZ6" s="68">
        <v>1</v>
      </c>
      <c r="BA6" s="68">
        <v>0</v>
      </c>
      <c r="BB6" s="68">
        <v>1</v>
      </c>
      <c r="BC6" s="11">
        <f ca="1">INDEX('RC6SV'!$A$1:$G$21,MATCH(H6,'RC6SV'!$A$1:$A$21,FALSE),MATCH(G6,'RC6SV'!$A$1:$G$1,FALSE))</f>
        <v>5800</v>
      </c>
      <c r="BD6" s="48">
        <f t="shared" ref="BD6:BD7" ca="1" si="14">ROUND(BC6*IF(AJ6=1,0.95,IF(AJ6=2,1,IF(AJ6,1.05,0))),0)</f>
        <v>5800</v>
      </c>
      <c r="BE6" s="11">
        <f t="shared" ca="1" si="8"/>
        <v>0</v>
      </c>
      <c r="BF6" s="11">
        <f t="shared" ca="1" si="9"/>
        <v>1</v>
      </c>
      <c r="BG6" s="16">
        <f ca="1">IF($BE6&lt;=0,ROUND(BK6*0.5,0), ROUND($BE6*S6*AA6*J6*AY6*0.8*[1]ステータス!$B$2,0))</f>
        <v>1518</v>
      </c>
      <c r="BH6" s="16">
        <f ca="1">IF($BE6&lt;=0,ROUND(BL6*0.5,0), ROUND($BE6*T6*AB6*K6*AZ6*0.8*[1]ステータス!$C$2,0))</f>
        <v>1299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357</v>
      </c>
      <c r="BK6" s="11">
        <f ca="1">ROUND(BD6*S6*AA6*J6*AY6*[1]ステータス!$B$2,0)</f>
        <v>3035</v>
      </c>
      <c r="BL6" s="11">
        <f ca="1">ROUND(BD6*T6*AB6*K6*AZ6*[1]ステータス!$C$2,0)</f>
        <v>2597</v>
      </c>
      <c r="BM6" s="11">
        <f ca="1">ROUND(BD6*U6*AC6*L6*BA6*[1]ステータス!$D$2,0)</f>
        <v>0</v>
      </c>
      <c r="BN6" s="11">
        <f ca="1">ROUND(BD6*V6*AD6*M6*BB6*[1]ステータス!$E$2,0)</f>
        <v>714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1</v>
      </c>
    </row>
    <row r="7" spans="1:70" ht="21" customHeight="1" x14ac:dyDescent="0.15">
      <c r="A7" s="134">
        <v>511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灼き尽くす紅息 ヒュウガ・レアル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ノーマルクエスト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1">
        <f ca="1">VLOOKUP(I7,[1]属性!$A:$E,2,FALSE)</f>
        <v>1</v>
      </c>
      <c r="K7" s="11">
        <f ca="1">VLOOKUP(I7,[1]属性!$A:$E,3,FALSE)</f>
        <v>1.02</v>
      </c>
      <c r="L7" s="11">
        <f ca="1">VLOOKUP(I7,[1]属性!$A:$E,4,FALSE)</f>
        <v>1</v>
      </c>
      <c r="M7" s="11">
        <f ca="1">VLOOKUP(I7,[1]属性!$A:$E,5,FALSE)</f>
        <v>0.98</v>
      </c>
      <c r="N7" s="11">
        <f ca="1">INDEX(コスト!$A$1:$I$21,MATCH(H7,コスト!$A$1:$A$21,FALSE),MATCH(G7,コスト!$A$1:$I$1,FALSE))</f>
        <v>26</v>
      </c>
      <c r="O7" s="11">
        <f ca="1">INDEX(レベル!$A$1:$I$21,MATCH(H7,レベル!$A$1:$A$21,FALSE),MATCH(G7,レベル!$A$1:$I$1,FALSE))</f>
        <v>80</v>
      </c>
      <c r="P7" s="48">
        <f t="shared" ca="1" si="10"/>
        <v>75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1">
        <f ca="1">VLOOKUP(Q7,[1]character_type_i18n!$A:$H,4,FALSE)</f>
        <v>1</v>
      </c>
      <c r="T7" s="11">
        <f ca="1">VLOOKUP(Q7,[1]character_type_i18n!$A:$H,5,FALSE)</f>
        <v>1.33</v>
      </c>
      <c r="U7" s="11">
        <f ca="1">VLOOKUP(Q7,[1]character_type_i18n!$A:$H,6,FALSE)</f>
        <v>1</v>
      </c>
      <c r="V7" s="11">
        <f ca="1">VLOOKUP(Q7,[1]character_type_i18n!$A:$H,7,FALSE)</f>
        <v>0.67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dragon</v>
      </c>
      <c r="X7" s="5" t="str">
        <f ca="1">VLOOKUP(W7,[1]character_tribe_i18n!$A:$H,3,FALSE)</f>
        <v>ドラゴン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1.1499999999999999</v>
      </c>
      <c r="AB7" s="11">
        <f ca="1">VLOOKUP(W7,[1]character_tribe_i18n!$A:$H,5,FALSE)</f>
        <v>1.1000000000000001</v>
      </c>
      <c r="AC7" s="11">
        <f ca="1">VLOOKUP(W7,[1]character_tribe_i18n!$A:$H,6,FALSE)</f>
        <v>1</v>
      </c>
      <c r="AD7" s="11">
        <f ca="1">VLOOKUP(W7,[1]character_tribe_i18n!$A:$H,7,FALSE)</f>
        <v>0.75</v>
      </c>
      <c r="AE7" s="9" t="s">
        <v>179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v>41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ヒュウガ</v>
      </c>
      <c r="AI7" s="11" t="str">
        <f>IF(AE7="NULL","NULL",VLOOKUP(G7,ビット!$A$2:$B$7,2))</f>
        <v>NULL</v>
      </c>
      <c r="AJ7" s="6">
        <v>2</v>
      </c>
      <c r="AK7" s="7" t="str">
        <f t="shared" si="11"/>
        <v>普通</v>
      </c>
      <c r="AL7" s="11" t="str">
        <f ca="1">INDEX(経験値!$A$1:$I$21,MATCH(H7,経験値!$A$1:$A$21,FALSE),MATCH(G7,経験値!$A$1:$I$1,FALSE))</f>
        <v>required_exp_200</v>
      </c>
      <c r="AM7" s="8">
        <f ca="1">VLOOKUP(G7,経験値!$A$28:$B$32,2)</f>
        <v>6400</v>
      </c>
      <c r="AN7" s="17">
        <f ca="1">VLOOKUP(G7,ビット!$G$2:$H$7,2)</f>
        <v>900</v>
      </c>
      <c r="AO7" s="45"/>
      <c r="AP7" s="67">
        <f t="shared" si="12"/>
        <v>511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コロナ・エクスプロージョン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全体に赤属性の特大ダメージ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13"/>
        <v>511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メテオバーンナップ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1体に大ダメージ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0.91</v>
      </c>
      <c r="AZ7" s="68">
        <v>1</v>
      </c>
      <c r="BA7" s="68">
        <v>0</v>
      </c>
      <c r="BB7" s="68">
        <v>1</v>
      </c>
      <c r="BC7" s="11">
        <f ca="1">INDEX('RC6SV'!$A$1:$G$21,MATCH(H7,'RC6SV'!$A$1:$A$21,FALSE),MATCH(G7,'RC6SV'!$A$1:$G$1,FALSE))</f>
        <v>7600</v>
      </c>
      <c r="BD7" s="48">
        <f t="shared" ca="1" si="14"/>
        <v>7600</v>
      </c>
      <c r="BE7" s="11">
        <f t="shared" ca="1" si="8"/>
        <v>5800</v>
      </c>
      <c r="BF7" s="11">
        <f t="shared" ca="1" si="9"/>
        <v>1</v>
      </c>
      <c r="BG7" s="16">
        <f ca="1">IF($BE7&lt;=0,ROUND(BK7*0.5,0), ROUND($BE7*S7*AA7*J7*AY7*0.8*[1]ステータス!$B$2,0))</f>
        <v>2428</v>
      </c>
      <c r="BH7" s="16">
        <f ca="1">IF($BE7&lt;=0,ROUND(BL7*0.5,0), ROUND($BE7*T7*AB7*K7*AZ7*0.8*[1]ステータス!$C$2,0))</f>
        <v>2077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571</v>
      </c>
      <c r="BK7" s="11">
        <f ca="1">ROUND(BD7*S7*AA7*J7*AY7*[1]ステータス!$B$2,0)</f>
        <v>3977</v>
      </c>
      <c r="BL7" s="11">
        <f ca="1">ROUND(BD7*T7*AB7*K7*AZ7*[1]ステータス!$C$2,0)</f>
        <v>3402</v>
      </c>
      <c r="BM7" s="11">
        <f ca="1">ROUND(BD7*U7*AC7*L7*BA7*[1]ステータス!$D$2,0)</f>
        <v>0</v>
      </c>
      <c r="BN7" s="11">
        <f ca="1">ROUND(BD7*V7*AD7*M7*BB7*[1]ステータス!$E$2,0)</f>
        <v>936</v>
      </c>
      <c r="BO7" s="10">
        <v>0</v>
      </c>
      <c r="BP7" s="10">
        <v>1</v>
      </c>
      <c r="BQ7" s="10" t="s">
        <v>47</v>
      </c>
      <c r="BR7" s="10">
        <f ca="1">VLOOKUP(H7,ghosts_label!$A$2:$B$19,2,FALSE)</f>
        <v>1</v>
      </c>
    </row>
  </sheetData>
  <autoFilter ref="A1:BQ2"/>
  <phoneticPr fontId="10"/>
  <conditionalFormatting sqref="BO1">
    <cfRule type="cellIs" dxfId="28" priority="120" stopIfTrue="1" operator="equal">
      <formula>1</formula>
    </cfRule>
  </conditionalFormatting>
  <conditionalFormatting sqref="BQ1">
    <cfRule type="cellIs" dxfId="27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7"/>
  <sheetViews>
    <sheetView showGridLines="0" workbookViewId="0">
      <pane xSplit="4" ySplit="1" topLeftCell="J2" activePane="bottomRight" state="frozen"/>
      <selection pane="topRight" activeCell="D1" sqref="D1"/>
      <selection pane="bottomLeft" activeCell="A2" sqref="A2"/>
      <selection pane="bottomRight" activeCell="D8" sqref="D8"/>
    </sheetView>
  </sheetViews>
  <sheetFormatPr baseColWidth="12" defaultColWidth="13" defaultRowHeight="21" customHeight="1" outlineLevelCol="1" x14ac:dyDescent="0.15"/>
  <cols>
    <col min="1" max="1" width="16.1640625" style="132" bestFit="1" customWidth="1"/>
    <col min="2" max="2" width="13" style="132" bestFit="1" customWidth="1"/>
    <col min="3" max="3" width="21.83203125" style="132" customWidth="1"/>
    <col min="4" max="4" width="47" style="132" customWidth="1"/>
    <col min="5" max="5" width="9" style="132" customWidth="1"/>
    <col min="6" max="6" width="7.83203125" style="132" bestFit="1" customWidth="1"/>
    <col min="7" max="7" width="8.1640625" style="132" bestFit="1" customWidth="1"/>
    <col min="8" max="8" width="13.6640625" style="132" bestFit="1" customWidth="1"/>
    <col min="9" max="10" width="51.6640625" style="132" customWidth="1"/>
    <col min="11" max="11" width="10.83203125" style="132" customWidth="1" outlineLevel="1"/>
    <col min="12" max="17" width="9.5" style="131" customWidth="1" outlineLevel="1"/>
    <col min="18" max="18" width="20.33203125" style="132" customWidth="1" outlineLevel="1"/>
    <col min="19" max="19" width="10.33203125" style="132" bestFit="1" customWidth="1"/>
    <col min="20" max="16384" width="13" style="132"/>
  </cols>
  <sheetData>
    <row r="1" spans="1:19" s="131" customFormat="1" ht="21" customHeight="1" x14ac:dyDescent="0.15">
      <c r="A1" s="120" t="s">
        <v>20</v>
      </c>
      <c r="B1" s="121" t="s">
        <v>130</v>
      </c>
      <c r="C1" s="122" t="s">
        <v>40</v>
      </c>
      <c r="D1" s="123" t="s">
        <v>159</v>
      </c>
      <c r="E1" s="123" t="s">
        <v>160</v>
      </c>
      <c r="F1" s="120" t="s">
        <v>142</v>
      </c>
      <c r="G1" s="124" t="s">
        <v>2</v>
      </c>
      <c r="H1" s="124" t="s">
        <v>161</v>
      </c>
      <c r="I1" s="124" t="s">
        <v>162</v>
      </c>
      <c r="J1" s="125" t="s">
        <v>180</v>
      </c>
      <c r="K1" s="124" t="s">
        <v>4</v>
      </c>
      <c r="L1" s="126" t="s">
        <v>163</v>
      </c>
      <c r="M1" s="127" t="s">
        <v>164</v>
      </c>
      <c r="N1" s="127" t="s">
        <v>165</v>
      </c>
      <c r="O1" s="127" t="s">
        <v>166</v>
      </c>
      <c r="P1" s="127" t="s">
        <v>167</v>
      </c>
      <c r="Q1" s="128" t="s">
        <v>168</v>
      </c>
      <c r="R1" s="129" t="s">
        <v>169</v>
      </c>
      <c r="S1" s="130" t="s">
        <v>170</v>
      </c>
    </row>
    <row r="2" spans="1:19" ht="21" customHeight="1" x14ac:dyDescent="0.15">
      <c r="A2" s="12">
        <v>615</v>
      </c>
      <c r="B2" s="135" t="s">
        <v>181</v>
      </c>
      <c r="C2" s="154" t="s">
        <v>206</v>
      </c>
      <c r="D2" s="148" t="s">
        <v>202</v>
      </c>
      <c r="E2" s="137">
        <f t="shared" ref="E2" si="0">LEN(D2)</f>
        <v>37</v>
      </c>
      <c r="F2" s="119">
        <v>20</v>
      </c>
      <c r="G2" s="119">
        <v>5</v>
      </c>
      <c r="H2" s="138">
        <f>2001</f>
        <v>2001</v>
      </c>
      <c r="I2" s="152" t="s">
        <v>204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ヒュドラ・コスモブラスト</v>
      </c>
      <c r="K2" s="139">
        <v>3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616</v>
      </c>
      <c r="B3" s="135" t="s">
        <v>181</v>
      </c>
      <c r="C3" s="154" t="s">
        <v>207</v>
      </c>
      <c r="D3" s="147" t="s">
        <v>238</v>
      </c>
      <c r="E3" s="137">
        <f t="shared" ref="E3:E5" si="1">LEN(D3)</f>
        <v>41</v>
      </c>
      <c r="F3" s="119">
        <v>10</v>
      </c>
      <c r="G3" s="119">
        <v>5</v>
      </c>
      <c r="H3" s="138">
        <f>2001</f>
        <v>2001</v>
      </c>
      <c r="I3" s="138" t="s">
        <v>240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リンドブルム・デルタクラスター</v>
      </c>
      <c r="K3" s="139">
        <v>3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617</v>
      </c>
      <c r="B4" s="135" t="s">
        <v>181</v>
      </c>
      <c r="C4" s="154" t="s">
        <v>209</v>
      </c>
      <c r="D4" s="147" t="s">
        <v>203</v>
      </c>
      <c r="E4" s="137">
        <f t="shared" si="1"/>
        <v>40</v>
      </c>
      <c r="F4" s="119">
        <v>11</v>
      </c>
      <c r="G4" s="119">
        <v>5</v>
      </c>
      <c r="H4" s="138">
        <f>2001</f>
        <v>2001</v>
      </c>
      <c r="I4" s="138" t="s">
        <v>205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ラーフ・アルマゲドン</v>
      </c>
      <c r="K4" s="139">
        <v>3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618</v>
      </c>
      <c r="B5" s="135" t="s">
        <v>181</v>
      </c>
      <c r="C5" s="119" t="s">
        <v>208</v>
      </c>
      <c r="D5" s="147" t="s">
        <v>198</v>
      </c>
      <c r="E5" s="137">
        <f t="shared" si="1"/>
        <v>28</v>
      </c>
      <c r="F5" s="119">
        <v>12</v>
      </c>
      <c r="G5" s="119">
        <v>5</v>
      </c>
      <c r="H5" s="138">
        <f>2001</f>
        <v>2001</v>
      </c>
      <c r="I5" s="149" t="s">
        <v>201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フェルニゲシュ・オメガドライブ</v>
      </c>
      <c r="K5" s="139">
        <v>3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510</v>
      </c>
      <c r="B6" s="135" t="s">
        <v>181</v>
      </c>
      <c r="C6" s="119" t="s">
        <v>244</v>
      </c>
      <c r="D6" s="147" t="s">
        <v>245</v>
      </c>
      <c r="E6" s="137">
        <f t="shared" ref="E6:E7" si="2">LEN(D6)</f>
        <v>12</v>
      </c>
      <c r="F6" s="119">
        <v>11</v>
      </c>
      <c r="G6" s="119">
        <v>5</v>
      </c>
      <c r="H6" s="138">
        <f>2001</f>
        <v>2001</v>
      </c>
      <c r="I6" s="149" t="s">
        <v>247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燃えさかる豪息 ヒュウガ</v>
      </c>
      <c r="K6" s="139">
        <v>3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511</v>
      </c>
      <c r="B7" s="135" t="s">
        <v>181</v>
      </c>
      <c r="C7" s="119" t="s">
        <v>249</v>
      </c>
      <c r="D7" s="147" t="s">
        <v>246</v>
      </c>
      <c r="E7" s="137">
        <f t="shared" si="2"/>
        <v>13</v>
      </c>
      <c r="F7" s="119">
        <v>12</v>
      </c>
      <c r="G7" s="119">
        <v>5</v>
      </c>
      <c r="H7" s="138">
        <f>2001</f>
        <v>2001</v>
      </c>
      <c r="I7" s="149" t="s">
        <v>248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灼き尽くす紅息 ヒュウガ・レアル</v>
      </c>
      <c r="K7" s="139">
        <v>3</v>
      </c>
      <c r="L7" s="140"/>
      <c r="M7" s="141"/>
      <c r="N7" s="141"/>
      <c r="O7" s="141"/>
      <c r="P7" s="141"/>
      <c r="Q7" s="141"/>
      <c r="R7" s="136"/>
      <c r="S7" s="14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8:E1048576">
    <cfRule type="cellIs" dxfId="26" priority="7" operator="greaterThan">
      <formula>41</formula>
    </cfRule>
  </conditionalFormatting>
  <conditionalFormatting sqref="E2:E7">
    <cfRule type="cellIs" dxfId="2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7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7" sqref="F7"/>
    </sheetView>
  </sheetViews>
  <sheetFormatPr baseColWidth="12" defaultColWidth="13" defaultRowHeight="21" customHeight="1" x14ac:dyDescent="0.15"/>
  <cols>
    <col min="1" max="1" width="8.5" style="132" customWidth="1"/>
    <col min="2" max="2" width="12.1640625" style="132" customWidth="1"/>
    <col min="3" max="3" width="48.83203125" style="133" customWidth="1"/>
    <col min="4" max="4" width="36.33203125" style="133" customWidth="1"/>
    <col min="5" max="5" width="10.5" style="133" customWidth="1"/>
    <col min="6" max="7" width="59.1640625" style="133" customWidth="1"/>
    <col min="8" max="8" width="6.83203125" style="132" bestFit="1" customWidth="1"/>
    <col min="9" max="9" width="20.33203125" style="132" customWidth="1"/>
    <col min="10" max="10" width="5" style="132" bestFit="1" customWidth="1"/>
    <col min="11" max="16384" width="13" style="132"/>
  </cols>
  <sheetData>
    <row r="1" spans="1:19" ht="21" customHeight="1" x14ac:dyDescent="0.15">
      <c r="A1" s="120" t="s">
        <v>178</v>
      </c>
      <c r="B1" s="121" t="s">
        <v>177</v>
      </c>
      <c r="C1" s="122" t="s">
        <v>176</v>
      </c>
      <c r="D1" s="123" t="s">
        <v>175</v>
      </c>
      <c r="E1" s="123" t="s">
        <v>174</v>
      </c>
      <c r="F1" s="124" t="s">
        <v>173</v>
      </c>
      <c r="G1" s="125" t="s">
        <v>180</v>
      </c>
      <c r="H1" s="124" t="s">
        <v>172</v>
      </c>
      <c r="I1" s="125" t="s">
        <v>171</v>
      </c>
      <c r="J1" s="129" t="s">
        <v>170</v>
      </c>
    </row>
    <row r="2" spans="1:19" ht="21" customHeight="1" x14ac:dyDescent="0.15">
      <c r="A2" s="12">
        <v>615</v>
      </c>
      <c r="B2" s="135" t="s">
        <v>182</v>
      </c>
      <c r="C2" s="153" t="s">
        <v>210</v>
      </c>
      <c r="D2" s="136" t="s">
        <v>195</v>
      </c>
      <c r="E2" s="137">
        <f t="shared" ref="E2" si="0">LEN(D2)</f>
        <v>8</v>
      </c>
      <c r="F2" s="151" t="s">
        <v>200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ヒュドラ・コスモブラスト</v>
      </c>
      <c r="H2" s="138">
        <v>3</v>
      </c>
      <c r="I2" s="138"/>
      <c r="J2" s="143"/>
      <c r="K2" s="139">
        <v>1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616</v>
      </c>
      <c r="B3" s="135" t="s">
        <v>182</v>
      </c>
      <c r="C3" s="153" t="s">
        <v>211</v>
      </c>
      <c r="D3" s="147" t="s">
        <v>236</v>
      </c>
      <c r="E3" s="137">
        <f t="shared" ref="E3:E5" si="1">LEN(D3)</f>
        <v>9</v>
      </c>
      <c r="F3" s="151" t="s">
        <v>237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リンドブルム・デルタクラスター</v>
      </c>
      <c r="H3" s="138">
        <v>3</v>
      </c>
      <c r="I3" s="138"/>
      <c r="J3" s="143"/>
      <c r="K3" s="139">
        <v>2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617</v>
      </c>
      <c r="B4" s="135" t="s">
        <v>182</v>
      </c>
      <c r="C4" s="153" t="s">
        <v>212</v>
      </c>
      <c r="D4" s="136" t="s">
        <v>196</v>
      </c>
      <c r="E4" s="137">
        <f t="shared" si="1"/>
        <v>18</v>
      </c>
      <c r="F4" s="150" t="s">
        <v>239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ラーフ・アルマゲドン</v>
      </c>
      <c r="H4" s="138">
        <v>3</v>
      </c>
      <c r="I4" s="138"/>
      <c r="J4" s="143"/>
      <c r="K4" s="139">
        <v>3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618</v>
      </c>
      <c r="B5" s="135" t="s">
        <v>182</v>
      </c>
      <c r="C5" s="153" t="s">
        <v>213</v>
      </c>
      <c r="D5" s="136" t="s">
        <v>197</v>
      </c>
      <c r="E5" s="137">
        <f t="shared" si="1"/>
        <v>17</v>
      </c>
      <c r="F5" s="150" t="s">
        <v>199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フェルニゲシュ・オメガドライブ</v>
      </c>
      <c r="H5" s="138">
        <v>3</v>
      </c>
      <c r="I5" s="138"/>
      <c r="J5" s="143"/>
      <c r="K5" s="139">
        <v>4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510</v>
      </c>
      <c r="B6" s="135" t="s">
        <v>182</v>
      </c>
      <c r="C6" s="147" t="s">
        <v>241</v>
      </c>
      <c r="D6" s="136" t="s">
        <v>243</v>
      </c>
      <c r="E6" s="137">
        <f t="shared" ref="E6:E7" si="2">LEN(D6)</f>
        <v>7</v>
      </c>
      <c r="F6" s="180" t="s">
        <v>349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燃えさかる豪息 ヒュウガ</v>
      </c>
      <c r="H6" s="138">
        <v>3</v>
      </c>
      <c r="I6" s="138"/>
      <c r="J6" s="143"/>
      <c r="K6" s="139">
        <v>5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511</v>
      </c>
      <c r="B7" s="135" t="s">
        <v>182</v>
      </c>
      <c r="C7" s="147" t="s">
        <v>242</v>
      </c>
      <c r="D7" s="136" t="s">
        <v>195</v>
      </c>
      <c r="E7" s="137">
        <f t="shared" si="2"/>
        <v>8</v>
      </c>
      <c r="F7" s="180" t="s">
        <v>350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灼き尽くす紅息 ヒュウガ・レアル</v>
      </c>
      <c r="H7" s="138">
        <v>3</v>
      </c>
      <c r="I7" s="138"/>
      <c r="J7" s="143"/>
      <c r="K7" s="139">
        <v>6</v>
      </c>
      <c r="L7" s="140"/>
      <c r="M7" s="141"/>
      <c r="N7" s="141"/>
      <c r="O7" s="141"/>
      <c r="P7" s="141"/>
      <c r="Q7" s="141"/>
      <c r="R7" s="136"/>
      <c r="S7" s="142"/>
    </row>
  </sheetData>
  <sheetProtection selectLockedCells="1" selectUnlockedCells="1"/>
  <autoFilter ref="A1:J1"/>
  <phoneticPr fontId="22"/>
  <conditionalFormatting sqref="E2:E7">
    <cfRule type="cellIs" dxfId="24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2"/>
  <sheetViews>
    <sheetView workbookViewId="0">
      <selection activeCell="F29" sqref="F29"/>
    </sheetView>
  </sheetViews>
  <sheetFormatPr baseColWidth="12" defaultRowHeight="15" outlineLevelCol="1" x14ac:dyDescent="0.15"/>
  <cols>
    <col min="2" max="2" width="12.83203125" style="145"/>
    <col min="4" max="4" width="12.83203125" style="145" customWidth="1" outlineLevel="1"/>
    <col min="5" max="5" width="12.83203125" style="145"/>
  </cols>
  <sheetData>
    <row r="1" spans="1:8" x14ac:dyDescent="0.15">
      <c r="A1" s="116" t="s">
        <v>183</v>
      </c>
      <c r="B1" s="144" t="s">
        <v>184</v>
      </c>
      <c r="C1" s="116" t="s">
        <v>185</v>
      </c>
      <c r="D1" s="144" t="s">
        <v>187</v>
      </c>
      <c r="E1" s="144" t="s">
        <v>188</v>
      </c>
      <c r="F1" s="113" t="s">
        <v>189</v>
      </c>
      <c r="G1" s="116" t="s">
        <v>186</v>
      </c>
      <c r="H1" s="113" t="s">
        <v>190</v>
      </c>
    </row>
    <row r="2" spans="1:8" x14ac:dyDescent="0.15">
      <c r="A2" s="134">
        <v>615</v>
      </c>
      <c r="B2" s="144" t="str">
        <f>VLOOKUP(A2,[1]characters!$A:$C,3,FALSE)</f>
        <v>ヒュドラ・コスモブラスト</v>
      </c>
      <c r="C2" s="109" t="s">
        <v>214</v>
      </c>
      <c r="D2" s="144"/>
      <c r="E2" s="155" t="str">
        <f>A2&amp;+(COUNTIF(B$2:B2,B2)-1)</f>
        <v>6150</v>
      </c>
      <c r="F2" s="109" t="s">
        <v>215</v>
      </c>
      <c r="G2" s="109" t="s">
        <v>222</v>
      </c>
      <c r="H2" s="109" t="s">
        <v>218</v>
      </c>
    </row>
    <row r="3" spans="1:8" x14ac:dyDescent="0.15">
      <c r="A3" s="134">
        <v>615</v>
      </c>
      <c r="B3" s="144" t="str">
        <f>VLOOKUP(A3,[1]characters!$A:$C,3,FALSE)</f>
        <v>ヒュドラ・コスモブラスト</v>
      </c>
      <c r="C3" s="109" t="s">
        <v>217</v>
      </c>
      <c r="D3" s="144"/>
      <c r="E3" s="155" t="str">
        <f>A3&amp;+(COUNTIF(B$2:B3,B3)-1)</f>
        <v>6151</v>
      </c>
      <c r="F3" s="109" t="s">
        <v>215</v>
      </c>
      <c r="G3" s="109" t="s">
        <v>222</v>
      </c>
      <c r="H3" s="109" t="s">
        <v>219</v>
      </c>
    </row>
    <row r="4" spans="1:8" x14ac:dyDescent="0.15">
      <c r="A4" s="134">
        <v>615</v>
      </c>
      <c r="B4" s="144" t="str">
        <f>VLOOKUP(A4,[1]characters!$A:$C,3,FALSE)</f>
        <v>ヒュドラ・コスモブラスト</v>
      </c>
      <c r="C4" s="109" t="s">
        <v>217</v>
      </c>
      <c r="D4" s="144"/>
      <c r="E4" s="155" t="str">
        <f>A4&amp;+(COUNTIF(B$2:B4,B4)-1)</f>
        <v>6152</v>
      </c>
      <c r="F4" s="109" t="s">
        <v>215</v>
      </c>
      <c r="G4" s="109" t="s">
        <v>216</v>
      </c>
      <c r="H4" s="109" t="s">
        <v>220</v>
      </c>
    </row>
    <row r="5" spans="1:8" x14ac:dyDescent="0.15">
      <c r="A5" s="134">
        <v>615</v>
      </c>
      <c r="B5" s="144" t="str">
        <f>VLOOKUP(A5,[1]characters!$A:$C,3,FALSE)</f>
        <v>ヒュドラ・コスモブラスト</v>
      </c>
      <c r="C5" s="109" t="s">
        <v>217</v>
      </c>
      <c r="D5" s="144"/>
      <c r="E5" s="155" t="str">
        <f>A5&amp;+(COUNTIF(B$2:B5,B5)-1)</f>
        <v>6153</v>
      </c>
      <c r="F5" s="109" t="s">
        <v>215</v>
      </c>
      <c r="G5" s="109" t="s">
        <v>222</v>
      </c>
      <c r="H5" s="109" t="s">
        <v>221</v>
      </c>
    </row>
    <row r="6" spans="1:8" x14ac:dyDescent="0.15">
      <c r="A6" s="134">
        <v>616</v>
      </c>
      <c r="B6" s="144" t="str">
        <f>VLOOKUP(A6,[1]characters!$A:$C,3,FALSE)</f>
        <v>リンドブルム・デルタクラスター</v>
      </c>
      <c r="C6" s="109" t="s">
        <v>227</v>
      </c>
      <c r="D6" s="144"/>
      <c r="E6" s="155" t="str">
        <f>A6&amp;+(COUNTIF(B$2:B6,B6)-1)</f>
        <v>6160</v>
      </c>
      <c r="F6" s="109" t="s">
        <v>215</v>
      </c>
      <c r="G6" s="109" t="s">
        <v>222</v>
      </c>
      <c r="H6" s="109" t="s">
        <v>228</v>
      </c>
    </row>
    <row r="7" spans="1:8" x14ac:dyDescent="0.15">
      <c r="A7" s="134">
        <v>616</v>
      </c>
      <c r="B7" s="144" t="str">
        <f>VLOOKUP(A7,[1]characters!$A:$C,3,FALSE)</f>
        <v>リンドブルム・デルタクラスター</v>
      </c>
      <c r="C7" s="109" t="s">
        <v>217</v>
      </c>
      <c r="D7" s="144"/>
      <c r="E7" s="155" t="str">
        <f>A7&amp;+(COUNTIF(B$2:B7,B7)-1)</f>
        <v>6161</v>
      </c>
      <c r="F7" s="109" t="s">
        <v>215</v>
      </c>
      <c r="G7" s="109" t="s">
        <v>222</v>
      </c>
      <c r="H7" s="109" t="s">
        <v>229</v>
      </c>
    </row>
    <row r="8" spans="1:8" x14ac:dyDescent="0.15">
      <c r="A8" s="134">
        <v>616</v>
      </c>
      <c r="B8" s="144" t="str">
        <f>VLOOKUP(A8,[1]characters!$A:$C,3,FALSE)</f>
        <v>リンドブルム・デルタクラスター</v>
      </c>
      <c r="C8" s="109" t="s">
        <v>217</v>
      </c>
      <c r="D8" s="144"/>
      <c r="E8" s="155" t="str">
        <f>A8&amp;+(COUNTIF(B$2:B8,B8)-1)</f>
        <v>6162</v>
      </c>
      <c r="F8" s="109" t="s">
        <v>215</v>
      </c>
      <c r="G8" s="109" t="s">
        <v>222</v>
      </c>
      <c r="H8" s="109" t="s">
        <v>233</v>
      </c>
    </row>
    <row r="9" spans="1:8" x14ac:dyDescent="0.15">
      <c r="A9" s="134">
        <v>616</v>
      </c>
      <c r="B9" s="144" t="str">
        <f>VLOOKUP(A9,[1]characters!$A:$C,3,FALSE)</f>
        <v>リンドブルム・デルタクラスター</v>
      </c>
      <c r="C9" s="109" t="s">
        <v>217</v>
      </c>
      <c r="D9" s="144"/>
      <c r="E9" s="155" t="str">
        <f>A9&amp;+(COUNTIF(B$2:B9,B9)-1)</f>
        <v>6163</v>
      </c>
      <c r="F9" s="109" t="s">
        <v>215</v>
      </c>
      <c r="G9" s="109" t="s">
        <v>222</v>
      </c>
      <c r="H9" s="109" t="s">
        <v>223</v>
      </c>
    </row>
    <row r="10" spans="1:8" x14ac:dyDescent="0.15">
      <c r="A10" s="134">
        <v>617</v>
      </c>
      <c r="B10" s="144" t="str">
        <f>VLOOKUP(A10,[1]characters!$A:$C,3,FALSE)</f>
        <v>ラーフ・アルマゲドン</v>
      </c>
      <c r="C10" s="109" t="s">
        <v>227</v>
      </c>
      <c r="D10" s="144"/>
      <c r="E10" s="155" t="str">
        <f>A10&amp;+(COUNTIF(B$2:B10,B10)-1)</f>
        <v>6170</v>
      </c>
      <c r="F10" s="109" t="s">
        <v>215</v>
      </c>
      <c r="G10" s="109" t="s">
        <v>216</v>
      </c>
      <c r="H10" s="109" t="s">
        <v>224</v>
      </c>
    </row>
    <row r="11" spans="1:8" x14ac:dyDescent="0.15">
      <c r="A11" s="134">
        <v>617</v>
      </c>
      <c r="B11" s="144" t="str">
        <f>VLOOKUP(A11,[1]characters!$A:$C,3,FALSE)</f>
        <v>ラーフ・アルマゲドン</v>
      </c>
      <c r="C11" s="109" t="s">
        <v>217</v>
      </c>
      <c r="D11" s="144"/>
      <c r="E11" s="155" t="str">
        <f>A11&amp;+(COUNTIF(B$2:B11,B11)-1)</f>
        <v>6171</v>
      </c>
      <c r="F11" s="109" t="s">
        <v>215</v>
      </c>
      <c r="G11" s="109" t="s">
        <v>216</v>
      </c>
      <c r="H11" s="109" t="s">
        <v>230</v>
      </c>
    </row>
    <row r="12" spans="1:8" x14ac:dyDescent="0.15">
      <c r="A12" s="134">
        <v>617</v>
      </c>
      <c r="B12" s="144" t="str">
        <f>VLOOKUP(A12,[1]characters!$A:$C,3,FALSE)</f>
        <v>ラーフ・アルマゲドン</v>
      </c>
      <c r="C12" s="109" t="s">
        <v>217</v>
      </c>
      <c r="D12" s="144"/>
      <c r="E12" s="155" t="str">
        <f>A12&amp;+(COUNTIF(B$2:B12,B12)-1)</f>
        <v>6172</v>
      </c>
      <c r="F12" s="109" t="s">
        <v>215</v>
      </c>
      <c r="G12" s="109" t="s">
        <v>216</v>
      </c>
      <c r="H12" s="109" t="s">
        <v>225</v>
      </c>
    </row>
    <row r="13" spans="1:8" x14ac:dyDescent="0.15">
      <c r="A13" s="134">
        <v>617</v>
      </c>
      <c r="B13" s="144" t="str">
        <f>VLOOKUP(A13,[1]characters!$A:$C,3,FALSE)</f>
        <v>ラーフ・アルマゲドン</v>
      </c>
      <c r="C13" s="109" t="s">
        <v>217</v>
      </c>
      <c r="D13" s="144"/>
      <c r="E13" s="155" t="str">
        <f>A13&amp;+(COUNTIF(B$2:B13,B13)-1)</f>
        <v>6173</v>
      </c>
      <c r="F13" s="109" t="s">
        <v>215</v>
      </c>
      <c r="G13" s="109" t="s">
        <v>222</v>
      </c>
      <c r="H13" s="109" t="s">
        <v>226</v>
      </c>
    </row>
    <row r="14" spans="1:8" x14ac:dyDescent="0.15">
      <c r="A14" s="134">
        <v>618</v>
      </c>
      <c r="B14" s="144" t="str">
        <f>VLOOKUP(A14,[1]characters!$A:$C,3,FALSE)</f>
        <v>フェルニゲシュ・オメガドライブ</v>
      </c>
      <c r="C14" s="109" t="s">
        <v>227</v>
      </c>
      <c r="D14" s="144"/>
      <c r="E14" s="155" t="str">
        <f>A14&amp;+(COUNTIF(B$2:B14,B14)-1)</f>
        <v>6180</v>
      </c>
      <c r="F14" s="109" t="s">
        <v>215</v>
      </c>
      <c r="G14" s="109" t="s">
        <v>216</v>
      </c>
      <c r="H14" s="109" t="s">
        <v>232</v>
      </c>
    </row>
    <row r="15" spans="1:8" x14ac:dyDescent="0.15">
      <c r="A15" s="134">
        <v>618</v>
      </c>
      <c r="B15" s="144" t="str">
        <f>VLOOKUP(A15,[1]characters!$A:$C,3,FALSE)</f>
        <v>フェルニゲシュ・オメガドライブ</v>
      </c>
      <c r="C15" s="109" t="s">
        <v>217</v>
      </c>
      <c r="D15" s="144"/>
      <c r="E15" s="155" t="str">
        <f>A15&amp;+(COUNTIF(B$2:B15,B15)-1)</f>
        <v>6181</v>
      </c>
      <c r="F15" s="109" t="s">
        <v>215</v>
      </c>
      <c r="G15" s="109" t="s">
        <v>216</v>
      </c>
      <c r="H15" s="109" t="s">
        <v>231</v>
      </c>
    </row>
    <row r="16" spans="1:8" x14ac:dyDescent="0.15">
      <c r="A16" s="134">
        <v>618</v>
      </c>
      <c r="B16" s="144" t="str">
        <f>VLOOKUP(A16,[1]characters!$A:$C,3,FALSE)</f>
        <v>フェルニゲシュ・オメガドライブ</v>
      </c>
      <c r="C16" s="109" t="s">
        <v>217</v>
      </c>
      <c r="D16" s="144"/>
      <c r="E16" s="155" t="str">
        <f>A16&amp;+(COUNTIF(B$2:B16,B16)-1)</f>
        <v>6182</v>
      </c>
      <c r="F16" s="109" t="s">
        <v>215</v>
      </c>
      <c r="G16" s="109" t="s">
        <v>222</v>
      </c>
      <c r="H16" s="109" t="s">
        <v>235</v>
      </c>
    </row>
    <row r="17" spans="1:8" x14ac:dyDescent="0.15">
      <c r="A17" s="134">
        <v>618</v>
      </c>
      <c r="B17" s="144" t="str">
        <f>VLOOKUP(A17,[1]characters!$A:$C,3,FALSE)</f>
        <v>フェルニゲシュ・オメガドライブ</v>
      </c>
      <c r="C17" s="109" t="s">
        <v>217</v>
      </c>
      <c r="D17" s="144"/>
      <c r="E17" s="155" t="str">
        <f>A17&amp;+(COUNTIF(B$2:B17,B17)-1)</f>
        <v>6183</v>
      </c>
      <c r="F17" s="109" t="s">
        <v>215</v>
      </c>
      <c r="G17" s="109" t="s">
        <v>222</v>
      </c>
      <c r="H17" s="109" t="s">
        <v>234</v>
      </c>
    </row>
    <row r="18" spans="1:8" x14ac:dyDescent="0.15">
      <c r="A18" s="134"/>
      <c r="B18" s="144"/>
      <c r="C18" s="109"/>
      <c r="D18" s="144"/>
      <c r="E18" s="155"/>
      <c r="F18" s="109"/>
      <c r="G18" s="109"/>
      <c r="H18" s="109"/>
    </row>
    <row r="19" spans="1:8" x14ac:dyDescent="0.15">
      <c r="A19" s="134"/>
      <c r="B19" s="144"/>
      <c r="C19" s="109"/>
      <c r="D19" s="144"/>
      <c r="E19" s="155"/>
      <c r="F19" s="109"/>
      <c r="G19" s="109"/>
      <c r="H19" s="109"/>
    </row>
    <row r="20" spans="1:8" x14ac:dyDescent="0.15">
      <c r="A20" s="134"/>
      <c r="B20" s="144"/>
      <c r="C20" s="109"/>
      <c r="D20" s="144"/>
      <c r="E20" s="155"/>
      <c r="F20" s="109"/>
      <c r="G20" s="109"/>
      <c r="H20" s="109"/>
    </row>
    <row r="21" spans="1:8" x14ac:dyDescent="0.15">
      <c r="A21" s="134"/>
      <c r="B21" s="144"/>
      <c r="C21" s="109"/>
      <c r="D21" s="144"/>
      <c r="E21" s="155"/>
      <c r="F21" s="109"/>
      <c r="G21" s="109"/>
      <c r="H21" s="109"/>
    </row>
    <row r="22" spans="1:8" x14ac:dyDescent="0.15">
      <c r="A22" s="134"/>
      <c r="B22" s="144"/>
      <c r="C22" s="109"/>
      <c r="D22" s="144"/>
      <c r="E22" s="155"/>
      <c r="F22" s="109"/>
      <c r="G22" s="109"/>
      <c r="H22" s="10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0"/>
  <sheetViews>
    <sheetView showGridLines="0" workbookViewId="0">
      <pane ySplit="1" topLeftCell="A2" activePane="bottomLeft" state="frozen"/>
      <selection pane="bottomLeft" activeCell="F21" sqref="F21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5" t="s">
        <v>99</v>
      </c>
      <c r="B1" s="42" t="s">
        <v>38</v>
      </c>
      <c r="C1" s="20" t="s">
        <v>40</v>
      </c>
      <c r="D1" s="20" t="s">
        <v>42</v>
      </c>
      <c r="E1" s="20" t="s">
        <v>43</v>
      </c>
      <c r="F1" s="43" t="s">
        <v>36</v>
      </c>
      <c r="G1" s="20" t="s">
        <v>41</v>
      </c>
      <c r="H1" s="19" t="s">
        <v>37</v>
      </c>
      <c r="I1" s="114" t="s">
        <v>123</v>
      </c>
    </row>
    <row r="2" spans="1:9" ht="21" customHeight="1" x14ac:dyDescent="0.15">
      <c r="A2" s="65" t="str">
        <f>B2&amp;"_"&amp;F2</f>
        <v>281_280</v>
      </c>
      <c r="B2" s="44">
        <v>281</v>
      </c>
      <c r="C2" s="21" t="e">
        <f ca="1">VLOOKUP($B2,OFFSET(units!$A$1,0,0,COUNTA(units!$A:$A),MATCH(C$1,units!$1:$1,0)-COLUMN(INDIRECT("character_id"))+1),MATCH(C$1,units!$1:$1,0)-COLUMN(INDIRECT("character_id"))+1,FALSE)</f>
        <v>#N/A</v>
      </c>
      <c r="D2" s="21" t="e">
        <f ca="1">VLOOKUP($B2,OFFSET(units!$A$1,0,0,COUNTA(units!$A:$A),MATCH(D$1,units!$1:$1,0)-COLUMN(INDIRECT("character_id"))+1),MATCH(D$1,units!$1:$1,0)-COLUMN(INDIRECT("character_id"))+1,FALSE)</f>
        <v>#N/A</v>
      </c>
      <c r="E2" s="21" t="e">
        <f ca="1">VLOOKUP($B2,OFFSET(units!$A$1,0,0,COUNTA(units!$A:$A),MATCH(E$1,units!$1:$1,0)-COLUMN(INDIRECT("character_id"))+1),MATCH(E$1,units!$1:$1,0)-COLUMN(INDIRECT("character_id"))+1,FALSE)</f>
        <v>#N/A</v>
      </c>
      <c r="F2" s="44">
        <v>280</v>
      </c>
      <c r="G2" s="21" t="str">
        <f>VLOOKUP(F2,[1]characters!$A:$C,3,FALSE)</f>
        <v>リンドブルム</v>
      </c>
      <c r="H2" s="18">
        <v>1</v>
      </c>
      <c r="I2" s="115">
        <v>10</v>
      </c>
    </row>
    <row r="3" spans="1:9" ht="21" customHeight="1" x14ac:dyDescent="0.15">
      <c r="A3" s="65" t="str">
        <f>B3&amp;"_"&amp;F3</f>
        <v>283_282</v>
      </c>
      <c r="B3" s="44">
        <v>283</v>
      </c>
      <c r="C3" s="21" t="e">
        <f ca="1">VLOOKUP($B3,OFFSET(units!$A$1,0,0,COUNTA(units!$A:$A),MATCH(C$1,units!$1:$1,0)-COLUMN(INDIRECT("character_id"))+1),MATCH(C$1,units!$1:$1,0)-COLUMN(INDIRECT("character_id"))+1,FALSE)</f>
        <v>#N/A</v>
      </c>
      <c r="D3" s="21" t="e">
        <f ca="1">VLOOKUP($B3,OFFSET(units!$A$1,0,0,COUNTA(units!$A:$A),MATCH(D$1,units!$1:$1,0)-COLUMN(INDIRECT("character_id"))+1),MATCH(D$1,units!$1:$1,0)-COLUMN(INDIRECT("character_id"))+1,FALSE)</f>
        <v>#N/A</v>
      </c>
      <c r="E3" s="21" t="e">
        <f ca="1">VLOOKUP($B3,OFFSET(units!$A$1,0,0,COUNTA(units!$A:$A),MATCH(E$1,units!$1:$1,0)-COLUMN(INDIRECT("character_id"))+1),MATCH(E$1,units!$1:$1,0)-COLUMN(INDIRECT("character_id"))+1,FALSE)</f>
        <v>#N/A</v>
      </c>
      <c r="F3" s="44">
        <v>282</v>
      </c>
      <c r="G3" s="21" t="str">
        <f>VLOOKUP(F3,[1]characters!$A:$C,3,FALSE)</f>
        <v>ラーフ</v>
      </c>
      <c r="H3" s="18">
        <v>1</v>
      </c>
      <c r="I3" s="115">
        <v>10</v>
      </c>
    </row>
    <row r="4" spans="1:9" ht="21" customHeight="1" x14ac:dyDescent="0.15">
      <c r="A4" s="65" t="str">
        <f t="shared" ref="A4:A10" si="0">B4&amp;"_"&amp;F4</f>
        <v>285_284</v>
      </c>
      <c r="B4" s="44">
        <v>285</v>
      </c>
      <c r="C4" s="21" t="e">
        <f ca="1">VLOOKUP($B4,OFFSET(units!$A$1,0,0,COUNTA(units!$A:$A),MATCH(C$1,units!$1:$1,0)-COLUMN(INDIRECT("character_id"))+1),MATCH(C$1,units!$1:$1,0)-COLUMN(INDIRECT("character_id"))+1,FALSE)</f>
        <v>#N/A</v>
      </c>
      <c r="D4" s="21" t="e">
        <f ca="1">VLOOKUP($B4,OFFSET(units!$A$1,0,0,COUNTA(units!$A:$A),MATCH(D$1,units!$1:$1,0)-COLUMN(INDIRECT("character_id"))+1),MATCH(D$1,units!$1:$1,0)-COLUMN(INDIRECT("character_id"))+1,FALSE)</f>
        <v>#N/A</v>
      </c>
      <c r="E4" s="21" t="e">
        <f ca="1">VLOOKUP($B4,OFFSET(units!$A$1,0,0,COUNTA(units!$A:$A),MATCH(E$1,units!$1:$1,0)-COLUMN(INDIRECT("character_id"))+1),MATCH(E$1,units!$1:$1,0)-COLUMN(INDIRECT("character_id"))+1,FALSE)</f>
        <v>#N/A</v>
      </c>
      <c r="F4" s="44">
        <v>284</v>
      </c>
      <c r="G4" s="21" t="str">
        <f>VLOOKUP(F4,[1]characters!$A:$C,3,FALSE)</f>
        <v>フェルニゲシュ</v>
      </c>
      <c r="H4" s="18">
        <v>1</v>
      </c>
      <c r="I4" s="115">
        <v>10</v>
      </c>
    </row>
    <row r="5" spans="1:9" ht="21" customHeight="1" x14ac:dyDescent="0.15">
      <c r="A5" s="65" t="str">
        <f t="shared" si="0"/>
        <v>287_286</v>
      </c>
      <c r="B5" s="44">
        <v>287</v>
      </c>
      <c r="C5" s="21" t="e">
        <f ca="1">VLOOKUP($B5,OFFSET(units!$A$1,0,0,COUNTA(units!$A:$A),MATCH(C$1,units!$1:$1,0)-COLUMN(INDIRECT("character_id"))+1),MATCH(C$1,units!$1:$1,0)-COLUMN(INDIRECT("character_id"))+1,FALSE)</f>
        <v>#N/A</v>
      </c>
      <c r="D5" s="21" t="e">
        <f ca="1">VLOOKUP($B5,OFFSET(units!$A$1,0,0,COUNTA(units!$A:$A),MATCH(D$1,units!$1:$1,0)-COLUMN(INDIRECT("character_id"))+1),MATCH(D$1,units!$1:$1,0)-COLUMN(INDIRECT("character_id"))+1,FALSE)</f>
        <v>#N/A</v>
      </c>
      <c r="E5" s="21" t="e">
        <f ca="1">VLOOKUP($B5,OFFSET(units!$A$1,0,0,COUNTA(units!$A:$A),MATCH(E$1,units!$1:$1,0)-COLUMN(INDIRECT("character_id"))+1),MATCH(E$1,units!$1:$1,0)-COLUMN(INDIRECT("character_id"))+1,FALSE)</f>
        <v>#N/A</v>
      </c>
      <c r="F5" s="44">
        <v>286</v>
      </c>
      <c r="G5" s="21" t="str">
        <f>VLOOKUP(F5,[1]characters!$A:$C,3,FALSE)</f>
        <v>ヒュドラ</v>
      </c>
      <c r="H5" s="18">
        <v>1</v>
      </c>
      <c r="I5" s="115">
        <v>10</v>
      </c>
    </row>
    <row r="6" spans="1:9" ht="21" customHeight="1" x14ac:dyDescent="0.15">
      <c r="A6" s="65" t="str">
        <f t="shared" si="0"/>
        <v>42_103</v>
      </c>
      <c r="B6" s="44">
        <v>42</v>
      </c>
      <c r="C6" s="21" t="str">
        <f ca="1">VLOOKUP($B6,OFFSET([2]units!$A$1,0,0,COUNTA([2]units!$A:$A),MATCH(C$1,[2]units!$1:$1,0)-COLUMN(INDIRECT("character_id"))+1),MATCH(C$1,[2]units!$1:$1,0)-COLUMN(INDIRECT("character_id"))+1,FALSE)</f>
        <v>燃えゆる吐息 ヒュウガ</v>
      </c>
      <c r="D6" s="21">
        <f ca="1">VLOOKUP($B6,OFFSET([2]units!$A$1,0,0,COUNTA([2]units!$A:$A),MATCH(D$1,[2]units!$1:$1,0)-COLUMN(INDIRECT("character_id"))+1),MATCH(D$1,[2]units!$1:$1,0)-COLUMN(INDIRECT("character_id"))+1,FALSE)</f>
        <v>3</v>
      </c>
      <c r="E6" s="21" t="str">
        <f ca="1">VLOOKUP($B6,OFFSET([2]units!$A$1,0,0,COUNTA([2]units!$A:$A),MATCH(E$1,[2]units!$1:$1,0)-COLUMN(INDIRECT("character_id"))+1),MATCH(E$1,[2]units!$1:$1,0)-COLUMN(INDIRECT("character_id"))+1,FALSE)</f>
        <v>Drop1N</v>
      </c>
      <c r="F6" s="44">
        <v>103</v>
      </c>
      <c r="G6" s="21" t="str">
        <f ca="1">VLOOKUP($F6,OFFSET([2]units!$A$1,0,0,COUNTA([2]units!$A:$A),MATCH(G$1,[2]units!$1:$1,0)-COLUMN(INDIRECT("character_id"))+1),MATCH(G$1,[2]units!$1:$1,0)-COLUMN(INDIRECT("character_id"))+1,FALSE)</f>
        <v>レッドキャタップ</v>
      </c>
      <c r="H6" s="18">
        <v>3</v>
      </c>
      <c r="I6" s="115">
        <v>1</v>
      </c>
    </row>
    <row r="7" spans="1:9" ht="21" customHeight="1" x14ac:dyDescent="0.15">
      <c r="A7" s="65" t="str">
        <f t="shared" si="0"/>
        <v>42_102</v>
      </c>
      <c r="B7" s="44">
        <v>42</v>
      </c>
      <c r="C7" s="21" t="str">
        <f ca="1">VLOOKUP($B7,OFFSET([2]units!$A$1,0,0,COUNTA([2]units!$A:$A),MATCH(C$1,[2]units!$1:$1,0)-COLUMN(INDIRECT("character_id"))+1),MATCH(C$1,[2]units!$1:$1,0)-COLUMN(INDIRECT("character_id"))+1,FALSE)</f>
        <v>燃えゆる吐息 ヒュウガ</v>
      </c>
      <c r="D7" s="21">
        <f ca="1">VLOOKUP($B7,OFFSET([2]units!$A$1,0,0,COUNTA([2]units!$A:$A),MATCH(D$1,[2]units!$1:$1,0)-COLUMN(INDIRECT("character_id"))+1),MATCH(D$1,[2]units!$1:$1,0)-COLUMN(INDIRECT("character_id"))+1,FALSE)</f>
        <v>3</v>
      </c>
      <c r="E7" s="21" t="str">
        <f ca="1">VLOOKUP($B7,OFFSET([2]units!$A$1,0,0,COUNTA([2]units!$A:$A),MATCH(E$1,[2]units!$1:$1,0)-COLUMN(INDIRECT("character_id"))+1),MATCH(E$1,[2]units!$1:$1,0)-COLUMN(INDIRECT("character_id"))+1,FALSE)</f>
        <v>Drop1N</v>
      </c>
      <c r="F7" s="44">
        <v>102</v>
      </c>
      <c r="G7" s="21" t="str">
        <f ca="1">VLOOKUP($F7,OFFSET([2]units!$A$1,0,0,COUNTA([2]units!$A:$A),MATCH(G$1,[2]units!$1:$1,0)-COLUMN(INDIRECT("character_id"))+1),MATCH(G$1,[2]units!$1:$1,0)-COLUMN(INDIRECT("character_id"))+1,FALSE)</f>
        <v>レッドラビット</v>
      </c>
      <c r="H7" s="18">
        <v>1</v>
      </c>
      <c r="I7" s="115">
        <v>1</v>
      </c>
    </row>
    <row r="8" spans="1:9" ht="21" customHeight="1" x14ac:dyDescent="0.15">
      <c r="A8" s="65" t="str">
        <f t="shared" si="0"/>
        <v>510_104</v>
      </c>
      <c r="B8" s="44">
        <v>510</v>
      </c>
      <c r="C8" s="21" t="e">
        <f ca="1">VLOOKUP($B8,OFFSET([2]units!$A$1,0,0,COUNTA([2]units!$A:$A),MATCH(C$1,[2]units!$1:$1,0)-COLUMN(INDIRECT("character_id"))+1),MATCH(C$1,[2]units!$1:$1,0)-COLUMN(INDIRECT("character_id"))+1,FALSE)</f>
        <v>#N/A</v>
      </c>
      <c r="D8" s="21" t="e">
        <f ca="1">VLOOKUP($B8,OFFSET([2]units!$A$1,0,0,COUNTA([2]units!$A:$A),MATCH(D$1,[2]units!$1:$1,0)-COLUMN(INDIRECT("character_id"))+1),MATCH(D$1,[2]units!$1:$1,0)-COLUMN(INDIRECT("character_id"))+1,FALSE)</f>
        <v>#N/A</v>
      </c>
      <c r="E8" s="21" t="e">
        <f ca="1">VLOOKUP($B8,OFFSET([2]units!$A$1,0,0,COUNTA([2]units!$A:$A),MATCH(E$1,[2]units!$1:$1,0)-COLUMN(INDIRECT("character_id"))+1),MATCH(E$1,[2]units!$1:$1,0)-COLUMN(INDIRECT("character_id"))+1,FALSE)</f>
        <v>#N/A</v>
      </c>
      <c r="F8" s="44">
        <v>104</v>
      </c>
      <c r="G8" s="21" t="str">
        <f ca="1">VLOOKUP($F8,OFFSET([2]units!$A$1,0,0,COUNTA([2]units!$A:$A),MATCH(G$1,[2]units!$1:$1,0)-COLUMN(INDIRECT("character_id"))+1),MATCH(G$1,[2]units!$1:$1,0)-COLUMN(INDIRECT("character_id"))+1,FALSE)</f>
        <v>炎のマッドハッター</v>
      </c>
      <c r="H8" s="18">
        <v>2</v>
      </c>
      <c r="I8" s="115">
        <v>1</v>
      </c>
    </row>
    <row r="9" spans="1:9" ht="21" customHeight="1" x14ac:dyDescent="0.15">
      <c r="A9" s="65" t="str">
        <f t="shared" si="0"/>
        <v>510_103</v>
      </c>
      <c r="B9" s="44">
        <v>510</v>
      </c>
      <c r="C9" s="21" t="e">
        <f ca="1">VLOOKUP($B9,OFFSET([2]units!$A$1,0,0,COUNTA([2]units!$A:$A),MATCH(C$1,[2]units!$1:$1,0)-COLUMN(INDIRECT("character_id"))+1),MATCH(C$1,[2]units!$1:$1,0)-COLUMN(INDIRECT("character_id"))+1,FALSE)</f>
        <v>#N/A</v>
      </c>
      <c r="D9" s="21" t="e">
        <f ca="1">VLOOKUP($B9,OFFSET([2]units!$A$1,0,0,COUNTA([2]units!$A:$A),MATCH(D$1,[2]units!$1:$1,0)-COLUMN(INDIRECT("character_id"))+1),MATCH(D$1,[2]units!$1:$1,0)-COLUMN(INDIRECT("character_id"))+1,FALSE)</f>
        <v>#N/A</v>
      </c>
      <c r="E9" s="21" t="e">
        <f ca="1">VLOOKUP($B9,OFFSET([2]units!$A$1,0,0,COUNTA([2]units!$A:$A),MATCH(E$1,[2]units!$1:$1,0)-COLUMN(INDIRECT("character_id"))+1),MATCH(E$1,[2]units!$1:$1,0)-COLUMN(INDIRECT("character_id"))+1,FALSE)</f>
        <v>#N/A</v>
      </c>
      <c r="F9" s="44">
        <v>103</v>
      </c>
      <c r="G9" s="21" t="str">
        <f ca="1">VLOOKUP($F9,OFFSET([2]units!$A$1,0,0,COUNTA([2]units!$A:$A),MATCH(G$1,[2]units!$1:$1,0)-COLUMN(INDIRECT("character_id"))+1),MATCH(G$1,[2]units!$1:$1,0)-COLUMN(INDIRECT("character_id"))+1,FALSE)</f>
        <v>レッドキャタップ</v>
      </c>
      <c r="H9" s="18">
        <v>2</v>
      </c>
      <c r="I9" s="115">
        <v>1</v>
      </c>
    </row>
    <row r="10" spans="1:9" ht="21" customHeight="1" x14ac:dyDescent="0.15">
      <c r="A10" s="65" t="str">
        <f t="shared" si="0"/>
        <v>510_102</v>
      </c>
      <c r="B10" s="44">
        <v>510</v>
      </c>
      <c r="C10" s="21" t="e">
        <f ca="1">VLOOKUP($B10,OFFSET([2]units!$A$1,0,0,COUNTA([2]units!$A:$A),MATCH(C$1,[2]units!$1:$1,0)-COLUMN(INDIRECT("character_id"))+1),MATCH(C$1,[2]units!$1:$1,0)-COLUMN(INDIRECT("character_id"))+1,FALSE)</f>
        <v>#N/A</v>
      </c>
      <c r="D10" s="21" t="e">
        <f ca="1">VLOOKUP($B10,OFFSET([2]units!$A$1,0,0,COUNTA([2]units!$A:$A),MATCH(D$1,[2]units!$1:$1,0)-COLUMN(INDIRECT("character_id"))+1),MATCH(D$1,[2]units!$1:$1,0)-COLUMN(INDIRECT("character_id"))+1,FALSE)</f>
        <v>#N/A</v>
      </c>
      <c r="E10" s="21" t="e">
        <f ca="1">VLOOKUP($B10,OFFSET([2]units!$A$1,0,0,COUNTA([2]units!$A:$A),MATCH(E$1,[2]units!$1:$1,0)-COLUMN(INDIRECT("character_id"))+1),MATCH(E$1,[2]units!$1:$1,0)-COLUMN(INDIRECT("character_id"))+1,FALSE)</f>
        <v>#N/A</v>
      </c>
      <c r="F10" s="44">
        <v>102</v>
      </c>
      <c r="G10" s="21" t="str">
        <f ca="1">VLOOKUP($F10,OFFSET([2]units!$A$1,0,0,COUNTA([2]units!$A:$A),MATCH(G$1,[2]units!$1:$1,0)-COLUMN(INDIRECT("character_id"))+1),MATCH(G$1,[2]units!$1:$1,0)-COLUMN(INDIRECT("character_id"))+1,FALSE)</f>
        <v>レッドラビット</v>
      </c>
      <c r="H10" s="18">
        <v>1</v>
      </c>
      <c r="I10" s="115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9"/>
  <sheetViews>
    <sheetView workbookViewId="0">
      <selection activeCell="C11" sqref="C11"/>
    </sheetView>
  </sheetViews>
  <sheetFormatPr baseColWidth="12" defaultRowHeight="15" x14ac:dyDescent="0.15"/>
  <sheetData>
    <row r="1" spans="1:2" x14ac:dyDescent="0.15">
      <c r="A1" t="s">
        <v>251</v>
      </c>
      <c r="B1" t="s">
        <v>252</v>
      </c>
    </row>
    <row r="2" spans="1:2" x14ac:dyDescent="0.15">
      <c r="A2" t="s">
        <v>253</v>
      </c>
      <c r="B2">
        <v>1</v>
      </c>
    </row>
    <row r="3" spans="1:2" x14ac:dyDescent="0.15">
      <c r="A3" t="s">
        <v>254</v>
      </c>
      <c r="B3">
        <v>1</v>
      </c>
    </row>
    <row r="4" spans="1:2" x14ac:dyDescent="0.15">
      <c r="A4" t="s">
        <v>255</v>
      </c>
      <c r="B4">
        <v>1</v>
      </c>
    </row>
    <row r="5" spans="1:2" x14ac:dyDescent="0.15">
      <c r="A5" t="s">
        <v>256</v>
      </c>
      <c r="B5">
        <v>1</v>
      </c>
    </row>
    <row r="6" spans="1:2" x14ac:dyDescent="0.15">
      <c r="A6" t="s">
        <v>257</v>
      </c>
      <c r="B6">
        <v>1</v>
      </c>
    </row>
    <row r="7" spans="1:2" x14ac:dyDescent="0.15">
      <c r="A7" t="s">
        <v>258</v>
      </c>
      <c r="B7">
        <v>1</v>
      </c>
    </row>
    <row r="8" spans="1:2" x14ac:dyDescent="0.15">
      <c r="A8" t="s">
        <v>259</v>
      </c>
      <c r="B8">
        <v>1</v>
      </c>
    </row>
    <row r="9" spans="1:2" x14ac:dyDescent="0.15">
      <c r="A9" t="s">
        <v>260</v>
      </c>
      <c r="B9">
        <v>1</v>
      </c>
    </row>
    <row r="10" spans="1:2" x14ac:dyDescent="0.15">
      <c r="A10" t="s">
        <v>261</v>
      </c>
      <c r="B10">
        <v>1</v>
      </c>
    </row>
    <row r="11" spans="1:2" x14ac:dyDescent="0.15">
      <c r="A11" t="s">
        <v>262</v>
      </c>
      <c r="B11">
        <v>1</v>
      </c>
    </row>
    <row r="12" spans="1:2" x14ac:dyDescent="0.15">
      <c r="A12" t="s">
        <v>263</v>
      </c>
      <c r="B12">
        <v>1</v>
      </c>
    </row>
    <row r="13" spans="1:2" x14ac:dyDescent="0.15">
      <c r="A13" t="s">
        <v>264</v>
      </c>
      <c r="B13">
        <v>0</v>
      </c>
    </row>
    <row r="14" spans="1:2" x14ac:dyDescent="0.15">
      <c r="A14" t="s">
        <v>265</v>
      </c>
      <c r="B14">
        <v>500</v>
      </c>
    </row>
    <row r="15" spans="1:2" x14ac:dyDescent="0.15">
      <c r="A15" t="s">
        <v>266</v>
      </c>
      <c r="B15">
        <v>600</v>
      </c>
    </row>
    <row r="16" spans="1:2" x14ac:dyDescent="0.15">
      <c r="A16" t="s">
        <v>267</v>
      </c>
      <c r="B16">
        <v>700</v>
      </c>
    </row>
    <row r="17" spans="1:2" x14ac:dyDescent="0.15">
      <c r="A17" t="s">
        <v>268</v>
      </c>
      <c r="B17">
        <v>5500</v>
      </c>
    </row>
    <row r="18" spans="1:2" x14ac:dyDescent="0.15">
      <c r="A18" t="s">
        <v>269</v>
      </c>
      <c r="B18">
        <v>6000</v>
      </c>
    </row>
    <row r="19" spans="1:2" x14ac:dyDescent="0.15">
      <c r="A19" t="s">
        <v>270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workbookViewId="0">
      <selection sqref="A1:I21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273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156" t="s">
        <v>274</v>
      </c>
      <c r="B2" s="157"/>
      <c r="C2" s="158"/>
      <c r="D2" s="159" t="s">
        <v>275</v>
      </c>
      <c r="E2" s="159">
        <v>30</v>
      </c>
      <c r="F2" s="159">
        <v>40</v>
      </c>
      <c r="G2" s="159">
        <f>15+F2</f>
        <v>55</v>
      </c>
      <c r="H2" s="158"/>
      <c r="I2" s="158"/>
    </row>
    <row r="3" spans="1:9" ht="21" customHeight="1" x14ac:dyDescent="0.15">
      <c r="A3" s="156" t="s">
        <v>276</v>
      </c>
      <c r="B3" s="160"/>
      <c r="C3" s="161"/>
      <c r="D3" s="162" t="s">
        <v>277</v>
      </c>
      <c r="E3" s="162">
        <v>25</v>
      </c>
      <c r="F3" s="162">
        <v>35</v>
      </c>
      <c r="G3" s="159">
        <f t="shared" ref="G3:G4" si="0">15+F3</f>
        <v>50</v>
      </c>
      <c r="H3" s="161"/>
      <c r="I3" s="161"/>
    </row>
    <row r="4" spans="1:9" s="46" customFormat="1" ht="21" customHeight="1" x14ac:dyDescent="0.15">
      <c r="A4" s="156" t="s">
        <v>278</v>
      </c>
      <c r="B4" s="163"/>
      <c r="C4" s="164"/>
      <c r="D4" s="165">
        <v>10</v>
      </c>
      <c r="E4" s="165">
        <v>20</v>
      </c>
      <c r="F4" s="165">
        <v>30</v>
      </c>
      <c r="G4" s="165">
        <f t="shared" si="0"/>
        <v>45</v>
      </c>
      <c r="H4" s="164"/>
      <c r="I4" s="164"/>
    </row>
    <row r="5" spans="1:9" ht="21" customHeight="1" x14ac:dyDescent="0.15">
      <c r="A5" s="166" t="s">
        <v>279</v>
      </c>
      <c r="B5" s="167"/>
      <c r="C5" s="168"/>
      <c r="D5" s="29">
        <v>9</v>
      </c>
      <c r="E5" s="29">
        <v>18</v>
      </c>
      <c r="F5" s="29">
        <v>28</v>
      </c>
      <c r="G5" s="39">
        <v>38</v>
      </c>
      <c r="H5" s="168"/>
      <c r="I5" s="168"/>
    </row>
    <row r="6" spans="1:9" ht="21" customHeight="1" x14ac:dyDescent="0.15">
      <c r="A6" s="166" t="s">
        <v>280</v>
      </c>
      <c r="B6" s="167"/>
      <c r="C6" s="168"/>
      <c r="D6" s="29">
        <v>7</v>
      </c>
      <c r="E6" s="29">
        <v>16</v>
      </c>
      <c r="F6" s="69" t="s">
        <v>11</v>
      </c>
      <c r="G6" s="69" t="s">
        <v>11</v>
      </c>
      <c r="H6" s="168"/>
      <c r="I6" s="168"/>
    </row>
    <row r="7" spans="1:9" ht="21" customHeight="1" x14ac:dyDescent="0.15">
      <c r="A7" s="74" t="s">
        <v>281</v>
      </c>
      <c r="B7" s="47" t="s">
        <v>11</v>
      </c>
      <c r="C7" s="47" t="s">
        <v>11</v>
      </c>
      <c r="D7" s="39" t="s">
        <v>275</v>
      </c>
      <c r="E7" s="39" t="s">
        <v>275</v>
      </c>
      <c r="F7" s="39" t="s">
        <v>275</v>
      </c>
      <c r="G7" s="39" t="s">
        <v>275</v>
      </c>
      <c r="H7" s="39" t="s">
        <v>275</v>
      </c>
      <c r="I7" s="39" t="s">
        <v>275</v>
      </c>
    </row>
    <row r="8" spans="1:9" ht="21" customHeight="1" x14ac:dyDescent="0.15">
      <c r="A8" s="75" t="s">
        <v>282</v>
      </c>
      <c r="B8" s="47" t="s">
        <v>11</v>
      </c>
      <c r="C8" s="47" t="s">
        <v>11</v>
      </c>
      <c r="D8" s="39" t="s">
        <v>275</v>
      </c>
      <c r="E8" s="39">
        <v>30</v>
      </c>
      <c r="F8" s="39">
        <v>40</v>
      </c>
      <c r="G8" s="39">
        <f>15+F8</f>
        <v>55</v>
      </c>
      <c r="H8" s="39" t="s">
        <v>277</v>
      </c>
      <c r="I8" s="39" t="s">
        <v>277</v>
      </c>
    </row>
    <row r="9" spans="1:9" ht="21" customHeight="1" x14ac:dyDescent="0.15">
      <c r="A9" s="76" t="s">
        <v>283</v>
      </c>
      <c r="B9" s="29" t="s">
        <v>11</v>
      </c>
      <c r="C9" s="29" t="s">
        <v>11</v>
      </c>
      <c r="D9" s="106" t="s">
        <v>277</v>
      </c>
      <c r="E9" s="106" t="s">
        <v>277</v>
      </c>
      <c r="F9" s="106">
        <v>38</v>
      </c>
      <c r="G9" s="39">
        <f>15+F9</f>
        <v>53</v>
      </c>
      <c r="H9" s="106" t="s">
        <v>277</v>
      </c>
      <c r="I9" s="106" t="s">
        <v>277</v>
      </c>
    </row>
    <row r="10" spans="1:9" ht="21" customHeight="1" x14ac:dyDescent="0.15">
      <c r="A10" s="76" t="s">
        <v>284</v>
      </c>
      <c r="B10" s="29" t="s">
        <v>11</v>
      </c>
      <c r="C10" s="29" t="s">
        <v>11</v>
      </c>
      <c r="D10" s="106" t="s">
        <v>277</v>
      </c>
      <c r="E10" s="106">
        <v>25</v>
      </c>
      <c r="F10" s="106">
        <v>35</v>
      </c>
      <c r="G10" s="39">
        <f t="shared" ref="G10:G11" si="1">15+F10</f>
        <v>50</v>
      </c>
      <c r="H10" s="106" t="s">
        <v>277</v>
      </c>
      <c r="I10" s="106" t="s">
        <v>277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9">
        <v>10</v>
      </c>
      <c r="E11" s="29">
        <v>20</v>
      </c>
      <c r="F11" s="29">
        <v>30</v>
      </c>
      <c r="G11" s="39">
        <f t="shared" si="1"/>
        <v>45</v>
      </c>
      <c r="H11" s="69" t="s">
        <v>11</v>
      </c>
      <c r="I11" s="69" t="s">
        <v>11</v>
      </c>
    </row>
    <row r="12" spans="1:9" ht="21" customHeight="1" x14ac:dyDescent="0.15">
      <c r="A12" s="76" t="s">
        <v>285</v>
      </c>
      <c r="B12" s="69" t="s">
        <v>11</v>
      </c>
      <c r="C12" s="69" t="s">
        <v>11</v>
      </c>
      <c r="D12" s="29">
        <v>9</v>
      </c>
      <c r="E12" s="29">
        <v>18</v>
      </c>
      <c r="F12" s="29">
        <v>28</v>
      </c>
      <c r="G12" s="39">
        <v>38</v>
      </c>
      <c r="H12" s="69" t="s">
        <v>11</v>
      </c>
      <c r="I12" s="69" t="s">
        <v>11</v>
      </c>
    </row>
    <row r="13" spans="1:9" ht="21" customHeight="1" x14ac:dyDescent="0.15">
      <c r="A13" s="76" t="s">
        <v>286</v>
      </c>
      <c r="B13" s="69" t="s">
        <v>11</v>
      </c>
      <c r="C13" s="69" t="s">
        <v>11</v>
      </c>
      <c r="D13" s="29">
        <v>7</v>
      </c>
      <c r="E13" s="29">
        <v>16</v>
      </c>
      <c r="F13" s="146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105" t="s">
        <v>287</v>
      </c>
      <c r="B14" s="69" t="s">
        <v>11</v>
      </c>
      <c r="C14" s="69" t="s">
        <v>11</v>
      </c>
      <c r="D14" s="29">
        <v>8</v>
      </c>
      <c r="E14" s="29">
        <v>17</v>
      </c>
      <c r="F14" s="29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288</v>
      </c>
      <c r="B15" s="69" t="s">
        <v>11</v>
      </c>
      <c r="C15" s="69" t="s">
        <v>11</v>
      </c>
      <c r="D15" s="29">
        <v>8</v>
      </c>
      <c r="E15" s="29">
        <v>17</v>
      </c>
      <c r="F15" s="29">
        <v>26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289</v>
      </c>
      <c r="B16" s="69" t="s">
        <v>11</v>
      </c>
      <c r="C16" s="69" t="s">
        <v>11</v>
      </c>
      <c r="D16" s="29">
        <v>6</v>
      </c>
      <c r="E16" s="29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290</v>
      </c>
      <c r="B17" s="69" t="s">
        <v>11</v>
      </c>
      <c r="C17" s="29">
        <v>4</v>
      </c>
      <c r="D17" s="29">
        <v>6</v>
      </c>
      <c r="E17" s="29">
        <v>14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9">
        <v>2</v>
      </c>
      <c r="C18" s="29">
        <v>4</v>
      </c>
      <c r="D18" s="29">
        <v>6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32">
        <v>1</v>
      </c>
      <c r="C19" s="32">
        <v>2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78" t="s">
        <v>291</v>
      </c>
      <c r="B20" s="27">
        <v>1</v>
      </c>
      <c r="C20" s="27">
        <v>1</v>
      </c>
      <c r="D20" s="70" t="s">
        <v>11</v>
      </c>
      <c r="E20" s="70" t="s">
        <v>11</v>
      </c>
      <c r="F20" s="70" t="s">
        <v>11</v>
      </c>
      <c r="G20" s="70" t="s">
        <v>11</v>
      </c>
      <c r="H20" s="70" t="s">
        <v>11</v>
      </c>
      <c r="I20" s="70" t="s">
        <v>11</v>
      </c>
    </row>
    <row r="21" spans="1:9" ht="21" customHeight="1" x14ac:dyDescent="0.15">
      <c r="A21" s="38" t="s">
        <v>292</v>
      </c>
      <c r="B21" s="37">
        <v>99</v>
      </c>
      <c r="C21" s="37">
        <v>99</v>
      </c>
      <c r="D21" s="37">
        <v>99</v>
      </c>
      <c r="E21" s="37">
        <v>99</v>
      </c>
      <c r="F21" s="37">
        <v>99</v>
      </c>
      <c r="G21" s="37">
        <v>99</v>
      </c>
      <c r="H21" s="37">
        <v>99</v>
      </c>
      <c r="I21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sqref="A1:I21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ht="21" customHeight="1" x14ac:dyDescent="0.15">
      <c r="A2" s="156" t="s">
        <v>293</v>
      </c>
      <c r="B2" s="169"/>
      <c r="C2" s="158"/>
      <c r="D2" s="170" t="s">
        <v>294</v>
      </c>
      <c r="E2" s="170">
        <v>60</v>
      </c>
      <c r="F2" s="170">
        <v>80</v>
      </c>
      <c r="G2" s="170">
        <v>99</v>
      </c>
      <c r="H2" s="158"/>
      <c r="I2" s="158"/>
    </row>
    <row r="3" spans="1:9" ht="21" customHeight="1" x14ac:dyDescent="0.15">
      <c r="A3" s="156" t="s">
        <v>295</v>
      </c>
      <c r="B3" s="171"/>
      <c r="C3" s="161"/>
      <c r="D3" s="170" t="s">
        <v>294</v>
      </c>
      <c r="E3" s="170">
        <v>60</v>
      </c>
      <c r="F3" s="170">
        <v>80</v>
      </c>
      <c r="G3" s="170">
        <v>99</v>
      </c>
      <c r="H3" s="161"/>
      <c r="I3" s="161"/>
    </row>
    <row r="4" spans="1:9" s="46" customFormat="1" ht="21" customHeight="1" x14ac:dyDescent="0.15">
      <c r="A4" s="156" t="s">
        <v>296</v>
      </c>
      <c r="B4" s="172"/>
      <c r="C4" s="164"/>
      <c r="D4" s="170">
        <v>40</v>
      </c>
      <c r="E4" s="170">
        <v>60</v>
      </c>
      <c r="F4" s="170">
        <v>80</v>
      </c>
      <c r="G4" s="170">
        <v>99</v>
      </c>
      <c r="H4" s="164"/>
      <c r="I4" s="164"/>
    </row>
    <row r="5" spans="1:9" ht="21" customHeight="1" x14ac:dyDescent="0.15">
      <c r="A5" s="166" t="s">
        <v>297</v>
      </c>
      <c r="B5" s="167"/>
      <c r="C5" s="168"/>
      <c r="D5" s="170">
        <v>40</v>
      </c>
      <c r="E5" s="170">
        <v>60</v>
      </c>
      <c r="F5" s="170">
        <v>80</v>
      </c>
      <c r="G5" s="170">
        <v>99</v>
      </c>
      <c r="H5" s="168"/>
      <c r="I5" s="168"/>
    </row>
    <row r="6" spans="1:9" ht="21" customHeight="1" x14ac:dyDescent="0.15">
      <c r="A6" s="166" t="s">
        <v>298</v>
      </c>
      <c r="B6" s="167"/>
      <c r="C6" s="168"/>
      <c r="D6" s="170">
        <v>40</v>
      </c>
      <c r="E6" s="170">
        <v>60</v>
      </c>
      <c r="F6" s="170" t="s">
        <v>294</v>
      </c>
      <c r="G6" s="170" t="s">
        <v>294</v>
      </c>
      <c r="H6" s="168"/>
      <c r="I6" s="168"/>
    </row>
    <row r="7" spans="1:9" ht="21" customHeight="1" x14ac:dyDescent="0.15">
      <c r="A7" s="74" t="s">
        <v>299</v>
      </c>
      <c r="B7" s="40" t="s">
        <v>294</v>
      </c>
      <c r="C7" s="40" t="s">
        <v>294</v>
      </c>
      <c r="D7" s="40" t="s">
        <v>294</v>
      </c>
      <c r="E7" s="40" t="s">
        <v>294</v>
      </c>
      <c r="F7" s="40" t="s">
        <v>294</v>
      </c>
      <c r="G7" s="40" t="s">
        <v>294</v>
      </c>
      <c r="H7" s="40" t="s">
        <v>294</v>
      </c>
      <c r="I7" s="40" t="s">
        <v>294</v>
      </c>
    </row>
    <row r="8" spans="1:9" ht="21" customHeight="1" x14ac:dyDescent="0.15">
      <c r="A8" s="75" t="s">
        <v>300</v>
      </c>
      <c r="B8" s="40" t="s">
        <v>294</v>
      </c>
      <c r="C8" s="40" t="s">
        <v>294</v>
      </c>
      <c r="D8" s="40" t="s">
        <v>294</v>
      </c>
      <c r="E8" s="40">
        <v>60</v>
      </c>
      <c r="F8" s="40">
        <v>80</v>
      </c>
      <c r="G8" s="40">
        <v>99</v>
      </c>
      <c r="H8" s="40" t="s">
        <v>294</v>
      </c>
      <c r="I8" s="40" t="s">
        <v>294</v>
      </c>
    </row>
    <row r="9" spans="1:9" ht="21" customHeight="1" x14ac:dyDescent="0.15">
      <c r="A9" s="76" t="s">
        <v>301</v>
      </c>
      <c r="B9" s="66" t="s">
        <v>294</v>
      </c>
      <c r="C9" s="66" t="s">
        <v>294</v>
      </c>
      <c r="D9" s="66" t="s">
        <v>294</v>
      </c>
      <c r="E9" s="66" t="s">
        <v>294</v>
      </c>
      <c r="F9" s="66">
        <v>80</v>
      </c>
      <c r="G9" s="66">
        <v>99</v>
      </c>
      <c r="H9" s="66" t="s">
        <v>294</v>
      </c>
      <c r="I9" s="66" t="s">
        <v>294</v>
      </c>
    </row>
    <row r="10" spans="1:9" ht="21" customHeight="1" x14ac:dyDescent="0.15">
      <c r="A10" s="76" t="s">
        <v>302</v>
      </c>
      <c r="B10" s="66" t="s">
        <v>294</v>
      </c>
      <c r="C10" s="66" t="s">
        <v>294</v>
      </c>
      <c r="D10" s="66" t="s">
        <v>294</v>
      </c>
      <c r="E10" s="66">
        <v>60</v>
      </c>
      <c r="F10" s="66">
        <v>80</v>
      </c>
      <c r="G10" s="66">
        <v>99</v>
      </c>
      <c r="H10" s="66" t="s">
        <v>294</v>
      </c>
      <c r="I10" s="66" t="s">
        <v>294</v>
      </c>
    </row>
    <row r="11" spans="1:9" ht="21" customHeight="1" x14ac:dyDescent="0.15">
      <c r="A11" s="76" t="s">
        <v>9</v>
      </c>
      <c r="B11" s="71" t="s">
        <v>294</v>
      </c>
      <c r="C11" s="71" t="s">
        <v>294</v>
      </c>
      <c r="D11" s="37">
        <v>40</v>
      </c>
      <c r="E11" s="37">
        <v>60</v>
      </c>
      <c r="F11" s="37">
        <v>80</v>
      </c>
      <c r="G11" s="40">
        <v>99</v>
      </c>
      <c r="H11" s="71" t="s">
        <v>294</v>
      </c>
      <c r="I11" s="71" t="s">
        <v>294</v>
      </c>
    </row>
    <row r="12" spans="1:9" ht="21" customHeight="1" x14ac:dyDescent="0.15">
      <c r="A12" s="76" t="s">
        <v>303</v>
      </c>
      <c r="B12" s="71" t="s">
        <v>294</v>
      </c>
      <c r="C12" s="71" t="s">
        <v>294</v>
      </c>
      <c r="D12" s="37">
        <v>40</v>
      </c>
      <c r="E12" s="37">
        <v>60</v>
      </c>
      <c r="F12" s="37">
        <v>80</v>
      </c>
      <c r="G12" s="66">
        <v>99</v>
      </c>
      <c r="H12" s="71" t="s">
        <v>294</v>
      </c>
      <c r="I12" s="71" t="s">
        <v>294</v>
      </c>
    </row>
    <row r="13" spans="1:9" ht="21" customHeight="1" x14ac:dyDescent="0.15">
      <c r="A13" s="76" t="s">
        <v>304</v>
      </c>
      <c r="B13" s="71" t="s">
        <v>294</v>
      </c>
      <c r="C13" s="71" t="s">
        <v>294</v>
      </c>
      <c r="D13" s="37">
        <v>40</v>
      </c>
      <c r="E13" s="37">
        <v>60</v>
      </c>
      <c r="F13" s="173">
        <v>80</v>
      </c>
      <c r="G13" s="71" t="s">
        <v>294</v>
      </c>
      <c r="H13" s="71" t="s">
        <v>294</v>
      </c>
      <c r="I13" s="71" t="s">
        <v>294</v>
      </c>
    </row>
    <row r="14" spans="1:9" ht="21" customHeight="1" x14ac:dyDescent="0.15">
      <c r="A14" s="105" t="s">
        <v>305</v>
      </c>
      <c r="B14" s="71" t="s">
        <v>306</v>
      </c>
      <c r="C14" s="71" t="s">
        <v>306</v>
      </c>
      <c r="D14" s="37">
        <v>40</v>
      </c>
      <c r="E14" s="37">
        <v>60</v>
      </c>
      <c r="F14" s="37">
        <v>80</v>
      </c>
      <c r="G14" s="71" t="s">
        <v>306</v>
      </c>
      <c r="H14" s="71" t="s">
        <v>306</v>
      </c>
      <c r="I14" s="71" t="s">
        <v>306</v>
      </c>
    </row>
    <row r="15" spans="1:9" ht="21" customHeight="1" x14ac:dyDescent="0.15">
      <c r="A15" s="76" t="s">
        <v>307</v>
      </c>
      <c r="B15" s="71" t="s">
        <v>306</v>
      </c>
      <c r="C15" s="71" t="s">
        <v>306</v>
      </c>
      <c r="D15" s="37">
        <v>40</v>
      </c>
      <c r="E15" s="37">
        <v>60</v>
      </c>
      <c r="F15" s="37">
        <v>80</v>
      </c>
      <c r="G15" s="71" t="s">
        <v>306</v>
      </c>
      <c r="H15" s="71" t="s">
        <v>306</v>
      </c>
      <c r="I15" s="71" t="s">
        <v>306</v>
      </c>
    </row>
    <row r="16" spans="1:9" ht="21" customHeight="1" x14ac:dyDescent="0.15">
      <c r="A16" s="76" t="s">
        <v>308</v>
      </c>
      <c r="B16" s="71" t="s">
        <v>306</v>
      </c>
      <c r="C16" s="37">
        <v>30</v>
      </c>
      <c r="D16" s="37">
        <v>40</v>
      </c>
      <c r="E16" s="37">
        <v>60</v>
      </c>
      <c r="F16" s="71" t="s">
        <v>306</v>
      </c>
      <c r="G16" s="71" t="s">
        <v>306</v>
      </c>
      <c r="H16" s="71" t="s">
        <v>306</v>
      </c>
      <c r="I16" s="71" t="s">
        <v>306</v>
      </c>
    </row>
    <row r="17" spans="1:9" ht="21" customHeight="1" x14ac:dyDescent="0.15">
      <c r="A17" s="76" t="s">
        <v>309</v>
      </c>
      <c r="B17" s="71" t="s">
        <v>306</v>
      </c>
      <c r="C17" s="37">
        <v>30</v>
      </c>
      <c r="D17" s="37">
        <v>40</v>
      </c>
      <c r="E17" s="37">
        <v>60</v>
      </c>
      <c r="F17" s="71" t="s">
        <v>306</v>
      </c>
      <c r="G17" s="71" t="s">
        <v>306</v>
      </c>
      <c r="H17" s="71" t="s">
        <v>306</v>
      </c>
      <c r="I17" s="71" t="s">
        <v>306</v>
      </c>
    </row>
    <row r="18" spans="1:9" ht="21" customHeight="1" x14ac:dyDescent="0.15">
      <c r="A18" s="76" t="s">
        <v>8</v>
      </c>
      <c r="B18" s="37">
        <v>15</v>
      </c>
      <c r="C18" s="37">
        <v>30</v>
      </c>
      <c r="D18" s="37">
        <v>40</v>
      </c>
      <c r="E18" s="71" t="s">
        <v>306</v>
      </c>
      <c r="F18" s="71" t="s">
        <v>306</v>
      </c>
      <c r="G18" s="71" t="s">
        <v>306</v>
      </c>
      <c r="H18" s="71" t="s">
        <v>306</v>
      </c>
      <c r="I18" s="71" t="s">
        <v>306</v>
      </c>
    </row>
    <row r="19" spans="1:9" ht="21" customHeight="1" x14ac:dyDescent="0.15">
      <c r="A19" s="77" t="s">
        <v>7</v>
      </c>
      <c r="B19" s="37">
        <v>15</v>
      </c>
      <c r="C19" s="37">
        <v>30</v>
      </c>
      <c r="D19" s="37">
        <v>40</v>
      </c>
      <c r="E19" s="71" t="s">
        <v>306</v>
      </c>
      <c r="F19" s="71" t="s">
        <v>306</v>
      </c>
      <c r="G19" s="71" t="s">
        <v>306</v>
      </c>
      <c r="H19" s="71" t="s">
        <v>306</v>
      </c>
      <c r="I19" s="71" t="s">
        <v>306</v>
      </c>
    </row>
    <row r="20" spans="1:9" ht="21" customHeight="1" x14ac:dyDescent="0.15">
      <c r="A20" s="78" t="s">
        <v>310</v>
      </c>
      <c r="B20" s="37">
        <v>10</v>
      </c>
      <c r="C20" s="37">
        <v>20</v>
      </c>
      <c r="D20" s="71" t="s">
        <v>306</v>
      </c>
      <c r="E20" s="71" t="s">
        <v>306</v>
      </c>
      <c r="F20" s="71" t="s">
        <v>306</v>
      </c>
      <c r="G20" s="71" t="s">
        <v>306</v>
      </c>
      <c r="H20" s="71" t="s">
        <v>306</v>
      </c>
      <c r="I20" s="71" t="s">
        <v>306</v>
      </c>
    </row>
    <row r="21" spans="1:9" ht="21" customHeight="1" x14ac:dyDescent="0.15">
      <c r="A21" s="38" t="s">
        <v>311</v>
      </c>
      <c r="B21" s="37">
        <v>1</v>
      </c>
      <c r="C21" s="37">
        <v>1</v>
      </c>
      <c r="D21" s="37">
        <v>1</v>
      </c>
      <c r="E21" s="37">
        <v>1</v>
      </c>
      <c r="F21" s="37">
        <v>1</v>
      </c>
      <c r="G21" s="37">
        <v>1</v>
      </c>
      <c r="H21" s="37">
        <v>1</v>
      </c>
      <c r="I21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P13" sqref="P13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ht="21" customHeight="1" x14ac:dyDescent="0.15">
      <c r="A2" s="156" t="s">
        <v>312</v>
      </c>
      <c r="B2" s="157"/>
      <c r="C2" s="158"/>
      <c r="D2" s="170" t="s">
        <v>313</v>
      </c>
      <c r="E2" s="174" t="s">
        <v>59</v>
      </c>
      <c r="F2" s="174" t="s">
        <v>59</v>
      </c>
      <c r="G2" s="174" t="s">
        <v>314</v>
      </c>
      <c r="H2" s="158"/>
      <c r="I2" s="158"/>
      <c r="J2" s="4"/>
      <c r="K2" s="4"/>
    </row>
    <row r="3" spans="1:11" ht="21" customHeight="1" x14ac:dyDescent="0.15">
      <c r="A3" s="156" t="s">
        <v>315</v>
      </c>
      <c r="B3" s="160"/>
      <c r="C3" s="161"/>
      <c r="D3" s="174" t="s">
        <v>59</v>
      </c>
      <c r="E3" s="174" t="s">
        <v>59</v>
      </c>
      <c r="F3" s="174" t="s">
        <v>59</v>
      </c>
      <c r="G3" s="174" t="s">
        <v>316</v>
      </c>
      <c r="H3" s="161"/>
      <c r="I3" s="161"/>
      <c r="J3" s="4"/>
      <c r="K3" s="4"/>
    </row>
    <row r="4" spans="1:11" s="46" customFormat="1" ht="21" customHeight="1" x14ac:dyDescent="0.15">
      <c r="A4" s="156" t="s">
        <v>317</v>
      </c>
      <c r="B4" s="163"/>
      <c r="C4" s="164"/>
      <c r="D4" s="175" t="s">
        <v>59</v>
      </c>
      <c r="E4" s="175" t="s">
        <v>59</v>
      </c>
      <c r="F4" s="175" t="s">
        <v>59</v>
      </c>
      <c r="G4" s="174" t="s">
        <v>316</v>
      </c>
      <c r="H4" s="164"/>
      <c r="I4" s="164"/>
      <c r="J4" s="4"/>
      <c r="K4" s="4"/>
    </row>
    <row r="5" spans="1:11" ht="21" customHeight="1" x14ac:dyDescent="0.15">
      <c r="A5" s="166" t="s">
        <v>318</v>
      </c>
      <c r="B5" s="167"/>
      <c r="C5" s="168"/>
      <c r="D5" s="175" t="s">
        <v>59</v>
      </c>
      <c r="E5" s="175" t="s">
        <v>59</v>
      </c>
      <c r="F5" s="175" t="s">
        <v>59</v>
      </c>
      <c r="G5" s="174" t="s">
        <v>316</v>
      </c>
      <c r="H5" s="168"/>
      <c r="I5" s="168"/>
      <c r="J5" s="4"/>
      <c r="K5" s="4"/>
    </row>
    <row r="6" spans="1:11" ht="21" customHeight="1" x14ac:dyDescent="0.15">
      <c r="A6" s="166" t="s">
        <v>319</v>
      </c>
      <c r="B6" s="167"/>
      <c r="C6" s="168"/>
      <c r="D6" s="176" t="s">
        <v>60</v>
      </c>
      <c r="E6" s="176" t="s">
        <v>60</v>
      </c>
      <c r="F6" s="170" t="s">
        <v>313</v>
      </c>
      <c r="G6" s="170" t="s">
        <v>313</v>
      </c>
      <c r="H6" s="168"/>
      <c r="I6" s="168"/>
      <c r="J6" s="4"/>
      <c r="K6" s="4"/>
    </row>
    <row r="7" spans="1:11" ht="21" customHeight="1" x14ac:dyDescent="0.15">
      <c r="A7" s="74" t="s">
        <v>320</v>
      </c>
      <c r="B7" s="40" t="s">
        <v>313</v>
      </c>
      <c r="C7" s="40" t="s">
        <v>313</v>
      </c>
      <c r="D7" s="40" t="s">
        <v>313</v>
      </c>
      <c r="E7" s="40" t="s">
        <v>313</v>
      </c>
      <c r="F7" s="40" t="s">
        <v>313</v>
      </c>
      <c r="G7" s="40" t="s">
        <v>313</v>
      </c>
      <c r="H7" s="40" t="s">
        <v>313</v>
      </c>
      <c r="I7" s="40" t="s">
        <v>313</v>
      </c>
    </row>
    <row r="8" spans="1:11" ht="21" customHeight="1" x14ac:dyDescent="0.15">
      <c r="A8" s="75" t="s">
        <v>321</v>
      </c>
      <c r="B8" s="40" t="s">
        <v>313</v>
      </c>
      <c r="C8" s="40" t="s">
        <v>313</v>
      </c>
      <c r="D8" s="40" t="s">
        <v>313</v>
      </c>
      <c r="E8" s="52" t="s">
        <v>316</v>
      </c>
      <c r="F8" s="52" t="s">
        <v>316</v>
      </c>
      <c r="G8" s="52" t="s">
        <v>314</v>
      </c>
      <c r="H8" s="40" t="s">
        <v>313</v>
      </c>
      <c r="I8" s="40" t="s">
        <v>313</v>
      </c>
    </row>
    <row r="9" spans="1:11" ht="21" customHeight="1" x14ac:dyDescent="0.15">
      <c r="A9" s="76" t="s">
        <v>322</v>
      </c>
      <c r="B9" s="66" t="s">
        <v>313</v>
      </c>
      <c r="C9" s="66" t="s">
        <v>313</v>
      </c>
      <c r="D9" s="66" t="s">
        <v>313</v>
      </c>
      <c r="E9" s="66" t="s">
        <v>313</v>
      </c>
      <c r="F9" s="52" t="s">
        <v>59</v>
      </c>
      <c r="G9" s="52" t="s">
        <v>316</v>
      </c>
      <c r="H9" s="66" t="s">
        <v>313</v>
      </c>
      <c r="I9" s="66" t="s">
        <v>313</v>
      </c>
      <c r="J9" s="46"/>
      <c r="K9" s="46"/>
    </row>
    <row r="10" spans="1:11" ht="21" customHeight="1" x14ac:dyDescent="0.15">
      <c r="A10" s="76" t="s">
        <v>323</v>
      </c>
      <c r="B10" s="66" t="s">
        <v>313</v>
      </c>
      <c r="C10" s="66" t="s">
        <v>313</v>
      </c>
      <c r="D10" s="66" t="s">
        <v>313</v>
      </c>
      <c r="E10" s="52" t="s">
        <v>59</v>
      </c>
      <c r="F10" s="52" t="s">
        <v>59</v>
      </c>
      <c r="G10" s="52" t="s">
        <v>316</v>
      </c>
      <c r="H10" s="66" t="s">
        <v>313</v>
      </c>
      <c r="I10" s="66" t="s">
        <v>313</v>
      </c>
      <c r="J10" s="46"/>
      <c r="K10" s="46"/>
    </row>
    <row r="11" spans="1:11" ht="21" customHeight="1" x14ac:dyDescent="0.15">
      <c r="A11" s="76" t="s">
        <v>9</v>
      </c>
      <c r="B11" s="71" t="s">
        <v>313</v>
      </c>
      <c r="C11" s="71" t="s">
        <v>313</v>
      </c>
      <c r="D11" s="52" t="s">
        <v>59</v>
      </c>
      <c r="E11" s="52" t="s">
        <v>59</v>
      </c>
      <c r="F11" s="52" t="s">
        <v>59</v>
      </c>
      <c r="G11" s="52" t="s">
        <v>316</v>
      </c>
      <c r="H11" s="71" t="s">
        <v>313</v>
      </c>
      <c r="I11" s="71" t="s">
        <v>313</v>
      </c>
      <c r="K11" s="28" t="s">
        <v>12</v>
      </c>
    </row>
    <row r="12" spans="1:11" ht="21" customHeight="1" x14ac:dyDescent="0.15">
      <c r="A12" s="76" t="s">
        <v>324</v>
      </c>
      <c r="B12" s="71" t="s">
        <v>313</v>
      </c>
      <c r="C12" s="71" t="s">
        <v>313</v>
      </c>
      <c r="D12" s="53" t="s">
        <v>59</v>
      </c>
      <c r="E12" s="53" t="s">
        <v>59</v>
      </c>
      <c r="F12" s="53" t="s">
        <v>59</v>
      </c>
      <c r="G12" s="52" t="s">
        <v>316</v>
      </c>
      <c r="H12" s="71" t="s">
        <v>313</v>
      </c>
      <c r="I12" s="71" t="s">
        <v>313</v>
      </c>
      <c r="K12" s="30" t="s">
        <v>13</v>
      </c>
    </row>
    <row r="13" spans="1:11" ht="21" customHeight="1" x14ac:dyDescent="0.15">
      <c r="A13" s="76" t="s">
        <v>325</v>
      </c>
      <c r="B13" s="71" t="s">
        <v>313</v>
      </c>
      <c r="C13" s="71" t="s">
        <v>313</v>
      </c>
      <c r="D13" s="54" t="s">
        <v>60</v>
      </c>
      <c r="E13" s="54" t="s">
        <v>60</v>
      </c>
      <c r="F13" s="177" t="s">
        <v>59</v>
      </c>
      <c r="G13" s="71" t="s">
        <v>313</v>
      </c>
      <c r="H13" s="71" t="s">
        <v>313</v>
      </c>
      <c r="I13" s="71" t="s">
        <v>313</v>
      </c>
      <c r="K13" s="72" t="s">
        <v>35</v>
      </c>
    </row>
    <row r="14" spans="1:11" ht="21" customHeight="1" x14ac:dyDescent="0.15">
      <c r="A14" s="105" t="s">
        <v>326</v>
      </c>
      <c r="B14" s="71" t="s">
        <v>313</v>
      </c>
      <c r="C14" s="71" t="s">
        <v>313</v>
      </c>
      <c r="D14" s="55" t="s">
        <v>59</v>
      </c>
      <c r="E14" s="55" t="s">
        <v>59</v>
      </c>
      <c r="F14" s="55" t="s">
        <v>59</v>
      </c>
      <c r="G14" s="71" t="s">
        <v>313</v>
      </c>
      <c r="H14" s="71" t="s">
        <v>313</v>
      </c>
      <c r="I14" s="71" t="s">
        <v>313</v>
      </c>
      <c r="K14" s="73"/>
    </row>
    <row r="15" spans="1:11" ht="21" customHeight="1" x14ac:dyDescent="0.15">
      <c r="A15" s="76" t="s">
        <v>327</v>
      </c>
      <c r="B15" s="71" t="s">
        <v>313</v>
      </c>
      <c r="C15" s="71" t="s">
        <v>313</v>
      </c>
      <c r="D15" s="55" t="s">
        <v>59</v>
      </c>
      <c r="E15" s="55" t="s">
        <v>59</v>
      </c>
      <c r="F15" s="55" t="s">
        <v>59</v>
      </c>
      <c r="G15" s="71" t="s">
        <v>313</v>
      </c>
      <c r="H15" s="71" t="s">
        <v>313</v>
      </c>
      <c r="I15" s="71" t="s">
        <v>313</v>
      </c>
    </row>
    <row r="16" spans="1:11" ht="21" customHeight="1" x14ac:dyDescent="0.15">
      <c r="A16" s="76" t="s">
        <v>328</v>
      </c>
      <c r="B16" s="71" t="s">
        <v>313</v>
      </c>
      <c r="C16" s="71" t="s">
        <v>313</v>
      </c>
      <c r="D16" s="55" t="s">
        <v>60</v>
      </c>
      <c r="E16" s="55" t="s">
        <v>60</v>
      </c>
      <c r="F16" s="71" t="s">
        <v>313</v>
      </c>
      <c r="G16" s="71" t="s">
        <v>313</v>
      </c>
      <c r="H16" s="71" t="s">
        <v>313</v>
      </c>
      <c r="I16" s="71" t="s">
        <v>313</v>
      </c>
    </row>
    <row r="17" spans="1:9" ht="21" customHeight="1" x14ac:dyDescent="0.15">
      <c r="A17" s="76" t="s">
        <v>329</v>
      </c>
      <c r="B17" s="71" t="s">
        <v>313</v>
      </c>
      <c r="C17" s="55" t="s">
        <v>60</v>
      </c>
      <c r="D17" s="55" t="s">
        <v>60</v>
      </c>
      <c r="E17" s="55" t="s">
        <v>60</v>
      </c>
      <c r="F17" s="71" t="s">
        <v>313</v>
      </c>
      <c r="G17" s="71" t="s">
        <v>313</v>
      </c>
      <c r="H17" s="71" t="s">
        <v>313</v>
      </c>
      <c r="I17" s="71" t="s">
        <v>313</v>
      </c>
    </row>
    <row r="18" spans="1:9" ht="21" customHeight="1" x14ac:dyDescent="0.15">
      <c r="A18" s="76" t="s">
        <v>8</v>
      </c>
      <c r="B18" s="56" t="s">
        <v>61</v>
      </c>
      <c r="C18" s="56" t="s">
        <v>61</v>
      </c>
      <c r="D18" s="56" t="s">
        <v>61</v>
      </c>
      <c r="E18" s="71" t="s">
        <v>313</v>
      </c>
      <c r="F18" s="71" t="s">
        <v>313</v>
      </c>
      <c r="G18" s="71" t="s">
        <v>313</v>
      </c>
      <c r="H18" s="71" t="s">
        <v>313</v>
      </c>
      <c r="I18" s="71" t="s">
        <v>313</v>
      </c>
    </row>
    <row r="19" spans="1:9" ht="21" customHeight="1" x14ac:dyDescent="0.15">
      <c r="A19" s="77" t="s">
        <v>7</v>
      </c>
      <c r="B19" s="51" t="s">
        <v>62</v>
      </c>
      <c r="C19" s="51" t="s">
        <v>62</v>
      </c>
      <c r="D19" s="71" t="s">
        <v>313</v>
      </c>
      <c r="E19" s="71" t="s">
        <v>313</v>
      </c>
      <c r="F19" s="71" t="s">
        <v>313</v>
      </c>
      <c r="G19" s="71" t="s">
        <v>313</v>
      </c>
      <c r="H19" s="71" t="s">
        <v>313</v>
      </c>
      <c r="I19" s="71" t="s">
        <v>313</v>
      </c>
    </row>
    <row r="20" spans="1:9" ht="21" customHeight="1" x14ac:dyDescent="0.15">
      <c r="A20" s="78" t="s">
        <v>330</v>
      </c>
      <c r="B20" s="53" t="s">
        <v>63</v>
      </c>
      <c r="C20" s="53" t="s">
        <v>63</v>
      </c>
      <c r="D20" s="71" t="s">
        <v>313</v>
      </c>
      <c r="E20" s="71" t="s">
        <v>313</v>
      </c>
      <c r="F20" s="71" t="s">
        <v>313</v>
      </c>
      <c r="G20" s="71" t="s">
        <v>313</v>
      </c>
      <c r="H20" s="71" t="s">
        <v>313</v>
      </c>
      <c r="I20" s="71" t="s">
        <v>313</v>
      </c>
    </row>
    <row r="21" spans="1:9" ht="21" customHeight="1" x14ac:dyDescent="0.15">
      <c r="A21" s="38" t="s">
        <v>331</v>
      </c>
      <c r="B21" s="79" t="s">
        <v>47</v>
      </c>
      <c r="C21" s="79" t="s">
        <v>47</v>
      </c>
      <c r="D21" s="79" t="s">
        <v>47</v>
      </c>
      <c r="E21" s="79" t="s">
        <v>47</v>
      </c>
      <c r="F21" s="79" t="s">
        <v>47</v>
      </c>
      <c r="G21" s="79" t="s">
        <v>47</v>
      </c>
      <c r="H21" s="79" t="s">
        <v>47</v>
      </c>
      <c r="I21" s="79" t="s">
        <v>47</v>
      </c>
    </row>
    <row r="26" spans="1:9" ht="21" customHeight="1" x14ac:dyDescent="0.15">
      <c r="A26" s="24" t="s">
        <v>14</v>
      </c>
    </row>
    <row r="27" spans="1:9" ht="21" customHeight="1" x14ac:dyDescent="0.15">
      <c r="A27" s="22" t="s">
        <v>64</v>
      </c>
      <c r="B27" s="22" t="s">
        <v>65</v>
      </c>
    </row>
    <row r="28" spans="1:9" ht="21" customHeight="1" x14ac:dyDescent="0.15">
      <c r="A28" s="25">
        <v>1</v>
      </c>
      <c r="B28" s="25">
        <v>200</v>
      </c>
    </row>
    <row r="29" spans="1:9" ht="21" customHeight="1" x14ac:dyDescent="0.15">
      <c r="A29" s="25">
        <v>2</v>
      </c>
      <c r="B29" s="25">
        <v>600</v>
      </c>
    </row>
    <row r="30" spans="1:9" ht="21" customHeight="1" x14ac:dyDescent="0.15">
      <c r="A30" s="25">
        <v>3</v>
      </c>
      <c r="B30" s="25">
        <v>1500</v>
      </c>
    </row>
    <row r="31" spans="1:9" ht="21" customHeight="1" x14ac:dyDescent="0.15">
      <c r="A31" s="25">
        <v>4</v>
      </c>
      <c r="B31" s="25">
        <v>3400</v>
      </c>
    </row>
    <row r="32" spans="1:9" ht="21" customHeight="1" x14ac:dyDescent="0.15">
      <c r="A32" s="25">
        <v>5</v>
      </c>
      <c r="B32" s="25">
        <v>6400</v>
      </c>
    </row>
  </sheetData>
  <sheetProtection selectLockedCells="1" selectUnlockedCells="1"/>
  <phoneticPr fontId="9"/>
  <conditionalFormatting sqref="A35:I65541 L1:IV2 J22:IV65541 L5:IV21">
    <cfRule type="cellIs" dxfId="23" priority="31" stopIfTrue="1" operator="equal">
      <formula>1</formula>
    </cfRule>
  </conditionalFormatting>
  <conditionalFormatting sqref="A25:B26 A33:B34 C25:I34">
    <cfRule type="cellIs" dxfId="22" priority="30" stopIfTrue="1" operator="equal">
      <formula>1</formula>
    </cfRule>
  </conditionalFormatting>
  <conditionalFormatting sqref="L3:IV3">
    <cfRule type="cellIs" dxfId="21" priority="25" stopIfTrue="1" operator="equal">
      <formula>1</formula>
    </cfRule>
  </conditionalFormatting>
  <conditionalFormatting sqref="L4:IV4">
    <cfRule type="cellIs" dxfId="20" priority="24" stopIfTrue="1" operator="equal">
      <formula>1</formula>
    </cfRule>
  </conditionalFormatting>
  <conditionalFormatting sqref="J1:K1 J11:J14 J15:K21 J7:K7">
    <cfRule type="cellIs" dxfId="19" priority="16" stopIfTrue="1" operator="equal">
      <formula>1</formula>
    </cfRule>
  </conditionalFormatting>
  <conditionalFormatting sqref="K11:K14">
    <cfRule type="cellIs" dxfId="18" priority="15" stopIfTrue="1" operator="equal">
      <formula>1</formula>
    </cfRule>
  </conditionalFormatting>
  <conditionalFormatting sqref="J8:K8">
    <cfRule type="cellIs" dxfId="17" priority="14" stopIfTrue="1" operator="equal">
      <formula>1</formula>
    </cfRule>
  </conditionalFormatting>
  <conditionalFormatting sqref="J10:K10">
    <cfRule type="cellIs" dxfId="16" priority="13" stopIfTrue="1" operator="equal">
      <formula>1</formula>
    </cfRule>
  </conditionalFormatting>
  <conditionalFormatting sqref="G20:I20">
    <cfRule type="cellIs" dxfId="15" priority="12" stopIfTrue="1" operator="equal">
      <formula>1</formula>
    </cfRule>
  </conditionalFormatting>
  <conditionalFormatting sqref="D19:G19 F16:G18 H16:I19">
    <cfRule type="cellIs" dxfId="14" priority="11" stopIfTrue="1" operator="equal">
      <formula>1</formula>
    </cfRule>
  </conditionalFormatting>
  <conditionalFormatting sqref="F18:G18">
    <cfRule type="cellIs" dxfId="13" priority="10" stopIfTrue="1" operator="equal">
      <formula>1</formula>
    </cfRule>
  </conditionalFormatting>
  <conditionalFormatting sqref="A21">
    <cfRule type="cellIs" dxfId="12" priority="9" stopIfTrue="1" operator="equal">
      <formula>1</formula>
    </cfRule>
  </conditionalFormatting>
  <conditionalFormatting sqref="G13:I15 H11:I12">
    <cfRule type="cellIs" dxfId="11" priority="8" stopIfTrue="1" operator="equal">
      <formula>1</formula>
    </cfRule>
  </conditionalFormatting>
  <conditionalFormatting sqref="B11:C16">
    <cfRule type="cellIs" dxfId="10" priority="7" stopIfTrue="1" operator="equal">
      <formula>1</formula>
    </cfRule>
  </conditionalFormatting>
  <conditionalFormatting sqref="B17">
    <cfRule type="cellIs" dxfId="9" priority="6" stopIfTrue="1" operator="equal">
      <formula>1</formula>
    </cfRule>
  </conditionalFormatting>
  <conditionalFormatting sqref="E18">
    <cfRule type="cellIs" dxfId="8" priority="5" stopIfTrue="1" operator="equal">
      <formula>1</formula>
    </cfRule>
  </conditionalFormatting>
  <conditionalFormatting sqref="J2:K6">
    <cfRule type="cellIs" dxfId="7" priority="4" stopIfTrue="1" operator="equal">
      <formula>1</formula>
    </cfRule>
  </conditionalFormatting>
  <conditionalFormatting sqref="G6">
    <cfRule type="cellIs" dxfId="6" priority="3" stopIfTrue="1" operator="equal">
      <formula>1</formula>
    </cfRule>
  </conditionalFormatting>
  <conditionalFormatting sqref="F6">
    <cfRule type="cellIs" dxfId="5" priority="2" stopIfTrue="1" operator="equal">
      <formula>1</formula>
    </cfRule>
  </conditionalFormatting>
  <conditionalFormatting sqref="J9:K9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sqref="A1:I21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156" t="s">
        <v>332</v>
      </c>
      <c r="B2" s="157"/>
      <c r="C2" s="158"/>
      <c r="D2" s="178" t="s">
        <v>11</v>
      </c>
      <c r="E2" s="178">
        <v>8000</v>
      </c>
      <c r="F2" s="178">
        <v>10000</v>
      </c>
      <c r="G2" s="178">
        <v>14000</v>
      </c>
      <c r="H2" s="158"/>
      <c r="I2" s="158"/>
    </row>
    <row r="3" spans="1:9" ht="21" customHeight="1" x14ac:dyDescent="0.15">
      <c r="A3" s="156" t="s">
        <v>333</v>
      </c>
      <c r="B3" s="160"/>
      <c r="C3" s="161"/>
      <c r="D3" s="178" t="s">
        <v>11</v>
      </c>
      <c r="E3" s="178">
        <v>7500</v>
      </c>
      <c r="F3" s="178">
        <v>9500</v>
      </c>
      <c r="G3" s="178">
        <v>13000</v>
      </c>
      <c r="H3" s="161"/>
      <c r="I3" s="161"/>
    </row>
    <row r="4" spans="1:9" s="46" customFormat="1" ht="21" customHeight="1" x14ac:dyDescent="0.15">
      <c r="A4" s="156" t="s">
        <v>334</v>
      </c>
      <c r="B4" s="163"/>
      <c r="C4" s="164"/>
      <c r="D4" s="178">
        <v>5000</v>
      </c>
      <c r="E4" s="178">
        <v>7000</v>
      </c>
      <c r="F4" s="178">
        <v>9000</v>
      </c>
      <c r="G4" s="178">
        <v>12000</v>
      </c>
      <c r="H4" s="164"/>
      <c r="I4" s="164"/>
    </row>
    <row r="5" spans="1:9" ht="21" customHeight="1" x14ac:dyDescent="0.15">
      <c r="A5" s="166" t="s">
        <v>335</v>
      </c>
      <c r="B5" s="167"/>
      <c r="C5" s="168"/>
      <c r="D5" s="178">
        <v>4900</v>
      </c>
      <c r="E5" s="178">
        <v>6700</v>
      </c>
      <c r="F5" s="178">
        <v>8500</v>
      </c>
      <c r="G5" s="178">
        <v>11000</v>
      </c>
      <c r="H5" s="168"/>
      <c r="I5" s="168"/>
    </row>
    <row r="6" spans="1:9" ht="21" customHeight="1" x14ac:dyDescent="0.15">
      <c r="A6" s="166" t="s">
        <v>336</v>
      </c>
      <c r="B6" s="167"/>
      <c r="C6" s="168"/>
      <c r="D6" s="178">
        <v>4800</v>
      </c>
      <c r="E6" s="178">
        <v>6600</v>
      </c>
      <c r="F6" s="178" t="s">
        <v>11</v>
      </c>
      <c r="G6" s="178" t="s">
        <v>11</v>
      </c>
      <c r="H6" s="168"/>
      <c r="I6" s="168"/>
    </row>
    <row r="7" spans="1:9" ht="21" customHeight="1" x14ac:dyDescent="0.15">
      <c r="A7" s="74" t="s">
        <v>337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338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ht="21" customHeight="1" x14ac:dyDescent="0.15">
      <c r="A9" s="179" t="s">
        <v>339</v>
      </c>
      <c r="B9" s="29" t="s">
        <v>11</v>
      </c>
      <c r="C9" s="29" t="s">
        <v>11</v>
      </c>
      <c r="D9" s="29" t="s">
        <v>11</v>
      </c>
      <c r="E9" s="29" t="s">
        <v>11</v>
      </c>
      <c r="F9" s="29">
        <v>10000</v>
      </c>
      <c r="G9" s="47">
        <v>14000</v>
      </c>
      <c r="H9" s="29" t="s">
        <v>11</v>
      </c>
      <c r="I9" s="29" t="s">
        <v>11</v>
      </c>
    </row>
    <row r="10" spans="1:9" ht="21" customHeight="1" x14ac:dyDescent="0.15">
      <c r="A10" s="76" t="s">
        <v>340</v>
      </c>
      <c r="B10" s="29" t="s">
        <v>11</v>
      </c>
      <c r="C10" s="29" t="s">
        <v>11</v>
      </c>
      <c r="D10" s="29" t="s">
        <v>11</v>
      </c>
      <c r="E10" s="29">
        <v>7500</v>
      </c>
      <c r="F10" s="29">
        <v>9500</v>
      </c>
      <c r="G10" s="47">
        <v>13000</v>
      </c>
      <c r="H10" s="29" t="s">
        <v>11</v>
      </c>
      <c r="I10" s="29" t="s">
        <v>11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9">
        <v>5000</v>
      </c>
      <c r="E11" s="29">
        <v>7000</v>
      </c>
      <c r="F11" s="29">
        <v>9000</v>
      </c>
      <c r="G11" s="47">
        <v>12000</v>
      </c>
      <c r="H11" s="69" t="s">
        <v>11</v>
      </c>
      <c r="I11" s="69" t="s">
        <v>11</v>
      </c>
    </row>
    <row r="12" spans="1:9" ht="21" customHeight="1" x14ac:dyDescent="0.15">
      <c r="A12" s="76" t="s">
        <v>341</v>
      </c>
      <c r="B12" s="69" t="s">
        <v>11</v>
      </c>
      <c r="C12" s="69" t="s">
        <v>11</v>
      </c>
      <c r="D12" s="29">
        <v>4900</v>
      </c>
      <c r="E12" s="29">
        <v>6700</v>
      </c>
      <c r="F12" s="29">
        <v>8500</v>
      </c>
      <c r="G12" s="47">
        <v>11000</v>
      </c>
      <c r="H12" s="69" t="s">
        <v>11</v>
      </c>
      <c r="I12" s="69" t="s">
        <v>11</v>
      </c>
    </row>
    <row r="13" spans="1:9" ht="21" customHeight="1" x14ac:dyDescent="0.15">
      <c r="A13" s="76" t="s">
        <v>342</v>
      </c>
      <c r="B13" s="69" t="s">
        <v>11</v>
      </c>
      <c r="C13" s="69" t="s">
        <v>11</v>
      </c>
      <c r="D13" s="29">
        <v>4800</v>
      </c>
      <c r="E13" s="29">
        <v>6600</v>
      </c>
      <c r="F13" s="146">
        <v>9000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343</v>
      </c>
      <c r="B14" s="69" t="s">
        <v>11</v>
      </c>
      <c r="C14" s="69" t="s">
        <v>11</v>
      </c>
      <c r="D14" s="69" t="s">
        <v>11</v>
      </c>
      <c r="E14" s="29">
        <v>6300</v>
      </c>
      <c r="F14" s="69" t="s">
        <v>11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344</v>
      </c>
      <c r="B15" s="69" t="s">
        <v>11</v>
      </c>
      <c r="C15" s="69" t="s">
        <v>11</v>
      </c>
      <c r="D15" s="29">
        <v>4600</v>
      </c>
      <c r="E15" s="29">
        <v>5800</v>
      </c>
      <c r="F15" s="29">
        <v>7600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345</v>
      </c>
      <c r="B16" s="69" t="s">
        <v>11</v>
      </c>
      <c r="C16" s="69" t="s">
        <v>11</v>
      </c>
      <c r="D16" s="29">
        <v>4400</v>
      </c>
      <c r="E16" s="29">
        <v>5600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346</v>
      </c>
      <c r="B17" s="69" t="s">
        <v>11</v>
      </c>
      <c r="C17" s="29">
        <v>3000</v>
      </c>
      <c r="D17" s="29">
        <v>4200</v>
      </c>
      <c r="E17" s="29">
        <v>5400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9">
        <v>2000</v>
      </c>
      <c r="C18" s="29">
        <v>2800</v>
      </c>
      <c r="D18" s="29">
        <v>4000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29">
        <v>1750</v>
      </c>
      <c r="C19" s="29">
        <v>2550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77" t="s">
        <v>347</v>
      </c>
      <c r="B20" s="29">
        <v>1500</v>
      </c>
      <c r="C20" s="29">
        <v>2300</v>
      </c>
      <c r="D20" s="69" t="s">
        <v>11</v>
      </c>
      <c r="E20" s="69" t="s">
        <v>11</v>
      </c>
      <c r="F20" s="69" t="s">
        <v>11</v>
      </c>
      <c r="G20" s="69" t="s">
        <v>11</v>
      </c>
      <c r="H20" s="69" t="s">
        <v>11</v>
      </c>
      <c r="I20" s="69" t="s">
        <v>11</v>
      </c>
    </row>
    <row r="21" spans="1:9" ht="21" customHeight="1" x14ac:dyDescent="0.15">
      <c r="A21" s="38" t="s">
        <v>348</v>
      </c>
      <c r="B21" s="37">
        <v>1000</v>
      </c>
      <c r="C21" s="37">
        <v>1000</v>
      </c>
      <c r="D21" s="37">
        <v>1000</v>
      </c>
      <c r="E21" s="37">
        <v>1000</v>
      </c>
      <c r="F21" s="37">
        <v>1000</v>
      </c>
      <c r="G21" s="37">
        <v>1000</v>
      </c>
      <c r="H21" s="37">
        <v>1000</v>
      </c>
      <c r="I21" s="37">
        <v>1000</v>
      </c>
    </row>
  </sheetData>
  <sheetProtection selectLockedCells="1" selectUnlockedCells="1"/>
  <phoneticPr fontId="9"/>
  <conditionalFormatting sqref="L17:R65536 J1:K1048576 S1:IU1048576 L1:R14">
    <cfRule type="cellIs" dxfId="3" priority="3" stopIfTrue="1" operator="equal">
      <formula>1</formula>
    </cfRule>
  </conditionalFormatting>
  <conditionalFormatting sqref="A22:I65536">
    <cfRule type="cellIs" dxfId="2" priority="4" stopIfTrue="1" operator="equal">
      <formula>1</formula>
    </cfRule>
  </conditionalFormatting>
  <conditionalFormatting sqref="A21:I21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108</v>
      </c>
      <c r="G1" s="24" t="s">
        <v>109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/>
      <c r="G8" s="25">
        <v>6</v>
      </c>
      <c r="H8" s="36"/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2017-02-14T10:22:36Z</dcterms:modified>
</cp:coreProperties>
</file>