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020" yWindow="460" windowWidth="24160" windowHeight="159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0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enemy_habitats!$B$1:$AH$6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I9" i="20"/>
  <c r="J9" i="20"/>
  <c r="G9" i="20"/>
  <c r="F9" i="20"/>
  <c r="D9" i="20"/>
  <c r="C9" i="20"/>
  <c r="I8" i="20"/>
  <c r="J8" i="20"/>
  <c r="G8" i="20"/>
  <c r="F8" i="20"/>
  <c r="D8" i="20"/>
  <c r="C8" i="20"/>
  <c r="I7" i="20"/>
  <c r="J7" i="20"/>
  <c r="G7" i="20"/>
  <c r="F7" i="20"/>
  <c r="D7" i="20"/>
  <c r="C7" i="20"/>
  <c r="I6" i="20"/>
  <c r="J6" i="20"/>
  <c r="G6" i="20"/>
  <c r="F6" i="20"/>
  <c r="D6" i="20"/>
  <c r="C6" i="20"/>
  <c r="C11" i="18"/>
  <c r="D11" i="18"/>
  <c r="C12" i="18"/>
  <c r="D12" i="18"/>
  <c r="C12" i="16"/>
  <c r="C11" i="16"/>
  <c r="C10" i="16"/>
  <c r="C9" i="16"/>
  <c r="E12" i="16"/>
  <c r="E11" i="16"/>
  <c r="E10" i="16"/>
  <c r="E9" i="16"/>
  <c r="D37" i="9"/>
  <c r="Q7" i="1"/>
  <c r="Q6" i="1"/>
  <c r="Q5" i="1"/>
  <c r="Q4" i="1"/>
  <c r="Q3" i="1"/>
  <c r="Q2" i="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3" i="20"/>
  <c r="D3" i="20"/>
  <c r="F3" i="20"/>
  <c r="G3" i="20"/>
  <c r="I3" i="20"/>
  <c r="J3" i="20"/>
  <c r="C4" i="20"/>
  <c r="D4" i="20"/>
  <c r="F4" i="20"/>
  <c r="G4" i="20"/>
  <c r="I4" i="20"/>
  <c r="J4" i="20"/>
  <c r="C5" i="20"/>
  <c r="D5" i="20"/>
  <c r="F5" i="20"/>
  <c r="G5" i="20"/>
  <c r="I5" i="20"/>
  <c r="J5" i="20"/>
  <c r="C2" i="20"/>
  <c r="D2" i="20"/>
  <c r="F2" i="20"/>
  <c r="G2" i="20"/>
  <c r="I2" i="20"/>
  <c r="J2" i="20"/>
  <c r="C2" i="18"/>
  <c r="D2" i="18"/>
  <c r="C2" i="16"/>
  <c r="G27" i="9"/>
  <c r="H27" i="9"/>
  <c r="I27" i="9"/>
  <c r="E2" i="1"/>
  <c r="D54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J56" i="11"/>
  <c r="O54" i="9"/>
  <c r="N54" i="9"/>
  <c r="M54" i="9"/>
  <c r="L54" i="9"/>
  <c r="K54" i="9"/>
  <c r="J54" i="9"/>
  <c r="I54" i="9"/>
  <c r="H54" i="9"/>
  <c r="G54" i="9"/>
  <c r="E54" i="9"/>
  <c r="A54" i="9"/>
  <c r="E34" i="9"/>
  <c r="D7" i="1"/>
  <c r="F7" i="1"/>
  <c r="D6" i="1"/>
  <c r="F6" i="1"/>
  <c r="D5" i="1"/>
  <c r="F5" i="1"/>
  <c r="D4" i="1"/>
  <c r="F4" i="1"/>
  <c r="D3" i="1"/>
  <c r="F3" i="1"/>
  <c r="D2" i="1"/>
  <c r="F2" i="1"/>
  <c r="E7" i="1"/>
  <c r="E6" i="1"/>
  <c r="E5" i="1"/>
  <c r="E4" i="1"/>
  <c r="E3" i="1"/>
  <c r="A37" i="9"/>
  <c r="E37" i="9"/>
  <c r="G37" i="9"/>
  <c r="H37" i="9"/>
  <c r="I37" i="9"/>
  <c r="J37" i="9"/>
  <c r="K37" i="9"/>
  <c r="L37" i="9"/>
  <c r="M37" i="9"/>
  <c r="N37" i="9"/>
  <c r="J55" i="11"/>
  <c r="O37" i="9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D2" i="9"/>
  <c r="J51" i="11"/>
  <c r="O53" i="9"/>
  <c r="N53" i="9"/>
  <c r="M53" i="9"/>
  <c r="L53" i="9"/>
  <c r="K53" i="9"/>
  <c r="J53" i="9"/>
  <c r="I53" i="9"/>
  <c r="H53" i="9"/>
  <c r="G53" i="9"/>
  <c r="J50" i="11"/>
  <c r="O52" i="9"/>
  <c r="N52" i="9"/>
  <c r="M52" i="9"/>
  <c r="L52" i="9"/>
  <c r="K52" i="9"/>
  <c r="J52" i="9"/>
  <c r="I52" i="9"/>
  <c r="H52" i="9"/>
  <c r="G52" i="9"/>
  <c r="J49" i="11"/>
  <c r="O51" i="9"/>
  <c r="N51" i="9"/>
  <c r="M51" i="9"/>
  <c r="L51" i="9"/>
  <c r="K51" i="9"/>
  <c r="J51" i="9"/>
  <c r="I51" i="9"/>
  <c r="H51" i="9"/>
  <c r="G51" i="9"/>
  <c r="J48" i="11"/>
  <c r="O50" i="9"/>
  <c r="N50" i="9"/>
  <c r="M50" i="9"/>
  <c r="L50" i="9"/>
  <c r="K50" i="9"/>
  <c r="J50" i="9"/>
  <c r="I50" i="9"/>
  <c r="H50" i="9"/>
  <c r="G50" i="9"/>
  <c r="J46" i="11"/>
  <c r="O49" i="9"/>
  <c r="N49" i="9"/>
  <c r="M49" i="9"/>
  <c r="L49" i="9"/>
  <c r="K49" i="9"/>
  <c r="J49" i="9"/>
  <c r="I49" i="9"/>
  <c r="H49" i="9"/>
  <c r="G49" i="9"/>
  <c r="J45" i="11"/>
  <c r="O48" i="9"/>
  <c r="N48" i="9"/>
  <c r="M48" i="9"/>
  <c r="L48" i="9"/>
  <c r="K48" i="9"/>
  <c r="J48" i="9"/>
  <c r="I48" i="9"/>
  <c r="H48" i="9"/>
  <c r="G48" i="9"/>
  <c r="J44" i="11"/>
  <c r="O47" i="9"/>
  <c r="N47" i="9"/>
  <c r="M47" i="9"/>
  <c r="L47" i="9"/>
  <c r="K47" i="9"/>
  <c r="J47" i="9"/>
  <c r="I47" i="9"/>
  <c r="H47" i="9"/>
  <c r="G47" i="9"/>
  <c r="J43" i="11"/>
  <c r="O46" i="9"/>
  <c r="N46" i="9"/>
  <c r="M46" i="9"/>
  <c r="L46" i="9"/>
  <c r="K46" i="9"/>
  <c r="J46" i="9"/>
  <c r="I46" i="9"/>
  <c r="H46" i="9"/>
  <c r="G46" i="9"/>
  <c r="J42" i="11"/>
  <c r="O45" i="9"/>
  <c r="N45" i="9"/>
  <c r="M45" i="9"/>
  <c r="L45" i="9"/>
  <c r="K45" i="9"/>
  <c r="J45" i="9"/>
  <c r="I45" i="9"/>
  <c r="H45" i="9"/>
  <c r="G45" i="9"/>
  <c r="J41" i="11"/>
  <c r="O44" i="9"/>
  <c r="N44" i="9"/>
  <c r="M44" i="9"/>
  <c r="L44" i="9"/>
  <c r="K44" i="9"/>
  <c r="J44" i="9"/>
  <c r="I44" i="9"/>
  <c r="H44" i="9"/>
  <c r="G44" i="9"/>
  <c r="J40" i="11"/>
  <c r="O43" i="9"/>
  <c r="N43" i="9"/>
  <c r="M43" i="9"/>
  <c r="L43" i="9"/>
  <c r="K43" i="9"/>
  <c r="J43" i="9"/>
  <c r="I43" i="9"/>
  <c r="H43" i="9"/>
  <c r="G43" i="9"/>
  <c r="J39" i="11"/>
  <c r="O42" i="9"/>
  <c r="N42" i="9"/>
  <c r="M42" i="9"/>
  <c r="L42" i="9"/>
  <c r="K42" i="9"/>
  <c r="J42" i="9"/>
  <c r="I42" i="9"/>
  <c r="H42" i="9"/>
  <c r="G42" i="9"/>
  <c r="J38" i="11"/>
  <c r="O41" i="9"/>
  <c r="N41" i="9"/>
  <c r="M41" i="9"/>
  <c r="L41" i="9"/>
  <c r="K41" i="9"/>
  <c r="J41" i="9"/>
  <c r="I41" i="9"/>
  <c r="H41" i="9"/>
  <c r="G41" i="9"/>
  <c r="J37" i="11"/>
  <c r="O40" i="9"/>
  <c r="N40" i="9"/>
  <c r="M40" i="9"/>
  <c r="L40" i="9"/>
  <c r="K40" i="9"/>
  <c r="J40" i="9"/>
  <c r="I40" i="9"/>
  <c r="H40" i="9"/>
  <c r="G40" i="9"/>
  <c r="J36" i="11"/>
  <c r="O39" i="9"/>
  <c r="N39" i="9"/>
  <c r="M39" i="9"/>
  <c r="L39" i="9"/>
  <c r="K39" i="9"/>
  <c r="J39" i="9"/>
  <c r="I39" i="9"/>
  <c r="H39" i="9"/>
  <c r="G39" i="9"/>
  <c r="J35" i="11"/>
  <c r="O38" i="9"/>
  <c r="N38" i="9"/>
  <c r="M38" i="9"/>
  <c r="L38" i="9"/>
  <c r="K38" i="9"/>
  <c r="J38" i="9"/>
  <c r="I38" i="9"/>
  <c r="H38" i="9"/>
  <c r="G38" i="9"/>
  <c r="J34" i="11"/>
  <c r="O36" i="9"/>
  <c r="N36" i="9"/>
  <c r="M36" i="9"/>
  <c r="L36" i="9"/>
  <c r="K36" i="9"/>
  <c r="J36" i="9"/>
  <c r="I36" i="9"/>
  <c r="H36" i="9"/>
  <c r="G36" i="9"/>
  <c r="J32" i="11"/>
  <c r="O35" i="9"/>
  <c r="N35" i="9"/>
  <c r="M35" i="9"/>
  <c r="L35" i="9"/>
  <c r="K35" i="9"/>
  <c r="J35" i="9"/>
  <c r="I35" i="9"/>
  <c r="H35" i="9"/>
  <c r="G35" i="9"/>
  <c r="J31" i="11"/>
  <c r="O34" i="9"/>
  <c r="N34" i="9"/>
  <c r="M34" i="9"/>
  <c r="L34" i="9"/>
  <c r="K34" i="9"/>
  <c r="J34" i="9"/>
  <c r="I34" i="9"/>
  <c r="H34" i="9"/>
  <c r="G34" i="9"/>
  <c r="J30" i="11"/>
  <c r="O33" i="9"/>
  <c r="N33" i="9"/>
  <c r="M33" i="9"/>
  <c r="L33" i="9"/>
  <c r="K33" i="9"/>
  <c r="J33" i="9"/>
  <c r="I33" i="9"/>
  <c r="H33" i="9"/>
  <c r="G33" i="9"/>
  <c r="J29" i="11"/>
  <c r="O32" i="9"/>
  <c r="N32" i="9"/>
  <c r="M32" i="9"/>
  <c r="L32" i="9"/>
  <c r="K32" i="9"/>
  <c r="J32" i="9"/>
  <c r="I32" i="9"/>
  <c r="H32" i="9"/>
  <c r="G32" i="9"/>
  <c r="J28" i="11"/>
  <c r="O31" i="9"/>
  <c r="N31" i="9"/>
  <c r="M31" i="9"/>
  <c r="L31" i="9"/>
  <c r="K31" i="9"/>
  <c r="J31" i="9"/>
  <c r="I31" i="9"/>
  <c r="H31" i="9"/>
  <c r="G31" i="9"/>
  <c r="J27" i="11"/>
  <c r="O30" i="9"/>
  <c r="N30" i="9"/>
  <c r="M30" i="9"/>
  <c r="L30" i="9"/>
  <c r="K30" i="9"/>
  <c r="J30" i="9"/>
  <c r="I30" i="9"/>
  <c r="H30" i="9"/>
  <c r="G30" i="9"/>
  <c r="J26" i="11"/>
  <c r="O29" i="9"/>
  <c r="N29" i="9"/>
  <c r="M29" i="9"/>
  <c r="L29" i="9"/>
  <c r="K29" i="9"/>
  <c r="J29" i="9"/>
  <c r="I29" i="9"/>
  <c r="H29" i="9"/>
  <c r="G29" i="9"/>
  <c r="J25" i="11"/>
  <c r="O28" i="9"/>
  <c r="N28" i="9"/>
  <c r="M28" i="9"/>
  <c r="L28" i="9"/>
  <c r="K28" i="9"/>
  <c r="J28" i="9"/>
  <c r="I28" i="9"/>
  <c r="H28" i="9"/>
  <c r="G28" i="9"/>
  <c r="J54" i="11"/>
  <c r="O27" i="9"/>
  <c r="N27" i="9"/>
  <c r="M27" i="9"/>
  <c r="L27" i="9"/>
  <c r="K27" i="9"/>
  <c r="J27" i="9"/>
  <c r="J24" i="11"/>
  <c r="O26" i="9"/>
  <c r="N26" i="9"/>
  <c r="M26" i="9"/>
  <c r="L26" i="9"/>
  <c r="K26" i="9"/>
  <c r="J26" i="9"/>
  <c r="I26" i="9"/>
  <c r="H26" i="9"/>
  <c r="G26" i="9"/>
  <c r="J23" i="11"/>
  <c r="O25" i="9"/>
  <c r="N25" i="9"/>
  <c r="M25" i="9"/>
  <c r="L25" i="9"/>
  <c r="K25" i="9"/>
  <c r="J25" i="9"/>
  <c r="I25" i="9"/>
  <c r="H25" i="9"/>
  <c r="G25" i="9"/>
  <c r="J22" i="11"/>
  <c r="O24" i="9"/>
  <c r="N24" i="9"/>
  <c r="M24" i="9"/>
  <c r="L24" i="9"/>
  <c r="K24" i="9"/>
  <c r="J24" i="9"/>
  <c r="I24" i="9"/>
  <c r="H24" i="9"/>
  <c r="G24" i="9"/>
  <c r="J21" i="11"/>
  <c r="O23" i="9"/>
  <c r="N23" i="9"/>
  <c r="M23" i="9"/>
  <c r="L23" i="9"/>
  <c r="K23" i="9"/>
  <c r="J23" i="9"/>
  <c r="I23" i="9"/>
  <c r="H23" i="9"/>
  <c r="G23" i="9"/>
  <c r="J20" i="11"/>
  <c r="O22" i="9"/>
  <c r="N22" i="9"/>
  <c r="M22" i="9"/>
  <c r="L22" i="9"/>
  <c r="K22" i="9"/>
  <c r="J22" i="9"/>
  <c r="I22" i="9"/>
  <c r="H22" i="9"/>
  <c r="G22" i="9"/>
  <c r="J19" i="11"/>
  <c r="O21" i="9"/>
  <c r="N21" i="9"/>
  <c r="M21" i="9"/>
  <c r="L21" i="9"/>
  <c r="K21" i="9"/>
  <c r="J21" i="9"/>
  <c r="I21" i="9"/>
  <c r="H21" i="9"/>
  <c r="G21" i="9"/>
  <c r="J18" i="11"/>
  <c r="O20" i="9"/>
  <c r="N20" i="9"/>
  <c r="M20" i="9"/>
  <c r="L20" i="9"/>
  <c r="K20" i="9"/>
  <c r="J20" i="9"/>
  <c r="I20" i="9"/>
  <c r="H20" i="9"/>
  <c r="G20" i="9"/>
  <c r="J17" i="11"/>
  <c r="O19" i="9"/>
  <c r="N19" i="9"/>
  <c r="M19" i="9"/>
  <c r="L19" i="9"/>
  <c r="K19" i="9"/>
  <c r="J19" i="9"/>
  <c r="I19" i="9"/>
  <c r="H19" i="9"/>
  <c r="G19" i="9"/>
  <c r="J53" i="11"/>
  <c r="O18" i="9"/>
  <c r="N18" i="9"/>
  <c r="M18" i="9"/>
  <c r="L18" i="9"/>
  <c r="K18" i="9"/>
  <c r="J18" i="9"/>
  <c r="I18" i="9"/>
  <c r="H18" i="9"/>
  <c r="G18" i="9"/>
  <c r="J16" i="11"/>
  <c r="O17" i="9"/>
  <c r="N17" i="9"/>
  <c r="M17" i="9"/>
  <c r="L17" i="9"/>
  <c r="K17" i="9"/>
  <c r="J17" i="9"/>
  <c r="I17" i="9"/>
  <c r="H17" i="9"/>
  <c r="G17" i="9"/>
  <c r="J15" i="11"/>
  <c r="O16" i="9"/>
  <c r="N16" i="9"/>
  <c r="M16" i="9"/>
  <c r="L16" i="9"/>
  <c r="K16" i="9"/>
  <c r="J16" i="9"/>
  <c r="I16" i="9"/>
  <c r="H16" i="9"/>
  <c r="G16" i="9"/>
  <c r="J14" i="11"/>
  <c r="O15" i="9"/>
  <c r="N15" i="9"/>
  <c r="M15" i="9"/>
  <c r="L15" i="9"/>
  <c r="K15" i="9"/>
  <c r="J15" i="9"/>
  <c r="I15" i="9"/>
  <c r="H15" i="9"/>
  <c r="G15" i="9"/>
  <c r="J13" i="11"/>
  <c r="O14" i="9"/>
  <c r="N14" i="9"/>
  <c r="M14" i="9"/>
  <c r="L14" i="9"/>
  <c r="K14" i="9"/>
  <c r="J14" i="9"/>
  <c r="I14" i="9"/>
  <c r="H14" i="9"/>
  <c r="G14" i="9"/>
  <c r="J12" i="11"/>
  <c r="O13" i="9"/>
  <c r="N13" i="9"/>
  <c r="M13" i="9"/>
  <c r="L13" i="9"/>
  <c r="K13" i="9"/>
  <c r="J13" i="9"/>
  <c r="I13" i="9"/>
  <c r="H13" i="9"/>
  <c r="G13" i="9"/>
  <c r="J11" i="11"/>
  <c r="O12" i="9"/>
  <c r="N12" i="9"/>
  <c r="M12" i="9"/>
  <c r="L12" i="9"/>
  <c r="K12" i="9"/>
  <c r="J12" i="9"/>
  <c r="I12" i="9"/>
  <c r="H12" i="9"/>
  <c r="G12" i="9"/>
  <c r="J10" i="11"/>
  <c r="O11" i="9"/>
  <c r="N11" i="9"/>
  <c r="M11" i="9"/>
  <c r="L11" i="9"/>
  <c r="K11" i="9"/>
  <c r="J11" i="9"/>
  <c r="I11" i="9"/>
  <c r="H11" i="9"/>
  <c r="G11" i="9"/>
  <c r="J9" i="11"/>
  <c r="O10" i="9"/>
  <c r="N10" i="9"/>
  <c r="M10" i="9"/>
  <c r="L10" i="9"/>
  <c r="K10" i="9"/>
  <c r="J10" i="9"/>
  <c r="I10" i="9"/>
  <c r="H10" i="9"/>
  <c r="G10" i="9"/>
  <c r="J8" i="11"/>
  <c r="O9" i="9"/>
  <c r="N9" i="9"/>
  <c r="M9" i="9"/>
  <c r="L9" i="9"/>
  <c r="K9" i="9"/>
  <c r="J9" i="9"/>
  <c r="I9" i="9"/>
  <c r="H9" i="9"/>
  <c r="G9" i="9"/>
  <c r="J7" i="11"/>
  <c r="O8" i="9"/>
  <c r="N8" i="9"/>
  <c r="M8" i="9"/>
  <c r="L8" i="9"/>
  <c r="K8" i="9"/>
  <c r="J8" i="9"/>
  <c r="I8" i="9"/>
  <c r="H8" i="9"/>
  <c r="G8" i="9"/>
  <c r="J6" i="11"/>
  <c r="O7" i="9"/>
  <c r="N7" i="9"/>
  <c r="M7" i="9"/>
  <c r="L7" i="9"/>
  <c r="K7" i="9"/>
  <c r="J7" i="9"/>
  <c r="I7" i="9"/>
  <c r="H7" i="9"/>
  <c r="G7" i="9"/>
  <c r="J52" i="11"/>
  <c r="O6" i="9"/>
  <c r="N6" i="9"/>
  <c r="M6" i="9"/>
  <c r="L6" i="9"/>
  <c r="K6" i="9"/>
  <c r="J6" i="9"/>
  <c r="I6" i="9"/>
  <c r="H6" i="9"/>
  <c r="G6" i="9"/>
  <c r="J5" i="11"/>
  <c r="O5" i="9"/>
  <c r="N5" i="9"/>
  <c r="M5" i="9"/>
  <c r="L5" i="9"/>
  <c r="K5" i="9"/>
  <c r="J5" i="9"/>
  <c r="I5" i="9"/>
  <c r="H5" i="9"/>
  <c r="G5" i="9"/>
  <c r="J4" i="11"/>
  <c r="O4" i="9"/>
  <c r="N4" i="9"/>
  <c r="M4" i="9"/>
  <c r="L4" i="9"/>
  <c r="K4" i="9"/>
  <c r="J4" i="9"/>
  <c r="I4" i="9"/>
  <c r="H4" i="9"/>
  <c r="G4" i="9"/>
  <c r="J3" i="11"/>
  <c r="O3" i="9"/>
  <c r="N3" i="9"/>
  <c r="M3" i="9"/>
  <c r="L3" i="9"/>
  <c r="K3" i="9"/>
  <c r="J3" i="9"/>
  <c r="I3" i="9"/>
  <c r="H3" i="9"/>
  <c r="G3" i="9"/>
  <c r="J2" i="11"/>
  <c r="O2" i="9"/>
  <c r="N2" i="9"/>
  <c r="M2" i="9"/>
  <c r="L2" i="9"/>
  <c r="K2" i="9"/>
  <c r="J2" i="9"/>
  <c r="I2" i="9"/>
  <c r="H2" i="9"/>
  <c r="G2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6" i="9"/>
  <c r="D36" i="9"/>
  <c r="E35" i="9"/>
  <c r="D35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G2" i="10"/>
  <c r="J2" i="10"/>
  <c r="I2" i="10"/>
  <c r="W4" i="7"/>
  <c r="W3" i="7"/>
  <c r="W2" i="7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V7" i="1"/>
  <c r="V6" i="1"/>
  <c r="V5" i="1"/>
  <c r="V4" i="1"/>
  <c r="V2" i="1"/>
  <c r="V3" i="1"/>
  <c r="P7" i="1"/>
  <c r="O7" i="1"/>
  <c r="N7" i="1"/>
  <c r="M7" i="1"/>
  <c r="P6" i="1"/>
  <c r="O6" i="1"/>
  <c r="N6" i="1"/>
  <c r="M6" i="1"/>
  <c r="P5" i="1"/>
  <c r="O5" i="1"/>
  <c r="N5" i="1"/>
  <c r="M5" i="1"/>
  <c r="P4" i="1"/>
  <c r="O4" i="1"/>
  <c r="N4" i="1"/>
  <c r="M4" i="1"/>
  <c r="P3" i="1"/>
  <c r="O3" i="1"/>
  <c r="N3" i="1"/>
  <c r="M3" i="1"/>
  <c r="P2" i="1"/>
  <c r="O2" i="1"/>
  <c r="N2" i="1"/>
  <c r="M2" i="1"/>
  <c r="R4" i="7"/>
  <c r="Q4" i="7"/>
  <c r="P4" i="7"/>
  <c r="O4" i="7"/>
  <c r="N4" i="7"/>
  <c r="R3" i="7"/>
  <c r="Q3" i="7"/>
  <c r="P3" i="7"/>
  <c r="O3" i="7"/>
  <c r="N3" i="7"/>
  <c r="R2" i="7"/>
  <c r="Q2" i="7"/>
  <c r="P2" i="7"/>
  <c r="O2" i="7"/>
  <c r="N2" i="7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A27" i="9"/>
  <c r="A18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A6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25" i="10"/>
  <c r="M44" i="10"/>
  <c r="N44" i="10"/>
  <c r="Q44" i="10"/>
  <c r="P44" i="10"/>
  <c r="R44" i="10"/>
  <c r="O44" i="10"/>
  <c r="S44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M26" i="10"/>
  <c r="M45" i="10"/>
  <c r="N45" i="10"/>
  <c r="Q45" i="10"/>
  <c r="P45" i="10"/>
  <c r="R45" i="10"/>
  <c r="O45" i="10"/>
  <c r="S45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M27" i="10"/>
  <c r="M46" i="10"/>
  <c r="N46" i="10"/>
  <c r="Q46" i="10"/>
  <c r="P46" i="10"/>
  <c r="R46" i="10"/>
  <c r="O46" i="10"/>
  <c r="S46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M28" i="10"/>
  <c r="M47" i="10"/>
  <c r="N47" i="10"/>
  <c r="Q47" i="10"/>
  <c r="P47" i="10"/>
  <c r="R47" i="10"/>
  <c r="O47" i="10"/>
  <c r="S47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M29" i="10"/>
  <c r="M48" i="10"/>
  <c r="N48" i="10"/>
  <c r="Q48" i="10"/>
  <c r="P48" i="10"/>
  <c r="R48" i="10"/>
  <c r="O48" i="10"/>
  <c r="S48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M30" i="10"/>
  <c r="M49" i="10"/>
  <c r="N49" i="10"/>
  <c r="Q49" i="10"/>
  <c r="P49" i="10"/>
  <c r="R49" i="10"/>
  <c r="O49" i="10"/>
  <c r="S49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M31" i="10"/>
  <c r="M50" i="10"/>
  <c r="N50" i="10"/>
  <c r="Q50" i="10"/>
  <c r="P50" i="10"/>
  <c r="R50" i="10"/>
  <c r="O50" i="10"/>
  <c r="S50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M32" i="10"/>
  <c r="M51" i="10"/>
  <c r="N51" i="10"/>
  <c r="Q51" i="10"/>
  <c r="P51" i="10"/>
  <c r="R51" i="10"/>
  <c r="O51" i="10"/>
  <c r="S51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T44" i="10"/>
  <c r="U44" i="10"/>
  <c r="V44" i="10"/>
  <c r="W44" i="10"/>
  <c r="X44" i="10"/>
  <c r="Y44" i="10"/>
  <c r="T45" i="10"/>
  <c r="U45" i="10"/>
  <c r="V45" i="10"/>
  <c r="W45" i="10"/>
  <c r="X45" i="10"/>
  <c r="Y45" i="10"/>
  <c r="T46" i="10"/>
  <c r="U46" i="10"/>
  <c r="V46" i="10"/>
  <c r="W46" i="10"/>
  <c r="X46" i="10"/>
  <c r="Y46" i="10"/>
  <c r="T47" i="10"/>
  <c r="U47" i="10"/>
  <c r="V47" i="10"/>
  <c r="W47" i="10"/>
  <c r="X47" i="10"/>
  <c r="Y47" i="10"/>
  <c r="T48" i="10"/>
  <c r="U48" i="10"/>
  <c r="V48" i="10"/>
  <c r="W48" i="10"/>
  <c r="X48" i="10"/>
  <c r="Y48" i="10"/>
  <c r="T49" i="10"/>
  <c r="U49" i="10"/>
  <c r="V49" i="10"/>
  <c r="W49" i="10"/>
  <c r="X49" i="10"/>
  <c r="Y49" i="10"/>
  <c r="T50" i="10"/>
  <c r="U50" i="10"/>
  <c r="V50" i="10"/>
  <c r="W50" i="10"/>
  <c r="X50" i="10"/>
  <c r="Y50" i="10"/>
  <c r="T51" i="10"/>
  <c r="U51" i="10"/>
  <c r="V51" i="10"/>
  <c r="W51" i="10"/>
  <c r="X51" i="10"/>
  <c r="Y51" i="10"/>
  <c r="J47" i="11"/>
  <c r="J33" i="11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11" i="10"/>
  <c r="I11" i="10"/>
  <c r="K11" i="10"/>
  <c r="J11" i="10"/>
  <c r="H11" i="10"/>
  <c r="G10" i="10"/>
  <c r="I10" i="10"/>
  <c r="K10" i="10"/>
  <c r="J10" i="10"/>
  <c r="H10" i="10"/>
  <c r="G9" i="10"/>
  <c r="I9" i="10"/>
  <c r="K9" i="10"/>
  <c r="J9" i="10"/>
  <c r="H9" i="10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A42" i="9"/>
  <c r="A43" i="9"/>
  <c r="A44" i="9"/>
  <c r="A45" i="9"/>
  <c r="A46" i="9"/>
  <c r="A47" i="9"/>
  <c r="A48" i="9"/>
  <c r="A49" i="9"/>
  <c r="A50" i="9"/>
  <c r="A51" i="9"/>
  <c r="A52" i="9"/>
  <c r="A53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L9" i="10"/>
  <c r="H30" i="10"/>
  <c r="I30" i="10"/>
  <c r="J30" i="10"/>
  <c r="K30" i="10"/>
  <c r="L30" i="10"/>
  <c r="H31" i="10"/>
  <c r="I31" i="10"/>
  <c r="J31" i="10"/>
  <c r="K31" i="10"/>
  <c r="L31" i="10"/>
  <c r="H32" i="10"/>
  <c r="I32" i="10"/>
  <c r="J32" i="10"/>
  <c r="K32" i="10"/>
  <c r="L32" i="10"/>
  <c r="H33" i="10"/>
  <c r="I33" i="10"/>
  <c r="J33" i="10"/>
  <c r="K33" i="10"/>
  <c r="L33" i="10"/>
  <c r="H34" i="10"/>
  <c r="I34" i="10"/>
  <c r="J34" i="10"/>
  <c r="K34" i="10"/>
  <c r="L34" i="10"/>
  <c r="I25" i="10"/>
  <c r="K25" i="10"/>
  <c r="J25" i="10"/>
  <c r="H25" i="10"/>
  <c r="I24" i="10"/>
  <c r="K24" i="10"/>
  <c r="J24" i="10"/>
  <c r="H24" i="10"/>
  <c r="I23" i="10"/>
  <c r="K23" i="10"/>
  <c r="J23" i="10"/>
  <c r="H23" i="10"/>
  <c r="I22" i="10"/>
  <c r="K22" i="10"/>
  <c r="J22" i="10"/>
  <c r="H22" i="10"/>
  <c r="G21" i="10"/>
  <c r="I21" i="10"/>
  <c r="K21" i="10"/>
  <c r="J21" i="10"/>
  <c r="H21" i="10"/>
  <c r="G20" i="10"/>
  <c r="I20" i="10"/>
  <c r="K20" i="10"/>
  <c r="J20" i="10"/>
  <c r="H20" i="10"/>
  <c r="G19" i="10"/>
  <c r="I19" i="10"/>
  <c r="K19" i="10"/>
  <c r="J19" i="10"/>
  <c r="H19" i="10"/>
  <c r="G18" i="10"/>
  <c r="I18" i="10"/>
  <c r="K18" i="10"/>
  <c r="J18" i="10"/>
  <c r="H18" i="10"/>
  <c r="G17" i="10"/>
  <c r="I17" i="10"/>
  <c r="K17" i="10"/>
  <c r="J17" i="10"/>
  <c r="H17" i="10"/>
  <c r="G16" i="10"/>
  <c r="I16" i="10"/>
  <c r="K16" i="10"/>
  <c r="J16" i="10"/>
  <c r="H16" i="10"/>
  <c r="G15" i="10"/>
  <c r="I15" i="10"/>
  <c r="K15" i="10"/>
  <c r="J15" i="10"/>
  <c r="H15" i="10"/>
  <c r="G14" i="10"/>
  <c r="I14" i="10"/>
  <c r="K14" i="10"/>
  <c r="J14" i="10"/>
  <c r="H14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L14" i="10"/>
  <c r="J29" i="10"/>
  <c r="I29" i="10"/>
  <c r="K29" i="10"/>
  <c r="H29" i="10"/>
  <c r="L29" i="10"/>
  <c r="J28" i="10"/>
  <c r="I28" i="10"/>
  <c r="K28" i="10"/>
  <c r="H28" i="10"/>
  <c r="L28" i="10"/>
  <c r="J27" i="10"/>
  <c r="I27" i="10"/>
  <c r="K27" i="10"/>
  <c r="H27" i="10"/>
  <c r="L27" i="10"/>
  <c r="J26" i="10"/>
  <c r="I26" i="10"/>
  <c r="K26" i="10"/>
  <c r="H26" i="10"/>
  <c r="L26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K2" i="10"/>
  <c r="H2" i="10"/>
  <c r="L2" i="10"/>
  <c r="AG5" i="1"/>
  <c r="H5" i="1"/>
  <c r="J5" i="1"/>
  <c r="I5" i="1"/>
  <c r="A5" i="1"/>
  <c r="H5" i="2"/>
  <c r="E5" i="2"/>
  <c r="D5" i="2"/>
  <c r="H2" i="1"/>
  <c r="H3" i="1"/>
  <c r="H4" i="1"/>
  <c r="H6" i="1"/>
  <c r="H7" i="1"/>
  <c r="B5" i="2"/>
  <c r="H4" i="2"/>
  <c r="E4" i="2"/>
  <c r="D4" i="2"/>
  <c r="B4" i="2"/>
  <c r="A41" i="9"/>
  <c r="A40" i="9"/>
  <c r="A39" i="9"/>
  <c r="A38" i="9"/>
  <c r="A36" i="9"/>
  <c r="A35" i="9"/>
  <c r="A34" i="9"/>
  <c r="A33" i="9"/>
  <c r="A32" i="9"/>
  <c r="A31" i="9"/>
  <c r="A30" i="9"/>
  <c r="A29" i="9"/>
  <c r="A28" i="9"/>
  <c r="A26" i="9"/>
  <c r="A25" i="9"/>
  <c r="A24" i="9"/>
  <c r="A23" i="9"/>
  <c r="A22" i="9"/>
  <c r="A21" i="9"/>
  <c r="A20" i="9"/>
  <c r="A19" i="9"/>
  <c r="A17" i="9"/>
  <c r="A16" i="9"/>
  <c r="A15" i="9"/>
  <c r="A14" i="9"/>
  <c r="A13" i="9"/>
  <c r="A12" i="9"/>
  <c r="A11" i="9"/>
  <c r="A10" i="9"/>
  <c r="A9" i="9"/>
  <c r="A8" i="9"/>
  <c r="A7" i="9"/>
  <c r="A5" i="9"/>
  <c r="A4" i="9"/>
  <c r="A3" i="9"/>
  <c r="G51" i="10"/>
  <c r="J51" i="10"/>
  <c r="I51" i="10"/>
  <c r="K51" i="10"/>
  <c r="H51" i="10"/>
  <c r="L51" i="10"/>
  <c r="G50" i="10"/>
  <c r="J50" i="10"/>
  <c r="I50" i="10"/>
  <c r="K50" i="10"/>
  <c r="H50" i="10"/>
  <c r="L50" i="10"/>
  <c r="G49" i="10"/>
  <c r="J49" i="10"/>
  <c r="I49" i="10"/>
  <c r="K49" i="10"/>
  <c r="H49" i="10"/>
  <c r="L49" i="10"/>
  <c r="G48" i="10"/>
  <c r="J48" i="10"/>
  <c r="I48" i="10"/>
  <c r="K48" i="10"/>
  <c r="H48" i="10"/>
  <c r="L48" i="10"/>
  <c r="G47" i="10"/>
  <c r="J47" i="10"/>
  <c r="I47" i="10"/>
  <c r="K47" i="10"/>
  <c r="H47" i="10"/>
  <c r="L47" i="10"/>
  <c r="G46" i="10"/>
  <c r="J46" i="10"/>
  <c r="I46" i="10"/>
  <c r="K46" i="10"/>
  <c r="H46" i="10"/>
  <c r="L46" i="10"/>
  <c r="G45" i="10"/>
  <c r="J45" i="10"/>
  <c r="I45" i="10"/>
  <c r="K45" i="10"/>
  <c r="H45" i="10"/>
  <c r="L45" i="10"/>
  <c r="G44" i="10"/>
  <c r="J44" i="10"/>
  <c r="I44" i="10"/>
  <c r="K44" i="10"/>
  <c r="H44" i="10"/>
  <c r="L44" i="10"/>
  <c r="G43" i="10"/>
  <c r="J43" i="10"/>
  <c r="I43" i="10"/>
  <c r="K43" i="10"/>
  <c r="H43" i="10"/>
  <c r="L43" i="10"/>
  <c r="G42" i="10"/>
  <c r="J42" i="10"/>
  <c r="I42" i="10"/>
  <c r="K42" i="10"/>
  <c r="H42" i="10"/>
  <c r="L42" i="10"/>
  <c r="G41" i="10"/>
  <c r="J41" i="10"/>
  <c r="I41" i="10"/>
  <c r="K41" i="10"/>
  <c r="H41" i="10"/>
  <c r="L41" i="10"/>
  <c r="G40" i="10"/>
  <c r="J40" i="10"/>
  <c r="I40" i="10"/>
  <c r="K40" i="10"/>
  <c r="H40" i="10"/>
  <c r="L40" i="10"/>
  <c r="J39" i="10"/>
  <c r="I39" i="10"/>
  <c r="K39" i="10"/>
  <c r="H39" i="10"/>
  <c r="L39" i="10"/>
  <c r="J38" i="10"/>
  <c r="I38" i="10"/>
  <c r="K38" i="10"/>
  <c r="H38" i="10"/>
  <c r="L38" i="10"/>
  <c r="J37" i="10"/>
  <c r="I37" i="10"/>
  <c r="K37" i="10"/>
  <c r="H37" i="10"/>
  <c r="L37" i="10"/>
  <c r="J36" i="10"/>
  <c r="I36" i="10"/>
  <c r="K36" i="10"/>
  <c r="H36" i="10"/>
  <c r="L36" i="10"/>
  <c r="J35" i="10"/>
  <c r="I35" i="10"/>
  <c r="K35" i="10"/>
  <c r="H35" i="10"/>
  <c r="L35" i="10"/>
  <c r="AG7" i="1"/>
  <c r="J7" i="1"/>
  <c r="I7" i="1"/>
  <c r="A7" i="1"/>
  <c r="AG4" i="1"/>
  <c r="J4" i="1"/>
  <c r="I4" i="1"/>
  <c r="A4" i="1"/>
  <c r="AG3" i="1"/>
  <c r="J3" i="1"/>
  <c r="I3" i="1"/>
  <c r="A3" i="1"/>
  <c r="B3" i="2"/>
  <c r="D3" i="2"/>
  <c r="E3" i="2"/>
  <c r="H3" i="2"/>
  <c r="AG2" i="1"/>
  <c r="J2" i="1"/>
  <c r="I2" i="1"/>
  <c r="A2" i="1"/>
  <c r="H4" i="7"/>
  <c r="J4" i="7"/>
  <c r="I4" i="7"/>
  <c r="D4" i="7"/>
  <c r="F4" i="7"/>
  <c r="E4" i="7"/>
  <c r="A4" i="7"/>
  <c r="C3" i="16"/>
  <c r="C4" i="16"/>
  <c r="C5" i="16"/>
  <c r="C6" i="16"/>
  <c r="C7" i="16"/>
  <c r="C8" i="16"/>
  <c r="AG6" i="1"/>
  <c r="H2" i="7"/>
  <c r="J2" i="7"/>
  <c r="E8" i="16"/>
  <c r="E7" i="16"/>
  <c r="E6" i="16"/>
  <c r="E5" i="16"/>
  <c r="E4" i="16"/>
  <c r="E3" i="16"/>
  <c r="E2" i="16"/>
  <c r="A6" i="1"/>
  <c r="A2" i="9"/>
  <c r="A2" i="7"/>
  <c r="I2" i="7"/>
  <c r="D2" i="7"/>
  <c r="F2" i="7"/>
  <c r="E2" i="7"/>
  <c r="J6" i="1"/>
  <c r="I6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<sst xmlns="http://schemas.openxmlformats.org/spreadsheetml/2006/main" count="833" uniqueCount="378">
  <si>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</si>
  <si>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</si>
  <si>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</si>
  <si>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</si>
  <si>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</si>
  <si>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</si>
  <si>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</si>
  <si>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</si>
  <si>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</si>
  <si>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</si>
  <si>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</si>
  <si>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</si>
  <si>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</si>
  <si>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</si>
  <si>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</si>
  <si>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</si>
  <si>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</si>
  <si>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</si>
  <si>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</si>
  <si>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</si>
  <si>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</si>
  <si>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</si>
  <si>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</si>
  <si>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</si>
  <si>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</si>
  <si>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</si>
  <si>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</si>
  <si>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</si>
  <si>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</si>
  <si>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</si>
  <si>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</si>
  <si>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</si>
  <si>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</si>
  <si>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</si>
  <si>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</si>
  <si>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</si>
  <si>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</si>
  <si>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</si>
  <si>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</si>
  <si>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</si>
  <si>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</si>
  <si>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</si>
  <si>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</si>
  <si>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</si>
  <si>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</si>
  <si>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</si>
  <si>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</si>
  <si>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</si>
  <si>
    <t>hp_coefficient</t>
    <phoneticPr fontId="4"/>
  </si>
  <si>
    <t>attack_coefficient</t>
  </si>
  <si>
    <t>attack_coefficient</t>
    <phoneticPr fontId="4"/>
  </si>
  <si>
    <t>defense_correction</t>
  </si>
  <si>
    <t>defense_correction</t>
    <phoneticPr fontId="4"/>
  </si>
  <si>
    <t>seq_no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</si>
  <si>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</si>
  <si>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</si>
  <si>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</si>
  <si>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</si>
  <si>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</si>
  <si>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</si>
  <si>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</si>
  <si>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</si>
  <si>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</si>
  <si>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</si>
  <si>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</si>
  <si>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</si>
  <si>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</si>
  <si>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priority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</si>
  <si>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</si>
  <si>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</si>
  <si>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</si>
  <si>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</si>
  <si>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</si>
  <si>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</si>
  <si>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</si>
  <si>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</si>
  <si>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</si>
  <si>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</si>
  <si>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enemy_skill_id</t>
  </si>
  <si>
    <t>effect_param</t>
    <phoneticPr fontId="4"/>
  </si>
  <si>
    <t>valid_flg</t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</si>
  <si>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</si>
  <si>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</si>
  <si>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</si>
  <si>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</si>
  <si>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</si>
  <si>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</si>
  <si>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重複チェック</t>
    <rPh sb="0" eb="2">
      <t>チョウフク</t>
    </rPh>
    <phoneticPr fontId="4"/>
  </si>
  <si>
    <t>null</t>
    <phoneticPr fontId="4"/>
  </si>
  <si>
    <t>enemy_skills</t>
    <phoneticPr fontId="4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</si>
  <si>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</si>
  <si>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</si>
  <si>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</si>
  <si>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</si>
  <si>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</si>
  <si>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</si>
  <si>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</si>
  <si>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</si>
  <si>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</si>
  <si>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</si>
  <si>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</si>
  <si>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</si>
  <si>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</si>
  <si>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</si>
  <si>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</si>
  <si>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</si>
  <si>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</si>
  <si>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</si>
  <si>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</si>
  <si>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</si>
  <si>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enemy_habitat_S_</t>
    <phoneticPr fontId="4"/>
  </si>
  <si>
    <t>enemy_habitat_S</t>
    <phoneticPr fontId="4"/>
  </si>
  <si>
    <t>enemy_skill_sets_</t>
    <phoneticPr fontId="4"/>
  </si>
  <si>
    <t>enemy_skill_sets</t>
    <phoneticPr fontId="4"/>
  </si>
  <si>
    <t>enemy_skills_tmp_</t>
    <phoneticPr fontId="4"/>
  </si>
  <si>
    <t>.tmp</t>
    <phoneticPr fontId="4"/>
  </si>
  <si>
    <t>enemy_skills_i18n_</t>
    <phoneticPr fontId="4"/>
  </si>
  <si>
    <t>enemy_skills</t>
    <phoneticPr fontId="4"/>
  </si>
  <si>
    <t>enemy_skill_triggers_</t>
    <phoneticPr fontId="4"/>
  </si>
  <si>
    <t>.tmp</t>
    <phoneticPr fontId="4"/>
  </si>
  <si>
    <t>enemy_skill_triggers</t>
    <phoneticPr fontId="4"/>
  </si>
  <si>
    <t>hp_termination</t>
    <phoneticPr fontId="4"/>
  </si>
  <si>
    <t>invoke_weight</t>
    <phoneticPr fontId="4"/>
  </si>
  <si>
    <t>every_time_count</t>
    <phoneticPr fontId="4"/>
  </si>
  <si>
    <t>neighbor_dead_id</t>
    <phoneticPr fontId="4"/>
  </si>
  <si>
    <t>language</t>
    <phoneticPr fontId="4"/>
  </si>
  <si>
    <t>ja</t>
    <phoneticPr fontId="4"/>
  </si>
  <si>
    <t>skill_set_id</t>
    <phoneticPr fontId="4"/>
  </si>
  <si>
    <t>スキル</t>
    <phoneticPr fontId="4"/>
  </si>
  <si>
    <t>出力flg</t>
    <rPh sb="0" eb="2">
      <t>シュツリョク</t>
    </rPh>
    <phoneticPr fontId="4"/>
  </si>
  <si>
    <t>old</t>
    <phoneticPr fontId="4"/>
  </si>
  <si>
    <t>null</t>
    <phoneticPr fontId="4"/>
  </si>
  <si>
    <t>null</t>
    <phoneticPr fontId="4"/>
  </si>
  <si>
    <t>効果１文字列</t>
    <rPh sb="0" eb="2">
      <t>コウカ</t>
    </rPh>
    <rPh sb="3" eb="6">
      <t>モジレツ</t>
    </rPh>
    <phoneticPr fontId="4"/>
  </si>
  <si>
    <t>効果１efect位置</t>
    <rPh sb="0" eb="2">
      <t>コウカ</t>
    </rPh>
    <rPh sb="8" eb="10">
      <t>イチ</t>
    </rPh>
    <phoneticPr fontId="4"/>
  </si>
  <si>
    <t>効果1終了位置</t>
    <rPh sb="0" eb="2">
      <t>コウカ</t>
    </rPh>
    <rPh sb="3" eb="5">
      <t>シュウリョウ</t>
    </rPh>
    <rPh sb="5" eb="7">
      <t>イチ</t>
    </rPh>
    <phoneticPr fontId="4"/>
  </si>
  <si>
    <t>効果１target位置</t>
    <rPh sb="0" eb="2">
      <t>コウカ</t>
    </rPh>
    <rPh sb="9" eb="11">
      <t>イチ</t>
    </rPh>
    <phoneticPr fontId="4"/>
  </si>
  <si>
    <t>効果1target終了位置</t>
    <rPh sb="0" eb="2">
      <t>コウカ</t>
    </rPh>
    <rPh sb="9" eb="11">
      <t>シュウリョウ</t>
    </rPh>
    <rPh sb="11" eb="13">
      <t>イチ</t>
    </rPh>
    <phoneticPr fontId="4"/>
  </si>
  <si>
    <t>効果１簡易デコード</t>
    <rPh sb="0" eb="2">
      <t>コウカ</t>
    </rPh>
    <rPh sb="3" eb="5">
      <t>カンイ</t>
    </rPh>
    <phoneticPr fontId="4"/>
  </si>
  <si>
    <t>中間文字列１</t>
    <rPh sb="0" eb="2">
      <t>チュウカン</t>
    </rPh>
    <rPh sb="2" eb="5">
      <t>モジレツ</t>
    </rPh>
    <phoneticPr fontId="4"/>
  </si>
  <si>
    <t>効果２文字列</t>
    <rPh sb="0" eb="2">
      <t>コウカ</t>
    </rPh>
    <rPh sb="3" eb="6">
      <t>モジレツ</t>
    </rPh>
    <phoneticPr fontId="4"/>
  </si>
  <si>
    <t>効果2efect位置</t>
    <rPh sb="0" eb="2">
      <t>コウカ</t>
    </rPh>
    <rPh sb="8" eb="10">
      <t>イチ</t>
    </rPh>
    <phoneticPr fontId="4"/>
  </si>
  <si>
    <t>効果2終了位置</t>
    <rPh sb="0" eb="2">
      <t>コウカ</t>
    </rPh>
    <rPh sb="3" eb="5">
      <t>シュウリョウ</t>
    </rPh>
    <rPh sb="5" eb="7">
      <t>イチ</t>
    </rPh>
    <phoneticPr fontId="4"/>
  </si>
  <si>
    <t>効果2target位置</t>
    <rPh sb="0" eb="2">
      <t>コウカ</t>
    </rPh>
    <rPh sb="9" eb="11">
      <t>イチ</t>
    </rPh>
    <phoneticPr fontId="4"/>
  </si>
  <si>
    <t>効果2target終了位置</t>
    <rPh sb="0" eb="2">
      <t>コウカ</t>
    </rPh>
    <rPh sb="9" eb="11">
      <t>シュウリョウ</t>
    </rPh>
    <rPh sb="11" eb="13">
      <t>イチ</t>
    </rPh>
    <phoneticPr fontId="4"/>
  </si>
  <si>
    <t>効果２簡易デコード</t>
    <rPh sb="0" eb="2">
      <t>コウカ</t>
    </rPh>
    <rPh sb="3" eb="5">
      <t>カンイ</t>
    </rPh>
    <phoneticPr fontId="4"/>
  </si>
  <si>
    <t>効果３文字列</t>
    <rPh sb="0" eb="2">
      <t>コウカ</t>
    </rPh>
    <rPh sb="3" eb="6">
      <t>モジレツ</t>
    </rPh>
    <phoneticPr fontId="4"/>
  </si>
  <si>
    <t>効果3efect位置</t>
    <rPh sb="0" eb="2">
      <t>コウカ</t>
    </rPh>
    <rPh sb="8" eb="10">
      <t>イチ</t>
    </rPh>
    <phoneticPr fontId="4"/>
  </si>
  <si>
    <t>効果3終了位置</t>
    <rPh sb="0" eb="2">
      <t>コウカ</t>
    </rPh>
    <rPh sb="3" eb="5">
      <t>シュウリョウ</t>
    </rPh>
    <rPh sb="5" eb="7">
      <t>イチ</t>
    </rPh>
    <phoneticPr fontId="4"/>
  </si>
  <si>
    <t>効果3target位置</t>
    <rPh sb="0" eb="2">
      <t>コウカ</t>
    </rPh>
    <rPh sb="9" eb="11">
      <t>イチ</t>
    </rPh>
    <phoneticPr fontId="4"/>
  </si>
  <si>
    <t>効果3target終了位置</t>
    <rPh sb="0" eb="2">
      <t>コウカ</t>
    </rPh>
    <rPh sb="9" eb="11">
      <t>シュウリョウ</t>
    </rPh>
    <rPh sb="11" eb="13">
      <t>イチ</t>
    </rPh>
    <phoneticPr fontId="4"/>
  </si>
  <si>
    <t>効果３簡易デコード</t>
    <rPh sb="0" eb="2">
      <t>コウカ</t>
    </rPh>
    <rPh sb="3" eb="5">
      <t>カンイ</t>
    </rPh>
    <phoneticPr fontId="4"/>
  </si>
  <si>
    <t>[effect:spread, val:0.3, animation:enemy_spread]</t>
    <phoneticPr fontId="4"/>
  </si>
  <si>
    <t>連続攻撃</t>
    <rPh sb="0" eb="4">
      <t>レンゾk</t>
    </rPh>
    <phoneticPr fontId="4"/>
  </si>
  <si>
    <t>全体攻撃</t>
    <rPh sb="0" eb="4">
      <t>ゼン</t>
    </rPh>
    <phoneticPr fontId="4"/>
  </si>
  <si>
    <t>[effect:freq_turn, target:myself, turn:3, val:1, animation:enemy_freq_turn]</t>
    <phoneticPr fontId="4"/>
  </si>
  <si>
    <t>ja</t>
    <phoneticPr fontId="4"/>
  </si>
  <si>
    <t>[effect:freq_turn, target:myself, turn:-1, val:1, animation:enemy_freq_turn]</t>
    <phoneticPr fontId="4"/>
  </si>
  <si>
    <t>[effect:heal, target:enemy_one, val:0.5, animation:enemy_heal]</t>
    <phoneticPr fontId="4"/>
  </si>
  <si>
    <t>[effect:heal, target:myself, val:0.5, animation:enemy_heal]</t>
    <phoneticPr fontId="4"/>
  </si>
  <si>
    <t>[effect:freq_turn, target:myself, turn:-1, val:1, animation:enemy_freq_turn]</t>
    <phoneticPr fontId="4"/>
  </si>
  <si>
    <t>null</t>
    <phoneticPr fontId="4"/>
  </si>
  <si>
    <t>[effect:enhance_enemy, target:myself, turn:-1, status:defense, val:3000, calc:add, animation:enemy_enhance_enemy]</t>
    <phoneticPr fontId="4"/>
  </si>
  <si>
    <t>[effect:sleep, target:unit_one, turn:3, rate:1.0, animation:enemy_sleep],[effect:critical, val:1.2, animation:enemy_critical]</t>
    <phoneticPr fontId="4"/>
  </si>
  <si>
    <t>[effect:spread, val:0.3, animation:enemy_spread]</t>
    <phoneticPr fontId="4"/>
  </si>
  <si>
    <t>[effect:critical, val:1.2, animation:enemy_critical]</t>
    <phoneticPr fontId="4"/>
  </si>
  <si>
    <t>北方七宿撃・序</t>
    <rPh sb="4" eb="5">
      <t>ゲk</t>
    </rPh>
    <rPh sb="6" eb="7">
      <t>jyo</t>
    </rPh>
    <phoneticPr fontId="4"/>
  </si>
  <si>
    <t>北方七宿撃・急</t>
    <rPh sb="6" eb="7">
      <t>キュ</t>
    </rPh>
    <phoneticPr fontId="4"/>
  </si>
  <si>
    <t>北方七宿撃・終</t>
    <rPh sb="6" eb="7">
      <t>シュウ</t>
    </rPh>
    <phoneticPr fontId="4"/>
  </si>
  <si>
    <t>紅蓮雀焔</t>
    <phoneticPr fontId="4"/>
  </si>
  <si>
    <t>北方七宿撃・破</t>
    <rPh sb="4" eb="5">
      <t>ゲk</t>
    </rPh>
    <rPh sb="6" eb="7">
      <t>ハ</t>
    </rPh>
    <phoneticPr fontId="4"/>
  </si>
  <si>
    <t>煉獄突</t>
    <rPh sb="0" eb="3">
      <t>レンゴk</t>
    </rPh>
    <phoneticPr fontId="4"/>
  </si>
  <si>
    <t>牙王緊縛撃</t>
    <rPh sb="0" eb="2">
      <t>ガ</t>
    </rPh>
    <rPh sb="2" eb="3">
      <t>キン</t>
    </rPh>
    <rPh sb="3" eb="5">
      <t>バクゲキ</t>
    </rPh>
    <phoneticPr fontId="4"/>
  </si>
  <si>
    <t>猛虎雷撃爪</t>
    <rPh sb="0" eb="2">
      <t>モウコ</t>
    </rPh>
    <rPh sb="2" eb="4">
      <t>ラ</t>
    </rPh>
    <rPh sb="4" eb="5">
      <t>ツm</t>
    </rPh>
    <phoneticPr fontId="4"/>
  </si>
  <si>
    <t>翔竜氷嵐弾</t>
    <rPh sb="0" eb="2">
      <t>sy</t>
    </rPh>
    <rPh sb="2" eb="3">
      <t>コオr</t>
    </rPh>
    <rPh sb="3" eb="4">
      <t>アラs</t>
    </rPh>
    <rPh sb="4" eb="5">
      <t>ダン</t>
    </rPh>
    <phoneticPr fontId="4"/>
  </si>
  <si>
    <t>硬直秘孔突</t>
    <rPh sb="0" eb="2">
      <t>コウチョk</t>
    </rPh>
    <rPh sb="2" eb="4">
      <t>hikou</t>
    </rPh>
    <rPh sb="4" eb="5">
      <t>トツ</t>
    </rPh>
    <phoneticPr fontId="4"/>
  </si>
  <si>
    <t>太極布陣・生命劣化</t>
    <rPh sb="2" eb="4">
      <t>フj</t>
    </rPh>
    <rPh sb="5" eb="7">
      <t>セ</t>
    </rPh>
    <rPh sb="7" eb="9">
      <t>コウレkk</t>
    </rPh>
    <phoneticPr fontId="4"/>
  </si>
  <si>
    <t>太極布陣・攻撃劣化</t>
    <rPh sb="2" eb="4">
      <t>フj</t>
    </rPh>
    <rPh sb="5" eb="9">
      <t>コウレkk</t>
    </rPh>
    <phoneticPr fontId="4"/>
  </si>
  <si>
    <t>太極布陣・万物流転</t>
    <rPh sb="2" eb="4">
      <t>フj</t>
    </rPh>
    <rPh sb="5" eb="8">
      <t>バン</t>
    </rPh>
    <rPh sb="8" eb="9">
      <t>｡</t>
    </rPh>
    <phoneticPr fontId="4"/>
  </si>
  <si>
    <t>駿馬迅雷</t>
    <rPh sb="0" eb="2">
      <t>sy</t>
    </rPh>
    <rPh sb="2" eb="4">
      <t>ジン</t>
    </rPh>
    <phoneticPr fontId="4"/>
  </si>
  <si>
    <t>炎封陣</t>
    <rPh sb="0" eb="1">
      <t>エ</t>
    </rPh>
    <rPh sb="1" eb="2">
      <t>フウ</t>
    </rPh>
    <rPh sb="2" eb="3">
      <t>ジン</t>
    </rPh>
    <phoneticPr fontId="4"/>
  </si>
  <si>
    <t>地封陣</t>
    <rPh sb="0" eb="1">
      <t>チ</t>
    </rPh>
    <rPh sb="1" eb="2">
      <t>フウ</t>
    </rPh>
    <rPh sb="2" eb="3">
      <t>ジン</t>
    </rPh>
    <phoneticPr fontId="4"/>
  </si>
  <si>
    <t>雷封陣</t>
    <rPh sb="0" eb="1">
      <t>ライ</t>
    </rPh>
    <rPh sb="1" eb="2">
      <t>フウ</t>
    </rPh>
    <rPh sb="2" eb="3">
      <t>ジン</t>
    </rPh>
    <phoneticPr fontId="4"/>
  </si>
  <si>
    <t>水封陣</t>
    <rPh sb="0" eb="1">
      <t>ス</t>
    </rPh>
    <rPh sb="1" eb="2">
      <t>フウ</t>
    </rPh>
    <rPh sb="2" eb="3">
      <t>ジン</t>
    </rPh>
    <phoneticPr fontId="4"/>
  </si>
  <si>
    <t>雷光烈閃</t>
    <rPh sb="0" eb="2">
      <t>ラ</t>
    </rPh>
    <rPh sb="2" eb="4">
      <t>レt</t>
    </rPh>
    <phoneticPr fontId="4"/>
  </si>
  <si>
    <t>氷嵐烈閃</t>
    <rPh sb="0" eb="2">
      <t>ヒョウラン</t>
    </rPh>
    <rPh sb="2" eb="4">
      <t>レツセン</t>
    </rPh>
    <phoneticPr fontId="4"/>
  </si>
  <si>
    <t>地鳴烈閃</t>
    <rPh sb="0" eb="1">
      <t>チ</t>
    </rPh>
    <rPh sb="1" eb="2">
      <t>mei</t>
    </rPh>
    <rPh sb="2" eb="4">
      <t>レt</t>
    </rPh>
    <phoneticPr fontId="4"/>
  </si>
  <si>
    <t>太極布陣・超重力</t>
    <rPh sb="2" eb="4">
      <t>フj</t>
    </rPh>
    <rPh sb="5" eb="8">
      <t>チョ</t>
    </rPh>
    <phoneticPr fontId="4"/>
  </si>
  <si>
    <t>HPが低いほど強力な攻撃</t>
    <rPh sb="3" eb="7">
      <t>ヒク</t>
    </rPh>
    <rPh sb="7" eb="10">
      <t>キョウリョk</t>
    </rPh>
    <rPh sb="10" eb="12">
      <t>コウゲk</t>
    </rPh>
    <phoneticPr fontId="4"/>
  </si>
  <si>
    <t>HP回復</t>
    <rPh sb="2" eb="4">
      <t>カ</t>
    </rPh>
    <phoneticPr fontId="4"/>
  </si>
  <si>
    <t>3ターンの間攻撃力がアップ</t>
    <rPh sb="5" eb="6">
      <t>ア</t>
    </rPh>
    <rPh sb="6" eb="10">
      <t>コウゲk</t>
    </rPh>
    <phoneticPr fontId="4"/>
  </si>
  <si>
    <t>解除するまで回復力がダウン</t>
    <rPh sb="0" eb="2">
      <t>カ</t>
    </rPh>
    <rPh sb="6" eb="10">
      <t>カイフク</t>
    </rPh>
    <phoneticPr fontId="4"/>
  </si>
  <si>
    <t>全体攻撃</t>
    <rPh sb="0" eb="4">
      <t>ゼンタ</t>
    </rPh>
    <phoneticPr fontId="4"/>
  </si>
  <si>
    <t>お邪魔パネル生成</t>
    <rPh sb="1" eb="6">
      <t>ジャマパネr</t>
    </rPh>
    <rPh sb="6" eb="8">
      <t>セ</t>
    </rPh>
    <phoneticPr fontId="4"/>
  </si>
  <si>
    <t>3ターンの間攻撃頻度が1になる</t>
    <rPh sb="5" eb="6">
      <t>ア</t>
    </rPh>
    <rPh sb="6" eb="11">
      <t>コウゲk</t>
    </rPh>
    <phoneticPr fontId="4"/>
  </si>
  <si>
    <t>赤属性ユニットに大ダメージ</t>
    <rPh sb="0" eb="1">
      <t>アk</t>
    </rPh>
    <rPh sb="1" eb="3">
      <t>ゾクセ</t>
    </rPh>
    <rPh sb="8" eb="13">
      <t>ダ</t>
    </rPh>
    <phoneticPr fontId="4"/>
  </si>
  <si>
    <t>青属性ユニットに大ダメージ</t>
    <rPh sb="0" eb="3">
      <t>アオゾ</t>
    </rPh>
    <phoneticPr fontId="4"/>
  </si>
  <si>
    <t>黄属性ユニットに大ダメージ</t>
    <rPh sb="0" eb="3">
      <t>キ</t>
    </rPh>
    <phoneticPr fontId="4"/>
  </si>
  <si>
    <t>5ターンの間赤パネル無効＋ダメージ</t>
    <rPh sb="5" eb="6">
      <t>ア</t>
    </rPh>
    <rPh sb="6" eb="7">
      <t>アk</t>
    </rPh>
    <rPh sb="10" eb="12">
      <t>ムコ</t>
    </rPh>
    <phoneticPr fontId="4"/>
  </si>
  <si>
    <t>5ターンの間緑パネル無効＋ダメージ</t>
    <rPh sb="5" eb="6">
      <t>ア</t>
    </rPh>
    <rPh sb="6" eb="7">
      <t>ミドr</t>
    </rPh>
    <rPh sb="10" eb="12">
      <t>ムコ</t>
    </rPh>
    <phoneticPr fontId="4"/>
  </si>
  <si>
    <t>5ターンの間黄パネル無効＋ダメージ</t>
    <rPh sb="5" eb="6">
      <t>ア</t>
    </rPh>
    <rPh sb="6" eb="7">
      <t>キ</t>
    </rPh>
    <rPh sb="10" eb="12">
      <t>ムコ</t>
    </rPh>
    <phoneticPr fontId="4"/>
  </si>
  <si>
    <t>5ターンの間青パネル無効＋ダメージ</t>
    <rPh sb="5" eb="6">
      <t>ア</t>
    </rPh>
    <rPh sb="6" eb="7">
      <t>ア</t>
    </rPh>
    <rPh sb="10" eb="12">
      <t>ムコ</t>
    </rPh>
    <phoneticPr fontId="4"/>
  </si>
  <si>
    <t>解除するまで単体の攻撃力がダウン</t>
    <rPh sb="0" eb="6">
      <t>カ</t>
    </rPh>
    <rPh sb="6" eb="8">
      <t>タンタ</t>
    </rPh>
    <rPh sb="9" eb="13">
      <t>コウゲk</t>
    </rPh>
    <phoneticPr fontId="4"/>
  </si>
  <si>
    <t>お邪魔パネル生成</t>
    <rPh sb="1" eb="3">
      <t>ジャm</t>
    </rPh>
    <rPh sb="6" eb="8">
      <t>セ</t>
    </rPh>
    <phoneticPr fontId="4"/>
  </si>
  <si>
    <t>雷光閃・連撃</t>
    <rPh sb="0" eb="3">
      <t>ライコ</t>
    </rPh>
    <rPh sb="4" eb="6">
      <t>レンゲキ</t>
    </rPh>
    <phoneticPr fontId="4"/>
  </si>
  <si>
    <t>雷光閃・拡散</t>
    <rPh sb="0" eb="2">
      <t>ライコ</t>
    </rPh>
    <rPh sb="2" eb="3">
      <t>セン</t>
    </rPh>
    <rPh sb="4" eb="6">
      <t>カクs</t>
    </rPh>
    <phoneticPr fontId="4"/>
  </si>
  <si>
    <t>雷光閃・蓄積放電</t>
    <rPh sb="0" eb="8">
      <t>ライコ</t>
    </rPh>
    <phoneticPr fontId="4"/>
  </si>
  <si>
    <t>[effect:degrade_unit, target:unit_one, turn:-1, status:attack, val:1.0, calc:mul],[effect:critical, val:1.6, animation:enemy_critical]</t>
    <phoneticPr fontId="4"/>
  </si>
  <si>
    <t>[effect:dis_panel, target:block_red, turn:5],[effect:critical, val:1.2, animation:enemy_critical]</t>
    <phoneticPr fontId="4"/>
  </si>
  <si>
    <t>[effect:dis_panel, target:block_green, turn:5],[effect:critical, val:1.2, animation:enemy_critical]</t>
    <phoneticPr fontId="4"/>
  </si>
  <si>
    <t>[effect:dis_panel, target:block_yellow, turn:5],[effect:critical, val:1.2, animation:enemy_critical]</t>
    <phoneticPr fontId="4"/>
  </si>
  <si>
    <t>[effect:dis_panel, target:block_blue, turn:5],[effect:critical, val:1.2, animation:enemy_critical]</t>
    <phoneticPr fontId="4"/>
  </si>
  <si>
    <t>[effect:degrade_unit, target:unit_one, turn:-1, status:attack, val:1.0, calc:mul],[effect:critical, val:1.2, animation:enemy_critical]</t>
    <phoneticPr fontId="4"/>
  </si>
  <si>
    <t>龍殺獄炎</t>
    <rPh sb="0" eb="1">
      <t>リュ</t>
    </rPh>
    <rPh sb="1" eb="2">
      <t>コr</t>
    </rPh>
    <rPh sb="2" eb="4">
      <t>ゴク</t>
    </rPh>
    <phoneticPr fontId="4"/>
  </si>
  <si>
    <t>種族ドラゴンのユニットに大ダメージ</t>
    <rPh sb="0" eb="2">
      <t>sy</t>
    </rPh>
    <rPh sb="12" eb="17">
      <t>ダ</t>
    </rPh>
    <phoneticPr fontId="4"/>
  </si>
  <si>
    <t>[effect:enhance_enemy, target:myself, turn:5, status:defense, val:5000, calc:add, animation:enemy_enhance_enemy],[effect:fix_speed,target:myself,turn:3]</t>
    <phoneticPr fontId="4"/>
  </si>
  <si>
    <t>[effect:freq_turn, target:myself, turn:-1, val:1, animation:enemy_freq_turn]</t>
    <phoneticPr fontId="4"/>
  </si>
  <si>
    <t>解除するまで攻撃頻度が2になる</t>
    <rPh sb="0" eb="6">
      <t>カイjy</t>
    </rPh>
    <rPh sb="6" eb="11">
      <t>コウゲk</t>
    </rPh>
    <phoneticPr fontId="4"/>
  </si>
  <si>
    <t>[effect:hungup, target:unit_all, turn:3, rate:1.0, animation:enemy_hungup],[effect:spread, val:0.3, animation:enemy_spread]</t>
    <phoneticPr fontId="4"/>
  </si>
  <si>
    <t>[effect:rush, count:5, val:0.3]</t>
    <phoneticPr fontId="4"/>
  </si>
  <si>
    <t>解除するまで行動頻度が1になる</t>
    <rPh sb="0" eb="6">
      <t>カイjy</t>
    </rPh>
    <rPh sb="6" eb="11">
      <t>コウド</t>
    </rPh>
    <phoneticPr fontId="4"/>
  </si>
  <si>
    <t>[effect:degrade_unit, target:unit_all, turn:-1, status:heal, val:1.0, calc:mul],[effect:spread, val:0.3, animation:enemy_spread]</t>
    <phoneticPr fontId="4"/>
  </si>
  <si>
    <t>5ターンの間全体の攻撃力がダウン</t>
    <rPh sb="5" eb="6">
      <t>アイd</t>
    </rPh>
    <rPh sb="6" eb="8">
      <t>ゼン</t>
    </rPh>
    <rPh sb="9" eb="13">
      <t>コウゲk</t>
    </rPh>
    <phoneticPr fontId="4"/>
  </si>
  <si>
    <t>null</t>
    <phoneticPr fontId="4"/>
  </si>
  <si>
    <t>次のターン超強力な攻撃</t>
    <rPh sb="0" eb="5">
      <t>ツg</t>
    </rPh>
    <rPh sb="5" eb="6">
      <t>チョ</t>
    </rPh>
    <rPh sb="6" eb="8">
      <t>キョウリョク</t>
    </rPh>
    <rPh sb="9" eb="11">
      <t>コウゲk</t>
    </rPh>
    <phoneticPr fontId="4"/>
  </si>
  <si>
    <t>[effect:charge, status:attack, val:6, animation:enemy_charge]</t>
    <phoneticPr fontId="4"/>
  </si>
  <si>
    <t>固い意志で 5ターンの間防御力アップ</t>
    <rPh sb="0" eb="1">
      <t>カタ</t>
    </rPh>
    <rPh sb="2" eb="4">
      <t>イシ</t>
    </rPh>
    <rPh sb="12" eb="15">
      <t>ボウgy</t>
    </rPh>
    <phoneticPr fontId="4"/>
  </si>
  <si>
    <t>怒りの力で 5ターンの間攻撃力アップ</t>
    <rPh sb="0" eb="1">
      <t>イカ</t>
    </rPh>
    <rPh sb="3" eb="4">
      <t>チカラ</t>
    </rPh>
    <rPh sb="11" eb="12">
      <t>アイd</t>
    </rPh>
    <rPh sb="12" eb="15">
      <t>コウゲk</t>
    </rPh>
    <phoneticPr fontId="4"/>
  </si>
  <si>
    <t>鈍足の儂を 少しは思いやれ！</t>
    <rPh sb="0" eb="2">
      <t>ドンソク</t>
    </rPh>
    <rPh sb="3" eb="4">
      <t>ワシ</t>
    </rPh>
    <rPh sb="6" eb="7">
      <t>スコ</t>
    </rPh>
    <rPh sb="9" eb="10">
      <t>オモ</t>
    </rPh>
    <phoneticPr fontId="4"/>
  </si>
  <si>
    <t>玄武爺の死…無駄にはしない！</t>
    <rPh sb="0" eb="3">
      <t>ゲンブジイ</t>
    </rPh>
    <rPh sb="4" eb="5">
      <t>シ</t>
    </rPh>
    <rPh sb="6" eb="8">
      <t>ムダ</t>
    </rPh>
    <phoneticPr fontId="4"/>
  </si>
  <si>
    <t>ウロコが乱れたではないか</t>
    <rPh sb="4" eb="5">
      <t>ミダ</t>
    </rPh>
    <phoneticPr fontId="4"/>
  </si>
  <si>
    <t>妾に楯突くとは…命知らずが！</t>
    <rPh sb="0" eb="1">
      <t>ワラワ</t>
    </rPh>
    <rPh sb="2" eb="4">
      <t>タテツ</t>
    </rPh>
    <rPh sb="8" eb="10">
      <t>イノチシ</t>
    </rPh>
    <phoneticPr fontId="4"/>
  </si>
  <si>
    <t>「…ワタシ ナゼ ココニ…？」</t>
    <phoneticPr fontId="4"/>
  </si>
  <si>
    <t>この力…手放すものか！</t>
    <rPh sb="2" eb="3">
      <t>チカラ</t>
    </rPh>
    <rPh sb="4" eb="6">
      <t>テバナ</t>
    </rPh>
    <phoneticPr fontId="4"/>
  </si>
  <si>
    <t>別人のような目で こちらを見ている…</t>
    <rPh sb="0" eb="2">
      <t>ベツジン</t>
    </rPh>
    <rPh sb="6" eb="7">
      <t>メ</t>
    </rPh>
    <rPh sb="13" eb="17">
      <t>ミ</t>
    </rPh>
    <phoneticPr fontId="4"/>
  </si>
  <si>
    <t>「オネガイ…ワタシヲ トメ テ」</t>
    <phoneticPr fontId="4"/>
  </si>
  <si>
    <t>私は ほどほどにお相手しよう</t>
    <rPh sb="0" eb="1">
      <t>ワタシ</t>
    </rPh>
    <rPh sb="9" eb="11">
      <t>アイテ</t>
    </rPh>
    <phoneticPr fontId="4"/>
  </si>
  <si>
    <t>しつこい奴め…返り討ちじゃ！</t>
    <rPh sb="4" eb="5">
      <t>ヤツ</t>
    </rPh>
    <rPh sb="7" eb="8">
      <t>カエ</t>
    </rPh>
    <rPh sb="9" eb="10">
      <t>ウ</t>
    </rPh>
    <phoneticPr fontId="4"/>
  </si>
  <si>
    <t>麒麟の影像が乱れた！
状態異常無効＋お邪魔パネル生成</t>
    <rPh sb="0" eb="2">
      <t>キリン</t>
    </rPh>
    <rPh sb="3" eb="5">
      <t>エイゾウ</t>
    </rPh>
    <rPh sb="6" eb="7">
      <t>ミダ</t>
    </rPh>
    <rPh sb="11" eb="17">
      <t>jy</t>
    </rPh>
    <rPh sb="19" eb="24">
      <t>ジャマ</t>
    </rPh>
    <rPh sb="24" eb="26">
      <t>セ</t>
    </rPh>
    <phoneticPr fontId="4"/>
  </si>
  <si>
    <t>青龍…憧れてたのに(;_;)</t>
    <rPh sb="0" eb="2">
      <t>セイリュ</t>
    </rPh>
    <rPh sb="3" eb="4">
      <t>アコガ</t>
    </rPh>
    <phoneticPr fontId="4"/>
  </si>
  <si>
    <t>[effect:damage_anti_color, target:unit_one, color:red, val1:1.5, val2:1.0]</t>
    <phoneticPr fontId="4"/>
  </si>
  <si>
    <t>[effect:damage_anti_color, target:unit_one, color:blue, val1:1.5, val2:1.0]</t>
    <phoneticPr fontId="4"/>
  </si>
  <si>
    <t>[effect:damage_anti_color, target:unit_one, color:yellow, val1:1.5, val2:1.0]</t>
    <phoneticPr fontId="4"/>
  </si>
  <si>
    <t>[effect:spread, val:0.3, animation:enemy_spread],[effect:fix_speed,target:myself,turn:2]</t>
    <phoneticPr fontId="4"/>
  </si>
  <si>
    <t>[effect:spread, val:0.35, animation:enemy_spread]</t>
    <phoneticPr fontId="4"/>
  </si>
  <si>
    <t>解除するまで攻撃頻度が1になる</t>
    <rPh sb="0" eb="6">
      <t>カ</t>
    </rPh>
    <rPh sb="6" eb="11">
      <t>コウゲk</t>
    </rPh>
    <phoneticPr fontId="4"/>
  </si>
  <si>
    <t>右手の力が拡散した。攻撃頻度が1になる</t>
    <rPh sb="10" eb="15">
      <t>コウゲk</t>
    </rPh>
    <phoneticPr fontId="4"/>
  </si>
  <si>
    <t>[effect:spread, val:0.3, animation:enemy_spread]</t>
    <phoneticPr fontId="4"/>
  </si>
  <si>
    <t>超強力な一撃！</t>
    <rPh sb="0" eb="6">
      <t>チョ</t>
    </rPh>
    <phoneticPr fontId="4"/>
  </si>
  <si>
    <t>右手の力が今にも溢れ出しそうだ・・・！！</t>
    <phoneticPr fontId="4"/>
  </si>
  <si>
    <t>[effect:nothing]</t>
    <phoneticPr fontId="4"/>
  </si>
  <si>
    <t>右手の力が今にも溢れ出しそうだ・・・！！</t>
    <phoneticPr fontId="4"/>
  </si>
  <si>
    <t>[effect:nothing]</t>
    <phoneticPr fontId="4"/>
  </si>
  <si>
    <t>[effect:spread, val:15.0, animation:enemy_spread]</t>
    <phoneticPr fontId="4"/>
  </si>
  <si>
    <t>「ワタシハ アノ エリアヘノ カギ…」</t>
    <phoneticPr fontId="4"/>
  </si>
  <si>
    <t>[effect:damage_anti_tribe, target:unit_all, tribe:dragon, val1:2.5, val2:0.2]</t>
    <phoneticPr fontId="4"/>
  </si>
  <si>
    <t>[effect:tolerance,target:myself, turn:-1, tolerance_effect:all, count:-1],[effect:dark, turn:3,target:unit_all,animation:enemy_dark]</t>
    <phoneticPr fontId="4"/>
  </si>
  <si>
    <t>嫌な予感・・・</t>
    <rPh sb="0" eb="1">
      <t>イヤ</t>
    </rPh>
    <rPh sb="2" eb="4">
      <t>ヨカン</t>
    </rPh>
    <phoneticPr fontId="4"/>
  </si>
  <si>
    <t>[effect:spread, val:0.35, animation:enemy_spread]</t>
    <phoneticPr fontId="4"/>
  </si>
  <si>
    <t>[effect:fix_speed,target:myself,turn:2]</t>
    <phoneticPr fontId="4"/>
  </si>
  <si>
    <t>[effect:nothing]</t>
    <phoneticPr fontId="4"/>
  </si>
  <si>
    <t>麒麟の影像が大きく歪んだ！
状態異常無効+フィーバーゲージが0に！</t>
    <rPh sb="3" eb="5">
      <t>エイゾウ</t>
    </rPh>
    <rPh sb="6" eb="7">
      <t>オオ</t>
    </rPh>
    <rPh sb="9" eb="10">
      <t>ユガ</t>
    </rPh>
    <rPh sb="14" eb="20">
      <t>jy</t>
    </rPh>
    <phoneticPr fontId="4"/>
  </si>
  <si>
    <t>null</t>
    <phoneticPr fontId="4"/>
  </si>
  <si>
    <t>null</t>
    <phoneticPr fontId="4"/>
  </si>
  <si>
    <t>[effect:rush, count:5, val:0.18]</t>
    <phoneticPr fontId="4"/>
  </si>
  <si>
    <t>[effect:enhance_enemy, target:enemy_yellow, turn:3, status:attack, val:1.0, animation:enemy_enhance_enemy],[effect:fix_speed,target:myself,turn:2]</t>
    <phoneticPr fontId="4"/>
  </si>
  <si>
    <t>[effect:enhance_enemy, target:enemy_yellow, turn:3, status:attack, val:1.0, animation:enemy_enhance_enemy]</t>
    <phoneticPr fontId="4"/>
  </si>
  <si>
    <t>null</t>
    <phoneticPr fontId="4"/>
  </si>
  <si>
    <t>[effect:rush, count:5, val:0.25]</t>
    <phoneticPr fontId="4"/>
  </si>
  <si>
    <t xml:space="preserve"> </t>
    <phoneticPr fontId="4"/>
  </si>
  <si>
    <t>Cパネルの生成が4つ延長される</t>
    <rPh sb="5" eb="7">
      <t>セイセ</t>
    </rPh>
    <rPh sb="10" eb="12">
      <t>エンチョ</t>
    </rPh>
    <phoneticPr fontId="4"/>
  </si>
  <si>
    <t>解除するまで攻撃力がアップ</t>
    <rPh sb="0" eb="6">
      <t>カ</t>
    </rPh>
    <rPh sb="6" eb="13">
      <t>コウゲk</t>
    </rPh>
    <phoneticPr fontId="4"/>
  </si>
  <si>
    <t>解除するまで防御力がアップ</t>
    <rPh sb="0" eb="6">
      <t>カ</t>
    </rPh>
    <rPh sb="6" eb="13">
      <t>ボ</t>
    </rPh>
    <phoneticPr fontId="4"/>
  </si>
  <si>
    <t>姫を落としに来ただと…？</t>
    <rPh sb="0" eb="1">
      <t>ヒメサマ</t>
    </rPh>
    <rPh sb="2" eb="3">
      <t>オ</t>
    </rPh>
    <rPh sb="6" eb="7">
      <t>キ</t>
    </rPh>
    <phoneticPr fontId="4"/>
  </si>
  <si>
    <t>嬢ちゃんは儂らが守るぞい</t>
    <rPh sb="0" eb="1">
      <t>ジョウ</t>
    </rPh>
    <rPh sb="5" eb="6">
      <t>ワシ</t>
    </rPh>
    <rPh sb="8" eb="9">
      <t>マモ</t>
    </rPh>
    <phoneticPr fontId="4"/>
  </si>
  <si>
    <t>オレ様についてこれるかー？</t>
    <rPh sb="2" eb="3">
      <t>サマ</t>
    </rPh>
    <phoneticPr fontId="4"/>
  </si>
  <si>
    <t>朱雀の奴め生き急ぎおって…</t>
    <rPh sb="0" eb="2">
      <t>スザク</t>
    </rPh>
    <rPh sb="3" eb="4">
      <t>ヤツ</t>
    </rPh>
    <rPh sb="5" eb="6">
      <t>イ</t>
    </rPh>
    <rPh sb="7" eb="8">
      <t>イソ</t>
    </rPh>
    <phoneticPr fontId="4"/>
  </si>
  <si>
    <t>解除するまで行動頻度が1になる</t>
    <rPh sb="0" eb="6">
      <t>カイジョス</t>
    </rPh>
    <rPh sb="6" eb="11">
      <t>コウド</t>
    </rPh>
    <phoneticPr fontId="4"/>
  </si>
  <si>
    <t>白虎を止めるとは…！！</t>
    <rPh sb="0" eb="2">
      <t>ビャッコ</t>
    </rPh>
    <rPh sb="3" eb="4">
      <t>ト</t>
    </rPh>
    <phoneticPr fontId="4"/>
  </si>
  <si>
    <t>[effect:degrade_unit, target:unit_all, turn:4, status:action, val:2 ,animation:enemy_tap_down]</t>
    <phoneticPr fontId="4"/>
  </si>
  <si>
    <t>[effect:crash_condition, target:unit_all, val:4, turn:5, animation:enemy_crash_extend]</t>
    <phoneticPr fontId="4"/>
  </si>
  <si>
    <t>2970-01-01 09:00:00</t>
  </si>
  <si>
    <t>2015-03-27 00:00:00</t>
  </si>
  <si>
    <t>bit</t>
  </si>
  <si>
    <t>definite_end_date</t>
    <phoneticPr fontId="4"/>
  </si>
  <si>
    <t>definite_start_date</t>
    <phoneticPr fontId="4"/>
  </si>
  <si>
    <t>weight</t>
    <phoneticPr fontId="4"/>
  </si>
  <si>
    <t>bug</t>
    <phoneticPr fontId="4"/>
  </si>
  <si>
    <t>heal_plus</t>
    <phoneticPr fontId="4"/>
  </si>
  <si>
    <t>defense_plus</t>
    <phoneticPr fontId="4"/>
  </si>
  <si>
    <t>attack_plus</t>
    <phoneticPr fontId="4"/>
  </si>
  <si>
    <t>hp_plus</t>
    <phoneticPr fontId="4"/>
  </si>
  <si>
    <t>skill_level</t>
    <phoneticPr fontId="4"/>
  </si>
  <si>
    <t>level</t>
    <phoneticPr fontId="4"/>
  </si>
  <si>
    <t>bonus_count</t>
    <phoneticPr fontId="4"/>
  </si>
  <si>
    <t>bonus_value</t>
    <phoneticPr fontId="4"/>
  </si>
  <si>
    <t>bonus_type</t>
    <phoneticPr fontId="4"/>
  </si>
  <si>
    <t>bonus_id</t>
    <phoneticPr fontId="4"/>
  </si>
  <si>
    <t>stage_target</t>
    <phoneticPr fontId="4"/>
  </si>
  <si>
    <t>temp_stage</t>
    <phoneticPr fontId="6"/>
  </si>
  <si>
    <t>stage_id</t>
    <phoneticPr fontId="4"/>
  </si>
  <si>
    <t>quest_id</t>
    <phoneticPr fontId="4"/>
  </si>
  <si>
    <t>complete</t>
  </si>
  <si>
    <t>NULL</t>
    <phoneticPr fontId="4"/>
  </si>
  <si>
    <t>filename</t>
    <phoneticPr fontId="4"/>
  </si>
  <si>
    <t>hint</t>
    <phoneticPr fontId="4"/>
  </si>
  <si>
    <t>title</t>
    <phoneticPr fontId="4"/>
  </si>
  <si>
    <t>language</t>
    <phoneticPr fontId="4"/>
  </si>
  <si>
    <t>hint_id</t>
    <phoneticPr fontId="4"/>
  </si>
  <si>
    <t>floor_id</t>
    <phoneticPr fontId="4"/>
  </si>
  <si>
    <t>name</t>
    <phoneticPr fontId="4"/>
  </si>
  <si>
    <t>hint_type</t>
    <phoneticPr fontId="4"/>
  </si>
  <si>
    <t>NULL</t>
    <phoneticPr fontId="4"/>
  </si>
  <si>
    <t>攻略のヒント</t>
    <rPh sb="0" eb="2">
      <t>コウリャク</t>
    </rPh>
    <phoneticPr fontId="4"/>
  </si>
  <si>
    <t>failure</t>
  </si>
  <si>
    <t>hint</t>
    <phoneticPr fontId="4"/>
  </si>
  <si>
    <t>title</t>
    <phoneticPr fontId="4"/>
  </si>
  <si>
    <t>language</t>
    <phoneticPr fontId="4"/>
  </si>
  <si>
    <t>hint_id</t>
    <phoneticPr fontId="4"/>
  </si>
  <si>
    <t>tmp_hint_id</t>
    <phoneticPr fontId="4"/>
  </si>
  <si>
    <t>floor_id</t>
    <phoneticPr fontId="4"/>
  </si>
  <si>
    <t>hint_type</t>
    <phoneticPr fontId="4"/>
  </si>
  <si>
    <t>[effect:enhance_enemy, target:myself, turn:5, status:attack, val:0.5, animation:enemy_enhance_enemy],[effect:fix_speed,target:myself,turn:2]</t>
    <phoneticPr fontId="4"/>
  </si>
  <si>
    <t>全体攻撃</t>
    <rPh sb="0" eb="4">
      <t>ゼンタイコウゲキ</t>
    </rPh>
    <phoneticPr fontId="4"/>
  </si>
  <si>
    <t>[effect:critical, val:0.6, animation:enemy_critical]</t>
    <phoneticPr fontId="4"/>
  </si>
  <si>
    <t>[effect:enhance_enemy, target:myself, turn:-1, status:attack, val:1.15, animation:enemy_enhance_enemy]</t>
    <phoneticPr fontId="4"/>
  </si>
  <si>
    <t>白虎はスキルバインド
青龍はスリープの特殊能力をもち
どちらかが倒されると
残った方がパワーアップします</t>
    <rPh sb="0" eb="2">
      <t>ビャッコ</t>
    </rPh>
    <rPh sb="11" eb="13">
      <t>セイリュウ</t>
    </rPh>
    <rPh sb="19" eb="23">
      <t>トクシュノウリョク</t>
    </rPh>
    <rPh sb="32" eb="33">
      <t>タオレルト</t>
    </rPh>
    <rPh sb="38" eb="39">
      <t>ノコッタ</t>
    </rPh>
    <rPh sb="41" eb="42">
      <t>ホウ</t>
    </rPh>
    <phoneticPr fontId="4"/>
  </si>
  <si>
    <t>お邪魔パネルの処理スキルをもつ
ユニットを編成していない場合は
お邪魔パネルを生成されるまで
フィーバーゲージを温存しましょう</t>
    <rPh sb="7" eb="9">
      <t>ショリ</t>
    </rPh>
    <rPh sb="21" eb="23">
      <t>ヘンセイ</t>
    </rPh>
    <rPh sb="39" eb="41">
      <t>セイセイ</t>
    </rPh>
    <rPh sb="56" eb="58">
      <t>オンゾｎ</t>
    </rPh>
    <phoneticPr fontId="4"/>
  </si>
  <si>
    <t>雷光閃・拡散</t>
    <phoneticPr fontId="4"/>
  </si>
  <si>
    <t>雷光閃・拡散</t>
    <phoneticPr fontId="4"/>
  </si>
  <si>
    <t>[effect:critical, val:0.8, animation:enemy_critical]</t>
    <phoneticPr fontId="4"/>
  </si>
  <si>
    <t>[effect:critical, val:1.5, animation:enemy_critical]</t>
    <phoneticPr fontId="4"/>
  </si>
  <si>
    <t>[effect:spread, val:0.35, animation:enemy_spread]</t>
    <phoneticPr fontId="4"/>
  </si>
  <si>
    <t>[effect:spread, val:0.32, animation:enemy_spread]</t>
    <phoneticPr fontId="4"/>
  </si>
  <si>
    <t>unit</t>
  </si>
  <si>
    <t>old</t>
  </si>
  <si>
    <t>stage_bug_bonuses_</t>
  </si>
  <si>
    <t>.tmp</t>
  </si>
  <si>
    <t>bugbonuses</t>
  </si>
  <si>
    <t>stage_target</t>
  </si>
  <si>
    <t>bonus_id</t>
  </si>
  <si>
    <t>bonus_type</t>
  </si>
  <si>
    <t>bonus_value</t>
  </si>
  <si>
    <t>bonus_count</t>
  </si>
  <si>
    <t>skill_level</t>
  </si>
  <si>
    <t>weight</t>
  </si>
  <si>
    <t>definite_start_date</t>
  </si>
  <si>
    <t>definite_end_date</t>
  </si>
  <si>
    <t>stage_hints_data_c_</t>
  </si>
  <si>
    <t>stage_hints_complete</t>
  </si>
  <si>
    <t>hint_id</t>
  </si>
  <si>
    <t>hint_type</t>
  </si>
  <si>
    <t>stage_hints_data_f_</t>
  </si>
  <si>
    <t>stage_hints_failure</t>
  </si>
  <si>
    <t>stage_hints_i18n_</t>
  </si>
  <si>
    <t>hint</t>
  </si>
  <si>
    <t>filename</t>
  </si>
  <si>
    <t>title</t>
  </si>
  <si>
    <t>玄武は残り体力が少なくなると
攻撃スキルの威力がアップします
玄武の体力が半分に近づいてきたら
態勢を整えて一気に倒しましょう</t>
    <rPh sb="0" eb="2">
      <t>ゲンブ</t>
    </rPh>
    <rPh sb="3" eb="4">
      <t>ノコリ</t>
    </rPh>
    <rPh sb="5" eb="7">
      <t>タイリョク</t>
    </rPh>
    <rPh sb="8" eb="9">
      <t>スクナク</t>
    </rPh>
    <rPh sb="15" eb="17">
      <t>コウゲキ</t>
    </rPh>
    <rPh sb="21" eb="23">
      <t>イリョク</t>
    </rPh>
    <rPh sb="31" eb="33">
      <t>ゲンブ</t>
    </rPh>
    <rPh sb="34" eb="36">
      <t>タイリョク</t>
    </rPh>
    <rPh sb="37" eb="39">
      <t>ハンブｎ</t>
    </rPh>
    <rPh sb="40" eb="41">
      <t>チカヅイタラ</t>
    </rPh>
    <rPh sb="48" eb="50">
      <t>taiseiwo</t>
    </rPh>
    <rPh sb="51" eb="52">
      <t>トトノエテカラ</t>
    </rPh>
    <rPh sb="54" eb="56">
      <t>イッキニ</t>
    </rPh>
    <rPh sb="57" eb="58">
      <t>タオシキリマショウ</t>
    </rPh>
    <phoneticPr fontId="4"/>
  </si>
  <si>
    <t>麒麟が追い詰められると使用する
スキル太極布陣・超重力は
タップ回数が1回になってしまうため
勝ちが見えても油断は禁物です</t>
    <rPh sb="0" eb="2">
      <t>キリン</t>
    </rPh>
    <rPh sb="3" eb="4">
      <t>オイツメラレルト</t>
    </rPh>
    <rPh sb="11" eb="13">
      <t>シヨウ</t>
    </rPh>
    <rPh sb="32" eb="34">
      <t>カイスウ</t>
    </rPh>
    <rPh sb="36" eb="37">
      <t>カイ</t>
    </rPh>
    <rPh sb="47" eb="48">
      <t>syouki</t>
    </rPh>
    <rPh sb="50" eb="51">
      <t>ミエテモ</t>
    </rPh>
    <rPh sb="54" eb="56">
      <t>ユダン</t>
    </rPh>
    <rPh sb="57" eb="59">
      <t>キンモツ</t>
    </rPh>
    <phoneticPr fontId="4"/>
  </si>
  <si>
    <t>4ターンタップ回数が1になる</t>
    <rPh sb="7" eb="9">
      <t>カイス</t>
    </rPh>
    <phoneticPr fontId="4"/>
  </si>
  <si>
    <t>全体攻撃＋3ターンスキルバインド</t>
    <rPh sb="0" eb="4">
      <t>ゼン</t>
    </rPh>
    <phoneticPr fontId="4"/>
  </si>
  <si>
    <t>単体にダメージ＋3ターンスリープ</t>
    <rPh sb="0" eb="3">
      <t>タンタ</t>
    </rPh>
    <phoneticPr fontId="4"/>
  </si>
  <si>
    <t>[effect:degrade_unit, target:unit_all, turn:5, status:attack, val:1.0, calc:mul],[effect:spread, val:0.3, animation:enemy_spread]</t>
    <phoneticPr fontId="4"/>
  </si>
  <si>
    <t>右手に力を溜め始めた
状態異常無効＋3ターン暗闇</t>
    <rPh sb="11" eb="17">
      <t>jy</t>
    </rPh>
    <rPh sb="22" eb="24">
      <t>クラヤm</t>
    </rPh>
    <phoneticPr fontId="4"/>
  </si>
  <si>
    <t>[effect:tolerance,target:myself, turn:-1, tolerance_effect:all, count:-1],[effect:fix_speed,target:myself,turn:1],[effect:degrade_fever, val:1000.0, animation:fevergauge_down],[effect:enhance_fever, val:0.0]</t>
    <phoneticPr fontId="4"/>
  </si>
  <si>
    <t>世界中で申請されるALICEへの
アクセスを監査するシステムです
不正が認められれば入場すら許されず
然るべき処置が下されます</t>
    <phoneticPr fontId="4"/>
  </si>
  <si>
    <t>麒麟システム</t>
    <phoneticPr fontId="4"/>
  </si>
  <si>
    <t>麒麟の異常な動作に気づきつつも
彼女を守る使命を全うした四神
本当は彼女を止めてくれる
人物を待っていたのかもしれません</t>
    <phoneticPr fontId="4"/>
  </si>
  <si>
    <t>四神の役割</t>
    <phoneticPr fontId="4"/>
  </si>
  <si>
    <t>あらゆるアクセスを監査する麒麟は
同時にALICE内の全領域に繋がる
鍵となり得ます
何者かがこれを狙ったのでしょうか</t>
    <phoneticPr fontId="4"/>
  </si>
  <si>
    <t>鍵の権能</t>
    <phoneticPr fontId="4"/>
  </si>
  <si>
    <t>麒麟が自我を失い暴れ回っていた理由は
彼女が落ち着いてからも不明瞭なままでした
ともあれシステムは正常に復旧したようです</t>
    <phoneticPr fontId="4"/>
  </si>
  <si>
    <t>女王暴走の影響…？</t>
    <phoneticPr fontId="4"/>
  </si>
  <si>
    <t>[effect:force_change_block, new_block:jammer, target:block_all, ignore01:crash, ignore02:jammer, ignore03:color_break, ignore04:magnet, count:8, val:0, animation:change_block],[effect:spread, val:0.3, animation:enemy_spread]</t>
    <phoneticPr fontId="4"/>
  </si>
  <si>
    <t>[effect:tolerance,target:myself, turn:-1, tolerance_effect:all, count:-1],[effect:force_change_block, new_block:jammer, target:block_all, ignore01:crash, ignore02:jammer, ignore03:color_break, ignore04:magnet, count:12, val:0, animation:change_block],[effect:fix_speed,target:myself,turn:2]</t>
    <phoneticPr fontId="4"/>
  </si>
  <si>
    <t>[effect:force_change_block, new_block:jammer, target:block_all, ignore01:crash, ignore02:jammer, ignore03:color_break, ignore04:magnet, count:10, val:0, animation:change_block],[effect:spread, val:0.3, animation:enemy_spread]</t>
    <phoneticPr fontId="4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</si>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</sst>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name val="ＭＳ Ｐゴシック"/>
      <family val="3"/>
      <charset val="128"/>
      <scheme val="minor"/>
    </font>
    <font>
      <sz val="9.6"/>
      <color rgb="FF000000"/>
      <name val="ＭＳ Ｐゴシック"/>
      <family val="2"/>
      <charset val="128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9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55"/>
        <bgColor indexed="23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34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0" borderId="0">
      <alignment vertical="center"/>
    </xf>
    <xf numFmtId="0" fontId="24" fillId="10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1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1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1" borderId="0" applyNumberFormat="0" applyBorder="0" applyAlignment="0" applyProtection="0"/>
    <xf numFmtId="0" fontId="26" fillId="27" borderId="0" applyNumberFormat="0" applyBorder="0" applyAlignment="0" applyProtection="0"/>
    <xf numFmtId="0" fontId="26" fillId="22" borderId="0" applyNumberFormat="0" applyBorder="0" applyAlignment="0" applyProtection="0"/>
    <xf numFmtId="0" fontId="27" fillId="28" borderId="0" applyNumberFormat="0" applyBorder="0" applyAlignment="0" applyProtection="0"/>
    <xf numFmtId="0" fontId="27" fillId="26" borderId="0" applyNumberFormat="0" applyBorder="0" applyAlignment="0" applyProtection="0"/>
    <xf numFmtId="0" fontId="27" fillId="23" borderId="0" applyNumberFormat="0" applyBorder="0" applyAlignment="0" applyProtection="0"/>
    <xf numFmtId="0" fontId="27" fillId="21" borderId="0" applyNumberFormat="0" applyBorder="0" applyAlignment="0" applyProtection="0"/>
    <xf numFmtId="0" fontId="27" fillId="28" borderId="0" applyNumberFormat="0" applyBorder="0" applyAlignment="0" applyProtection="0"/>
    <xf numFmtId="0" fontId="27" fillId="22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29" borderId="11" applyNumberFormat="0" applyAlignment="0" applyProtection="0"/>
    <xf numFmtId="0" fontId="27" fillId="28" borderId="0" applyNumberFormat="0" applyBorder="0" applyAlignment="0" applyProtection="0"/>
    <xf numFmtId="0" fontId="27" fillId="30" borderId="0" applyNumberFormat="0" applyBorder="0" applyAlignment="0" applyProtection="0"/>
    <xf numFmtId="0" fontId="27" fillId="23" borderId="0" applyNumberFormat="0" applyBorder="0" applyAlignment="0" applyProtection="0"/>
    <xf numFmtId="0" fontId="27" fillId="31" borderId="0" applyNumberFormat="0" applyBorder="0" applyAlignment="0" applyProtection="0"/>
    <xf numFmtId="0" fontId="27" fillId="28" borderId="0" applyNumberFormat="0" applyBorder="0" applyAlignment="0" applyProtection="0"/>
    <xf numFmtId="0" fontId="27" fillId="26" borderId="0" applyNumberFormat="0" applyBorder="0" applyAlignment="0" applyProtection="0"/>
    <xf numFmtId="0" fontId="30" fillId="25" borderId="12" applyNumberFormat="0" applyAlignment="0" applyProtection="0"/>
    <xf numFmtId="0" fontId="31" fillId="0" borderId="13" applyNumberFormat="0" applyFill="0" applyAlignment="0" applyProtection="0"/>
    <xf numFmtId="0" fontId="32" fillId="22" borderId="0" applyNumberFormat="0" applyBorder="0" applyAlignment="0" applyProtection="0"/>
    <xf numFmtId="0" fontId="33" fillId="32" borderId="0" applyNumberFormat="0" applyBorder="0" applyAlignment="0" applyProtection="0"/>
    <xf numFmtId="0" fontId="34" fillId="33" borderId="14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5" applyNumberFormat="0" applyFill="0" applyAlignment="0" applyProtection="0"/>
    <xf numFmtId="0" fontId="37" fillId="0" borderId="16" applyNumberFormat="0" applyFill="0" applyAlignment="0" applyProtection="0"/>
    <xf numFmtId="0" fontId="38" fillId="0" borderId="17" applyNumberFormat="0" applyFill="0" applyAlignment="0" applyProtection="0"/>
    <xf numFmtId="0" fontId="39" fillId="0" borderId="18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19" applyNumberFormat="0" applyFill="0" applyAlignment="0" applyProtection="0"/>
    <xf numFmtId="0" fontId="41" fillId="21" borderId="20" applyNumberFormat="0" applyAlignment="0" applyProtection="0"/>
    <xf numFmtId="0" fontId="41" fillId="33" borderId="20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21" borderId="14" applyNumberFormat="0" applyAlignment="0" applyProtection="0"/>
    <xf numFmtId="0" fontId="43" fillId="22" borderId="14" applyNumberFormat="0" applyAlignment="0" applyProtection="0"/>
    <xf numFmtId="0" fontId="32" fillId="22" borderId="0" applyNumberFormat="0" applyBorder="0" applyAlignment="0" applyProtection="0"/>
    <xf numFmtId="0" fontId="44" fillId="34" borderId="0" applyNumberFormat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</cellStyleXfs>
  <cellXfs count="11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5" borderId="9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177" fontId="7" fillId="0" borderId="4" xfId="0" applyNumberFormat="1" applyFont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vertical="center"/>
    </xf>
    <xf numFmtId="0" fontId="13" fillId="7" borderId="0" xfId="0" applyFont="1" applyFill="1" applyAlignment="1">
      <alignment vertical="center"/>
    </xf>
    <xf numFmtId="0" fontId="15" fillId="6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3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14" fontId="15" fillId="0" borderId="7" xfId="0" applyNumberFormat="1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2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5" fillId="12" borderId="7" xfId="0" applyFont="1" applyFill="1" applyBorder="1"/>
    <xf numFmtId="0" fontId="12" fillId="11" borderId="7" xfId="434" applyFont="1" applyFill="1" applyBorder="1" applyAlignment="1"/>
    <xf numFmtId="0" fontId="23" fillId="0" borderId="7" xfId="434" applyBorder="1" applyAlignment="1"/>
    <xf numFmtId="0" fontId="10" fillId="0" borderId="7" xfId="0" applyFont="1" applyBorder="1" applyAlignment="1">
      <alignment vertical="center"/>
    </xf>
    <xf numFmtId="0" fontId="15" fillId="13" borderId="7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vertical="center"/>
    </xf>
    <xf numFmtId="0" fontId="5" fillId="15" borderId="3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 wrapText="1"/>
    </xf>
    <xf numFmtId="0" fontId="5" fillId="0" borderId="3" xfId="0" applyFont="1" applyFill="1" applyBorder="1" applyAlignment="1">
      <alignment vertical="center"/>
    </xf>
    <xf numFmtId="0" fontId="15" fillId="14" borderId="7" xfId="0" applyFont="1" applyFill="1" applyBorder="1" applyAlignment="1">
      <alignment vertical="center"/>
    </xf>
    <xf numFmtId="0" fontId="15" fillId="6" borderId="7" xfId="0" applyFont="1" applyFill="1" applyBorder="1" applyAlignment="1">
      <alignment vertical="center"/>
    </xf>
    <xf numFmtId="0" fontId="15" fillId="16" borderId="7" xfId="0" applyFont="1" applyFill="1" applyBorder="1" applyAlignment="1">
      <alignment vertical="center"/>
    </xf>
    <xf numFmtId="0" fontId="15" fillId="17" borderId="7" xfId="0" applyFont="1" applyFill="1" applyBorder="1" applyAlignment="1">
      <alignment vertical="center"/>
    </xf>
    <xf numFmtId="0" fontId="15" fillId="18" borderId="7" xfId="0" applyFont="1" applyFill="1" applyBorder="1" applyAlignment="1">
      <alignment vertical="center"/>
    </xf>
    <xf numFmtId="0" fontId="15" fillId="19" borderId="7" xfId="0" applyFont="1" applyFill="1" applyBorder="1" applyAlignment="1">
      <alignment vertical="center"/>
    </xf>
    <xf numFmtId="0" fontId="10" fillId="17" borderId="7" xfId="0" applyFont="1" applyFill="1" applyBorder="1" applyAlignment="1">
      <alignment vertical="center"/>
    </xf>
    <xf numFmtId="0" fontId="15" fillId="20" borderId="7" xfId="0" applyFont="1" applyFill="1" applyBorder="1" applyAlignment="1">
      <alignment vertical="center"/>
    </xf>
    <xf numFmtId="0" fontId="0" fillId="3" borderId="7" xfId="0" applyFill="1" applyBorder="1"/>
    <xf numFmtId="0" fontId="15" fillId="6" borderId="7" xfId="982" applyFont="1" applyFill="1" applyBorder="1" applyAlignment="1">
      <alignment horizontal="left"/>
    </xf>
    <xf numFmtId="0" fontId="0" fillId="6" borderId="7" xfId="983" applyFont="1" applyFill="1" applyBorder="1"/>
    <xf numFmtId="0" fontId="15" fillId="3" borderId="7" xfId="982" applyFont="1" applyFill="1" applyBorder="1" applyAlignment="1">
      <alignment horizontal="left"/>
    </xf>
    <xf numFmtId="0" fontId="13" fillId="7" borderId="0" xfId="982" applyFont="1" applyFill="1" applyAlignment="1">
      <alignment horizontal="center" vertical="center"/>
    </xf>
    <xf numFmtId="0" fontId="45" fillId="0" borderId="0" xfId="0" applyFont="1" applyFill="1"/>
    <xf numFmtId="0" fontId="47" fillId="0" borderId="7" xfId="0" applyFont="1" applyFill="1" applyBorder="1"/>
    <xf numFmtId="0" fontId="48" fillId="0" borderId="21" xfId="0" applyFont="1" applyFill="1" applyBorder="1" applyAlignment="1">
      <alignment vertical="center"/>
    </xf>
    <xf numFmtId="0" fontId="48" fillId="3" borderId="21" xfId="0" applyFont="1" applyFill="1" applyBorder="1" applyAlignment="1">
      <alignment vertical="center"/>
    </xf>
    <xf numFmtId="0" fontId="46" fillId="0" borderId="7" xfId="0" applyFont="1" applyFill="1" applyBorder="1"/>
    <xf numFmtId="0" fontId="49" fillId="0" borderId="7" xfId="0" applyFont="1" applyFill="1" applyBorder="1"/>
    <xf numFmtId="0" fontId="45" fillId="0" borderId="7" xfId="0" applyFont="1" applyFill="1" applyBorder="1"/>
    <xf numFmtId="0" fontId="0" fillId="36" borderId="7" xfId="0" applyFill="1" applyBorder="1"/>
    <xf numFmtId="56" fontId="15" fillId="35" borderId="7" xfId="0" applyNumberFormat="1" applyFont="1" applyFill="1" applyBorder="1" applyAlignment="1">
      <alignment horizontal="center"/>
    </xf>
    <xf numFmtId="0" fontId="15" fillId="35" borderId="7" xfId="0" applyFont="1" applyFill="1" applyBorder="1" applyAlignment="1">
      <alignment horizontal="center"/>
    </xf>
    <xf numFmtId="0" fontId="15" fillId="36" borderId="7" xfId="0" applyFont="1" applyFill="1" applyBorder="1" applyAlignment="1">
      <alignment horizontal="center"/>
    </xf>
    <xf numFmtId="0" fontId="15" fillId="14" borderId="7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45" fillId="6" borderId="7" xfId="0" applyFont="1" applyFill="1" applyBorder="1" applyAlignment="1">
      <alignment horizontal="center"/>
    </xf>
    <xf numFmtId="0" fontId="47" fillId="35" borderId="7" xfId="0" applyFont="1" applyFill="1" applyBorder="1"/>
    <xf numFmtId="0" fontId="47" fillId="37" borderId="7" xfId="0" applyFont="1" applyFill="1" applyBorder="1"/>
    <xf numFmtId="0" fontId="15" fillId="37" borderId="7" xfId="0" applyFont="1" applyFill="1" applyBorder="1" applyAlignment="1">
      <alignment horizontal="center"/>
    </xf>
    <xf numFmtId="38" fontId="15" fillId="0" borderId="7" xfId="1031" applyFont="1" applyFill="1" applyBorder="1" applyAlignment="1">
      <alignment wrapText="1"/>
    </xf>
    <xf numFmtId="0" fontId="50" fillId="0" borderId="7" xfId="0" applyFont="1" applyBorder="1"/>
    <xf numFmtId="0" fontId="11" fillId="7" borderId="0" xfId="0" applyFont="1" applyFill="1" applyBorder="1" applyAlignment="1">
      <alignment vertical="center"/>
    </xf>
    <xf numFmtId="0" fontId="51" fillId="0" borderId="7" xfId="0" applyFont="1" applyBorder="1"/>
    <xf numFmtId="0" fontId="25" fillId="0" borderId="10" xfId="0" applyFont="1" applyBorder="1"/>
    <xf numFmtId="0" fontId="10" fillId="12" borderId="10" xfId="0" applyFont="1" applyFill="1" applyBorder="1" applyAlignment="1">
      <alignment horizontal="left"/>
    </xf>
    <xf numFmtId="0" fontId="25" fillId="12" borderId="10" xfId="0" applyFont="1" applyFill="1" applyBorder="1"/>
    <xf numFmtId="0" fontId="25" fillId="0" borderId="0" xfId="0" applyFont="1"/>
    <xf numFmtId="0" fontId="51" fillId="0" borderId="21" xfId="0" applyFont="1" applyBorder="1"/>
    <xf numFmtId="0" fontId="25" fillId="0" borderId="22" xfId="0" applyFont="1" applyBorder="1"/>
    <xf numFmtId="0" fontId="10" fillId="12" borderId="22" xfId="0" applyFont="1" applyFill="1" applyBorder="1" applyAlignment="1">
      <alignment horizontal="center"/>
    </xf>
    <xf numFmtId="56" fontId="10" fillId="12" borderId="22" xfId="0" applyNumberFormat="1" applyFont="1" applyFill="1" applyBorder="1" applyAlignment="1">
      <alignment horizontal="center"/>
    </xf>
    <xf numFmtId="0" fontId="25" fillId="12" borderId="22" xfId="0" applyFont="1" applyFill="1" applyBorder="1"/>
    <xf numFmtId="0" fontId="25" fillId="12" borderId="0" xfId="0" applyFont="1" applyFill="1"/>
    <xf numFmtId="0" fontId="10" fillId="12" borderId="22" xfId="0" applyFont="1" applyFill="1" applyBorder="1" applyAlignment="1">
      <alignment horizontal="left"/>
    </xf>
  </cellXfs>
  <cellStyles count="1034">
    <cellStyle name="20% - ANZg1" xfId="984"/>
    <cellStyle name="20% - ANZg2" xfId="985"/>
    <cellStyle name="20% - ANZg3" xfId="986"/>
    <cellStyle name="20% - ANZg4" xfId="987"/>
    <cellStyle name="20% - ANZg5" xfId="988"/>
    <cellStyle name="20% - ANZg6" xfId="989"/>
    <cellStyle name="40% - ANZg1" xfId="990"/>
    <cellStyle name="40% - ANZg2" xfId="991"/>
    <cellStyle name="40% - ANZg3" xfId="992"/>
    <cellStyle name="40% - ANZg4" xfId="993"/>
    <cellStyle name="40% - ANZg5" xfId="994"/>
    <cellStyle name="40% - ANZg6" xfId="995"/>
    <cellStyle name="60% - ANZg1" xfId="996"/>
    <cellStyle name="60% - ANZg2" xfId="997"/>
    <cellStyle name="60% - ANZg3" xfId="998"/>
    <cellStyle name="60% - ANZg4" xfId="999"/>
    <cellStyle name="60% - ANZg5" xfId="1000"/>
    <cellStyle name="60% - ANZg6" xfId="1001"/>
    <cellStyle name="Excel Built-in Normal" xfId="428"/>
    <cellStyle name="^Cg" xfId="1002"/>
    <cellStyle name="`FbN Z" xfId="1003"/>
    <cellStyle name="ANZg 1" xfId="1004"/>
    <cellStyle name="ANZg 2" xfId="1005"/>
    <cellStyle name="ANZg 3" xfId="1006"/>
    <cellStyle name="ANZg 4" xfId="1007"/>
    <cellStyle name="ANZg 5" xfId="1008"/>
    <cellStyle name="ANZg 6" xfId="1009"/>
    <cellStyle name="" xfId="1010"/>
    <cellStyle name="N Z" xfId="1011"/>
    <cellStyle name="_" xfId="1012"/>
    <cellStyle name="«¢" xfId="1013"/>
    <cellStyle name="vZ" xfId="1014"/>
    <cellStyle name="x÷" xfId="1015"/>
    <cellStyle name="x¶" xfId="1016"/>
    <cellStyle name="ýo_ 1" xfId="1017"/>
    <cellStyle name="©oµ 1" xfId="1018"/>
    <cellStyle name="©oµ 2" xfId="1019"/>
    <cellStyle name="©oµ 3" xfId="1020"/>
    <cellStyle name="©oµ 4" xfId="1021"/>
    <cellStyle name="v" xfId="1022"/>
    <cellStyle name="o_" xfId="1023"/>
    <cellStyle name="oÍ" xfId="1024"/>
    <cellStyle name="__÷" xfId="1025"/>
    <cellStyle name="à¾¶" xfId="1026"/>
    <cellStyle name="__" xfId="1027"/>
    <cellStyle name="üÍ" xfId="1028"/>
    <cellStyle name="Ê" xfId="1029"/>
    <cellStyle name="Ç¢" xfId="1030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桁区切り 2" xfId="429"/>
    <cellStyle name="桁区切り 2 2" xfId="1031"/>
    <cellStyle name="標準" xfId="0" builtinId="0"/>
    <cellStyle name="標準 2" xfId="432"/>
    <cellStyle name="標準 2 2" xfId="433"/>
    <cellStyle name="標準 3" xfId="434"/>
    <cellStyle name="標準 4" xfId="11"/>
    <cellStyle name="標準 4 2" xfId="982"/>
    <cellStyle name="標準 5" xfId="1032"/>
    <cellStyle name="標準 5 2" xfId="1033"/>
    <cellStyle name="標準 6" xfId="983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0" sqref="A10"/>
    </sheetView>
  </sheetViews>
  <sheetFormatPr baseColWidth="12" defaultRowHeight="15" x14ac:dyDescent="0.15"/>
  <cols>
    <col min="2" max="2" width="14.83203125" bestFit="1" customWidth="1"/>
    <col min="5" max="5" width="28.6640625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130</v>
      </c>
      <c r="B2" s="57" t="s">
        <v>105</v>
      </c>
      <c r="C2" s="57">
        <f>floors!C$2</f>
        <v>51001</v>
      </c>
      <c r="D2" s="57" t="s">
        <v>106</v>
      </c>
      <c r="E2" s="56" t="str">
        <f>B2&amp;C2&amp;D2</f>
        <v>floors_51001.tmp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130</v>
      </c>
      <c r="B3" s="57" t="s">
        <v>108</v>
      </c>
      <c r="C3" s="57">
        <f>floors!C$2</f>
        <v>51001</v>
      </c>
      <c r="D3" s="57" t="s">
        <v>106</v>
      </c>
      <c r="E3" s="56" t="str">
        <f>B3&amp;C3&amp;D3</f>
        <v>enemy_habitats_51001.tmp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</row>
    <row r="4" spans="1:30" x14ac:dyDescent="0.15">
      <c r="A4" s="61" t="s">
        <v>130</v>
      </c>
      <c r="B4" s="57" t="s">
        <v>110</v>
      </c>
      <c r="C4" s="57">
        <f>floors!C$2</f>
        <v>51001</v>
      </c>
      <c r="D4" s="57" t="s">
        <v>106</v>
      </c>
      <c r="E4" s="56" t="str">
        <f>B4&amp;C4&amp;D4</f>
        <v>enemy_habitat_S_51001.tmp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130</v>
      </c>
      <c r="B5" s="57" t="s">
        <v>112</v>
      </c>
      <c r="C5" s="57">
        <f>floors!C$2</f>
        <v>51001</v>
      </c>
      <c r="D5" s="57" t="s">
        <v>106</v>
      </c>
      <c r="E5" s="56" t="str">
        <f>B5&amp;C5&amp;D5</f>
        <v>enemy_skill_sets_51001.tmp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130</v>
      </c>
      <c r="B6" s="57" t="s">
        <v>114</v>
      </c>
      <c r="C6" s="57">
        <f>floors!C$2</f>
        <v>51001</v>
      </c>
      <c r="D6" s="57" t="s">
        <v>115</v>
      </c>
      <c r="E6" s="56" t="str">
        <f t="shared" ref="E6:E12" si="0">B6&amp;C6&amp;D6</f>
        <v>enemy_skills_tmp_51001.tmp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130</v>
      </c>
      <c r="B7" s="57" t="s">
        <v>116</v>
      </c>
      <c r="C7" s="57">
        <f>floors!C$2</f>
        <v>51001</v>
      </c>
      <c r="D7" s="57" t="s">
        <v>106</v>
      </c>
      <c r="E7" s="56" t="str">
        <f>B7&amp;C7&amp;D7</f>
        <v>enemy_skills_i18n_51001.tmp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130</v>
      </c>
      <c r="B8" s="57" t="s">
        <v>118</v>
      </c>
      <c r="C8" s="57">
        <f>floors!C$2</f>
        <v>51001</v>
      </c>
      <c r="D8" s="57" t="s">
        <v>119</v>
      </c>
      <c r="E8" s="56" t="str">
        <f t="shared" si="0"/>
        <v>enemy_skill_triggers_51001.tmp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102" t="s">
        <v>335</v>
      </c>
      <c r="B9" s="103" t="s">
        <v>336</v>
      </c>
      <c r="C9" s="57">
        <f>floors!C$2</f>
        <v>51001</v>
      </c>
      <c r="D9" s="103" t="s">
        <v>337</v>
      </c>
      <c r="E9" s="56" t="str">
        <f t="shared" si="0"/>
        <v>stage_bug_bonuses_51001.tmp</v>
      </c>
      <c r="F9" s="103" t="s">
        <v>338</v>
      </c>
      <c r="G9" s="104" t="s">
        <v>0</v>
      </c>
      <c r="H9" s="104" t="s">
        <v>1</v>
      </c>
      <c r="I9" s="104" t="s">
        <v>339</v>
      </c>
      <c r="J9" s="105" t="s">
        <v>340</v>
      </c>
      <c r="K9" s="104" t="s">
        <v>341</v>
      </c>
      <c r="L9" s="104" t="s">
        <v>342</v>
      </c>
      <c r="M9" s="104" t="s">
        <v>343</v>
      </c>
      <c r="N9" s="104" t="s">
        <v>3</v>
      </c>
      <c r="O9" s="104" t="s">
        <v>344</v>
      </c>
      <c r="P9" s="104" t="s">
        <v>37</v>
      </c>
      <c r="Q9" s="104" t="s">
        <v>39</v>
      </c>
      <c r="R9" s="104" t="s">
        <v>41</v>
      </c>
      <c r="S9" s="104" t="s">
        <v>43</v>
      </c>
      <c r="T9" s="104" t="s">
        <v>45</v>
      </c>
      <c r="U9" s="104" t="s">
        <v>345</v>
      </c>
      <c r="V9" s="104" t="s">
        <v>346</v>
      </c>
      <c r="W9" s="104" t="s">
        <v>347</v>
      </c>
      <c r="X9" s="106"/>
      <c r="Y9" s="106"/>
      <c r="Z9" s="106"/>
      <c r="AA9" s="106"/>
      <c r="AB9" s="106"/>
      <c r="AC9" s="106"/>
      <c r="AD9" s="106"/>
    </row>
    <row r="10" spans="1:30" x14ac:dyDescent="0.15">
      <c r="A10" s="107" t="s">
        <v>335</v>
      </c>
      <c r="B10" s="108" t="s">
        <v>348</v>
      </c>
      <c r="C10" s="57">
        <f>floors!C$2</f>
        <v>51001</v>
      </c>
      <c r="D10" s="108" t="s">
        <v>337</v>
      </c>
      <c r="E10" s="56" t="str">
        <f t="shared" si="0"/>
        <v>stage_hints_data_c_51001.tmp</v>
      </c>
      <c r="F10" s="108" t="s">
        <v>349</v>
      </c>
      <c r="G10" s="109" t="s">
        <v>0</v>
      </c>
      <c r="H10" s="109" t="s">
        <v>1</v>
      </c>
      <c r="I10" s="110" t="s">
        <v>350</v>
      </c>
      <c r="J10" s="111" t="s">
        <v>13</v>
      </c>
      <c r="K10" s="112" t="s">
        <v>351</v>
      </c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</row>
    <row r="11" spans="1:30" x14ac:dyDescent="0.15">
      <c r="A11" s="107" t="s">
        <v>335</v>
      </c>
      <c r="B11" s="108" t="s">
        <v>352</v>
      </c>
      <c r="C11" s="57">
        <f>floors!C$2</f>
        <v>51001</v>
      </c>
      <c r="D11" s="108" t="s">
        <v>337</v>
      </c>
      <c r="E11" s="56" t="str">
        <f t="shared" si="0"/>
        <v>stage_hints_data_f_51001.tmp</v>
      </c>
      <c r="F11" s="108" t="s">
        <v>353</v>
      </c>
      <c r="G11" s="109" t="s">
        <v>0</v>
      </c>
      <c r="H11" s="109" t="s">
        <v>1</v>
      </c>
      <c r="I11" s="110" t="s">
        <v>350</v>
      </c>
      <c r="J11" s="111" t="s">
        <v>13</v>
      </c>
      <c r="K11" s="112" t="s">
        <v>351</v>
      </c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</row>
    <row r="12" spans="1:30" x14ac:dyDescent="0.15">
      <c r="A12" s="107" t="s">
        <v>335</v>
      </c>
      <c r="B12" s="108" t="s">
        <v>354</v>
      </c>
      <c r="C12" s="57">
        <f>floors!C$2</f>
        <v>51001</v>
      </c>
      <c r="D12" s="108" t="s">
        <v>337</v>
      </c>
      <c r="E12" s="56" t="str">
        <f t="shared" si="0"/>
        <v>stage_hints_i18n_51001.tmp</v>
      </c>
      <c r="F12" s="108" t="s">
        <v>353</v>
      </c>
      <c r="G12" s="110" t="s">
        <v>350</v>
      </c>
      <c r="H12" s="113" t="s">
        <v>90</v>
      </c>
      <c r="I12" s="109" t="s">
        <v>355</v>
      </c>
      <c r="J12" s="112" t="s">
        <v>356</v>
      </c>
      <c r="K12" s="112" t="s">
        <v>357</v>
      </c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51001_1-1</v>
      </c>
      <c r="B2" s="16" t="str">
        <f>IF(COUNTIF(enemy_habitats!$H:$H,A2),"OK","NG")</f>
        <v>OK</v>
      </c>
      <c r="C2" s="7">
        <v>51001</v>
      </c>
      <c r="D2" s="11" t="str">
        <f ca="1">VLOOKUP($C2,OFFSET([2]quests!$A$1,0,0,COUNTA([2]quests!$A:$A),MATCH(D$1,[2]quests!$1:$1,0)-MATCH($C$1,[2]quests!$1:$1,0)+1),MATCH(D$1,[2]quests!$1:$1,0)-MATCH($C$1,[2]quests!$1:$1,0)+1,FALSE)</f>
        <v>麒麟襲来！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</v>
      </c>
      <c r="F2" s="21">
        <v>1</v>
      </c>
      <c r="G2" s="23" t="str">
        <f>C2&amp;"_"&amp;F2</f>
        <v>51001_1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51001_1-2</v>
      </c>
      <c r="B3" s="16" t="str">
        <f>IF(COUNTIF(enemy_habitats!$H:$H,A3),"OK","NG")</f>
        <v>OK</v>
      </c>
      <c r="C3" s="7">
        <v>51001</v>
      </c>
      <c r="D3" s="11" t="str">
        <f ca="1">VLOOKUP($C3,OFFSET([2]quests!$A$1,0,0,COUNTA([2]quests!$A:$A),MATCH(D$1,[2]quests!$1:$1,0)-MATCH($C$1,[2]quests!$1:$1,0)+1),MATCH(D$1,[2]quests!$1:$1,0)-MATCH($C$1,[2]quests!$1:$1,0)+1,FALSE)</f>
        <v>麒麟襲来！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</v>
      </c>
      <c r="F3" s="21">
        <v>1</v>
      </c>
      <c r="G3" s="23" t="str">
        <f>C3&amp;"_"&amp;F3</f>
        <v>51001_1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5" si="0">G4&amp;"-"&amp;I4</f>
        <v>51001_1-3</v>
      </c>
      <c r="B4" s="16" t="str">
        <f>IF(COUNTIF(enemy_habitats!$H:$H,A4),"OK","NG")</f>
        <v>OK</v>
      </c>
      <c r="C4" s="7">
        <v>51001</v>
      </c>
      <c r="D4" s="11" t="str">
        <f ca="1">VLOOKUP($C4,OFFSET([2]quests!$A$1,0,0,COUNTA([2]quests!$A:$A),MATCH(D$1,[2]quests!$1:$1,0)-MATCH($C$1,[2]quests!$1:$1,0)+1),MATCH(D$1,[2]quests!$1:$1,0)-MATCH($C$1,[2]quests!$1:$1,0)+1,FALSE)</f>
        <v>麒麟襲来！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</v>
      </c>
      <c r="F4" s="21">
        <v>1</v>
      </c>
      <c r="G4" s="23" t="str">
        <f t="shared" ref="G4:G5" si="1">C4&amp;"_"&amp;F4</f>
        <v>51001_1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51001_1-4</v>
      </c>
      <c r="B5" s="16" t="str">
        <f>IF(COUNTIF(enemy_habitats!$H:$H,A5),"OK","NG")</f>
        <v>OK</v>
      </c>
      <c r="C5" s="7">
        <v>51001</v>
      </c>
      <c r="D5" s="11" t="str">
        <f ca="1">VLOOKUP($C5,OFFSET([2]quests!$A$1,0,0,COUNTA([2]quests!$A:$A),MATCH(D$1,[2]quests!$1:$1,0)-MATCH($C$1,[2]quests!$1:$1,0)+1),MATCH(D$1,[2]quests!$1:$1,0)-MATCH($C$1,[2]quests!$1:$1,0)+1,FALSE)</f>
        <v>麒麟襲来！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</v>
      </c>
      <c r="F5" s="21">
        <v>1</v>
      </c>
      <c r="G5" s="23" t="str">
        <f t="shared" si="1"/>
        <v>51001_1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【超ウィザード級】麒麟襲来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0"/>
  <sheetViews>
    <sheetView showGridLines="0" tabSelected="1" topLeftCell="U1" workbookViewId="0">
      <selection activeCell="AH8" sqref="AH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 x14ac:dyDescent="0.3">
      <c r="A2" s="16" t="str">
        <f t="shared" ref="A2:A7" si="0">B2&amp;"_"&amp;C2&amp;"-"&amp;G2&amp;"/"&amp;L2&amp;"&lt;lv"&amp;R2&amp;"&gt;s"&amp;AA2</f>
        <v>51001_1-1/86&lt;lv52&gt;s2</v>
      </c>
      <c r="B2" s="22">
        <v>51001</v>
      </c>
      <c r="C2" s="21">
        <v>1</v>
      </c>
      <c r="D2" s="2" t="str">
        <f t="shared" ref="D2:D7" si="1">B2&amp;"_"&amp;C2</f>
        <v>51001_1</v>
      </c>
      <c r="E2" s="4" t="str">
        <f ca="1">VLOOKUP($B2,OFFSET([2]quests!$A$1,0,0,COUNTA([2]quests!$A:$A),MATCH(E$1,[2]quests!$1:$1,0)-MATCH($B$1,[2]quests!$1:$1,0)+1),MATCH(E$1,[2]quests!$1:$1,0)-MATCH($B$1,[2]quests!$1:$1,0)+1,FALSE)</f>
        <v>麒麟襲来！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2" s="21">
        <v>1</v>
      </c>
      <c r="H2" s="15" t="str">
        <f t="shared" ref="H2:H7" si="2">B2&amp;"_"&amp;C2&amp;"-"&amp;G2</f>
        <v>51001_1-1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132</v>
      </c>
      <c r="L2" s="20">
        <v>86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守護者 朱雀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52</v>
      </c>
      <c r="S2" s="100">
        <v>1.3</v>
      </c>
      <c r="T2" s="25">
        <v>1.4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怒りの力で 5ターンの間攻撃力アップ</v>
      </c>
      <c r="W2" s="47">
        <v>51001001</v>
      </c>
      <c r="X2" s="6">
        <v>1</v>
      </c>
      <c r="Y2" s="6">
        <v>100</v>
      </c>
      <c r="Z2" s="6">
        <v>2</v>
      </c>
      <c r="AA2" s="65">
        <v>2</v>
      </c>
      <c r="AB2" s="20">
        <v>85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朱雀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4">
        <f t="shared" ref="AG2:AG7" ca="1" si="3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3">
      <c r="A3" s="16" t="str">
        <f t="shared" si="0"/>
        <v>51001_1-1/89&lt;lv54&gt;s3</v>
      </c>
      <c r="B3" s="22">
        <v>51001</v>
      </c>
      <c r="C3" s="21">
        <v>1</v>
      </c>
      <c r="D3" s="2" t="str">
        <f t="shared" si="1"/>
        <v>51001_1</v>
      </c>
      <c r="E3" s="4" t="str">
        <f ca="1">VLOOKUP($B3,OFFSET([2]quests!$A$1,0,0,COUNTA([2]quests!$A:$A),MATCH(E$1,[2]quests!$1:$1,0)-MATCH($B$1,[2]quests!$1:$1,0)+1),MATCH(E$1,[2]quests!$1:$1,0)-MATCH($B$1,[2]quests!$1:$1,0)+1,FALSE)</f>
        <v>麒麟襲来！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3" s="21">
        <v>1</v>
      </c>
      <c r="H3" s="15" t="str">
        <f t="shared" si="2"/>
        <v>51001_1-1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88</v>
      </c>
      <c r="L3" s="20">
        <v>89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守護者 玄武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54</v>
      </c>
      <c r="S3" s="100">
        <v>2</v>
      </c>
      <c r="T3" s="25">
        <v>2.5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固い意志で 5ターンの間防御力アップ</v>
      </c>
      <c r="W3" s="47">
        <v>51001002</v>
      </c>
      <c r="X3" s="6">
        <v>1</v>
      </c>
      <c r="Y3" s="6">
        <v>100</v>
      </c>
      <c r="Z3" s="6">
        <v>1</v>
      </c>
      <c r="AA3" s="65">
        <v>3</v>
      </c>
      <c r="AB3" s="20">
        <v>88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玄武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4">
        <f t="shared" ca="1" si="3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3">
      <c r="A4" s="16" t="str">
        <f t="shared" si="0"/>
        <v>51001_1-2/92&lt;lv54&gt;s2</v>
      </c>
      <c r="B4" s="22">
        <v>51001</v>
      </c>
      <c r="C4" s="21">
        <v>1</v>
      </c>
      <c r="D4" s="2" t="str">
        <f t="shared" si="1"/>
        <v>51001_1</v>
      </c>
      <c r="E4" s="4" t="str">
        <f ca="1">VLOOKUP($B4,OFFSET([2]quests!$A$1,0,0,COUNTA([2]quests!$A:$A),MATCH(E$1,[2]quests!$1:$1,0)-MATCH($B$1,[2]quests!$1:$1,0)+1),MATCH(E$1,[2]quests!$1:$1,0)-MATCH($B$1,[2]quests!$1:$1,0)+1,FALSE)</f>
        <v>麒麟襲来！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4" s="21">
        <v>2</v>
      </c>
      <c r="H4" s="15" t="str">
        <f t="shared" si="2"/>
        <v>51001_1-2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88</v>
      </c>
      <c r="L4" s="20">
        <v>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青龍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54</v>
      </c>
      <c r="S4" s="100">
        <v>2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解除するまで攻撃頻度が2になる</v>
      </c>
      <c r="W4" s="47">
        <v>51001004</v>
      </c>
      <c r="X4" s="6">
        <v>1</v>
      </c>
      <c r="Y4" s="6">
        <v>100</v>
      </c>
      <c r="Z4" s="6">
        <v>1</v>
      </c>
      <c r="AA4" s="65">
        <v>2</v>
      </c>
      <c r="AB4" s="20">
        <v>91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青龍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3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3">
      <c r="A5" s="16" t="str">
        <f t="shared" si="0"/>
        <v>51001_1-2/95&lt;lv48&gt;s4</v>
      </c>
      <c r="B5" s="22">
        <v>51001</v>
      </c>
      <c r="C5" s="21">
        <v>1</v>
      </c>
      <c r="D5" s="2" t="str">
        <f t="shared" si="1"/>
        <v>51001_1</v>
      </c>
      <c r="E5" s="4" t="str">
        <f ca="1">VLOOKUP($B5,OFFSET([2]quests!$A$1,0,0,COUNTA([2]quests!$A:$A),MATCH(E$1,[2]quests!$1:$1,0)-MATCH($B$1,[2]quests!$1:$1,0)+1),MATCH(E$1,[2]quests!$1:$1,0)-MATCH($B$1,[2]quests!$1:$1,0)+1,FALSE)</f>
        <v>麒麟襲来！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5" s="21">
        <v>2</v>
      </c>
      <c r="H5" s="15" t="str">
        <f t="shared" si="2"/>
        <v>51001_1-2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88</v>
      </c>
      <c r="L5" s="20">
        <v>95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守護者 白虎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48</v>
      </c>
      <c r="S5" s="100">
        <v>2</v>
      </c>
      <c r="T5" s="25">
        <v>0.5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解除するまで行動頻度が1になる</v>
      </c>
      <c r="W5" s="47">
        <v>51001003</v>
      </c>
      <c r="X5" s="6">
        <v>1</v>
      </c>
      <c r="Y5" s="6">
        <v>100</v>
      </c>
      <c r="Z5" s="6">
        <v>2</v>
      </c>
      <c r="AA5" s="64">
        <v>4</v>
      </c>
      <c r="AB5" s="20">
        <v>94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白虎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3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3">
      <c r="A6" s="16" t="str">
        <f t="shared" si="0"/>
        <v>51001_1-3/432&lt;lv65&gt;s3</v>
      </c>
      <c r="B6" s="22">
        <v>51001</v>
      </c>
      <c r="C6" s="21">
        <v>1</v>
      </c>
      <c r="D6" s="2" t="str">
        <f t="shared" si="1"/>
        <v>51001_1</v>
      </c>
      <c r="E6" s="4" t="str">
        <f ca="1">VLOOKUP($B6,OFFSET([2]quests!$A$1,0,0,COUNTA([2]quests!$A:$A),MATCH(E$1,[2]quests!$1:$1,0)-MATCH($B$1,[2]quests!$1:$1,0)+1),MATCH(E$1,[2]quests!$1:$1,0)-MATCH($B$1,[2]quests!$1:$1,0)+1,FALSE)</f>
        <v>麒麟襲来！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6" s="21">
        <v>3</v>
      </c>
      <c r="H6" s="15" t="str">
        <f t="shared" si="2"/>
        <v>51001_1-3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432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麒麟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65</v>
      </c>
      <c r="S6" s="100">
        <v>3.5</v>
      </c>
      <c r="T6" s="25">
        <v>1.7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3ターンの間攻撃力がアップ</v>
      </c>
      <c r="W6" s="47">
        <v>51001005</v>
      </c>
      <c r="X6" s="6">
        <v>1</v>
      </c>
      <c r="Y6" s="6">
        <v>100</v>
      </c>
      <c r="Z6" s="6">
        <v>1</v>
      </c>
      <c r="AA6" s="4">
        <v>3</v>
      </c>
      <c r="AB6" s="20">
        <v>432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麒麟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6" s="7">
        <v>1</v>
      </c>
      <c r="AG6" s="24">
        <f t="shared" ca="1" si="3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3">
      <c r="A7" s="16" t="str">
        <f t="shared" si="0"/>
        <v>51001_1-4/433&lt;lv70&gt;s3</v>
      </c>
      <c r="B7" s="22">
        <v>51001</v>
      </c>
      <c r="C7" s="21">
        <v>1</v>
      </c>
      <c r="D7" s="2" t="str">
        <f t="shared" si="1"/>
        <v>51001_1</v>
      </c>
      <c r="E7" s="4" t="str">
        <f ca="1">VLOOKUP($B7,OFFSET([2]quests!$A$1,0,0,COUNTA([2]quests!$A:$A),MATCH(E$1,[2]quests!$1:$1,0)-MATCH($B$1,[2]quests!$1:$1,0)+1),MATCH(E$1,[2]quests!$1:$1,0)-MATCH($B$1,[2]quests!$1:$1,0)+1,FALSE)</f>
        <v>麒麟襲来！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7" s="21">
        <v>4</v>
      </c>
      <c r="H7" s="15" t="str">
        <f t="shared" si="2"/>
        <v>51001_1-4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433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世稀の現獣 麒麟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70</v>
      </c>
      <c r="S7" s="100">
        <v>3.5</v>
      </c>
      <c r="T7" s="25">
        <v>2.9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右手に力を溜め始めた_x000D_状態異常無効＋3ターン暗闇</v>
      </c>
      <c r="W7" s="47">
        <v>51001007</v>
      </c>
      <c r="X7" s="6">
        <v>1</v>
      </c>
      <c r="Y7" s="6">
        <v>100</v>
      </c>
      <c r="Z7" s="6">
        <v>1</v>
      </c>
      <c r="AA7" s="4">
        <v>3</v>
      </c>
      <c r="AB7" s="20">
        <v>432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麒麟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7" s="7">
        <v>1</v>
      </c>
      <c r="AG7" s="24">
        <f t="shared" ca="1" si="3"/>
        <v>4</v>
      </c>
      <c r="AH7" s="8">
        <v>85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10" spans="1:39" ht="21" customHeight="1" x14ac:dyDescent="0.15">
      <c r="O10" s="3" t="s">
        <v>269</v>
      </c>
    </row>
  </sheetData>
  <sheetProtection selectLockedCells="1" selectUnlockedCells="1"/>
  <autoFilter ref="B1:AH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selection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36" t="s">
        <v>127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51001_1-3/432&lt;lv65&gt;sq1st2</v>
      </c>
      <c r="B2" s="22">
        <v>51001</v>
      </c>
      <c r="C2" s="21">
        <v>1</v>
      </c>
      <c r="D2" s="2" t="str">
        <f>B2&amp;"_"&amp;C2</f>
        <v>51001_1</v>
      </c>
      <c r="E2" s="4" t="str">
        <f ca="1">VLOOKUP($B2,OFFSET([2]quests!$A$1,0,0,COUNTA([2]quests!$A:$A),MATCH(E$1,[2]quests!$1:$1,0)-MATCH($B$1,[2]quests!$1:$1,0)+1),MATCH(E$1,[2]quests!$1:$1,0)-MATCH($B$1,[2]quests!$1:$1,0)+1,FALSE)</f>
        <v>麒麟襲来！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2" s="21">
        <v>3</v>
      </c>
      <c r="H2" s="15" t="str">
        <f>B2&amp;"_"&amp;C2&amp;"-"&amp;G2</f>
        <v>51001_1-3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麒麟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5">
        <v>3.5</v>
      </c>
      <c r="U2" s="25">
        <v>2.1</v>
      </c>
      <c r="V2" s="5">
        <v>0</v>
      </c>
      <c r="W2" s="4" t="str">
        <f ca="1">VLOOKUP($X2,OFFSET(enemy_skill_sets!$B$1,0,0,COUNTA(enemy_skill_sets!$B:$B),MATCH("name",enemy_skill_sets!$1:$1,0)-MATCH($X$1,enemy_skill_sets!$1:$1,0)+2),MATCH("name",enemy_skill_sets!$1:$1,0)-MATCH($X$1,enemy_skill_sets!$1:$1,0)+2,FALSE)</f>
        <v>3ターンの間攻撃力がアップ</v>
      </c>
      <c r="X2" s="67">
        <v>51001006</v>
      </c>
      <c r="Y2" s="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51001_1-4/802&lt;lv73&gt;sq2st2</v>
      </c>
      <c r="B3" s="22">
        <v>51001</v>
      </c>
      <c r="C3" s="21">
        <v>1</v>
      </c>
      <c r="D3" s="2" t="str">
        <f>B3&amp;"_"&amp;C3</f>
        <v>51001_1</v>
      </c>
      <c r="E3" s="4" t="str">
        <f ca="1">VLOOKUP($B3,OFFSET([2]quests!$A$1,0,0,COUNTA([2]quests!$A:$A),MATCH(E$1,[2]quests!$1:$1,0)-MATCH($B$1,[2]quests!$1:$1,0)+1),MATCH(E$1,[2]quests!$1:$1,0)-MATCH($B$1,[2]quests!$1:$1,0)+1,FALSE)</f>
        <v>麒麟襲来！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3" s="21">
        <v>4</v>
      </c>
      <c r="H3" s="15" t="str">
        <f>B3&amp;"_"&amp;C3&amp;"-"&amp;G3</f>
        <v>51001_1-4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802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四聖結終の超獣 麒麟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73</v>
      </c>
      <c r="T3" s="25">
        <v>3.5</v>
      </c>
      <c r="U3" s="25">
        <v>1.7</v>
      </c>
      <c r="V3" s="5">
        <v>0</v>
      </c>
      <c r="W3" s="4" t="str">
        <f ca="1">VLOOKUP($X3,OFFSET(enemy_skill_sets!$B$1,0,0,COUNTA(enemy_skill_sets!$B:$B),MATCH("name",enemy_skill_sets!$1:$1,0)-MATCH($X$1,enemy_skill_sets!$1:$1,0)+2),MATCH("name",enemy_skill_sets!$1:$1,0)-MATCH($X$1,enemy_skill_sets!$1:$1,0)+2,FALSE)</f>
        <v>麒麟の影像が乱れた！_x000D_状態異常無効＋お邪魔パネル生成</v>
      </c>
      <c r="X3" s="67">
        <v>51001008</v>
      </c>
      <c r="Y3" s="4">
        <v>2</v>
      </c>
    </row>
    <row r="4" spans="1:25" ht="21" customHeight="1" x14ac:dyDescent="0.15">
      <c r="A4" s="101" t="str">
        <f>B4&amp;"_"&amp;C4&amp;"-"&amp;G4&amp;"/"&amp;M4&amp;"&lt;lv"&amp;S4&amp;"&gt;sq"&amp;K4&amp;"st"&amp;L4</f>
        <v>51001_1-4/802&lt;lv75&gt;sq2st3</v>
      </c>
      <c r="B4" s="22">
        <v>51001</v>
      </c>
      <c r="C4" s="21">
        <v>1</v>
      </c>
      <c r="D4" s="2" t="str">
        <f>B4&amp;"_"&amp;C4</f>
        <v>51001_1</v>
      </c>
      <c r="E4" s="4" t="str">
        <f ca="1">VLOOKUP($B4,OFFSET([2]quests!$A$1,0,0,COUNTA([2]quests!$A:$A),MATCH(E$1,[2]quests!$1:$1,0)-MATCH($B$1,[2]quests!$1:$1,0)+1),MATCH(E$1,[2]quests!$1:$1,0)-MATCH($B$1,[2]quests!$1:$1,0)+1,FALSE)</f>
        <v>麒麟襲来！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【超ウィザード級】麒麟襲来 </v>
      </c>
      <c r="G4" s="21">
        <v>4</v>
      </c>
      <c r="H4" s="15" t="str">
        <f>B4&amp;"_"&amp;C4&amp;"-"&amp;G4</f>
        <v>51001_1-4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802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四聖結終の超獣 麒麟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5">
        <v>3.8</v>
      </c>
      <c r="U4" s="25">
        <v>1.2</v>
      </c>
      <c r="V4" s="5">
        <v>0</v>
      </c>
      <c r="W4" s="4" t="str">
        <f ca="1">VLOOKUP($X4,OFFSET(enemy_skill_sets!$B$1,0,0,COUNTA(enemy_skill_sets!$B:$B),MATCH("name",enemy_skill_sets!$1:$1,0)-MATCH($X$1,enemy_skill_sets!$1:$1,0)+2),MATCH("name",enemy_skill_sets!$1:$1,0)-MATCH($X$1,enemy_skill_sets!$1:$1,0)+2,FALSE)</f>
        <v>麒麟の影像が大きく歪んだ！_x000D_状態異常無効+フィーバーゲージが0に！</v>
      </c>
      <c r="X4" s="67">
        <v>51001009</v>
      </c>
      <c r="Y4" s="4">
        <v>1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zoomScale="115" zoomScaleNormal="115" zoomScalePageLayoutView="115" workbookViewId="0">
      <pane ySplit="1" topLeftCell="A37" activePane="bottomLeft" state="frozenSplit"/>
      <selection activeCell="E25" sqref="E25"/>
      <selection pane="bottomLeft" activeCell="C46" sqref="C46"/>
    </sheetView>
  </sheetViews>
  <sheetFormatPr baseColWidth="12" defaultColWidth="12.83203125" defaultRowHeight="21" customHeight="1" outlineLevelCol="1" x14ac:dyDescent="0.15"/>
  <cols>
    <col min="1" max="1" width="15.1640625" style="49" customWidth="1"/>
    <col min="2" max="2" width="67.1640625" style="49" customWidth="1"/>
    <col min="3" max="4" width="12.83203125" style="49"/>
    <col min="5" max="5" width="26" style="49" bestFit="1" customWidth="1"/>
    <col min="6" max="6" width="44.1640625" style="49" bestFit="1" customWidth="1" collapsed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63" t="s">
        <v>133</v>
      </c>
      <c r="H1" s="63" t="s">
        <v>134</v>
      </c>
      <c r="I1" s="63" t="s">
        <v>135</v>
      </c>
      <c r="J1" s="63" t="s">
        <v>136</v>
      </c>
      <c r="K1" s="63" t="s">
        <v>137</v>
      </c>
      <c r="L1" s="63" t="s">
        <v>138</v>
      </c>
      <c r="M1" s="63" t="s">
        <v>139</v>
      </c>
      <c r="N1" s="63" t="s">
        <v>140</v>
      </c>
      <c r="O1" s="63" t="s">
        <v>141</v>
      </c>
      <c r="P1" s="63" t="s">
        <v>142</v>
      </c>
      <c r="Q1" s="63" t="s">
        <v>143</v>
      </c>
      <c r="R1" s="63" t="s">
        <v>144</v>
      </c>
      <c r="S1" s="63" t="s">
        <v>145</v>
      </c>
      <c r="T1" s="63" t="s">
        <v>146</v>
      </c>
      <c r="U1" s="63" t="s">
        <v>147</v>
      </c>
      <c r="V1" s="63" t="s">
        <v>148</v>
      </c>
      <c r="W1" s="63" t="s">
        <v>149</v>
      </c>
      <c r="X1" s="63" t="s">
        <v>150</v>
      </c>
      <c r="Y1" s="63" t="s">
        <v>151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62">
        <v>51001001</v>
      </c>
      <c r="B2" s="47" t="s">
        <v>322</v>
      </c>
      <c r="C2" s="50">
        <v>3</v>
      </c>
      <c r="D2" s="50" t="s">
        <v>126</v>
      </c>
      <c r="E2" s="72" t="s">
        <v>273</v>
      </c>
      <c r="F2" s="47" t="s">
        <v>227</v>
      </c>
      <c r="G2" s="51" t="str">
        <f t="shared" ref="G2:G13" si="0">IFERROR(LEFT(B2,FIND("],",B2)),B2)</f>
        <v>[effect:enhance_enemy, target:myself, turn:5, status:attack, val:0.5, animation:enemy_enhance_enemy]</v>
      </c>
      <c r="H2" s="51">
        <f t="shared" ref="H2:H29" si="1">FIND("effect:",G2)+7</f>
        <v>9</v>
      </c>
      <c r="I2" s="51">
        <f t="shared" ref="I2:I29" si="2">IFERROR(FIND(",",G2),LEN(G2))</f>
        <v>22</v>
      </c>
      <c r="J2" s="51">
        <f t="shared" ref="J2:J29" si="3">FIND("target:",G2)+7</f>
        <v>31</v>
      </c>
      <c r="K2" s="51">
        <f t="shared" ref="K2:K29" si="4">FIND(",",G2,I2+1)</f>
        <v>37</v>
      </c>
      <c r="L2" s="51" t="str">
        <f>IFERROR(VLOOKUP(MID(G2,J2,K2-J2),[5]skilldef!$C:$D,2,FALSE),"-") &amp; " / " &amp; IFERROR(VLOOKUP(MID(G2,H2,I2-H2),[5]skilldef!$A:$B,2,FALSE),"-")</f>
        <v>自分自身に / ステータス強化</v>
      </c>
      <c r="M2" s="51" t="str">
        <f t="shared" ref="M2:M22" si="5">IFERROR(RIGHT(B2,LEN(B2)-FIND("],",B2)-1),"none")</f>
        <v>[effect:fix_speed,target:myself,turn:2]</v>
      </c>
      <c r="N2" s="47" t="str">
        <f>IFERROR(LEFT(M2,FIND("],",M2)+#REF!),M2)</f>
        <v>[effect:fix_speed,target:myself,turn:2]</v>
      </c>
      <c r="O2" s="51">
        <f t="shared" ref="O2:O24" si="6">FIND("effect:",N2)+7</f>
        <v>9</v>
      </c>
      <c r="P2" s="51">
        <f t="shared" ref="P2:P13" si="7">IFERROR(FIND(",",N2),LEN(N2))</f>
        <v>18</v>
      </c>
      <c r="Q2" s="51">
        <f t="shared" ref="Q2:Q13" si="8">FIND("target:",N2)+7</f>
        <v>26</v>
      </c>
      <c r="R2" s="51">
        <f t="shared" ref="R2:R13" si="9">FIND(",",N2,P2+1)</f>
        <v>32</v>
      </c>
      <c r="S2" s="51" t="str">
        <f>IFERROR(VLOOKUP(MID(N2,Q2,R2-Q2),[5]skilldef!$C:$D,2,FALSE),"-") &amp; " / " &amp; IFERROR(VLOOKUP(MID(N2,O2,P2-O2),[5]skilldef!$A:$B,2,FALSE),"-")</f>
        <v>自分自身に / 行動値設定</v>
      </c>
      <c r="T2" s="47" t="str">
        <f t="shared" ref="T2:T13" si="10">IFERROR(RIGHT(M2,LEN(M2)-FIND("],",M2)-1),"none")</f>
        <v>none</v>
      </c>
      <c r="U2" s="51" t="e">
        <f t="shared" ref="U2:U24" si="11">FIND("effect:",T2)+7</f>
        <v>#VALUE!</v>
      </c>
      <c r="V2" s="51">
        <f t="shared" ref="V2:V13" si="12">IFERROR(FIND(",",T2),LEN(T2))</f>
        <v>4</v>
      </c>
      <c r="W2" s="51" t="e">
        <f t="shared" ref="W2:W13" si="13">FIND("target:",T2)+7</f>
        <v>#VALUE!</v>
      </c>
      <c r="X2" s="51" t="e">
        <f t="shared" ref="X2:X13" si="14">FIND(",",T2,V2+1)</f>
        <v>#VALUE!</v>
      </c>
      <c r="Y2" s="51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62">
        <v>51001002</v>
      </c>
      <c r="B3" s="47" t="s">
        <v>164</v>
      </c>
      <c r="C3" s="50">
        <v>3</v>
      </c>
      <c r="D3" s="50" t="s">
        <v>126</v>
      </c>
      <c r="E3" s="47" t="s">
        <v>169</v>
      </c>
      <c r="F3" s="47" t="s">
        <v>154</v>
      </c>
      <c r="G3" s="51" t="str">
        <f t="shared" si="0"/>
        <v>[effect:spread, val:0.3, animation:enemy_spread]</v>
      </c>
      <c r="H3" s="51">
        <f t="shared" si="1"/>
        <v>9</v>
      </c>
      <c r="I3" s="51">
        <f t="shared" si="2"/>
        <v>15</v>
      </c>
      <c r="J3" s="51" t="e">
        <f t="shared" si="3"/>
        <v>#VALUE!</v>
      </c>
      <c r="K3" s="51">
        <f t="shared" si="4"/>
        <v>24</v>
      </c>
      <c r="L3" s="51" t="str">
        <f>IFERROR(VLOOKUP(MID(G3,J3,K3-J3),[5]skilldef!$C:$D,2,FALSE),"-") &amp; " / " &amp; IFERROR(VLOOKUP(MID(G3,H3,I3-H3),[5]skilldef!$A:$B,2,FALSE),"-")</f>
        <v>- / 全体攻撃</v>
      </c>
      <c r="M3" s="51" t="str">
        <f t="shared" si="5"/>
        <v>none</v>
      </c>
      <c r="N3" s="47" t="str">
        <f>IFERROR(LEFT(M3,FIND("],",M3)+#REF!),M3)</f>
        <v>none</v>
      </c>
      <c r="O3" s="51" t="e">
        <f t="shared" si="6"/>
        <v>#VALUE!</v>
      </c>
      <c r="P3" s="51">
        <f t="shared" si="7"/>
        <v>4</v>
      </c>
      <c r="Q3" s="51" t="e">
        <f t="shared" si="8"/>
        <v>#VALUE!</v>
      </c>
      <c r="R3" s="51" t="e">
        <f t="shared" si="9"/>
        <v>#VALUE!</v>
      </c>
      <c r="S3" s="51" t="str">
        <f>IFERROR(VLOOKUP(MID(N3,Q3,R3-Q3),[5]skilldef!$C:$D,2,FALSE),"-") &amp; " / " &amp; IFERROR(VLOOKUP(MID(N3,O3,P3-O3),[5]skilldef!$A:$B,2,FALSE),"-")</f>
        <v>- / -</v>
      </c>
      <c r="T3" s="47" t="str">
        <f t="shared" si="10"/>
        <v>none</v>
      </c>
      <c r="U3" s="51" t="e">
        <f t="shared" si="11"/>
        <v>#VALUE!</v>
      </c>
      <c r="V3" s="51">
        <f t="shared" si="12"/>
        <v>4</v>
      </c>
      <c r="W3" s="51" t="e">
        <f t="shared" si="13"/>
        <v>#VALUE!</v>
      </c>
      <c r="X3" s="51" t="e">
        <f t="shared" si="14"/>
        <v>#VALUE!</v>
      </c>
      <c r="Y3" s="51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62">
        <v>51001003</v>
      </c>
      <c r="B4" s="47" t="s">
        <v>162</v>
      </c>
      <c r="C4" s="50">
        <v>3</v>
      </c>
      <c r="D4" s="50" t="s">
        <v>126</v>
      </c>
      <c r="E4" s="72" t="s">
        <v>229</v>
      </c>
      <c r="F4" s="47" t="s">
        <v>272</v>
      </c>
      <c r="G4" s="51" t="str">
        <f t="shared" si="0"/>
        <v>[effect:enhance_enemy, target:myself, turn:-1, status:defense, val:3000, calc:add, animation:enemy_enhance_enemy]</v>
      </c>
      <c r="H4" s="51">
        <f t="shared" si="1"/>
        <v>9</v>
      </c>
      <c r="I4" s="51">
        <f t="shared" si="2"/>
        <v>22</v>
      </c>
      <c r="J4" s="51">
        <f t="shared" si="3"/>
        <v>31</v>
      </c>
      <c r="K4" s="51">
        <f t="shared" si="4"/>
        <v>37</v>
      </c>
      <c r="L4" s="51" t="str">
        <f>IFERROR(VLOOKUP(MID(G4,J4,K4-J4),[5]skilldef!$C:$D,2,FALSE),"-") &amp; " / " &amp; IFERROR(VLOOKUP(MID(G4,H4,I4-H4),[5]skilldef!$A:$B,2,FALSE),"-")</f>
        <v>自分自身に / ステータス強化</v>
      </c>
      <c r="M4" s="51" t="str">
        <f t="shared" si="5"/>
        <v>none</v>
      </c>
      <c r="N4" s="47" t="str">
        <f>IFERROR(LEFT(M4,FIND("],",M4)+#REF!),M4)</f>
        <v>none</v>
      </c>
      <c r="O4" s="51" t="e">
        <f t="shared" si="6"/>
        <v>#VALUE!</v>
      </c>
      <c r="P4" s="51">
        <f t="shared" si="7"/>
        <v>4</v>
      </c>
      <c r="Q4" s="51" t="e">
        <f t="shared" si="8"/>
        <v>#VALUE!</v>
      </c>
      <c r="R4" s="51" t="e">
        <f t="shared" si="9"/>
        <v>#VALUE!</v>
      </c>
      <c r="S4" s="51" t="str">
        <f>IFERROR(VLOOKUP(MID(N4,Q4,R4-Q4),[5]skilldef!$C:$D,2,FALSE),"-") &amp; " / " &amp; IFERROR(VLOOKUP(MID(N4,O4,P4-O4),[5]skilldef!$A:$B,2,FALSE),"-")</f>
        <v>- / -</v>
      </c>
      <c r="T4" s="47" t="str">
        <f t="shared" si="10"/>
        <v>none</v>
      </c>
      <c r="U4" s="51" t="e">
        <f t="shared" si="11"/>
        <v>#VALUE!</v>
      </c>
      <c r="V4" s="51">
        <f t="shared" si="12"/>
        <v>4</v>
      </c>
      <c r="W4" s="51" t="e">
        <f t="shared" si="13"/>
        <v>#VALUE!</v>
      </c>
      <c r="X4" s="51" t="e">
        <f t="shared" si="14"/>
        <v>#VALUE!</v>
      </c>
      <c r="Y4" s="51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62">
        <v>51001004</v>
      </c>
      <c r="B5" s="47" t="s">
        <v>225</v>
      </c>
      <c r="C5" s="50">
        <v>3</v>
      </c>
      <c r="D5" s="50" t="s">
        <v>126</v>
      </c>
      <c r="E5" s="47" t="s">
        <v>171</v>
      </c>
      <c r="F5" s="47" t="s">
        <v>224</v>
      </c>
      <c r="G5" s="51" t="str">
        <f t="shared" si="0"/>
        <v>[effect:charge, status:attack, val:6, animation:enemy_charge]</v>
      </c>
      <c r="H5" s="51">
        <f t="shared" si="1"/>
        <v>9</v>
      </c>
      <c r="I5" s="51">
        <f t="shared" si="2"/>
        <v>15</v>
      </c>
      <c r="J5" s="51" t="e">
        <f t="shared" si="3"/>
        <v>#VALUE!</v>
      </c>
      <c r="K5" s="51">
        <f t="shared" si="4"/>
        <v>30</v>
      </c>
      <c r="L5" s="51" t="str">
        <f>IFERROR(VLOOKUP(MID(G5,J5,K5-J5),[5]skilldef!$C:$D,2,FALSE),"-") &amp; " / " &amp; IFERROR(VLOOKUP(MID(G5,H5,I5-H5),[5]skilldef!$A:$B,2,FALSE),"-")</f>
        <v>- / 溜め</v>
      </c>
      <c r="M5" s="51" t="str">
        <f t="shared" si="5"/>
        <v>none</v>
      </c>
      <c r="N5" s="47" t="str">
        <f>IFERROR(LEFT(M5,FIND("],",M5)+#REF!),M5)</f>
        <v>none</v>
      </c>
      <c r="O5" s="51" t="e">
        <f t="shared" si="6"/>
        <v>#VALUE!</v>
      </c>
      <c r="P5" s="51">
        <f t="shared" si="7"/>
        <v>4</v>
      </c>
      <c r="Q5" s="51" t="e">
        <f t="shared" si="8"/>
        <v>#VALUE!</v>
      </c>
      <c r="R5" s="51" t="e">
        <f t="shared" si="9"/>
        <v>#VALUE!</v>
      </c>
      <c r="S5" s="51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51" t="e">
        <f t="shared" si="11"/>
        <v>#VALUE!</v>
      </c>
      <c r="V5" s="51">
        <f t="shared" si="12"/>
        <v>4</v>
      </c>
      <c r="W5" s="51" t="e">
        <f t="shared" si="13"/>
        <v>#VALUE!</v>
      </c>
      <c r="X5" s="51" t="e">
        <f t="shared" si="14"/>
        <v>#VALUE!</v>
      </c>
      <c r="Y5" s="51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62">
        <v>51001005</v>
      </c>
      <c r="B6" s="47" t="s">
        <v>215</v>
      </c>
      <c r="C6" s="50">
        <v>3</v>
      </c>
      <c r="D6" s="50" t="s">
        <v>126</v>
      </c>
      <c r="E6" s="70" t="s">
        <v>274</v>
      </c>
      <c r="F6" s="47" t="s">
        <v>226</v>
      </c>
      <c r="G6" s="51" t="str">
        <f t="shared" si="0"/>
        <v>[effect:enhance_enemy, target:myself, turn:5, status:defense, val:5000, calc:add, animation:enemy_enhance_enemy]</v>
      </c>
      <c r="H6" s="51">
        <f t="shared" si="1"/>
        <v>9</v>
      </c>
      <c r="I6" s="51">
        <f t="shared" si="2"/>
        <v>22</v>
      </c>
      <c r="J6" s="51">
        <f t="shared" si="3"/>
        <v>31</v>
      </c>
      <c r="K6" s="51">
        <f t="shared" si="4"/>
        <v>37</v>
      </c>
      <c r="L6" s="51" t="str">
        <f>IFERROR(VLOOKUP(MID(G6,J6,K6-J6),[5]skilldef!$C:$D,2,FALSE),"-") &amp; " / " &amp; IFERROR(VLOOKUP(MID(G6,H6,I6-H6),[5]skilldef!$A:$B,2,FALSE),"-")</f>
        <v>自分自身に / ステータス強化</v>
      </c>
      <c r="M6" s="51" t="str">
        <f t="shared" si="5"/>
        <v>[effect:fix_speed,target:myself,turn:3]</v>
      </c>
      <c r="N6" s="47" t="str">
        <f>IFERROR(LEFT(M6,FIND("],",M6)+#REF!),M6)</f>
        <v>[effect:fix_speed,target:myself,turn:3]</v>
      </c>
      <c r="O6" s="51">
        <f t="shared" si="6"/>
        <v>9</v>
      </c>
      <c r="P6" s="51">
        <f t="shared" si="7"/>
        <v>18</v>
      </c>
      <c r="Q6" s="51">
        <f t="shared" si="8"/>
        <v>26</v>
      </c>
      <c r="R6" s="51">
        <f t="shared" si="9"/>
        <v>32</v>
      </c>
      <c r="S6" s="51" t="str">
        <f>IFERROR(VLOOKUP(MID(N6,Q6,R6-Q6),[5]skilldef!$C:$D,2,FALSE),"-") &amp; " / " &amp; IFERROR(VLOOKUP(MID(N6,O6,P6-O6),[5]skilldef!$A:$B,2,FALSE),"-")</f>
        <v>自分自身に / 行動値設定</v>
      </c>
      <c r="T6" s="47" t="str">
        <f t="shared" si="10"/>
        <v>none</v>
      </c>
      <c r="U6" s="51" t="e">
        <f t="shared" si="11"/>
        <v>#VALUE!</v>
      </c>
      <c r="V6" s="51">
        <f t="shared" si="12"/>
        <v>4</v>
      </c>
      <c r="W6" s="51" t="e">
        <f t="shared" si="13"/>
        <v>#VALUE!</v>
      </c>
      <c r="X6" s="51" t="e">
        <f t="shared" si="14"/>
        <v>#VALUE!</v>
      </c>
      <c r="Y6" s="51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62">
        <v>51001006</v>
      </c>
      <c r="B7" s="47" t="s">
        <v>280</v>
      </c>
      <c r="C7" s="50">
        <v>3</v>
      </c>
      <c r="D7" s="50" t="s">
        <v>126</v>
      </c>
      <c r="E7" s="70" t="s">
        <v>228</v>
      </c>
      <c r="F7" s="47" t="s">
        <v>270</v>
      </c>
      <c r="G7" s="51" t="str">
        <f t="shared" si="0"/>
        <v>[effect:crash_condition, target:unit_all, val:4, turn:5, animation:enemy_crash_extend]</v>
      </c>
      <c r="H7" s="51">
        <f t="shared" si="1"/>
        <v>9</v>
      </c>
      <c r="I7" s="51">
        <f t="shared" si="2"/>
        <v>24</v>
      </c>
      <c r="J7" s="51">
        <f t="shared" si="3"/>
        <v>33</v>
      </c>
      <c r="K7" s="51">
        <f t="shared" si="4"/>
        <v>41</v>
      </c>
      <c r="L7" s="51" t="str">
        <f>IFERROR(VLOOKUP(MID(G7,J7,K7-J7),[5]skilldef!$C:$D,2,FALSE),"-") &amp; " / " &amp; IFERROR(VLOOKUP(MID(G7,H7,I7-H7),[5]skilldef!$A:$B,2,FALSE),"-")</f>
        <v>味方全体に / -</v>
      </c>
      <c r="M7" s="51" t="str">
        <f t="shared" si="5"/>
        <v>none</v>
      </c>
      <c r="N7" s="47" t="str">
        <f>IFERROR(LEFT(M7,FIND("],",M7)+#REF!),M7)</f>
        <v>none</v>
      </c>
      <c r="O7" s="51" t="e">
        <f t="shared" si="6"/>
        <v>#VALUE!</v>
      </c>
      <c r="P7" s="51">
        <f t="shared" si="7"/>
        <v>4</v>
      </c>
      <c r="Q7" s="51" t="e">
        <f t="shared" si="8"/>
        <v>#VALUE!</v>
      </c>
      <c r="R7" s="51" t="e">
        <f t="shared" si="9"/>
        <v>#VALUE!</v>
      </c>
      <c r="S7" s="51" t="str">
        <f>IFERROR(VLOOKUP(MID(N7,Q7,R7-Q7),[5]skilldef!$C:$D,2,FALSE),"-") &amp; " / " &amp; IFERROR(VLOOKUP(MID(N7,O7,P7-O7),[5]skilldef!$A:$B,2,FALSE),"-")</f>
        <v>- / -</v>
      </c>
      <c r="T7" s="47" t="str">
        <f t="shared" si="10"/>
        <v>none</v>
      </c>
      <c r="U7" s="51" t="e">
        <f t="shared" si="11"/>
        <v>#VALUE!</v>
      </c>
      <c r="V7" s="51">
        <f t="shared" si="12"/>
        <v>4</v>
      </c>
      <c r="W7" s="51" t="e">
        <f t="shared" si="13"/>
        <v>#VALUE!</v>
      </c>
      <c r="X7" s="51" t="e">
        <f t="shared" si="14"/>
        <v>#VALUE!</v>
      </c>
      <c r="Y7" s="51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62">
        <v>51001007</v>
      </c>
      <c r="B8" s="47" t="s">
        <v>324</v>
      </c>
      <c r="C8" s="50">
        <v>3</v>
      </c>
      <c r="D8" s="50" t="s">
        <v>126</v>
      </c>
      <c r="E8" s="51" t="s">
        <v>166</v>
      </c>
      <c r="F8" s="47" t="s">
        <v>188</v>
      </c>
      <c r="G8" s="51" t="str">
        <f t="shared" si="0"/>
        <v>[effect:critical, val:0.6, animation:enemy_critical]</v>
      </c>
      <c r="H8" s="51">
        <f t="shared" si="1"/>
        <v>9</v>
      </c>
      <c r="I8" s="51">
        <f t="shared" si="2"/>
        <v>17</v>
      </c>
      <c r="J8" s="51" t="e">
        <f t="shared" si="3"/>
        <v>#VALUE!</v>
      </c>
      <c r="K8" s="51">
        <f t="shared" si="4"/>
        <v>26</v>
      </c>
      <c r="L8" s="51" t="str">
        <f>IFERROR(VLOOKUP(MID(G8,J8,K8-J8),[5]skilldef!$C:$D,2,FALSE),"-") &amp; " / " &amp; IFERROR(VLOOKUP(MID(G8,H8,I8-H8),[5]skilldef!$A:$B,2,FALSE),"-")</f>
        <v>- / 大攻撃</v>
      </c>
      <c r="M8" s="51" t="str">
        <f t="shared" si="5"/>
        <v>none</v>
      </c>
      <c r="N8" s="47" t="str">
        <f>IFERROR(LEFT(M8,FIND("],",M8)+S30),M8)</f>
        <v>none</v>
      </c>
      <c r="O8" s="51" t="e">
        <f t="shared" si="6"/>
        <v>#VALUE!</v>
      </c>
      <c r="P8" s="51">
        <f t="shared" si="7"/>
        <v>4</v>
      </c>
      <c r="Q8" s="51" t="e">
        <f t="shared" si="8"/>
        <v>#VALUE!</v>
      </c>
      <c r="R8" s="51" t="e">
        <f t="shared" si="9"/>
        <v>#VALUE!</v>
      </c>
      <c r="S8" s="51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none</v>
      </c>
      <c r="U8" s="51" t="e">
        <f t="shared" si="11"/>
        <v>#VALUE!</v>
      </c>
      <c r="V8" s="51">
        <f t="shared" si="12"/>
        <v>4</v>
      </c>
      <c r="W8" s="51" t="e">
        <f t="shared" si="13"/>
        <v>#VALUE!</v>
      </c>
      <c r="X8" s="51" t="e">
        <f t="shared" si="14"/>
        <v>#VALUE!</v>
      </c>
      <c r="Y8" s="51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62">
        <v>51001008</v>
      </c>
      <c r="B9" s="47" t="s">
        <v>330</v>
      </c>
      <c r="C9" s="50">
        <v>3</v>
      </c>
      <c r="D9" s="50" t="s">
        <v>126</v>
      </c>
      <c r="E9" s="51" t="s">
        <v>170</v>
      </c>
      <c r="F9" s="47" t="s">
        <v>188</v>
      </c>
      <c r="G9" s="51" t="str">
        <f t="shared" ref="G9:G11" si="15">IFERROR(LEFT(B9,FIND("],",B9)),B9)</f>
        <v>[effect:critical, val:0.8, animation:enemy_critical]</v>
      </c>
      <c r="H9" s="51">
        <f t="shared" ref="H9:H11" si="16">FIND("effect:",G9)+7</f>
        <v>9</v>
      </c>
      <c r="I9" s="51">
        <f t="shared" ref="I9:I11" si="17">IFERROR(FIND(",",G9),LEN(G9))</f>
        <v>17</v>
      </c>
      <c r="J9" s="51" t="e">
        <f t="shared" ref="J9:J11" si="18">FIND("target:",G9)+7</f>
        <v>#VALUE!</v>
      </c>
      <c r="K9" s="51">
        <f t="shared" ref="K9:K11" si="19">FIND(",",G9,I9+1)</f>
        <v>26</v>
      </c>
      <c r="L9" s="51" t="str">
        <f>IFERROR(VLOOKUP(MID(G9,J9,K9-J9),[5]skilldef!$C:$D,2,FALSE),"-") &amp; " / " &amp; IFERROR(VLOOKUP(MID(G9,H9,I9-H9),[5]skilldef!$A:$B,2,FALSE),"-")</f>
        <v>- / 大攻撃</v>
      </c>
      <c r="M9" s="51" t="str">
        <f t="shared" si="5"/>
        <v>none</v>
      </c>
      <c r="N9" s="47" t="str">
        <f>IFERROR(LEFT(M9,FIND("],",M9)+S31),M9)</f>
        <v>none</v>
      </c>
      <c r="O9" s="51" t="e">
        <f t="shared" si="6"/>
        <v>#VALUE!</v>
      </c>
      <c r="P9" s="51">
        <f t="shared" ref="P9:P11" si="20">IFERROR(FIND(",",N9),LEN(N9))</f>
        <v>4</v>
      </c>
      <c r="Q9" s="51" t="e">
        <f t="shared" ref="Q9:Q11" si="21">FIND("target:",N9)+7</f>
        <v>#VALUE!</v>
      </c>
      <c r="R9" s="51" t="e">
        <f t="shared" ref="R9:R11" si="22">FIND(",",N9,P9+1)</f>
        <v>#VALUE!</v>
      </c>
      <c r="S9" s="51" t="str">
        <f>IFERROR(VLOOKUP(MID(N9,Q9,R9-Q9),[5]skilldef!$C:$D,2,FALSE),"-") &amp; " / " &amp; IFERROR(VLOOKUP(MID(N9,O9,P9-O9),[5]skilldef!$A:$B,2,FALSE),"-")</f>
        <v>- / -</v>
      </c>
      <c r="T9" s="47" t="str">
        <f t="shared" ref="T9:T11" si="23">IFERROR(RIGHT(M9,LEN(M9)-FIND("],",M9)-1),"none")</f>
        <v>none</v>
      </c>
      <c r="U9" s="51" t="e">
        <f t="shared" si="11"/>
        <v>#VALUE!</v>
      </c>
      <c r="V9" s="51">
        <f t="shared" ref="V9:V11" si="24">IFERROR(FIND(",",T9),LEN(T9))</f>
        <v>4</v>
      </c>
      <c r="W9" s="51" t="e">
        <f t="shared" ref="W9:W11" si="25">FIND("target:",T9)+7</f>
        <v>#VALUE!</v>
      </c>
      <c r="X9" s="51" t="e">
        <f t="shared" ref="X9:X11" si="26">FIND(",",T9,V9+1)</f>
        <v>#VALUE!</v>
      </c>
      <c r="Y9" s="51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62">
        <v>51001009</v>
      </c>
      <c r="B10" s="47" t="s">
        <v>165</v>
      </c>
      <c r="C10" s="50">
        <v>3</v>
      </c>
      <c r="D10" s="50" t="s">
        <v>126</v>
      </c>
      <c r="E10" s="51" t="s">
        <v>167</v>
      </c>
      <c r="F10" s="47" t="s">
        <v>188</v>
      </c>
      <c r="G10" s="51" t="str">
        <f t="shared" si="15"/>
        <v>[effect:critical, val:1.2, animation:enemy_critical]</v>
      </c>
      <c r="H10" s="51">
        <f t="shared" si="16"/>
        <v>9</v>
      </c>
      <c r="I10" s="51">
        <f t="shared" si="17"/>
        <v>17</v>
      </c>
      <c r="J10" s="51" t="e">
        <f t="shared" si="18"/>
        <v>#VALUE!</v>
      </c>
      <c r="K10" s="51">
        <f t="shared" si="19"/>
        <v>26</v>
      </c>
      <c r="L10" s="51" t="str">
        <f>IFERROR(VLOOKUP(MID(G10,J10,K10-J10),[5]skilldef!$C:$D,2,FALSE),"-") &amp; " / " &amp; IFERROR(VLOOKUP(MID(G10,H10,I10-H10),[5]skilldef!$A:$B,2,FALSE),"-")</f>
        <v>- / 大攻撃</v>
      </c>
      <c r="M10" s="51" t="str">
        <f t="shared" si="5"/>
        <v>none</v>
      </c>
      <c r="N10" s="47" t="str">
        <f>IFERROR(LEFT(M10,FIND("],",M10)+S32),M10)</f>
        <v>none</v>
      </c>
      <c r="O10" s="51" t="e">
        <f t="shared" si="6"/>
        <v>#VALUE!</v>
      </c>
      <c r="P10" s="51">
        <f t="shared" si="20"/>
        <v>4</v>
      </c>
      <c r="Q10" s="51" t="e">
        <f t="shared" si="21"/>
        <v>#VALUE!</v>
      </c>
      <c r="R10" s="51" t="e">
        <f t="shared" si="22"/>
        <v>#VALUE!</v>
      </c>
      <c r="S10" s="51" t="str">
        <f>IFERROR(VLOOKUP(MID(N10,Q10,R10-Q10),[5]skilldef!$C:$D,2,FALSE),"-") &amp; " / " &amp; IFERROR(VLOOKUP(MID(N10,O10,P10-O10),[5]skilldef!$A:$B,2,FALSE),"-")</f>
        <v>- / -</v>
      </c>
      <c r="T10" s="47" t="str">
        <f t="shared" si="23"/>
        <v>none</v>
      </c>
      <c r="U10" s="51" t="e">
        <f t="shared" si="11"/>
        <v>#VALUE!</v>
      </c>
      <c r="V10" s="51">
        <f t="shared" si="24"/>
        <v>4</v>
      </c>
      <c r="W10" s="51" t="e">
        <f t="shared" si="25"/>
        <v>#VALUE!</v>
      </c>
      <c r="X10" s="51" t="e">
        <f t="shared" si="26"/>
        <v>#VALUE!</v>
      </c>
      <c r="Y10" s="51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62">
        <v>51001010</v>
      </c>
      <c r="B11" s="47" t="s">
        <v>331</v>
      </c>
      <c r="C11" s="50">
        <v>3</v>
      </c>
      <c r="D11" s="50" t="s">
        <v>126</v>
      </c>
      <c r="E11" s="51" t="s">
        <v>168</v>
      </c>
      <c r="F11" s="47" t="s">
        <v>188</v>
      </c>
      <c r="G11" s="51" t="str">
        <f t="shared" si="15"/>
        <v>[effect:critical, val:1.5, animation:enemy_critical]</v>
      </c>
      <c r="H11" s="51">
        <f t="shared" si="16"/>
        <v>9</v>
      </c>
      <c r="I11" s="51">
        <f t="shared" si="17"/>
        <v>17</v>
      </c>
      <c r="J11" s="51" t="e">
        <f t="shared" si="18"/>
        <v>#VALUE!</v>
      </c>
      <c r="K11" s="51">
        <f t="shared" si="19"/>
        <v>26</v>
      </c>
      <c r="L11" s="51" t="str">
        <f>IFERROR(VLOOKUP(MID(G11,J11,K11-J11),[5]skilldef!$C:$D,2,FALSE),"-") &amp; " / " &amp; IFERROR(VLOOKUP(MID(G11,H11,I11-H11),[5]skilldef!$A:$B,2,FALSE),"-")</f>
        <v>- / 大攻撃</v>
      </c>
      <c r="M11" s="51" t="str">
        <f t="shared" si="5"/>
        <v>none</v>
      </c>
      <c r="N11" s="47" t="str">
        <f>IFERROR(LEFT(M11,FIND("],",M11)+S33),M11)</f>
        <v>none</v>
      </c>
      <c r="O11" s="51" t="e">
        <f t="shared" si="6"/>
        <v>#VALUE!</v>
      </c>
      <c r="P11" s="51">
        <f t="shared" si="20"/>
        <v>4</v>
      </c>
      <c r="Q11" s="51" t="e">
        <f t="shared" si="21"/>
        <v>#VALUE!</v>
      </c>
      <c r="R11" s="51" t="e">
        <f t="shared" si="22"/>
        <v>#VALUE!</v>
      </c>
      <c r="S11" s="51" t="str">
        <f>IFERROR(VLOOKUP(MID(N11,Q11,R11-Q11),[5]skilldef!$C:$D,2,FALSE),"-") &amp; " / " &amp; IFERROR(VLOOKUP(MID(N11,O11,P11-O11),[5]skilldef!$A:$B,2,FALSE),"-")</f>
        <v>- / -</v>
      </c>
      <c r="T11" s="47" t="str">
        <f t="shared" si="23"/>
        <v>none</v>
      </c>
      <c r="U11" s="51" t="e">
        <f t="shared" si="11"/>
        <v>#VALUE!</v>
      </c>
      <c r="V11" s="51">
        <f t="shared" si="24"/>
        <v>4</v>
      </c>
      <c r="W11" s="51" t="e">
        <f t="shared" si="25"/>
        <v>#VALUE!</v>
      </c>
      <c r="X11" s="51" t="e">
        <f t="shared" si="26"/>
        <v>#VALUE!</v>
      </c>
      <c r="Y11" s="51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62">
        <v>51001011</v>
      </c>
      <c r="B12" s="47" t="s">
        <v>325</v>
      </c>
      <c r="C12" s="50">
        <v>3</v>
      </c>
      <c r="D12" s="50" t="s">
        <v>126</v>
      </c>
      <c r="E12" s="70" t="s">
        <v>276</v>
      </c>
      <c r="F12" s="47" t="s">
        <v>271</v>
      </c>
      <c r="G12" s="51" t="str">
        <f t="shared" si="0"/>
        <v>[effect:enhance_enemy, target:myself, turn:-1, status:attack, val:1.15, animation:enemy_enhance_enemy]</v>
      </c>
      <c r="H12" s="51">
        <f t="shared" si="1"/>
        <v>9</v>
      </c>
      <c r="I12" s="51">
        <f t="shared" si="2"/>
        <v>22</v>
      </c>
      <c r="J12" s="51">
        <f t="shared" si="3"/>
        <v>31</v>
      </c>
      <c r="K12" s="51">
        <f t="shared" si="4"/>
        <v>37</v>
      </c>
      <c r="L12" s="51" t="str">
        <f>IFERROR(VLOOKUP(MID(G12,J12,K12-J12),[5]skilldef!$C:$D,2,FALSE),"-") &amp; " / " &amp; IFERROR(VLOOKUP(MID(G12,H12,I12-H12),[5]skilldef!$A:$B,2,FALSE),"-")</f>
        <v>自分自身に / ステータス強化</v>
      </c>
      <c r="M12" s="51" t="str">
        <f t="shared" si="5"/>
        <v>none</v>
      </c>
      <c r="N12" s="47" t="str">
        <f t="shared" ref="N12:N24" si="27">IFERROR(LEFT(M12,FIND("],",M12)+S31),M12)</f>
        <v>none</v>
      </c>
      <c r="O12" s="51" t="e">
        <f t="shared" si="6"/>
        <v>#VALUE!</v>
      </c>
      <c r="P12" s="51">
        <f t="shared" si="7"/>
        <v>4</v>
      </c>
      <c r="Q12" s="51" t="e">
        <f t="shared" si="8"/>
        <v>#VALUE!</v>
      </c>
      <c r="R12" s="51" t="e">
        <f t="shared" si="9"/>
        <v>#VALUE!</v>
      </c>
      <c r="S12" s="51" t="str">
        <f>IFERROR(VLOOKUP(MID(N12,Q12,R12-Q12),[5]skilldef!$C:$D,2,FALSE),"-") &amp; " / " &amp; IFERROR(VLOOKUP(MID(N12,O12,P12-O12),[5]skilldef!$A:$B,2,FALSE),"-")</f>
        <v>- / -</v>
      </c>
      <c r="T12" s="47" t="str">
        <f t="shared" si="10"/>
        <v>none</v>
      </c>
      <c r="U12" s="51" t="e">
        <f t="shared" si="11"/>
        <v>#VALUE!</v>
      </c>
      <c r="V12" s="51">
        <f t="shared" si="12"/>
        <v>4</v>
      </c>
      <c r="W12" s="51" t="e">
        <f t="shared" si="13"/>
        <v>#VALUE!</v>
      </c>
      <c r="X12" s="51" t="e">
        <f t="shared" si="14"/>
        <v>#VALUE!</v>
      </c>
      <c r="Y12" s="51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62">
        <v>51001012</v>
      </c>
      <c r="B13" s="47" t="s">
        <v>216</v>
      </c>
      <c r="C13" s="50">
        <v>3</v>
      </c>
      <c r="D13" s="50" t="s">
        <v>126</v>
      </c>
      <c r="E13" s="68" t="s">
        <v>275</v>
      </c>
      <c r="F13" s="47" t="s">
        <v>220</v>
      </c>
      <c r="G13" s="51" t="str">
        <f t="shared" si="0"/>
        <v>[effect:freq_turn, target:myself, turn:-1, val:1, animation:enemy_freq_turn]</v>
      </c>
      <c r="H13" s="51">
        <f t="shared" si="1"/>
        <v>9</v>
      </c>
      <c r="I13" s="51">
        <f t="shared" si="2"/>
        <v>18</v>
      </c>
      <c r="J13" s="51">
        <f t="shared" si="3"/>
        <v>27</v>
      </c>
      <c r="K13" s="51">
        <f t="shared" si="4"/>
        <v>33</v>
      </c>
      <c r="L13" s="51" t="str">
        <f>IFERROR(VLOOKUP(MID(G13,J13,K13-J13),[5]skilldef!$C:$D,2,FALSE),"-") &amp; " / " &amp; IFERROR(VLOOKUP(MID(G13,H13,I13-H13),[5]skilldef!$A:$B,2,FALSE),"-")</f>
        <v>自分自身に / 攻撃頻度がUP</v>
      </c>
      <c r="M13" s="51" t="str">
        <f t="shared" si="5"/>
        <v>none</v>
      </c>
      <c r="N13" s="47" t="str">
        <f t="shared" si="27"/>
        <v>none</v>
      </c>
      <c r="O13" s="51" t="e">
        <f t="shared" si="6"/>
        <v>#VALUE!</v>
      </c>
      <c r="P13" s="51">
        <f t="shared" si="7"/>
        <v>4</v>
      </c>
      <c r="Q13" s="51" t="e">
        <f t="shared" si="8"/>
        <v>#VALUE!</v>
      </c>
      <c r="R13" s="51" t="e">
        <f t="shared" si="9"/>
        <v>#VALUE!</v>
      </c>
      <c r="S13" s="51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none</v>
      </c>
      <c r="U13" s="51" t="e">
        <f t="shared" si="11"/>
        <v>#VALUE!</v>
      </c>
      <c r="V13" s="51">
        <f t="shared" si="12"/>
        <v>4</v>
      </c>
      <c r="W13" s="51" t="e">
        <f t="shared" si="13"/>
        <v>#VALUE!</v>
      </c>
      <c r="X13" s="51" t="e">
        <f t="shared" si="14"/>
        <v>#VALUE!</v>
      </c>
      <c r="Y13" s="51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62">
        <v>51001013</v>
      </c>
      <c r="B14" s="47" t="s">
        <v>218</v>
      </c>
      <c r="C14" s="50">
        <v>3</v>
      </c>
      <c r="D14" s="50" t="s">
        <v>126</v>
      </c>
      <c r="E14" s="47" t="s">
        <v>172</v>
      </c>
      <c r="F14" s="47" t="s">
        <v>361</v>
      </c>
      <c r="G14" s="51" t="str">
        <f t="shared" ref="G14:G39" si="28">IFERROR(LEFT(B14,FIND("],",B14)),B14)</f>
        <v>[effect:hungup, target:unit_all, turn:3, rate:1.0, animation:enemy_hungup]</v>
      </c>
      <c r="H14" s="51">
        <f t="shared" si="1"/>
        <v>9</v>
      </c>
      <c r="I14" s="51">
        <f t="shared" ref="I14:I25" si="29">IFERROR(FIND(",",G14),LEN(G14))</f>
        <v>15</v>
      </c>
      <c r="J14" s="51">
        <f t="shared" ref="J14:J25" si="30">FIND("target:",G14)+7</f>
        <v>24</v>
      </c>
      <c r="K14" s="51">
        <f t="shared" ref="K14:K25" si="31">FIND(",",G14,I14+1)</f>
        <v>32</v>
      </c>
      <c r="L14" s="51" t="str">
        <f>IFERROR(VLOOKUP(MID(G14,J14,K14-J14),[5]skilldef!$C:$D,2,FALSE),"-") &amp; " / " &amp; IFERROR(VLOOKUP(MID(G14,H14,I14-H14),[5]skilldef!$A:$B,2,FALSE),"-")</f>
        <v>味方全体に / ハングアップ</v>
      </c>
      <c r="M14" s="51" t="str">
        <f t="shared" si="5"/>
        <v>[effect:spread, val:0.3, animation:enemy_spread]</v>
      </c>
      <c r="N14" s="47" t="str">
        <f t="shared" si="27"/>
        <v>[effect:spread, val:0.3, animation:enemy_spread]</v>
      </c>
      <c r="O14" s="51">
        <f t="shared" si="6"/>
        <v>9</v>
      </c>
      <c r="P14" s="51">
        <f t="shared" ref="P14:P24" si="32">IFERROR(FIND(",",N14),LEN(N14))</f>
        <v>15</v>
      </c>
      <c r="Q14" s="51" t="e">
        <f t="shared" ref="Q14:Q24" si="33">FIND("target:",N14)+7</f>
        <v>#VALUE!</v>
      </c>
      <c r="R14" s="51">
        <f t="shared" ref="R14:R24" si="34">FIND(",",N14,P14+1)</f>
        <v>24</v>
      </c>
      <c r="S14" s="51" t="str">
        <f>IFERROR(VLOOKUP(MID(N14,Q14,R14-Q14),[5]skilldef!$C:$D,2,FALSE),"-") &amp; " / " &amp; IFERROR(VLOOKUP(MID(N14,O14,P14-O14),[5]skilldef!$A:$B,2,FALSE),"-")</f>
        <v>- / 全体攻撃</v>
      </c>
      <c r="T14" s="47" t="str">
        <f t="shared" ref="T14:T24" si="35">IFERROR(RIGHT(M14,LEN(M14)-FIND("],",M14)-1),"none")</f>
        <v>none</v>
      </c>
      <c r="U14" s="51" t="e">
        <f t="shared" si="11"/>
        <v>#VALUE!</v>
      </c>
      <c r="V14" s="51">
        <f t="shared" ref="V14:V24" si="36">IFERROR(FIND(",",T14),LEN(T14))</f>
        <v>4</v>
      </c>
      <c r="W14" s="51" t="e">
        <f t="shared" ref="W14:W24" si="37">FIND("target:",T14)+7</f>
        <v>#VALUE!</v>
      </c>
      <c r="X14" s="51" t="e">
        <f t="shared" ref="X14:X24" si="38">FIND(",",T14,V14+1)</f>
        <v>#VALUE!</v>
      </c>
      <c r="Y14" s="51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62">
        <v>51001014</v>
      </c>
      <c r="B15" s="47" t="s">
        <v>158</v>
      </c>
      <c r="C15" s="50">
        <v>3</v>
      </c>
      <c r="D15" s="50" t="s">
        <v>126</v>
      </c>
      <c r="E15" s="68" t="s">
        <v>239</v>
      </c>
      <c r="F15" s="47" t="s">
        <v>189</v>
      </c>
      <c r="G15" s="51" t="str">
        <f t="shared" si="28"/>
        <v>[effect:heal, target:enemy_one, val:0.5, animation:enemy_heal]</v>
      </c>
      <c r="H15" s="51">
        <f t="shared" si="1"/>
        <v>9</v>
      </c>
      <c r="I15" s="51">
        <f t="shared" si="29"/>
        <v>13</v>
      </c>
      <c r="J15" s="51">
        <f t="shared" si="30"/>
        <v>22</v>
      </c>
      <c r="K15" s="51">
        <f t="shared" si="31"/>
        <v>31</v>
      </c>
      <c r="L15" s="51" t="str">
        <f>IFERROR(VLOOKUP(MID(G15,J15,K15-J15),[5]skilldef!$C:$D,2,FALSE),"-") &amp; " / " &amp; IFERROR(VLOOKUP(MID(G15,H15,I15-H15),[5]skilldef!$A:$B,2,FALSE),"-")</f>
        <v>敵単体に / 回復</v>
      </c>
      <c r="M15" s="51" t="str">
        <f t="shared" si="5"/>
        <v>none</v>
      </c>
      <c r="N15" s="47" t="str">
        <f t="shared" si="27"/>
        <v>none</v>
      </c>
      <c r="O15" s="51" t="e">
        <f t="shared" si="6"/>
        <v>#VALUE!</v>
      </c>
      <c r="P15" s="51">
        <f t="shared" si="32"/>
        <v>4</v>
      </c>
      <c r="Q15" s="51" t="e">
        <f t="shared" si="33"/>
        <v>#VALUE!</v>
      </c>
      <c r="R15" s="51" t="e">
        <f t="shared" si="34"/>
        <v>#VALUE!</v>
      </c>
      <c r="S15" s="51" t="str">
        <f>IFERROR(VLOOKUP(MID(N15,Q15,R15-Q15),[5]skilldef!$C:$D,2,FALSE),"-") &amp; " / " &amp; IFERROR(VLOOKUP(MID(N15,O15,P15-O15),[5]skilldef!$A:$B,2,FALSE),"-")</f>
        <v>- / -</v>
      </c>
      <c r="T15" s="47" t="str">
        <f t="shared" si="35"/>
        <v>none</v>
      </c>
      <c r="U15" s="51" t="e">
        <f t="shared" si="11"/>
        <v>#VALUE!</v>
      </c>
      <c r="V15" s="51">
        <f t="shared" si="36"/>
        <v>4</v>
      </c>
      <c r="W15" s="51" t="e">
        <f t="shared" si="37"/>
        <v>#VALUE!</v>
      </c>
      <c r="X15" s="51" t="e">
        <f t="shared" si="38"/>
        <v>#VALUE!</v>
      </c>
      <c r="Y15" s="51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62">
        <v>51001015</v>
      </c>
      <c r="B16" s="47" t="s">
        <v>219</v>
      </c>
      <c r="C16" s="50">
        <v>3</v>
      </c>
      <c r="D16" s="50" t="s">
        <v>126</v>
      </c>
      <c r="E16" s="47" t="s">
        <v>173</v>
      </c>
      <c r="F16" s="47" t="s">
        <v>153</v>
      </c>
      <c r="G16" s="51" t="str">
        <f t="shared" si="28"/>
        <v>[effect:rush, count:5, val:0.3]</v>
      </c>
      <c r="H16" s="51">
        <f t="shared" si="1"/>
        <v>9</v>
      </c>
      <c r="I16" s="51">
        <f t="shared" si="29"/>
        <v>13</v>
      </c>
      <c r="J16" s="51" t="e">
        <f t="shared" si="30"/>
        <v>#VALUE!</v>
      </c>
      <c r="K16" s="51">
        <f t="shared" si="31"/>
        <v>22</v>
      </c>
      <c r="L16" s="51" t="str">
        <f>IFERROR(VLOOKUP(MID(G16,J16,K16-J16),[5]skilldef!$C:$D,2,FALSE),"-") &amp; " / " &amp; IFERROR(VLOOKUP(MID(G16,H16,I16-H16),[5]skilldef!$A:$B,2,FALSE),"-")</f>
        <v>- / 連続攻撃</v>
      </c>
      <c r="M16" s="51" t="str">
        <f t="shared" si="5"/>
        <v>none</v>
      </c>
      <c r="N16" s="47" t="str">
        <f t="shared" si="27"/>
        <v>none</v>
      </c>
      <c r="O16" s="51" t="e">
        <f t="shared" si="6"/>
        <v>#VALUE!</v>
      </c>
      <c r="P16" s="51">
        <f t="shared" si="32"/>
        <v>4</v>
      </c>
      <c r="Q16" s="51" t="e">
        <f t="shared" si="33"/>
        <v>#VALUE!</v>
      </c>
      <c r="R16" s="51" t="e">
        <f t="shared" si="34"/>
        <v>#VALUE!</v>
      </c>
      <c r="S16" s="51" t="str">
        <f>IFERROR(VLOOKUP(MID(N16,Q16,R16-Q16),[5]skilldef!$C:$D,2,FALSE),"-") &amp; " / " &amp; IFERROR(VLOOKUP(MID(N16,O16,P16-O16),[5]skilldef!$A:$B,2,FALSE),"-")</f>
        <v>- / -</v>
      </c>
      <c r="T16" s="47" t="str">
        <f t="shared" si="35"/>
        <v>none</v>
      </c>
      <c r="U16" s="51" t="e">
        <f t="shared" si="11"/>
        <v>#VALUE!</v>
      </c>
      <c r="V16" s="51">
        <f t="shared" si="36"/>
        <v>4</v>
      </c>
      <c r="W16" s="51" t="e">
        <f t="shared" si="37"/>
        <v>#VALUE!</v>
      </c>
      <c r="X16" s="51" t="e">
        <f t="shared" si="38"/>
        <v>#VALUE!</v>
      </c>
      <c r="Y16" s="51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62">
        <v>51001016</v>
      </c>
      <c r="B17" s="47" t="s">
        <v>152</v>
      </c>
      <c r="C17" s="50">
        <v>3</v>
      </c>
      <c r="D17" s="50" t="s">
        <v>126</v>
      </c>
      <c r="E17" s="47" t="s">
        <v>174</v>
      </c>
      <c r="F17" s="47" t="s">
        <v>154</v>
      </c>
      <c r="G17" s="51" t="str">
        <f t="shared" si="28"/>
        <v>[effect:spread, val:0.3, animation:enemy_spread]</v>
      </c>
      <c r="H17" s="51">
        <f t="shared" si="1"/>
        <v>9</v>
      </c>
      <c r="I17" s="51">
        <f t="shared" si="29"/>
        <v>15</v>
      </c>
      <c r="J17" s="51" t="e">
        <f t="shared" si="30"/>
        <v>#VALUE!</v>
      </c>
      <c r="K17" s="51">
        <f t="shared" si="31"/>
        <v>24</v>
      </c>
      <c r="L17" s="51" t="str">
        <f>IFERROR(VLOOKUP(MID(G17,J17,K17-J17),[5]skilldef!$C:$D,2,FALSE),"-") &amp; " / " &amp; IFERROR(VLOOKUP(MID(G17,H17,I17-H17),[5]skilldef!$A:$B,2,FALSE),"-")</f>
        <v>- / 全体攻撃</v>
      </c>
      <c r="M17" s="51" t="str">
        <f t="shared" si="5"/>
        <v>none</v>
      </c>
      <c r="N17" s="47" t="str">
        <f t="shared" si="27"/>
        <v>none</v>
      </c>
      <c r="O17" s="51" t="e">
        <f t="shared" si="6"/>
        <v>#VALUE!</v>
      </c>
      <c r="P17" s="51">
        <f t="shared" si="32"/>
        <v>4</v>
      </c>
      <c r="Q17" s="51" t="e">
        <f t="shared" si="33"/>
        <v>#VALUE!</v>
      </c>
      <c r="R17" s="51" t="e">
        <f t="shared" si="34"/>
        <v>#VALUE!</v>
      </c>
      <c r="S17" s="51" t="str">
        <f>IFERROR(VLOOKUP(MID(N17,Q17,R17-Q17),[5]skilldef!$C:$D,2,FALSE),"-") &amp; " / " &amp; IFERROR(VLOOKUP(MID(N17,O17,P17-O17),[5]skilldef!$A:$B,2,FALSE),"-")</f>
        <v>- / -</v>
      </c>
      <c r="T17" s="47" t="str">
        <f t="shared" si="35"/>
        <v>none</v>
      </c>
      <c r="U17" s="51" t="e">
        <f t="shared" si="11"/>
        <v>#VALUE!</v>
      </c>
      <c r="V17" s="51">
        <f t="shared" si="36"/>
        <v>4</v>
      </c>
      <c r="W17" s="51" t="e">
        <f t="shared" si="37"/>
        <v>#VALUE!</v>
      </c>
      <c r="X17" s="51" t="e">
        <f t="shared" si="38"/>
        <v>#VALUE!</v>
      </c>
      <c r="Y17" s="51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62">
        <v>51001017</v>
      </c>
      <c r="B18" s="47" t="s">
        <v>159</v>
      </c>
      <c r="C18" s="50">
        <v>3</v>
      </c>
      <c r="D18" s="50" t="s">
        <v>126</v>
      </c>
      <c r="E18" s="75" t="s">
        <v>230</v>
      </c>
      <c r="F18" s="47" t="s">
        <v>189</v>
      </c>
      <c r="G18" s="51" t="str">
        <f t="shared" si="28"/>
        <v>[effect:heal, target:myself, val:0.5, animation:enemy_heal]</v>
      </c>
      <c r="H18" s="51">
        <f t="shared" si="1"/>
        <v>9</v>
      </c>
      <c r="I18" s="51">
        <f t="shared" si="29"/>
        <v>13</v>
      </c>
      <c r="J18" s="51">
        <f t="shared" si="30"/>
        <v>22</v>
      </c>
      <c r="K18" s="51">
        <f t="shared" si="31"/>
        <v>28</v>
      </c>
      <c r="L18" s="51" t="str">
        <f>IFERROR(VLOOKUP(MID(G18,J18,K18-J18),[5]skilldef!$C:$D,2,FALSE),"-") &amp; " / " &amp; IFERROR(VLOOKUP(MID(G18,H18,I18-H18),[5]skilldef!$A:$B,2,FALSE),"-")</f>
        <v>自分自身に / 回復</v>
      </c>
      <c r="M18" s="51" t="str">
        <f t="shared" si="5"/>
        <v>none</v>
      </c>
      <c r="N18" s="47" t="str">
        <f t="shared" si="27"/>
        <v>none</v>
      </c>
      <c r="O18" s="51" t="e">
        <f t="shared" si="6"/>
        <v>#VALUE!</v>
      </c>
      <c r="P18" s="51">
        <f t="shared" si="32"/>
        <v>4</v>
      </c>
      <c r="Q18" s="51" t="e">
        <f t="shared" si="33"/>
        <v>#VALUE!</v>
      </c>
      <c r="R18" s="51" t="e">
        <f t="shared" si="34"/>
        <v>#VALUE!</v>
      </c>
      <c r="S18" s="51" t="str">
        <f>IFERROR(VLOOKUP(MID(N18,Q18,R18-Q18),[5]skilldef!$C:$D,2,FALSE),"-") &amp; " / " &amp; IFERROR(VLOOKUP(MID(N18,O18,P18-O18),[5]skilldef!$A:$B,2,FALSE),"-")</f>
        <v>- / -</v>
      </c>
      <c r="T18" s="47" t="str">
        <f t="shared" si="35"/>
        <v>none</v>
      </c>
      <c r="U18" s="51" t="e">
        <f t="shared" si="11"/>
        <v>#VALUE!</v>
      </c>
      <c r="V18" s="51">
        <f t="shared" si="36"/>
        <v>4</v>
      </c>
      <c r="W18" s="51" t="e">
        <f t="shared" si="37"/>
        <v>#VALUE!</v>
      </c>
      <c r="X18" s="51" t="e">
        <f t="shared" si="38"/>
        <v>#VALUE!</v>
      </c>
      <c r="Y18" s="51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62">
        <v>51001018</v>
      </c>
      <c r="B19" s="47" t="s">
        <v>157</v>
      </c>
      <c r="C19" s="50">
        <v>3</v>
      </c>
      <c r="D19" s="50" t="s">
        <v>126</v>
      </c>
      <c r="E19" s="75" t="s">
        <v>278</v>
      </c>
      <c r="F19" s="47" t="s">
        <v>277</v>
      </c>
      <c r="G19" s="51" t="str">
        <f t="shared" si="28"/>
        <v>[effect:freq_turn, target:myself, turn:-1, val:1, animation:enemy_freq_turn]</v>
      </c>
      <c r="H19" s="51">
        <f t="shared" si="1"/>
        <v>9</v>
      </c>
      <c r="I19" s="51">
        <f t="shared" si="29"/>
        <v>18</v>
      </c>
      <c r="J19" s="51">
        <f t="shared" si="30"/>
        <v>27</v>
      </c>
      <c r="K19" s="51">
        <f t="shared" si="31"/>
        <v>33</v>
      </c>
      <c r="L19" s="51" t="str">
        <f>IFERROR(VLOOKUP(MID(G19,J19,K19-J19),[5]skilldef!$C:$D,2,FALSE),"-") &amp; " / " &amp; IFERROR(VLOOKUP(MID(G19,H19,I19-H19),[5]skilldef!$A:$B,2,FALSE),"-")</f>
        <v>自分自身に / 攻撃頻度がUP</v>
      </c>
      <c r="M19" s="51" t="str">
        <f t="shared" si="5"/>
        <v>none</v>
      </c>
      <c r="N19" s="47" t="str">
        <f t="shared" si="27"/>
        <v>none</v>
      </c>
      <c r="O19" s="51" t="e">
        <f t="shared" si="6"/>
        <v>#VALUE!</v>
      </c>
      <c r="P19" s="51">
        <f t="shared" si="32"/>
        <v>4</v>
      </c>
      <c r="Q19" s="51" t="e">
        <f t="shared" si="33"/>
        <v>#VALUE!</v>
      </c>
      <c r="R19" s="51" t="e">
        <f t="shared" si="34"/>
        <v>#VALUE!</v>
      </c>
      <c r="S19" s="51" t="str">
        <f>IFERROR(VLOOKUP(MID(N19,Q19,R19-Q19),[5]skilldef!$C:$D,2,FALSE),"-") &amp; " / " &amp; IFERROR(VLOOKUP(MID(N19,O19,P19-O19),[5]skilldef!$A:$B,2,FALSE),"-")</f>
        <v>- / -</v>
      </c>
      <c r="T19" s="47" t="str">
        <f t="shared" si="35"/>
        <v>none</v>
      </c>
      <c r="U19" s="51" t="e">
        <f t="shared" si="11"/>
        <v>#VALUE!</v>
      </c>
      <c r="V19" s="51">
        <f t="shared" si="36"/>
        <v>4</v>
      </c>
      <c r="W19" s="51" t="e">
        <f t="shared" si="37"/>
        <v>#VALUE!</v>
      </c>
      <c r="X19" s="51" t="e">
        <f t="shared" si="38"/>
        <v>#VALUE!</v>
      </c>
      <c r="Y19" s="51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62">
        <v>51001019</v>
      </c>
      <c r="B20" s="47" t="s">
        <v>163</v>
      </c>
      <c r="C20" s="50">
        <v>3</v>
      </c>
      <c r="D20" s="50" t="s">
        <v>126</v>
      </c>
      <c r="E20" s="47" t="s">
        <v>175</v>
      </c>
      <c r="F20" s="47" t="s">
        <v>362</v>
      </c>
      <c r="G20" s="51" t="str">
        <f t="shared" si="28"/>
        <v>[effect:sleep, target:unit_one, turn:3, rate:1.0, animation:enemy_sleep]</v>
      </c>
      <c r="H20" s="51">
        <f t="shared" si="1"/>
        <v>9</v>
      </c>
      <c r="I20" s="51">
        <f t="shared" si="29"/>
        <v>14</v>
      </c>
      <c r="J20" s="51">
        <f t="shared" si="30"/>
        <v>23</v>
      </c>
      <c r="K20" s="51">
        <f t="shared" si="31"/>
        <v>31</v>
      </c>
      <c r="L20" s="51" t="str">
        <f>IFERROR(VLOOKUP(MID(G20,J20,K20-J20),[5]skilldef!$C:$D,2,FALSE),"-") &amp; " / " &amp; IFERROR(VLOOKUP(MID(G20,H20,I20-H20),[5]skilldef!$A:$B,2,FALSE),"-")</f>
        <v>味方単体に / スリープ</v>
      </c>
      <c r="M20" s="51" t="str">
        <f t="shared" si="5"/>
        <v>[effect:critical, val:1.2, animation:enemy_critical]</v>
      </c>
      <c r="N20" s="47" t="str">
        <f t="shared" si="27"/>
        <v>[effect:critical, val:1.2, animation:enemy_critical]</v>
      </c>
      <c r="O20" s="51">
        <f t="shared" si="6"/>
        <v>9</v>
      </c>
      <c r="P20" s="51">
        <f t="shared" si="32"/>
        <v>17</v>
      </c>
      <c r="Q20" s="51" t="e">
        <f t="shared" si="33"/>
        <v>#VALUE!</v>
      </c>
      <c r="R20" s="51">
        <f t="shared" si="34"/>
        <v>26</v>
      </c>
      <c r="S20" s="51" t="str">
        <f>IFERROR(VLOOKUP(MID(N20,Q20,R20-Q20),[5]skilldef!$C:$D,2,FALSE),"-") &amp; " / " &amp; IFERROR(VLOOKUP(MID(N20,O20,P20-O20),[5]skilldef!$A:$B,2,FALSE),"-")</f>
        <v>- / 大攻撃</v>
      </c>
      <c r="T20" s="47" t="str">
        <f t="shared" si="35"/>
        <v>none</v>
      </c>
      <c r="U20" s="51" t="e">
        <f t="shared" si="11"/>
        <v>#VALUE!</v>
      </c>
      <c r="V20" s="51">
        <f t="shared" si="36"/>
        <v>4</v>
      </c>
      <c r="W20" s="51" t="e">
        <f t="shared" si="37"/>
        <v>#VALUE!</v>
      </c>
      <c r="X20" s="51" t="e">
        <f t="shared" si="38"/>
        <v>#VALUE!</v>
      </c>
      <c r="Y20" s="51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62">
        <v>51001020</v>
      </c>
      <c r="B21" s="47" t="s">
        <v>266</v>
      </c>
      <c r="C21" s="50">
        <v>3</v>
      </c>
      <c r="D21" s="50" t="s">
        <v>126</v>
      </c>
      <c r="E21" s="69" t="s">
        <v>231</v>
      </c>
      <c r="F21" s="47" t="s">
        <v>190</v>
      </c>
      <c r="G21" s="51" t="str">
        <f t="shared" si="28"/>
        <v>[effect:enhance_enemy, target:enemy_yellow, turn:3, status:attack, val:1.0, animation:enemy_enhance_enemy]</v>
      </c>
      <c r="H21" s="51">
        <f t="shared" si="1"/>
        <v>9</v>
      </c>
      <c r="I21" s="51">
        <f t="shared" si="29"/>
        <v>22</v>
      </c>
      <c r="J21" s="51">
        <f t="shared" si="30"/>
        <v>31</v>
      </c>
      <c r="K21" s="51">
        <f t="shared" si="31"/>
        <v>43</v>
      </c>
      <c r="L21" s="51" t="str">
        <f>IFERROR(VLOOKUP(MID(G21,J21,K21-J21),[5]skilldef!$C:$D,2,FALSE),"-") &amp; " / " &amp; IFERROR(VLOOKUP(MID(G21,H21,I21-H21),[5]skilldef!$A:$B,2,FALSE),"-")</f>
        <v>黄の敵に / ステータス強化</v>
      </c>
      <c r="M21" s="51" t="str">
        <f t="shared" si="5"/>
        <v>none</v>
      </c>
      <c r="N21" s="47" t="str">
        <f t="shared" si="27"/>
        <v>none</v>
      </c>
      <c r="O21" s="51" t="e">
        <f t="shared" si="6"/>
        <v>#VALUE!</v>
      </c>
      <c r="P21" s="51">
        <f t="shared" si="32"/>
        <v>4</v>
      </c>
      <c r="Q21" s="51" t="e">
        <f t="shared" si="33"/>
        <v>#VALUE!</v>
      </c>
      <c r="R21" s="51" t="e">
        <f t="shared" si="34"/>
        <v>#VALUE!</v>
      </c>
      <c r="S21" s="51" t="str">
        <f>IFERROR(VLOOKUP(MID(N21,Q21,R21-Q21),[5]skilldef!$C:$D,2,FALSE),"-") &amp; " / " &amp; IFERROR(VLOOKUP(MID(N21,O21,P21-O21),[5]skilldef!$A:$B,2,FALSE),"-")</f>
        <v>- / -</v>
      </c>
      <c r="T21" s="47" t="str">
        <f t="shared" si="35"/>
        <v>none</v>
      </c>
      <c r="U21" s="51" t="e">
        <f t="shared" si="11"/>
        <v>#VALUE!</v>
      </c>
      <c r="V21" s="51">
        <f t="shared" si="36"/>
        <v>4</v>
      </c>
      <c r="W21" s="51" t="e">
        <f t="shared" si="37"/>
        <v>#VALUE!</v>
      </c>
      <c r="X21" s="51" t="e">
        <f t="shared" si="38"/>
        <v>#VALUE!</v>
      </c>
      <c r="Y21" s="51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62">
        <v>51001021</v>
      </c>
      <c r="B22" s="47" t="s">
        <v>244</v>
      </c>
      <c r="C22" s="50">
        <v>3</v>
      </c>
      <c r="D22" s="50" t="s">
        <v>126</v>
      </c>
      <c r="E22" s="47" t="s">
        <v>205</v>
      </c>
      <c r="F22" s="47" t="s">
        <v>154</v>
      </c>
      <c r="G22" s="51" t="str">
        <f t="shared" si="28"/>
        <v>[effect:spread, val:0.35, animation:enemy_spread]</v>
      </c>
      <c r="H22" s="51">
        <f t="shared" si="1"/>
        <v>9</v>
      </c>
      <c r="I22" s="51">
        <f t="shared" si="29"/>
        <v>15</v>
      </c>
      <c r="J22" s="51" t="e">
        <f t="shared" si="30"/>
        <v>#VALUE!</v>
      </c>
      <c r="K22" s="51">
        <f t="shared" si="31"/>
        <v>25</v>
      </c>
      <c r="L22" s="51" t="str">
        <f>IFERROR(VLOOKUP(MID(G22,J22,K22-J22),[5]skilldef!$C:$D,2,FALSE),"-") &amp; " / " &amp; IFERROR(VLOOKUP(MID(G22,H22,I22-H22),[5]skilldef!$A:$B,2,FALSE),"-")</f>
        <v>- / 全体攻撃</v>
      </c>
      <c r="M22" s="51" t="str">
        <f t="shared" si="5"/>
        <v>none</v>
      </c>
      <c r="N22" s="47" t="str">
        <f t="shared" si="27"/>
        <v>none</v>
      </c>
      <c r="O22" s="51" t="e">
        <f t="shared" si="6"/>
        <v>#VALUE!</v>
      </c>
      <c r="P22" s="51">
        <f t="shared" si="32"/>
        <v>4</v>
      </c>
      <c r="Q22" s="51" t="e">
        <f t="shared" si="33"/>
        <v>#VALUE!</v>
      </c>
      <c r="R22" s="51" t="e">
        <f t="shared" si="34"/>
        <v>#VALUE!</v>
      </c>
      <c r="S22" s="51" t="str">
        <f>IFERROR(VLOOKUP(MID(N22,Q22,R22-Q22),[5]skilldef!$C:$D,2,FALSE),"-") &amp; " / " &amp; IFERROR(VLOOKUP(MID(N22,O22,P22-O22),[5]skilldef!$A:$B,2,FALSE),"-")</f>
        <v>- / -</v>
      </c>
      <c r="T22" s="47" t="str">
        <f t="shared" si="35"/>
        <v>none</v>
      </c>
      <c r="U22" s="51" t="e">
        <f t="shared" si="11"/>
        <v>#VALUE!</v>
      </c>
      <c r="V22" s="51">
        <f t="shared" si="36"/>
        <v>4</v>
      </c>
      <c r="W22" s="51" t="e">
        <f t="shared" si="37"/>
        <v>#VALUE!</v>
      </c>
      <c r="X22" s="51" t="e">
        <f t="shared" si="38"/>
        <v>#VALUE!</v>
      </c>
      <c r="Y22" s="51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62">
        <v>51001022</v>
      </c>
      <c r="B23" s="47" t="s">
        <v>363</v>
      </c>
      <c r="C23" s="50">
        <v>3</v>
      </c>
      <c r="D23" s="50" t="s">
        <v>126</v>
      </c>
      <c r="E23" s="47" t="s">
        <v>177</v>
      </c>
      <c r="F23" s="47" t="s">
        <v>222</v>
      </c>
      <c r="G23" s="51" t="str">
        <f t="shared" si="28"/>
        <v>[effect:degrade_unit, target:unit_all, turn:5, status:attack, val:1.0, calc:mul]</v>
      </c>
      <c r="H23" s="51">
        <f t="shared" si="1"/>
        <v>9</v>
      </c>
      <c r="I23" s="51">
        <f t="shared" si="29"/>
        <v>21</v>
      </c>
      <c r="J23" s="51">
        <f t="shared" si="30"/>
        <v>30</v>
      </c>
      <c r="K23" s="51">
        <f t="shared" si="31"/>
        <v>38</v>
      </c>
      <c r="L23" s="51" t="str">
        <f>IFERROR(VLOOKUP(MID(G23,J23,K23-J23),[5]skilldef!$C:$D,2,FALSE),"-") &amp; " / " &amp; IFERROR(VLOOKUP(MID(G23,H23,I23-H23),[5]skilldef!$A:$B,2,FALSE),"-")</f>
        <v>味方全体に / ステータスDOWN</v>
      </c>
      <c r="M23" s="51" t="str">
        <f>IFERROR(RIGHT(#REF!,LEN(#REF!)-FIND("],",#REF!)-1),"none")</f>
        <v>none</v>
      </c>
      <c r="N23" s="47" t="str">
        <f t="shared" si="27"/>
        <v>none</v>
      </c>
      <c r="O23" s="51" t="e">
        <f t="shared" si="6"/>
        <v>#VALUE!</v>
      </c>
      <c r="P23" s="51">
        <f t="shared" si="32"/>
        <v>4</v>
      </c>
      <c r="Q23" s="51" t="e">
        <f t="shared" si="33"/>
        <v>#VALUE!</v>
      </c>
      <c r="R23" s="51" t="e">
        <f t="shared" si="34"/>
        <v>#VALUE!</v>
      </c>
      <c r="S23" s="51" t="str">
        <f>IFERROR(VLOOKUP(MID(N23,Q23,R23-Q23),[5]skilldef!$C:$D,2,FALSE),"-") &amp; " / " &amp; IFERROR(VLOOKUP(MID(N23,O23,P23-O23),[5]skilldef!$A:$B,2,FALSE),"-")</f>
        <v>- / -</v>
      </c>
      <c r="T23" s="47" t="str">
        <f t="shared" si="35"/>
        <v>none</v>
      </c>
      <c r="U23" s="51" t="e">
        <f t="shared" si="11"/>
        <v>#VALUE!</v>
      </c>
      <c r="V23" s="51">
        <f t="shared" si="36"/>
        <v>4</v>
      </c>
      <c r="W23" s="51" t="e">
        <f t="shared" si="37"/>
        <v>#VALUE!</v>
      </c>
      <c r="X23" s="51" t="e">
        <f t="shared" si="38"/>
        <v>#VALUE!</v>
      </c>
      <c r="Y23" s="51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62">
        <v>51001023</v>
      </c>
      <c r="B24" s="47" t="s">
        <v>221</v>
      </c>
      <c r="C24" s="50">
        <v>3</v>
      </c>
      <c r="D24" s="50" t="s">
        <v>126</v>
      </c>
      <c r="E24" s="47" t="s">
        <v>176</v>
      </c>
      <c r="F24" s="47" t="s">
        <v>191</v>
      </c>
      <c r="G24" s="51" t="str">
        <f t="shared" si="28"/>
        <v>[effect:degrade_unit, target:unit_all, turn:-1, status:heal, val:1.0, calc:mul]</v>
      </c>
      <c r="H24" s="51">
        <f t="shared" si="1"/>
        <v>9</v>
      </c>
      <c r="I24" s="51">
        <f t="shared" si="29"/>
        <v>21</v>
      </c>
      <c r="J24" s="51">
        <f t="shared" si="30"/>
        <v>30</v>
      </c>
      <c r="K24" s="51">
        <f t="shared" si="31"/>
        <v>38</v>
      </c>
      <c r="L24" s="51" t="str">
        <f>IFERROR(VLOOKUP(MID(G24,J24,K24-J24),[5]skilldef!$C:$D,2,FALSE),"-") &amp; " / " &amp; IFERROR(VLOOKUP(MID(G24,H24,I24-H24),[5]skilldef!$A:$B,2,FALSE),"-")</f>
        <v>味方全体に / ステータスDOWN</v>
      </c>
      <c r="M24" s="51" t="str">
        <f t="shared" ref="M24:M54" si="39">IFERROR(RIGHT(B24,LEN(B24)-FIND("],",B24)-1),"none")</f>
        <v>[effect:spread, val:0.3, animation:enemy_spread]</v>
      </c>
      <c r="N24" s="47" t="str">
        <f t="shared" si="27"/>
        <v>[effect:spread, val:0.3, animation:enemy_spread]</v>
      </c>
      <c r="O24" s="51">
        <f t="shared" si="6"/>
        <v>9</v>
      </c>
      <c r="P24" s="51">
        <f t="shared" si="32"/>
        <v>15</v>
      </c>
      <c r="Q24" s="51" t="e">
        <f t="shared" si="33"/>
        <v>#VALUE!</v>
      </c>
      <c r="R24" s="51">
        <f t="shared" si="34"/>
        <v>24</v>
      </c>
      <c r="S24" s="51" t="str">
        <f>IFERROR(VLOOKUP(MID(N24,Q24,R24-Q24),[5]skilldef!$C:$D,2,FALSE),"-") &amp; " / " &amp; IFERROR(VLOOKUP(MID(N24,O24,P24-O24),[5]skilldef!$A:$B,2,FALSE),"-")</f>
        <v>- / 全体攻撃</v>
      </c>
      <c r="T24" s="47" t="str">
        <f t="shared" si="35"/>
        <v>none</v>
      </c>
      <c r="U24" s="51" t="e">
        <f t="shared" si="11"/>
        <v>#VALUE!</v>
      </c>
      <c r="V24" s="51">
        <f t="shared" si="36"/>
        <v>4</v>
      </c>
      <c r="W24" s="51" t="e">
        <f t="shared" si="37"/>
        <v>#VALUE!</v>
      </c>
      <c r="X24" s="51" t="e">
        <f t="shared" si="38"/>
        <v>#VALUE!</v>
      </c>
      <c r="Y24" s="51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62">
        <v>51001024</v>
      </c>
      <c r="B25" s="47" t="s">
        <v>265</v>
      </c>
      <c r="C25" s="50">
        <v>3</v>
      </c>
      <c r="D25" s="50" t="s">
        <v>126</v>
      </c>
      <c r="E25" s="70" t="s">
        <v>237</v>
      </c>
      <c r="F25" s="47" t="s">
        <v>190</v>
      </c>
      <c r="G25" s="51" t="str">
        <f t="shared" si="28"/>
        <v>[effect:enhance_enemy, target:enemy_yellow, turn:3, status:attack, val:1.0, animation:enemy_enhance_enemy]</v>
      </c>
      <c r="H25" s="51">
        <f t="shared" si="1"/>
        <v>9</v>
      </c>
      <c r="I25" s="51">
        <f t="shared" si="29"/>
        <v>22</v>
      </c>
      <c r="J25" s="51">
        <f t="shared" si="30"/>
        <v>31</v>
      </c>
      <c r="K25" s="51">
        <f t="shared" si="31"/>
        <v>43</v>
      </c>
      <c r="L25" s="51" t="str">
        <f>IFERROR(VLOOKUP(MID(G25,J25,K25-J25),[5]skilldef!$C:$D,2,FALSE),"-") &amp; " / " &amp; IFERROR(VLOOKUP(MID(G25,H25,I25-H25),[5]skilldef!$A:$B,2,FALSE),"-")</f>
        <v>黄の敵に / ステータス強化</v>
      </c>
      <c r="M25" s="51" t="str">
        <f t="shared" si="39"/>
        <v>[effect:fix_speed,target:myself,turn:2]</v>
      </c>
      <c r="N25" s="47" t="str">
        <f t="shared" ref="N25:N36" si="40">IFERROR(LEFT(M25,FIND("],",M25)+S44),M25)</f>
        <v>[effect:fix_speed,target:myself,turn:2]</v>
      </c>
      <c r="O25" s="51">
        <f t="shared" ref="O25:O51" si="41">FIND("effect:",N25)+7</f>
        <v>9</v>
      </c>
      <c r="P25" s="51">
        <f t="shared" ref="P25:P51" si="42">IFERROR(FIND(",",N25),LEN(N25))</f>
        <v>18</v>
      </c>
      <c r="Q25" s="51">
        <f t="shared" ref="Q25:Q51" si="43">FIND("target:",N25)+7</f>
        <v>26</v>
      </c>
      <c r="R25" s="51">
        <f t="shared" ref="R25:R51" si="44">FIND(",",N25,P25+1)</f>
        <v>32</v>
      </c>
      <c r="S25" s="51" t="str">
        <f>IFERROR(VLOOKUP(MID(N25,Q25,R25-Q25),[5]skilldef!$C:$D,2,FALSE),"-") &amp; " / " &amp; IFERROR(VLOOKUP(MID(N25,O25,P25-O25),[5]skilldef!$A:$B,2,FALSE),"-")</f>
        <v>自分自身に / 行動値設定</v>
      </c>
      <c r="T25" s="47" t="str">
        <f t="shared" ref="T25:T51" si="45">IFERROR(RIGHT(M25,LEN(M25)-FIND("],",M25)-1),"none")</f>
        <v>none</v>
      </c>
      <c r="U25" s="51" t="e">
        <f t="shared" ref="U25:U51" si="46">FIND("effect:",T25)+7</f>
        <v>#VALUE!</v>
      </c>
      <c r="V25" s="51">
        <f t="shared" ref="V25:V51" si="47">IFERROR(FIND(",",T25),LEN(T25))</f>
        <v>4</v>
      </c>
      <c r="W25" s="51" t="e">
        <f t="shared" ref="W25:W51" si="48">FIND("target:",T25)+7</f>
        <v>#VALUE!</v>
      </c>
      <c r="X25" s="51" t="e">
        <f t="shared" ref="X25:X51" si="49">FIND(",",T25,V25+1)</f>
        <v>#VALUE!</v>
      </c>
      <c r="Y25" s="51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62">
        <v>51001025</v>
      </c>
      <c r="B26" s="47" t="s">
        <v>247</v>
      </c>
      <c r="C26" s="50">
        <v>3</v>
      </c>
      <c r="D26" s="50" t="s">
        <v>126</v>
      </c>
      <c r="E26" s="47" t="s">
        <v>205</v>
      </c>
      <c r="F26" s="47" t="s">
        <v>192</v>
      </c>
      <c r="G26" s="51" t="str">
        <f t="shared" si="28"/>
        <v>[effect:spread, val:0.3, animation:enemy_spread]</v>
      </c>
      <c r="H26" s="51">
        <f t="shared" si="1"/>
        <v>9</v>
      </c>
      <c r="I26" s="51">
        <f t="shared" si="2"/>
        <v>15</v>
      </c>
      <c r="J26" s="51" t="e">
        <f t="shared" si="3"/>
        <v>#VALUE!</v>
      </c>
      <c r="K26" s="51">
        <f t="shared" si="4"/>
        <v>24</v>
      </c>
      <c r="L26" s="51" t="str">
        <f>IFERROR(VLOOKUP(MID(G26,J26,K26-J26),[5]skilldef!$C:$D,2,FALSE),"-") &amp; " / " &amp; IFERROR(VLOOKUP(MID(G26,H26,I26-H26),[5]skilldef!$A:$B,2,FALSE),"-")</f>
        <v>- / 全体攻撃</v>
      </c>
      <c r="M26" s="51" t="str">
        <f t="shared" si="39"/>
        <v>none</v>
      </c>
      <c r="N26" s="47" t="str">
        <f t="shared" si="40"/>
        <v>none</v>
      </c>
      <c r="O26" s="51" t="e">
        <f t="shared" si="41"/>
        <v>#VALUE!</v>
      </c>
      <c r="P26" s="51">
        <f t="shared" si="42"/>
        <v>4</v>
      </c>
      <c r="Q26" s="51" t="e">
        <f t="shared" si="43"/>
        <v>#VALUE!</v>
      </c>
      <c r="R26" s="51" t="e">
        <f t="shared" si="44"/>
        <v>#VALUE!</v>
      </c>
      <c r="S26" s="51" t="str">
        <f>IFERROR(VLOOKUP(MID(N26,Q26,R26-Q26),[5]skilldef!$C:$D,2,FALSE),"-") &amp; " / " &amp; IFERROR(VLOOKUP(MID(N26,O26,P26-O26),[5]skilldef!$A:$B,2,FALSE),"-")</f>
        <v>- / -</v>
      </c>
      <c r="T26" s="47" t="str">
        <f t="shared" si="45"/>
        <v>none</v>
      </c>
      <c r="U26" s="51" t="e">
        <f t="shared" si="46"/>
        <v>#VALUE!</v>
      </c>
      <c r="V26" s="51">
        <f t="shared" si="47"/>
        <v>4</v>
      </c>
      <c r="W26" s="51" t="e">
        <f t="shared" si="48"/>
        <v>#VALUE!</v>
      </c>
      <c r="X26" s="51" t="e">
        <f t="shared" si="49"/>
        <v>#VALUE!</v>
      </c>
      <c r="Y26" s="51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62">
        <v>51001026</v>
      </c>
      <c r="B27" s="47" t="s">
        <v>374</v>
      </c>
      <c r="C27" s="50">
        <v>3</v>
      </c>
      <c r="D27" s="50" t="s">
        <v>126</v>
      </c>
      <c r="E27" s="47" t="s">
        <v>178</v>
      </c>
      <c r="F27" s="47" t="s">
        <v>193</v>
      </c>
      <c r="G27" s="51" t="str">
        <f t="shared" si="28"/>
        <v>[effect:force_change_block, new_block:jammer, target:block_all, ignore01:crash, ignore02:jammer, ignore03:color_break, ignore04:magnet, count:8, val:0, animation:change_block]</v>
      </c>
      <c r="H27" s="51">
        <f t="shared" si="1"/>
        <v>9</v>
      </c>
      <c r="I27" s="51">
        <f t="shared" si="2"/>
        <v>27</v>
      </c>
      <c r="J27" s="51">
        <f t="shared" si="3"/>
        <v>54</v>
      </c>
      <c r="K27" s="51">
        <f t="shared" si="4"/>
        <v>45</v>
      </c>
      <c r="L27" s="51" t="str">
        <f>IFERROR(VLOOKUP(MID(G27,J27,K27-J27),[5]skilldef!$C:$D,2,FALSE),"-") &amp; " / " &amp; IFERROR(VLOOKUP(MID(G27,H27,I27-H27),[5]skilldef!$A:$B,2,FALSE),"-")</f>
        <v>- / -</v>
      </c>
      <c r="M27" s="51" t="str">
        <f t="shared" si="39"/>
        <v>[effect:spread, val:0.3, animation:enemy_spread]</v>
      </c>
      <c r="N27" s="47" t="str">
        <f t="shared" si="40"/>
        <v>[effect:spread, val:0.3, animation:enemy_spread]</v>
      </c>
      <c r="O27" s="51">
        <f t="shared" si="41"/>
        <v>9</v>
      </c>
      <c r="P27" s="51">
        <f t="shared" si="42"/>
        <v>15</v>
      </c>
      <c r="Q27" s="51" t="e">
        <f t="shared" si="43"/>
        <v>#VALUE!</v>
      </c>
      <c r="R27" s="51">
        <f t="shared" si="44"/>
        <v>24</v>
      </c>
      <c r="S27" s="51" t="str">
        <f>IFERROR(VLOOKUP(MID(N27,Q27,R27-Q27),[5]skilldef!$C:$D,2,FALSE),"-") &amp; " / " &amp; IFERROR(VLOOKUP(MID(N27,O27,P27-O27),[5]skilldef!$A:$B,2,FALSE),"-")</f>
        <v>- / 全体攻撃</v>
      </c>
      <c r="T27" s="47" t="str">
        <f t="shared" si="45"/>
        <v>none</v>
      </c>
      <c r="U27" s="51" t="e">
        <f t="shared" si="46"/>
        <v>#VALUE!</v>
      </c>
      <c r="V27" s="51">
        <f t="shared" si="47"/>
        <v>4</v>
      </c>
      <c r="W27" s="51" t="e">
        <f t="shared" si="48"/>
        <v>#VALUE!</v>
      </c>
      <c r="X27" s="51" t="e">
        <f t="shared" si="49"/>
        <v>#VALUE!</v>
      </c>
      <c r="Y27" s="51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62">
        <v>51001027</v>
      </c>
      <c r="B28" s="47" t="s">
        <v>160</v>
      </c>
      <c r="C28" s="50">
        <v>3</v>
      </c>
      <c r="D28" s="50" t="s">
        <v>126</v>
      </c>
      <c r="E28" s="47" t="s">
        <v>179</v>
      </c>
      <c r="F28" s="66" t="s">
        <v>245</v>
      </c>
      <c r="G28" s="51" t="str">
        <f t="shared" si="28"/>
        <v>[effect:freq_turn, target:myself, turn:-1, val:1, animation:enemy_freq_turn]</v>
      </c>
      <c r="H28" s="51">
        <f t="shared" si="1"/>
        <v>9</v>
      </c>
      <c r="I28" s="51">
        <f t="shared" si="2"/>
        <v>18</v>
      </c>
      <c r="J28" s="51">
        <f t="shared" si="3"/>
        <v>27</v>
      </c>
      <c r="K28" s="51">
        <f t="shared" si="4"/>
        <v>33</v>
      </c>
      <c r="L28" s="51" t="str">
        <f>IFERROR(VLOOKUP(MID(G28,J28,K28-J28),[5]skilldef!$C:$D,2,FALSE),"-") &amp; " / " &amp; IFERROR(VLOOKUP(MID(G28,H28,I28-H28),[5]skilldef!$A:$B,2,FALSE),"-")</f>
        <v>自分自身に / 攻撃頻度がUP</v>
      </c>
      <c r="M28" s="51" t="str">
        <f t="shared" si="39"/>
        <v>none</v>
      </c>
      <c r="N28" s="47" t="str">
        <f t="shared" si="40"/>
        <v>none</v>
      </c>
      <c r="O28" s="51" t="e">
        <f t="shared" si="41"/>
        <v>#VALUE!</v>
      </c>
      <c r="P28" s="51">
        <f t="shared" si="42"/>
        <v>4</v>
      </c>
      <c r="Q28" s="51" t="e">
        <f t="shared" si="43"/>
        <v>#VALUE!</v>
      </c>
      <c r="R28" s="51" t="e">
        <f t="shared" si="44"/>
        <v>#VALUE!</v>
      </c>
      <c r="S28" s="51" t="str">
        <f>IFERROR(VLOOKUP(MID(N28,Q28,R28-Q28),[5]skilldef!$C:$D,2,FALSE),"-") &amp; " / " &amp; IFERROR(VLOOKUP(MID(N28,O28,P28-O28),[5]skilldef!$A:$B,2,FALSE),"-")</f>
        <v>- / -</v>
      </c>
      <c r="T28" s="47" t="str">
        <f t="shared" si="45"/>
        <v>none</v>
      </c>
      <c r="U28" s="51" t="e">
        <f t="shared" si="46"/>
        <v>#VALUE!</v>
      </c>
      <c r="V28" s="51">
        <f t="shared" si="47"/>
        <v>4</v>
      </c>
      <c r="W28" s="51" t="e">
        <f t="shared" si="48"/>
        <v>#VALUE!</v>
      </c>
      <c r="X28" s="51" t="e">
        <f t="shared" si="49"/>
        <v>#VALUE!</v>
      </c>
      <c r="Y28" s="51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62">
        <v>51001028</v>
      </c>
      <c r="B29" s="47" t="s">
        <v>333</v>
      </c>
      <c r="C29" s="50">
        <v>3</v>
      </c>
      <c r="D29" s="50" t="s">
        <v>126</v>
      </c>
      <c r="E29" s="47" t="s">
        <v>328</v>
      </c>
      <c r="F29" s="47" t="s">
        <v>323</v>
      </c>
      <c r="G29" s="51" t="str">
        <f t="shared" si="28"/>
        <v>[effect:spread, val:0.32, animation:enemy_spread]</v>
      </c>
      <c r="H29" s="51">
        <f t="shared" si="1"/>
        <v>9</v>
      </c>
      <c r="I29" s="51">
        <f t="shared" si="2"/>
        <v>15</v>
      </c>
      <c r="J29" s="51" t="e">
        <f t="shared" si="3"/>
        <v>#VALUE!</v>
      </c>
      <c r="K29" s="51">
        <f t="shared" si="4"/>
        <v>25</v>
      </c>
      <c r="L29" s="51" t="str">
        <f>IFERROR(VLOOKUP(MID(G29,J29,K29-J29),[5]skilldef!$C:$D,2,FALSE),"-") &amp; " / " &amp; IFERROR(VLOOKUP(MID(G29,H29,I29-H29),[5]skilldef!$A:$B,2,FALSE),"-")</f>
        <v>- / 全体攻撃</v>
      </c>
      <c r="M29" s="51" t="str">
        <f t="shared" si="39"/>
        <v>none</v>
      </c>
      <c r="N29" s="47" t="str">
        <f t="shared" si="40"/>
        <v>none</v>
      </c>
      <c r="O29" s="51" t="e">
        <f t="shared" si="41"/>
        <v>#VALUE!</v>
      </c>
      <c r="P29" s="51">
        <f t="shared" si="42"/>
        <v>4</v>
      </c>
      <c r="Q29" s="51" t="e">
        <f t="shared" si="43"/>
        <v>#VALUE!</v>
      </c>
      <c r="R29" s="51" t="e">
        <f t="shared" si="44"/>
        <v>#VALUE!</v>
      </c>
      <c r="S29" s="51" t="str">
        <f>IFERROR(VLOOKUP(MID(N29,Q29,R29-Q29),[5]skilldef!$C:$D,2,FALSE),"-") &amp; " / " &amp; IFERROR(VLOOKUP(MID(N29,O29,P29-O29),[5]skilldef!$A:$B,2,FALSE),"-")</f>
        <v>- / -</v>
      </c>
      <c r="T29" s="47" t="str">
        <f t="shared" si="45"/>
        <v>none</v>
      </c>
      <c r="U29" s="51" t="e">
        <f t="shared" si="46"/>
        <v>#VALUE!</v>
      </c>
      <c r="V29" s="51">
        <f t="shared" si="47"/>
        <v>4</v>
      </c>
      <c r="W29" s="51" t="e">
        <f t="shared" si="48"/>
        <v>#VALUE!</v>
      </c>
      <c r="X29" s="51" t="e">
        <f t="shared" si="49"/>
        <v>#VALUE!</v>
      </c>
      <c r="Y29" s="51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62">
        <v>51001029</v>
      </c>
      <c r="B30" s="47" t="s">
        <v>256</v>
      </c>
      <c r="C30" s="50">
        <v>3</v>
      </c>
      <c r="D30" s="50" t="s">
        <v>126</v>
      </c>
      <c r="E30" s="74" t="s">
        <v>233</v>
      </c>
      <c r="F30" s="66" t="s">
        <v>364</v>
      </c>
      <c r="G30" s="51" t="str">
        <f t="shared" si="28"/>
        <v>[effect:tolerance,target:myself, turn:-1, tolerance_effect:all, count:-1]</v>
      </c>
      <c r="H30" s="51">
        <f t="shared" ref="H30:H42" si="50">FIND("effect:",G30)+7</f>
        <v>9</v>
      </c>
      <c r="I30" s="51">
        <f t="shared" ref="I30:I42" si="51">IFERROR(FIND(",",G30),LEN(G30))</f>
        <v>18</v>
      </c>
      <c r="J30" s="51">
        <f t="shared" ref="J30:J42" si="52">FIND("target:",G30)+7</f>
        <v>26</v>
      </c>
      <c r="K30" s="51">
        <f t="shared" ref="K30:K42" si="53">FIND(",",G30,I30+1)</f>
        <v>32</v>
      </c>
      <c r="L30" s="51" t="str">
        <f>IFERROR(VLOOKUP(MID(G30,J30,K30-J30),[5]skilldef!$C:$D,2,FALSE),"-") &amp; " / " &amp; IFERROR(VLOOKUP(MID(G30,H30,I30-H30),[5]skilldef!$A:$B,2,FALSE),"-")</f>
        <v>自分自身に / 状態異常耐性</v>
      </c>
      <c r="M30" s="51" t="str">
        <f t="shared" si="39"/>
        <v>[effect:dark, turn:3,target:unit_all,animation:enemy_dark]</v>
      </c>
      <c r="N30" s="47" t="str">
        <f t="shared" si="40"/>
        <v>[effect:dark, turn:3,target:unit_all,animation:enemy_dark]</v>
      </c>
      <c r="O30" s="51">
        <f t="shared" si="41"/>
        <v>9</v>
      </c>
      <c r="P30" s="51">
        <f t="shared" si="42"/>
        <v>13</v>
      </c>
      <c r="Q30" s="51">
        <f t="shared" si="43"/>
        <v>29</v>
      </c>
      <c r="R30" s="51">
        <f t="shared" si="44"/>
        <v>21</v>
      </c>
      <c r="S30" s="51" t="str">
        <f>IFERROR(VLOOKUP(MID(N30,Q30,R30-Q30),[5]skilldef!$C:$D,2,FALSE),"-") &amp; " / " &amp; IFERROR(VLOOKUP(MID(N30,O30,P30-O30),[5]skilldef!$A:$B,2,FALSE),"-")</f>
        <v>- / 暗黒</v>
      </c>
      <c r="T30" s="47" t="str">
        <f t="shared" si="45"/>
        <v>none</v>
      </c>
      <c r="U30" s="51" t="e">
        <f t="shared" si="46"/>
        <v>#VALUE!</v>
      </c>
      <c r="V30" s="51">
        <f t="shared" si="47"/>
        <v>4</v>
      </c>
      <c r="W30" s="51" t="e">
        <f t="shared" si="48"/>
        <v>#VALUE!</v>
      </c>
      <c r="X30" s="51" t="e">
        <f t="shared" si="49"/>
        <v>#VALUE!</v>
      </c>
      <c r="Y30" s="51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62">
        <v>51001030</v>
      </c>
      <c r="B31" s="47" t="s">
        <v>264</v>
      </c>
      <c r="C31" s="50">
        <v>3</v>
      </c>
      <c r="D31" s="50" t="s">
        <v>126</v>
      </c>
      <c r="E31" s="47" t="s">
        <v>204</v>
      </c>
      <c r="F31" s="47" t="s">
        <v>153</v>
      </c>
      <c r="G31" s="51" t="str">
        <f t="shared" si="28"/>
        <v>[effect:rush, count:5, val:0.18]</v>
      </c>
      <c r="H31" s="51">
        <f t="shared" si="50"/>
        <v>9</v>
      </c>
      <c r="I31" s="51">
        <f t="shared" si="51"/>
        <v>13</v>
      </c>
      <c r="J31" s="51" t="e">
        <f t="shared" si="52"/>
        <v>#VALUE!</v>
      </c>
      <c r="K31" s="51">
        <f t="shared" si="53"/>
        <v>22</v>
      </c>
      <c r="L31" s="51" t="str">
        <f>IFERROR(VLOOKUP(MID(G31,J31,K31-J31),[5]skilldef!$C:$D,2,FALSE),"-") &amp; " / " &amp; IFERROR(VLOOKUP(MID(G31,H31,I31-H31),[5]skilldef!$A:$B,2,FALSE),"-")</f>
        <v>- / 連続攻撃</v>
      </c>
      <c r="M31" s="51" t="str">
        <f t="shared" si="39"/>
        <v>none</v>
      </c>
      <c r="N31" s="47" t="str">
        <f t="shared" si="40"/>
        <v>none</v>
      </c>
      <c r="O31" s="51" t="e">
        <f t="shared" si="41"/>
        <v>#VALUE!</v>
      </c>
      <c r="P31" s="51">
        <f t="shared" si="42"/>
        <v>4</v>
      </c>
      <c r="Q31" s="51" t="e">
        <f t="shared" si="43"/>
        <v>#VALUE!</v>
      </c>
      <c r="R31" s="51" t="e">
        <f t="shared" si="44"/>
        <v>#VALUE!</v>
      </c>
      <c r="S31" s="51" t="str">
        <f>IFERROR(VLOOKUP(MID(N31,Q31,R31-Q31),[5]skilldef!$C:$D,2,FALSE),"-") &amp; " / " &amp; IFERROR(VLOOKUP(MID(N31,O31,P31-O31),[5]skilldef!$A:$B,2,FALSE),"-")</f>
        <v>- / -</v>
      </c>
      <c r="T31" s="47" t="str">
        <f t="shared" si="45"/>
        <v>none</v>
      </c>
      <c r="U31" s="51" t="e">
        <f t="shared" si="46"/>
        <v>#VALUE!</v>
      </c>
      <c r="V31" s="51">
        <f t="shared" si="47"/>
        <v>4</v>
      </c>
      <c r="W31" s="51" t="e">
        <f t="shared" si="48"/>
        <v>#VALUE!</v>
      </c>
      <c r="X31" s="51" t="e">
        <f t="shared" si="49"/>
        <v>#VALUE!</v>
      </c>
      <c r="Y31" s="51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62">
        <v>51001031</v>
      </c>
      <c r="B32" s="47" t="s">
        <v>332</v>
      </c>
      <c r="C32" s="50">
        <v>3</v>
      </c>
      <c r="D32" s="50" t="s">
        <v>126</v>
      </c>
      <c r="E32" s="47" t="s">
        <v>329</v>
      </c>
      <c r="F32" s="47" t="s">
        <v>323</v>
      </c>
      <c r="G32" s="51" t="str">
        <f t="shared" si="28"/>
        <v>[effect:spread, val:0.35, animation:enemy_spread]</v>
      </c>
      <c r="H32" s="51">
        <f t="shared" si="50"/>
        <v>9</v>
      </c>
      <c r="I32" s="51">
        <f t="shared" si="51"/>
        <v>15</v>
      </c>
      <c r="J32" s="51" t="e">
        <f t="shared" si="52"/>
        <v>#VALUE!</v>
      </c>
      <c r="K32" s="51">
        <f t="shared" si="53"/>
        <v>25</v>
      </c>
      <c r="L32" s="51" t="str">
        <f>IFERROR(VLOOKUP(MID(G32,J32,K32-J32),[5]skilldef!$C:$D,2,FALSE),"-") &amp; " / " &amp; IFERROR(VLOOKUP(MID(G32,H32,I32-H32),[5]skilldef!$A:$B,2,FALSE),"-")</f>
        <v>- / 全体攻撃</v>
      </c>
      <c r="M32" s="51" t="str">
        <f t="shared" si="39"/>
        <v>none</v>
      </c>
      <c r="N32" s="47" t="str">
        <f t="shared" si="40"/>
        <v>none</v>
      </c>
      <c r="O32" s="51" t="e">
        <f t="shared" si="41"/>
        <v>#VALUE!</v>
      </c>
      <c r="P32" s="51">
        <f t="shared" si="42"/>
        <v>4</v>
      </c>
      <c r="Q32" s="51" t="e">
        <f t="shared" si="43"/>
        <v>#VALUE!</v>
      </c>
      <c r="R32" s="51" t="e">
        <f t="shared" si="44"/>
        <v>#VALUE!</v>
      </c>
      <c r="S32" s="51" t="str">
        <f>IFERROR(VLOOKUP(MID(N32,Q32,R32-Q32),[5]skilldef!$C:$D,2,FALSE),"-") &amp; " / " &amp; IFERROR(VLOOKUP(MID(N32,O32,P32-O32),[5]skilldef!$A:$B,2,FALSE),"-")</f>
        <v>- / -</v>
      </c>
      <c r="T32" s="47" t="str">
        <f t="shared" si="45"/>
        <v>none</v>
      </c>
      <c r="U32" s="51" t="e">
        <f t="shared" si="46"/>
        <v>#VALUE!</v>
      </c>
      <c r="V32" s="51">
        <f t="shared" si="47"/>
        <v>4</v>
      </c>
      <c r="W32" s="51" t="e">
        <f t="shared" si="48"/>
        <v>#VALUE!</v>
      </c>
      <c r="X32" s="51" t="e">
        <f t="shared" si="49"/>
        <v>#VALUE!</v>
      </c>
      <c r="Y32" s="51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62">
        <v>51001032</v>
      </c>
      <c r="B33" s="47" t="s">
        <v>160</v>
      </c>
      <c r="C33" s="50">
        <v>3</v>
      </c>
      <c r="D33" s="50" t="s">
        <v>126</v>
      </c>
      <c r="E33" s="47" t="s">
        <v>179</v>
      </c>
      <c r="F33" s="47" t="s">
        <v>246</v>
      </c>
      <c r="G33" s="51" t="str">
        <f t="shared" si="28"/>
        <v>[effect:freq_turn, target:myself, turn:-1, val:1, animation:enemy_freq_turn]</v>
      </c>
      <c r="H33" s="51">
        <f t="shared" si="50"/>
        <v>9</v>
      </c>
      <c r="I33" s="51">
        <f t="shared" si="51"/>
        <v>18</v>
      </c>
      <c r="J33" s="51">
        <f t="shared" si="52"/>
        <v>27</v>
      </c>
      <c r="K33" s="51">
        <f t="shared" si="53"/>
        <v>33</v>
      </c>
      <c r="L33" s="51" t="str">
        <f>IFERROR(VLOOKUP(MID(G33,J33,K33-J33),[5]skilldef!$C:$D,2,FALSE),"-") &amp; " / " &amp; IFERROR(VLOOKUP(MID(G33,H33,I33-H33),[5]skilldef!$A:$B,2,FALSE),"-")</f>
        <v>自分自身に / 攻撃頻度がUP</v>
      </c>
      <c r="M33" s="51" t="str">
        <f t="shared" si="39"/>
        <v>none</v>
      </c>
      <c r="N33" s="47" t="str">
        <f t="shared" si="40"/>
        <v>none</v>
      </c>
      <c r="O33" s="51" t="e">
        <f t="shared" si="41"/>
        <v>#VALUE!</v>
      </c>
      <c r="P33" s="51">
        <f t="shared" si="42"/>
        <v>4</v>
      </c>
      <c r="Q33" s="51" t="e">
        <f t="shared" si="43"/>
        <v>#VALUE!</v>
      </c>
      <c r="R33" s="51" t="e">
        <f t="shared" si="44"/>
        <v>#VALUE!</v>
      </c>
      <c r="S33" s="51" t="str">
        <f>IFERROR(VLOOKUP(MID(N33,Q33,R33-Q33),[5]skilldef!$C:$D,2,FALSE),"-") &amp; " / " &amp; IFERROR(VLOOKUP(MID(N33,O33,P33-O33),[5]skilldef!$A:$B,2,FALSE),"-")</f>
        <v>- / -</v>
      </c>
      <c r="T33" s="47" t="str">
        <f t="shared" si="45"/>
        <v>none</v>
      </c>
      <c r="U33" s="51" t="e">
        <f t="shared" si="46"/>
        <v>#VALUE!</v>
      </c>
      <c r="V33" s="51">
        <f t="shared" si="47"/>
        <v>4</v>
      </c>
      <c r="W33" s="51" t="e">
        <f t="shared" si="48"/>
        <v>#VALUE!</v>
      </c>
      <c r="X33" s="51" t="e">
        <f t="shared" si="49"/>
        <v>#VALUE!</v>
      </c>
      <c r="Y33" s="51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62">
        <v>51001033</v>
      </c>
      <c r="B34" s="47" t="s">
        <v>250</v>
      </c>
      <c r="C34" s="50">
        <v>3</v>
      </c>
      <c r="D34" s="50" t="s">
        <v>126</v>
      </c>
      <c r="E34" s="47" t="s">
        <v>249</v>
      </c>
      <c r="F34" s="66" t="s">
        <v>257</v>
      </c>
      <c r="G34" s="51" t="str">
        <f t="shared" si="28"/>
        <v>[effect:nothing]</v>
      </c>
      <c r="H34" s="51">
        <f t="shared" si="50"/>
        <v>9</v>
      </c>
      <c r="I34" s="51">
        <f t="shared" si="51"/>
        <v>16</v>
      </c>
      <c r="J34" s="51" t="e">
        <f t="shared" si="52"/>
        <v>#VALUE!</v>
      </c>
      <c r="K34" s="51" t="e">
        <f t="shared" si="53"/>
        <v>#VALUE!</v>
      </c>
      <c r="L34" s="51" t="str">
        <f>IFERROR(VLOOKUP(MID(G34,J34,K34-J34),[5]skilldef!$C:$D,2,FALSE),"-") &amp; " / " &amp; IFERROR(VLOOKUP(MID(G34,H34,I34-H34),[5]skilldef!$A:$B,2,FALSE),"-")</f>
        <v>- / 何もしない</v>
      </c>
      <c r="M34" s="51" t="str">
        <f t="shared" si="39"/>
        <v>none</v>
      </c>
      <c r="N34" s="47" t="str">
        <f t="shared" si="40"/>
        <v>none</v>
      </c>
      <c r="O34" s="51" t="e">
        <f t="shared" si="41"/>
        <v>#VALUE!</v>
      </c>
      <c r="P34" s="51">
        <f t="shared" si="42"/>
        <v>4</v>
      </c>
      <c r="Q34" s="51" t="e">
        <f t="shared" si="43"/>
        <v>#VALUE!</v>
      </c>
      <c r="R34" s="51" t="e">
        <f t="shared" si="44"/>
        <v>#VALUE!</v>
      </c>
      <c r="S34" s="51" t="str">
        <f>IFERROR(VLOOKUP(MID(N34,Q34,R34-Q34),[5]skilldef!$C:$D,2,FALSE),"-") &amp; " / " &amp; IFERROR(VLOOKUP(MID(N34,O34,P34-O34),[5]skilldef!$A:$B,2,FALSE),"-")</f>
        <v>- / -</v>
      </c>
      <c r="T34" s="47" t="str">
        <f t="shared" si="45"/>
        <v>none</v>
      </c>
      <c r="U34" s="51" t="e">
        <f t="shared" si="46"/>
        <v>#VALUE!</v>
      </c>
      <c r="V34" s="51">
        <f t="shared" si="47"/>
        <v>4</v>
      </c>
      <c r="W34" s="51" t="e">
        <f t="shared" si="48"/>
        <v>#VALUE!</v>
      </c>
      <c r="X34" s="51" t="e">
        <f t="shared" si="49"/>
        <v>#VALUE!</v>
      </c>
      <c r="Y34" s="51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62">
        <v>51001034</v>
      </c>
      <c r="B35" s="47" t="s">
        <v>252</v>
      </c>
      <c r="C35" s="50">
        <v>3</v>
      </c>
      <c r="D35" s="50" t="s">
        <v>126</v>
      </c>
      <c r="E35" s="71" t="s">
        <v>232</v>
      </c>
      <c r="F35" s="47" t="s">
        <v>234</v>
      </c>
      <c r="G35" s="51" t="str">
        <f t="shared" si="28"/>
        <v>[effect:nothing]</v>
      </c>
      <c r="H35" s="51">
        <f t="shared" si="50"/>
        <v>9</v>
      </c>
      <c r="I35" s="51">
        <f t="shared" si="51"/>
        <v>16</v>
      </c>
      <c r="J35" s="51" t="e">
        <f t="shared" si="52"/>
        <v>#VALUE!</v>
      </c>
      <c r="K35" s="51" t="e">
        <f t="shared" si="53"/>
        <v>#VALUE!</v>
      </c>
      <c r="L35" s="51" t="str">
        <f>IFERROR(VLOOKUP(MID(G35,J35,K35-J35),[5]skilldef!$C:$D,2,FALSE),"-") &amp; " / " &amp; IFERROR(VLOOKUP(MID(G35,H35,I35-H35),[5]skilldef!$A:$B,2,FALSE),"-")</f>
        <v>- / 何もしない</v>
      </c>
      <c r="M35" s="51" t="str">
        <f t="shared" si="39"/>
        <v>none</v>
      </c>
      <c r="N35" s="47" t="str">
        <f t="shared" si="40"/>
        <v>none</v>
      </c>
      <c r="O35" s="51" t="e">
        <f t="shared" si="41"/>
        <v>#VALUE!</v>
      </c>
      <c r="P35" s="51">
        <f t="shared" si="42"/>
        <v>4</v>
      </c>
      <c r="Q35" s="51" t="e">
        <f t="shared" si="43"/>
        <v>#VALUE!</v>
      </c>
      <c r="R35" s="51" t="e">
        <f t="shared" si="44"/>
        <v>#VALUE!</v>
      </c>
      <c r="S35" s="51" t="str">
        <f>IFERROR(VLOOKUP(MID(N35,Q35,R35-Q35),[5]skilldef!$C:$D,2,FALSE),"-") &amp; " / " &amp; IFERROR(VLOOKUP(MID(N35,O35,P35-O35),[5]skilldef!$A:$B,2,FALSE),"-")</f>
        <v>- / -</v>
      </c>
      <c r="T35" s="47" t="str">
        <f t="shared" si="45"/>
        <v>none</v>
      </c>
      <c r="U35" s="51" t="e">
        <f t="shared" si="46"/>
        <v>#VALUE!</v>
      </c>
      <c r="V35" s="51">
        <f t="shared" si="47"/>
        <v>4</v>
      </c>
      <c r="W35" s="51" t="e">
        <f t="shared" si="48"/>
        <v>#VALUE!</v>
      </c>
      <c r="X35" s="51" t="e">
        <f t="shared" si="49"/>
        <v>#VALUE!</v>
      </c>
      <c r="Y35" s="51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62">
        <v>51001035</v>
      </c>
      <c r="B36" s="47" t="s">
        <v>375</v>
      </c>
      <c r="C36" s="50">
        <v>3</v>
      </c>
      <c r="D36" s="50" t="s">
        <v>126</v>
      </c>
      <c r="E36" s="72" t="s">
        <v>235</v>
      </c>
      <c r="F36" s="66" t="s">
        <v>238</v>
      </c>
      <c r="G36" s="51" t="str">
        <f t="shared" si="28"/>
        <v>[effect:tolerance,target:myself, turn:-1, tolerance_effect:all, count:-1]</v>
      </c>
      <c r="H36" s="51">
        <f t="shared" si="50"/>
        <v>9</v>
      </c>
      <c r="I36" s="51">
        <f t="shared" si="51"/>
        <v>18</v>
      </c>
      <c r="J36" s="51">
        <f t="shared" si="52"/>
        <v>26</v>
      </c>
      <c r="K36" s="51">
        <f t="shared" si="53"/>
        <v>32</v>
      </c>
      <c r="L36" s="51" t="str">
        <f>IFERROR(VLOOKUP(MID(G36,J36,K36-J36),[5]skilldef!$C:$D,2,FALSE),"-") &amp; " / " &amp; IFERROR(VLOOKUP(MID(G36,H36,I36-H36),[5]skilldef!$A:$B,2,FALSE),"-")</f>
        <v>自分自身に / 状態異常耐性</v>
      </c>
      <c r="M36" s="51" t="str">
        <f t="shared" si="39"/>
        <v>[effect:force_change_block, new_block:jammer, target:block_all, ignore01:crash, ignore02:jammer, ignore03:color_break, ignore04:magnet, count:12, val:0, animation:change_block],[effect:fix_speed,target:myself,turn:2]</v>
      </c>
      <c r="N36" s="47" t="str">
        <f t="shared" si="40"/>
        <v>[effect:force_change_block, new_block:jammer, target:block_all, ignore01:crash, ignore02:jammer, ignore03:color_break, ignore04:magnet, count:12, val:0, animation:change_block],[effect:fix_speed,target:myself,turn:2]</v>
      </c>
      <c r="O36" s="51">
        <f t="shared" si="41"/>
        <v>9</v>
      </c>
      <c r="P36" s="51">
        <f t="shared" si="42"/>
        <v>27</v>
      </c>
      <c r="Q36" s="51">
        <f t="shared" si="43"/>
        <v>54</v>
      </c>
      <c r="R36" s="51">
        <f t="shared" si="44"/>
        <v>45</v>
      </c>
      <c r="S36" s="51" t="str">
        <f>IFERROR(VLOOKUP(MID(N36,Q36,R36-Q36),[5]skilldef!$C:$D,2,FALSE),"-") &amp; " / " &amp; IFERROR(VLOOKUP(MID(N36,O36,P36-O36),[5]skilldef!$A:$B,2,FALSE),"-")</f>
        <v>- / -</v>
      </c>
      <c r="T36" s="47" t="str">
        <f t="shared" si="45"/>
        <v>[effect:fix_speed,target:myself,turn:2]</v>
      </c>
      <c r="U36" s="51">
        <f t="shared" si="46"/>
        <v>9</v>
      </c>
      <c r="V36" s="51">
        <f t="shared" si="47"/>
        <v>18</v>
      </c>
      <c r="W36" s="51">
        <f t="shared" si="48"/>
        <v>26</v>
      </c>
      <c r="X36" s="51">
        <f t="shared" si="49"/>
        <v>32</v>
      </c>
      <c r="Y36" s="51" t="str">
        <f>IFERROR(VLOOKUP(MID(T36,W36,X36-W36),[5]skilldef!$C:$D,2,FALSE),"-") &amp; " / " &amp; IFERROR(VLOOKUP(MID(T36,U36,V36-U36),[5]skilldef!$A:$B,2,FALSE),"-")</f>
        <v>自分自身に / 行動値設定</v>
      </c>
      <c r="Z36" s="50"/>
      <c r="AA36" s="52"/>
      <c r="AB36" s="50"/>
    </row>
    <row r="37" spans="1:28" ht="21" customHeight="1" x14ac:dyDescent="0.15">
      <c r="A37" s="62">
        <v>51001036</v>
      </c>
      <c r="B37" s="47" t="s">
        <v>240</v>
      </c>
      <c r="C37" s="50">
        <v>3</v>
      </c>
      <c r="D37" s="50" t="s">
        <v>126</v>
      </c>
      <c r="E37" s="47" t="s">
        <v>185</v>
      </c>
      <c r="F37" s="47" t="s">
        <v>195</v>
      </c>
      <c r="G37" s="51" t="str">
        <f t="shared" si="28"/>
        <v>[effect:damage_anti_color, target:unit_one, color:red, val1:1.5, val2:1.0]</v>
      </c>
      <c r="H37" s="51">
        <f t="shared" si="50"/>
        <v>9</v>
      </c>
      <c r="I37" s="51">
        <f t="shared" si="51"/>
        <v>26</v>
      </c>
      <c r="J37" s="51">
        <f t="shared" si="52"/>
        <v>35</v>
      </c>
      <c r="K37" s="51">
        <f t="shared" si="53"/>
        <v>43</v>
      </c>
      <c r="L37" s="51" t="str">
        <f>IFERROR(VLOOKUP(MID(G37,J37,K37-J37),[5]skilldef!$C:$D,2,FALSE),"-") &amp; " / " &amp; IFERROR(VLOOKUP(MID(G37,H37,I37-H37),[5]skilldef!$A:$B,2,FALSE),"-")</f>
        <v>味方単体に / 属性キラー</v>
      </c>
      <c r="M37" s="51" t="str">
        <f t="shared" si="39"/>
        <v>none</v>
      </c>
      <c r="N37" s="47" t="str">
        <f>IFERROR(LEFT(M37,FIND("],",M37)+#REF!),M37)</f>
        <v>none</v>
      </c>
      <c r="O37" s="51" t="e">
        <f t="shared" si="41"/>
        <v>#VALUE!</v>
      </c>
      <c r="P37" s="51">
        <f t="shared" si="42"/>
        <v>4</v>
      </c>
      <c r="Q37" s="51" t="e">
        <f t="shared" si="43"/>
        <v>#VALUE!</v>
      </c>
      <c r="R37" s="51" t="e">
        <f t="shared" si="44"/>
        <v>#VALUE!</v>
      </c>
      <c r="S37" s="51" t="str">
        <f>IFERROR(VLOOKUP(MID(N37,Q37,R37-Q37),[5]skilldef!$C:$D,2,FALSE),"-") &amp; " / " &amp; IFERROR(VLOOKUP(MID(N37,O37,P37-O37),[5]skilldef!$A:$B,2,FALSE),"-")</f>
        <v>- / -</v>
      </c>
      <c r="T37" s="47" t="str">
        <f t="shared" si="45"/>
        <v>none</v>
      </c>
      <c r="U37" s="51" t="e">
        <f t="shared" si="46"/>
        <v>#VALUE!</v>
      </c>
      <c r="V37" s="51">
        <f t="shared" si="47"/>
        <v>4</v>
      </c>
      <c r="W37" s="51" t="e">
        <f t="shared" si="48"/>
        <v>#VALUE!</v>
      </c>
      <c r="X37" s="51" t="e">
        <f t="shared" si="49"/>
        <v>#VALUE!</v>
      </c>
      <c r="Y37" s="51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62">
        <v>51001037</v>
      </c>
      <c r="B38" s="47" t="s">
        <v>241</v>
      </c>
      <c r="C38" s="50">
        <v>3</v>
      </c>
      <c r="D38" s="50" t="s">
        <v>126</v>
      </c>
      <c r="E38" s="47" t="s">
        <v>184</v>
      </c>
      <c r="F38" s="47" t="s">
        <v>196</v>
      </c>
      <c r="G38" s="51" t="str">
        <f t="shared" si="28"/>
        <v>[effect:damage_anti_color, target:unit_one, color:blue, val1:1.5, val2:1.0]</v>
      </c>
      <c r="H38" s="51">
        <f t="shared" si="50"/>
        <v>9</v>
      </c>
      <c r="I38" s="51">
        <f t="shared" si="51"/>
        <v>26</v>
      </c>
      <c r="J38" s="51">
        <f t="shared" si="52"/>
        <v>35</v>
      </c>
      <c r="K38" s="51">
        <f t="shared" si="53"/>
        <v>43</v>
      </c>
      <c r="L38" s="51" t="str">
        <f>IFERROR(VLOOKUP(MID(G38,J38,K38-J38),[5]skilldef!$C:$D,2,FALSE),"-") &amp; " / " &amp; IFERROR(VLOOKUP(MID(G38,H38,I38-H38),[5]skilldef!$A:$B,2,FALSE),"-")</f>
        <v>味方単体に / 属性キラー</v>
      </c>
      <c r="M38" s="51" t="str">
        <f t="shared" si="39"/>
        <v>none</v>
      </c>
      <c r="N38" s="47" t="str">
        <f t="shared" ref="N38:N55" si="54">IFERROR(LEFT(M38,FIND("],",M38)+S56),M38)</f>
        <v>none</v>
      </c>
      <c r="O38" s="51" t="e">
        <f t="shared" si="41"/>
        <v>#VALUE!</v>
      </c>
      <c r="P38" s="51">
        <f t="shared" si="42"/>
        <v>4</v>
      </c>
      <c r="Q38" s="51" t="e">
        <f t="shared" si="43"/>
        <v>#VALUE!</v>
      </c>
      <c r="R38" s="51" t="e">
        <f t="shared" si="44"/>
        <v>#VALUE!</v>
      </c>
      <c r="S38" s="51" t="str">
        <f>IFERROR(VLOOKUP(MID(N38,Q38,R38-Q38),[5]skilldef!$C:$D,2,FALSE),"-") &amp; " / " &amp; IFERROR(VLOOKUP(MID(N38,O38,P38-O38),[5]skilldef!$A:$B,2,FALSE),"-")</f>
        <v>- / -</v>
      </c>
      <c r="T38" s="47" t="str">
        <f t="shared" si="45"/>
        <v>none</v>
      </c>
      <c r="U38" s="51" t="e">
        <f t="shared" si="46"/>
        <v>#VALUE!</v>
      </c>
      <c r="V38" s="51">
        <f t="shared" si="47"/>
        <v>4</v>
      </c>
      <c r="W38" s="51" t="e">
        <f t="shared" si="48"/>
        <v>#VALUE!</v>
      </c>
      <c r="X38" s="51" t="e">
        <f t="shared" si="49"/>
        <v>#VALUE!</v>
      </c>
      <c r="Y38" s="51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62">
        <v>51001038</v>
      </c>
      <c r="B39" s="47" t="s">
        <v>242</v>
      </c>
      <c r="C39" s="50">
        <v>3</v>
      </c>
      <c r="D39" s="50" t="s">
        <v>126</v>
      </c>
      <c r="E39" s="47" t="s">
        <v>186</v>
      </c>
      <c r="F39" s="47" t="s">
        <v>197</v>
      </c>
      <c r="G39" s="51" t="str">
        <f t="shared" si="28"/>
        <v>[effect:damage_anti_color, target:unit_one, color:yellow, val1:1.5, val2:1.0]</v>
      </c>
      <c r="H39" s="51">
        <f t="shared" si="50"/>
        <v>9</v>
      </c>
      <c r="I39" s="51">
        <f t="shared" si="51"/>
        <v>26</v>
      </c>
      <c r="J39" s="51">
        <f t="shared" si="52"/>
        <v>35</v>
      </c>
      <c r="K39" s="51">
        <f t="shared" si="53"/>
        <v>43</v>
      </c>
      <c r="L39" s="51" t="str">
        <f>IFERROR(VLOOKUP(MID(G39,J39,K39-J39),[5]skilldef!$C:$D,2,FALSE),"-") &amp; " / " &amp; IFERROR(VLOOKUP(MID(G39,H39,I39-H39),[5]skilldef!$A:$B,2,FALSE),"-")</f>
        <v>味方単体に / 属性キラー</v>
      </c>
      <c r="M39" s="51" t="str">
        <f t="shared" si="39"/>
        <v>none</v>
      </c>
      <c r="N39" s="47" t="str">
        <f t="shared" si="54"/>
        <v>none</v>
      </c>
      <c r="O39" s="51" t="e">
        <f t="shared" si="41"/>
        <v>#VALUE!</v>
      </c>
      <c r="P39" s="51">
        <f t="shared" si="42"/>
        <v>4</v>
      </c>
      <c r="Q39" s="51" t="e">
        <f t="shared" si="43"/>
        <v>#VALUE!</v>
      </c>
      <c r="R39" s="51" t="e">
        <f t="shared" si="44"/>
        <v>#VALUE!</v>
      </c>
      <c r="S39" s="51" t="str">
        <f>IFERROR(VLOOKUP(MID(N39,Q39,R39-Q39),[5]skilldef!$C:$D,2,FALSE),"-") &amp; " / " &amp; IFERROR(VLOOKUP(MID(N39,O39,P39-O39),[5]skilldef!$A:$B,2,FALSE),"-")</f>
        <v>- / -</v>
      </c>
      <c r="T39" s="47" t="str">
        <f t="shared" si="45"/>
        <v>none</v>
      </c>
      <c r="U39" s="51" t="e">
        <f t="shared" si="46"/>
        <v>#VALUE!</v>
      </c>
      <c r="V39" s="51">
        <f t="shared" si="47"/>
        <v>4</v>
      </c>
      <c r="W39" s="51" t="e">
        <f t="shared" si="48"/>
        <v>#VALUE!</v>
      </c>
      <c r="X39" s="51" t="e">
        <f t="shared" si="49"/>
        <v>#VALUE!</v>
      </c>
      <c r="Y39" s="51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62">
        <v>51001039</v>
      </c>
      <c r="B40" s="47" t="s">
        <v>208</v>
      </c>
      <c r="C40" s="50">
        <v>3</v>
      </c>
      <c r="D40" s="50" t="s">
        <v>126</v>
      </c>
      <c r="E40" s="47" t="s">
        <v>180</v>
      </c>
      <c r="F40" s="47" t="s">
        <v>198</v>
      </c>
      <c r="G40" s="51" t="str">
        <f t="shared" ref="G40:G42" si="55">IFERROR(LEFT(B40,FIND("],",B40)),B40)</f>
        <v>[effect:dis_panel, target:block_red, turn:5]</v>
      </c>
      <c r="H40" s="51">
        <f t="shared" si="50"/>
        <v>9</v>
      </c>
      <c r="I40" s="51">
        <f t="shared" si="51"/>
        <v>18</v>
      </c>
      <c r="J40" s="51">
        <f t="shared" si="52"/>
        <v>27</v>
      </c>
      <c r="K40" s="51">
        <f t="shared" si="53"/>
        <v>36</v>
      </c>
      <c r="L40" s="51" t="str">
        <f>IFERROR(VLOOKUP(MID(G40,J40,K40-J40),[5]skilldef!$C:$D,2,FALSE),"-") &amp; " / " &amp; IFERROR(VLOOKUP(MID(G40,H40,I40-H40),[5]skilldef!$A:$B,2,FALSE),"-")</f>
        <v>赤パネルを / ディスパネル</v>
      </c>
      <c r="M40" s="51" t="str">
        <f t="shared" si="39"/>
        <v>[effect:critical, val:1.2, animation:enemy_critical]</v>
      </c>
      <c r="N40" s="47" t="str">
        <f t="shared" si="54"/>
        <v>[effect:critical, val:1.2, animation:enemy_critical]</v>
      </c>
      <c r="O40" s="51">
        <f t="shared" si="41"/>
        <v>9</v>
      </c>
      <c r="P40" s="51">
        <f t="shared" si="42"/>
        <v>17</v>
      </c>
      <c r="Q40" s="51" t="e">
        <f t="shared" si="43"/>
        <v>#VALUE!</v>
      </c>
      <c r="R40" s="51">
        <f t="shared" si="44"/>
        <v>26</v>
      </c>
      <c r="S40" s="51" t="str">
        <f>IFERROR(VLOOKUP(MID(N40,Q40,R40-Q40),[5]skilldef!$C:$D,2,FALSE),"-") &amp; " / " &amp; IFERROR(VLOOKUP(MID(N40,O40,P40-O40),[5]skilldef!$A:$B,2,FALSE),"-")</f>
        <v>- / 大攻撃</v>
      </c>
      <c r="T40" s="47" t="str">
        <f t="shared" si="45"/>
        <v>none</v>
      </c>
      <c r="U40" s="51" t="e">
        <f t="shared" si="46"/>
        <v>#VALUE!</v>
      </c>
      <c r="V40" s="51">
        <f t="shared" si="47"/>
        <v>4</v>
      </c>
      <c r="W40" s="51" t="e">
        <f t="shared" si="48"/>
        <v>#VALUE!</v>
      </c>
      <c r="X40" s="51" t="e">
        <f t="shared" si="49"/>
        <v>#VALUE!</v>
      </c>
      <c r="Y40" s="51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62">
        <v>51001040</v>
      </c>
      <c r="B41" s="47" t="s">
        <v>209</v>
      </c>
      <c r="C41" s="50">
        <v>3</v>
      </c>
      <c r="D41" s="50" t="s">
        <v>126</v>
      </c>
      <c r="E41" s="47" t="s">
        <v>181</v>
      </c>
      <c r="F41" s="47" t="s">
        <v>199</v>
      </c>
      <c r="G41" s="51" t="str">
        <f t="shared" si="55"/>
        <v>[effect:dis_panel, target:block_green, turn:5]</v>
      </c>
      <c r="H41" s="51">
        <f t="shared" si="50"/>
        <v>9</v>
      </c>
      <c r="I41" s="51">
        <f t="shared" si="51"/>
        <v>18</v>
      </c>
      <c r="J41" s="51">
        <f t="shared" si="52"/>
        <v>27</v>
      </c>
      <c r="K41" s="51">
        <f t="shared" si="53"/>
        <v>38</v>
      </c>
      <c r="L41" s="51" t="str">
        <f>IFERROR(VLOOKUP(MID(G41,J41,K41-J41),[5]skilldef!$C:$D,2,FALSE),"-") &amp; " / " &amp; IFERROR(VLOOKUP(MID(G41,H41,I41-H41),[5]skilldef!$A:$B,2,FALSE),"-")</f>
        <v>緑パネルを / ディスパネル</v>
      </c>
      <c r="M41" s="51" t="str">
        <f t="shared" si="39"/>
        <v>[effect:critical, val:1.2, animation:enemy_critical]</v>
      </c>
      <c r="N41" s="47" t="str">
        <f t="shared" si="54"/>
        <v>[effect:critical, val:1.2, animation:enemy_critical]</v>
      </c>
      <c r="O41" s="51">
        <f t="shared" si="41"/>
        <v>9</v>
      </c>
      <c r="P41" s="51">
        <f t="shared" si="42"/>
        <v>17</v>
      </c>
      <c r="Q41" s="51" t="e">
        <f t="shared" si="43"/>
        <v>#VALUE!</v>
      </c>
      <c r="R41" s="51">
        <f t="shared" si="44"/>
        <v>26</v>
      </c>
      <c r="S41" s="51" t="str">
        <f>IFERROR(VLOOKUP(MID(N41,Q41,R41-Q41),[5]skilldef!$C:$D,2,FALSE),"-") &amp; " / " &amp; IFERROR(VLOOKUP(MID(N41,O41,P41-O41),[5]skilldef!$A:$B,2,FALSE),"-")</f>
        <v>- / 大攻撃</v>
      </c>
      <c r="T41" s="47" t="str">
        <f t="shared" si="45"/>
        <v>none</v>
      </c>
      <c r="U41" s="51" t="e">
        <f t="shared" si="46"/>
        <v>#VALUE!</v>
      </c>
      <c r="V41" s="51">
        <f t="shared" si="47"/>
        <v>4</v>
      </c>
      <c r="W41" s="51" t="e">
        <f t="shared" si="48"/>
        <v>#VALUE!</v>
      </c>
      <c r="X41" s="51" t="e">
        <f t="shared" si="49"/>
        <v>#VALUE!</v>
      </c>
      <c r="Y41" s="51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62">
        <v>51001041</v>
      </c>
      <c r="B42" s="47" t="s">
        <v>210</v>
      </c>
      <c r="C42" s="50">
        <v>3</v>
      </c>
      <c r="D42" s="50" t="s">
        <v>126</v>
      </c>
      <c r="E42" s="47" t="s">
        <v>182</v>
      </c>
      <c r="F42" s="47" t="s">
        <v>200</v>
      </c>
      <c r="G42" s="51" t="str">
        <f t="shared" si="55"/>
        <v>[effect:dis_panel, target:block_yellow, turn:5]</v>
      </c>
      <c r="H42" s="51">
        <f t="shared" si="50"/>
        <v>9</v>
      </c>
      <c r="I42" s="51">
        <f t="shared" si="51"/>
        <v>18</v>
      </c>
      <c r="J42" s="51">
        <f t="shared" si="52"/>
        <v>27</v>
      </c>
      <c r="K42" s="51">
        <f t="shared" si="53"/>
        <v>39</v>
      </c>
      <c r="L42" s="51" t="str">
        <f>IFERROR(VLOOKUP(MID(G42,J42,K42-J42),[5]skilldef!$C:$D,2,FALSE),"-") &amp; " / " &amp; IFERROR(VLOOKUP(MID(G42,H42,I42-H42),[5]skilldef!$A:$B,2,FALSE),"-")</f>
        <v>黄色パネルを / ディスパネル</v>
      </c>
      <c r="M42" s="51" t="str">
        <f t="shared" si="39"/>
        <v>[effect:critical, val:1.2, animation:enemy_critical]</v>
      </c>
      <c r="N42" s="47" t="str">
        <f t="shared" si="54"/>
        <v>[effect:critical, val:1.2, animation:enemy_critical]</v>
      </c>
      <c r="O42" s="51">
        <f t="shared" si="41"/>
        <v>9</v>
      </c>
      <c r="P42" s="51">
        <f t="shared" si="42"/>
        <v>17</v>
      </c>
      <c r="Q42" s="51" t="e">
        <f t="shared" si="43"/>
        <v>#VALUE!</v>
      </c>
      <c r="R42" s="51">
        <f t="shared" si="44"/>
        <v>26</v>
      </c>
      <c r="S42" s="51" t="str">
        <f>IFERROR(VLOOKUP(MID(N42,Q42,R42-Q42),[5]skilldef!$C:$D,2,FALSE),"-") &amp; " / " &amp; IFERROR(VLOOKUP(MID(N42,O42,P42-O42),[5]skilldef!$A:$B,2,FALSE),"-")</f>
        <v>- / 大攻撃</v>
      </c>
      <c r="T42" s="47" t="str">
        <f t="shared" si="45"/>
        <v>none</v>
      </c>
      <c r="U42" s="51" t="e">
        <f t="shared" si="46"/>
        <v>#VALUE!</v>
      </c>
      <c r="V42" s="51">
        <f t="shared" si="47"/>
        <v>4</v>
      </c>
      <c r="W42" s="51" t="e">
        <f t="shared" si="48"/>
        <v>#VALUE!</v>
      </c>
      <c r="X42" s="51" t="e">
        <f t="shared" si="49"/>
        <v>#VALUE!</v>
      </c>
      <c r="Y42" s="51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62">
        <v>51001042</v>
      </c>
      <c r="B43" s="47" t="s">
        <v>211</v>
      </c>
      <c r="C43" s="50">
        <v>3</v>
      </c>
      <c r="D43" s="50" t="s">
        <v>126</v>
      </c>
      <c r="E43" s="47" t="s">
        <v>183</v>
      </c>
      <c r="F43" s="47" t="s">
        <v>201</v>
      </c>
      <c r="G43" s="51" t="str">
        <f t="shared" ref="G43:G52" si="56">IFERROR(LEFT(B43,FIND("],",B43)),B43)</f>
        <v>[effect:dis_panel, target:block_blue, turn:5]</v>
      </c>
      <c r="H43" s="51">
        <f t="shared" ref="H43:H52" si="57">FIND("effect:",G43)+7</f>
        <v>9</v>
      </c>
      <c r="I43" s="51">
        <f t="shared" ref="I43:I52" si="58">IFERROR(FIND(",",G43),LEN(G43))</f>
        <v>18</v>
      </c>
      <c r="J43" s="51">
        <f t="shared" ref="J43:J52" si="59">FIND("target:",G43)+7</f>
        <v>27</v>
      </c>
      <c r="K43" s="51">
        <f t="shared" ref="K43:K52" si="60">FIND(",",G43,I43+1)</f>
        <v>37</v>
      </c>
      <c r="L43" s="51" t="str">
        <f>IFERROR(VLOOKUP(MID(G43,J43,K43-J43),[5]skilldef!$C:$D,2,FALSE),"-") &amp; " / " &amp; IFERROR(VLOOKUP(MID(G43,H43,I43-H43),[5]skilldef!$A:$B,2,FALSE),"-")</f>
        <v>青パネルを / ディスパネル</v>
      </c>
      <c r="M43" s="51" t="str">
        <f t="shared" si="39"/>
        <v>[effect:critical, val:1.2, animation:enemy_critical]</v>
      </c>
      <c r="N43" s="47" t="str">
        <f t="shared" si="54"/>
        <v>[effect:critical, val:1.2, animation:enemy_critical]</v>
      </c>
      <c r="O43" s="51">
        <f t="shared" si="41"/>
        <v>9</v>
      </c>
      <c r="P43" s="51">
        <f t="shared" si="42"/>
        <v>17</v>
      </c>
      <c r="Q43" s="51" t="e">
        <f t="shared" si="43"/>
        <v>#VALUE!</v>
      </c>
      <c r="R43" s="51">
        <f t="shared" si="44"/>
        <v>26</v>
      </c>
      <c r="S43" s="51" t="str">
        <f>IFERROR(VLOOKUP(MID(N43,Q43,R43-Q43),[5]skilldef!$C:$D,2,FALSE),"-") &amp; " / " &amp; IFERROR(VLOOKUP(MID(N43,O43,P43-O43),[5]skilldef!$A:$B,2,FALSE),"-")</f>
        <v>- / 大攻撃</v>
      </c>
      <c r="T43" s="47" t="str">
        <f t="shared" si="45"/>
        <v>none</v>
      </c>
      <c r="U43" s="51" t="e">
        <f t="shared" si="46"/>
        <v>#VALUE!</v>
      </c>
      <c r="V43" s="51">
        <f t="shared" si="47"/>
        <v>4</v>
      </c>
      <c r="W43" s="51" t="e">
        <f t="shared" si="48"/>
        <v>#VALUE!</v>
      </c>
      <c r="X43" s="51" t="e">
        <f t="shared" si="49"/>
        <v>#VALUE!</v>
      </c>
      <c r="Y43" s="51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62">
        <v>51001043</v>
      </c>
      <c r="B44" s="47" t="s">
        <v>155</v>
      </c>
      <c r="C44" s="50">
        <v>3</v>
      </c>
      <c r="D44" s="50" t="s">
        <v>156</v>
      </c>
      <c r="E44" s="47" t="s">
        <v>179</v>
      </c>
      <c r="F44" s="47" t="s">
        <v>194</v>
      </c>
      <c r="G44" s="51" t="str">
        <f t="shared" si="56"/>
        <v>[effect:freq_turn, target:myself, turn:3, val:1, animation:enemy_freq_turn]</v>
      </c>
      <c r="H44" s="51">
        <f t="shared" si="57"/>
        <v>9</v>
      </c>
      <c r="I44" s="51">
        <f t="shared" si="58"/>
        <v>18</v>
      </c>
      <c r="J44" s="51">
        <f t="shared" si="59"/>
        <v>27</v>
      </c>
      <c r="K44" s="51">
        <f t="shared" si="60"/>
        <v>33</v>
      </c>
      <c r="L44" s="51" t="str">
        <f>IFERROR(VLOOKUP(MID(G44,J44,K44-J44),[5]skilldef!$C:$D,2,FALSE),"-") &amp; " / " &amp; IFERROR(VLOOKUP(MID(G44,H44,I44-H44),[5]skilldef!$A:$B,2,FALSE),"-")</f>
        <v>自分自身に / 攻撃頻度がUP</v>
      </c>
      <c r="M44" s="51" t="str">
        <f t="shared" si="39"/>
        <v>none</v>
      </c>
      <c r="N44" s="47" t="str">
        <f t="shared" si="54"/>
        <v>none</v>
      </c>
      <c r="O44" s="51" t="e">
        <f t="shared" si="41"/>
        <v>#VALUE!</v>
      </c>
      <c r="P44" s="51">
        <f t="shared" si="42"/>
        <v>4</v>
      </c>
      <c r="Q44" s="51" t="e">
        <f t="shared" si="43"/>
        <v>#VALUE!</v>
      </c>
      <c r="R44" s="51" t="e">
        <f t="shared" si="44"/>
        <v>#VALUE!</v>
      </c>
      <c r="S44" s="51" t="str">
        <f>IFERROR(VLOOKUP(MID(N44,Q44,R44-Q44),[5]skilldef!$C:$D,2,FALSE),"-") &amp; " / " &amp; IFERROR(VLOOKUP(MID(N44,O44,P44-O44),[5]skilldef!$A:$B,2,FALSE),"-")</f>
        <v>- / -</v>
      </c>
      <c r="T44" s="47" t="str">
        <f t="shared" si="45"/>
        <v>none</v>
      </c>
      <c r="U44" s="51" t="e">
        <f t="shared" si="46"/>
        <v>#VALUE!</v>
      </c>
      <c r="V44" s="51">
        <f t="shared" si="47"/>
        <v>4</v>
      </c>
      <c r="W44" s="51" t="e">
        <f t="shared" si="48"/>
        <v>#VALUE!</v>
      </c>
      <c r="X44" s="51" t="e">
        <f t="shared" si="49"/>
        <v>#VALUE!</v>
      </c>
      <c r="Y44" s="51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62">
        <v>51001044</v>
      </c>
      <c r="B45" s="47" t="s">
        <v>207</v>
      </c>
      <c r="C45" s="50">
        <v>3</v>
      </c>
      <c r="D45" s="50" t="s">
        <v>126</v>
      </c>
      <c r="E45" s="47" t="s">
        <v>177</v>
      </c>
      <c r="F45" s="47" t="s">
        <v>202</v>
      </c>
      <c r="G45" s="51" t="str">
        <f t="shared" si="56"/>
        <v>[effect:degrade_unit, target:unit_one, turn:-1, status:attack, val:1.0, calc:mul]</v>
      </c>
      <c r="H45" s="51">
        <f t="shared" si="57"/>
        <v>9</v>
      </c>
      <c r="I45" s="51">
        <f t="shared" si="58"/>
        <v>21</v>
      </c>
      <c r="J45" s="51">
        <f t="shared" si="59"/>
        <v>30</v>
      </c>
      <c r="K45" s="51">
        <f t="shared" si="60"/>
        <v>38</v>
      </c>
      <c r="L45" s="51" t="str">
        <f>IFERROR(VLOOKUP(MID(G45,J45,K45-J45),[5]skilldef!$C:$D,2,FALSE),"-") &amp; " / " &amp; IFERROR(VLOOKUP(MID(G45,H45,I45-H45),[5]skilldef!$A:$B,2,FALSE),"-")</f>
        <v>味方単体に / ステータスDOWN</v>
      </c>
      <c r="M45" s="51" t="str">
        <f t="shared" si="39"/>
        <v>[effect:critical, val:1.6, animation:enemy_critical]</v>
      </c>
      <c r="N45" s="47" t="str">
        <f t="shared" si="54"/>
        <v>[effect:critical, val:1.6, animation:enemy_critical]</v>
      </c>
      <c r="O45" s="51">
        <f t="shared" si="41"/>
        <v>9</v>
      </c>
      <c r="P45" s="51">
        <f t="shared" si="42"/>
        <v>17</v>
      </c>
      <c r="Q45" s="51" t="e">
        <f t="shared" si="43"/>
        <v>#VALUE!</v>
      </c>
      <c r="R45" s="51">
        <f t="shared" si="44"/>
        <v>26</v>
      </c>
      <c r="S45" s="51" t="str">
        <f>IFERROR(VLOOKUP(MID(N45,Q45,R45-Q45),[5]skilldef!$C:$D,2,FALSE),"-") &amp; " / " &amp; IFERROR(VLOOKUP(MID(N45,O45,P45-O45),[5]skilldef!$A:$B,2,FALSE),"-")</f>
        <v>- / 大攻撃</v>
      </c>
      <c r="T45" s="47" t="str">
        <f t="shared" si="45"/>
        <v>none</v>
      </c>
      <c r="U45" s="51" t="e">
        <f t="shared" si="46"/>
        <v>#VALUE!</v>
      </c>
      <c r="V45" s="51">
        <f t="shared" si="47"/>
        <v>4</v>
      </c>
      <c r="W45" s="51" t="e">
        <f t="shared" si="48"/>
        <v>#VALUE!</v>
      </c>
      <c r="X45" s="51" t="e">
        <f t="shared" si="49"/>
        <v>#VALUE!</v>
      </c>
      <c r="Y45" s="51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62">
        <v>51001045</v>
      </c>
      <c r="B46" s="47" t="s">
        <v>365</v>
      </c>
      <c r="C46" s="50">
        <v>3</v>
      </c>
      <c r="D46" s="50" t="s">
        <v>126</v>
      </c>
      <c r="E46" s="73" t="s">
        <v>254</v>
      </c>
      <c r="F46" s="66" t="s">
        <v>261</v>
      </c>
      <c r="G46" s="51" t="str">
        <f t="shared" si="56"/>
        <v>[effect:tolerance,target:myself, turn:-1, tolerance_effect:all, count:-1]</v>
      </c>
      <c r="H46" s="51">
        <f t="shared" si="57"/>
        <v>9</v>
      </c>
      <c r="I46" s="51">
        <f t="shared" si="58"/>
        <v>18</v>
      </c>
      <c r="J46" s="51">
        <f t="shared" si="59"/>
        <v>26</v>
      </c>
      <c r="K46" s="51">
        <f t="shared" si="60"/>
        <v>32</v>
      </c>
      <c r="L46" s="51" t="str">
        <f>IFERROR(VLOOKUP(MID(G46,J46,K46-J46),[5]skilldef!$C:$D,2,FALSE),"-") &amp; " / " &amp; IFERROR(VLOOKUP(MID(G46,H46,I46-H46),[5]skilldef!$A:$B,2,FALSE),"-")</f>
        <v>自分自身に / 状態異常耐性</v>
      </c>
      <c r="M46" s="51" t="str">
        <f t="shared" si="39"/>
        <v>[effect:fix_speed,target:myself,turn:1],[effect:degrade_fever, val:1000.0, animation:fevergauge_down],[effect:enhance_fever, val:0.0]</v>
      </c>
      <c r="N46" s="47" t="str">
        <f t="shared" si="54"/>
        <v>[effect:fix_speed,target:myself,turn:1]</v>
      </c>
      <c r="O46" s="51">
        <f t="shared" si="41"/>
        <v>9</v>
      </c>
      <c r="P46" s="51">
        <f t="shared" si="42"/>
        <v>18</v>
      </c>
      <c r="Q46" s="51">
        <f t="shared" si="43"/>
        <v>26</v>
      </c>
      <c r="R46" s="51">
        <f t="shared" si="44"/>
        <v>32</v>
      </c>
      <c r="S46" s="51" t="str">
        <f>IFERROR(VLOOKUP(MID(N46,Q46,R46-Q46),[5]skilldef!$C:$D,2,FALSE),"-") &amp; " / " &amp; IFERROR(VLOOKUP(MID(N46,O46,P46-O46),[5]skilldef!$A:$B,2,FALSE),"-")</f>
        <v>自分自身に / 行動値設定</v>
      </c>
      <c r="T46" s="47" t="str">
        <f t="shared" si="45"/>
        <v>[effect:degrade_fever, val:1000.0, animation:fevergauge_down],[effect:enhance_fever, val:0.0]</v>
      </c>
      <c r="U46" s="51">
        <f t="shared" si="46"/>
        <v>9</v>
      </c>
      <c r="V46" s="51">
        <f t="shared" si="47"/>
        <v>22</v>
      </c>
      <c r="W46" s="51" t="e">
        <f t="shared" si="48"/>
        <v>#VALUE!</v>
      </c>
      <c r="X46" s="51">
        <f t="shared" si="49"/>
        <v>34</v>
      </c>
      <c r="Y46" s="51" t="str">
        <f>IFERROR(VLOOKUP(MID(T46,W46,X46-W46),[5]skilldef!$C:$D,2,FALSE),"-") &amp; " / " &amp; IFERROR(VLOOKUP(MID(T46,U46,V46-U46),[5]skilldef!$A:$B,2,FALSE),"-")</f>
        <v>- / フィーバーゲージ減少</v>
      </c>
      <c r="Z46" s="50"/>
      <c r="AA46" s="52"/>
      <c r="AB46" s="50"/>
    </row>
    <row r="47" spans="1:28" ht="21" customHeight="1" x14ac:dyDescent="0.15">
      <c r="A47" s="62">
        <v>51001046</v>
      </c>
      <c r="B47" s="47" t="s">
        <v>260</v>
      </c>
      <c r="C47" s="50">
        <v>3</v>
      </c>
      <c r="D47" s="50" t="s">
        <v>126</v>
      </c>
      <c r="E47" s="47" t="s">
        <v>251</v>
      </c>
      <c r="F47" s="66" t="s">
        <v>257</v>
      </c>
      <c r="G47" s="51" t="str">
        <f t="shared" si="56"/>
        <v>[effect:nothing]</v>
      </c>
      <c r="H47" s="51">
        <f t="shared" si="57"/>
        <v>9</v>
      </c>
      <c r="I47" s="51">
        <f t="shared" si="58"/>
        <v>16</v>
      </c>
      <c r="J47" s="51" t="e">
        <f t="shared" si="59"/>
        <v>#VALUE!</v>
      </c>
      <c r="K47" s="51" t="e">
        <f t="shared" si="60"/>
        <v>#VALUE!</v>
      </c>
      <c r="L47" s="51" t="str">
        <f>IFERROR(VLOOKUP(MID(G47,J47,K47-J47),[5]skilldef!$C:$D,2,FALSE),"-") &amp; " / " &amp; IFERROR(VLOOKUP(MID(G47,H47,I47-H47),[5]skilldef!$A:$B,2,FALSE),"-")</f>
        <v>- / 何もしない</v>
      </c>
      <c r="M47" s="51" t="str">
        <f t="shared" si="39"/>
        <v>none</v>
      </c>
      <c r="N47" s="47" t="str">
        <f t="shared" si="54"/>
        <v>none</v>
      </c>
      <c r="O47" s="51" t="e">
        <f t="shared" si="41"/>
        <v>#VALUE!</v>
      </c>
      <c r="P47" s="51">
        <f t="shared" si="42"/>
        <v>4</v>
      </c>
      <c r="Q47" s="51" t="e">
        <f t="shared" si="43"/>
        <v>#VALUE!</v>
      </c>
      <c r="R47" s="51" t="e">
        <f t="shared" si="44"/>
        <v>#VALUE!</v>
      </c>
      <c r="S47" s="51" t="str">
        <f>IFERROR(VLOOKUP(MID(N47,Q47,R47-Q47),[5]skilldef!$C:$D,2,FALSE),"-") &amp; " / " &amp; IFERROR(VLOOKUP(MID(N47,O47,P47-O47),[5]skilldef!$A:$B,2,FALSE),"-")</f>
        <v>- / -</v>
      </c>
      <c r="T47" s="47" t="str">
        <f t="shared" si="45"/>
        <v>none</v>
      </c>
      <c r="U47" s="51" t="e">
        <f t="shared" si="46"/>
        <v>#VALUE!</v>
      </c>
      <c r="V47" s="51">
        <f t="shared" si="47"/>
        <v>4</v>
      </c>
      <c r="W47" s="51" t="e">
        <f t="shared" si="48"/>
        <v>#VALUE!</v>
      </c>
      <c r="X47" s="51" t="e">
        <f t="shared" si="49"/>
        <v>#VALUE!</v>
      </c>
      <c r="Y47" s="51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62">
        <v>51001047</v>
      </c>
      <c r="B48" s="47" t="s">
        <v>258</v>
      </c>
      <c r="C48" s="50">
        <v>3</v>
      </c>
      <c r="D48" s="50" t="s">
        <v>126</v>
      </c>
      <c r="E48" s="47" t="s">
        <v>205</v>
      </c>
      <c r="F48" s="47" t="s">
        <v>154</v>
      </c>
      <c r="G48" s="51" t="str">
        <f t="shared" si="56"/>
        <v>[effect:spread, val:0.35, animation:enemy_spread]</v>
      </c>
      <c r="H48" s="51">
        <f t="shared" si="57"/>
        <v>9</v>
      </c>
      <c r="I48" s="51">
        <f t="shared" si="58"/>
        <v>15</v>
      </c>
      <c r="J48" s="51" t="e">
        <f t="shared" si="59"/>
        <v>#VALUE!</v>
      </c>
      <c r="K48" s="51">
        <f t="shared" si="60"/>
        <v>25</v>
      </c>
      <c r="L48" s="51" t="str">
        <f>IFERROR(VLOOKUP(MID(G48,J48,K48-J48),[5]skilldef!$C:$D,2,FALSE),"-") &amp; " / " &amp; IFERROR(VLOOKUP(MID(G48,H48,I48-H48),[5]skilldef!$A:$B,2,FALSE),"-")</f>
        <v>- / 全体攻撃</v>
      </c>
      <c r="M48" s="51" t="str">
        <f t="shared" si="39"/>
        <v>none</v>
      </c>
      <c r="N48" s="47" t="str">
        <f t="shared" si="54"/>
        <v>none</v>
      </c>
      <c r="O48" s="51" t="e">
        <f t="shared" si="41"/>
        <v>#VALUE!</v>
      </c>
      <c r="P48" s="51">
        <f t="shared" si="42"/>
        <v>4</v>
      </c>
      <c r="Q48" s="51" t="e">
        <f t="shared" si="43"/>
        <v>#VALUE!</v>
      </c>
      <c r="R48" s="51" t="e">
        <f t="shared" si="44"/>
        <v>#VALUE!</v>
      </c>
      <c r="S48" s="51" t="str">
        <f>IFERROR(VLOOKUP(MID(N48,Q48,R48-Q48),[5]skilldef!$C:$D,2,FALSE),"-") &amp; " / " &amp; IFERROR(VLOOKUP(MID(N48,O48,P48-O48),[5]skilldef!$A:$B,2,FALSE),"-")</f>
        <v>- / -</v>
      </c>
      <c r="T48" s="47" t="str">
        <f t="shared" si="45"/>
        <v>none</v>
      </c>
      <c r="U48" s="51" t="e">
        <f t="shared" si="46"/>
        <v>#VALUE!</v>
      </c>
      <c r="V48" s="51">
        <f t="shared" si="47"/>
        <v>4</v>
      </c>
      <c r="W48" s="51" t="e">
        <f t="shared" si="48"/>
        <v>#VALUE!</v>
      </c>
      <c r="X48" s="51" t="e">
        <f t="shared" si="49"/>
        <v>#VALUE!</v>
      </c>
      <c r="Y48" s="51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62">
        <v>51001048</v>
      </c>
      <c r="B49" s="47" t="s">
        <v>279</v>
      </c>
      <c r="C49" s="50">
        <v>3</v>
      </c>
      <c r="D49" s="50" t="s">
        <v>126</v>
      </c>
      <c r="E49" s="47" t="s">
        <v>187</v>
      </c>
      <c r="F49" s="47" t="s">
        <v>360</v>
      </c>
      <c r="G49" s="51" t="str">
        <f t="shared" si="56"/>
        <v>[effect:degrade_unit, target:unit_all, turn:4, status:action, val:2 ,animation:enemy_tap_down]</v>
      </c>
      <c r="H49" s="51">
        <f t="shared" si="57"/>
        <v>9</v>
      </c>
      <c r="I49" s="51">
        <f t="shared" si="58"/>
        <v>21</v>
      </c>
      <c r="J49" s="51">
        <f t="shared" si="59"/>
        <v>30</v>
      </c>
      <c r="K49" s="51">
        <f t="shared" si="60"/>
        <v>38</v>
      </c>
      <c r="L49" s="51" t="str">
        <f>IFERROR(VLOOKUP(MID(G49,J49,K49-J49),[5]skilldef!$C:$D,2,FALSE),"-") &amp; " / " &amp; IFERROR(VLOOKUP(MID(G49,H49,I49-H49),[5]skilldef!$A:$B,2,FALSE),"-")</f>
        <v>味方全体に / ステータスDOWN</v>
      </c>
      <c r="M49" s="51" t="str">
        <f t="shared" si="39"/>
        <v>none</v>
      </c>
      <c r="N49" s="47" t="str">
        <f t="shared" si="54"/>
        <v>none</v>
      </c>
      <c r="O49" s="51" t="e">
        <f t="shared" si="41"/>
        <v>#VALUE!</v>
      </c>
      <c r="P49" s="51">
        <f t="shared" si="42"/>
        <v>4</v>
      </c>
      <c r="Q49" s="51" t="e">
        <f t="shared" si="43"/>
        <v>#VALUE!</v>
      </c>
      <c r="R49" s="51" t="e">
        <f t="shared" si="44"/>
        <v>#VALUE!</v>
      </c>
      <c r="S49" s="51" t="str">
        <f>IFERROR(VLOOKUP(MID(N49,Q49,R49-Q49),[5]skilldef!$C:$D,2,FALSE),"-") &amp; " / " &amp; IFERROR(VLOOKUP(MID(N49,O49,P49-O49),[5]skilldef!$A:$B,2,FALSE),"-")</f>
        <v>- / -</v>
      </c>
      <c r="T49" s="47" t="str">
        <f t="shared" si="45"/>
        <v>none</v>
      </c>
      <c r="U49" s="51" t="e">
        <f t="shared" si="46"/>
        <v>#VALUE!</v>
      </c>
      <c r="V49" s="51">
        <f t="shared" si="47"/>
        <v>4</v>
      </c>
      <c r="W49" s="51" t="e">
        <f t="shared" si="48"/>
        <v>#VALUE!</v>
      </c>
      <c r="X49" s="51" t="e">
        <f t="shared" si="49"/>
        <v>#VALUE!</v>
      </c>
      <c r="Y49" s="51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62">
        <v>51001049</v>
      </c>
      <c r="B50" s="47" t="s">
        <v>376</v>
      </c>
      <c r="C50" s="50">
        <v>3</v>
      </c>
      <c r="D50" s="50" t="s">
        <v>126</v>
      </c>
      <c r="E50" s="47" t="s">
        <v>178</v>
      </c>
      <c r="F50" s="47" t="s">
        <v>203</v>
      </c>
      <c r="G50" s="51" t="str">
        <f t="shared" si="56"/>
        <v>[effect:force_change_block, new_block:jammer, target:block_all, ignore01:crash, ignore02:jammer, ignore03:color_break, ignore04:magnet, count:10, val:0, animation:change_block]</v>
      </c>
      <c r="H50" s="51">
        <f t="shared" si="57"/>
        <v>9</v>
      </c>
      <c r="I50" s="51">
        <f t="shared" si="58"/>
        <v>27</v>
      </c>
      <c r="J50" s="51">
        <f t="shared" si="59"/>
        <v>54</v>
      </c>
      <c r="K50" s="51">
        <f t="shared" si="60"/>
        <v>45</v>
      </c>
      <c r="L50" s="51" t="str">
        <f>IFERROR(VLOOKUP(MID(G50,J50,K50-J50),[5]skilldef!$C:$D,2,FALSE),"-") &amp; " / " &amp; IFERROR(VLOOKUP(MID(G50,H50,I50-H50),[5]skilldef!$A:$B,2,FALSE),"-")</f>
        <v>- / -</v>
      </c>
      <c r="M50" s="51" t="str">
        <f t="shared" si="39"/>
        <v>[effect:spread, val:0.3, animation:enemy_spread]</v>
      </c>
      <c r="N50" s="47" t="str">
        <f t="shared" si="54"/>
        <v>[effect:spread, val:0.3, animation:enemy_spread]</v>
      </c>
      <c r="O50" s="51">
        <f t="shared" si="41"/>
        <v>9</v>
      </c>
      <c r="P50" s="51">
        <f t="shared" si="42"/>
        <v>15</v>
      </c>
      <c r="Q50" s="51" t="e">
        <f t="shared" si="43"/>
        <v>#VALUE!</v>
      </c>
      <c r="R50" s="51">
        <f t="shared" si="44"/>
        <v>24</v>
      </c>
      <c r="S50" s="51" t="str">
        <f>IFERROR(VLOOKUP(MID(N50,Q50,R50-Q50),[5]skilldef!$C:$D,2,FALSE),"-") &amp; " / " &amp; IFERROR(VLOOKUP(MID(N50,O50,P50-O50),[5]skilldef!$A:$B,2,FALSE),"-")</f>
        <v>- / 全体攻撃</v>
      </c>
      <c r="T50" s="47" t="str">
        <f t="shared" si="45"/>
        <v>none</v>
      </c>
      <c r="U50" s="51" t="e">
        <f t="shared" si="46"/>
        <v>#VALUE!</v>
      </c>
      <c r="V50" s="51">
        <f t="shared" si="47"/>
        <v>4</v>
      </c>
      <c r="W50" s="51" t="e">
        <f t="shared" si="48"/>
        <v>#VALUE!</v>
      </c>
      <c r="X50" s="51" t="e">
        <f t="shared" si="49"/>
        <v>#VALUE!</v>
      </c>
      <c r="Y50" s="51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62">
        <v>51001050</v>
      </c>
      <c r="B51" s="47" t="s">
        <v>212</v>
      </c>
      <c r="C51" s="50">
        <v>3</v>
      </c>
      <c r="D51" s="50" t="s">
        <v>126</v>
      </c>
      <c r="E51" s="47" t="s">
        <v>177</v>
      </c>
      <c r="F51" s="47" t="s">
        <v>202</v>
      </c>
      <c r="G51" s="51" t="str">
        <f t="shared" si="56"/>
        <v>[effect:degrade_unit, target:unit_one, turn:-1, status:attack, val:1.0, calc:mul]</v>
      </c>
      <c r="H51" s="51">
        <f t="shared" si="57"/>
        <v>9</v>
      </c>
      <c r="I51" s="51">
        <f t="shared" si="58"/>
        <v>21</v>
      </c>
      <c r="J51" s="51">
        <f t="shared" si="59"/>
        <v>30</v>
      </c>
      <c r="K51" s="51">
        <f t="shared" si="60"/>
        <v>38</v>
      </c>
      <c r="L51" s="51" t="str">
        <f>IFERROR(VLOOKUP(MID(G51,J51,K51-J51),[5]skilldef!$C:$D,2,FALSE),"-") &amp; " / " &amp; IFERROR(VLOOKUP(MID(G51,H51,I51-H51),[5]skilldef!$A:$B,2,FALSE),"-")</f>
        <v>味方単体に / ステータスDOWN</v>
      </c>
      <c r="M51" s="51" t="str">
        <f t="shared" si="39"/>
        <v>[effect:critical, val:1.2, animation:enemy_critical]</v>
      </c>
      <c r="N51" s="47" t="str">
        <f t="shared" si="54"/>
        <v>[effect:critical, val:1.2, animation:enemy_critical]</v>
      </c>
      <c r="O51" s="51">
        <f t="shared" si="41"/>
        <v>9</v>
      </c>
      <c r="P51" s="51">
        <f t="shared" si="42"/>
        <v>17</v>
      </c>
      <c r="Q51" s="51" t="e">
        <f t="shared" si="43"/>
        <v>#VALUE!</v>
      </c>
      <c r="R51" s="51">
        <f t="shared" si="44"/>
        <v>26</v>
      </c>
      <c r="S51" s="51" t="str">
        <f>IFERROR(VLOOKUP(MID(N51,Q51,R51-Q51),[5]skilldef!$C:$D,2,FALSE),"-") &amp; " / " &amp; IFERROR(VLOOKUP(MID(N51,O51,P51-O51),[5]skilldef!$A:$B,2,FALSE),"-")</f>
        <v>- / 大攻撃</v>
      </c>
      <c r="T51" s="47" t="str">
        <f t="shared" si="45"/>
        <v>none</v>
      </c>
      <c r="U51" s="51" t="e">
        <f t="shared" si="46"/>
        <v>#VALUE!</v>
      </c>
      <c r="V51" s="51">
        <f t="shared" si="47"/>
        <v>4</v>
      </c>
      <c r="W51" s="51" t="e">
        <f t="shared" si="48"/>
        <v>#VALUE!</v>
      </c>
      <c r="X51" s="51" t="e">
        <f t="shared" si="49"/>
        <v>#VALUE!</v>
      </c>
      <c r="Y51" s="51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62">
        <v>51001051</v>
      </c>
      <c r="B52" s="47" t="s">
        <v>255</v>
      </c>
      <c r="C52" s="50">
        <v>3</v>
      </c>
      <c r="D52" s="50" t="s">
        <v>126</v>
      </c>
      <c r="E52" s="47" t="s">
        <v>213</v>
      </c>
      <c r="F52" s="47" t="s">
        <v>214</v>
      </c>
      <c r="G52" s="51" t="str">
        <f t="shared" si="56"/>
        <v>[effect:damage_anti_tribe, target:unit_all, tribe:dragon, val1:2.5, val2:0.2]</v>
      </c>
      <c r="H52" s="51">
        <f t="shared" si="57"/>
        <v>9</v>
      </c>
      <c r="I52" s="51">
        <f t="shared" si="58"/>
        <v>26</v>
      </c>
      <c r="J52" s="51">
        <f t="shared" si="59"/>
        <v>35</v>
      </c>
      <c r="K52" s="51">
        <f t="shared" si="60"/>
        <v>43</v>
      </c>
      <c r="L52" s="51" t="str">
        <f>IFERROR(VLOOKUP(MID(G52,J52,K52-J52),[5]skilldef!$C:$D,2,FALSE),"-") &amp; " / " &amp; IFERROR(VLOOKUP(MID(G52,H52,I52-H52),[5]skilldef!$A:$B,2,FALSE),"-")</f>
        <v>味方全体に / 種族キラー</v>
      </c>
      <c r="M52" s="51" t="str">
        <f t="shared" si="39"/>
        <v>none</v>
      </c>
      <c r="N52" s="47" t="str">
        <f t="shared" si="54"/>
        <v>none</v>
      </c>
      <c r="O52" s="51" t="e">
        <f t="shared" ref="O52" si="61">FIND("effect:",N52)+7</f>
        <v>#VALUE!</v>
      </c>
      <c r="P52" s="51">
        <f t="shared" ref="P52" si="62">IFERROR(FIND(",",N52),LEN(N52))</f>
        <v>4</v>
      </c>
      <c r="Q52" s="51" t="e">
        <f t="shared" ref="Q52" si="63">FIND("target:",N52)+7</f>
        <v>#VALUE!</v>
      </c>
      <c r="R52" s="51" t="e">
        <f t="shared" ref="R52" si="64">FIND(",",N52,P52+1)</f>
        <v>#VALUE!</v>
      </c>
      <c r="S52" s="51" t="str">
        <f>IFERROR(VLOOKUP(MID(N52,Q52,R52-Q52),[5]skilldef!$C:$D,2,FALSE),"-") &amp; " / " &amp; IFERROR(VLOOKUP(MID(N52,O52,P52-O52),[5]skilldef!$A:$B,2,FALSE),"-")</f>
        <v>- / -</v>
      </c>
      <c r="T52" s="47" t="str">
        <f t="shared" ref="T52" si="65">IFERROR(RIGHT(M52,LEN(M52)-FIND("],",M52)-1),"none")</f>
        <v>none</v>
      </c>
      <c r="U52" s="51" t="e">
        <f t="shared" ref="U52" si="66">FIND("effect:",T52)+7</f>
        <v>#VALUE!</v>
      </c>
      <c r="V52" s="51">
        <f t="shared" ref="V52" si="67">IFERROR(FIND(",",T52),LEN(T52))</f>
        <v>4</v>
      </c>
      <c r="W52" s="51" t="e">
        <f t="shared" ref="W52" si="68">FIND("target:",T52)+7</f>
        <v>#VALUE!</v>
      </c>
      <c r="X52" s="51" t="e">
        <f t="shared" ref="X52" si="69">FIND(",",T52,V52+1)</f>
        <v>#VALUE!</v>
      </c>
      <c r="Y52" s="51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62">
        <v>51001052</v>
      </c>
      <c r="B53" s="47" t="s">
        <v>259</v>
      </c>
      <c r="C53" s="50">
        <v>3</v>
      </c>
      <c r="D53" s="50" t="s">
        <v>126</v>
      </c>
      <c r="E53" s="75" t="s">
        <v>236</v>
      </c>
      <c r="F53" s="47" t="s">
        <v>217</v>
      </c>
      <c r="G53" s="51" t="str">
        <f t="shared" ref="G53:G56" si="70">IFERROR(LEFT(B53,FIND("],",B53)),B53)</f>
        <v>[effect:fix_speed,target:myself,turn:2]</v>
      </c>
      <c r="H53" s="51">
        <f t="shared" ref="H53:H56" si="71">FIND("effect:",G53)+7</f>
        <v>9</v>
      </c>
      <c r="I53" s="51">
        <f t="shared" ref="I53:I56" si="72">IFERROR(FIND(",",G53),LEN(G53))</f>
        <v>18</v>
      </c>
      <c r="J53" s="51">
        <f t="shared" ref="J53:J56" si="73">FIND("target:",G53)+7</f>
        <v>26</v>
      </c>
      <c r="K53" s="51">
        <f t="shared" ref="K53:K56" si="74">FIND(",",G53,I53+1)</f>
        <v>32</v>
      </c>
      <c r="L53" s="51" t="str">
        <f>IFERROR(VLOOKUP(MID(G53,J53,K53-J53),[5]skilldef!$C:$D,2,FALSE),"-") &amp; " / " &amp; IFERROR(VLOOKUP(MID(G53,H53,I53-H53),[5]skilldef!$A:$B,2,FALSE),"-")</f>
        <v>自分自身に / 行動値設定</v>
      </c>
      <c r="M53" s="51" t="str">
        <f t="shared" si="39"/>
        <v>none</v>
      </c>
      <c r="N53" s="47" t="str">
        <f t="shared" si="54"/>
        <v>none</v>
      </c>
      <c r="O53" s="51" t="e">
        <f t="shared" ref="O53:O56" si="75">FIND("effect:",N53)+7</f>
        <v>#VALUE!</v>
      </c>
      <c r="P53" s="51">
        <f t="shared" ref="P53:P56" si="76">IFERROR(FIND(",",N53),LEN(N53))</f>
        <v>4</v>
      </c>
      <c r="Q53" s="51" t="e">
        <f t="shared" ref="Q53:Q56" si="77">FIND("target:",N53)+7</f>
        <v>#VALUE!</v>
      </c>
      <c r="R53" s="51" t="e">
        <f t="shared" ref="R53:R56" si="78">FIND(",",N53,P53+1)</f>
        <v>#VALUE!</v>
      </c>
      <c r="S53" s="51" t="str">
        <f>IFERROR(VLOOKUP(MID(N53,Q53,R53-Q53),[5]skilldef!$C:$D,2,FALSE),"-") &amp; " / " &amp; IFERROR(VLOOKUP(MID(N53,O53,P53-O53),[5]skilldef!$A:$B,2,FALSE),"-")</f>
        <v>- / -</v>
      </c>
      <c r="T53" s="47" t="str">
        <f t="shared" ref="T53:T56" si="79">IFERROR(RIGHT(M53,LEN(M53)-FIND("],",M53)-1),"none")</f>
        <v>none</v>
      </c>
      <c r="U53" s="51" t="e">
        <f t="shared" ref="U53:U56" si="80">FIND("effect:",T53)+7</f>
        <v>#VALUE!</v>
      </c>
      <c r="V53" s="51">
        <f t="shared" ref="V53:V56" si="81">IFERROR(FIND(",",T53),LEN(T53))</f>
        <v>4</v>
      </c>
      <c r="W53" s="51" t="e">
        <f t="shared" ref="W53:W56" si="82">FIND("target:",T53)+7</f>
        <v>#VALUE!</v>
      </c>
      <c r="X53" s="51" t="e">
        <f t="shared" ref="X53:X56" si="83">FIND(",",T53,V53+1)</f>
        <v>#VALUE!</v>
      </c>
      <c r="Y53" s="51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62">
        <v>51001053</v>
      </c>
      <c r="B54" s="47" t="s">
        <v>243</v>
      </c>
      <c r="C54" s="50">
        <v>3</v>
      </c>
      <c r="D54" s="50" t="s">
        <v>126</v>
      </c>
      <c r="E54" s="47" t="s">
        <v>205</v>
      </c>
      <c r="F54" s="47" t="s">
        <v>154</v>
      </c>
      <c r="G54" s="51" t="str">
        <f t="shared" si="70"/>
        <v>[effect:spread, val:0.3, animation:enemy_spread]</v>
      </c>
      <c r="H54" s="51">
        <f t="shared" si="71"/>
        <v>9</v>
      </c>
      <c r="I54" s="51">
        <f t="shared" si="72"/>
        <v>15</v>
      </c>
      <c r="J54" s="51" t="e">
        <f t="shared" si="73"/>
        <v>#VALUE!</v>
      </c>
      <c r="K54" s="51">
        <f t="shared" si="74"/>
        <v>24</v>
      </c>
      <c r="L54" s="51" t="str">
        <f>IFERROR(VLOOKUP(MID(G54,J54,K54-J54),[5]skilldef!$C:$D,2,FALSE),"-") &amp; " / " &amp; IFERROR(VLOOKUP(MID(G54,H54,I54-H54),[5]skilldef!$A:$B,2,FALSE),"-")</f>
        <v>- / 全体攻撃</v>
      </c>
      <c r="M54" s="51" t="str">
        <f t="shared" si="39"/>
        <v>[effect:fix_speed,target:myself,turn:2]</v>
      </c>
      <c r="N54" s="47" t="str">
        <f t="shared" si="54"/>
        <v>[effect:fix_speed,target:myself,turn:2]</v>
      </c>
      <c r="O54" s="51">
        <f t="shared" si="75"/>
        <v>9</v>
      </c>
      <c r="P54" s="51">
        <f t="shared" si="76"/>
        <v>18</v>
      </c>
      <c r="Q54" s="51">
        <f t="shared" si="77"/>
        <v>26</v>
      </c>
      <c r="R54" s="51">
        <f t="shared" si="78"/>
        <v>32</v>
      </c>
      <c r="S54" s="51" t="str">
        <f>IFERROR(VLOOKUP(MID(N54,Q54,R54-Q54),[5]skilldef!$C:$D,2,FALSE),"-") &amp; " / " &amp; IFERROR(VLOOKUP(MID(N54,O54,P54-O54),[5]skilldef!$A:$B,2,FALSE),"-")</f>
        <v>自分自身に / 行動値設定</v>
      </c>
      <c r="T54" s="47" t="str">
        <f t="shared" si="79"/>
        <v>none</v>
      </c>
      <c r="U54" s="51" t="e">
        <f t="shared" si="80"/>
        <v>#VALUE!</v>
      </c>
      <c r="V54" s="51">
        <f t="shared" si="81"/>
        <v>4</v>
      </c>
      <c r="W54" s="51" t="e">
        <f t="shared" si="82"/>
        <v>#VALUE!</v>
      </c>
      <c r="X54" s="51" t="e">
        <f t="shared" si="83"/>
        <v>#VALUE!</v>
      </c>
      <c r="Y54" s="51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62">
        <v>51001054</v>
      </c>
      <c r="B55" s="47" t="s">
        <v>253</v>
      </c>
      <c r="C55" s="50">
        <v>3</v>
      </c>
      <c r="D55" s="50" t="s">
        <v>126</v>
      </c>
      <c r="E55" s="47" t="s">
        <v>206</v>
      </c>
      <c r="F55" s="66" t="s">
        <v>248</v>
      </c>
      <c r="G55" s="51" t="str">
        <f t="shared" si="70"/>
        <v>[effect:spread, val:15.0, animation:enemy_spread]</v>
      </c>
      <c r="H55" s="51">
        <f t="shared" si="71"/>
        <v>9</v>
      </c>
      <c r="I55" s="51">
        <f t="shared" si="72"/>
        <v>15</v>
      </c>
      <c r="J55" s="51" t="e">
        <f t="shared" si="73"/>
        <v>#VALUE!</v>
      </c>
      <c r="K55" s="51">
        <f t="shared" si="74"/>
        <v>25</v>
      </c>
      <c r="L55" s="51" t="str">
        <f>IFERROR(VLOOKUP(MID(G55,J55,K55-J55),[5]skilldef!$C:$D,2,FALSE),"-") &amp; " / " &amp; IFERROR(VLOOKUP(MID(G55,H55,I55-H55),[5]skilldef!$A:$B,2,FALSE),"-")</f>
        <v>- / 全体攻撃</v>
      </c>
      <c r="M55" s="51" t="str">
        <f t="shared" ref="M55:M56" si="84">IFERROR(RIGHT(B55,LEN(B55)-FIND("],",B55)-1),"none")</f>
        <v>none</v>
      </c>
      <c r="N55" s="47" t="str">
        <f t="shared" si="54"/>
        <v>none</v>
      </c>
      <c r="O55" s="51" t="e">
        <f t="shared" si="75"/>
        <v>#VALUE!</v>
      </c>
      <c r="P55" s="51">
        <f t="shared" si="76"/>
        <v>4</v>
      </c>
      <c r="Q55" s="51" t="e">
        <f t="shared" si="77"/>
        <v>#VALUE!</v>
      </c>
      <c r="R55" s="51" t="e">
        <f t="shared" si="78"/>
        <v>#VALUE!</v>
      </c>
      <c r="S55" s="51" t="str">
        <f>IFERROR(VLOOKUP(MID(N55,Q55,R55-Q55),[5]skilldef!$C:$D,2,FALSE),"-") &amp; " / " &amp; IFERROR(VLOOKUP(MID(N55,O55,P55-O55),[5]skilldef!$A:$B,2,FALSE),"-")</f>
        <v>- / -</v>
      </c>
      <c r="T55" s="47" t="str">
        <f t="shared" si="79"/>
        <v>none</v>
      </c>
      <c r="U55" s="51" t="e">
        <f t="shared" si="80"/>
        <v>#VALUE!</v>
      </c>
      <c r="V55" s="51">
        <f t="shared" si="81"/>
        <v>4</v>
      </c>
      <c r="W55" s="51" t="e">
        <f t="shared" si="82"/>
        <v>#VALUE!</v>
      </c>
      <c r="X55" s="51" t="e">
        <f t="shared" si="83"/>
        <v>#VALUE!</v>
      </c>
      <c r="Y55" s="51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62">
        <v>51001055</v>
      </c>
      <c r="B56" s="47" t="s">
        <v>268</v>
      </c>
      <c r="C56" s="50">
        <v>3</v>
      </c>
      <c r="D56" s="50" t="s">
        <v>126</v>
      </c>
      <c r="E56" s="47" t="s">
        <v>204</v>
      </c>
      <c r="F56" s="47" t="s">
        <v>153</v>
      </c>
      <c r="G56" s="51" t="str">
        <f t="shared" si="70"/>
        <v>[effect:rush, count:5, val:0.25]</v>
      </c>
      <c r="H56" s="51">
        <f t="shared" si="71"/>
        <v>9</v>
      </c>
      <c r="I56" s="51">
        <f t="shared" si="72"/>
        <v>13</v>
      </c>
      <c r="J56" s="51" t="e">
        <f t="shared" si="73"/>
        <v>#VALUE!</v>
      </c>
      <c r="K56" s="51">
        <f t="shared" si="74"/>
        <v>22</v>
      </c>
      <c r="L56" s="51" t="str">
        <f>IFERROR(VLOOKUP(MID(G56,J56,K56-J56),[5]skilldef!$C:$D,2,FALSE),"-") &amp; " / " &amp; IFERROR(VLOOKUP(MID(G56,H56,I56-H56),[5]skilldef!$A:$B,2,FALSE),"-")</f>
        <v>- / 連続攻撃</v>
      </c>
      <c r="M56" s="51" t="str">
        <f t="shared" si="84"/>
        <v>none</v>
      </c>
      <c r="N56" s="47" t="str">
        <f t="shared" ref="N56" si="85">IFERROR(LEFT(M56,FIND("],",M56)+S75),M56)</f>
        <v>none</v>
      </c>
      <c r="O56" s="51" t="e">
        <f t="shared" si="75"/>
        <v>#VALUE!</v>
      </c>
      <c r="P56" s="51">
        <f t="shared" si="76"/>
        <v>4</v>
      </c>
      <c r="Q56" s="51" t="e">
        <f t="shared" si="77"/>
        <v>#VALUE!</v>
      </c>
      <c r="R56" s="51" t="e">
        <f t="shared" si="78"/>
        <v>#VALUE!</v>
      </c>
      <c r="S56" s="51" t="str">
        <f>IFERROR(VLOOKUP(MID(N56,Q56,R56-Q56),[5]skilldef!$C:$D,2,FALSE),"-") &amp; " / " &amp; IFERROR(VLOOKUP(MID(N56,O56,P56-O56),[5]skilldef!$A:$B,2,FALSE),"-")</f>
        <v>- / -</v>
      </c>
      <c r="T56" s="47" t="str">
        <f t="shared" si="79"/>
        <v>none</v>
      </c>
      <c r="U56" s="51" t="e">
        <f t="shared" si="80"/>
        <v>#VALUE!</v>
      </c>
      <c r="V56" s="51">
        <f t="shared" si="81"/>
        <v>4</v>
      </c>
      <c r="W56" s="51" t="e">
        <f t="shared" si="82"/>
        <v>#VALUE!</v>
      </c>
      <c r="X56" s="51" t="e">
        <f t="shared" si="83"/>
        <v>#VALUE!</v>
      </c>
      <c r="Y56" s="51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</sheetData>
  <autoFilter ref="A1:AB1"/>
  <phoneticPr fontId="4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6"/>
  <sheetViews>
    <sheetView showGridLines="0" workbookViewId="0">
      <pane ySplit="1" topLeftCell="A29" activePane="bottomLeft" state="frozenSplit"/>
      <selection activeCell="E25" sqref="E25"/>
      <selection pane="bottomLeft" activeCell="A34" sqref="A3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62">
        <v>51001001</v>
      </c>
      <c r="B2" s="47">
        <v>1</v>
      </c>
      <c r="C2" s="47">
        <v>1</v>
      </c>
      <c r="D2" s="47">
        <v>100</v>
      </c>
      <c r="E2" s="47" t="s">
        <v>131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</row>
    <row r="3" spans="1:11" ht="21" customHeight="1" x14ac:dyDescent="0.15">
      <c r="A3" s="62">
        <v>51001002</v>
      </c>
      <c r="B3" s="47">
        <v>0</v>
      </c>
      <c r="C3" s="47">
        <v>1</v>
      </c>
      <c r="D3" s="47">
        <v>30</v>
      </c>
      <c r="E3" s="47" t="s">
        <v>88</v>
      </c>
      <c r="F3" s="47" t="s">
        <v>88</v>
      </c>
      <c r="G3" s="47" t="s">
        <v>88</v>
      </c>
      <c r="H3" s="47" t="s">
        <v>88</v>
      </c>
      <c r="I3" s="47" t="s">
        <v>88</v>
      </c>
      <c r="J3" s="48">
        <f t="shared" ref="J3:J50" si="1">D3</f>
        <v>30</v>
      </c>
    </row>
    <row r="4" spans="1:11" ht="21" customHeight="1" x14ac:dyDescent="0.15">
      <c r="A4" s="62">
        <v>51001003</v>
      </c>
      <c r="B4" s="47">
        <v>0</v>
      </c>
      <c r="C4" s="47">
        <v>1</v>
      </c>
      <c r="D4" s="47">
        <v>100</v>
      </c>
      <c r="E4" s="47" t="s">
        <v>88</v>
      </c>
      <c r="F4" s="47" t="s">
        <v>88</v>
      </c>
      <c r="G4" s="47">
        <v>1</v>
      </c>
      <c r="H4" s="47" t="s">
        <v>88</v>
      </c>
      <c r="I4" s="47">
        <v>89</v>
      </c>
      <c r="J4" s="48">
        <f t="shared" si="1"/>
        <v>100</v>
      </c>
    </row>
    <row r="5" spans="1:11" ht="21" customHeight="1" x14ac:dyDescent="0.15">
      <c r="A5" s="62">
        <v>51001004</v>
      </c>
      <c r="B5" s="47">
        <v>0</v>
      </c>
      <c r="C5" s="47">
        <v>1</v>
      </c>
      <c r="D5" s="47">
        <v>100</v>
      </c>
      <c r="E5" s="47" t="s">
        <v>223</v>
      </c>
      <c r="F5" s="47" t="s">
        <v>88</v>
      </c>
      <c r="G5" s="47">
        <v>1</v>
      </c>
      <c r="H5" s="47">
        <v>4</v>
      </c>
      <c r="I5" s="47" t="s">
        <v>88</v>
      </c>
      <c r="J5" s="48">
        <f t="shared" si="1"/>
        <v>100</v>
      </c>
    </row>
    <row r="6" spans="1:11" ht="21" customHeight="1" x14ac:dyDescent="0.15">
      <c r="A6" s="62">
        <v>51001005</v>
      </c>
      <c r="B6" s="47">
        <v>1</v>
      </c>
      <c r="C6" s="47">
        <v>1</v>
      </c>
      <c r="D6" s="47">
        <v>100</v>
      </c>
      <c r="E6" s="47" t="s">
        <v>88</v>
      </c>
      <c r="F6" s="47" t="s">
        <v>88</v>
      </c>
      <c r="G6" s="47">
        <v>1</v>
      </c>
      <c r="H6" s="47" t="s">
        <v>88</v>
      </c>
      <c r="I6" s="47" t="s">
        <v>88</v>
      </c>
      <c r="J6" s="48">
        <f t="shared" si="1"/>
        <v>100</v>
      </c>
    </row>
    <row r="7" spans="1:11" ht="21" customHeight="1" x14ac:dyDescent="0.15">
      <c r="A7" s="62">
        <v>51001006</v>
      </c>
      <c r="B7" s="47">
        <v>0</v>
      </c>
      <c r="C7" s="47">
        <v>5</v>
      </c>
      <c r="D7" s="47">
        <v>100</v>
      </c>
      <c r="E7" s="47">
        <v>50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1"/>
        <v>100</v>
      </c>
    </row>
    <row r="8" spans="1:11" ht="21" customHeight="1" x14ac:dyDescent="0.15">
      <c r="A8" s="62">
        <v>51001007</v>
      </c>
      <c r="B8" s="47">
        <v>0</v>
      </c>
      <c r="C8" s="47">
        <v>1</v>
      </c>
      <c r="D8" s="47">
        <v>100</v>
      </c>
      <c r="E8" s="47">
        <v>100</v>
      </c>
      <c r="F8" s="47">
        <v>76</v>
      </c>
      <c r="G8" s="47" t="s">
        <v>88</v>
      </c>
      <c r="H8" s="47" t="s">
        <v>88</v>
      </c>
      <c r="I8" s="47" t="s">
        <v>88</v>
      </c>
      <c r="J8" s="48">
        <f t="shared" si="1"/>
        <v>100</v>
      </c>
    </row>
    <row r="9" spans="1:11" ht="21" customHeight="1" x14ac:dyDescent="0.15">
      <c r="A9" s="62">
        <v>51001008</v>
      </c>
      <c r="B9" s="47">
        <v>0</v>
      </c>
      <c r="C9" s="47">
        <v>1</v>
      </c>
      <c r="D9" s="47">
        <v>100</v>
      </c>
      <c r="E9" s="47">
        <v>75</v>
      </c>
      <c r="F9" s="47">
        <v>51</v>
      </c>
      <c r="G9" s="47" t="s">
        <v>88</v>
      </c>
      <c r="H9" s="47" t="s">
        <v>88</v>
      </c>
      <c r="I9" s="47" t="s">
        <v>88</v>
      </c>
      <c r="J9" s="48">
        <f t="shared" si="1"/>
        <v>100</v>
      </c>
    </row>
    <row r="10" spans="1:11" ht="21" customHeight="1" x14ac:dyDescent="0.15">
      <c r="A10" s="62">
        <v>51001009</v>
      </c>
      <c r="B10" s="47">
        <v>0</v>
      </c>
      <c r="C10" s="47">
        <v>1</v>
      </c>
      <c r="D10" s="47">
        <v>100</v>
      </c>
      <c r="E10" s="47">
        <v>50</v>
      </c>
      <c r="F10" s="47">
        <v>26</v>
      </c>
      <c r="G10" s="47" t="s">
        <v>88</v>
      </c>
      <c r="H10" s="47" t="s">
        <v>88</v>
      </c>
      <c r="I10" s="47" t="s">
        <v>88</v>
      </c>
      <c r="J10" s="48">
        <f t="shared" si="1"/>
        <v>100</v>
      </c>
    </row>
    <row r="11" spans="1:11" ht="21" customHeight="1" x14ac:dyDescent="0.15">
      <c r="A11" s="62">
        <v>51001010</v>
      </c>
      <c r="B11" s="47">
        <v>0</v>
      </c>
      <c r="C11" s="47">
        <v>1</v>
      </c>
      <c r="D11" s="47">
        <v>100</v>
      </c>
      <c r="E11" s="47">
        <v>25</v>
      </c>
      <c r="F11" s="47" t="s">
        <v>161</v>
      </c>
      <c r="G11" s="47" t="s">
        <v>88</v>
      </c>
      <c r="H11" s="47" t="s">
        <v>88</v>
      </c>
      <c r="I11" s="47" t="s">
        <v>88</v>
      </c>
      <c r="J11" s="48">
        <f t="shared" si="1"/>
        <v>100</v>
      </c>
    </row>
    <row r="12" spans="1:11" ht="21" customHeight="1" x14ac:dyDescent="0.15">
      <c r="A12" s="62">
        <v>51001011</v>
      </c>
      <c r="B12" s="47">
        <v>0</v>
      </c>
      <c r="C12" s="47">
        <v>1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>
        <v>86</v>
      </c>
      <c r="J12" s="48">
        <f t="shared" si="1"/>
        <v>100</v>
      </c>
    </row>
    <row r="13" spans="1:11" ht="21" customHeight="1" x14ac:dyDescent="0.15">
      <c r="A13" s="62">
        <v>51001012</v>
      </c>
      <c r="B13" s="47">
        <v>1</v>
      </c>
      <c r="C13" s="47">
        <v>1</v>
      </c>
      <c r="D13" s="47">
        <v>100</v>
      </c>
      <c r="E13" s="47" t="s">
        <v>88</v>
      </c>
      <c r="F13" s="47" t="s">
        <v>88</v>
      </c>
      <c r="G13" s="47">
        <v>1</v>
      </c>
      <c r="H13" s="47" t="s">
        <v>88</v>
      </c>
      <c r="I13" s="47" t="s">
        <v>88</v>
      </c>
      <c r="J13" s="48">
        <f t="shared" si="1"/>
        <v>100</v>
      </c>
    </row>
    <row r="14" spans="1:11" ht="21" customHeight="1" x14ac:dyDescent="0.15">
      <c r="A14" s="62">
        <v>51001013</v>
      </c>
      <c r="B14" s="47">
        <v>0</v>
      </c>
      <c r="C14" s="47">
        <v>1</v>
      </c>
      <c r="D14" s="47">
        <v>100</v>
      </c>
      <c r="E14" s="47">
        <v>50</v>
      </c>
      <c r="F14" s="47" t="s">
        <v>88</v>
      </c>
      <c r="G14" s="47">
        <v>1</v>
      </c>
      <c r="H14" s="47" t="s">
        <v>88</v>
      </c>
      <c r="I14" s="47" t="s">
        <v>88</v>
      </c>
      <c r="J14" s="48">
        <f t="shared" si="1"/>
        <v>100</v>
      </c>
    </row>
    <row r="15" spans="1:11" ht="21" customHeight="1" x14ac:dyDescent="0.15">
      <c r="A15" s="62">
        <v>51001014</v>
      </c>
      <c r="B15" s="47">
        <v>0</v>
      </c>
      <c r="C15" s="47">
        <v>1</v>
      </c>
      <c r="D15" s="47">
        <v>100</v>
      </c>
      <c r="E15" s="47" t="s">
        <v>88</v>
      </c>
      <c r="F15" s="47" t="s">
        <v>88</v>
      </c>
      <c r="G15" s="47">
        <v>1</v>
      </c>
      <c r="H15" s="47" t="s">
        <v>88</v>
      </c>
      <c r="I15" s="47">
        <v>92</v>
      </c>
      <c r="J15" s="48">
        <f t="shared" si="1"/>
        <v>100</v>
      </c>
    </row>
    <row r="16" spans="1:11" ht="21" customHeight="1" x14ac:dyDescent="0.15">
      <c r="A16" s="62">
        <v>51001015</v>
      </c>
      <c r="B16" s="47">
        <v>0</v>
      </c>
      <c r="C16" s="47">
        <v>1</v>
      </c>
      <c r="D16" s="47">
        <v>30</v>
      </c>
      <c r="E16" s="47">
        <v>30</v>
      </c>
      <c r="F16" s="47" t="s">
        <v>88</v>
      </c>
      <c r="G16" s="47" t="s">
        <v>88</v>
      </c>
      <c r="H16" s="47" t="s">
        <v>88</v>
      </c>
      <c r="I16" s="47" t="s">
        <v>88</v>
      </c>
      <c r="J16" s="48">
        <f t="shared" si="1"/>
        <v>30</v>
      </c>
    </row>
    <row r="17" spans="1:10" ht="21" customHeight="1" x14ac:dyDescent="0.15">
      <c r="A17" s="62">
        <v>51001016</v>
      </c>
      <c r="B17" s="47">
        <v>0</v>
      </c>
      <c r="C17" s="47">
        <v>1</v>
      </c>
      <c r="D17" s="47">
        <v>30</v>
      </c>
      <c r="E17" s="47" t="s">
        <v>88</v>
      </c>
      <c r="F17" s="47" t="s">
        <v>88</v>
      </c>
      <c r="G17" s="47" t="s">
        <v>88</v>
      </c>
      <c r="H17" s="47" t="s">
        <v>88</v>
      </c>
      <c r="I17" s="47" t="s">
        <v>88</v>
      </c>
      <c r="J17" s="48">
        <f t="shared" si="1"/>
        <v>30</v>
      </c>
    </row>
    <row r="18" spans="1:10" ht="21" customHeight="1" x14ac:dyDescent="0.15">
      <c r="A18" s="62">
        <v>51001017</v>
      </c>
      <c r="B18" s="47">
        <v>0</v>
      </c>
      <c r="C18" s="47">
        <v>2</v>
      </c>
      <c r="D18" s="47">
        <v>50</v>
      </c>
      <c r="E18" s="47">
        <v>50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1"/>
        <v>50</v>
      </c>
    </row>
    <row r="19" spans="1:10" ht="21" customHeight="1" x14ac:dyDescent="0.15">
      <c r="A19" s="62">
        <v>51001018</v>
      </c>
      <c r="B19" s="47">
        <v>0</v>
      </c>
      <c r="C19" s="47">
        <v>1</v>
      </c>
      <c r="D19" s="47">
        <v>100</v>
      </c>
      <c r="E19" s="47" t="s">
        <v>88</v>
      </c>
      <c r="F19" s="47" t="s">
        <v>88</v>
      </c>
      <c r="G19" s="47">
        <v>1</v>
      </c>
      <c r="H19" s="47" t="s">
        <v>88</v>
      </c>
      <c r="I19" s="47">
        <v>95</v>
      </c>
      <c r="J19" s="48">
        <f t="shared" si="1"/>
        <v>100</v>
      </c>
    </row>
    <row r="20" spans="1:10" ht="21" customHeight="1" x14ac:dyDescent="0.15">
      <c r="A20" s="62">
        <v>51001019</v>
      </c>
      <c r="B20" s="47">
        <v>0</v>
      </c>
      <c r="C20" s="47">
        <v>1</v>
      </c>
      <c r="D20" s="47">
        <v>30</v>
      </c>
      <c r="E20" s="47" t="s">
        <v>88</v>
      </c>
      <c r="F20" s="47">
        <v>50</v>
      </c>
      <c r="G20" s="47">
        <v>3</v>
      </c>
      <c r="H20" s="47" t="s">
        <v>88</v>
      </c>
      <c r="I20" s="47" t="s">
        <v>88</v>
      </c>
      <c r="J20" s="48">
        <f t="shared" si="1"/>
        <v>30</v>
      </c>
    </row>
    <row r="21" spans="1:10" ht="21" customHeight="1" x14ac:dyDescent="0.15">
      <c r="A21" s="62">
        <v>51001020</v>
      </c>
      <c r="B21" s="47">
        <v>1</v>
      </c>
      <c r="C21" s="47">
        <v>1</v>
      </c>
      <c r="D21" s="47">
        <v>100</v>
      </c>
      <c r="E21" s="47" t="s">
        <v>88</v>
      </c>
      <c r="F21" s="47" t="s">
        <v>88</v>
      </c>
      <c r="G21" s="47">
        <v>1</v>
      </c>
      <c r="H21" s="47" t="s">
        <v>88</v>
      </c>
      <c r="I21" s="47" t="s">
        <v>88</v>
      </c>
      <c r="J21" s="48">
        <f t="shared" si="1"/>
        <v>100</v>
      </c>
    </row>
    <row r="22" spans="1:10" ht="21" customHeight="1" x14ac:dyDescent="0.15">
      <c r="A22" s="62">
        <v>51001021</v>
      </c>
      <c r="B22" s="47">
        <v>0</v>
      </c>
      <c r="C22" s="47">
        <v>1</v>
      </c>
      <c r="D22" s="47">
        <v>30</v>
      </c>
      <c r="E22" s="47" t="s">
        <v>88</v>
      </c>
      <c r="F22" s="47" t="s">
        <v>88</v>
      </c>
      <c r="G22" s="47" t="s">
        <v>88</v>
      </c>
      <c r="H22" s="47" t="s">
        <v>88</v>
      </c>
      <c r="I22" s="47" t="s">
        <v>88</v>
      </c>
      <c r="J22" s="48">
        <f t="shared" si="1"/>
        <v>30</v>
      </c>
    </row>
    <row r="23" spans="1:10" ht="21" customHeight="1" x14ac:dyDescent="0.15">
      <c r="A23" s="62">
        <v>51001022</v>
      </c>
      <c r="B23" s="47">
        <v>0</v>
      </c>
      <c r="C23" s="47">
        <v>1</v>
      </c>
      <c r="D23" s="47">
        <v>50</v>
      </c>
      <c r="E23" s="47" t="s">
        <v>88</v>
      </c>
      <c r="F23" s="47" t="s">
        <v>88</v>
      </c>
      <c r="G23" s="47" t="s">
        <v>88</v>
      </c>
      <c r="H23" s="47">
        <v>2</v>
      </c>
      <c r="I23" s="47" t="s">
        <v>88</v>
      </c>
      <c r="J23" s="48">
        <f t="shared" si="1"/>
        <v>50</v>
      </c>
    </row>
    <row r="24" spans="1:10" ht="21" customHeight="1" x14ac:dyDescent="0.15">
      <c r="A24" s="62">
        <v>51001023</v>
      </c>
      <c r="B24" s="47">
        <v>0</v>
      </c>
      <c r="C24" s="47">
        <v>1</v>
      </c>
      <c r="D24" s="47">
        <v>100</v>
      </c>
      <c r="E24" s="47">
        <v>50</v>
      </c>
      <c r="F24" s="47" t="s">
        <v>88</v>
      </c>
      <c r="G24" s="47" t="s">
        <v>88</v>
      </c>
      <c r="H24" s="47">
        <v>3</v>
      </c>
      <c r="I24" s="47" t="s">
        <v>88</v>
      </c>
      <c r="J24" s="48">
        <f t="shared" si="1"/>
        <v>100</v>
      </c>
    </row>
    <row r="25" spans="1:10" ht="21" customHeight="1" x14ac:dyDescent="0.15">
      <c r="A25" s="62">
        <v>51001024</v>
      </c>
      <c r="B25" s="47">
        <v>1</v>
      </c>
      <c r="C25" s="47">
        <v>1</v>
      </c>
      <c r="D25" s="47">
        <v>100</v>
      </c>
      <c r="E25" s="47" t="s">
        <v>88</v>
      </c>
      <c r="F25" s="47" t="s">
        <v>88</v>
      </c>
      <c r="G25" s="47">
        <v>1</v>
      </c>
      <c r="H25" s="47" t="s">
        <v>88</v>
      </c>
      <c r="I25" s="47" t="s">
        <v>88</v>
      </c>
      <c r="J25" s="48">
        <f t="shared" si="1"/>
        <v>100</v>
      </c>
    </row>
    <row r="26" spans="1:10" ht="21" customHeight="1" x14ac:dyDescent="0.15">
      <c r="A26" s="62">
        <v>51001025</v>
      </c>
      <c r="B26" s="47">
        <v>0</v>
      </c>
      <c r="C26" s="47">
        <v>1</v>
      </c>
      <c r="D26" s="47">
        <v>30</v>
      </c>
      <c r="E26" s="47" t="s">
        <v>88</v>
      </c>
      <c r="F26" s="47" t="s">
        <v>88</v>
      </c>
      <c r="G26" s="47" t="s">
        <v>88</v>
      </c>
      <c r="H26" s="47" t="s">
        <v>88</v>
      </c>
      <c r="I26" s="47" t="s">
        <v>88</v>
      </c>
      <c r="J26" s="48">
        <f t="shared" si="1"/>
        <v>30</v>
      </c>
    </row>
    <row r="27" spans="1:10" ht="21" customHeight="1" x14ac:dyDescent="0.15">
      <c r="A27" s="62">
        <v>51001026</v>
      </c>
      <c r="B27" s="47">
        <v>0</v>
      </c>
      <c r="C27" s="47">
        <v>1</v>
      </c>
      <c r="D27" s="47">
        <v>30</v>
      </c>
      <c r="E27" s="47" t="s">
        <v>88</v>
      </c>
      <c r="F27" s="47" t="s">
        <v>88</v>
      </c>
      <c r="G27" s="47" t="s">
        <v>88</v>
      </c>
      <c r="H27" s="47" t="s">
        <v>88</v>
      </c>
      <c r="I27" s="47" t="s">
        <v>88</v>
      </c>
      <c r="J27" s="48">
        <f t="shared" si="1"/>
        <v>30</v>
      </c>
    </row>
    <row r="28" spans="1:10" ht="21" customHeight="1" x14ac:dyDescent="0.15">
      <c r="A28" s="62">
        <v>51001027</v>
      </c>
      <c r="B28" s="47">
        <v>0</v>
      </c>
      <c r="C28" s="47">
        <v>2</v>
      </c>
      <c r="D28" s="47">
        <v>100</v>
      </c>
      <c r="E28" s="47">
        <v>50</v>
      </c>
      <c r="F28" s="47" t="s">
        <v>88</v>
      </c>
      <c r="G28" s="47">
        <v>1</v>
      </c>
      <c r="H28" s="47" t="s">
        <v>88</v>
      </c>
      <c r="I28" s="47" t="s">
        <v>88</v>
      </c>
      <c r="J28" s="48">
        <f t="shared" si="1"/>
        <v>100</v>
      </c>
    </row>
    <row r="29" spans="1:10" ht="21" customHeight="1" x14ac:dyDescent="0.15">
      <c r="A29" s="62">
        <v>51001028</v>
      </c>
      <c r="B29" s="47">
        <v>0</v>
      </c>
      <c r="C29" s="47">
        <v>1</v>
      </c>
      <c r="D29" s="47">
        <v>30</v>
      </c>
      <c r="E29" s="47" t="s">
        <v>88</v>
      </c>
      <c r="F29" s="47" t="s">
        <v>88</v>
      </c>
      <c r="G29" s="47" t="s">
        <v>88</v>
      </c>
      <c r="H29" s="47" t="s">
        <v>88</v>
      </c>
      <c r="I29" s="47" t="s">
        <v>88</v>
      </c>
      <c r="J29" s="48">
        <f t="shared" si="1"/>
        <v>30</v>
      </c>
    </row>
    <row r="30" spans="1:10" ht="21" customHeight="1" x14ac:dyDescent="0.15">
      <c r="A30" s="62">
        <v>51001029</v>
      </c>
      <c r="B30" s="47">
        <v>1</v>
      </c>
      <c r="C30" s="47">
        <v>1</v>
      </c>
      <c r="D30" s="47">
        <v>100</v>
      </c>
      <c r="E30" s="47" t="s">
        <v>88</v>
      </c>
      <c r="F30" s="47" t="s">
        <v>88</v>
      </c>
      <c r="G30" s="47">
        <v>1</v>
      </c>
      <c r="H30" s="47" t="s">
        <v>88</v>
      </c>
      <c r="I30" s="47" t="s">
        <v>88</v>
      </c>
      <c r="J30" s="48">
        <f t="shared" si="1"/>
        <v>100</v>
      </c>
    </row>
    <row r="31" spans="1:10" ht="21" customHeight="1" x14ac:dyDescent="0.15">
      <c r="A31" s="62">
        <v>51001030</v>
      </c>
      <c r="B31" s="47">
        <v>0</v>
      </c>
      <c r="C31" s="47">
        <v>1</v>
      </c>
      <c r="D31" s="47">
        <v>30</v>
      </c>
      <c r="E31" s="47">
        <v>50</v>
      </c>
      <c r="F31" s="47" t="s">
        <v>88</v>
      </c>
      <c r="G31" s="47" t="s">
        <v>88</v>
      </c>
      <c r="H31" s="47" t="s">
        <v>88</v>
      </c>
      <c r="I31" s="47" t="s">
        <v>88</v>
      </c>
      <c r="J31" s="48">
        <f t="shared" si="1"/>
        <v>30</v>
      </c>
    </row>
    <row r="32" spans="1:10" ht="21" customHeight="1" x14ac:dyDescent="0.15">
      <c r="A32" s="62">
        <v>51001031</v>
      </c>
      <c r="B32" s="47">
        <v>0</v>
      </c>
      <c r="C32" s="47">
        <v>1</v>
      </c>
      <c r="D32" s="47">
        <v>30</v>
      </c>
      <c r="E32" s="47" t="s">
        <v>88</v>
      </c>
      <c r="F32" s="47" t="s">
        <v>88</v>
      </c>
      <c r="G32" s="47" t="s">
        <v>88</v>
      </c>
      <c r="H32" s="47" t="s">
        <v>88</v>
      </c>
      <c r="I32" s="47" t="s">
        <v>88</v>
      </c>
      <c r="J32" s="48">
        <f t="shared" si="1"/>
        <v>30</v>
      </c>
    </row>
    <row r="33" spans="1:10" ht="21" customHeight="1" x14ac:dyDescent="0.15">
      <c r="A33" s="62">
        <v>51001032</v>
      </c>
      <c r="B33" s="47">
        <v>0</v>
      </c>
      <c r="C33" s="47">
        <v>2</v>
      </c>
      <c r="D33" s="47">
        <v>100</v>
      </c>
      <c r="E33" s="47">
        <v>30</v>
      </c>
      <c r="F33" s="47" t="s">
        <v>88</v>
      </c>
      <c r="G33" s="47">
        <v>1</v>
      </c>
      <c r="H33" s="47" t="s">
        <v>88</v>
      </c>
      <c r="I33" s="47" t="s">
        <v>88</v>
      </c>
      <c r="J33" s="48">
        <f t="shared" si="1"/>
        <v>100</v>
      </c>
    </row>
    <row r="34" spans="1:10" ht="21" customHeight="1" x14ac:dyDescent="0.15">
      <c r="A34" s="62">
        <v>51001033</v>
      </c>
      <c r="B34" s="47">
        <v>0</v>
      </c>
      <c r="C34" s="47">
        <v>2</v>
      </c>
      <c r="D34" s="47">
        <v>100</v>
      </c>
      <c r="E34" s="47" t="s">
        <v>88</v>
      </c>
      <c r="F34" s="47" t="s">
        <v>262</v>
      </c>
      <c r="G34" s="47">
        <v>1</v>
      </c>
      <c r="H34" s="47">
        <v>3</v>
      </c>
      <c r="I34" s="47" t="s">
        <v>88</v>
      </c>
      <c r="J34" s="48">
        <f t="shared" si="1"/>
        <v>100</v>
      </c>
    </row>
    <row r="35" spans="1:10" ht="21" customHeight="1" x14ac:dyDescent="0.15">
      <c r="A35" s="62">
        <v>51001034</v>
      </c>
      <c r="B35" s="47">
        <v>0</v>
      </c>
      <c r="C35" s="47">
        <v>1</v>
      </c>
      <c r="D35" s="47">
        <v>50</v>
      </c>
      <c r="E35" s="47" t="s">
        <v>88</v>
      </c>
      <c r="F35" s="47">
        <v>80</v>
      </c>
      <c r="G35" s="47" t="s">
        <v>88</v>
      </c>
      <c r="H35" s="47" t="s">
        <v>88</v>
      </c>
      <c r="I35" s="47" t="s">
        <v>88</v>
      </c>
      <c r="J35" s="48">
        <f t="shared" si="1"/>
        <v>50</v>
      </c>
    </row>
    <row r="36" spans="1:10" ht="21" customHeight="1" x14ac:dyDescent="0.15">
      <c r="A36" s="62">
        <v>51001035</v>
      </c>
      <c r="B36" s="47">
        <v>1</v>
      </c>
      <c r="C36" s="47">
        <v>1</v>
      </c>
      <c r="D36" s="47">
        <v>100</v>
      </c>
      <c r="E36" s="47" t="s">
        <v>88</v>
      </c>
      <c r="F36" s="47" t="s">
        <v>88</v>
      </c>
      <c r="G36" s="47">
        <v>1</v>
      </c>
      <c r="H36" s="47" t="s">
        <v>88</v>
      </c>
      <c r="I36" s="47" t="s">
        <v>88</v>
      </c>
      <c r="J36" s="48">
        <f t="shared" si="1"/>
        <v>100</v>
      </c>
    </row>
    <row r="37" spans="1:10" ht="21" customHeight="1" x14ac:dyDescent="0.15">
      <c r="A37" s="62">
        <v>51001036</v>
      </c>
      <c r="B37" s="47">
        <v>0</v>
      </c>
      <c r="C37" s="47">
        <v>5</v>
      </c>
      <c r="D37" s="47">
        <v>25</v>
      </c>
      <c r="E37" s="47" t="s">
        <v>88</v>
      </c>
      <c r="F37" s="47" t="s">
        <v>88</v>
      </c>
      <c r="G37" s="47" t="s">
        <v>88</v>
      </c>
      <c r="H37" s="47" t="s">
        <v>88</v>
      </c>
      <c r="I37" s="47" t="s">
        <v>88</v>
      </c>
      <c r="J37" s="48">
        <f t="shared" si="1"/>
        <v>25</v>
      </c>
    </row>
    <row r="38" spans="1:10" ht="21" customHeight="1" x14ac:dyDescent="0.15">
      <c r="A38" s="62">
        <v>51001037</v>
      </c>
      <c r="B38" s="47">
        <v>0</v>
      </c>
      <c r="C38" s="47">
        <v>5</v>
      </c>
      <c r="D38" s="47">
        <v>25</v>
      </c>
      <c r="E38" s="47" t="s">
        <v>88</v>
      </c>
      <c r="F38" s="47" t="s">
        <v>88</v>
      </c>
      <c r="G38" s="47" t="s">
        <v>88</v>
      </c>
      <c r="H38" s="47" t="s">
        <v>88</v>
      </c>
      <c r="I38" s="47" t="s">
        <v>88</v>
      </c>
      <c r="J38" s="48">
        <f t="shared" si="1"/>
        <v>25</v>
      </c>
    </row>
    <row r="39" spans="1:10" ht="21" customHeight="1" x14ac:dyDescent="0.15">
      <c r="A39" s="62">
        <v>51001038</v>
      </c>
      <c r="B39" s="47">
        <v>0</v>
      </c>
      <c r="C39" s="47">
        <v>5</v>
      </c>
      <c r="D39" s="47">
        <v>25</v>
      </c>
      <c r="E39" s="47" t="s">
        <v>88</v>
      </c>
      <c r="F39" s="47" t="s">
        <v>88</v>
      </c>
      <c r="G39" s="47" t="s">
        <v>88</v>
      </c>
      <c r="H39" s="47" t="s">
        <v>88</v>
      </c>
      <c r="I39" s="47" t="s">
        <v>88</v>
      </c>
      <c r="J39" s="48">
        <f t="shared" si="1"/>
        <v>25</v>
      </c>
    </row>
    <row r="40" spans="1:10" ht="21" customHeight="1" x14ac:dyDescent="0.15">
      <c r="A40" s="62">
        <v>51001039</v>
      </c>
      <c r="B40" s="47">
        <v>0</v>
      </c>
      <c r="C40" s="47">
        <v>10</v>
      </c>
      <c r="D40" s="47">
        <v>20</v>
      </c>
      <c r="E40" s="47">
        <v>50</v>
      </c>
      <c r="F40" s="47" t="s">
        <v>88</v>
      </c>
      <c r="G40" s="47">
        <v>1</v>
      </c>
      <c r="H40" s="47" t="s">
        <v>88</v>
      </c>
      <c r="I40" s="47" t="s">
        <v>88</v>
      </c>
      <c r="J40" s="48">
        <f t="shared" si="1"/>
        <v>20</v>
      </c>
    </row>
    <row r="41" spans="1:10" ht="21" customHeight="1" x14ac:dyDescent="0.15">
      <c r="A41" s="62">
        <v>51001040</v>
      </c>
      <c r="B41" s="47">
        <v>0</v>
      </c>
      <c r="C41" s="47">
        <v>10</v>
      </c>
      <c r="D41" s="47">
        <v>20</v>
      </c>
      <c r="E41" s="47">
        <v>50</v>
      </c>
      <c r="F41" s="47" t="s">
        <v>88</v>
      </c>
      <c r="G41" s="47">
        <v>1</v>
      </c>
      <c r="H41" s="47" t="s">
        <v>88</v>
      </c>
      <c r="I41" s="47" t="s">
        <v>88</v>
      </c>
      <c r="J41" s="48">
        <f t="shared" si="1"/>
        <v>20</v>
      </c>
    </row>
    <row r="42" spans="1:10" ht="21" customHeight="1" x14ac:dyDescent="0.15">
      <c r="A42" s="62">
        <v>51001041</v>
      </c>
      <c r="B42" s="47">
        <v>0</v>
      </c>
      <c r="C42" s="47">
        <v>10</v>
      </c>
      <c r="D42" s="47">
        <v>20</v>
      </c>
      <c r="E42" s="47">
        <v>50</v>
      </c>
      <c r="F42" s="47" t="s">
        <v>88</v>
      </c>
      <c r="G42" s="47">
        <v>1</v>
      </c>
      <c r="H42" s="47" t="s">
        <v>88</v>
      </c>
      <c r="I42" s="47" t="s">
        <v>88</v>
      </c>
      <c r="J42" s="48">
        <f t="shared" si="1"/>
        <v>20</v>
      </c>
    </row>
    <row r="43" spans="1:10" ht="21" customHeight="1" x14ac:dyDescent="0.15">
      <c r="A43" s="62">
        <v>51001042</v>
      </c>
      <c r="B43" s="47">
        <v>0</v>
      </c>
      <c r="C43" s="47">
        <v>10</v>
      </c>
      <c r="D43" s="47">
        <v>20</v>
      </c>
      <c r="E43" s="47">
        <v>50</v>
      </c>
      <c r="F43" s="47" t="s">
        <v>88</v>
      </c>
      <c r="G43" s="47">
        <v>1</v>
      </c>
      <c r="H43" s="47" t="s">
        <v>88</v>
      </c>
      <c r="I43" s="47" t="s">
        <v>88</v>
      </c>
      <c r="J43" s="48">
        <f t="shared" si="1"/>
        <v>20</v>
      </c>
    </row>
    <row r="44" spans="1:10" ht="21" customHeight="1" x14ac:dyDescent="0.15">
      <c r="A44" s="62">
        <v>51001043</v>
      </c>
      <c r="B44" s="47">
        <v>0</v>
      </c>
      <c r="C44" s="47">
        <v>15</v>
      </c>
      <c r="D44" s="47">
        <v>100</v>
      </c>
      <c r="E44" s="47">
        <v>50</v>
      </c>
      <c r="F44" s="47" t="s">
        <v>88</v>
      </c>
      <c r="G44" s="47">
        <v>1</v>
      </c>
      <c r="H44" s="47" t="s">
        <v>88</v>
      </c>
      <c r="I44" s="47" t="s">
        <v>88</v>
      </c>
      <c r="J44" s="48">
        <f t="shared" si="1"/>
        <v>100</v>
      </c>
    </row>
    <row r="45" spans="1:10" ht="21" customHeight="1" x14ac:dyDescent="0.15">
      <c r="A45" s="62">
        <v>51001044</v>
      </c>
      <c r="B45" s="47">
        <v>0</v>
      </c>
      <c r="C45" s="47">
        <v>1</v>
      </c>
      <c r="D45" s="47">
        <v>30</v>
      </c>
      <c r="E45" s="47" t="s">
        <v>88</v>
      </c>
      <c r="F45" s="47" t="s">
        <v>88</v>
      </c>
      <c r="G45" s="47" t="s">
        <v>88</v>
      </c>
      <c r="H45" s="47" t="s">
        <v>88</v>
      </c>
      <c r="I45" s="47" t="s">
        <v>88</v>
      </c>
      <c r="J45" s="48">
        <f t="shared" si="1"/>
        <v>30</v>
      </c>
    </row>
    <row r="46" spans="1:10" ht="21" customHeight="1" x14ac:dyDescent="0.15">
      <c r="A46" s="62">
        <v>51001045</v>
      </c>
      <c r="B46" s="47">
        <v>1</v>
      </c>
      <c r="C46" s="47">
        <v>1</v>
      </c>
      <c r="D46" s="47">
        <v>100</v>
      </c>
      <c r="E46" s="47" t="s">
        <v>88</v>
      </c>
      <c r="F46" s="47" t="s">
        <v>88</v>
      </c>
      <c r="G46" s="47">
        <v>1</v>
      </c>
      <c r="H46" s="47" t="s">
        <v>88</v>
      </c>
      <c r="I46" s="47" t="s">
        <v>88</v>
      </c>
      <c r="J46" s="48">
        <f t="shared" si="1"/>
        <v>100</v>
      </c>
    </row>
    <row r="47" spans="1:10" ht="21" customHeight="1" x14ac:dyDescent="0.15">
      <c r="A47" s="62">
        <v>51001046</v>
      </c>
      <c r="B47" s="47">
        <v>0</v>
      </c>
      <c r="C47" s="47">
        <v>5</v>
      </c>
      <c r="D47" s="47">
        <v>100</v>
      </c>
      <c r="E47" s="47" t="s">
        <v>88</v>
      </c>
      <c r="F47" s="47">
        <v>30</v>
      </c>
      <c r="G47" s="47" t="s">
        <v>88</v>
      </c>
      <c r="H47" s="47">
        <v>15</v>
      </c>
      <c r="I47" s="47" t="s">
        <v>88</v>
      </c>
      <c r="J47" s="48">
        <f t="shared" si="1"/>
        <v>100</v>
      </c>
    </row>
    <row r="48" spans="1:10" ht="21" customHeight="1" x14ac:dyDescent="0.15">
      <c r="A48" s="62">
        <v>51001047</v>
      </c>
      <c r="B48" s="47">
        <v>0</v>
      </c>
      <c r="C48" s="47">
        <v>1</v>
      </c>
      <c r="D48" s="47">
        <v>30</v>
      </c>
      <c r="E48" s="47" t="s">
        <v>88</v>
      </c>
      <c r="F48" s="47" t="s">
        <v>88</v>
      </c>
      <c r="G48" s="47" t="s">
        <v>88</v>
      </c>
      <c r="H48" s="47" t="s">
        <v>88</v>
      </c>
      <c r="I48" s="47" t="s">
        <v>88</v>
      </c>
      <c r="J48" s="48">
        <f t="shared" si="1"/>
        <v>30</v>
      </c>
    </row>
    <row r="49" spans="1:10" ht="21" customHeight="1" x14ac:dyDescent="0.15">
      <c r="A49" s="62">
        <v>51001048</v>
      </c>
      <c r="B49" s="47">
        <v>0</v>
      </c>
      <c r="C49" s="47">
        <v>2</v>
      </c>
      <c r="D49" s="47">
        <v>100</v>
      </c>
      <c r="E49" s="47">
        <v>30</v>
      </c>
      <c r="F49" s="47" t="s">
        <v>88</v>
      </c>
      <c r="G49" s="47">
        <v>1</v>
      </c>
      <c r="H49" s="47" t="s">
        <v>88</v>
      </c>
      <c r="I49" s="47" t="s">
        <v>88</v>
      </c>
      <c r="J49" s="48">
        <f t="shared" si="1"/>
        <v>100</v>
      </c>
    </row>
    <row r="50" spans="1:10" ht="21" customHeight="1" x14ac:dyDescent="0.15">
      <c r="A50" s="62">
        <v>51001049</v>
      </c>
      <c r="B50" s="47">
        <v>0</v>
      </c>
      <c r="C50" s="47">
        <v>1</v>
      </c>
      <c r="D50" s="47">
        <v>30</v>
      </c>
      <c r="E50" s="47" t="s">
        <v>88</v>
      </c>
      <c r="F50" s="47" t="s">
        <v>88</v>
      </c>
      <c r="G50" s="47">
        <v>1</v>
      </c>
      <c r="H50" s="47" t="s">
        <v>88</v>
      </c>
      <c r="I50" s="47" t="s">
        <v>88</v>
      </c>
      <c r="J50" s="48">
        <f t="shared" si="1"/>
        <v>30</v>
      </c>
    </row>
    <row r="51" spans="1:10" ht="21" customHeight="1" x14ac:dyDescent="0.15">
      <c r="A51" s="62">
        <v>51001050</v>
      </c>
      <c r="B51" s="47">
        <v>0</v>
      </c>
      <c r="C51" s="47">
        <v>1</v>
      </c>
      <c r="D51" s="47">
        <v>30</v>
      </c>
      <c r="E51" s="47" t="s">
        <v>88</v>
      </c>
      <c r="F51" s="47" t="s">
        <v>88</v>
      </c>
      <c r="G51" s="47">
        <v>1</v>
      </c>
      <c r="H51" s="47" t="s">
        <v>267</v>
      </c>
      <c r="I51" s="47" t="s">
        <v>88</v>
      </c>
      <c r="J51" s="48">
        <f t="shared" ref="J51" si="2">D51</f>
        <v>30</v>
      </c>
    </row>
    <row r="52" spans="1:10" ht="21" customHeight="1" x14ac:dyDescent="0.15">
      <c r="A52" s="62">
        <v>51001051</v>
      </c>
      <c r="B52" s="47">
        <v>0</v>
      </c>
      <c r="C52" s="47">
        <v>1</v>
      </c>
      <c r="D52" s="47">
        <v>100</v>
      </c>
      <c r="E52" s="47">
        <v>50</v>
      </c>
      <c r="F52" s="47" t="s">
        <v>88</v>
      </c>
      <c r="G52" s="47">
        <v>1</v>
      </c>
      <c r="H52" s="47" t="s">
        <v>88</v>
      </c>
      <c r="I52" s="47" t="s">
        <v>88</v>
      </c>
      <c r="J52" s="48">
        <f t="shared" ref="J52" si="3">D52</f>
        <v>100</v>
      </c>
    </row>
    <row r="53" spans="1:10" ht="21" customHeight="1" x14ac:dyDescent="0.15">
      <c r="A53" s="62">
        <v>51001052</v>
      </c>
      <c r="B53" s="47">
        <v>1</v>
      </c>
      <c r="C53" s="47">
        <v>1</v>
      </c>
      <c r="D53" s="47">
        <v>100</v>
      </c>
      <c r="E53" s="47" t="s">
        <v>88</v>
      </c>
      <c r="F53" s="47" t="s">
        <v>88</v>
      </c>
      <c r="G53" s="47">
        <v>1</v>
      </c>
      <c r="H53" s="47" t="s">
        <v>88</v>
      </c>
      <c r="I53" s="47" t="s">
        <v>88</v>
      </c>
      <c r="J53" s="48">
        <f t="shared" ref="J53" si="4">D53</f>
        <v>100</v>
      </c>
    </row>
    <row r="54" spans="1:10" ht="21" customHeight="1" x14ac:dyDescent="0.15">
      <c r="A54" s="62">
        <v>51001053</v>
      </c>
      <c r="B54" s="47">
        <v>0</v>
      </c>
      <c r="C54" s="47">
        <v>1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47" t="s">
        <v>88</v>
      </c>
      <c r="J54" s="48">
        <f t="shared" ref="J54" si="5">D54</f>
        <v>100</v>
      </c>
    </row>
    <row r="55" spans="1:10" ht="21" customHeight="1" x14ac:dyDescent="0.15">
      <c r="A55" s="62">
        <v>51001054</v>
      </c>
      <c r="B55" s="47">
        <v>0</v>
      </c>
      <c r="C55" s="47">
        <v>3</v>
      </c>
      <c r="D55" s="47">
        <v>100</v>
      </c>
      <c r="E55" s="47" t="s">
        <v>88</v>
      </c>
      <c r="F55" s="47" t="s">
        <v>263</v>
      </c>
      <c r="G55" s="47">
        <v>1</v>
      </c>
      <c r="H55" s="47">
        <v>4</v>
      </c>
      <c r="I55" s="47" t="s">
        <v>88</v>
      </c>
      <c r="J55" s="48">
        <f t="shared" ref="J55:J56" si="6">D55</f>
        <v>100</v>
      </c>
    </row>
    <row r="56" spans="1:10" ht="21" customHeight="1" x14ac:dyDescent="0.15">
      <c r="A56" s="62">
        <v>51001055</v>
      </c>
      <c r="B56" s="47">
        <v>0</v>
      </c>
      <c r="C56" s="47">
        <v>3</v>
      </c>
      <c r="D56" s="47">
        <v>100</v>
      </c>
      <c r="E56" s="47" t="s">
        <v>88</v>
      </c>
      <c r="F56" s="47">
        <v>30</v>
      </c>
      <c r="G56" s="47">
        <v>1</v>
      </c>
      <c r="H56" s="47">
        <v>16</v>
      </c>
      <c r="I56" s="47" t="s">
        <v>88</v>
      </c>
      <c r="J56" s="48">
        <f t="shared" si="6"/>
        <v>100</v>
      </c>
    </row>
  </sheetData>
  <autoFilter ref="A1:G1"/>
  <phoneticPr fontId="4"/>
  <conditionalFormatting sqref="K1:K2 K39:K51 K53:K1048576">
    <cfRule type="duplicateValues" dxfId="3" priority="6"/>
  </conditionalFormatting>
  <conditionalFormatting sqref="K3:K37">
    <cfRule type="duplicateValues" dxfId="2" priority="3"/>
  </conditionalFormatting>
  <conditionalFormatting sqref="K38">
    <cfRule type="duplicateValues" dxfId="1" priority="2"/>
  </conditionalFormatting>
  <conditionalFormatting sqref="K5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4"/>
  <sheetViews>
    <sheetView showGridLines="0" workbookViewId="0">
      <pane xSplit="5" ySplit="1" topLeftCell="F23" activePane="bottomRight" state="frozen"/>
      <selection activeCell="E25" sqref="E25"/>
      <selection pane="topRight" activeCell="E25" sqref="E25"/>
      <selection pane="bottomLeft" activeCell="E25" sqref="E25"/>
      <selection pane="bottomRight" activeCell="L51" sqref="L5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10" style="49" customWidth="1"/>
    <col min="4" max="4" width="25.6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51001001_51001001</v>
      </c>
      <c r="B2" s="47">
        <v>51001001</v>
      </c>
      <c r="C2" s="47">
        <v>51001001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姫を落としに来ただと…？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怒りの力で 5ターンの間攻撃力アップ</v>
      </c>
      <c r="F2" s="47">
        <v>51001001</v>
      </c>
      <c r="G2" s="46">
        <f ca="1">VLOOKUP($C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" s="46">
        <f ca="1">VLOOKUP($C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" s="46">
        <f ca="1">VLOOKUP($C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" s="46" t="str">
        <f ca="1">VLOOKUP($C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" s="46" t="str">
        <f ca="1">VLOOKUP($C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" s="46">
        <f ca="1">VLOOKUP($C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" s="46" t="str">
        <f ca="1">VLOOKUP($C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" s="46" t="str">
        <f ca="1">VLOOKUP($C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" s="46">
        <f ca="1">VLOOKUP($C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1" si="1">B3&amp;"_"&amp;C3</f>
        <v>51001001_51001002</v>
      </c>
      <c r="B3" s="47">
        <v>51001001</v>
      </c>
      <c r="C3" s="47">
        <v>51001002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紅蓮雀焔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51001002</v>
      </c>
      <c r="G3" s="46">
        <f ca="1">VLOOKUP($C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" s="46">
        <f ca="1">VLOOKUP($C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" s="46">
        <f ca="1">VLOOKUP($C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" s="46" t="str">
        <f ca="1">VLOOKUP($C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" s="46" t="str">
        <f ca="1">VLOOKUP($C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" s="46" t="str">
        <f ca="1">VLOOKUP($C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" s="46" t="str">
        <f ca="1">VLOOKUP($C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" s="46" t="str">
        <f ca="1">VLOOKUP($C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" s="46">
        <f ca="1">VLOOKUP($C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" s="47"/>
      <c r="Q3" s="47"/>
      <c r="R3" s="47"/>
    </row>
    <row r="4" spans="1:18" ht="21" customHeight="1" x14ac:dyDescent="0.15">
      <c r="A4" s="39" t="str">
        <f t="shared" si="1"/>
        <v>51001001_51001003</v>
      </c>
      <c r="B4" s="47">
        <v>51001001</v>
      </c>
      <c r="C4" s="47">
        <v>51001003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玄武爺の死…無駄にはしない！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解除するまで防御力がアップ</v>
      </c>
      <c r="F4" s="47">
        <v>51001003</v>
      </c>
      <c r="G4" s="46">
        <f ca="1">VLOOKUP($C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" s="46">
        <f ca="1">VLOOKUP($C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" s="46">
        <f ca="1">VLOOKUP($C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" s="46" t="str">
        <f ca="1">VLOOKUP($C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" s="46" t="str">
        <f ca="1">VLOOKUP($C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" s="46">
        <f ca="1">VLOOKUP($C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" s="46" t="str">
        <f ca="1">VLOOKUP($C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" s="46">
        <f ca="1">VLOOKUP($C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89</v>
      </c>
      <c r="O4" s="46">
        <f ca="1">VLOOKUP($C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51001001_51001004</v>
      </c>
      <c r="B5" s="47">
        <v>51001001</v>
      </c>
      <c r="C5" s="47">
        <v>51001004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煉獄突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次のターン超強力な攻撃</v>
      </c>
      <c r="F5" s="47">
        <v>51001004</v>
      </c>
      <c r="G5" s="46">
        <f ca="1">VLOOKUP($C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" s="46">
        <f ca="1">VLOOKUP($C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" s="46">
        <f ca="1">VLOOKUP($C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" s="46" t="str">
        <f ca="1">VLOOKUP($C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" s="46" t="str">
        <f ca="1">VLOOKUP($C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" s="46">
        <f ca="1">VLOOKUP($C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" s="46">
        <f ca="1">VLOOKUP($C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4</v>
      </c>
      <c r="N5" s="46" t="str">
        <f ca="1">VLOOKUP($C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" s="46">
        <f ca="1">VLOOKUP($C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51001001_51001051</v>
      </c>
      <c r="B6" s="47">
        <v>51001001</v>
      </c>
      <c r="C6" s="47">
        <v>51001051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龍殺獄炎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6" s="47">
        <v>51001051</v>
      </c>
      <c r="G6" s="46">
        <f ca="1">VLOOKUP($C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6" s="46">
        <f ca="1">VLOOKUP($C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6" s="46">
        <f ca="1">VLOOKUP($C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6" s="46">
        <f ca="1">VLOOKUP($C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6" s="46" t="str">
        <f ca="1">VLOOKUP($C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6" s="46">
        <f ca="1">VLOOKUP($C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6" s="46" t="str">
        <f ca="1">VLOOKUP($C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6" s="46" t="str">
        <f ca="1">VLOOKUP($C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6" s="46">
        <f ca="1">VLOOKUP($C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51001002_51001005</v>
      </c>
      <c r="B7" s="47">
        <v>51001002</v>
      </c>
      <c r="C7" s="47">
        <v>51001005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嬢ちゃんは儂らが守るぞい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固い意志で 5ターンの間防御力アップ</v>
      </c>
      <c r="F7" s="47">
        <v>51001005</v>
      </c>
      <c r="G7" s="46">
        <f ca="1">VLOOKUP($C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7" s="46">
        <f ca="1">VLOOKUP($C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7" s="46">
        <f ca="1">VLOOKUP($C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7" s="46" t="str">
        <f ca="1">VLOOKUP($C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7" s="46" t="str">
        <f ca="1">VLOOKUP($C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7" s="46">
        <f ca="1">VLOOKUP($C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7" s="46" t="str">
        <f ca="1">VLOOKUP($C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7" s="46" t="str">
        <f ca="1">VLOOKUP($C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7" s="46">
        <f ca="1">VLOOKUP($C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51001002_51001006</v>
      </c>
      <c r="B8" s="47">
        <v>51001002</v>
      </c>
      <c r="C8" s="47">
        <v>51001006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鈍足の儂を 少しは思いやれ！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Cパネルの生成が4つ延長される</v>
      </c>
      <c r="F8" s="47">
        <v>51001006</v>
      </c>
      <c r="G8" s="46">
        <f ca="1">VLOOKUP($C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8" s="46">
        <f ca="1">VLOOKUP($C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8" s="46">
        <f ca="1">VLOOKUP($C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8" s="46">
        <f ca="1">VLOOKUP($C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8" s="46" t="str">
        <f ca="1">VLOOKUP($C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8" s="46">
        <f ca="1">VLOOKUP($C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8" s="46" t="str">
        <f ca="1">VLOOKUP($C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8" s="46" t="str">
        <f ca="1">VLOOKUP($C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8" s="46">
        <f ca="1">VLOOKUP($C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51001002_51001007</v>
      </c>
      <c r="B9" s="47">
        <v>51001002</v>
      </c>
      <c r="C9" s="47">
        <v>51001007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北方七宿撃・序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9" s="47">
        <v>51001007</v>
      </c>
      <c r="G9" s="46">
        <f ca="1">VLOOKUP($C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9" s="46">
        <f ca="1">VLOOKUP($C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9" s="46">
        <f ca="1">VLOOKUP($C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9" s="46">
        <f ca="1">VLOOKUP($C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100</v>
      </c>
      <c r="K9" s="46">
        <f ca="1">VLOOKUP($C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76</v>
      </c>
      <c r="L9" s="46" t="str">
        <f ca="1">VLOOKUP($C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9" s="46" t="str">
        <f ca="1">VLOOKUP($C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9" s="46" t="str">
        <f ca="1">VLOOKUP($C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9" s="46">
        <f ca="1">VLOOKUP($C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51001002_51001008</v>
      </c>
      <c r="B10" s="47">
        <v>51001002</v>
      </c>
      <c r="C10" s="47">
        <v>51001008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北方七宿撃・破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0" s="47">
        <v>51001008</v>
      </c>
      <c r="G10" s="46">
        <f ca="1">VLOOKUP($C10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0" s="46">
        <f ca="1">VLOOKUP($C10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0" s="46">
        <f ca="1">VLOOKUP($C10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0" s="46">
        <f ca="1">VLOOKUP($C10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75</v>
      </c>
      <c r="K10" s="46">
        <f ca="1">VLOOKUP($C10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51</v>
      </c>
      <c r="L10" s="46" t="str">
        <f ca="1">VLOOKUP($C10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0" s="46" t="str">
        <f ca="1">VLOOKUP($C10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0" s="46" t="str">
        <f ca="1">VLOOKUP($C10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0" s="46">
        <f ca="1">VLOOKUP($C10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51001002_51001009</v>
      </c>
      <c r="B11" s="47">
        <v>51001002</v>
      </c>
      <c r="C11" s="47">
        <v>51001009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北方七宿撃・急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1" s="47">
        <v>51001009</v>
      </c>
      <c r="G11" s="46">
        <f ca="1">VLOOKUP($C11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1" s="46">
        <f ca="1">VLOOKUP($C11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1" s="46">
        <f ca="1">VLOOKUP($C11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1" s="46">
        <f ca="1">VLOOKUP($C11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11" s="46">
        <f ca="1">VLOOKUP($C11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26</v>
      </c>
      <c r="L11" s="46" t="str">
        <f ca="1">VLOOKUP($C11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1" s="46" t="str">
        <f ca="1">VLOOKUP($C11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1" s="46" t="str">
        <f ca="1">VLOOKUP($C11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1" s="46">
        <f ca="1">VLOOKUP($C11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51001002_51001010</v>
      </c>
      <c r="B12" s="47">
        <v>51001002</v>
      </c>
      <c r="C12" s="47">
        <v>51001010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北方七宿撃・終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12" s="47">
        <v>51001010</v>
      </c>
      <c r="G12" s="46">
        <f ca="1">VLOOKUP($C12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2" s="46">
        <f ca="1">VLOOKUP($C12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2" s="46">
        <f ca="1">VLOOKUP($C12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2" s="46">
        <f ca="1">VLOOKUP($C12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25</v>
      </c>
      <c r="K12" s="46" t="str">
        <f ca="1">VLOOKUP($C12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2" s="46" t="str">
        <f ca="1">VLOOKUP($C12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2" s="46" t="str">
        <f ca="1">VLOOKUP($C12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2" s="46" t="str">
        <f ca="1">VLOOKUP($C12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2" s="46">
        <f ca="1">VLOOKUP($C12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51001002_51001011</v>
      </c>
      <c r="B13" s="47">
        <v>51001002</v>
      </c>
      <c r="C13" s="47">
        <v>51001011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朱雀の奴め生き急ぎおって…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解除するまで攻撃力がアップ</v>
      </c>
      <c r="F13" s="47">
        <v>51001011</v>
      </c>
      <c r="G13" s="46">
        <f ca="1">VLOOKUP($C13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3" s="46">
        <f ca="1">VLOOKUP($C13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3" s="46">
        <f ca="1">VLOOKUP($C13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3" s="46" t="str">
        <f ca="1">VLOOKUP($C13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3" s="46" t="str">
        <f ca="1">VLOOKUP($C13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3" s="46">
        <f ca="1">VLOOKUP($C13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3" s="46" t="str">
        <f ca="1">VLOOKUP($C13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3" s="46">
        <f ca="1">VLOOKUP($C13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86</v>
      </c>
      <c r="O13" s="46">
        <f ca="1">VLOOKUP($C13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51001003_51001012</v>
      </c>
      <c r="B14" s="47">
        <v>51001003</v>
      </c>
      <c r="C14" s="47">
        <v>51001012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オレ様についてこれるかー？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解除するまで行動頻度が1になる</v>
      </c>
      <c r="F14" s="47">
        <v>51001012</v>
      </c>
      <c r="G14" s="46">
        <f ca="1">VLOOKUP($C14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14" s="46">
        <f ca="1">VLOOKUP($C14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4" s="46">
        <f ca="1">VLOOKUP($C14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4" s="46" t="str">
        <f ca="1">VLOOKUP($C14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4" s="46" t="str">
        <f ca="1">VLOOKUP($C14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4" s="46">
        <f ca="1">VLOOKUP($C14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4" s="46" t="str">
        <f ca="1">VLOOKUP($C14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4" s="46" t="str">
        <f ca="1">VLOOKUP($C14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4" s="46">
        <f ca="1">VLOOKUP($C14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51001003_51001013</v>
      </c>
      <c r="B15" s="47">
        <v>51001003</v>
      </c>
      <c r="C15" s="47">
        <v>51001013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牙王緊縛撃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全体攻撃＋3ターンスキルバインド</v>
      </c>
      <c r="F15" s="47">
        <v>51001013</v>
      </c>
      <c r="G15" s="46">
        <f ca="1">VLOOKUP($C15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5" s="46">
        <f ca="1">VLOOKUP($C15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5" s="46">
        <f ca="1">VLOOKUP($C15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5" s="46">
        <f ca="1">VLOOKUP($C15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15" s="46" t="str">
        <f ca="1">VLOOKUP($C15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5" s="46">
        <f ca="1">VLOOKUP($C15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5" s="46" t="str">
        <f ca="1">VLOOKUP($C15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5" s="46" t="str">
        <f ca="1">VLOOKUP($C15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5" s="46">
        <f ca="1">VLOOKUP($C15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51001003_51001014</v>
      </c>
      <c r="B16" s="47">
        <v>51001003</v>
      </c>
      <c r="C16" s="47">
        <v>51001014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青龍…憧れてたのに(;_;)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HP回復</v>
      </c>
      <c r="F16" s="47">
        <v>51001014</v>
      </c>
      <c r="G16" s="46">
        <f ca="1">VLOOKUP($C16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6" s="46">
        <f ca="1">VLOOKUP($C16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6" s="46">
        <f ca="1">VLOOKUP($C16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6" s="46" t="str">
        <f ca="1">VLOOKUP($C16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6" s="46" t="str">
        <f ca="1">VLOOKUP($C16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6" s="46">
        <f ca="1">VLOOKUP($C16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6" s="46" t="str">
        <f ca="1">VLOOKUP($C16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6" s="46">
        <f ca="1">VLOOKUP($C16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92</v>
      </c>
      <c r="O16" s="46">
        <f ca="1">VLOOKUP($C16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51001003_51001015</v>
      </c>
      <c r="B17" s="47">
        <v>51001003</v>
      </c>
      <c r="C17" s="47">
        <v>51001015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猛虎雷撃爪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7" s="47">
        <v>51001015</v>
      </c>
      <c r="G17" s="46">
        <f ca="1">VLOOKUP($C17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7" s="46">
        <f ca="1">VLOOKUP($C17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7" s="46">
        <f ca="1">VLOOKUP($C17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17" s="46">
        <f ca="1">VLOOKUP($C17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30</v>
      </c>
      <c r="K17" s="46" t="str">
        <f ca="1">VLOOKUP($C17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7" s="46" t="str">
        <f ca="1">VLOOKUP($C17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7" s="46" t="str">
        <f ca="1">VLOOKUP($C17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7" s="46" t="str">
        <f ca="1">VLOOKUP($C17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7" s="46">
        <f ca="1">VLOOKUP($C17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ref="A18" si="3">B18&amp;"_"&amp;C18</f>
        <v>51001004_51001052</v>
      </c>
      <c r="B18" s="47">
        <v>51001004</v>
      </c>
      <c r="C18" s="47">
        <v>51001052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私は ほどほどにお相手しよう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解除するまで攻撃頻度が2になる</v>
      </c>
      <c r="F18" s="47">
        <v>51001052</v>
      </c>
      <c r="G18" s="46">
        <f ca="1">VLOOKUP($C18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18" s="46">
        <f ca="1">VLOOKUP($C18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8" s="46">
        <f ca="1">VLOOKUP($C18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18" s="46" t="str">
        <f ca="1">VLOOKUP($C18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8" s="46" t="str">
        <f ca="1">VLOOKUP($C18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8" s="46">
        <f ca="1">VLOOKUP($C18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18" s="46" t="str">
        <f ca="1">VLOOKUP($C18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8" s="46" t="str">
        <f ca="1">VLOOKUP($C18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8" s="46">
        <f ca="1">VLOOKUP($C18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51001004_51001016</v>
      </c>
      <c r="B19" s="47">
        <v>51001004</v>
      </c>
      <c r="C19" s="47">
        <v>51001016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翔竜氷嵐弾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7">
        <v>51001016</v>
      </c>
      <c r="G19" s="46">
        <f ca="1">VLOOKUP($C19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19" s="46">
        <f ca="1">VLOOKUP($C19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19" s="46">
        <f ca="1">VLOOKUP($C19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19" s="46" t="str">
        <f ca="1">VLOOKUP($C19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19" s="46" t="str">
        <f ca="1">VLOOKUP($C19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19" s="46" t="str">
        <f ca="1">VLOOKUP($C19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19" s="46" t="str">
        <f ca="1">VLOOKUP($C19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19" s="46" t="str">
        <f ca="1">VLOOKUP($C19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19" s="46">
        <f ca="1">VLOOKUP($C19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51001004_51001017</v>
      </c>
      <c r="B20" s="47">
        <v>51001004</v>
      </c>
      <c r="C20" s="47">
        <v>51001017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ウロコが乱れたではないか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HP回復</v>
      </c>
      <c r="F20" s="47">
        <v>51001017</v>
      </c>
      <c r="G20" s="46">
        <f ca="1">VLOOKUP($C20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0" s="46">
        <f ca="1">VLOOKUP($C20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20" s="46">
        <f ca="1">VLOOKUP($C20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20" s="46">
        <f ca="1">VLOOKUP($C20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20" s="46" t="str">
        <f ca="1">VLOOKUP($C20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0" s="46">
        <f ca="1">VLOOKUP($C20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0" s="46" t="str">
        <f ca="1">VLOOKUP($C20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0" s="46" t="str">
        <f ca="1">VLOOKUP($C20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0" s="46">
        <f ca="1">VLOOKUP($C20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20" s="47"/>
      <c r="Q20" s="47"/>
      <c r="R20" s="47"/>
    </row>
    <row r="21" spans="1:18" ht="21" customHeight="1" x14ac:dyDescent="0.15">
      <c r="A21" s="39" t="str">
        <f t="shared" si="1"/>
        <v>51001004_51001018</v>
      </c>
      <c r="B21" s="47">
        <v>51001004</v>
      </c>
      <c r="C21" s="47">
        <v>51001018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白虎を止めるとは…！！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解除するまで行動頻度が1になる</v>
      </c>
      <c r="F21" s="47">
        <v>51001018</v>
      </c>
      <c r="G21" s="46">
        <f ca="1">VLOOKUP($C21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1" s="46">
        <f ca="1">VLOOKUP($C21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1" s="46">
        <f ca="1">VLOOKUP($C21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1" s="46" t="str">
        <f ca="1">VLOOKUP($C21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1" s="46" t="str">
        <f ca="1">VLOOKUP($C21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1" s="46">
        <f ca="1">VLOOKUP($C21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1" s="46" t="str">
        <f ca="1">VLOOKUP($C21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1" s="46">
        <f ca="1">VLOOKUP($C21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95</v>
      </c>
      <c r="O21" s="46">
        <f ca="1">VLOOKUP($C21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51001004_51001019</v>
      </c>
      <c r="B22" s="47">
        <v>51001004</v>
      </c>
      <c r="C22" s="47">
        <v>51001019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硬直秘孔突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単体にダメージ＋3ターンスリープ</v>
      </c>
      <c r="F22" s="47">
        <v>51001019</v>
      </c>
      <c r="G22" s="46">
        <f ca="1">VLOOKUP($C22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2" s="46">
        <f ca="1">VLOOKUP($C22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2" s="46">
        <f ca="1">VLOOKUP($C22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2" s="46" t="str">
        <f ca="1">VLOOKUP($C22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2" s="46">
        <f ca="1">VLOOKUP($C22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50</v>
      </c>
      <c r="L22" s="46">
        <f ca="1">VLOOKUP($C22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3</v>
      </c>
      <c r="M22" s="46" t="str">
        <f ca="1">VLOOKUP($C22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2" s="46" t="str">
        <f ca="1">VLOOKUP($C22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2" s="46">
        <f ca="1">VLOOKUP($C22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2" s="47"/>
      <c r="Q22" s="47"/>
      <c r="R22" s="47"/>
    </row>
    <row r="23" spans="1:18" ht="21" customHeight="1" x14ac:dyDescent="0.15">
      <c r="A23" s="39" t="str">
        <f t="shared" si="1"/>
        <v>51001005_51001020</v>
      </c>
      <c r="B23" s="69">
        <v>51001005</v>
      </c>
      <c r="C23" s="47">
        <v>51001020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妾に楯突くとは…命知らずが！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3ターンの間攻撃力がアップ</v>
      </c>
      <c r="F23" s="47">
        <v>51001020</v>
      </c>
      <c r="G23" s="46">
        <f ca="1">VLOOKUP($C23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3" s="46">
        <f ca="1">VLOOKUP($C23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3" s="46">
        <f ca="1">VLOOKUP($C23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3" s="46" t="str">
        <f ca="1">VLOOKUP($C23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3" s="46" t="str">
        <f ca="1">VLOOKUP($C23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3" s="46">
        <f ca="1">VLOOKUP($C23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3" s="46" t="str">
        <f ca="1">VLOOKUP($C23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3" s="46" t="str">
        <f ca="1">VLOOKUP($C23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3" s="46">
        <f ca="1">VLOOKUP($C23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51001005_51001021</v>
      </c>
      <c r="B24" s="69">
        <v>51001005</v>
      </c>
      <c r="C24" s="47">
        <v>51001021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" s="47">
        <v>51001021</v>
      </c>
      <c r="G24" s="46">
        <f ca="1">VLOOKUP($C24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4" s="46">
        <f ca="1">VLOOKUP($C24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4" s="46">
        <f ca="1">VLOOKUP($C24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4" s="46" t="str">
        <f ca="1">VLOOKUP($C24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4" s="46" t="str">
        <f ca="1">VLOOKUP($C24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4" s="46" t="str">
        <f ca="1">VLOOKUP($C24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4" s="46" t="str">
        <f ca="1">VLOOKUP($C24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4" s="46" t="str">
        <f ca="1">VLOOKUP($C24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4" s="46">
        <f ca="1">VLOOKUP($C24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4" s="47"/>
      <c r="Q24" s="47"/>
      <c r="R24" s="47"/>
    </row>
    <row r="25" spans="1:18" ht="21" customHeight="1" x14ac:dyDescent="0.15">
      <c r="A25" s="39" t="str">
        <f t="shared" si="1"/>
        <v>51001005_51001022</v>
      </c>
      <c r="B25" s="69">
        <v>51001005</v>
      </c>
      <c r="C25" s="47">
        <v>51001022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5ターンの間全体の攻撃力がダウン</v>
      </c>
      <c r="F25" s="47">
        <v>51001022</v>
      </c>
      <c r="G25" s="46">
        <f ca="1">VLOOKUP($C25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5" s="46">
        <f ca="1">VLOOKUP($C25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5" s="46">
        <f ca="1">VLOOKUP($C25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25" s="46" t="str">
        <f ca="1">VLOOKUP($C25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5" s="46" t="str">
        <f ca="1">VLOOKUP($C25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5" s="46" t="str">
        <f ca="1">VLOOKUP($C25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5" s="46">
        <f ca="1">VLOOKUP($C25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2</v>
      </c>
      <c r="N25" s="46" t="str">
        <f ca="1">VLOOKUP($C25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5" s="46">
        <f ca="1">VLOOKUP($C25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1"/>
        <v>51001005_51001023</v>
      </c>
      <c r="B26" s="69">
        <v>51001005</v>
      </c>
      <c r="C26" s="47">
        <v>51001023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太極布陣・生命劣化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解除するまで回復力がダウン</v>
      </c>
      <c r="F26" s="47">
        <v>51001023</v>
      </c>
      <c r="G26" s="46">
        <f ca="1">VLOOKUP($C26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6" s="46">
        <f ca="1">VLOOKUP($C26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6" s="46">
        <f ca="1">VLOOKUP($C26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6" s="46">
        <f ca="1">VLOOKUP($C26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26" s="46" t="str">
        <f ca="1">VLOOKUP($C26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6" s="46" t="str">
        <f ca="1">VLOOKUP($C26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6" s="46">
        <f ca="1">VLOOKUP($C26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3</v>
      </c>
      <c r="N26" s="46" t="str">
        <f ca="1">VLOOKUP($C26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6" s="46">
        <f ca="1">VLOOKUP($C26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4">B27&amp;"_"&amp;C27</f>
        <v>51001005_51001053</v>
      </c>
      <c r="B27" s="69">
        <v>51001005</v>
      </c>
      <c r="C27" s="47">
        <v>51001053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7" s="47">
        <v>51001053</v>
      </c>
      <c r="G27" s="46">
        <f ca="1">VLOOKUP($C27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7" s="46">
        <f ca="1">VLOOKUP($C27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7" s="46">
        <f ca="1">VLOOKUP($C27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7" s="46" t="str">
        <f ca="1">VLOOKUP($C27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7" s="46" t="str">
        <f ca="1">VLOOKUP($C27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7" s="46">
        <f ca="1">VLOOKUP($C27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7" s="46" t="str">
        <f ca="1">VLOOKUP($C27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7" s="46" t="str">
        <f ca="1">VLOOKUP($C27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7" s="46">
        <f ca="1">VLOOKUP($C27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51001006_51001024</v>
      </c>
      <c r="B28" s="70">
        <v>51001006</v>
      </c>
      <c r="C28" s="47">
        <v>51001024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しつこい奴め…返り討ちじゃ！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3ターンの間攻撃力がアップ</v>
      </c>
      <c r="F28" s="47">
        <v>51001024</v>
      </c>
      <c r="G28" s="46">
        <f ca="1">VLOOKUP($C28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28" s="46">
        <f ca="1">VLOOKUP($C28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8" s="46">
        <f ca="1">VLOOKUP($C28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28" s="46" t="str">
        <f ca="1">VLOOKUP($C28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8" s="46" t="str">
        <f ca="1">VLOOKUP($C28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8" s="46">
        <f ca="1">VLOOKUP($C28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28" s="46" t="str">
        <f ca="1">VLOOKUP($C28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8" s="46" t="str">
        <f ca="1">VLOOKUP($C28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8" s="46">
        <f ca="1">VLOOKUP($C28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51001006_51001025</v>
      </c>
      <c r="B29" s="70">
        <v>51001006</v>
      </c>
      <c r="C29" s="47">
        <v>51001025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51001025</v>
      </c>
      <c r="G29" s="46">
        <f ca="1">VLOOKUP($C29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29" s="46">
        <f ca="1">VLOOKUP($C29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29" s="46">
        <f ca="1">VLOOKUP($C29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29" s="46" t="str">
        <f ca="1">VLOOKUP($C29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29" s="46" t="str">
        <f ca="1">VLOOKUP($C29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29" s="46" t="str">
        <f ca="1">VLOOKUP($C29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29" s="46" t="str">
        <f ca="1">VLOOKUP($C29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29" s="46" t="str">
        <f ca="1">VLOOKUP($C29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29" s="46">
        <f ca="1">VLOOKUP($C29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29" s="47"/>
      <c r="Q29" s="47"/>
      <c r="R29" s="47"/>
    </row>
    <row r="30" spans="1:18" ht="21" customHeight="1" x14ac:dyDescent="0.15">
      <c r="A30" s="39" t="str">
        <f t="shared" si="1"/>
        <v>51001006_51001026</v>
      </c>
      <c r="B30" s="70">
        <v>51001006</v>
      </c>
      <c r="C30" s="47">
        <v>51001026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太極布陣・万物流転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30" s="47">
        <v>51001026</v>
      </c>
      <c r="G30" s="46">
        <f ca="1">VLOOKUP($C30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0" s="46">
        <f ca="1">VLOOKUP($C30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0" s="46">
        <f ca="1">VLOOKUP($C30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0" s="46" t="str">
        <f ca="1">VLOOKUP($C30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0" s="46" t="str">
        <f ca="1">VLOOKUP($C30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0" s="46" t="str">
        <f ca="1">VLOOKUP($C30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0" s="46" t="str">
        <f ca="1">VLOOKUP($C30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0" s="46" t="str">
        <f ca="1">VLOOKUP($C30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0" s="46">
        <f ca="1">VLOOKUP($C30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0" s="47"/>
      <c r="Q30" s="47"/>
      <c r="R30" s="47"/>
    </row>
    <row r="31" spans="1:18" ht="21" customHeight="1" x14ac:dyDescent="0.15">
      <c r="A31" s="39" t="str">
        <f t="shared" si="1"/>
        <v>51001006_51001027</v>
      </c>
      <c r="B31" s="70">
        <v>51001006</v>
      </c>
      <c r="C31" s="47">
        <v>51001027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駿馬迅雷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解除するまで攻撃頻度が1になる</v>
      </c>
      <c r="F31" s="47">
        <v>51001027</v>
      </c>
      <c r="G31" s="46">
        <f ca="1">VLOOKUP($C31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1" s="46">
        <f ca="1">VLOOKUP($C31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31" s="46">
        <f ca="1">VLOOKUP($C31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1" s="46">
        <f ca="1">VLOOKUP($C31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31" s="46" t="str">
        <f ca="1">VLOOKUP($C31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1" s="46">
        <f ca="1">VLOOKUP($C31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1" s="46" t="str">
        <f ca="1">VLOOKUP($C31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1" s="46" t="str">
        <f ca="1">VLOOKUP($C31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1" s="46">
        <f ca="1">VLOOKUP($C31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51001006_51001028</v>
      </c>
      <c r="B32" s="70">
        <v>51001006</v>
      </c>
      <c r="C32" s="47">
        <v>51001028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2" s="47">
        <v>51001028</v>
      </c>
      <c r="G32" s="46">
        <f ca="1">VLOOKUP($C32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2" s="46">
        <f ca="1">VLOOKUP($C32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2" s="46">
        <f ca="1">VLOOKUP($C32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2" s="46" t="str">
        <f ca="1">VLOOKUP($C32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2" s="46" t="str">
        <f ca="1">VLOOKUP($C32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2" s="46" t="str">
        <f ca="1">VLOOKUP($C32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2" s="46" t="str">
        <f ca="1">VLOOKUP($C32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2" s="46" t="str">
        <f ca="1">VLOOKUP($C32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2" s="46">
        <f ca="1">VLOOKUP($C32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51001007_51001029</v>
      </c>
      <c r="B33" s="71">
        <v>51001007</v>
      </c>
      <c r="C33" s="47">
        <v>51001029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この力…手放すものか！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右手に力を溜め始めた_x000D_状態異常無効＋3ターン暗闇</v>
      </c>
      <c r="F33" s="47">
        <v>51001029</v>
      </c>
      <c r="G33" s="46">
        <f ca="1">VLOOKUP($C33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33" s="46">
        <f ca="1">VLOOKUP($C33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3" s="46">
        <f ca="1">VLOOKUP($C33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3" s="46" t="str">
        <f ca="1">VLOOKUP($C33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3" s="46" t="str">
        <f ca="1">VLOOKUP($C33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3" s="46">
        <f ca="1">VLOOKUP($C33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3" s="46" t="str">
        <f ca="1">VLOOKUP($C33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3" s="46" t="str">
        <f ca="1">VLOOKUP($C33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3" s="46">
        <f ca="1">VLOOKUP($C33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51001007_51001030</v>
      </c>
      <c r="B34" s="71">
        <v>51001007</v>
      </c>
      <c r="C34" s="47">
        <v>51001030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雷光閃・連撃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4" s="47">
        <v>51001030</v>
      </c>
      <c r="G34" s="46">
        <f ca="1">VLOOKUP($C34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4" s="46">
        <f ca="1">VLOOKUP($C34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4" s="46">
        <f ca="1">VLOOKUP($C34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4" s="46">
        <f ca="1">VLOOKUP($C34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34" s="46" t="str">
        <f ca="1">VLOOKUP($C34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4" s="46" t="str">
        <f ca="1">VLOOKUP($C34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4" s="46" t="str">
        <f ca="1">VLOOKUP($C34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4" s="46" t="str">
        <f ca="1">VLOOKUP($C34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4" s="46">
        <f ca="1">VLOOKUP($C34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4" s="47"/>
      <c r="Q34" s="47"/>
      <c r="R34" s="47"/>
    </row>
    <row r="35" spans="1:18" ht="21" customHeight="1" x14ac:dyDescent="0.15">
      <c r="A35" s="39" t="str">
        <f t="shared" si="1"/>
        <v>51001007_51001031</v>
      </c>
      <c r="B35" s="71">
        <v>51001007</v>
      </c>
      <c r="C35" s="47">
        <v>51001031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47">
        <v>51001031</v>
      </c>
      <c r="G35" s="46">
        <f ca="1">VLOOKUP($C35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5" s="46">
        <f ca="1">VLOOKUP($C35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5" s="46">
        <f ca="1">VLOOKUP($C35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35" s="46" t="str">
        <f ca="1">VLOOKUP($C35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5" s="46" t="str">
        <f ca="1">VLOOKUP($C35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5" s="46" t="str">
        <f ca="1">VLOOKUP($C35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5" s="46" t="str">
        <f ca="1">VLOOKUP($C35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5" s="46" t="str">
        <f ca="1">VLOOKUP($C35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5" s="46">
        <f ca="1">VLOOKUP($C35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35" s="47"/>
      <c r="Q35" s="47"/>
      <c r="R35" s="47"/>
    </row>
    <row r="36" spans="1:18" ht="21" customHeight="1" x14ac:dyDescent="0.15">
      <c r="A36" s="39" t="str">
        <f t="shared" si="1"/>
        <v>51001007_51001033</v>
      </c>
      <c r="B36" s="71">
        <v>51001007</v>
      </c>
      <c r="C36" s="47">
        <v>51001033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右手の力が今にも溢れ出しそうだ・・・！！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嫌な予感・・・</v>
      </c>
      <c r="F36" s="47">
        <v>51001033</v>
      </c>
      <c r="G36" s="46">
        <f ca="1">VLOOKUP($C36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6" s="46">
        <f ca="1">VLOOKUP($C36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36" s="46">
        <f ca="1">VLOOKUP($C36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6" s="46" t="str">
        <f ca="1">VLOOKUP($C36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6" s="46" t="str">
        <f ca="1">VLOOKUP($C36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6" s="46">
        <f ca="1">VLOOKUP($C36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6" s="46">
        <f ca="1">VLOOKUP($C36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3</v>
      </c>
      <c r="N36" s="46" t="str">
        <f ca="1">VLOOKUP($C36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6" s="46">
        <f ca="1">VLOOKUP($C36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5">B37&amp;"_"&amp;C37</f>
        <v>51001007_51001054</v>
      </c>
      <c r="B37" s="71">
        <v>51001007</v>
      </c>
      <c r="C37" s="47">
        <v>51001054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雷光閃・蓄積放電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37" s="47">
        <v>51001054</v>
      </c>
      <c r="G37" s="46">
        <f ca="1">VLOOKUP($C37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7" s="46">
        <f ca="1">VLOOKUP($C37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3</v>
      </c>
      <c r="I37" s="46">
        <f ca="1">VLOOKUP($C37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7" s="46" t="str">
        <f ca="1">VLOOKUP($C37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7" s="46" t="str">
        <f ca="1">VLOOKUP($C37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7" s="46">
        <f ca="1">VLOOKUP($C37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7" s="46">
        <f ca="1">VLOOKUP($C37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4</v>
      </c>
      <c r="N37" s="46" t="str">
        <f ca="1">VLOOKUP($C37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7" s="46">
        <f ca="1">VLOOKUP($C37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51001007_51001034</v>
      </c>
      <c r="B38" s="71">
        <v>51001007</v>
      </c>
      <c r="C38" s="47">
        <v>51001034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「…ワタシ ナゼ ココニ…？」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別人のような目で こちらを見ている…</v>
      </c>
      <c r="F38" s="47">
        <v>51001034</v>
      </c>
      <c r="G38" s="46">
        <f ca="1">VLOOKUP($C38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38" s="46">
        <f ca="1">VLOOKUP($C38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8" s="46">
        <f ca="1">VLOOKUP($C38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50</v>
      </c>
      <c r="J38" s="46" t="str">
        <f ca="1">VLOOKUP($C38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8" s="46">
        <f ca="1">VLOOKUP($C38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80</v>
      </c>
      <c r="L38" s="46" t="str">
        <f ca="1">VLOOKUP($C38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38" s="46" t="str">
        <f ca="1">VLOOKUP($C38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8" s="46" t="str">
        <f ca="1">VLOOKUP($C38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8" s="46">
        <f ca="1">VLOOKUP($C38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50</v>
      </c>
      <c r="P38" s="47"/>
      <c r="Q38" s="47"/>
      <c r="R38" s="47"/>
    </row>
    <row r="39" spans="1:18" ht="21" customHeight="1" x14ac:dyDescent="0.15">
      <c r="A39" s="39" t="str">
        <f t="shared" si="1"/>
        <v>51001008_51001035</v>
      </c>
      <c r="B39" s="72">
        <v>51001008</v>
      </c>
      <c r="C39" s="47">
        <v>51001035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「オネガイ…ワタシヲ トメ テ」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麒麟の影像が乱れた！_x000D_状態異常無効＋お邪魔パネル生成</v>
      </c>
      <c r="F39" s="47">
        <v>51001035</v>
      </c>
      <c r="G39" s="46">
        <f ca="1">VLOOKUP($C39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39" s="46">
        <f ca="1">VLOOKUP($C39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39" s="46">
        <f ca="1">VLOOKUP($C39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39" s="46" t="str">
        <f ca="1">VLOOKUP($C39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39" s="46" t="str">
        <f ca="1">VLOOKUP($C39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39" s="46">
        <f ca="1">VLOOKUP($C39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39" s="46" t="str">
        <f ca="1">VLOOKUP($C39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39" s="46" t="str">
        <f ca="1">VLOOKUP($C39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39" s="46">
        <f ca="1">VLOOKUP($C39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51001008_51001036</v>
      </c>
      <c r="B40" s="72">
        <v>51001008</v>
      </c>
      <c r="C40" s="47">
        <v>51001036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氷嵐烈閃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赤属性ユニットに大ダメージ</v>
      </c>
      <c r="F40" s="47">
        <v>51001036</v>
      </c>
      <c r="G40" s="46">
        <f ca="1">VLOOKUP($C40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0" s="46">
        <f ca="1">VLOOKUP($C40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0" s="46">
        <f ca="1">VLOOKUP($C40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0" s="46" t="str">
        <f ca="1">VLOOKUP($C40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0" s="46" t="str">
        <f ca="1">VLOOKUP($C40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0" s="46" t="str">
        <f ca="1">VLOOKUP($C40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0" s="46" t="str">
        <f ca="1">VLOOKUP($C40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0" s="46" t="str">
        <f ca="1">VLOOKUP($C40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0" s="46">
        <f ca="1">VLOOKUP($C40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0" s="47"/>
      <c r="Q40" s="47"/>
      <c r="R40" s="47"/>
    </row>
    <row r="41" spans="1:18" ht="21" customHeight="1" x14ac:dyDescent="0.15">
      <c r="A41" s="39" t="str">
        <f t="shared" si="1"/>
        <v>51001008_51001037</v>
      </c>
      <c r="B41" s="72">
        <v>51001008</v>
      </c>
      <c r="C41" s="47">
        <v>51001037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雷光烈閃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青属性ユニットに大ダメージ</v>
      </c>
      <c r="F41" s="47">
        <v>51001037</v>
      </c>
      <c r="G41" s="46">
        <f ca="1">VLOOKUP($C41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1" s="46">
        <f ca="1">VLOOKUP($C41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1" s="46">
        <f ca="1">VLOOKUP($C41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1" s="46" t="str">
        <f ca="1">VLOOKUP($C41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1" s="46" t="str">
        <f ca="1">VLOOKUP($C41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1" s="46" t="str">
        <f ca="1">VLOOKUP($C41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1" s="46" t="str">
        <f ca="1">VLOOKUP($C41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1" s="46" t="str">
        <f ca="1">VLOOKUP($C41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1" s="46">
        <f ca="1">VLOOKUP($C41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1" s="47"/>
      <c r="Q41" s="47"/>
      <c r="R41" s="47"/>
    </row>
    <row r="42" spans="1:18" ht="21" customHeight="1" x14ac:dyDescent="0.15">
      <c r="A42" s="39" t="str">
        <f t="shared" ref="A42:A54" si="6">B42&amp;"_"&amp;C42</f>
        <v>51001008_51001038</v>
      </c>
      <c r="B42" s="72">
        <v>51001008</v>
      </c>
      <c r="C42" s="47">
        <v>51001038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地鳴烈閃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黄属性ユニットに大ダメージ</v>
      </c>
      <c r="F42" s="47">
        <v>51001038</v>
      </c>
      <c r="G42" s="46">
        <f ca="1">VLOOKUP($C42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2" s="46">
        <f ca="1">VLOOKUP($C42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5</v>
      </c>
      <c r="I42" s="46">
        <f ca="1">VLOOKUP($C42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25</v>
      </c>
      <c r="J42" s="46" t="str">
        <f ca="1">VLOOKUP($C42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2" s="46" t="str">
        <f ca="1">VLOOKUP($C42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2" s="46" t="str">
        <f ca="1">VLOOKUP($C42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2" s="46" t="str">
        <f ca="1">VLOOKUP($C42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2" s="46" t="str">
        <f ca="1">VLOOKUP($C42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2" s="46">
        <f ca="1">VLOOKUP($C42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25</v>
      </c>
      <c r="P42" s="47"/>
      <c r="Q42" s="47"/>
      <c r="R42" s="47"/>
    </row>
    <row r="43" spans="1:18" ht="21" customHeight="1" x14ac:dyDescent="0.15">
      <c r="A43" s="39" t="str">
        <f t="shared" si="6"/>
        <v>51001008_51001039</v>
      </c>
      <c r="B43" s="72">
        <v>51001008</v>
      </c>
      <c r="C43" s="47">
        <v>51001039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炎封陣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5ターンの間赤パネル無効＋ダメージ</v>
      </c>
      <c r="F43" s="47">
        <v>51001039</v>
      </c>
      <c r="G43" s="46">
        <f ca="1">VLOOKUP($C43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3" s="46">
        <f ca="1">VLOOKUP($C43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3" s="46">
        <f ca="1">VLOOKUP($C43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3" s="46">
        <f ca="1">VLOOKUP($C43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3" s="46" t="str">
        <f ca="1">VLOOKUP($C43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3" s="46">
        <f ca="1">VLOOKUP($C43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3" s="46" t="str">
        <f ca="1">VLOOKUP($C43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3" s="46" t="str">
        <f ca="1">VLOOKUP($C43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3" s="46">
        <f ca="1">VLOOKUP($C43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3" s="47"/>
      <c r="Q43" s="47"/>
      <c r="R43" s="47"/>
    </row>
    <row r="44" spans="1:18" ht="21" customHeight="1" x14ac:dyDescent="0.15">
      <c r="A44" s="39" t="str">
        <f t="shared" si="6"/>
        <v>51001008_51001040</v>
      </c>
      <c r="B44" s="72">
        <v>51001008</v>
      </c>
      <c r="C44" s="47">
        <v>51001040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地封陣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5ターンの間緑パネル無効＋ダメージ</v>
      </c>
      <c r="F44" s="47">
        <v>51001040</v>
      </c>
      <c r="G44" s="46">
        <f ca="1">VLOOKUP($C44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4" s="46">
        <f ca="1">VLOOKUP($C44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4" s="46">
        <f ca="1">VLOOKUP($C44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4" s="46">
        <f ca="1">VLOOKUP($C44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4" s="46" t="str">
        <f ca="1">VLOOKUP($C44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4" s="46">
        <f ca="1">VLOOKUP($C44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4" s="46" t="str">
        <f ca="1">VLOOKUP($C44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4" s="46" t="str">
        <f ca="1">VLOOKUP($C44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4" s="46">
        <f ca="1">VLOOKUP($C44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4" s="47"/>
      <c r="Q44" s="47"/>
      <c r="R44" s="47"/>
    </row>
    <row r="45" spans="1:18" ht="21" customHeight="1" x14ac:dyDescent="0.15">
      <c r="A45" s="39" t="str">
        <f t="shared" si="6"/>
        <v>51001008_51001041</v>
      </c>
      <c r="B45" s="72">
        <v>51001008</v>
      </c>
      <c r="C45" s="47">
        <v>51001041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雷封陣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5ターンの間黄パネル無効＋ダメージ</v>
      </c>
      <c r="F45" s="47">
        <v>51001041</v>
      </c>
      <c r="G45" s="46">
        <f ca="1">VLOOKUP($C45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5" s="46">
        <f ca="1">VLOOKUP($C45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5" s="46">
        <f ca="1">VLOOKUP($C45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5" s="46">
        <f ca="1">VLOOKUP($C45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5" s="46" t="str">
        <f ca="1">VLOOKUP($C45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5" s="46">
        <f ca="1">VLOOKUP($C45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5" s="46" t="str">
        <f ca="1">VLOOKUP($C45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5" s="46" t="str">
        <f ca="1">VLOOKUP($C45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5" s="46">
        <f ca="1">VLOOKUP($C45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5" s="47"/>
      <c r="Q45" s="47"/>
      <c r="R45" s="47"/>
    </row>
    <row r="46" spans="1:18" ht="21" customHeight="1" x14ac:dyDescent="0.15">
      <c r="A46" s="39" t="str">
        <f t="shared" si="6"/>
        <v>51001008_51001042</v>
      </c>
      <c r="B46" s="72">
        <v>51001008</v>
      </c>
      <c r="C46" s="47">
        <v>51001042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水封陣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5ターンの間青パネル無効＋ダメージ</v>
      </c>
      <c r="F46" s="47">
        <v>51001042</v>
      </c>
      <c r="G46" s="46">
        <f ca="1">VLOOKUP($C46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6" s="46">
        <f ca="1">VLOOKUP($C46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10</v>
      </c>
      <c r="I46" s="46">
        <f ca="1">VLOOKUP($C46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20</v>
      </c>
      <c r="J46" s="46">
        <f ca="1">VLOOKUP($C46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6" s="46" t="str">
        <f ca="1">VLOOKUP($C46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6" s="46">
        <f ca="1">VLOOKUP($C46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6" s="46" t="str">
        <f ca="1">VLOOKUP($C46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6" s="46" t="str">
        <f ca="1">VLOOKUP($C46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6" s="46">
        <f ca="1">VLOOKUP($C46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20</v>
      </c>
      <c r="P46" s="47"/>
      <c r="Q46" s="47"/>
      <c r="R46" s="47"/>
    </row>
    <row r="47" spans="1:18" ht="21" customHeight="1" x14ac:dyDescent="0.15">
      <c r="A47" s="39" t="str">
        <f t="shared" si="6"/>
        <v>51001008_51001043</v>
      </c>
      <c r="B47" s="72">
        <v>51001008</v>
      </c>
      <c r="C47" s="47">
        <v>51001043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駿馬迅雷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3ターンの間攻撃頻度が1になる</v>
      </c>
      <c r="F47" s="47">
        <v>51001043</v>
      </c>
      <c r="G47" s="46">
        <f ca="1">VLOOKUP($C47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7" s="46">
        <f ca="1">VLOOKUP($C47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15</v>
      </c>
      <c r="I47" s="46">
        <f ca="1">VLOOKUP($C47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7" s="46">
        <f ca="1">VLOOKUP($C47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50</v>
      </c>
      <c r="K47" s="46" t="str">
        <f ca="1">VLOOKUP($C47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7" s="46">
        <f ca="1">VLOOKUP($C47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7" s="46" t="str">
        <f ca="1">VLOOKUP($C47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7" s="46" t="str">
        <f ca="1">VLOOKUP($C47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7" s="46">
        <f ca="1">VLOOKUP($C47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6"/>
        <v>51001008_51001044</v>
      </c>
      <c r="B48" s="72">
        <v>51001008</v>
      </c>
      <c r="C48" s="47">
        <v>51001044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解除するまで単体の攻撃力がダウン</v>
      </c>
      <c r="F48" s="47">
        <v>51001044</v>
      </c>
      <c r="G48" s="46">
        <f ca="1">VLOOKUP($C48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48" s="46">
        <f ca="1">VLOOKUP($C48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8" s="46">
        <f ca="1">VLOOKUP($C48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48" s="46" t="str">
        <f ca="1">VLOOKUP($C48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8" s="46" t="str">
        <f ca="1">VLOOKUP($C48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8" s="46" t="str">
        <f ca="1">VLOOKUP($C48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48" s="46" t="str">
        <f ca="1">VLOOKUP($C48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8" s="46" t="str">
        <f ca="1">VLOOKUP($C48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8" s="46">
        <f ca="1">VLOOKUP($C48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48" s="47"/>
      <c r="Q48" s="47"/>
      <c r="R48" s="47"/>
    </row>
    <row r="49" spans="1:18" ht="21" customHeight="1" x14ac:dyDescent="0.15">
      <c r="A49" s="39" t="str">
        <f t="shared" si="6"/>
        <v>51001009_51001045</v>
      </c>
      <c r="B49" s="73">
        <v>51001009</v>
      </c>
      <c r="C49" s="47">
        <v>51001045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「ワタシハ アノ エリアヘノ カギ…」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麒麟の影像が大きく歪んだ！_x000D_状態異常無効+フィーバーゲージが0に！</v>
      </c>
      <c r="F49" s="47">
        <v>51001045</v>
      </c>
      <c r="G49" s="46">
        <f ca="1">VLOOKUP($C49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1</v>
      </c>
      <c r="H49" s="46">
        <f ca="1">VLOOKUP($C49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49" s="46">
        <f ca="1">VLOOKUP($C49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49" s="46" t="str">
        <f ca="1">VLOOKUP($C49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49" s="46" t="str">
        <f ca="1">VLOOKUP($C49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49" s="46">
        <f ca="1">VLOOKUP($C49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49" s="46" t="str">
        <f ca="1">VLOOKUP($C49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49" s="46" t="str">
        <f ca="1">VLOOKUP($C49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49" s="46">
        <f ca="1">VLOOKUP($C49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51001009_51001047</v>
      </c>
      <c r="B50" s="73">
        <v>51001009</v>
      </c>
      <c r="C50" s="47">
        <v>51001047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雷光閃・拡散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47">
        <v>51001047</v>
      </c>
      <c r="G50" s="46">
        <f ca="1">VLOOKUP($C50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0" s="46">
        <f ca="1">VLOOKUP($C50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0" s="46">
        <f ca="1">VLOOKUP($C50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0" s="46" t="str">
        <f ca="1">VLOOKUP($C50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0" s="46" t="str">
        <f ca="1">VLOOKUP($C50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0" s="46" t="str">
        <f ca="1">VLOOKUP($C50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null</v>
      </c>
      <c r="M50" s="46" t="str">
        <f ca="1">VLOOKUP($C50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0" s="46" t="str">
        <f ca="1">VLOOKUP($C50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0" s="46">
        <f ca="1">VLOOKUP($C50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0" s="47"/>
      <c r="Q50" s="47"/>
      <c r="R50" s="47"/>
    </row>
    <row r="51" spans="1:18" ht="21" customHeight="1" x14ac:dyDescent="0.15">
      <c r="A51" s="39" t="str">
        <f t="shared" si="6"/>
        <v>51001009_51001048</v>
      </c>
      <c r="B51" s="73">
        <v>51001009</v>
      </c>
      <c r="C51" s="47">
        <v>51001048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太極布陣・超重力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4ターンタップ回数が1になる</v>
      </c>
      <c r="F51" s="47">
        <v>51001048</v>
      </c>
      <c r="G51" s="46">
        <f ca="1">VLOOKUP($C51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1" s="46">
        <f ca="1">VLOOKUP($C51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2</v>
      </c>
      <c r="I51" s="46">
        <f ca="1">VLOOKUP($C51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1" s="46">
        <f ca="1">VLOOKUP($C51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30</v>
      </c>
      <c r="K51" s="46" t="str">
        <f ca="1">VLOOKUP($C51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1" s="46">
        <f ca="1">VLOOKUP($C51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1" s="46" t="str">
        <f ca="1">VLOOKUP($C51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1" s="46" t="str">
        <f ca="1">VLOOKUP($C51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1" s="46">
        <f ca="1">VLOOKUP($C51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51001009_51001049</v>
      </c>
      <c r="B52" s="73">
        <v>51001009</v>
      </c>
      <c r="C52" s="47">
        <v>51001049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太極布陣・万物流転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52" s="47">
        <v>51001049</v>
      </c>
      <c r="G52" s="46">
        <f ca="1">VLOOKUP($C52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2" s="46">
        <f ca="1">VLOOKUP($C52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2" s="46">
        <f ca="1">VLOOKUP($C52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2" s="46" t="str">
        <f ca="1">VLOOKUP($C52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2" s="46" t="str">
        <f ca="1">VLOOKUP($C52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2" s="46">
        <f ca="1">VLOOKUP($C52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2" s="46" t="str">
        <f ca="1">VLOOKUP($C52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2" s="46" t="str">
        <f ca="1">VLOOKUP($C52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2" s="46">
        <f ca="1">VLOOKUP($C52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2" s="47"/>
      <c r="Q52" s="47"/>
      <c r="R52" s="47"/>
    </row>
    <row r="53" spans="1:18" ht="21" customHeight="1" x14ac:dyDescent="0.15">
      <c r="A53" s="39" t="str">
        <f t="shared" si="6"/>
        <v>51001009_51001050</v>
      </c>
      <c r="B53" s="73">
        <v>51001009</v>
      </c>
      <c r="C53" s="47">
        <v>51001050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太極布陣・攻撃劣化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解除するまで単体の攻撃力がダウン</v>
      </c>
      <c r="F53" s="47">
        <v>51001050</v>
      </c>
      <c r="G53" s="46">
        <f ca="1">VLOOKUP($C53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3" s="46">
        <f ca="1">VLOOKUP($C53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1</v>
      </c>
      <c r="I53" s="46">
        <f ca="1">VLOOKUP($C53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30</v>
      </c>
      <c r="J53" s="46" t="str">
        <f ca="1">VLOOKUP($C53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3" s="46" t="str">
        <f ca="1">VLOOKUP($C53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null</v>
      </c>
      <c r="L53" s="46">
        <f ca="1">VLOOKUP($C53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3" s="46" t="str">
        <f ca="1">VLOOKUP($C53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null</v>
      </c>
      <c r="N53" s="46" t="str">
        <f ca="1">VLOOKUP($C53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3" s="46">
        <f ca="1">VLOOKUP($C53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30</v>
      </c>
      <c r="P53" s="47"/>
      <c r="Q53" s="47"/>
      <c r="R53" s="47"/>
    </row>
    <row r="54" spans="1:18" ht="21" customHeight="1" x14ac:dyDescent="0.15">
      <c r="A54" s="39" t="str">
        <f t="shared" si="6"/>
        <v>51001009_51001055</v>
      </c>
      <c r="B54" s="73">
        <v>51001009</v>
      </c>
      <c r="C54" s="47">
        <v>51001055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雷光閃・連撃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4" s="47">
        <v>51001047</v>
      </c>
      <c r="G54" s="46">
        <f ca="1">VLOOKUP($C54,OFFSET(enemy_skill_triggers!$A$1,0,0,COUNTA(enemy_skill_triggers!$A:$A),MATCH(G$1,enemy_skill_triggers!$1:$1,0)-MATCH("skill_trigger_id",enemy_skill_triggers!$1:$1,0)+1),MATCH(G$1,enemy_skill_triggers!$1:$1,0)-MATCH("skill_trigger_id",enemy_skill_triggers!$1:$1,0)+1,FALSE)</f>
        <v>0</v>
      </c>
      <c r="H54" s="46">
        <f ca="1">VLOOKUP($C54,OFFSET(enemy_skill_triggers!$A$1,0,0,COUNTA(enemy_skill_triggers!$A:$A),MATCH(H$1,enemy_skill_triggers!$1:$1,0)-MATCH("skill_trigger_id",enemy_skill_triggers!$1:$1,0)+1),MATCH(H$1,enemy_skill_triggers!$1:$1,0)-MATCH("skill_trigger_id",enemy_skill_triggers!$1:$1,0)+1,FALSE)</f>
        <v>3</v>
      </c>
      <c r="I54" s="46">
        <f ca="1">VLOOKUP($C54,OFFSET(enemy_skill_triggers!$A$1,0,0,COUNTA(enemy_skill_triggers!$A:$A),MATCH(I$1,enemy_skill_triggers!$1:$1,0)-MATCH("skill_trigger_id",enemy_skill_triggers!$1:$1,0)+1),MATCH(I$1,enemy_skill_triggers!$1:$1,0)-MATCH("skill_trigger_id",enemy_skill_triggers!$1:$1,0)+1,FALSE)</f>
        <v>100</v>
      </c>
      <c r="J54" s="46" t="str">
        <f ca="1">VLOOKUP($C54,OFFSET(enemy_skill_triggers!$A$1,0,0,COUNTA(enemy_skill_triggers!$A:$A),MATCH(J$1,enemy_skill_triggers!$1:$1,0)-MATCH("skill_trigger_id",enemy_skill_triggers!$1:$1,0)+1),MATCH(J$1,enemy_skill_triggers!$1:$1,0)-MATCH("skill_trigger_id",enemy_skill_triggers!$1:$1,0)+1,FALSE)</f>
        <v>null</v>
      </c>
      <c r="K54" s="46">
        <f ca="1">VLOOKUP($C54,OFFSET(enemy_skill_triggers!$A$1,0,0,COUNTA(enemy_skill_triggers!$A:$A),MATCH(K$1,enemy_skill_triggers!$1:$1,0)-MATCH("skill_trigger_id",enemy_skill_triggers!$1:$1,0)+1),MATCH(K$1,enemy_skill_triggers!$1:$1,0)-MATCH("skill_trigger_id",enemy_skill_triggers!$1:$1,0)+1,FALSE)</f>
        <v>30</v>
      </c>
      <c r="L54" s="46">
        <f ca="1">VLOOKUP($C54,OFFSET(enemy_skill_triggers!$A$1,0,0,COUNTA(enemy_skill_triggers!$A:$A),MATCH(L$1,enemy_skill_triggers!$1:$1,0)-MATCH("skill_trigger_id",enemy_skill_triggers!$1:$1,0)+1),MATCH(L$1,enemy_skill_triggers!$1:$1,0)-MATCH("skill_trigger_id",enemy_skill_triggers!$1:$1,0)+1,FALSE)</f>
        <v>1</v>
      </c>
      <c r="M54" s="46">
        <f ca="1">VLOOKUP($C54,OFFSET(enemy_skill_triggers!$A$1,0,0,COUNTA(enemy_skill_triggers!$A:$A),MATCH(M$1,enemy_skill_triggers!$1:$1,0)-MATCH("skill_trigger_id",enemy_skill_triggers!$1:$1,0)+1),MATCH(M$1,enemy_skill_triggers!$1:$1,0)-MATCH("skill_trigger_id",enemy_skill_triggers!$1:$1,0)+1,FALSE)</f>
        <v>16</v>
      </c>
      <c r="N54" s="46" t="str">
        <f ca="1">VLOOKUP($C54,OFFSET(enemy_skill_triggers!$A$1,0,0,COUNTA(enemy_skill_triggers!$A:$A),MATCH(N$1,enemy_skill_triggers!$1:$1,0)-MATCH("skill_trigger_id",enemy_skill_triggers!$1:$1,0)+1),MATCH(N$1,enemy_skill_triggers!$1:$1,0)-MATCH("skill_trigger_id",enemy_skill_triggers!$1:$1,0)+1,FALSE)</f>
        <v>null</v>
      </c>
      <c r="O54" s="46">
        <f ca="1">VLOOKUP($C54,OFFSET(enemy_skill_triggers!$A$1,0,0,COUNTA(enemy_skill_triggers!$A:$A),MATCH(O$1,enemy_skill_triggers!$1:$1,0)-MATCH("skill_trigger_id",enemy_skill_triggers!$1:$1,0)+1),MATCH(O$1,enemy_skill_triggers!$1:$1,0)-MATCH("skill_trigger_id",enemy_skill_triggers!$1:$1,0)+1,FALSE)</f>
        <v>100</v>
      </c>
      <c r="P54" s="47"/>
      <c r="Q54" s="47"/>
      <c r="R54" s="47"/>
    </row>
  </sheetData>
  <autoFilter ref="A1:R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15"/>
  <sheetViews>
    <sheetView topLeftCell="C1"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77" t="s">
        <v>301</v>
      </c>
      <c r="B1" s="77" t="s">
        <v>300</v>
      </c>
      <c r="C1" s="80" t="s">
        <v>299</v>
      </c>
      <c r="D1" s="79" t="s">
        <v>298</v>
      </c>
      <c r="E1" s="78" t="s">
        <v>297</v>
      </c>
      <c r="F1" s="77" t="s">
        <v>296</v>
      </c>
      <c r="G1" s="77" t="s">
        <v>295</v>
      </c>
      <c r="H1" s="77" t="s">
        <v>294</v>
      </c>
      <c r="I1" s="77" t="s">
        <v>293</v>
      </c>
      <c r="J1" s="77" t="s">
        <v>292</v>
      </c>
      <c r="K1" s="77" t="s">
        <v>291</v>
      </c>
      <c r="L1" s="77" t="s">
        <v>290</v>
      </c>
      <c r="M1" s="77" t="s">
        <v>289</v>
      </c>
      <c r="N1" s="77" t="s">
        <v>288</v>
      </c>
      <c r="O1" s="77" t="s">
        <v>287</v>
      </c>
      <c r="P1" s="77" t="s">
        <v>286</v>
      </c>
      <c r="Q1" s="77" t="s">
        <v>285</v>
      </c>
      <c r="R1" s="77" t="s">
        <v>284</v>
      </c>
    </row>
    <row r="2" spans="1:18" x14ac:dyDescent="0.15">
      <c r="A2" s="57">
        <v>51001</v>
      </c>
      <c r="B2" s="57">
        <v>1</v>
      </c>
      <c r="C2" s="76" t="str">
        <f>A2&amp; "_"&amp;B2</f>
        <v>51001_1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87" t="s">
        <v>283</v>
      </c>
      <c r="G2" s="87">
        <v>65000</v>
      </c>
      <c r="H2" s="87" t="s">
        <v>377</v>
      </c>
      <c r="I2" s="87">
        <v>1</v>
      </c>
      <c r="J2" s="87">
        <v>1</v>
      </c>
      <c r="K2" s="87">
        <v>0</v>
      </c>
      <c r="L2" s="87">
        <v>0</v>
      </c>
      <c r="M2" s="87">
        <v>0</v>
      </c>
      <c r="N2" s="87">
        <v>0</v>
      </c>
      <c r="O2" s="87">
        <v>1</v>
      </c>
      <c r="P2" s="87">
        <v>50</v>
      </c>
      <c r="Q2" s="57" t="s">
        <v>282</v>
      </c>
      <c r="R2" s="57" t="s">
        <v>281</v>
      </c>
    </row>
    <row r="3" spans="1:18" x14ac:dyDescent="0.15">
      <c r="A3" s="57">
        <v>51001</v>
      </c>
      <c r="B3" s="57">
        <v>1</v>
      </c>
      <c r="C3" s="76" t="str">
        <f t="shared" ref="C3:C10" si="0">A3&amp; "_"&amp;B3</f>
        <v>51001_1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87" t="s">
        <v>334</v>
      </c>
      <c r="G3" s="87">
        <v>347</v>
      </c>
      <c r="H3" s="87">
        <v>1</v>
      </c>
      <c r="I3" s="87">
        <v>1</v>
      </c>
      <c r="J3" s="87">
        <v>1</v>
      </c>
      <c r="K3" s="87">
        <v>0</v>
      </c>
      <c r="L3" s="87">
        <v>0</v>
      </c>
      <c r="M3" s="87">
        <v>0</v>
      </c>
      <c r="N3" s="87">
        <v>0</v>
      </c>
      <c r="O3" s="87">
        <v>1</v>
      </c>
      <c r="P3" s="87">
        <v>250</v>
      </c>
      <c r="Q3" s="57" t="s">
        <v>282</v>
      </c>
      <c r="R3" s="57" t="s">
        <v>281</v>
      </c>
    </row>
    <row r="4" spans="1:18" x14ac:dyDescent="0.15">
      <c r="A4" s="57">
        <v>51001</v>
      </c>
      <c r="B4" s="57">
        <v>1</v>
      </c>
      <c r="C4" s="76" t="str">
        <f t="shared" si="0"/>
        <v>51001_1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87" t="s">
        <v>334</v>
      </c>
      <c r="G4" s="87">
        <v>355</v>
      </c>
      <c r="H4" s="87">
        <v>1</v>
      </c>
      <c r="I4" s="87">
        <v>1</v>
      </c>
      <c r="J4" s="87">
        <v>1</v>
      </c>
      <c r="K4" s="87">
        <v>0</v>
      </c>
      <c r="L4" s="87">
        <v>0</v>
      </c>
      <c r="M4" s="87">
        <v>0</v>
      </c>
      <c r="N4" s="87">
        <v>0</v>
      </c>
      <c r="O4" s="87">
        <v>1</v>
      </c>
      <c r="P4" s="87">
        <v>50</v>
      </c>
      <c r="Q4" s="57" t="s">
        <v>282</v>
      </c>
      <c r="R4" s="57" t="s">
        <v>281</v>
      </c>
    </row>
    <row r="5" spans="1:18" x14ac:dyDescent="0.15">
      <c r="A5" s="57">
        <v>51001</v>
      </c>
      <c r="B5" s="57">
        <v>1</v>
      </c>
      <c r="C5" s="76" t="str">
        <f t="shared" si="0"/>
        <v>51001_1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87" t="s">
        <v>334</v>
      </c>
      <c r="G5" s="87">
        <v>125</v>
      </c>
      <c r="H5" s="87">
        <v>1</v>
      </c>
      <c r="I5" s="87">
        <v>1</v>
      </c>
      <c r="J5" s="87">
        <v>1</v>
      </c>
      <c r="K5" s="87">
        <v>0</v>
      </c>
      <c r="L5" s="87">
        <v>0</v>
      </c>
      <c r="M5" s="87">
        <v>0</v>
      </c>
      <c r="N5" s="87">
        <v>0</v>
      </c>
      <c r="O5" s="87">
        <v>1</v>
      </c>
      <c r="P5" s="87">
        <v>30</v>
      </c>
      <c r="Q5" s="57" t="s">
        <v>282</v>
      </c>
      <c r="R5" s="57" t="s">
        <v>281</v>
      </c>
    </row>
    <row r="6" spans="1:18" x14ac:dyDescent="0.15">
      <c r="A6" s="57">
        <v>51001</v>
      </c>
      <c r="B6" s="57">
        <v>1</v>
      </c>
      <c r="C6" s="76" t="str">
        <f t="shared" si="0"/>
        <v>51001_1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87" t="s">
        <v>334</v>
      </c>
      <c r="G6" s="87">
        <v>607</v>
      </c>
      <c r="H6" s="87">
        <v>1</v>
      </c>
      <c r="I6" s="87">
        <v>1</v>
      </c>
      <c r="J6" s="87">
        <v>1</v>
      </c>
      <c r="K6" s="87">
        <v>0</v>
      </c>
      <c r="L6" s="87">
        <v>0</v>
      </c>
      <c r="M6" s="87">
        <v>0</v>
      </c>
      <c r="N6" s="87">
        <v>0</v>
      </c>
      <c r="O6" s="87">
        <v>1</v>
      </c>
      <c r="P6" s="87">
        <v>80</v>
      </c>
      <c r="Q6" s="57" t="s">
        <v>282</v>
      </c>
      <c r="R6" s="57" t="s">
        <v>281</v>
      </c>
    </row>
    <row r="7" spans="1:18" x14ac:dyDescent="0.15">
      <c r="A7" s="57">
        <v>51001</v>
      </c>
      <c r="B7" s="57">
        <v>1</v>
      </c>
      <c r="C7" s="76" t="str">
        <f t="shared" si="0"/>
        <v>51001_1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87" t="s">
        <v>334</v>
      </c>
      <c r="G7" s="87">
        <v>608</v>
      </c>
      <c r="H7" s="87">
        <v>1</v>
      </c>
      <c r="I7" s="87">
        <v>1</v>
      </c>
      <c r="J7" s="87">
        <v>1</v>
      </c>
      <c r="K7" s="87">
        <v>0</v>
      </c>
      <c r="L7" s="87">
        <v>0</v>
      </c>
      <c r="M7" s="87">
        <v>0</v>
      </c>
      <c r="N7" s="87">
        <v>0</v>
      </c>
      <c r="O7" s="87">
        <v>1</v>
      </c>
      <c r="P7" s="87">
        <v>80</v>
      </c>
      <c r="Q7" s="57" t="s">
        <v>282</v>
      </c>
      <c r="R7" s="57" t="s">
        <v>281</v>
      </c>
    </row>
    <row r="8" spans="1:18" x14ac:dyDescent="0.15">
      <c r="A8" s="57">
        <v>51001</v>
      </c>
      <c r="B8" s="57">
        <v>1</v>
      </c>
      <c r="C8" s="76" t="str">
        <f t="shared" si="0"/>
        <v>51001_1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87" t="s">
        <v>334</v>
      </c>
      <c r="G8" s="87">
        <v>609</v>
      </c>
      <c r="H8" s="87">
        <v>1</v>
      </c>
      <c r="I8" s="87">
        <v>1</v>
      </c>
      <c r="J8" s="87">
        <v>1</v>
      </c>
      <c r="K8" s="87">
        <v>0</v>
      </c>
      <c r="L8" s="87">
        <v>0</v>
      </c>
      <c r="M8" s="87">
        <v>0</v>
      </c>
      <c r="N8" s="87">
        <v>0</v>
      </c>
      <c r="O8" s="87">
        <v>1</v>
      </c>
      <c r="P8" s="87">
        <v>80</v>
      </c>
      <c r="Q8" s="57" t="s">
        <v>282</v>
      </c>
      <c r="R8" s="57" t="s">
        <v>281</v>
      </c>
    </row>
    <row r="9" spans="1:18" x14ac:dyDescent="0.15">
      <c r="A9" s="57">
        <v>51001</v>
      </c>
      <c r="B9" s="57">
        <v>1</v>
      </c>
      <c r="C9" s="76" t="str">
        <f t="shared" si="0"/>
        <v>51001_1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87" t="s">
        <v>334</v>
      </c>
      <c r="G9" s="87">
        <v>610</v>
      </c>
      <c r="H9" s="87">
        <v>1</v>
      </c>
      <c r="I9" s="87">
        <v>1</v>
      </c>
      <c r="J9" s="87">
        <v>1</v>
      </c>
      <c r="K9" s="87">
        <v>0</v>
      </c>
      <c r="L9" s="87">
        <v>0</v>
      </c>
      <c r="M9" s="87">
        <v>0</v>
      </c>
      <c r="N9" s="87">
        <v>0</v>
      </c>
      <c r="O9" s="87">
        <v>1</v>
      </c>
      <c r="P9" s="87">
        <v>20</v>
      </c>
      <c r="Q9" s="57" t="s">
        <v>282</v>
      </c>
      <c r="R9" s="57" t="s">
        <v>281</v>
      </c>
    </row>
    <row r="10" spans="1:18" x14ac:dyDescent="0.15">
      <c r="A10" s="57">
        <v>51001</v>
      </c>
      <c r="B10" s="57">
        <v>1</v>
      </c>
      <c r="C10" s="76" t="str">
        <f t="shared" si="0"/>
        <v>51001_1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87" t="s">
        <v>334</v>
      </c>
      <c r="G10" s="87">
        <v>611</v>
      </c>
      <c r="H10" s="87">
        <v>1</v>
      </c>
      <c r="I10" s="87">
        <v>1</v>
      </c>
      <c r="J10" s="87">
        <v>1</v>
      </c>
      <c r="K10" s="87">
        <v>0</v>
      </c>
      <c r="L10" s="87">
        <v>0</v>
      </c>
      <c r="M10" s="87">
        <v>0</v>
      </c>
      <c r="N10" s="87">
        <v>0</v>
      </c>
      <c r="O10" s="87">
        <v>1</v>
      </c>
      <c r="P10" s="87">
        <v>30</v>
      </c>
      <c r="Q10" s="57" t="s">
        <v>282</v>
      </c>
      <c r="R10" s="57" t="s">
        <v>281</v>
      </c>
    </row>
    <row r="11" spans="1:18" x14ac:dyDescent="0.15">
      <c r="A11" s="57">
        <v>51001</v>
      </c>
      <c r="B11" s="57">
        <v>1</v>
      </c>
      <c r="C11" s="76" t="str">
        <f t="shared" ref="C11:C12" si="1">A11&amp; "_"&amp;B11</f>
        <v>51001_1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87" t="s">
        <v>334</v>
      </c>
      <c r="G11" s="87">
        <v>612</v>
      </c>
      <c r="H11" s="87">
        <v>1</v>
      </c>
      <c r="I11" s="87">
        <v>1</v>
      </c>
      <c r="J11" s="87">
        <v>1</v>
      </c>
      <c r="K11" s="87">
        <v>0</v>
      </c>
      <c r="L11" s="87">
        <v>0</v>
      </c>
      <c r="M11" s="87">
        <v>0</v>
      </c>
      <c r="N11" s="87">
        <v>0</v>
      </c>
      <c r="O11" s="87">
        <v>1</v>
      </c>
      <c r="P11" s="87">
        <v>30</v>
      </c>
      <c r="Q11" s="57" t="s">
        <v>282</v>
      </c>
      <c r="R11" s="57" t="s">
        <v>281</v>
      </c>
    </row>
    <row r="12" spans="1:18" x14ac:dyDescent="0.15">
      <c r="A12" s="57">
        <v>51001</v>
      </c>
      <c r="B12" s="57">
        <v>1</v>
      </c>
      <c r="C12" s="76" t="str">
        <f t="shared" si="1"/>
        <v>51001_1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87" t="s">
        <v>334</v>
      </c>
      <c r="G12" s="87">
        <v>613</v>
      </c>
      <c r="H12" s="87">
        <v>1</v>
      </c>
      <c r="I12" s="87">
        <v>1</v>
      </c>
      <c r="J12" s="87">
        <v>1</v>
      </c>
      <c r="K12" s="87">
        <v>0</v>
      </c>
      <c r="L12" s="87">
        <v>0</v>
      </c>
      <c r="M12" s="87">
        <v>0</v>
      </c>
      <c r="N12" s="87">
        <v>0</v>
      </c>
      <c r="O12" s="87">
        <v>1</v>
      </c>
      <c r="P12" s="87">
        <v>30</v>
      </c>
      <c r="Q12" s="57" t="s">
        <v>282</v>
      </c>
      <c r="R12" s="57" t="s">
        <v>281</v>
      </c>
    </row>
    <row r="13" spans="1:18" x14ac:dyDescent="0.15">
      <c r="A13" s="57">
        <v>51001</v>
      </c>
      <c r="B13" s="57">
        <v>1</v>
      </c>
      <c r="C13" s="76" t="str">
        <f t="shared" ref="C13:C15" si="2">A13&amp; "_"&amp;B13</f>
        <v>51001_1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87" t="s">
        <v>334</v>
      </c>
      <c r="G13" s="87">
        <v>614</v>
      </c>
      <c r="H13" s="87">
        <v>1</v>
      </c>
      <c r="I13" s="87">
        <v>1</v>
      </c>
      <c r="J13" s="87">
        <v>1</v>
      </c>
      <c r="K13" s="87">
        <v>0</v>
      </c>
      <c r="L13" s="87">
        <v>0</v>
      </c>
      <c r="M13" s="87">
        <v>0</v>
      </c>
      <c r="N13" s="87">
        <v>0</v>
      </c>
      <c r="O13" s="87">
        <v>1</v>
      </c>
      <c r="P13" s="87">
        <v>10</v>
      </c>
      <c r="Q13" s="57" t="s">
        <v>282</v>
      </c>
      <c r="R13" s="57" t="s">
        <v>281</v>
      </c>
    </row>
    <row r="14" spans="1:18" x14ac:dyDescent="0.15">
      <c r="A14" s="57">
        <v>51001</v>
      </c>
      <c r="B14" s="57">
        <v>1</v>
      </c>
      <c r="C14" s="76" t="str">
        <f t="shared" si="2"/>
        <v>51001_1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87" t="s">
        <v>334</v>
      </c>
      <c r="G14" s="87">
        <v>837</v>
      </c>
      <c r="H14" s="87">
        <v>1</v>
      </c>
      <c r="I14" s="87">
        <v>1</v>
      </c>
      <c r="J14" s="87">
        <v>1</v>
      </c>
      <c r="K14" s="87">
        <v>0</v>
      </c>
      <c r="L14" s="87">
        <v>0</v>
      </c>
      <c r="M14" s="87">
        <v>0</v>
      </c>
      <c r="N14" s="87">
        <v>0</v>
      </c>
      <c r="O14" s="87">
        <v>1</v>
      </c>
      <c r="P14" s="87">
        <v>10</v>
      </c>
      <c r="Q14" s="57" t="s">
        <v>282</v>
      </c>
      <c r="R14" s="57" t="s">
        <v>281</v>
      </c>
    </row>
    <row r="15" spans="1:18" x14ac:dyDescent="0.15">
      <c r="A15" s="57">
        <v>51001</v>
      </c>
      <c r="B15" s="57">
        <v>1</v>
      </c>
      <c r="C15" s="76" t="str">
        <f t="shared" si="2"/>
        <v>51001_1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87" t="s">
        <v>334</v>
      </c>
      <c r="G15" s="87">
        <v>432</v>
      </c>
      <c r="H15" s="87">
        <v>1</v>
      </c>
      <c r="I15" s="87">
        <v>1</v>
      </c>
      <c r="J15" s="87">
        <v>1</v>
      </c>
      <c r="K15" s="87">
        <v>0</v>
      </c>
      <c r="L15" s="87">
        <v>0</v>
      </c>
      <c r="M15" s="87">
        <v>0</v>
      </c>
      <c r="N15" s="87">
        <v>0</v>
      </c>
      <c r="O15" s="87">
        <v>1</v>
      </c>
      <c r="P15" s="87">
        <v>250</v>
      </c>
      <c r="Q15" s="57" t="s">
        <v>282</v>
      </c>
      <c r="R15" s="57" t="s">
        <v>281</v>
      </c>
    </row>
  </sheetData>
  <phoneticPr fontId="4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activeCell="A3" sqref="A3"/>
      <selection pane="bottomLeft" activeCell="A2" sqref="A2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95" t="s">
        <v>311</v>
      </c>
      <c r="B1" s="93" t="s">
        <v>301</v>
      </c>
      <c r="C1" s="94" t="s">
        <v>310</v>
      </c>
      <c r="D1" s="94" t="s">
        <v>33</v>
      </c>
      <c r="E1" s="93" t="s">
        <v>300</v>
      </c>
      <c r="F1" s="94" t="s">
        <v>310</v>
      </c>
      <c r="G1" s="94" t="s">
        <v>33</v>
      </c>
      <c r="H1" s="93" t="s">
        <v>309</v>
      </c>
      <c r="I1" s="92" t="s">
        <v>308</v>
      </c>
      <c r="J1" s="91" t="s">
        <v>307</v>
      </c>
      <c r="K1" s="90" t="s">
        <v>306</v>
      </c>
      <c r="L1" s="89" t="s">
        <v>305</v>
      </c>
      <c r="M1" s="88" t="s">
        <v>304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</sheetData>
  <phoneticPr fontId="4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activeCell="A3" sqref="A3"/>
      <selection pane="bottomLeft" activeCell="A2" sqref="A2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95" t="s">
        <v>321</v>
      </c>
      <c r="B1" s="93" t="s">
        <v>301</v>
      </c>
      <c r="C1" s="94" t="s">
        <v>310</v>
      </c>
      <c r="D1" s="94" t="s">
        <v>33</v>
      </c>
      <c r="E1" s="93" t="s">
        <v>300</v>
      </c>
      <c r="F1" s="94" t="s">
        <v>310</v>
      </c>
      <c r="G1" s="94" t="s">
        <v>33</v>
      </c>
      <c r="H1" s="93" t="s">
        <v>320</v>
      </c>
      <c r="I1" s="98" t="s">
        <v>319</v>
      </c>
      <c r="J1" s="92" t="s">
        <v>318</v>
      </c>
      <c r="K1" s="91" t="s">
        <v>317</v>
      </c>
      <c r="L1" s="90" t="s">
        <v>316</v>
      </c>
      <c r="M1" s="89" t="s">
        <v>315</v>
      </c>
      <c r="N1" s="88" t="s">
        <v>304</v>
      </c>
    </row>
    <row r="2" spans="1:14" ht="56" x14ac:dyDescent="0.15">
      <c r="A2" s="87" t="s">
        <v>314</v>
      </c>
      <c r="B2" s="86">
        <v>51001</v>
      </c>
      <c r="C2" s="84" t="str">
        <f ca="1">VLOOKUP($B2,OFFSET([2]quests!$A$1,0,0,COUNTA([2]quests!$A:$A),MATCH(C$1,[2]quests!$1:$1,0)-MATCH($B$1,[2]quests!$1:$1,0)+1),MATCH(C$1,[2]quests!$1:$1,0)-MATCH($B$1,[2]quests!$1:$1,0)+1,FALSE)</f>
        <v>麒麟襲来！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超降臨1</v>
      </c>
      <c r="E2" s="82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超降臨1</v>
      </c>
      <c r="H2" s="83">
        <v>1</v>
      </c>
      <c r="I2" s="97">
        <f>ROW()-1</f>
        <v>1</v>
      </c>
      <c r="J2" s="96" t="str">
        <f>B2&amp;TEXT(I2,"00")</f>
        <v>5100101</v>
      </c>
      <c r="K2" s="82" t="s">
        <v>126</v>
      </c>
      <c r="L2" s="85" t="s">
        <v>313</v>
      </c>
      <c r="M2" s="99" t="s">
        <v>358</v>
      </c>
      <c r="N2" s="57" t="s">
        <v>312</v>
      </c>
    </row>
    <row r="3" spans="1:14" ht="56" x14ac:dyDescent="0.15">
      <c r="A3" s="87" t="s">
        <v>314</v>
      </c>
      <c r="B3" s="86">
        <v>51001</v>
      </c>
      <c r="C3" s="84" t="str">
        <f ca="1">VLOOKUP($B3,OFFSET([2]quests!$A$1,0,0,COUNTA([2]quests!$A:$A),MATCH(C$1,[2]quests!$1:$1,0)-MATCH($B$1,[2]quests!$1:$1,0)+1),MATCH(C$1,[2]quests!$1:$1,0)-MATCH($B$1,[2]quests!$1:$1,0)+1,FALSE)</f>
        <v>麒麟襲来！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超降臨1</v>
      </c>
      <c r="E3" s="82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超降臨1</v>
      </c>
      <c r="H3" s="83">
        <v>2</v>
      </c>
      <c r="I3" s="97">
        <f t="shared" ref="I3:I9" si="0">ROW()-1</f>
        <v>2</v>
      </c>
      <c r="J3" s="96" t="str">
        <f t="shared" ref="J3:J5" si="1">B3&amp;TEXT(I3,"00")</f>
        <v>5100102</v>
      </c>
      <c r="K3" s="82" t="s">
        <v>126</v>
      </c>
      <c r="L3" s="85" t="s">
        <v>313</v>
      </c>
      <c r="M3" s="99" t="s">
        <v>326</v>
      </c>
      <c r="N3" s="57" t="s">
        <v>312</v>
      </c>
    </row>
    <row r="4" spans="1:14" ht="56" x14ac:dyDescent="0.15">
      <c r="A4" s="87" t="s">
        <v>314</v>
      </c>
      <c r="B4" s="86">
        <v>51001</v>
      </c>
      <c r="C4" s="84" t="str">
        <f ca="1">VLOOKUP($B4,OFFSET([2]quests!$A$1,0,0,COUNTA([2]quests!$A:$A),MATCH(C$1,[2]quests!$1:$1,0)-MATCH($B$1,[2]quests!$1:$1,0)+1),MATCH(C$1,[2]quests!$1:$1,0)-MATCH($B$1,[2]quests!$1:$1,0)+1,FALSE)</f>
        <v>麒麟襲来！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超降臨1</v>
      </c>
      <c r="E4" s="82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超降臨1</v>
      </c>
      <c r="H4" s="83">
        <v>3</v>
      </c>
      <c r="I4" s="97">
        <f t="shared" si="0"/>
        <v>3</v>
      </c>
      <c r="J4" s="96" t="str">
        <f t="shared" si="1"/>
        <v>5100103</v>
      </c>
      <c r="K4" s="82" t="s">
        <v>126</v>
      </c>
      <c r="L4" s="85" t="s">
        <v>313</v>
      </c>
      <c r="M4" s="99" t="s">
        <v>327</v>
      </c>
      <c r="N4" s="57" t="s">
        <v>312</v>
      </c>
    </row>
    <row r="5" spans="1:14" ht="56" x14ac:dyDescent="0.15">
      <c r="A5" s="87" t="s">
        <v>314</v>
      </c>
      <c r="B5" s="86">
        <v>51001</v>
      </c>
      <c r="C5" s="84" t="str">
        <f ca="1">VLOOKUP($B5,OFFSET([2]quests!$A$1,0,0,COUNTA([2]quests!$A:$A),MATCH(C$1,[2]quests!$1:$1,0)-MATCH($B$1,[2]quests!$1:$1,0)+1),MATCH(C$1,[2]quests!$1:$1,0)-MATCH($B$1,[2]quests!$1:$1,0)+1,FALSE)</f>
        <v>麒麟襲来！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超降臨1</v>
      </c>
      <c r="E5" s="82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超降臨1</v>
      </c>
      <c r="H5" s="83">
        <v>4</v>
      </c>
      <c r="I5" s="97">
        <f t="shared" si="0"/>
        <v>4</v>
      </c>
      <c r="J5" s="96" t="str">
        <f t="shared" si="1"/>
        <v>5100104</v>
      </c>
      <c r="K5" s="82" t="s">
        <v>126</v>
      </c>
      <c r="L5" s="85" t="s">
        <v>313</v>
      </c>
      <c r="M5" s="99" t="s">
        <v>359</v>
      </c>
      <c r="N5" s="57" t="s">
        <v>312</v>
      </c>
    </row>
    <row r="6" spans="1:14" ht="70" x14ac:dyDescent="0.15">
      <c r="A6" s="87" t="s">
        <v>302</v>
      </c>
      <c r="B6" s="86">
        <v>51001</v>
      </c>
      <c r="C6" s="84" t="str">
        <f ca="1">VLOOKUP($B6,OFFSET([2]quests!$A$1,0,0,COUNTA([2]quests!$A:$A),MATCH(C$1,[2]quests!$1:$1,0)-MATCH($B$1,[2]quests!$1:$1,0)+1),MATCH(C$1,[2]quests!$1:$1,0)-MATCH($B$1,[2]quests!$1:$1,0)+1,FALSE)</f>
        <v>麒麟襲来！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超降臨1</v>
      </c>
      <c r="E6" s="82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超降臨1</v>
      </c>
      <c r="H6" s="83">
        <v>0</v>
      </c>
      <c r="I6" s="97">
        <f>ROW()-1</f>
        <v>5</v>
      </c>
      <c r="J6" s="96" t="str">
        <f>B6&amp;TEXT(I6,"00")</f>
        <v>5100105</v>
      </c>
      <c r="K6" s="82" t="s">
        <v>126</v>
      </c>
      <c r="L6" s="85" t="s">
        <v>367</v>
      </c>
      <c r="M6" s="99" t="s">
        <v>366</v>
      </c>
      <c r="N6" s="57" t="s">
        <v>303</v>
      </c>
    </row>
    <row r="7" spans="1:14" ht="70" x14ac:dyDescent="0.15">
      <c r="A7" s="87" t="s">
        <v>302</v>
      </c>
      <c r="B7" s="86">
        <v>51001</v>
      </c>
      <c r="C7" s="84" t="str">
        <f ca="1">VLOOKUP($B7,OFFSET([2]quests!$A$1,0,0,COUNTA([2]quests!$A:$A),MATCH(C$1,[2]quests!$1:$1,0)-MATCH($B$1,[2]quests!$1:$1,0)+1),MATCH(C$1,[2]quests!$1:$1,0)-MATCH($B$1,[2]quests!$1:$1,0)+1,FALSE)</f>
        <v>麒麟襲来！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超降臨1</v>
      </c>
      <c r="E7" s="82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超降臨1</v>
      </c>
      <c r="H7" s="83">
        <v>0</v>
      </c>
      <c r="I7" s="97">
        <f t="shared" si="0"/>
        <v>6</v>
      </c>
      <c r="J7" s="96" t="str">
        <f t="shared" ref="J7:J9" si="2">B7&amp;TEXT(I7,"00")</f>
        <v>5100106</v>
      </c>
      <c r="K7" s="82" t="s">
        <v>126</v>
      </c>
      <c r="L7" s="85" t="s">
        <v>369</v>
      </c>
      <c r="M7" s="99" t="s">
        <v>368</v>
      </c>
      <c r="N7" s="57" t="s">
        <v>303</v>
      </c>
    </row>
    <row r="8" spans="1:14" ht="70" x14ac:dyDescent="0.15">
      <c r="A8" s="87" t="s">
        <v>302</v>
      </c>
      <c r="B8" s="86">
        <v>51001</v>
      </c>
      <c r="C8" s="84" t="str">
        <f ca="1">VLOOKUP($B8,OFFSET([2]quests!$A$1,0,0,COUNTA([2]quests!$A:$A),MATCH(C$1,[2]quests!$1:$1,0)-MATCH($B$1,[2]quests!$1:$1,0)+1),MATCH(C$1,[2]quests!$1:$1,0)-MATCH($B$1,[2]quests!$1:$1,0)+1,FALSE)</f>
        <v>麒麟襲来！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超降臨1</v>
      </c>
      <c r="E8" s="82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超降臨1</v>
      </c>
      <c r="H8" s="83">
        <v>0</v>
      </c>
      <c r="I8" s="97">
        <f t="shared" si="0"/>
        <v>7</v>
      </c>
      <c r="J8" s="96" t="str">
        <f t="shared" si="2"/>
        <v>5100107</v>
      </c>
      <c r="K8" s="82" t="s">
        <v>126</v>
      </c>
      <c r="L8" s="85" t="s">
        <v>371</v>
      </c>
      <c r="M8" s="99" t="s">
        <v>370</v>
      </c>
      <c r="N8" s="57" t="s">
        <v>303</v>
      </c>
    </row>
    <row r="9" spans="1:14" ht="56" x14ac:dyDescent="0.15">
      <c r="A9" s="87" t="s">
        <v>302</v>
      </c>
      <c r="B9" s="86">
        <v>51001</v>
      </c>
      <c r="C9" s="84" t="str">
        <f ca="1">VLOOKUP($B9,OFFSET([2]quests!$A$1,0,0,COUNTA([2]quests!$A:$A),MATCH(C$1,[2]quests!$1:$1,0)-MATCH($B$1,[2]quests!$1:$1,0)+1),MATCH(C$1,[2]quests!$1:$1,0)-MATCH($B$1,[2]quests!$1:$1,0)+1,FALSE)</f>
        <v>麒麟襲来！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超降臨1</v>
      </c>
      <c r="E9" s="82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【超ウィザード級】麒麟襲来 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超降臨1</v>
      </c>
      <c r="H9" s="83">
        <v>0</v>
      </c>
      <c r="I9" s="97">
        <f t="shared" si="0"/>
        <v>8</v>
      </c>
      <c r="J9" s="96" t="str">
        <f t="shared" si="2"/>
        <v>5100108</v>
      </c>
      <c r="K9" s="82" t="s">
        <v>126</v>
      </c>
      <c r="L9" s="85" t="s">
        <v>373</v>
      </c>
      <c r="M9" s="99" t="s">
        <v>372</v>
      </c>
      <c r="N9" s="57" t="s">
        <v>303</v>
      </c>
    </row>
  </sheetData>
  <phoneticPr fontId="4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2017-05-08T08:25:05Z</dcterms:modified>
</cp:coreProperties>
</file>